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PROYECTO\Documentos\PAYC\PROYECTO 10. REPLANIFICACIÓN PAYC\ANALISIS\PROYECCIONES\"/>
    </mc:Choice>
  </mc:AlternateContent>
  <xr:revisionPtr revIDLastSave="0" documentId="13_ncr:1_{53D41D16-3A51-4597-B7ED-1AF843BEC836}" xr6:coauthVersionLast="36" xr6:coauthVersionMax="36" xr10:uidLastSave="{00000000-0000-0000-0000-000000000000}"/>
  <bookViews>
    <workbookView xWindow="0" yWindow="0" windowWidth="20490" windowHeight="6945" tabRatio="823" firstSheet="5" activeTab="9" xr2:uid="{00000000-000D-0000-FFFF-FFFF00000000}"/>
  </bookViews>
  <sheets>
    <sheet name="DATOS GENERALES" sheetId="6" r:id="rId1"/>
    <sheet name="DATOS PROYECCIÓN" sheetId="1" state="hidden" r:id="rId2"/>
    <sheet name="DATOS INDICADORES" sheetId="17" state="hidden" r:id="rId3"/>
    <sheet name="TABLA INDICADORES FORM" sheetId="19" state="hidden" r:id="rId4"/>
    <sheet name="DATOS FC" sheetId="20" state="hidden" r:id="rId5"/>
    <sheet name="ESCENARIOS NUEVOS PROYECTOS" sheetId="24" r:id="rId6"/>
    <sheet name="ESCENARIOS FFIE" sheetId="25" r:id="rId7"/>
    <sheet name="DESCRIPCIÓN" sheetId="23" r:id="rId8"/>
    <sheet name="PROYECCIÓN" sheetId="2" r:id="rId9"/>
    <sheet name="INDICADORES" sheetId="8" r:id="rId10"/>
    <sheet name="FLUJO DE CAJA" sheetId="15" r:id="rId11"/>
    <sheet name="Gráficos" sheetId="22" state="hidden" r:id="rId12"/>
  </sheets>
  <definedNames>
    <definedName name="_xlnm._FilterDatabase" localSheetId="4" hidden="1">'DATOS FC'!$A$1:$Q$1321</definedName>
    <definedName name="_xlnm._FilterDatabase" localSheetId="0" hidden="1">'DATOS GENERALES'!$A$1:$D$321</definedName>
    <definedName name="_xlnm._FilterDatabase" localSheetId="2" hidden="1">'DATOS INDICADORES'!$A$1:$P$661</definedName>
    <definedName name="_xlnm._FilterDatabase" localSheetId="1" hidden="1">'DATOS PROYECCIÓN'!$A$1:$J$3968</definedName>
  </definedNames>
  <calcPr calcId="191029" calcOnSave="0"/>
  <pivotCaches>
    <pivotCache cacheId="186" r:id="rId13"/>
    <pivotCache cacheId="192" r:id="rId14"/>
    <pivotCache cacheId="199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8" i="22" l="1"/>
  <c r="N23" i="22"/>
  <c r="N19" i="22"/>
  <c r="N18" i="22"/>
  <c r="N17" i="22"/>
  <c r="N16" i="22"/>
  <c r="N15" i="22"/>
  <c r="N20" i="22" l="1"/>
  <c r="O17" i="22" s="1"/>
  <c r="O15" i="22"/>
  <c r="O18" i="22"/>
  <c r="O16" i="22"/>
  <c r="O19" i="22"/>
  <c r="O9" i="2" l="1"/>
  <c r="O10" i="2"/>
  <c r="O11" i="2"/>
  <c r="O12" i="2"/>
  <c r="O8" i="2"/>
  <c r="B9" i="15"/>
  <c r="B10" i="15" s="1"/>
  <c r="B11" i="15"/>
  <c r="D9" i="15"/>
  <c r="D10" i="15" s="1"/>
  <c r="E9" i="15"/>
  <c r="E10" i="15" s="1"/>
  <c r="F9" i="15"/>
  <c r="G9" i="15"/>
  <c r="G10" i="15" s="1"/>
  <c r="H9" i="15"/>
  <c r="H10" i="15" s="1"/>
  <c r="I9" i="15"/>
  <c r="I10" i="15" s="1"/>
  <c r="J9" i="15"/>
  <c r="J10" i="15" s="1"/>
  <c r="K9" i="15"/>
  <c r="K10" i="15" s="1"/>
  <c r="L9" i="15"/>
  <c r="L10" i="15" s="1"/>
  <c r="M9" i="15"/>
  <c r="M10" i="15" s="1"/>
  <c r="F10" i="15"/>
  <c r="D11" i="15"/>
  <c r="E11" i="15"/>
  <c r="F11" i="15"/>
  <c r="G11" i="15"/>
  <c r="H11" i="15"/>
  <c r="I11" i="15"/>
  <c r="J11" i="15"/>
  <c r="K11" i="15"/>
  <c r="L11" i="15"/>
  <c r="M11" i="15"/>
  <c r="C11" i="15"/>
  <c r="L1361" i="20"/>
  <c r="L1365" i="20"/>
  <c r="L1368" i="20"/>
  <c r="G1358" i="20"/>
  <c r="H1358" i="20" s="1"/>
  <c r="I1358" i="20" s="1"/>
  <c r="J1358" i="20" s="1"/>
  <c r="L1358" i="20" s="1"/>
  <c r="G1359" i="20"/>
  <c r="H1359" i="20" s="1"/>
  <c r="I1359" i="20" s="1"/>
  <c r="J1359" i="20" s="1"/>
  <c r="L1359" i="20" s="1"/>
  <c r="G1360" i="20"/>
  <c r="H1360" i="20" s="1"/>
  <c r="I1360" i="20" s="1"/>
  <c r="J1360" i="20" s="1"/>
  <c r="L1360" i="20" s="1"/>
  <c r="G1361" i="20"/>
  <c r="H1361" i="20" s="1"/>
  <c r="I1361" i="20" s="1"/>
  <c r="J1361" i="20" s="1"/>
  <c r="G1362" i="20"/>
  <c r="H1362" i="20" s="1"/>
  <c r="I1362" i="20" s="1"/>
  <c r="J1362" i="20" s="1"/>
  <c r="L1362" i="20" s="1"/>
  <c r="G1363" i="20"/>
  <c r="H1363" i="20" s="1"/>
  <c r="I1363" i="20" s="1"/>
  <c r="J1363" i="20" s="1"/>
  <c r="L1363" i="20" s="1"/>
  <c r="G1364" i="20"/>
  <c r="H1364" i="20" s="1"/>
  <c r="I1364" i="20" s="1"/>
  <c r="J1364" i="20" s="1"/>
  <c r="L1364" i="20" s="1"/>
  <c r="G1365" i="20"/>
  <c r="H1365" i="20" s="1"/>
  <c r="I1365" i="20" s="1"/>
  <c r="J1365" i="20" s="1"/>
  <c r="G1366" i="20"/>
  <c r="H1366" i="20" s="1"/>
  <c r="I1366" i="20" s="1"/>
  <c r="J1366" i="20" s="1"/>
  <c r="L1366" i="20" s="1"/>
  <c r="G1367" i="20"/>
  <c r="H1367" i="20" s="1"/>
  <c r="I1367" i="20" s="1"/>
  <c r="J1367" i="20" s="1"/>
  <c r="L1367" i="20" s="1"/>
  <c r="G1368" i="20"/>
  <c r="H1368" i="20" s="1"/>
  <c r="I1368" i="20" s="1"/>
  <c r="J1368" i="20" s="1"/>
  <c r="G1369" i="20"/>
  <c r="H1369" i="20" s="1"/>
  <c r="I1369" i="20" s="1"/>
  <c r="J1369" i="20" s="1"/>
  <c r="L1369" i="20" s="1"/>
  <c r="K1368" i="17"/>
  <c r="F1358" i="17"/>
  <c r="G1358" i="17" s="1"/>
  <c r="H1358" i="17" s="1"/>
  <c r="I1358" i="17" s="1"/>
  <c r="K1358" i="17" s="1"/>
  <c r="F1359" i="17"/>
  <c r="G1359" i="17" s="1"/>
  <c r="H1359" i="17" s="1"/>
  <c r="I1359" i="17" s="1"/>
  <c r="K1359" i="17" s="1"/>
  <c r="F1360" i="17"/>
  <c r="G1360" i="17"/>
  <c r="H1360" i="17"/>
  <c r="I1360" i="17" s="1"/>
  <c r="K1360" i="17" s="1"/>
  <c r="F1361" i="17"/>
  <c r="G1361" i="17" s="1"/>
  <c r="H1361" i="17" s="1"/>
  <c r="I1361" i="17" s="1"/>
  <c r="K1361" i="17" s="1"/>
  <c r="F1362" i="17"/>
  <c r="G1362" i="17" s="1"/>
  <c r="H1362" i="17" s="1"/>
  <c r="I1362" i="17" s="1"/>
  <c r="K1362" i="17" s="1"/>
  <c r="F1363" i="17"/>
  <c r="G1363" i="17" s="1"/>
  <c r="H1363" i="17" s="1"/>
  <c r="I1363" i="17" s="1"/>
  <c r="K1363" i="17" s="1"/>
  <c r="F1364" i="17"/>
  <c r="G1364" i="17" s="1"/>
  <c r="H1364" i="17" s="1"/>
  <c r="I1364" i="17" s="1"/>
  <c r="K1364" i="17" s="1"/>
  <c r="F1365" i="17"/>
  <c r="G1365" i="17" s="1"/>
  <c r="H1365" i="17" s="1"/>
  <c r="I1365" i="17" s="1"/>
  <c r="K1365" i="17" s="1"/>
  <c r="F1366" i="17"/>
  <c r="G1366" i="17"/>
  <c r="H1366" i="17"/>
  <c r="I1366" i="17" s="1"/>
  <c r="K1366" i="17" s="1"/>
  <c r="F1367" i="17"/>
  <c r="G1367" i="17" s="1"/>
  <c r="H1367" i="17" s="1"/>
  <c r="I1367" i="17" s="1"/>
  <c r="K1367" i="17" s="1"/>
  <c r="F1368" i="17"/>
  <c r="G1368" i="17" s="1"/>
  <c r="H1368" i="17" s="1"/>
  <c r="I1368" i="17" s="1"/>
  <c r="F1369" i="17"/>
  <c r="G1369" i="17" s="1"/>
  <c r="H1369" i="17" s="1"/>
  <c r="I1369" i="17" s="1"/>
  <c r="K1369" i="17" s="1"/>
  <c r="K12" i="15" l="1"/>
  <c r="J12" i="15"/>
  <c r="I12" i="15"/>
  <c r="F12" i="15"/>
  <c r="B12" i="15"/>
  <c r="M12" i="15"/>
  <c r="D12" i="15"/>
  <c r="L12" i="15"/>
  <c r="E12" i="15"/>
  <c r="H12" i="15"/>
  <c r="G12" i="15"/>
  <c r="C9" i="15" l="1"/>
  <c r="C10" i="15" s="1"/>
  <c r="G1322" i="20"/>
  <c r="H1322" i="20" s="1"/>
  <c r="I1322" i="20" s="1"/>
  <c r="J1322" i="20" s="1"/>
  <c r="L1322" i="20" s="1"/>
  <c r="G1323" i="20"/>
  <c r="H1323" i="20" s="1"/>
  <c r="I1323" i="20" s="1"/>
  <c r="J1323" i="20" s="1"/>
  <c r="G1324" i="20"/>
  <c r="H1324" i="20" s="1"/>
  <c r="I1324" i="20" s="1"/>
  <c r="J1324" i="20" s="1"/>
  <c r="L1324" i="20" s="1"/>
  <c r="G1325" i="20"/>
  <c r="H1325" i="20" s="1"/>
  <c r="I1325" i="20" s="1"/>
  <c r="J1325" i="20" s="1"/>
  <c r="G1326" i="20"/>
  <c r="H1326" i="20" s="1"/>
  <c r="G1327" i="20"/>
  <c r="H1327" i="20" s="1"/>
  <c r="I1327" i="20" s="1"/>
  <c r="J1327" i="20" s="1"/>
  <c r="L1327" i="20" s="1"/>
  <c r="G1328" i="20"/>
  <c r="H1328" i="20" s="1"/>
  <c r="I1328" i="20" s="1"/>
  <c r="J1328" i="20" s="1"/>
  <c r="L1328" i="20" s="1"/>
  <c r="G1329" i="20"/>
  <c r="H1329" i="20" s="1"/>
  <c r="I1329" i="20" s="1"/>
  <c r="J1329" i="20" s="1"/>
  <c r="G1330" i="20"/>
  <c r="H1330" i="20" s="1"/>
  <c r="I1330" i="20" s="1"/>
  <c r="J1330" i="20" s="1"/>
  <c r="L1330" i="20" s="1"/>
  <c r="G1331" i="20"/>
  <c r="H1331" i="20" s="1"/>
  <c r="I1331" i="20" s="1"/>
  <c r="J1331" i="20" s="1"/>
  <c r="G1332" i="20"/>
  <c r="H1332" i="20" s="1"/>
  <c r="G1333" i="20"/>
  <c r="H1333" i="20" s="1"/>
  <c r="I1333" i="20" s="1"/>
  <c r="J1333" i="20" s="1"/>
  <c r="G1334" i="20"/>
  <c r="H1334" i="20" s="1"/>
  <c r="G1335" i="20"/>
  <c r="H1335" i="20" s="1"/>
  <c r="I1335" i="20" s="1"/>
  <c r="J1335" i="20" s="1"/>
  <c r="L1335" i="20" s="1"/>
  <c r="G1336" i="20"/>
  <c r="H1336" i="20" s="1"/>
  <c r="I1336" i="20" s="1"/>
  <c r="J1336" i="20" s="1"/>
  <c r="L1336" i="20" s="1"/>
  <c r="G1337" i="20"/>
  <c r="H1337" i="20" s="1"/>
  <c r="I1337" i="20" s="1"/>
  <c r="J1337" i="20" s="1"/>
  <c r="L1337" i="20" s="1"/>
  <c r="G1338" i="20"/>
  <c r="H1338" i="20" s="1"/>
  <c r="I1338" i="20" s="1"/>
  <c r="J1338" i="20" s="1"/>
  <c r="L1338" i="20" s="1"/>
  <c r="G1339" i="20"/>
  <c r="H1339" i="20" s="1"/>
  <c r="I1339" i="20" s="1"/>
  <c r="J1339" i="20" s="1"/>
  <c r="G1340" i="20"/>
  <c r="H1340" i="20" s="1"/>
  <c r="G1341" i="20"/>
  <c r="H1341" i="20" s="1"/>
  <c r="I1341" i="20" s="1"/>
  <c r="J1341" i="20" s="1"/>
  <c r="G1342" i="20"/>
  <c r="H1342" i="20" s="1"/>
  <c r="I1342" i="20" s="1"/>
  <c r="J1342" i="20" s="1"/>
  <c r="G1343" i="20"/>
  <c r="H1343" i="20" s="1"/>
  <c r="I1343" i="20" s="1"/>
  <c r="J1343" i="20" s="1"/>
  <c r="L1343" i="20" s="1"/>
  <c r="G1344" i="20"/>
  <c r="H1344" i="20" s="1"/>
  <c r="I1344" i="20" s="1"/>
  <c r="J1344" i="20" s="1"/>
  <c r="L1344" i="20" s="1"/>
  <c r="G1345" i="20"/>
  <c r="H1345" i="20" s="1"/>
  <c r="G1346" i="20"/>
  <c r="H1346" i="20" s="1"/>
  <c r="I1346" i="20" s="1"/>
  <c r="J1346" i="20" s="1"/>
  <c r="L1346" i="20" s="1"/>
  <c r="G1347" i="20"/>
  <c r="H1347" i="20" s="1"/>
  <c r="I1347" i="20" s="1"/>
  <c r="G1348" i="20"/>
  <c r="H1348" i="20" s="1"/>
  <c r="G1349" i="20"/>
  <c r="H1349" i="20" s="1"/>
  <c r="I1349" i="20" s="1"/>
  <c r="J1349" i="20" s="1"/>
  <c r="G1350" i="20"/>
  <c r="H1350" i="20" s="1"/>
  <c r="G1351" i="20"/>
  <c r="H1351" i="20" s="1"/>
  <c r="I1351" i="20" s="1"/>
  <c r="J1351" i="20" s="1"/>
  <c r="L1351" i="20" s="1"/>
  <c r="G1352" i="20"/>
  <c r="H1352" i="20" s="1"/>
  <c r="I1352" i="20" s="1"/>
  <c r="J1352" i="20" s="1"/>
  <c r="L1352" i="20" s="1"/>
  <c r="G1353" i="20"/>
  <c r="H1353" i="20" s="1"/>
  <c r="I1353" i="20" s="1"/>
  <c r="J1353" i="20" s="1"/>
  <c r="G1354" i="20"/>
  <c r="H1354" i="20" s="1"/>
  <c r="G1355" i="20"/>
  <c r="H1355" i="20" s="1"/>
  <c r="I1355" i="20" s="1"/>
  <c r="J1355" i="20" s="1"/>
  <c r="G1356" i="20"/>
  <c r="H1356" i="20" s="1"/>
  <c r="I1356" i="20" s="1"/>
  <c r="J1356" i="20" s="1"/>
  <c r="L1356" i="20" s="1"/>
  <c r="G1357" i="20"/>
  <c r="H1357" i="20" s="1"/>
  <c r="I1357" i="20" s="1"/>
  <c r="J1357" i="20" s="1"/>
  <c r="F1322" i="17"/>
  <c r="G1322" i="17" s="1"/>
  <c r="H1322" i="17" s="1"/>
  <c r="I1322" i="17" s="1"/>
  <c r="K1322" i="17" s="1"/>
  <c r="F1323" i="17"/>
  <c r="G1323" i="17" s="1"/>
  <c r="H1323" i="17" s="1"/>
  <c r="I1323" i="17" s="1"/>
  <c r="K1323" i="17" s="1"/>
  <c r="F1324" i="17"/>
  <c r="G1324" i="17" s="1"/>
  <c r="H1324" i="17" s="1"/>
  <c r="I1324" i="17" s="1"/>
  <c r="K1324" i="17" s="1"/>
  <c r="F1325" i="17"/>
  <c r="G1325" i="17" s="1"/>
  <c r="H1325" i="17" s="1"/>
  <c r="I1325" i="17" s="1"/>
  <c r="K1325" i="17" s="1"/>
  <c r="F1326" i="17"/>
  <c r="G1326" i="17" s="1"/>
  <c r="H1326" i="17" s="1"/>
  <c r="I1326" i="17" s="1"/>
  <c r="K1326" i="17" s="1"/>
  <c r="F1327" i="17"/>
  <c r="G1327" i="17" s="1"/>
  <c r="H1327" i="17" s="1"/>
  <c r="I1327" i="17" s="1"/>
  <c r="K1327" i="17" s="1"/>
  <c r="F1328" i="17"/>
  <c r="G1328" i="17" s="1"/>
  <c r="H1328" i="17" s="1"/>
  <c r="I1328" i="17" s="1"/>
  <c r="K1328" i="17" s="1"/>
  <c r="F1329" i="17"/>
  <c r="G1329" i="17" s="1"/>
  <c r="H1329" i="17" s="1"/>
  <c r="I1329" i="17" s="1"/>
  <c r="K1329" i="17" s="1"/>
  <c r="F1330" i="17"/>
  <c r="G1330" i="17" s="1"/>
  <c r="H1330" i="17" s="1"/>
  <c r="I1330" i="17" s="1"/>
  <c r="K1330" i="17" s="1"/>
  <c r="F1331" i="17"/>
  <c r="G1331" i="17" s="1"/>
  <c r="H1331" i="17" s="1"/>
  <c r="I1331" i="17" s="1"/>
  <c r="K1331" i="17" s="1"/>
  <c r="F1332" i="17"/>
  <c r="G1332" i="17" s="1"/>
  <c r="H1332" i="17" s="1"/>
  <c r="I1332" i="17" s="1"/>
  <c r="K1332" i="17" s="1"/>
  <c r="F1333" i="17"/>
  <c r="G1333" i="17" s="1"/>
  <c r="H1333" i="17" s="1"/>
  <c r="I1333" i="17" s="1"/>
  <c r="K1333" i="17" s="1"/>
  <c r="F1334" i="17"/>
  <c r="G1334" i="17" s="1"/>
  <c r="H1334" i="17" s="1"/>
  <c r="I1334" i="17" s="1"/>
  <c r="K1334" i="17" s="1"/>
  <c r="F1335" i="17"/>
  <c r="G1335" i="17" s="1"/>
  <c r="H1335" i="17" s="1"/>
  <c r="I1335" i="17" s="1"/>
  <c r="K1335" i="17" s="1"/>
  <c r="F1336" i="17"/>
  <c r="G1336" i="17" s="1"/>
  <c r="H1336" i="17" s="1"/>
  <c r="I1336" i="17" s="1"/>
  <c r="K1336" i="17" s="1"/>
  <c r="F1337" i="17"/>
  <c r="G1337" i="17" s="1"/>
  <c r="H1337" i="17" s="1"/>
  <c r="I1337" i="17" s="1"/>
  <c r="K1337" i="17" s="1"/>
  <c r="F1338" i="17"/>
  <c r="G1338" i="17" s="1"/>
  <c r="H1338" i="17" s="1"/>
  <c r="I1338" i="17" s="1"/>
  <c r="K1338" i="17" s="1"/>
  <c r="F1339" i="17"/>
  <c r="G1339" i="17" s="1"/>
  <c r="H1339" i="17" s="1"/>
  <c r="I1339" i="17" s="1"/>
  <c r="K1339" i="17" s="1"/>
  <c r="F1340" i="17"/>
  <c r="G1340" i="17" s="1"/>
  <c r="H1340" i="17" s="1"/>
  <c r="I1340" i="17" s="1"/>
  <c r="K1340" i="17" s="1"/>
  <c r="F1341" i="17"/>
  <c r="G1341" i="17" s="1"/>
  <c r="H1341" i="17" s="1"/>
  <c r="I1341" i="17" s="1"/>
  <c r="K1341" i="17" s="1"/>
  <c r="F1342" i="17"/>
  <c r="G1342" i="17" s="1"/>
  <c r="H1342" i="17" s="1"/>
  <c r="I1342" i="17" s="1"/>
  <c r="K1342" i="17" s="1"/>
  <c r="F1343" i="17"/>
  <c r="G1343" i="17" s="1"/>
  <c r="H1343" i="17" s="1"/>
  <c r="I1343" i="17" s="1"/>
  <c r="K1343" i="17" s="1"/>
  <c r="F1344" i="17"/>
  <c r="G1344" i="17" s="1"/>
  <c r="H1344" i="17" s="1"/>
  <c r="I1344" i="17" s="1"/>
  <c r="K1344" i="17" s="1"/>
  <c r="F1345" i="17"/>
  <c r="G1345" i="17" s="1"/>
  <c r="H1345" i="17" s="1"/>
  <c r="I1345" i="17" s="1"/>
  <c r="K1345" i="17" s="1"/>
  <c r="F1346" i="17"/>
  <c r="G1346" i="17" s="1"/>
  <c r="H1346" i="17" s="1"/>
  <c r="I1346" i="17" s="1"/>
  <c r="K1346" i="17" s="1"/>
  <c r="F1347" i="17"/>
  <c r="G1347" i="17" s="1"/>
  <c r="H1347" i="17" s="1"/>
  <c r="I1347" i="17" s="1"/>
  <c r="K1347" i="17" s="1"/>
  <c r="F1348" i="17"/>
  <c r="G1348" i="17" s="1"/>
  <c r="H1348" i="17" s="1"/>
  <c r="I1348" i="17" s="1"/>
  <c r="K1348" i="17" s="1"/>
  <c r="F1349" i="17"/>
  <c r="G1349" i="17" s="1"/>
  <c r="H1349" i="17" s="1"/>
  <c r="I1349" i="17" s="1"/>
  <c r="K1349" i="17" s="1"/>
  <c r="F1350" i="17"/>
  <c r="G1350" i="17" s="1"/>
  <c r="H1350" i="17" s="1"/>
  <c r="I1350" i="17" s="1"/>
  <c r="K1350" i="17" s="1"/>
  <c r="F1351" i="17"/>
  <c r="G1351" i="17" s="1"/>
  <c r="H1351" i="17" s="1"/>
  <c r="I1351" i="17" s="1"/>
  <c r="K1351" i="17" s="1"/>
  <c r="F1352" i="17"/>
  <c r="G1352" i="17" s="1"/>
  <c r="H1352" i="17" s="1"/>
  <c r="I1352" i="17" s="1"/>
  <c r="K1352" i="17" s="1"/>
  <c r="F1353" i="17"/>
  <c r="G1353" i="17" s="1"/>
  <c r="H1353" i="17" s="1"/>
  <c r="I1353" i="17" s="1"/>
  <c r="K1353" i="17" s="1"/>
  <c r="F1354" i="17"/>
  <c r="G1354" i="17" s="1"/>
  <c r="H1354" i="17" s="1"/>
  <c r="I1354" i="17" s="1"/>
  <c r="K1354" i="17" s="1"/>
  <c r="F1355" i="17"/>
  <c r="G1355" i="17" s="1"/>
  <c r="H1355" i="17" s="1"/>
  <c r="I1355" i="17" s="1"/>
  <c r="K1355" i="17" s="1"/>
  <c r="F1356" i="17"/>
  <c r="G1356" i="17" s="1"/>
  <c r="H1356" i="17" s="1"/>
  <c r="I1356" i="17" s="1"/>
  <c r="K1356" i="17" s="1"/>
  <c r="F1357" i="17"/>
  <c r="G1357" i="17" s="1"/>
  <c r="H1357" i="17" s="1"/>
  <c r="I1357" i="17" s="1"/>
  <c r="K1357" i="17" s="1"/>
  <c r="C12" i="15" l="1"/>
  <c r="I1350" i="20"/>
  <c r="J1350" i="20" s="1"/>
  <c r="L1350" i="20" s="1"/>
  <c r="I1334" i="20"/>
  <c r="J1334" i="20" s="1"/>
  <c r="L1334" i="20" s="1"/>
  <c r="I1326" i="20"/>
  <c r="J1326" i="20" s="1"/>
  <c r="L1326" i="20" s="1"/>
  <c r="I1348" i="20"/>
  <c r="J1348" i="20" s="1"/>
  <c r="L1348" i="20" s="1"/>
  <c r="I1340" i="20"/>
  <c r="J1340" i="20" s="1"/>
  <c r="L1340" i="20" s="1"/>
  <c r="I1332" i="20"/>
  <c r="J1332" i="20" s="1"/>
  <c r="L1332" i="20" s="1"/>
  <c r="L1347" i="20"/>
  <c r="J1347" i="20"/>
  <c r="I1354" i="20"/>
  <c r="J1354" i="20" s="1"/>
  <c r="L1354" i="20" s="1"/>
  <c r="I1345" i="20"/>
  <c r="J1345" i="20" s="1"/>
  <c r="L1345" i="20" s="1"/>
  <c r="L1342" i="20"/>
  <c r="L1353" i="20"/>
  <c r="L1329" i="20"/>
  <c r="L1339" i="20"/>
  <c r="L1331" i="20"/>
  <c r="L1323" i="20"/>
  <c r="L1349" i="20"/>
  <c r="L1333" i="20"/>
  <c r="L1357" i="20"/>
  <c r="L1341" i="20"/>
  <c r="L1325" i="20"/>
  <c r="L1355" i="20"/>
  <c r="L2" i="6" l="1"/>
  <c r="L3" i="6"/>
  <c r="M3" i="6" s="1"/>
  <c r="L4" i="6"/>
  <c r="M4" i="6" s="1"/>
  <c r="G1321" i="20"/>
  <c r="H1321" i="20" s="1"/>
  <c r="I1321" i="20" s="1"/>
  <c r="J1321" i="20" s="1"/>
  <c r="L1321" i="20" s="1"/>
  <c r="M1320" i="20"/>
  <c r="G1320" i="20"/>
  <c r="H1320" i="20" s="1"/>
  <c r="I1320" i="20" s="1"/>
  <c r="J1320" i="20" s="1"/>
  <c r="L1320" i="20" s="1"/>
  <c r="M1319" i="20"/>
  <c r="G1319" i="20"/>
  <c r="H1319" i="20" s="1"/>
  <c r="I1319" i="20" s="1"/>
  <c r="J1319" i="20" s="1"/>
  <c r="L1319" i="20" s="1"/>
  <c r="M1318" i="20"/>
  <c r="G1318" i="20"/>
  <c r="H1318" i="20" s="1"/>
  <c r="I1318" i="20" s="1"/>
  <c r="J1318" i="20" s="1"/>
  <c r="L1318" i="20" s="1"/>
  <c r="M1317" i="20"/>
  <c r="G1317" i="20"/>
  <c r="H1317" i="20" s="1"/>
  <c r="I1317" i="20" s="1"/>
  <c r="J1317" i="20" s="1"/>
  <c r="L1317" i="20" s="1"/>
  <c r="M1316" i="20"/>
  <c r="G1316" i="20"/>
  <c r="H1316" i="20" s="1"/>
  <c r="I1316" i="20" s="1"/>
  <c r="J1316" i="20" s="1"/>
  <c r="L1316" i="20" s="1"/>
  <c r="M1315" i="20"/>
  <c r="G1315" i="20"/>
  <c r="H1315" i="20" s="1"/>
  <c r="I1315" i="20" s="1"/>
  <c r="J1315" i="20" s="1"/>
  <c r="L1315" i="20" s="1"/>
  <c r="M1314" i="20"/>
  <c r="G1314" i="20"/>
  <c r="H1314" i="20" s="1"/>
  <c r="I1314" i="20" s="1"/>
  <c r="J1314" i="20" s="1"/>
  <c r="L1314" i="20" s="1"/>
  <c r="M1313" i="20"/>
  <c r="G1313" i="20"/>
  <c r="H1313" i="20" s="1"/>
  <c r="I1313" i="20" s="1"/>
  <c r="J1313" i="20" s="1"/>
  <c r="L1313" i="20" s="1"/>
  <c r="M1312" i="20"/>
  <c r="G1312" i="20"/>
  <c r="H1312" i="20" s="1"/>
  <c r="I1312" i="20" s="1"/>
  <c r="J1312" i="20" s="1"/>
  <c r="L1312" i="20" s="1"/>
  <c r="M1311" i="20"/>
  <c r="G1311" i="20"/>
  <c r="H1311" i="20" s="1"/>
  <c r="I1311" i="20" s="1"/>
  <c r="J1311" i="20" s="1"/>
  <c r="L1311" i="20" s="1"/>
  <c r="M1310" i="20"/>
  <c r="G1310" i="20"/>
  <c r="H1310" i="20" s="1"/>
  <c r="I1310" i="20" s="1"/>
  <c r="J1310" i="20" s="1"/>
  <c r="L1310" i="20" s="1"/>
  <c r="M1309" i="20"/>
  <c r="G1309" i="20"/>
  <c r="H1309" i="20" s="1"/>
  <c r="I1309" i="20" s="1"/>
  <c r="J1309" i="20" s="1"/>
  <c r="L1309" i="20" s="1"/>
  <c r="M1308" i="20"/>
  <c r="G1308" i="20"/>
  <c r="H1308" i="20" s="1"/>
  <c r="I1308" i="20" s="1"/>
  <c r="J1308" i="20" s="1"/>
  <c r="L1308" i="20" s="1"/>
  <c r="M1307" i="20"/>
  <c r="G1307" i="20"/>
  <c r="H1307" i="20" s="1"/>
  <c r="I1307" i="20" s="1"/>
  <c r="J1307" i="20" s="1"/>
  <c r="L1307" i="20" s="1"/>
  <c r="M1306" i="20"/>
  <c r="G1306" i="20"/>
  <c r="H1306" i="20" s="1"/>
  <c r="I1306" i="20" s="1"/>
  <c r="J1306" i="20" s="1"/>
  <c r="L1306" i="20" s="1"/>
  <c r="M1305" i="20"/>
  <c r="G1305" i="20"/>
  <c r="H1305" i="20" s="1"/>
  <c r="I1305" i="20" s="1"/>
  <c r="J1305" i="20" s="1"/>
  <c r="L1305" i="20" s="1"/>
  <c r="M1304" i="20"/>
  <c r="G1304" i="20"/>
  <c r="H1304" i="20" s="1"/>
  <c r="I1304" i="20" s="1"/>
  <c r="J1304" i="20" s="1"/>
  <c r="L1304" i="20" s="1"/>
  <c r="M1303" i="20"/>
  <c r="G1303" i="20"/>
  <c r="H1303" i="20" s="1"/>
  <c r="I1303" i="20" s="1"/>
  <c r="J1303" i="20" s="1"/>
  <c r="L1303" i="20" s="1"/>
  <c r="M1302" i="20"/>
  <c r="G1302" i="20"/>
  <c r="H1302" i="20" s="1"/>
  <c r="I1302" i="20" s="1"/>
  <c r="J1302" i="20" s="1"/>
  <c r="L1302" i="20" s="1"/>
  <c r="M1301" i="20"/>
  <c r="G1301" i="20"/>
  <c r="H1301" i="20" s="1"/>
  <c r="I1301" i="20" s="1"/>
  <c r="J1301" i="20" s="1"/>
  <c r="L1301" i="20" s="1"/>
  <c r="M1300" i="20"/>
  <c r="G1300" i="20"/>
  <c r="H1300" i="20" s="1"/>
  <c r="I1300" i="20" s="1"/>
  <c r="J1300" i="20" s="1"/>
  <c r="L1300" i="20" s="1"/>
  <c r="M1299" i="20"/>
  <c r="G1299" i="20"/>
  <c r="H1299" i="20" s="1"/>
  <c r="I1299" i="20" s="1"/>
  <c r="J1299" i="20" s="1"/>
  <c r="L1299" i="20" s="1"/>
  <c r="M1298" i="20"/>
  <c r="G1298" i="20"/>
  <c r="H1298" i="20" s="1"/>
  <c r="I1298" i="20" s="1"/>
  <c r="J1298" i="20" s="1"/>
  <c r="L1298" i="20" s="1"/>
  <c r="M1297" i="20"/>
  <c r="G1297" i="20"/>
  <c r="H1297" i="20" s="1"/>
  <c r="I1297" i="20" s="1"/>
  <c r="J1297" i="20" s="1"/>
  <c r="L1297" i="20" s="1"/>
  <c r="M1296" i="20"/>
  <c r="G1296" i="20"/>
  <c r="H1296" i="20" s="1"/>
  <c r="I1296" i="20" s="1"/>
  <c r="J1296" i="20" s="1"/>
  <c r="L1296" i="20" s="1"/>
  <c r="M1295" i="20"/>
  <c r="G1295" i="20"/>
  <c r="H1295" i="20" s="1"/>
  <c r="I1295" i="20" s="1"/>
  <c r="J1295" i="20" s="1"/>
  <c r="L1295" i="20" s="1"/>
  <c r="M1294" i="20"/>
  <c r="G1294" i="20"/>
  <c r="H1294" i="20" s="1"/>
  <c r="I1294" i="20" s="1"/>
  <c r="J1294" i="20" s="1"/>
  <c r="L1294" i="20" s="1"/>
  <c r="M1293" i="20"/>
  <c r="G1293" i="20"/>
  <c r="H1293" i="20" s="1"/>
  <c r="I1293" i="20" s="1"/>
  <c r="J1293" i="20" s="1"/>
  <c r="L1293" i="20" s="1"/>
  <c r="M1292" i="20"/>
  <c r="G1292" i="20"/>
  <c r="H1292" i="20" s="1"/>
  <c r="I1292" i="20" s="1"/>
  <c r="J1292" i="20" s="1"/>
  <c r="L1292" i="20" s="1"/>
  <c r="M1291" i="20"/>
  <c r="G1291" i="20"/>
  <c r="H1291" i="20" s="1"/>
  <c r="I1291" i="20" s="1"/>
  <c r="J1291" i="20" s="1"/>
  <c r="L1291" i="20" s="1"/>
  <c r="M1290" i="20"/>
  <c r="G1290" i="20"/>
  <c r="H1290" i="20" s="1"/>
  <c r="I1290" i="20" s="1"/>
  <c r="J1290" i="20" s="1"/>
  <c r="L1290" i="20" s="1"/>
  <c r="M1289" i="20"/>
  <c r="G1289" i="20"/>
  <c r="H1289" i="20" s="1"/>
  <c r="I1289" i="20" s="1"/>
  <c r="J1289" i="20" s="1"/>
  <c r="L1289" i="20" s="1"/>
  <c r="M1288" i="20"/>
  <c r="G1288" i="20"/>
  <c r="H1288" i="20" s="1"/>
  <c r="I1288" i="20" s="1"/>
  <c r="J1288" i="20" s="1"/>
  <c r="L1288" i="20" s="1"/>
  <c r="M1287" i="20"/>
  <c r="G1287" i="20"/>
  <c r="H1287" i="20" s="1"/>
  <c r="I1287" i="20" s="1"/>
  <c r="J1287" i="20" s="1"/>
  <c r="L1287" i="20" s="1"/>
  <c r="M1286" i="20"/>
  <c r="G1286" i="20"/>
  <c r="H1286" i="20" s="1"/>
  <c r="I1286" i="20" s="1"/>
  <c r="J1286" i="20" s="1"/>
  <c r="L1286" i="20" s="1"/>
  <c r="M1285" i="20"/>
  <c r="G1285" i="20"/>
  <c r="H1285" i="20" s="1"/>
  <c r="I1285" i="20" s="1"/>
  <c r="J1285" i="20" s="1"/>
  <c r="L1285" i="20" s="1"/>
  <c r="M1284" i="20"/>
  <c r="G1284" i="20"/>
  <c r="H1284" i="20" s="1"/>
  <c r="I1284" i="20" s="1"/>
  <c r="J1284" i="20" s="1"/>
  <c r="L1284" i="20" s="1"/>
  <c r="M1283" i="20"/>
  <c r="G1283" i="20"/>
  <c r="H1283" i="20" s="1"/>
  <c r="I1283" i="20" s="1"/>
  <c r="J1283" i="20" s="1"/>
  <c r="L1283" i="20" s="1"/>
  <c r="M1282" i="20"/>
  <c r="G1282" i="20"/>
  <c r="H1282" i="20" s="1"/>
  <c r="I1282" i="20" s="1"/>
  <c r="J1282" i="20" s="1"/>
  <c r="L1282" i="20" s="1"/>
  <c r="M1281" i="20"/>
  <c r="G1281" i="20"/>
  <c r="H1281" i="20" s="1"/>
  <c r="I1281" i="20" s="1"/>
  <c r="J1281" i="20" s="1"/>
  <c r="L1281" i="20" s="1"/>
  <c r="M1280" i="20"/>
  <c r="G1280" i="20"/>
  <c r="H1280" i="20" s="1"/>
  <c r="I1280" i="20" s="1"/>
  <c r="J1280" i="20" s="1"/>
  <c r="L1280" i="20" s="1"/>
  <c r="M1279" i="20"/>
  <c r="G1279" i="20"/>
  <c r="H1279" i="20" s="1"/>
  <c r="I1279" i="20" s="1"/>
  <c r="J1279" i="20" s="1"/>
  <c r="L1279" i="20" s="1"/>
  <c r="M1278" i="20"/>
  <c r="G1278" i="20"/>
  <c r="H1278" i="20" s="1"/>
  <c r="I1278" i="20" s="1"/>
  <c r="J1278" i="20" s="1"/>
  <c r="L1278" i="20" s="1"/>
  <c r="M1277" i="20"/>
  <c r="G1277" i="20"/>
  <c r="H1277" i="20" s="1"/>
  <c r="I1277" i="20" s="1"/>
  <c r="J1277" i="20" s="1"/>
  <c r="L1277" i="20" s="1"/>
  <c r="M1276" i="20"/>
  <c r="G1276" i="20"/>
  <c r="H1276" i="20" s="1"/>
  <c r="I1276" i="20" s="1"/>
  <c r="J1276" i="20" s="1"/>
  <c r="L1276" i="20" s="1"/>
  <c r="M1275" i="20"/>
  <c r="G1275" i="20"/>
  <c r="H1275" i="20" s="1"/>
  <c r="I1275" i="20" s="1"/>
  <c r="J1275" i="20" s="1"/>
  <c r="L1275" i="20" s="1"/>
  <c r="M1274" i="20"/>
  <c r="G1274" i="20"/>
  <c r="H1274" i="20" s="1"/>
  <c r="I1274" i="20" s="1"/>
  <c r="J1274" i="20" s="1"/>
  <c r="L1274" i="20" s="1"/>
  <c r="M1273" i="20"/>
  <c r="G1273" i="20"/>
  <c r="H1273" i="20" s="1"/>
  <c r="I1273" i="20" s="1"/>
  <c r="J1273" i="20" s="1"/>
  <c r="L1273" i="20" s="1"/>
  <c r="M1272" i="20"/>
  <c r="G1272" i="20"/>
  <c r="H1272" i="20" s="1"/>
  <c r="I1272" i="20" s="1"/>
  <c r="J1272" i="20" s="1"/>
  <c r="L1272" i="20" s="1"/>
  <c r="M1271" i="20"/>
  <c r="G1271" i="20"/>
  <c r="H1271" i="20" s="1"/>
  <c r="I1271" i="20" s="1"/>
  <c r="J1271" i="20" s="1"/>
  <c r="L1271" i="20" s="1"/>
  <c r="M1270" i="20"/>
  <c r="G1270" i="20"/>
  <c r="H1270" i="20" s="1"/>
  <c r="I1270" i="20" s="1"/>
  <c r="J1270" i="20" s="1"/>
  <c r="L1270" i="20" s="1"/>
  <c r="M1269" i="20"/>
  <c r="G1269" i="20"/>
  <c r="H1269" i="20" s="1"/>
  <c r="I1269" i="20" s="1"/>
  <c r="J1269" i="20" s="1"/>
  <c r="L1269" i="20" s="1"/>
  <c r="M1268" i="20"/>
  <c r="G1268" i="20"/>
  <c r="H1268" i="20" s="1"/>
  <c r="I1268" i="20" s="1"/>
  <c r="J1268" i="20" s="1"/>
  <c r="L1268" i="20" s="1"/>
  <c r="M1267" i="20"/>
  <c r="G1267" i="20"/>
  <c r="H1267" i="20" s="1"/>
  <c r="I1267" i="20" s="1"/>
  <c r="J1267" i="20" s="1"/>
  <c r="L1267" i="20" s="1"/>
  <c r="M1266" i="20"/>
  <c r="G1266" i="20"/>
  <c r="H1266" i="20" s="1"/>
  <c r="I1266" i="20" s="1"/>
  <c r="J1266" i="20" s="1"/>
  <c r="L1266" i="20" s="1"/>
  <c r="M1265" i="20"/>
  <c r="G1265" i="20"/>
  <c r="H1265" i="20" s="1"/>
  <c r="I1265" i="20" s="1"/>
  <c r="J1265" i="20" s="1"/>
  <c r="L1265" i="20" s="1"/>
  <c r="M1264" i="20"/>
  <c r="G1264" i="20"/>
  <c r="H1264" i="20" s="1"/>
  <c r="I1264" i="20" s="1"/>
  <c r="J1264" i="20" s="1"/>
  <c r="L1264" i="20" s="1"/>
  <c r="M1263" i="20"/>
  <c r="G1263" i="20"/>
  <c r="H1263" i="20" s="1"/>
  <c r="I1263" i="20" s="1"/>
  <c r="J1263" i="20" s="1"/>
  <c r="L1263" i="20" s="1"/>
  <c r="M1262" i="20"/>
  <c r="G1262" i="20"/>
  <c r="H1262" i="20" s="1"/>
  <c r="I1262" i="20" s="1"/>
  <c r="J1262" i="20" s="1"/>
  <c r="L1262" i="20" s="1"/>
  <c r="M1261" i="20"/>
  <c r="G1261" i="20"/>
  <c r="H1261" i="20" s="1"/>
  <c r="I1261" i="20" s="1"/>
  <c r="J1261" i="20" s="1"/>
  <c r="L1261" i="20" s="1"/>
  <c r="M1260" i="20"/>
  <c r="G1260" i="20"/>
  <c r="H1260" i="20" s="1"/>
  <c r="I1260" i="20" s="1"/>
  <c r="J1260" i="20" s="1"/>
  <c r="L1260" i="20" s="1"/>
  <c r="M1259" i="20"/>
  <c r="G1259" i="20"/>
  <c r="H1259" i="20" s="1"/>
  <c r="I1259" i="20" s="1"/>
  <c r="J1259" i="20" s="1"/>
  <c r="L1259" i="20" s="1"/>
  <c r="M1258" i="20"/>
  <c r="G1258" i="20"/>
  <c r="H1258" i="20" s="1"/>
  <c r="I1258" i="20" s="1"/>
  <c r="J1258" i="20" s="1"/>
  <c r="L1258" i="20" s="1"/>
  <c r="M1257" i="20"/>
  <c r="G1257" i="20"/>
  <c r="H1257" i="20" s="1"/>
  <c r="I1257" i="20" s="1"/>
  <c r="J1257" i="20" s="1"/>
  <c r="L1257" i="20" s="1"/>
  <c r="M1256" i="20"/>
  <c r="G1256" i="20"/>
  <c r="H1256" i="20" s="1"/>
  <c r="I1256" i="20" s="1"/>
  <c r="J1256" i="20" s="1"/>
  <c r="L1256" i="20" s="1"/>
  <c r="M1255" i="20"/>
  <c r="G1255" i="20"/>
  <c r="H1255" i="20" s="1"/>
  <c r="I1255" i="20" s="1"/>
  <c r="J1255" i="20" s="1"/>
  <c r="L1255" i="20" s="1"/>
  <c r="M1254" i="20"/>
  <c r="G1254" i="20"/>
  <c r="H1254" i="20" s="1"/>
  <c r="I1254" i="20" s="1"/>
  <c r="J1254" i="20" s="1"/>
  <c r="L1254" i="20" s="1"/>
  <c r="M1253" i="20"/>
  <c r="G1253" i="20"/>
  <c r="H1253" i="20" s="1"/>
  <c r="I1253" i="20" s="1"/>
  <c r="J1253" i="20" s="1"/>
  <c r="L1253" i="20" s="1"/>
  <c r="M1252" i="20"/>
  <c r="G1252" i="20"/>
  <c r="H1252" i="20" s="1"/>
  <c r="I1252" i="20" s="1"/>
  <c r="J1252" i="20" s="1"/>
  <c r="L1252" i="20" s="1"/>
  <c r="M1251" i="20"/>
  <c r="G1251" i="20"/>
  <c r="H1251" i="20" s="1"/>
  <c r="I1251" i="20" s="1"/>
  <c r="J1251" i="20" s="1"/>
  <c r="L1251" i="20" s="1"/>
  <c r="M1250" i="20"/>
  <c r="G1250" i="20"/>
  <c r="H1250" i="20" s="1"/>
  <c r="I1250" i="20" s="1"/>
  <c r="J1250" i="20" s="1"/>
  <c r="L1250" i="20" s="1"/>
  <c r="M1249" i="20"/>
  <c r="G1249" i="20"/>
  <c r="H1249" i="20" s="1"/>
  <c r="I1249" i="20" s="1"/>
  <c r="J1249" i="20" s="1"/>
  <c r="L1249" i="20" s="1"/>
  <c r="M1248" i="20"/>
  <c r="G1248" i="20"/>
  <c r="H1248" i="20" s="1"/>
  <c r="I1248" i="20" s="1"/>
  <c r="J1248" i="20" s="1"/>
  <c r="L1248" i="20" s="1"/>
  <c r="M1247" i="20"/>
  <c r="G1247" i="20"/>
  <c r="H1247" i="20" s="1"/>
  <c r="I1247" i="20" s="1"/>
  <c r="J1247" i="20" s="1"/>
  <c r="L1247" i="20" s="1"/>
  <c r="M1246" i="20"/>
  <c r="G1246" i="20"/>
  <c r="H1246" i="20" s="1"/>
  <c r="I1246" i="20" s="1"/>
  <c r="J1246" i="20" s="1"/>
  <c r="L1246" i="20" s="1"/>
  <c r="M1245" i="20"/>
  <c r="G1245" i="20"/>
  <c r="H1245" i="20" s="1"/>
  <c r="I1245" i="20" s="1"/>
  <c r="J1245" i="20" s="1"/>
  <c r="L1245" i="20" s="1"/>
  <c r="M1244" i="20"/>
  <c r="G1244" i="20"/>
  <c r="H1244" i="20" s="1"/>
  <c r="I1244" i="20" s="1"/>
  <c r="J1244" i="20" s="1"/>
  <c r="L1244" i="20" s="1"/>
  <c r="M1243" i="20"/>
  <c r="G1243" i="20"/>
  <c r="H1243" i="20" s="1"/>
  <c r="I1243" i="20" s="1"/>
  <c r="J1243" i="20" s="1"/>
  <c r="L1243" i="20" s="1"/>
  <c r="M1242" i="20"/>
  <c r="G1242" i="20"/>
  <c r="H1242" i="20" s="1"/>
  <c r="I1242" i="20" s="1"/>
  <c r="J1242" i="20" s="1"/>
  <c r="L1242" i="20" s="1"/>
  <c r="M1241" i="20"/>
  <c r="G1241" i="20"/>
  <c r="H1241" i="20" s="1"/>
  <c r="I1241" i="20" s="1"/>
  <c r="J1241" i="20" s="1"/>
  <c r="L1241" i="20" s="1"/>
  <c r="M1240" i="20"/>
  <c r="G1240" i="20"/>
  <c r="H1240" i="20" s="1"/>
  <c r="I1240" i="20" s="1"/>
  <c r="J1240" i="20" s="1"/>
  <c r="L1240" i="20" s="1"/>
  <c r="M1239" i="20"/>
  <c r="G1239" i="20"/>
  <c r="H1239" i="20" s="1"/>
  <c r="I1239" i="20" s="1"/>
  <c r="J1239" i="20" s="1"/>
  <c r="L1239" i="20" s="1"/>
  <c r="M1238" i="20"/>
  <c r="G1238" i="20"/>
  <c r="H1238" i="20" s="1"/>
  <c r="I1238" i="20" s="1"/>
  <c r="J1238" i="20" s="1"/>
  <c r="L1238" i="20" s="1"/>
  <c r="M1237" i="20"/>
  <c r="G1237" i="20"/>
  <c r="H1237" i="20" s="1"/>
  <c r="I1237" i="20" s="1"/>
  <c r="J1237" i="20" s="1"/>
  <c r="L1237" i="20" s="1"/>
  <c r="M1236" i="20"/>
  <c r="G1236" i="20"/>
  <c r="H1236" i="20" s="1"/>
  <c r="I1236" i="20" s="1"/>
  <c r="J1236" i="20" s="1"/>
  <c r="L1236" i="20" s="1"/>
  <c r="M1235" i="20"/>
  <c r="G1235" i="20"/>
  <c r="H1235" i="20" s="1"/>
  <c r="I1235" i="20" s="1"/>
  <c r="J1235" i="20" s="1"/>
  <c r="L1235" i="20" s="1"/>
  <c r="M1234" i="20"/>
  <c r="G1234" i="20"/>
  <c r="H1234" i="20" s="1"/>
  <c r="I1234" i="20" s="1"/>
  <c r="J1234" i="20" s="1"/>
  <c r="L1234" i="20" s="1"/>
  <c r="M1233" i="20"/>
  <c r="G1233" i="20"/>
  <c r="H1233" i="20" s="1"/>
  <c r="I1233" i="20" s="1"/>
  <c r="J1233" i="20" s="1"/>
  <c r="L1233" i="20" s="1"/>
  <c r="M1232" i="20"/>
  <c r="G1232" i="20"/>
  <c r="H1232" i="20" s="1"/>
  <c r="I1232" i="20" s="1"/>
  <c r="J1232" i="20" s="1"/>
  <c r="L1232" i="20" s="1"/>
  <c r="M1231" i="20"/>
  <c r="G1231" i="20"/>
  <c r="H1231" i="20" s="1"/>
  <c r="I1231" i="20" s="1"/>
  <c r="J1231" i="20" s="1"/>
  <c r="L1231" i="20" s="1"/>
  <c r="M1230" i="20"/>
  <c r="G1230" i="20"/>
  <c r="H1230" i="20" s="1"/>
  <c r="I1230" i="20" s="1"/>
  <c r="J1230" i="20" s="1"/>
  <c r="L1230" i="20" s="1"/>
  <c r="M1229" i="20"/>
  <c r="G1229" i="20"/>
  <c r="H1229" i="20" s="1"/>
  <c r="I1229" i="20" s="1"/>
  <c r="J1229" i="20" s="1"/>
  <c r="L1229" i="20" s="1"/>
  <c r="M1228" i="20"/>
  <c r="G1228" i="20"/>
  <c r="H1228" i="20" s="1"/>
  <c r="I1228" i="20" s="1"/>
  <c r="J1228" i="20" s="1"/>
  <c r="L1228" i="20" s="1"/>
  <c r="M1227" i="20"/>
  <c r="G1227" i="20"/>
  <c r="H1227" i="20" s="1"/>
  <c r="I1227" i="20" s="1"/>
  <c r="J1227" i="20" s="1"/>
  <c r="L1227" i="20" s="1"/>
  <c r="M1226" i="20"/>
  <c r="G1226" i="20"/>
  <c r="H1226" i="20" s="1"/>
  <c r="I1226" i="20" s="1"/>
  <c r="J1226" i="20" s="1"/>
  <c r="L1226" i="20" s="1"/>
  <c r="M1225" i="20"/>
  <c r="G1225" i="20"/>
  <c r="H1225" i="20" s="1"/>
  <c r="I1225" i="20" s="1"/>
  <c r="J1225" i="20" s="1"/>
  <c r="L1225" i="20" s="1"/>
  <c r="M1224" i="20"/>
  <c r="G1224" i="20"/>
  <c r="H1224" i="20" s="1"/>
  <c r="I1224" i="20" s="1"/>
  <c r="J1224" i="20" s="1"/>
  <c r="L1224" i="20" s="1"/>
  <c r="M1223" i="20"/>
  <c r="G1223" i="20"/>
  <c r="H1223" i="20" s="1"/>
  <c r="I1223" i="20" s="1"/>
  <c r="J1223" i="20" s="1"/>
  <c r="L1223" i="20" s="1"/>
  <c r="M1222" i="20"/>
  <c r="G1222" i="20"/>
  <c r="H1222" i="20" s="1"/>
  <c r="I1222" i="20" s="1"/>
  <c r="J1222" i="20" s="1"/>
  <c r="L1222" i="20" s="1"/>
  <c r="M1221" i="20"/>
  <c r="G1221" i="20"/>
  <c r="H1221" i="20" s="1"/>
  <c r="I1221" i="20" s="1"/>
  <c r="J1221" i="20" s="1"/>
  <c r="L1221" i="20" s="1"/>
  <c r="M1220" i="20"/>
  <c r="G1220" i="20"/>
  <c r="H1220" i="20" s="1"/>
  <c r="I1220" i="20" s="1"/>
  <c r="J1220" i="20" s="1"/>
  <c r="L1220" i="20" s="1"/>
  <c r="M1219" i="20"/>
  <c r="G1219" i="20"/>
  <c r="H1219" i="20" s="1"/>
  <c r="I1219" i="20" s="1"/>
  <c r="J1219" i="20" s="1"/>
  <c r="L1219" i="20" s="1"/>
  <c r="M1218" i="20"/>
  <c r="G1218" i="20"/>
  <c r="H1218" i="20" s="1"/>
  <c r="I1218" i="20" s="1"/>
  <c r="J1218" i="20" s="1"/>
  <c r="L1218" i="20" s="1"/>
  <c r="M1217" i="20"/>
  <c r="G1217" i="20"/>
  <c r="H1217" i="20" s="1"/>
  <c r="I1217" i="20" s="1"/>
  <c r="J1217" i="20" s="1"/>
  <c r="L1217" i="20" s="1"/>
  <c r="M1216" i="20"/>
  <c r="G1216" i="20"/>
  <c r="H1216" i="20" s="1"/>
  <c r="I1216" i="20" s="1"/>
  <c r="J1216" i="20" s="1"/>
  <c r="L1216" i="20" s="1"/>
  <c r="M1215" i="20"/>
  <c r="G1215" i="20"/>
  <c r="H1215" i="20" s="1"/>
  <c r="I1215" i="20" s="1"/>
  <c r="J1215" i="20" s="1"/>
  <c r="L1215" i="20" s="1"/>
  <c r="M1214" i="20"/>
  <c r="G1214" i="20"/>
  <c r="H1214" i="20" s="1"/>
  <c r="I1214" i="20" s="1"/>
  <c r="J1214" i="20" s="1"/>
  <c r="L1214" i="20" s="1"/>
  <c r="M1213" i="20"/>
  <c r="G1213" i="20"/>
  <c r="H1213" i="20" s="1"/>
  <c r="I1213" i="20" s="1"/>
  <c r="J1213" i="20" s="1"/>
  <c r="L1213" i="20" s="1"/>
  <c r="M1212" i="20"/>
  <c r="G1212" i="20"/>
  <c r="H1212" i="20" s="1"/>
  <c r="I1212" i="20" s="1"/>
  <c r="J1212" i="20" s="1"/>
  <c r="L1212" i="20" s="1"/>
  <c r="M1211" i="20"/>
  <c r="G1211" i="20"/>
  <c r="H1211" i="20" s="1"/>
  <c r="I1211" i="20" s="1"/>
  <c r="J1211" i="20" s="1"/>
  <c r="L1211" i="20" s="1"/>
  <c r="M1210" i="20"/>
  <c r="G1210" i="20"/>
  <c r="H1210" i="20" s="1"/>
  <c r="I1210" i="20" s="1"/>
  <c r="J1210" i="20" s="1"/>
  <c r="L1210" i="20" s="1"/>
  <c r="M1209" i="20"/>
  <c r="G1209" i="20"/>
  <c r="H1209" i="20" s="1"/>
  <c r="I1209" i="20" s="1"/>
  <c r="J1209" i="20" s="1"/>
  <c r="L1209" i="20" s="1"/>
  <c r="M1208" i="20"/>
  <c r="G1208" i="20"/>
  <c r="H1208" i="20" s="1"/>
  <c r="I1208" i="20" s="1"/>
  <c r="J1208" i="20" s="1"/>
  <c r="L1208" i="20" s="1"/>
  <c r="M1207" i="20"/>
  <c r="G1207" i="20"/>
  <c r="H1207" i="20" s="1"/>
  <c r="I1207" i="20" s="1"/>
  <c r="J1207" i="20" s="1"/>
  <c r="L1207" i="20" s="1"/>
  <c r="M1206" i="20"/>
  <c r="G1206" i="20"/>
  <c r="H1206" i="20" s="1"/>
  <c r="I1206" i="20" s="1"/>
  <c r="J1206" i="20" s="1"/>
  <c r="L1206" i="20" s="1"/>
  <c r="M1205" i="20"/>
  <c r="G1205" i="20"/>
  <c r="H1205" i="20" s="1"/>
  <c r="I1205" i="20" s="1"/>
  <c r="J1205" i="20" s="1"/>
  <c r="L1205" i="20" s="1"/>
  <c r="M1204" i="20"/>
  <c r="G1204" i="20"/>
  <c r="H1204" i="20" s="1"/>
  <c r="I1204" i="20" s="1"/>
  <c r="J1204" i="20" s="1"/>
  <c r="L1204" i="20" s="1"/>
  <c r="M1203" i="20"/>
  <c r="G1203" i="20"/>
  <c r="H1203" i="20" s="1"/>
  <c r="I1203" i="20" s="1"/>
  <c r="J1203" i="20" s="1"/>
  <c r="L1203" i="20" s="1"/>
  <c r="M1202" i="20"/>
  <c r="G1202" i="20"/>
  <c r="H1202" i="20" s="1"/>
  <c r="I1202" i="20" s="1"/>
  <c r="J1202" i="20" s="1"/>
  <c r="L1202" i="20" s="1"/>
  <c r="M1201" i="20"/>
  <c r="G1201" i="20"/>
  <c r="H1201" i="20" s="1"/>
  <c r="I1201" i="20" s="1"/>
  <c r="J1201" i="20" s="1"/>
  <c r="L1201" i="20" s="1"/>
  <c r="M1200" i="20"/>
  <c r="G1200" i="20"/>
  <c r="H1200" i="20" s="1"/>
  <c r="I1200" i="20" s="1"/>
  <c r="J1200" i="20" s="1"/>
  <c r="L1200" i="20" s="1"/>
  <c r="M1199" i="20"/>
  <c r="G1199" i="20"/>
  <c r="H1199" i="20" s="1"/>
  <c r="I1199" i="20" s="1"/>
  <c r="J1199" i="20" s="1"/>
  <c r="L1199" i="20" s="1"/>
  <c r="M1198" i="20"/>
  <c r="G1198" i="20"/>
  <c r="H1198" i="20" s="1"/>
  <c r="I1198" i="20" s="1"/>
  <c r="J1198" i="20" s="1"/>
  <c r="L1198" i="20" s="1"/>
  <c r="M1197" i="20"/>
  <c r="G1197" i="20"/>
  <c r="H1197" i="20" s="1"/>
  <c r="I1197" i="20" s="1"/>
  <c r="J1197" i="20" s="1"/>
  <c r="L1197" i="20" s="1"/>
  <c r="M1196" i="20"/>
  <c r="G1196" i="20"/>
  <c r="H1196" i="20" s="1"/>
  <c r="I1196" i="20" s="1"/>
  <c r="J1196" i="20" s="1"/>
  <c r="L1196" i="20" s="1"/>
  <c r="M1195" i="20"/>
  <c r="G1195" i="20"/>
  <c r="H1195" i="20" s="1"/>
  <c r="I1195" i="20" s="1"/>
  <c r="J1195" i="20" s="1"/>
  <c r="L1195" i="20" s="1"/>
  <c r="M1194" i="20"/>
  <c r="G1194" i="20"/>
  <c r="H1194" i="20" s="1"/>
  <c r="I1194" i="20" s="1"/>
  <c r="J1194" i="20" s="1"/>
  <c r="L1194" i="20" s="1"/>
  <c r="M1193" i="20"/>
  <c r="G1193" i="20"/>
  <c r="H1193" i="20" s="1"/>
  <c r="I1193" i="20" s="1"/>
  <c r="J1193" i="20" s="1"/>
  <c r="L1193" i="20" s="1"/>
  <c r="M1192" i="20"/>
  <c r="G1192" i="20"/>
  <c r="H1192" i="20" s="1"/>
  <c r="I1192" i="20" s="1"/>
  <c r="J1192" i="20" s="1"/>
  <c r="L1192" i="20" s="1"/>
  <c r="M1191" i="20"/>
  <c r="G1191" i="20"/>
  <c r="H1191" i="20" s="1"/>
  <c r="I1191" i="20" s="1"/>
  <c r="J1191" i="20" s="1"/>
  <c r="L1191" i="20" s="1"/>
  <c r="M1190" i="20"/>
  <c r="G1190" i="20"/>
  <c r="H1190" i="20" s="1"/>
  <c r="I1190" i="20" s="1"/>
  <c r="J1190" i="20" s="1"/>
  <c r="L1190" i="20" s="1"/>
  <c r="M1189" i="20"/>
  <c r="G1189" i="20"/>
  <c r="H1189" i="20" s="1"/>
  <c r="I1189" i="20" s="1"/>
  <c r="J1189" i="20" s="1"/>
  <c r="L1189" i="20" s="1"/>
  <c r="M1188" i="20"/>
  <c r="G1188" i="20"/>
  <c r="H1188" i="20" s="1"/>
  <c r="I1188" i="20" s="1"/>
  <c r="J1188" i="20" s="1"/>
  <c r="L1188" i="20" s="1"/>
  <c r="M1187" i="20"/>
  <c r="G1187" i="20"/>
  <c r="H1187" i="20" s="1"/>
  <c r="I1187" i="20" s="1"/>
  <c r="J1187" i="20" s="1"/>
  <c r="L1187" i="20" s="1"/>
  <c r="M1186" i="20"/>
  <c r="G1186" i="20"/>
  <c r="H1186" i="20" s="1"/>
  <c r="I1186" i="20" s="1"/>
  <c r="J1186" i="20" s="1"/>
  <c r="L1186" i="20" s="1"/>
  <c r="M1185" i="20"/>
  <c r="G1185" i="20"/>
  <c r="H1185" i="20" s="1"/>
  <c r="I1185" i="20" s="1"/>
  <c r="J1185" i="20" s="1"/>
  <c r="L1185" i="20" s="1"/>
  <c r="M1184" i="20"/>
  <c r="G1184" i="20"/>
  <c r="H1184" i="20" s="1"/>
  <c r="I1184" i="20" s="1"/>
  <c r="J1184" i="20" s="1"/>
  <c r="L1184" i="20" s="1"/>
  <c r="M1183" i="20"/>
  <c r="G1183" i="20"/>
  <c r="H1183" i="20" s="1"/>
  <c r="I1183" i="20" s="1"/>
  <c r="J1183" i="20" s="1"/>
  <c r="L1183" i="20" s="1"/>
  <c r="M1182" i="20"/>
  <c r="G1182" i="20"/>
  <c r="H1182" i="20" s="1"/>
  <c r="I1182" i="20" s="1"/>
  <c r="J1182" i="20" s="1"/>
  <c r="L1182" i="20" s="1"/>
  <c r="M1181" i="20"/>
  <c r="G1181" i="20"/>
  <c r="H1181" i="20" s="1"/>
  <c r="I1181" i="20" s="1"/>
  <c r="J1181" i="20" s="1"/>
  <c r="L1181" i="20" s="1"/>
  <c r="M1180" i="20"/>
  <c r="G1180" i="20"/>
  <c r="H1180" i="20" s="1"/>
  <c r="I1180" i="20" s="1"/>
  <c r="J1180" i="20" s="1"/>
  <c r="L1180" i="20" s="1"/>
  <c r="M1179" i="20"/>
  <c r="G1179" i="20"/>
  <c r="H1179" i="20" s="1"/>
  <c r="I1179" i="20" s="1"/>
  <c r="J1179" i="20" s="1"/>
  <c r="L1179" i="20" s="1"/>
  <c r="M1178" i="20"/>
  <c r="G1178" i="20"/>
  <c r="H1178" i="20" s="1"/>
  <c r="I1178" i="20" s="1"/>
  <c r="J1178" i="20" s="1"/>
  <c r="L1178" i="20" s="1"/>
  <c r="M1177" i="20"/>
  <c r="G1177" i="20"/>
  <c r="H1177" i="20" s="1"/>
  <c r="I1177" i="20" s="1"/>
  <c r="J1177" i="20" s="1"/>
  <c r="L1177" i="20" s="1"/>
  <c r="M1176" i="20"/>
  <c r="G1176" i="20"/>
  <c r="H1176" i="20" s="1"/>
  <c r="I1176" i="20" s="1"/>
  <c r="J1176" i="20" s="1"/>
  <c r="L1176" i="20" s="1"/>
  <c r="M1175" i="20"/>
  <c r="G1175" i="20"/>
  <c r="H1175" i="20" s="1"/>
  <c r="I1175" i="20" s="1"/>
  <c r="J1175" i="20" s="1"/>
  <c r="L1175" i="20" s="1"/>
  <c r="M1174" i="20"/>
  <c r="G1174" i="20"/>
  <c r="H1174" i="20" s="1"/>
  <c r="I1174" i="20" s="1"/>
  <c r="J1174" i="20" s="1"/>
  <c r="L1174" i="20" s="1"/>
  <c r="M1173" i="20"/>
  <c r="G1173" i="20"/>
  <c r="H1173" i="20" s="1"/>
  <c r="I1173" i="20" s="1"/>
  <c r="J1173" i="20" s="1"/>
  <c r="L1173" i="20" s="1"/>
  <c r="M1172" i="20"/>
  <c r="G1172" i="20"/>
  <c r="H1172" i="20" s="1"/>
  <c r="I1172" i="20" s="1"/>
  <c r="J1172" i="20" s="1"/>
  <c r="L1172" i="20" s="1"/>
  <c r="M1171" i="20"/>
  <c r="G1171" i="20"/>
  <c r="H1171" i="20" s="1"/>
  <c r="I1171" i="20" s="1"/>
  <c r="J1171" i="20" s="1"/>
  <c r="L1171" i="20" s="1"/>
  <c r="M1170" i="20"/>
  <c r="G1170" i="20"/>
  <c r="H1170" i="20" s="1"/>
  <c r="I1170" i="20" s="1"/>
  <c r="J1170" i="20" s="1"/>
  <c r="L1170" i="20" s="1"/>
  <c r="M1169" i="20"/>
  <c r="G1169" i="20"/>
  <c r="H1169" i="20" s="1"/>
  <c r="I1169" i="20" s="1"/>
  <c r="J1169" i="20" s="1"/>
  <c r="L1169" i="20" s="1"/>
  <c r="M1168" i="20"/>
  <c r="G1168" i="20"/>
  <c r="H1168" i="20" s="1"/>
  <c r="I1168" i="20" s="1"/>
  <c r="J1168" i="20" s="1"/>
  <c r="L1168" i="20" s="1"/>
  <c r="M1167" i="20"/>
  <c r="G1167" i="20"/>
  <c r="H1167" i="20" s="1"/>
  <c r="I1167" i="20" s="1"/>
  <c r="J1167" i="20" s="1"/>
  <c r="L1167" i="20" s="1"/>
  <c r="M1166" i="20"/>
  <c r="G1166" i="20"/>
  <c r="H1166" i="20" s="1"/>
  <c r="I1166" i="20" s="1"/>
  <c r="J1166" i="20" s="1"/>
  <c r="L1166" i="20" s="1"/>
  <c r="M1165" i="20"/>
  <c r="G1165" i="20"/>
  <c r="H1165" i="20" s="1"/>
  <c r="I1165" i="20" s="1"/>
  <c r="J1165" i="20" s="1"/>
  <c r="L1165" i="20" s="1"/>
  <c r="M1164" i="20"/>
  <c r="G1164" i="20"/>
  <c r="H1164" i="20" s="1"/>
  <c r="I1164" i="20" s="1"/>
  <c r="J1164" i="20" s="1"/>
  <c r="L1164" i="20" s="1"/>
  <c r="M1163" i="20"/>
  <c r="G1163" i="20"/>
  <c r="H1163" i="20" s="1"/>
  <c r="I1163" i="20" s="1"/>
  <c r="J1163" i="20" s="1"/>
  <c r="L1163" i="20" s="1"/>
  <c r="M1162" i="20"/>
  <c r="G1162" i="20"/>
  <c r="H1162" i="20" s="1"/>
  <c r="I1162" i="20" s="1"/>
  <c r="J1162" i="20" s="1"/>
  <c r="L1162" i="20" s="1"/>
  <c r="M1161" i="20"/>
  <c r="G1161" i="20"/>
  <c r="H1161" i="20" s="1"/>
  <c r="I1161" i="20" s="1"/>
  <c r="J1161" i="20" s="1"/>
  <c r="L1161" i="20" s="1"/>
  <c r="M1160" i="20"/>
  <c r="G1160" i="20"/>
  <c r="H1160" i="20" s="1"/>
  <c r="I1160" i="20" s="1"/>
  <c r="J1160" i="20" s="1"/>
  <c r="L1160" i="20" s="1"/>
  <c r="M1159" i="20"/>
  <c r="G1159" i="20"/>
  <c r="H1159" i="20" s="1"/>
  <c r="I1159" i="20" s="1"/>
  <c r="J1159" i="20" s="1"/>
  <c r="L1159" i="20" s="1"/>
  <c r="M1158" i="20"/>
  <c r="G1158" i="20"/>
  <c r="H1158" i="20" s="1"/>
  <c r="I1158" i="20" s="1"/>
  <c r="J1158" i="20" s="1"/>
  <c r="L1158" i="20" s="1"/>
  <c r="M1157" i="20"/>
  <c r="G1157" i="20"/>
  <c r="H1157" i="20" s="1"/>
  <c r="I1157" i="20" s="1"/>
  <c r="J1157" i="20" s="1"/>
  <c r="L1157" i="20" s="1"/>
  <c r="M1156" i="20"/>
  <c r="G1156" i="20"/>
  <c r="H1156" i="20" s="1"/>
  <c r="I1156" i="20" s="1"/>
  <c r="J1156" i="20" s="1"/>
  <c r="L1156" i="20" s="1"/>
  <c r="M1155" i="20"/>
  <c r="G1155" i="20"/>
  <c r="H1155" i="20" s="1"/>
  <c r="I1155" i="20" s="1"/>
  <c r="J1155" i="20" s="1"/>
  <c r="L1155" i="20" s="1"/>
  <c r="M1154" i="20"/>
  <c r="G1154" i="20"/>
  <c r="H1154" i="20" s="1"/>
  <c r="I1154" i="20" s="1"/>
  <c r="J1154" i="20" s="1"/>
  <c r="L1154" i="20" s="1"/>
  <c r="M1153" i="20"/>
  <c r="G1153" i="20"/>
  <c r="H1153" i="20" s="1"/>
  <c r="I1153" i="20" s="1"/>
  <c r="J1153" i="20" s="1"/>
  <c r="L1153" i="20" s="1"/>
  <c r="M1152" i="20"/>
  <c r="G1152" i="20"/>
  <c r="H1152" i="20" s="1"/>
  <c r="I1152" i="20" s="1"/>
  <c r="J1152" i="20" s="1"/>
  <c r="L1152" i="20" s="1"/>
  <c r="M1151" i="20"/>
  <c r="G1151" i="20"/>
  <c r="H1151" i="20" s="1"/>
  <c r="I1151" i="20" s="1"/>
  <c r="J1151" i="20" s="1"/>
  <c r="L1151" i="20" s="1"/>
  <c r="M1150" i="20"/>
  <c r="G1150" i="20"/>
  <c r="H1150" i="20" s="1"/>
  <c r="I1150" i="20" s="1"/>
  <c r="J1150" i="20" s="1"/>
  <c r="L1150" i="20" s="1"/>
  <c r="M1149" i="20"/>
  <c r="G1149" i="20"/>
  <c r="H1149" i="20" s="1"/>
  <c r="I1149" i="20" s="1"/>
  <c r="J1149" i="20" s="1"/>
  <c r="L1149" i="20" s="1"/>
  <c r="M1148" i="20"/>
  <c r="G1148" i="20"/>
  <c r="H1148" i="20" s="1"/>
  <c r="I1148" i="20" s="1"/>
  <c r="J1148" i="20" s="1"/>
  <c r="L1148" i="20" s="1"/>
  <c r="M1147" i="20"/>
  <c r="G1147" i="20"/>
  <c r="H1147" i="20" s="1"/>
  <c r="I1147" i="20" s="1"/>
  <c r="J1147" i="20" s="1"/>
  <c r="L1147" i="20" s="1"/>
  <c r="M1146" i="20"/>
  <c r="G1146" i="20"/>
  <c r="H1146" i="20" s="1"/>
  <c r="I1146" i="20" s="1"/>
  <c r="J1146" i="20" s="1"/>
  <c r="L1146" i="20" s="1"/>
  <c r="M1145" i="20"/>
  <c r="G1145" i="20"/>
  <c r="H1145" i="20" s="1"/>
  <c r="I1145" i="20" s="1"/>
  <c r="J1145" i="20" s="1"/>
  <c r="L1145" i="20" s="1"/>
  <c r="M1144" i="20"/>
  <c r="G1144" i="20"/>
  <c r="H1144" i="20" s="1"/>
  <c r="I1144" i="20" s="1"/>
  <c r="J1144" i="20" s="1"/>
  <c r="L1144" i="20" s="1"/>
  <c r="M1143" i="20"/>
  <c r="G1143" i="20"/>
  <c r="H1143" i="20" s="1"/>
  <c r="I1143" i="20" s="1"/>
  <c r="J1143" i="20" s="1"/>
  <c r="L1143" i="20" s="1"/>
  <c r="M1142" i="20"/>
  <c r="G1142" i="20"/>
  <c r="H1142" i="20" s="1"/>
  <c r="I1142" i="20" s="1"/>
  <c r="J1142" i="20" s="1"/>
  <c r="L1142" i="20" s="1"/>
  <c r="M1141" i="20"/>
  <c r="G1141" i="20"/>
  <c r="H1141" i="20" s="1"/>
  <c r="I1141" i="20" s="1"/>
  <c r="J1141" i="20" s="1"/>
  <c r="L1141" i="20" s="1"/>
  <c r="M1140" i="20"/>
  <c r="G1140" i="20"/>
  <c r="H1140" i="20" s="1"/>
  <c r="I1140" i="20" s="1"/>
  <c r="J1140" i="20" s="1"/>
  <c r="L1140" i="20" s="1"/>
  <c r="M1139" i="20"/>
  <c r="G1139" i="20"/>
  <c r="H1139" i="20" s="1"/>
  <c r="I1139" i="20" s="1"/>
  <c r="J1139" i="20" s="1"/>
  <c r="L1139" i="20" s="1"/>
  <c r="M1138" i="20"/>
  <c r="G1138" i="20"/>
  <c r="H1138" i="20" s="1"/>
  <c r="I1138" i="20" s="1"/>
  <c r="J1138" i="20" s="1"/>
  <c r="L1138" i="20" s="1"/>
  <c r="M1137" i="20"/>
  <c r="G1137" i="20"/>
  <c r="H1137" i="20" s="1"/>
  <c r="I1137" i="20" s="1"/>
  <c r="J1137" i="20" s="1"/>
  <c r="L1137" i="20" s="1"/>
  <c r="M1136" i="20"/>
  <c r="G1136" i="20"/>
  <c r="H1136" i="20" s="1"/>
  <c r="I1136" i="20" s="1"/>
  <c r="J1136" i="20" s="1"/>
  <c r="L1136" i="20" s="1"/>
  <c r="M1135" i="20"/>
  <c r="G1135" i="20"/>
  <c r="H1135" i="20" s="1"/>
  <c r="I1135" i="20" s="1"/>
  <c r="J1135" i="20" s="1"/>
  <c r="L1135" i="20" s="1"/>
  <c r="M1134" i="20"/>
  <c r="G1134" i="20"/>
  <c r="H1134" i="20" s="1"/>
  <c r="I1134" i="20" s="1"/>
  <c r="J1134" i="20" s="1"/>
  <c r="L1134" i="20" s="1"/>
  <c r="M1133" i="20"/>
  <c r="G1133" i="20"/>
  <c r="H1133" i="20" s="1"/>
  <c r="I1133" i="20" s="1"/>
  <c r="J1133" i="20" s="1"/>
  <c r="L1133" i="20" s="1"/>
  <c r="M1132" i="20"/>
  <c r="G1132" i="20"/>
  <c r="H1132" i="20" s="1"/>
  <c r="I1132" i="20" s="1"/>
  <c r="J1132" i="20" s="1"/>
  <c r="L1132" i="20" s="1"/>
  <c r="M1131" i="20"/>
  <c r="G1131" i="20"/>
  <c r="H1131" i="20" s="1"/>
  <c r="I1131" i="20" s="1"/>
  <c r="J1131" i="20" s="1"/>
  <c r="L1131" i="20" s="1"/>
  <c r="M1130" i="20"/>
  <c r="G1130" i="20"/>
  <c r="H1130" i="20" s="1"/>
  <c r="I1130" i="20" s="1"/>
  <c r="J1130" i="20" s="1"/>
  <c r="L1130" i="20" s="1"/>
  <c r="M1129" i="20"/>
  <c r="G1129" i="20"/>
  <c r="H1129" i="20" s="1"/>
  <c r="I1129" i="20" s="1"/>
  <c r="J1129" i="20" s="1"/>
  <c r="L1129" i="20" s="1"/>
  <c r="M1128" i="20"/>
  <c r="G1128" i="20"/>
  <c r="H1128" i="20" s="1"/>
  <c r="I1128" i="20" s="1"/>
  <c r="J1128" i="20" s="1"/>
  <c r="L1128" i="20" s="1"/>
  <c r="M1127" i="20"/>
  <c r="G1127" i="20"/>
  <c r="H1127" i="20" s="1"/>
  <c r="I1127" i="20" s="1"/>
  <c r="J1127" i="20" s="1"/>
  <c r="L1127" i="20" s="1"/>
  <c r="M1126" i="20"/>
  <c r="G1126" i="20"/>
  <c r="H1126" i="20" s="1"/>
  <c r="I1126" i="20" s="1"/>
  <c r="J1126" i="20" s="1"/>
  <c r="L1126" i="20" s="1"/>
  <c r="M1125" i="20"/>
  <c r="G1125" i="20"/>
  <c r="H1125" i="20" s="1"/>
  <c r="I1125" i="20" s="1"/>
  <c r="J1125" i="20" s="1"/>
  <c r="L1125" i="20" s="1"/>
  <c r="M1124" i="20"/>
  <c r="G1124" i="20"/>
  <c r="H1124" i="20" s="1"/>
  <c r="I1124" i="20" s="1"/>
  <c r="J1124" i="20" s="1"/>
  <c r="L1124" i="20" s="1"/>
  <c r="M1123" i="20"/>
  <c r="G1123" i="20"/>
  <c r="H1123" i="20" s="1"/>
  <c r="I1123" i="20" s="1"/>
  <c r="J1123" i="20" s="1"/>
  <c r="L1123" i="20" s="1"/>
  <c r="M1122" i="20"/>
  <c r="G1122" i="20"/>
  <c r="H1122" i="20" s="1"/>
  <c r="I1122" i="20" s="1"/>
  <c r="J1122" i="20" s="1"/>
  <c r="L1122" i="20" s="1"/>
  <c r="M1121" i="20"/>
  <c r="G1121" i="20"/>
  <c r="H1121" i="20" s="1"/>
  <c r="I1121" i="20" s="1"/>
  <c r="J1121" i="20" s="1"/>
  <c r="L1121" i="20" s="1"/>
  <c r="M1120" i="20"/>
  <c r="G1120" i="20"/>
  <c r="H1120" i="20" s="1"/>
  <c r="I1120" i="20" s="1"/>
  <c r="J1120" i="20" s="1"/>
  <c r="L1120" i="20" s="1"/>
  <c r="M1119" i="20"/>
  <c r="G1119" i="20"/>
  <c r="H1119" i="20" s="1"/>
  <c r="I1119" i="20" s="1"/>
  <c r="J1119" i="20" s="1"/>
  <c r="L1119" i="20" s="1"/>
  <c r="M1118" i="20"/>
  <c r="G1118" i="20"/>
  <c r="H1118" i="20" s="1"/>
  <c r="I1118" i="20" s="1"/>
  <c r="J1118" i="20" s="1"/>
  <c r="L1118" i="20" s="1"/>
  <c r="M1117" i="20"/>
  <c r="G1117" i="20"/>
  <c r="H1117" i="20" s="1"/>
  <c r="I1117" i="20" s="1"/>
  <c r="J1117" i="20" s="1"/>
  <c r="L1117" i="20" s="1"/>
  <c r="M1116" i="20"/>
  <c r="G1116" i="20"/>
  <c r="H1116" i="20" s="1"/>
  <c r="I1116" i="20" s="1"/>
  <c r="J1116" i="20" s="1"/>
  <c r="L1116" i="20" s="1"/>
  <c r="M1115" i="20"/>
  <c r="G1115" i="20"/>
  <c r="H1115" i="20" s="1"/>
  <c r="I1115" i="20" s="1"/>
  <c r="J1115" i="20" s="1"/>
  <c r="L1115" i="20" s="1"/>
  <c r="M1114" i="20"/>
  <c r="G1114" i="20"/>
  <c r="H1114" i="20" s="1"/>
  <c r="I1114" i="20" s="1"/>
  <c r="J1114" i="20" s="1"/>
  <c r="L1114" i="20" s="1"/>
  <c r="M1113" i="20"/>
  <c r="G1113" i="20"/>
  <c r="H1113" i="20" s="1"/>
  <c r="I1113" i="20" s="1"/>
  <c r="J1113" i="20" s="1"/>
  <c r="L1113" i="20" s="1"/>
  <c r="M1112" i="20"/>
  <c r="G1112" i="20"/>
  <c r="H1112" i="20" s="1"/>
  <c r="I1112" i="20" s="1"/>
  <c r="J1112" i="20" s="1"/>
  <c r="L1112" i="20" s="1"/>
  <c r="M1111" i="20"/>
  <c r="G1111" i="20"/>
  <c r="H1111" i="20" s="1"/>
  <c r="I1111" i="20" s="1"/>
  <c r="J1111" i="20" s="1"/>
  <c r="L1111" i="20" s="1"/>
  <c r="M1110" i="20"/>
  <c r="G1110" i="20"/>
  <c r="H1110" i="20" s="1"/>
  <c r="I1110" i="20" s="1"/>
  <c r="J1110" i="20" s="1"/>
  <c r="L1110" i="20" s="1"/>
  <c r="M1109" i="20"/>
  <c r="G1109" i="20"/>
  <c r="H1109" i="20" s="1"/>
  <c r="I1109" i="20" s="1"/>
  <c r="J1109" i="20" s="1"/>
  <c r="L1109" i="20" s="1"/>
  <c r="M1108" i="20"/>
  <c r="G1108" i="20"/>
  <c r="H1108" i="20" s="1"/>
  <c r="I1108" i="20" s="1"/>
  <c r="J1108" i="20" s="1"/>
  <c r="L1108" i="20" s="1"/>
  <c r="M1107" i="20"/>
  <c r="G1107" i="20"/>
  <c r="H1107" i="20" s="1"/>
  <c r="I1107" i="20" s="1"/>
  <c r="J1107" i="20" s="1"/>
  <c r="L1107" i="20" s="1"/>
  <c r="M1106" i="20"/>
  <c r="G1106" i="20"/>
  <c r="H1106" i="20" s="1"/>
  <c r="I1106" i="20" s="1"/>
  <c r="J1106" i="20" s="1"/>
  <c r="L1106" i="20" s="1"/>
  <c r="M1105" i="20"/>
  <c r="G1105" i="20"/>
  <c r="H1105" i="20" s="1"/>
  <c r="I1105" i="20" s="1"/>
  <c r="J1105" i="20" s="1"/>
  <c r="L1105" i="20" s="1"/>
  <c r="M1104" i="20"/>
  <c r="G1104" i="20"/>
  <c r="H1104" i="20" s="1"/>
  <c r="I1104" i="20" s="1"/>
  <c r="J1104" i="20" s="1"/>
  <c r="L1104" i="20" s="1"/>
  <c r="M1103" i="20"/>
  <c r="G1103" i="20"/>
  <c r="H1103" i="20" s="1"/>
  <c r="I1103" i="20" s="1"/>
  <c r="J1103" i="20" s="1"/>
  <c r="L1103" i="20" s="1"/>
  <c r="M1102" i="20"/>
  <c r="G1102" i="20"/>
  <c r="H1102" i="20" s="1"/>
  <c r="I1102" i="20" s="1"/>
  <c r="J1102" i="20" s="1"/>
  <c r="L1102" i="20" s="1"/>
  <c r="M1101" i="20"/>
  <c r="G1101" i="20"/>
  <c r="H1101" i="20" s="1"/>
  <c r="I1101" i="20" s="1"/>
  <c r="J1101" i="20" s="1"/>
  <c r="L1101" i="20" s="1"/>
  <c r="M1100" i="20"/>
  <c r="G1100" i="20"/>
  <c r="H1100" i="20" s="1"/>
  <c r="I1100" i="20" s="1"/>
  <c r="J1100" i="20" s="1"/>
  <c r="L1100" i="20" s="1"/>
  <c r="M1099" i="20"/>
  <c r="G1099" i="20"/>
  <c r="H1099" i="20" s="1"/>
  <c r="I1099" i="20" s="1"/>
  <c r="J1099" i="20" s="1"/>
  <c r="L1099" i="20" s="1"/>
  <c r="M1098" i="20"/>
  <c r="G1098" i="20"/>
  <c r="H1098" i="20" s="1"/>
  <c r="I1098" i="20" s="1"/>
  <c r="J1098" i="20" s="1"/>
  <c r="L1098" i="20" s="1"/>
  <c r="M1097" i="20"/>
  <c r="G1097" i="20"/>
  <c r="H1097" i="20" s="1"/>
  <c r="I1097" i="20" s="1"/>
  <c r="J1097" i="20" s="1"/>
  <c r="L1097" i="20" s="1"/>
  <c r="M1096" i="20"/>
  <c r="G1096" i="20"/>
  <c r="H1096" i="20" s="1"/>
  <c r="I1096" i="20" s="1"/>
  <c r="J1096" i="20" s="1"/>
  <c r="L1096" i="20" s="1"/>
  <c r="M1095" i="20"/>
  <c r="G1095" i="20"/>
  <c r="H1095" i="20" s="1"/>
  <c r="I1095" i="20" s="1"/>
  <c r="J1095" i="20" s="1"/>
  <c r="L1095" i="20" s="1"/>
  <c r="M1094" i="20"/>
  <c r="G1094" i="20"/>
  <c r="H1094" i="20" s="1"/>
  <c r="I1094" i="20" s="1"/>
  <c r="J1094" i="20" s="1"/>
  <c r="L1094" i="20" s="1"/>
  <c r="M1093" i="20"/>
  <c r="G1093" i="20"/>
  <c r="H1093" i="20" s="1"/>
  <c r="I1093" i="20" s="1"/>
  <c r="J1093" i="20" s="1"/>
  <c r="L1093" i="20" s="1"/>
  <c r="M1092" i="20"/>
  <c r="G1092" i="20"/>
  <c r="H1092" i="20" s="1"/>
  <c r="I1092" i="20" s="1"/>
  <c r="J1092" i="20" s="1"/>
  <c r="L1092" i="20" s="1"/>
  <c r="M1091" i="20"/>
  <c r="G1091" i="20"/>
  <c r="H1091" i="20" s="1"/>
  <c r="I1091" i="20" s="1"/>
  <c r="J1091" i="20" s="1"/>
  <c r="L1091" i="20" s="1"/>
  <c r="M1090" i="20"/>
  <c r="G1090" i="20"/>
  <c r="H1090" i="20" s="1"/>
  <c r="I1090" i="20" s="1"/>
  <c r="J1090" i="20" s="1"/>
  <c r="L1090" i="20" s="1"/>
  <c r="M1089" i="20"/>
  <c r="G1089" i="20"/>
  <c r="H1089" i="20" s="1"/>
  <c r="I1089" i="20" s="1"/>
  <c r="J1089" i="20" s="1"/>
  <c r="L1089" i="20" s="1"/>
  <c r="M1088" i="20"/>
  <c r="G1088" i="20"/>
  <c r="H1088" i="20" s="1"/>
  <c r="I1088" i="20" s="1"/>
  <c r="J1088" i="20" s="1"/>
  <c r="L1088" i="20" s="1"/>
  <c r="M1087" i="20"/>
  <c r="G1087" i="20"/>
  <c r="H1087" i="20" s="1"/>
  <c r="I1087" i="20" s="1"/>
  <c r="J1087" i="20" s="1"/>
  <c r="L1087" i="20" s="1"/>
  <c r="M1086" i="20"/>
  <c r="G1086" i="20"/>
  <c r="H1086" i="20" s="1"/>
  <c r="I1086" i="20" s="1"/>
  <c r="J1086" i="20" s="1"/>
  <c r="L1086" i="20" s="1"/>
  <c r="M1085" i="20"/>
  <c r="G1085" i="20"/>
  <c r="H1085" i="20" s="1"/>
  <c r="I1085" i="20" s="1"/>
  <c r="J1085" i="20" s="1"/>
  <c r="L1085" i="20" s="1"/>
  <c r="M1084" i="20"/>
  <c r="G1084" i="20"/>
  <c r="H1084" i="20" s="1"/>
  <c r="I1084" i="20" s="1"/>
  <c r="J1084" i="20" s="1"/>
  <c r="L1084" i="20" s="1"/>
  <c r="M1083" i="20"/>
  <c r="G1083" i="20"/>
  <c r="H1083" i="20" s="1"/>
  <c r="I1083" i="20" s="1"/>
  <c r="J1083" i="20" s="1"/>
  <c r="L1083" i="20" s="1"/>
  <c r="M1082" i="20"/>
  <c r="G1082" i="20"/>
  <c r="H1082" i="20" s="1"/>
  <c r="I1082" i="20" s="1"/>
  <c r="J1082" i="20" s="1"/>
  <c r="L1082" i="20" s="1"/>
  <c r="M1081" i="20"/>
  <c r="G1081" i="20"/>
  <c r="H1081" i="20" s="1"/>
  <c r="I1081" i="20" s="1"/>
  <c r="J1081" i="20" s="1"/>
  <c r="L1081" i="20" s="1"/>
  <c r="M1080" i="20"/>
  <c r="G1080" i="20"/>
  <c r="H1080" i="20" s="1"/>
  <c r="I1080" i="20" s="1"/>
  <c r="J1080" i="20" s="1"/>
  <c r="L1080" i="20" s="1"/>
  <c r="M1079" i="20"/>
  <c r="G1079" i="20"/>
  <c r="H1079" i="20" s="1"/>
  <c r="I1079" i="20" s="1"/>
  <c r="J1079" i="20" s="1"/>
  <c r="L1079" i="20" s="1"/>
  <c r="M1078" i="20"/>
  <c r="G1078" i="20"/>
  <c r="H1078" i="20" s="1"/>
  <c r="I1078" i="20" s="1"/>
  <c r="J1078" i="20" s="1"/>
  <c r="L1078" i="20" s="1"/>
  <c r="M1077" i="20"/>
  <c r="G1077" i="20"/>
  <c r="H1077" i="20" s="1"/>
  <c r="I1077" i="20" s="1"/>
  <c r="J1077" i="20" s="1"/>
  <c r="L1077" i="20" s="1"/>
  <c r="M1076" i="20"/>
  <c r="G1076" i="20"/>
  <c r="H1076" i="20" s="1"/>
  <c r="I1076" i="20" s="1"/>
  <c r="J1076" i="20" s="1"/>
  <c r="L1076" i="20" s="1"/>
  <c r="M1075" i="20"/>
  <c r="G1075" i="20"/>
  <c r="H1075" i="20" s="1"/>
  <c r="I1075" i="20" s="1"/>
  <c r="J1075" i="20" s="1"/>
  <c r="L1075" i="20" s="1"/>
  <c r="M1074" i="20"/>
  <c r="G1074" i="20"/>
  <c r="H1074" i="20" s="1"/>
  <c r="I1074" i="20" s="1"/>
  <c r="J1074" i="20" s="1"/>
  <c r="L1074" i="20" s="1"/>
  <c r="M1073" i="20"/>
  <c r="G1073" i="20"/>
  <c r="H1073" i="20" s="1"/>
  <c r="I1073" i="20" s="1"/>
  <c r="J1073" i="20" s="1"/>
  <c r="L1073" i="20" s="1"/>
  <c r="M1072" i="20"/>
  <c r="G1072" i="20"/>
  <c r="H1072" i="20" s="1"/>
  <c r="I1072" i="20" s="1"/>
  <c r="J1072" i="20" s="1"/>
  <c r="L1072" i="20" s="1"/>
  <c r="M1071" i="20"/>
  <c r="G1071" i="20"/>
  <c r="H1071" i="20" s="1"/>
  <c r="I1071" i="20" s="1"/>
  <c r="J1071" i="20" s="1"/>
  <c r="L1071" i="20" s="1"/>
  <c r="M1070" i="20"/>
  <c r="G1070" i="20"/>
  <c r="H1070" i="20" s="1"/>
  <c r="I1070" i="20" s="1"/>
  <c r="J1070" i="20" s="1"/>
  <c r="L1070" i="20" s="1"/>
  <c r="M1069" i="20"/>
  <c r="G1069" i="20"/>
  <c r="H1069" i="20" s="1"/>
  <c r="I1069" i="20" s="1"/>
  <c r="J1069" i="20" s="1"/>
  <c r="L1069" i="20" s="1"/>
  <c r="M1068" i="20"/>
  <c r="G1068" i="20"/>
  <c r="H1068" i="20" s="1"/>
  <c r="I1068" i="20" s="1"/>
  <c r="J1068" i="20" s="1"/>
  <c r="L1068" i="20" s="1"/>
  <c r="M1067" i="20"/>
  <c r="G1067" i="20"/>
  <c r="H1067" i="20" s="1"/>
  <c r="I1067" i="20" s="1"/>
  <c r="J1067" i="20" s="1"/>
  <c r="L1067" i="20" s="1"/>
  <c r="M1066" i="20"/>
  <c r="G1066" i="20"/>
  <c r="H1066" i="20" s="1"/>
  <c r="I1066" i="20" s="1"/>
  <c r="J1066" i="20" s="1"/>
  <c r="L1066" i="20" s="1"/>
  <c r="M1065" i="20"/>
  <c r="G1065" i="20"/>
  <c r="H1065" i="20" s="1"/>
  <c r="I1065" i="20" s="1"/>
  <c r="J1065" i="20" s="1"/>
  <c r="L1065" i="20" s="1"/>
  <c r="M1064" i="20"/>
  <c r="G1064" i="20"/>
  <c r="H1064" i="20" s="1"/>
  <c r="I1064" i="20" s="1"/>
  <c r="J1064" i="20" s="1"/>
  <c r="L1064" i="20" s="1"/>
  <c r="M1063" i="20"/>
  <c r="G1063" i="20"/>
  <c r="H1063" i="20" s="1"/>
  <c r="I1063" i="20" s="1"/>
  <c r="J1063" i="20" s="1"/>
  <c r="L1063" i="20" s="1"/>
  <c r="M1062" i="20"/>
  <c r="G1062" i="20"/>
  <c r="H1062" i="20" s="1"/>
  <c r="I1062" i="20" s="1"/>
  <c r="J1062" i="20" s="1"/>
  <c r="L1062" i="20" s="1"/>
  <c r="M1061" i="20"/>
  <c r="G1061" i="20"/>
  <c r="H1061" i="20" s="1"/>
  <c r="I1061" i="20" s="1"/>
  <c r="J1061" i="20" s="1"/>
  <c r="L1061" i="20" s="1"/>
  <c r="M1060" i="20"/>
  <c r="G1060" i="20"/>
  <c r="H1060" i="20" s="1"/>
  <c r="I1060" i="20" s="1"/>
  <c r="J1060" i="20" s="1"/>
  <c r="L1060" i="20" s="1"/>
  <c r="M1059" i="20"/>
  <c r="G1059" i="20"/>
  <c r="H1059" i="20" s="1"/>
  <c r="I1059" i="20" s="1"/>
  <c r="J1059" i="20" s="1"/>
  <c r="L1059" i="20" s="1"/>
  <c r="M1058" i="20"/>
  <c r="G1058" i="20"/>
  <c r="H1058" i="20" s="1"/>
  <c r="I1058" i="20" s="1"/>
  <c r="J1058" i="20" s="1"/>
  <c r="L1058" i="20" s="1"/>
  <c r="M1057" i="20"/>
  <c r="G1057" i="20"/>
  <c r="H1057" i="20" s="1"/>
  <c r="I1057" i="20" s="1"/>
  <c r="J1057" i="20" s="1"/>
  <c r="L1057" i="20" s="1"/>
  <c r="M1056" i="20"/>
  <c r="G1056" i="20"/>
  <c r="H1056" i="20" s="1"/>
  <c r="I1056" i="20" s="1"/>
  <c r="J1056" i="20" s="1"/>
  <c r="L1056" i="20" s="1"/>
  <c r="M1055" i="20"/>
  <c r="G1055" i="20"/>
  <c r="H1055" i="20" s="1"/>
  <c r="I1055" i="20" s="1"/>
  <c r="J1055" i="20" s="1"/>
  <c r="L1055" i="20" s="1"/>
  <c r="M1054" i="20"/>
  <c r="G1054" i="20"/>
  <c r="H1054" i="20" s="1"/>
  <c r="I1054" i="20" s="1"/>
  <c r="J1054" i="20" s="1"/>
  <c r="L1054" i="20" s="1"/>
  <c r="M1053" i="20"/>
  <c r="G1053" i="20"/>
  <c r="H1053" i="20" s="1"/>
  <c r="I1053" i="20" s="1"/>
  <c r="J1053" i="20" s="1"/>
  <c r="L1053" i="20" s="1"/>
  <c r="M1052" i="20"/>
  <c r="G1052" i="20"/>
  <c r="H1052" i="20" s="1"/>
  <c r="I1052" i="20" s="1"/>
  <c r="J1052" i="20" s="1"/>
  <c r="L1052" i="20" s="1"/>
  <c r="M1051" i="20"/>
  <c r="G1051" i="20"/>
  <c r="H1051" i="20" s="1"/>
  <c r="I1051" i="20" s="1"/>
  <c r="J1051" i="20" s="1"/>
  <c r="L1051" i="20" s="1"/>
  <c r="M1050" i="20"/>
  <c r="G1050" i="20"/>
  <c r="H1050" i="20" s="1"/>
  <c r="I1050" i="20" s="1"/>
  <c r="J1050" i="20" s="1"/>
  <c r="L1050" i="20" s="1"/>
  <c r="M1049" i="20"/>
  <c r="G1049" i="20"/>
  <c r="H1049" i="20" s="1"/>
  <c r="I1049" i="20" s="1"/>
  <c r="J1049" i="20" s="1"/>
  <c r="L1049" i="20" s="1"/>
  <c r="M1048" i="20"/>
  <c r="G1048" i="20"/>
  <c r="H1048" i="20" s="1"/>
  <c r="I1048" i="20" s="1"/>
  <c r="J1048" i="20" s="1"/>
  <c r="L1048" i="20" s="1"/>
  <c r="M1047" i="20"/>
  <c r="G1047" i="20"/>
  <c r="H1047" i="20" s="1"/>
  <c r="I1047" i="20" s="1"/>
  <c r="J1047" i="20" s="1"/>
  <c r="L1047" i="20" s="1"/>
  <c r="M1046" i="20"/>
  <c r="G1046" i="20"/>
  <c r="H1046" i="20" s="1"/>
  <c r="I1046" i="20" s="1"/>
  <c r="J1046" i="20" s="1"/>
  <c r="L1046" i="20" s="1"/>
  <c r="M1045" i="20"/>
  <c r="G1045" i="20"/>
  <c r="H1045" i="20" s="1"/>
  <c r="I1045" i="20" s="1"/>
  <c r="J1045" i="20" s="1"/>
  <c r="L1045" i="20" s="1"/>
  <c r="M1044" i="20"/>
  <c r="G1044" i="20"/>
  <c r="H1044" i="20" s="1"/>
  <c r="I1044" i="20" s="1"/>
  <c r="J1044" i="20" s="1"/>
  <c r="L1044" i="20" s="1"/>
  <c r="M1043" i="20"/>
  <c r="G1043" i="20"/>
  <c r="H1043" i="20" s="1"/>
  <c r="I1043" i="20" s="1"/>
  <c r="J1043" i="20" s="1"/>
  <c r="L1043" i="20" s="1"/>
  <c r="M1042" i="20"/>
  <c r="G1042" i="20"/>
  <c r="H1042" i="20" s="1"/>
  <c r="I1042" i="20" s="1"/>
  <c r="J1042" i="20" s="1"/>
  <c r="L1042" i="20" s="1"/>
  <c r="M1041" i="20"/>
  <c r="G1041" i="20"/>
  <c r="H1041" i="20" s="1"/>
  <c r="I1041" i="20" s="1"/>
  <c r="J1041" i="20" s="1"/>
  <c r="L1041" i="20" s="1"/>
  <c r="M1040" i="20"/>
  <c r="G1040" i="20"/>
  <c r="H1040" i="20" s="1"/>
  <c r="I1040" i="20" s="1"/>
  <c r="J1040" i="20" s="1"/>
  <c r="L1040" i="20" s="1"/>
  <c r="M1039" i="20"/>
  <c r="G1039" i="20"/>
  <c r="H1039" i="20" s="1"/>
  <c r="I1039" i="20" s="1"/>
  <c r="J1039" i="20" s="1"/>
  <c r="L1039" i="20" s="1"/>
  <c r="M1038" i="20"/>
  <c r="G1038" i="20"/>
  <c r="H1038" i="20" s="1"/>
  <c r="I1038" i="20" s="1"/>
  <c r="J1038" i="20" s="1"/>
  <c r="L1038" i="20" s="1"/>
  <c r="M1037" i="20"/>
  <c r="G1037" i="20"/>
  <c r="H1037" i="20" s="1"/>
  <c r="I1037" i="20" s="1"/>
  <c r="J1037" i="20" s="1"/>
  <c r="L1037" i="20" s="1"/>
  <c r="M1036" i="20"/>
  <c r="G1036" i="20"/>
  <c r="H1036" i="20" s="1"/>
  <c r="I1036" i="20" s="1"/>
  <c r="J1036" i="20" s="1"/>
  <c r="L1036" i="20" s="1"/>
  <c r="M1035" i="20"/>
  <c r="G1035" i="20"/>
  <c r="H1035" i="20" s="1"/>
  <c r="I1035" i="20" s="1"/>
  <c r="J1035" i="20" s="1"/>
  <c r="L1035" i="20" s="1"/>
  <c r="M1034" i="20"/>
  <c r="G1034" i="20"/>
  <c r="H1034" i="20" s="1"/>
  <c r="I1034" i="20" s="1"/>
  <c r="J1034" i="20" s="1"/>
  <c r="L1034" i="20" s="1"/>
  <c r="M1033" i="20"/>
  <c r="G1033" i="20"/>
  <c r="H1033" i="20" s="1"/>
  <c r="I1033" i="20" s="1"/>
  <c r="J1033" i="20" s="1"/>
  <c r="L1033" i="20" s="1"/>
  <c r="M1032" i="20"/>
  <c r="G1032" i="20"/>
  <c r="H1032" i="20" s="1"/>
  <c r="I1032" i="20" s="1"/>
  <c r="J1032" i="20" s="1"/>
  <c r="L1032" i="20" s="1"/>
  <c r="M1031" i="20"/>
  <c r="G1031" i="20"/>
  <c r="H1031" i="20" s="1"/>
  <c r="I1031" i="20" s="1"/>
  <c r="J1031" i="20" s="1"/>
  <c r="L1031" i="20" s="1"/>
  <c r="M1030" i="20"/>
  <c r="G1030" i="20"/>
  <c r="H1030" i="20" s="1"/>
  <c r="I1030" i="20" s="1"/>
  <c r="J1030" i="20" s="1"/>
  <c r="L1030" i="20" s="1"/>
  <c r="M1029" i="20"/>
  <c r="G1029" i="20"/>
  <c r="H1029" i="20" s="1"/>
  <c r="I1029" i="20" s="1"/>
  <c r="J1029" i="20" s="1"/>
  <c r="L1029" i="20" s="1"/>
  <c r="M1028" i="20"/>
  <c r="G1028" i="20"/>
  <c r="H1028" i="20" s="1"/>
  <c r="I1028" i="20" s="1"/>
  <c r="J1028" i="20" s="1"/>
  <c r="L1028" i="20" s="1"/>
  <c r="M1027" i="20"/>
  <c r="G1027" i="20"/>
  <c r="H1027" i="20" s="1"/>
  <c r="I1027" i="20" s="1"/>
  <c r="J1027" i="20" s="1"/>
  <c r="L1027" i="20" s="1"/>
  <c r="M1026" i="20"/>
  <c r="G1026" i="20"/>
  <c r="H1026" i="20" s="1"/>
  <c r="I1026" i="20" s="1"/>
  <c r="J1026" i="20" s="1"/>
  <c r="L1026" i="20" s="1"/>
  <c r="M1025" i="20"/>
  <c r="G1025" i="20"/>
  <c r="H1025" i="20" s="1"/>
  <c r="I1025" i="20" s="1"/>
  <c r="J1025" i="20" s="1"/>
  <c r="L1025" i="20" s="1"/>
  <c r="M1024" i="20"/>
  <c r="G1024" i="20"/>
  <c r="H1024" i="20" s="1"/>
  <c r="I1024" i="20" s="1"/>
  <c r="J1024" i="20" s="1"/>
  <c r="L1024" i="20" s="1"/>
  <c r="M1023" i="20"/>
  <c r="G1023" i="20"/>
  <c r="H1023" i="20" s="1"/>
  <c r="I1023" i="20" s="1"/>
  <c r="J1023" i="20" s="1"/>
  <c r="L1023" i="20" s="1"/>
  <c r="M1022" i="20"/>
  <c r="G1022" i="20"/>
  <c r="H1022" i="20" s="1"/>
  <c r="I1022" i="20" s="1"/>
  <c r="J1022" i="20" s="1"/>
  <c r="L1022" i="20" s="1"/>
  <c r="M1021" i="20"/>
  <c r="G1021" i="20"/>
  <c r="H1021" i="20" s="1"/>
  <c r="I1021" i="20" s="1"/>
  <c r="J1021" i="20" s="1"/>
  <c r="L1021" i="20" s="1"/>
  <c r="M1020" i="20"/>
  <c r="G1020" i="20"/>
  <c r="H1020" i="20" s="1"/>
  <c r="I1020" i="20" s="1"/>
  <c r="J1020" i="20" s="1"/>
  <c r="L1020" i="20" s="1"/>
  <c r="M1019" i="20"/>
  <c r="G1019" i="20"/>
  <c r="H1019" i="20" s="1"/>
  <c r="I1019" i="20" s="1"/>
  <c r="J1019" i="20" s="1"/>
  <c r="L1019" i="20" s="1"/>
  <c r="M1018" i="20"/>
  <c r="G1018" i="20"/>
  <c r="H1018" i="20" s="1"/>
  <c r="I1018" i="20" s="1"/>
  <c r="J1018" i="20" s="1"/>
  <c r="L1018" i="20" s="1"/>
  <c r="M1017" i="20"/>
  <c r="G1017" i="20"/>
  <c r="H1017" i="20" s="1"/>
  <c r="I1017" i="20" s="1"/>
  <c r="J1017" i="20" s="1"/>
  <c r="L1017" i="20" s="1"/>
  <c r="M1016" i="20"/>
  <c r="G1016" i="20"/>
  <c r="H1016" i="20" s="1"/>
  <c r="I1016" i="20" s="1"/>
  <c r="J1016" i="20" s="1"/>
  <c r="L1016" i="20" s="1"/>
  <c r="M1015" i="20"/>
  <c r="G1015" i="20"/>
  <c r="H1015" i="20" s="1"/>
  <c r="I1015" i="20" s="1"/>
  <c r="J1015" i="20" s="1"/>
  <c r="L1015" i="20" s="1"/>
  <c r="M1014" i="20"/>
  <c r="G1014" i="20"/>
  <c r="H1014" i="20" s="1"/>
  <c r="I1014" i="20" s="1"/>
  <c r="J1014" i="20" s="1"/>
  <c r="L1014" i="20" s="1"/>
  <c r="M1013" i="20"/>
  <c r="G1013" i="20"/>
  <c r="H1013" i="20" s="1"/>
  <c r="I1013" i="20" s="1"/>
  <c r="J1013" i="20" s="1"/>
  <c r="L1013" i="20" s="1"/>
  <c r="M1012" i="20"/>
  <c r="G1012" i="20"/>
  <c r="H1012" i="20" s="1"/>
  <c r="I1012" i="20" s="1"/>
  <c r="J1012" i="20" s="1"/>
  <c r="L1012" i="20" s="1"/>
  <c r="M1011" i="20"/>
  <c r="G1011" i="20"/>
  <c r="H1011" i="20" s="1"/>
  <c r="I1011" i="20" s="1"/>
  <c r="J1011" i="20" s="1"/>
  <c r="L1011" i="20" s="1"/>
  <c r="M1010" i="20"/>
  <c r="G1010" i="20"/>
  <c r="H1010" i="20" s="1"/>
  <c r="I1010" i="20" s="1"/>
  <c r="J1010" i="20" s="1"/>
  <c r="L1010" i="20" s="1"/>
  <c r="M1009" i="20"/>
  <c r="G1009" i="20"/>
  <c r="H1009" i="20" s="1"/>
  <c r="I1009" i="20" s="1"/>
  <c r="J1009" i="20" s="1"/>
  <c r="L1009" i="20" s="1"/>
  <c r="M1008" i="20"/>
  <c r="G1008" i="20"/>
  <c r="H1008" i="20" s="1"/>
  <c r="I1008" i="20" s="1"/>
  <c r="J1008" i="20" s="1"/>
  <c r="L1008" i="20" s="1"/>
  <c r="M1007" i="20"/>
  <c r="G1007" i="20"/>
  <c r="H1007" i="20" s="1"/>
  <c r="I1007" i="20" s="1"/>
  <c r="J1007" i="20" s="1"/>
  <c r="L1007" i="20" s="1"/>
  <c r="M1006" i="20"/>
  <c r="G1006" i="20"/>
  <c r="H1006" i="20" s="1"/>
  <c r="I1006" i="20" s="1"/>
  <c r="J1006" i="20" s="1"/>
  <c r="L1006" i="20" s="1"/>
  <c r="M1005" i="20"/>
  <c r="G1005" i="20"/>
  <c r="H1005" i="20" s="1"/>
  <c r="I1005" i="20" s="1"/>
  <c r="J1005" i="20" s="1"/>
  <c r="L1005" i="20" s="1"/>
  <c r="M1004" i="20"/>
  <c r="G1004" i="20"/>
  <c r="H1004" i="20" s="1"/>
  <c r="I1004" i="20" s="1"/>
  <c r="J1004" i="20" s="1"/>
  <c r="L1004" i="20" s="1"/>
  <c r="M1003" i="20"/>
  <c r="G1003" i="20"/>
  <c r="H1003" i="20" s="1"/>
  <c r="I1003" i="20" s="1"/>
  <c r="J1003" i="20" s="1"/>
  <c r="L1003" i="20" s="1"/>
  <c r="M1002" i="20"/>
  <c r="G1002" i="20"/>
  <c r="H1002" i="20" s="1"/>
  <c r="I1002" i="20" s="1"/>
  <c r="J1002" i="20" s="1"/>
  <c r="L1002" i="20" s="1"/>
  <c r="M1001" i="20"/>
  <c r="G1001" i="20"/>
  <c r="H1001" i="20" s="1"/>
  <c r="I1001" i="20" s="1"/>
  <c r="J1001" i="20" s="1"/>
  <c r="L1001" i="20" s="1"/>
  <c r="M1000" i="20"/>
  <c r="G1000" i="20"/>
  <c r="H1000" i="20" s="1"/>
  <c r="I1000" i="20" s="1"/>
  <c r="J1000" i="20" s="1"/>
  <c r="L1000" i="20" s="1"/>
  <c r="M999" i="20"/>
  <c r="G999" i="20"/>
  <c r="H999" i="20" s="1"/>
  <c r="I999" i="20" s="1"/>
  <c r="J999" i="20" s="1"/>
  <c r="L999" i="20" s="1"/>
  <c r="M998" i="20"/>
  <c r="G998" i="20"/>
  <c r="H998" i="20" s="1"/>
  <c r="I998" i="20" s="1"/>
  <c r="J998" i="20" s="1"/>
  <c r="L998" i="20" s="1"/>
  <c r="M997" i="20"/>
  <c r="G997" i="20"/>
  <c r="H997" i="20" s="1"/>
  <c r="I997" i="20" s="1"/>
  <c r="J997" i="20" s="1"/>
  <c r="L997" i="20" s="1"/>
  <c r="M996" i="20"/>
  <c r="G996" i="20"/>
  <c r="H996" i="20" s="1"/>
  <c r="I996" i="20" s="1"/>
  <c r="J996" i="20" s="1"/>
  <c r="L996" i="20" s="1"/>
  <c r="M995" i="20"/>
  <c r="G995" i="20"/>
  <c r="H995" i="20" s="1"/>
  <c r="I995" i="20" s="1"/>
  <c r="J995" i="20" s="1"/>
  <c r="L995" i="20" s="1"/>
  <c r="M994" i="20"/>
  <c r="G994" i="20"/>
  <c r="H994" i="20" s="1"/>
  <c r="I994" i="20" s="1"/>
  <c r="J994" i="20" s="1"/>
  <c r="L994" i="20" s="1"/>
  <c r="M993" i="20"/>
  <c r="G993" i="20"/>
  <c r="H993" i="20" s="1"/>
  <c r="I993" i="20" s="1"/>
  <c r="J993" i="20" s="1"/>
  <c r="L993" i="20" s="1"/>
  <c r="M992" i="20"/>
  <c r="G992" i="20"/>
  <c r="H992" i="20" s="1"/>
  <c r="I992" i="20" s="1"/>
  <c r="J992" i="20" s="1"/>
  <c r="L992" i="20" s="1"/>
  <c r="M991" i="20"/>
  <c r="G991" i="20"/>
  <c r="H991" i="20" s="1"/>
  <c r="I991" i="20" s="1"/>
  <c r="J991" i="20" s="1"/>
  <c r="L991" i="20" s="1"/>
  <c r="M990" i="20"/>
  <c r="G990" i="20"/>
  <c r="H990" i="20" s="1"/>
  <c r="I990" i="20" s="1"/>
  <c r="J990" i="20" s="1"/>
  <c r="L990" i="20" s="1"/>
  <c r="M989" i="20"/>
  <c r="G989" i="20"/>
  <c r="H989" i="20" s="1"/>
  <c r="I989" i="20" s="1"/>
  <c r="J989" i="20" s="1"/>
  <c r="L989" i="20" s="1"/>
  <c r="M988" i="20"/>
  <c r="G988" i="20"/>
  <c r="H988" i="20" s="1"/>
  <c r="I988" i="20" s="1"/>
  <c r="J988" i="20" s="1"/>
  <c r="L988" i="20" s="1"/>
  <c r="M987" i="20"/>
  <c r="G987" i="20"/>
  <c r="H987" i="20" s="1"/>
  <c r="I987" i="20" s="1"/>
  <c r="J987" i="20" s="1"/>
  <c r="L987" i="20" s="1"/>
  <c r="M986" i="20"/>
  <c r="G986" i="20"/>
  <c r="H986" i="20" s="1"/>
  <c r="I986" i="20" s="1"/>
  <c r="J986" i="20" s="1"/>
  <c r="L986" i="20" s="1"/>
  <c r="M985" i="20"/>
  <c r="G985" i="20"/>
  <c r="H985" i="20" s="1"/>
  <c r="I985" i="20" s="1"/>
  <c r="J985" i="20" s="1"/>
  <c r="L985" i="20" s="1"/>
  <c r="M984" i="20"/>
  <c r="G984" i="20"/>
  <c r="H984" i="20" s="1"/>
  <c r="I984" i="20" s="1"/>
  <c r="J984" i="20" s="1"/>
  <c r="L984" i="20" s="1"/>
  <c r="M983" i="20"/>
  <c r="G983" i="20"/>
  <c r="H983" i="20" s="1"/>
  <c r="I983" i="20" s="1"/>
  <c r="J983" i="20" s="1"/>
  <c r="L983" i="20" s="1"/>
  <c r="M982" i="20"/>
  <c r="G982" i="20"/>
  <c r="H982" i="20" s="1"/>
  <c r="I982" i="20" s="1"/>
  <c r="J982" i="20" s="1"/>
  <c r="L982" i="20" s="1"/>
  <c r="M981" i="20"/>
  <c r="G981" i="20"/>
  <c r="H981" i="20" s="1"/>
  <c r="I981" i="20" s="1"/>
  <c r="J981" i="20" s="1"/>
  <c r="L981" i="20" s="1"/>
  <c r="M980" i="20"/>
  <c r="G980" i="20"/>
  <c r="H980" i="20" s="1"/>
  <c r="I980" i="20" s="1"/>
  <c r="J980" i="20" s="1"/>
  <c r="L980" i="20" s="1"/>
  <c r="M979" i="20"/>
  <c r="G979" i="20"/>
  <c r="H979" i="20" s="1"/>
  <c r="I979" i="20" s="1"/>
  <c r="J979" i="20" s="1"/>
  <c r="L979" i="20" s="1"/>
  <c r="M978" i="20"/>
  <c r="G978" i="20"/>
  <c r="H978" i="20" s="1"/>
  <c r="I978" i="20" s="1"/>
  <c r="J978" i="20" s="1"/>
  <c r="L978" i="20" s="1"/>
  <c r="M977" i="20"/>
  <c r="G977" i="20"/>
  <c r="H977" i="20" s="1"/>
  <c r="I977" i="20" s="1"/>
  <c r="J977" i="20" s="1"/>
  <c r="L977" i="20" s="1"/>
  <c r="M976" i="20"/>
  <c r="G976" i="20"/>
  <c r="H976" i="20" s="1"/>
  <c r="I976" i="20" s="1"/>
  <c r="J976" i="20" s="1"/>
  <c r="L976" i="20" s="1"/>
  <c r="M975" i="20"/>
  <c r="G975" i="20"/>
  <c r="H975" i="20" s="1"/>
  <c r="I975" i="20" s="1"/>
  <c r="J975" i="20" s="1"/>
  <c r="L975" i="20" s="1"/>
  <c r="M974" i="20"/>
  <c r="G974" i="20"/>
  <c r="H974" i="20" s="1"/>
  <c r="I974" i="20" s="1"/>
  <c r="J974" i="20" s="1"/>
  <c r="L974" i="20" s="1"/>
  <c r="M973" i="20"/>
  <c r="G973" i="20"/>
  <c r="H973" i="20" s="1"/>
  <c r="I973" i="20" s="1"/>
  <c r="J973" i="20" s="1"/>
  <c r="L973" i="20" s="1"/>
  <c r="M972" i="20"/>
  <c r="G972" i="20"/>
  <c r="H972" i="20" s="1"/>
  <c r="I972" i="20" s="1"/>
  <c r="J972" i="20" s="1"/>
  <c r="L972" i="20" s="1"/>
  <c r="M971" i="20"/>
  <c r="G971" i="20"/>
  <c r="H971" i="20" s="1"/>
  <c r="I971" i="20" s="1"/>
  <c r="J971" i="20" s="1"/>
  <c r="L971" i="20" s="1"/>
  <c r="M970" i="20"/>
  <c r="G970" i="20"/>
  <c r="H970" i="20" s="1"/>
  <c r="I970" i="20" s="1"/>
  <c r="J970" i="20" s="1"/>
  <c r="L970" i="20" s="1"/>
  <c r="M969" i="20"/>
  <c r="G969" i="20"/>
  <c r="H969" i="20" s="1"/>
  <c r="I969" i="20" s="1"/>
  <c r="J969" i="20" s="1"/>
  <c r="L969" i="20" s="1"/>
  <c r="M968" i="20"/>
  <c r="G968" i="20"/>
  <c r="H968" i="20" s="1"/>
  <c r="I968" i="20" s="1"/>
  <c r="J968" i="20" s="1"/>
  <c r="L968" i="20" s="1"/>
  <c r="M967" i="20"/>
  <c r="G967" i="20"/>
  <c r="H967" i="20" s="1"/>
  <c r="I967" i="20" s="1"/>
  <c r="J967" i="20" s="1"/>
  <c r="L967" i="20" s="1"/>
  <c r="M966" i="20"/>
  <c r="G966" i="20"/>
  <c r="H966" i="20" s="1"/>
  <c r="I966" i="20" s="1"/>
  <c r="J966" i="20" s="1"/>
  <c r="L966" i="20" s="1"/>
  <c r="M965" i="20"/>
  <c r="G965" i="20"/>
  <c r="H965" i="20" s="1"/>
  <c r="I965" i="20" s="1"/>
  <c r="J965" i="20" s="1"/>
  <c r="L965" i="20" s="1"/>
  <c r="M964" i="20"/>
  <c r="G964" i="20"/>
  <c r="H964" i="20" s="1"/>
  <c r="I964" i="20" s="1"/>
  <c r="J964" i="20" s="1"/>
  <c r="L964" i="20" s="1"/>
  <c r="M963" i="20"/>
  <c r="G963" i="20"/>
  <c r="H963" i="20" s="1"/>
  <c r="I963" i="20" s="1"/>
  <c r="J963" i="20" s="1"/>
  <c r="L963" i="20" s="1"/>
  <c r="M962" i="20"/>
  <c r="G962" i="20"/>
  <c r="H962" i="20" s="1"/>
  <c r="I962" i="20" s="1"/>
  <c r="J962" i="20" s="1"/>
  <c r="L962" i="20" s="1"/>
  <c r="M961" i="20"/>
  <c r="G961" i="20"/>
  <c r="H961" i="20" s="1"/>
  <c r="I961" i="20" s="1"/>
  <c r="J961" i="20" s="1"/>
  <c r="L961" i="20" s="1"/>
  <c r="M960" i="20"/>
  <c r="G960" i="20"/>
  <c r="H960" i="20" s="1"/>
  <c r="I960" i="20" s="1"/>
  <c r="J960" i="20" s="1"/>
  <c r="L960" i="20" s="1"/>
  <c r="M959" i="20"/>
  <c r="G959" i="20"/>
  <c r="H959" i="20" s="1"/>
  <c r="I959" i="20" s="1"/>
  <c r="J959" i="20" s="1"/>
  <c r="L959" i="20" s="1"/>
  <c r="M958" i="20"/>
  <c r="G958" i="20"/>
  <c r="H958" i="20" s="1"/>
  <c r="I958" i="20" s="1"/>
  <c r="J958" i="20" s="1"/>
  <c r="L958" i="20" s="1"/>
  <c r="M957" i="20"/>
  <c r="G957" i="20"/>
  <c r="H957" i="20" s="1"/>
  <c r="I957" i="20" s="1"/>
  <c r="J957" i="20" s="1"/>
  <c r="L957" i="20" s="1"/>
  <c r="M956" i="20"/>
  <c r="G956" i="20"/>
  <c r="H956" i="20" s="1"/>
  <c r="I956" i="20" s="1"/>
  <c r="J956" i="20" s="1"/>
  <c r="L956" i="20" s="1"/>
  <c r="M955" i="20"/>
  <c r="G955" i="20"/>
  <c r="H955" i="20" s="1"/>
  <c r="I955" i="20" s="1"/>
  <c r="J955" i="20" s="1"/>
  <c r="L955" i="20" s="1"/>
  <c r="M954" i="20"/>
  <c r="G954" i="20"/>
  <c r="H954" i="20" s="1"/>
  <c r="I954" i="20" s="1"/>
  <c r="J954" i="20" s="1"/>
  <c r="L954" i="20" s="1"/>
  <c r="M953" i="20"/>
  <c r="G953" i="20"/>
  <c r="H953" i="20" s="1"/>
  <c r="I953" i="20" s="1"/>
  <c r="J953" i="20" s="1"/>
  <c r="L953" i="20" s="1"/>
  <c r="M952" i="20"/>
  <c r="G952" i="20"/>
  <c r="H952" i="20" s="1"/>
  <c r="I952" i="20" s="1"/>
  <c r="J952" i="20" s="1"/>
  <c r="L952" i="20" s="1"/>
  <c r="M951" i="20"/>
  <c r="G951" i="20"/>
  <c r="H951" i="20" s="1"/>
  <c r="I951" i="20" s="1"/>
  <c r="J951" i="20" s="1"/>
  <c r="L951" i="20" s="1"/>
  <c r="M950" i="20"/>
  <c r="G950" i="20"/>
  <c r="H950" i="20" s="1"/>
  <c r="I950" i="20" s="1"/>
  <c r="J950" i="20" s="1"/>
  <c r="L950" i="20" s="1"/>
  <c r="M949" i="20"/>
  <c r="G949" i="20"/>
  <c r="H949" i="20" s="1"/>
  <c r="I949" i="20" s="1"/>
  <c r="J949" i="20" s="1"/>
  <c r="L949" i="20" s="1"/>
  <c r="M948" i="20"/>
  <c r="G948" i="20"/>
  <c r="H948" i="20" s="1"/>
  <c r="I948" i="20" s="1"/>
  <c r="J948" i="20" s="1"/>
  <c r="L948" i="20" s="1"/>
  <c r="M947" i="20"/>
  <c r="G947" i="20"/>
  <c r="H947" i="20" s="1"/>
  <c r="I947" i="20" s="1"/>
  <c r="J947" i="20" s="1"/>
  <c r="L947" i="20" s="1"/>
  <c r="M946" i="20"/>
  <c r="G946" i="20"/>
  <c r="H946" i="20" s="1"/>
  <c r="I946" i="20" s="1"/>
  <c r="J946" i="20" s="1"/>
  <c r="L946" i="20" s="1"/>
  <c r="M945" i="20"/>
  <c r="G945" i="20"/>
  <c r="H945" i="20" s="1"/>
  <c r="I945" i="20" s="1"/>
  <c r="J945" i="20" s="1"/>
  <c r="L945" i="20" s="1"/>
  <c r="M944" i="20"/>
  <c r="G944" i="20"/>
  <c r="H944" i="20" s="1"/>
  <c r="I944" i="20" s="1"/>
  <c r="J944" i="20" s="1"/>
  <c r="L944" i="20" s="1"/>
  <c r="M943" i="20"/>
  <c r="G943" i="20"/>
  <c r="H943" i="20" s="1"/>
  <c r="I943" i="20" s="1"/>
  <c r="J943" i="20" s="1"/>
  <c r="L943" i="20" s="1"/>
  <c r="M942" i="20"/>
  <c r="G942" i="20"/>
  <c r="H942" i="20" s="1"/>
  <c r="I942" i="20" s="1"/>
  <c r="J942" i="20" s="1"/>
  <c r="L942" i="20" s="1"/>
  <c r="M941" i="20"/>
  <c r="G941" i="20"/>
  <c r="H941" i="20" s="1"/>
  <c r="I941" i="20" s="1"/>
  <c r="J941" i="20" s="1"/>
  <c r="L941" i="20" s="1"/>
  <c r="M940" i="20"/>
  <c r="G940" i="20"/>
  <c r="H940" i="20" s="1"/>
  <c r="I940" i="20" s="1"/>
  <c r="J940" i="20" s="1"/>
  <c r="L940" i="20" s="1"/>
  <c r="M939" i="20"/>
  <c r="G939" i="20"/>
  <c r="H939" i="20" s="1"/>
  <c r="I939" i="20" s="1"/>
  <c r="J939" i="20" s="1"/>
  <c r="L939" i="20" s="1"/>
  <c r="M938" i="20"/>
  <c r="G938" i="20"/>
  <c r="H938" i="20" s="1"/>
  <c r="I938" i="20" s="1"/>
  <c r="J938" i="20" s="1"/>
  <c r="L938" i="20" s="1"/>
  <c r="M937" i="20"/>
  <c r="G937" i="20"/>
  <c r="H937" i="20" s="1"/>
  <c r="I937" i="20" s="1"/>
  <c r="J937" i="20" s="1"/>
  <c r="L937" i="20" s="1"/>
  <c r="M936" i="20"/>
  <c r="G936" i="20"/>
  <c r="H936" i="20" s="1"/>
  <c r="I936" i="20" s="1"/>
  <c r="J936" i="20" s="1"/>
  <c r="L936" i="20" s="1"/>
  <c r="M935" i="20"/>
  <c r="G935" i="20"/>
  <c r="H935" i="20" s="1"/>
  <c r="I935" i="20" s="1"/>
  <c r="J935" i="20" s="1"/>
  <c r="L935" i="20" s="1"/>
  <c r="M934" i="20"/>
  <c r="G934" i="20"/>
  <c r="H934" i="20" s="1"/>
  <c r="I934" i="20" s="1"/>
  <c r="J934" i="20" s="1"/>
  <c r="L934" i="20" s="1"/>
  <c r="M933" i="20"/>
  <c r="G933" i="20"/>
  <c r="H933" i="20" s="1"/>
  <c r="I933" i="20" s="1"/>
  <c r="J933" i="20" s="1"/>
  <c r="L933" i="20" s="1"/>
  <c r="M932" i="20"/>
  <c r="G932" i="20"/>
  <c r="H932" i="20" s="1"/>
  <c r="I932" i="20" s="1"/>
  <c r="J932" i="20" s="1"/>
  <c r="L932" i="20" s="1"/>
  <c r="M931" i="20"/>
  <c r="G931" i="20"/>
  <c r="H931" i="20" s="1"/>
  <c r="I931" i="20" s="1"/>
  <c r="J931" i="20" s="1"/>
  <c r="L931" i="20" s="1"/>
  <c r="M930" i="20"/>
  <c r="G930" i="20"/>
  <c r="H930" i="20" s="1"/>
  <c r="I930" i="20" s="1"/>
  <c r="J930" i="20" s="1"/>
  <c r="L930" i="20" s="1"/>
  <c r="M929" i="20"/>
  <c r="G929" i="20"/>
  <c r="H929" i="20" s="1"/>
  <c r="I929" i="20" s="1"/>
  <c r="J929" i="20" s="1"/>
  <c r="L929" i="20" s="1"/>
  <c r="M928" i="20"/>
  <c r="G928" i="20"/>
  <c r="H928" i="20" s="1"/>
  <c r="I928" i="20" s="1"/>
  <c r="J928" i="20" s="1"/>
  <c r="L928" i="20" s="1"/>
  <c r="M927" i="20"/>
  <c r="G927" i="20"/>
  <c r="H927" i="20" s="1"/>
  <c r="I927" i="20" s="1"/>
  <c r="J927" i="20" s="1"/>
  <c r="L927" i="20" s="1"/>
  <c r="M926" i="20"/>
  <c r="G926" i="20"/>
  <c r="H926" i="20" s="1"/>
  <c r="I926" i="20" s="1"/>
  <c r="J926" i="20" s="1"/>
  <c r="L926" i="20" s="1"/>
  <c r="M925" i="20"/>
  <c r="G925" i="20"/>
  <c r="H925" i="20" s="1"/>
  <c r="I925" i="20" s="1"/>
  <c r="J925" i="20" s="1"/>
  <c r="L925" i="20" s="1"/>
  <c r="M924" i="20"/>
  <c r="G924" i="20"/>
  <c r="H924" i="20" s="1"/>
  <c r="I924" i="20" s="1"/>
  <c r="J924" i="20" s="1"/>
  <c r="L924" i="20" s="1"/>
  <c r="M923" i="20"/>
  <c r="G923" i="20"/>
  <c r="H923" i="20" s="1"/>
  <c r="I923" i="20" s="1"/>
  <c r="J923" i="20" s="1"/>
  <c r="L923" i="20" s="1"/>
  <c r="M922" i="20"/>
  <c r="G922" i="20"/>
  <c r="H922" i="20" s="1"/>
  <c r="I922" i="20" s="1"/>
  <c r="J922" i="20" s="1"/>
  <c r="L922" i="20" s="1"/>
  <c r="M921" i="20"/>
  <c r="G921" i="20"/>
  <c r="H921" i="20" s="1"/>
  <c r="I921" i="20" s="1"/>
  <c r="J921" i="20" s="1"/>
  <c r="L921" i="20" s="1"/>
  <c r="M920" i="20"/>
  <c r="G920" i="20"/>
  <c r="H920" i="20" s="1"/>
  <c r="I920" i="20" s="1"/>
  <c r="J920" i="20" s="1"/>
  <c r="L920" i="20" s="1"/>
  <c r="M919" i="20"/>
  <c r="G919" i="20"/>
  <c r="H919" i="20" s="1"/>
  <c r="I919" i="20" s="1"/>
  <c r="J919" i="20" s="1"/>
  <c r="L919" i="20" s="1"/>
  <c r="M918" i="20"/>
  <c r="G918" i="20"/>
  <c r="H918" i="20" s="1"/>
  <c r="I918" i="20" s="1"/>
  <c r="J918" i="20" s="1"/>
  <c r="L918" i="20" s="1"/>
  <c r="M917" i="20"/>
  <c r="G917" i="20"/>
  <c r="H917" i="20" s="1"/>
  <c r="I917" i="20" s="1"/>
  <c r="J917" i="20" s="1"/>
  <c r="L917" i="20" s="1"/>
  <c r="M916" i="20"/>
  <c r="G916" i="20"/>
  <c r="H916" i="20" s="1"/>
  <c r="I916" i="20" s="1"/>
  <c r="J916" i="20" s="1"/>
  <c r="L916" i="20" s="1"/>
  <c r="M915" i="20"/>
  <c r="G915" i="20"/>
  <c r="H915" i="20" s="1"/>
  <c r="I915" i="20" s="1"/>
  <c r="J915" i="20" s="1"/>
  <c r="L915" i="20" s="1"/>
  <c r="M914" i="20"/>
  <c r="G914" i="20"/>
  <c r="H914" i="20" s="1"/>
  <c r="I914" i="20" s="1"/>
  <c r="J914" i="20" s="1"/>
  <c r="L914" i="20" s="1"/>
  <c r="M913" i="20"/>
  <c r="G913" i="20"/>
  <c r="H913" i="20" s="1"/>
  <c r="I913" i="20" s="1"/>
  <c r="J913" i="20" s="1"/>
  <c r="L913" i="20" s="1"/>
  <c r="M912" i="20"/>
  <c r="G912" i="20"/>
  <c r="H912" i="20" s="1"/>
  <c r="I912" i="20" s="1"/>
  <c r="J912" i="20" s="1"/>
  <c r="L912" i="20" s="1"/>
  <c r="M911" i="20"/>
  <c r="G911" i="20"/>
  <c r="H911" i="20" s="1"/>
  <c r="I911" i="20" s="1"/>
  <c r="J911" i="20" s="1"/>
  <c r="L911" i="20" s="1"/>
  <c r="M910" i="20"/>
  <c r="G910" i="20"/>
  <c r="H910" i="20" s="1"/>
  <c r="I910" i="20" s="1"/>
  <c r="J910" i="20" s="1"/>
  <c r="L910" i="20" s="1"/>
  <c r="M909" i="20"/>
  <c r="G909" i="20"/>
  <c r="H909" i="20" s="1"/>
  <c r="I909" i="20" s="1"/>
  <c r="J909" i="20" s="1"/>
  <c r="L909" i="20" s="1"/>
  <c r="M908" i="20"/>
  <c r="G908" i="20"/>
  <c r="H908" i="20" s="1"/>
  <c r="I908" i="20" s="1"/>
  <c r="J908" i="20" s="1"/>
  <c r="L908" i="20" s="1"/>
  <c r="M907" i="20"/>
  <c r="G907" i="20"/>
  <c r="H907" i="20" s="1"/>
  <c r="I907" i="20" s="1"/>
  <c r="J907" i="20" s="1"/>
  <c r="L907" i="20" s="1"/>
  <c r="M906" i="20"/>
  <c r="G906" i="20"/>
  <c r="H906" i="20" s="1"/>
  <c r="I906" i="20" s="1"/>
  <c r="J906" i="20" s="1"/>
  <c r="L906" i="20" s="1"/>
  <c r="M905" i="20"/>
  <c r="G905" i="20"/>
  <c r="H905" i="20" s="1"/>
  <c r="I905" i="20" s="1"/>
  <c r="J905" i="20" s="1"/>
  <c r="L905" i="20" s="1"/>
  <c r="M904" i="20"/>
  <c r="H904" i="20"/>
  <c r="I904" i="20" s="1"/>
  <c r="J904" i="20" s="1"/>
  <c r="L904" i="20" s="1"/>
  <c r="G904" i="20"/>
  <c r="M903" i="20"/>
  <c r="G903" i="20"/>
  <c r="H903" i="20" s="1"/>
  <c r="I903" i="20" s="1"/>
  <c r="J903" i="20" s="1"/>
  <c r="L903" i="20" s="1"/>
  <c r="M902" i="20"/>
  <c r="G902" i="20"/>
  <c r="H902" i="20" s="1"/>
  <c r="I902" i="20" s="1"/>
  <c r="J902" i="20" s="1"/>
  <c r="L902" i="20" s="1"/>
  <c r="M901" i="20"/>
  <c r="G901" i="20"/>
  <c r="H901" i="20" s="1"/>
  <c r="I901" i="20" s="1"/>
  <c r="J901" i="20" s="1"/>
  <c r="L901" i="20" s="1"/>
  <c r="M900" i="20"/>
  <c r="G900" i="20"/>
  <c r="H900" i="20" s="1"/>
  <c r="I900" i="20" s="1"/>
  <c r="J900" i="20" s="1"/>
  <c r="L900" i="20" s="1"/>
  <c r="M899" i="20"/>
  <c r="G899" i="20"/>
  <c r="H899" i="20" s="1"/>
  <c r="I899" i="20" s="1"/>
  <c r="J899" i="20" s="1"/>
  <c r="L899" i="20" s="1"/>
  <c r="M898" i="20"/>
  <c r="G898" i="20"/>
  <c r="H898" i="20" s="1"/>
  <c r="I898" i="20" s="1"/>
  <c r="J898" i="20" s="1"/>
  <c r="L898" i="20" s="1"/>
  <c r="M897" i="20"/>
  <c r="G897" i="20"/>
  <c r="H897" i="20" s="1"/>
  <c r="I897" i="20" s="1"/>
  <c r="J897" i="20" s="1"/>
  <c r="L897" i="20" s="1"/>
  <c r="M896" i="20"/>
  <c r="G896" i="20"/>
  <c r="H896" i="20" s="1"/>
  <c r="I896" i="20" s="1"/>
  <c r="J896" i="20" s="1"/>
  <c r="L896" i="20" s="1"/>
  <c r="M895" i="20"/>
  <c r="G895" i="20"/>
  <c r="H895" i="20" s="1"/>
  <c r="I895" i="20" s="1"/>
  <c r="J895" i="20" s="1"/>
  <c r="L895" i="20" s="1"/>
  <c r="M894" i="20"/>
  <c r="G894" i="20"/>
  <c r="H894" i="20" s="1"/>
  <c r="I894" i="20" s="1"/>
  <c r="J894" i="20" s="1"/>
  <c r="L894" i="20" s="1"/>
  <c r="M893" i="20"/>
  <c r="G893" i="20"/>
  <c r="H893" i="20" s="1"/>
  <c r="I893" i="20" s="1"/>
  <c r="J893" i="20" s="1"/>
  <c r="L893" i="20" s="1"/>
  <c r="M892" i="20"/>
  <c r="G892" i="20"/>
  <c r="H892" i="20" s="1"/>
  <c r="I892" i="20" s="1"/>
  <c r="J892" i="20" s="1"/>
  <c r="L892" i="20" s="1"/>
  <c r="M891" i="20"/>
  <c r="G891" i="20"/>
  <c r="H891" i="20" s="1"/>
  <c r="I891" i="20" s="1"/>
  <c r="J891" i="20" s="1"/>
  <c r="L891" i="20" s="1"/>
  <c r="M890" i="20"/>
  <c r="G890" i="20"/>
  <c r="H890" i="20" s="1"/>
  <c r="I890" i="20" s="1"/>
  <c r="J890" i="20" s="1"/>
  <c r="L890" i="20" s="1"/>
  <c r="M889" i="20"/>
  <c r="G889" i="20"/>
  <c r="H889" i="20" s="1"/>
  <c r="I889" i="20" s="1"/>
  <c r="J889" i="20" s="1"/>
  <c r="L889" i="20" s="1"/>
  <c r="M888" i="20"/>
  <c r="G888" i="20"/>
  <c r="H888" i="20" s="1"/>
  <c r="I888" i="20" s="1"/>
  <c r="J888" i="20" s="1"/>
  <c r="L888" i="20" s="1"/>
  <c r="M887" i="20"/>
  <c r="G887" i="20"/>
  <c r="H887" i="20" s="1"/>
  <c r="I887" i="20" s="1"/>
  <c r="J887" i="20" s="1"/>
  <c r="L887" i="20" s="1"/>
  <c r="M886" i="20"/>
  <c r="G886" i="20"/>
  <c r="H886" i="20" s="1"/>
  <c r="I886" i="20" s="1"/>
  <c r="J886" i="20" s="1"/>
  <c r="L886" i="20" s="1"/>
  <c r="M885" i="20"/>
  <c r="G885" i="20"/>
  <c r="H885" i="20" s="1"/>
  <c r="I885" i="20" s="1"/>
  <c r="J885" i="20" s="1"/>
  <c r="L885" i="20" s="1"/>
  <c r="M884" i="20"/>
  <c r="G884" i="20"/>
  <c r="H884" i="20" s="1"/>
  <c r="I884" i="20" s="1"/>
  <c r="J884" i="20" s="1"/>
  <c r="L884" i="20" s="1"/>
  <c r="M883" i="20"/>
  <c r="G883" i="20"/>
  <c r="H883" i="20" s="1"/>
  <c r="I883" i="20" s="1"/>
  <c r="J883" i="20" s="1"/>
  <c r="L883" i="20" s="1"/>
  <c r="M882" i="20"/>
  <c r="G882" i="20"/>
  <c r="H882" i="20" s="1"/>
  <c r="I882" i="20" s="1"/>
  <c r="J882" i="20" s="1"/>
  <c r="L882" i="20" s="1"/>
  <c r="M881" i="20"/>
  <c r="G881" i="20"/>
  <c r="H881" i="20" s="1"/>
  <c r="I881" i="20" s="1"/>
  <c r="J881" i="20" s="1"/>
  <c r="L881" i="20" s="1"/>
  <c r="M880" i="20"/>
  <c r="G880" i="20"/>
  <c r="H880" i="20" s="1"/>
  <c r="I880" i="20" s="1"/>
  <c r="J880" i="20" s="1"/>
  <c r="L880" i="20" s="1"/>
  <c r="M879" i="20"/>
  <c r="G879" i="20"/>
  <c r="H879" i="20" s="1"/>
  <c r="I879" i="20" s="1"/>
  <c r="J879" i="20" s="1"/>
  <c r="L879" i="20" s="1"/>
  <c r="M878" i="20"/>
  <c r="G878" i="20"/>
  <c r="H878" i="20" s="1"/>
  <c r="I878" i="20" s="1"/>
  <c r="J878" i="20" s="1"/>
  <c r="L878" i="20" s="1"/>
  <c r="M877" i="20"/>
  <c r="G877" i="20"/>
  <c r="H877" i="20" s="1"/>
  <c r="I877" i="20" s="1"/>
  <c r="J877" i="20" s="1"/>
  <c r="L877" i="20" s="1"/>
  <c r="M876" i="20"/>
  <c r="G876" i="20"/>
  <c r="H876" i="20" s="1"/>
  <c r="I876" i="20" s="1"/>
  <c r="J876" i="20" s="1"/>
  <c r="L876" i="20" s="1"/>
  <c r="M875" i="20"/>
  <c r="G875" i="20"/>
  <c r="H875" i="20" s="1"/>
  <c r="I875" i="20" s="1"/>
  <c r="J875" i="20" s="1"/>
  <c r="L875" i="20" s="1"/>
  <c r="M874" i="20"/>
  <c r="G874" i="20"/>
  <c r="H874" i="20" s="1"/>
  <c r="I874" i="20" s="1"/>
  <c r="J874" i="20" s="1"/>
  <c r="L874" i="20" s="1"/>
  <c r="M873" i="20"/>
  <c r="G873" i="20"/>
  <c r="H873" i="20" s="1"/>
  <c r="I873" i="20" s="1"/>
  <c r="J873" i="20" s="1"/>
  <c r="L873" i="20" s="1"/>
  <c r="M872" i="20"/>
  <c r="G872" i="20"/>
  <c r="H872" i="20" s="1"/>
  <c r="I872" i="20" s="1"/>
  <c r="J872" i="20" s="1"/>
  <c r="L872" i="20" s="1"/>
  <c r="M871" i="20"/>
  <c r="G871" i="20"/>
  <c r="H871" i="20" s="1"/>
  <c r="I871" i="20" s="1"/>
  <c r="J871" i="20" s="1"/>
  <c r="L871" i="20" s="1"/>
  <c r="M870" i="20"/>
  <c r="G870" i="20"/>
  <c r="H870" i="20" s="1"/>
  <c r="I870" i="20" s="1"/>
  <c r="J870" i="20" s="1"/>
  <c r="L870" i="20" s="1"/>
  <c r="M869" i="20"/>
  <c r="G869" i="20"/>
  <c r="H869" i="20" s="1"/>
  <c r="I869" i="20" s="1"/>
  <c r="J869" i="20" s="1"/>
  <c r="L869" i="20" s="1"/>
  <c r="M868" i="20"/>
  <c r="G868" i="20"/>
  <c r="H868" i="20" s="1"/>
  <c r="I868" i="20" s="1"/>
  <c r="J868" i="20" s="1"/>
  <c r="L868" i="20" s="1"/>
  <c r="M867" i="20"/>
  <c r="G867" i="20"/>
  <c r="H867" i="20" s="1"/>
  <c r="I867" i="20" s="1"/>
  <c r="J867" i="20" s="1"/>
  <c r="L867" i="20" s="1"/>
  <c r="M866" i="20"/>
  <c r="G866" i="20"/>
  <c r="H866" i="20" s="1"/>
  <c r="I866" i="20" s="1"/>
  <c r="J866" i="20" s="1"/>
  <c r="L866" i="20" s="1"/>
  <c r="M865" i="20"/>
  <c r="G865" i="20"/>
  <c r="H865" i="20" s="1"/>
  <c r="I865" i="20" s="1"/>
  <c r="J865" i="20" s="1"/>
  <c r="L865" i="20" s="1"/>
  <c r="M864" i="20"/>
  <c r="G864" i="20"/>
  <c r="H864" i="20" s="1"/>
  <c r="I864" i="20" s="1"/>
  <c r="J864" i="20" s="1"/>
  <c r="L864" i="20" s="1"/>
  <c r="M863" i="20"/>
  <c r="G863" i="20"/>
  <c r="H863" i="20" s="1"/>
  <c r="I863" i="20" s="1"/>
  <c r="J863" i="20" s="1"/>
  <c r="L863" i="20" s="1"/>
  <c r="M862" i="20"/>
  <c r="G862" i="20"/>
  <c r="H862" i="20" s="1"/>
  <c r="I862" i="20" s="1"/>
  <c r="J862" i="20" s="1"/>
  <c r="L862" i="20" s="1"/>
  <c r="M861" i="20"/>
  <c r="G861" i="20"/>
  <c r="H861" i="20" s="1"/>
  <c r="I861" i="20" s="1"/>
  <c r="J861" i="20" s="1"/>
  <c r="L861" i="20" s="1"/>
  <c r="M860" i="20"/>
  <c r="G860" i="20"/>
  <c r="H860" i="20" s="1"/>
  <c r="I860" i="20" s="1"/>
  <c r="J860" i="20" s="1"/>
  <c r="L860" i="20" s="1"/>
  <c r="M859" i="20"/>
  <c r="G859" i="20"/>
  <c r="H859" i="20" s="1"/>
  <c r="I859" i="20" s="1"/>
  <c r="J859" i="20" s="1"/>
  <c r="L859" i="20" s="1"/>
  <c r="M858" i="20"/>
  <c r="G858" i="20"/>
  <c r="H858" i="20" s="1"/>
  <c r="I858" i="20" s="1"/>
  <c r="J858" i="20" s="1"/>
  <c r="L858" i="20" s="1"/>
  <c r="M857" i="20"/>
  <c r="G857" i="20"/>
  <c r="H857" i="20" s="1"/>
  <c r="I857" i="20" s="1"/>
  <c r="J857" i="20" s="1"/>
  <c r="L857" i="20" s="1"/>
  <c r="M856" i="20"/>
  <c r="G856" i="20"/>
  <c r="H856" i="20" s="1"/>
  <c r="I856" i="20" s="1"/>
  <c r="J856" i="20" s="1"/>
  <c r="L856" i="20" s="1"/>
  <c r="M855" i="20"/>
  <c r="G855" i="20"/>
  <c r="H855" i="20" s="1"/>
  <c r="I855" i="20" s="1"/>
  <c r="J855" i="20" s="1"/>
  <c r="L855" i="20" s="1"/>
  <c r="M854" i="20"/>
  <c r="G854" i="20"/>
  <c r="H854" i="20" s="1"/>
  <c r="I854" i="20" s="1"/>
  <c r="J854" i="20" s="1"/>
  <c r="L854" i="20" s="1"/>
  <c r="M853" i="20"/>
  <c r="G853" i="20"/>
  <c r="H853" i="20" s="1"/>
  <c r="I853" i="20" s="1"/>
  <c r="J853" i="20" s="1"/>
  <c r="L853" i="20" s="1"/>
  <c r="M852" i="20"/>
  <c r="G852" i="20"/>
  <c r="H852" i="20" s="1"/>
  <c r="I852" i="20" s="1"/>
  <c r="J852" i="20" s="1"/>
  <c r="L852" i="20" s="1"/>
  <c r="M851" i="20"/>
  <c r="G851" i="20"/>
  <c r="H851" i="20" s="1"/>
  <c r="I851" i="20" s="1"/>
  <c r="J851" i="20" s="1"/>
  <c r="L851" i="20" s="1"/>
  <c r="M850" i="20"/>
  <c r="G850" i="20"/>
  <c r="H850" i="20" s="1"/>
  <c r="I850" i="20" s="1"/>
  <c r="J850" i="20" s="1"/>
  <c r="L850" i="20" s="1"/>
  <c r="M849" i="20"/>
  <c r="G849" i="20"/>
  <c r="H849" i="20" s="1"/>
  <c r="I849" i="20" s="1"/>
  <c r="J849" i="20" s="1"/>
  <c r="L849" i="20" s="1"/>
  <c r="M848" i="20"/>
  <c r="G848" i="20"/>
  <c r="H848" i="20" s="1"/>
  <c r="I848" i="20" s="1"/>
  <c r="J848" i="20" s="1"/>
  <c r="L848" i="20" s="1"/>
  <c r="M847" i="20"/>
  <c r="G847" i="20"/>
  <c r="H847" i="20" s="1"/>
  <c r="I847" i="20" s="1"/>
  <c r="J847" i="20" s="1"/>
  <c r="L847" i="20" s="1"/>
  <c r="M846" i="20"/>
  <c r="G846" i="20"/>
  <c r="H846" i="20" s="1"/>
  <c r="I846" i="20" s="1"/>
  <c r="J846" i="20" s="1"/>
  <c r="L846" i="20" s="1"/>
  <c r="M845" i="20"/>
  <c r="G845" i="20"/>
  <c r="H845" i="20" s="1"/>
  <c r="I845" i="20" s="1"/>
  <c r="J845" i="20" s="1"/>
  <c r="L845" i="20" s="1"/>
  <c r="M844" i="20"/>
  <c r="G844" i="20"/>
  <c r="H844" i="20" s="1"/>
  <c r="I844" i="20" s="1"/>
  <c r="J844" i="20" s="1"/>
  <c r="L844" i="20" s="1"/>
  <c r="M843" i="20"/>
  <c r="G843" i="20"/>
  <c r="H843" i="20" s="1"/>
  <c r="I843" i="20" s="1"/>
  <c r="J843" i="20" s="1"/>
  <c r="L843" i="20" s="1"/>
  <c r="M842" i="20"/>
  <c r="G842" i="20"/>
  <c r="H842" i="20" s="1"/>
  <c r="I842" i="20" s="1"/>
  <c r="J842" i="20" s="1"/>
  <c r="L842" i="20" s="1"/>
  <c r="M841" i="20"/>
  <c r="G841" i="20"/>
  <c r="H841" i="20" s="1"/>
  <c r="I841" i="20" s="1"/>
  <c r="J841" i="20" s="1"/>
  <c r="L841" i="20" s="1"/>
  <c r="M840" i="20"/>
  <c r="G840" i="20"/>
  <c r="H840" i="20" s="1"/>
  <c r="I840" i="20" s="1"/>
  <c r="J840" i="20" s="1"/>
  <c r="L840" i="20" s="1"/>
  <c r="M839" i="20"/>
  <c r="G839" i="20"/>
  <c r="H839" i="20" s="1"/>
  <c r="I839" i="20" s="1"/>
  <c r="J839" i="20" s="1"/>
  <c r="L839" i="20" s="1"/>
  <c r="M838" i="20"/>
  <c r="G838" i="20"/>
  <c r="H838" i="20" s="1"/>
  <c r="I838" i="20" s="1"/>
  <c r="J838" i="20" s="1"/>
  <c r="L838" i="20" s="1"/>
  <c r="M837" i="20"/>
  <c r="G837" i="20"/>
  <c r="H837" i="20" s="1"/>
  <c r="I837" i="20" s="1"/>
  <c r="J837" i="20" s="1"/>
  <c r="L837" i="20" s="1"/>
  <c r="M836" i="20"/>
  <c r="G836" i="20"/>
  <c r="H836" i="20" s="1"/>
  <c r="I836" i="20" s="1"/>
  <c r="J836" i="20" s="1"/>
  <c r="L836" i="20" s="1"/>
  <c r="M835" i="20"/>
  <c r="G835" i="20"/>
  <c r="H835" i="20" s="1"/>
  <c r="I835" i="20" s="1"/>
  <c r="J835" i="20" s="1"/>
  <c r="L835" i="20" s="1"/>
  <c r="M834" i="20"/>
  <c r="G834" i="20"/>
  <c r="H834" i="20" s="1"/>
  <c r="I834" i="20" s="1"/>
  <c r="J834" i="20" s="1"/>
  <c r="L834" i="20" s="1"/>
  <c r="M833" i="20"/>
  <c r="G833" i="20"/>
  <c r="H833" i="20" s="1"/>
  <c r="I833" i="20" s="1"/>
  <c r="J833" i="20" s="1"/>
  <c r="L833" i="20" s="1"/>
  <c r="M832" i="20"/>
  <c r="G832" i="20"/>
  <c r="H832" i="20" s="1"/>
  <c r="I832" i="20" s="1"/>
  <c r="J832" i="20" s="1"/>
  <c r="L832" i="20" s="1"/>
  <c r="M831" i="20"/>
  <c r="G831" i="20"/>
  <c r="H831" i="20" s="1"/>
  <c r="I831" i="20" s="1"/>
  <c r="J831" i="20" s="1"/>
  <c r="L831" i="20" s="1"/>
  <c r="M830" i="20"/>
  <c r="G830" i="20"/>
  <c r="H830" i="20" s="1"/>
  <c r="I830" i="20" s="1"/>
  <c r="J830" i="20" s="1"/>
  <c r="L830" i="20" s="1"/>
  <c r="M829" i="20"/>
  <c r="G829" i="20"/>
  <c r="H829" i="20" s="1"/>
  <c r="I829" i="20" s="1"/>
  <c r="J829" i="20" s="1"/>
  <c r="L829" i="20" s="1"/>
  <c r="M828" i="20"/>
  <c r="G828" i="20"/>
  <c r="H828" i="20" s="1"/>
  <c r="I828" i="20" s="1"/>
  <c r="J828" i="20" s="1"/>
  <c r="L828" i="20" s="1"/>
  <c r="M827" i="20"/>
  <c r="G827" i="20"/>
  <c r="H827" i="20" s="1"/>
  <c r="I827" i="20" s="1"/>
  <c r="J827" i="20" s="1"/>
  <c r="L827" i="20" s="1"/>
  <c r="M826" i="20"/>
  <c r="G826" i="20"/>
  <c r="H826" i="20" s="1"/>
  <c r="I826" i="20" s="1"/>
  <c r="J826" i="20" s="1"/>
  <c r="L826" i="20" s="1"/>
  <c r="M825" i="20"/>
  <c r="G825" i="20"/>
  <c r="H825" i="20" s="1"/>
  <c r="I825" i="20" s="1"/>
  <c r="J825" i="20" s="1"/>
  <c r="L825" i="20" s="1"/>
  <c r="M824" i="20"/>
  <c r="G824" i="20"/>
  <c r="H824" i="20" s="1"/>
  <c r="I824" i="20" s="1"/>
  <c r="J824" i="20" s="1"/>
  <c r="L824" i="20" s="1"/>
  <c r="M823" i="20"/>
  <c r="G823" i="20"/>
  <c r="H823" i="20" s="1"/>
  <c r="I823" i="20" s="1"/>
  <c r="J823" i="20" s="1"/>
  <c r="L823" i="20" s="1"/>
  <c r="M822" i="20"/>
  <c r="G822" i="20"/>
  <c r="H822" i="20" s="1"/>
  <c r="I822" i="20" s="1"/>
  <c r="J822" i="20" s="1"/>
  <c r="L822" i="20" s="1"/>
  <c r="M821" i="20"/>
  <c r="G821" i="20"/>
  <c r="H821" i="20" s="1"/>
  <c r="I821" i="20" s="1"/>
  <c r="J821" i="20" s="1"/>
  <c r="L821" i="20" s="1"/>
  <c r="M820" i="20"/>
  <c r="G820" i="20"/>
  <c r="H820" i="20" s="1"/>
  <c r="I820" i="20" s="1"/>
  <c r="J820" i="20" s="1"/>
  <c r="L820" i="20" s="1"/>
  <c r="M819" i="20"/>
  <c r="G819" i="20"/>
  <c r="H819" i="20" s="1"/>
  <c r="I819" i="20" s="1"/>
  <c r="J819" i="20" s="1"/>
  <c r="L819" i="20" s="1"/>
  <c r="M818" i="20"/>
  <c r="G818" i="20"/>
  <c r="H818" i="20" s="1"/>
  <c r="I818" i="20" s="1"/>
  <c r="J818" i="20" s="1"/>
  <c r="L818" i="20" s="1"/>
  <c r="M817" i="20"/>
  <c r="G817" i="20"/>
  <c r="H817" i="20" s="1"/>
  <c r="I817" i="20" s="1"/>
  <c r="J817" i="20" s="1"/>
  <c r="L817" i="20" s="1"/>
  <c r="M816" i="20"/>
  <c r="G816" i="20"/>
  <c r="H816" i="20" s="1"/>
  <c r="I816" i="20" s="1"/>
  <c r="J816" i="20" s="1"/>
  <c r="L816" i="20" s="1"/>
  <c r="M815" i="20"/>
  <c r="G815" i="20"/>
  <c r="H815" i="20" s="1"/>
  <c r="I815" i="20" s="1"/>
  <c r="J815" i="20" s="1"/>
  <c r="L815" i="20" s="1"/>
  <c r="M814" i="20"/>
  <c r="G814" i="20"/>
  <c r="H814" i="20" s="1"/>
  <c r="I814" i="20" s="1"/>
  <c r="J814" i="20" s="1"/>
  <c r="L814" i="20" s="1"/>
  <c r="M813" i="20"/>
  <c r="G813" i="20"/>
  <c r="H813" i="20" s="1"/>
  <c r="I813" i="20" s="1"/>
  <c r="J813" i="20" s="1"/>
  <c r="L813" i="20" s="1"/>
  <c r="M812" i="20"/>
  <c r="G812" i="20"/>
  <c r="H812" i="20" s="1"/>
  <c r="I812" i="20" s="1"/>
  <c r="J812" i="20" s="1"/>
  <c r="L812" i="20" s="1"/>
  <c r="M811" i="20"/>
  <c r="G811" i="20"/>
  <c r="H811" i="20" s="1"/>
  <c r="I811" i="20" s="1"/>
  <c r="J811" i="20" s="1"/>
  <c r="L811" i="20" s="1"/>
  <c r="M810" i="20"/>
  <c r="G810" i="20"/>
  <c r="H810" i="20" s="1"/>
  <c r="I810" i="20" s="1"/>
  <c r="J810" i="20" s="1"/>
  <c r="L810" i="20" s="1"/>
  <c r="M809" i="20"/>
  <c r="G809" i="20"/>
  <c r="H809" i="20" s="1"/>
  <c r="I809" i="20" s="1"/>
  <c r="J809" i="20" s="1"/>
  <c r="L809" i="20" s="1"/>
  <c r="M808" i="20"/>
  <c r="G808" i="20"/>
  <c r="H808" i="20" s="1"/>
  <c r="I808" i="20" s="1"/>
  <c r="J808" i="20" s="1"/>
  <c r="L808" i="20" s="1"/>
  <c r="M807" i="20"/>
  <c r="G807" i="20"/>
  <c r="H807" i="20" s="1"/>
  <c r="I807" i="20" s="1"/>
  <c r="J807" i="20" s="1"/>
  <c r="L807" i="20" s="1"/>
  <c r="M806" i="20"/>
  <c r="G806" i="20"/>
  <c r="H806" i="20" s="1"/>
  <c r="I806" i="20" s="1"/>
  <c r="J806" i="20" s="1"/>
  <c r="L806" i="20" s="1"/>
  <c r="M805" i="20"/>
  <c r="G805" i="20"/>
  <c r="H805" i="20" s="1"/>
  <c r="I805" i="20" s="1"/>
  <c r="J805" i="20" s="1"/>
  <c r="L805" i="20" s="1"/>
  <c r="M804" i="20"/>
  <c r="G804" i="20"/>
  <c r="H804" i="20" s="1"/>
  <c r="I804" i="20" s="1"/>
  <c r="J804" i="20" s="1"/>
  <c r="L804" i="20" s="1"/>
  <c r="M803" i="20"/>
  <c r="G803" i="20"/>
  <c r="H803" i="20" s="1"/>
  <c r="I803" i="20" s="1"/>
  <c r="J803" i="20" s="1"/>
  <c r="L803" i="20" s="1"/>
  <c r="M802" i="20"/>
  <c r="G802" i="20"/>
  <c r="H802" i="20" s="1"/>
  <c r="I802" i="20" s="1"/>
  <c r="J802" i="20" s="1"/>
  <c r="L802" i="20" s="1"/>
  <c r="M801" i="20"/>
  <c r="G801" i="20"/>
  <c r="H801" i="20" s="1"/>
  <c r="I801" i="20" s="1"/>
  <c r="J801" i="20" s="1"/>
  <c r="L801" i="20" s="1"/>
  <c r="M800" i="20"/>
  <c r="G800" i="20"/>
  <c r="H800" i="20" s="1"/>
  <c r="I800" i="20" s="1"/>
  <c r="J800" i="20" s="1"/>
  <c r="L800" i="20" s="1"/>
  <c r="M799" i="20"/>
  <c r="G799" i="20"/>
  <c r="H799" i="20" s="1"/>
  <c r="I799" i="20" s="1"/>
  <c r="J799" i="20" s="1"/>
  <c r="L799" i="20" s="1"/>
  <c r="M798" i="20"/>
  <c r="G798" i="20"/>
  <c r="H798" i="20" s="1"/>
  <c r="I798" i="20" s="1"/>
  <c r="J798" i="20" s="1"/>
  <c r="L798" i="20" s="1"/>
  <c r="M797" i="20"/>
  <c r="G797" i="20"/>
  <c r="H797" i="20" s="1"/>
  <c r="I797" i="20" s="1"/>
  <c r="J797" i="20" s="1"/>
  <c r="L797" i="20" s="1"/>
  <c r="M796" i="20"/>
  <c r="G796" i="20"/>
  <c r="H796" i="20" s="1"/>
  <c r="I796" i="20" s="1"/>
  <c r="J796" i="20" s="1"/>
  <c r="L796" i="20" s="1"/>
  <c r="M795" i="20"/>
  <c r="G795" i="20"/>
  <c r="H795" i="20" s="1"/>
  <c r="I795" i="20" s="1"/>
  <c r="J795" i="20" s="1"/>
  <c r="L795" i="20" s="1"/>
  <c r="M794" i="20"/>
  <c r="G794" i="20"/>
  <c r="H794" i="20" s="1"/>
  <c r="I794" i="20" s="1"/>
  <c r="J794" i="20" s="1"/>
  <c r="L794" i="20" s="1"/>
  <c r="M793" i="20"/>
  <c r="G793" i="20"/>
  <c r="H793" i="20" s="1"/>
  <c r="I793" i="20" s="1"/>
  <c r="J793" i="20" s="1"/>
  <c r="L793" i="20" s="1"/>
  <c r="M792" i="20"/>
  <c r="G792" i="20"/>
  <c r="H792" i="20" s="1"/>
  <c r="I792" i="20" s="1"/>
  <c r="J792" i="20" s="1"/>
  <c r="L792" i="20" s="1"/>
  <c r="M791" i="20"/>
  <c r="G791" i="20"/>
  <c r="H791" i="20" s="1"/>
  <c r="I791" i="20" s="1"/>
  <c r="J791" i="20" s="1"/>
  <c r="L791" i="20" s="1"/>
  <c r="M790" i="20"/>
  <c r="G790" i="20"/>
  <c r="H790" i="20" s="1"/>
  <c r="I790" i="20" s="1"/>
  <c r="J790" i="20" s="1"/>
  <c r="L790" i="20" s="1"/>
  <c r="M789" i="20"/>
  <c r="G789" i="20"/>
  <c r="H789" i="20" s="1"/>
  <c r="I789" i="20" s="1"/>
  <c r="J789" i="20" s="1"/>
  <c r="L789" i="20" s="1"/>
  <c r="M788" i="20"/>
  <c r="G788" i="20"/>
  <c r="H788" i="20" s="1"/>
  <c r="I788" i="20" s="1"/>
  <c r="J788" i="20" s="1"/>
  <c r="L788" i="20" s="1"/>
  <c r="M787" i="20"/>
  <c r="G787" i="20"/>
  <c r="H787" i="20" s="1"/>
  <c r="I787" i="20" s="1"/>
  <c r="J787" i="20" s="1"/>
  <c r="L787" i="20" s="1"/>
  <c r="M786" i="20"/>
  <c r="G786" i="20"/>
  <c r="H786" i="20" s="1"/>
  <c r="I786" i="20" s="1"/>
  <c r="J786" i="20" s="1"/>
  <c r="L786" i="20" s="1"/>
  <c r="M785" i="20"/>
  <c r="G785" i="20"/>
  <c r="H785" i="20" s="1"/>
  <c r="I785" i="20" s="1"/>
  <c r="J785" i="20" s="1"/>
  <c r="L785" i="20" s="1"/>
  <c r="M784" i="20"/>
  <c r="G784" i="20"/>
  <c r="H784" i="20" s="1"/>
  <c r="I784" i="20" s="1"/>
  <c r="J784" i="20" s="1"/>
  <c r="L784" i="20" s="1"/>
  <c r="M783" i="20"/>
  <c r="G783" i="20"/>
  <c r="H783" i="20" s="1"/>
  <c r="I783" i="20" s="1"/>
  <c r="J783" i="20" s="1"/>
  <c r="L783" i="20" s="1"/>
  <c r="M782" i="20"/>
  <c r="G782" i="20"/>
  <c r="H782" i="20" s="1"/>
  <c r="I782" i="20" s="1"/>
  <c r="J782" i="20" s="1"/>
  <c r="L782" i="20" s="1"/>
  <c r="M781" i="20"/>
  <c r="G781" i="20"/>
  <c r="H781" i="20" s="1"/>
  <c r="I781" i="20" s="1"/>
  <c r="J781" i="20" s="1"/>
  <c r="L781" i="20" s="1"/>
  <c r="M780" i="20"/>
  <c r="G780" i="20"/>
  <c r="H780" i="20" s="1"/>
  <c r="I780" i="20" s="1"/>
  <c r="J780" i="20" s="1"/>
  <c r="L780" i="20" s="1"/>
  <c r="M779" i="20"/>
  <c r="G779" i="20"/>
  <c r="H779" i="20" s="1"/>
  <c r="I779" i="20" s="1"/>
  <c r="J779" i="20" s="1"/>
  <c r="L779" i="20" s="1"/>
  <c r="M778" i="20"/>
  <c r="G778" i="20"/>
  <c r="H778" i="20" s="1"/>
  <c r="I778" i="20" s="1"/>
  <c r="J778" i="20" s="1"/>
  <c r="L778" i="20" s="1"/>
  <c r="M777" i="20"/>
  <c r="G777" i="20"/>
  <c r="H777" i="20" s="1"/>
  <c r="I777" i="20" s="1"/>
  <c r="J777" i="20" s="1"/>
  <c r="L777" i="20" s="1"/>
  <c r="M776" i="20"/>
  <c r="G776" i="20"/>
  <c r="H776" i="20" s="1"/>
  <c r="I776" i="20" s="1"/>
  <c r="J776" i="20" s="1"/>
  <c r="L776" i="20" s="1"/>
  <c r="M775" i="20"/>
  <c r="G775" i="20"/>
  <c r="H775" i="20" s="1"/>
  <c r="I775" i="20" s="1"/>
  <c r="J775" i="20" s="1"/>
  <c r="L775" i="20" s="1"/>
  <c r="M774" i="20"/>
  <c r="G774" i="20"/>
  <c r="H774" i="20" s="1"/>
  <c r="I774" i="20" s="1"/>
  <c r="J774" i="20" s="1"/>
  <c r="L774" i="20" s="1"/>
  <c r="M773" i="20"/>
  <c r="G773" i="20"/>
  <c r="H773" i="20" s="1"/>
  <c r="I773" i="20" s="1"/>
  <c r="J773" i="20" s="1"/>
  <c r="L773" i="20" s="1"/>
  <c r="M772" i="20"/>
  <c r="G772" i="20"/>
  <c r="H772" i="20" s="1"/>
  <c r="I772" i="20" s="1"/>
  <c r="J772" i="20" s="1"/>
  <c r="L772" i="20" s="1"/>
  <c r="M771" i="20"/>
  <c r="H771" i="20"/>
  <c r="I771" i="20" s="1"/>
  <c r="J771" i="20" s="1"/>
  <c r="L771" i="20" s="1"/>
  <c r="G771" i="20"/>
  <c r="M770" i="20"/>
  <c r="G770" i="20"/>
  <c r="H770" i="20" s="1"/>
  <c r="I770" i="20" s="1"/>
  <c r="J770" i="20" s="1"/>
  <c r="L770" i="20" s="1"/>
  <c r="M769" i="20"/>
  <c r="G769" i="20"/>
  <c r="H769" i="20" s="1"/>
  <c r="I769" i="20" s="1"/>
  <c r="J769" i="20" s="1"/>
  <c r="L769" i="20" s="1"/>
  <c r="M768" i="20"/>
  <c r="G768" i="20"/>
  <c r="H768" i="20" s="1"/>
  <c r="I768" i="20" s="1"/>
  <c r="J768" i="20" s="1"/>
  <c r="L768" i="20" s="1"/>
  <c r="M767" i="20"/>
  <c r="G767" i="20"/>
  <c r="H767" i="20" s="1"/>
  <c r="I767" i="20" s="1"/>
  <c r="J767" i="20" s="1"/>
  <c r="L767" i="20" s="1"/>
  <c r="M766" i="20"/>
  <c r="G766" i="20"/>
  <c r="H766" i="20" s="1"/>
  <c r="I766" i="20" s="1"/>
  <c r="J766" i="20" s="1"/>
  <c r="L766" i="20" s="1"/>
  <c r="M765" i="20"/>
  <c r="G765" i="20"/>
  <c r="H765" i="20" s="1"/>
  <c r="I765" i="20" s="1"/>
  <c r="J765" i="20" s="1"/>
  <c r="L765" i="20" s="1"/>
  <c r="M764" i="20"/>
  <c r="G764" i="20"/>
  <c r="H764" i="20" s="1"/>
  <c r="I764" i="20" s="1"/>
  <c r="J764" i="20" s="1"/>
  <c r="L764" i="20" s="1"/>
  <c r="M763" i="20"/>
  <c r="G763" i="20"/>
  <c r="H763" i="20" s="1"/>
  <c r="I763" i="20" s="1"/>
  <c r="J763" i="20" s="1"/>
  <c r="L763" i="20" s="1"/>
  <c r="M762" i="20"/>
  <c r="G762" i="20"/>
  <c r="H762" i="20" s="1"/>
  <c r="I762" i="20" s="1"/>
  <c r="J762" i="20" s="1"/>
  <c r="L762" i="20" s="1"/>
  <c r="M761" i="20"/>
  <c r="G761" i="20"/>
  <c r="H761" i="20" s="1"/>
  <c r="I761" i="20" s="1"/>
  <c r="J761" i="20" s="1"/>
  <c r="L761" i="20" s="1"/>
  <c r="M760" i="20"/>
  <c r="G760" i="20"/>
  <c r="H760" i="20" s="1"/>
  <c r="I760" i="20" s="1"/>
  <c r="J760" i="20" s="1"/>
  <c r="L760" i="20" s="1"/>
  <c r="M759" i="20"/>
  <c r="G759" i="20"/>
  <c r="H759" i="20" s="1"/>
  <c r="I759" i="20" s="1"/>
  <c r="J759" i="20" s="1"/>
  <c r="L759" i="20" s="1"/>
  <c r="M758" i="20"/>
  <c r="G758" i="20"/>
  <c r="H758" i="20" s="1"/>
  <c r="I758" i="20" s="1"/>
  <c r="J758" i="20" s="1"/>
  <c r="L758" i="20" s="1"/>
  <c r="M757" i="20"/>
  <c r="G757" i="20"/>
  <c r="H757" i="20" s="1"/>
  <c r="I757" i="20" s="1"/>
  <c r="J757" i="20" s="1"/>
  <c r="L757" i="20" s="1"/>
  <c r="M756" i="20"/>
  <c r="G756" i="20"/>
  <c r="H756" i="20" s="1"/>
  <c r="I756" i="20" s="1"/>
  <c r="J756" i="20" s="1"/>
  <c r="L756" i="20" s="1"/>
  <c r="M755" i="20"/>
  <c r="G755" i="20"/>
  <c r="H755" i="20" s="1"/>
  <c r="I755" i="20" s="1"/>
  <c r="J755" i="20" s="1"/>
  <c r="L755" i="20" s="1"/>
  <c r="M754" i="20"/>
  <c r="G754" i="20"/>
  <c r="H754" i="20" s="1"/>
  <c r="I754" i="20" s="1"/>
  <c r="J754" i="20" s="1"/>
  <c r="L754" i="20" s="1"/>
  <c r="M753" i="20"/>
  <c r="G753" i="20"/>
  <c r="H753" i="20" s="1"/>
  <c r="I753" i="20" s="1"/>
  <c r="J753" i="20" s="1"/>
  <c r="L753" i="20" s="1"/>
  <c r="M752" i="20"/>
  <c r="G752" i="20"/>
  <c r="H752" i="20" s="1"/>
  <c r="I752" i="20" s="1"/>
  <c r="J752" i="20" s="1"/>
  <c r="L752" i="20" s="1"/>
  <c r="M751" i="20"/>
  <c r="G751" i="20"/>
  <c r="H751" i="20" s="1"/>
  <c r="I751" i="20" s="1"/>
  <c r="J751" i="20" s="1"/>
  <c r="L751" i="20" s="1"/>
  <c r="M750" i="20"/>
  <c r="G750" i="20"/>
  <c r="H750" i="20" s="1"/>
  <c r="I750" i="20" s="1"/>
  <c r="J750" i="20" s="1"/>
  <c r="L750" i="20" s="1"/>
  <c r="M749" i="20"/>
  <c r="G749" i="20"/>
  <c r="H749" i="20" s="1"/>
  <c r="I749" i="20" s="1"/>
  <c r="J749" i="20" s="1"/>
  <c r="L749" i="20" s="1"/>
  <c r="M748" i="20"/>
  <c r="G748" i="20"/>
  <c r="H748" i="20" s="1"/>
  <c r="I748" i="20" s="1"/>
  <c r="J748" i="20" s="1"/>
  <c r="L748" i="20" s="1"/>
  <c r="M747" i="20"/>
  <c r="G747" i="20"/>
  <c r="H747" i="20" s="1"/>
  <c r="I747" i="20" s="1"/>
  <c r="J747" i="20" s="1"/>
  <c r="L747" i="20" s="1"/>
  <c r="M746" i="20"/>
  <c r="G746" i="20"/>
  <c r="H746" i="20" s="1"/>
  <c r="I746" i="20" s="1"/>
  <c r="J746" i="20" s="1"/>
  <c r="L746" i="20" s="1"/>
  <c r="M745" i="20"/>
  <c r="G745" i="20"/>
  <c r="H745" i="20" s="1"/>
  <c r="I745" i="20" s="1"/>
  <c r="J745" i="20" s="1"/>
  <c r="L745" i="20" s="1"/>
  <c r="M744" i="20"/>
  <c r="G744" i="20"/>
  <c r="H744" i="20" s="1"/>
  <c r="I744" i="20" s="1"/>
  <c r="J744" i="20" s="1"/>
  <c r="L744" i="20" s="1"/>
  <c r="M743" i="20"/>
  <c r="G743" i="20"/>
  <c r="H743" i="20" s="1"/>
  <c r="I743" i="20" s="1"/>
  <c r="J743" i="20" s="1"/>
  <c r="L743" i="20" s="1"/>
  <c r="M742" i="20"/>
  <c r="G742" i="20"/>
  <c r="H742" i="20" s="1"/>
  <c r="I742" i="20" s="1"/>
  <c r="J742" i="20" s="1"/>
  <c r="L742" i="20" s="1"/>
  <c r="M741" i="20"/>
  <c r="G741" i="20"/>
  <c r="H741" i="20" s="1"/>
  <c r="I741" i="20" s="1"/>
  <c r="J741" i="20" s="1"/>
  <c r="L741" i="20" s="1"/>
  <c r="M740" i="20"/>
  <c r="G740" i="20"/>
  <c r="H740" i="20" s="1"/>
  <c r="I740" i="20" s="1"/>
  <c r="J740" i="20" s="1"/>
  <c r="L740" i="20" s="1"/>
  <c r="M739" i="20"/>
  <c r="G739" i="20"/>
  <c r="H739" i="20" s="1"/>
  <c r="I739" i="20" s="1"/>
  <c r="J739" i="20" s="1"/>
  <c r="L739" i="20" s="1"/>
  <c r="M738" i="20"/>
  <c r="G738" i="20"/>
  <c r="H738" i="20" s="1"/>
  <c r="I738" i="20" s="1"/>
  <c r="J738" i="20" s="1"/>
  <c r="L738" i="20" s="1"/>
  <c r="M737" i="20"/>
  <c r="G737" i="20"/>
  <c r="H737" i="20" s="1"/>
  <c r="I737" i="20" s="1"/>
  <c r="J737" i="20" s="1"/>
  <c r="L737" i="20" s="1"/>
  <c r="M736" i="20"/>
  <c r="G736" i="20"/>
  <c r="H736" i="20" s="1"/>
  <c r="I736" i="20" s="1"/>
  <c r="J736" i="20" s="1"/>
  <c r="L736" i="20" s="1"/>
  <c r="M735" i="20"/>
  <c r="G735" i="20"/>
  <c r="H735" i="20" s="1"/>
  <c r="I735" i="20" s="1"/>
  <c r="J735" i="20" s="1"/>
  <c r="L735" i="20" s="1"/>
  <c r="M734" i="20"/>
  <c r="G734" i="20"/>
  <c r="H734" i="20" s="1"/>
  <c r="I734" i="20" s="1"/>
  <c r="J734" i="20" s="1"/>
  <c r="L734" i="20" s="1"/>
  <c r="M733" i="20"/>
  <c r="G733" i="20"/>
  <c r="H733" i="20" s="1"/>
  <c r="I733" i="20" s="1"/>
  <c r="J733" i="20" s="1"/>
  <c r="L733" i="20" s="1"/>
  <c r="M732" i="20"/>
  <c r="G732" i="20"/>
  <c r="H732" i="20" s="1"/>
  <c r="I732" i="20" s="1"/>
  <c r="J732" i="20" s="1"/>
  <c r="L732" i="20" s="1"/>
  <c r="M731" i="20"/>
  <c r="G731" i="20"/>
  <c r="H731" i="20" s="1"/>
  <c r="I731" i="20" s="1"/>
  <c r="J731" i="20" s="1"/>
  <c r="L731" i="20" s="1"/>
  <c r="M730" i="20"/>
  <c r="G730" i="20"/>
  <c r="H730" i="20" s="1"/>
  <c r="I730" i="20" s="1"/>
  <c r="J730" i="20" s="1"/>
  <c r="L730" i="20" s="1"/>
  <c r="M729" i="20"/>
  <c r="G729" i="20"/>
  <c r="H729" i="20" s="1"/>
  <c r="I729" i="20" s="1"/>
  <c r="J729" i="20" s="1"/>
  <c r="L729" i="20" s="1"/>
  <c r="M728" i="20"/>
  <c r="G728" i="20"/>
  <c r="H728" i="20" s="1"/>
  <c r="I728" i="20" s="1"/>
  <c r="J728" i="20" s="1"/>
  <c r="L728" i="20" s="1"/>
  <c r="M727" i="20"/>
  <c r="G727" i="20"/>
  <c r="H727" i="20" s="1"/>
  <c r="I727" i="20" s="1"/>
  <c r="J727" i="20" s="1"/>
  <c r="L727" i="20" s="1"/>
  <c r="M726" i="20"/>
  <c r="G726" i="20"/>
  <c r="H726" i="20" s="1"/>
  <c r="I726" i="20" s="1"/>
  <c r="J726" i="20" s="1"/>
  <c r="L726" i="20" s="1"/>
  <c r="M725" i="20"/>
  <c r="G725" i="20"/>
  <c r="H725" i="20" s="1"/>
  <c r="I725" i="20" s="1"/>
  <c r="J725" i="20" s="1"/>
  <c r="L725" i="20" s="1"/>
  <c r="M724" i="20"/>
  <c r="G724" i="20"/>
  <c r="H724" i="20" s="1"/>
  <c r="I724" i="20" s="1"/>
  <c r="J724" i="20" s="1"/>
  <c r="L724" i="20" s="1"/>
  <c r="M723" i="20"/>
  <c r="G723" i="20"/>
  <c r="H723" i="20" s="1"/>
  <c r="I723" i="20" s="1"/>
  <c r="J723" i="20" s="1"/>
  <c r="L723" i="20" s="1"/>
  <c r="M722" i="20"/>
  <c r="G722" i="20"/>
  <c r="H722" i="20" s="1"/>
  <c r="I722" i="20" s="1"/>
  <c r="J722" i="20" s="1"/>
  <c r="L722" i="20" s="1"/>
  <c r="M721" i="20"/>
  <c r="G721" i="20"/>
  <c r="H721" i="20" s="1"/>
  <c r="I721" i="20" s="1"/>
  <c r="J721" i="20" s="1"/>
  <c r="L721" i="20" s="1"/>
  <c r="M720" i="20"/>
  <c r="G720" i="20"/>
  <c r="H720" i="20" s="1"/>
  <c r="I720" i="20" s="1"/>
  <c r="J720" i="20" s="1"/>
  <c r="L720" i="20" s="1"/>
  <c r="M719" i="20"/>
  <c r="G719" i="20"/>
  <c r="H719" i="20" s="1"/>
  <c r="I719" i="20" s="1"/>
  <c r="J719" i="20" s="1"/>
  <c r="L719" i="20" s="1"/>
  <c r="M718" i="20"/>
  <c r="G718" i="20"/>
  <c r="H718" i="20" s="1"/>
  <c r="I718" i="20" s="1"/>
  <c r="J718" i="20" s="1"/>
  <c r="L718" i="20" s="1"/>
  <c r="M717" i="20"/>
  <c r="G717" i="20"/>
  <c r="H717" i="20" s="1"/>
  <c r="I717" i="20" s="1"/>
  <c r="J717" i="20" s="1"/>
  <c r="L717" i="20" s="1"/>
  <c r="M716" i="20"/>
  <c r="G716" i="20"/>
  <c r="H716" i="20" s="1"/>
  <c r="I716" i="20" s="1"/>
  <c r="J716" i="20" s="1"/>
  <c r="L716" i="20" s="1"/>
  <c r="M715" i="20"/>
  <c r="G715" i="20"/>
  <c r="H715" i="20" s="1"/>
  <c r="I715" i="20" s="1"/>
  <c r="J715" i="20" s="1"/>
  <c r="L715" i="20" s="1"/>
  <c r="M714" i="20"/>
  <c r="G714" i="20"/>
  <c r="H714" i="20" s="1"/>
  <c r="I714" i="20" s="1"/>
  <c r="J714" i="20" s="1"/>
  <c r="L714" i="20" s="1"/>
  <c r="M713" i="20"/>
  <c r="G713" i="20"/>
  <c r="H713" i="20" s="1"/>
  <c r="I713" i="20" s="1"/>
  <c r="J713" i="20" s="1"/>
  <c r="L713" i="20" s="1"/>
  <c r="M712" i="20"/>
  <c r="G712" i="20"/>
  <c r="H712" i="20" s="1"/>
  <c r="I712" i="20" s="1"/>
  <c r="J712" i="20" s="1"/>
  <c r="L712" i="20" s="1"/>
  <c r="M711" i="20"/>
  <c r="G711" i="20"/>
  <c r="H711" i="20" s="1"/>
  <c r="I711" i="20" s="1"/>
  <c r="J711" i="20" s="1"/>
  <c r="L711" i="20" s="1"/>
  <c r="M710" i="20"/>
  <c r="G710" i="20"/>
  <c r="H710" i="20" s="1"/>
  <c r="I710" i="20" s="1"/>
  <c r="J710" i="20" s="1"/>
  <c r="L710" i="20" s="1"/>
  <c r="M709" i="20"/>
  <c r="G709" i="20"/>
  <c r="H709" i="20" s="1"/>
  <c r="I709" i="20" s="1"/>
  <c r="J709" i="20" s="1"/>
  <c r="L709" i="20" s="1"/>
  <c r="M708" i="20"/>
  <c r="G708" i="20"/>
  <c r="H708" i="20" s="1"/>
  <c r="I708" i="20" s="1"/>
  <c r="J708" i="20" s="1"/>
  <c r="L708" i="20" s="1"/>
  <c r="M707" i="20"/>
  <c r="G707" i="20"/>
  <c r="H707" i="20" s="1"/>
  <c r="I707" i="20" s="1"/>
  <c r="J707" i="20" s="1"/>
  <c r="L707" i="20" s="1"/>
  <c r="M706" i="20"/>
  <c r="G706" i="20"/>
  <c r="H706" i="20" s="1"/>
  <c r="I706" i="20" s="1"/>
  <c r="J706" i="20" s="1"/>
  <c r="L706" i="20" s="1"/>
  <c r="M705" i="20"/>
  <c r="G705" i="20"/>
  <c r="H705" i="20" s="1"/>
  <c r="I705" i="20" s="1"/>
  <c r="J705" i="20" s="1"/>
  <c r="L705" i="20" s="1"/>
  <c r="M704" i="20"/>
  <c r="G704" i="20"/>
  <c r="H704" i="20" s="1"/>
  <c r="I704" i="20" s="1"/>
  <c r="J704" i="20" s="1"/>
  <c r="L704" i="20" s="1"/>
  <c r="M703" i="20"/>
  <c r="G703" i="20"/>
  <c r="H703" i="20" s="1"/>
  <c r="I703" i="20" s="1"/>
  <c r="J703" i="20" s="1"/>
  <c r="L703" i="20" s="1"/>
  <c r="M702" i="20"/>
  <c r="G702" i="20"/>
  <c r="H702" i="20" s="1"/>
  <c r="I702" i="20" s="1"/>
  <c r="J702" i="20" s="1"/>
  <c r="L702" i="20" s="1"/>
  <c r="M701" i="20"/>
  <c r="G701" i="20"/>
  <c r="H701" i="20" s="1"/>
  <c r="I701" i="20" s="1"/>
  <c r="J701" i="20" s="1"/>
  <c r="L701" i="20" s="1"/>
  <c r="M700" i="20"/>
  <c r="G700" i="20"/>
  <c r="H700" i="20" s="1"/>
  <c r="I700" i="20" s="1"/>
  <c r="J700" i="20" s="1"/>
  <c r="L700" i="20" s="1"/>
  <c r="M699" i="20"/>
  <c r="G699" i="20"/>
  <c r="H699" i="20" s="1"/>
  <c r="I699" i="20" s="1"/>
  <c r="J699" i="20" s="1"/>
  <c r="L699" i="20" s="1"/>
  <c r="M698" i="20"/>
  <c r="G698" i="20"/>
  <c r="H698" i="20" s="1"/>
  <c r="I698" i="20" s="1"/>
  <c r="J698" i="20" s="1"/>
  <c r="L698" i="20" s="1"/>
  <c r="M697" i="20"/>
  <c r="G697" i="20"/>
  <c r="H697" i="20" s="1"/>
  <c r="I697" i="20" s="1"/>
  <c r="J697" i="20" s="1"/>
  <c r="L697" i="20" s="1"/>
  <c r="M696" i="20"/>
  <c r="G696" i="20"/>
  <c r="H696" i="20" s="1"/>
  <c r="I696" i="20" s="1"/>
  <c r="J696" i="20" s="1"/>
  <c r="L696" i="20" s="1"/>
  <c r="M695" i="20"/>
  <c r="G695" i="20"/>
  <c r="H695" i="20" s="1"/>
  <c r="I695" i="20" s="1"/>
  <c r="J695" i="20" s="1"/>
  <c r="L695" i="20" s="1"/>
  <c r="M694" i="20"/>
  <c r="G694" i="20"/>
  <c r="H694" i="20" s="1"/>
  <c r="I694" i="20" s="1"/>
  <c r="J694" i="20" s="1"/>
  <c r="L694" i="20" s="1"/>
  <c r="M693" i="20"/>
  <c r="G693" i="20"/>
  <c r="H693" i="20" s="1"/>
  <c r="I693" i="20" s="1"/>
  <c r="J693" i="20" s="1"/>
  <c r="L693" i="20" s="1"/>
  <c r="M692" i="20"/>
  <c r="G692" i="20"/>
  <c r="H692" i="20" s="1"/>
  <c r="I692" i="20" s="1"/>
  <c r="J692" i="20" s="1"/>
  <c r="L692" i="20" s="1"/>
  <c r="M691" i="20"/>
  <c r="G691" i="20"/>
  <c r="H691" i="20" s="1"/>
  <c r="I691" i="20" s="1"/>
  <c r="J691" i="20" s="1"/>
  <c r="L691" i="20" s="1"/>
  <c r="M690" i="20"/>
  <c r="G690" i="20"/>
  <c r="H690" i="20" s="1"/>
  <c r="I690" i="20" s="1"/>
  <c r="J690" i="20" s="1"/>
  <c r="L690" i="20" s="1"/>
  <c r="M689" i="20"/>
  <c r="G689" i="20"/>
  <c r="H689" i="20" s="1"/>
  <c r="I689" i="20" s="1"/>
  <c r="J689" i="20" s="1"/>
  <c r="L689" i="20" s="1"/>
  <c r="M688" i="20"/>
  <c r="G688" i="20"/>
  <c r="H688" i="20" s="1"/>
  <c r="I688" i="20" s="1"/>
  <c r="J688" i="20" s="1"/>
  <c r="L688" i="20" s="1"/>
  <c r="M687" i="20"/>
  <c r="G687" i="20"/>
  <c r="H687" i="20" s="1"/>
  <c r="I687" i="20" s="1"/>
  <c r="J687" i="20" s="1"/>
  <c r="L687" i="20" s="1"/>
  <c r="M686" i="20"/>
  <c r="G686" i="20"/>
  <c r="H686" i="20" s="1"/>
  <c r="I686" i="20" s="1"/>
  <c r="J686" i="20" s="1"/>
  <c r="L686" i="20" s="1"/>
  <c r="M685" i="20"/>
  <c r="G685" i="20"/>
  <c r="H685" i="20" s="1"/>
  <c r="I685" i="20" s="1"/>
  <c r="J685" i="20" s="1"/>
  <c r="L685" i="20" s="1"/>
  <c r="M684" i="20"/>
  <c r="G684" i="20"/>
  <c r="H684" i="20" s="1"/>
  <c r="I684" i="20" s="1"/>
  <c r="J684" i="20" s="1"/>
  <c r="L684" i="20" s="1"/>
  <c r="M683" i="20"/>
  <c r="G683" i="20"/>
  <c r="H683" i="20" s="1"/>
  <c r="I683" i="20" s="1"/>
  <c r="J683" i="20" s="1"/>
  <c r="L683" i="20" s="1"/>
  <c r="M682" i="20"/>
  <c r="G682" i="20"/>
  <c r="H682" i="20" s="1"/>
  <c r="I682" i="20" s="1"/>
  <c r="J682" i="20" s="1"/>
  <c r="L682" i="20" s="1"/>
  <c r="M681" i="20"/>
  <c r="G681" i="20"/>
  <c r="H681" i="20" s="1"/>
  <c r="I681" i="20" s="1"/>
  <c r="J681" i="20" s="1"/>
  <c r="L681" i="20" s="1"/>
  <c r="M680" i="20"/>
  <c r="G680" i="20"/>
  <c r="H680" i="20" s="1"/>
  <c r="I680" i="20" s="1"/>
  <c r="J680" i="20" s="1"/>
  <c r="L680" i="20" s="1"/>
  <c r="M679" i="20"/>
  <c r="G679" i="20"/>
  <c r="H679" i="20" s="1"/>
  <c r="I679" i="20" s="1"/>
  <c r="J679" i="20" s="1"/>
  <c r="L679" i="20" s="1"/>
  <c r="M678" i="20"/>
  <c r="G678" i="20"/>
  <c r="H678" i="20" s="1"/>
  <c r="I678" i="20" s="1"/>
  <c r="J678" i="20" s="1"/>
  <c r="L678" i="20" s="1"/>
  <c r="M677" i="20"/>
  <c r="G677" i="20"/>
  <c r="H677" i="20" s="1"/>
  <c r="I677" i="20" s="1"/>
  <c r="J677" i="20" s="1"/>
  <c r="L677" i="20" s="1"/>
  <c r="M676" i="20"/>
  <c r="G676" i="20"/>
  <c r="H676" i="20" s="1"/>
  <c r="I676" i="20" s="1"/>
  <c r="J676" i="20" s="1"/>
  <c r="L676" i="20" s="1"/>
  <c r="M675" i="20"/>
  <c r="G675" i="20"/>
  <c r="H675" i="20" s="1"/>
  <c r="I675" i="20" s="1"/>
  <c r="J675" i="20" s="1"/>
  <c r="L675" i="20" s="1"/>
  <c r="M674" i="20"/>
  <c r="G674" i="20"/>
  <c r="H674" i="20" s="1"/>
  <c r="I674" i="20" s="1"/>
  <c r="J674" i="20" s="1"/>
  <c r="L674" i="20" s="1"/>
  <c r="M673" i="20"/>
  <c r="G673" i="20"/>
  <c r="H673" i="20" s="1"/>
  <c r="I673" i="20" s="1"/>
  <c r="J673" i="20" s="1"/>
  <c r="L673" i="20" s="1"/>
  <c r="M672" i="20"/>
  <c r="G672" i="20"/>
  <c r="H672" i="20" s="1"/>
  <c r="I672" i="20" s="1"/>
  <c r="J672" i="20" s="1"/>
  <c r="L672" i="20" s="1"/>
  <c r="M671" i="20"/>
  <c r="G671" i="20"/>
  <c r="H671" i="20" s="1"/>
  <c r="I671" i="20" s="1"/>
  <c r="J671" i="20" s="1"/>
  <c r="L671" i="20" s="1"/>
  <c r="M670" i="20"/>
  <c r="G670" i="20"/>
  <c r="H670" i="20" s="1"/>
  <c r="I670" i="20" s="1"/>
  <c r="J670" i="20" s="1"/>
  <c r="L670" i="20" s="1"/>
  <c r="M669" i="20"/>
  <c r="G669" i="20"/>
  <c r="H669" i="20" s="1"/>
  <c r="I669" i="20" s="1"/>
  <c r="J669" i="20" s="1"/>
  <c r="L669" i="20" s="1"/>
  <c r="M668" i="20"/>
  <c r="G668" i="20"/>
  <c r="H668" i="20" s="1"/>
  <c r="I668" i="20" s="1"/>
  <c r="J668" i="20" s="1"/>
  <c r="L668" i="20" s="1"/>
  <c r="M667" i="20"/>
  <c r="G667" i="20"/>
  <c r="H667" i="20" s="1"/>
  <c r="I667" i="20" s="1"/>
  <c r="J667" i="20" s="1"/>
  <c r="L667" i="20" s="1"/>
  <c r="M666" i="20"/>
  <c r="G666" i="20"/>
  <c r="H666" i="20" s="1"/>
  <c r="I666" i="20" s="1"/>
  <c r="J666" i="20" s="1"/>
  <c r="L666" i="20" s="1"/>
  <c r="M665" i="20"/>
  <c r="G665" i="20"/>
  <c r="H665" i="20" s="1"/>
  <c r="I665" i="20" s="1"/>
  <c r="J665" i="20" s="1"/>
  <c r="L665" i="20" s="1"/>
  <c r="M664" i="20"/>
  <c r="G664" i="20"/>
  <c r="H664" i="20" s="1"/>
  <c r="I664" i="20" s="1"/>
  <c r="J664" i="20" s="1"/>
  <c r="L664" i="20" s="1"/>
  <c r="M663" i="20"/>
  <c r="G663" i="20"/>
  <c r="H663" i="20" s="1"/>
  <c r="I663" i="20" s="1"/>
  <c r="J663" i="20" s="1"/>
  <c r="L663" i="20" s="1"/>
  <c r="M662" i="20"/>
  <c r="G662" i="20"/>
  <c r="H662" i="20" s="1"/>
  <c r="I662" i="20" s="1"/>
  <c r="J662" i="20" s="1"/>
  <c r="L662" i="20" s="1"/>
  <c r="M661" i="20"/>
  <c r="G661" i="20"/>
  <c r="H661" i="20" s="1"/>
  <c r="I661" i="20" s="1"/>
  <c r="J661" i="20" s="1"/>
  <c r="L661" i="20" s="1"/>
  <c r="M660" i="20"/>
  <c r="G660" i="20"/>
  <c r="H660" i="20" s="1"/>
  <c r="I660" i="20" s="1"/>
  <c r="J660" i="20" s="1"/>
  <c r="L660" i="20" s="1"/>
  <c r="M659" i="20"/>
  <c r="G659" i="20"/>
  <c r="H659" i="20" s="1"/>
  <c r="I659" i="20" s="1"/>
  <c r="J659" i="20" s="1"/>
  <c r="L659" i="20" s="1"/>
  <c r="M658" i="20"/>
  <c r="G658" i="20"/>
  <c r="H658" i="20" s="1"/>
  <c r="I658" i="20" s="1"/>
  <c r="J658" i="20" s="1"/>
  <c r="L658" i="20" s="1"/>
  <c r="M657" i="20"/>
  <c r="G657" i="20"/>
  <c r="H657" i="20" s="1"/>
  <c r="I657" i="20" s="1"/>
  <c r="J657" i="20" s="1"/>
  <c r="L657" i="20" s="1"/>
  <c r="M656" i="20"/>
  <c r="G656" i="20"/>
  <c r="H656" i="20" s="1"/>
  <c r="I656" i="20" s="1"/>
  <c r="J656" i="20" s="1"/>
  <c r="L656" i="20" s="1"/>
  <c r="M655" i="20"/>
  <c r="G655" i="20"/>
  <c r="H655" i="20" s="1"/>
  <c r="I655" i="20" s="1"/>
  <c r="J655" i="20" s="1"/>
  <c r="L655" i="20" s="1"/>
  <c r="M654" i="20"/>
  <c r="G654" i="20"/>
  <c r="H654" i="20" s="1"/>
  <c r="I654" i="20" s="1"/>
  <c r="J654" i="20" s="1"/>
  <c r="L654" i="20" s="1"/>
  <c r="M653" i="20"/>
  <c r="G653" i="20"/>
  <c r="H653" i="20" s="1"/>
  <c r="I653" i="20" s="1"/>
  <c r="J653" i="20" s="1"/>
  <c r="L653" i="20" s="1"/>
  <c r="M652" i="20"/>
  <c r="G652" i="20"/>
  <c r="H652" i="20" s="1"/>
  <c r="I652" i="20" s="1"/>
  <c r="J652" i="20" s="1"/>
  <c r="L652" i="20" s="1"/>
  <c r="M651" i="20"/>
  <c r="G651" i="20"/>
  <c r="H651" i="20" s="1"/>
  <c r="I651" i="20" s="1"/>
  <c r="J651" i="20" s="1"/>
  <c r="L651" i="20" s="1"/>
  <c r="M650" i="20"/>
  <c r="G650" i="20"/>
  <c r="H650" i="20" s="1"/>
  <c r="I650" i="20" s="1"/>
  <c r="J650" i="20" s="1"/>
  <c r="L650" i="20" s="1"/>
  <c r="M649" i="20"/>
  <c r="G649" i="20"/>
  <c r="H649" i="20" s="1"/>
  <c r="I649" i="20" s="1"/>
  <c r="J649" i="20" s="1"/>
  <c r="L649" i="20" s="1"/>
  <c r="M648" i="20"/>
  <c r="G648" i="20"/>
  <c r="H648" i="20" s="1"/>
  <c r="I648" i="20" s="1"/>
  <c r="J648" i="20" s="1"/>
  <c r="L648" i="20" s="1"/>
  <c r="M647" i="20"/>
  <c r="G647" i="20"/>
  <c r="H647" i="20" s="1"/>
  <c r="I647" i="20" s="1"/>
  <c r="J647" i="20" s="1"/>
  <c r="L647" i="20" s="1"/>
  <c r="M646" i="20"/>
  <c r="G646" i="20"/>
  <c r="H646" i="20" s="1"/>
  <c r="I646" i="20" s="1"/>
  <c r="J646" i="20" s="1"/>
  <c r="L646" i="20" s="1"/>
  <c r="M645" i="20"/>
  <c r="G645" i="20"/>
  <c r="H645" i="20" s="1"/>
  <c r="I645" i="20" s="1"/>
  <c r="J645" i="20" s="1"/>
  <c r="L645" i="20" s="1"/>
  <c r="M644" i="20"/>
  <c r="G644" i="20"/>
  <c r="H644" i="20" s="1"/>
  <c r="I644" i="20" s="1"/>
  <c r="J644" i="20" s="1"/>
  <c r="L644" i="20" s="1"/>
  <c r="M643" i="20"/>
  <c r="G643" i="20"/>
  <c r="H643" i="20" s="1"/>
  <c r="I643" i="20" s="1"/>
  <c r="J643" i="20" s="1"/>
  <c r="L643" i="20" s="1"/>
  <c r="M642" i="20"/>
  <c r="G642" i="20"/>
  <c r="H642" i="20" s="1"/>
  <c r="I642" i="20" s="1"/>
  <c r="J642" i="20" s="1"/>
  <c r="L642" i="20" s="1"/>
  <c r="M641" i="20"/>
  <c r="G641" i="20"/>
  <c r="H641" i="20" s="1"/>
  <c r="I641" i="20" s="1"/>
  <c r="J641" i="20" s="1"/>
  <c r="L641" i="20" s="1"/>
  <c r="M640" i="20"/>
  <c r="G640" i="20"/>
  <c r="H640" i="20" s="1"/>
  <c r="I640" i="20" s="1"/>
  <c r="J640" i="20" s="1"/>
  <c r="L640" i="20" s="1"/>
  <c r="M639" i="20"/>
  <c r="G639" i="20"/>
  <c r="H639" i="20" s="1"/>
  <c r="I639" i="20" s="1"/>
  <c r="J639" i="20" s="1"/>
  <c r="L639" i="20" s="1"/>
  <c r="M638" i="20"/>
  <c r="G638" i="20"/>
  <c r="H638" i="20" s="1"/>
  <c r="I638" i="20" s="1"/>
  <c r="J638" i="20" s="1"/>
  <c r="L638" i="20" s="1"/>
  <c r="M637" i="20"/>
  <c r="G637" i="20"/>
  <c r="H637" i="20" s="1"/>
  <c r="I637" i="20" s="1"/>
  <c r="J637" i="20" s="1"/>
  <c r="L637" i="20" s="1"/>
  <c r="M636" i="20"/>
  <c r="G636" i="20"/>
  <c r="H636" i="20" s="1"/>
  <c r="I636" i="20" s="1"/>
  <c r="J636" i="20" s="1"/>
  <c r="L636" i="20" s="1"/>
  <c r="M635" i="20"/>
  <c r="G635" i="20"/>
  <c r="H635" i="20" s="1"/>
  <c r="I635" i="20" s="1"/>
  <c r="J635" i="20" s="1"/>
  <c r="L635" i="20" s="1"/>
  <c r="M634" i="20"/>
  <c r="G634" i="20"/>
  <c r="H634" i="20" s="1"/>
  <c r="I634" i="20" s="1"/>
  <c r="J634" i="20" s="1"/>
  <c r="L634" i="20" s="1"/>
  <c r="M633" i="20"/>
  <c r="G633" i="20"/>
  <c r="H633" i="20" s="1"/>
  <c r="I633" i="20" s="1"/>
  <c r="J633" i="20" s="1"/>
  <c r="L633" i="20" s="1"/>
  <c r="M632" i="20"/>
  <c r="G632" i="20"/>
  <c r="H632" i="20" s="1"/>
  <c r="I632" i="20" s="1"/>
  <c r="J632" i="20" s="1"/>
  <c r="L632" i="20" s="1"/>
  <c r="M631" i="20"/>
  <c r="G631" i="20"/>
  <c r="H631" i="20" s="1"/>
  <c r="I631" i="20" s="1"/>
  <c r="J631" i="20" s="1"/>
  <c r="L631" i="20" s="1"/>
  <c r="M630" i="20"/>
  <c r="G630" i="20"/>
  <c r="H630" i="20" s="1"/>
  <c r="I630" i="20" s="1"/>
  <c r="J630" i="20" s="1"/>
  <c r="L630" i="20" s="1"/>
  <c r="M629" i="20"/>
  <c r="G629" i="20"/>
  <c r="H629" i="20" s="1"/>
  <c r="I629" i="20" s="1"/>
  <c r="J629" i="20" s="1"/>
  <c r="L629" i="20" s="1"/>
  <c r="M628" i="20"/>
  <c r="G628" i="20"/>
  <c r="H628" i="20" s="1"/>
  <c r="I628" i="20" s="1"/>
  <c r="J628" i="20" s="1"/>
  <c r="L628" i="20" s="1"/>
  <c r="M627" i="20"/>
  <c r="G627" i="20"/>
  <c r="H627" i="20" s="1"/>
  <c r="I627" i="20" s="1"/>
  <c r="J627" i="20" s="1"/>
  <c r="L627" i="20" s="1"/>
  <c r="M626" i="20"/>
  <c r="G626" i="20"/>
  <c r="H626" i="20" s="1"/>
  <c r="I626" i="20" s="1"/>
  <c r="J626" i="20" s="1"/>
  <c r="L626" i="20" s="1"/>
  <c r="M625" i="20"/>
  <c r="G625" i="20"/>
  <c r="H625" i="20" s="1"/>
  <c r="I625" i="20" s="1"/>
  <c r="J625" i="20" s="1"/>
  <c r="L625" i="20" s="1"/>
  <c r="M624" i="20"/>
  <c r="G624" i="20"/>
  <c r="H624" i="20" s="1"/>
  <c r="I624" i="20" s="1"/>
  <c r="J624" i="20" s="1"/>
  <c r="L624" i="20" s="1"/>
  <c r="M623" i="20"/>
  <c r="G623" i="20"/>
  <c r="H623" i="20" s="1"/>
  <c r="I623" i="20" s="1"/>
  <c r="J623" i="20" s="1"/>
  <c r="L623" i="20" s="1"/>
  <c r="M622" i="20"/>
  <c r="G622" i="20"/>
  <c r="H622" i="20" s="1"/>
  <c r="I622" i="20" s="1"/>
  <c r="J622" i="20" s="1"/>
  <c r="L622" i="20" s="1"/>
  <c r="M621" i="20"/>
  <c r="G621" i="20"/>
  <c r="H621" i="20" s="1"/>
  <c r="I621" i="20" s="1"/>
  <c r="J621" i="20" s="1"/>
  <c r="L621" i="20" s="1"/>
  <c r="M620" i="20"/>
  <c r="G620" i="20"/>
  <c r="H620" i="20" s="1"/>
  <c r="I620" i="20" s="1"/>
  <c r="J620" i="20" s="1"/>
  <c r="L620" i="20" s="1"/>
  <c r="M619" i="20"/>
  <c r="G619" i="20"/>
  <c r="H619" i="20" s="1"/>
  <c r="I619" i="20" s="1"/>
  <c r="J619" i="20" s="1"/>
  <c r="L619" i="20" s="1"/>
  <c r="M618" i="20"/>
  <c r="G618" i="20"/>
  <c r="H618" i="20" s="1"/>
  <c r="I618" i="20" s="1"/>
  <c r="J618" i="20" s="1"/>
  <c r="L618" i="20" s="1"/>
  <c r="M617" i="20"/>
  <c r="G617" i="20"/>
  <c r="H617" i="20" s="1"/>
  <c r="I617" i="20" s="1"/>
  <c r="J617" i="20" s="1"/>
  <c r="L617" i="20" s="1"/>
  <c r="M616" i="20"/>
  <c r="G616" i="20"/>
  <c r="H616" i="20" s="1"/>
  <c r="I616" i="20" s="1"/>
  <c r="J616" i="20" s="1"/>
  <c r="L616" i="20" s="1"/>
  <c r="M615" i="20"/>
  <c r="G615" i="20"/>
  <c r="H615" i="20" s="1"/>
  <c r="I615" i="20" s="1"/>
  <c r="J615" i="20" s="1"/>
  <c r="L615" i="20" s="1"/>
  <c r="M614" i="20"/>
  <c r="G614" i="20"/>
  <c r="H614" i="20" s="1"/>
  <c r="I614" i="20" s="1"/>
  <c r="J614" i="20" s="1"/>
  <c r="L614" i="20" s="1"/>
  <c r="M613" i="20"/>
  <c r="G613" i="20"/>
  <c r="H613" i="20" s="1"/>
  <c r="I613" i="20" s="1"/>
  <c r="J613" i="20" s="1"/>
  <c r="L613" i="20" s="1"/>
  <c r="M612" i="20"/>
  <c r="G612" i="20"/>
  <c r="H612" i="20" s="1"/>
  <c r="I612" i="20" s="1"/>
  <c r="J612" i="20" s="1"/>
  <c r="L612" i="20" s="1"/>
  <c r="M611" i="20"/>
  <c r="G611" i="20"/>
  <c r="H611" i="20" s="1"/>
  <c r="I611" i="20" s="1"/>
  <c r="J611" i="20" s="1"/>
  <c r="L611" i="20" s="1"/>
  <c r="M610" i="20"/>
  <c r="G610" i="20"/>
  <c r="H610" i="20" s="1"/>
  <c r="I610" i="20" s="1"/>
  <c r="J610" i="20" s="1"/>
  <c r="L610" i="20" s="1"/>
  <c r="M609" i="20"/>
  <c r="G609" i="20"/>
  <c r="H609" i="20" s="1"/>
  <c r="I609" i="20" s="1"/>
  <c r="J609" i="20" s="1"/>
  <c r="L609" i="20" s="1"/>
  <c r="M608" i="20"/>
  <c r="G608" i="20"/>
  <c r="H608" i="20" s="1"/>
  <c r="I608" i="20" s="1"/>
  <c r="J608" i="20" s="1"/>
  <c r="L608" i="20" s="1"/>
  <c r="M607" i="20"/>
  <c r="G607" i="20"/>
  <c r="H607" i="20" s="1"/>
  <c r="I607" i="20" s="1"/>
  <c r="J607" i="20" s="1"/>
  <c r="L607" i="20" s="1"/>
  <c r="M606" i="20"/>
  <c r="G606" i="20"/>
  <c r="H606" i="20" s="1"/>
  <c r="I606" i="20" s="1"/>
  <c r="J606" i="20" s="1"/>
  <c r="L606" i="20" s="1"/>
  <c r="M605" i="20"/>
  <c r="G605" i="20"/>
  <c r="H605" i="20" s="1"/>
  <c r="I605" i="20" s="1"/>
  <c r="J605" i="20" s="1"/>
  <c r="L605" i="20" s="1"/>
  <c r="M604" i="20"/>
  <c r="G604" i="20"/>
  <c r="H604" i="20" s="1"/>
  <c r="I604" i="20" s="1"/>
  <c r="J604" i="20" s="1"/>
  <c r="L604" i="20" s="1"/>
  <c r="M603" i="20"/>
  <c r="G603" i="20"/>
  <c r="H603" i="20" s="1"/>
  <c r="I603" i="20" s="1"/>
  <c r="J603" i="20" s="1"/>
  <c r="L603" i="20" s="1"/>
  <c r="M602" i="20"/>
  <c r="G602" i="20"/>
  <c r="H602" i="20" s="1"/>
  <c r="I602" i="20" s="1"/>
  <c r="J602" i="20" s="1"/>
  <c r="L602" i="20" s="1"/>
  <c r="M601" i="20"/>
  <c r="G601" i="20"/>
  <c r="H601" i="20" s="1"/>
  <c r="I601" i="20" s="1"/>
  <c r="J601" i="20" s="1"/>
  <c r="L601" i="20" s="1"/>
  <c r="M600" i="20"/>
  <c r="G600" i="20"/>
  <c r="H600" i="20" s="1"/>
  <c r="I600" i="20" s="1"/>
  <c r="J600" i="20" s="1"/>
  <c r="L600" i="20" s="1"/>
  <c r="M599" i="20"/>
  <c r="G599" i="20"/>
  <c r="H599" i="20" s="1"/>
  <c r="I599" i="20" s="1"/>
  <c r="J599" i="20" s="1"/>
  <c r="L599" i="20" s="1"/>
  <c r="M598" i="20"/>
  <c r="G598" i="20"/>
  <c r="H598" i="20" s="1"/>
  <c r="I598" i="20" s="1"/>
  <c r="J598" i="20" s="1"/>
  <c r="L598" i="20" s="1"/>
  <c r="M597" i="20"/>
  <c r="G597" i="20"/>
  <c r="H597" i="20" s="1"/>
  <c r="I597" i="20" s="1"/>
  <c r="J597" i="20" s="1"/>
  <c r="L597" i="20" s="1"/>
  <c r="M596" i="20"/>
  <c r="G596" i="20"/>
  <c r="H596" i="20" s="1"/>
  <c r="I596" i="20" s="1"/>
  <c r="J596" i="20" s="1"/>
  <c r="L596" i="20" s="1"/>
  <c r="M595" i="20"/>
  <c r="G595" i="20"/>
  <c r="H595" i="20" s="1"/>
  <c r="I595" i="20" s="1"/>
  <c r="J595" i="20" s="1"/>
  <c r="L595" i="20" s="1"/>
  <c r="M594" i="20"/>
  <c r="G594" i="20"/>
  <c r="H594" i="20" s="1"/>
  <c r="I594" i="20" s="1"/>
  <c r="J594" i="20" s="1"/>
  <c r="L594" i="20" s="1"/>
  <c r="M593" i="20"/>
  <c r="G593" i="20"/>
  <c r="H593" i="20" s="1"/>
  <c r="I593" i="20" s="1"/>
  <c r="J593" i="20" s="1"/>
  <c r="L593" i="20" s="1"/>
  <c r="M592" i="20"/>
  <c r="G592" i="20"/>
  <c r="H592" i="20" s="1"/>
  <c r="I592" i="20" s="1"/>
  <c r="J592" i="20" s="1"/>
  <c r="L592" i="20" s="1"/>
  <c r="M591" i="20"/>
  <c r="G591" i="20"/>
  <c r="H591" i="20" s="1"/>
  <c r="I591" i="20" s="1"/>
  <c r="J591" i="20" s="1"/>
  <c r="L591" i="20" s="1"/>
  <c r="M590" i="20"/>
  <c r="G590" i="20"/>
  <c r="H590" i="20" s="1"/>
  <c r="I590" i="20" s="1"/>
  <c r="J590" i="20" s="1"/>
  <c r="L590" i="20" s="1"/>
  <c r="M589" i="20"/>
  <c r="G589" i="20"/>
  <c r="H589" i="20" s="1"/>
  <c r="I589" i="20" s="1"/>
  <c r="J589" i="20" s="1"/>
  <c r="L589" i="20" s="1"/>
  <c r="M588" i="20"/>
  <c r="G588" i="20"/>
  <c r="H588" i="20" s="1"/>
  <c r="I588" i="20" s="1"/>
  <c r="J588" i="20" s="1"/>
  <c r="L588" i="20" s="1"/>
  <c r="M587" i="20"/>
  <c r="G587" i="20"/>
  <c r="H587" i="20" s="1"/>
  <c r="I587" i="20" s="1"/>
  <c r="J587" i="20" s="1"/>
  <c r="L587" i="20" s="1"/>
  <c r="M586" i="20"/>
  <c r="G586" i="20"/>
  <c r="H586" i="20" s="1"/>
  <c r="I586" i="20" s="1"/>
  <c r="J586" i="20" s="1"/>
  <c r="L586" i="20" s="1"/>
  <c r="M585" i="20"/>
  <c r="G585" i="20"/>
  <c r="H585" i="20" s="1"/>
  <c r="I585" i="20" s="1"/>
  <c r="J585" i="20" s="1"/>
  <c r="L585" i="20" s="1"/>
  <c r="M584" i="20"/>
  <c r="G584" i="20"/>
  <c r="H584" i="20" s="1"/>
  <c r="I584" i="20" s="1"/>
  <c r="J584" i="20" s="1"/>
  <c r="L584" i="20" s="1"/>
  <c r="M583" i="20"/>
  <c r="G583" i="20"/>
  <c r="H583" i="20" s="1"/>
  <c r="I583" i="20" s="1"/>
  <c r="J583" i="20" s="1"/>
  <c r="L583" i="20" s="1"/>
  <c r="M582" i="20"/>
  <c r="G582" i="20"/>
  <c r="H582" i="20" s="1"/>
  <c r="I582" i="20" s="1"/>
  <c r="J582" i="20" s="1"/>
  <c r="L582" i="20" s="1"/>
  <c r="M581" i="20"/>
  <c r="G581" i="20"/>
  <c r="H581" i="20" s="1"/>
  <c r="I581" i="20" s="1"/>
  <c r="J581" i="20" s="1"/>
  <c r="L581" i="20" s="1"/>
  <c r="M580" i="20"/>
  <c r="G580" i="20"/>
  <c r="H580" i="20" s="1"/>
  <c r="I580" i="20" s="1"/>
  <c r="J580" i="20" s="1"/>
  <c r="L580" i="20" s="1"/>
  <c r="M579" i="20"/>
  <c r="G579" i="20"/>
  <c r="H579" i="20" s="1"/>
  <c r="I579" i="20" s="1"/>
  <c r="J579" i="20" s="1"/>
  <c r="L579" i="20" s="1"/>
  <c r="M578" i="20"/>
  <c r="G578" i="20"/>
  <c r="H578" i="20" s="1"/>
  <c r="I578" i="20" s="1"/>
  <c r="J578" i="20" s="1"/>
  <c r="L578" i="20" s="1"/>
  <c r="M577" i="20"/>
  <c r="G577" i="20"/>
  <c r="H577" i="20" s="1"/>
  <c r="I577" i="20" s="1"/>
  <c r="J577" i="20" s="1"/>
  <c r="L577" i="20" s="1"/>
  <c r="M576" i="20"/>
  <c r="G576" i="20"/>
  <c r="H576" i="20" s="1"/>
  <c r="I576" i="20" s="1"/>
  <c r="J576" i="20" s="1"/>
  <c r="L576" i="20" s="1"/>
  <c r="M575" i="20"/>
  <c r="G575" i="20"/>
  <c r="H575" i="20" s="1"/>
  <c r="I575" i="20" s="1"/>
  <c r="J575" i="20" s="1"/>
  <c r="L575" i="20" s="1"/>
  <c r="M574" i="20"/>
  <c r="G574" i="20"/>
  <c r="H574" i="20" s="1"/>
  <c r="I574" i="20" s="1"/>
  <c r="J574" i="20" s="1"/>
  <c r="L574" i="20" s="1"/>
  <c r="M573" i="20"/>
  <c r="G573" i="20"/>
  <c r="H573" i="20" s="1"/>
  <c r="I573" i="20" s="1"/>
  <c r="J573" i="20" s="1"/>
  <c r="L573" i="20" s="1"/>
  <c r="M572" i="20"/>
  <c r="G572" i="20"/>
  <c r="H572" i="20" s="1"/>
  <c r="I572" i="20" s="1"/>
  <c r="J572" i="20" s="1"/>
  <c r="L572" i="20" s="1"/>
  <c r="M571" i="20"/>
  <c r="G571" i="20"/>
  <c r="H571" i="20" s="1"/>
  <c r="I571" i="20" s="1"/>
  <c r="J571" i="20" s="1"/>
  <c r="L571" i="20" s="1"/>
  <c r="M570" i="20"/>
  <c r="G570" i="20"/>
  <c r="H570" i="20" s="1"/>
  <c r="I570" i="20" s="1"/>
  <c r="J570" i="20" s="1"/>
  <c r="L570" i="20" s="1"/>
  <c r="M569" i="20"/>
  <c r="G569" i="20"/>
  <c r="H569" i="20" s="1"/>
  <c r="I569" i="20" s="1"/>
  <c r="J569" i="20" s="1"/>
  <c r="L569" i="20" s="1"/>
  <c r="M568" i="20"/>
  <c r="G568" i="20"/>
  <c r="H568" i="20" s="1"/>
  <c r="I568" i="20" s="1"/>
  <c r="J568" i="20" s="1"/>
  <c r="L568" i="20" s="1"/>
  <c r="M567" i="20"/>
  <c r="G567" i="20"/>
  <c r="H567" i="20" s="1"/>
  <c r="I567" i="20" s="1"/>
  <c r="J567" i="20" s="1"/>
  <c r="L567" i="20" s="1"/>
  <c r="M566" i="20"/>
  <c r="J566" i="20"/>
  <c r="L566" i="20" s="1"/>
  <c r="G566" i="20"/>
  <c r="H566" i="20" s="1"/>
  <c r="I566" i="20" s="1"/>
  <c r="M565" i="20"/>
  <c r="G565" i="20"/>
  <c r="H565" i="20" s="1"/>
  <c r="I565" i="20" s="1"/>
  <c r="J565" i="20" s="1"/>
  <c r="L565" i="20" s="1"/>
  <c r="M564" i="20"/>
  <c r="G564" i="20"/>
  <c r="H564" i="20" s="1"/>
  <c r="I564" i="20" s="1"/>
  <c r="J564" i="20" s="1"/>
  <c r="L564" i="20" s="1"/>
  <c r="M563" i="20"/>
  <c r="G563" i="20"/>
  <c r="H563" i="20" s="1"/>
  <c r="I563" i="20" s="1"/>
  <c r="J563" i="20" s="1"/>
  <c r="L563" i="20" s="1"/>
  <c r="M562" i="20"/>
  <c r="G562" i="20"/>
  <c r="H562" i="20" s="1"/>
  <c r="I562" i="20" s="1"/>
  <c r="J562" i="20" s="1"/>
  <c r="L562" i="20" s="1"/>
  <c r="M561" i="20"/>
  <c r="G561" i="20"/>
  <c r="H561" i="20" s="1"/>
  <c r="I561" i="20" s="1"/>
  <c r="J561" i="20" s="1"/>
  <c r="L561" i="20" s="1"/>
  <c r="M560" i="20"/>
  <c r="G560" i="20"/>
  <c r="H560" i="20" s="1"/>
  <c r="I560" i="20" s="1"/>
  <c r="J560" i="20" s="1"/>
  <c r="L560" i="20" s="1"/>
  <c r="M559" i="20"/>
  <c r="G559" i="20"/>
  <c r="H559" i="20" s="1"/>
  <c r="I559" i="20" s="1"/>
  <c r="J559" i="20" s="1"/>
  <c r="L559" i="20" s="1"/>
  <c r="M558" i="20"/>
  <c r="G558" i="20"/>
  <c r="H558" i="20" s="1"/>
  <c r="I558" i="20" s="1"/>
  <c r="J558" i="20" s="1"/>
  <c r="L558" i="20" s="1"/>
  <c r="M557" i="20"/>
  <c r="G557" i="20"/>
  <c r="H557" i="20" s="1"/>
  <c r="I557" i="20" s="1"/>
  <c r="J557" i="20" s="1"/>
  <c r="L557" i="20" s="1"/>
  <c r="M556" i="20"/>
  <c r="G556" i="20"/>
  <c r="H556" i="20" s="1"/>
  <c r="I556" i="20" s="1"/>
  <c r="J556" i="20" s="1"/>
  <c r="L556" i="20" s="1"/>
  <c r="M555" i="20"/>
  <c r="G555" i="20"/>
  <c r="H555" i="20" s="1"/>
  <c r="I555" i="20" s="1"/>
  <c r="J555" i="20" s="1"/>
  <c r="L555" i="20" s="1"/>
  <c r="M554" i="20"/>
  <c r="G554" i="20"/>
  <c r="H554" i="20" s="1"/>
  <c r="I554" i="20" s="1"/>
  <c r="J554" i="20" s="1"/>
  <c r="L554" i="20" s="1"/>
  <c r="M553" i="20"/>
  <c r="G553" i="20"/>
  <c r="H553" i="20" s="1"/>
  <c r="I553" i="20" s="1"/>
  <c r="J553" i="20" s="1"/>
  <c r="L553" i="20" s="1"/>
  <c r="M552" i="20"/>
  <c r="G552" i="20"/>
  <c r="H552" i="20" s="1"/>
  <c r="I552" i="20" s="1"/>
  <c r="J552" i="20" s="1"/>
  <c r="L552" i="20" s="1"/>
  <c r="M551" i="20"/>
  <c r="G551" i="20"/>
  <c r="H551" i="20" s="1"/>
  <c r="I551" i="20" s="1"/>
  <c r="J551" i="20" s="1"/>
  <c r="L551" i="20" s="1"/>
  <c r="M550" i="20"/>
  <c r="G550" i="20"/>
  <c r="H550" i="20" s="1"/>
  <c r="I550" i="20" s="1"/>
  <c r="J550" i="20" s="1"/>
  <c r="L550" i="20" s="1"/>
  <c r="M549" i="20"/>
  <c r="G549" i="20"/>
  <c r="H549" i="20" s="1"/>
  <c r="I549" i="20" s="1"/>
  <c r="J549" i="20" s="1"/>
  <c r="L549" i="20" s="1"/>
  <c r="M548" i="20"/>
  <c r="G548" i="20"/>
  <c r="H548" i="20" s="1"/>
  <c r="I548" i="20" s="1"/>
  <c r="J548" i="20" s="1"/>
  <c r="L548" i="20" s="1"/>
  <c r="M547" i="20"/>
  <c r="G547" i="20"/>
  <c r="H547" i="20" s="1"/>
  <c r="I547" i="20" s="1"/>
  <c r="J547" i="20" s="1"/>
  <c r="L547" i="20" s="1"/>
  <c r="M546" i="20"/>
  <c r="G546" i="20"/>
  <c r="H546" i="20" s="1"/>
  <c r="I546" i="20" s="1"/>
  <c r="J546" i="20" s="1"/>
  <c r="L546" i="20" s="1"/>
  <c r="M545" i="20"/>
  <c r="G545" i="20"/>
  <c r="H545" i="20" s="1"/>
  <c r="I545" i="20" s="1"/>
  <c r="J545" i="20" s="1"/>
  <c r="L545" i="20" s="1"/>
  <c r="M544" i="20"/>
  <c r="G544" i="20"/>
  <c r="H544" i="20" s="1"/>
  <c r="I544" i="20" s="1"/>
  <c r="J544" i="20" s="1"/>
  <c r="L544" i="20" s="1"/>
  <c r="M543" i="20"/>
  <c r="G543" i="20"/>
  <c r="H543" i="20" s="1"/>
  <c r="I543" i="20" s="1"/>
  <c r="J543" i="20" s="1"/>
  <c r="L543" i="20" s="1"/>
  <c r="M542" i="20"/>
  <c r="G542" i="20"/>
  <c r="H542" i="20" s="1"/>
  <c r="I542" i="20" s="1"/>
  <c r="J542" i="20" s="1"/>
  <c r="L542" i="20" s="1"/>
  <c r="M541" i="20"/>
  <c r="G541" i="20"/>
  <c r="H541" i="20" s="1"/>
  <c r="I541" i="20" s="1"/>
  <c r="J541" i="20" s="1"/>
  <c r="L541" i="20" s="1"/>
  <c r="M540" i="20"/>
  <c r="G540" i="20"/>
  <c r="H540" i="20" s="1"/>
  <c r="I540" i="20" s="1"/>
  <c r="J540" i="20" s="1"/>
  <c r="L540" i="20" s="1"/>
  <c r="M539" i="20"/>
  <c r="G539" i="20"/>
  <c r="H539" i="20" s="1"/>
  <c r="I539" i="20" s="1"/>
  <c r="J539" i="20" s="1"/>
  <c r="L539" i="20" s="1"/>
  <c r="M538" i="20"/>
  <c r="G538" i="20"/>
  <c r="H538" i="20" s="1"/>
  <c r="I538" i="20" s="1"/>
  <c r="J538" i="20" s="1"/>
  <c r="L538" i="20" s="1"/>
  <c r="M537" i="20"/>
  <c r="G537" i="20"/>
  <c r="H537" i="20" s="1"/>
  <c r="I537" i="20" s="1"/>
  <c r="J537" i="20" s="1"/>
  <c r="L537" i="20" s="1"/>
  <c r="M536" i="20"/>
  <c r="G536" i="20"/>
  <c r="H536" i="20" s="1"/>
  <c r="I536" i="20" s="1"/>
  <c r="J536" i="20" s="1"/>
  <c r="L536" i="20" s="1"/>
  <c r="M535" i="20"/>
  <c r="G535" i="20"/>
  <c r="H535" i="20" s="1"/>
  <c r="I535" i="20" s="1"/>
  <c r="J535" i="20" s="1"/>
  <c r="L535" i="20" s="1"/>
  <c r="M534" i="20"/>
  <c r="G534" i="20"/>
  <c r="H534" i="20" s="1"/>
  <c r="I534" i="20" s="1"/>
  <c r="J534" i="20" s="1"/>
  <c r="L534" i="20" s="1"/>
  <c r="M533" i="20"/>
  <c r="G533" i="20"/>
  <c r="H533" i="20" s="1"/>
  <c r="I533" i="20" s="1"/>
  <c r="J533" i="20" s="1"/>
  <c r="L533" i="20" s="1"/>
  <c r="M532" i="20"/>
  <c r="G532" i="20"/>
  <c r="H532" i="20" s="1"/>
  <c r="I532" i="20" s="1"/>
  <c r="J532" i="20" s="1"/>
  <c r="L532" i="20" s="1"/>
  <c r="M531" i="20"/>
  <c r="G531" i="20"/>
  <c r="H531" i="20" s="1"/>
  <c r="I531" i="20" s="1"/>
  <c r="J531" i="20" s="1"/>
  <c r="L531" i="20" s="1"/>
  <c r="M530" i="20"/>
  <c r="G530" i="20"/>
  <c r="H530" i="20" s="1"/>
  <c r="I530" i="20" s="1"/>
  <c r="J530" i="20" s="1"/>
  <c r="L530" i="20" s="1"/>
  <c r="M529" i="20"/>
  <c r="G529" i="20"/>
  <c r="H529" i="20" s="1"/>
  <c r="I529" i="20" s="1"/>
  <c r="J529" i="20" s="1"/>
  <c r="L529" i="20" s="1"/>
  <c r="M528" i="20"/>
  <c r="G528" i="20"/>
  <c r="H528" i="20" s="1"/>
  <c r="I528" i="20" s="1"/>
  <c r="J528" i="20" s="1"/>
  <c r="L528" i="20" s="1"/>
  <c r="M527" i="20"/>
  <c r="G527" i="20"/>
  <c r="H527" i="20" s="1"/>
  <c r="I527" i="20" s="1"/>
  <c r="J527" i="20" s="1"/>
  <c r="L527" i="20" s="1"/>
  <c r="M526" i="20"/>
  <c r="G526" i="20"/>
  <c r="H526" i="20" s="1"/>
  <c r="I526" i="20" s="1"/>
  <c r="J526" i="20" s="1"/>
  <c r="L526" i="20" s="1"/>
  <c r="M525" i="20"/>
  <c r="G525" i="20"/>
  <c r="H525" i="20" s="1"/>
  <c r="I525" i="20" s="1"/>
  <c r="J525" i="20" s="1"/>
  <c r="L525" i="20" s="1"/>
  <c r="M524" i="20"/>
  <c r="G524" i="20"/>
  <c r="H524" i="20" s="1"/>
  <c r="I524" i="20" s="1"/>
  <c r="J524" i="20" s="1"/>
  <c r="L524" i="20" s="1"/>
  <c r="M523" i="20"/>
  <c r="G523" i="20"/>
  <c r="H523" i="20" s="1"/>
  <c r="I523" i="20" s="1"/>
  <c r="J523" i="20" s="1"/>
  <c r="L523" i="20" s="1"/>
  <c r="M522" i="20"/>
  <c r="G522" i="20"/>
  <c r="H522" i="20" s="1"/>
  <c r="I522" i="20" s="1"/>
  <c r="J522" i="20" s="1"/>
  <c r="L522" i="20" s="1"/>
  <c r="M521" i="20"/>
  <c r="G521" i="20"/>
  <c r="H521" i="20" s="1"/>
  <c r="I521" i="20" s="1"/>
  <c r="J521" i="20" s="1"/>
  <c r="L521" i="20" s="1"/>
  <c r="M520" i="20"/>
  <c r="G520" i="20"/>
  <c r="H520" i="20" s="1"/>
  <c r="I520" i="20" s="1"/>
  <c r="J520" i="20" s="1"/>
  <c r="L520" i="20" s="1"/>
  <c r="M519" i="20"/>
  <c r="G519" i="20"/>
  <c r="H519" i="20" s="1"/>
  <c r="I519" i="20" s="1"/>
  <c r="J519" i="20" s="1"/>
  <c r="L519" i="20" s="1"/>
  <c r="M518" i="20"/>
  <c r="G518" i="20"/>
  <c r="H518" i="20" s="1"/>
  <c r="I518" i="20" s="1"/>
  <c r="J518" i="20" s="1"/>
  <c r="L518" i="20" s="1"/>
  <c r="M517" i="20"/>
  <c r="G517" i="20"/>
  <c r="H517" i="20" s="1"/>
  <c r="I517" i="20" s="1"/>
  <c r="J517" i="20" s="1"/>
  <c r="L517" i="20" s="1"/>
  <c r="M516" i="20"/>
  <c r="G516" i="20"/>
  <c r="H516" i="20" s="1"/>
  <c r="I516" i="20" s="1"/>
  <c r="J516" i="20" s="1"/>
  <c r="L516" i="20" s="1"/>
  <c r="M515" i="20"/>
  <c r="G515" i="20"/>
  <c r="H515" i="20" s="1"/>
  <c r="I515" i="20" s="1"/>
  <c r="J515" i="20" s="1"/>
  <c r="L515" i="20" s="1"/>
  <c r="M514" i="20"/>
  <c r="G514" i="20"/>
  <c r="H514" i="20" s="1"/>
  <c r="I514" i="20" s="1"/>
  <c r="J514" i="20" s="1"/>
  <c r="L514" i="20" s="1"/>
  <c r="M513" i="20"/>
  <c r="G513" i="20"/>
  <c r="H513" i="20" s="1"/>
  <c r="I513" i="20" s="1"/>
  <c r="J513" i="20" s="1"/>
  <c r="L513" i="20" s="1"/>
  <c r="M512" i="20"/>
  <c r="G512" i="20"/>
  <c r="H512" i="20" s="1"/>
  <c r="I512" i="20" s="1"/>
  <c r="J512" i="20" s="1"/>
  <c r="L512" i="20" s="1"/>
  <c r="M511" i="20"/>
  <c r="G511" i="20"/>
  <c r="H511" i="20" s="1"/>
  <c r="I511" i="20" s="1"/>
  <c r="J511" i="20" s="1"/>
  <c r="L511" i="20" s="1"/>
  <c r="M510" i="20"/>
  <c r="G510" i="20"/>
  <c r="H510" i="20" s="1"/>
  <c r="I510" i="20" s="1"/>
  <c r="J510" i="20" s="1"/>
  <c r="L510" i="20" s="1"/>
  <c r="M509" i="20"/>
  <c r="G509" i="20"/>
  <c r="H509" i="20" s="1"/>
  <c r="I509" i="20" s="1"/>
  <c r="J509" i="20" s="1"/>
  <c r="L509" i="20" s="1"/>
  <c r="M508" i="20"/>
  <c r="G508" i="20"/>
  <c r="H508" i="20" s="1"/>
  <c r="I508" i="20" s="1"/>
  <c r="J508" i="20" s="1"/>
  <c r="L508" i="20" s="1"/>
  <c r="M507" i="20"/>
  <c r="G507" i="20"/>
  <c r="H507" i="20" s="1"/>
  <c r="I507" i="20" s="1"/>
  <c r="J507" i="20" s="1"/>
  <c r="L507" i="20" s="1"/>
  <c r="M506" i="20"/>
  <c r="G506" i="20"/>
  <c r="H506" i="20" s="1"/>
  <c r="I506" i="20" s="1"/>
  <c r="J506" i="20" s="1"/>
  <c r="L506" i="20" s="1"/>
  <c r="M505" i="20"/>
  <c r="G505" i="20"/>
  <c r="H505" i="20" s="1"/>
  <c r="I505" i="20" s="1"/>
  <c r="J505" i="20" s="1"/>
  <c r="L505" i="20" s="1"/>
  <c r="M504" i="20"/>
  <c r="G504" i="20"/>
  <c r="H504" i="20" s="1"/>
  <c r="I504" i="20" s="1"/>
  <c r="J504" i="20" s="1"/>
  <c r="L504" i="20" s="1"/>
  <c r="M503" i="20"/>
  <c r="G503" i="20"/>
  <c r="H503" i="20" s="1"/>
  <c r="I503" i="20" s="1"/>
  <c r="J503" i="20" s="1"/>
  <c r="L503" i="20" s="1"/>
  <c r="M502" i="20"/>
  <c r="G502" i="20"/>
  <c r="H502" i="20" s="1"/>
  <c r="I502" i="20" s="1"/>
  <c r="J502" i="20" s="1"/>
  <c r="L502" i="20" s="1"/>
  <c r="M501" i="20"/>
  <c r="G501" i="20"/>
  <c r="H501" i="20" s="1"/>
  <c r="I501" i="20" s="1"/>
  <c r="J501" i="20" s="1"/>
  <c r="L501" i="20" s="1"/>
  <c r="M500" i="20"/>
  <c r="G500" i="20"/>
  <c r="H500" i="20" s="1"/>
  <c r="I500" i="20" s="1"/>
  <c r="J500" i="20" s="1"/>
  <c r="L500" i="20" s="1"/>
  <c r="M499" i="20"/>
  <c r="G499" i="20"/>
  <c r="H499" i="20" s="1"/>
  <c r="I499" i="20" s="1"/>
  <c r="J499" i="20" s="1"/>
  <c r="L499" i="20" s="1"/>
  <c r="M498" i="20"/>
  <c r="G498" i="20"/>
  <c r="H498" i="20" s="1"/>
  <c r="I498" i="20" s="1"/>
  <c r="J498" i="20" s="1"/>
  <c r="L498" i="20" s="1"/>
  <c r="M497" i="20"/>
  <c r="G497" i="20"/>
  <c r="H497" i="20" s="1"/>
  <c r="I497" i="20" s="1"/>
  <c r="J497" i="20" s="1"/>
  <c r="L497" i="20" s="1"/>
  <c r="M496" i="20"/>
  <c r="G496" i="20"/>
  <c r="H496" i="20" s="1"/>
  <c r="I496" i="20" s="1"/>
  <c r="J496" i="20" s="1"/>
  <c r="L496" i="20" s="1"/>
  <c r="M495" i="20"/>
  <c r="G495" i="20"/>
  <c r="H495" i="20" s="1"/>
  <c r="I495" i="20" s="1"/>
  <c r="J495" i="20" s="1"/>
  <c r="L495" i="20" s="1"/>
  <c r="M494" i="20"/>
  <c r="G494" i="20"/>
  <c r="H494" i="20" s="1"/>
  <c r="I494" i="20" s="1"/>
  <c r="J494" i="20" s="1"/>
  <c r="L494" i="20" s="1"/>
  <c r="M493" i="20"/>
  <c r="G493" i="20"/>
  <c r="H493" i="20" s="1"/>
  <c r="I493" i="20" s="1"/>
  <c r="J493" i="20" s="1"/>
  <c r="L493" i="20" s="1"/>
  <c r="M492" i="20"/>
  <c r="G492" i="20"/>
  <c r="H492" i="20" s="1"/>
  <c r="I492" i="20" s="1"/>
  <c r="J492" i="20" s="1"/>
  <c r="L492" i="20" s="1"/>
  <c r="M491" i="20"/>
  <c r="G491" i="20"/>
  <c r="H491" i="20" s="1"/>
  <c r="I491" i="20" s="1"/>
  <c r="J491" i="20" s="1"/>
  <c r="L491" i="20" s="1"/>
  <c r="M490" i="20"/>
  <c r="G490" i="20"/>
  <c r="H490" i="20" s="1"/>
  <c r="I490" i="20" s="1"/>
  <c r="J490" i="20" s="1"/>
  <c r="L490" i="20" s="1"/>
  <c r="M489" i="20"/>
  <c r="G489" i="20"/>
  <c r="H489" i="20" s="1"/>
  <c r="I489" i="20" s="1"/>
  <c r="J489" i="20" s="1"/>
  <c r="L489" i="20" s="1"/>
  <c r="M488" i="20"/>
  <c r="G488" i="20"/>
  <c r="H488" i="20" s="1"/>
  <c r="I488" i="20" s="1"/>
  <c r="J488" i="20" s="1"/>
  <c r="L488" i="20" s="1"/>
  <c r="M487" i="20"/>
  <c r="G487" i="20"/>
  <c r="H487" i="20" s="1"/>
  <c r="I487" i="20" s="1"/>
  <c r="J487" i="20" s="1"/>
  <c r="L487" i="20" s="1"/>
  <c r="M486" i="20"/>
  <c r="G486" i="20"/>
  <c r="H486" i="20" s="1"/>
  <c r="I486" i="20" s="1"/>
  <c r="J486" i="20" s="1"/>
  <c r="L486" i="20" s="1"/>
  <c r="M485" i="20"/>
  <c r="G485" i="20"/>
  <c r="H485" i="20" s="1"/>
  <c r="I485" i="20" s="1"/>
  <c r="J485" i="20" s="1"/>
  <c r="L485" i="20" s="1"/>
  <c r="M484" i="20"/>
  <c r="G484" i="20"/>
  <c r="H484" i="20" s="1"/>
  <c r="I484" i="20" s="1"/>
  <c r="J484" i="20" s="1"/>
  <c r="L484" i="20" s="1"/>
  <c r="M483" i="20"/>
  <c r="G483" i="20"/>
  <c r="H483" i="20" s="1"/>
  <c r="I483" i="20" s="1"/>
  <c r="J483" i="20" s="1"/>
  <c r="L483" i="20" s="1"/>
  <c r="M482" i="20"/>
  <c r="G482" i="20"/>
  <c r="H482" i="20" s="1"/>
  <c r="I482" i="20" s="1"/>
  <c r="J482" i="20" s="1"/>
  <c r="L482" i="20" s="1"/>
  <c r="M481" i="20"/>
  <c r="G481" i="20"/>
  <c r="H481" i="20" s="1"/>
  <c r="I481" i="20" s="1"/>
  <c r="J481" i="20" s="1"/>
  <c r="L481" i="20" s="1"/>
  <c r="M480" i="20"/>
  <c r="G480" i="20"/>
  <c r="H480" i="20" s="1"/>
  <c r="I480" i="20" s="1"/>
  <c r="J480" i="20" s="1"/>
  <c r="L480" i="20" s="1"/>
  <c r="M479" i="20"/>
  <c r="G479" i="20"/>
  <c r="H479" i="20" s="1"/>
  <c r="I479" i="20" s="1"/>
  <c r="J479" i="20" s="1"/>
  <c r="L479" i="20" s="1"/>
  <c r="M478" i="20"/>
  <c r="G478" i="20"/>
  <c r="H478" i="20" s="1"/>
  <c r="I478" i="20" s="1"/>
  <c r="J478" i="20" s="1"/>
  <c r="L478" i="20" s="1"/>
  <c r="M477" i="20"/>
  <c r="G477" i="20"/>
  <c r="H477" i="20" s="1"/>
  <c r="I477" i="20" s="1"/>
  <c r="J477" i="20" s="1"/>
  <c r="L477" i="20" s="1"/>
  <c r="M476" i="20"/>
  <c r="G476" i="20"/>
  <c r="H476" i="20" s="1"/>
  <c r="I476" i="20" s="1"/>
  <c r="J476" i="20" s="1"/>
  <c r="L476" i="20" s="1"/>
  <c r="M475" i="20"/>
  <c r="G475" i="20"/>
  <c r="H475" i="20" s="1"/>
  <c r="I475" i="20" s="1"/>
  <c r="J475" i="20" s="1"/>
  <c r="L475" i="20" s="1"/>
  <c r="M474" i="20"/>
  <c r="G474" i="20"/>
  <c r="H474" i="20" s="1"/>
  <c r="I474" i="20" s="1"/>
  <c r="J474" i="20" s="1"/>
  <c r="L474" i="20" s="1"/>
  <c r="M473" i="20"/>
  <c r="G473" i="20"/>
  <c r="H473" i="20" s="1"/>
  <c r="I473" i="20" s="1"/>
  <c r="J473" i="20" s="1"/>
  <c r="L473" i="20" s="1"/>
  <c r="M472" i="20"/>
  <c r="G472" i="20"/>
  <c r="H472" i="20" s="1"/>
  <c r="I472" i="20" s="1"/>
  <c r="J472" i="20" s="1"/>
  <c r="L472" i="20" s="1"/>
  <c r="M471" i="20"/>
  <c r="G471" i="20"/>
  <c r="H471" i="20" s="1"/>
  <c r="I471" i="20" s="1"/>
  <c r="J471" i="20" s="1"/>
  <c r="L471" i="20" s="1"/>
  <c r="M470" i="20"/>
  <c r="G470" i="20"/>
  <c r="H470" i="20" s="1"/>
  <c r="I470" i="20" s="1"/>
  <c r="J470" i="20" s="1"/>
  <c r="L470" i="20" s="1"/>
  <c r="M469" i="20"/>
  <c r="G469" i="20"/>
  <c r="H469" i="20" s="1"/>
  <c r="I469" i="20" s="1"/>
  <c r="J469" i="20" s="1"/>
  <c r="L469" i="20" s="1"/>
  <c r="M468" i="20"/>
  <c r="G468" i="20"/>
  <c r="H468" i="20" s="1"/>
  <c r="I468" i="20" s="1"/>
  <c r="J468" i="20" s="1"/>
  <c r="L468" i="20" s="1"/>
  <c r="M467" i="20"/>
  <c r="G467" i="20"/>
  <c r="H467" i="20" s="1"/>
  <c r="I467" i="20" s="1"/>
  <c r="J467" i="20" s="1"/>
  <c r="L467" i="20" s="1"/>
  <c r="M466" i="20"/>
  <c r="G466" i="20"/>
  <c r="H466" i="20" s="1"/>
  <c r="I466" i="20" s="1"/>
  <c r="J466" i="20" s="1"/>
  <c r="L466" i="20" s="1"/>
  <c r="M465" i="20"/>
  <c r="G465" i="20"/>
  <c r="H465" i="20" s="1"/>
  <c r="I465" i="20" s="1"/>
  <c r="J465" i="20" s="1"/>
  <c r="L465" i="20" s="1"/>
  <c r="M464" i="20"/>
  <c r="G464" i="20"/>
  <c r="H464" i="20" s="1"/>
  <c r="I464" i="20" s="1"/>
  <c r="J464" i="20" s="1"/>
  <c r="L464" i="20" s="1"/>
  <c r="M463" i="20"/>
  <c r="G463" i="20"/>
  <c r="H463" i="20" s="1"/>
  <c r="I463" i="20" s="1"/>
  <c r="J463" i="20" s="1"/>
  <c r="L463" i="20" s="1"/>
  <c r="M462" i="20"/>
  <c r="G462" i="20"/>
  <c r="H462" i="20" s="1"/>
  <c r="I462" i="20" s="1"/>
  <c r="J462" i="20" s="1"/>
  <c r="L462" i="20" s="1"/>
  <c r="M461" i="20"/>
  <c r="G461" i="20"/>
  <c r="H461" i="20" s="1"/>
  <c r="I461" i="20" s="1"/>
  <c r="J461" i="20" s="1"/>
  <c r="L461" i="20" s="1"/>
  <c r="M460" i="20"/>
  <c r="G460" i="20"/>
  <c r="H460" i="20" s="1"/>
  <c r="I460" i="20" s="1"/>
  <c r="J460" i="20" s="1"/>
  <c r="L460" i="20" s="1"/>
  <c r="M459" i="20"/>
  <c r="G459" i="20"/>
  <c r="H459" i="20" s="1"/>
  <c r="I459" i="20" s="1"/>
  <c r="J459" i="20" s="1"/>
  <c r="L459" i="20" s="1"/>
  <c r="M458" i="20"/>
  <c r="G458" i="20"/>
  <c r="H458" i="20" s="1"/>
  <c r="I458" i="20" s="1"/>
  <c r="J458" i="20" s="1"/>
  <c r="L458" i="20" s="1"/>
  <c r="M457" i="20"/>
  <c r="G457" i="20"/>
  <c r="H457" i="20" s="1"/>
  <c r="I457" i="20" s="1"/>
  <c r="J457" i="20" s="1"/>
  <c r="L457" i="20" s="1"/>
  <c r="M456" i="20"/>
  <c r="G456" i="20"/>
  <c r="H456" i="20" s="1"/>
  <c r="I456" i="20" s="1"/>
  <c r="J456" i="20" s="1"/>
  <c r="L456" i="20" s="1"/>
  <c r="M455" i="20"/>
  <c r="G455" i="20"/>
  <c r="H455" i="20" s="1"/>
  <c r="I455" i="20" s="1"/>
  <c r="J455" i="20" s="1"/>
  <c r="L455" i="20" s="1"/>
  <c r="M454" i="20"/>
  <c r="G454" i="20"/>
  <c r="H454" i="20" s="1"/>
  <c r="I454" i="20" s="1"/>
  <c r="J454" i="20" s="1"/>
  <c r="L454" i="20" s="1"/>
  <c r="M453" i="20"/>
  <c r="G453" i="20"/>
  <c r="H453" i="20" s="1"/>
  <c r="I453" i="20" s="1"/>
  <c r="J453" i="20" s="1"/>
  <c r="L453" i="20" s="1"/>
  <c r="M452" i="20"/>
  <c r="G452" i="20"/>
  <c r="H452" i="20" s="1"/>
  <c r="I452" i="20" s="1"/>
  <c r="J452" i="20" s="1"/>
  <c r="L452" i="20" s="1"/>
  <c r="M451" i="20"/>
  <c r="G451" i="20"/>
  <c r="H451" i="20" s="1"/>
  <c r="I451" i="20" s="1"/>
  <c r="J451" i="20" s="1"/>
  <c r="L451" i="20" s="1"/>
  <c r="M450" i="20"/>
  <c r="G450" i="20"/>
  <c r="H450" i="20" s="1"/>
  <c r="I450" i="20" s="1"/>
  <c r="J450" i="20" s="1"/>
  <c r="L450" i="20" s="1"/>
  <c r="M449" i="20"/>
  <c r="G449" i="20"/>
  <c r="H449" i="20" s="1"/>
  <c r="I449" i="20" s="1"/>
  <c r="J449" i="20" s="1"/>
  <c r="L449" i="20" s="1"/>
  <c r="M448" i="20"/>
  <c r="G448" i="20"/>
  <c r="H448" i="20" s="1"/>
  <c r="I448" i="20" s="1"/>
  <c r="J448" i="20" s="1"/>
  <c r="L448" i="20" s="1"/>
  <c r="M447" i="20"/>
  <c r="G447" i="20"/>
  <c r="H447" i="20" s="1"/>
  <c r="I447" i="20" s="1"/>
  <c r="J447" i="20" s="1"/>
  <c r="L447" i="20" s="1"/>
  <c r="M446" i="20"/>
  <c r="G446" i="20"/>
  <c r="H446" i="20" s="1"/>
  <c r="I446" i="20" s="1"/>
  <c r="J446" i="20" s="1"/>
  <c r="L446" i="20" s="1"/>
  <c r="M445" i="20"/>
  <c r="G445" i="20"/>
  <c r="H445" i="20" s="1"/>
  <c r="I445" i="20" s="1"/>
  <c r="J445" i="20" s="1"/>
  <c r="L445" i="20" s="1"/>
  <c r="M444" i="20"/>
  <c r="H444" i="20"/>
  <c r="I444" i="20" s="1"/>
  <c r="J444" i="20" s="1"/>
  <c r="L444" i="20" s="1"/>
  <c r="G444" i="20"/>
  <c r="M443" i="20"/>
  <c r="G443" i="20"/>
  <c r="H443" i="20" s="1"/>
  <c r="I443" i="20" s="1"/>
  <c r="J443" i="20" s="1"/>
  <c r="L443" i="20" s="1"/>
  <c r="M442" i="20"/>
  <c r="G442" i="20"/>
  <c r="H442" i="20" s="1"/>
  <c r="I442" i="20" s="1"/>
  <c r="J442" i="20" s="1"/>
  <c r="L442" i="20" s="1"/>
  <c r="M441" i="20"/>
  <c r="G441" i="20"/>
  <c r="H441" i="20" s="1"/>
  <c r="I441" i="20" s="1"/>
  <c r="J441" i="20" s="1"/>
  <c r="L441" i="20" s="1"/>
  <c r="M440" i="20"/>
  <c r="G440" i="20"/>
  <c r="H440" i="20" s="1"/>
  <c r="I440" i="20" s="1"/>
  <c r="J440" i="20" s="1"/>
  <c r="L440" i="20" s="1"/>
  <c r="M439" i="20"/>
  <c r="G439" i="20"/>
  <c r="H439" i="20" s="1"/>
  <c r="I439" i="20" s="1"/>
  <c r="J439" i="20" s="1"/>
  <c r="L439" i="20" s="1"/>
  <c r="M438" i="20"/>
  <c r="G438" i="20"/>
  <c r="H438" i="20" s="1"/>
  <c r="I438" i="20" s="1"/>
  <c r="J438" i="20" s="1"/>
  <c r="L438" i="20" s="1"/>
  <c r="M437" i="20"/>
  <c r="G437" i="20"/>
  <c r="H437" i="20" s="1"/>
  <c r="I437" i="20" s="1"/>
  <c r="J437" i="20" s="1"/>
  <c r="L437" i="20" s="1"/>
  <c r="M436" i="20"/>
  <c r="G436" i="20"/>
  <c r="H436" i="20" s="1"/>
  <c r="I436" i="20" s="1"/>
  <c r="J436" i="20" s="1"/>
  <c r="L436" i="20" s="1"/>
  <c r="M435" i="20"/>
  <c r="G435" i="20"/>
  <c r="H435" i="20" s="1"/>
  <c r="I435" i="20" s="1"/>
  <c r="J435" i="20" s="1"/>
  <c r="L435" i="20" s="1"/>
  <c r="M434" i="20"/>
  <c r="G434" i="20"/>
  <c r="H434" i="20" s="1"/>
  <c r="I434" i="20" s="1"/>
  <c r="J434" i="20" s="1"/>
  <c r="L434" i="20" s="1"/>
  <c r="M433" i="20"/>
  <c r="G433" i="20"/>
  <c r="H433" i="20" s="1"/>
  <c r="I433" i="20" s="1"/>
  <c r="J433" i="20" s="1"/>
  <c r="L433" i="20" s="1"/>
  <c r="M432" i="20"/>
  <c r="G432" i="20"/>
  <c r="H432" i="20" s="1"/>
  <c r="I432" i="20" s="1"/>
  <c r="J432" i="20" s="1"/>
  <c r="L432" i="20" s="1"/>
  <c r="M431" i="20"/>
  <c r="G431" i="20"/>
  <c r="H431" i="20" s="1"/>
  <c r="I431" i="20" s="1"/>
  <c r="J431" i="20" s="1"/>
  <c r="L431" i="20" s="1"/>
  <c r="M430" i="20"/>
  <c r="G430" i="20"/>
  <c r="H430" i="20" s="1"/>
  <c r="I430" i="20" s="1"/>
  <c r="J430" i="20" s="1"/>
  <c r="L430" i="20" s="1"/>
  <c r="M429" i="20"/>
  <c r="G429" i="20"/>
  <c r="H429" i="20" s="1"/>
  <c r="I429" i="20" s="1"/>
  <c r="J429" i="20" s="1"/>
  <c r="L429" i="20" s="1"/>
  <c r="M428" i="20"/>
  <c r="G428" i="20"/>
  <c r="H428" i="20" s="1"/>
  <c r="I428" i="20" s="1"/>
  <c r="J428" i="20" s="1"/>
  <c r="L428" i="20" s="1"/>
  <c r="M427" i="20"/>
  <c r="G427" i="20"/>
  <c r="H427" i="20" s="1"/>
  <c r="I427" i="20" s="1"/>
  <c r="J427" i="20" s="1"/>
  <c r="L427" i="20" s="1"/>
  <c r="M426" i="20"/>
  <c r="G426" i="20"/>
  <c r="H426" i="20" s="1"/>
  <c r="I426" i="20" s="1"/>
  <c r="J426" i="20" s="1"/>
  <c r="L426" i="20" s="1"/>
  <c r="M425" i="20"/>
  <c r="G425" i="20"/>
  <c r="H425" i="20" s="1"/>
  <c r="I425" i="20" s="1"/>
  <c r="J425" i="20" s="1"/>
  <c r="L425" i="20" s="1"/>
  <c r="M424" i="20"/>
  <c r="G424" i="20"/>
  <c r="H424" i="20" s="1"/>
  <c r="I424" i="20" s="1"/>
  <c r="J424" i="20" s="1"/>
  <c r="L424" i="20" s="1"/>
  <c r="M423" i="20"/>
  <c r="G423" i="20"/>
  <c r="H423" i="20" s="1"/>
  <c r="I423" i="20" s="1"/>
  <c r="J423" i="20" s="1"/>
  <c r="L423" i="20" s="1"/>
  <c r="M422" i="20"/>
  <c r="G422" i="20"/>
  <c r="H422" i="20" s="1"/>
  <c r="I422" i="20" s="1"/>
  <c r="J422" i="20" s="1"/>
  <c r="L422" i="20" s="1"/>
  <c r="M421" i="20"/>
  <c r="G421" i="20"/>
  <c r="H421" i="20" s="1"/>
  <c r="I421" i="20" s="1"/>
  <c r="J421" i="20" s="1"/>
  <c r="L421" i="20" s="1"/>
  <c r="M420" i="20"/>
  <c r="G420" i="20"/>
  <c r="H420" i="20" s="1"/>
  <c r="I420" i="20" s="1"/>
  <c r="J420" i="20" s="1"/>
  <c r="L420" i="20" s="1"/>
  <c r="M419" i="20"/>
  <c r="G419" i="20"/>
  <c r="H419" i="20" s="1"/>
  <c r="I419" i="20" s="1"/>
  <c r="J419" i="20" s="1"/>
  <c r="L419" i="20" s="1"/>
  <c r="M418" i="20"/>
  <c r="G418" i="20"/>
  <c r="H418" i="20" s="1"/>
  <c r="I418" i="20" s="1"/>
  <c r="J418" i="20" s="1"/>
  <c r="L418" i="20" s="1"/>
  <c r="M417" i="20"/>
  <c r="G417" i="20"/>
  <c r="H417" i="20" s="1"/>
  <c r="I417" i="20" s="1"/>
  <c r="J417" i="20" s="1"/>
  <c r="L417" i="20" s="1"/>
  <c r="M416" i="20"/>
  <c r="G416" i="20"/>
  <c r="H416" i="20" s="1"/>
  <c r="I416" i="20" s="1"/>
  <c r="J416" i="20" s="1"/>
  <c r="L416" i="20" s="1"/>
  <c r="M415" i="20"/>
  <c r="G415" i="20"/>
  <c r="H415" i="20" s="1"/>
  <c r="I415" i="20" s="1"/>
  <c r="J415" i="20" s="1"/>
  <c r="L415" i="20" s="1"/>
  <c r="M414" i="20"/>
  <c r="G414" i="20"/>
  <c r="H414" i="20" s="1"/>
  <c r="I414" i="20" s="1"/>
  <c r="J414" i="20" s="1"/>
  <c r="L414" i="20" s="1"/>
  <c r="M413" i="20"/>
  <c r="G413" i="20"/>
  <c r="H413" i="20" s="1"/>
  <c r="I413" i="20" s="1"/>
  <c r="J413" i="20" s="1"/>
  <c r="L413" i="20" s="1"/>
  <c r="M412" i="20"/>
  <c r="G412" i="20"/>
  <c r="H412" i="20" s="1"/>
  <c r="I412" i="20" s="1"/>
  <c r="J412" i="20" s="1"/>
  <c r="L412" i="20" s="1"/>
  <c r="M411" i="20"/>
  <c r="G411" i="20"/>
  <c r="H411" i="20" s="1"/>
  <c r="I411" i="20" s="1"/>
  <c r="J411" i="20" s="1"/>
  <c r="L411" i="20" s="1"/>
  <c r="M410" i="20"/>
  <c r="G410" i="20"/>
  <c r="H410" i="20" s="1"/>
  <c r="I410" i="20" s="1"/>
  <c r="J410" i="20" s="1"/>
  <c r="L410" i="20" s="1"/>
  <c r="M409" i="20"/>
  <c r="G409" i="20"/>
  <c r="H409" i="20" s="1"/>
  <c r="I409" i="20" s="1"/>
  <c r="J409" i="20" s="1"/>
  <c r="L409" i="20" s="1"/>
  <c r="M408" i="20"/>
  <c r="G408" i="20"/>
  <c r="H408" i="20" s="1"/>
  <c r="I408" i="20" s="1"/>
  <c r="J408" i="20" s="1"/>
  <c r="L408" i="20" s="1"/>
  <c r="M407" i="20"/>
  <c r="G407" i="20"/>
  <c r="H407" i="20" s="1"/>
  <c r="I407" i="20" s="1"/>
  <c r="J407" i="20" s="1"/>
  <c r="L407" i="20" s="1"/>
  <c r="M406" i="20"/>
  <c r="G406" i="20"/>
  <c r="H406" i="20" s="1"/>
  <c r="I406" i="20" s="1"/>
  <c r="J406" i="20" s="1"/>
  <c r="L406" i="20" s="1"/>
  <c r="M405" i="20"/>
  <c r="G405" i="20"/>
  <c r="H405" i="20" s="1"/>
  <c r="I405" i="20" s="1"/>
  <c r="J405" i="20" s="1"/>
  <c r="L405" i="20" s="1"/>
  <c r="M404" i="20"/>
  <c r="G404" i="20"/>
  <c r="H404" i="20" s="1"/>
  <c r="I404" i="20" s="1"/>
  <c r="J404" i="20" s="1"/>
  <c r="L404" i="20" s="1"/>
  <c r="M403" i="20"/>
  <c r="G403" i="20"/>
  <c r="H403" i="20" s="1"/>
  <c r="I403" i="20" s="1"/>
  <c r="J403" i="20" s="1"/>
  <c r="L403" i="20" s="1"/>
  <c r="M402" i="20"/>
  <c r="G402" i="20"/>
  <c r="H402" i="20" s="1"/>
  <c r="I402" i="20" s="1"/>
  <c r="J402" i="20" s="1"/>
  <c r="L402" i="20" s="1"/>
  <c r="M401" i="20"/>
  <c r="G401" i="20"/>
  <c r="H401" i="20" s="1"/>
  <c r="I401" i="20" s="1"/>
  <c r="J401" i="20" s="1"/>
  <c r="L401" i="20" s="1"/>
  <c r="M400" i="20"/>
  <c r="G400" i="20"/>
  <c r="H400" i="20" s="1"/>
  <c r="I400" i="20" s="1"/>
  <c r="J400" i="20" s="1"/>
  <c r="L400" i="20" s="1"/>
  <c r="M399" i="20"/>
  <c r="G399" i="20"/>
  <c r="H399" i="20" s="1"/>
  <c r="I399" i="20" s="1"/>
  <c r="J399" i="20" s="1"/>
  <c r="L399" i="20" s="1"/>
  <c r="M398" i="20"/>
  <c r="G398" i="20"/>
  <c r="H398" i="20" s="1"/>
  <c r="I398" i="20" s="1"/>
  <c r="J398" i="20" s="1"/>
  <c r="L398" i="20" s="1"/>
  <c r="M397" i="20"/>
  <c r="G397" i="20"/>
  <c r="H397" i="20" s="1"/>
  <c r="I397" i="20" s="1"/>
  <c r="J397" i="20" s="1"/>
  <c r="L397" i="20" s="1"/>
  <c r="M396" i="20"/>
  <c r="G396" i="20"/>
  <c r="H396" i="20" s="1"/>
  <c r="I396" i="20" s="1"/>
  <c r="J396" i="20" s="1"/>
  <c r="L396" i="20" s="1"/>
  <c r="M395" i="20"/>
  <c r="G395" i="20"/>
  <c r="H395" i="20" s="1"/>
  <c r="I395" i="20" s="1"/>
  <c r="J395" i="20" s="1"/>
  <c r="L395" i="20" s="1"/>
  <c r="M394" i="20"/>
  <c r="G394" i="20"/>
  <c r="H394" i="20" s="1"/>
  <c r="I394" i="20" s="1"/>
  <c r="J394" i="20" s="1"/>
  <c r="L394" i="20" s="1"/>
  <c r="M393" i="20"/>
  <c r="G393" i="20"/>
  <c r="H393" i="20" s="1"/>
  <c r="I393" i="20" s="1"/>
  <c r="J393" i="20" s="1"/>
  <c r="L393" i="20" s="1"/>
  <c r="M392" i="20"/>
  <c r="G392" i="20"/>
  <c r="H392" i="20" s="1"/>
  <c r="I392" i="20" s="1"/>
  <c r="J392" i="20" s="1"/>
  <c r="L392" i="20" s="1"/>
  <c r="M391" i="20"/>
  <c r="G391" i="20"/>
  <c r="H391" i="20" s="1"/>
  <c r="I391" i="20" s="1"/>
  <c r="J391" i="20" s="1"/>
  <c r="L391" i="20" s="1"/>
  <c r="M390" i="20"/>
  <c r="G390" i="20"/>
  <c r="H390" i="20" s="1"/>
  <c r="I390" i="20" s="1"/>
  <c r="J390" i="20" s="1"/>
  <c r="L390" i="20" s="1"/>
  <c r="M389" i="20"/>
  <c r="G389" i="20"/>
  <c r="H389" i="20" s="1"/>
  <c r="I389" i="20" s="1"/>
  <c r="J389" i="20" s="1"/>
  <c r="L389" i="20" s="1"/>
  <c r="M388" i="20"/>
  <c r="G388" i="20"/>
  <c r="H388" i="20" s="1"/>
  <c r="I388" i="20" s="1"/>
  <c r="J388" i="20" s="1"/>
  <c r="L388" i="20" s="1"/>
  <c r="M387" i="20"/>
  <c r="G387" i="20"/>
  <c r="H387" i="20" s="1"/>
  <c r="I387" i="20" s="1"/>
  <c r="J387" i="20" s="1"/>
  <c r="L387" i="20" s="1"/>
  <c r="M386" i="20"/>
  <c r="G386" i="20"/>
  <c r="H386" i="20" s="1"/>
  <c r="I386" i="20" s="1"/>
  <c r="J386" i="20" s="1"/>
  <c r="L386" i="20" s="1"/>
  <c r="M385" i="20"/>
  <c r="G385" i="20"/>
  <c r="H385" i="20" s="1"/>
  <c r="I385" i="20" s="1"/>
  <c r="J385" i="20" s="1"/>
  <c r="L385" i="20" s="1"/>
  <c r="M384" i="20"/>
  <c r="G384" i="20"/>
  <c r="H384" i="20" s="1"/>
  <c r="I384" i="20" s="1"/>
  <c r="J384" i="20" s="1"/>
  <c r="L384" i="20" s="1"/>
  <c r="M383" i="20"/>
  <c r="G383" i="20"/>
  <c r="H383" i="20" s="1"/>
  <c r="I383" i="20" s="1"/>
  <c r="J383" i="20" s="1"/>
  <c r="L383" i="20" s="1"/>
  <c r="M382" i="20"/>
  <c r="G382" i="20"/>
  <c r="H382" i="20" s="1"/>
  <c r="I382" i="20" s="1"/>
  <c r="J382" i="20" s="1"/>
  <c r="L382" i="20" s="1"/>
  <c r="M381" i="20"/>
  <c r="G381" i="20"/>
  <c r="H381" i="20" s="1"/>
  <c r="I381" i="20" s="1"/>
  <c r="J381" i="20" s="1"/>
  <c r="L381" i="20" s="1"/>
  <c r="M380" i="20"/>
  <c r="G380" i="20"/>
  <c r="H380" i="20" s="1"/>
  <c r="I380" i="20" s="1"/>
  <c r="J380" i="20" s="1"/>
  <c r="L380" i="20" s="1"/>
  <c r="M379" i="20"/>
  <c r="G379" i="20"/>
  <c r="H379" i="20" s="1"/>
  <c r="I379" i="20" s="1"/>
  <c r="J379" i="20" s="1"/>
  <c r="L379" i="20" s="1"/>
  <c r="M378" i="20"/>
  <c r="G378" i="20"/>
  <c r="H378" i="20" s="1"/>
  <c r="I378" i="20" s="1"/>
  <c r="J378" i="20" s="1"/>
  <c r="L378" i="20" s="1"/>
  <c r="M377" i="20"/>
  <c r="G377" i="20"/>
  <c r="H377" i="20" s="1"/>
  <c r="I377" i="20" s="1"/>
  <c r="J377" i="20" s="1"/>
  <c r="L377" i="20" s="1"/>
  <c r="M376" i="20"/>
  <c r="G376" i="20"/>
  <c r="H376" i="20" s="1"/>
  <c r="I376" i="20" s="1"/>
  <c r="J376" i="20" s="1"/>
  <c r="L376" i="20" s="1"/>
  <c r="M375" i="20"/>
  <c r="G375" i="20"/>
  <c r="H375" i="20" s="1"/>
  <c r="I375" i="20" s="1"/>
  <c r="J375" i="20" s="1"/>
  <c r="L375" i="20" s="1"/>
  <c r="M374" i="20"/>
  <c r="G374" i="20"/>
  <c r="H374" i="20" s="1"/>
  <c r="I374" i="20" s="1"/>
  <c r="J374" i="20" s="1"/>
  <c r="L374" i="20" s="1"/>
  <c r="M373" i="20"/>
  <c r="G373" i="20"/>
  <c r="H373" i="20" s="1"/>
  <c r="I373" i="20" s="1"/>
  <c r="J373" i="20" s="1"/>
  <c r="L373" i="20" s="1"/>
  <c r="M372" i="20"/>
  <c r="G372" i="20"/>
  <c r="H372" i="20" s="1"/>
  <c r="I372" i="20" s="1"/>
  <c r="J372" i="20" s="1"/>
  <c r="L372" i="20" s="1"/>
  <c r="M371" i="20"/>
  <c r="G371" i="20"/>
  <c r="H371" i="20" s="1"/>
  <c r="I371" i="20" s="1"/>
  <c r="J371" i="20" s="1"/>
  <c r="L371" i="20" s="1"/>
  <c r="M370" i="20"/>
  <c r="G370" i="20"/>
  <c r="H370" i="20" s="1"/>
  <c r="I370" i="20" s="1"/>
  <c r="J370" i="20" s="1"/>
  <c r="L370" i="20" s="1"/>
  <c r="M369" i="20"/>
  <c r="G369" i="20"/>
  <c r="H369" i="20" s="1"/>
  <c r="I369" i="20" s="1"/>
  <c r="J369" i="20" s="1"/>
  <c r="L369" i="20" s="1"/>
  <c r="M368" i="20"/>
  <c r="G368" i="20"/>
  <c r="H368" i="20" s="1"/>
  <c r="I368" i="20" s="1"/>
  <c r="J368" i="20" s="1"/>
  <c r="L368" i="20" s="1"/>
  <c r="M367" i="20"/>
  <c r="G367" i="20"/>
  <c r="H367" i="20" s="1"/>
  <c r="I367" i="20" s="1"/>
  <c r="J367" i="20" s="1"/>
  <c r="L367" i="20" s="1"/>
  <c r="M366" i="20"/>
  <c r="G366" i="20"/>
  <c r="H366" i="20" s="1"/>
  <c r="I366" i="20" s="1"/>
  <c r="J366" i="20" s="1"/>
  <c r="L366" i="20" s="1"/>
  <c r="M365" i="20"/>
  <c r="G365" i="20"/>
  <c r="H365" i="20" s="1"/>
  <c r="I365" i="20" s="1"/>
  <c r="J365" i="20" s="1"/>
  <c r="L365" i="20" s="1"/>
  <c r="M364" i="20"/>
  <c r="G364" i="20"/>
  <c r="H364" i="20" s="1"/>
  <c r="I364" i="20" s="1"/>
  <c r="J364" i="20" s="1"/>
  <c r="L364" i="20" s="1"/>
  <c r="M363" i="20"/>
  <c r="G363" i="20"/>
  <c r="H363" i="20" s="1"/>
  <c r="I363" i="20" s="1"/>
  <c r="J363" i="20" s="1"/>
  <c r="L363" i="20" s="1"/>
  <c r="M362" i="20"/>
  <c r="G362" i="20"/>
  <c r="H362" i="20" s="1"/>
  <c r="I362" i="20" s="1"/>
  <c r="J362" i="20" s="1"/>
  <c r="L362" i="20" s="1"/>
  <c r="M361" i="20"/>
  <c r="G361" i="20"/>
  <c r="H361" i="20" s="1"/>
  <c r="I361" i="20" s="1"/>
  <c r="J361" i="20" s="1"/>
  <c r="L361" i="20" s="1"/>
  <c r="M360" i="20"/>
  <c r="G360" i="20"/>
  <c r="H360" i="20" s="1"/>
  <c r="I360" i="20" s="1"/>
  <c r="J360" i="20" s="1"/>
  <c r="L360" i="20" s="1"/>
  <c r="M359" i="20"/>
  <c r="G359" i="20"/>
  <c r="H359" i="20" s="1"/>
  <c r="I359" i="20" s="1"/>
  <c r="J359" i="20" s="1"/>
  <c r="L359" i="20" s="1"/>
  <c r="M358" i="20"/>
  <c r="G358" i="20"/>
  <c r="H358" i="20" s="1"/>
  <c r="I358" i="20" s="1"/>
  <c r="J358" i="20" s="1"/>
  <c r="L358" i="20" s="1"/>
  <c r="M357" i="20"/>
  <c r="G357" i="20"/>
  <c r="H357" i="20" s="1"/>
  <c r="I357" i="20" s="1"/>
  <c r="J357" i="20" s="1"/>
  <c r="L357" i="20" s="1"/>
  <c r="M356" i="20"/>
  <c r="G356" i="20"/>
  <c r="H356" i="20" s="1"/>
  <c r="I356" i="20" s="1"/>
  <c r="J356" i="20" s="1"/>
  <c r="L356" i="20" s="1"/>
  <c r="M355" i="20"/>
  <c r="G355" i="20"/>
  <c r="H355" i="20" s="1"/>
  <c r="I355" i="20" s="1"/>
  <c r="J355" i="20" s="1"/>
  <c r="L355" i="20" s="1"/>
  <c r="M354" i="20"/>
  <c r="G354" i="20"/>
  <c r="H354" i="20" s="1"/>
  <c r="I354" i="20" s="1"/>
  <c r="J354" i="20" s="1"/>
  <c r="L354" i="20" s="1"/>
  <c r="M353" i="20"/>
  <c r="G353" i="20"/>
  <c r="H353" i="20" s="1"/>
  <c r="I353" i="20" s="1"/>
  <c r="J353" i="20" s="1"/>
  <c r="L353" i="20" s="1"/>
  <c r="M352" i="20"/>
  <c r="G352" i="20"/>
  <c r="H352" i="20" s="1"/>
  <c r="I352" i="20" s="1"/>
  <c r="J352" i="20" s="1"/>
  <c r="L352" i="20" s="1"/>
  <c r="M351" i="20"/>
  <c r="G351" i="20"/>
  <c r="H351" i="20" s="1"/>
  <c r="I351" i="20" s="1"/>
  <c r="J351" i="20" s="1"/>
  <c r="L351" i="20" s="1"/>
  <c r="M350" i="20"/>
  <c r="G350" i="20"/>
  <c r="H350" i="20" s="1"/>
  <c r="I350" i="20" s="1"/>
  <c r="J350" i="20" s="1"/>
  <c r="L350" i="20" s="1"/>
  <c r="M349" i="20"/>
  <c r="G349" i="20"/>
  <c r="H349" i="20" s="1"/>
  <c r="I349" i="20" s="1"/>
  <c r="J349" i="20" s="1"/>
  <c r="L349" i="20" s="1"/>
  <c r="M348" i="20"/>
  <c r="G348" i="20"/>
  <c r="H348" i="20" s="1"/>
  <c r="I348" i="20" s="1"/>
  <c r="J348" i="20" s="1"/>
  <c r="L348" i="20" s="1"/>
  <c r="M347" i="20"/>
  <c r="G347" i="20"/>
  <c r="H347" i="20" s="1"/>
  <c r="I347" i="20" s="1"/>
  <c r="J347" i="20" s="1"/>
  <c r="L347" i="20" s="1"/>
  <c r="M346" i="20"/>
  <c r="G346" i="20"/>
  <c r="H346" i="20" s="1"/>
  <c r="I346" i="20" s="1"/>
  <c r="J346" i="20" s="1"/>
  <c r="L346" i="20" s="1"/>
  <c r="M345" i="20"/>
  <c r="G345" i="20"/>
  <c r="H345" i="20" s="1"/>
  <c r="I345" i="20" s="1"/>
  <c r="J345" i="20" s="1"/>
  <c r="L345" i="20" s="1"/>
  <c r="M344" i="20"/>
  <c r="G344" i="20"/>
  <c r="H344" i="20" s="1"/>
  <c r="I344" i="20" s="1"/>
  <c r="J344" i="20" s="1"/>
  <c r="L344" i="20" s="1"/>
  <c r="M343" i="20"/>
  <c r="G343" i="20"/>
  <c r="H343" i="20" s="1"/>
  <c r="I343" i="20" s="1"/>
  <c r="J343" i="20" s="1"/>
  <c r="L343" i="20" s="1"/>
  <c r="M342" i="20"/>
  <c r="G342" i="20"/>
  <c r="H342" i="20" s="1"/>
  <c r="I342" i="20" s="1"/>
  <c r="J342" i="20" s="1"/>
  <c r="L342" i="20" s="1"/>
  <c r="M341" i="20"/>
  <c r="G341" i="20"/>
  <c r="H341" i="20" s="1"/>
  <c r="I341" i="20" s="1"/>
  <c r="J341" i="20" s="1"/>
  <c r="L341" i="20" s="1"/>
  <c r="M340" i="20"/>
  <c r="G340" i="20"/>
  <c r="H340" i="20" s="1"/>
  <c r="I340" i="20" s="1"/>
  <c r="J340" i="20" s="1"/>
  <c r="L340" i="20" s="1"/>
  <c r="M339" i="20"/>
  <c r="G339" i="20"/>
  <c r="H339" i="20" s="1"/>
  <c r="I339" i="20" s="1"/>
  <c r="J339" i="20" s="1"/>
  <c r="L339" i="20" s="1"/>
  <c r="M338" i="20"/>
  <c r="G338" i="20"/>
  <c r="H338" i="20" s="1"/>
  <c r="I338" i="20" s="1"/>
  <c r="J338" i="20" s="1"/>
  <c r="L338" i="20" s="1"/>
  <c r="M337" i="20"/>
  <c r="G337" i="20"/>
  <c r="H337" i="20" s="1"/>
  <c r="I337" i="20" s="1"/>
  <c r="J337" i="20" s="1"/>
  <c r="L337" i="20" s="1"/>
  <c r="M336" i="20"/>
  <c r="G336" i="20"/>
  <c r="H336" i="20" s="1"/>
  <c r="I336" i="20" s="1"/>
  <c r="J336" i="20" s="1"/>
  <c r="L336" i="20" s="1"/>
  <c r="M335" i="20"/>
  <c r="G335" i="20"/>
  <c r="H335" i="20" s="1"/>
  <c r="I335" i="20" s="1"/>
  <c r="J335" i="20" s="1"/>
  <c r="L335" i="20" s="1"/>
  <c r="M334" i="20"/>
  <c r="G334" i="20"/>
  <c r="H334" i="20" s="1"/>
  <c r="I334" i="20" s="1"/>
  <c r="J334" i="20" s="1"/>
  <c r="L334" i="20" s="1"/>
  <c r="M333" i="20"/>
  <c r="G333" i="20"/>
  <c r="H333" i="20" s="1"/>
  <c r="I333" i="20" s="1"/>
  <c r="J333" i="20" s="1"/>
  <c r="L333" i="20" s="1"/>
  <c r="M332" i="20"/>
  <c r="G332" i="20"/>
  <c r="H332" i="20" s="1"/>
  <c r="I332" i="20" s="1"/>
  <c r="J332" i="20" s="1"/>
  <c r="L332" i="20" s="1"/>
  <c r="M331" i="20"/>
  <c r="G331" i="20"/>
  <c r="H331" i="20" s="1"/>
  <c r="I331" i="20" s="1"/>
  <c r="J331" i="20" s="1"/>
  <c r="L331" i="20" s="1"/>
  <c r="M330" i="20"/>
  <c r="G330" i="20"/>
  <c r="H330" i="20" s="1"/>
  <c r="I330" i="20" s="1"/>
  <c r="J330" i="20" s="1"/>
  <c r="L330" i="20" s="1"/>
  <c r="M329" i="20"/>
  <c r="G329" i="20"/>
  <c r="H329" i="20" s="1"/>
  <c r="I329" i="20" s="1"/>
  <c r="J329" i="20" s="1"/>
  <c r="L329" i="20" s="1"/>
  <c r="M328" i="20"/>
  <c r="G328" i="20"/>
  <c r="H328" i="20" s="1"/>
  <c r="I328" i="20" s="1"/>
  <c r="J328" i="20" s="1"/>
  <c r="L328" i="20" s="1"/>
  <c r="M327" i="20"/>
  <c r="G327" i="20"/>
  <c r="H327" i="20" s="1"/>
  <c r="I327" i="20" s="1"/>
  <c r="J327" i="20" s="1"/>
  <c r="L327" i="20" s="1"/>
  <c r="M326" i="20"/>
  <c r="G326" i="20"/>
  <c r="H326" i="20" s="1"/>
  <c r="I326" i="20" s="1"/>
  <c r="J326" i="20" s="1"/>
  <c r="L326" i="20" s="1"/>
  <c r="M325" i="20"/>
  <c r="G325" i="20"/>
  <c r="H325" i="20" s="1"/>
  <c r="I325" i="20" s="1"/>
  <c r="J325" i="20" s="1"/>
  <c r="L325" i="20" s="1"/>
  <c r="M324" i="20"/>
  <c r="G324" i="20"/>
  <c r="H324" i="20" s="1"/>
  <c r="I324" i="20" s="1"/>
  <c r="J324" i="20" s="1"/>
  <c r="L324" i="20" s="1"/>
  <c r="M323" i="20"/>
  <c r="G323" i="20"/>
  <c r="H323" i="20" s="1"/>
  <c r="I323" i="20" s="1"/>
  <c r="J323" i="20" s="1"/>
  <c r="L323" i="20" s="1"/>
  <c r="M322" i="20"/>
  <c r="G322" i="20"/>
  <c r="H322" i="20" s="1"/>
  <c r="I322" i="20" s="1"/>
  <c r="J322" i="20" s="1"/>
  <c r="L322" i="20" s="1"/>
  <c r="M321" i="20"/>
  <c r="G321" i="20"/>
  <c r="H321" i="20" s="1"/>
  <c r="I321" i="20" s="1"/>
  <c r="J321" i="20" s="1"/>
  <c r="L321" i="20" s="1"/>
  <c r="M320" i="20"/>
  <c r="G320" i="20"/>
  <c r="H320" i="20" s="1"/>
  <c r="I320" i="20" s="1"/>
  <c r="J320" i="20" s="1"/>
  <c r="L320" i="20" s="1"/>
  <c r="M319" i="20"/>
  <c r="G319" i="20"/>
  <c r="H319" i="20" s="1"/>
  <c r="I319" i="20" s="1"/>
  <c r="J319" i="20" s="1"/>
  <c r="L319" i="20" s="1"/>
  <c r="M318" i="20"/>
  <c r="G318" i="20"/>
  <c r="H318" i="20" s="1"/>
  <c r="I318" i="20" s="1"/>
  <c r="J318" i="20" s="1"/>
  <c r="L318" i="20" s="1"/>
  <c r="M317" i="20"/>
  <c r="G317" i="20"/>
  <c r="H317" i="20" s="1"/>
  <c r="I317" i="20" s="1"/>
  <c r="J317" i="20" s="1"/>
  <c r="L317" i="20" s="1"/>
  <c r="M316" i="20"/>
  <c r="G316" i="20"/>
  <c r="H316" i="20" s="1"/>
  <c r="I316" i="20" s="1"/>
  <c r="J316" i="20" s="1"/>
  <c r="L316" i="20" s="1"/>
  <c r="M315" i="20"/>
  <c r="G315" i="20"/>
  <c r="H315" i="20" s="1"/>
  <c r="I315" i="20" s="1"/>
  <c r="J315" i="20" s="1"/>
  <c r="L315" i="20" s="1"/>
  <c r="M314" i="20"/>
  <c r="G314" i="20"/>
  <c r="H314" i="20" s="1"/>
  <c r="I314" i="20" s="1"/>
  <c r="J314" i="20" s="1"/>
  <c r="L314" i="20" s="1"/>
  <c r="M313" i="20"/>
  <c r="G313" i="20"/>
  <c r="H313" i="20" s="1"/>
  <c r="I313" i="20" s="1"/>
  <c r="J313" i="20" s="1"/>
  <c r="L313" i="20" s="1"/>
  <c r="M312" i="20"/>
  <c r="G312" i="20"/>
  <c r="H312" i="20" s="1"/>
  <c r="I312" i="20" s="1"/>
  <c r="J312" i="20" s="1"/>
  <c r="L312" i="20" s="1"/>
  <c r="M311" i="20"/>
  <c r="G311" i="20"/>
  <c r="H311" i="20" s="1"/>
  <c r="I311" i="20" s="1"/>
  <c r="J311" i="20" s="1"/>
  <c r="L311" i="20" s="1"/>
  <c r="M310" i="20"/>
  <c r="G310" i="20"/>
  <c r="H310" i="20" s="1"/>
  <c r="I310" i="20" s="1"/>
  <c r="J310" i="20" s="1"/>
  <c r="L310" i="20" s="1"/>
  <c r="M309" i="20"/>
  <c r="G309" i="20"/>
  <c r="H309" i="20" s="1"/>
  <c r="I309" i="20" s="1"/>
  <c r="J309" i="20" s="1"/>
  <c r="L309" i="20" s="1"/>
  <c r="M308" i="20"/>
  <c r="H308" i="20"/>
  <c r="I308" i="20" s="1"/>
  <c r="J308" i="20" s="1"/>
  <c r="L308" i="20" s="1"/>
  <c r="G308" i="20"/>
  <c r="M307" i="20"/>
  <c r="G307" i="20"/>
  <c r="H307" i="20" s="1"/>
  <c r="I307" i="20" s="1"/>
  <c r="J307" i="20" s="1"/>
  <c r="L307" i="20" s="1"/>
  <c r="M306" i="20"/>
  <c r="G306" i="20"/>
  <c r="H306" i="20" s="1"/>
  <c r="I306" i="20" s="1"/>
  <c r="J306" i="20" s="1"/>
  <c r="L306" i="20" s="1"/>
  <c r="M305" i="20"/>
  <c r="G305" i="20"/>
  <c r="H305" i="20" s="1"/>
  <c r="I305" i="20" s="1"/>
  <c r="J305" i="20" s="1"/>
  <c r="L305" i="20" s="1"/>
  <c r="M304" i="20"/>
  <c r="G304" i="20"/>
  <c r="H304" i="20" s="1"/>
  <c r="I304" i="20" s="1"/>
  <c r="J304" i="20" s="1"/>
  <c r="L304" i="20" s="1"/>
  <c r="M303" i="20"/>
  <c r="G303" i="20"/>
  <c r="H303" i="20" s="1"/>
  <c r="I303" i="20" s="1"/>
  <c r="J303" i="20" s="1"/>
  <c r="L303" i="20" s="1"/>
  <c r="M302" i="20"/>
  <c r="G302" i="20"/>
  <c r="H302" i="20" s="1"/>
  <c r="I302" i="20" s="1"/>
  <c r="J302" i="20" s="1"/>
  <c r="L302" i="20" s="1"/>
  <c r="M301" i="20"/>
  <c r="G301" i="20"/>
  <c r="H301" i="20" s="1"/>
  <c r="I301" i="20" s="1"/>
  <c r="J301" i="20" s="1"/>
  <c r="L301" i="20" s="1"/>
  <c r="M300" i="20"/>
  <c r="G300" i="20"/>
  <c r="H300" i="20" s="1"/>
  <c r="I300" i="20" s="1"/>
  <c r="J300" i="20" s="1"/>
  <c r="L300" i="20" s="1"/>
  <c r="M299" i="20"/>
  <c r="G299" i="20"/>
  <c r="H299" i="20" s="1"/>
  <c r="I299" i="20" s="1"/>
  <c r="J299" i="20" s="1"/>
  <c r="L299" i="20" s="1"/>
  <c r="M298" i="20"/>
  <c r="G298" i="20"/>
  <c r="H298" i="20" s="1"/>
  <c r="I298" i="20" s="1"/>
  <c r="J298" i="20" s="1"/>
  <c r="L298" i="20" s="1"/>
  <c r="M297" i="20"/>
  <c r="G297" i="20"/>
  <c r="H297" i="20" s="1"/>
  <c r="I297" i="20" s="1"/>
  <c r="J297" i="20" s="1"/>
  <c r="L297" i="20" s="1"/>
  <c r="M296" i="20"/>
  <c r="G296" i="20"/>
  <c r="H296" i="20" s="1"/>
  <c r="I296" i="20" s="1"/>
  <c r="J296" i="20" s="1"/>
  <c r="L296" i="20" s="1"/>
  <c r="M295" i="20"/>
  <c r="G295" i="20"/>
  <c r="H295" i="20" s="1"/>
  <c r="I295" i="20" s="1"/>
  <c r="J295" i="20" s="1"/>
  <c r="L295" i="20" s="1"/>
  <c r="M294" i="20"/>
  <c r="G294" i="20"/>
  <c r="H294" i="20" s="1"/>
  <c r="I294" i="20" s="1"/>
  <c r="J294" i="20" s="1"/>
  <c r="L294" i="20" s="1"/>
  <c r="M293" i="20"/>
  <c r="G293" i="20"/>
  <c r="H293" i="20" s="1"/>
  <c r="I293" i="20" s="1"/>
  <c r="J293" i="20" s="1"/>
  <c r="L293" i="20" s="1"/>
  <c r="M292" i="20"/>
  <c r="G292" i="20"/>
  <c r="H292" i="20" s="1"/>
  <c r="I292" i="20" s="1"/>
  <c r="J292" i="20" s="1"/>
  <c r="L292" i="20" s="1"/>
  <c r="M291" i="20"/>
  <c r="G291" i="20"/>
  <c r="H291" i="20" s="1"/>
  <c r="I291" i="20" s="1"/>
  <c r="J291" i="20" s="1"/>
  <c r="L291" i="20" s="1"/>
  <c r="M290" i="20"/>
  <c r="G290" i="20"/>
  <c r="H290" i="20" s="1"/>
  <c r="I290" i="20" s="1"/>
  <c r="J290" i="20" s="1"/>
  <c r="L290" i="20" s="1"/>
  <c r="M289" i="20"/>
  <c r="G289" i="20"/>
  <c r="H289" i="20" s="1"/>
  <c r="I289" i="20" s="1"/>
  <c r="J289" i="20" s="1"/>
  <c r="L289" i="20" s="1"/>
  <c r="M288" i="20"/>
  <c r="G288" i="20"/>
  <c r="H288" i="20" s="1"/>
  <c r="I288" i="20" s="1"/>
  <c r="J288" i="20" s="1"/>
  <c r="L288" i="20" s="1"/>
  <c r="M287" i="20"/>
  <c r="G287" i="20"/>
  <c r="H287" i="20" s="1"/>
  <c r="I287" i="20" s="1"/>
  <c r="J287" i="20" s="1"/>
  <c r="L287" i="20" s="1"/>
  <c r="M286" i="20"/>
  <c r="G286" i="20"/>
  <c r="H286" i="20" s="1"/>
  <c r="I286" i="20" s="1"/>
  <c r="J286" i="20" s="1"/>
  <c r="L286" i="20" s="1"/>
  <c r="M285" i="20"/>
  <c r="G285" i="20"/>
  <c r="H285" i="20" s="1"/>
  <c r="I285" i="20" s="1"/>
  <c r="J285" i="20" s="1"/>
  <c r="L285" i="20" s="1"/>
  <c r="M284" i="20"/>
  <c r="G284" i="20"/>
  <c r="H284" i="20" s="1"/>
  <c r="I284" i="20" s="1"/>
  <c r="J284" i="20" s="1"/>
  <c r="L284" i="20" s="1"/>
  <c r="M283" i="20"/>
  <c r="G283" i="20"/>
  <c r="H283" i="20" s="1"/>
  <c r="I283" i="20" s="1"/>
  <c r="J283" i="20" s="1"/>
  <c r="L283" i="20" s="1"/>
  <c r="M282" i="20"/>
  <c r="G282" i="20"/>
  <c r="H282" i="20" s="1"/>
  <c r="I282" i="20" s="1"/>
  <c r="J282" i="20" s="1"/>
  <c r="L282" i="20" s="1"/>
  <c r="M281" i="20"/>
  <c r="G281" i="20"/>
  <c r="H281" i="20" s="1"/>
  <c r="I281" i="20" s="1"/>
  <c r="J281" i="20" s="1"/>
  <c r="L281" i="20" s="1"/>
  <c r="M280" i="20"/>
  <c r="G280" i="20"/>
  <c r="H280" i="20" s="1"/>
  <c r="I280" i="20" s="1"/>
  <c r="J280" i="20" s="1"/>
  <c r="L280" i="20" s="1"/>
  <c r="M279" i="20"/>
  <c r="G279" i="20"/>
  <c r="H279" i="20" s="1"/>
  <c r="I279" i="20" s="1"/>
  <c r="J279" i="20" s="1"/>
  <c r="L279" i="20" s="1"/>
  <c r="M278" i="20"/>
  <c r="G278" i="20"/>
  <c r="H278" i="20" s="1"/>
  <c r="I278" i="20" s="1"/>
  <c r="J278" i="20" s="1"/>
  <c r="L278" i="20" s="1"/>
  <c r="M277" i="20"/>
  <c r="G277" i="20"/>
  <c r="H277" i="20" s="1"/>
  <c r="I277" i="20" s="1"/>
  <c r="J277" i="20" s="1"/>
  <c r="L277" i="20" s="1"/>
  <c r="M276" i="20"/>
  <c r="G276" i="20"/>
  <c r="H276" i="20" s="1"/>
  <c r="I276" i="20" s="1"/>
  <c r="J276" i="20" s="1"/>
  <c r="L276" i="20" s="1"/>
  <c r="M275" i="20"/>
  <c r="G275" i="20"/>
  <c r="H275" i="20" s="1"/>
  <c r="I275" i="20" s="1"/>
  <c r="J275" i="20" s="1"/>
  <c r="L275" i="20" s="1"/>
  <c r="M274" i="20"/>
  <c r="G274" i="20"/>
  <c r="H274" i="20" s="1"/>
  <c r="I274" i="20" s="1"/>
  <c r="J274" i="20" s="1"/>
  <c r="L274" i="20" s="1"/>
  <c r="M273" i="20"/>
  <c r="G273" i="20"/>
  <c r="H273" i="20" s="1"/>
  <c r="I273" i="20" s="1"/>
  <c r="J273" i="20" s="1"/>
  <c r="L273" i="20" s="1"/>
  <c r="M272" i="20"/>
  <c r="G272" i="20"/>
  <c r="H272" i="20" s="1"/>
  <c r="I272" i="20" s="1"/>
  <c r="J272" i="20" s="1"/>
  <c r="L272" i="20" s="1"/>
  <c r="M271" i="20"/>
  <c r="G271" i="20"/>
  <c r="H271" i="20" s="1"/>
  <c r="I271" i="20" s="1"/>
  <c r="J271" i="20" s="1"/>
  <c r="L271" i="20" s="1"/>
  <c r="M270" i="20"/>
  <c r="G270" i="20"/>
  <c r="H270" i="20" s="1"/>
  <c r="I270" i="20" s="1"/>
  <c r="J270" i="20" s="1"/>
  <c r="L270" i="20" s="1"/>
  <c r="M269" i="20"/>
  <c r="G269" i="20"/>
  <c r="H269" i="20" s="1"/>
  <c r="I269" i="20" s="1"/>
  <c r="J269" i="20" s="1"/>
  <c r="L269" i="20" s="1"/>
  <c r="M268" i="20"/>
  <c r="G268" i="20"/>
  <c r="H268" i="20" s="1"/>
  <c r="I268" i="20" s="1"/>
  <c r="J268" i="20" s="1"/>
  <c r="L268" i="20" s="1"/>
  <c r="M267" i="20"/>
  <c r="G267" i="20"/>
  <c r="H267" i="20" s="1"/>
  <c r="I267" i="20" s="1"/>
  <c r="J267" i="20" s="1"/>
  <c r="L267" i="20" s="1"/>
  <c r="M266" i="20"/>
  <c r="G266" i="20"/>
  <c r="H266" i="20" s="1"/>
  <c r="I266" i="20" s="1"/>
  <c r="J266" i="20" s="1"/>
  <c r="L266" i="20" s="1"/>
  <c r="M265" i="20"/>
  <c r="G265" i="20"/>
  <c r="H265" i="20" s="1"/>
  <c r="I265" i="20" s="1"/>
  <c r="J265" i="20" s="1"/>
  <c r="L265" i="20" s="1"/>
  <c r="M264" i="20"/>
  <c r="G264" i="20"/>
  <c r="H264" i="20" s="1"/>
  <c r="I264" i="20" s="1"/>
  <c r="J264" i="20" s="1"/>
  <c r="L264" i="20" s="1"/>
  <c r="M263" i="20"/>
  <c r="G263" i="20"/>
  <c r="H263" i="20" s="1"/>
  <c r="I263" i="20" s="1"/>
  <c r="J263" i="20" s="1"/>
  <c r="L263" i="20" s="1"/>
  <c r="M262" i="20"/>
  <c r="G262" i="20"/>
  <c r="H262" i="20" s="1"/>
  <c r="I262" i="20" s="1"/>
  <c r="J262" i="20" s="1"/>
  <c r="L262" i="20" s="1"/>
  <c r="M261" i="20"/>
  <c r="G261" i="20"/>
  <c r="H261" i="20" s="1"/>
  <c r="I261" i="20" s="1"/>
  <c r="J261" i="20" s="1"/>
  <c r="L261" i="20" s="1"/>
  <c r="M260" i="20"/>
  <c r="G260" i="20"/>
  <c r="H260" i="20" s="1"/>
  <c r="I260" i="20" s="1"/>
  <c r="J260" i="20" s="1"/>
  <c r="L260" i="20" s="1"/>
  <c r="M259" i="20"/>
  <c r="G259" i="20"/>
  <c r="H259" i="20" s="1"/>
  <c r="I259" i="20" s="1"/>
  <c r="J259" i="20" s="1"/>
  <c r="L259" i="20" s="1"/>
  <c r="M258" i="20"/>
  <c r="G258" i="20"/>
  <c r="H258" i="20" s="1"/>
  <c r="I258" i="20" s="1"/>
  <c r="J258" i="20" s="1"/>
  <c r="L258" i="20" s="1"/>
  <c r="M257" i="20"/>
  <c r="G257" i="20"/>
  <c r="H257" i="20" s="1"/>
  <c r="I257" i="20" s="1"/>
  <c r="J257" i="20" s="1"/>
  <c r="L257" i="20" s="1"/>
  <c r="M256" i="20"/>
  <c r="G256" i="20"/>
  <c r="H256" i="20" s="1"/>
  <c r="I256" i="20" s="1"/>
  <c r="J256" i="20" s="1"/>
  <c r="L256" i="20" s="1"/>
  <c r="M255" i="20"/>
  <c r="G255" i="20"/>
  <c r="H255" i="20" s="1"/>
  <c r="I255" i="20" s="1"/>
  <c r="J255" i="20" s="1"/>
  <c r="L255" i="20" s="1"/>
  <c r="M254" i="20"/>
  <c r="G254" i="20"/>
  <c r="H254" i="20" s="1"/>
  <c r="I254" i="20" s="1"/>
  <c r="J254" i="20" s="1"/>
  <c r="L254" i="20" s="1"/>
  <c r="M253" i="20"/>
  <c r="G253" i="20"/>
  <c r="H253" i="20" s="1"/>
  <c r="I253" i="20" s="1"/>
  <c r="J253" i="20" s="1"/>
  <c r="L253" i="20" s="1"/>
  <c r="M252" i="20"/>
  <c r="G252" i="20"/>
  <c r="H252" i="20" s="1"/>
  <c r="I252" i="20" s="1"/>
  <c r="J252" i="20" s="1"/>
  <c r="L252" i="20" s="1"/>
  <c r="M251" i="20"/>
  <c r="G251" i="20"/>
  <c r="H251" i="20" s="1"/>
  <c r="I251" i="20" s="1"/>
  <c r="J251" i="20" s="1"/>
  <c r="L251" i="20" s="1"/>
  <c r="M250" i="20"/>
  <c r="G250" i="20"/>
  <c r="H250" i="20" s="1"/>
  <c r="I250" i="20" s="1"/>
  <c r="J250" i="20" s="1"/>
  <c r="L250" i="20" s="1"/>
  <c r="M249" i="20"/>
  <c r="G249" i="20"/>
  <c r="H249" i="20" s="1"/>
  <c r="I249" i="20" s="1"/>
  <c r="J249" i="20" s="1"/>
  <c r="L249" i="20" s="1"/>
  <c r="M248" i="20"/>
  <c r="G248" i="20"/>
  <c r="H248" i="20" s="1"/>
  <c r="I248" i="20" s="1"/>
  <c r="J248" i="20" s="1"/>
  <c r="L248" i="20" s="1"/>
  <c r="M247" i="20"/>
  <c r="G247" i="20"/>
  <c r="H247" i="20" s="1"/>
  <c r="I247" i="20" s="1"/>
  <c r="J247" i="20" s="1"/>
  <c r="L247" i="20" s="1"/>
  <c r="M246" i="20"/>
  <c r="G246" i="20"/>
  <c r="H246" i="20" s="1"/>
  <c r="I246" i="20" s="1"/>
  <c r="J246" i="20" s="1"/>
  <c r="L246" i="20" s="1"/>
  <c r="M245" i="20"/>
  <c r="G245" i="20"/>
  <c r="H245" i="20" s="1"/>
  <c r="I245" i="20" s="1"/>
  <c r="J245" i="20" s="1"/>
  <c r="L245" i="20" s="1"/>
  <c r="M244" i="20"/>
  <c r="G244" i="20"/>
  <c r="H244" i="20" s="1"/>
  <c r="I244" i="20" s="1"/>
  <c r="J244" i="20" s="1"/>
  <c r="L244" i="20" s="1"/>
  <c r="M243" i="20"/>
  <c r="G243" i="20"/>
  <c r="H243" i="20" s="1"/>
  <c r="I243" i="20" s="1"/>
  <c r="J243" i="20" s="1"/>
  <c r="L243" i="20" s="1"/>
  <c r="M242" i="20"/>
  <c r="G242" i="20"/>
  <c r="H242" i="20" s="1"/>
  <c r="I242" i="20" s="1"/>
  <c r="J242" i="20" s="1"/>
  <c r="L242" i="20" s="1"/>
  <c r="M241" i="20"/>
  <c r="G241" i="20"/>
  <c r="H241" i="20" s="1"/>
  <c r="I241" i="20" s="1"/>
  <c r="J241" i="20" s="1"/>
  <c r="L241" i="20" s="1"/>
  <c r="M240" i="20"/>
  <c r="G240" i="20"/>
  <c r="H240" i="20" s="1"/>
  <c r="I240" i="20" s="1"/>
  <c r="J240" i="20" s="1"/>
  <c r="L240" i="20" s="1"/>
  <c r="M239" i="20"/>
  <c r="G239" i="20"/>
  <c r="H239" i="20" s="1"/>
  <c r="I239" i="20" s="1"/>
  <c r="J239" i="20" s="1"/>
  <c r="L239" i="20" s="1"/>
  <c r="M238" i="20"/>
  <c r="G238" i="20"/>
  <c r="H238" i="20" s="1"/>
  <c r="I238" i="20" s="1"/>
  <c r="J238" i="20" s="1"/>
  <c r="L238" i="20" s="1"/>
  <c r="M237" i="20"/>
  <c r="G237" i="20"/>
  <c r="H237" i="20" s="1"/>
  <c r="I237" i="20" s="1"/>
  <c r="J237" i="20" s="1"/>
  <c r="L237" i="20" s="1"/>
  <c r="M236" i="20"/>
  <c r="G236" i="20"/>
  <c r="H236" i="20" s="1"/>
  <c r="I236" i="20" s="1"/>
  <c r="J236" i="20" s="1"/>
  <c r="L236" i="20" s="1"/>
  <c r="M235" i="20"/>
  <c r="G235" i="20"/>
  <c r="H235" i="20" s="1"/>
  <c r="I235" i="20" s="1"/>
  <c r="J235" i="20" s="1"/>
  <c r="L235" i="20" s="1"/>
  <c r="M234" i="20"/>
  <c r="G234" i="20"/>
  <c r="H234" i="20" s="1"/>
  <c r="I234" i="20" s="1"/>
  <c r="J234" i="20" s="1"/>
  <c r="L234" i="20" s="1"/>
  <c r="M233" i="20"/>
  <c r="G233" i="20"/>
  <c r="H233" i="20" s="1"/>
  <c r="I233" i="20" s="1"/>
  <c r="J233" i="20" s="1"/>
  <c r="L233" i="20" s="1"/>
  <c r="M232" i="20"/>
  <c r="G232" i="20"/>
  <c r="H232" i="20" s="1"/>
  <c r="I232" i="20" s="1"/>
  <c r="J232" i="20" s="1"/>
  <c r="L232" i="20" s="1"/>
  <c r="M231" i="20"/>
  <c r="G231" i="20"/>
  <c r="H231" i="20" s="1"/>
  <c r="I231" i="20" s="1"/>
  <c r="J231" i="20" s="1"/>
  <c r="L231" i="20" s="1"/>
  <c r="M230" i="20"/>
  <c r="G230" i="20"/>
  <c r="H230" i="20" s="1"/>
  <c r="I230" i="20" s="1"/>
  <c r="J230" i="20" s="1"/>
  <c r="L230" i="20" s="1"/>
  <c r="M229" i="20"/>
  <c r="G229" i="20"/>
  <c r="H229" i="20" s="1"/>
  <c r="I229" i="20" s="1"/>
  <c r="J229" i="20" s="1"/>
  <c r="L229" i="20" s="1"/>
  <c r="M228" i="20"/>
  <c r="G228" i="20"/>
  <c r="H228" i="20" s="1"/>
  <c r="I228" i="20" s="1"/>
  <c r="J228" i="20" s="1"/>
  <c r="L228" i="20" s="1"/>
  <c r="M227" i="20"/>
  <c r="G227" i="20"/>
  <c r="H227" i="20" s="1"/>
  <c r="I227" i="20" s="1"/>
  <c r="J227" i="20" s="1"/>
  <c r="L227" i="20" s="1"/>
  <c r="M226" i="20"/>
  <c r="G226" i="20"/>
  <c r="H226" i="20" s="1"/>
  <c r="I226" i="20" s="1"/>
  <c r="J226" i="20" s="1"/>
  <c r="L226" i="20" s="1"/>
  <c r="M225" i="20"/>
  <c r="G225" i="20"/>
  <c r="H225" i="20" s="1"/>
  <c r="I225" i="20" s="1"/>
  <c r="J225" i="20" s="1"/>
  <c r="L225" i="20" s="1"/>
  <c r="M224" i="20"/>
  <c r="G224" i="20"/>
  <c r="H224" i="20" s="1"/>
  <c r="I224" i="20" s="1"/>
  <c r="J224" i="20" s="1"/>
  <c r="L224" i="20" s="1"/>
  <c r="M223" i="20"/>
  <c r="G223" i="20"/>
  <c r="H223" i="20" s="1"/>
  <c r="I223" i="20" s="1"/>
  <c r="J223" i="20" s="1"/>
  <c r="L223" i="20" s="1"/>
  <c r="M222" i="20"/>
  <c r="G222" i="20"/>
  <c r="H222" i="20" s="1"/>
  <c r="I222" i="20" s="1"/>
  <c r="J222" i="20" s="1"/>
  <c r="L222" i="20" s="1"/>
  <c r="M221" i="20"/>
  <c r="G221" i="20"/>
  <c r="H221" i="20" s="1"/>
  <c r="I221" i="20" s="1"/>
  <c r="J221" i="20" s="1"/>
  <c r="L221" i="20" s="1"/>
  <c r="M220" i="20"/>
  <c r="G220" i="20"/>
  <c r="H220" i="20" s="1"/>
  <c r="I220" i="20" s="1"/>
  <c r="J220" i="20" s="1"/>
  <c r="L220" i="20" s="1"/>
  <c r="M219" i="20"/>
  <c r="G219" i="20"/>
  <c r="H219" i="20" s="1"/>
  <c r="I219" i="20" s="1"/>
  <c r="J219" i="20" s="1"/>
  <c r="L219" i="20" s="1"/>
  <c r="M218" i="20"/>
  <c r="G218" i="20"/>
  <c r="H218" i="20" s="1"/>
  <c r="I218" i="20" s="1"/>
  <c r="J218" i="20" s="1"/>
  <c r="L218" i="20" s="1"/>
  <c r="M217" i="20"/>
  <c r="G217" i="20"/>
  <c r="H217" i="20" s="1"/>
  <c r="I217" i="20" s="1"/>
  <c r="J217" i="20" s="1"/>
  <c r="L217" i="20" s="1"/>
  <c r="M216" i="20"/>
  <c r="G216" i="20"/>
  <c r="H216" i="20" s="1"/>
  <c r="I216" i="20" s="1"/>
  <c r="J216" i="20" s="1"/>
  <c r="L216" i="20" s="1"/>
  <c r="M215" i="20"/>
  <c r="G215" i="20"/>
  <c r="H215" i="20" s="1"/>
  <c r="I215" i="20" s="1"/>
  <c r="J215" i="20" s="1"/>
  <c r="L215" i="20" s="1"/>
  <c r="M214" i="20"/>
  <c r="G214" i="20"/>
  <c r="H214" i="20" s="1"/>
  <c r="I214" i="20" s="1"/>
  <c r="J214" i="20" s="1"/>
  <c r="L214" i="20" s="1"/>
  <c r="M213" i="20"/>
  <c r="G213" i="20"/>
  <c r="H213" i="20" s="1"/>
  <c r="I213" i="20" s="1"/>
  <c r="J213" i="20" s="1"/>
  <c r="L213" i="20" s="1"/>
  <c r="M212" i="20"/>
  <c r="G212" i="20"/>
  <c r="H212" i="20" s="1"/>
  <c r="I212" i="20" s="1"/>
  <c r="J212" i="20" s="1"/>
  <c r="L212" i="20" s="1"/>
  <c r="M211" i="20"/>
  <c r="G211" i="20"/>
  <c r="H211" i="20" s="1"/>
  <c r="I211" i="20" s="1"/>
  <c r="J211" i="20" s="1"/>
  <c r="L211" i="20" s="1"/>
  <c r="M210" i="20"/>
  <c r="G210" i="20"/>
  <c r="H210" i="20" s="1"/>
  <c r="I210" i="20" s="1"/>
  <c r="J210" i="20" s="1"/>
  <c r="L210" i="20" s="1"/>
  <c r="M209" i="20"/>
  <c r="G209" i="20"/>
  <c r="H209" i="20" s="1"/>
  <c r="I209" i="20" s="1"/>
  <c r="J209" i="20" s="1"/>
  <c r="L209" i="20" s="1"/>
  <c r="M208" i="20"/>
  <c r="G208" i="20"/>
  <c r="H208" i="20" s="1"/>
  <c r="I208" i="20" s="1"/>
  <c r="J208" i="20" s="1"/>
  <c r="L208" i="20" s="1"/>
  <c r="M207" i="20"/>
  <c r="G207" i="20"/>
  <c r="H207" i="20" s="1"/>
  <c r="I207" i="20" s="1"/>
  <c r="J207" i="20" s="1"/>
  <c r="L207" i="20" s="1"/>
  <c r="M206" i="20"/>
  <c r="G206" i="20"/>
  <c r="H206" i="20" s="1"/>
  <c r="I206" i="20" s="1"/>
  <c r="J206" i="20" s="1"/>
  <c r="L206" i="20" s="1"/>
  <c r="M205" i="20"/>
  <c r="G205" i="20"/>
  <c r="H205" i="20" s="1"/>
  <c r="I205" i="20" s="1"/>
  <c r="J205" i="20" s="1"/>
  <c r="L205" i="20" s="1"/>
  <c r="M204" i="20"/>
  <c r="G204" i="20"/>
  <c r="H204" i="20" s="1"/>
  <c r="I204" i="20" s="1"/>
  <c r="J204" i="20" s="1"/>
  <c r="L204" i="20" s="1"/>
  <c r="M203" i="20"/>
  <c r="G203" i="20"/>
  <c r="H203" i="20" s="1"/>
  <c r="I203" i="20" s="1"/>
  <c r="J203" i="20" s="1"/>
  <c r="L203" i="20" s="1"/>
  <c r="M202" i="20"/>
  <c r="G202" i="20"/>
  <c r="H202" i="20" s="1"/>
  <c r="I202" i="20" s="1"/>
  <c r="J202" i="20" s="1"/>
  <c r="L202" i="20" s="1"/>
  <c r="M201" i="20"/>
  <c r="G201" i="20"/>
  <c r="H201" i="20" s="1"/>
  <c r="I201" i="20" s="1"/>
  <c r="J201" i="20" s="1"/>
  <c r="L201" i="20" s="1"/>
  <c r="M200" i="20"/>
  <c r="G200" i="20"/>
  <c r="H200" i="20" s="1"/>
  <c r="I200" i="20" s="1"/>
  <c r="J200" i="20" s="1"/>
  <c r="L200" i="20" s="1"/>
  <c r="M199" i="20"/>
  <c r="G199" i="20"/>
  <c r="H199" i="20" s="1"/>
  <c r="I199" i="20" s="1"/>
  <c r="J199" i="20" s="1"/>
  <c r="L199" i="20" s="1"/>
  <c r="M198" i="20"/>
  <c r="G198" i="20"/>
  <c r="H198" i="20" s="1"/>
  <c r="I198" i="20" s="1"/>
  <c r="J198" i="20" s="1"/>
  <c r="L198" i="20" s="1"/>
  <c r="M197" i="20"/>
  <c r="G197" i="20"/>
  <c r="H197" i="20" s="1"/>
  <c r="I197" i="20" s="1"/>
  <c r="J197" i="20" s="1"/>
  <c r="L197" i="20" s="1"/>
  <c r="M196" i="20"/>
  <c r="G196" i="20"/>
  <c r="H196" i="20" s="1"/>
  <c r="I196" i="20" s="1"/>
  <c r="J196" i="20" s="1"/>
  <c r="L196" i="20" s="1"/>
  <c r="M195" i="20"/>
  <c r="G195" i="20"/>
  <c r="H195" i="20" s="1"/>
  <c r="I195" i="20" s="1"/>
  <c r="J195" i="20" s="1"/>
  <c r="L195" i="20" s="1"/>
  <c r="M194" i="20"/>
  <c r="G194" i="20"/>
  <c r="H194" i="20" s="1"/>
  <c r="I194" i="20" s="1"/>
  <c r="J194" i="20" s="1"/>
  <c r="L194" i="20" s="1"/>
  <c r="M193" i="20"/>
  <c r="G193" i="20"/>
  <c r="H193" i="20" s="1"/>
  <c r="I193" i="20" s="1"/>
  <c r="J193" i="20" s="1"/>
  <c r="L193" i="20" s="1"/>
  <c r="M192" i="20"/>
  <c r="G192" i="20"/>
  <c r="H192" i="20" s="1"/>
  <c r="I192" i="20" s="1"/>
  <c r="J192" i="20" s="1"/>
  <c r="L192" i="20" s="1"/>
  <c r="M191" i="20"/>
  <c r="G191" i="20"/>
  <c r="H191" i="20" s="1"/>
  <c r="I191" i="20" s="1"/>
  <c r="J191" i="20" s="1"/>
  <c r="L191" i="20" s="1"/>
  <c r="M190" i="20"/>
  <c r="G190" i="20"/>
  <c r="H190" i="20" s="1"/>
  <c r="I190" i="20" s="1"/>
  <c r="J190" i="20" s="1"/>
  <c r="L190" i="20" s="1"/>
  <c r="M189" i="20"/>
  <c r="G189" i="20"/>
  <c r="H189" i="20" s="1"/>
  <c r="I189" i="20" s="1"/>
  <c r="J189" i="20" s="1"/>
  <c r="L189" i="20" s="1"/>
  <c r="M188" i="20"/>
  <c r="G188" i="20"/>
  <c r="H188" i="20" s="1"/>
  <c r="I188" i="20" s="1"/>
  <c r="J188" i="20" s="1"/>
  <c r="L188" i="20" s="1"/>
  <c r="M187" i="20"/>
  <c r="G187" i="20"/>
  <c r="H187" i="20" s="1"/>
  <c r="I187" i="20" s="1"/>
  <c r="J187" i="20" s="1"/>
  <c r="L187" i="20" s="1"/>
  <c r="M186" i="20"/>
  <c r="G186" i="20"/>
  <c r="H186" i="20" s="1"/>
  <c r="I186" i="20" s="1"/>
  <c r="J186" i="20" s="1"/>
  <c r="L186" i="20" s="1"/>
  <c r="M185" i="20"/>
  <c r="G185" i="20"/>
  <c r="H185" i="20" s="1"/>
  <c r="I185" i="20" s="1"/>
  <c r="J185" i="20" s="1"/>
  <c r="L185" i="20" s="1"/>
  <c r="M184" i="20"/>
  <c r="G184" i="20"/>
  <c r="H184" i="20" s="1"/>
  <c r="I184" i="20" s="1"/>
  <c r="J184" i="20" s="1"/>
  <c r="L184" i="20" s="1"/>
  <c r="M183" i="20"/>
  <c r="G183" i="20"/>
  <c r="H183" i="20" s="1"/>
  <c r="I183" i="20" s="1"/>
  <c r="J183" i="20" s="1"/>
  <c r="L183" i="20" s="1"/>
  <c r="M182" i="20"/>
  <c r="G182" i="20"/>
  <c r="H182" i="20" s="1"/>
  <c r="I182" i="20" s="1"/>
  <c r="J182" i="20" s="1"/>
  <c r="L182" i="20" s="1"/>
  <c r="M181" i="20"/>
  <c r="G181" i="20"/>
  <c r="H181" i="20" s="1"/>
  <c r="I181" i="20" s="1"/>
  <c r="J181" i="20" s="1"/>
  <c r="L181" i="20" s="1"/>
  <c r="M180" i="20"/>
  <c r="G180" i="20"/>
  <c r="H180" i="20" s="1"/>
  <c r="I180" i="20" s="1"/>
  <c r="J180" i="20" s="1"/>
  <c r="L180" i="20" s="1"/>
  <c r="M179" i="20"/>
  <c r="G179" i="20"/>
  <c r="H179" i="20" s="1"/>
  <c r="I179" i="20" s="1"/>
  <c r="J179" i="20" s="1"/>
  <c r="L179" i="20" s="1"/>
  <c r="M178" i="20"/>
  <c r="G178" i="20"/>
  <c r="H178" i="20" s="1"/>
  <c r="I178" i="20" s="1"/>
  <c r="J178" i="20" s="1"/>
  <c r="L178" i="20" s="1"/>
  <c r="M177" i="20"/>
  <c r="G177" i="20"/>
  <c r="H177" i="20" s="1"/>
  <c r="I177" i="20" s="1"/>
  <c r="J177" i="20" s="1"/>
  <c r="L177" i="20" s="1"/>
  <c r="M176" i="20"/>
  <c r="G176" i="20"/>
  <c r="H176" i="20" s="1"/>
  <c r="I176" i="20" s="1"/>
  <c r="J176" i="20" s="1"/>
  <c r="L176" i="20" s="1"/>
  <c r="M175" i="20"/>
  <c r="G175" i="20"/>
  <c r="H175" i="20" s="1"/>
  <c r="I175" i="20" s="1"/>
  <c r="J175" i="20" s="1"/>
  <c r="L175" i="20" s="1"/>
  <c r="M174" i="20"/>
  <c r="G174" i="20"/>
  <c r="H174" i="20" s="1"/>
  <c r="I174" i="20" s="1"/>
  <c r="J174" i="20" s="1"/>
  <c r="L174" i="20" s="1"/>
  <c r="M173" i="20"/>
  <c r="G173" i="20"/>
  <c r="H173" i="20" s="1"/>
  <c r="I173" i="20" s="1"/>
  <c r="J173" i="20" s="1"/>
  <c r="L173" i="20" s="1"/>
  <c r="M172" i="20"/>
  <c r="G172" i="20"/>
  <c r="H172" i="20" s="1"/>
  <c r="I172" i="20" s="1"/>
  <c r="J172" i="20" s="1"/>
  <c r="L172" i="20" s="1"/>
  <c r="M171" i="20"/>
  <c r="G171" i="20"/>
  <c r="H171" i="20" s="1"/>
  <c r="I171" i="20" s="1"/>
  <c r="J171" i="20" s="1"/>
  <c r="L171" i="20" s="1"/>
  <c r="M170" i="20"/>
  <c r="G170" i="20"/>
  <c r="H170" i="20" s="1"/>
  <c r="I170" i="20" s="1"/>
  <c r="J170" i="20" s="1"/>
  <c r="L170" i="20" s="1"/>
  <c r="M169" i="20"/>
  <c r="G169" i="20"/>
  <c r="H169" i="20" s="1"/>
  <c r="I169" i="20" s="1"/>
  <c r="J169" i="20" s="1"/>
  <c r="L169" i="20" s="1"/>
  <c r="M168" i="20"/>
  <c r="G168" i="20"/>
  <c r="H168" i="20" s="1"/>
  <c r="I168" i="20" s="1"/>
  <c r="J168" i="20" s="1"/>
  <c r="L168" i="20" s="1"/>
  <c r="M167" i="20"/>
  <c r="G167" i="20"/>
  <c r="H167" i="20" s="1"/>
  <c r="I167" i="20" s="1"/>
  <c r="J167" i="20" s="1"/>
  <c r="L167" i="20" s="1"/>
  <c r="M166" i="20"/>
  <c r="G166" i="20"/>
  <c r="H166" i="20" s="1"/>
  <c r="I166" i="20" s="1"/>
  <c r="J166" i="20" s="1"/>
  <c r="L166" i="20" s="1"/>
  <c r="M165" i="20"/>
  <c r="G165" i="20"/>
  <c r="H165" i="20" s="1"/>
  <c r="I165" i="20" s="1"/>
  <c r="J165" i="20" s="1"/>
  <c r="L165" i="20" s="1"/>
  <c r="M164" i="20"/>
  <c r="G164" i="20"/>
  <c r="H164" i="20" s="1"/>
  <c r="I164" i="20" s="1"/>
  <c r="J164" i="20" s="1"/>
  <c r="L164" i="20" s="1"/>
  <c r="M163" i="20"/>
  <c r="G163" i="20"/>
  <c r="H163" i="20" s="1"/>
  <c r="I163" i="20" s="1"/>
  <c r="J163" i="20" s="1"/>
  <c r="L163" i="20" s="1"/>
  <c r="M162" i="20"/>
  <c r="G162" i="20"/>
  <c r="H162" i="20" s="1"/>
  <c r="I162" i="20" s="1"/>
  <c r="J162" i="20" s="1"/>
  <c r="L162" i="20" s="1"/>
  <c r="M161" i="20"/>
  <c r="G161" i="20"/>
  <c r="H161" i="20" s="1"/>
  <c r="I161" i="20" s="1"/>
  <c r="J161" i="20" s="1"/>
  <c r="L161" i="20" s="1"/>
  <c r="M160" i="20"/>
  <c r="G160" i="20"/>
  <c r="H160" i="20" s="1"/>
  <c r="I160" i="20" s="1"/>
  <c r="J160" i="20" s="1"/>
  <c r="L160" i="20" s="1"/>
  <c r="M159" i="20"/>
  <c r="G159" i="20"/>
  <c r="H159" i="20" s="1"/>
  <c r="I159" i="20" s="1"/>
  <c r="J159" i="20" s="1"/>
  <c r="L159" i="20" s="1"/>
  <c r="M158" i="20"/>
  <c r="G158" i="20"/>
  <c r="H158" i="20" s="1"/>
  <c r="I158" i="20" s="1"/>
  <c r="J158" i="20" s="1"/>
  <c r="L158" i="20" s="1"/>
  <c r="M157" i="20"/>
  <c r="G157" i="20"/>
  <c r="H157" i="20" s="1"/>
  <c r="I157" i="20" s="1"/>
  <c r="J157" i="20" s="1"/>
  <c r="L157" i="20" s="1"/>
  <c r="M156" i="20"/>
  <c r="G156" i="20"/>
  <c r="H156" i="20" s="1"/>
  <c r="I156" i="20" s="1"/>
  <c r="J156" i="20" s="1"/>
  <c r="L156" i="20" s="1"/>
  <c r="M155" i="20"/>
  <c r="G155" i="20"/>
  <c r="H155" i="20" s="1"/>
  <c r="I155" i="20" s="1"/>
  <c r="J155" i="20" s="1"/>
  <c r="L155" i="20" s="1"/>
  <c r="M154" i="20"/>
  <c r="G154" i="20"/>
  <c r="H154" i="20" s="1"/>
  <c r="I154" i="20" s="1"/>
  <c r="J154" i="20" s="1"/>
  <c r="L154" i="20" s="1"/>
  <c r="M153" i="20"/>
  <c r="G153" i="20"/>
  <c r="H153" i="20" s="1"/>
  <c r="I153" i="20" s="1"/>
  <c r="J153" i="20" s="1"/>
  <c r="L153" i="20" s="1"/>
  <c r="M152" i="20"/>
  <c r="G152" i="20"/>
  <c r="H152" i="20" s="1"/>
  <c r="I152" i="20" s="1"/>
  <c r="J152" i="20" s="1"/>
  <c r="L152" i="20" s="1"/>
  <c r="M151" i="20"/>
  <c r="G151" i="20"/>
  <c r="H151" i="20" s="1"/>
  <c r="I151" i="20" s="1"/>
  <c r="J151" i="20" s="1"/>
  <c r="L151" i="20" s="1"/>
  <c r="M150" i="20"/>
  <c r="G150" i="20"/>
  <c r="H150" i="20" s="1"/>
  <c r="I150" i="20" s="1"/>
  <c r="J150" i="20" s="1"/>
  <c r="L150" i="20" s="1"/>
  <c r="M149" i="20"/>
  <c r="G149" i="20"/>
  <c r="H149" i="20" s="1"/>
  <c r="I149" i="20" s="1"/>
  <c r="J149" i="20" s="1"/>
  <c r="L149" i="20" s="1"/>
  <c r="M148" i="20"/>
  <c r="G148" i="20"/>
  <c r="H148" i="20" s="1"/>
  <c r="I148" i="20" s="1"/>
  <c r="J148" i="20" s="1"/>
  <c r="L148" i="20" s="1"/>
  <c r="M147" i="20"/>
  <c r="G147" i="20"/>
  <c r="H147" i="20" s="1"/>
  <c r="I147" i="20" s="1"/>
  <c r="J147" i="20" s="1"/>
  <c r="L147" i="20" s="1"/>
  <c r="M146" i="20"/>
  <c r="G146" i="20"/>
  <c r="H146" i="20" s="1"/>
  <c r="I146" i="20" s="1"/>
  <c r="J146" i="20" s="1"/>
  <c r="L146" i="20" s="1"/>
  <c r="M145" i="20"/>
  <c r="G145" i="20"/>
  <c r="H145" i="20" s="1"/>
  <c r="I145" i="20" s="1"/>
  <c r="J145" i="20" s="1"/>
  <c r="L145" i="20" s="1"/>
  <c r="M144" i="20"/>
  <c r="G144" i="20"/>
  <c r="H144" i="20" s="1"/>
  <c r="I144" i="20" s="1"/>
  <c r="J144" i="20" s="1"/>
  <c r="L144" i="20" s="1"/>
  <c r="M143" i="20"/>
  <c r="G143" i="20"/>
  <c r="H143" i="20" s="1"/>
  <c r="I143" i="20" s="1"/>
  <c r="J143" i="20" s="1"/>
  <c r="L143" i="20" s="1"/>
  <c r="M142" i="20"/>
  <c r="G142" i="20"/>
  <c r="H142" i="20" s="1"/>
  <c r="I142" i="20" s="1"/>
  <c r="J142" i="20" s="1"/>
  <c r="L142" i="20" s="1"/>
  <c r="M141" i="20"/>
  <c r="G141" i="20"/>
  <c r="H141" i="20" s="1"/>
  <c r="I141" i="20" s="1"/>
  <c r="J141" i="20" s="1"/>
  <c r="L141" i="20" s="1"/>
  <c r="M140" i="20"/>
  <c r="G140" i="20"/>
  <c r="H140" i="20" s="1"/>
  <c r="I140" i="20" s="1"/>
  <c r="J140" i="20" s="1"/>
  <c r="L140" i="20" s="1"/>
  <c r="M139" i="20"/>
  <c r="G139" i="20"/>
  <c r="H139" i="20" s="1"/>
  <c r="I139" i="20" s="1"/>
  <c r="J139" i="20" s="1"/>
  <c r="L139" i="20" s="1"/>
  <c r="M138" i="20"/>
  <c r="G138" i="20"/>
  <c r="H138" i="20" s="1"/>
  <c r="I138" i="20" s="1"/>
  <c r="J138" i="20" s="1"/>
  <c r="L138" i="20" s="1"/>
  <c r="M137" i="20"/>
  <c r="G137" i="20"/>
  <c r="H137" i="20" s="1"/>
  <c r="I137" i="20" s="1"/>
  <c r="J137" i="20" s="1"/>
  <c r="L137" i="20" s="1"/>
  <c r="M136" i="20"/>
  <c r="G136" i="20"/>
  <c r="H136" i="20" s="1"/>
  <c r="I136" i="20" s="1"/>
  <c r="J136" i="20" s="1"/>
  <c r="L136" i="20" s="1"/>
  <c r="M135" i="20"/>
  <c r="G135" i="20"/>
  <c r="H135" i="20" s="1"/>
  <c r="I135" i="20" s="1"/>
  <c r="J135" i="20" s="1"/>
  <c r="L135" i="20" s="1"/>
  <c r="M134" i="20"/>
  <c r="G134" i="20"/>
  <c r="H134" i="20" s="1"/>
  <c r="I134" i="20" s="1"/>
  <c r="J134" i="20" s="1"/>
  <c r="L134" i="20" s="1"/>
  <c r="M133" i="20"/>
  <c r="G133" i="20"/>
  <c r="H133" i="20" s="1"/>
  <c r="I133" i="20" s="1"/>
  <c r="J133" i="20" s="1"/>
  <c r="L133" i="20" s="1"/>
  <c r="M132" i="20"/>
  <c r="G132" i="20"/>
  <c r="H132" i="20" s="1"/>
  <c r="I132" i="20" s="1"/>
  <c r="J132" i="20" s="1"/>
  <c r="L132" i="20" s="1"/>
  <c r="M131" i="20"/>
  <c r="G131" i="20"/>
  <c r="H131" i="20" s="1"/>
  <c r="I131" i="20" s="1"/>
  <c r="J131" i="20" s="1"/>
  <c r="L131" i="20" s="1"/>
  <c r="M130" i="20"/>
  <c r="G130" i="20"/>
  <c r="H130" i="20" s="1"/>
  <c r="I130" i="20" s="1"/>
  <c r="J130" i="20" s="1"/>
  <c r="L130" i="20" s="1"/>
  <c r="M129" i="20"/>
  <c r="G129" i="20"/>
  <c r="H129" i="20" s="1"/>
  <c r="I129" i="20" s="1"/>
  <c r="J129" i="20" s="1"/>
  <c r="L129" i="20" s="1"/>
  <c r="M128" i="20"/>
  <c r="G128" i="20"/>
  <c r="H128" i="20" s="1"/>
  <c r="I128" i="20" s="1"/>
  <c r="J128" i="20" s="1"/>
  <c r="L128" i="20" s="1"/>
  <c r="M127" i="20"/>
  <c r="G127" i="20"/>
  <c r="H127" i="20" s="1"/>
  <c r="I127" i="20" s="1"/>
  <c r="J127" i="20" s="1"/>
  <c r="L127" i="20" s="1"/>
  <c r="M126" i="20"/>
  <c r="G126" i="20"/>
  <c r="H126" i="20" s="1"/>
  <c r="I126" i="20" s="1"/>
  <c r="J126" i="20" s="1"/>
  <c r="L126" i="20" s="1"/>
  <c r="M125" i="20"/>
  <c r="G125" i="20"/>
  <c r="H125" i="20" s="1"/>
  <c r="I125" i="20" s="1"/>
  <c r="J125" i="20" s="1"/>
  <c r="L125" i="20" s="1"/>
  <c r="M124" i="20"/>
  <c r="G124" i="20"/>
  <c r="H124" i="20" s="1"/>
  <c r="I124" i="20" s="1"/>
  <c r="J124" i="20" s="1"/>
  <c r="L124" i="20" s="1"/>
  <c r="M123" i="20"/>
  <c r="G123" i="20"/>
  <c r="H123" i="20" s="1"/>
  <c r="I123" i="20" s="1"/>
  <c r="J123" i="20" s="1"/>
  <c r="L123" i="20" s="1"/>
  <c r="M122" i="20"/>
  <c r="G122" i="20"/>
  <c r="H122" i="20" s="1"/>
  <c r="I122" i="20" s="1"/>
  <c r="J122" i="20" s="1"/>
  <c r="L122" i="20" s="1"/>
  <c r="M121" i="20"/>
  <c r="G121" i="20"/>
  <c r="H121" i="20" s="1"/>
  <c r="I121" i="20" s="1"/>
  <c r="J121" i="20" s="1"/>
  <c r="L121" i="20" s="1"/>
  <c r="M120" i="20"/>
  <c r="G120" i="20"/>
  <c r="H120" i="20" s="1"/>
  <c r="I120" i="20" s="1"/>
  <c r="J120" i="20" s="1"/>
  <c r="L120" i="20" s="1"/>
  <c r="M119" i="20"/>
  <c r="G119" i="20"/>
  <c r="H119" i="20" s="1"/>
  <c r="I119" i="20" s="1"/>
  <c r="J119" i="20" s="1"/>
  <c r="L119" i="20" s="1"/>
  <c r="M118" i="20"/>
  <c r="G118" i="20"/>
  <c r="H118" i="20" s="1"/>
  <c r="I118" i="20" s="1"/>
  <c r="J118" i="20" s="1"/>
  <c r="L118" i="20" s="1"/>
  <c r="M117" i="20"/>
  <c r="G117" i="20"/>
  <c r="H117" i="20" s="1"/>
  <c r="I117" i="20" s="1"/>
  <c r="J117" i="20" s="1"/>
  <c r="L117" i="20" s="1"/>
  <c r="M116" i="20"/>
  <c r="G116" i="20"/>
  <c r="H116" i="20" s="1"/>
  <c r="I116" i="20" s="1"/>
  <c r="J116" i="20" s="1"/>
  <c r="L116" i="20" s="1"/>
  <c r="M115" i="20"/>
  <c r="G115" i="20"/>
  <c r="H115" i="20" s="1"/>
  <c r="I115" i="20" s="1"/>
  <c r="J115" i="20" s="1"/>
  <c r="L115" i="20" s="1"/>
  <c r="M114" i="20"/>
  <c r="G114" i="20"/>
  <c r="H114" i="20" s="1"/>
  <c r="I114" i="20" s="1"/>
  <c r="J114" i="20" s="1"/>
  <c r="L114" i="20" s="1"/>
  <c r="M113" i="20"/>
  <c r="G113" i="20"/>
  <c r="H113" i="20" s="1"/>
  <c r="I113" i="20" s="1"/>
  <c r="J113" i="20" s="1"/>
  <c r="L113" i="20" s="1"/>
  <c r="M112" i="20"/>
  <c r="G112" i="20"/>
  <c r="H112" i="20" s="1"/>
  <c r="I112" i="20" s="1"/>
  <c r="J112" i="20" s="1"/>
  <c r="L112" i="20" s="1"/>
  <c r="M111" i="20"/>
  <c r="G111" i="20"/>
  <c r="H111" i="20" s="1"/>
  <c r="I111" i="20" s="1"/>
  <c r="J111" i="20" s="1"/>
  <c r="L111" i="20" s="1"/>
  <c r="M110" i="20"/>
  <c r="G110" i="20"/>
  <c r="H110" i="20" s="1"/>
  <c r="I110" i="20" s="1"/>
  <c r="J110" i="20" s="1"/>
  <c r="L110" i="20" s="1"/>
  <c r="M109" i="20"/>
  <c r="G109" i="20"/>
  <c r="H109" i="20" s="1"/>
  <c r="I109" i="20" s="1"/>
  <c r="J109" i="20" s="1"/>
  <c r="L109" i="20" s="1"/>
  <c r="M108" i="20"/>
  <c r="G108" i="20"/>
  <c r="H108" i="20" s="1"/>
  <c r="I108" i="20" s="1"/>
  <c r="J108" i="20" s="1"/>
  <c r="L108" i="20" s="1"/>
  <c r="M107" i="20"/>
  <c r="G107" i="20"/>
  <c r="H107" i="20" s="1"/>
  <c r="I107" i="20" s="1"/>
  <c r="J107" i="20" s="1"/>
  <c r="L107" i="20" s="1"/>
  <c r="M106" i="20"/>
  <c r="G106" i="20"/>
  <c r="H106" i="20" s="1"/>
  <c r="I106" i="20" s="1"/>
  <c r="J106" i="20" s="1"/>
  <c r="L106" i="20" s="1"/>
  <c r="M105" i="20"/>
  <c r="G105" i="20"/>
  <c r="H105" i="20" s="1"/>
  <c r="I105" i="20" s="1"/>
  <c r="J105" i="20" s="1"/>
  <c r="L105" i="20" s="1"/>
  <c r="M104" i="20"/>
  <c r="G104" i="20"/>
  <c r="H104" i="20" s="1"/>
  <c r="I104" i="20" s="1"/>
  <c r="J104" i="20" s="1"/>
  <c r="L104" i="20" s="1"/>
  <c r="M103" i="20"/>
  <c r="G103" i="20"/>
  <c r="H103" i="20" s="1"/>
  <c r="I103" i="20" s="1"/>
  <c r="J103" i="20" s="1"/>
  <c r="L103" i="20" s="1"/>
  <c r="M102" i="20"/>
  <c r="G102" i="20"/>
  <c r="H102" i="20" s="1"/>
  <c r="I102" i="20" s="1"/>
  <c r="J102" i="20" s="1"/>
  <c r="L102" i="20" s="1"/>
  <c r="M101" i="20"/>
  <c r="G101" i="20"/>
  <c r="H101" i="20" s="1"/>
  <c r="I101" i="20" s="1"/>
  <c r="J101" i="20" s="1"/>
  <c r="L101" i="20" s="1"/>
  <c r="M100" i="20"/>
  <c r="G100" i="20"/>
  <c r="H100" i="20" s="1"/>
  <c r="I100" i="20" s="1"/>
  <c r="J100" i="20" s="1"/>
  <c r="L100" i="20" s="1"/>
  <c r="M99" i="20"/>
  <c r="G99" i="20"/>
  <c r="H99" i="20" s="1"/>
  <c r="I99" i="20" s="1"/>
  <c r="J99" i="20" s="1"/>
  <c r="L99" i="20" s="1"/>
  <c r="M98" i="20"/>
  <c r="G98" i="20"/>
  <c r="H98" i="20" s="1"/>
  <c r="I98" i="20" s="1"/>
  <c r="J98" i="20" s="1"/>
  <c r="L98" i="20" s="1"/>
  <c r="M97" i="20"/>
  <c r="G97" i="20"/>
  <c r="H97" i="20" s="1"/>
  <c r="I97" i="20" s="1"/>
  <c r="J97" i="20" s="1"/>
  <c r="L97" i="20" s="1"/>
  <c r="M96" i="20"/>
  <c r="G96" i="20"/>
  <c r="H96" i="20" s="1"/>
  <c r="I96" i="20" s="1"/>
  <c r="J96" i="20" s="1"/>
  <c r="L96" i="20" s="1"/>
  <c r="M95" i="20"/>
  <c r="G95" i="20"/>
  <c r="H95" i="20" s="1"/>
  <c r="I95" i="20" s="1"/>
  <c r="J95" i="20" s="1"/>
  <c r="L95" i="20" s="1"/>
  <c r="M94" i="20"/>
  <c r="G94" i="20"/>
  <c r="H94" i="20" s="1"/>
  <c r="I94" i="20" s="1"/>
  <c r="J94" i="20" s="1"/>
  <c r="L94" i="20" s="1"/>
  <c r="M93" i="20"/>
  <c r="G93" i="20"/>
  <c r="H93" i="20" s="1"/>
  <c r="I93" i="20" s="1"/>
  <c r="J93" i="20" s="1"/>
  <c r="L93" i="20" s="1"/>
  <c r="M92" i="20"/>
  <c r="G92" i="20"/>
  <c r="H92" i="20" s="1"/>
  <c r="I92" i="20" s="1"/>
  <c r="J92" i="20" s="1"/>
  <c r="L92" i="20" s="1"/>
  <c r="M91" i="20"/>
  <c r="G91" i="20"/>
  <c r="H91" i="20" s="1"/>
  <c r="I91" i="20" s="1"/>
  <c r="J91" i="20" s="1"/>
  <c r="L91" i="20" s="1"/>
  <c r="M90" i="20"/>
  <c r="G90" i="20"/>
  <c r="H90" i="20" s="1"/>
  <c r="I90" i="20" s="1"/>
  <c r="J90" i="20" s="1"/>
  <c r="L90" i="20" s="1"/>
  <c r="M89" i="20"/>
  <c r="G89" i="20"/>
  <c r="H89" i="20" s="1"/>
  <c r="I89" i="20" s="1"/>
  <c r="J89" i="20" s="1"/>
  <c r="L89" i="20" s="1"/>
  <c r="M88" i="20"/>
  <c r="G88" i="20"/>
  <c r="H88" i="20" s="1"/>
  <c r="I88" i="20" s="1"/>
  <c r="J88" i="20" s="1"/>
  <c r="L88" i="20" s="1"/>
  <c r="M87" i="20"/>
  <c r="G87" i="20"/>
  <c r="H87" i="20" s="1"/>
  <c r="I87" i="20" s="1"/>
  <c r="J87" i="20" s="1"/>
  <c r="L87" i="20" s="1"/>
  <c r="M86" i="20"/>
  <c r="G86" i="20"/>
  <c r="H86" i="20" s="1"/>
  <c r="I86" i="20" s="1"/>
  <c r="J86" i="20" s="1"/>
  <c r="L86" i="20" s="1"/>
  <c r="M85" i="20"/>
  <c r="G85" i="20"/>
  <c r="H85" i="20" s="1"/>
  <c r="I85" i="20" s="1"/>
  <c r="J85" i="20" s="1"/>
  <c r="L85" i="20" s="1"/>
  <c r="M84" i="20"/>
  <c r="G84" i="20"/>
  <c r="H84" i="20" s="1"/>
  <c r="I84" i="20" s="1"/>
  <c r="J84" i="20" s="1"/>
  <c r="L84" i="20" s="1"/>
  <c r="M83" i="20"/>
  <c r="G83" i="20"/>
  <c r="H83" i="20" s="1"/>
  <c r="I83" i="20" s="1"/>
  <c r="J83" i="20" s="1"/>
  <c r="L83" i="20" s="1"/>
  <c r="M82" i="20"/>
  <c r="G82" i="20"/>
  <c r="H82" i="20" s="1"/>
  <c r="I82" i="20" s="1"/>
  <c r="J82" i="20" s="1"/>
  <c r="L82" i="20" s="1"/>
  <c r="M81" i="20"/>
  <c r="G81" i="20"/>
  <c r="H81" i="20" s="1"/>
  <c r="I81" i="20" s="1"/>
  <c r="J81" i="20" s="1"/>
  <c r="L81" i="20" s="1"/>
  <c r="M80" i="20"/>
  <c r="G80" i="20"/>
  <c r="H80" i="20" s="1"/>
  <c r="I80" i="20" s="1"/>
  <c r="J80" i="20" s="1"/>
  <c r="L80" i="20" s="1"/>
  <c r="M79" i="20"/>
  <c r="G79" i="20"/>
  <c r="H79" i="20" s="1"/>
  <c r="I79" i="20" s="1"/>
  <c r="J79" i="20" s="1"/>
  <c r="L79" i="20" s="1"/>
  <c r="M78" i="20"/>
  <c r="G78" i="20"/>
  <c r="H78" i="20" s="1"/>
  <c r="I78" i="20" s="1"/>
  <c r="J78" i="20" s="1"/>
  <c r="L78" i="20" s="1"/>
  <c r="M77" i="20"/>
  <c r="G77" i="20"/>
  <c r="H77" i="20" s="1"/>
  <c r="I77" i="20" s="1"/>
  <c r="J77" i="20" s="1"/>
  <c r="L77" i="20" s="1"/>
  <c r="M76" i="20"/>
  <c r="G76" i="20"/>
  <c r="H76" i="20" s="1"/>
  <c r="I76" i="20" s="1"/>
  <c r="J76" i="20" s="1"/>
  <c r="L76" i="20" s="1"/>
  <c r="M75" i="20"/>
  <c r="G75" i="20"/>
  <c r="H75" i="20" s="1"/>
  <c r="I75" i="20" s="1"/>
  <c r="J75" i="20" s="1"/>
  <c r="L75" i="20" s="1"/>
  <c r="M74" i="20"/>
  <c r="G74" i="20"/>
  <c r="H74" i="20" s="1"/>
  <c r="I74" i="20" s="1"/>
  <c r="J74" i="20" s="1"/>
  <c r="L74" i="20" s="1"/>
  <c r="M73" i="20"/>
  <c r="G73" i="20"/>
  <c r="H73" i="20" s="1"/>
  <c r="I73" i="20" s="1"/>
  <c r="J73" i="20" s="1"/>
  <c r="L73" i="20" s="1"/>
  <c r="M72" i="20"/>
  <c r="G72" i="20"/>
  <c r="H72" i="20" s="1"/>
  <c r="I72" i="20" s="1"/>
  <c r="J72" i="20" s="1"/>
  <c r="L72" i="20" s="1"/>
  <c r="M71" i="20"/>
  <c r="G71" i="20"/>
  <c r="H71" i="20" s="1"/>
  <c r="I71" i="20" s="1"/>
  <c r="J71" i="20" s="1"/>
  <c r="L71" i="20" s="1"/>
  <c r="M70" i="20"/>
  <c r="G70" i="20"/>
  <c r="H70" i="20" s="1"/>
  <c r="I70" i="20" s="1"/>
  <c r="J70" i="20" s="1"/>
  <c r="L70" i="20" s="1"/>
  <c r="M69" i="20"/>
  <c r="G69" i="20"/>
  <c r="H69" i="20" s="1"/>
  <c r="I69" i="20" s="1"/>
  <c r="J69" i="20" s="1"/>
  <c r="L69" i="20" s="1"/>
  <c r="M68" i="20"/>
  <c r="G68" i="20"/>
  <c r="H68" i="20" s="1"/>
  <c r="I68" i="20" s="1"/>
  <c r="J68" i="20" s="1"/>
  <c r="L68" i="20" s="1"/>
  <c r="M67" i="20"/>
  <c r="G67" i="20"/>
  <c r="H67" i="20" s="1"/>
  <c r="I67" i="20" s="1"/>
  <c r="J67" i="20" s="1"/>
  <c r="L67" i="20" s="1"/>
  <c r="M66" i="20"/>
  <c r="G66" i="20"/>
  <c r="H66" i="20" s="1"/>
  <c r="I66" i="20" s="1"/>
  <c r="J66" i="20" s="1"/>
  <c r="L66" i="20" s="1"/>
  <c r="M65" i="20"/>
  <c r="G65" i="20"/>
  <c r="H65" i="20" s="1"/>
  <c r="I65" i="20" s="1"/>
  <c r="J65" i="20" s="1"/>
  <c r="L65" i="20" s="1"/>
  <c r="M64" i="20"/>
  <c r="G64" i="20"/>
  <c r="H64" i="20" s="1"/>
  <c r="I64" i="20" s="1"/>
  <c r="J64" i="20" s="1"/>
  <c r="L64" i="20" s="1"/>
  <c r="M63" i="20"/>
  <c r="G63" i="20"/>
  <c r="H63" i="20" s="1"/>
  <c r="I63" i="20" s="1"/>
  <c r="J63" i="20" s="1"/>
  <c r="L63" i="20" s="1"/>
  <c r="M62" i="20"/>
  <c r="G62" i="20"/>
  <c r="H62" i="20" s="1"/>
  <c r="I62" i="20" s="1"/>
  <c r="J62" i="20" s="1"/>
  <c r="L62" i="20" s="1"/>
  <c r="M61" i="20"/>
  <c r="G61" i="20"/>
  <c r="H61" i="20" s="1"/>
  <c r="I61" i="20" s="1"/>
  <c r="J61" i="20" s="1"/>
  <c r="L61" i="20" s="1"/>
  <c r="M60" i="20"/>
  <c r="G60" i="20"/>
  <c r="H60" i="20" s="1"/>
  <c r="I60" i="20" s="1"/>
  <c r="J60" i="20" s="1"/>
  <c r="L60" i="20" s="1"/>
  <c r="M59" i="20"/>
  <c r="G59" i="20"/>
  <c r="H59" i="20" s="1"/>
  <c r="I59" i="20" s="1"/>
  <c r="J59" i="20" s="1"/>
  <c r="L59" i="20" s="1"/>
  <c r="M58" i="20"/>
  <c r="G58" i="20"/>
  <c r="H58" i="20" s="1"/>
  <c r="I58" i="20" s="1"/>
  <c r="J58" i="20" s="1"/>
  <c r="L58" i="20" s="1"/>
  <c r="M57" i="20"/>
  <c r="G57" i="20"/>
  <c r="H57" i="20" s="1"/>
  <c r="I57" i="20" s="1"/>
  <c r="J57" i="20" s="1"/>
  <c r="L57" i="20" s="1"/>
  <c r="M56" i="20"/>
  <c r="G56" i="20"/>
  <c r="H56" i="20" s="1"/>
  <c r="I56" i="20" s="1"/>
  <c r="J56" i="20" s="1"/>
  <c r="L56" i="20" s="1"/>
  <c r="M55" i="20"/>
  <c r="G55" i="20"/>
  <c r="H55" i="20" s="1"/>
  <c r="I55" i="20" s="1"/>
  <c r="J55" i="20" s="1"/>
  <c r="L55" i="20" s="1"/>
  <c r="M54" i="20"/>
  <c r="G54" i="20"/>
  <c r="H54" i="20" s="1"/>
  <c r="I54" i="20" s="1"/>
  <c r="J54" i="20" s="1"/>
  <c r="L54" i="20" s="1"/>
  <c r="M53" i="20"/>
  <c r="G53" i="20"/>
  <c r="H53" i="20" s="1"/>
  <c r="I53" i="20" s="1"/>
  <c r="J53" i="20" s="1"/>
  <c r="L53" i="20" s="1"/>
  <c r="M52" i="20"/>
  <c r="G52" i="20"/>
  <c r="H52" i="20" s="1"/>
  <c r="I52" i="20" s="1"/>
  <c r="J52" i="20" s="1"/>
  <c r="L52" i="20" s="1"/>
  <c r="M51" i="20"/>
  <c r="G51" i="20"/>
  <c r="H51" i="20" s="1"/>
  <c r="I51" i="20" s="1"/>
  <c r="J51" i="20" s="1"/>
  <c r="L51" i="20" s="1"/>
  <c r="M50" i="20"/>
  <c r="G50" i="20"/>
  <c r="H50" i="20" s="1"/>
  <c r="I50" i="20" s="1"/>
  <c r="J50" i="20" s="1"/>
  <c r="L50" i="20" s="1"/>
  <c r="M49" i="20"/>
  <c r="G49" i="20"/>
  <c r="H49" i="20" s="1"/>
  <c r="I49" i="20" s="1"/>
  <c r="J49" i="20" s="1"/>
  <c r="L49" i="20" s="1"/>
  <c r="M48" i="20"/>
  <c r="G48" i="20"/>
  <c r="H48" i="20" s="1"/>
  <c r="I48" i="20" s="1"/>
  <c r="J48" i="20" s="1"/>
  <c r="L48" i="20" s="1"/>
  <c r="M47" i="20"/>
  <c r="G47" i="20"/>
  <c r="H47" i="20" s="1"/>
  <c r="I47" i="20" s="1"/>
  <c r="J47" i="20" s="1"/>
  <c r="L47" i="20" s="1"/>
  <c r="M46" i="20"/>
  <c r="G46" i="20"/>
  <c r="H46" i="20" s="1"/>
  <c r="I46" i="20" s="1"/>
  <c r="J46" i="20" s="1"/>
  <c r="L46" i="20" s="1"/>
  <c r="M45" i="20"/>
  <c r="G45" i="20"/>
  <c r="H45" i="20" s="1"/>
  <c r="I45" i="20" s="1"/>
  <c r="J45" i="20" s="1"/>
  <c r="L45" i="20" s="1"/>
  <c r="M44" i="20"/>
  <c r="G44" i="20"/>
  <c r="H44" i="20" s="1"/>
  <c r="I44" i="20" s="1"/>
  <c r="J44" i="20" s="1"/>
  <c r="L44" i="20" s="1"/>
  <c r="M43" i="20"/>
  <c r="G43" i="20"/>
  <c r="H43" i="20" s="1"/>
  <c r="I43" i="20" s="1"/>
  <c r="J43" i="20" s="1"/>
  <c r="L43" i="20" s="1"/>
  <c r="M42" i="20"/>
  <c r="G42" i="20"/>
  <c r="H42" i="20" s="1"/>
  <c r="I42" i="20" s="1"/>
  <c r="J42" i="20" s="1"/>
  <c r="L42" i="20" s="1"/>
  <c r="M41" i="20"/>
  <c r="G41" i="20"/>
  <c r="H41" i="20" s="1"/>
  <c r="I41" i="20" s="1"/>
  <c r="J41" i="20" s="1"/>
  <c r="L41" i="20" s="1"/>
  <c r="M40" i="20"/>
  <c r="G40" i="20"/>
  <c r="H40" i="20" s="1"/>
  <c r="I40" i="20" s="1"/>
  <c r="J40" i="20" s="1"/>
  <c r="L40" i="20" s="1"/>
  <c r="M39" i="20"/>
  <c r="G39" i="20"/>
  <c r="H39" i="20" s="1"/>
  <c r="I39" i="20" s="1"/>
  <c r="J39" i="20" s="1"/>
  <c r="L39" i="20" s="1"/>
  <c r="M38" i="20"/>
  <c r="G38" i="20"/>
  <c r="H38" i="20" s="1"/>
  <c r="I38" i="20" s="1"/>
  <c r="J38" i="20" s="1"/>
  <c r="L38" i="20" s="1"/>
  <c r="M37" i="20"/>
  <c r="G37" i="20"/>
  <c r="H37" i="20" s="1"/>
  <c r="I37" i="20" s="1"/>
  <c r="J37" i="20" s="1"/>
  <c r="L37" i="20" s="1"/>
  <c r="M36" i="20"/>
  <c r="G36" i="20"/>
  <c r="H36" i="20" s="1"/>
  <c r="I36" i="20" s="1"/>
  <c r="J36" i="20" s="1"/>
  <c r="L36" i="20" s="1"/>
  <c r="M35" i="20"/>
  <c r="G35" i="20"/>
  <c r="H35" i="20" s="1"/>
  <c r="I35" i="20" s="1"/>
  <c r="J35" i="20" s="1"/>
  <c r="L35" i="20" s="1"/>
  <c r="M34" i="20"/>
  <c r="G34" i="20"/>
  <c r="H34" i="20" s="1"/>
  <c r="I34" i="20" s="1"/>
  <c r="J34" i="20" s="1"/>
  <c r="L34" i="20" s="1"/>
  <c r="M33" i="20"/>
  <c r="G33" i="20"/>
  <c r="H33" i="20" s="1"/>
  <c r="I33" i="20" s="1"/>
  <c r="J33" i="20" s="1"/>
  <c r="L33" i="20" s="1"/>
  <c r="M32" i="20"/>
  <c r="G32" i="20"/>
  <c r="H32" i="20" s="1"/>
  <c r="I32" i="20" s="1"/>
  <c r="J32" i="20" s="1"/>
  <c r="L32" i="20" s="1"/>
  <c r="M31" i="20"/>
  <c r="G31" i="20"/>
  <c r="H31" i="20" s="1"/>
  <c r="I31" i="20" s="1"/>
  <c r="J31" i="20" s="1"/>
  <c r="L31" i="20" s="1"/>
  <c r="M30" i="20"/>
  <c r="G30" i="20"/>
  <c r="H30" i="20" s="1"/>
  <c r="I30" i="20" s="1"/>
  <c r="J30" i="20" s="1"/>
  <c r="L30" i="20" s="1"/>
  <c r="M29" i="20"/>
  <c r="G29" i="20"/>
  <c r="H29" i="20" s="1"/>
  <c r="I29" i="20" s="1"/>
  <c r="J29" i="20" s="1"/>
  <c r="L29" i="20" s="1"/>
  <c r="M28" i="20"/>
  <c r="G28" i="20"/>
  <c r="H28" i="20" s="1"/>
  <c r="I28" i="20" s="1"/>
  <c r="J28" i="20" s="1"/>
  <c r="L28" i="20" s="1"/>
  <c r="M27" i="20"/>
  <c r="G27" i="20"/>
  <c r="H27" i="20" s="1"/>
  <c r="I27" i="20" s="1"/>
  <c r="J27" i="20" s="1"/>
  <c r="L27" i="20" s="1"/>
  <c r="M26" i="20"/>
  <c r="G26" i="20"/>
  <c r="H26" i="20" s="1"/>
  <c r="I26" i="20" s="1"/>
  <c r="J26" i="20" s="1"/>
  <c r="L26" i="20" s="1"/>
  <c r="M25" i="20"/>
  <c r="G25" i="20"/>
  <c r="H25" i="20" s="1"/>
  <c r="I25" i="20" s="1"/>
  <c r="J25" i="20" s="1"/>
  <c r="L25" i="20" s="1"/>
  <c r="M24" i="20"/>
  <c r="G24" i="20"/>
  <c r="H24" i="20" s="1"/>
  <c r="I24" i="20" s="1"/>
  <c r="J24" i="20" s="1"/>
  <c r="L24" i="20" s="1"/>
  <c r="M23" i="20"/>
  <c r="G23" i="20"/>
  <c r="H23" i="20" s="1"/>
  <c r="I23" i="20" s="1"/>
  <c r="J23" i="20" s="1"/>
  <c r="L23" i="20" s="1"/>
  <c r="M22" i="20"/>
  <c r="G22" i="20"/>
  <c r="H22" i="20" s="1"/>
  <c r="I22" i="20" s="1"/>
  <c r="J22" i="20" s="1"/>
  <c r="L22" i="20" s="1"/>
  <c r="M21" i="20"/>
  <c r="G21" i="20"/>
  <c r="H21" i="20" s="1"/>
  <c r="I21" i="20" s="1"/>
  <c r="J21" i="20" s="1"/>
  <c r="L21" i="20" s="1"/>
  <c r="M20" i="20"/>
  <c r="G20" i="20"/>
  <c r="H20" i="20" s="1"/>
  <c r="I20" i="20" s="1"/>
  <c r="J20" i="20" s="1"/>
  <c r="L20" i="20" s="1"/>
  <c r="M19" i="20"/>
  <c r="G19" i="20"/>
  <c r="H19" i="20" s="1"/>
  <c r="I19" i="20" s="1"/>
  <c r="J19" i="20" s="1"/>
  <c r="L19" i="20" s="1"/>
  <c r="M18" i="20"/>
  <c r="G18" i="20"/>
  <c r="H18" i="20" s="1"/>
  <c r="I18" i="20" s="1"/>
  <c r="J18" i="20" s="1"/>
  <c r="L18" i="20" s="1"/>
  <c r="M17" i="20"/>
  <c r="G17" i="20"/>
  <c r="H17" i="20" s="1"/>
  <c r="I17" i="20" s="1"/>
  <c r="J17" i="20" s="1"/>
  <c r="L17" i="20" s="1"/>
  <c r="M16" i="20"/>
  <c r="G16" i="20"/>
  <c r="H16" i="20" s="1"/>
  <c r="I16" i="20" s="1"/>
  <c r="J16" i="20" s="1"/>
  <c r="L16" i="20" s="1"/>
  <c r="M15" i="20"/>
  <c r="H15" i="20"/>
  <c r="I15" i="20" s="1"/>
  <c r="J15" i="20" s="1"/>
  <c r="L15" i="20" s="1"/>
  <c r="G15" i="20"/>
  <c r="M14" i="20"/>
  <c r="G14" i="20"/>
  <c r="H14" i="20" s="1"/>
  <c r="I14" i="20" s="1"/>
  <c r="J14" i="20" s="1"/>
  <c r="L14" i="20" s="1"/>
  <c r="M13" i="20"/>
  <c r="G13" i="20"/>
  <c r="H13" i="20" s="1"/>
  <c r="I13" i="20" s="1"/>
  <c r="J13" i="20" s="1"/>
  <c r="L13" i="20" s="1"/>
  <c r="M12" i="20"/>
  <c r="G12" i="20"/>
  <c r="H12" i="20" s="1"/>
  <c r="I12" i="20" s="1"/>
  <c r="J12" i="20" s="1"/>
  <c r="L12" i="20" s="1"/>
  <c r="M11" i="20"/>
  <c r="G11" i="20"/>
  <c r="H11" i="20" s="1"/>
  <c r="I11" i="20" s="1"/>
  <c r="J11" i="20" s="1"/>
  <c r="L11" i="20" s="1"/>
  <c r="M10" i="20"/>
  <c r="G10" i="20"/>
  <c r="H10" i="20" s="1"/>
  <c r="I10" i="20" s="1"/>
  <c r="J10" i="20" s="1"/>
  <c r="L10" i="20" s="1"/>
  <c r="M9" i="20"/>
  <c r="G9" i="20"/>
  <c r="H9" i="20" s="1"/>
  <c r="I9" i="20" s="1"/>
  <c r="J9" i="20" s="1"/>
  <c r="L9" i="20" s="1"/>
  <c r="M8" i="20"/>
  <c r="G8" i="20"/>
  <c r="H8" i="20" s="1"/>
  <c r="I8" i="20" s="1"/>
  <c r="J8" i="20" s="1"/>
  <c r="L8" i="20" s="1"/>
  <c r="M7" i="20"/>
  <c r="G7" i="20"/>
  <c r="H7" i="20" s="1"/>
  <c r="I7" i="20" s="1"/>
  <c r="J7" i="20" s="1"/>
  <c r="L7" i="20" s="1"/>
  <c r="M6" i="20"/>
  <c r="G6" i="20"/>
  <c r="H6" i="20" s="1"/>
  <c r="I6" i="20" s="1"/>
  <c r="J6" i="20" s="1"/>
  <c r="L6" i="20" s="1"/>
  <c r="M5" i="20"/>
  <c r="G5" i="20"/>
  <c r="H5" i="20" s="1"/>
  <c r="I5" i="20" s="1"/>
  <c r="J5" i="20" s="1"/>
  <c r="L5" i="20" s="1"/>
  <c r="M4" i="20"/>
  <c r="G4" i="20"/>
  <c r="H4" i="20" s="1"/>
  <c r="I4" i="20" s="1"/>
  <c r="J4" i="20" s="1"/>
  <c r="L4" i="20" s="1"/>
  <c r="M3" i="20"/>
  <c r="G3" i="20"/>
  <c r="H3" i="20" s="1"/>
  <c r="I3" i="20" s="1"/>
  <c r="J3" i="20" s="1"/>
  <c r="L3" i="20" s="1"/>
  <c r="M2" i="20"/>
  <c r="G2" i="20"/>
  <c r="H2" i="20" s="1"/>
  <c r="I2" i="20" s="1"/>
  <c r="J2" i="20" s="1"/>
  <c r="L2" i="20" s="1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L602" i="17"/>
  <c r="L603" i="17"/>
  <c r="L604" i="17"/>
  <c r="L605" i="17"/>
  <c r="L606" i="17"/>
  <c r="L607" i="17"/>
  <c r="L608" i="17"/>
  <c r="L609" i="17"/>
  <c r="L610" i="17"/>
  <c r="L611" i="17"/>
  <c r="L612" i="17"/>
  <c r="L613" i="17"/>
  <c r="L614" i="17"/>
  <c r="L615" i="17"/>
  <c r="L616" i="17"/>
  <c r="L617" i="17"/>
  <c r="L618" i="17"/>
  <c r="L619" i="17"/>
  <c r="L620" i="17"/>
  <c r="L621" i="17"/>
  <c r="L622" i="17"/>
  <c r="L623" i="17"/>
  <c r="L624" i="17"/>
  <c r="L625" i="17"/>
  <c r="L626" i="17"/>
  <c r="L627" i="17"/>
  <c r="L628" i="17"/>
  <c r="L629" i="17"/>
  <c r="L630" i="17"/>
  <c r="L631" i="17"/>
  <c r="L632" i="17"/>
  <c r="L633" i="17"/>
  <c r="L634" i="17"/>
  <c r="L635" i="17"/>
  <c r="L636" i="17"/>
  <c r="L637" i="17"/>
  <c r="L638" i="17"/>
  <c r="L639" i="17"/>
  <c r="L640" i="17"/>
  <c r="L641" i="17"/>
  <c r="L642" i="17"/>
  <c r="L643" i="17"/>
  <c r="L644" i="17"/>
  <c r="L645" i="17"/>
  <c r="L646" i="17"/>
  <c r="L647" i="17"/>
  <c r="L648" i="17"/>
  <c r="L649" i="17"/>
  <c r="L650" i="17"/>
  <c r="L651" i="17"/>
  <c r="L652" i="17"/>
  <c r="L653" i="17"/>
  <c r="L654" i="17"/>
  <c r="L655" i="17"/>
  <c r="L656" i="17"/>
  <c r="L657" i="17"/>
  <c r="L658" i="17"/>
  <c r="L659" i="17"/>
  <c r="L660" i="17"/>
  <c r="L661" i="17"/>
  <c r="L662" i="17"/>
  <c r="L663" i="17"/>
  <c r="L664" i="17"/>
  <c r="L665" i="17"/>
  <c r="L666" i="17"/>
  <c r="L667" i="17"/>
  <c r="L668" i="17"/>
  <c r="L669" i="17"/>
  <c r="L670" i="17"/>
  <c r="L671" i="17"/>
  <c r="L672" i="17"/>
  <c r="L673" i="17"/>
  <c r="L674" i="17"/>
  <c r="L675" i="17"/>
  <c r="L676" i="17"/>
  <c r="L677" i="17"/>
  <c r="L678" i="17"/>
  <c r="L679" i="17"/>
  <c r="L680" i="17"/>
  <c r="L681" i="17"/>
  <c r="L682" i="17"/>
  <c r="L683" i="17"/>
  <c r="L684" i="17"/>
  <c r="L685" i="17"/>
  <c r="L686" i="17"/>
  <c r="L687" i="17"/>
  <c r="L688" i="17"/>
  <c r="L689" i="17"/>
  <c r="L690" i="17"/>
  <c r="L691" i="17"/>
  <c r="L692" i="17"/>
  <c r="L693" i="17"/>
  <c r="L694" i="17"/>
  <c r="L695" i="17"/>
  <c r="L696" i="17"/>
  <c r="L697" i="17"/>
  <c r="L698" i="17"/>
  <c r="L699" i="17"/>
  <c r="L700" i="17"/>
  <c r="L701" i="17"/>
  <c r="L702" i="17"/>
  <c r="L703" i="17"/>
  <c r="L704" i="17"/>
  <c r="L705" i="17"/>
  <c r="L706" i="17"/>
  <c r="L707" i="17"/>
  <c r="L708" i="17"/>
  <c r="L709" i="17"/>
  <c r="L710" i="17"/>
  <c r="L711" i="17"/>
  <c r="L712" i="17"/>
  <c r="L713" i="17"/>
  <c r="L714" i="17"/>
  <c r="L715" i="17"/>
  <c r="L716" i="17"/>
  <c r="L717" i="17"/>
  <c r="L718" i="17"/>
  <c r="L719" i="17"/>
  <c r="L720" i="17"/>
  <c r="L721" i="17"/>
  <c r="L722" i="17"/>
  <c r="L723" i="17"/>
  <c r="L724" i="17"/>
  <c r="L725" i="17"/>
  <c r="L726" i="17"/>
  <c r="L727" i="17"/>
  <c r="L728" i="17"/>
  <c r="L729" i="17"/>
  <c r="L730" i="17"/>
  <c r="L731" i="17"/>
  <c r="L732" i="17"/>
  <c r="L733" i="17"/>
  <c r="L734" i="17"/>
  <c r="L735" i="17"/>
  <c r="L736" i="17"/>
  <c r="L737" i="17"/>
  <c r="L738" i="17"/>
  <c r="L739" i="17"/>
  <c r="L740" i="17"/>
  <c r="L741" i="17"/>
  <c r="L742" i="17"/>
  <c r="L743" i="17"/>
  <c r="L744" i="17"/>
  <c r="L745" i="17"/>
  <c r="L746" i="17"/>
  <c r="L747" i="17"/>
  <c r="L748" i="17"/>
  <c r="L749" i="17"/>
  <c r="L750" i="17"/>
  <c r="L751" i="17"/>
  <c r="L752" i="17"/>
  <c r="L753" i="17"/>
  <c r="L754" i="17"/>
  <c r="L755" i="17"/>
  <c r="L756" i="17"/>
  <c r="L757" i="17"/>
  <c r="L758" i="17"/>
  <c r="L759" i="17"/>
  <c r="L760" i="17"/>
  <c r="L761" i="17"/>
  <c r="L762" i="17"/>
  <c r="L763" i="17"/>
  <c r="L764" i="17"/>
  <c r="L765" i="17"/>
  <c r="L766" i="17"/>
  <c r="L767" i="17"/>
  <c r="L768" i="17"/>
  <c r="L769" i="17"/>
  <c r="L770" i="17"/>
  <c r="L771" i="17"/>
  <c r="L772" i="17"/>
  <c r="L773" i="17"/>
  <c r="L774" i="17"/>
  <c r="L775" i="17"/>
  <c r="L776" i="17"/>
  <c r="L777" i="17"/>
  <c r="L778" i="17"/>
  <c r="L779" i="17"/>
  <c r="L780" i="17"/>
  <c r="L781" i="17"/>
  <c r="L782" i="17"/>
  <c r="L783" i="17"/>
  <c r="L784" i="17"/>
  <c r="L785" i="17"/>
  <c r="L786" i="17"/>
  <c r="L787" i="17"/>
  <c r="L788" i="17"/>
  <c r="L789" i="17"/>
  <c r="L790" i="17"/>
  <c r="L791" i="17"/>
  <c r="L792" i="17"/>
  <c r="L793" i="17"/>
  <c r="L794" i="17"/>
  <c r="L795" i="17"/>
  <c r="L796" i="17"/>
  <c r="L797" i="17"/>
  <c r="L798" i="17"/>
  <c r="L799" i="17"/>
  <c r="L800" i="17"/>
  <c r="L801" i="17"/>
  <c r="L802" i="17"/>
  <c r="L803" i="17"/>
  <c r="L804" i="17"/>
  <c r="L805" i="17"/>
  <c r="L806" i="17"/>
  <c r="L807" i="17"/>
  <c r="L808" i="17"/>
  <c r="L809" i="17"/>
  <c r="L810" i="17"/>
  <c r="L811" i="17"/>
  <c r="L812" i="17"/>
  <c r="L813" i="17"/>
  <c r="L814" i="17"/>
  <c r="L815" i="17"/>
  <c r="L816" i="17"/>
  <c r="L817" i="17"/>
  <c r="L818" i="17"/>
  <c r="L819" i="17"/>
  <c r="L820" i="17"/>
  <c r="L821" i="17"/>
  <c r="L822" i="17"/>
  <c r="L823" i="17"/>
  <c r="L824" i="17"/>
  <c r="L825" i="17"/>
  <c r="L826" i="17"/>
  <c r="L827" i="17"/>
  <c r="L828" i="17"/>
  <c r="L829" i="17"/>
  <c r="L830" i="17"/>
  <c r="L831" i="17"/>
  <c r="L832" i="17"/>
  <c r="L833" i="17"/>
  <c r="L834" i="17"/>
  <c r="L835" i="17"/>
  <c r="L836" i="17"/>
  <c r="L837" i="17"/>
  <c r="L838" i="17"/>
  <c r="L839" i="17"/>
  <c r="L840" i="17"/>
  <c r="L841" i="17"/>
  <c r="L842" i="17"/>
  <c r="L843" i="17"/>
  <c r="L844" i="17"/>
  <c r="L845" i="17"/>
  <c r="L846" i="17"/>
  <c r="L847" i="17"/>
  <c r="L848" i="17"/>
  <c r="L849" i="17"/>
  <c r="L850" i="17"/>
  <c r="L851" i="17"/>
  <c r="L852" i="17"/>
  <c r="L853" i="17"/>
  <c r="L854" i="17"/>
  <c r="L855" i="17"/>
  <c r="L856" i="17"/>
  <c r="L857" i="17"/>
  <c r="L858" i="17"/>
  <c r="L859" i="17"/>
  <c r="L860" i="17"/>
  <c r="L861" i="17"/>
  <c r="L862" i="17"/>
  <c r="L863" i="17"/>
  <c r="L864" i="17"/>
  <c r="L865" i="17"/>
  <c r="L866" i="17"/>
  <c r="L867" i="17"/>
  <c r="L868" i="17"/>
  <c r="L869" i="17"/>
  <c r="L870" i="17"/>
  <c r="L871" i="17"/>
  <c r="L872" i="17"/>
  <c r="L873" i="17"/>
  <c r="L874" i="17"/>
  <c r="L875" i="17"/>
  <c r="L876" i="17"/>
  <c r="L877" i="17"/>
  <c r="L878" i="17"/>
  <c r="L879" i="17"/>
  <c r="L880" i="17"/>
  <c r="L881" i="17"/>
  <c r="L882" i="17"/>
  <c r="L883" i="17"/>
  <c r="L884" i="17"/>
  <c r="L885" i="17"/>
  <c r="L886" i="17"/>
  <c r="L887" i="17"/>
  <c r="L888" i="17"/>
  <c r="L889" i="17"/>
  <c r="L890" i="17"/>
  <c r="L891" i="17"/>
  <c r="L892" i="17"/>
  <c r="L893" i="17"/>
  <c r="L894" i="17"/>
  <c r="L895" i="17"/>
  <c r="L896" i="17"/>
  <c r="L897" i="17"/>
  <c r="L898" i="17"/>
  <c r="L899" i="17"/>
  <c r="L900" i="17"/>
  <c r="L901" i="17"/>
  <c r="L902" i="17"/>
  <c r="L903" i="17"/>
  <c r="L904" i="17"/>
  <c r="L905" i="17"/>
  <c r="L906" i="17"/>
  <c r="L907" i="17"/>
  <c r="L908" i="17"/>
  <c r="L909" i="17"/>
  <c r="L910" i="17"/>
  <c r="L911" i="17"/>
  <c r="L912" i="17"/>
  <c r="L913" i="17"/>
  <c r="L914" i="17"/>
  <c r="L915" i="17"/>
  <c r="L916" i="17"/>
  <c r="L917" i="17"/>
  <c r="L918" i="17"/>
  <c r="L919" i="17"/>
  <c r="L920" i="17"/>
  <c r="L921" i="17"/>
  <c r="L922" i="17"/>
  <c r="L923" i="17"/>
  <c r="L924" i="17"/>
  <c r="L925" i="17"/>
  <c r="L926" i="17"/>
  <c r="L927" i="17"/>
  <c r="L928" i="17"/>
  <c r="L929" i="17"/>
  <c r="L930" i="17"/>
  <c r="L931" i="17"/>
  <c r="L932" i="17"/>
  <c r="L933" i="17"/>
  <c r="L934" i="17"/>
  <c r="L935" i="17"/>
  <c r="L936" i="17"/>
  <c r="L937" i="17"/>
  <c r="L938" i="17"/>
  <c r="L939" i="17"/>
  <c r="L940" i="17"/>
  <c r="L941" i="17"/>
  <c r="L942" i="17"/>
  <c r="L943" i="17"/>
  <c r="L944" i="17"/>
  <c r="L945" i="17"/>
  <c r="L946" i="17"/>
  <c r="L947" i="17"/>
  <c r="L948" i="17"/>
  <c r="L949" i="17"/>
  <c r="L950" i="17"/>
  <c r="L951" i="17"/>
  <c r="L952" i="17"/>
  <c r="L953" i="17"/>
  <c r="L954" i="17"/>
  <c r="L955" i="17"/>
  <c r="L956" i="17"/>
  <c r="L957" i="17"/>
  <c r="L958" i="17"/>
  <c r="L959" i="17"/>
  <c r="L960" i="17"/>
  <c r="L961" i="17"/>
  <c r="L962" i="17"/>
  <c r="L963" i="17"/>
  <c r="L964" i="17"/>
  <c r="L965" i="17"/>
  <c r="L966" i="17"/>
  <c r="L967" i="17"/>
  <c r="L968" i="17"/>
  <c r="L969" i="17"/>
  <c r="L970" i="17"/>
  <c r="L971" i="17"/>
  <c r="L972" i="17"/>
  <c r="L973" i="17"/>
  <c r="L974" i="17"/>
  <c r="L975" i="17"/>
  <c r="L976" i="17"/>
  <c r="L977" i="17"/>
  <c r="L978" i="17"/>
  <c r="L979" i="17"/>
  <c r="L980" i="17"/>
  <c r="L981" i="17"/>
  <c r="L982" i="17"/>
  <c r="L983" i="17"/>
  <c r="L984" i="17"/>
  <c r="L985" i="17"/>
  <c r="L986" i="17"/>
  <c r="L987" i="17"/>
  <c r="L988" i="17"/>
  <c r="L989" i="17"/>
  <c r="L990" i="17"/>
  <c r="L991" i="17"/>
  <c r="L992" i="17"/>
  <c r="L993" i="17"/>
  <c r="L994" i="17"/>
  <c r="L995" i="17"/>
  <c r="L996" i="17"/>
  <c r="L997" i="17"/>
  <c r="L998" i="17"/>
  <c r="L999" i="17"/>
  <c r="L1000" i="17"/>
  <c r="L1001" i="17"/>
  <c r="L1002" i="17"/>
  <c r="L1003" i="17"/>
  <c r="L1004" i="17"/>
  <c r="L1005" i="17"/>
  <c r="L1006" i="17"/>
  <c r="L1007" i="17"/>
  <c r="L1008" i="17"/>
  <c r="L1009" i="17"/>
  <c r="L1010" i="17"/>
  <c r="L1011" i="17"/>
  <c r="L1012" i="17"/>
  <c r="L1013" i="17"/>
  <c r="L1014" i="17"/>
  <c r="L1015" i="17"/>
  <c r="L1016" i="17"/>
  <c r="L1017" i="17"/>
  <c r="L1018" i="17"/>
  <c r="L1019" i="17"/>
  <c r="L1020" i="17"/>
  <c r="L1021" i="17"/>
  <c r="L1022" i="17"/>
  <c r="L1023" i="17"/>
  <c r="L1024" i="17"/>
  <c r="L1025" i="17"/>
  <c r="L1026" i="17"/>
  <c r="L1027" i="17"/>
  <c r="L1028" i="17"/>
  <c r="L1029" i="17"/>
  <c r="L1030" i="17"/>
  <c r="L1031" i="17"/>
  <c r="L1032" i="17"/>
  <c r="L1033" i="17"/>
  <c r="L1034" i="17"/>
  <c r="L1035" i="17"/>
  <c r="L1036" i="17"/>
  <c r="L1037" i="17"/>
  <c r="L1038" i="17"/>
  <c r="L1039" i="17"/>
  <c r="L1040" i="17"/>
  <c r="L1041" i="17"/>
  <c r="L1042" i="17"/>
  <c r="L1043" i="17"/>
  <c r="L1044" i="17"/>
  <c r="L1045" i="17"/>
  <c r="L1046" i="17"/>
  <c r="L1047" i="17"/>
  <c r="L1048" i="17"/>
  <c r="L1049" i="17"/>
  <c r="L1050" i="17"/>
  <c r="L1051" i="17"/>
  <c r="L1052" i="17"/>
  <c r="L1053" i="17"/>
  <c r="L1054" i="17"/>
  <c r="L1055" i="17"/>
  <c r="L1056" i="17"/>
  <c r="L1057" i="17"/>
  <c r="L1058" i="17"/>
  <c r="L1059" i="17"/>
  <c r="L1060" i="17"/>
  <c r="L1061" i="17"/>
  <c r="L1062" i="17"/>
  <c r="L1063" i="17"/>
  <c r="L1064" i="17"/>
  <c r="L1065" i="17"/>
  <c r="L1066" i="17"/>
  <c r="L1067" i="17"/>
  <c r="L1068" i="17"/>
  <c r="L1069" i="17"/>
  <c r="L1070" i="17"/>
  <c r="L1071" i="17"/>
  <c r="L1072" i="17"/>
  <c r="L1073" i="17"/>
  <c r="L1074" i="17"/>
  <c r="L1075" i="17"/>
  <c r="L1076" i="17"/>
  <c r="L1077" i="17"/>
  <c r="L1078" i="17"/>
  <c r="L1079" i="17"/>
  <c r="L1080" i="17"/>
  <c r="L1081" i="17"/>
  <c r="L1082" i="17"/>
  <c r="L1083" i="17"/>
  <c r="L1084" i="17"/>
  <c r="L1085" i="17"/>
  <c r="L1086" i="17"/>
  <c r="L1087" i="17"/>
  <c r="L1088" i="17"/>
  <c r="L1089" i="17"/>
  <c r="L1090" i="17"/>
  <c r="L1091" i="17"/>
  <c r="L1092" i="17"/>
  <c r="L1093" i="17"/>
  <c r="L1094" i="17"/>
  <c r="L1095" i="17"/>
  <c r="L1096" i="17"/>
  <c r="L1097" i="17"/>
  <c r="L1098" i="17"/>
  <c r="L1099" i="17"/>
  <c r="L1100" i="17"/>
  <c r="L1101" i="17"/>
  <c r="L1102" i="17"/>
  <c r="L1103" i="17"/>
  <c r="L1104" i="17"/>
  <c r="L1105" i="17"/>
  <c r="L1106" i="17"/>
  <c r="L1107" i="17"/>
  <c r="L1108" i="17"/>
  <c r="L1109" i="17"/>
  <c r="L1110" i="17"/>
  <c r="L1111" i="17"/>
  <c r="L1112" i="17"/>
  <c r="L1113" i="17"/>
  <c r="L1114" i="17"/>
  <c r="L1115" i="17"/>
  <c r="L1116" i="17"/>
  <c r="L1117" i="17"/>
  <c r="L1118" i="17"/>
  <c r="L1119" i="17"/>
  <c r="L1120" i="17"/>
  <c r="L1121" i="17"/>
  <c r="L1122" i="17"/>
  <c r="L1123" i="17"/>
  <c r="L1124" i="17"/>
  <c r="L1125" i="17"/>
  <c r="L1126" i="17"/>
  <c r="L1127" i="17"/>
  <c r="L1128" i="17"/>
  <c r="L1129" i="17"/>
  <c r="L1130" i="17"/>
  <c r="L1131" i="17"/>
  <c r="L1132" i="17"/>
  <c r="L1133" i="17"/>
  <c r="L1134" i="17"/>
  <c r="L1135" i="17"/>
  <c r="L1136" i="17"/>
  <c r="L1137" i="17"/>
  <c r="L1138" i="17"/>
  <c r="L1139" i="17"/>
  <c r="L1140" i="17"/>
  <c r="L1141" i="17"/>
  <c r="L1142" i="17"/>
  <c r="L1143" i="17"/>
  <c r="L1144" i="17"/>
  <c r="L1145" i="17"/>
  <c r="L1146" i="17"/>
  <c r="L1147" i="17"/>
  <c r="L1148" i="17"/>
  <c r="L1149" i="17"/>
  <c r="L1150" i="17"/>
  <c r="L1151" i="17"/>
  <c r="L1152" i="17"/>
  <c r="L1153" i="17"/>
  <c r="L1154" i="17"/>
  <c r="L1155" i="17"/>
  <c r="L1156" i="17"/>
  <c r="L1157" i="17"/>
  <c r="L1158" i="17"/>
  <c r="L1159" i="17"/>
  <c r="L1160" i="17"/>
  <c r="L1161" i="17"/>
  <c r="L1162" i="17"/>
  <c r="L1163" i="17"/>
  <c r="L1164" i="17"/>
  <c r="L1165" i="17"/>
  <c r="L1166" i="17"/>
  <c r="L1167" i="17"/>
  <c r="L1168" i="17"/>
  <c r="L1169" i="17"/>
  <c r="L1170" i="17"/>
  <c r="L1171" i="17"/>
  <c r="L1172" i="17"/>
  <c r="L1173" i="17"/>
  <c r="L1174" i="17"/>
  <c r="L1175" i="17"/>
  <c r="L1176" i="17"/>
  <c r="L1177" i="17"/>
  <c r="L1178" i="17"/>
  <c r="L1179" i="17"/>
  <c r="L1180" i="17"/>
  <c r="L1181" i="17"/>
  <c r="L1182" i="17"/>
  <c r="L1183" i="17"/>
  <c r="L1184" i="17"/>
  <c r="L1185" i="17"/>
  <c r="L1186" i="17"/>
  <c r="L1187" i="17"/>
  <c r="L1188" i="17"/>
  <c r="L1189" i="17"/>
  <c r="L1190" i="17"/>
  <c r="L1191" i="17"/>
  <c r="L1192" i="17"/>
  <c r="L1193" i="17"/>
  <c r="L1194" i="17"/>
  <c r="L1195" i="17"/>
  <c r="L1196" i="17"/>
  <c r="L1197" i="17"/>
  <c r="L1198" i="17"/>
  <c r="L1199" i="17"/>
  <c r="L1200" i="17"/>
  <c r="L1201" i="17"/>
  <c r="L1202" i="17"/>
  <c r="L1203" i="17"/>
  <c r="L1204" i="17"/>
  <c r="L1205" i="17"/>
  <c r="L1206" i="17"/>
  <c r="L1207" i="17"/>
  <c r="L1208" i="17"/>
  <c r="L1209" i="17"/>
  <c r="L1210" i="17"/>
  <c r="L1211" i="17"/>
  <c r="L1212" i="17"/>
  <c r="L1213" i="17"/>
  <c r="L1214" i="17"/>
  <c r="L1215" i="17"/>
  <c r="L1216" i="17"/>
  <c r="L1217" i="17"/>
  <c r="L1218" i="17"/>
  <c r="L1219" i="17"/>
  <c r="L1220" i="17"/>
  <c r="L1221" i="17"/>
  <c r="L1222" i="17"/>
  <c r="L1223" i="17"/>
  <c r="L1224" i="17"/>
  <c r="L1225" i="17"/>
  <c r="L1226" i="17"/>
  <c r="L1227" i="17"/>
  <c r="L1228" i="17"/>
  <c r="L1229" i="17"/>
  <c r="L1230" i="17"/>
  <c r="L1231" i="17"/>
  <c r="L1232" i="17"/>
  <c r="L1233" i="17"/>
  <c r="L1234" i="17"/>
  <c r="L1235" i="17"/>
  <c r="L1236" i="17"/>
  <c r="L1237" i="17"/>
  <c r="L1238" i="17"/>
  <c r="L1239" i="17"/>
  <c r="L1240" i="17"/>
  <c r="L1241" i="17"/>
  <c r="L1242" i="17"/>
  <c r="L1243" i="17"/>
  <c r="L1244" i="17"/>
  <c r="L1245" i="17"/>
  <c r="L1246" i="17"/>
  <c r="L1247" i="17"/>
  <c r="L1248" i="17"/>
  <c r="L1249" i="17"/>
  <c r="L1250" i="17"/>
  <c r="L1251" i="17"/>
  <c r="L1252" i="17"/>
  <c r="L1253" i="17"/>
  <c r="L1254" i="17"/>
  <c r="L1255" i="17"/>
  <c r="L1256" i="17"/>
  <c r="L1257" i="17"/>
  <c r="L1258" i="17"/>
  <c r="L1259" i="17"/>
  <c r="L1260" i="17"/>
  <c r="L1261" i="17"/>
  <c r="L1262" i="17"/>
  <c r="L1263" i="17"/>
  <c r="L1264" i="17"/>
  <c r="L1265" i="17"/>
  <c r="L1266" i="17"/>
  <c r="L1267" i="17"/>
  <c r="L1268" i="17"/>
  <c r="L1269" i="17"/>
  <c r="L1270" i="17"/>
  <c r="L1271" i="17"/>
  <c r="L1272" i="17"/>
  <c r="L1273" i="17"/>
  <c r="L1274" i="17"/>
  <c r="L1275" i="17"/>
  <c r="L1276" i="17"/>
  <c r="L1277" i="17"/>
  <c r="L1278" i="17"/>
  <c r="L1279" i="17"/>
  <c r="L1280" i="17"/>
  <c r="L1281" i="17"/>
  <c r="L1282" i="17"/>
  <c r="L1283" i="17"/>
  <c r="L1284" i="17"/>
  <c r="L1285" i="17"/>
  <c r="L1286" i="17"/>
  <c r="L1287" i="17"/>
  <c r="L1288" i="17"/>
  <c r="L1289" i="17"/>
  <c r="L1290" i="17"/>
  <c r="L1291" i="17"/>
  <c r="L1292" i="17"/>
  <c r="L1293" i="17"/>
  <c r="L1294" i="17"/>
  <c r="L1295" i="17"/>
  <c r="L1296" i="17"/>
  <c r="L1297" i="17"/>
  <c r="L1298" i="17"/>
  <c r="L1299" i="17"/>
  <c r="L1300" i="17"/>
  <c r="L1301" i="17"/>
  <c r="L1302" i="17"/>
  <c r="L1303" i="17"/>
  <c r="L1304" i="17"/>
  <c r="L1305" i="17"/>
  <c r="L1306" i="17"/>
  <c r="L1307" i="17"/>
  <c r="L1308" i="17"/>
  <c r="L1309" i="17"/>
  <c r="L1310" i="17"/>
  <c r="L1311" i="17"/>
  <c r="L1312" i="17"/>
  <c r="L1313" i="17"/>
  <c r="L1314" i="17"/>
  <c r="L1315" i="17"/>
  <c r="L1316" i="17"/>
  <c r="L1317" i="17"/>
  <c r="L1318" i="17"/>
  <c r="L1319" i="17"/>
  <c r="L1320" i="17"/>
  <c r="L1321" i="17"/>
  <c r="L2" i="17"/>
  <c r="M2" i="6"/>
  <c r="F3" i="17"/>
  <c r="G3" i="17" s="1"/>
  <c r="H3" i="17" s="1"/>
  <c r="I3" i="17" s="1"/>
  <c r="K3" i="17" s="1"/>
  <c r="F4" i="17"/>
  <c r="G4" i="17" s="1"/>
  <c r="H4" i="17" s="1"/>
  <c r="I4" i="17" s="1"/>
  <c r="K4" i="17" s="1"/>
  <c r="F5" i="17"/>
  <c r="G5" i="17" s="1"/>
  <c r="H5" i="17" s="1"/>
  <c r="I5" i="17" s="1"/>
  <c r="K5" i="17" s="1"/>
  <c r="F6" i="17"/>
  <c r="G6" i="17" s="1"/>
  <c r="H6" i="17" s="1"/>
  <c r="I6" i="17" s="1"/>
  <c r="K6" i="17" s="1"/>
  <c r="F7" i="17"/>
  <c r="G7" i="17" s="1"/>
  <c r="H7" i="17" s="1"/>
  <c r="I7" i="17" s="1"/>
  <c r="K7" i="17" s="1"/>
  <c r="F8" i="17"/>
  <c r="G8" i="17" s="1"/>
  <c r="H8" i="17" s="1"/>
  <c r="I8" i="17" s="1"/>
  <c r="K8" i="17" s="1"/>
  <c r="F9" i="17"/>
  <c r="G9" i="17" s="1"/>
  <c r="H9" i="17" s="1"/>
  <c r="I9" i="17" s="1"/>
  <c r="K9" i="17" s="1"/>
  <c r="F10" i="17"/>
  <c r="G10" i="17" s="1"/>
  <c r="H10" i="17" s="1"/>
  <c r="I10" i="17" s="1"/>
  <c r="K10" i="17" s="1"/>
  <c r="F11" i="17"/>
  <c r="G11" i="17" s="1"/>
  <c r="H11" i="17" s="1"/>
  <c r="I11" i="17" s="1"/>
  <c r="K11" i="17" s="1"/>
  <c r="F12" i="17"/>
  <c r="G12" i="17" s="1"/>
  <c r="H12" i="17" s="1"/>
  <c r="I12" i="17" s="1"/>
  <c r="K12" i="17" s="1"/>
  <c r="F13" i="17"/>
  <c r="G13" i="17" s="1"/>
  <c r="H13" i="17" s="1"/>
  <c r="I13" i="17" s="1"/>
  <c r="K13" i="17" s="1"/>
  <c r="F14" i="17"/>
  <c r="G14" i="17" s="1"/>
  <c r="H14" i="17" s="1"/>
  <c r="I14" i="17" s="1"/>
  <c r="K14" i="17" s="1"/>
  <c r="F15" i="17"/>
  <c r="G15" i="17" s="1"/>
  <c r="H15" i="17" s="1"/>
  <c r="I15" i="17" s="1"/>
  <c r="K15" i="17" s="1"/>
  <c r="F16" i="17"/>
  <c r="G16" i="17" s="1"/>
  <c r="H16" i="17" s="1"/>
  <c r="I16" i="17" s="1"/>
  <c r="K16" i="17" s="1"/>
  <c r="F17" i="17"/>
  <c r="G17" i="17" s="1"/>
  <c r="H17" i="17" s="1"/>
  <c r="I17" i="17" s="1"/>
  <c r="K17" i="17" s="1"/>
  <c r="F18" i="17"/>
  <c r="G18" i="17" s="1"/>
  <c r="H18" i="17" s="1"/>
  <c r="I18" i="17" s="1"/>
  <c r="K18" i="17" s="1"/>
  <c r="F19" i="17"/>
  <c r="G19" i="17" s="1"/>
  <c r="H19" i="17" s="1"/>
  <c r="I19" i="17" s="1"/>
  <c r="K19" i="17" s="1"/>
  <c r="F20" i="17"/>
  <c r="G20" i="17" s="1"/>
  <c r="H20" i="17" s="1"/>
  <c r="I20" i="17" s="1"/>
  <c r="K20" i="17" s="1"/>
  <c r="F21" i="17"/>
  <c r="G21" i="17" s="1"/>
  <c r="H21" i="17" s="1"/>
  <c r="I21" i="17" s="1"/>
  <c r="K21" i="17" s="1"/>
  <c r="F22" i="17"/>
  <c r="G22" i="17" s="1"/>
  <c r="H22" i="17" s="1"/>
  <c r="I22" i="17" s="1"/>
  <c r="K22" i="17" s="1"/>
  <c r="F23" i="17"/>
  <c r="G23" i="17" s="1"/>
  <c r="H23" i="17" s="1"/>
  <c r="I23" i="17" s="1"/>
  <c r="K23" i="17" s="1"/>
  <c r="F24" i="17"/>
  <c r="G24" i="17" s="1"/>
  <c r="H24" i="17" s="1"/>
  <c r="I24" i="17" s="1"/>
  <c r="K24" i="17" s="1"/>
  <c r="F25" i="17"/>
  <c r="G25" i="17" s="1"/>
  <c r="H25" i="17" s="1"/>
  <c r="I25" i="17" s="1"/>
  <c r="K25" i="17" s="1"/>
  <c r="F26" i="17"/>
  <c r="G26" i="17" s="1"/>
  <c r="H26" i="17" s="1"/>
  <c r="I26" i="17" s="1"/>
  <c r="K26" i="17" s="1"/>
  <c r="F27" i="17"/>
  <c r="G27" i="17" s="1"/>
  <c r="H27" i="17" s="1"/>
  <c r="I27" i="17" s="1"/>
  <c r="K27" i="17" s="1"/>
  <c r="F28" i="17"/>
  <c r="G28" i="17" s="1"/>
  <c r="H28" i="17" s="1"/>
  <c r="I28" i="17" s="1"/>
  <c r="K28" i="17" s="1"/>
  <c r="F29" i="17"/>
  <c r="G29" i="17" s="1"/>
  <c r="H29" i="17" s="1"/>
  <c r="I29" i="17" s="1"/>
  <c r="K29" i="17" s="1"/>
  <c r="F30" i="17"/>
  <c r="G30" i="17" s="1"/>
  <c r="H30" i="17" s="1"/>
  <c r="I30" i="17" s="1"/>
  <c r="K30" i="17" s="1"/>
  <c r="F31" i="17"/>
  <c r="G31" i="17" s="1"/>
  <c r="H31" i="17" s="1"/>
  <c r="I31" i="17" s="1"/>
  <c r="K31" i="17" s="1"/>
  <c r="F32" i="17"/>
  <c r="G32" i="17" s="1"/>
  <c r="H32" i="17" s="1"/>
  <c r="I32" i="17" s="1"/>
  <c r="K32" i="17" s="1"/>
  <c r="F33" i="17"/>
  <c r="G33" i="17" s="1"/>
  <c r="H33" i="17" s="1"/>
  <c r="I33" i="17" s="1"/>
  <c r="K33" i="17" s="1"/>
  <c r="F34" i="17"/>
  <c r="G34" i="17" s="1"/>
  <c r="H34" i="17" s="1"/>
  <c r="I34" i="17" s="1"/>
  <c r="K34" i="17" s="1"/>
  <c r="F35" i="17"/>
  <c r="G35" i="17" s="1"/>
  <c r="H35" i="17" s="1"/>
  <c r="I35" i="17" s="1"/>
  <c r="K35" i="17" s="1"/>
  <c r="F36" i="17"/>
  <c r="G36" i="17" s="1"/>
  <c r="H36" i="17" s="1"/>
  <c r="I36" i="17" s="1"/>
  <c r="K36" i="17" s="1"/>
  <c r="F37" i="17"/>
  <c r="G37" i="17" s="1"/>
  <c r="H37" i="17" s="1"/>
  <c r="I37" i="17" s="1"/>
  <c r="K37" i="17" s="1"/>
  <c r="F38" i="17"/>
  <c r="G38" i="17" s="1"/>
  <c r="H38" i="17" s="1"/>
  <c r="I38" i="17" s="1"/>
  <c r="K38" i="17" s="1"/>
  <c r="F39" i="17"/>
  <c r="G39" i="17" s="1"/>
  <c r="H39" i="17" s="1"/>
  <c r="I39" i="17" s="1"/>
  <c r="K39" i="17" s="1"/>
  <c r="F40" i="17"/>
  <c r="G40" i="17" s="1"/>
  <c r="H40" i="17" s="1"/>
  <c r="I40" i="17" s="1"/>
  <c r="K40" i="17" s="1"/>
  <c r="F41" i="17"/>
  <c r="G41" i="17" s="1"/>
  <c r="H41" i="17" s="1"/>
  <c r="I41" i="17" s="1"/>
  <c r="K41" i="17" s="1"/>
  <c r="F42" i="17"/>
  <c r="G42" i="17" s="1"/>
  <c r="H42" i="17" s="1"/>
  <c r="I42" i="17" s="1"/>
  <c r="K42" i="17" s="1"/>
  <c r="F43" i="17"/>
  <c r="G43" i="17" s="1"/>
  <c r="H43" i="17" s="1"/>
  <c r="I43" i="17" s="1"/>
  <c r="K43" i="17" s="1"/>
  <c r="F44" i="17"/>
  <c r="G44" i="17" s="1"/>
  <c r="H44" i="17" s="1"/>
  <c r="I44" i="17" s="1"/>
  <c r="K44" i="17" s="1"/>
  <c r="F45" i="17"/>
  <c r="G45" i="17" s="1"/>
  <c r="H45" i="17" s="1"/>
  <c r="I45" i="17" s="1"/>
  <c r="K45" i="17" s="1"/>
  <c r="F46" i="17"/>
  <c r="G46" i="17" s="1"/>
  <c r="H46" i="17" s="1"/>
  <c r="I46" i="17" s="1"/>
  <c r="K46" i="17" s="1"/>
  <c r="F47" i="17"/>
  <c r="G47" i="17" s="1"/>
  <c r="H47" i="17" s="1"/>
  <c r="I47" i="17" s="1"/>
  <c r="K47" i="17" s="1"/>
  <c r="F48" i="17"/>
  <c r="G48" i="17" s="1"/>
  <c r="H48" i="17" s="1"/>
  <c r="I48" i="17" s="1"/>
  <c r="K48" i="17" s="1"/>
  <c r="F49" i="17"/>
  <c r="G49" i="17" s="1"/>
  <c r="H49" i="17" s="1"/>
  <c r="I49" i="17" s="1"/>
  <c r="K49" i="17" s="1"/>
  <c r="F50" i="17"/>
  <c r="G50" i="17" s="1"/>
  <c r="H50" i="17" s="1"/>
  <c r="I50" i="17" s="1"/>
  <c r="K50" i="17" s="1"/>
  <c r="F51" i="17"/>
  <c r="G51" i="17" s="1"/>
  <c r="H51" i="17" s="1"/>
  <c r="I51" i="17" s="1"/>
  <c r="K51" i="17" s="1"/>
  <c r="F52" i="17"/>
  <c r="G52" i="17" s="1"/>
  <c r="H52" i="17" s="1"/>
  <c r="I52" i="17" s="1"/>
  <c r="K52" i="17" s="1"/>
  <c r="F53" i="17"/>
  <c r="G53" i="17" s="1"/>
  <c r="H53" i="17" s="1"/>
  <c r="I53" i="17" s="1"/>
  <c r="K53" i="17" s="1"/>
  <c r="F54" i="17"/>
  <c r="G54" i="17" s="1"/>
  <c r="H54" i="17" s="1"/>
  <c r="I54" i="17" s="1"/>
  <c r="K54" i="17" s="1"/>
  <c r="F55" i="17"/>
  <c r="G55" i="17" s="1"/>
  <c r="H55" i="17" s="1"/>
  <c r="I55" i="17" s="1"/>
  <c r="K55" i="17" s="1"/>
  <c r="F56" i="17"/>
  <c r="G56" i="17" s="1"/>
  <c r="H56" i="17" s="1"/>
  <c r="I56" i="17" s="1"/>
  <c r="K56" i="17" s="1"/>
  <c r="F57" i="17"/>
  <c r="G57" i="17" s="1"/>
  <c r="H57" i="17" s="1"/>
  <c r="I57" i="17" s="1"/>
  <c r="K57" i="17" s="1"/>
  <c r="F58" i="17"/>
  <c r="G58" i="17" s="1"/>
  <c r="H58" i="17" s="1"/>
  <c r="I58" i="17" s="1"/>
  <c r="K58" i="17" s="1"/>
  <c r="F59" i="17"/>
  <c r="G59" i="17" s="1"/>
  <c r="H59" i="17" s="1"/>
  <c r="I59" i="17" s="1"/>
  <c r="K59" i="17" s="1"/>
  <c r="F60" i="17"/>
  <c r="G60" i="17" s="1"/>
  <c r="H60" i="17" s="1"/>
  <c r="I60" i="17" s="1"/>
  <c r="K60" i="17" s="1"/>
  <c r="F61" i="17"/>
  <c r="G61" i="17" s="1"/>
  <c r="H61" i="17" s="1"/>
  <c r="I61" i="17" s="1"/>
  <c r="K61" i="17" s="1"/>
  <c r="F62" i="17"/>
  <c r="G62" i="17" s="1"/>
  <c r="H62" i="17" s="1"/>
  <c r="I62" i="17" s="1"/>
  <c r="K62" i="17" s="1"/>
  <c r="F63" i="17"/>
  <c r="G63" i="17" s="1"/>
  <c r="H63" i="17" s="1"/>
  <c r="I63" i="17" s="1"/>
  <c r="K63" i="17" s="1"/>
  <c r="F64" i="17"/>
  <c r="G64" i="17" s="1"/>
  <c r="H64" i="17" s="1"/>
  <c r="I64" i="17" s="1"/>
  <c r="K64" i="17" s="1"/>
  <c r="F65" i="17"/>
  <c r="G65" i="17" s="1"/>
  <c r="H65" i="17" s="1"/>
  <c r="I65" i="17" s="1"/>
  <c r="K65" i="17" s="1"/>
  <c r="F66" i="17"/>
  <c r="G66" i="17" s="1"/>
  <c r="H66" i="17" s="1"/>
  <c r="I66" i="17" s="1"/>
  <c r="K66" i="17" s="1"/>
  <c r="F67" i="17"/>
  <c r="G67" i="17" s="1"/>
  <c r="H67" i="17" s="1"/>
  <c r="I67" i="17" s="1"/>
  <c r="K67" i="17" s="1"/>
  <c r="F68" i="17"/>
  <c r="G68" i="17" s="1"/>
  <c r="H68" i="17" s="1"/>
  <c r="I68" i="17" s="1"/>
  <c r="K68" i="17" s="1"/>
  <c r="F69" i="17"/>
  <c r="G69" i="17" s="1"/>
  <c r="H69" i="17" s="1"/>
  <c r="I69" i="17" s="1"/>
  <c r="K69" i="17" s="1"/>
  <c r="F70" i="17"/>
  <c r="G70" i="17" s="1"/>
  <c r="H70" i="17" s="1"/>
  <c r="I70" i="17" s="1"/>
  <c r="K70" i="17" s="1"/>
  <c r="F71" i="17"/>
  <c r="G71" i="17" s="1"/>
  <c r="H71" i="17" s="1"/>
  <c r="I71" i="17" s="1"/>
  <c r="K71" i="17" s="1"/>
  <c r="F72" i="17"/>
  <c r="G72" i="17" s="1"/>
  <c r="H72" i="17" s="1"/>
  <c r="I72" i="17" s="1"/>
  <c r="K72" i="17" s="1"/>
  <c r="F73" i="17"/>
  <c r="G73" i="17" s="1"/>
  <c r="H73" i="17" s="1"/>
  <c r="I73" i="17" s="1"/>
  <c r="K73" i="17" s="1"/>
  <c r="F74" i="17"/>
  <c r="G74" i="17" s="1"/>
  <c r="H74" i="17" s="1"/>
  <c r="I74" i="17" s="1"/>
  <c r="K74" i="17" s="1"/>
  <c r="F75" i="17"/>
  <c r="G75" i="17" s="1"/>
  <c r="H75" i="17" s="1"/>
  <c r="I75" i="17" s="1"/>
  <c r="K75" i="17" s="1"/>
  <c r="F76" i="17"/>
  <c r="G76" i="17" s="1"/>
  <c r="H76" i="17" s="1"/>
  <c r="I76" i="17" s="1"/>
  <c r="K76" i="17" s="1"/>
  <c r="F77" i="17"/>
  <c r="G77" i="17" s="1"/>
  <c r="H77" i="17" s="1"/>
  <c r="I77" i="17" s="1"/>
  <c r="K77" i="17" s="1"/>
  <c r="F78" i="17"/>
  <c r="G78" i="17" s="1"/>
  <c r="H78" i="17" s="1"/>
  <c r="I78" i="17" s="1"/>
  <c r="K78" i="17" s="1"/>
  <c r="F79" i="17"/>
  <c r="G79" i="17" s="1"/>
  <c r="H79" i="17" s="1"/>
  <c r="I79" i="17" s="1"/>
  <c r="K79" i="17" s="1"/>
  <c r="F80" i="17"/>
  <c r="G80" i="17" s="1"/>
  <c r="H80" i="17" s="1"/>
  <c r="I80" i="17" s="1"/>
  <c r="K80" i="17" s="1"/>
  <c r="F81" i="17"/>
  <c r="G81" i="17" s="1"/>
  <c r="H81" i="17" s="1"/>
  <c r="I81" i="17" s="1"/>
  <c r="K81" i="17" s="1"/>
  <c r="F82" i="17"/>
  <c r="G82" i="17" s="1"/>
  <c r="H82" i="17" s="1"/>
  <c r="I82" i="17" s="1"/>
  <c r="K82" i="17" s="1"/>
  <c r="F83" i="17"/>
  <c r="G83" i="17" s="1"/>
  <c r="H83" i="17" s="1"/>
  <c r="I83" i="17" s="1"/>
  <c r="K83" i="17" s="1"/>
  <c r="F84" i="17"/>
  <c r="G84" i="17" s="1"/>
  <c r="H84" i="17" s="1"/>
  <c r="I84" i="17" s="1"/>
  <c r="K84" i="17" s="1"/>
  <c r="F85" i="17"/>
  <c r="G85" i="17" s="1"/>
  <c r="H85" i="17" s="1"/>
  <c r="I85" i="17" s="1"/>
  <c r="K85" i="17" s="1"/>
  <c r="F86" i="17"/>
  <c r="G86" i="17" s="1"/>
  <c r="H86" i="17" s="1"/>
  <c r="I86" i="17" s="1"/>
  <c r="K86" i="17" s="1"/>
  <c r="F87" i="17"/>
  <c r="G87" i="17" s="1"/>
  <c r="H87" i="17" s="1"/>
  <c r="I87" i="17" s="1"/>
  <c r="K87" i="17" s="1"/>
  <c r="F88" i="17"/>
  <c r="G88" i="17" s="1"/>
  <c r="H88" i="17" s="1"/>
  <c r="I88" i="17" s="1"/>
  <c r="K88" i="17" s="1"/>
  <c r="F89" i="17"/>
  <c r="G89" i="17" s="1"/>
  <c r="H89" i="17" s="1"/>
  <c r="I89" i="17" s="1"/>
  <c r="K89" i="17" s="1"/>
  <c r="F90" i="17"/>
  <c r="G90" i="17" s="1"/>
  <c r="H90" i="17" s="1"/>
  <c r="I90" i="17" s="1"/>
  <c r="K90" i="17" s="1"/>
  <c r="F91" i="17"/>
  <c r="G91" i="17" s="1"/>
  <c r="H91" i="17" s="1"/>
  <c r="I91" i="17" s="1"/>
  <c r="K91" i="17" s="1"/>
  <c r="F92" i="17"/>
  <c r="G92" i="17" s="1"/>
  <c r="H92" i="17" s="1"/>
  <c r="I92" i="17" s="1"/>
  <c r="K92" i="17" s="1"/>
  <c r="F93" i="17"/>
  <c r="G93" i="17" s="1"/>
  <c r="H93" i="17" s="1"/>
  <c r="I93" i="17" s="1"/>
  <c r="K93" i="17" s="1"/>
  <c r="F94" i="17"/>
  <c r="G94" i="17" s="1"/>
  <c r="H94" i="17" s="1"/>
  <c r="I94" i="17" s="1"/>
  <c r="K94" i="17" s="1"/>
  <c r="F95" i="17"/>
  <c r="G95" i="17" s="1"/>
  <c r="H95" i="17" s="1"/>
  <c r="I95" i="17" s="1"/>
  <c r="K95" i="17" s="1"/>
  <c r="F96" i="17"/>
  <c r="G96" i="17" s="1"/>
  <c r="H96" i="17" s="1"/>
  <c r="I96" i="17" s="1"/>
  <c r="K96" i="17" s="1"/>
  <c r="F97" i="17"/>
  <c r="G97" i="17" s="1"/>
  <c r="H97" i="17" s="1"/>
  <c r="I97" i="17" s="1"/>
  <c r="K97" i="17" s="1"/>
  <c r="F98" i="17"/>
  <c r="G98" i="17" s="1"/>
  <c r="H98" i="17" s="1"/>
  <c r="I98" i="17" s="1"/>
  <c r="K98" i="17" s="1"/>
  <c r="F99" i="17"/>
  <c r="G99" i="17" s="1"/>
  <c r="H99" i="17" s="1"/>
  <c r="I99" i="17" s="1"/>
  <c r="K99" i="17" s="1"/>
  <c r="F100" i="17"/>
  <c r="G100" i="17" s="1"/>
  <c r="H100" i="17" s="1"/>
  <c r="I100" i="17" s="1"/>
  <c r="K100" i="17" s="1"/>
  <c r="F101" i="17"/>
  <c r="G101" i="17" s="1"/>
  <c r="H101" i="17" s="1"/>
  <c r="I101" i="17" s="1"/>
  <c r="K101" i="17" s="1"/>
  <c r="F102" i="17"/>
  <c r="G102" i="17" s="1"/>
  <c r="H102" i="17" s="1"/>
  <c r="I102" i="17" s="1"/>
  <c r="K102" i="17" s="1"/>
  <c r="F103" i="17"/>
  <c r="G103" i="17" s="1"/>
  <c r="H103" i="17" s="1"/>
  <c r="I103" i="17" s="1"/>
  <c r="K103" i="17" s="1"/>
  <c r="F104" i="17"/>
  <c r="G104" i="17" s="1"/>
  <c r="H104" i="17" s="1"/>
  <c r="I104" i="17" s="1"/>
  <c r="K104" i="17" s="1"/>
  <c r="F105" i="17"/>
  <c r="G105" i="17" s="1"/>
  <c r="H105" i="17" s="1"/>
  <c r="I105" i="17" s="1"/>
  <c r="K105" i="17" s="1"/>
  <c r="F106" i="17"/>
  <c r="G106" i="17" s="1"/>
  <c r="H106" i="17" s="1"/>
  <c r="I106" i="17" s="1"/>
  <c r="K106" i="17" s="1"/>
  <c r="F107" i="17"/>
  <c r="G107" i="17" s="1"/>
  <c r="H107" i="17" s="1"/>
  <c r="I107" i="17" s="1"/>
  <c r="K107" i="17" s="1"/>
  <c r="F108" i="17"/>
  <c r="G108" i="17" s="1"/>
  <c r="H108" i="17" s="1"/>
  <c r="I108" i="17" s="1"/>
  <c r="K108" i="17" s="1"/>
  <c r="F109" i="17"/>
  <c r="G109" i="17" s="1"/>
  <c r="H109" i="17" s="1"/>
  <c r="I109" i="17" s="1"/>
  <c r="K109" i="17" s="1"/>
  <c r="F110" i="17"/>
  <c r="G110" i="17" s="1"/>
  <c r="H110" i="17" s="1"/>
  <c r="I110" i="17" s="1"/>
  <c r="K110" i="17" s="1"/>
  <c r="F111" i="17"/>
  <c r="G111" i="17" s="1"/>
  <c r="H111" i="17" s="1"/>
  <c r="I111" i="17" s="1"/>
  <c r="K111" i="17" s="1"/>
  <c r="F112" i="17"/>
  <c r="G112" i="17" s="1"/>
  <c r="H112" i="17" s="1"/>
  <c r="I112" i="17" s="1"/>
  <c r="K112" i="17" s="1"/>
  <c r="F113" i="17"/>
  <c r="G113" i="17" s="1"/>
  <c r="H113" i="17" s="1"/>
  <c r="I113" i="17" s="1"/>
  <c r="K113" i="17" s="1"/>
  <c r="F114" i="17"/>
  <c r="G114" i="17" s="1"/>
  <c r="H114" i="17" s="1"/>
  <c r="I114" i="17" s="1"/>
  <c r="K114" i="17" s="1"/>
  <c r="F115" i="17"/>
  <c r="G115" i="17" s="1"/>
  <c r="H115" i="17" s="1"/>
  <c r="I115" i="17" s="1"/>
  <c r="K115" i="17" s="1"/>
  <c r="F116" i="17"/>
  <c r="G116" i="17" s="1"/>
  <c r="H116" i="17" s="1"/>
  <c r="I116" i="17" s="1"/>
  <c r="K116" i="17" s="1"/>
  <c r="F117" i="17"/>
  <c r="G117" i="17" s="1"/>
  <c r="H117" i="17" s="1"/>
  <c r="I117" i="17" s="1"/>
  <c r="K117" i="17" s="1"/>
  <c r="F118" i="17"/>
  <c r="G118" i="17" s="1"/>
  <c r="H118" i="17" s="1"/>
  <c r="I118" i="17" s="1"/>
  <c r="K118" i="17" s="1"/>
  <c r="F119" i="17"/>
  <c r="G119" i="17" s="1"/>
  <c r="H119" i="17" s="1"/>
  <c r="I119" i="17" s="1"/>
  <c r="K119" i="17" s="1"/>
  <c r="F120" i="17"/>
  <c r="G120" i="17" s="1"/>
  <c r="H120" i="17" s="1"/>
  <c r="I120" i="17" s="1"/>
  <c r="K120" i="17" s="1"/>
  <c r="F121" i="17"/>
  <c r="G121" i="17" s="1"/>
  <c r="H121" i="17" s="1"/>
  <c r="I121" i="17" s="1"/>
  <c r="K121" i="17" s="1"/>
  <c r="F122" i="17"/>
  <c r="G122" i="17" s="1"/>
  <c r="H122" i="17" s="1"/>
  <c r="I122" i="17" s="1"/>
  <c r="K122" i="17" s="1"/>
  <c r="F123" i="17"/>
  <c r="G123" i="17" s="1"/>
  <c r="H123" i="17" s="1"/>
  <c r="I123" i="17" s="1"/>
  <c r="K123" i="17" s="1"/>
  <c r="F124" i="17"/>
  <c r="G124" i="17" s="1"/>
  <c r="H124" i="17" s="1"/>
  <c r="I124" i="17" s="1"/>
  <c r="K124" i="17" s="1"/>
  <c r="F125" i="17"/>
  <c r="G125" i="17" s="1"/>
  <c r="H125" i="17" s="1"/>
  <c r="I125" i="17" s="1"/>
  <c r="K125" i="17" s="1"/>
  <c r="F126" i="17"/>
  <c r="G126" i="17" s="1"/>
  <c r="H126" i="17" s="1"/>
  <c r="I126" i="17" s="1"/>
  <c r="K126" i="17" s="1"/>
  <c r="F127" i="17"/>
  <c r="G127" i="17" s="1"/>
  <c r="H127" i="17" s="1"/>
  <c r="I127" i="17" s="1"/>
  <c r="K127" i="17" s="1"/>
  <c r="F128" i="17"/>
  <c r="G128" i="17" s="1"/>
  <c r="H128" i="17" s="1"/>
  <c r="I128" i="17" s="1"/>
  <c r="K128" i="17" s="1"/>
  <c r="F129" i="17"/>
  <c r="G129" i="17" s="1"/>
  <c r="H129" i="17" s="1"/>
  <c r="I129" i="17" s="1"/>
  <c r="K129" i="17" s="1"/>
  <c r="F130" i="17"/>
  <c r="G130" i="17" s="1"/>
  <c r="H130" i="17" s="1"/>
  <c r="I130" i="17" s="1"/>
  <c r="K130" i="17" s="1"/>
  <c r="F131" i="17"/>
  <c r="G131" i="17" s="1"/>
  <c r="H131" i="17" s="1"/>
  <c r="I131" i="17" s="1"/>
  <c r="K131" i="17" s="1"/>
  <c r="F132" i="17"/>
  <c r="G132" i="17" s="1"/>
  <c r="H132" i="17" s="1"/>
  <c r="I132" i="17" s="1"/>
  <c r="K132" i="17" s="1"/>
  <c r="F133" i="17"/>
  <c r="G133" i="17" s="1"/>
  <c r="H133" i="17" s="1"/>
  <c r="I133" i="17" s="1"/>
  <c r="K133" i="17" s="1"/>
  <c r="F134" i="17"/>
  <c r="G134" i="17" s="1"/>
  <c r="H134" i="17" s="1"/>
  <c r="I134" i="17" s="1"/>
  <c r="K134" i="17" s="1"/>
  <c r="F135" i="17"/>
  <c r="G135" i="17" s="1"/>
  <c r="H135" i="17" s="1"/>
  <c r="I135" i="17" s="1"/>
  <c r="K135" i="17" s="1"/>
  <c r="F136" i="17"/>
  <c r="G136" i="17" s="1"/>
  <c r="H136" i="17" s="1"/>
  <c r="I136" i="17" s="1"/>
  <c r="K136" i="17" s="1"/>
  <c r="F137" i="17"/>
  <c r="G137" i="17" s="1"/>
  <c r="H137" i="17" s="1"/>
  <c r="I137" i="17" s="1"/>
  <c r="K137" i="17" s="1"/>
  <c r="F138" i="17"/>
  <c r="G138" i="17" s="1"/>
  <c r="H138" i="17" s="1"/>
  <c r="I138" i="17" s="1"/>
  <c r="K138" i="17" s="1"/>
  <c r="F139" i="17"/>
  <c r="G139" i="17" s="1"/>
  <c r="H139" i="17" s="1"/>
  <c r="I139" i="17" s="1"/>
  <c r="K139" i="17" s="1"/>
  <c r="F140" i="17"/>
  <c r="G140" i="17" s="1"/>
  <c r="H140" i="17" s="1"/>
  <c r="I140" i="17" s="1"/>
  <c r="K140" i="17" s="1"/>
  <c r="F141" i="17"/>
  <c r="G141" i="17" s="1"/>
  <c r="H141" i="17" s="1"/>
  <c r="I141" i="17" s="1"/>
  <c r="K141" i="17" s="1"/>
  <c r="F142" i="17"/>
  <c r="G142" i="17" s="1"/>
  <c r="H142" i="17" s="1"/>
  <c r="I142" i="17" s="1"/>
  <c r="K142" i="17" s="1"/>
  <c r="F143" i="17"/>
  <c r="G143" i="17" s="1"/>
  <c r="H143" i="17" s="1"/>
  <c r="I143" i="17" s="1"/>
  <c r="K143" i="17" s="1"/>
  <c r="F144" i="17"/>
  <c r="G144" i="17" s="1"/>
  <c r="H144" i="17" s="1"/>
  <c r="I144" i="17" s="1"/>
  <c r="K144" i="17" s="1"/>
  <c r="F145" i="17"/>
  <c r="G145" i="17" s="1"/>
  <c r="H145" i="17" s="1"/>
  <c r="I145" i="17" s="1"/>
  <c r="K145" i="17" s="1"/>
  <c r="F146" i="17"/>
  <c r="G146" i="17" s="1"/>
  <c r="H146" i="17" s="1"/>
  <c r="I146" i="17" s="1"/>
  <c r="K146" i="17" s="1"/>
  <c r="F147" i="17"/>
  <c r="G147" i="17" s="1"/>
  <c r="H147" i="17" s="1"/>
  <c r="I147" i="17" s="1"/>
  <c r="K147" i="17" s="1"/>
  <c r="F148" i="17"/>
  <c r="G148" i="17" s="1"/>
  <c r="H148" i="17" s="1"/>
  <c r="I148" i="17" s="1"/>
  <c r="K148" i="17" s="1"/>
  <c r="F149" i="17"/>
  <c r="G149" i="17" s="1"/>
  <c r="H149" i="17" s="1"/>
  <c r="I149" i="17" s="1"/>
  <c r="K149" i="17" s="1"/>
  <c r="F150" i="17"/>
  <c r="G150" i="17" s="1"/>
  <c r="H150" i="17" s="1"/>
  <c r="I150" i="17" s="1"/>
  <c r="K150" i="17" s="1"/>
  <c r="F151" i="17"/>
  <c r="G151" i="17" s="1"/>
  <c r="H151" i="17" s="1"/>
  <c r="I151" i="17" s="1"/>
  <c r="K151" i="17" s="1"/>
  <c r="F152" i="17"/>
  <c r="G152" i="17" s="1"/>
  <c r="H152" i="17" s="1"/>
  <c r="I152" i="17" s="1"/>
  <c r="K152" i="17" s="1"/>
  <c r="F153" i="17"/>
  <c r="G153" i="17" s="1"/>
  <c r="H153" i="17" s="1"/>
  <c r="I153" i="17" s="1"/>
  <c r="K153" i="17" s="1"/>
  <c r="F154" i="17"/>
  <c r="G154" i="17" s="1"/>
  <c r="H154" i="17" s="1"/>
  <c r="I154" i="17" s="1"/>
  <c r="K154" i="17" s="1"/>
  <c r="F155" i="17"/>
  <c r="G155" i="17" s="1"/>
  <c r="H155" i="17" s="1"/>
  <c r="I155" i="17" s="1"/>
  <c r="K155" i="17" s="1"/>
  <c r="F156" i="17"/>
  <c r="G156" i="17" s="1"/>
  <c r="H156" i="17" s="1"/>
  <c r="I156" i="17" s="1"/>
  <c r="K156" i="17" s="1"/>
  <c r="F157" i="17"/>
  <c r="G157" i="17" s="1"/>
  <c r="H157" i="17" s="1"/>
  <c r="I157" i="17" s="1"/>
  <c r="K157" i="17" s="1"/>
  <c r="F158" i="17"/>
  <c r="G158" i="17" s="1"/>
  <c r="H158" i="17" s="1"/>
  <c r="I158" i="17" s="1"/>
  <c r="K158" i="17" s="1"/>
  <c r="F159" i="17"/>
  <c r="G159" i="17" s="1"/>
  <c r="H159" i="17" s="1"/>
  <c r="I159" i="17" s="1"/>
  <c r="K159" i="17" s="1"/>
  <c r="F160" i="17"/>
  <c r="G160" i="17" s="1"/>
  <c r="H160" i="17" s="1"/>
  <c r="I160" i="17" s="1"/>
  <c r="K160" i="17" s="1"/>
  <c r="F161" i="17"/>
  <c r="G161" i="17" s="1"/>
  <c r="H161" i="17" s="1"/>
  <c r="I161" i="17" s="1"/>
  <c r="K161" i="17" s="1"/>
  <c r="F162" i="17"/>
  <c r="G162" i="17" s="1"/>
  <c r="H162" i="17" s="1"/>
  <c r="I162" i="17" s="1"/>
  <c r="K162" i="17" s="1"/>
  <c r="F163" i="17"/>
  <c r="G163" i="17" s="1"/>
  <c r="H163" i="17" s="1"/>
  <c r="I163" i="17" s="1"/>
  <c r="K163" i="17" s="1"/>
  <c r="F164" i="17"/>
  <c r="G164" i="17" s="1"/>
  <c r="H164" i="17" s="1"/>
  <c r="I164" i="17" s="1"/>
  <c r="K164" i="17" s="1"/>
  <c r="F165" i="17"/>
  <c r="G165" i="17" s="1"/>
  <c r="H165" i="17" s="1"/>
  <c r="I165" i="17" s="1"/>
  <c r="K165" i="17" s="1"/>
  <c r="F166" i="17"/>
  <c r="G166" i="17" s="1"/>
  <c r="H166" i="17" s="1"/>
  <c r="I166" i="17" s="1"/>
  <c r="K166" i="17" s="1"/>
  <c r="F167" i="17"/>
  <c r="G167" i="17" s="1"/>
  <c r="H167" i="17" s="1"/>
  <c r="I167" i="17" s="1"/>
  <c r="K167" i="17" s="1"/>
  <c r="F168" i="17"/>
  <c r="G168" i="17" s="1"/>
  <c r="H168" i="17" s="1"/>
  <c r="I168" i="17" s="1"/>
  <c r="K168" i="17" s="1"/>
  <c r="F169" i="17"/>
  <c r="G169" i="17" s="1"/>
  <c r="H169" i="17" s="1"/>
  <c r="I169" i="17" s="1"/>
  <c r="K169" i="17" s="1"/>
  <c r="F170" i="17"/>
  <c r="G170" i="17" s="1"/>
  <c r="H170" i="17" s="1"/>
  <c r="I170" i="17" s="1"/>
  <c r="K170" i="17" s="1"/>
  <c r="F171" i="17"/>
  <c r="G171" i="17" s="1"/>
  <c r="H171" i="17" s="1"/>
  <c r="I171" i="17" s="1"/>
  <c r="K171" i="17" s="1"/>
  <c r="F172" i="17"/>
  <c r="G172" i="17" s="1"/>
  <c r="H172" i="17" s="1"/>
  <c r="I172" i="17" s="1"/>
  <c r="K172" i="17" s="1"/>
  <c r="F173" i="17"/>
  <c r="G173" i="17" s="1"/>
  <c r="H173" i="17" s="1"/>
  <c r="I173" i="17" s="1"/>
  <c r="K173" i="17" s="1"/>
  <c r="F174" i="17"/>
  <c r="G174" i="17" s="1"/>
  <c r="H174" i="17" s="1"/>
  <c r="I174" i="17" s="1"/>
  <c r="K174" i="17" s="1"/>
  <c r="F175" i="17"/>
  <c r="G175" i="17" s="1"/>
  <c r="H175" i="17" s="1"/>
  <c r="I175" i="17" s="1"/>
  <c r="K175" i="17" s="1"/>
  <c r="F176" i="17"/>
  <c r="G176" i="17" s="1"/>
  <c r="H176" i="17" s="1"/>
  <c r="I176" i="17" s="1"/>
  <c r="K176" i="17" s="1"/>
  <c r="F177" i="17"/>
  <c r="G177" i="17" s="1"/>
  <c r="H177" i="17" s="1"/>
  <c r="I177" i="17" s="1"/>
  <c r="K177" i="17" s="1"/>
  <c r="F178" i="17"/>
  <c r="G178" i="17" s="1"/>
  <c r="H178" i="17" s="1"/>
  <c r="I178" i="17" s="1"/>
  <c r="K178" i="17" s="1"/>
  <c r="F179" i="17"/>
  <c r="G179" i="17" s="1"/>
  <c r="H179" i="17" s="1"/>
  <c r="I179" i="17" s="1"/>
  <c r="K179" i="17" s="1"/>
  <c r="F180" i="17"/>
  <c r="G180" i="17" s="1"/>
  <c r="H180" i="17" s="1"/>
  <c r="I180" i="17" s="1"/>
  <c r="K180" i="17" s="1"/>
  <c r="F181" i="17"/>
  <c r="G181" i="17" s="1"/>
  <c r="H181" i="17" s="1"/>
  <c r="I181" i="17" s="1"/>
  <c r="K181" i="17" s="1"/>
  <c r="F182" i="17"/>
  <c r="G182" i="17" s="1"/>
  <c r="H182" i="17" s="1"/>
  <c r="I182" i="17" s="1"/>
  <c r="K182" i="17" s="1"/>
  <c r="F183" i="17"/>
  <c r="G183" i="17" s="1"/>
  <c r="H183" i="17" s="1"/>
  <c r="I183" i="17" s="1"/>
  <c r="K183" i="17" s="1"/>
  <c r="F184" i="17"/>
  <c r="G184" i="17" s="1"/>
  <c r="H184" i="17" s="1"/>
  <c r="I184" i="17" s="1"/>
  <c r="K184" i="17" s="1"/>
  <c r="F185" i="17"/>
  <c r="G185" i="17" s="1"/>
  <c r="H185" i="17" s="1"/>
  <c r="I185" i="17" s="1"/>
  <c r="K185" i="17" s="1"/>
  <c r="F186" i="17"/>
  <c r="G186" i="17" s="1"/>
  <c r="H186" i="17" s="1"/>
  <c r="I186" i="17" s="1"/>
  <c r="K186" i="17" s="1"/>
  <c r="F187" i="17"/>
  <c r="G187" i="17" s="1"/>
  <c r="H187" i="17" s="1"/>
  <c r="I187" i="17" s="1"/>
  <c r="K187" i="17" s="1"/>
  <c r="F188" i="17"/>
  <c r="G188" i="17" s="1"/>
  <c r="H188" i="17" s="1"/>
  <c r="I188" i="17" s="1"/>
  <c r="K188" i="17" s="1"/>
  <c r="F189" i="17"/>
  <c r="G189" i="17" s="1"/>
  <c r="H189" i="17" s="1"/>
  <c r="I189" i="17" s="1"/>
  <c r="K189" i="17" s="1"/>
  <c r="F190" i="17"/>
  <c r="G190" i="17" s="1"/>
  <c r="H190" i="17" s="1"/>
  <c r="I190" i="17" s="1"/>
  <c r="K190" i="17" s="1"/>
  <c r="F191" i="17"/>
  <c r="G191" i="17" s="1"/>
  <c r="H191" i="17" s="1"/>
  <c r="I191" i="17" s="1"/>
  <c r="K191" i="17" s="1"/>
  <c r="F192" i="17"/>
  <c r="G192" i="17" s="1"/>
  <c r="H192" i="17" s="1"/>
  <c r="I192" i="17" s="1"/>
  <c r="K192" i="17" s="1"/>
  <c r="F193" i="17"/>
  <c r="G193" i="17" s="1"/>
  <c r="H193" i="17" s="1"/>
  <c r="I193" i="17" s="1"/>
  <c r="K193" i="17" s="1"/>
  <c r="F194" i="17"/>
  <c r="G194" i="17" s="1"/>
  <c r="H194" i="17" s="1"/>
  <c r="I194" i="17" s="1"/>
  <c r="K194" i="17" s="1"/>
  <c r="F195" i="17"/>
  <c r="G195" i="17" s="1"/>
  <c r="H195" i="17" s="1"/>
  <c r="I195" i="17" s="1"/>
  <c r="K195" i="17" s="1"/>
  <c r="F196" i="17"/>
  <c r="G196" i="17" s="1"/>
  <c r="H196" i="17" s="1"/>
  <c r="I196" i="17" s="1"/>
  <c r="K196" i="17" s="1"/>
  <c r="F197" i="17"/>
  <c r="G197" i="17" s="1"/>
  <c r="H197" i="17" s="1"/>
  <c r="I197" i="17" s="1"/>
  <c r="K197" i="17" s="1"/>
  <c r="F198" i="17"/>
  <c r="G198" i="17" s="1"/>
  <c r="H198" i="17" s="1"/>
  <c r="I198" i="17" s="1"/>
  <c r="K198" i="17" s="1"/>
  <c r="F199" i="17"/>
  <c r="G199" i="17" s="1"/>
  <c r="H199" i="17" s="1"/>
  <c r="I199" i="17" s="1"/>
  <c r="K199" i="17" s="1"/>
  <c r="F200" i="17"/>
  <c r="G200" i="17" s="1"/>
  <c r="H200" i="17" s="1"/>
  <c r="I200" i="17" s="1"/>
  <c r="K200" i="17" s="1"/>
  <c r="F201" i="17"/>
  <c r="G201" i="17" s="1"/>
  <c r="H201" i="17" s="1"/>
  <c r="I201" i="17" s="1"/>
  <c r="K201" i="17" s="1"/>
  <c r="F202" i="17"/>
  <c r="G202" i="17" s="1"/>
  <c r="H202" i="17" s="1"/>
  <c r="I202" i="17" s="1"/>
  <c r="K202" i="17" s="1"/>
  <c r="F203" i="17"/>
  <c r="G203" i="17" s="1"/>
  <c r="H203" i="17" s="1"/>
  <c r="I203" i="17" s="1"/>
  <c r="K203" i="17" s="1"/>
  <c r="F204" i="17"/>
  <c r="G204" i="17" s="1"/>
  <c r="H204" i="17" s="1"/>
  <c r="I204" i="17" s="1"/>
  <c r="K204" i="17" s="1"/>
  <c r="F205" i="17"/>
  <c r="G205" i="17" s="1"/>
  <c r="H205" i="17" s="1"/>
  <c r="I205" i="17" s="1"/>
  <c r="K205" i="17" s="1"/>
  <c r="F206" i="17"/>
  <c r="G206" i="17" s="1"/>
  <c r="H206" i="17" s="1"/>
  <c r="I206" i="17" s="1"/>
  <c r="K206" i="17" s="1"/>
  <c r="F207" i="17"/>
  <c r="G207" i="17" s="1"/>
  <c r="H207" i="17" s="1"/>
  <c r="I207" i="17" s="1"/>
  <c r="K207" i="17" s="1"/>
  <c r="F208" i="17"/>
  <c r="G208" i="17" s="1"/>
  <c r="H208" i="17" s="1"/>
  <c r="I208" i="17" s="1"/>
  <c r="K208" i="17" s="1"/>
  <c r="F209" i="17"/>
  <c r="G209" i="17" s="1"/>
  <c r="H209" i="17" s="1"/>
  <c r="I209" i="17" s="1"/>
  <c r="K209" i="17" s="1"/>
  <c r="F210" i="17"/>
  <c r="G210" i="17" s="1"/>
  <c r="H210" i="17" s="1"/>
  <c r="I210" i="17" s="1"/>
  <c r="K210" i="17" s="1"/>
  <c r="F211" i="17"/>
  <c r="G211" i="17" s="1"/>
  <c r="H211" i="17" s="1"/>
  <c r="I211" i="17" s="1"/>
  <c r="K211" i="17" s="1"/>
  <c r="F212" i="17"/>
  <c r="G212" i="17" s="1"/>
  <c r="H212" i="17" s="1"/>
  <c r="I212" i="17" s="1"/>
  <c r="K212" i="17" s="1"/>
  <c r="F213" i="17"/>
  <c r="G213" i="17" s="1"/>
  <c r="H213" i="17" s="1"/>
  <c r="I213" i="17" s="1"/>
  <c r="K213" i="17" s="1"/>
  <c r="F214" i="17"/>
  <c r="G214" i="17" s="1"/>
  <c r="H214" i="17" s="1"/>
  <c r="I214" i="17" s="1"/>
  <c r="K214" i="17" s="1"/>
  <c r="F215" i="17"/>
  <c r="G215" i="17" s="1"/>
  <c r="H215" i="17" s="1"/>
  <c r="I215" i="17" s="1"/>
  <c r="K215" i="17" s="1"/>
  <c r="F216" i="17"/>
  <c r="G216" i="17" s="1"/>
  <c r="H216" i="17" s="1"/>
  <c r="I216" i="17" s="1"/>
  <c r="K216" i="17" s="1"/>
  <c r="F217" i="17"/>
  <c r="G217" i="17" s="1"/>
  <c r="H217" i="17" s="1"/>
  <c r="I217" i="17" s="1"/>
  <c r="K217" i="17" s="1"/>
  <c r="F218" i="17"/>
  <c r="G218" i="17" s="1"/>
  <c r="H218" i="17" s="1"/>
  <c r="I218" i="17" s="1"/>
  <c r="K218" i="17" s="1"/>
  <c r="F219" i="17"/>
  <c r="G219" i="17" s="1"/>
  <c r="H219" i="17" s="1"/>
  <c r="I219" i="17" s="1"/>
  <c r="K219" i="17" s="1"/>
  <c r="F220" i="17"/>
  <c r="G220" i="17" s="1"/>
  <c r="H220" i="17" s="1"/>
  <c r="I220" i="17" s="1"/>
  <c r="K220" i="17" s="1"/>
  <c r="F221" i="17"/>
  <c r="G221" i="17" s="1"/>
  <c r="H221" i="17" s="1"/>
  <c r="I221" i="17" s="1"/>
  <c r="K221" i="17" s="1"/>
  <c r="F222" i="17"/>
  <c r="G222" i="17" s="1"/>
  <c r="H222" i="17" s="1"/>
  <c r="I222" i="17" s="1"/>
  <c r="K222" i="17" s="1"/>
  <c r="F223" i="17"/>
  <c r="G223" i="17" s="1"/>
  <c r="H223" i="17" s="1"/>
  <c r="I223" i="17" s="1"/>
  <c r="K223" i="17" s="1"/>
  <c r="F224" i="17"/>
  <c r="G224" i="17" s="1"/>
  <c r="H224" i="17" s="1"/>
  <c r="I224" i="17" s="1"/>
  <c r="K224" i="17" s="1"/>
  <c r="F225" i="17"/>
  <c r="G225" i="17" s="1"/>
  <c r="H225" i="17" s="1"/>
  <c r="I225" i="17" s="1"/>
  <c r="K225" i="17" s="1"/>
  <c r="F226" i="17"/>
  <c r="G226" i="17" s="1"/>
  <c r="H226" i="17" s="1"/>
  <c r="I226" i="17" s="1"/>
  <c r="K226" i="17" s="1"/>
  <c r="F227" i="17"/>
  <c r="G227" i="17" s="1"/>
  <c r="H227" i="17" s="1"/>
  <c r="I227" i="17" s="1"/>
  <c r="K227" i="17" s="1"/>
  <c r="F228" i="17"/>
  <c r="G228" i="17" s="1"/>
  <c r="H228" i="17" s="1"/>
  <c r="I228" i="17" s="1"/>
  <c r="K228" i="17" s="1"/>
  <c r="F229" i="17"/>
  <c r="G229" i="17" s="1"/>
  <c r="H229" i="17" s="1"/>
  <c r="I229" i="17" s="1"/>
  <c r="K229" i="17" s="1"/>
  <c r="F230" i="17"/>
  <c r="G230" i="17" s="1"/>
  <c r="H230" i="17" s="1"/>
  <c r="I230" i="17" s="1"/>
  <c r="K230" i="17" s="1"/>
  <c r="F231" i="17"/>
  <c r="G231" i="17" s="1"/>
  <c r="H231" i="17" s="1"/>
  <c r="I231" i="17" s="1"/>
  <c r="K231" i="17" s="1"/>
  <c r="F232" i="17"/>
  <c r="G232" i="17" s="1"/>
  <c r="H232" i="17" s="1"/>
  <c r="I232" i="17" s="1"/>
  <c r="K232" i="17" s="1"/>
  <c r="F233" i="17"/>
  <c r="G233" i="17" s="1"/>
  <c r="H233" i="17" s="1"/>
  <c r="I233" i="17" s="1"/>
  <c r="K233" i="17" s="1"/>
  <c r="F234" i="17"/>
  <c r="G234" i="17" s="1"/>
  <c r="H234" i="17" s="1"/>
  <c r="I234" i="17" s="1"/>
  <c r="K234" i="17" s="1"/>
  <c r="F235" i="17"/>
  <c r="G235" i="17" s="1"/>
  <c r="H235" i="17" s="1"/>
  <c r="I235" i="17" s="1"/>
  <c r="K235" i="17" s="1"/>
  <c r="F236" i="17"/>
  <c r="G236" i="17" s="1"/>
  <c r="H236" i="17" s="1"/>
  <c r="I236" i="17" s="1"/>
  <c r="K236" i="17" s="1"/>
  <c r="F237" i="17"/>
  <c r="G237" i="17" s="1"/>
  <c r="H237" i="17" s="1"/>
  <c r="I237" i="17" s="1"/>
  <c r="K237" i="17" s="1"/>
  <c r="F238" i="17"/>
  <c r="G238" i="17" s="1"/>
  <c r="H238" i="17" s="1"/>
  <c r="I238" i="17" s="1"/>
  <c r="K238" i="17" s="1"/>
  <c r="F239" i="17"/>
  <c r="G239" i="17" s="1"/>
  <c r="H239" i="17" s="1"/>
  <c r="I239" i="17" s="1"/>
  <c r="K239" i="17" s="1"/>
  <c r="F240" i="17"/>
  <c r="G240" i="17" s="1"/>
  <c r="H240" i="17" s="1"/>
  <c r="I240" i="17" s="1"/>
  <c r="K240" i="17" s="1"/>
  <c r="F241" i="17"/>
  <c r="G241" i="17" s="1"/>
  <c r="H241" i="17" s="1"/>
  <c r="I241" i="17" s="1"/>
  <c r="K241" i="17" s="1"/>
  <c r="F242" i="17"/>
  <c r="G242" i="17" s="1"/>
  <c r="H242" i="17" s="1"/>
  <c r="I242" i="17" s="1"/>
  <c r="K242" i="17" s="1"/>
  <c r="F243" i="17"/>
  <c r="G243" i="17" s="1"/>
  <c r="H243" i="17" s="1"/>
  <c r="I243" i="17" s="1"/>
  <c r="K243" i="17" s="1"/>
  <c r="F244" i="17"/>
  <c r="G244" i="17" s="1"/>
  <c r="H244" i="17" s="1"/>
  <c r="I244" i="17" s="1"/>
  <c r="K244" i="17" s="1"/>
  <c r="F245" i="17"/>
  <c r="G245" i="17" s="1"/>
  <c r="H245" i="17" s="1"/>
  <c r="I245" i="17" s="1"/>
  <c r="K245" i="17" s="1"/>
  <c r="F246" i="17"/>
  <c r="G246" i="17" s="1"/>
  <c r="H246" i="17" s="1"/>
  <c r="I246" i="17" s="1"/>
  <c r="K246" i="17" s="1"/>
  <c r="F247" i="17"/>
  <c r="G247" i="17" s="1"/>
  <c r="H247" i="17" s="1"/>
  <c r="I247" i="17" s="1"/>
  <c r="K247" i="17" s="1"/>
  <c r="F248" i="17"/>
  <c r="G248" i="17" s="1"/>
  <c r="H248" i="17" s="1"/>
  <c r="I248" i="17" s="1"/>
  <c r="K248" i="17" s="1"/>
  <c r="F249" i="17"/>
  <c r="G249" i="17" s="1"/>
  <c r="H249" i="17" s="1"/>
  <c r="I249" i="17" s="1"/>
  <c r="K249" i="17" s="1"/>
  <c r="F250" i="17"/>
  <c r="G250" i="17" s="1"/>
  <c r="H250" i="17" s="1"/>
  <c r="I250" i="17" s="1"/>
  <c r="K250" i="17" s="1"/>
  <c r="F251" i="17"/>
  <c r="G251" i="17" s="1"/>
  <c r="H251" i="17" s="1"/>
  <c r="I251" i="17" s="1"/>
  <c r="K251" i="17" s="1"/>
  <c r="F252" i="17"/>
  <c r="G252" i="17" s="1"/>
  <c r="H252" i="17" s="1"/>
  <c r="I252" i="17" s="1"/>
  <c r="K252" i="17" s="1"/>
  <c r="F253" i="17"/>
  <c r="G253" i="17" s="1"/>
  <c r="H253" i="17" s="1"/>
  <c r="I253" i="17" s="1"/>
  <c r="K253" i="17" s="1"/>
  <c r="F254" i="17"/>
  <c r="G254" i="17" s="1"/>
  <c r="H254" i="17" s="1"/>
  <c r="I254" i="17" s="1"/>
  <c r="K254" i="17" s="1"/>
  <c r="F255" i="17"/>
  <c r="G255" i="17" s="1"/>
  <c r="H255" i="17" s="1"/>
  <c r="I255" i="17" s="1"/>
  <c r="K255" i="17" s="1"/>
  <c r="F256" i="17"/>
  <c r="G256" i="17" s="1"/>
  <c r="H256" i="17" s="1"/>
  <c r="I256" i="17" s="1"/>
  <c r="K256" i="17" s="1"/>
  <c r="F257" i="17"/>
  <c r="G257" i="17" s="1"/>
  <c r="H257" i="17" s="1"/>
  <c r="I257" i="17" s="1"/>
  <c r="K257" i="17" s="1"/>
  <c r="F258" i="17"/>
  <c r="G258" i="17" s="1"/>
  <c r="H258" i="17" s="1"/>
  <c r="I258" i="17" s="1"/>
  <c r="K258" i="17" s="1"/>
  <c r="F259" i="17"/>
  <c r="G259" i="17" s="1"/>
  <c r="H259" i="17" s="1"/>
  <c r="I259" i="17" s="1"/>
  <c r="K259" i="17" s="1"/>
  <c r="F260" i="17"/>
  <c r="G260" i="17" s="1"/>
  <c r="H260" i="17" s="1"/>
  <c r="I260" i="17" s="1"/>
  <c r="K260" i="17" s="1"/>
  <c r="F261" i="17"/>
  <c r="G261" i="17" s="1"/>
  <c r="H261" i="17" s="1"/>
  <c r="I261" i="17" s="1"/>
  <c r="K261" i="17" s="1"/>
  <c r="F262" i="17"/>
  <c r="G262" i="17" s="1"/>
  <c r="H262" i="17" s="1"/>
  <c r="I262" i="17" s="1"/>
  <c r="K262" i="17" s="1"/>
  <c r="F263" i="17"/>
  <c r="G263" i="17" s="1"/>
  <c r="H263" i="17" s="1"/>
  <c r="I263" i="17" s="1"/>
  <c r="K263" i="17" s="1"/>
  <c r="F264" i="17"/>
  <c r="G264" i="17" s="1"/>
  <c r="H264" i="17" s="1"/>
  <c r="I264" i="17" s="1"/>
  <c r="K264" i="17" s="1"/>
  <c r="F265" i="17"/>
  <c r="G265" i="17" s="1"/>
  <c r="H265" i="17" s="1"/>
  <c r="I265" i="17" s="1"/>
  <c r="K265" i="17" s="1"/>
  <c r="F266" i="17"/>
  <c r="G266" i="17" s="1"/>
  <c r="H266" i="17" s="1"/>
  <c r="I266" i="17" s="1"/>
  <c r="K266" i="17" s="1"/>
  <c r="F267" i="17"/>
  <c r="G267" i="17" s="1"/>
  <c r="H267" i="17" s="1"/>
  <c r="I267" i="17" s="1"/>
  <c r="K267" i="17" s="1"/>
  <c r="F268" i="17"/>
  <c r="G268" i="17" s="1"/>
  <c r="H268" i="17" s="1"/>
  <c r="I268" i="17" s="1"/>
  <c r="K268" i="17" s="1"/>
  <c r="F269" i="17"/>
  <c r="G269" i="17" s="1"/>
  <c r="H269" i="17" s="1"/>
  <c r="I269" i="17" s="1"/>
  <c r="K269" i="17" s="1"/>
  <c r="F270" i="17"/>
  <c r="G270" i="17" s="1"/>
  <c r="H270" i="17" s="1"/>
  <c r="I270" i="17" s="1"/>
  <c r="K270" i="17" s="1"/>
  <c r="F271" i="17"/>
  <c r="G271" i="17" s="1"/>
  <c r="H271" i="17" s="1"/>
  <c r="I271" i="17" s="1"/>
  <c r="K271" i="17" s="1"/>
  <c r="F272" i="17"/>
  <c r="G272" i="17" s="1"/>
  <c r="H272" i="17" s="1"/>
  <c r="I272" i="17" s="1"/>
  <c r="K272" i="17" s="1"/>
  <c r="F273" i="17"/>
  <c r="G273" i="17" s="1"/>
  <c r="H273" i="17" s="1"/>
  <c r="I273" i="17" s="1"/>
  <c r="K273" i="17" s="1"/>
  <c r="F274" i="17"/>
  <c r="G274" i="17" s="1"/>
  <c r="H274" i="17" s="1"/>
  <c r="I274" i="17" s="1"/>
  <c r="K274" i="17" s="1"/>
  <c r="F275" i="17"/>
  <c r="G275" i="17" s="1"/>
  <c r="H275" i="17" s="1"/>
  <c r="I275" i="17" s="1"/>
  <c r="K275" i="17" s="1"/>
  <c r="F276" i="17"/>
  <c r="G276" i="17" s="1"/>
  <c r="H276" i="17" s="1"/>
  <c r="I276" i="17" s="1"/>
  <c r="K276" i="17" s="1"/>
  <c r="F277" i="17"/>
  <c r="G277" i="17" s="1"/>
  <c r="H277" i="17" s="1"/>
  <c r="I277" i="17" s="1"/>
  <c r="K277" i="17" s="1"/>
  <c r="F278" i="17"/>
  <c r="G278" i="17" s="1"/>
  <c r="H278" i="17" s="1"/>
  <c r="I278" i="17" s="1"/>
  <c r="K278" i="17" s="1"/>
  <c r="F279" i="17"/>
  <c r="G279" i="17" s="1"/>
  <c r="H279" i="17" s="1"/>
  <c r="I279" i="17" s="1"/>
  <c r="K279" i="17" s="1"/>
  <c r="F280" i="17"/>
  <c r="G280" i="17" s="1"/>
  <c r="H280" i="17" s="1"/>
  <c r="I280" i="17" s="1"/>
  <c r="K280" i="17" s="1"/>
  <c r="F281" i="17"/>
  <c r="G281" i="17" s="1"/>
  <c r="H281" i="17" s="1"/>
  <c r="I281" i="17" s="1"/>
  <c r="K281" i="17" s="1"/>
  <c r="F282" i="17"/>
  <c r="G282" i="17" s="1"/>
  <c r="H282" i="17" s="1"/>
  <c r="I282" i="17" s="1"/>
  <c r="K282" i="17" s="1"/>
  <c r="F283" i="17"/>
  <c r="G283" i="17" s="1"/>
  <c r="H283" i="17" s="1"/>
  <c r="I283" i="17" s="1"/>
  <c r="K283" i="17" s="1"/>
  <c r="F284" i="17"/>
  <c r="G284" i="17" s="1"/>
  <c r="H284" i="17" s="1"/>
  <c r="I284" i="17" s="1"/>
  <c r="K284" i="17" s="1"/>
  <c r="F285" i="17"/>
  <c r="G285" i="17" s="1"/>
  <c r="H285" i="17" s="1"/>
  <c r="I285" i="17" s="1"/>
  <c r="K285" i="17" s="1"/>
  <c r="F286" i="17"/>
  <c r="G286" i="17" s="1"/>
  <c r="H286" i="17" s="1"/>
  <c r="I286" i="17" s="1"/>
  <c r="K286" i="17" s="1"/>
  <c r="F287" i="17"/>
  <c r="G287" i="17" s="1"/>
  <c r="H287" i="17" s="1"/>
  <c r="I287" i="17" s="1"/>
  <c r="K287" i="17" s="1"/>
  <c r="F288" i="17"/>
  <c r="G288" i="17" s="1"/>
  <c r="H288" i="17" s="1"/>
  <c r="I288" i="17" s="1"/>
  <c r="K288" i="17" s="1"/>
  <c r="F289" i="17"/>
  <c r="G289" i="17" s="1"/>
  <c r="H289" i="17" s="1"/>
  <c r="I289" i="17" s="1"/>
  <c r="K289" i="17" s="1"/>
  <c r="F290" i="17"/>
  <c r="G290" i="17" s="1"/>
  <c r="H290" i="17" s="1"/>
  <c r="I290" i="17" s="1"/>
  <c r="K290" i="17" s="1"/>
  <c r="F291" i="17"/>
  <c r="G291" i="17" s="1"/>
  <c r="H291" i="17" s="1"/>
  <c r="I291" i="17" s="1"/>
  <c r="K291" i="17" s="1"/>
  <c r="F292" i="17"/>
  <c r="G292" i="17" s="1"/>
  <c r="H292" i="17" s="1"/>
  <c r="I292" i="17" s="1"/>
  <c r="K292" i="17" s="1"/>
  <c r="F293" i="17"/>
  <c r="G293" i="17" s="1"/>
  <c r="H293" i="17" s="1"/>
  <c r="I293" i="17" s="1"/>
  <c r="K293" i="17" s="1"/>
  <c r="F294" i="17"/>
  <c r="G294" i="17" s="1"/>
  <c r="H294" i="17" s="1"/>
  <c r="I294" i="17" s="1"/>
  <c r="K294" i="17" s="1"/>
  <c r="F295" i="17"/>
  <c r="G295" i="17" s="1"/>
  <c r="H295" i="17" s="1"/>
  <c r="I295" i="17" s="1"/>
  <c r="K295" i="17" s="1"/>
  <c r="F296" i="17"/>
  <c r="G296" i="17" s="1"/>
  <c r="H296" i="17" s="1"/>
  <c r="I296" i="17" s="1"/>
  <c r="K296" i="17" s="1"/>
  <c r="F297" i="17"/>
  <c r="G297" i="17" s="1"/>
  <c r="H297" i="17" s="1"/>
  <c r="I297" i="17" s="1"/>
  <c r="K297" i="17" s="1"/>
  <c r="F298" i="17"/>
  <c r="G298" i="17" s="1"/>
  <c r="H298" i="17" s="1"/>
  <c r="I298" i="17" s="1"/>
  <c r="K298" i="17" s="1"/>
  <c r="F299" i="17"/>
  <c r="G299" i="17" s="1"/>
  <c r="H299" i="17" s="1"/>
  <c r="I299" i="17" s="1"/>
  <c r="K299" i="17" s="1"/>
  <c r="F300" i="17"/>
  <c r="G300" i="17" s="1"/>
  <c r="H300" i="17" s="1"/>
  <c r="I300" i="17" s="1"/>
  <c r="K300" i="17" s="1"/>
  <c r="F301" i="17"/>
  <c r="G301" i="17" s="1"/>
  <c r="H301" i="17" s="1"/>
  <c r="I301" i="17" s="1"/>
  <c r="K301" i="17" s="1"/>
  <c r="F302" i="17"/>
  <c r="G302" i="17" s="1"/>
  <c r="H302" i="17" s="1"/>
  <c r="I302" i="17" s="1"/>
  <c r="K302" i="17" s="1"/>
  <c r="F303" i="17"/>
  <c r="G303" i="17" s="1"/>
  <c r="H303" i="17" s="1"/>
  <c r="I303" i="17" s="1"/>
  <c r="K303" i="17" s="1"/>
  <c r="F304" i="17"/>
  <c r="G304" i="17" s="1"/>
  <c r="H304" i="17" s="1"/>
  <c r="I304" i="17" s="1"/>
  <c r="K304" i="17" s="1"/>
  <c r="F305" i="17"/>
  <c r="G305" i="17" s="1"/>
  <c r="H305" i="17" s="1"/>
  <c r="I305" i="17" s="1"/>
  <c r="K305" i="17" s="1"/>
  <c r="F306" i="17"/>
  <c r="G306" i="17" s="1"/>
  <c r="H306" i="17" s="1"/>
  <c r="I306" i="17" s="1"/>
  <c r="K306" i="17" s="1"/>
  <c r="F307" i="17"/>
  <c r="G307" i="17" s="1"/>
  <c r="H307" i="17" s="1"/>
  <c r="I307" i="17" s="1"/>
  <c r="K307" i="17" s="1"/>
  <c r="F308" i="17"/>
  <c r="G308" i="17" s="1"/>
  <c r="H308" i="17" s="1"/>
  <c r="I308" i="17" s="1"/>
  <c r="K308" i="17" s="1"/>
  <c r="F309" i="17"/>
  <c r="G309" i="17" s="1"/>
  <c r="H309" i="17" s="1"/>
  <c r="I309" i="17" s="1"/>
  <c r="K309" i="17" s="1"/>
  <c r="F310" i="17"/>
  <c r="G310" i="17" s="1"/>
  <c r="H310" i="17" s="1"/>
  <c r="I310" i="17" s="1"/>
  <c r="K310" i="17" s="1"/>
  <c r="F311" i="17"/>
  <c r="G311" i="17" s="1"/>
  <c r="H311" i="17" s="1"/>
  <c r="I311" i="17" s="1"/>
  <c r="K311" i="17" s="1"/>
  <c r="F312" i="17"/>
  <c r="G312" i="17" s="1"/>
  <c r="H312" i="17" s="1"/>
  <c r="I312" i="17" s="1"/>
  <c r="K312" i="17" s="1"/>
  <c r="F313" i="17"/>
  <c r="G313" i="17" s="1"/>
  <c r="H313" i="17" s="1"/>
  <c r="I313" i="17" s="1"/>
  <c r="K313" i="17" s="1"/>
  <c r="F314" i="17"/>
  <c r="G314" i="17" s="1"/>
  <c r="H314" i="17" s="1"/>
  <c r="I314" i="17" s="1"/>
  <c r="K314" i="17" s="1"/>
  <c r="F315" i="17"/>
  <c r="G315" i="17" s="1"/>
  <c r="H315" i="17" s="1"/>
  <c r="I315" i="17" s="1"/>
  <c r="K315" i="17" s="1"/>
  <c r="F316" i="17"/>
  <c r="G316" i="17" s="1"/>
  <c r="H316" i="17" s="1"/>
  <c r="I316" i="17" s="1"/>
  <c r="K316" i="17" s="1"/>
  <c r="F317" i="17"/>
  <c r="G317" i="17" s="1"/>
  <c r="H317" i="17" s="1"/>
  <c r="I317" i="17" s="1"/>
  <c r="K317" i="17" s="1"/>
  <c r="F318" i="17"/>
  <c r="G318" i="17" s="1"/>
  <c r="H318" i="17" s="1"/>
  <c r="I318" i="17" s="1"/>
  <c r="K318" i="17" s="1"/>
  <c r="F319" i="17"/>
  <c r="G319" i="17" s="1"/>
  <c r="H319" i="17" s="1"/>
  <c r="I319" i="17" s="1"/>
  <c r="K319" i="17" s="1"/>
  <c r="F320" i="17"/>
  <c r="G320" i="17" s="1"/>
  <c r="H320" i="17" s="1"/>
  <c r="I320" i="17" s="1"/>
  <c r="K320" i="17" s="1"/>
  <c r="F321" i="17"/>
  <c r="G321" i="17" s="1"/>
  <c r="H321" i="17" s="1"/>
  <c r="I321" i="17" s="1"/>
  <c r="K321" i="17" s="1"/>
  <c r="F322" i="17"/>
  <c r="G322" i="17" s="1"/>
  <c r="H322" i="17" s="1"/>
  <c r="I322" i="17" s="1"/>
  <c r="K322" i="17" s="1"/>
  <c r="F323" i="17"/>
  <c r="G323" i="17" s="1"/>
  <c r="H323" i="17" s="1"/>
  <c r="I323" i="17" s="1"/>
  <c r="K323" i="17" s="1"/>
  <c r="F324" i="17"/>
  <c r="G324" i="17" s="1"/>
  <c r="H324" i="17" s="1"/>
  <c r="I324" i="17" s="1"/>
  <c r="K324" i="17" s="1"/>
  <c r="F325" i="17"/>
  <c r="G325" i="17" s="1"/>
  <c r="H325" i="17" s="1"/>
  <c r="I325" i="17" s="1"/>
  <c r="K325" i="17" s="1"/>
  <c r="F326" i="17"/>
  <c r="G326" i="17" s="1"/>
  <c r="H326" i="17" s="1"/>
  <c r="I326" i="17" s="1"/>
  <c r="K326" i="17" s="1"/>
  <c r="F327" i="17"/>
  <c r="G327" i="17" s="1"/>
  <c r="H327" i="17" s="1"/>
  <c r="I327" i="17" s="1"/>
  <c r="K327" i="17" s="1"/>
  <c r="F328" i="17"/>
  <c r="G328" i="17" s="1"/>
  <c r="H328" i="17" s="1"/>
  <c r="I328" i="17" s="1"/>
  <c r="K328" i="17" s="1"/>
  <c r="F329" i="17"/>
  <c r="G329" i="17" s="1"/>
  <c r="H329" i="17" s="1"/>
  <c r="I329" i="17" s="1"/>
  <c r="K329" i="17" s="1"/>
  <c r="F330" i="17"/>
  <c r="G330" i="17" s="1"/>
  <c r="H330" i="17" s="1"/>
  <c r="I330" i="17" s="1"/>
  <c r="K330" i="17" s="1"/>
  <c r="F331" i="17"/>
  <c r="G331" i="17" s="1"/>
  <c r="H331" i="17" s="1"/>
  <c r="I331" i="17" s="1"/>
  <c r="K331" i="17" s="1"/>
  <c r="F332" i="17"/>
  <c r="G332" i="17" s="1"/>
  <c r="H332" i="17" s="1"/>
  <c r="I332" i="17" s="1"/>
  <c r="K332" i="17" s="1"/>
  <c r="F333" i="17"/>
  <c r="G333" i="17" s="1"/>
  <c r="H333" i="17" s="1"/>
  <c r="I333" i="17" s="1"/>
  <c r="K333" i="17" s="1"/>
  <c r="F334" i="17"/>
  <c r="G334" i="17" s="1"/>
  <c r="H334" i="17" s="1"/>
  <c r="I334" i="17" s="1"/>
  <c r="K334" i="17" s="1"/>
  <c r="F335" i="17"/>
  <c r="G335" i="17" s="1"/>
  <c r="H335" i="17" s="1"/>
  <c r="I335" i="17" s="1"/>
  <c r="K335" i="17" s="1"/>
  <c r="F336" i="17"/>
  <c r="G336" i="17" s="1"/>
  <c r="H336" i="17" s="1"/>
  <c r="I336" i="17" s="1"/>
  <c r="K336" i="17" s="1"/>
  <c r="F337" i="17"/>
  <c r="G337" i="17" s="1"/>
  <c r="H337" i="17" s="1"/>
  <c r="I337" i="17" s="1"/>
  <c r="K337" i="17" s="1"/>
  <c r="F338" i="17"/>
  <c r="G338" i="17" s="1"/>
  <c r="H338" i="17" s="1"/>
  <c r="I338" i="17" s="1"/>
  <c r="K338" i="17" s="1"/>
  <c r="F339" i="17"/>
  <c r="G339" i="17" s="1"/>
  <c r="H339" i="17" s="1"/>
  <c r="I339" i="17" s="1"/>
  <c r="K339" i="17" s="1"/>
  <c r="F340" i="17"/>
  <c r="G340" i="17" s="1"/>
  <c r="H340" i="17" s="1"/>
  <c r="I340" i="17" s="1"/>
  <c r="K340" i="17" s="1"/>
  <c r="F341" i="17"/>
  <c r="G341" i="17" s="1"/>
  <c r="H341" i="17" s="1"/>
  <c r="I341" i="17" s="1"/>
  <c r="K341" i="17" s="1"/>
  <c r="F342" i="17"/>
  <c r="G342" i="17" s="1"/>
  <c r="H342" i="17" s="1"/>
  <c r="I342" i="17" s="1"/>
  <c r="K342" i="17" s="1"/>
  <c r="F343" i="17"/>
  <c r="G343" i="17" s="1"/>
  <c r="H343" i="17" s="1"/>
  <c r="I343" i="17" s="1"/>
  <c r="K343" i="17" s="1"/>
  <c r="F344" i="17"/>
  <c r="G344" i="17" s="1"/>
  <c r="H344" i="17" s="1"/>
  <c r="I344" i="17" s="1"/>
  <c r="K344" i="17" s="1"/>
  <c r="F345" i="17"/>
  <c r="G345" i="17" s="1"/>
  <c r="H345" i="17" s="1"/>
  <c r="I345" i="17" s="1"/>
  <c r="K345" i="17" s="1"/>
  <c r="F346" i="17"/>
  <c r="G346" i="17" s="1"/>
  <c r="H346" i="17" s="1"/>
  <c r="I346" i="17" s="1"/>
  <c r="K346" i="17" s="1"/>
  <c r="F347" i="17"/>
  <c r="G347" i="17" s="1"/>
  <c r="H347" i="17" s="1"/>
  <c r="I347" i="17" s="1"/>
  <c r="K347" i="17" s="1"/>
  <c r="F348" i="17"/>
  <c r="G348" i="17" s="1"/>
  <c r="H348" i="17" s="1"/>
  <c r="I348" i="17" s="1"/>
  <c r="K348" i="17" s="1"/>
  <c r="F349" i="17"/>
  <c r="G349" i="17" s="1"/>
  <c r="H349" i="17" s="1"/>
  <c r="I349" i="17" s="1"/>
  <c r="K349" i="17" s="1"/>
  <c r="F350" i="17"/>
  <c r="G350" i="17" s="1"/>
  <c r="H350" i="17" s="1"/>
  <c r="I350" i="17" s="1"/>
  <c r="K350" i="17" s="1"/>
  <c r="F351" i="17"/>
  <c r="G351" i="17" s="1"/>
  <c r="H351" i="17" s="1"/>
  <c r="I351" i="17" s="1"/>
  <c r="K351" i="17" s="1"/>
  <c r="F352" i="17"/>
  <c r="G352" i="17" s="1"/>
  <c r="H352" i="17" s="1"/>
  <c r="I352" i="17" s="1"/>
  <c r="K352" i="17" s="1"/>
  <c r="F353" i="17"/>
  <c r="G353" i="17" s="1"/>
  <c r="H353" i="17" s="1"/>
  <c r="I353" i="17" s="1"/>
  <c r="K353" i="17" s="1"/>
  <c r="F354" i="17"/>
  <c r="G354" i="17" s="1"/>
  <c r="H354" i="17" s="1"/>
  <c r="I354" i="17" s="1"/>
  <c r="K354" i="17" s="1"/>
  <c r="F355" i="17"/>
  <c r="G355" i="17" s="1"/>
  <c r="H355" i="17" s="1"/>
  <c r="I355" i="17" s="1"/>
  <c r="K355" i="17" s="1"/>
  <c r="F356" i="17"/>
  <c r="G356" i="17" s="1"/>
  <c r="H356" i="17" s="1"/>
  <c r="I356" i="17" s="1"/>
  <c r="K356" i="17" s="1"/>
  <c r="F357" i="17"/>
  <c r="G357" i="17" s="1"/>
  <c r="H357" i="17" s="1"/>
  <c r="I357" i="17" s="1"/>
  <c r="K357" i="17" s="1"/>
  <c r="F358" i="17"/>
  <c r="G358" i="17" s="1"/>
  <c r="H358" i="17" s="1"/>
  <c r="I358" i="17" s="1"/>
  <c r="K358" i="17" s="1"/>
  <c r="F359" i="17"/>
  <c r="G359" i="17" s="1"/>
  <c r="H359" i="17" s="1"/>
  <c r="I359" i="17" s="1"/>
  <c r="K359" i="17" s="1"/>
  <c r="F360" i="17"/>
  <c r="G360" i="17" s="1"/>
  <c r="H360" i="17" s="1"/>
  <c r="I360" i="17" s="1"/>
  <c r="K360" i="17" s="1"/>
  <c r="F361" i="17"/>
  <c r="G361" i="17" s="1"/>
  <c r="H361" i="17" s="1"/>
  <c r="I361" i="17" s="1"/>
  <c r="K361" i="17" s="1"/>
  <c r="F362" i="17"/>
  <c r="G362" i="17" s="1"/>
  <c r="H362" i="17" s="1"/>
  <c r="I362" i="17" s="1"/>
  <c r="K362" i="17" s="1"/>
  <c r="F363" i="17"/>
  <c r="G363" i="17" s="1"/>
  <c r="H363" i="17" s="1"/>
  <c r="I363" i="17" s="1"/>
  <c r="K363" i="17" s="1"/>
  <c r="F364" i="17"/>
  <c r="G364" i="17" s="1"/>
  <c r="H364" i="17" s="1"/>
  <c r="I364" i="17" s="1"/>
  <c r="K364" i="17" s="1"/>
  <c r="F365" i="17"/>
  <c r="G365" i="17" s="1"/>
  <c r="H365" i="17" s="1"/>
  <c r="I365" i="17" s="1"/>
  <c r="K365" i="17" s="1"/>
  <c r="F366" i="17"/>
  <c r="G366" i="17" s="1"/>
  <c r="H366" i="17" s="1"/>
  <c r="I366" i="17" s="1"/>
  <c r="K366" i="17" s="1"/>
  <c r="F367" i="17"/>
  <c r="G367" i="17" s="1"/>
  <c r="H367" i="17" s="1"/>
  <c r="I367" i="17" s="1"/>
  <c r="K367" i="17" s="1"/>
  <c r="F368" i="17"/>
  <c r="G368" i="17" s="1"/>
  <c r="H368" i="17" s="1"/>
  <c r="I368" i="17" s="1"/>
  <c r="K368" i="17" s="1"/>
  <c r="F369" i="17"/>
  <c r="G369" i="17" s="1"/>
  <c r="H369" i="17" s="1"/>
  <c r="I369" i="17" s="1"/>
  <c r="K369" i="17" s="1"/>
  <c r="F370" i="17"/>
  <c r="G370" i="17" s="1"/>
  <c r="H370" i="17" s="1"/>
  <c r="I370" i="17" s="1"/>
  <c r="K370" i="17" s="1"/>
  <c r="F371" i="17"/>
  <c r="G371" i="17" s="1"/>
  <c r="H371" i="17" s="1"/>
  <c r="I371" i="17" s="1"/>
  <c r="K371" i="17" s="1"/>
  <c r="F372" i="17"/>
  <c r="G372" i="17" s="1"/>
  <c r="H372" i="17" s="1"/>
  <c r="I372" i="17" s="1"/>
  <c r="K372" i="17" s="1"/>
  <c r="F373" i="17"/>
  <c r="G373" i="17" s="1"/>
  <c r="H373" i="17" s="1"/>
  <c r="I373" i="17" s="1"/>
  <c r="K373" i="17" s="1"/>
  <c r="F374" i="17"/>
  <c r="G374" i="17" s="1"/>
  <c r="H374" i="17" s="1"/>
  <c r="I374" i="17" s="1"/>
  <c r="K374" i="17" s="1"/>
  <c r="F375" i="17"/>
  <c r="G375" i="17" s="1"/>
  <c r="H375" i="17" s="1"/>
  <c r="I375" i="17" s="1"/>
  <c r="K375" i="17" s="1"/>
  <c r="F376" i="17"/>
  <c r="G376" i="17" s="1"/>
  <c r="H376" i="17" s="1"/>
  <c r="I376" i="17" s="1"/>
  <c r="K376" i="17" s="1"/>
  <c r="F377" i="17"/>
  <c r="G377" i="17" s="1"/>
  <c r="H377" i="17" s="1"/>
  <c r="I377" i="17" s="1"/>
  <c r="K377" i="17" s="1"/>
  <c r="F378" i="17"/>
  <c r="G378" i="17" s="1"/>
  <c r="H378" i="17" s="1"/>
  <c r="I378" i="17" s="1"/>
  <c r="K378" i="17" s="1"/>
  <c r="F379" i="17"/>
  <c r="G379" i="17" s="1"/>
  <c r="H379" i="17" s="1"/>
  <c r="I379" i="17" s="1"/>
  <c r="K379" i="17" s="1"/>
  <c r="F380" i="17"/>
  <c r="G380" i="17" s="1"/>
  <c r="H380" i="17" s="1"/>
  <c r="I380" i="17" s="1"/>
  <c r="K380" i="17" s="1"/>
  <c r="F381" i="17"/>
  <c r="G381" i="17" s="1"/>
  <c r="H381" i="17" s="1"/>
  <c r="I381" i="17" s="1"/>
  <c r="K381" i="17" s="1"/>
  <c r="F382" i="17"/>
  <c r="G382" i="17" s="1"/>
  <c r="H382" i="17" s="1"/>
  <c r="I382" i="17" s="1"/>
  <c r="K382" i="17" s="1"/>
  <c r="F383" i="17"/>
  <c r="G383" i="17" s="1"/>
  <c r="H383" i="17" s="1"/>
  <c r="I383" i="17" s="1"/>
  <c r="K383" i="17" s="1"/>
  <c r="F384" i="17"/>
  <c r="G384" i="17" s="1"/>
  <c r="H384" i="17" s="1"/>
  <c r="I384" i="17" s="1"/>
  <c r="K384" i="17" s="1"/>
  <c r="F385" i="17"/>
  <c r="G385" i="17" s="1"/>
  <c r="H385" i="17" s="1"/>
  <c r="I385" i="17" s="1"/>
  <c r="K385" i="17" s="1"/>
  <c r="F386" i="17"/>
  <c r="G386" i="17" s="1"/>
  <c r="H386" i="17" s="1"/>
  <c r="I386" i="17" s="1"/>
  <c r="K386" i="17" s="1"/>
  <c r="F387" i="17"/>
  <c r="G387" i="17" s="1"/>
  <c r="H387" i="17" s="1"/>
  <c r="I387" i="17" s="1"/>
  <c r="K387" i="17" s="1"/>
  <c r="F388" i="17"/>
  <c r="G388" i="17" s="1"/>
  <c r="H388" i="17" s="1"/>
  <c r="I388" i="17" s="1"/>
  <c r="K388" i="17" s="1"/>
  <c r="F389" i="17"/>
  <c r="G389" i="17" s="1"/>
  <c r="H389" i="17" s="1"/>
  <c r="I389" i="17" s="1"/>
  <c r="K389" i="17" s="1"/>
  <c r="F390" i="17"/>
  <c r="G390" i="17" s="1"/>
  <c r="H390" i="17" s="1"/>
  <c r="I390" i="17" s="1"/>
  <c r="K390" i="17" s="1"/>
  <c r="F391" i="17"/>
  <c r="G391" i="17" s="1"/>
  <c r="H391" i="17" s="1"/>
  <c r="I391" i="17" s="1"/>
  <c r="K391" i="17" s="1"/>
  <c r="F392" i="17"/>
  <c r="G392" i="17" s="1"/>
  <c r="H392" i="17" s="1"/>
  <c r="I392" i="17" s="1"/>
  <c r="K392" i="17" s="1"/>
  <c r="F393" i="17"/>
  <c r="G393" i="17" s="1"/>
  <c r="H393" i="17" s="1"/>
  <c r="I393" i="17" s="1"/>
  <c r="K393" i="17" s="1"/>
  <c r="F394" i="17"/>
  <c r="G394" i="17" s="1"/>
  <c r="H394" i="17" s="1"/>
  <c r="I394" i="17" s="1"/>
  <c r="K394" i="17" s="1"/>
  <c r="F395" i="17"/>
  <c r="G395" i="17" s="1"/>
  <c r="H395" i="17" s="1"/>
  <c r="I395" i="17" s="1"/>
  <c r="K395" i="17" s="1"/>
  <c r="F396" i="17"/>
  <c r="G396" i="17" s="1"/>
  <c r="H396" i="17" s="1"/>
  <c r="I396" i="17" s="1"/>
  <c r="K396" i="17" s="1"/>
  <c r="F397" i="17"/>
  <c r="G397" i="17" s="1"/>
  <c r="H397" i="17" s="1"/>
  <c r="I397" i="17" s="1"/>
  <c r="K397" i="17" s="1"/>
  <c r="F398" i="17"/>
  <c r="G398" i="17" s="1"/>
  <c r="H398" i="17" s="1"/>
  <c r="I398" i="17" s="1"/>
  <c r="K398" i="17" s="1"/>
  <c r="F399" i="17"/>
  <c r="G399" i="17" s="1"/>
  <c r="H399" i="17" s="1"/>
  <c r="I399" i="17" s="1"/>
  <c r="K399" i="17" s="1"/>
  <c r="F400" i="17"/>
  <c r="G400" i="17" s="1"/>
  <c r="H400" i="17" s="1"/>
  <c r="I400" i="17" s="1"/>
  <c r="K400" i="17" s="1"/>
  <c r="F401" i="17"/>
  <c r="G401" i="17" s="1"/>
  <c r="H401" i="17" s="1"/>
  <c r="I401" i="17" s="1"/>
  <c r="K401" i="17" s="1"/>
  <c r="F402" i="17"/>
  <c r="G402" i="17" s="1"/>
  <c r="H402" i="17" s="1"/>
  <c r="I402" i="17" s="1"/>
  <c r="K402" i="17" s="1"/>
  <c r="F403" i="17"/>
  <c r="G403" i="17" s="1"/>
  <c r="H403" i="17" s="1"/>
  <c r="I403" i="17" s="1"/>
  <c r="K403" i="17" s="1"/>
  <c r="F404" i="17"/>
  <c r="G404" i="17" s="1"/>
  <c r="H404" i="17" s="1"/>
  <c r="I404" i="17" s="1"/>
  <c r="K404" i="17" s="1"/>
  <c r="F405" i="17"/>
  <c r="G405" i="17" s="1"/>
  <c r="H405" i="17" s="1"/>
  <c r="I405" i="17" s="1"/>
  <c r="K405" i="17" s="1"/>
  <c r="F406" i="17"/>
  <c r="G406" i="17" s="1"/>
  <c r="H406" i="17" s="1"/>
  <c r="I406" i="17" s="1"/>
  <c r="K406" i="17" s="1"/>
  <c r="F407" i="17"/>
  <c r="G407" i="17" s="1"/>
  <c r="H407" i="17" s="1"/>
  <c r="I407" i="17" s="1"/>
  <c r="K407" i="17" s="1"/>
  <c r="F408" i="17"/>
  <c r="G408" i="17" s="1"/>
  <c r="H408" i="17" s="1"/>
  <c r="I408" i="17" s="1"/>
  <c r="K408" i="17" s="1"/>
  <c r="F409" i="17"/>
  <c r="G409" i="17" s="1"/>
  <c r="H409" i="17" s="1"/>
  <c r="I409" i="17" s="1"/>
  <c r="K409" i="17" s="1"/>
  <c r="F410" i="17"/>
  <c r="G410" i="17" s="1"/>
  <c r="H410" i="17" s="1"/>
  <c r="I410" i="17" s="1"/>
  <c r="K410" i="17" s="1"/>
  <c r="F411" i="17"/>
  <c r="G411" i="17" s="1"/>
  <c r="H411" i="17" s="1"/>
  <c r="I411" i="17" s="1"/>
  <c r="K411" i="17" s="1"/>
  <c r="F412" i="17"/>
  <c r="G412" i="17" s="1"/>
  <c r="H412" i="17" s="1"/>
  <c r="I412" i="17" s="1"/>
  <c r="K412" i="17" s="1"/>
  <c r="F413" i="17"/>
  <c r="G413" i="17" s="1"/>
  <c r="H413" i="17" s="1"/>
  <c r="I413" i="17" s="1"/>
  <c r="K413" i="17" s="1"/>
  <c r="F414" i="17"/>
  <c r="G414" i="17" s="1"/>
  <c r="H414" i="17" s="1"/>
  <c r="I414" i="17" s="1"/>
  <c r="K414" i="17" s="1"/>
  <c r="F415" i="17"/>
  <c r="G415" i="17" s="1"/>
  <c r="H415" i="17" s="1"/>
  <c r="I415" i="17" s="1"/>
  <c r="K415" i="17" s="1"/>
  <c r="F416" i="17"/>
  <c r="G416" i="17" s="1"/>
  <c r="H416" i="17" s="1"/>
  <c r="I416" i="17" s="1"/>
  <c r="K416" i="17" s="1"/>
  <c r="F417" i="17"/>
  <c r="G417" i="17" s="1"/>
  <c r="H417" i="17" s="1"/>
  <c r="I417" i="17" s="1"/>
  <c r="K417" i="17" s="1"/>
  <c r="F418" i="17"/>
  <c r="G418" i="17" s="1"/>
  <c r="H418" i="17" s="1"/>
  <c r="I418" i="17" s="1"/>
  <c r="K418" i="17" s="1"/>
  <c r="F419" i="17"/>
  <c r="G419" i="17" s="1"/>
  <c r="H419" i="17" s="1"/>
  <c r="I419" i="17" s="1"/>
  <c r="K419" i="17" s="1"/>
  <c r="F420" i="17"/>
  <c r="G420" i="17" s="1"/>
  <c r="H420" i="17" s="1"/>
  <c r="I420" i="17" s="1"/>
  <c r="K420" i="17" s="1"/>
  <c r="F421" i="17"/>
  <c r="G421" i="17" s="1"/>
  <c r="H421" i="17" s="1"/>
  <c r="I421" i="17" s="1"/>
  <c r="K421" i="17" s="1"/>
  <c r="F422" i="17"/>
  <c r="G422" i="17" s="1"/>
  <c r="H422" i="17" s="1"/>
  <c r="I422" i="17" s="1"/>
  <c r="K422" i="17" s="1"/>
  <c r="F423" i="17"/>
  <c r="G423" i="17" s="1"/>
  <c r="H423" i="17" s="1"/>
  <c r="I423" i="17" s="1"/>
  <c r="K423" i="17" s="1"/>
  <c r="F424" i="17"/>
  <c r="G424" i="17" s="1"/>
  <c r="H424" i="17" s="1"/>
  <c r="I424" i="17" s="1"/>
  <c r="K424" i="17" s="1"/>
  <c r="F425" i="17"/>
  <c r="G425" i="17" s="1"/>
  <c r="H425" i="17" s="1"/>
  <c r="I425" i="17" s="1"/>
  <c r="K425" i="17" s="1"/>
  <c r="F426" i="17"/>
  <c r="G426" i="17" s="1"/>
  <c r="H426" i="17" s="1"/>
  <c r="I426" i="17" s="1"/>
  <c r="K426" i="17" s="1"/>
  <c r="F427" i="17"/>
  <c r="G427" i="17" s="1"/>
  <c r="H427" i="17" s="1"/>
  <c r="I427" i="17" s="1"/>
  <c r="K427" i="17" s="1"/>
  <c r="F428" i="17"/>
  <c r="G428" i="17" s="1"/>
  <c r="H428" i="17" s="1"/>
  <c r="I428" i="17" s="1"/>
  <c r="K428" i="17" s="1"/>
  <c r="F429" i="17"/>
  <c r="G429" i="17" s="1"/>
  <c r="H429" i="17" s="1"/>
  <c r="I429" i="17" s="1"/>
  <c r="K429" i="17" s="1"/>
  <c r="F430" i="17"/>
  <c r="G430" i="17" s="1"/>
  <c r="H430" i="17" s="1"/>
  <c r="I430" i="17" s="1"/>
  <c r="K430" i="17" s="1"/>
  <c r="F431" i="17"/>
  <c r="G431" i="17" s="1"/>
  <c r="H431" i="17" s="1"/>
  <c r="I431" i="17" s="1"/>
  <c r="K431" i="17" s="1"/>
  <c r="F432" i="17"/>
  <c r="G432" i="17" s="1"/>
  <c r="H432" i="17" s="1"/>
  <c r="I432" i="17" s="1"/>
  <c r="K432" i="17" s="1"/>
  <c r="F433" i="17"/>
  <c r="G433" i="17" s="1"/>
  <c r="H433" i="17" s="1"/>
  <c r="I433" i="17" s="1"/>
  <c r="K433" i="17" s="1"/>
  <c r="F434" i="17"/>
  <c r="G434" i="17" s="1"/>
  <c r="H434" i="17" s="1"/>
  <c r="I434" i="17" s="1"/>
  <c r="K434" i="17" s="1"/>
  <c r="F435" i="17"/>
  <c r="G435" i="17" s="1"/>
  <c r="H435" i="17" s="1"/>
  <c r="I435" i="17" s="1"/>
  <c r="K435" i="17" s="1"/>
  <c r="F436" i="17"/>
  <c r="G436" i="17" s="1"/>
  <c r="H436" i="17" s="1"/>
  <c r="I436" i="17" s="1"/>
  <c r="K436" i="17" s="1"/>
  <c r="F437" i="17"/>
  <c r="G437" i="17" s="1"/>
  <c r="H437" i="17" s="1"/>
  <c r="I437" i="17" s="1"/>
  <c r="K437" i="17" s="1"/>
  <c r="F438" i="17"/>
  <c r="G438" i="17" s="1"/>
  <c r="H438" i="17" s="1"/>
  <c r="I438" i="17" s="1"/>
  <c r="K438" i="17" s="1"/>
  <c r="F439" i="17"/>
  <c r="G439" i="17" s="1"/>
  <c r="H439" i="17" s="1"/>
  <c r="I439" i="17" s="1"/>
  <c r="K439" i="17" s="1"/>
  <c r="F440" i="17"/>
  <c r="G440" i="17" s="1"/>
  <c r="H440" i="17" s="1"/>
  <c r="I440" i="17" s="1"/>
  <c r="K440" i="17" s="1"/>
  <c r="F441" i="17"/>
  <c r="G441" i="17" s="1"/>
  <c r="H441" i="17" s="1"/>
  <c r="I441" i="17" s="1"/>
  <c r="K441" i="17" s="1"/>
  <c r="F442" i="17"/>
  <c r="G442" i="17" s="1"/>
  <c r="H442" i="17" s="1"/>
  <c r="I442" i="17" s="1"/>
  <c r="K442" i="17" s="1"/>
  <c r="F443" i="17"/>
  <c r="G443" i="17" s="1"/>
  <c r="H443" i="17" s="1"/>
  <c r="I443" i="17" s="1"/>
  <c r="K443" i="17" s="1"/>
  <c r="F444" i="17"/>
  <c r="G444" i="17" s="1"/>
  <c r="H444" i="17" s="1"/>
  <c r="I444" i="17" s="1"/>
  <c r="K444" i="17" s="1"/>
  <c r="F445" i="17"/>
  <c r="G445" i="17" s="1"/>
  <c r="H445" i="17" s="1"/>
  <c r="I445" i="17" s="1"/>
  <c r="K445" i="17" s="1"/>
  <c r="F446" i="17"/>
  <c r="G446" i="17" s="1"/>
  <c r="H446" i="17" s="1"/>
  <c r="I446" i="17" s="1"/>
  <c r="K446" i="17" s="1"/>
  <c r="F447" i="17"/>
  <c r="G447" i="17" s="1"/>
  <c r="H447" i="17" s="1"/>
  <c r="I447" i="17" s="1"/>
  <c r="K447" i="17" s="1"/>
  <c r="F448" i="17"/>
  <c r="G448" i="17" s="1"/>
  <c r="H448" i="17" s="1"/>
  <c r="I448" i="17" s="1"/>
  <c r="K448" i="17" s="1"/>
  <c r="F449" i="17"/>
  <c r="G449" i="17" s="1"/>
  <c r="H449" i="17" s="1"/>
  <c r="I449" i="17" s="1"/>
  <c r="K449" i="17" s="1"/>
  <c r="F450" i="17"/>
  <c r="G450" i="17" s="1"/>
  <c r="H450" i="17" s="1"/>
  <c r="I450" i="17" s="1"/>
  <c r="K450" i="17" s="1"/>
  <c r="F451" i="17"/>
  <c r="G451" i="17" s="1"/>
  <c r="H451" i="17" s="1"/>
  <c r="I451" i="17" s="1"/>
  <c r="K451" i="17" s="1"/>
  <c r="F452" i="17"/>
  <c r="G452" i="17" s="1"/>
  <c r="H452" i="17" s="1"/>
  <c r="I452" i="17" s="1"/>
  <c r="K452" i="17" s="1"/>
  <c r="F453" i="17"/>
  <c r="G453" i="17" s="1"/>
  <c r="H453" i="17" s="1"/>
  <c r="I453" i="17" s="1"/>
  <c r="K453" i="17" s="1"/>
  <c r="F454" i="17"/>
  <c r="G454" i="17" s="1"/>
  <c r="H454" i="17" s="1"/>
  <c r="I454" i="17" s="1"/>
  <c r="K454" i="17" s="1"/>
  <c r="F455" i="17"/>
  <c r="G455" i="17" s="1"/>
  <c r="H455" i="17" s="1"/>
  <c r="I455" i="17" s="1"/>
  <c r="K455" i="17" s="1"/>
  <c r="F456" i="17"/>
  <c r="G456" i="17" s="1"/>
  <c r="H456" i="17" s="1"/>
  <c r="I456" i="17" s="1"/>
  <c r="K456" i="17" s="1"/>
  <c r="F457" i="17"/>
  <c r="G457" i="17" s="1"/>
  <c r="H457" i="17" s="1"/>
  <c r="I457" i="17" s="1"/>
  <c r="K457" i="17" s="1"/>
  <c r="F458" i="17"/>
  <c r="G458" i="17" s="1"/>
  <c r="H458" i="17" s="1"/>
  <c r="I458" i="17" s="1"/>
  <c r="K458" i="17" s="1"/>
  <c r="F459" i="17"/>
  <c r="G459" i="17" s="1"/>
  <c r="H459" i="17" s="1"/>
  <c r="I459" i="17" s="1"/>
  <c r="K459" i="17" s="1"/>
  <c r="F460" i="17"/>
  <c r="G460" i="17" s="1"/>
  <c r="H460" i="17" s="1"/>
  <c r="I460" i="17" s="1"/>
  <c r="K460" i="17" s="1"/>
  <c r="F461" i="17"/>
  <c r="G461" i="17" s="1"/>
  <c r="H461" i="17" s="1"/>
  <c r="I461" i="17" s="1"/>
  <c r="K461" i="17" s="1"/>
  <c r="F462" i="17"/>
  <c r="G462" i="17" s="1"/>
  <c r="H462" i="17" s="1"/>
  <c r="I462" i="17" s="1"/>
  <c r="K462" i="17" s="1"/>
  <c r="F463" i="17"/>
  <c r="G463" i="17" s="1"/>
  <c r="H463" i="17" s="1"/>
  <c r="I463" i="17" s="1"/>
  <c r="K463" i="17" s="1"/>
  <c r="F464" i="17"/>
  <c r="G464" i="17" s="1"/>
  <c r="H464" i="17" s="1"/>
  <c r="I464" i="17" s="1"/>
  <c r="K464" i="17" s="1"/>
  <c r="F465" i="17"/>
  <c r="G465" i="17" s="1"/>
  <c r="H465" i="17" s="1"/>
  <c r="I465" i="17" s="1"/>
  <c r="K465" i="17" s="1"/>
  <c r="F466" i="17"/>
  <c r="G466" i="17" s="1"/>
  <c r="H466" i="17" s="1"/>
  <c r="I466" i="17" s="1"/>
  <c r="K466" i="17" s="1"/>
  <c r="F467" i="17"/>
  <c r="G467" i="17" s="1"/>
  <c r="H467" i="17" s="1"/>
  <c r="I467" i="17" s="1"/>
  <c r="K467" i="17" s="1"/>
  <c r="F468" i="17"/>
  <c r="G468" i="17" s="1"/>
  <c r="H468" i="17" s="1"/>
  <c r="I468" i="17" s="1"/>
  <c r="K468" i="17" s="1"/>
  <c r="F469" i="17"/>
  <c r="G469" i="17" s="1"/>
  <c r="H469" i="17" s="1"/>
  <c r="I469" i="17" s="1"/>
  <c r="K469" i="17" s="1"/>
  <c r="F470" i="17"/>
  <c r="G470" i="17" s="1"/>
  <c r="H470" i="17" s="1"/>
  <c r="I470" i="17" s="1"/>
  <c r="K470" i="17" s="1"/>
  <c r="F471" i="17"/>
  <c r="G471" i="17" s="1"/>
  <c r="H471" i="17" s="1"/>
  <c r="I471" i="17" s="1"/>
  <c r="K471" i="17" s="1"/>
  <c r="F472" i="17"/>
  <c r="G472" i="17" s="1"/>
  <c r="H472" i="17" s="1"/>
  <c r="I472" i="17" s="1"/>
  <c r="K472" i="17" s="1"/>
  <c r="F473" i="17"/>
  <c r="G473" i="17" s="1"/>
  <c r="H473" i="17" s="1"/>
  <c r="I473" i="17" s="1"/>
  <c r="K473" i="17" s="1"/>
  <c r="F474" i="17"/>
  <c r="G474" i="17" s="1"/>
  <c r="H474" i="17" s="1"/>
  <c r="I474" i="17" s="1"/>
  <c r="K474" i="17" s="1"/>
  <c r="F475" i="17"/>
  <c r="G475" i="17" s="1"/>
  <c r="H475" i="17" s="1"/>
  <c r="I475" i="17" s="1"/>
  <c r="K475" i="17" s="1"/>
  <c r="F476" i="17"/>
  <c r="G476" i="17" s="1"/>
  <c r="H476" i="17" s="1"/>
  <c r="I476" i="17" s="1"/>
  <c r="K476" i="17" s="1"/>
  <c r="F477" i="17"/>
  <c r="G477" i="17" s="1"/>
  <c r="H477" i="17" s="1"/>
  <c r="I477" i="17" s="1"/>
  <c r="K477" i="17" s="1"/>
  <c r="F478" i="17"/>
  <c r="G478" i="17" s="1"/>
  <c r="H478" i="17" s="1"/>
  <c r="I478" i="17" s="1"/>
  <c r="K478" i="17" s="1"/>
  <c r="F479" i="17"/>
  <c r="G479" i="17" s="1"/>
  <c r="H479" i="17" s="1"/>
  <c r="I479" i="17" s="1"/>
  <c r="K479" i="17" s="1"/>
  <c r="F480" i="17"/>
  <c r="G480" i="17" s="1"/>
  <c r="H480" i="17" s="1"/>
  <c r="I480" i="17" s="1"/>
  <c r="K480" i="17" s="1"/>
  <c r="F481" i="17"/>
  <c r="G481" i="17" s="1"/>
  <c r="H481" i="17" s="1"/>
  <c r="I481" i="17" s="1"/>
  <c r="K481" i="17" s="1"/>
  <c r="F482" i="17"/>
  <c r="G482" i="17" s="1"/>
  <c r="H482" i="17" s="1"/>
  <c r="I482" i="17" s="1"/>
  <c r="K482" i="17" s="1"/>
  <c r="F483" i="17"/>
  <c r="G483" i="17" s="1"/>
  <c r="H483" i="17" s="1"/>
  <c r="I483" i="17" s="1"/>
  <c r="K483" i="17" s="1"/>
  <c r="F484" i="17"/>
  <c r="G484" i="17" s="1"/>
  <c r="H484" i="17" s="1"/>
  <c r="I484" i="17" s="1"/>
  <c r="K484" i="17" s="1"/>
  <c r="F485" i="17"/>
  <c r="G485" i="17" s="1"/>
  <c r="H485" i="17" s="1"/>
  <c r="I485" i="17" s="1"/>
  <c r="K485" i="17" s="1"/>
  <c r="F486" i="17"/>
  <c r="G486" i="17" s="1"/>
  <c r="H486" i="17" s="1"/>
  <c r="I486" i="17" s="1"/>
  <c r="K486" i="17" s="1"/>
  <c r="F487" i="17"/>
  <c r="G487" i="17" s="1"/>
  <c r="H487" i="17" s="1"/>
  <c r="I487" i="17" s="1"/>
  <c r="K487" i="17" s="1"/>
  <c r="F488" i="17"/>
  <c r="G488" i="17" s="1"/>
  <c r="H488" i="17" s="1"/>
  <c r="I488" i="17" s="1"/>
  <c r="K488" i="17" s="1"/>
  <c r="F489" i="17"/>
  <c r="G489" i="17" s="1"/>
  <c r="H489" i="17" s="1"/>
  <c r="I489" i="17" s="1"/>
  <c r="K489" i="17" s="1"/>
  <c r="F490" i="17"/>
  <c r="G490" i="17" s="1"/>
  <c r="H490" i="17" s="1"/>
  <c r="I490" i="17" s="1"/>
  <c r="K490" i="17" s="1"/>
  <c r="F491" i="17"/>
  <c r="G491" i="17" s="1"/>
  <c r="H491" i="17" s="1"/>
  <c r="I491" i="17" s="1"/>
  <c r="K491" i="17" s="1"/>
  <c r="F492" i="17"/>
  <c r="G492" i="17" s="1"/>
  <c r="H492" i="17" s="1"/>
  <c r="I492" i="17" s="1"/>
  <c r="K492" i="17" s="1"/>
  <c r="F493" i="17"/>
  <c r="G493" i="17" s="1"/>
  <c r="H493" i="17" s="1"/>
  <c r="I493" i="17" s="1"/>
  <c r="K493" i="17" s="1"/>
  <c r="F494" i="17"/>
  <c r="G494" i="17" s="1"/>
  <c r="H494" i="17" s="1"/>
  <c r="I494" i="17" s="1"/>
  <c r="K494" i="17" s="1"/>
  <c r="F495" i="17"/>
  <c r="G495" i="17" s="1"/>
  <c r="H495" i="17" s="1"/>
  <c r="I495" i="17" s="1"/>
  <c r="K495" i="17" s="1"/>
  <c r="F496" i="17"/>
  <c r="G496" i="17" s="1"/>
  <c r="H496" i="17" s="1"/>
  <c r="I496" i="17" s="1"/>
  <c r="K496" i="17" s="1"/>
  <c r="F497" i="17"/>
  <c r="G497" i="17" s="1"/>
  <c r="H497" i="17" s="1"/>
  <c r="I497" i="17" s="1"/>
  <c r="K497" i="17" s="1"/>
  <c r="F498" i="17"/>
  <c r="G498" i="17" s="1"/>
  <c r="H498" i="17" s="1"/>
  <c r="I498" i="17" s="1"/>
  <c r="K498" i="17" s="1"/>
  <c r="F499" i="17"/>
  <c r="G499" i="17" s="1"/>
  <c r="H499" i="17" s="1"/>
  <c r="I499" i="17" s="1"/>
  <c r="K499" i="17" s="1"/>
  <c r="F500" i="17"/>
  <c r="G500" i="17" s="1"/>
  <c r="H500" i="17" s="1"/>
  <c r="I500" i="17" s="1"/>
  <c r="K500" i="17" s="1"/>
  <c r="F501" i="17"/>
  <c r="G501" i="17" s="1"/>
  <c r="H501" i="17" s="1"/>
  <c r="I501" i="17" s="1"/>
  <c r="K501" i="17" s="1"/>
  <c r="F502" i="17"/>
  <c r="G502" i="17" s="1"/>
  <c r="H502" i="17" s="1"/>
  <c r="I502" i="17" s="1"/>
  <c r="K502" i="17" s="1"/>
  <c r="F503" i="17"/>
  <c r="G503" i="17" s="1"/>
  <c r="H503" i="17" s="1"/>
  <c r="I503" i="17" s="1"/>
  <c r="K503" i="17" s="1"/>
  <c r="F504" i="17"/>
  <c r="G504" i="17" s="1"/>
  <c r="H504" i="17" s="1"/>
  <c r="I504" i="17" s="1"/>
  <c r="K504" i="17" s="1"/>
  <c r="F505" i="17"/>
  <c r="G505" i="17" s="1"/>
  <c r="H505" i="17" s="1"/>
  <c r="I505" i="17" s="1"/>
  <c r="K505" i="17" s="1"/>
  <c r="F506" i="17"/>
  <c r="G506" i="17" s="1"/>
  <c r="H506" i="17" s="1"/>
  <c r="I506" i="17" s="1"/>
  <c r="K506" i="17" s="1"/>
  <c r="F507" i="17"/>
  <c r="G507" i="17" s="1"/>
  <c r="H507" i="17" s="1"/>
  <c r="I507" i="17" s="1"/>
  <c r="K507" i="17" s="1"/>
  <c r="F508" i="17"/>
  <c r="G508" i="17" s="1"/>
  <c r="H508" i="17" s="1"/>
  <c r="I508" i="17" s="1"/>
  <c r="K508" i="17" s="1"/>
  <c r="F509" i="17"/>
  <c r="G509" i="17" s="1"/>
  <c r="H509" i="17" s="1"/>
  <c r="I509" i="17" s="1"/>
  <c r="K509" i="17" s="1"/>
  <c r="F510" i="17"/>
  <c r="G510" i="17" s="1"/>
  <c r="H510" i="17" s="1"/>
  <c r="I510" i="17" s="1"/>
  <c r="K510" i="17" s="1"/>
  <c r="F511" i="17"/>
  <c r="G511" i="17" s="1"/>
  <c r="H511" i="17" s="1"/>
  <c r="I511" i="17" s="1"/>
  <c r="K511" i="17" s="1"/>
  <c r="F512" i="17"/>
  <c r="G512" i="17" s="1"/>
  <c r="H512" i="17" s="1"/>
  <c r="I512" i="17" s="1"/>
  <c r="K512" i="17" s="1"/>
  <c r="F513" i="17"/>
  <c r="G513" i="17" s="1"/>
  <c r="H513" i="17" s="1"/>
  <c r="I513" i="17" s="1"/>
  <c r="K513" i="17" s="1"/>
  <c r="F514" i="17"/>
  <c r="G514" i="17" s="1"/>
  <c r="H514" i="17" s="1"/>
  <c r="I514" i="17" s="1"/>
  <c r="K514" i="17" s="1"/>
  <c r="F515" i="17"/>
  <c r="G515" i="17" s="1"/>
  <c r="H515" i="17" s="1"/>
  <c r="I515" i="17" s="1"/>
  <c r="K515" i="17" s="1"/>
  <c r="F516" i="17"/>
  <c r="G516" i="17" s="1"/>
  <c r="H516" i="17" s="1"/>
  <c r="I516" i="17" s="1"/>
  <c r="K516" i="17" s="1"/>
  <c r="F517" i="17"/>
  <c r="G517" i="17" s="1"/>
  <c r="H517" i="17" s="1"/>
  <c r="I517" i="17" s="1"/>
  <c r="K517" i="17" s="1"/>
  <c r="F518" i="17"/>
  <c r="G518" i="17" s="1"/>
  <c r="H518" i="17" s="1"/>
  <c r="I518" i="17" s="1"/>
  <c r="K518" i="17" s="1"/>
  <c r="F519" i="17"/>
  <c r="G519" i="17" s="1"/>
  <c r="H519" i="17" s="1"/>
  <c r="I519" i="17" s="1"/>
  <c r="K519" i="17" s="1"/>
  <c r="F520" i="17"/>
  <c r="G520" i="17" s="1"/>
  <c r="H520" i="17" s="1"/>
  <c r="I520" i="17" s="1"/>
  <c r="K520" i="17" s="1"/>
  <c r="F521" i="17"/>
  <c r="G521" i="17" s="1"/>
  <c r="H521" i="17" s="1"/>
  <c r="I521" i="17" s="1"/>
  <c r="K521" i="17" s="1"/>
  <c r="F522" i="17"/>
  <c r="G522" i="17" s="1"/>
  <c r="H522" i="17" s="1"/>
  <c r="I522" i="17" s="1"/>
  <c r="K522" i="17" s="1"/>
  <c r="F523" i="17"/>
  <c r="G523" i="17" s="1"/>
  <c r="H523" i="17" s="1"/>
  <c r="I523" i="17" s="1"/>
  <c r="K523" i="17" s="1"/>
  <c r="F524" i="17"/>
  <c r="G524" i="17" s="1"/>
  <c r="H524" i="17" s="1"/>
  <c r="I524" i="17" s="1"/>
  <c r="K524" i="17" s="1"/>
  <c r="F525" i="17"/>
  <c r="G525" i="17" s="1"/>
  <c r="H525" i="17" s="1"/>
  <c r="I525" i="17" s="1"/>
  <c r="K525" i="17" s="1"/>
  <c r="F526" i="17"/>
  <c r="G526" i="17" s="1"/>
  <c r="H526" i="17" s="1"/>
  <c r="I526" i="17" s="1"/>
  <c r="K526" i="17" s="1"/>
  <c r="F527" i="17"/>
  <c r="G527" i="17" s="1"/>
  <c r="H527" i="17" s="1"/>
  <c r="I527" i="17" s="1"/>
  <c r="K527" i="17" s="1"/>
  <c r="F528" i="17"/>
  <c r="G528" i="17" s="1"/>
  <c r="H528" i="17" s="1"/>
  <c r="I528" i="17" s="1"/>
  <c r="K528" i="17" s="1"/>
  <c r="F529" i="17"/>
  <c r="G529" i="17" s="1"/>
  <c r="H529" i="17" s="1"/>
  <c r="I529" i="17" s="1"/>
  <c r="K529" i="17" s="1"/>
  <c r="F530" i="17"/>
  <c r="G530" i="17" s="1"/>
  <c r="H530" i="17" s="1"/>
  <c r="I530" i="17" s="1"/>
  <c r="K530" i="17" s="1"/>
  <c r="F531" i="17"/>
  <c r="G531" i="17" s="1"/>
  <c r="H531" i="17" s="1"/>
  <c r="I531" i="17" s="1"/>
  <c r="K531" i="17" s="1"/>
  <c r="F532" i="17"/>
  <c r="G532" i="17" s="1"/>
  <c r="H532" i="17" s="1"/>
  <c r="I532" i="17" s="1"/>
  <c r="K532" i="17" s="1"/>
  <c r="F533" i="17"/>
  <c r="G533" i="17" s="1"/>
  <c r="H533" i="17" s="1"/>
  <c r="I533" i="17" s="1"/>
  <c r="K533" i="17" s="1"/>
  <c r="F534" i="17"/>
  <c r="G534" i="17" s="1"/>
  <c r="H534" i="17" s="1"/>
  <c r="I534" i="17" s="1"/>
  <c r="K534" i="17" s="1"/>
  <c r="F535" i="17"/>
  <c r="G535" i="17" s="1"/>
  <c r="H535" i="17" s="1"/>
  <c r="I535" i="17" s="1"/>
  <c r="K535" i="17" s="1"/>
  <c r="F536" i="17"/>
  <c r="G536" i="17" s="1"/>
  <c r="H536" i="17" s="1"/>
  <c r="I536" i="17" s="1"/>
  <c r="K536" i="17" s="1"/>
  <c r="F537" i="17"/>
  <c r="G537" i="17" s="1"/>
  <c r="H537" i="17" s="1"/>
  <c r="I537" i="17" s="1"/>
  <c r="K537" i="17" s="1"/>
  <c r="F538" i="17"/>
  <c r="G538" i="17" s="1"/>
  <c r="H538" i="17" s="1"/>
  <c r="I538" i="17" s="1"/>
  <c r="K538" i="17" s="1"/>
  <c r="F539" i="17"/>
  <c r="G539" i="17" s="1"/>
  <c r="H539" i="17" s="1"/>
  <c r="I539" i="17" s="1"/>
  <c r="K539" i="17" s="1"/>
  <c r="F540" i="17"/>
  <c r="G540" i="17" s="1"/>
  <c r="H540" i="17" s="1"/>
  <c r="I540" i="17" s="1"/>
  <c r="K540" i="17" s="1"/>
  <c r="F541" i="17"/>
  <c r="G541" i="17" s="1"/>
  <c r="H541" i="17" s="1"/>
  <c r="I541" i="17" s="1"/>
  <c r="K541" i="17" s="1"/>
  <c r="F542" i="17"/>
  <c r="G542" i="17" s="1"/>
  <c r="H542" i="17" s="1"/>
  <c r="I542" i="17" s="1"/>
  <c r="K542" i="17" s="1"/>
  <c r="F543" i="17"/>
  <c r="G543" i="17" s="1"/>
  <c r="H543" i="17" s="1"/>
  <c r="I543" i="17" s="1"/>
  <c r="K543" i="17" s="1"/>
  <c r="F544" i="17"/>
  <c r="G544" i="17" s="1"/>
  <c r="H544" i="17" s="1"/>
  <c r="I544" i="17" s="1"/>
  <c r="K544" i="17" s="1"/>
  <c r="F545" i="17"/>
  <c r="G545" i="17" s="1"/>
  <c r="H545" i="17" s="1"/>
  <c r="I545" i="17" s="1"/>
  <c r="K545" i="17" s="1"/>
  <c r="F546" i="17"/>
  <c r="G546" i="17" s="1"/>
  <c r="H546" i="17" s="1"/>
  <c r="I546" i="17" s="1"/>
  <c r="K546" i="17" s="1"/>
  <c r="F547" i="17"/>
  <c r="G547" i="17" s="1"/>
  <c r="H547" i="17" s="1"/>
  <c r="I547" i="17" s="1"/>
  <c r="K547" i="17" s="1"/>
  <c r="F548" i="17"/>
  <c r="G548" i="17" s="1"/>
  <c r="H548" i="17" s="1"/>
  <c r="I548" i="17" s="1"/>
  <c r="K548" i="17" s="1"/>
  <c r="F549" i="17"/>
  <c r="G549" i="17" s="1"/>
  <c r="H549" i="17" s="1"/>
  <c r="I549" i="17" s="1"/>
  <c r="K549" i="17" s="1"/>
  <c r="F550" i="17"/>
  <c r="G550" i="17" s="1"/>
  <c r="H550" i="17" s="1"/>
  <c r="I550" i="17" s="1"/>
  <c r="K550" i="17" s="1"/>
  <c r="F551" i="17"/>
  <c r="G551" i="17" s="1"/>
  <c r="H551" i="17" s="1"/>
  <c r="I551" i="17" s="1"/>
  <c r="K551" i="17" s="1"/>
  <c r="F552" i="17"/>
  <c r="G552" i="17" s="1"/>
  <c r="H552" i="17" s="1"/>
  <c r="I552" i="17" s="1"/>
  <c r="K552" i="17" s="1"/>
  <c r="F553" i="17"/>
  <c r="G553" i="17" s="1"/>
  <c r="H553" i="17" s="1"/>
  <c r="I553" i="17" s="1"/>
  <c r="K553" i="17" s="1"/>
  <c r="F554" i="17"/>
  <c r="G554" i="17" s="1"/>
  <c r="H554" i="17" s="1"/>
  <c r="I554" i="17" s="1"/>
  <c r="K554" i="17" s="1"/>
  <c r="F555" i="17"/>
  <c r="G555" i="17" s="1"/>
  <c r="H555" i="17" s="1"/>
  <c r="I555" i="17" s="1"/>
  <c r="K555" i="17" s="1"/>
  <c r="F556" i="17"/>
  <c r="G556" i="17" s="1"/>
  <c r="H556" i="17" s="1"/>
  <c r="I556" i="17" s="1"/>
  <c r="K556" i="17" s="1"/>
  <c r="F557" i="17"/>
  <c r="G557" i="17" s="1"/>
  <c r="H557" i="17" s="1"/>
  <c r="I557" i="17" s="1"/>
  <c r="K557" i="17" s="1"/>
  <c r="F558" i="17"/>
  <c r="G558" i="17" s="1"/>
  <c r="H558" i="17" s="1"/>
  <c r="I558" i="17" s="1"/>
  <c r="K558" i="17" s="1"/>
  <c r="F559" i="17"/>
  <c r="G559" i="17" s="1"/>
  <c r="H559" i="17" s="1"/>
  <c r="I559" i="17" s="1"/>
  <c r="K559" i="17" s="1"/>
  <c r="F560" i="17"/>
  <c r="G560" i="17" s="1"/>
  <c r="H560" i="17" s="1"/>
  <c r="I560" i="17" s="1"/>
  <c r="K560" i="17" s="1"/>
  <c r="F561" i="17"/>
  <c r="G561" i="17" s="1"/>
  <c r="H561" i="17" s="1"/>
  <c r="I561" i="17" s="1"/>
  <c r="K561" i="17" s="1"/>
  <c r="F562" i="17"/>
  <c r="G562" i="17" s="1"/>
  <c r="H562" i="17" s="1"/>
  <c r="I562" i="17" s="1"/>
  <c r="K562" i="17" s="1"/>
  <c r="F563" i="17"/>
  <c r="G563" i="17" s="1"/>
  <c r="H563" i="17" s="1"/>
  <c r="I563" i="17" s="1"/>
  <c r="K563" i="17" s="1"/>
  <c r="F564" i="17"/>
  <c r="G564" i="17" s="1"/>
  <c r="H564" i="17" s="1"/>
  <c r="I564" i="17" s="1"/>
  <c r="K564" i="17" s="1"/>
  <c r="F565" i="17"/>
  <c r="G565" i="17" s="1"/>
  <c r="H565" i="17" s="1"/>
  <c r="I565" i="17" s="1"/>
  <c r="K565" i="17" s="1"/>
  <c r="F566" i="17"/>
  <c r="G566" i="17" s="1"/>
  <c r="H566" i="17" s="1"/>
  <c r="I566" i="17" s="1"/>
  <c r="K566" i="17" s="1"/>
  <c r="F567" i="17"/>
  <c r="G567" i="17" s="1"/>
  <c r="H567" i="17" s="1"/>
  <c r="I567" i="17" s="1"/>
  <c r="K567" i="17" s="1"/>
  <c r="F568" i="17"/>
  <c r="G568" i="17" s="1"/>
  <c r="H568" i="17" s="1"/>
  <c r="I568" i="17" s="1"/>
  <c r="K568" i="17" s="1"/>
  <c r="F569" i="17"/>
  <c r="G569" i="17" s="1"/>
  <c r="H569" i="17" s="1"/>
  <c r="I569" i="17" s="1"/>
  <c r="K569" i="17" s="1"/>
  <c r="F570" i="17"/>
  <c r="G570" i="17" s="1"/>
  <c r="H570" i="17" s="1"/>
  <c r="I570" i="17" s="1"/>
  <c r="K570" i="17" s="1"/>
  <c r="F571" i="17"/>
  <c r="G571" i="17" s="1"/>
  <c r="H571" i="17" s="1"/>
  <c r="I571" i="17" s="1"/>
  <c r="K571" i="17" s="1"/>
  <c r="F572" i="17"/>
  <c r="G572" i="17" s="1"/>
  <c r="H572" i="17" s="1"/>
  <c r="I572" i="17" s="1"/>
  <c r="K572" i="17" s="1"/>
  <c r="F573" i="17"/>
  <c r="G573" i="17" s="1"/>
  <c r="H573" i="17" s="1"/>
  <c r="I573" i="17" s="1"/>
  <c r="K573" i="17" s="1"/>
  <c r="F574" i="17"/>
  <c r="G574" i="17" s="1"/>
  <c r="H574" i="17" s="1"/>
  <c r="I574" i="17" s="1"/>
  <c r="K574" i="17" s="1"/>
  <c r="F575" i="17"/>
  <c r="G575" i="17" s="1"/>
  <c r="H575" i="17" s="1"/>
  <c r="I575" i="17" s="1"/>
  <c r="K575" i="17" s="1"/>
  <c r="F576" i="17"/>
  <c r="G576" i="17" s="1"/>
  <c r="H576" i="17" s="1"/>
  <c r="I576" i="17" s="1"/>
  <c r="K576" i="17" s="1"/>
  <c r="F577" i="17"/>
  <c r="G577" i="17" s="1"/>
  <c r="H577" i="17" s="1"/>
  <c r="I577" i="17" s="1"/>
  <c r="K577" i="17" s="1"/>
  <c r="F578" i="17"/>
  <c r="G578" i="17" s="1"/>
  <c r="H578" i="17" s="1"/>
  <c r="I578" i="17" s="1"/>
  <c r="K578" i="17" s="1"/>
  <c r="F579" i="17"/>
  <c r="G579" i="17" s="1"/>
  <c r="H579" i="17" s="1"/>
  <c r="I579" i="17" s="1"/>
  <c r="K579" i="17" s="1"/>
  <c r="F580" i="17"/>
  <c r="G580" i="17" s="1"/>
  <c r="H580" i="17" s="1"/>
  <c r="I580" i="17" s="1"/>
  <c r="K580" i="17" s="1"/>
  <c r="F581" i="17"/>
  <c r="G581" i="17" s="1"/>
  <c r="H581" i="17" s="1"/>
  <c r="I581" i="17" s="1"/>
  <c r="K581" i="17" s="1"/>
  <c r="F582" i="17"/>
  <c r="G582" i="17" s="1"/>
  <c r="H582" i="17" s="1"/>
  <c r="I582" i="17" s="1"/>
  <c r="K582" i="17" s="1"/>
  <c r="F583" i="17"/>
  <c r="G583" i="17" s="1"/>
  <c r="H583" i="17" s="1"/>
  <c r="I583" i="17" s="1"/>
  <c r="K583" i="17" s="1"/>
  <c r="F584" i="17"/>
  <c r="G584" i="17" s="1"/>
  <c r="H584" i="17" s="1"/>
  <c r="I584" i="17" s="1"/>
  <c r="K584" i="17" s="1"/>
  <c r="F585" i="17"/>
  <c r="G585" i="17" s="1"/>
  <c r="H585" i="17" s="1"/>
  <c r="I585" i="17" s="1"/>
  <c r="K585" i="17" s="1"/>
  <c r="F586" i="17"/>
  <c r="G586" i="17" s="1"/>
  <c r="H586" i="17" s="1"/>
  <c r="I586" i="17" s="1"/>
  <c r="K586" i="17" s="1"/>
  <c r="F587" i="17"/>
  <c r="G587" i="17" s="1"/>
  <c r="H587" i="17" s="1"/>
  <c r="I587" i="17" s="1"/>
  <c r="K587" i="17" s="1"/>
  <c r="F588" i="17"/>
  <c r="G588" i="17" s="1"/>
  <c r="H588" i="17" s="1"/>
  <c r="I588" i="17" s="1"/>
  <c r="K588" i="17" s="1"/>
  <c r="F589" i="17"/>
  <c r="G589" i="17" s="1"/>
  <c r="H589" i="17" s="1"/>
  <c r="I589" i="17" s="1"/>
  <c r="K589" i="17" s="1"/>
  <c r="F590" i="17"/>
  <c r="G590" i="17" s="1"/>
  <c r="H590" i="17" s="1"/>
  <c r="I590" i="17" s="1"/>
  <c r="K590" i="17" s="1"/>
  <c r="F591" i="17"/>
  <c r="G591" i="17" s="1"/>
  <c r="H591" i="17" s="1"/>
  <c r="I591" i="17" s="1"/>
  <c r="K591" i="17" s="1"/>
  <c r="F592" i="17"/>
  <c r="G592" i="17" s="1"/>
  <c r="H592" i="17" s="1"/>
  <c r="I592" i="17" s="1"/>
  <c r="K592" i="17" s="1"/>
  <c r="F593" i="17"/>
  <c r="G593" i="17" s="1"/>
  <c r="H593" i="17" s="1"/>
  <c r="I593" i="17" s="1"/>
  <c r="K593" i="17" s="1"/>
  <c r="F594" i="17"/>
  <c r="G594" i="17" s="1"/>
  <c r="H594" i="17" s="1"/>
  <c r="I594" i="17" s="1"/>
  <c r="K594" i="17" s="1"/>
  <c r="F595" i="17"/>
  <c r="G595" i="17" s="1"/>
  <c r="H595" i="17" s="1"/>
  <c r="I595" i="17" s="1"/>
  <c r="K595" i="17" s="1"/>
  <c r="F596" i="17"/>
  <c r="G596" i="17" s="1"/>
  <c r="H596" i="17" s="1"/>
  <c r="I596" i="17" s="1"/>
  <c r="K596" i="17" s="1"/>
  <c r="F597" i="17"/>
  <c r="G597" i="17" s="1"/>
  <c r="H597" i="17" s="1"/>
  <c r="I597" i="17" s="1"/>
  <c r="K597" i="17" s="1"/>
  <c r="F598" i="17"/>
  <c r="G598" i="17" s="1"/>
  <c r="H598" i="17" s="1"/>
  <c r="I598" i="17" s="1"/>
  <c r="K598" i="17" s="1"/>
  <c r="F599" i="17"/>
  <c r="G599" i="17" s="1"/>
  <c r="H599" i="17" s="1"/>
  <c r="I599" i="17" s="1"/>
  <c r="K599" i="17" s="1"/>
  <c r="F600" i="17"/>
  <c r="G600" i="17" s="1"/>
  <c r="H600" i="17" s="1"/>
  <c r="I600" i="17" s="1"/>
  <c r="K600" i="17" s="1"/>
  <c r="F601" i="17"/>
  <c r="G601" i="17" s="1"/>
  <c r="H601" i="17" s="1"/>
  <c r="I601" i="17" s="1"/>
  <c r="K601" i="17" s="1"/>
  <c r="F602" i="17"/>
  <c r="G602" i="17" s="1"/>
  <c r="H602" i="17" s="1"/>
  <c r="I602" i="17" s="1"/>
  <c r="K602" i="17" s="1"/>
  <c r="F603" i="17"/>
  <c r="G603" i="17" s="1"/>
  <c r="H603" i="17" s="1"/>
  <c r="I603" i="17" s="1"/>
  <c r="K603" i="17" s="1"/>
  <c r="F604" i="17"/>
  <c r="G604" i="17" s="1"/>
  <c r="H604" i="17" s="1"/>
  <c r="I604" i="17" s="1"/>
  <c r="K604" i="17" s="1"/>
  <c r="F605" i="17"/>
  <c r="G605" i="17" s="1"/>
  <c r="H605" i="17" s="1"/>
  <c r="I605" i="17" s="1"/>
  <c r="K605" i="17" s="1"/>
  <c r="F606" i="17"/>
  <c r="G606" i="17" s="1"/>
  <c r="H606" i="17" s="1"/>
  <c r="I606" i="17" s="1"/>
  <c r="K606" i="17" s="1"/>
  <c r="F607" i="17"/>
  <c r="G607" i="17" s="1"/>
  <c r="H607" i="17" s="1"/>
  <c r="I607" i="17" s="1"/>
  <c r="K607" i="17" s="1"/>
  <c r="F608" i="17"/>
  <c r="G608" i="17" s="1"/>
  <c r="H608" i="17" s="1"/>
  <c r="I608" i="17" s="1"/>
  <c r="K608" i="17" s="1"/>
  <c r="F609" i="17"/>
  <c r="G609" i="17" s="1"/>
  <c r="H609" i="17" s="1"/>
  <c r="I609" i="17" s="1"/>
  <c r="K609" i="17" s="1"/>
  <c r="F610" i="17"/>
  <c r="G610" i="17" s="1"/>
  <c r="H610" i="17" s="1"/>
  <c r="I610" i="17" s="1"/>
  <c r="K610" i="17" s="1"/>
  <c r="F611" i="17"/>
  <c r="G611" i="17" s="1"/>
  <c r="H611" i="17" s="1"/>
  <c r="I611" i="17" s="1"/>
  <c r="K611" i="17" s="1"/>
  <c r="F612" i="17"/>
  <c r="G612" i="17" s="1"/>
  <c r="H612" i="17" s="1"/>
  <c r="I612" i="17" s="1"/>
  <c r="K612" i="17" s="1"/>
  <c r="F613" i="17"/>
  <c r="G613" i="17" s="1"/>
  <c r="H613" i="17" s="1"/>
  <c r="I613" i="17" s="1"/>
  <c r="K613" i="17" s="1"/>
  <c r="F614" i="17"/>
  <c r="G614" i="17" s="1"/>
  <c r="H614" i="17" s="1"/>
  <c r="I614" i="17" s="1"/>
  <c r="K614" i="17" s="1"/>
  <c r="F615" i="17"/>
  <c r="G615" i="17" s="1"/>
  <c r="H615" i="17" s="1"/>
  <c r="I615" i="17" s="1"/>
  <c r="K615" i="17" s="1"/>
  <c r="F616" i="17"/>
  <c r="G616" i="17" s="1"/>
  <c r="H616" i="17" s="1"/>
  <c r="I616" i="17" s="1"/>
  <c r="K616" i="17" s="1"/>
  <c r="F617" i="17"/>
  <c r="G617" i="17" s="1"/>
  <c r="H617" i="17" s="1"/>
  <c r="I617" i="17" s="1"/>
  <c r="K617" i="17" s="1"/>
  <c r="F618" i="17"/>
  <c r="G618" i="17" s="1"/>
  <c r="H618" i="17" s="1"/>
  <c r="I618" i="17" s="1"/>
  <c r="K618" i="17" s="1"/>
  <c r="F619" i="17"/>
  <c r="G619" i="17" s="1"/>
  <c r="H619" i="17" s="1"/>
  <c r="I619" i="17" s="1"/>
  <c r="K619" i="17" s="1"/>
  <c r="F620" i="17"/>
  <c r="G620" i="17" s="1"/>
  <c r="H620" i="17" s="1"/>
  <c r="I620" i="17" s="1"/>
  <c r="K620" i="17" s="1"/>
  <c r="F621" i="17"/>
  <c r="G621" i="17" s="1"/>
  <c r="H621" i="17" s="1"/>
  <c r="I621" i="17" s="1"/>
  <c r="K621" i="17" s="1"/>
  <c r="F622" i="17"/>
  <c r="G622" i="17" s="1"/>
  <c r="H622" i="17" s="1"/>
  <c r="I622" i="17" s="1"/>
  <c r="K622" i="17" s="1"/>
  <c r="F623" i="17"/>
  <c r="G623" i="17" s="1"/>
  <c r="H623" i="17" s="1"/>
  <c r="I623" i="17" s="1"/>
  <c r="K623" i="17" s="1"/>
  <c r="F624" i="17"/>
  <c r="G624" i="17" s="1"/>
  <c r="H624" i="17" s="1"/>
  <c r="I624" i="17" s="1"/>
  <c r="K624" i="17" s="1"/>
  <c r="F625" i="17"/>
  <c r="G625" i="17" s="1"/>
  <c r="H625" i="17" s="1"/>
  <c r="I625" i="17" s="1"/>
  <c r="K625" i="17" s="1"/>
  <c r="F626" i="17"/>
  <c r="G626" i="17" s="1"/>
  <c r="H626" i="17" s="1"/>
  <c r="I626" i="17" s="1"/>
  <c r="K626" i="17" s="1"/>
  <c r="F627" i="17"/>
  <c r="G627" i="17" s="1"/>
  <c r="H627" i="17" s="1"/>
  <c r="I627" i="17" s="1"/>
  <c r="K627" i="17" s="1"/>
  <c r="F628" i="17"/>
  <c r="G628" i="17" s="1"/>
  <c r="H628" i="17" s="1"/>
  <c r="I628" i="17" s="1"/>
  <c r="K628" i="17" s="1"/>
  <c r="F629" i="17"/>
  <c r="G629" i="17" s="1"/>
  <c r="H629" i="17" s="1"/>
  <c r="I629" i="17" s="1"/>
  <c r="K629" i="17" s="1"/>
  <c r="F630" i="17"/>
  <c r="G630" i="17" s="1"/>
  <c r="H630" i="17" s="1"/>
  <c r="I630" i="17" s="1"/>
  <c r="K630" i="17" s="1"/>
  <c r="F631" i="17"/>
  <c r="G631" i="17" s="1"/>
  <c r="H631" i="17" s="1"/>
  <c r="I631" i="17" s="1"/>
  <c r="K631" i="17" s="1"/>
  <c r="F632" i="17"/>
  <c r="G632" i="17" s="1"/>
  <c r="H632" i="17" s="1"/>
  <c r="I632" i="17" s="1"/>
  <c r="K632" i="17" s="1"/>
  <c r="F633" i="17"/>
  <c r="G633" i="17" s="1"/>
  <c r="H633" i="17" s="1"/>
  <c r="I633" i="17" s="1"/>
  <c r="K633" i="17" s="1"/>
  <c r="F634" i="17"/>
  <c r="G634" i="17" s="1"/>
  <c r="H634" i="17" s="1"/>
  <c r="I634" i="17" s="1"/>
  <c r="K634" i="17" s="1"/>
  <c r="F635" i="17"/>
  <c r="G635" i="17" s="1"/>
  <c r="H635" i="17" s="1"/>
  <c r="I635" i="17" s="1"/>
  <c r="K635" i="17" s="1"/>
  <c r="F636" i="17"/>
  <c r="G636" i="17" s="1"/>
  <c r="H636" i="17" s="1"/>
  <c r="I636" i="17" s="1"/>
  <c r="K636" i="17" s="1"/>
  <c r="F637" i="17"/>
  <c r="G637" i="17" s="1"/>
  <c r="H637" i="17" s="1"/>
  <c r="I637" i="17" s="1"/>
  <c r="K637" i="17" s="1"/>
  <c r="F638" i="17"/>
  <c r="G638" i="17" s="1"/>
  <c r="H638" i="17" s="1"/>
  <c r="I638" i="17" s="1"/>
  <c r="K638" i="17" s="1"/>
  <c r="F639" i="17"/>
  <c r="G639" i="17" s="1"/>
  <c r="H639" i="17" s="1"/>
  <c r="I639" i="17" s="1"/>
  <c r="K639" i="17" s="1"/>
  <c r="F640" i="17"/>
  <c r="G640" i="17" s="1"/>
  <c r="H640" i="17" s="1"/>
  <c r="I640" i="17" s="1"/>
  <c r="K640" i="17" s="1"/>
  <c r="F641" i="17"/>
  <c r="G641" i="17" s="1"/>
  <c r="H641" i="17" s="1"/>
  <c r="I641" i="17" s="1"/>
  <c r="K641" i="17" s="1"/>
  <c r="F642" i="17"/>
  <c r="G642" i="17" s="1"/>
  <c r="H642" i="17" s="1"/>
  <c r="I642" i="17" s="1"/>
  <c r="K642" i="17" s="1"/>
  <c r="F643" i="17"/>
  <c r="G643" i="17" s="1"/>
  <c r="H643" i="17" s="1"/>
  <c r="I643" i="17" s="1"/>
  <c r="K643" i="17" s="1"/>
  <c r="F644" i="17"/>
  <c r="G644" i="17" s="1"/>
  <c r="H644" i="17" s="1"/>
  <c r="I644" i="17" s="1"/>
  <c r="K644" i="17" s="1"/>
  <c r="F645" i="17"/>
  <c r="G645" i="17" s="1"/>
  <c r="H645" i="17" s="1"/>
  <c r="I645" i="17" s="1"/>
  <c r="K645" i="17" s="1"/>
  <c r="F646" i="17"/>
  <c r="G646" i="17" s="1"/>
  <c r="H646" i="17" s="1"/>
  <c r="I646" i="17" s="1"/>
  <c r="K646" i="17" s="1"/>
  <c r="F647" i="17"/>
  <c r="G647" i="17" s="1"/>
  <c r="H647" i="17" s="1"/>
  <c r="I647" i="17" s="1"/>
  <c r="K647" i="17" s="1"/>
  <c r="F648" i="17"/>
  <c r="G648" i="17" s="1"/>
  <c r="H648" i="17" s="1"/>
  <c r="I648" i="17" s="1"/>
  <c r="K648" i="17" s="1"/>
  <c r="F649" i="17"/>
  <c r="G649" i="17" s="1"/>
  <c r="H649" i="17" s="1"/>
  <c r="I649" i="17" s="1"/>
  <c r="K649" i="17" s="1"/>
  <c r="F650" i="17"/>
  <c r="G650" i="17" s="1"/>
  <c r="H650" i="17" s="1"/>
  <c r="I650" i="17" s="1"/>
  <c r="K650" i="17" s="1"/>
  <c r="F651" i="17"/>
  <c r="G651" i="17" s="1"/>
  <c r="H651" i="17" s="1"/>
  <c r="I651" i="17" s="1"/>
  <c r="K651" i="17" s="1"/>
  <c r="F652" i="17"/>
  <c r="G652" i="17" s="1"/>
  <c r="H652" i="17" s="1"/>
  <c r="I652" i="17" s="1"/>
  <c r="K652" i="17" s="1"/>
  <c r="F653" i="17"/>
  <c r="G653" i="17" s="1"/>
  <c r="H653" i="17" s="1"/>
  <c r="I653" i="17" s="1"/>
  <c r="K653" i="17" s="1"/>
  <c r="F654" i="17"/>
  <c r="G654" i="17" s="1"/>
  <c r="H654" i="17" s="1"/>
  <c r="I654" i="17" s="1"/>
  <c r="K654" i="17" s="1"/>
  <c r="F655" i="17"/>
  <c r="G655" i="17" s="1"/>
  <c r="H655" i="17" s="1"/>
  <c r="I655" i="17" s="1"/>
  <c r="K655" i="17" s="1"/>
  <c r="F656" i="17"/>
  <c r="G656" i="17" s="1"/>
  <c r="H656" i="17" s="1"/>
  <c r="I656" i="17" s="1"/>
  <c r="K656" i="17" s="1"/>
  <c r="F657" i="17"/>
  <c r="G657" i="17" s="1"/>
  <c r="H657" i="17" s="1"/>
  <c r="I657" i="17" s="1"/>
  <c r="K657" i="17" s="1"/>
  <c r="F658" i="17"/>
  <c r="G658" i="17" s="1"/>
  <c r="H658" i="17" s="1"/>
  <c r="I658" i="17" s="1"/>
  <c r="K658" i="17" s="1"/>
  <c r="F659" i="17"/>
  <c r="G659" i="17" s="1"/>
  <c r="H659" i="17" s="1"/>
  <c r="I659" i="17" s="1"/>
  <c r="K659" i="17" s="1"/>
  <c r="F660" i="17"/>
  <c r="G660" i="17" s="1"/>
  <c r="H660" i="17" s="1"/>
  <c r="I660" i="17" s="1"/>
  <c r="K660" i="17" s="1"/>
  <c r="F661" i="17"/>
  <c r="G661" i="17" s="1"/>
  <c r="H661" i="17" s="1"/>
  <c r="I661" i="17" s="1"/>
  <c r="K661" i="17" s="1"/>
  <c r="F662" i="17"/>
  <c r="G662" i="17" s="1"/>
  <c r="H662" i="17" s="1"/>
  <c r="I662" i="17" s="1"/>
  <c r="K662" i="17" s="1"/>
  <c r="F663" i="17"/>
  <c r="G663" i="17" s="1"/>
  <c r="H663" i="17" s="1"/>
  <c r="I663" i="17" s="1"/>
  <c r="K663" i="17" s="1"/>
  <c r="F664" i="17"/>
  <c r="G664" i="17" s="1"/>
  <c r="H664" i="17" s="1"/>
  <c r="I664" i="17" s="1"/>
  <c r="K664" i="17" s="1"/>
  <c r="F665" i="17"/>
  <c r="G665" i="17" s="1"/>
  <c r="H665" i="17" s="1"/>
  <c r="I665" i="17" s="1"/>
  <c r="K665" i="17" s="1"/>
  <c r="F666" i="17"/>
  <c r="G666" i="17" s="1"/>
  <c r="H666" i="17" s="1"/>
  <c r="I666" i="17" s="1"/>
  <c r="K666" i="17" s="1"/>
  <c r="F667" i="17"/>
  <c r="G667" i="17" s="1"/>
  <c r="H667" i="17" s="1"/>
  <c r="I667" i="17" s="1"/>
  <c r="K667" i="17" s="1"/>
  <c r="F668" i="17"/>
  <c r="G668" i="17" s="1"/>
  <c r="H668" i="17" s="1"/>
  <c r="I668" i="17" s="1"/>
  <c r="K668" i="17" s="1"/>
  <c r="F669" i="17"/>
  <c r="G669" i="17" s="1"/>
  <c r="H669" i="17" s="1"/>
  <c r="I669" i="17" s="1"/>
  <c r="K669" i="17" s="1"/>
  <c r="F670" i="17"/>
  <c r="G670" i="17" s="1"/>
  <c r="H670" i="17" s="1"/>
  <c r="I670" i="17" s="1"/>
  <c r="K670" i="17" s="1"/>
  <c r="F671" i="17"/>
  <c r="G671" i="17" s="1"/>
  <c r="H671" i="17" s="1"/>
  <c r="I671" i="17" s="1"/>
  <c r="K671" i="17" s="1"/>
  <c r="F672" i="17"/>
  <c r="G672" i="17" s="1"/>
  <c r="H672" i="17" s="1"/>
  <c r="I672" i="17" s="1"/>
  <c r="K672" i="17" s="1"/>
  <c r="F673" i="17"/>
  <c r="G673" i="17" s="1"/>
  <c r="H673" i="17" s="1"/>
  <c r="I673" i="17" s="1"/>
  <c r="K673" i="17" s="1"/>
  <c r="F674" i="17"/>
  <c r="G674" i="17" s="1"/>
  <c r="H674" i="17" s="1"/>
  <c r="I674" i="17" s="1"/>
  <c r="K674" i="17" s="1"/>
  <c r="F675" i="17"/>
  <c r="G675" i="17" s="1"/>
  <c r="H675" i="17" s="1"/>
  <c r="I675" i="17" s="1"/>
  <c r="K675" i="17" s="1"/>
  <c r="F676" i="17"/>
  <c r="G676" i="17" s="1"/>
  <c r="H676" i="17" s="1"/>
  <c r="I676" i="17" s="1"/>
  <c r="K676" i="17" s="1"/>
  <c r="F677" i="17"/>
  <c r="G677" i="17" s="1"/>
  <c r="H677" i="17" s="1"/>
  <c r="I677" i="17" s="1"/>
  <c r="K677" i="17" s="1"/>
  <c r="F678" i="17"/>
  <c r="G678" i="17" s="1"/>
  <c r="H678" i="17" s="1"/>
  <c r="I678" i="17" s="1"/>
  <c r="K678" i="17" s="1"/>
  <c r="F679" i="17"/>
  <c r="G679" i="17" s="1"/>
  <c r="H679" i="17" s="1"/>
  <c r="I679" i="17" s="1"/>
  <c r="K679" i="17" s="1"/>
  <c r="F680" i="17"/>
  <c r="G680" i="17" s="1"/>
  <c r="H680" i="17" s="1"/>
  <c r="I680" i="17" s="1"/>
  <c r="K680" i="17" s="1"/>
  <c r="F681" i="17"/>
  <c r="G681" i="17" s="1"/>
  <c r="H681" i="17" s="1"/>
  <c r="I681" i="17" s="1"/>
  <c r="K681" i="17" s="1"/>
  <c r="F682" i="17"/>
  <c r="G682" i="17" s="1"/>
  <c r="H682" i="17" s="1"/>
  <c r="I682" i="17" s="1"/>
  <c r="K682" i="17" s="1"/>
  <c r="F683" i="17"/>
  <c r="G683" i="17" s="1"/>
  <c r="H683" i="17" s="1"/>
  <c r="I683" i="17" s="1"/>
  <c r="K683" i="17" s="1"/>
  <c r="F684" i="17"/>
  <c r="G684" i="17" s="1"/>
  <c r="H684" i="17" s="1"/>
  <c r="I684" i="17" s="1"/>
  <c r="K684" i="17" s="1"/>
  <c r="F685" i="17"/>
  <c r="G685" i="17" s="1"/>
  <c r="H685" i="17" s="1"/>
  <c r="I685" i="17" s="1"/>
  <c r="K685" i="17" s="1"/>
  <c r="F686" i="17"/>
  <c r="G686" i="17" s="1"/>
  <c r="H686" i="17" s="1"/>
  <c r="I686" i="17" s="1"/>
  <c r="K686" i="17" s="1"/>
  <c r="F687" i="17"/>
  <c r="G687" i="17" s="1"/>
  <c r="H687" i="17" s="1"/>
  <c r="I687" i="17" s="1"/>
  <c r="K687" i="17" s="1"/>
  <c r="F688" i="17"/>
  <c r="G688" i="17" s="1"/>
  <c r="H688" i="17" s="1"/>
  <c r="I688" i="17" s="1"/>
  <c r="K688" i="17" s="1"/>
  <c r="F689" i="17"/>
  <c r="G689" i="17" s="1"/>
  <c r="H689" i="17" s="1"/>
  <c r="I689" i="17" s="1"/>
  <c r="K689" i="17" s="1"/>
  <c r="F690" i="17"/>
  <c r="G690" i="17" s="1"/>
  <c r="H690" i="17" s="1"/>
  <c r="I690" i="17" s="1"/>
  <c r="K690" i="17" s="1"/>
  <c r="F691" i="17"/>
  <c r="G691" i="17" s="1"/>
  <c r="H691" i="17" s="1"/>
  <c r="I691" i="17" s="1"/>
  <c r="K691" i="17" s="1"/>
  <c r="F692" i="17"/>
  <c r="G692" i="17" s="1"/>
  <c r="H692" i="17" s="1"/>
  <c r="I692" i="17" s="1"/>
  <c r="K692" i="17" s="1"/>
  <c r="F693" i="17"/>
  <c r="G693" i="17" s="1"/>
  <c r="H693" i="17" s="1"/>
  <c r="I693" i="17" s="1"/>
  <c r="K693" i="17" s="1"/>
  <c r="F694" i="17"/>
  <c r="G694" i="17" s="1"/>
  <c r="H694" i="17" s="1"/>
  <c r="I694" i="17" s="1"/>
  <c r="K694" i="17" s="1"/>
  <c r="F695" i="17"/>
  <c r="G695" i="17" s="1"/>
  <c r="H695" i="17" s="1"/>
  <c r="I695" i="17" s="1"/>
  <c r="K695" i="17" s="1"/>
  <c r="F696" i="17"/>
  <c r="G696" i="17" s="1"/>
  <c r="H696" i="17" s="1"/>
  <c r="I696" i="17" s="1"/>
  <c r="K696" i="17" s="1"/>
  <c r="F697" i="17"/>
  <c r="G697" i="17" s="1"/>
  <c r="H697" i="17" s="1"/>
  <c r="I697" i="17" s="1"/>
  <c r="K697" i="17" s="1"/>
  <c r="F698" i="17"/>
  <c r="G698" i="17" s="1"/>
  <c r="H698" i="17" s="1"/>
  <c r="I698" i="17" s="1"/>
  <c r="K698" i="17" s="1"/>
  <c r="F699" i="17"/>
  <c r="G699" i="17" s="1"/>
  <c r="H699" i="17" s="1"/>
  <c r="I699" i="17" s="1"/>
  <c r="K699" i="17" s="1"/>
  <c r="F700" i="17"/>
  <c r="G700" i="17" s="1"/>
  <c r="H700" i="17" s="1"/>
  <c r="I700" i="17" s="1"/>
  <c r="K700" i="17" s="1"/>
  <c r="F701" i="17"/>
  <c r="G701" i="17" s="1"/>
  <c r="H701" i="17" s="1"/>
  <c r="I701" i="17" s="1"/>
  <c r="K701" i="17" s="1"/>
  <c r="F702" i="17"/>
  <c r="G702" i="17" s="1"/>
  <c r="H702" i="17" s="1"/>
  <c r="I702" i="17" s="1"/>
  <c r="K702" i="17" s="1"/>
  <c r="F703" i="17"/>
  <c r="G703" i="17" s="1"/>
  <c r="H703" i="17" s="1"/>
  <c r="I703" i="17" s="1"/>
  <c r="K703" i="17" s="1"/>
  <c r="F704" i="17"/>
  <c r="G704" i="17" s="1"/>
  <c r="H704" i="17" s="1"/>
  <c r="I704" i="17" s="1"/>
  <c r="K704" i="17" s="1"/>
  <c r="F705" i="17"/>
  <c r="G705" i="17" s="1"/>
  <c r="H705" i="17" s="1"/>
  <c r="I705" i="17" s="1"/>
  <c r="K705" i="17" s="1"/>
  <c r="F706" i="17"/>
  <c r="G706" i="17" s="1"/>
  <c r="H706" i="17" s="1"/>
  <c r="I706" i="17" s="1"/>
  <c r="K706" i="17" s="1"/>
  <c r="F707" i="17"/>
  <c r="G707" i="17" s="1"/>
  <c r="H707" i="17" s="1"/>
  <c r="I707" i="17" s="1"/>
  <c r="K707" i="17" s="1"/>
  <c r="F708" i="17"/>
  <c r="G708" i="17" s="1"/>
  <c r="H708" i="17" s="1"/>
  <c r="I708" i="17" s="1"/>
  <c r="K708" i="17" s="1"/>
  <c r="F709" i="17"/>
  <c r="G709" i="17" s="1"/>
  <c r="H709" i="17" s="1"/>
  <c r="I709" i="17" s="1"/>
  <c r="K709" i="17" s="1"/>
  <c r="F710" i="17"/>
  <c r="G710" i="17" s="1"/>
  <c r="H710" i="17" s="1"/>
  <c r="I710" i="17" s="1"/>
  <c r="K710" i="17" s="1"/>
  <c r="F711" i="17"/>
  <c r="G711" i="17" s="1"/>
  <c r="H711" i="17" s="1"/>
  <c r="I711" i="17" s="1"/>
  <c r="K711" i="17" s="1"/>
  <c r="F712" i="17"/>
  <c r="G712" i="17" s="1"/>
  <c r="H712" i="17" s="1"/>
  <c r="I712" i="17" s="1"/>
  <c r="K712" i="17" s="1"/>
  <c r="F713" i="17"/>
  <c r="G713" i="17" s="1"/>
  <c r="H713" i="17" s="1"/>
  <c r="I713" i="17" s="1"/>
  <c r="K713" i="17" s="1"/>
  <c r="F714" i="17"/>
  <c r="G714" i="17" s="1"/>
  <c r="H714" i="17" s="1"/>
  <c r="I714" i="17" s="1"/>
  <c r="K714" i="17" s="1"/>
  <c r="F715" i="17"/>
  <c r="G715" i="17" s="1"/>
  <c r="H715" i="17" s="1"/>
  <c r="I715" i="17" s="1"/>
  <c r="K715" i="17" s="1"/>
  <c r="F716" i="17"/>
  <c r="G716" i="17" s="1"/>
  <c r="H716" i="17" s="1"/>
  <c r="I716" i="17" s="1"/>
  <c r="K716" i="17" s="1"/>
  <c r="F717" i="17"/>
  <c r="G717" i="17" s="1"/>
  <c r="H717" i="17" s="1"/>
  <c r="I717" i="17" s="1"/>
  <c r="K717" i="17" s="1"/>
  <c r="F718" i="17"/>
  <c r="G718" i="17" s="1"/>
  <c r="H718" i="17" s="1"/>
  <c r="I718" i="17" s="1"/>
  <c r="K718" i="17" s="1"/>
  <c r="F719" i="17"/>
  <c r="G719" i="17" s="1"/>
  <c r="H719" i="17" s="1"/>
  <c r="I719" i="17" s="1"/>
  <c r="K719" i="17" s="1"/>
  <c r="F720" i="17"/>
  <c r="G720" i="17" s="1"/>
  <c r="H720" i="17" s="1"/>
  <c r="I720" i="17" s="1"/>
  <c r="K720" i="17" s="1"/>
  <c r="F721" i="17"/>
  <c r="G721" i="17" s="1"/>
  <c r="H721" i="17" s="1"/>
  <c r="I721" i="17" s="1"/>
  <c r="K721" i="17" s="1"/>
  <c r="F722" i="17"/>
  <c r="G722" i="17" s="1"/>
  <c r="H722" i="17" s="1"/>
  <c r="I722" i="17" s="1"/>
  <c r="K722" i="17" s="1"/>
  <c r="F723" i="17"/>
  <c r="G723" i="17" s="1"/>
  <c r="H723" i="17" s="1"/>
  <c r="I723" i="17" s="1"/>
  <c r="K723" i="17" s="1"/>
  <c r="F724" i="17"/>
  <c r="G724" i="17" s="1"/>
  <c r="H724" i="17" s="1"/>
  <c r="I724" i="17" s="1"/>
  <c r="K724" i="17" s="1"/>
  <c r="F725" i="17"/>
  <c r="G725" i="17" s="1"/>
  <c r="H725" i="17" s="1"/>
  <c r="I725" i="17" s="1"/>
  <c r="K725" i="17" s="1"/>
  <c r="F726" i="17"/>
  <c r="G726" i="17" s="1"/>
  <c r="H726" i="17" s="1"/>
  <c r="I726" i="17" s="1"/>
  <c r="K726" i="17" s="1"/>
  <c r="F727" i="17"/>
  <c r="G727" i="17" s="1"/>
  <c r="H727" i="17" s="1"/>
  <c r="I727" i="17" s="1"/>
  <c r="K727" i="17" s="1"/>
  <c r="F728" i="17"/>
  <c r="G728" i="17" s="1"/>
  <c r="H728" i="17" s="1"/>
  <c r="I728" i="17" s="1"/>
  <c r="K728" i="17" s="1"/>
  <c r="F729" i="17"/>
  <c r="G729" i="17" s="1"/>
  <c r="H729" i="17" s="1"/>
  <c r="I729" i="17" s="1"/>
  <c r="K729" i="17" s="1"/>
  <c r="F730" i="17"/>
  <c r="G730" i="17" s="1"/>
  <c r="H730" i="17" s="1"/>
  <c r="I730" i="17" s="1"/>
  <c r="K730" i="17" s="1"/>
  <c r="F731" i="17"/>
  <c r="G731" i="17" s="1"/>
  <c r="H731" i="17" s="1"/>
  <c r="I731" i="17" s="1"/>
  <c r="K731" i="17" s="1"/>
  <c r="F732" i="17"/>
  <c r="G732" i="17" s="1"/>
  <c r="H732" i="17" s="1"/>
  <c r="I732" i="17" s="1"/>
  <c r="K732" i="17" s="1"/>
  <c r="F733" i="17"/>
  <c r="G733" i="17" s="1"/>
  <c r="H733" i="17" s="1"/>
  <c r="I733" i="17" s="1"/>
  <c r="K733" i="17" s="1"/>
  <c r="F734" i="17"/>
  <c r="G734" i="17" s="1"/>
  <c r="H734" i="17" s="1"/>
  <c r="I734" i="17" s="1"/>
  <c r="K734" i="17" s="1"/>
  <c r="F735" i="17"/>
  <c r="G735" i="17" s="1"/>
  <c r="H735" i="17" s="1"/>
  <c r="I735" i="17" s="1"/>
  <c r="K735" i="17" s="1"/>
  <c r="F736" i="17"/>
  <c r="G736" i="17" s="1"/>
  <c r="H736" i="17" s="1"/>
  <c r="I736" i="17" s="1"/>
  <c r="K736" i="17" s="1"/>
  <c r="F737" i="17"/>
  <c r="G737" i="17" s="1"/>
  <c r="H737" i="17" s="1"/>
  <c r="I737" i="17" s="1"/>
  <c r="K737" i="17" s="1"/>
  <c r="F738" i="17"/>
  <c r="G738" i="17" s="1"/>
  <c r="H738" i="17" s="1"/>
  <c r="I738" i="17" s="1"/>
  <c r="K738" i="17" s="1"/>
  <c r="F739" i="17"/>
  <c r="G739" i="17" s="1"/>
  <c r="H739" i="17" s="1"/>
  <c r="I739" i="17" s="1"/>
  <c r="K739" i="17" s="1"/>
  <c r="F740" i="17"/>
  <c r="G740" i="17" s="1"/>
  <c r="H740" i="17" s="1"/>
  <c r="I740" i="17" s="1"/>
  <c r="K740" i="17" s="1"/>
  <c r="F741" i="17"/>
  <c r="G741" i="17" s="1"/>
  <c r="H741" i="17" s="1"/>
  <c r="I741" i="17" s="1"/>
  <c r="K741" i="17" s="1"/>
  <c r="F742" i="17"/>
  <c r="G742" i="17" s="1"/>
  <c r="H742" i="17" s="1"/>
  <c r="I742" i="17" s="1"/>
  <c r="K742" i="17" s="1"/>
  <c r="F743" i="17"/>
  <c r="G743" i="17" s="1"/>
  <c r="H743" i="17" s="1"/>
  <c r="I743" i="17" s="1"/>
  <c r="K743" i="17" s="1"/>
  <c r="F744" i="17"/>
  <c r="G744" i="17" s="1"/>
  <c r="H744" i="17" s="1"/>
  <c r="I744" i="17" s="1"/>
  <c r="K744" i="17" s="1"/>
  <c r="F745" i="17"/>
  <c r="G745" i="17" s="1"/>
  <c r="H745" i="17" s="1"/>
  <c r="I745" i="17" s="1"/>
  <c r="K745" i="17" s="1"/>
  <c r="F746" i="17"/>
  <c r="G746" i="17" s="1"/>
  <c r="H746" i="17" s="1"/>
  <c r="I746" i="17" s="1"/>
  <c r="K746" i="17" s="1"/>
  <c r="F747" i="17"/>
  <c r="G747" i="17" s="1"/>
  <c r="H747" i="17" s="1"/>
  <c r="I747" i="17" s="1"/>
  <c r="K747" i="17" s="1"/>
  <c r="F748" i="17"/>
  <c r="G748" i="17" s="1"/>
  <c r="H748" i="17" s="1"/>
  <c r="I748" i="17" s="1"/>
  <c r="K748" i="17" s="1"/>
  <c r="F749" i="17"/>
  <c r="G749" i="17" s="1"/>
  <c r="H749" i="17" s="1"/>
  <c r="I749" i="17" s="1"/>
  <c r="K749" i="17" s="1"/>
  <c r="F750" i="17"/>
  <c r="G750" i="17" s="1"/>
  <c r="H750" i="17" s="1"/>
  <c r="I750" i="17" s="1"/>
  <c r="K750" i="17" s="1"/>
  <c r="F751" i="17"/>
  <c r="G751" i="17" s="1"/>
  <c r="H751" i="17" s="1"/>
  <c r="I751" i="17" s="1"/>
  <c r="K751" i="17" s="1"/>
  <c r="F752" i="17"/>
  <c r="G752" i="17" s="1"/>
  <c r="H752" i="17" s="1"/>
  <c r="I752" i="17" s="1"/>
  <c r="K752" i="17" s="1"/>
  <c r="F753" i="17"/>
  <c r="G753" i="17" s="1"/>
  <c r="H753" i="17" s="1"/>
  <c r="I753" i="17" s="1"/>
  <c r="K753" i="17" s="1"/>
  <c r="F754" i="17"/>
  <c r="G754" i="17" s="1"/>
  <c r="H754" i="17" s="1"/>
  <c r="I754" i="17" s="1"/>
  <c r="K754" i="17" s="1"/>
  <c r="F755" i="17"/>
  <c r="G755" i="17" s="1"/>
  <c r="H755" i="17" s="1"/>
  <c r="I755" i="17" s="1"/>
  <c r="K755" i="17" s="1"/>
  <c r="F756" i="17"/>
  <c r="G756" i="17" s="1"/>
  <c r="H756" i="17" s="1"/>
  <c r="I756" i="17" s="1"/>
  <c r="K756" i="17" s="1"/>
  <c r="F757" i="17"/>
  <c r="G757" i="17" s="1"/>
  <c r="H757" i="17" s="1"/>
  <c r="I757" i="17" s="1"/>
  <c r="K757" i="17" s="1"/>
  <c r="F758" i="17"/>
  <c r="G758" i="17" s="1"/>
  <c r="H758" i="17" s="1"/>
  <c r="I758" i="17" s="1"/>
  <c r="K758" i="17" s="1"/>
  <c r="F759" i="17"/>
  <c r="G759" i="17" s="1"/>
  <c r="H759" i="17" s="1"/>
  <c r="I759" i="17" s="1"/>
  <c r="K759" i="17" s="1"/>
  <c r="F760" i="17"/>
  <c r="G760" i="17" s="1"/>
  <c r="H760" i="17" s="1"/>
  <c r="I760" i="17" s="1"/>
  <c r="K760" i="17" s="1"/>
  <c r="F761" i="17"/>
  <c r="G761" i="17" s="1"/>
  <c r="H761" i="17" s="1"/>
  <c r="I761" i="17" s="1"/>
  <c r="K761" i="17" s="1"/>
  <c r="F762" i="17"/>
  <c r="G762" i="17" s="1"/>
  <c r="H762" i="17" s="1"/>
  <c r="I762" i="17" s="1"/>
  <c r="K762" i="17" s="1"/>
  <c r="F763" i="17"/>
  <c r="G763" i="17" s="1"/>
  <c r="H763" i="17" s="1"/>
  <c r="I763" i="17" s="1"/>
  <c r="K763" i="17" s="1"/>
  <c r="F764" i="17"/>
  <c r="G764" i="17" s="1"/>
  <c r="H764" i="17" s="1"/>
  <c r="I764" i="17" s="1"/>
  <c r="K764" i="17" s="1"/>
  <c r="F765" i="17"/>
  <c r="G765" i="17" s="1"/>
  <c r="H765" i="17" s="1"/>
  <c r="I765" i="17" s="1"/>
  <c r="K765" i="17" s="1"/>
  <c r="F766" i="17"/>
  <c r="G766" i="17" s="1"/>
  <c r="H766" i="17" s="1"/>
  <c r="I766" i="17" s="1"/>
  <c r="K766" i="17" s="1"/>
  <c r="F767" i="17"/>
  <c r="G767" i="17" s="1"/>
  <c r="H767" i="17" s="1"/>
  <c r="I767" i="17" s="1"/>
  <c r="K767" i="17" s="1"/>
  <c r="F768" i="17"/>
  <c r="G768" i="17" s="1"/>
  <c r="H768" i="17" s="1"/>
  <c r="I768" i="17" s="1"/>
  <c r="K768" i="17" s="1"/>
  <c r="F769" i="17"/>
  <c r="G769" i="17" s="1"/>
  <c r="H769" i="17" s="1"/>
  <c r="I769" i="17" s="1"/>
  <c r="K769" i="17" s="1"/>
  <c r="F770" i="17"/>
  <c r="G770" i="17" s="1"/>
  <c r="H770" i="17" s="1"/>
  <c r="I770" i="17" s="1"/>
  <c r="K770" i="17" s="1"/>
  <c r="F771" i="17"/>
  <c r="G771" i="17" s="1"/>
  <c r="H771" i="17" s="1"/>
  <c r="I771" i="17" s="1"/>
  <c r="K771" i="17" s="1"/>
  <c r="F772" i="17"/>
  <c r="G772" i="17" s="1"/>
  <c r="H772" i="17" s="1"/>
  <c r="I772" i="17" s="1"/>
  <c r="K772" i="17" s="1"/>
  <c r="F773" i="17"/>
  <c r="G773" i="17" s="1"/>
  <c r="H773" i="17" s="1"/>
  <c r="I773" i="17" s="1"/>
  <c r="K773" i="17" s="1"/>
  <c r="F774" i="17"/>
  <c r="G774" i="17" s="1"/>
  <c r="H774" i="17" s="1"/>
  <c r="I774" i="17" s="1"/>
  <c r="K774" i="17" s="1"/>
  <c r="F775" i="17"/>
  <c r="G775" i="17" s="1"/>
  <c r="H775" i="17" s="1"/>
  <c r="I775" i="17" s="1"/>
  <c r="K775" i="17" s="1"/>
  <c r="F776" i="17"/>
  <c r="G776" i="17" s="1"/>
  <c r="H776" i="17" s="1"/>
  <c r="I776" i="17" s="1"/>
  <c r="K776" i="17" s="1"/>
  <c r="F777" i="17"/>
  <c r="G777" i="17" s="1"/>
  <c r="H777" i="17" s="1"/>
  <c r="I777" i="17" s="1"/>
  <c r="K777" i="17" s="1"/>
  <c r="F778" i="17"/>
  <c r="G778" i="17" s="1"/>
  <c r="H778" i="17" s="1"/>
  <c r="I778" i="17" s="1"/>
  <c r="K778" i="17" s="1"/>
  <c r="F779" i="17"/>
  <c r="G779" i="17" s="1"/>
  <c r="H779" i="17" s="1"/>
  <c r="I779" i="17" s="1"/>
  <c r="K779" i="17" s="1"/>
  <c r="F780" i="17"/>
  <c r="G780" i="17" s="1"/>
  <c r="H780" i="17" s="1"/>
  <c r="I780" i="17" s="1"/>
  <c r="K780" i="17" s="1"/>
  <c r="F781" i="17"/>
  <c r="G781" i="17" s="1"/>
  <c r="H781" i="17" s="1"/>
  <c r="I781" i="17" s="1"/>
  <c r="K781" i="17" s="1"/>
  <c r="F782" i="17"/>
  <c r="G782" i="17" s="1"/>
  <c r="H782" i="17" s="1"/>
  <c r="I782" i="17" s="1"/>
  <c r="K782" i="17" s="1"/>
  <c r="F783" i="17"/>
  <c r="G783" i="17" s="1"/>
  <c r="H783" i="17" s="1"/>
  <c r="I783" i="17" s="1"/>
  <c r="K783" i="17" s="1"/>
  <c r="F784" i="17"/>
  <c r="G784" i="17" s="1"/>
  <c r="H784" i="17" s="1"/>
  <c r="I784" i="17" s="1"/>
  <c r="K784" i="17" s="1"/>
  <c r="F785" i="17"/>
  <c r="G785" i="17" s="1"/>
  <c r="H785" i="17" s="1"/>
  <c r="I785" i="17" s="1"/>
  <c r="K785" i="17" s="1"/>
  <c r="F786" i="17"/>
  <c r="G786" i="17" s="1"/>
  <c r="H786" i="17" s="1"/>
  <c r="I786" i="17" s="1"/>
  <c r="K786" i="17" s="1"/>
  <c r="F787" i="17"/>
  <c r="G787" i="17" s="1"/>
  <c r="H787" i="17" s="1"/>
  <c r="I787" i="17" s="1"/>
  <c r="K787" i="17" s="1"/>
  <c r="F788" i="17"/>
  <c r="G788" i="17" s="1"/>
  <c r="H788" i="17" s="1"/>
  <c r="I788" i="17" s="1"/>
  <c r="K788" i="17" s="1"/>
  <c r="F789" i="17"/>
  <c r="G789" i="17" s="1"/>
  <c r="H789" i="17" s="1"/>
  <c r="I789" i="17" s="1"/>
  <c r="K789" i="17" s="1"/>
  <c r="F790" i="17"/>
  <c r="G790" i="17" s="1"/>
  <c r="H790" i="17" s="1"/>
  <c r="I790" i="17" s="1"/>
  <c r="K790" i="17" s="1"/>
  <c r="F791" i="17"/>
  <c r="G791" i="17" s="1"/>
  <c r="H791" i="17" s="1"/>
  <c r="I791" i="17" s="1"/>
  <c r="K791" i="17" s="1"/>
  <c r="F792" i="17"/>
  <c r="G792" i="17" s="1"/>
  <c r="H792" i="17" s="1"/>
  <c r="I792" i="17" s="1"/>
  <c r="K792" i="17" s="1"/>
  <c r="F793" i="17"/>
  <c r="G793" i="17" s="1"/>
  <c r="H793" i="17" s="1"/>
  <c r="I793" i="17" s="1"/>
  <c r="K793" i="17" s="1"/>
  <c r="F794" i="17"/>
  <c r="G794" i="17" s="1"/>
  <c r="H794" i="17" s="1"/>
  <c r="I794" i="17" s="1"/>
  <c r="K794" i="17" s="1"/>
  <c r="F795" i="17"/>
  <c r="G795" i="17" s="1"/>
  <c r="H795" i="17" s="1"/>
  <c r="I795" i="17" s="1"/>
  <c r="K795" i="17" s="1"/>
  <c r="F796" i="17"/>
  <c r="G796" i="17" s="1"/>
  <c r="H796" i="17" s="1"/>
  <c r="I796" i="17" s="1"/>
  <c r="K796" i="17" s="1"/>
  <c r="F797" i="17"/>
  <c r="G797" i="17" s="1"/>
  <c r="H797" i="17" s="1"/>
  <c r="I797" i="17" s="1"/>
  <c r="K797" i="17" s="1"/>
  <c r="F798" i="17"/>
  <c r="G798" i="17" s="1"/>
  <c r="H798" i="17" s="1"/>
  <c r="I798" i="17" s="1"/>
  <c r="K798" i="17" s="1"/>
  <c r="F799" i="17"/>
  <c r="G799" i="17" s="1"/>
  <c r="H799" i="17" s="1"/>
  <c r="I799" i="17" s="1"/>
  <c r="K799" i="17" s="1"/>
  <c r="F800" i="17"/>
  <c r="G800" i="17" s="1"/>
  <c r="H800" i="17" s="1"/>
  <c r="I800" i="17" s="1"/>
  <c r="K800" i="17" s="1"/>
  <c r="F801" i="17"/>
  <c r="G801" i="17" s="1"/>
  <c r="H801" i="17" s="1"/>
  <c r="I801" i="17" s="1"/>
  <c r="K801" i="17" s="1"/>
  <c r="F802" i="17"/>
  <c r="G802" i="17" s="1"/>
  <c r="H802" i="17" s="1"/>
  <c r="I802" i="17" s="1"/>
  <c r="K802" i="17" s="1"/>
  <c r="F803" i="17"/>
  <c r="G803" i="17" s="1"/>
  <c r="H803" i="17" s="1"/>
  <c r="I803" i="17" s="1"/>
  <c r="K803" i="17" s="1"/>
  <c r="F804" i="17"/>
  <c r="G804" i="17" s="1"/>
  <c r="H804" i="17" s="1"/>
  <c r="I804" i="17" s="1"/>
  <c r="K804" i="17" s="1"/>
  <c r="F805" i="17"/>
  <c r="G805" i="17" s="1"/>
  <c r="H805" i="17" s="1"/>
  <c r="I805" i="17" s="1"/>
  <c r="K805" i="17" s="1"/>
  <c r="F806" i="17"/>
  <c r="G806" i="17" s="1"/>
  <c r="H806" i="17" s="1"/>
  <c r="I806" i="17" s="1"/>
  <c r="K806" i="17" s="1"/>
  <c r="F807" i="17"/>
  <c r="G807" i="17" s="1"/>
  <c r="H807" i="17" s="1"/>
  <c r="I807" i="17" s="1"/>
  <c r="K807" i="17" s="1"/>
  <c r="F808" i="17"/>
  <c r="G808" i="17" s="1"/>
  <c r="H808" i="17" s="1"/>
  <c r="I808" i="17" s="1"/>
  <c r="K808" i="17" s="1"/>
  <c r="F809" i="17"/>
  <c r="G809" i="17" s="1"/>
  <c r="H809" i="17" s="1"/>
  <c r="I809" i="17" s="1"/>
  <c r="K809" i="17" s="1"/>
  <c r="F810" i="17"/>
  <c r="G810" i="17" s="1"/>
  <c r="H810" i="17" s="1"/>
  <c r="I810" i="17" s="1"/>
  <c r="K810" i="17" s="1"/>
  <c r="F811" i="17"/>
  <c r="G811" i="17" s="1"/>
  <c r="H811" i="17" s="1"/>
  <c r="I811" i="17" s="1"/>
  <c r="K811" i="17" s="1"/>
  <c r="F812" i="17"/>
  <c r="G812" i="17" s="1"/>
  <c r="H812" i="17" s="1"/>
  <c r="I812" i="17" s="1"/>
  <c r="K812" i="17" s="1"/>
  <c r="F813" i="17"/>
  <c r="G813" i="17" s="1"/>
  <c r="H813" i="17" s="1"/>
  <c r="I813" i="17" s="1"/>
  <c r="K813" i="17" s="1"/>
  <c r="F814" i="17"/>
  <c r="G814" i="17" s="1"/>
  <c r="H814" i="17" s="1"/>
  <c r="I814" i="17" s="1"/>
  <c r="K814" i="17" s="1"/>
  <c r="F815" i="17"/>
  <c r="G815" i="17" s="1"/>
  <c r="H815" i="17" s="1"/>
  <c r="I815" i="17" s="1"/>
  <c r="K815" i="17" s="1"/>
  <c r="F816" i="17"/>
  <c r="G816" i="17" s="1"/>
  <c r="H816" i="17" s="1"/>
  <c r="I816" i="17" s="1"/>
  <c r="K816" i="17" s="1"/>
  <c r="F817" i="17"/>
  <c r="G817" i="17" s="1"/>
  <c r="H817" i="17" s="1"/>
  <c r="I817" i="17" s="1"/>
  <c r="K817" i="17" s="1"/>
  <c r="F818" i="17"/>
  <c r="G818" i="17" s="1"/>
  <c r="H818" i="17" s="1"/>
  <c r="I818" i="17" s="1"/>
  <c r="K818" i="17" s="1"/>
  <c r="F819" i="17"/>
  <c r="G819" i="17" s="1"/>
  <c r="H819" i="17" s="1"/>
  <c r="I819" i="17" s="1"/>
  <c r="K819" i="17" s="1"/>
  <c r="F820" i="17"/>
  <c r="G820" i="17" s="1"/>
  <c r="H820" i="17" s="1"/>
  <c r="I820" i="17" s="1"/>
  <c r="K820" i="17" s="1"/>
  <c r="F821" i="17"/>
  <c r="G821" i="17" s="1"/>
  <c r="H821" i="17" s="1"/>
  <c r="I821" i="17" s="1"/>
  <c r="K821" i="17" s="1"/>
  <c r="F822" i="17"/>
  <c r="G822" i="17" s="1"/>
  <c r="H822" i="17" s="1"/>
  <c r="I822" i="17" s="1"/>
  <c r="K822" i="17" s="1"/>
  <c r="F823" i="17"/>
  <c r="G823" i="17" s="1"/>
  <c r="H823" i="17" s="1"/>
  <c r="I823" i="17" s="1"/>
  <c r="K823" i="17" s="1"/>
  <c r="F824" i="17"/>
  <c r="G824" i="17" s="1"/>
  <c r="H824" i="17" s="1"/>
  <c r="I824" i="17" s="1"/>
  <c r="K824" i="17" s="1"/>
  <c r="F825" i="17"/>
  <c r="G825" i="17" s="1"/>
  <c r="H825" i="17" s="1"/>
  <c r="I825" i="17" s="1"/>
  <c r="K825" i="17" s="1"/>
  <c r="F826" i="17"/>
  <c r="G826" i="17" s="1"/>
  <c r="H826" i="17" s="1"/>
  <c r="I826" i="17" s="1"/>
  <c r="K826" i="17" s="1"/>
  <c r="F827" i="17"/>
  <c r="G827" i="17" s="1"/>
  <c r="H827" i="17" s="1"/>
  <c r="I827" i="17" s="1"/>
  <c r="K827" i="17" s="1"/>
  <c r="F828" i="17"/>
  <c r="G828" i="17" s="1"/>
  <c r="H828" i="17" s="1"/>
  <c r="I828" i="17" s="1"/>
  <c r="K828" i="17" s="1"/>
  <c r="F829" i="17"/>
  <c r="G829" i="17" s="1"/>
  <c r="H829" i="17" s="1"/>
  <c r="I829" i="17" s="1"/>
  <c r="K829" i="17" s="1"/>
  <c r="F830" i="17"/>
  <c r="G830" i="17" s="1"/>
  <c r="H830" i="17" s="1"/>
  <c r="I830" i="17" s="1"/>
  <c r="K830" i="17" s="1"/>
  <c r="F831" i="17"/>
  <c r="G831" i="17" s="1"/>
  <c r="H831" i="17" s="1"/>
  <c r="I831" i="17" s="1"/>
  <c r="K831" i="17" s="1"/>
  <c r="F832" i="17"/>
  <c r="G832" i="17" s="1"/>
  <c r="H832" i="17" s="1"/>
  <c r="I832" i="17" s="1"/>
  <c r="K832" i="17" s="1"/>
  <c r="F833" i="17"/>
  <c r="G833" i="17" s="1"/>
  <c r="H833" i="17" s="1"/>
  <c r="I833" i="17" s="1"/>
  <c r="K833" i="17" s="1"/>
  <c r="F834" i="17"/>
  <c r="G834" i="17" s="1"/>
  <c r="H834" i="17" s="1"/>
  <c r="I834" i="17" s="1"/>
  <c r="K834" i="17" s="1"/>
  <c r="F835" i="17"/>
  <c r="G835" i="17" s="1"/>
  <c r="H835" i="17" s="1"/>
  <c r="I835" i="17" s="1"/>
  <c r="K835" i="17" s="1"/>
  <c r="F836" i="17"/>
  <c r="G836" i="17" s="1"/>
  <c r="H836" i="17" s="1"/>
  <c r="I836" i="17" s="1"/>
  <c r="K836" i="17" s="1"/>
  <c r="F837" i="17"/>
  <c r="G837" i="17" s="1"/>
  <c r="H837" i="17" s="1"/>
  <c r="I837" i="17" s="1"/>
  <c r="K837" i="17" s="1"/>
  <c r="F838" i="17"/>
  <c r="G838" i="17" s="1"/>
  <c r="H838" i="17" s="1"/>
  <c r="I838" i="17" s="1"/>
  <c r="K838" i="17" s="1"/>
  <c r="F839" i="17"/>
  <c r="G839" i="17" s="1"/>
  <c r="H839" i="17" s="1"/>
  <c r="I839" i="17" s="1"/>
  <c r="K839" i="17" s="1"/>
  <c r="F840" i="17"/>
  <c r="G840" i="17" s="1"/>
  <c r="H840" i="17" s="1"/>
  <c r="I840" i="17" s="1"/>
  <c r="K840" i="17" s="1"/>
  <c r="F841" i="17"/>
  <c r="G841" i="17" s="1"/>
  <c r="H841" i="17" s="1"/>
  <c r="I841" i="17" s="1"/>
  <c r="K841" i="17" s="1"/>
  <c r="F842" i="17"/>
  <c r="G842" i="17" s="1"/>
  <c r="H842" i="17" s="1"/>
  <c r="I842" i="17" s="1"/>
  <c r="K842" i="17" s="1"/>
  <c r="F843" i="17"/>
  <c r="G843" i="17" s="1"/>
  <c r="H843" i="17" s="1"/>
  <c r="I843" i="17" s="1"/>
  <c r="K843" i="17" s="1"/>
  <c r="F844" i="17"/>
  <c r="G844" i="17" s="1"/>
  <c r="H844" i="17" s="1"/>
  <c r="I844" i="17" s="1"/>
  <c r="K844" i="17" s="1"/>
  <c r="F845" i="17"/>
  <c r="G845" i="17" s="1"/>
  <c r="H845" i="17" s="1"/>
  <c r="I845" i="17" s="1"/>
  <c r="K845" i="17" s="1"/>
  <c r="F846" i="17"/>
  <c r="G846" i="17" s="1"/>
  <c r="H846" i="17" s="1"/>
  <c r="I846" i="17" s="1"/>
  <c r="K846" i="17" s="1"/>
  <c r="F847" i="17"/>
  <c r="G847" i="17" s="1"/>
  <c r="H847" i="17" s="1"/>
  <c r="I847" i="17" s="1"/>
  <c r="K847" i="17" s="1"/>
  <c r="F848" i="17"/>
  <c r="G848" i="17" s="1"/>
  <c r="H848" i="17" s="1"/>
  <c r="I848" i="17" s="1"/>
  <c r="K848" i="17" s="1"/>
  <c r="F849" i="17"/>
  <c r="G849" i="17" s="1"/>
  <c r="H849" i="17" s="1"/>
  <c r="I849" i="17" s="1"/>
  <c r="K849" i="17" s="1"/>
  <c r="F850" i="17"/>
  <c r="G850" i="17" s="1"/>
  <c r="H850" i="17" s="1"/>
  <c r="I850" i="17" s="1"/>
  <c r="K850" i="17" s="1"/>
  <c r="F851" i="17"/>
  <c r="G851" i="17" s="1"/>
  <c r="H851" i="17" s="1"/>
  <c r="I851" i="17" s="1"/>
  <c r="K851" i="17" s="1"/>
  <c r="F852" i="17"/>
  <c r="G852" i="17" s="1"/>
  <c r="H852" i="17" s="1"/>
  <c r="I852" i="17" s="1"/>
  <c r="K852" i="17" s="1"/>
  <c r="F853" i="17"/>
  <c r="G853" i="17" s="1"/>
  <c r="H853" i="17" s="1"/>
  <c r="I853" i="17" s="1"/>
  <c r="K853" i="17" s="1"/>
  <c r="F854" i="17"/>
  <c r="G854" i="17" s="1"/>
  <c r="H854" i="17" s="1"/>
  <c r="I854" i="17" s="1"/>
  <c r="K854" i="17" s="1"/>
  <c r="F855" i="17"/>
  <c r="G855" i="17" s="1"/>
  <c r="H855" i="17" s="1"/>
  <c r="I855" i="17" s="1"/>
  <c r="K855" i="17" s="1"/>
  <c r="F856" i="17"/>
  <c r="G856" i="17" s="1"/>
  <c r="H856" i="17" s="1"/>
  <c r="I856" i="17" s="1"/>
  <c r="K856" i="17" s="1"/>
  <c r="F857" i="17"/>
  <c r="G857" i="17" s="1"/>
  <c r="H857" i="17" s="1"/>
  <c r="I857" i="17" s="1"/>
  <c r="K857" i="17" s="1"/>
  <c r="F858" i="17"/>
  <c r="G858" i="17" s="1"/>
  <c r="H858" i="17" s="1"/>
  <c r="I858" i="17" s="1"/>
  <c r="K858" i="17" s="1"/>
  <c r="F859" i="17"/>
  <c r="G859" i="17" s="1"/>
  <c r="H859" i="17" s="1"/>
  <c r="I859" i="17" s="1"/>
  <c r="K859" i="17" s="1"/>
  <c r="F860" i="17"/>
  <c r="G860" i="17" s="1"/>
  <c r="H860" i="17" s="1"/>
  <c r="I860" i="17" s="1"/>
  <c r="K860" i="17" s="1"/>
  <c r="F861" i="17"/>
  <c r="G861" i="17" s="1"/>
  <c r="H861" i="17" s="1"/>
  <c r="I861" i="17" s="1"/>
  <c r="K861" i="17" s="1"/>
  <c r="F862" i="17"/>
  <c r="G862" i="17" s="1"/>
  <c r="H862" i="17" s="1"/>
  <c r="I862" i="17" s="1"/>
  <c r="K862" i="17" s="1"/>
  <c r="F863" i="17"/>
  <c r="G863" i="17" s="1"/>
  <c r="H863" i="17" s="1"/>
  <c r="I863" i="17" s="1"/>
  <c r="K863" i="17" s="1"/>
  <c r="F864" i="17"/>
  <c r="G864" i="17" s="1"/>
  <c r="H864" i="17" s="1"/>
  <c r="I864" i="17" s="1"/>
  <c r="K864" i="17" s="1"/>
  <c r="F865" i="17"/>
  <c r="G865" i="17" s="1"/>
  <c r="H865" i="17" s="1"/>
  <c r="I865" i="17" s="1"/>
  <c r="K865" i="17" s="1"/>
  <c r="F866" i="17"/>
  <c r="G866" i="17" s="1"/>
  <c r="H866" i="17" s="1"/>
  <c r="I866" i="17" s="1"/>
  <c r="K866" i="17" s="1"/>
  <c r="F867" i="17"/>
  <c r="G867" i="17" s="1"/>
  <c r="H867" i="17" s="1"/>
  <c r="I867" i="17" s="1"/>
  <c r="K867" i="17" s="1"/>
  <c r="F868" i="17"/>
  <c r="G868" i="17" s="1"/>
  <c r="H868" i="17" s="1"/>
  <c r="I868" i="17" s="1"/>
  <c r="K868" i="17" s="1"/>
  <c r="F869" i="17"/>
  <c r="G869" i="17" s="1"/>
  <c r="H869" i="17" s="1"/>
  <c r="I869" i="17" s="1"/>
  <c r="K869" i="17" s="1"/>
  <c r="F870" i="17"/>
  <c r="G870" i="17" s="1"/>
  <c r="H870" i="17" s="1"/>
  <c r="I870" i="17" s="1"/>
  <c r="K870" i="17" s="1"/>
  <c r="F871" i="17"/>
  <c r="G871" i="17" s="1"/>
  <c r="H871" i="17" s="1"/>
  <c r="I871" i="17" s="1"/>
  <c r="K871" i="17" s="1"/>
  <c r="F872" i="17"/>
  <c r="G872" i="17" s="1"/>
  <c r="H872" i="17" s="1"/>
  <c r="I872" i="17" s="1"/>
  <c r="K872" i="17" s="1"/>
  <c r="F873" i="17"/>
  <c r="G873" i="17" s="1"/>
  <c r="H873" i="17" s="1"/>
  <c r="I873" i="17" s="1"/>
  <c r="K873" i="17" s="1"/>
  <c r="F874" i="17"/>
  <c r="G874" i="17" s="1"/>
  <c r="H874" i="17" s="1"/>
  <c r="I874" i="17" s="1"/>
  <c r="K874" i="17" s="1"/>
  <c r="F875" i="17"/>
  <c r="G875" i="17" s="1"/>
  <c r="H875" i="17" s="1"/>
  <c r="I875" i="17" s="1"/>
  <c r="K875" i="17" s="1"/>
  <c r="F876" i="17"/>
  <c r="G876" i="17" s="1"/>
  <c r="H876" i="17" s="1"/>
  <c r="I876" i="17" s="1"/>
  <c r="K876" i="17" s="1"/>
  <c r="F877" i="17"/>
  <c r="G877" i="17" s="1"/>
  <c r="H877" i="17" s="1"/>
  <c r="I877" i="17" s="1"/>
  <c r="K877" i="17" s="1"/>
  <c r="F878" i="17"/>
  <c r="G878" i="17" s="1"/>
  <c r="H878" i="17" s="1"/>
  <c r="I878" i="17" s="1"/>
  <c r="K878" i="17" s="1"/>
  <c r="F879" i="17"/>
  <c r="G879" i="17" s="1"/>
  <c r="H879" i="17" s="1"/>
  <c r="I879" i="17" s="1"/>
  <c r="K879" i="17" s="1"/>
  <c r="F880" i="17"/>
  <c r="G880" i="17" s="1"/>
  <c r="H880" i="17" s="1"/>
  <c r="I880" i="17" s="1"/>
  <c r="K880" i="17" s="1"/>
  <c r="F881" i="17"/>
  <c r="G881" i="17" s="1"/>
  <c r="H881" i="17" s="1"/>
  <c r="I881" i="17" s="1"/>
  <c r="K881" i="17" s="1"/>
  <c r="F882" i="17"/>
  <c r="G882" i="17" s="1"/>
  <c r="H882" i="17" s="1"/>
  <c r="I882" i="17" s="1"/>
  <c r="K882" i="17" s="1"/>
  <c r="F883" i="17"/>
  <c r="G883" i="17" s="1"/>
  <c r="H883" i="17" s="1"/>
  <c r="I883" i="17" s="1"/>
  <c r="K883" i="17" s="1"/>
  <c r="F884" i="17"/>
  <c r="G884" i="17" s="1"/>
  <c r="H884" i="17" s="1"/>
  <c r="I884" i="17" s="1"/>
  <c r="K884" i="17" s="1"/>
  <c r="F885" i="17"/>
  <c r="G885" i="17" s="1"/>
  <c r="H885" i="17" s="1"/>
  <c r="I885" i="17" s="1"/>
  <c r="K885" i="17" s="1"/>
  <c r="F886" i="17"/>
  <c r="G886" i="17" s="1"/>
  <c r="H886" i="17" s="1"/>
  <c r="I886" i="17" s="1"/>
  <c r="K886" i="17" s="1"/>
  <c r="F887" i="17"/>
  <c r="G887" i="17" s="1"/>
  <c r="H887" i="17" s="1"/>
  <c r="I887" i="17" s="1"/>
  <c r="K887" i="17" s="1"/>
  <c r="F888" i="17"/>
  <c r="G888" i="17" s="1"/>
  <c r="H888" i="17" s="1"/>
  <c r="I888" i="17" s="1"/>
  <c r="K888" i="17" s="1"/>
  <c r="F889" i="17"/>
  <c r="G889" i="17" s="1"/>
  <c r="H889" i="17" s="1"/>
  <c r="I889" i="17" s="1"/>
  <c r="K889" i="17" s="1"/>
  <c r="F890" i="17"/>
  <c r="G890" i="17" s="1"/>
  <c r="H890" i="17" s="1"/>
  <c r="I890" i="17" s="1"/>
  <c r="K890" i="17" s="1"/>
  <c r="F891" i="17"/>
  <c r="G891" i="17" s="1"/>
  <c r="H891" i="17" s="1"/>
  <c r="I891" i="17" s="1"/>
  <c r="K891" i="17" s="1"/>
  <c r="F892" i="17"/>
  <c r="G892" i="17" s="1"/>
  <c r="H892" i="17" s="1"/>
  <c r="I892" i="17" s="1"/>
  <c r="K892" i="17" s="1"/>
  <c r="F893" i="17"/>
  <c r="G893" i="17" s="1"/>
  <c r="H893" i="17" s="1"/>
  <c r="I893" i="17" s="1"/>
  <c r="K893" i="17" s="1"/>
  <c r="F894" i="17"/>
  <c r="G894" i="17" s="1"/>
  <c r="H894" i="17" s="1"/>
  <c r="I894" i="17" s="1"/>
  <c r="K894" i="17" s="1"/>
  <c r="F895" i="17"/>
  <c r="G895" i="17" s="1"/>
  <c r="H895" i="17" s="1"/>
  <c r="I895" i="17" s="1"/>
  <c r="K895" i="17" s="1"/>
  <c r="F896" i="17"/>
  <c r="G896" i="17" s="1"/>
  <c r="H896" i="17" s="1"/>
  <c r="I896" i="17" s="1"/>
  <c r="K896" i="17" s="1"/>
  <c r="F897" i="17"/>
  <c r="G897" i="17" s="1"/>
  <c r="H897" i="17" s="1"/>
  <c r="I897" i="17" s="1"/>
  <c r="K897" i="17" s="1"/>
  <c r="F898" i="17"/>
  <c r="G898" i="17" s="1"/>
  <c r="H898" i="17" s="1"/>
  <c r="I898" i="17" s="1"/>
  <c r="K898" i="17" s="1"/>
  <c r="F899" i="17"/>
  <c r="G899" i="17" s="1"/>
  <c r="H899" i="17" s="1"/>
  <c r="I899" i="17" s="1"/>
  <c r="K899" i="17" s="1"/>
  <c r="F900" i="17"/>
  <c r="G900" i="17" s="1"/>
  <c r="H900" i="17" s="1"/>
  <c r="I900" i="17" s="1"/>
  <c r="K900" i="17" s="1"/>
  <c r="F901" i="17"/>
  <c r="G901" i="17" s="1"/>
  <c r="H901" i="17" s="1"/>
  <c r="I901" i="17" s="1"/>
  <c r="K901" i="17" s="1"/>
  <c r="F902" i="17"/>
  <c r="G902" i="17" s="1"/>
  <c r="H902" i="17" s="1"/>
  <c r="I902" i="17" s="1"/>
  <c r="K902" i="17" s="1"/>
  <c r="F903" i="17"/>
  <c r="G903" i="17" s="1"/>
  <c r="H903" i="17" s="1"/>
  <c r="I903" i="17" s="1"/>
  <c r="K903" i="17" s="1"/>
  <c r="F904" i="17"/>
  <c r="G904" i="17" s="1"/>
  <c r="H904" i="17" s="1"/>
  <c r="I904" i="17" s="1"/>
  <c r="K904" i="17" s="1"/>
  <c r="F905" i="17"/>
  <c r="G905" i="17" s="1"/>
  <c r="H905" i="17" s="1"/>
  <c r="I905" i="17" s="1"/>
  <c r="K905" i="17" s="1"/>
  <c r="F906" i="17"/>
  <c r="G906" i="17" s="1"/>
  <c r="H906" i="17" s="1"/>
  <c r="I906" i="17" s="1"/>
  <c r="K906" i="17" s="1"/>
  <c r="F907" i="17"/>
  <c r="G907" i="17" s="1"/>
  <c r="H907" i="17" s="1"/>
  <c r="I907" i="17" s="1"/>
  <c r="K907" i="17" s="1"/>
  <c r="F908" i="17"/>
  <c r="G908" i="17" s="1"/>
  <c r="H908" i="17" s="1"/>
  <c r="I908" i="17" s="1"/>
  <c r="K908" i="17" s="1"/>
  <c r="F909" i="17"/>
  <c r="G909" i="17" s="1"/>
  <c r="H909" i="17" s="1"/>
  <c r="I909" i="17" s="1"/>
  <c r="K909" i="17" s="1"/>
  <c r="F910" i="17"/>
  <c r="G910" i="17" s="1"/>
  <c r="H910" i="17" s="1"/>
  <c r="I910" i="17" s="1"/>
  <c r="K910" i="17" s="1"/>
  <c r="F911" i="17"/>
  <c r="G911" i="17" s="1"/>
  <c r="H911" i="17" s="1"/>
  <c r="I911" i="17" s="1"/>
  <c r="K911" i="17" s="1"/>
  <c r="F912" i="17"/>
  <c r="G912" i="17" s="1"/>
  <c r="H912" i="17" s="1"/>
  <c r="I912" i="17" s="1"/>
  <c r="K912" i="17" s="1"/>
  <c r="F913" i="17"/>
  <c r="G913" i="17" s="1"/>
  <c r="H913" i="17" s="1"/>
  <c r="I913" i="17" s="1"/>
  <c r="K913" i="17" s="1"/>
  <c r="F914" i="17"/>
  <c r="G914" i="17" s="1"/>
  <c r="H914" i="17" s="1"/>
  <c r="I914" i="17" s="1"/>
  <c r="K914" i="17" s="1"/>
  <c r="F915" i="17"/>
  <c r="G915" i="17" s="1"/>
  <c r="H915" i="17" s="1"/>
  <c r="I915" i="17" s="1"/>
  <c r="K915" i="17" s="1"/>
  <c r="F916" i="17"/>
  <c r="G916" i="17" s="1"/>
  <c r="H916" i="17" s="1"/>
  <c r="I916" i="17" s="1"/>
  <c r="K916" i="17" s="1"/>
  <c r="F917" i="17"/>
  <c r="G917" i="17" s="1"/>
  <c r="H917" i="17" s="1"/>
  <c r="I917" i="17" s="1"/>
  <c r="K917" i="17" s="1"/>
  <c r="F918" i="17"/>
  <c r="G918" i="17" s="1"/>
  <c r="H918" i="17" s="1"/>
  <c r="I918" i="17" s="1"/>
  <c r="K918" i="17" s="1"/>
  <c r="F919" i="17"/>
  <c r="G919" i="17" s="1"/>
  <c r="H919" i="17" s="1"/>
  <c r="I919" i="17" s="1"/>
  <c r="K919" i="17" s="1"/>
  <c r="F920" i="17"/>
  <c r="G920" i="17" s="1"/>
  <c r="H920" i="17" s="1"/>
  <c r="I920" i="17" s="1"/>
  <c r="K920" i="17" s="1"/>
  <c r="F921" i="17"/>
  <c r="G921" i="17" s="1"/>
  <c r="H921" i="17" s="1"/>
  <c r="I921" i="17" s="1"/>
  <c r="K921" i="17" s="1"/>
  <c r="F922" i="17"/>
  <c r="G922" i="17" s="1"/>
  <c r="H922" i="17" s="1"/>
  <c r="I922" i="17" s="1"/>
  <c r="K922" i="17" s="1"/>
  <c r="F923" i="17"/>
  <c r="G923" i="17" s="1"/>
  <c r="H923" i="17" s="1"/>
  <c r="I923" i="17" s="1"/>
  <c r="K923" i="17" s="1"/>
  <c r="F924" i="17"/>
  <c r="G924" i="17" s="1"/>
  <c r="H924" i="17" s="1"/>
  <c r="I924" i="17" s="1"/>
  <c r="K924" i="17" s="1"/>
  <c r="F925" i="17"/>
  <c r="G925" i="17" s="1"/>
  <c r="H925" i="17" s="1"/>
  <c r="I925" i="17" s="1"/>
  <c r="K925" i="17" s="1"/>
  <c r="F926" i="17"/>
  <c r="G926" i="17" s="1"/>
  <c r="H926" i="17" s="1"/>
  <c r="I926" i="17" s="1"/>
  <c r="K926" i="17" s="1"/>
  <c r="F927" i="17"/>
  <c r="G927" i="17" s="1"/>
  <c r="H927" i="17" s="1"/>
  <c r="I927" i="17" s="1"/>
  <c r="K927" i="17" s="1"/>
  <c r="F928" i="17"/>
  <c r="G928" i="17" s="1"/>
  <c r="H928" i="17" s="1"/>
  <c r="I928" i="17" s="1"/>
  <c r="K928" i="17" s="1"/>
  <c r="F929" i="17"/>
  <c r="G929" i="17" s="1"/>
  <c r="H929" i="17" s="1"/>
  <c r="I929" i="17" s="1"/>
  <c r="K929" i="17" s="1"/>
  <c r="F930" i="17"/>
  <c r="G930" i="17" s="1"/>
  <c r="H930" i="17" s="1"/>
  <c r="I930" i="17" s="1"/>
  <c r="K930" i="17" s="1"/>
  <c r="F931" i="17"/>
  <c r="G931" i="17" s="1"/>
  <c r="H931" i="17" s="1"/>
  <c r="I931" i="17" s="1"/>
  <c r="K931" i="17" s="1"/>
  <c r="F932" i="17"/>
  <c r="G932" i="17" s="1"/>
  <c r="H932" i="17" s="1"/>
  <c r="I932" i="17" s="1"/>
  <c r="K932" i="17" s="1"/>
  <c r="F933" i="17"/>
  <c r="G933" i="17" s="1"/>
  <c r="H933" i="17" s="1"/>
  <c r="I933" i="17" s="1"/>
  <c r="K933" i="17" s="1"/>
  <c r="F934" i="17"/>
  <c r="G934" i="17" s="1"/>
  <c r="H934" i="17" s="1"/>
  <c r="I934" i="17" s="1"/>
  <c r="K934" i="17" s="1"/>
  <c r="F935" i="17"/>
  <c r="G935" i="17" s="1"/>
  <c r="H935" i="17" s="1"/>
  <c r="I935" i="17" s="1"/>
  <c r="K935" i="17" s="1"/>
  <c r="F936" i="17"/>
  <c r="G936" i="17" s="1"/>
  <c r="H936" i="17" s="1"/>
  <c r="I936" i="17" s="1"/>
  <c r="K936" i="17" s="1"/>
  <c r="F937" i="17"/>
  <c r="G937" i="17" s="1"/>
  <c r="H937" i="17" s="1"/>
  <c r="I937" i="17" s="1"/>
  <c r="K937" i="17" s="1"/>
  <c r="F938" i="17"/>
  <c r="G938" i="17" s="1"/>
  <c r="H938" i="17" s="1"/>
  <c r="I938" i="17" s="1"/>
  <c r="K938" i="17" s="1"/>
  <c r="F939" i="17"/>
  <c r="G939" i="17" s="1"/>
  <c r="H939" i="17" s="1"/>
  <c r="I939" i="17" s="1"/>
  <c r="K939" i="17" s="1"/>
  <c r="F940" i="17"/>
  <c r="G940" i="17" s="1"/>
  <c r="H940" i="17" s="1"/>
  <c r="I940" i="17" s="1"/>
  <c r="K940" i="17" s="1"/>
  <c r="F941" i="17"/>
  <c r="G941" i="17" s="1"/>
  <c r="H941" i="17" s="1"/>
  <c r="I941" i="17" s="1"/>
  <c r="K941" i="17" s="1"/>
  <c r="F942" i="17"/>
  <c r="G942" i="17" s="1"/>
  <c r="H942" i="17" s="1"/>
  <c r="I942" i="17" s="1"/>
  <c r="K942" i="17" s="1"/>
  <c r="F943" i="17"/>
  <c r="G943" i="17" s="1"/>
  <c r="H943" i="17" s="1"/>
  <c r="I943" i="17" s="1"/>
  <c r="K943" i="17" s="1"/>
  <c r="F944" i="17"/>
  <c r="G944" i="17" s="1"/>
  <c r="H944" i="17" s="1"/>
  <c r="I944" i="17" s="1"/>
  <c r="K944" i="17" s="1"/>
  <c r="F945" i="17"/>
  <c r="G945" i="17" s="1"/>
  <c r="H945" i="17" s="1"/>
  <c r="I945" i="17" s="1"/>
  <c r="K945" i="17" s="1"/>
  <c r="F946" i="17"/>
  <c r="G946" i="17" s="1"/>
  <c r="H946" i="17" s="1"/>
  <c r="I946" i="17" s="1"/>
  <c r="K946" i="17" s="1"/>
  <c r="F947" i="17"/>
  <c r="G947" i="17" s="1"/>
  <c r="H947" i="17" s="1"/>
  <c r="I947" i="17" s="1"/>
  <c r="K947" i="17" s="1"/>
  <c r="F948" i="17"/>
  <c r="G948" i="17" s="1"/>
  <c r="H948" i="17" s="1"/>
  <c r="I948" i="17" s="1"/>
  <c r="K948" i="17" s="1"/>
  <c r="F949" i="17"/>
  <c r="G949" i="17" s="1"/>
  <c r="H949" i="17" s="1"/>
  <c r="I949" i="17" s="1"/>
  <c r="K949" i="17" s="1"/>
  <c r="F950" i="17"/>
  <c r="G950" i="17" s="1"/>
  <c r="H950" i="17" s="1"/>
  <c r="I950" i="17" s="1"/>
  <c r="K950" i="17" s="1"/>
  <c r="F951" i="17"/>
  <c r="G951" i="17" s="1"/>
  <c r="H951" i="17" s="1"/>
  <c r="I951" i="17" s="1"/>
  <c r="K951" i="17" s="1"/>
  <c r="F952" i="17"/>
  <c r="G952" i="17" s="1"/>
  <c r="H952" i="17" s="1"/>
  <c r="I952" i="17" s="1"/>
  <c r="K952" i="17" s="1"/>
  <c r="F953" i="17"/>
  <c r="G953" i="17" s="1"/>
  <c r="H953" i="17" s="1"/>
  <c r="I953" i="17" s="1"/>
  <c r="K953" i="17" s="1"/>
  <c r="F954" i="17"/>
  <c r="G954" i="17" s="1"/>
  <c r="H954" i="17" s="1"/>
  <c r="I954" i="17" s="1"/>
  <c r="K954" i="17" s="1"/>
  <c r="F955" i="17"/>
  <c r="G955" i="17" s="1"/>
  <c r="H955" i="17" s="1"/>
  <c r="I955" i="17" s="1"/>
  <c r="K955" i="17" s="1"/>
  <c r="F956" i="17"/>
  <c r="G956" i="17" s="1"/>
  <c r="H956" i="17" s="1"/>
  <c r="I956" i="17" s="1"/>
  <c r="K956" i="17" s="1"/>
  <c r="F957" i="17"/>
  <c r="G957" i="17" s="1"/>
  <c r="H957" i="17" s="1"/>
  <c r="I957" i="17" s="1"/>
  <c r="K957" i="17" s="1"/>
  <c r="F958" i="17"/>
  <c r="G958" i="17" s="1"/>
  <c r="H958" i="17" s="1"/>
  <c r="I958" i="17" s="1"/>
  <c r="K958" i="17" s="1"/>
  <c r="F959" i="17"/>
  <c r="G959" i="17" s="1"/>
  <c r="H959" i="17" s="1"/>
  <c r="I959" i="17" s="1"/>
  <c r="K959" i="17" s="1"/>
  <c r="F960" i="17"/>
  <c r="G960" i="17" s="1"/>
  <c r="H960" i="17" s="1"/>
  <c r="I960" i="17" s="1"/>
  <c r="K960" i="17" s="1"/>
  <c r="F961" i="17"/>
  <c r="G961" i="17" s="1"/>
  <c r="H961" i="17" s="1"/>
  <c r="I961" i="17" s="1"/>
  <c r="K961" i="17" s="1"/>
  <c r="F962" i="17"/>
  <c r="G962" i="17" s="1"/>
  <c r="H962" i="17" s="1"/>
  <c r="I962" i="17" s="1"/>
  <c r="K962" i="17" s="1"/>
  <c r="F963" i="17"/>
  <c r="G963" i="17" s="1"/>
  <c r="H963" i="17" s="1"/>
  <c r="I963" i="17" s="1"/>
  <c r="K963" i="17" s="1"/>
  <c r="F964" i="17"/>
  <c r="G964" i="17" s="1"/>
  <c r="H964" i="17" s="1"/>
  <c r="I964" i="17" s="1"/>
  <c r="K964" i="17" s="1"/>
  <c r="F965" i="17"/>
  <c r="G965" i="17" s="1"/>
  <c r="H965" i="17" s="1"/>
  <c r="I965" i="17" s="1"/>
  <c r="K965" i="17" s="1"/>
  <c r="F966" i="17"/>
  <c r="G966" i="17" s="1"/>
  <c r="H966" i="17" s="1"/>
  <c r="I966" i="17" s="1"/>
  <c r="K966" i="17" s="1"/>
  <c r="F967" i="17"/>
  <c r="G967" i="17" s="1"/>
  <c r="H967" i="17" s="1"/>
  <c r="I967" i="17" s="1"/>
  <c r="K967" i="17" s="1"/>
  <c r="F968" i="17"/>
  <c r="G968" i="17" s="1"/>
  <c r="H968" i="17" s="1"/>
  <c r="I968" i="17" s="1"/>
  <c r="K968" i="17" s="1"/>
  <c r="F969" i="17"/>
  <c r="G969" i="17" s="1"/>
  <c r="H969" i="17" s="1"/>
  <c r="I969" i="17" s="1"/>
  <c r="K969" i="17" s="1"/>
  <c r="F970" i="17"/>
  <c r="G970" i="17" s="1"/>
  <c r="H970" i="17" s="1"/>
  <c r="I970" i="17" s="1"/>
  <c r="K970" i="17" s="1"/>
  <c r="F971" i="17"/>
  <c r="G971" i="17" s="1"/>
  <c r="H971" i="17" s="1"/>
  <c r="I971" i="17" s="1"/>
  <c r="K971" i="17" s="1"/>
  <c r="F972" i="17"/>
  <c r="G972" i="17" s="1"/>
  <c r="H972" i="17" s="1"/>
  <c r="I972" i="17" s="1"/>
  <c r="K972" i="17" s="1"/>
  <c r="F973" i="17"/>
  <c r="G973" i="17" s="1"/>
  <c r="H973" i="17" s="1"/>
  <c r="I973" i="17" s="1"/>
  <c r="K973" i="17" s="1"/>
  <c r="F974" i="17"/>
  <c r="G974" i="17" s="1"/>
  <c r="H974" i="17" s="1"/>
  <c r="I974" i="17" s="1"/>
  <c r="K974" i="17" s="1"/>
  <c r="F975" i="17"/>
  <c r="G975" i="17" s="1"/>
  <c r="H975" i="17" s="1"/>
  <c r="I975" i="17" s="1"/>
  <c r="K975" i="17" s="1"/>
  <c r="F976" i="17"/>
  <c r="G976" i="17" s="1"/>
  <c r="H976" i="17" s="1"/>
  <c r="I976" i="17" s="1"/>
  <c r="K976" i="17" s="1"/>
  <c r="F977" i="17"/>
  <c r="G977" i="17" s="1"/>
  <c r="H977" i="17" s="1"/>
  <c r="I977" i="17" s="1"/>
  <c r="K977" i="17" s="1"/>
  <c r="F978" i="17"/>
  <c r="G978" i="17" s="1"/>
  <c r="H978" i="17" s="1"/>
  <c r="I978" i="17" s="1"/>
  <c r="K978" i="17" s="1"/>
  <c r="F979" i="17"/>
  <c r="G979" i="17" s="1"/>
  <c r="H979" i="17" s="1"/>
  <c r="I979" i="17" s="1"/>
  <c r="K979" i="17" s="1"/>
  <c r="F980" i="17"/>
  <c r="G980" i="17" s="1"/>
  <c r="H980" i="17" s="1"/>
  <c r="I980" i="17" s="1"/>
  <c r="K980" i="17" s="1"/>
  <c r="F981" i="17"/>
  <c r="G981" i="17" s="1"/>
  <c r="H981" i="17" s="1"/>
  <c r="I981" i="17" s="1"/>
  <c r="K981" i="17" s="1"/>
  <c r="F982" i="17"/>
  <c r="G982" i="17" s="1"/>
  <c r="H982" i="17" s="1"/>
  <c r="I982" i="17" s="1"/>
  <c r="K982" i="17" s="1"/>
  <c r="F983" i="17"/>
  <c r="G983" i="17" s="1"/>
  <c r="H983" i="17" s="1"/>
  <c r="I983" i="17" s="1"/>
  <c r="K983" i="17" s="1"/>
  <c r="F984" i="17"/>
  <c r="G984" i="17" s="1"/>
  <c r="H984" i="17" s="1"/>
  <c r="I984" i="17" s="1"/>
  <c r="K984" i="17" s="1"/>
  <c r="F985" i="17"/>
  <c r="G985" i="17" s="1"/>
  <c r="H985" i="17" s="1"/>
  <c r="I985" i="17" s="1"/>
  <c r="K985" i="17" s="1"/>
  <c r="F986" i="17"/>
  <c r="G986" i="17" s="1"/>
  <c r="H986" i="17" s="1"/>
  <c r="I986" i="17" s="1"/>
  <c r="K986" i="17" s="1"/>
  <c r="F987" i="17"/>
  <c r="G987" i="17" s="1"/>
  <c r="H987" i="17" s="1"/>
  <c r="I987" i="17" s="1"/>
  <c r="K987" i="17" s="1"/>
  <c r="F988" i="17"/>
  <c r="G988" i="17" s="1"/>
  <c r="H988" i="17" s="1"/>
  <c r="I988" i="17" s="1"/>
  <c r="K988" i="17" s="1"/>
  <c r="F989" i="17"/>
  <c r="G989" i="17" s="1"/>
  <c r="H989" i="17" s="1"/>
  <c r="I989" i="17" s="1"/>
  <c r="K989" i="17" s="1"/>
  <c r="F990" i="17"/>
  <c r="G990" i="17" s="1"/>
  <c r="H990" i="17" s="1"/>
  <c r="I990" i="17" s="1"/>
  <c r="K990" i="17" s="1"/>
  <c r="F991" i="17"/>
  <c r="G991" i="17" s="1"/>
  <c r="H991" i="17" s="1"/>
  <c r="I991" i="17" s="1"/>
  <c r="K991" i="17" s="1"/>
  <c r="F992" i="17"/>
  <c r="G992" i="17" s="1"/>
  <c r="H992" i="17" s="1"/>
  <c r="I992" i="17" s="1"/>
  <c r="K992" i="17" s="1"/>
  <c r="F993" i="17"/>
  <c r="G993" i="17" s="1"/>
  <c r="H993" i="17" s="1"/>
  <c r="I993" i="17" s="1"/>
  <c r="K993" i="17" s="1"/>
  <c r="F994" i="17"/>
  <c r="G994" i="17" s="1"/>
  <c r="H994" i="17" s="1"/>
  <c r="I994" i="17" s="1"/>
  <c r="K994" i="17" s="1"/>
  <c r="F995" i="17"/>
  <c r="G995" i="17" s="1"/>
  <c r="H995" i="17" s="1"/>
  <c r="I995" i="17" s="1"/>
  <c r="K995" i="17" s="1"/>
  <c r="F996" i="17"/>
  <c r="G996" i="17" s="1"/>
  <c r="H996" i="17" s="1"/>
  <c r="I996" i="17" s="1"/>
  <c r="K996" i="17" s="1"/>
  <c r="F997" i="17"/>
  <c r="G997" i="17" s="1"/>
  <c r="H997" i="17" s="1"/>
  <c r="I997" i="17" s="1"/>
  <c r="K997" i="17" s="1"/>
  <c r="F998" i="17"/>
  <c r="G998" i="17" s="1"/>
  <c r="H998" i="17" s="1"/>
  <c r="I998" i="17" s="1"/>
  <c r="K998" i="17" s="1"/>
  <c r="F999" i="17"/>
  <c r="G999" i="17" s="1"/>
  <c r="H999" i="17" s="1"/>
  <c r="I999" i="17" s="1"/>
  <c r="K999" i="17" s="1"/>
  <c r="F1000" i="17"/>
  <c r="G1000" i="17" s="1"/>
  <c r="H1000" i="17" s="1"/>
  <c r="I1000" i="17" s="1"/>
  <c r="K1000" i="17" s="1"/>
  <c r="F1001" i="17"/>
  <c r="G1001" i="17" s="1"/>
  <c r="H1001" i="17" s="1"/>
  <c r="I1001" i="17" s="1"/>
  <c r="K1001" i="17" s="1"/>
  <c r="F1002" i="17"/>
  <c r="G1002" i="17" s="1"/>
  <c r="H1002" i="17" s="1"/>
  <c r="I1002" i="17" s="1"/>
  <c r="K1002" i="17" s="1"/>
  <c r="F1003" i="17"/>
  <c r="G1003" i="17" s="1"/>
  <c r="H1003" i="17" s="1"/>
  <c r="I1003" i="17" s="1"/>
  <c r="K1003" i="17" s="1"/>
  <c r="F1004" i="17"/>
  <c r="G1004" i="17" s="1"/>
  <c r="H1004" i="17" s="1"/>
  <c r="I1004" i="17" s="1"/>
  <c r="K1004" i="17" s="1"/>
  <c r="F1005" i="17"/>
  <c r="G1005" i="17" s="1"/>
  <c r="H1005" i="17" s="1"/>
  <c r="I1005" i="17" s="1"/>
  <c r="K1005" i="17" s="1"/>
  <c r="F1006" i="17"/>
  <c r="G1006" i="17" s="1"/>
  <c r="H1006" i="17" s="1"/>
  <c r="I1006" i="17" s="1"/>
  <c r="K1006" i="17" s="1"/>
  <c r="F1007" i="17"/>
  <c r="G1007" i="17" s="1"/>
  <c r="H1007" i="17" s="1"/>
  <c r="I1007" i="17" s="1"/>
  <c r="K1007" i="17" s="1"/>
  <c r="F1008" i="17"/>
  <c r="G1008" i="17" s="1"/>
  <c r="H1008" i="17" s="1"/>
  <c r="I1008" i="17" s="1"/>
  <c r="K1008" i="17" s="1"/>
  <c r="F1009" i="17"/>
  <c r="G1009" i="17" s="1"/>
  <c r="H1009" i="17" s="1"/>
  <c r="I1009" i="17" s="1"/>
  <c r="K1009" i="17" s="1"/>
  <c r="F1010" i="17"/>
  <c r="G1010" i="17" s="1"/>
  <c r="H1010" i="17" s="1"/>
  <c r="I1010" i="17" s="1"/>
  <c r="K1010" i="17" s="1"/>
  <c r="F1011" i="17"/>
  <c r="G1011" i="17" s="1"/>
  <c r="H1011" i="17" s="1"/>
  <c r="I1011" i="17" s="1"/>
  <c r="K1011" i="17" s="1"/>
  <c r="F1012" i="17"/>
  <c r="G1012" i="17" s="1"/>
  <c r="H1012" i="17" s="1"/>
  <c r="I1012" i="17" s="1"/>
  <c r="K1012" i="17" s="1"/>
  <c r="F1013" i="17"/>
  <c r="G1013" i="17" s="1"/>
  <c r="H1013" i="17" s="1"/>
  <c r="I1013" i="17" s="1"/>
  <c r="K1013" i="17" s="1"/>
  <c r="F1014" i="17"/>
  <c r="G1014" i="17" s="1"/>
  <c r="H1014" i="17" s="1"/>
  <c r="I1014" i="17" s="1"/>
  <c r="K1014" i="17" s="1"/>
  <c r="F1015" i="17"/>
  <c r="G1015" i="17" s="1"/>
  <c r="H1015" i="17" s="1"/>
  <c r="I1015" i="17" s="1"/>
  <c r="K1015" i="17" s="1"/>
  <c r="F1016" i="17"/>
  <c r="G1016" i="17" s="1"/>
  <c r="H1016" i="17" s="1"/>
  <c r="I1016" i="17" s="1"/>
  <c r="K1016" i="17" s="1"/>
  <c r="F1017" i="17"/>
  <c r="G1017" i="17" s="1"/>
  <c r="H1017" i="17" s="1"/>
  <c r="I1017" i="17" s="1"/>
  <c r="K1017" i="17" s="1"/>
  <c r="F1018" i="17"/>
  <c r="G1018" i="17" s="1"/>
  <c r="H1018" i="17" s="1"/>
  <c r="I1018" i="17" s="1"/>
  <c r="K1018" i="17" s="1"/>
  <c r="F1019" i="17"/>
  <c r="G1019" i="17" s="1"/>
  <c r="H1019" i="17" s="1"/>
  <c r="I1019" i="17" s="1"/>
  <c r="K1019" i="17" s="1"/>
  <c r="F1020" i="17"/>
  <c r="G1020" i="17" s="1"/>
  <c r="H1020" i="17" s="1"/>
  <c r="I1020" i="17" s="1"/>
  <c r="K1020" i="17" s="1"/>
  <c r="F1021" i="17"/>
  <c r="G1021" i="17" s="1"/>
  <c r="H1021" i="17" s="1"/>
  <c r="I1021" i="17" s="1"/>
  <c r="K1021" i="17" s="1"/>
  <c r="F1022" i="17"/>
  <c r="G1022" i="17" s="1"/>
  <c r="H1022" i="17" s="1"/>
  <c r="I1022" i="17" s="1"/>
  <c r="K1022" i="17" s="1"/>
  <c r="F1023" i="17"/>
  <c r="G1023" i="17" s="1"/>
  <c r="H1023" i="17" s="1"/>
  <c r="I1023" i="17" s="1"/>
  <c r="K1023" i="17" s="1"/>
  <c r="F1024" i="17"/>
  <c r="G1024" i="17" s="1"/>
  <c r="H1024" i="17" s="1"/>
  <c r="I1024" i="17" s="1"/>
  <c r="K1024" i="17" s="1"/>
  <c r="F1025" i="17"/>
  <c r="G1025" i="17" s="1"/>
  <c r="H1025" i="17" s="1"/>
  <c r="I1025" i="17" s="1"/>
  <c r="K1025" i="17" s="1"/>
  <c r="F1026" i="17"/>
  <c r="G1026" i="17" s="1"/>
  <c r="H1026" i="17" s="1"/>
  <c r="I1026" i="17" s="1"/>
  <c r="K1026" i="17" s="1"/>
  <c r="F1027" i="17"/>
  <c r="G1027" i="17" s="1"/>
  <c r="H1027" i="17" s="1"/>
  <c r="I1027" i="17" s="1"/>
  <c r="K1027" i="17" s="1"/>
  <c r="F1028" i="17"/>
  <c r="G1028" i="17" s="1"/>
  <c r="H1028" i="17" s="1"/>
  <c r="I1028" i="17" s="1"/>
  <c r="K1028" i="17" s="1"/>
  <c r="F1029" i="17"/>
  <c r="G1029" i="17" s="1"/>
  <c r="H1029" i="17" s="1"/>
  <c r="I1029" i="17" s="1"/>
  <c r="K1029" i="17" s="1"/>
  <c r="F1030" i="17"/>
  <c r="G1030" i="17" s="1"/>
  <c r="H1030" i="17" s="1"/>
  <c r="I1030" i="17" s="1"/>
  <c r="K1030" i="17" s="1"/>
  <c r="F1031" i="17"/>
  <c r="G1031" i="17" s="1"/>
  <c r="H1031" i="17" s="1"/>
  <c r="I1031" i="17" s="1"/>
  <c r="K1031" i="17" s="1"/>
  <c r="F1032" i="17"/>
  <c r="G1032" i="17" s="1"/>
  <c r="H1032" i="17" s="1"/>
  <c r="I1032" i="17" s="1"/>
  <c r="K1032" i="17" s="1"/>
  <c r="F1033" i="17"/>
  <c r="G1033" i="17" s="1"/>
  <c r="H1033" i="17" s="1"/>
  <c r="I1033" i="17" s="1"/>
  <c r="K1033" i="17" s="1"/>
  <c r="F1034" i="17"/>
  <c r="G1034" i="17" s="1"/>
  <c r="H1034" i="17" s="1"/>
  <c r="I1034" i="17" s="1"/>
  <c r="K1034" i="17" s="1"/>
  <c r="F1035" i="17"/>
  <c r="G1035" i="17" s="1"/>
  <c r="H1035" i="17" s="1"/>
  <c r="I1035" i="17" s="1"/>
  <c r="K1035" i="17" s="1"/>
  <c r="F1036" i="17"/>
  <c r="G1036" i="17" s="1"/>
  <c r="H1036" i="17" s="1"/>
  <c r="I1036" i="17" s="1"/>
  <c r="K1036" i="17" s="1"/>
  <c r="F1037" i="17"/>
  <c r="G1037" i="17" s="1"/>
  <c r="H1037" i="17" s="1"/>
  <c r="I1037" i="17" s="1"/>
  <c r="K1037" i="17" s="1"/>
  <c r="F1038" i="17"/>
  <c r="G1038" i="17" s="1"/>
  <c r="H1038" i="17" s="1"/>
  <c r="I1038" i="17" s="1"/>
  <c r="K1038" i="17" s="1"/>
  <c r="F1039" i="17"/>
  <c r="G1039" i="17" s="1"/>
  <c r="H1039" i="17" s="1"/>
  <c r="I1039" i="17" s="1"/>
  <c r="K1039" i="17" s="1"/>
  <c r="F1040" i="17"/>
  <c r="G1040" i="17" s="1"/>
  <c r="H1040" i="17" s="1"/>
  <c r="I1040" i="17" s="1"/>
  <c r="K1040" i="17" s="1"/>
  <c r="F1041" i="17"/>
  <c r="G1041" i="17" s="1"/>
  <c r="H1041" i="17" s="1"/>
  <c r="I1041" i="17" s="1"/>
  <c r="K1041" i="17" s="1"/>
  <c r="F1042" i="17"/>
  <c r="G1042" i="17" s="1"/>
  <c r="H1042" i="17" s="1"/>
  <c r="I1042" i="17" s="1"/>
  <c r="K1042" i="17" s="1"/>
  <c r="F1043" i="17"/>
  <c r="G1043" i="17" s="1"/>
  <c r="H1043" i="17" s="1"/>
  <c r="I1043" i="17" s="1"/>
  <c r="K1043" i="17" s="1"/>
  <c r="F1044" i="17"/>
  <c r="G1044" i="17" s="1"/>
  <c r="H1044" i="17" s="1"/>
  <c r="I1044" i="17" s="1"/>
  <c r="K1044" i="17" s="1"/>
  <c r="F1045" i="17"/>
  <c r="G1045" i="17" s="1"/>
  <c r="H1045" i="17" s="1"/>
  <c r="I1045" i="17" s="1"/>
  <c r="K1045" i="17" s="1"/>
  <c r="F1046" i="17"/>
  <c r="G1046" i="17" s="1"/>
  <c r="H1046" i="17" s="1"/>
  <c r="I1046" i="17" s="1"/>
  <c r="K1046" i="17" s="1"/>
  <c r="F1047" i="17"/>
  <c r="G1047" i="17" s="1"/>
  <c r="H1047" i="17" s="1"/>
  <c r="I1047" i="17" s="1"/>
  <c r="K1047" i="17" s="1"/>
  <c r="F1048" i="17"/>
  <c r="G1048" i="17" s="1"/>
  <c r="H1048" i="17" s="1"/>
  <c r="I1048" i="17" s="1"/>
  <c r="K1048" i="17" s="1"/>
  <c r="F1049" i="17"/>
  <c r="G1049" i="17" s="1"/>
  <c r="H1049" i="17" s="1"/>
  <c r="I1049" i="17" s="1"/>
  <c r="K1049" i="17" s="1"/>
  <c r="F1050" i="17"/>
  <c r="G1050" i="17" s="1"/>
  <c r="H1050" i="17" s="1"/>
  <c r="I1050" i="17" s="1"/>
  <c r="K1050" i="17" s="1"/>
  <c r="F1051" i="17"/>
  <c r="G1051" i="17" s="1"/>
  <c r="H1051" i="17" s="1"/>
  <c r="I1051" i="17" s="1"/>
  <c r="K1051" i="17" s="1"/>
  <c r="F1052" i="17"/>
  <c r="G1052" i="17" s="1"/>
  <c r="H1052" i="17" s="1"/>
  <c r="I1052" i="17" s="1"/>
  <c r="K1052" i="17" s="1"/>
  <c r="F1053" i="17"/>
  <c r="G1053" i="17" s="1"/>
  <c r="H1053" i="17" s="1"/>
  <c r="I1053" i="17" s="1"/>
  <c r="K1053" i="17" s="1"/>
  <c r="F1054" i="17"/>
  <c r="G1054" i="17" s="1"/>
  <c r="H1054" i="17" s="1"/>
  <c r="I1054" i="17" s="1"/>
  <c r="K1054" i="17" s="1"/>
  <c r="F1055" i="17"/>
  <c r="G1055" i="17" s="1"/>
  <c r="H1055" i="17" s="1"/>
  <c r="I1055" i="17" s="1"/>
  <c r="K1055" i="17" s="1"/>
  <c r="F1056" i="17"/>
  <c r="G1056" i="17" s="1"/>
  <c r="H1056" i="17" s="1"/>
  <c r="I1056" i="17" s="1"/>
  <c r="K1056" i="17" s="1"/>
  <c r="F1057" i="17"/>
  <c r="G1057" i="17" s="1"/>
  <c r="H1057" i="17" s="1"/>
  <c r="I1057" i="17" s="1"/>
  <c r="K1057" i="17" s="1"/>
  <c r="F1058" i="17"/>
  <c r="G1058" i="17" s="1"/>
  <c r="H1058" i="17" s="1"/>
  <c r="I1058" i="17" s="1"/>
  <c r="K1058" i="17" s="1"/>
  <c r="F1059" i="17"/>
  <c r="G1059" i="17" s="1"/>
  <c r="H1059" i="17" s="1"/>
  <c r="I1059" i="17" s="1"/>
  <c r="K1059" i="17" s="1"/>
  <c r="F1060" i="17"/>
  <c r="G1060" i="17" s="1"/>
  <c r="H1060" i="17" s="1"/>
  <c r="I1060" i="17" s="1"/>
  <c r="K1060" i="17" s="1"/>
  <c r="F1061" i="17"/>
  <c r="G1061" i="17" s="1"/>
  <c r="H1061" i="17" s="1"/>
  <c r="I1061" i="17" s="1"/>
  <c r="K1061" i="17" s="1"/>
  <c r="F1062" i="17"/>
  <c r="G1062" i="17" s="1"/>
  <c r="H1062" i="17" s="1"/>
  <c r="I1062" i="17" s="1"/>
  <c r="K1062" i="17" s="1"/>
  <c r="F1063" i="17"/>
  <c r="G1063" i="17" s="1"/>
  <c r="H1063" i="17" s="1"/>
  <c r="I1063" i="17" s="1"/>
  <c r="K1063" i="17" s="1"/>
  <c r="F1064" i="17"/>
  <c r="G1064" i="17" s="1"/>
  <c r="H1064" i="17" s="1"/>
  <c r="I1064" i="17" s="1"/>
  <c r="K1064" i="17" s="1"/>
  <c r="F1065" i="17"/>
  <c r="G1065" i="17" s="1"/>
  <c r="H1065" i="17" s="1"/>
  <c r="I1065" i="17" s="1"/>
  <c r="K1065" i="17" s="1"/>
  <c r="F1066" i="17"/>
  <c r="G1066" i="17" s="1"/>
  <c r="H1066" i="17" s="1"/>
  <c r="I1066" i="17" s="1"/>
  <c r="K1066" i="17" s="1"/>
  <c r="F1067" i="17"/>
  <c r="G1067" i="17" s="1"/>
  <c r="H1067" i="17" s="1"/>
  <c r="I1067" i="17" s="1"/>
  <c r="K1067" i="17" s="1"/>
  <c r="F1068" i="17"/>
  <c r="G1068" i="17" s="1"/>
  <c r="H1068" i="17" s="1"/>
  <c r="I1068" i="17" s="1"/>
  <c r="K1068" i="17" s="1"/>
  <c r="F1069" i="17"/>
  <c r="G1069" i="17" s="1"/>
  <c r="H1069" i="17" s="1"/>
  <c r="I1069" i="17" s="1"/>
  <c r="K1069" i="17" s="1"/>
  <c r="F1070" i="17"/>
  <c r="G1070" i="17" s="1"/>
  <c r="H1070" i="17" s="1"/>
  <c r="I1070" i="17" s="1"/>
  <c r="K1070" i="17" s="1"/>
  <c r="F1071" i="17"/>
  <c r="G1071" i="17" s="1"/>
  <c r="H1071" i="17" s="1"/>
  <c r="I1071" i="17" s="1"/>
  <c r="K1071" i="17" s="1"/>
  <c r="F1072" i="17"/>
  <c r="G1072" i="17" s="1"/>
  <c r="H1072" i="17" s="1"/>
  <c r="I1072" i="17" s="1"/>
  <c r="K1072" i="17" s="1"/>
  <c r="F1073" i="17"/>
  <c r="G1073" i="17" s="1"/>
  <c r="H1073" i="17" s="1"/>
  <c r="I1073" i="17" s="1"/>
  <c r="K1073" i="17" s="1"/>
  <c r="F1074" i="17"/>
  <c r="G1074" i="17" s="1"/>
  <c r="H1074" i="17" s="1"/>
  <c r="I1074" i="17" s="1"/>
  <c r="K1074" i="17" s="1"/>
  <c r="F1075" i="17"/>
  <c r="G1075" i="17" s="1"/>
  <c r="H1075" i="17" s="1"/>
  <c r="I1075" i="17" s="1"/>
  <c r="K1075" i="17" s="1"/>
  <c r="F1076" i="17"/>
  <c r="G1076" i="17" s="1"/>
  <c r="H1076" i="17" s="1"/>
  <c r="I1076" i="17" s="1"/>
  <c r="K1076" i="17" s="1"/>
  <c r="F1077" i="17"/>
  <c r="G1077" i="17" s="1"/>
  <c r="H1077" i="17" s="1"/>
  <c r="I1077" i="17" s="1"/>
  <c r="K1077" i="17" s="1"/>
  <c r="F1078" i="17"/>
  <c r="G1078" i="17" s="1"/>
  <c r="H1078" i="17" s="1"/>
  <c r="I1078" i="17" s="1"/>
  <c r="K1078" i="17" s="1"/>
  <c r="F1079" i="17"/>
  <c r="G1079" i="17" s="1"/>
  <c r="H1079" i="17" s="1"/>
  <c r="I1079" i="17" s="1"/>
  <c r="K1079" i="17" s="1"/>
  <c r="F1080" i="17"/>
  <c r="G1080" i="17" s="1"/>
  <c r="H1080" i="17" s="1"/>
  <c r="I1080" i="17" s="1"/>
  <c r="K1080" i="17" s="1"/>
  <c r="F1081" i="17"/>
  <c r="G1081" i="17" s="1"/>
  <c r="H1081" i="17" s="1"/>
  <c r="I1081" i="17" s="1"/>
  <c r="K1081" i="17" s="1"/>
  <c r="F1082" i="17"/>
  <c r="G1082" i="17" s="1"/>
  <c r="H1082" i="17" s="1"/>
  <c r="I1082" i="17" s="1"/>
  <c r="K1082" i="17" s="1"/>
  <c r="F1083" i="17"/>
  <c r="G1083" i="17" s="1"/>
  <c r="H1083" i="17" s="1"/>
  <c r="I1083" i="17" s="1"/>
  <c r="K1083" i="17" s="1"/>
  <c r="F1084" i="17"/>
  <c r="G1084" i="17" s="1"/>
  <c r="H1084" i="17" s="1"/>
  <c r="I1084" i="17" s="1"/>
  <c r="K1084" i="17" s="1"/>
  <c r="F1085" i="17"/>
  <c r="G1085" i="17" s="1"/>
  <c r="H1085" i="17" s="1"/>
  <c r="I1085" i="17" s="1"/>
  <c r="K1085" i="17" s="1"/>
  <c r="F1086" i="17"/>
  <c r="G1086" i="17" s="1"/>
  <c r="H1086" i="17" s="1"/>
  <c r="I1086" i="17" s="1"/>
  <c r="K1086" i="17" s="1"/>
  <c r="F1087" i="17"/>
  <c r="G1087" i="17" s="1"/>
  <c r="H1087" i="17" s="1"/>
  <c r="I1087" i="17" s="1"/>
  <c r="K1087" i="17" s="1"/>
  <c r="F1088" i="17"/>
  <c r="G1088" i="17" s="1"/>
  <c r="H1088" i="17" s="1"/>
  <c r="I1088" i="17" s="1"/>
  <c r="K1088" i="17" s="1"/>
  <c r="F1089" i="17"/>
  <c r="G1089" i="17" s="1"/>
  <c r="H1089" i="17" s="1"/>
  <c r="I1089" i="17" s="1"/>
  <c r="K1089" i="17" s="1"/>
  <c r="F1090" i="17"/>
  <c r="G1090" i="17" s="1"/>
  <c r="H1090" i="17" s="1"/>
  <c r="I1090" i="17" s="1"/>
  <c r="K1090" i="17" s="1"/>
  <c r="F1091" i="17"/>
  <c r="G1091" i="17" s="1"/>
  <c r="H1091" i="17" s="1"/>
  <c r="I1091" i="17" s="1"/>
  <c r="K1091" i="17" s="1"/>
  <c r="F1092" i="17"/>
  <c r="G1092" i="17" s="1"/>
  <c r="H1092" i="17" s="1"/>
  <c r="I1092" i="17" s="1"/>
  <c r="K1092" i="17" s="1"/>
  <c r="F1093" i="17"/>
  <c r="G1093" i="17" s="1"/>
  <c r="H1093" i="17" s="1"/>
  <c r="I1093" i="17" s="1"/>
  <c r="K1093" i="17" s="1"/>
  <c r="F1094" i="17"/>
  <c r="G1094" i="17" s="1"/>
  <c r="H1094" i="17" s="1"/>
  <c r="I1094" i="17" s="1"/>
  <c r="K1094" i="17" s="1"/>
  <c r="F1095" i="17"/>
  <c r="G1095" i="17" s="1"/>
  <c r="H1095" i="17" s="1"/>
  <c r="I1095" i="17" s="1"/>
  <c r="K1095" i="17" s="1"/>
  <c r="F1096" i="17"/>
  <c r="G1096" i="17" s="1"/>
  <c r="H1096" i="17" s="1"/>
  <c r="I1096" i="17" s="1"/>
  <c r="K1096" i="17" s="1"/>
  <c r="F1097" i="17"/>
  <c r="G1097" i="17" s="1"/>
  <c r="H1097" i="17" s="1"/>
  <c r="I1097" i="17" s="1"/>
  <c r="K1097" i="17" s="1"/>
  <c r="F1098" i="17"/>
  <c r="G1098" i="17" s="1"/>
  <c r="H1098" i="17" s="1"/>
  <c r="I1098" i="17" s="1"/>
  <c r="K1098" i="17" s="1"/>
  <c r="F1099" i="17"/>
  <c r="G1099" i="17" s="1"/>
  <c r="H1099" i="17" s="1"/>
  <c r="I1099" i="17" s="1"/>
  <c r="K1099" i="17" s="1"/>
  <c r="F1100" i="17"/>
  <c r="G1100" i="17" s="1"/>
  <c r="H1100" i="17" s="1"/>
  <c r="I1100" i="17" s="1"/>
  <c r="K1100" i="17" s="1"/>
  <c r="F1101" i="17"/>
  <c r="G1101" i="17" s="1"/>
  <c r="H1101" i="17" s="1"/>
  <c r="I1101" i="17" s="1"/>
  <c r="K1101" i="17" s="1"/>
  <c r="F1102" i="17"/>
  <c r="G1102" i="17" s="1"/>
  <c r="H1102" i="17" s="1"/>
  <c r="I1102" i="17" s="1"/>
  <c r="K1102" i="17" s="1"/>
  <c r="F1103" i="17"/>
  <c r="G1103" i="17" s="1"/>
  <c r="H1103" i="17" s="1"/>
  <c r="I1103" i="17" s="1"/>
  <c r="K1103" i="17" s="1"/>
  <c r="F1104" i="17"/>
  <c r="G1104" i="17" s="1"/>
  <c r="H1104" i="17" s="1"/>
  <c r="I1104" i="17" s="1"/>
  <c r="K1104" i="17" s="1"/>
  <c r="F1105" i="17"/>
  <c r="G1105" i="17" s="1"/>
  <c r="H1105" i="17" s="1"/>
  <c r="I1105" i="17" s="1"/>
  <c r="K1105" i="17" s="1"/>
  <c r="F1106" i="17"/>
  <c r="G1106" i="17" s="1"/>
  <c r="H1106" i="17" s="1"/>
  <c r="I1106" i="17" s="1"/>
  <c r="K1106" i="17" s="1"/>
  <c r="F1107" i="17"/>
  <c r="G1107" i="17" s="1"/>
  <c r="H1107" i="17" s="1"/>
  <c r="I1107" i="17" s="1"/>
  <c r="K1107" i="17" s="1"/>
  <c r="F1108" i="17"/>
  <c r="G1108" i="17" s="1"/>
  <c r="H1108" i="17" s="1"/>
  <c r="I1108" i="17" s="1"/>
  <c r="K1108" i="17" s="1"/>
  <c r="F1109" i="17"/>
  <c r="G1109" i="17" s="1"/>
  <c r="H1109" i="17" s="1"/>
  <c r="I1109" i="17" s="1"/>
  <c r="K1109" i="17" s="1"/>
  <c r="F1110" i="17"/>
  <c r="G1110" i="17" s="1"/>
  <c r="H1110" i="17" s="1"/>
  <c r="I1110" i="17" s="1"/>
  <c r="K1110" i="17" s="1"/>
  <c r="F1111" i="17"/>
  <c r="G1111" i="17" s="1"/>
  <c r="H1111" i="17" s="1"/>
  <c r="I1111" i="17" s="1"/>
  <c r="K1111" i="17" s="1"/>
  <c r="F1112" i="17"/>
  <c r="G1112" i="17" s="1"/>
  <c r="H1112" i="17" s="1"/>
  <c r="I1112" i="17" s="1"/>
  <c r="K1112" i="17" s="1"/>
  <c r="F1113" i="17"/>
  <c r="G1113" i="17" s="1"/>
  <c r="H1113" i="17" s="1"/>
  <c r="I1113" i="17" s="1"/>
  <c r="K1113" i="17" s="1"/>
  <c r="F1114" i="17"/>
  <c r="G1114" i="17" s="1"/>
  <c r="H1114" i="17" s="1"/>
  <c r="I1114" i="17" s="1"/>
  <c r="K1114" i="17" s="1"/>
  <c r="F1115" i="17"/>
  <c r="G1115" i="17" s="1"/>
  <c r="H1115" i="17" s="1"/>
  <c r="I1115" i="17" s="1"/>
  <c r="K1115" i="17" s="1"/>
  <c r="F1116" i="17"/>
  <c r="G1116" i="17" s="1"/>
  <c r="H1116" i="17" s="1"/>
  <c r="I1116" i="17" s="1"/>
  <c r="K1116" i="17" s="1"/>
  <c r="F1117" i="17"/>
  <c r="G1117" i="17" s="1"/>
  <c r="H1117" i="17" s="1"/>
  <c r="I1117" i="17" s="1"/>
  <c r="K1117" i="17" s="1"/>
  <c r="F1118" i="17"/>
  <c r="G1118" i="17" s="1"/>
  <c r="H1118" i="17" s="1"/>
  <c r="I1118" i="17" s="1"/>
  <c r="K1118" i="17" s="1"/>
  <c r="F1119" i="17"/>
  <c r="G1119" i="17" s="1"/>
  <c r="H1119" i="17" s="1"/>
  <c r="I1119" i="17" s="1"/>
  <c r="K1119" i="17" s="1"/>
  <c r="F1120" i="17"/>
  <c r="G1120" i="17" s="1"/>
  <c r="H1120" i="17" s="1"/>
  <c r="I1120" i="17" s="1"/>
  <c r="K1120" i="17" s="1"/>
  <c r="F1121" i="17"/>
  <c r="G1121" i="17" s="1"/>
  <c r="H1121" i="17" s="1"/>
  <c r="I1121" i="17" s="1"/>
  <c r="K1121" i="17" s="1"/>
  <c r="F1122" i="17"/>
  <c r="G1122" i="17" s="1"/>
  <c r="H1122" i="17" s="1"/>
  <c r="I1122" i="17" s="1"/>
  <c r="K1122" i="17" s="1"/>
  <c r="F1123" i="17"/>
  <c r="G1123" i="17" s="1"/>
  <c r="H1123" i="17" s="1"/>
  <c r="I1123" i="17" s="1"/>
  <c r="K1123" i="17" s="1"/>
  <c r="F1124" i="17"/>
  <c r="G1124" i="17" s="1"/>
  <c r="H1124" i="17" s="1"/>
  <c r="I1124" i="17" s="1"/>
  <c r="K1124" i="17" s="1"/>
  <c r="F1125" i="17"/>
  <c r="G1125" i="17" s="1"/>
  <c r="H1125" i="17" s="1"/>
  <c r="I1125" i="17" s="1"/>
  <c r="K1125" i="17" s="1"/>
  <c r="F1126" i="17"/>
  <c r="G1126" i="17" s="1"/>
  <c r="H1126" i="17" s="1"/>
  <c r="I1126" i="17" s="1"/>
  <c r="K1126" i="17" s="1"/>
  <c r="F1127" i="17"/>
  <c r="G1127" i="17" s="1"/>
  <c r="H1127" i="17" s="1"/>
  <c r="I1127" i="17" s="1"/>
  <c r="K1127" i="17" s="1"/>
  <c r="F1128" i="17"/>
  <c r="G1128" i="17" s="1"/>
  <c r="H1128" i="17" s="1"/>
  <c r="I1128" i="17" s="1"/>
  <c r="K1128" i="17" s="1"/>
  <c r="F1129" i="17"/>
  <c r="G1129" i="17" s="1"/>
  <c r="H1129" i="17" s="1"/>
  <c r="I1129" i="17" s="1"/>
  <c r="K1129" i="17" s="1"/>
  <c r="F1130" i="17"/>
  <c r="G1130" i="17" s="1"/>
  <c r="H1130" i="17" s="1"/>
  <c r="I1130" i="17" s="1"/>
  <c r="K1130" i="17" s="1"/>
  <c r="F1131" i="17"/>
  <c r="G1131" i="17" s="1"/>
  <c r="H1131" i="17" s="1"/>
  <c r="I1131" i="17" s="1"/>
  <c r="K1131" i="17" s="1"/>
  <c r="F1132" i="17"/>
  <c r="G1132" i="17" s="1"/>
  <c r="H1132" i="17" s="1"/>
  <c r="I1132" i="17" s="1"/>
  <c r="K1132" i="17" s="1"/>
  <c r="F1133" i="17"/>
  <c r="G1133" i="17" s="1"/>
  <c r="H1133" i="17" s="1"/>
  <c r="I1133" i="17" s="1"/>
  <c r="K1133" i="17" s="1"/>
  <c r="F1134" i="17"/>
  <c r="G1134" i="17" s="1"/>
  <c r="H1134" i="17" s="1"/>
  <c r="I1134" i="17" s="1"/>
  <c r="K1134" i="17" s="1"/>
  <c r="F1135" i="17"/>
  <c r="G1135" i="17" s="1"/>
  <c r="H1135" i="17" s="1"/>
  <c r="I1135" i="17" s="1"/>
  <c r="K1135" i="17" s="1"/>
  <c r="F1136" i="17"/>
  <c r="G1136" i="17" s="1"/>
  <c r="H1136" i="17" s="1"/>
  <c r="I1136" i="17" s="1"/>
  <c r="K1136" i="17" s="1"/>
  <c r="F1137" i="17"/>
  <c r="G1137" i="17" s="1"/>
  <c r="H1137" i="17" s="1"/>
  <c r="I1137" i="17" s="1"/>
  <c r="K1137" i="17" s="1"/>
  <c r="F1138" i="17"/>
  <c r="G1138" i="17" s="1"/>
  <c r="H1138" i="17" s="1"/>
  <c r="I1138" i="17" s="1"/>
  <c r="K1138" i="17" s="1"/>
  <c r="F1139" i="17"/>
  <c r="G1139" i="17" s="1"/>
  <c r="H1139" i="17" s="1"/>
  <c r="I1139" i="17" s="1"/>
  <c r="K1139" i="17" s="1"/>
  <c r="F1140" i="17"/>
  <c r="G1140" i="17" s="1"/>
  <c r="H1140" i="17" s="1"/>
  <c r="I1140" i="17" s="1"/>
  <c r="K1140" i="17" s="1"/>
  <c r="F1141" i="17"/>
  <c r="G1141" i="17" s="1"/>
  <c r="H1141" i="17" s="1"/>
  <c r="I1141" i="17" s="1"/>
  <c r="K1141" i="17" s="1"/>
  <c r="F1142" i="17"/>
  <c r="G1142" i="17" s="1"/>
  <c r="H1142" i="17" s="1"/>
  <c r="I1142" i="17" s="1"/>
  <c r="K1142" i="17" s="1"/>
  <c r="F1143" i="17"/>
  <c r="G1143" i="17" s="1"/>
  <c r="H1143" i="17" s="1"/>
  <c r="I1143" i="17" s="1"/>
  <c r="K1143" i="17" s="1"/>
  <c r="F1144" i="17"/>
  <c r="G1144" i="17" s="1"/>
  <c r="H1144" i="17" s="1"/>
  <c r="I1144" i="17" s="1"/>
  <c r="K1144" i="17" s="1"/>
  <c r="F1145" i="17"/>
  <c r="G1145" i="17" s="1"/>
  <c r="H1145" i="17" s="1"/>
  <c r="I1145" i="17" s="1"/>
  <c r="K1145" i="17" s="1"/>
  <c r="F1146" i="17"/>
  <c r="G1146" i="17" s="1"/>
  <c r="H1146" i="17" s="1"/>
  <c r="I1146" i="17" s="1"/>
  <c r="K1146" i="17" s="1"/>
  <c r="F1147" i="17"/>
  <c r="G1147" i="17" s="1"/>
  <c r="H1147" i="17" s="1"/>
  <c r="I1147" i="17" s="1"/>
  <c r="K1147" i="17" s="1"/>
  <c r="F1148" i="17"/>
  <c r="G1148" i="17" s="1"/>
  <c r="H1148" i="17" s="1"/>
  <c r="I1148" i="17" s="1"/>
  <c r="K1148" i="17" s="1"/>
  <c r="F1149" i="17"/>
  <c r="G1149" i="17" s="1"/>
  <c r="H1149" i="17" s="1"/>
  <c r="I1149" i="17" s="1"/>
  <c r="K1149" i="17" s="1"/>
  <c r="F1150" i="17"/>
  <c r="G1150" i="17" s="1"/>
  <c r="H1150" i="17" s="1"/>
  <c r="I1150" i="17" s="1"/>
  <c r="K1150" i="17" s="1"/>
  <c r="F1151" i="17"/>
  <c r="G1151" i="17" s="1"/>
  <c r="H1151" i="17" s="1"/>
  <c r="I1151" i="17" s="1"/>
  <c r="K1151" i="17" s="1"/>
  <c r="F1152" i="17"/>
  <c r="G1152" i="17" s="1"/>
  <c r="H1152" i="17" s="1"/>
  <c r="I1152" i="17" s="1"/>
  <c r="K1152" i="17" s="1"/>
  <c r="F1153" i="17"/>
  <c r="G1153" i="17" s="1"/>
  <c r="H1153" i="17" s="1"/>
  <c r="I1153" i="17" s="1"/>
  <c r="K1153" i="17" s="1"/>
  <c r="F1154" i="17"/>
  <c r="G1154" i="17" s="1"/>
  <c r="H1154" i="17" s="1"/>
  <c r="I1154" i="17" s="1"/>
  <c r="K1154" i="17" s="1"/>
  <c r="F1155" i="17"/>
  <c r="G1155" i="17" s="1"/>
  <c r="H1155" i="17" s="1"/>
  <c r="I1155" i="17" s="1"/>
  <c r="K1155" i="17" s="1"/>
  <c r="F1156" i="17"/>
  <c r="G1156" i="17" s="1"/>
  <c r="H1156" i="17" s="1"/>
  <c r="I1156" i="17" s="1"/>
  <c r="K1156" i="17" s="1"/>
  <c r="F1157" i="17"/>
  <c r="G1157" i="17" s="1"/>
  <c r="H1157" i="17" s="1"/>
  <c r="I1157" i="17" s="1"/>
  <c r="K1157" i="17" s="1"/>
  <c r="F1158" i="17"/>
  <c r="G1158" i="17" s="1"/>
  <c r="H1158" i="17" s="1"/>
  <c r="I1158" i="17" s="1"/>
  <c r="K1158" i="17" s="1"/>
  <c r="F1159" i="17"/>
  <c r="G1159" i="17" s="1"/>
  <c r="H1159" i="17" s="1"/>
  <c r="I1159" i="17" s="1"/>
  <c r="K1159" i="17" s="1"/>
  <c r="F1160" i="17"/>
  <c r="G1160" i="17" s="1"/>
  <c r="H1160" i="17" s="1"/>
  <c r="I1160" i="17" s="1"/>
  <c r="K1160" i="17" s="1"/>
  <c r="F1161" i="17"/>
  <c r="G1161" i="17" s="1"/>
  <c r="H1161" i="17" s="1"/>
  <c r="I1161" i="17" s="1"/>
  <c r="K1161" i="17" s="1"/>
  <c r="F1162" i="17"/>
  <c r="G1162" i="17" s="1"/>
  <c r="H1162" i="17" s="1"/>
  <c r="I1162" i="17" s="1"/>
  <c r="K1162" i="17" s="1"/>
  <c r="F1163" i="17"/>
  <c r="G1163" i="17" s="1"/>
  <c r="H1163" i="17" s="1"/>
  <c r="I1163" i="17" s="1"/>
  <c r="K1163" i="17" s="1"/>
  <c r="F1164" i="17"/>
  <c r="G1164" i="17" s="1"/>
  <c r="H1164" i="17" s="1"/>
  <c r="I1164" i="17" s="1"/>
  <c r="K1164" i="17" s="1"/>
  <c r="F1165" i="17"/>
  <c r="G1165" i="17" s="1"/>
  <c r="H1165" i="17" s="1"/>
  <c r="I1165" i="17" s="1"/>
  <c r="K1165" i="17" s="1"/>
  <c r="F1166" i="17"/>
  <c r="G1166" i="17" s="1"/>
  <c r="H1166" i="17" s="1"/>
  <c r="I1166" i="17" s="1"/>
  <c r="K1166" i="17" s="1"/>
  <c r="F1167" i="17"/>
  <c r="G1167" i="17" s="1"/>
  <c r="H1167" i="17" s="1"/>
  <c r="I1167" i="17" s="1"/>
  <c r="K1167" i="17" s="1"/>
  <c r="F1168" i="17"/>
  <c r="G1168" i="17" s="1"/>
  <c r="H1168" i="17" s="1"/>
  <c r="I1168" i="17" s="1"/>
  <c r="K1168" i="17" s="1"/>
  <c r="F1169" i="17"/>
  <c r="G1169" i="17" s="1"/>
  <c r="H1169" i="17" s="1"/>
  <c r="I1169" i="17" s="1"/>
  <c r="K1169" i="17" s="1"/>
  <c r="F1170" i="17"/>
  <c r="G1170" i="17" s="1"/>
  <c r="H1170" i="17" s="1"/>
  <c r="I1170" i="17" s="1"/>
  <c r="K1170" i="17" s="1"/>
  <c r="F1171" i="17"/>
  <c r="G1171" i="17" s="1"/>
  <c r="H1171" i="17" s="1"/>
  <c r="I1171" i="17" s="1"/>
  <c r="K1171" i="17" s="1"/>
  <c r="F1172" i="17"/>
  <c r="G1172" i="17" s="1"/>
  <c r="H1172" i="17" s="1"/>
  <c r="I1172" i="17" s="1"/>
  <c r="K1172" i="17" s="1"/>
  <c r="F1173" i="17"/>
  <c r="G1173" i="17" s="1"/>
  <c r="H1173" i="17" s="1"/>
  <c r="I1173" i="17" s="1"/>
  <c r="K1173" i="17" s="1"/>
  <c r="F1174" i="17"/>
  <c r="G1174" i="17" s="1"/>
  <c r="H1174" i="17" s="1"/>
  <c r="I1174" i="17" s="1"/>
  <c r="K1174" i="17" s="1"/>
  <c r="F1175" i="17"/>
  <c r="G1175" i="17" s="1"/>
  <c r="H1175" i="17" s="1"/>
  <c r="I1175" i="17" s="1"/>
  <c r="K1175" i="17" s="1"/>
  <c r="F1176" i="17"/>
  <c r="G1176" i="17" s="1"/>
  <c r="H1176" i="17" s="1"/>
  <c r="I1176" i="17" s="1"/>
  <c r="K1176" i="17" s="1"/>
  <c r="F1177" i="17"/>
  <c r="G1177" i="17" s="1"/>
  <c r="H1177" i="17" s="1"/>
  <c r="I1177" i="17" s="1"/>
  <c r="K1177" i="17" s="1"/>
  <c r="F1178" i="17"/>
  <c r="G1178" i="17" s="1"/>
  <c r="H1178" i="17" s="1"/>
  <c r="I1178" i="17" s="1"/>
  <c r="K1178" i="17" s="1"/>
  <c r="F1179" i="17"/>
  <c r="G1179" i="17" s="1"/>
  <c r="H1179" i="17" s="1"/>
  <c r="I1179" i="17" s="1"/>
  <c r="K1179" i="17" s="1"/>
  <c r="F1180" i="17"/>
  <c r="G1180" i="17" s="1"/>
  <c r="H1180" i="17" s="1"/>
  <c r="I1180" i="17" s="1"/>
  <c r="K1180" i="17" s="1"/>
  <c r="F1181" i="17"/>
  <c r="G1181" i="17" s="1"/>
  <c r="H1181" i="17" s="1"/>
  <c r="I1181" i="17" s="1"/>
  <c r="K1181" i="17" s="1"/>
  <c r="F1182" i="17"/>
  <c r="G1182" i="17" s="1"/>
  <c r="H1182" i="17" s="1"/>
  <c r="I1182" i="17" s="1"/>
  <c r="K1182" i="17" s="1"/>
  <c r="F1183" i="17"/>
  <c r="G1183" i="17" s="1"/>
  <c r="H1183" i="17" s="1"/>
  <c r="I1183" i="17" s="1"/>
  <c r="K1183" i="17" s="1"/>
  <c r="F1184" i="17"/>
  <c r="G1184" i="17" s="1"/>
  <c r="H1184" i="17" s="1"/>
  <c r="I1184" i="17" s="1"/>
  <c r="K1184" i="17" s="1"/>
  <c r="F1185" i="17"/>
  <c r="G1185" i="17" s="1"/>
  <c r="H1185" i="17" s="1"/>
  <c r="I1185" i="17" s="1"/>
  <c r="K1185" i="17" s="1"/>
  <c r="F1186" i="17"/>
  <c r="G1186" i="17" s="1"/>
  <c r="H1186" i="17" s="1"/>
  <c r="I1186" i="17" s="1"/>
  <c r="K1186" i="17" s="1"/>
  <c r="F1187" i="17"/>
  <c r="G1187" i="17" s="1"/>
  <c r="H1187" i="17" s="1"/>
  <c r="I1187" i="17" s="1"/>
  <c r="K1187" i="17" s="1"/>
  <c r="F1188" i="17"/>
  <c r="G1188" i="17" s="1"/>
  <c r="H1188" i="17" s="1"/>
  <c r="I1188" i="17" s="1"/>
  <c r="K1188" i="17" s="1"/>
  <c r="F1189" i="17"/>
  <c r="G1189" i="17" s="1"/>
  <c r="H1189" i="17" s="1"/>
  <c r="I1189" i="17" s="1"/>
  <c r="K1189" i="17" s="1"/>
  <c r="F1190" i="17"/>
  <c r="G1190" i="17" s="1"/>
  <c r="H1190" i="17" s="1"/>
  <c r="I1190" i="17" s="1"/>
  <c r="K1190" i="17" s="1"/>
  <c r="F1191" i="17"/>
  <c r="G1191" i="17" s="1"/>
  <c r="H1191" i="17" s="1"/>
  <c r="I1191" i="17" s="1"/>
  <c r="K1191" i="17" s="1"/>
  <c r="F1192" i="17"/>
  <c r="G1192" i="17" s="1"/>
  <c r="H1192" i="17" s="1"/>
  <c r="I1192" i="17" s="1"/>
  <c r="K1192" i="17" s="1"/>
  <c r="F1193" i="17"/>
  <c r="G1193" i="17" s="1"/>
  <c r="H1193" i="17" s="1"/>
  <c r="I1193" i="17" s="1"/>
  <c r="K1193" i="17" s="1"/>
  <c r="F1194" i="17"/>
  <c r="G1194" i="17" s="1"/>
  <c r="H1194" i="17" s="1"/>
  <c r="I1194" i="17" s="1"/>
  <c r="K1194" i="17" s="1"/>
  <c r="F1195" i="17"/>
  <c r="G1195" i="17" s="1"/>
  <c r="H1195" i="17" s="1"/>
  <c r="I1195" i="17" s="1"/>
  <c r="K1195" i="17" s="1"/>
  <c r="F1196" i="17"/>
  <c r="G1196" i="17" s="1"/>
  <c r="H1196" i="17" s="1"/>
  <c r="I1196" i="17" s="1"/>
  <c r="K1196" i="17" s="1"/>
  <c r="F1197" i="17"/>
  <c r="G1197" i="17" s="1"/>
  <c r="H1197" i="17" s="1"/>
  <c r="I1197" i="17" s="1"/>
  <c r="K1197" i="17" s="1"/>
  <c r="F1198" i="17"/>
  <c r="G1198" i="17" s="1"/>
  <c r="H1198" i="17" s="1"/>
  <c r="I1198" i="17" s="1"/>
  <c r="K1198" i="17" s="1"/>
  <c r="F1199" i="17"/>
  <c r="G1199" i="17" s="1"/>
  <c r="H1199" i="17" s="1"/>
  <c r="I1199" i="17" s="1"/>
  <c r="K1199" i="17" s="1"/>
  <c r="F1200" i="17"/>
  <c r="G1200" i="17" s="1"/>
  <c r="H1200" i="17" s="1"/>
  <c r="I1200" i="17" s="1"/>
  <c r="K1200" i="17" s="1"/>
  <c r="F1201" i="17"/>
  <c r="G1201" i="17" s="1"/>
  <c r="H1201" i="17" s="1"/>
  <c r="I1201" i="17" s="1"/>
  <c r="K1201" i="17" s="1"/>
  <c r="F1202" i="17"/>
  <c r="G1202" i="17" s="1"/>
  <c r="H1202" i="17" s="1"/>
  <c r="I1202" i="17" s="1"/>
  <c r="K1202" i="17" s="1"/>
  <c r="F1203" i="17"/>
  <c r="G1203" i="17" s="1"/>
  <c r="H1203" i="17" s="1"/>
  <c r="I1203" i="17" s="1"/>
  <c r="K1203" i="17" s="1"/>
  <c r="F1204" i="17"/>
  <c r="G1204" i="17" s="1"/>
  <c r="H1204" i="17" s="1"/>
  <c r="I1204" i="17" s="1"/>
  <c r="K1204" i="17" s="1"/>
  <c r="F1205" i="17"/>
  <c r="G1205" i="17" s="1"/>
  <c r="H1205" i="17" s="1"/>
  <c r="I1205" i="17" s="1"/>
  <c r="K1205" i="17" s="1"/>
  <c r="F1206" i="17"/>
  <c r="G1206" i="17" s="1"/>
  <c r="H1206" i="17" s="1"/>
  <c r="I1206" i="17" s="1"/>
  <c r="K1206" i="17" s="1"/>
  <c r="F1207" i="17"/>
  <c r="G1207" i="17" s="1"/>
  <c r="H1207" i="17" s="1"/>
  <c r="I1207" i="17" s="1"/>
  <c r="K1207" i="17" s="1"/>
  <c r="F1208" i="17"/>
  <c r="G1208" i="17" s="1"/>
  <c r="H1208" i="17" s="1"/>
  <c r="I1208" i="17" s="1"/>
  <c r="K1208" i="17" s="1"/>
  <c r="F1209" i="17"/>
  <c r="G1209" i="17" s="1"/>
  <c r="H1209" i="17" s="1"/>
  <c r="I1209" i="17" s="1"/>
  <c r="K1209" i="17" s="1"/>
  <c r="F1210" i="17"/>
  <c r="G1210" i="17" s="1"/>
  <c r="H1210" i="17" s="1"/>
  <c r="I1210" i="17" s="1"/>
  <c r="K1210" i="17" s="1"/>
  <c r="F1211" i="17"/>
  <c r="G1211" i="17" s="1"/>
  <c r="H1211" i="17" s="1"/>
  <c r="I1211" i="17" s="1"/>
  <c r="K1211" i="17" s="1"/>
  <c r="F1212" i="17"/>
  <c r="G1212" i="17" s="1"/>
  <c r="H1212" i="17" s="1"/>
  <c r="I1212" i="17" s="1"/>
  <c r="K1212" i="17" s="1"/>
  <c r="F1213" i="17"/>
  <c r="G1213" i="17" s="1"/>
  <c r="H1213" i="17" s="1"/>
  <c r="I1213" i="17" s="1"/>
  <c r="K1213" i="17" s="1"/>
  <c r="F1214" i="17"/>
  <c r="G1214" i="17" s="1"/>
  <c r="H1214" i="17" s="1"/>
  <c r="I1214" i="17" s="1"/>
  <c r="K1214" i="17" s="1"/>
  <c r="F1215" i="17"/>
  <c r="G1215" i="17" s="1"/>
  <c r="H1215" i="17" s="1"/>
  <c r="I1215" i="17" s="1"/>
  <c r="K1215" i="17" s="1"/>
  <c r="F1216" i="17"/>
  <c r="G1216" i="17" s="1"/>
  <c r="H1216" i="17" s="1"/>
  <c r="I1216" i="17" s="1"/>
  <c r="K1216" i="17" s="1"/>
  <c r="F1217" i="17"/>
  <c r="G1217" i="17" s="1"/>
  <c r="H1217" i="17" s="1"/>
  <c r="I1217" i="17" s="1"/>
  <c r="K1217" i="17" s="1"/>
  <c r="F1218" i="17"/>
  <c r="G1218" i="17" s="1"/>
  <c r="H1218" i="17" s="1"/>
  <c r="I1218" i="17" s="1"/>
  <c r="K1218" i="17" s="1"/>
  <c r="F1219" i="17"/>
  <c r="G1219" i="17" s="1"/>
  <c r="H1219" i="17" s="1"/>
  <c r="I1219" i="17" s="1"/>
  <c r="K1219" i="17" s="1"/>
  <c r="F1220" i="17"/>
  <c r="G1220" i="17" s="1"/>
  <c r="H1220" i="17" s="1"/>
  <c r="I1220" i="17" s="1"/>
  <c r="K1220" i="17" s="1"/>
  <c r="F1221" i="17"/>
  <c r="G1221" i="17" s="1"/>
  <c r="H1221" i="17" s="1"/>
  <c r="I1221" i="17" s="1"/>
  <c r="K1221" i="17" s="1"/>
  <c r="F1222" i="17"/>
  <c r="G1222" i="17" s="1"/>
  <c r="H1222" i="17" s="1"/>
  <c r="I1222" i="17" s="1"/>
  <c r="K1222" i="17" s="1"/>
  <c r="F1223" i="17"/>
  <c r="G1223" i="17" s="1"/>
  <c r="H1223" i="17" s="1"/>
  <c r="I1223" i="17" s="1"/>
  <c r="K1223" i="17" s="1"/>
  <c r="F1224" i="17"/>
  <c r="G1224" i="17" s="1"/>
  <c r="H1224" i="17" s="1"/>
  <c r="I1224" i="17" s="1"/>
  <c r="K1224" i="17" s="1"/>
  <c r="F1225" i="17"/>
  <c r="G1225" i="17" s="1"/>
  <c r="H1225" i="17" s="1"/>
  <c r="I1225" i="17" s="1"/>
  <c r="K1225" i="17" s="1"/>
  <c r="F1226" i="17"/>
  <c r="G1226" i="17" s="1"/>
  <c r="H1226" i="17" s="1"/>
  <c r="I1226" i="17" s="1"/>
  <c r="K1226" i="17" s="1"/>
  <c r="F1227" i="17"/>
  <c r="G1227" i="17" s="1"/>
  <c r="H1227" i="17" s="1"/>
  <c r="I1227" i="17" s="1"/>
  <c r="K1227" i="17" s="1"/>
  <c r="F1228" i="17"/>
  <c r="G1228" i="17" s="1"/>
  <c r="H1228" i="17" s="1"/>
  <c r="I1228" i="17" s="1"/>
  <c r="K1228" i="17" s="1"/>
  <c r="F1229" i="17"/>
  <c r="G1229" i="17" s="1"/>
  <c r="H1229" i="17" s="1"/>
  <c r="I1229" i="17" s="1"/>
  <c r="K1229" i="17" s="1"/>
  <c r="F1230" i="17"/>
  <c r="G1230" i="17" s="1"/>
  <c r="H1230" i="17" s="1"/>
  <c r="I1230" i="17" s="1"/>
  <c r="K1230" i="17" s="1"/>
  <c r="F1231" i="17"/>
  <c r="G1231" i="17" s="1"/>
  <c r="H1231" i="17" s="1"/>
  <c r="I1231" i="17" s="1"/>
  <c r="K1231" i="17" s="1"/>
  <c r="F1232" i="17"/>
  <c r="G1232" i="17" s="1"/>
  <c r="H1232" i="17" s="1"/>
  <c r="I1232" i="17" s="1"/>
  <c r="K1232" i="17" s="1"/>
  <c r="F1233" i="17"/>
  <c r="G1233" i="17" s="1"/>
  <c r="H1233" i="17" s="1"/>
  <c r="I1233" i="17" s="1"/>
  <c r="K1233" i="17" s="1"/>
  <c r="F1234" i="17"/>
  <c r="G1234" i="17" s="1"/>
  <c r="H1234" i="17" s="1"/>
  <c r="I1234" i="17" s="1"/>
  <c r="K1234" i="17" s="1"/>
  <c r="F1235" i="17"/>
  <c r="G1235" i="17" s="1"/>
  <c r="H1235" i="17" s="1"/>
  <c r="I1235" i="17" s="1"/>
  <c r="K1235" i="17" s="1"/>
  <c r="F1236" i="17"/>
  <c r="G1236" i="17" s="1"/>
  <c r="H1236" i="17" s="1"/>
  <c r="I1236" i="17" s="1"/>
  <c r="K1236" i="17" s="1"/>
  <c r="F1237" i="17"/>
  <c r="G1237" i="17" s="1"/>
  <c r="H1237" i="17" s="1"/>
  <c r="I1237" i="17" s="1"/>
  <c r="K1237" i="17" s="1"/>
  <c r="F1238" i="17"/>
  <c r="G1238" i="17" s="1"/>
  <c r="H1238" i="17" s="1"/>
  <c r="I1238" i="17" s="1"/>
  <c r="K1238" i="17" s="1"/>
  <c r="F1239" i="17"/>
  <c r="G1239" i="17" s="1"/>
  <c r="H1239" i="17" s="1"/>
  <c r="I1239" i="17" s="1"/>
  <c r="K1239" i="17" s="1"/>
  <c r="F1240" i="17"/>
  <c r="G1240" i="17" s="1"/>
  <c r="H1240" i="17" s="1"/>
  <c r="I1240" i="17" s="1"/>
  <c r="K1240" i="17" s="1"/>
  <c r="F1241" i="17"/>
  <c r="G1241" i="17" s="1"/>
  <c r="H1241" i="17" s="1"/>
  <c r="I1241" i="17" s="1"/>
  <c r="K1241" i="17" s="1"/>
  <c r="F1242" i="17"/>
  <c r="G1242" i="17" s="1"/>
  <c r="H1242" i="17" s="1"/>
  <c r="I1242" i="17" s="1"/>
  <c r="K1242" i="17" s="1"/>
  <c r="F1243" i="17"/>
  <c r="G1243" i="17" s="1"/>
  <c r="H1243" i="17" s="1"/>
  <c r="I1243" i="17" s="1"/>
  <c r="K1243" i="17" s="1"/>
  <c r="F1244" i="17"/>
  <c r="G1244" i="17" s="1"/>
  <c r="H1244" i="17" s="1"/>
  <c r="I1244" i="17" s="1"/>
  <c r="K1244" i="17" s="1"/>
  <c r="F1245" i="17"/>
  <c r="G1245" i="17" s="1"/>
  <c r="H1245" i="17" s="1"/>
  <c r="I1245" i="17" s="1"/>
  <c r="K1245" i="17" s="1"/>
  <c r="F1246" i="17"/>
  <c r="G1246" i="17" s="1"/>
  <c r="H1246" i="17" s="1"/>
  <c r="I1246" i="17" s="1"/>
  <c r="K1246" i="17" s="1"/>
  <c r="F1247" i="17"/>
  <c r="G1247" i="17" s="1"/>
  <c r="H1247" i="17" s="1"/>
  <c r="I1247" i="17" s="1"/>
  <c r="K1247" i="17" s="1"/>
  <c r="F1248" i="17"/>
  <c r="G1248" i="17" s="1"/>
  <c r="H1248" i="17" s="1"/>
  <c r="I1248" i="17" s="1"/>
  <c r="K1248" i="17" s="1"/>
  <c r="F1249" i="17"/>
  <c r="G1249" i="17" s="1"/>
  <c r="H1249" i="17" s="1"/>
  <c r="I1249" i="17" s="1"/>
  <c r="K1249" i="17" s="1"/>
  <c r="F1250" i="17"/>
  <c r="G1250" i="17" s="1"/>
  <c r="H1250" i="17" s="1"/>
  <c r="I1250" i="17" s="1"/>
  <c r="K1250" i="17" s="1"/>
  <c r="F1251" i="17"/>
  <c r="G1251" i="17" s="1"/>
  <c r="H1251" i="17" s="1"/>
  <c r="I1251" i="17" s="1"/>
  <c r="K1251" i="17" s="1"/>
  <c r="F1252" i="17"/>
  <c r="G1252" i="17" s="1"/>
  <c r="H1252" i="17" s="1"/>
  <c r="I1252" i="17" s="1"/>
  <c r="K1252" i="17" s="1"/>
  <c r="F1253" i="17"/>
  <c r="G1253" i="17" s="1"/>
  <c r="H1253" i="17" s="1"/>
  <c r="I1253" i="17" s="1"/>
  <c r="K1253" i="17" s="1"/>
  <c r="F1254" i="17"/>
  <c r="G1254" i="17" s="1"/>
  <c r="H1254" i="17" s="1"/>
  <c r="I1254" i="17" s="1"/>
  <c r="K1254" i="17" s="1"/>
  <c r="F1255" i="17"/>
  <c r="G1255" i="17" s="1"/>
  <c r="H1255" i="17" s="1"/>
  <c r="I1255" i="17" s="1"/>
  <c r="K1255" i="17" s="1"/>
  <c r="F1256" i="17"/>
  <c r="G1256" i="17" s="1"/>
  <c r="H1256" i="17" s="1"/>
  <c r="I1256" i="17" s="1"/>
  <c r="K1256" i="17" s="1"/>
  <c r="F1257" i="17"/>
  <c r="G1257" i="17" s="1"/>
  <c r="H1257" i="17" s="1"/>
  <c r="I1257" i="17" s="1"/>
  <c r="K1257" i="17" s="1"/>
  <c r="F1258" i="17"/>
  <c r="G1258" i="17" s="1"/>
  <c r="H1258" i="17" s="1"/>
  <c r="I1258" i="17" s="1"/>
  <c r="K1258" i="17" s="1"/>
  <c r="F1259" i="17"/>
  <c r="G1259" i="17" s="1"/>
  <c r="H1259" i="17" s="1"/>
  <c r="I1259" i="17" s="1"/>
  <c r="K1259" i="17" s="1"/>
  <c r="F1260" i="17"/>
  <c r="G1260" i="17" s="1"/>
  <c r="H1260" i="17" s="1"/>
  <c r="I1260" i="17" s="1"/>
  <c r="K1260" i="17" s="1"/>
  <c r="F1261" i="17"/>
  <c r="G1261" i="17" s="1"/>
  <c r="H1261" i="17" s="1"/>
  <c r="I1261" i="17" s="1"/>
  <c r="K1261" i="17" s="1"/>
  <c r="F1262" i="17"/>
  <c r="G1262" i="17" s="1"/>
  <c r="H1262" i="17" s="1"/>
  <c r="I1262" i="17" s="1"/>
  <c r="K1262" i="17" s="1"/>
  <c r="F1263" i="17"/>
  <c r="G1263" i="17" s="1"/>
  <c r="H1263" i="17" s="1"/>
  <c r="I1263" i="17" s="1"/>
  <c r="K1263" i="17" s="1"/>
  <c r="F1264" i="17"/>
  <c r="G1264" i="17" s="1"/>
  <c r="H1264" i="17" s="1"/>
  <c r="I1264" i="17" s="1"/>
  <c r="K1264" i="17" s="1"/>
  <c r="F1265" i="17"/>
  <c r="G1265" i="17" s="1"/>
  <c r="H1265" i="17" s="1"/>
  <c r="I1265" i="17" s="1"/>
  <c r="K1265" i="17" s="1"/>
  <c r="F1266" i="17"/>
  <c r="G1266" i="17" s="1"/>
  <c r="H1266" i="17" s="1"/>
  <c r="I1266" i="17" s="1"/>
  <c r="K1266" i="17" s="1"/>
  <c r="F1267" i="17"/>
  <c r="G1267" i="17" s="1"/>
  <c r="H1267" i="17" s="1"/>
  <c r="I1267" i="17" s="1"/>
  <c r="K1267" i="17" s="1"/>
  <c r="F1268" i="17"/>
  <c r="G1268" i="17" s="1"/>
  <c r="H1268" i="17" s="1"/>
  <c r="I1268" i="17" s="1"/>
  <c r="K1268" i="17" s="1"/>
  <c r="F1269" i="17"/>
  <c r="G1269" i="17" s="1"/>
  <c r="H1269" i="17" s="1"/>
  <c r="I1269" i="17" s="1"/>
  <c r="K1269" i="17" s="1"/>
  <c r="F1270" i="17"/>
  <c r="G1270" i="17" s="1"/>
  <c r="H1270" i="17" s="1"/>
  <c r="I1270" i="17" s="1"/>
  <c r="K1270" i="17" s="1"/>
  <c r="F1271" i="17"/>
  <c r="G1271" i="17" s="1"/>
  <c r="H1271" i="17" s="1"/>
  <c r="I1271" i="17" s="1"/>
  <c r="K1271" i="17" s="1"/>
  <c r="F1272" i="17"/>
  <c r="G1272" i="17" s="1"/>
  <c r="H1272" i="17" s="1"/>
  <c r="I1272" i="17" s="1"/>
  <c r="K1272" i="17" s="1"/>
  <c r="F1273" i="17"/>
  <c r="G1273" i="17" s="1"/>
  <c r="H1273" i="17" s="1"/>
  <c r="I1273" i="17" s="1"/>
  <c r="K1273" i="17" s="1"/>
  <c r="F1274" i="17"/>
  <c r="G1274" i="17" s="1"/>
  <c r="H1274" i="17" s="1"/>
  <c r="I1274" i="17" s="1"/>
  <c r="K1274" i="17" s="1"/>
  <c r="F1275" i="17"/>
  <c r="G1275" i="17" s="1"/>
  <c r="H1275" i="17" s="1"/>
  <c r="I1275" i="17" s="1"/>
  <c r="K1275" i="17" s="1"/>
  <c r="F1276" i="17"/>
  <c r="G1276" i="17" s="1"/>
  <c r="H1276" i="17" s="1"/>
  <c r="I1276" i="17" s="1"/>
  <c r="K1276" i="17" s="1"/>
  <c r="F1277" i="17"/>
  <c r="G1277" i="17" s="1"/>
  <c r="H1277" i="17" s="1"/>
  <c r="I1277" i="17" s="1"/>
  <c r="K1277" i="17" s="1"/>
  <c r="F1278" i="17"/>
  <c r="G1278" i="17" s="1"/>
  <c r="H1278" i="17" s="1"/>
  <c r="I1278" i="17" s="1"/>
  <c r="K1278" i="17" s="1"/>
  <c r="F1279" i="17"/>
  <c r="G1279" i="17" s="1"/>
  <c r="H1279" i="17" s="1"/>
  <c r="I1279" i="17" s="1"/>
  <c r="K1279" i="17" s="1"/>
  <c r="F1280" i="17"/>
  <c r="G1280" i="17" s="1"/>
  <c r="H1280" i="17" s="1"/>
  <c r="I1280" i="17" s="1"/>
  <c r="K1280" i="17" s="1"/>
  <c r="F1281" i="17"/>
  <c r="G1281" i="17" s="1"/>
  <c r="H1281" i="17" s="1"/>
  <c r="I1281" i="17" s="1"/>
  <c r="K1281" i="17" s="1"/>
  <c r="F1282" i="17"/>
  <c r="G1282" i="17" s="1"/>
  <c r="H1282" i="17" s="1"/>
  <c r="I1282" i="17" s="1"/>
  <c r="K1282" i="17" s="1"/>
  <c r="F1283" i="17"/>
  <c r="G1283" i="17" s="1"/>
  <c r="H1283" i="17" s="1"/>
  <c r="I1283" i="17" s="1"/>
  <c r="K1283" i="17" s="1"/>
  <c r="F1284" i="17"/>
  <c r="G1284" i="17" s="1"/>
  <c r="H1284" i="17" s="1"/>
  <c r="I1284" i="17" s="1"/>
  <c r="K1284" i="17" s="1"/>
  <c r="F1285" i="17"/>
  <c r="G1285" i="17" s="1"/>
  <c r="H1285" i="17" s="1"/>
  <c r="I1285" i="17" s="1"/>
  <c r="K1285" i="17" s="1"/>
  <c r="F1286" i="17"/>
  <c r="G1286" i="17" s="1"/>
  <c r="H1286" i="17" s="1"/>
  <c r="I1286" i="17" s="1"/>
  <c r="K1286" i="17" s="1"/>
  <c r="F1287" i="17"/>
  <c r="G1287" i="17" s="1"/>
  <c r="H1287" i="17" s="1"/>
  <c r="I1287" i="17" s="1"/>
  <c r="K1287" i="17" s="1"/>
  <c r="F1288" i="17"/>
  <c r="G1288" i="17" s="1"/>
  <c r="H1288" i="17" s="1"/>
  <c r="I1288" i="17" s="1"/>
  <c r="K1288" i="17" s="1"/>
  <c r="F1289" i="17"/>
  <c r="G1289" i="17" s="1"/>
  <c r="H1289" i="17" s="1"/>
  <c r="I1289" i="17" s="1"/>
  <c r="K1289" i="17" s="1"/>
  <c r="F1290" i="17"/>
  <c r="G1290" i="17" s="1"/>
  <c r="H1290" i="17" s="1"/>
  <c r="I1290" i="17" s="1"/>
  <c r="K1290" i="17" s="1"/>
  <c r="F1291" i="17"/>
  <c r="G1291" i="17" s="1"/>
  <c r="H1291" i="17" s="1"/>
  <c r="I1291" i="17" s="1"/>
  <c r="K1291" i="17" s="1"/>
  <c r="F1292" i="17"/>
  <c r="G1292" i="17" s="1"/>
  <c r="H1292" i="17" s="1"/>
  <c r="I1292" i="17" s="1"/>
  <c r="K1292" i="17" s="1"/>
  <c r="F1293" i="17"/>
  <c r="G1293" i="17" s="1"/>
  <c r="H1293" i="17" s="1"/>
  <c r="I1293" i="17" s="1"/>
  <c r="K1293" i="17" s="1"/>
  <c r="F1294" i="17"/>
  <c r="G1294" i="17" s="1"/>
  <c r="H1294" i="17" s="1"/>
  <c r="I1294" i="17" s="1"/>
  <c r="K1294" i="17" s="1"/>
  <c r="F1295" i="17"/>
  <c r="G1295" i="17" s="1"/>
  <c r="H1295" i="17" s="1"/>
  <c r="I1295" i="17" s="1"/>
  <c r="K1295" i="17" s="1"/>
  <c r="F1296" i="17"/>
  <c r="G1296" i="17" s="1"/>
  <c r="H1296" i="17" s="1"/>
  <c r="I1296" i="17" s="1"/>
  <c r="K1296" i="17" s="1"/>
  <c r="F1297" i="17"/>
  <c r="G1297" i="17" s="1"/>
  <c r="H1297" i="17" s="1"/>
  <c r="I1297" i="17" s="1"/>
  <c r="K1297" i="17" s="1"/>
  <c r="F1298" i="17"/>
  <c r="G1298" i="17" s="1"/>
  <c r="H1298" i="17" s="1"/>
  <c r="I1298" i="17" s="1"/>
  <c r="K1298" i="17" s="1"/>
  <c r="F1299" i="17"/>
  <c r="G1299" i="17" s="1"/>
  <c r="H1299" i="17" s="1"/>
  <c r="I1299" i="17" s="1"/>
  <c r="K1299" i="17" s="1"/>
  <c r="F1300" i="17"/>
  <c r="G1300" i="17" s="1"/>
  <c r="H1300" i="17" s="1"/>
  <c r="I1300" i="17" s="1"/>
  <c r="K1300" i="17" s="1"/>
  <c r="F1301" i="17"/>
  <c r="G1301" i="17" s="1"/>
  <c r="H1301" i="17" s="1"/>
  <c r="I1301" i="17" s="1"/>
  <c r="K1301" i="17" s="1"/>
  <c r="F1302" i="17"/>
  <c r="G1302" i="17" s="1"/>
  <c r="H1302" i="17" s="1"/>
  <c r="I1302" i="17" s="1"/>
  <c r="K1302" i="17" s="1"/>
  <c r="F1303" i="17"/>
  <c r="G1303" i="17" s="1"/>
  <c r="H1303" i="17" s="1"/>
  <c r="I1303" i="17" s="1"/>
  <c r="K1303" i="17" s="1"/>
  <c r="F1304" i="17"/>
  <c r="G1304" i="17" s="1"/>
  <c r="H1304" i="17" s="1"/>
  <c r="I1304" i="17" s="1"/>
  <c r="K1304" i="17" s="1"/>
  <c r="F1305" i="17"/>
  <c r="G1305" i="17" s="1"/>
  <c r="H1305" i="17" s="1"/>
  <c r="I1305" i="17" s="1"/>
  <c r="K1305" i="17" s="1"/>
  <c r="F1306" i="17"/>
  <c r="G1306" i="17" s="1"/>
  <c r="H1306" i="17" s="1"/>
  <c r="I1306" i="17" s="1"/>
  <c r="K1306" i="17" s="1"/>
  <c r="F1307" i="17"/>
  <c r="G1307" i="17" s="1"/>
  <c r="H1307" i="17" s="1"/>
  <c r="I1307" i="17" s="1"/>
  <c r="K1307" i="17" s="1"/>
  <c r="F1308" i="17"/>
  <c r="G1308" i="17" s="1"/>
  <c r="H1308" i="17" s="1"/>
  <c r="I1308" i="17" s="1"/>
  <c r="K1308" i="17" s="1"/>
  <c r="F1309" i="17"/>
  <c r="G1309" i="17" s="1"/>
  <c r="H1309" i="17" s="1"/>
  <c r="I1309" i="17" s="1"/>
  <c r="K1309" i="17" s="1"/>
  <c r="F1310" i="17"/>
  <c r="G1310" i="17" s="1"/>
  <c r="H1310" i="17" s="1"/>
  <c r="I1310" i="17" s="1"/>
  <c r="K1310" i="17" s="1"/>
  <c r="F1311" i="17"/>
  <c r="G1311" i="17" s="1"/>
  <c r="H1311" i="17" s="1"/>
  <c r="I1311" i="17" s="1"/>
  <c r="K1311" i="17" s="1"/>
  <c r="F1312" i="17"/>
  <c r="G1312" i="17" s="1"/>
  <c r="H1312" i="17" s="1"/>
  <c r="I1312" i="17" s="1"/>
  <c r="K1312" i="17" s="1"/>
  <c r="F1313" i="17"/>
  <c r="G1313" i="17" s="1"/>
  <c r="H1313" i="17" s="1"/>
  <c r="I1313" i="17" s="1"/>
  <c r="K1313" i="17" s="1"/>
  <c r="F1314" i="17"/>
  <c r="G1314" i="17" s="1"/>
  <c r="H1314" i="17" s="1"/>
  <c r="I1314" i="17" s="1"/>
  <c r="K1314" i="17" s="1"/>
  <c r="F1315" i="17"/>
  <c r="G1315" i="17" s="1"/>
  <c r="H1315" i="17" s="1"/>
  <c r="I1315" i="17" s="1"/>
  <c r="K1315" i="17" s="1"/>
  <c r="F1316" i="17"/>
  <c r="G1316" i="17" s="1"/>
  <c r="H1316" i="17" s="1"/>
  <c r="I1316" i="17" s="1"/>
  <c r="K1316" i="17" s="1"/>
  <c r="F1317" i="17"/>
  <c r="G1317" i="17" s="1"/>
  <c r="H1317" i="17" s="1"/>
  <c r="I1317" i="17" s="1"/>
  <c r="K1317" i="17" s="1"/>
  <c r="F1318" i="17"/>
  <c r="G1318" i="17" s="1"/>
  <c r="H1318" i="17" s="1"/>
  <c r="I1318" i="17" s="1"/>
  <c r="K1318" i="17" s="1"/>
  <c r="F1319" i="17"/>
  <c r="G1319" i="17" s="1"/>
  <c r="H1319" i="17" s="1"/>
  <c r="I1319" i="17" s="1"/>
  <c r="K1319" i="17" s="1"/>
  <c r="F1320" i="17"/>
  <c r="G1320" i="17" s="1"/>
  <c r="H1320" i="17" s="1"/>
  <c r="I1320" i="17" s="1"/>
  <c r="K1320" i="17" s="1"/>
  <c r="F1321" i="17"/>
  <c r="G1321" i="17" s="1"/>
  <c r="H1321" i="17" s="1"/>
  <c r="I1321" i="17" s="1"/>
  <c r="K1321" i="17" s="1"/>
  <c r="F2" i="17"/>
  <c r="G2" i="17" s="1"/>
  <c r="H2" i="17" s="1"/>
  <c r="I2" i="17" s="1"/>
  <c r="K2" i="17" s="1"/>
  <c r="E661" i="19"/>
  <c r="F661" i="19" s="1"/>
  <c r="D661" i="19"/>
  <c r="E660" i="19"/>
  <c r="F660" i="19" s="1"/>
  <c r="D660" i="19"/>
  <c r="E659" i="19"/>
  <c r="F659" i="19" s="1"/>
  <c r="D659" i="19"/>
  <c r="E658" i="19"/>
  <c r="F658" i="19" s="1"/>
  <c r="D658" i="19"/>
  <c r="E657" i="19"/>
  <c r="F657" i="19" s="1"/>
  <c r="D657" i="19"/>
  <c r="E656" i="19"/>
  <c r="F656" i="19" s="1"/>
  <c r="D656" i="19"/>
  <c r="E655" i="19"/>
  <c r="F655" i="19" s="1"/>
  <c r="D655" i="19"/>
  <c r="E654" i="19"/>
  <c r="F654" i="19" s="1"/>
  <c r="D654" i="19"/>
  <c r="E653" i="19"/>
  <c r="F653" i="19" s="1"/>
  <c r="D653" i="19"/>
  <c r="E652" i="19"/>
  <c r="F652" i="19" s="1"/>
  <c r="D652" i="19"/>
  <c r="E651" i="19"/>
  <c r="F651" i="19" s="1"/>
  <c r="D651" i="19"/>
  <c r="E650" i="19"/>
  <c r="F650" i="19" s="1"/>
  <c r="D650" i="19"/>
  <c r="E649" i="19"/>
  <c r="F649" i="19" s="1"/>
  <c r="D649" i="19"/>
  <c r="E648" i="19"/>
  <c r="F648" i="19" s="1"/>
  <c r="D648" i="19"/>
  <c r="E647" i="19"/>
  <c r="F647" i="19" s="1"/>
  <c r="D647" i="19"/>
  <c r="E646" i="19"/>
  <c r="F646" i="19" s="1"/>
  <c r="D646" i="19"/>
  <c r="E645" i="19"/>
  <c r="F645" i="19" s="1"/>
  <c r="D645" i="19"/>
  <c r="E644" i="19"/>
  <c r="F644" i="19" s="1"/>
  <c r="D644" i="19"/>
  <c r="E643" i="19"/>
  <c r="F643" i="19" s="1"/>
  <c r="D643" i="19"/>
  <c r="E642" i="19"/>
  <c r="F642" i="19" s="1"/>
  <c r="D642" i="19"/>
  <c r="E641" i="19"/>
  <c r="F641" i="19" s="1"/>
  <c r="D641" i="19"/>
  <c r="E640" i="19"/>
  <c r="F640" i="19" s="1"/>
  <c r="D640" i="19"/>
  <c r="E639" i="19"/>
  <c r="F639" i="19" s="1"/>
  <c r="D639" i="19"/>
  <c r="E638" i="19"/>
  <c r="F638" i="19" s="1"/>
  <c r="D638" i="19"/>
  <c r="E637" i="19"/>
  <c r="F637" i="19" s="1"/>
  <c r="D637" i="19"/>
  <c r="E636" i="19"/>
  <c r="F636" i="19" s="1"/>
  <c r="D636" i="19"/>
  <c r="E635" i="19"/>
  <c r="F635" i="19" s="1"/>
  <c r="D635" i="19"/>
  <c r="E634" i="19"/>
  <c r="F634" i="19" s="1"/>
  <c r="D634" i="19"/>
  <c r="E633" i="19"/>
  <c r="F633" i="19" s="1"/>
  <c r="D633" i="19"/>
  <c r="E632" i="19"/>
  <c r="F632" i="19" s="1"/>
  <c r="D632" i="19"/>
  <c r="E631" i="19"/>
  <c r="F631" i="19" s="1"/>
  <c r="D631" i="19"/>
  <c r="E630" i="19"/>
  <c r="F630" i="19" s="1"/>
  <c r="D630" i="19"/>
  <c r="E629" i="19"/>
  <c r="F629" i="19" s="1"/>
  <c r="D629" i="19"/>
  <c r="E628" i="19"/>
  <c r="F628" i="19" s="1"/>
  <c r="D628" i="19"/>
  <c r="E627" i="19"/>
  <c r="F627" i="19" s="1"/>
  <c r="D627" i="19"/>
  <c r="E626" i="19"/>
  <c r="F626" i="19" s="1"/>
  <c r="D626" i="19"/>
  <c r="E625" i="19"/>
  <c r="F625" i="19" s="1"/>
  <c r="D625" i="19"/>
  <c r="E624" i="19"/>
  <c r="F624" i="19" s="1"/>
  <c r="D624" i="19"/>
  <c r="E623" i="19"/>
  <c r="F623" i="19" s="1"/>
  <c r="D623" i="19"/>
  <c r="E622" i="19"/>
  <c r="F622" i="19" s="1"/>
  <c r="D622" i="19"/>
  <c r="E621" i="19"/>
  <c r="F621" i="19" s="1"/>
  <c r="D621" i="19"/>
  <c r="E620" i="19"/>
  <c r="F620" i="19" s="1"/>
  <c r="D620" i="19"/>
  <c r="E619" i="19"/>
  <c r="F619" i="19" s="1"/>
  <c r="D619" i="19"/>
  <c r="E618" i="19"/>
  <c r="F618" i="19" s="1"/>
  <c r="D618" i="19"/>
  <c r="E617" i="19"/>
  <c r="F617" i="19" s="1"/>
  <c r="D617" i="19"/>
  <c r="E616" i="19"/>
  <c r="F616" i="19" s="1"/>
  <c r="G616" i="19" s="1"/>
  <c r="D616" i="19"/>
  <c r="E615" i="19"/>
  <c r="F615" i="19" s="1"/>
  <c r="D615" i="19"/>
  <c r="E614" i="19"/>
  <c r="F614" i="19" s="1"/>
  <c r="D614" i="19"/>
  <c r="E613" i="19"/>
  <c r="F613" i="19" s="1"/>
  <c r="D613" i="19"/>
  <c r="E612" i="19"/>
  <c r="F612" i="19" s="1"/>
  <c r="D612" i="19"/>
  <c r="E611" i="19"/>
  <c r="F611" i="19" s="1"/>
  <c r="D611" i="19"/>
  <c r="E610" i="19"/>
  <c r="F610" i="19" s="1"/>
  <c r="D610" i="19"/>
  <c r="E609" i="19"/>
  <c r="F609" i="19" s="1"/>
  <c r="D609" i="19"/>
  <c r="E608" i="19"/>
  <c r="F608" i="19" s="1"/>
  <c r="G608" i="19" s="1"/>
  <c r="D608" i="19"/>
  <c r="E607" i="19"/>
  <c r="F607" i="19" s="1"/>
  <c r="D607" i="19"/>
  <c r="E606" i="19"/>
  <c r="F606" i="19" s="1"/>
  <c r="D606" i="19"/>
  <c r="E605" i="19"/>
  <c r="F605" i="19" s="1"/>
  <c r="D605" i="19"/>
  <c r="E604" i="19"/>
  <c r="F604" i="19" s="1"/>
  <c r="D604" i="19"/>
  <c r="E603" i="19"/>
  <c r="F603" i="19" s="1"/>
  <c r="D603" i="19"/>
  <c r="E602" i="19"/>
  <c r="F602" i="19" s="1"/>
  <c r="D602" i="19"/>
  <c r="E601" i="19"/>
  <c r="F601" i="19" s="1"/>
  <c r="D601" i="19"/>
  <c r="E600" i="19"/>
  <c r="F600" i="19" s="1"/>
  <c r="D600" i="19"/>
  <c r="E599" i="19"/>
  <c r="F599" i="19" s="1"/>
  <c r="D599" i="19"/>
  <c r="E598" i="19"/>
  <c r="F598" i="19" s="1"/>
  <c r="D598" i="19"/>
  <c r="E597" i="19"/>
  <c r="F597" i="19" s="1"/>
  <c r="D597" i="19"/>
  <c r="E596" i="19"/>
  <c r="F596" i="19" s="1"/>
  <c r="D596" i="19"/>
  <c r="E595" i="19"/>
  <c r="F595" i="19" s="1"/>
  <c r="D595" i="19"/>
  <c r="E594" i="19"/>
  <c r="F594" i="19" s="1"/>
  <c r="D594" i="19"/>
  <c r="E593" i="19"/>
  <c r="F593" i="19" s="1"/>
  <c r="D593" i="19"/>
  <c r="E592" i="19"/>
  <c r="F592" i="19" s="1"/>
  <c r="D592" i="19"/>
  <c r="E591" i="19"/>
  <c r="F591" i="19" s="1"/>
  <c r="D591" i="19"/>
  <c r="E590" i="19"/>
  <c r="F590" i="19" s="1"/>
  <c r="D590" i="19"/>
  <c r="E589" i="19"/>
  <c r="F589" i="19" s="1"/>
  <c r="D589" i="19"/>
  <c r="E588" i="19"/>
  <c r="F588" i="19" s="1"/>
  <c r="D588" i="19"/>
  <c r="E587" i="19"/>
  <c r="F587" i="19" s="1"/>
  <c r="D587" i="19"/>
  <c r="E586" i="19"/>
  <c r="F586" i="19" s="1"/>
  <c r="D586" i="19"/>
  <c r="E585" i="19"/>
  <c r="F585" i="19" s="1"/>
  <c r="D585" i="19"/>
  <c r="E584" i="19"/>
  <c r="F584" i="19" s="1"/>
  <c r="D584" i="19"/>
  <c r="E583" i="19"/>
  <c r="F583" i="19" s="1"/>
  <c r="D583" i="19"/>
  <c r="E582" i="19"/>
  <c r="F582" i="19" s="1"/>
  <c r="D582" i="19"/>
  <c r="E581" i="19"/>
  <c r="F581" i="19" s="1"/>
  <c r="D581" i="19"/>
  <c r="E580" i="19"/>
  <c r="F580" i="19" s="1"/>
  <c r="D580" i="19"/>
  <c r="E579" i="19"/>
  <c r="F579" i="19" s="1"/>
  <c r="D579" i="19"/>
  <c r="E578" i="19"/>
  <c r="F578" i="19" s="1"/>
  <c r="D578" i="19"/>
  <c r="E577" i="19"/>
  <c r="F577" i="19" s="1"/>
  <c r="D577" i="19"/>
  <c r="E576" i="19"/>
  <c r="F576" i="19" s="1"/>
  <c r="D576" i="19"/>
  <c r="E575" i="19"/>
  <c r="F575" i="19" s="1"/>
  <c r="D575" i="19"/>
  <c r="E574" i="19"/>
  <c r="F574" i="19" s="1"/>
  <c r="D574" i="19"/>
  <c r="E573" i="19"/>
  <c r="F573" i="19" s="1"/>
  <c r="D573" i="19"/>
  <c r="E572" i="19"/>
  <c r="F572" i="19" s="1"/>
  <c r="D572" i="19"/>
  <c r="E571" i="19"/>
  <c r="F571" i="19" s="1"/>
  <c r="D571" i="19"/>
  <c r="E570" i="19"/>
  <c r="F570" i="19" s="1"/>
  <c r="D570" i="19"/>
  <c r="E569" i="19"/>
  <c r="F569" i="19" s="1"/>
  <c r="D569" i="19"/>
  <c r="E568" i="19"/>
  <c r="F568" i="19" s="1"/>
  <c r="D568" i="19"/>
  <c r="E567" i="19"/>
  <c r="F567" i="19" s="1"/>
  <c r="D567" i="19"/>
  <c r="E566" i="19"/>
  <c r="F566" i="19" s="1"/>
  <c r="D566" i="19"/>
  <c r="E565" i="19"/>
  <c r="F565" i="19" s="1"/>
  <c r="D565" i="19"/>
  <c r="E564" i="19"/>
  <c r="F564" i="19" s="1"/>
  <c r="D564" i="19"/>
  <c r="E563" i="19"/>
  <c r="F563" i="19" s="1"/>
  <c r="D563" i="19"/>
  <c r="E562" i="19"/>
  <c r="F562" i="19" s="1"/>
  <c r="D562" i="19"/>
  <c r="E561" i="19"/>
  <c r="F561" i="19" s="1"/>
  <c r="D561" i="19"/>
  <c r="E560" i="19"/>
  <c r="F560" i="19" s="1"/>
  <c r="D560" i="19"/>
  <c r="E559" i="19"/>
  <c r="F559" i="19" s="1"/>
  <c r="D559" i="19"/>
  <c r="E558" i="19"/>
  <c r="F558" i="19" s="1"/>
  <c r="D558" i="19"/>
  <c r="E557" i="19"/>
  <c r="F557" i="19" s="1"/>
  <c r="D557" i="19"/>
  <c r="E556" i="19"/>
  <c r="F556" i="19" s="1"/>
  <c r="D556" i="19"/>
  <c r="E555" i="19"/>
  <c r="F555" i="19" s="1"/>
  <c r="D555" i="19"/>
  <c r="E554" i="19"/>
  <c r="F554" i="19" s="1"/>
  <c r="D554" i="19"/>
  <c r="E553" i="19"/>
  <c r="F553" i="19" s="1"/>
  <c r="D553" i="19"/>
  <c r="E552" i="19"/>
  <c r="F552" i="19" s="1"/>
  <c r="D552" i="19"/>
  <c r="E551" i="19"/>
  <c r="F551" i="19" s="1"/>
  <c r="D551" i="19"/>
  <c r="E550" i="19"/>
  <c r="F550" i="19" s="1"/>
  <c r="D550" i="19"/>
  <c r="E549" i="19"/>
  <c r="F549" i="19" s="1"/>
  <c r="D549" i="19"/>
  <c r="E548" i="19"/>
  <c r="F548" i="19" s="1"/>
  <c r="D548" i="19"/>
  <c r="E547" i="19"/>
  <c r="F547" i="19" s="1"/>
  <c r="D547" i="19"/>
  <c r="E546" i="19"/>
  <c r="F546" i="19" s="1"/>
  <c r="D546" i="19"/>
  <c r="E545" i="19"/>
  <c r="F545" i="19" s="1"/>
  <c r="D545" i="19"/>
  <c r="E544" i="19"/>
  <c r="F544" i="19" s="1"/>
  <c r="D544" i="19"/>
  <c r="E543" i="19"/>
  <c r="F543" i="19" s="1"/>
  <c r="D543" i="19"/>
  <c r="E542" i="19"/>
  <c r="F542" i="19" s="1"/>
  <c r="D542" i="19"/>
  <c r="E541" i="19"/>
  <c r="F541" i="19" s="1"/>
  <c r="D541" i="19"/>
  <c r="E540" i="19"/>
  <c r="F540" i="19" s="1"/>
  <c r="D540" i="19"/>
  <c r="E539" i="19"/>
  <c r="F539" i="19" s="1"/>
  <c r="D539" i="19"/>
  <c r="E538" i="19"/>
  <c r="F538" i="19" s="1"/>
  <c r="D538" i="19"/>
  <c r="E537" i="19"/>
  <c r="F537" i="19" s="1"/>
  <c r="D537" i="19"/>
  <c r="E536" i="19"/>
  <c r="F536" i="19" s="1"/>
  <c r="D536" i="19"/>
  <c r="E535" i="19"/>
  <c r="F535" i="19" s="1"/>
  <c r="D535" i="19"/>
  <c r="E534" i="19"/>
  <c r="F534" i="19" s="1"/>
  <c r="D534" i="19"/>
  <c r="E533" i="19"/>
  <c r="F533" i="19" s="1"/>
  <c r="D533" i="19"/>
  <c r="E532" i="19"/>
  <c r="F532" i="19" s="1"/>
  <c r="D532" i="19"/>
  <c r="E531" i="19"/>
  <c r="F531" i="19" s="1"/>
  <c r="D531" i="19"/>
  <c r="E530" i="19"/>
  <c r="F530" i="19" s="1"/>
  <c r="D530" i="19"/>
  <c r="E529" i="19"/>
  <c r="F529" i="19" s="1"/>
  <c r="D529" i="19"/>
  <c r="E528" i="19"/>
  <c r="F528" i="19" s="1"/>
  <c r="D528" i="19"/>
  <c r="E527" i="19"/>
  <c r="F527" i="19" s="1"/>
  <c r="D527" i="19"/>
  <c r="E526" i="19"/>
  <c r="F526" i="19" s="1"/>
  <c r="D526" i="19"/>
  <c r="E525" i="19"/>
  <c r="F525" i="19" s="1"/>
  <c r="D525" i="19"/>
  <c r="E524" i="19"/>
  <c r="F524" i="19" s="1"/>
  <c r="D524" i="19"/>
  <c r="E523" i="19"/>
  <c r="F523" i="19" s="1"/>
  <c r="D523" i="19"/>
  <c r="E522" i="19"/>
  <c r="F522" i="19" s="1"/>
  <c r="D522" i="19"/>
  <c r="E521" i="19"/>
  <c r="F521" i="19" s="1"/>
  <c r="D521" i="19"/>
  <c r="E520" i="19"/>
  <c r="F520" i="19" s="1"/>
  <c r="D520" i="19"/>
  <c r="E519" i="19"/>
  <c r="F519" i="19" s="1"/>
  <c r="D519" i="19"/>
  <c r="E518" i="19"/>
  <c r="F518" i="19" s="1"/>
  <c r="D518" i="19"/>
  <c r="E517" i="19"/>
  <c r="F517" i="19" s="1"/>
  <c r="D517" i="19"/>
  <c r="E516" i="19"/>
  <c r="F516" i="19" s="1"/>
  <c r="D516" i="19"/>
  <c r="E515" i="19"/>
  <c r="F515" i="19" s="1"/>
  <c r="D515" i="19"/>
  <c r="E514" i="19"/>
  <c r="F514" i="19" s="1"/>
  <c r="D514" i="19"/>
  <c r="E513" i="19"/>
  <c r="F513" i="19" s="1"/>
  <c r="D513" i="19"/>
  <c r="E512" i="19"/>
  <c r="F512" i="19" s="1"/>
  <c r="G512" i="19" s="1"/>
  <c r="D512" i="19"/>
  <c r="E511" i="19"/>
  <c r="F511" i="19" s="1"/>
  <c r="D511" i="19"/>
  <c r="E510" i="19"/>
  <c r="F510" i="19" s="1"/>
  <c r="D510" i="19"/>
  <c r="E509" i="19"/>
  <c r="F509" i="19" s="1"/>
  <c r="D509" i="19"/>
  <c r="E508" i="19"/>
  <c r="F508" i="19" s="1"/>
  <c r="D508" i="19"/>
  <c r="E507" i="19"/>
  <c r="F507" i="19" s="1"/>
  <c r="D507" i="19"/>
  <c r="E506" i="19"/>
  <c r="F506" i="19" s="1"/>
  <c r="D506" i="19"/>
  <c r="E505" i="19"/>
  <c r="F505" i="19" s="1"/>
  <c r="D505" i="19"/>
  <c r="E504" i="19"/>
  <c r="F504" i="19" s="1"/>
  <c r="D504" i="19"/>
  <c r="E503" i="19"/>
  <c r="F503" i="19" s="1"/>
  <c r="D503" i="19"/>
  <c r="E502" i="19"/>
  <c r="F502" i="19" s="1"/>
  <c r="D502" i="19"/>
  <c r="E501" i="19"/>
  <c r="F501" i="19" s="1"/>
  <c r="D501" i="19"/>
  <c r="E500" i="19"/>
  <c r="F500" i="19" s="1"/>
  <c r="D500" i="19"/>
  <c r="E499" i="19"/>
  <c r="F499" i="19" s="1"/>
  <c r="D499" i="19"/>
  <c r="E498" i="19"/>
  <c r="F498" i="19" s="1"/>
  <c r="D498" i="19"/>
  <c r="F497" i="19"/>
  <c r="E497" i="19"/>
  <c r="D497" i="19"/>
  <c r="E496" i="19"/>
  <c r="F496" i="19" s="1"/>
  <c r="D496" i="19"/>
  <c r="E495" i="19"/>
  <c r="F495" i="19" s="1"/>
  <c r="D495" i="19"/>
  <c r="E494" i="19"/>
  <c r="F494" i="19" s="1"/>
  <c r="D494" i="19"/>
  <c r="E493" i="19"/>
  <c r="F493" i="19" s="1"/>
  <c r="D493" i="19"/>
  <c r="E492" i="19"/>
  <c r="F492" i="19" s="1"/>
  <c r="D492" i="19"/>
  <c r="E491" i="19"/>
  <c r="F491" i="19" s="1"/>
  <c r="D491" i="19"/>
  <c r="E490" i="19"/>
  <c r="F490" i="19" s="1"/>
  <c r="D490" i="19"/>
  <c r="E489" i="19"/>
  <c r="F489" i="19" s="1"/>
  <c r="D489" i="19"/>
  <c r="E488" i="19"/>
  <c r="F488" i="19" s="1"/>
  <c r="D488" i="19"/>
  <c r="E487" i="19"/>
  <c r="F487" i="19" s="1"/>
  <c r="D487" i="19"/>
  <c r="E486" i="19"/>
  <c r="F486" i="19" s="1"/>
  <c r="D486" i="19"/>
  <c r="E485" i="19"/>
  <c r="F485" i="19" s="1"/>
  <c r="D485" i="19"/>
  <c r="E484" i="19"/>
  <c r="F484" i="19" s="1"/>
  <c r="D484" i="19"/>
  <c r="E483" i="19"/>
  <c r="F483" i="19" s="1"/>
  <c r="D483" i="19"/>
  <c r="E482" i="19"/>
  <c r="F482" i="19" s="1"/>
  <c r="D482" i="19"/>
  <c r="E481" i="19"/>
  <c r="F481" i="19" s="1"/>
  <c r="D481" i="19"/>
  <c r="E480" i="19"/>
  <c r="F480" i="19" s="1"/>
  <c r="D480" i="19"/>
  <c r="E479" i="19"/>
  <c r="F479" i="19" s="1"/>
  <c r="D479" i="19"/>
  <c r="E478" i="19"/>
  <c r="F478" i="19" s="1"/>
  <c r="D478" i="19"/>
  <c r="E477" i="19"/>
  <c r="F477" i="19" s="1"/>
  <c r="D477" i="19"/>
  <c r="E476" i="19"/>
  <c r="F476" i="19" s="1"/>
  <c r="D476" i="19"/>
  <c r="E475" i="19"/>
  <c r="F475" i="19" s="1"/>
  <c r="D475" i="19"/>
  <c r="E474" i="19"/>
  <c r="F474" i="19" s="1"/>
  <c r="D474" i="19"/>
  <c r="E473" i="19"/>
  <c r="F473" i="19" s="1"/>
  <c r="D473" i="19"/>
  <c r="E472" i="19"/>
  <c r="F472" i="19" s="1"/>
  <c r="D472" i="19"/>
  <c r="E471" i="19"/>
  <c r="F471" i="19" s="1"/>
  <c r="D471" i="19"/>
  <c r="E470" i="19"/>
  <c r="F470" i="19" s="1"/>
  <c r="D470" i="19"/>
  <c r="E469" i="19"/>
  <c r="F469" i="19" s="1"/>
  <c r="D469" i="19"/>
  <c r="E468" i="19"/>
  <c r="F468" i="19" s="1"/>
  <c r="G468" i="19" s="1"/>
  <c r="D468" i="19"/>
  <c r="E467" i="19"/>
  <c r="F467" i="19" s="1"/>
  <c r="D467" i="19"/>
  <c r="E466" i="19"/>
  <c r="F466" i="19" s="1"/>
  <c r="D466" i="19"/>
  <c r="E465" i="19"/>
  <c r="F465" i="19" s="1"/>
  <c r="D465" i="19"/>
  <c r="E464" i="19"/>
  <c r="F464" i="19" s="1"/>
  <c r="D464" i="19"/>
  <c r="E463" i="19"/>
  <c r="F463" i="19" s="1"/>
  <c r="D463" i="19"/>
  <c r="E462" i="19"/>
  <c r="F462" i="19" s="1"/>
  <c r="D462" i="19"/>
  <c r="E461" i="19"/>
  <c r="F461" i="19" s="1"/>
  <c r="D461" i="19"/>
  <c r="E460" i="19"/>
  <c r="F460" i="19" s="1"/>
  <c r="G460" i="19" s="1"/>
  <c r="D460" i="19"/>
  <c r="E459" i="19"/>
  <c r="F459" i="19" s="1"/>
  <c r="D459" i="19"/>
  <c r="E458" i="19"/>
  <c r="F458" i="19" s="1"/>
  <c r="D458" i="19"/>
  <c r="E457" i="19"/>
  <c r="F457" i="19" s="1"/>
  <c r="D457" i="19"/>
  <c r="E456" i="19"/>
  <c r="F456" i="19" s="1"/>
  <c r="D456" i="19"/>
  <c r="E455" i="19"/>
  <c r="F455" i="19" s="1"/>
  <c r="D455" i="19"/>
  <c r="E454" i="19"/>
  <c r="F454" i="19" s="1"/>
  <c r="D454" i="19"/>
  <c r="E453" i="19"/>
  <c r="F453" i="19" s="1"/>
  <c r="D453" i="19"/>
  <c r="F452" i="19"/>
  <c r="E452" i="19"/>
  <c r="D452" i="19"/>
  <c r="E451" i="19"/>
  <c r="F451" i="19" s="1"/>
  <c r="D451" i="19"/>
  <c r="E450" i="19"/>
  <c r="F450" i="19" s="1"/>
  <c r="D450" i="19"/>
  <c r="E449" i="19"/>
  <c r="F449" i="19" s="1"/>
  <c r="D449" i="19"/>
  <c r="E448" i="19"/>
  <c r="F448" i="19" s="1"/>
  <c r="D448" i="19"/>
  <c r="E447" i="19"/>
  <c r="F447" i="19" s="1"/>
  <c r="D447" i="19"/>
  <c r="E446" i="19"/>
  <c r="F446" i="19" s="1"/>
  <c r="D446" i="19"/>
  <c r="E445" i="19"/>
  <c r="F445" i="19" s="1"/>
  <c r="D445" i="19"/>
  <c r="E444" i="19"/>
  <c r="F444" i="19" s="1"/>
  <c r="D444" i="19"/>
  <c r="E443" i="19"/>
  <c r="F443" i="19" s="1"/>
  <c r="D443" i="19"/>
  <c r="E442" i="19"/>
  <c r="F442" i="19" s="1"/>
  <c r="D442" i="19"/>
  <c r="E441" i="19"/>
  <c r="F441" i="19" s="1"/>
  <c r="D441" i="19"/>
  <c r="E440" i="19"/>
  <c r="F440" i="19" s="1"/>
  <c r="D440" i="19"/>
  <c r="E439" i="19"/>
  <c r="F439" i="19" s="1"/>
  <c r="D439" i="19"/>
  <c r="E438" i="19"/>
  <c r="F438" i="19" s="1"/>
  <c r="D438" i="19"/>
  <c r="E437" i="19"/>
  <c r="F437" i="19" s="1"/>
  <c r="D437" i="19"/>
  <c r="E436" i="19"/>
  <c r="F436" i="19" s="1"/>
  <c r="D436" i="19"/>
  <c r="E435" i="19"/>
  <c r="F435" i="19" s="1"/>
  <c r="D435" i="19"/>
  <c r="E434" i="19"/>
  <c r="F434" i="19" s="1"/>
  <c r="D434" i="19"/>
  <c r="E433" i="19"/>
  <c r="F433" i="19" s="1"/>
  <c r="D433" i="19"/>
  <c r="E432" i="19"/>
  <c r="F432" i="19" s="1"/>
  <c r="D432" i="19"/>
  <c r="E431" i="19"/>
  <c r="F431" i="19" s="1"/>
  <c r="D431" i="19"/>
  <c r="E430" i="19"/>
  <c r="F430" i="19" s="1"/>
  <c r="D430" i="19"/>
  <c r="E429" i="19"/>
  <c r="F429" i="19" s="1"/>
  <c r="D429" i="19"/>
  <c r="E428" i="19"/>
  <c r="F428" i="19" s="1"/>
  <c r="D428" i="19"/>
  <c r="E427" i="19"/>
  <c r="F427" i="19" s="1"/>
  <c r="D427" i="19"/>
  <c r="E426" i="19"/>
  <c r="F426" i="19" s="1"/>
  <c r="D426" i="19"/>
  <c r="E425" i="19"/>
  <c r="F425" i="19" s="1"/>
  <c r="D425" i="19"/>
  <c r="E424" i="19"/>
  <c r="F424" i="19" s="1"/>
  <c r="D424" i="19"/>
  <c r="E423" i="19"/>
  <c r="F423" i="19" s="1"/>
  <c r="D423" i="19"/>
  <c r="E422" i="19"/>
  <c r="F422" i="19" s="1"/>
  <c r="D422" i="19"/>
  <c r="E421" i="19"/>
  <c r="F421" i="19" s="1"/>
  <c r="D421" i="19"/>
  <c r="E420" i="19"/>
  <c r="F420" i="19" s="1"/>
  <c r="D420" i="19"/>
  <c r="E419" i="19"/>
  <c r="F419" i="19" s="1"/>
  <c r="D419" i="19"/>
  <c r="E418" i="19"/>
  <c r="F418" i="19" s="1"/>
  <c r="D418" i="19"/>
  <c r="E417" i="19"/>
  <c r="F417" i="19" s="1"/>
  <c r="D417" i="19"/>
  <c r="E416" i="19"/>
  <c r="F416" i="19" s="1"/>
  <c r="D416" i="19"/>
  <c r="E415" i="19"/>
  <c r="F415" i="19" s="1"/>
  <c r="G415" i="19" s="1"/>
  <c r="D415" i="19"/>
  <c r="E414" i="19"/>
  <c r="F414" i="19" s="1"/>
  <c r="D414" i="19"/>
  <c r="E413" i="19"/>
  <c r="F413" i="19" s="1"/>
  <c r="D413" i="19"/>
  <c r="E412" i="19"/>
  <c r="F412" i="19" s="1"/>
  <c r="D412" i="19"/>
  <c r="E411" i="19"/>
  <c r="F411" i="19" s="1"/>
  <c r="D411" i="19"/>
  <c r="E410" i="19"/>
  <c r="F410" i="19" s="1"/>
  <c r="D410" i="19"/>
  <c r="E409" i="19"/>
  <c r="F409" i="19" s="1"/>
  <c r="D409" i="19"/>
  <c r="E408" i="19"/>
  <c r="F408" i="19" s="1"/>
  <c r="D408" i="19"/>
  <c r="E407" i="19"/>
  <c r="F407" i="19" s="1"/>
  <c r="D407" i="19"/>
  <c r="E406" i="19"/>
  <c r="F406" i="19" s="1"/>
  <c r="D406" i="19"/>
  <c r="E405" i="19"/>
  <c r="F405" i="19" s="1"/>
  <c r="D405" i="19"/>
  <c r="E404" i="19"/>
  <c r="F404" i="19" s="1"/>
  <c r="D404" i="19"/>
  <c r="E403" i="19"/>
  <c r="F403" i="19" s="1"/>
  <c r="D403" i="19"/>
  <c r="E402" i="19"/>
  <c r="F402" i="19" s="1"/>
  <c r="D402" i="19"/>
  <c r="E401" i="19"/>
  <c r="F401" i="19" s="1"/>
  <c r="D401" i="19"/>
  <c r="E400" i="19"/>
  <c r="F400" i="19" s="1"/>
  <c r="D400" i="19"/>
  <c r="E399" i="19"/>
  <c r="F399" i="19" s="1"/>
  <c r="D399" i="19"/>
  <c r="E398" i="19"/>
  <c r="F398" i="19" s="1"/>
  <c r="D398" i="19"/>
  <c r="E397" i="19"/>
  <c r="F397" i="19" s="1"/>
  <c r="D397" i="19"/>
  <c r="E396" i="19"/>
  <c r="F396" i="19" s="1"/>
  <c r="D396" i="19"/>
  <c r="E395" i="19"/>
  <c r="F395" i="19" s="1"/>
  <c r="D395" i="19"/>
  <c r="E394" i="19"/>
  <c r="F394" i="19" s="1"/>
  <c r="D394" i="19"/>
  <c r="E393" i="19"/>
  <c r="F393" i="19" s="1"/>
  <c r="D393" i="19"/>
  <c r="E392" i="19"/>
  <c r="F392" i="19" s="1"/>
  <c r="D392" i="19"/>
  <c r="E391" i="19"/>
  <c r="F391" i="19" s="1"/>
  <c r="D391" i="19"/>
  <c r="E390" i="19"/>
  <c r="F390" i="19" s="1"/>
  <c r="D390" i="19"/>
  <c r="E389" i="19"/>
  <c r="F389" i="19" s="1"/>
  <c r="D389" i="19"/>
  <c r="E388" i="19"/>
  <c r="F388" i="19" s="1"/>
  <c r="D388" i="19"/>
  <c r="E387" i="19"/>
  <c r="F387" i="19" s="1"/>
  <c r="D387" i="19"/>
  <c r="E386" i="19"/>
  <c r="F386" i="19" s="1"/>
  <c r="D386" i="19"/>
  <c r="E385" i="19"/>
  <c r="F385" i="19" s="1"/>
  <c r="D385" i="19"/>
  <c r="F384" i="19"/>
  <c r="E384" i="19"/>
  <c r="D384" i="19"/>
  <c r="E383" i="19"/>
  <c r="F383" i="19" s="1"/>
  <c r="D383" i="19"/>
  <c r="E382" i="19"/>
  <c r="F382" i="19" s="1"/>
  <c r="D382" i="19"/>
  <c r="E381" i="19"/>
  <c r="F381" i="19" s="1"/>
  <c r="D381" i="19"/>
  <c r="E380" i="19"/>
  <c r="F380" i="19" s="1"/>
  <c r="D380" i="19"/>
  <c r="E379" i="19"/>
  <c r="F379" i="19" s="1"/>
  <c r="D379" i="19"/>
  <c r="E378" i="19"/>
  <c r="F378" i="19" s="1"/>
  <c r="D378" i="19"/>
  <c r="E377" i="19"/>
  <c r="F377" i="19" s="1"/>
  <c r="D377" i="19"/>
  <c r="E376" i="19"/>
  <c r="F376" i="19" s="1"/>
  <c r="D376" i="19"/>
  <c r="E375" i="19"/>
  <c r="F375" i="19" s="1"/>
  <c r="D375" i="19"/>
  <c r="E374" i="19"/>
  <c r="F374" i="19" s="1"/>
  <c r="D374" i="19"/>
  <c r="E373" i="19"/>
  <c r="F373" i="19" s="1"/>
  <c r="D373" i="19"/>
  <c r="E372" i="19"/>
  <c r="F372" i="19" s="1"/>
  <c r="D372" i="19"/>
  <c r="E371" i="19"/>
  <c r="F371" i="19" s="1"/>
  <c r="D371" i="19"/>
  <c r="E370" i="19"/>
  <c r="F370" i="19" s="1"/>
  <c r="D370" i="19"/>
  <c r="E369" i="19"/>
  <c r="F369" i="19" s="1"/>
  <c r="D369" i="19"/>
  <c r="E368" i="19"/>
  <c r="F368" i="19" s="1"/>
  <c r="D368" i="19"/>
  <c r="E367" i="19"/>
  <c r="F367" i="19" s="1"/>
  <c r="D367" i="19"/>
  <c r="E366" i="19"/>
  <c r="F366" i="19" s="1"/>
  <c r="D366" i="19"/>
  <c r="E365" i="19"/>
  <c r="F365" i="19" s="1"/>
  <c r="D365" i="19"/>
  <c r="E364" i="19"/>
  <c r="F364" i="19" s="1"/>
  <c r="D364" i="19"/>
  <c r="E363" i="19"/>
  <c r="F363" i="19" s="1"/>
  <c r="D363" i="19"/>
  <c r="E362" i="19"/>
  <c r="F362" i="19" s="1"/>
  <c r="D362" i="19"/>
  <c r="E361" i="19"/>
  <c r="F361" i="19" s="1"/>
  <c r="D361" i="19"/>
  <c r="E360" i="19"/>
  <c r="F360" i="19" s="1"/>
  <c r="D360" i="19"/>
  <c r="E359" i="19"/>
  <c r="F359" i="19" s="1"/>
  <c r="D359" i="19"/>
  <c r="E358" i="19"/>
  <c r="F358" i="19" s="1"/>
  <c r="D358" i="19"/>
  <c r="E357" i="19"/>
  <c r="F357" i="19" s="1"/>
  <c r="D357" i="19"/>
  <c r="E356" i="19"/>
  <c r="F356" i="19" s="1"/>
  <c r="D356" i="19"/>
  <c r="E355" i="19"/>
  <c r="F355" i="19" s="1"/>
  <c r="D355" i="19"/>
  <c r="E354" i="19"/>
  <c r="F354" i="19" s="1"/>
  <c r="D354" i="19"/>
  <c r="E353" i="19"/>
  <c r="F353" i="19" s="1"/>
  <c r="D353" i="19"/>
  <c r="E352" i="19"/>
  <c r="F352" i="19" s="1"/>
  <c r="D352" i="19"/>
  <c r="E351" i="19"/>
  <c r="F351" i="19" s="1"/>
  <c r="D351" i="19"/>
  <c r="E350" i="19"/>
  <c r="F350" i="19" s="1"/>
  <c r="D350" i="19"/>
  <c r="E349" i="19"/>
  <c r="F349" i="19" s="1"/>
  <c r="D349" i="19"/>
  <c r="E348" i="19"/>
  <c r="F348" i="19" s="1"/>
  <c r="D348" i="19"/>
  <c r="E347" i="19"/>
  <c r="F347" i="19" s="1"/>
  <c r="D347" i="19"/>
  <c r="E346" i="19"/>
  <c r="F346" i="19" s="1"/>
  <c r="D346" i="19"/>
  <c r="E345" i="19"/>
  <c r="F345" i="19" s="1"/>
  <c r="D345" i="19"/>
  <c r="E344" i="19"/>
  <c r="F344" i="19" s="1"/>
  <c r="D344" i="19"/>
  <c r="E343" i="19"/>
  <c r="F343" i="19" s="1"/>
  <c r="D343" i="19"/>
  <c r="E342" i="19"/>
  <c r="F342" i="19" s="1"/>
  <c r="D342" i="19"/>
  <c r="F341" i="19"/>
  <c r="E341" i="19"/>
  <c r="D341" i="19"/>
  <c r="E340" i="19"/>
  <c r="F340" i="19" s="1"/>
  <c r="D340" i="19"/>
  <c r="E339" i="19"/>
  <c r="F339" i="19" s="1"/>
  <c r="D339" i="19"/>
  <c r="E338" i="19"/>
  <c r="F338" i="19" s="1"/>
  <c r="D338" i="19"/>
  <c r="E337" i="19"/>
  <c r="F337" i="19" s="1"/>
  <c r="D337" i="19"/>
  <c r="E336" i="19"/>
  <c r="F336" i="19" s="1"/>
  <c r="D336" i="19"/>
  <c r="E335" i="19"/>
  <c r="F335" i="19" s="1"/>
  <c r="D335" i="19"/>
  <c r="E334" i="19"/>
  <c r="F334" i="19" s="1"/>
  <c r="D334" i="19"/>
  <c r="E333" i="19"/>
  <c r="F333" i="19" s="1"/>
  <c r="D333" i="19"/>
  <c r="E332" i="19"/>
  <c r="F332" i="19" s="1"/>
  <c r="D332" i="19"/>
  <c r="E331" i="19"/>
  <c r="F331" i="19" s="1"/>
  <c r="D331" i="19"/>
  <c r="E330" i="19"/>
  <c r="F330" i="19" s="1"/>
  <c r="D330" i="19"/>
  <c r="E329" i="19"/>
  <c r="F329" i="19" s="1"/>
  <c r="D329" i="19"/>
  <c r="E328" i="19"/>
  <c r="F328" i="19" s="1"/>
  <c r="D328" i="19"/>
  <c r="E327" i="19"/>
  <c r="F327" i="19" s="1"/>
  <c r="D327" i="19"/>
  <c r="E326" i="19"/>
  <c r="F326" i="19" s="1"/>
  <c r="D326" i="19"/>
  <c r="E325" i="19"/>
  <c r="F325" i="19" s="1"/>
  <c r="D325" i="19"/>
  <c r="E324" i="19"/>
  <c r="F324" i="19" s="1"/>
  <c r="D324" i="19"/>
  <c r="E323" i="19"/>
  <c r="F323" i="19" s="1"/>
  <c r="D323" i="19"/>
  <c r="E322" i="19"/>
  <c r="F322" i="19" s="1"/>
  <c r="D322" i="19"/>
  <c r="E321" i="19"/>
  <c r="F321" i="19" s="1"/>
  <c r="D321" i="19"/>
  <c r="E320" i="19"/>
  <c r="F320" i="19" s="1"/>
  <c r="D320" i="19"/>
  <c r="E319" i="19"/>
  <c r="F319" i="19" s="1"/>
  <c r="D319" i="19"/>
  <c r="E318" i="19"/>
  <c r="F318" i="19" s="1"/>
  <c r="D318" i="19"/>
  <c r="E317" i="19"/>
  <c r="F317" i="19" s="1"/>
  <c r="D317" i="19"/>
  <c r="E316" i="19"/>
  <c r="F316" i="19" s="1"/>
  <c r="D316" i="19"/>
  <c r="E315" i="19"/>
  <c r="F315" i="19" s="1"/>
  <c r="D315" i="19"/>
  <c r="E314" i="19"/>
  <c r="F314" i="19" s="1"/>
  <c r="D314" i="19"/>
  <c r="E313" i="19"/>
  <c r="F313" i="19" s="1"/>
  <c r="D313" i="19"/>
  <c r="E312" i="19"/>
  <c r="F312" i="19" s="1"/>
  <c r="D312" i="19"/>
  <c r="E311" i="19"/>
  <c r="F311" i="19" s="1"/>
  <c r="D311" i="19"/>
  <c r="E310" i="19"/>
  <c r="F310" i="19" s="1"/>
  <c r="D310" i="19"/>
  <c r="E309" i="19"/>
  <c r="F309" i="19" s="1"/>
  <c r="D309" i="19"/>
  <c r="E308" i="19"/>
  <c r="F308" i="19" s="1"/>
  <c r="D308" i="19"/>
  <c r="E307" i="19"/>
  <c r="F307" i="19" s="1"/>
  <c r="D307" i="19"/>
  <c r="E306" i="19"/>
  <c r="F306" i="19" s="1"/>
  <c r="D306" i="19"/>
  <c r="E305" i="19"/>
  <c r="F305" i="19" s="1"/>
  <c r="D305" i="19"/>
  <c r="E304" i="19"/>
  <c r="F304" i="19" s="1"/>
  <c r="D304" i="19"/>
  <c r="E303" i="19"/>
  <c r="F303" i="19" s="1"/>
  <c r="D303" i="19"/>
  <c r="E302" i="19"/>
  <c r="F302" i="19" s="1"/>
  <c r="D302" i="19"/>
  <c r="E301" i="19"/>
  <c r="F301" i="19" s="1"/>
  <c r="D301" i="19"/>
  <c r="E300" i="19"/>
  <c r="F300" i="19" s="1"/>
  <c r="D300" i="19"/>
  <c r="E299" i="19"/>
  <c r="F299" i="19" s="1"/>
  <c r="D299" i="19"/>
  <c r="E298" i="19"/>
  <c r="F298" i="19" s="1"/>
  <c r="D298" i="19"/>
  <c r="E297" i="19"/>
  <c r="F297" i="19" s="1"/>
  <c r="D297" i="19"/>
  <c r="E296" i="19"/>
  <c r="F296" i="19" s="1"/>
  <c r="D296" i="19"/>
  <c r="E295" i="19"/>
  <c r="F295" i="19" s="1"/>
  <c r="D295" i="19"/>
  <c r="E294" i="19"/>
  <c r="F294" i="19" s="1"/>
  <c r="D294" i="19"/>
  <c r="E293" i="19"/>
  <c r="F293" i="19" s="1"/>
  <c r="D293" i="19"/>
  <c r="E292" i="19"/>
  <c r="F292" i="19" s="1"/>
  <c r="D292" i="19"/>
  <c r="E291" i="19"/>
  <c r="F291" i="19" s="1"/>
  <c r="D291" i="19"/>
  <c r="E290" i="19"/>
  <c r="F290" i="19" s="1"/>
  <c r="D290" i="19"/>
  <c r="E289" i="19"/>
  <c r="F289" i="19" s="1"/>
  <c r="D289" i="19"/>
  <c r="E288" i="19"/>
  <c r="F288" i="19" s="1"/>
  <c r="D288" i="19"/>
  <c r="E287" i="19"/>
  <c r="F287" i="19" s="1"/>
  <c r="D287" i="19"/>
  <c r="E286" i="19"/>
  <c r="F286" i="19" s="1"/>
  <c r="D286" i="19"/>
  <c r="E285" i="19"/>
  <c r="F285" i="19" s="1"/>
  <c r="D285" i="19"/>
  <c r="E284" i="19"/>
  <c r="F284" i="19" s="1"/>
  <c r="D284" i="19"/>
  <c r="E283" i="19"/>
  <c r="F283" i="19" s="1"/>
  <c r="D283" i="19"/>
  <c r="E282" i="19"/>
  <c r="F282" i="19" s="1"/>
  <c r="D282" i="19"/>
  <c r="E281" i="19"/>
  <c r="F281" i="19" s="1"/>
  <c r="D281" i="19"/>
  <c r="E280" i="19"/>
  <c r="F280" i="19" s="1"/>
  <c r="D280" i="19"/>
  <c r="E279" i="19"/>
  <c r="F279" i="19" s="1"/>
  <c r="D279" i="19"/>
  <c r="E278" i="19"/>
  <c r="F278" i="19" s="1"/>
  <c r="D278" i="19"/>
  <c r="E277" i="19"/>
  <c r="F277" i="19" s="1"/>
  <c r="D277" i="19"/>
  <c r="E276" i="19"/>
  <c r="F276" i="19" s="1"/>
  <c r="D276" i="19"/>
  <c r="E275" i="19"/>
  <c r="F275" i="19" s="1"/>
  <c r="D275" i="19"/>
  <c r="E274" i="19"/>
  <c r="F274" i="19" s="1"/>
  <c r="D274" i="19"/>
  <c r="E273" i="19"/>
  <c r="F273" i="19" s="1"/>
  <c r="D273" i="19"/>
  <c r="E272" i="19"/>
  <c r="F272" i="19" s="1"/>
  <c r="D272" i="19"/>
  <c r="E271" i="19"/>
  <c r="F271" i="19" s="1"/>
  <c r="D271" i="19"/>
  <c r="E270" i="19"/>
  <c r="F270" i="19" s="1"/>
  <c r="D270" i="19"/>
  <c r="E269" i="19"/>
  <c r="F269" i="19" s="1"/>
  <c r="D269" i="19"/>
  <c r="E268" i="19"/>
  <c r="F268" i="19" s="1"/>
  <c r="D268" i="19"/>
  <c r="E267" i="19"/>
  <c r="F267" i="19" s="1"/>
  <c r="D267" i="19"/>
  <c r="E266" i="19"/>
  <c r="F266" i="19" s="1"/>
  <c r="D266" i="19"/>
  <c r="E265" i="19"/>
  <c r="F265" i="19" s="1"/>
  <c r="D265" i="19"/>
  <c r="E264" i="19"/>
  <c r="F264" i="19" s="1"/>
  <c r="D264" i="19"/>
  <c r="E263" i="19"/>
  <c r="F263" i="19" s="1"/>
  <c r="D263" i="19"/>
  <c r="E262" i="19"/>
  <c r="F262" i="19" s="1"/>
  <c r="D262" i="19"/>
  <c r="E261" i="19"/>
  <c r="F261" i="19" s="1"/>
  <c r="D261" i="19"/>
  <c r="E260" i="19"/>
  <c r="F260" i="19" s="1"/>
  <c r="D260" i="19"/>
  <c r="E259" i="19"/>
  <c r="F259" i="19" s="1"/>
  <c r="D259" i="19"/>
  <c r="E258" i="19"/>
  <c r="F258" i="19" s="1"/>
  <c r="D258" i="19"/>
  <c r="E257" i="19"/>
  <c r="F257" i="19" s="1"/>
  <c r="D257" i="19"/>
  <c r="E256" i="19"/>
  <c r="F256" i="19" s="1"/>
  <c r="D256" i="19"/>
  <c r="E255" i="19"/>
  <c r="F255" i="19" s="1"/>
  <c r="D255" i="19"/>
  <c r="E254" i="19"/>
  <c r="F254" i="19" s="1"/>
  <c r="D254" i="19"/>
  <c r="E253" i="19"/>
  <c r="F253" i="19" s="1"/>
  <c r="D253" i="19"/>
  <c r="E252" i="19"/>
  <c r="F252" i="19" s="1"/>
  <c r="D252" i="19"/>
  <c r="E251" i="19"/>
  <c r="F251" i="19" s="1"/>
  <c r="D251" i="19"/>
  <c r="E250" i="19"/>
  <c r="F250" i="19" s="1"/>
  <c r="D250" i="19"/>
  <c r="E249" i="19"/>
  <c r="F249" i="19" s="1"/>
  <c r="D249" i="19"/>
  <c r="E248" i="19"/>
  <c r="F248" i="19" s="1"/>
  <c r="D248" i="19"/>
  <c r="E247" i="19"/>
  <c r="F247" i="19" s="1"/>
  <c r="D247" i="19"/>
  <c r="E246" i="19"/>
  <c r="F246" i="19" s="1"/>
  <c r="D246" i="19"/>
  <c r="E245" i="19"/>
  <c r="F245" i="19" s="1"/>
  <c r="D245" i="19"/>
  <c r="E244" i="19"/>
  <c r="F244" i="19" s="1"/>
  <c r="D244" i="19"/>
  <c r="E243" i="19"/>
  <c r="F243" i="19" s="1"/>
  <c r="D243" i="19"/>
  <c r="G243" i="19" s="1"/>
  <c r="H243" i="19" s="1"/>
  <c r="E242" i="19"/>
  <c r="F242" i="19" s="1"/>
  <c r="D242" i="19"/>
  <c r="E241" i="19"/>
  <c r="F241" i="19" s="1"/>
  <c r="D241" i="19"/>
  <c r="E240" i="19"/>
  <c r="F240" i="19" s="1"/>
  <c r="D240" i="19"/>
  <c r="E239" i="19"/>
  <c r="F239" i="19" s="1"/>
  <c r="D239" i="19"/>
  <c r="E238" i="19"/>
  <c r="F238" i="19" s="1"/>
  <c r="D238" i="19"/>
  <c r="E237" i="19"/>
  <c r="F237" i="19" s="1"/>
  <c r="D237" i="19"/>
  <c r="E236" i="19"/>
  <c r="F236" i="19" s="1"/>
  <c r="D236" i="19"/>
  <c r="E235" i="19"/>
  <c r="F235" i="19" s="1"/>
  <c r="D235" i="19"/>
  <c r="E234" i="19"/>
  <c r="F234" i="19" s="1"/>
  <c r="D234" i="19"/>
  <c r="E233" i="19"/>
  <c r="F233" i="19" s="1"/>
  <c r="D233" i="19"/>
  <c r="E232" i="19"/>
  <c r="F232" i="19" s="1"/>
  <c r="D232" i="19"/>
  <c r="E231" i="19"/>
  <c r="F231" i="19" s="1"/>
  <c r="D231" i="19"/>
  <c r="E230" i="19"/>
  <c r="F230" i="19" s="1"/>
  <c r="D230" i="19"/>
  <c r="E229" i="19"/>
  <c r="F229" i="19" s="1"/>
  <c r="D229" i="19"/>
  <c r="E228" i="19"/>
  <c r="F228" i="19" s="1"/>
  <c r="D228" i="19"/>
  <c r="E227" i="19"/>
  <c r="F227" i="19" s="1"/>
  <c r="D227" i="19"/>
  <c r="E226" i="19"/>
  <c r="F226" i="19" s="1"/>
  <c r="D226" i="19"/>
  <c r="E225" i="19"/>
  <c r="F225" i="19" s="1"/>
  <c r="D225" i="19"/>
  <c r="E224" i="19"/>
  <c r="F224" i="19" s="1"/>
  <c r="D224" i="19"/>
  <c r="E223" i="19"/>
  <c r="F223" i="19" s="1"/>
  <c r="D223" i="19"/>
  <c r="E222" i="19"/>
  <c r="F222" i="19" s="1"/>
  <c r="D222" i="19"/>
  <c r="E221" i="19"/>
  <c r="F221" i="19" s="1"/>
  <c r="D221" i="19"/>
  <c r="E220" i="19"/>
  <c r="F220" i="19" s="1"/>
  <c r="D220" i="19"/>
  <c r="E219" i="19"/>
  <c r="F219" i="19" s="1"/>
  <c r="D219" i="19"/>
  <c r="E218" i="19"/>
  <c r="F218" i="19" s="1"/>
  <c r="D218" i="19"/>
  <c r="E217" i="19"/>
  <c r="F217" i="19" s="1"/>
  <c r="D217" i="19"/>
  <c r="E216" i="19"/>
  <c r="F216" i="19" s="1"/>
  <c r="D216" i="19"/>
  <c r="E215" i="19"/>
  <c r="F215" i="19" s="1"/>
  <c r="D215" i="19"/>
  <c r="E214" i="19"/>
  <c r="F214" i="19" s="1"/>
  <c r="D214" i="19"/>
  <c r="G214" i="19" s="1"/>
  <c r="E213" i="19"/>
  <c r="F213" i="19" s="1"/>
  <c r="D213" i="19"/>
  <c r="E212" i="19"/>
  <c r="F212" i="19" s="1"/>
  <c r="D212" i="19"/>
  <c r="E211" i="19"/>
  <c r="F211" i="19" s="1"/>
  <c r="D211" i="19"/>
  <c r="E210" i="19"/>
  <c r="F210" i="19" s="1"/>
  <c r="D210" i="19"/>
  <c r="E209" i="19"/>
  <c r="F209" i="19" s="1"/>
  <c r="D209" i="19"/>
  <c r="E208" i="19"/>
  <c r="F208" i="19" s="1"/>
  <c r="D208" i="19"/>
  <c r="E207" i="19"/>
  <c r="F207" i="19" s="1"/>
  <c r="D207" i="19"/>
  <c r="E206" i="19"/>
  <c r="F206" i="19" s="1"/>
  <c r="D206" i="19"/>
  <c r="E205" i="19"/>
  <c r="F205" i="19" s="1"/>
  <c r="D205" i="19"/>
  <c r="E204" i="19"/>
  <c r="F204" i="19" s="1"/>
  <c r="D204" i="19"/>
  <c r="E203" i="19"/>
  <c r="F203" i="19" s="1"/>
  <c r="D203" i="19"/>
  <c r="E202" i="19"/>
  <c r="F202" i="19" s="1"/>
  <c r="D202" i="19"/>
  <c r="E201" i="19"/>
  <c r="F201" i="19" s="1"/>
  <c r="D201" i="19"/>
  <c r="E200" i="19"/>
  <c r="F200" i="19" s="1"/>
  <c r="D200" i="19"/>
  <c r="E199" i="19"/>
  <c r="F199" i="19" s="1"/>
  <c r="D199" i="19"/>
  <c r="E198" i="19"/>
  <c r="F198" i="19" s="1"/>
  <c r="D198" i="19"/>
  <c r="E197" i="19"/>
  <c r="F197" i="19" s="1"/>
  <c r="D197" i="19"/>
  <c r="E196" i="19"/>
  <c r="F196" i="19" s="1"/>
  <c r="D196" i="19"/>
  <c r="E195" i="19"/>
  <c r="F195" i="19" s="1"/>
  <c r="D195" i="19"/>
  <c r="E194" i="19"/>
  <c r="F194" i="19" s="1"/>
  <c r="D194" i="19"/>
  <c r="E193" i="19"/>
  <c r="F193" i="19" s="1"/>
  <c r="D193" i="19"/>
  <c r="E192" i="19"/>
  <c r="F192" i="19" s="1"/>
  <c r="D192" i="19"/>
  <c r="E191" i="19"/>
  <c r="F191" i="19" s="1"/>
  <c r="D191" i="19"/>
  <c r="E190" i="19"/>
  <c r="F190" i="19" s="1"/>
  <c r="D190" i="19"/>
  <c r="E189" i="19"/>
  <c r="F189" i="19" s="1"/>
  <c r="D189" i="19"/>
  <c r="E188" i="19"/>
  <c r="F188" i="19" s="1"/>
  <c r="D188" i="19"/>
  <c r="E187" i="19"/>
  <c r="F187" i="19" s="1"/>
  <c r="D187" i="19"/>
  <c r="E186" i="19"/>
  <c r="F186" i="19" s="1"/>
  <c r="D186" i="19"/>
  <c r="E185" i="19"/>
  <c r="F185" i="19" s="1"/>
  <c r="D185" i="19"/>
  <c r="E184" i="19"/>
  <c r="F184" i="19" s="1"/>
  <c r="D184" i="19"/>
  <c r="E183" i="19"/>
  <c r="F183" i="19" s="1"/>
  <c r="D183" i="19"/>
  <c r="E182" i="19"/>
  <c r="F182" i="19" s="1"/>
  <c r="D182" i="19"/>
  <c r="E181" i="19"/>
  <c r="F181" i="19" s="1"/>
  <c r="D181" i="19"/>
  <c r="E180" i="19"/>
  <c r="F180" i="19" s="1"/>
  <c r="D180" i="19"/>
  <c r="E179" i="19"/>
  <c r="F179" i="19" s="1"/>
  <c r="D179" i="19"/>
  <c r="E178" i="19"/>
  <c r="F178" i="19" s="1"/>
  <c r="D178" i="19"/>
  <c r="E177" i="19"/>
  <c r="F177" i="19" s="1"/>
  <c r="D177" i="19"/>
  <c r="E176" i="19"/>
  <c r="F176" i="19" s="1"/>
  <c r="D176" i="19"/>
  <c r="E175" i="19"/>
  <c r="F175" i="19" s="1"/>
  <c r="D175" i="19"/>
  <c r="E174" i="19"/>
  <c r="F174" i="19" s="1"/>
  <c r="D174" i="19"/>
  <c r="E173" i="19"/>
  <c r="F173" i="19" s="1"/>
  <c r="D173" i="19"/>
  <c r="E172" i="19"/>
  <c r="F172" i="19" s="1"/>
  <c r="D172" i="19"/>
  <c r="E171" i="19"/>
  <c r="F171" i="19" s="1"/>
  <c r="D171" i="19"/>
  <c r="E170" i="19"/>
  <c r="F170" i="19" s="1"/>
  <c r="D170" i="19"/>
  <c r="E169" i="19"/>
  <c r="F169" i="19" s="1"/>
  <c r="D169" i="19"/>
  <c r="E168" i="19"/>
  <c r="F168" i="19" s="1"/>
  <c r="D168" i="19"/>
  <c r="E167" i="19"/>
  <c r="F167" i="19" s="1"/>
  <c r="D167" i="19"/>
  <c r="E166" i="19"/>
  <c r="F166" i="19" s="1"/>
  <c r="D166" i="19"/>
  <c r="E165" i="19"/>
  <c r="F165" i="19" s="1"/>
  <c r="D165" i="19"/>
  <c r="E164" i="19"/>
  <c r="F164" i="19" s="1"/>
  <c r="D164" i="19"/>
  <c r="E163" i="19"/>
  <c r="F163" i="19" s="1"/>
  <c r="D163" i="19"/>
  <c r="E162" i="19"/>
  <c r="F162" i="19" s="1"/>
  <c r="D162" i="19"/>
  <c r="E161" i="19"/>
  <c r="F161" i="19" s="1"/>
  <c r="D161" i="19"/>
  <c r="E160" i="19"/>
  <c r="F160" i="19" s="1"/>
  <c r="D160" i="19"/>
  <c r="E159" i="19"/>
  <c r="F159" i="19" s="1"/>
  <c r="D159" i="19"/>
  <c r="E158" i="19"/>
  <c r="F158" i="19" s="1"/>
  <c r="D158" i="19"/>
  <c r="E157" i="19"/>
  <c r="F157" i="19" s="1"/>
  <c r="D157" i="19"/>
  <c r="E156" i="19"/>
  <c r="F156" i="19" s="1"/>
  <c r="D156" i="19"/>
  <c r="E155" i="19"/>
  <c r="F155" i="19" s="1"/>
  <c r="D155" i="19"/>
  <c r="G155" i="19" s="1"/>
  <c r="E154" i="19"/>
  <c r="F154" i="19" s="1"/>
  <c r="D154" i="19"/>
  <c r="E153" i="19"/>
  <c r="F153" i="19" s="1"/>
  <c r="D153" i="19"/>
  <c r="E152" i="19"/>
  <c r="F152" i="19" s="1"/>
  <c r="D152" i="19"/>
  <c r="E151" i="19"/>
  <c r="F151" i="19" s="1"/>
  <c r="D151" i="19"/>
  <c r="E150" i="19"/>
  <c r="F150" i="19" s="1"/>
  <c r="D150" i="19"/>
  <c r="E149" i="19"/>
  <c r="F149" i="19" s="1"/>
  <c r="D149" i="19"/>
  <c r="E148" i="19"/>
  <c r="F148" i="19" s="1"/>
  <c r="D148" i="19"/>
  <c r="E147" i="19"/>
  <c r="F147" i="19" s="1"/>
  <c r="D147" i="19"/>
  <c r="G147" i="19" s="1"/>
  <c r="E146" i="19"/>
  <c r="F146" i="19" s="1"/>
  <c r="D146" i="19"/>
  <c r="E145" i="19"/>
  <c r="F145" i="19" s="1"/>
  <c r="D145" i="19"/>
  <c r="E144" i="19"/>
  <c r="F144" i="19" s="1"/>
  <c r="D144" i="19"/>
  <c r="E143" i="19"/>
  <c r="F143" i="19" s="1"/>
  <c r="D143" i="19"/>
  <c r="E142" i="19"/>
  <c r="F142" i="19" s="1"/>
  <c r="D142" i="19"/>
  <c r="E141" i="19"/>
  <c r="F141" i="19" s="1"/>
  <c r="D141" i="19"/>
  <c r="E140" i="19"/>
  <c r="F140" i="19" s="1"/>
  <c r="D140" i="19"/>
  <c r="E139" i="19"/>
  <c r="F139" i="19" s="1"/>
  <c r="D139" i="19"/>
  <c r="E138" i="19"/>
  <c r="F138" i="19" s="1"/>
  <c r="D138" i="19"/>
  <c r="E137" i="19"/>
  <c r="F137" i="19" s="1"/>
  <c r="D137" i="19"/>
  <c r="E136" i="19"/>
  <c r="F136" i="19" s="1"/>
  <c r="D136" i="19"/>
  <c r="E135" i="19"/>
  <c r="F135" i="19" s="1"/>
  <c r="D135" i="19"/>
  <c r="E134" i="19"/>
  <c r="F134" i="19" s="1"/>
  <c r="D134" i="19"/>
  <c r="E133" i="19"/>
  <c r="F133" i="19" s="1"/>
  <c r="D133" i="19"/>
  <c r="E132" i="19"/>
  <c r="F132" i="19" s="1"/>
  <c r="D132" i="19"/>
  <c r="E131" i="19"/>
  <c r="F131" i="19" s="1"/>
  <c r="D131" i="19"/>
  <c r="E130" i="19"/>
  <c r="F130" i="19" s="1"/>
  <c r="D130" i="19"/>
  <c r="E129" i="19"/>
  <c r="F129" i="19" s="1"/>
  <c r="D129" i="19"/>
  <c r="E128" i="19"/>
  <c r="F128" i="19" s="1"/>
  <c r="D128" i="19"/>
  <c r="E127" i="19"/>
  <c r="F127" i="19" s="1"/>
  <c r="D127" i="19"/>
  <c r="E126" i="19"/>
  <c r="F126" i="19" s="1"/>
  <c r="D126" i="19"/>
  <c r="E125" i="19"/>
  <c r="F125" i="19" s="1"/>
  <c r="D125" i="19"/>
  <c r="E124" i="19"/>
  <c r="F124" i="19" s="1"/>
  <c r="D124" i="19"/>
  <c r="E123" i="19"/>
  <c r="F123" i="19" s="1"/>
  <c r="D123" i="19"/>
  <c r="E122" i="19"/>
  <c r="F122" i="19" s="1"/>
  <c r="D122" i="19"/>
  <c r="E121" i="19"/>
  <c r="F121" i="19" s="1"/>
  <c r="D121" i="19"/>
  <c r="E120" i="19"/>
  <c r="F120" i="19" s="1"/>
  <c r="D120" i="19"/>
  <c r="E119" i="19"/>
  <c r="F119" i="19" s="1"/>
  <c r="D119" i="19"/>
  <c r="E118" i="19"/>
  <c r="F118" i="19" s="1"/>
  <c r="D118" i="19"/>
  <c r="E117" i="19"/>
  <c r="F117" i="19" s="1"/>
  <c r="D117" i="19"/>
  <c r="E116" i="19"/>
  <c r="F116" i="19" s="1"/>
  <c r="D116" i="19"/>
  <c r="E115" i="19"/>
  <c r="F115" i="19" s="1"/>
  <c r="D115" i="19"/>
  <c r="E114" i="19"/>
  <c r="F114" i="19" s="1"/>
  <c r="D114" i="19"/>
  <c r="E113" i="19"/>
  <c r="F113" i="19" s="1"/>
  <c r="D113" i="19"/>
  <c r="E112" i="19"/>
  <c r="F112" i="19" s="1"/>
  <c r="D112" i="19"/>
  <c r="E111" i="19"/>
  <c r="F111" i="19" s="1"/>
  <c r="D111" i="19"/>
  <c r="E110" i="19"/>
  <c r="F110" i="19" s="1"/>
  <c r="D110" i="19"/>
  <c r="E109" i="19"/>
  <c r="F109" i="19" s="1"/>
  <c r="D109" i="19"/>
  <c r="E108" i="19"/>
  <c r="F108" i="19" s="1"/>
  <c r="D108" i="19"/>
  <c r="E107" i="19"/>
  <c r="F107" i="19" s="1"/>
  <c r="D107" i="19"/>
  <c r="E106" i="19"/>
  <c r="F106" i="19" s="1"/>
  <c r="D106" i="19"/>
  <c r="E105" i="19"/>
  <c r="F105" i="19" s="1"/>
  <c r="D105" i="19"/>
  <c r="E104" i="19"/>
  <c r="F104" i="19" s="1"/>
  <c r="D104" i="19"/>
  <c r="E103" i="19"/>
  <c r="F103" i="19" s="1"/>
  <c r="D103" i="19"/>
  <c r="E102" i="19"/>
  <c r="F102" i="19" s="1"/>
  <c r="D102" i="19"/>
  <c r="E101" i="19"/>
  <c r="F101" i="19" s="1"/>
  <c r="D101" i="19"/>
  <c r="E100" i="19"/>
  <c r="F100" i="19" s="1"/>
  <c r="D100" i="19"/>
  <c r="E99" i="19"/>
  <c r="F99" i="19" s="1"/>
  <c r="D99" i="19"/>
  <c r="E98" i="19"/>
  <c r="F98" i="19" s="1"/>
  <c r="D98" i="19"/>
  <c r="E97" i="19"/>
  <c r="F97" i="19" s="1"/>
  <c r="D97" i="19"/>
  <c r="E96" i="19"/>
  <c r="F96" i="19" s="1"/>
  <c r="D96" i="19"/>
  <c r="E95" i="19"/>
  <c r="F95" i="19" s="1"/>
  <c r="D95" i="19"/>
  <c r="E94" i="19"/>
  <c r="F94" i="19" s="1"/>
  <c r="D94" i="19"/>
  <c r="E93" i="19"/>
  <c r="F93" i="19" s="1"/>
  <c r="D93" i="19"/>
  <c r="E92" i="19"/>
  <c r="F92" i="19" s="1"/>
  <c r="D92" i="19"/>
  <c r="E91" i="19"/>
  <c r="F91" i="19" s="1"/>
  <c r="D91" i="19"/>
  <c r="E90" i="19"/>
  <c r="F90" i="19" s="1"/>
  <c r="D90" i="19"/>
  <c r="E89" i="19"/>
  <c r="F89" i="19" s="1"/>
  <c r="D89" i="19"/>
  <c r="E88" i="19"/>
  <c r="F88" i="19" s="1"/>
  <c r="D88" i="19"/>
  <c r="E87" i="19"/>
  <c r="F87" i="19" s="1"/>
  <c r="D87" i="19"/>
  <c r="E86" i="19"/>
  <c r="F86" i="19" s="1"/>
  <c r="D86" i="19"/>
  <c r="E85" i="19"/>
  <c r="F85" i="19" s="1"/>
  <c r="D85" i="19"/>
  <c r="E84" i="19"/>
  <c r="F84" i="19" s="1"/>
  <c r="D84" i="19"/>
  <c r="E83" i="19"/>
  <c r="F83" i="19" s="1"/>
  <c r="D83" i="19"/>
  <c r="E82" i="19"/>
  <c r="F82" i="19" s="1"/>
  <c r="D82" i="19"/>
  <c r="E81" i="19"/>
  <c r="F81" i="19" s="1"/>
  <c r="D81" i="19"/>
  <c r="E80" i="19"/>
  <c r="F80" i="19" s="1"/>
  <c r="D80" i="19"/>
  <c r="E79" i="19"/>
  <c r="F79" i="19" s="1"/>
  <c r="D79" i="19"/>
  <c r="E78" i="19"/>
  <c r="F78" i="19" s="1"/>
  <c r="D78" i="19"/>
  <c r="E77" i="19"/>
  <c r="F77" i="19" s="1"/>
  <c r="D77" i="19"/>
  <c r="E76" i="19"/>
  <c r="F76" i="19" s="1"/>
  <c r="D76" i="19"/>
  <c r="E75" i="19"/>
  <c r="F75" i="19" s="1"/>
  <c r="D75" i="19"/>
  <c r="E74" i="19"/>
  <c r="F74" i="19" s="1"/>
  <c r="D74" i="19"/>
  <c r="E73" i="19"/>
  <c r="F73" i="19" s="1"/>
  <c r="D73" i="19"/>
  <c r="E72" i="19"/>
  <c r="F72" i="19" s="1"/>
  <c r="D72" i="19"/>
  <c r="E71" i="19"/>
  <c r="F71" i="19" s="1"/>
  <c r="D71" i="19"/>
  <c r="E70" i="19"/>
  <c r="F70" i="19" s="1"/>
  <c r="D70" i="19"/>
  <c r="E69" i="19"/>
  <c r="F69" i="19" s="1"/>
  <c r="D69" i="19"/>
  <c r="E68" i="19"/>
  <c r="F68" i="19" s="1"/>
  <c r="D68" i="19"/>
  <c r="E67" i="19"/>
  <c r="F67" i="19" s="1"/>
  <c r="D67" i="19"/>
  <c r="E66" i="19"/>
  <c r="F66" i="19" s="1"/>
  <c r="D66" i="19"/>
  <c r="E65" i="19"/>
  <c r="F65" i="19" s="1"/>
  <c r="D65" i="19"/>
  <c r="E64" i="19"/>
  <c r="F64" i="19" s="1"/>
  <c r="D64" i="19"/>
  <c r="E63" i="19"/>
  <c r="F63" i="19" s="1"/>
  <c r="D63" i="19"/>
  <c r="E62" i="19"/>
  <c r="F62" i="19" s="1"/>
  <c r="D62" i="19"/>
  <c r="E61" i="19"/>
  <c r="F61" i="19" s="1"/>
  <c r="D61" i="19"/>
  <c r="F60" i="19"/>
  <c r="E60" i="19"/>
  <c r="D60" i="19"/>
  <c r="E59" i="19"/>
  <c r="F59" i="19" s="1"/>
  <c r="D59" i="19"/>
  <c r="E58" i="19"/>
  <c r="F58" i="19" s="1"/>
  <c r="D58" i="19"/>
  <c r="E57" i="19"/>
  <c r="F57" i="19" s="1"/>
  <c r="D57" i="19"/>
  <c r="E56" i="19"/>
  <c r="F56" i="19" s="1"/>
  <c r="D56" i="19"/>
  <c r="E55" i="19"/>
  <c r="F55" i="19" s="1"/>
  <c r="D55" i="19"/>
  <c r="E54" i="19"/>
  <c r="F54" i="19" s="1"/>
  <c r="D54" i="19"/>
  <c r="E53" i="19"/>
  <c r="F53" i="19" s="1"/>
  <c r="D53" i="19"/>
  <c r="E52" i="19"/>
  <c r="F52" i="19" s="1"/>
  <c r="D52" i="19"/>
  <c r="E51" i="19"/>
  <c r="F51" i="19" s="1"/>
  <c r="D51" i="19"/>
  <c r="E50" i="19"/>
  <c r="F50" i="19" s="1"/>
  <c r="D50" i="19"/>
  <c r="E49" i="19"/>
  <c r="F49" i="19" s="1"/>
  <c r="D49" i="19"/>
  <c r="E48" i="19"/>
  <c r="F48" i="19" s="1"/>
  <c r="D48" i="19"/>
  <c r="E47" i="19"/>
  <c r="F47" i="19" s="1"/>
  <c r="D47" i="19"/>
  <c r="E46" i="19"/>
  <c r="F46" i="19" s="1"/>
  <c r="D46" i="19"/>
  <c r="E45" i="19"/>
  <c r="F45" i="19" s="1"/>
  <c r="D45" i="19"/>
  <c r="E44" i="19"/>
  <c r="F44" i="19" s="1"/>
  <c r="D44" i="19"/>
  <c r="E43" i="19"/>
  <c r="F43" i="19" s="1"/>
  <c r="D43" i="19"/>
  <c r="E42" i="19"/>
  <c r="F42" i="19" s="1"/>
  <c r="D42" i="19"/>
  <c r="E41" i="19"/>
  <c r="F41" i="19" s="1"/>
  <c r="D41" i="19"/>
  <c r="E40" i="19"/>
  <c r="F40" i="19" s="1"/>
  <c r="D40" i="19"/>
  <c r="E39" i="19"/>
  <c r="F39" i="19" s="1"/>
  <c r="D39" i="19"/>
  <c r="E38" i="19"/>
  <c r="F38" i="19" s="1"/>
  <c r="D38" i="19"/>
  <c r="E37" i="19"/>
  <c r="F37" i="19" s="1"/>
  <c r="D37" i="19"/>
  <c r="E36" i="19"/>
  <c r="F36" i="19" s="1"/>
  <c r="D36" i="19"/>
  <c r="E35" i="19"/>
  <c r="F35" i="19" s="1"/>
  <c r="D35" i="19"/>
  <c r="E34" i="19"/>
  <c r="F34" i="19" s="1"/>
  <c r="D34" i="19"/>
  <c r="E33" i="19"/>
  <c r="F33" i="19" s="1"/>
  <c r="D33" i="19"/>
  <c r="E32" i="19"/>
  <c r="F32" i="19" s="1"/>
  <c r="D32" i="19"/>
  <c r="E31" i="19"/>
  <c r="F31" i="19" s="1"/>
  <c r="D31" i="19"/>
  <c r="E30" i="19"/>
  <c r="F30" i="19" s="1"/>
  <c r="D30" i="19"/>
  <c r="E29" i="19"/>
  <c r="F29" i="19" s="1"/>
  <c r="D29" i="19"/>
  <c r="E28" i="19"/>
  <c r="F28" i="19" s="1"/>
  <c r="D28" i="19"/>
  <c r="E27" i="19"/>
  <c r="F27" i="19" s="1"/>
  <c r="D27" i="19"/>
  <c r="E26" i="19"/>
  <c r="F26" i="19" s="1"/>
  <c r="D26" i="19"/>
  <c r="E25" i="19"/>
  <c r="F25" i="19" s="1"/>
  <c r="D25" i="19"/>
  <c r="E24" i="19"/>
  <c r="F24" i="19" s="1"/>
  <c r="D24" i="19"/>
  <c r="E23" i="19"/>
  <c r="F23" i="19" s="1"/>
  <c r="D23" i="19"/>
  <c r="E22" i="19"/>
  <c r="F22" i="19" s="1"/>
  <c r="D22" i="19"/>
  <c r="E21" i="19"/>
  <c r="F21" i="19" s="1"/>
  <c r="D21" i="19"/>
  <c r="E20" i="19"/>
  <c r="F20" i="19" s="1"/>
  <c r="D20" i="19"/>
  <c r="E19" i="19"/>
  <c r="F19" i="19" s="1"/>
  <c r="D19" i="19"/>
  <c r="E18" i="19"/>
  <c r="F18" i="19" s="1"/>
  <c r="D18" i="19"/>
  <c r="E17" i="19"/>
  <c r="F17" i="19" s="1"/>
  <c r="D17" i="19"/>
  <c r="E16" i="19"/>
  <c r="F16" i="19" s="1"/>
  <c r="D16" i="19"/>
  <c r="E15" i="19"/>
  <c r="F15" i="19" s="1"/>
  <c r="D15" i="19"/>
  <c r="E14" i="19"/>
  <c r="F14" i="19" s="1"/>
  <c r="D14" i="19"/>
  <c r="E13" i="19"/>
  <c r="F13" i="19" s="1"/>
  <c r="D13" i="19"/>
  <c r="E12" i="19"/>
  <c r="F12" i="19" s="1"/>
  <c r="D12" i="19"/>
  <c r="E11" i="19"/>
  <c r="F11" i="19" s="1"/>
  <c r="D11" i="19"/>
  <c r="E10" i="19"/>
  <c r="F10" i="19" s="1"/>
  <c r="D10" i="19"/>
  <c r="E9" i="19"/>
  <c r="F9" i="19" s="1"/>
  <c r="D9" i="19"/>
  <c r="E8" i="19"/>
  <c r="F8" i="19" s="1"/>
  <c r="D8" i="19"/>
  <c r="E7" i="19"/>
  <c r="F7" i="19" s="1"/>
  <c r="D7" i="19"/>
  <c r="E6" i="19"/>
  <c r="F6" i="19" s="1"/>
  <c r="D6" i="19"/>
  <c r="E5" i="19"/>
  <c r="F5" i="19" s="1"/>
  <c r="D5" i="19"/>
  <c r="E4" i="19"/>
  <c r="F4" i="19" s="1"/>
  <c r="D4" i="19"/>
  <c r="E3" i="19"/>
  <c r="F3" i="19" s="1"/>
  <c r="D3" i="19"/>
  <c r="E2" i="19"/>
  <c r="F2" i="19" s="1"/>
  <c r="D2" i="19"/>
  <c r="G13" i="15" l="1"/>
  <c r="G14" i="15" s="1"/>
  <c r="K13" i="15"/>
  <c r="K14" i="15" s="1"/>
  <c r="F13" i="15"/>
  <c r="F14" i="15" s="1"/>
  <c r="C13" i="15"/>
  <c r="C14" i="15" s="1"/>
  <c r="D13" i="15"/>
  <c r="D14" i="15" s="1"/>
  <c r="H13" i="15"/>
  <c r="H14" i="15" s="1"/>
  <c r="L13" i="15"/>
  <c r="L14" i="15" s="1"/>
  <c r="I13" i="15"/>
  <c r="I14" i="15" s="1"/>
  <c r="M13" i="15"/>
  <c r="M14" i="15" s="1"/>
  <c r="J13" i="15"/>
  <c r="J14" i="15" s="1"/>
  <c r="E13" i="15"/>
  <c r="E14" i="15" s="1"/>
  <c r="B13" i="15"/>
  <c r="B14" i="15" s="1"/>
  <c r="G80" i="19"/>
  <c r="G179" i="19"/>
  <c r="G187" i="19"/>
  <c r="M1359" i="20"/>
  <c r="N1359" i="20" s="1"/>
  <c r="M1361" i="20"/>
  <c r="N1361" i="20" s="1"/>
  <c r="M1363" i="20"/>
  <c r="N1363" i="20" s="1"/>
  <c r="M1365" i="20"/>
  <c r="N1365" i="20" s="1"/>
  <c r="L1358" i="17"/>
  <c r="M1358" i="17" s="1"/>
  <c r="L1366" i="17"/>
  <c r="M1366" i="17" s="1"/>
  <c r="L1368" i="17"/>
  <c r="M1368" i="17" s="1"/>
  <c r="M1364" i="20"/>
  <c r="N1364" i="20" s="1"/>
  <c r="L1360" i="17"/>
  <c r="M1360" i="17" s="1"/>
  <c r="L1359" i="17"/>
  <c r="M1359" i="17" s="1"/>
  <c r="L1367" i="17"/>
  <c r="M1367" i="17" s="1"/>
  <c r="M1366" i="20"/>
  <c r="N1366" i="20" s="1"/>
  <c r="L1364" i="17"/>
  <c r="M1364" i="17" s="1"/>
  <c r="M1367" i="20"/>
  <c r="N1367" i="20" s="1"/>
  <c r="M1369" i="20"/>
  <c r="N1369" i="20" s="1"/>
  <c r="L1361" i="17"/>
  <c r="M1361" i="17" s="1"/>
  <c r="L1363" i="17"/>
  <c r="M1363" i="17" s="1"/>
  <c r="L1365" i="17"/>
  <c r="M1365" i="17" s="1"/>
  <c r="M1358" i="20"/>
  <c r="N1358" i="20" s="1"/>
  <c r="M1360" i="20"/>
  <c r="N1360" i="20" s="1"/>
  <c r="M1362" i="20"/>
  <c r="N1362" i="20" s="1"/>
  <c r="L1362" i="17"/>
  <c r="M1362" i="17" s="1"/>
  <c r="L1369" i="17"/>
  <c r="M1369" i="17" s="1"/>
  <c r="M1368" i="20"/>
  <c r="N1368" i="20" s="1"/>
  <c r="M1354" i="20"/>
  <c r="N1354" i="20" s="1"/>
  <c r="M1350" i="20"/>
  <c r="N1350" i="20" s="1"/>
  <c r="M1346" i="20"/>
  <c r="N1346" i="20" s="1"/>
  <c r="M1342" i="20"/>
  <c r="N1342" i="20" s="1"/>
  <c r="M1338" i="20"/>
  <c r="N1338" i="20" s="1"/>
  <c r="M1334" i="20"/>
  <c r="N1334" i="20" s="1"/>
  <c r="M1330" i="20"/>
  <c r="N1330" i="20" s="1"/>
  <c r="M1326" i="20"/>
  <c r="N1326" i="20" s="1"/>
  <c r="M1322" i="20"/>
  <c r="N1322" i="20" s="1"/>
  <c r="L1325" i="17"/>
  <c r="M1325" i="17" s="1"/>
  <c r="L1329" i="17"/>
  <c r="M1329" i="17" s="1"/>
  <c r="L1333" i="17"/>
  <c r="M1333" i="17" s="1"/>
  <c r="L1337" i="17"/>
  <c r="M1337" i="17" s="1"/>
  <c r="L1341" i="17"/>
  <c r="M1341" i="17" s="1"/>
  <c r="L1345" i="17"/>
  <c r="M1345" i="17" s="1"/>
  <c r="L1349" i="17"/>
  <c r="M1349" i="17" s="1"/>
  <c r="L1353" i="17"/>
  <c r="M1353" i="17" s="1"/>
  <c r="L1357" i="17"/>
  <c r="M1357" i="17" s="1"/>
  <c r="M1327" i="20"/>
  <c r="N1327" i="20" s="1"/>
  <c r="L1332" i="17"/>
  <c r="M1332" i="17" s="1"/>
  <c r="L1344" i="17"/>
  <c r="M1344" i="17" s="1"/>
  <c r="L1356" i="17"/>
  <c r="M1356" i="17" s="1"/>
  <c r="M1357" i="20"/>
  <c r="N1357" i="20" s="1"/>
  <c r="M1353" i="20"/>
  <c r="N1353" i="20" s="1"/>
  <c r="M1349" i="20"/>
  <c r="N1349" i="20" s="1"/>
  <c r="M1345" i="20"/>
  <c r="N1345" i="20" s="1"/>
  <c r="M1341" i="20"/>
  <c r="N1341" i="20" s="1"/>
  <c r="M1337" i="20"/>
  <c r="N1337" i="20" s="1"/>
  <c r="M1333" i="20"/>
  <c r="N1333" i="20" s="1"/>
  <c r="M1329" i="20"/>
  <c r="N1329" i="20" s="1"/>
  <c r="M1325" i="20"/>
  <c r="N1325" i="20" s="1"/>
  <c r="L1322" i="17"/>
  <c r="M1322" i="17" s="1"/>
  <c r="L1326" i="17"/>
  <c r="M1326" i="17" s="1"/>
  <c r="L1330" i="17"/>
  <c r="M1330" i="17" s="1"/>
  <c r="L1334" i="17"/>
  <c r="M1334" i="17" s="1"/>
  <c r="L1338" i="17"/>
  <c r="M1338" i="17" s="1"/>
  <c r="L1342" i="17"/>
  <c r="M1342" i="17" s="1"/>
  <c r="L1346" i="17"/>
  <c r="M1346" i="17" s="1"/>
  <c r="L1350" i="17"/>
  <c r="M1350" i="17" s="1"/>
  <c r="L1354" i="17"/>
  <c r="M1354" i="17" s="1"/>
  <c r="M1351" i="20"/>
  <c r="N1351" i="20" s="1"/>
  <c r="M1343" i="20"/>
  <c r="N1343" i="20" s="1"/>
  <c r="M1335" i="20"/>
  <c r="N1335" i="20" s="1"/>
  <c r="M1323" i="20"/>
  <c r="N1323" i="20" s="1"/>
  <c r="L1328" i="17"/>
  <c r="M1328" i="17" s="1"/>
  <c r="L1340" i="17"/>
  <c r="M1340" i="17" s="1"/>
  <c r="L1352" i="17"/>
  <c r="M1352" i="17" s="1"/>
  <c r="M1356" i="20"/>
  <c r="N1356" i="20" s="1"/>
  <c r="M1352" i="20"/>
  <c r="N1352" i="20" s="1"/>
  <c r="M1348" i="20"/>
  <c r="N1348" i="20" s="1"/>
  <c r="M1344" i="20"/>
  <c r="N1344" i="20" s="1"/>
  <c r="M1340" i="20"/>
  <c r="N1340" i="20" s="1"/>
  <c r="M1336" i="20"/>
  <c r="N1336" i="20" s="1"/>
  <c r="M1332" i="20"/>
  <c r="N1332" i="20" s="1"/>
  <c r="M1328" i="20"/>
  <c r="N1328" i="20" s="1"/>
  <c r="M1324" i="20"/>
  <c r="N1324" i="20" s="1"/>
  <c r="L1323" i="17"/>
  <c r="M1323" i="17" s="1"/>
  <c r="L1327" i="17"/>
  <c r="M1327" i="17" s="1"/>
  <c r="L1331" i="17"/>
  <c r="M1331" i="17" s="1"/>
  <c r="L1335" i="17"/>
  <c r="M1335" i="17" s="1"/>
  <c r="L1339" i="17"/>
  <c r="M1339" i="17" s="1"/>
  <c r="L1343" i="17"/>
  <c r="M1343" i="17" s="1"/>
  <c r="L1347" i="17"/>
  <c r="M1347" i="17" s="1"/>
  <c r="L1351" i="17"/>
  <c r="M1351" i="17" s="1"/>
  <c r="L1355" i="17"/>
  <c r="M1355" i="17" s="1"/>
  <c r="M1355" i="20"/>
  <c r="N1355" i="20" s="1"/>
  <c r="M1347" i="20"/>
  <c r="N1347" i="20" s="1"/>
  <c r="M1339" i="20"/>
  <c r="N1339" i="20" s="1"/>
  <c r="M1331" i="20"/>
  <c r="N1331" i="20" s="1"/>
  <c r="L1324" i="17"/>
  <c r="M1324" i="17" s="1"/>
  <c r="L1336" i="17"/>
  <c r="M1336" i="17" s="1"/>
  <c r="L1348" i="17"/>
  <c r="M1348" i="17" s="1"/>
  <c r="G364" i="19"/>
  <c r="M1321" i="20"/>
  <c r="G617" i="19"/>
  <c r="G82" i="19"/>
  <c r="G242" i="19"/>
  <c r="G236" i="19"/>
  <c r="H236" i="19" s="1"/>
  <c r="G536" i="19"/>
  <c r="G584" i="19"/>
  <c r="H584" i="19" s="1"/>
  <c r="G494" i="19"/>
  <c r="H494" i="19" s="1"/>
  <c r="G369" i="19"/>
  <c r="H369" i="19" s="1"/>
  <c r="G377" i="19"/>
  <c r="H377" i="19" s="1"/>
  <c r="G440" i="19"/>
  <c r="G641" i="19"/>
  <c r="H641" i="19" s="1"/>
  <c r="G634" i="19"/>
  <c r="H634" i="19" s="1"/>
  <c r="G139" i="19"/>
  <c r="H139" i="19" s="1"/>
  <c r="G414" i="19"/>
  <c r="H414" i="19" s="1"/>
  <c r="G163" i="19"/>
  <c r="H163" i="19" s="1"/>
  <c r="G171" i="19"/>
  <c r="H171" i="19" s="1"/>
  <c r="G569" i="19"/>
  <c r="H569" i="19" s="1"/>
  <c r="G599" i="19"/>
  <c r="H599" i="19" s="1"/>
  <c r="G195" i="19"/>
  <c r="H195" i="19" s="1"/>
  <c r="G127" i="19"/>
  <c r="H127" i="19" s="1"/>
  <c r="G138" i="19"/>
  <c r="G354" i="19"/>
  <c r="H354" i="19" s="1"/>
  <c r="G32" i="19"/>
  <c r="H32" i="19" s="1"/>
  <c r="G121" i="19"/>
  <c r="H121" i="19" s="1"/>
  <c r="G142" i="19"/>
  <c r="H142" i="19" s="1"/>
  <c r="G318" i="19"/>
  <c r="H318" i="19" s="1"/>
  <c r="G430" i="19"/>
  <c r="H430" i="19" s="1"/>
  <c r="G538" i="19"/>
  <c r="H538" i="19" s="1"/>
  <c r="G40" i="19"/>
  <c r="G229" i="19"/>
  <c r="H229" i="19" s="1"/>
  <c r="G259" i="19"/>
  <c r="H259" i="19" s="1"/>
  <c r="G344" i="19"/>
  <c r="H344" i="19" s="1"/>
  <c r="G562" i="19"/>
  <c r="H562" i="19" s="1"/>
  <c r="G66" i="19"/>
  <c r="H66" i="19" s="1"/>
  <c r="G119" i="19"/>
  <c r="H119" i="19" s="1"/>
  <c r="G226" i="19"/>
  <c r="H226" i="19" s="1"/>
  <c r="G275" i="19"/>
  <c r="H275" i="19" s="1"/>
  <c r="G570" i="19"/>
  <c r="H570" i="19" s="1"/>
  <c r="G625" i="19"/>
  <c r="H625" i="19" s="1"/>
  <c r="G34" i="19"/>
  <c r="H34" i="19" s="1"/>
  <c r="G215" i="19"/>
  <c r="H215" i="19" s="1"/>
  <c r="G70" i="19"/>
  <c r="H70" i="19" s="1"/>
  <c r="G31" i="19"/>
  <c r="H31" i="19" s="1"/>
  <c r="G74" i="19"/>
  <c r="H74" i="19" s="1"/>
  <c r="G291" i="19"/>
  <c r="H291" i="19" s="1"/>
  <c r="G332" i="19"/>
  <c r="H332" i="19" s="1"/>
  <c r="G386" i="19"/>
  <c r="H386" i="19" s="1"/>
  <c r="G404" i="19"/>
  <c r="H404" i="19" s="1"/>
  <c r="G607" i="19"/>
  <c r="H607" i="19" s="1"/>
  <c r="G626" i="19"/>
  <c r="H626" i="19" s="1"/>
  <c r="G633" i="19"/>
  <c r="H633" i="19" s="1"/>
  <c r="N125" i="20"/>
  <c r="M1320" i="17"/>
  <c r="M1312" i="17"/>
  <c r="M1304" i="17"/>
  <c r="M1296" i="17"/>
  <c r="M1288" i="17"/>
  <c r="M1280" i="17"/>
  <c r="M1272" i="17"/>
  <c r="M1264" i="17"/>
  <c r="M1256" i="17"/>
  <c r="M1248" i="17"/>
  <c r="M1240" i="17"/>
  <c r="M1232" i="17"/>
  <c r="M1224" i="17"/>
  <c r="M1216" i="17"/>
  <c r="M1208" i="17"/>
  <c r="M1200" i="17"/>
  <c r="M1192" i="17"/>
  <c r="M1184" i="17"/>
  <c r="M1176" i="17"/>
  <c r="M1168" i="17"/>
  <c r="M1160" i="17"/>
  <c r="M1152" i="17"/>
  <c r="M1144" i="17"/>
  <c r="M1136" i="17"/>
  <c r="M1128" i="17"/>
  <c r="M1120" i="17"/>
  <c r="M1112" i="17"/>
  <c r="M1104" i="17"/>
  <c r="M1096" i="17"/>
  <c r="M1088" i="17"/>
  <c r="M1080" i="17"/>
  <c r="M1072" i="17"/>
  <c r="M1064" i="17"/>
  <c r="M1056" i="17"/>
  <c r="M1048" i="17"/>
  <c r="M1040" i="17"/>
  <c r="M1032" i="17"/>
  <c r="M1024" i="17"/>
  <c r="M1016" i="17"/>
  <c r="M1008" i="17"/>
  <c r="M1000" i="17"/>
  <c r="M992" i="17"/>
  <c r="M984" i="17"/>
  <c r="M976" i="17"/>
  <c r="M968" i="17"/>
  <c r="M960" i="17"/>
  <c r="M952" i="17"/>
  <c r="M944" i="17"/>
  <c r="M936" i="17"/>
  <c r="M928" i="17"/>
  <c r="M920" i="17"/>
  <c r="M912" i="17"/>
  <c r="M904" i="17"/>
  <c r="M896" i="17"/>
  <c r="M888" i="17"/>
  <c r="M880" i="17"/>
  <c r="M872" i="17"/>
  <c r="M864" i="17"/>
  <c r="M856" i="17"/>
  <c r="M848" i="17"/>
  <c r="M840" i="17"/>
  <c r="M832" i="17"/>
  <c r="M824" i="17"/>
  <c r="M816" i="17"/>
  <c r="M808" i="17"/>
  <c r="M800" i="17"/>
  <c r="M792" i="17"/>
  <c r="M784" i="17"/>
  <c r="M776" i="17"/>
  <c r="M768" i="17"/>
  <c r="M760" i="17"/>
  <c r="M752" i="17"/>
  <c r="M744" i="17"/>
  <c r="M736" i="17"/>
  <c r="M728" i="17"/>
  <c r="M720" i="17"/>
  <c r="M712" i="17"/>
  <c r="M704" i="17"/>
  <c r="M696" i="17"/>
  <c r="M688" i="17"/>
  <c r="M680" i="17"/>
  <c r="M672" i="17"/>
  <c r="M664" i="17"/>
  <c r="M648" i="17"/>
  <c r="M1319" i="17"/>
  <c r="M1311" i="17"/>
  <c r="M1303" i="17"/>
  <c r="M1295" i="17"/>
  <c r="M1287" i="17"/>
  <c r="M1279" i="17"/>
  <c r="M1271" i="17"/>
  <c r="M1263" i="17"/>
  <c r="M1255" i="17"/>
  <c r="M1247" i="17"/>
  <c r="M1239" i="17"/>
  <c r="M1231" i="17"/>
  <c r="M1223" i="17"/>
  <c r="M1215" i="17"/>
  <c r="M1207" i="17"/>
  <c r="M1199" i="17"/>
  <c r="M1191" i="17"/>
  <c r="M1183" i="17"/>
  <c r="M1175" i="17"/>
  <c r="M1167" i="17"/>
  <c r="M1159" i="17"/>
  <c r="M1151" i="17"/>
  <c r="M1143" i="17"/>
  <c r="M1135" i="17"/>
  <c r="M1127" i="17"/>
  <c r="M1119" i="17"/>
  <c r="M1111" i="17"/>
  <c r="M1103" i="17"/>
  <c r="M1095" i="17"/>
  <c r="M1087" i="17"/>
  <c r="M1079" i="17"/>
  <c r="M1071" i="17"/>
  <c r="M1063" i="17"/>
  <c r="M1055" i="17"/>
  <c r="M1047" i="17"/>
  <c r="M1039" i="17"/>
  <c r="M1031" i="17"/>
  <c r="M1023" i="17"/>
  <c r="M1015" i="17"/>
  <c r="M1007" i="17"/>
  <c r="M999" i="17"/>
  <c r="M991" i="17"/>
  <c r="M983" i="17"/>
  <c r="M975" i="17"/>
  <c r="M967" i="17"/>
  <c r="M959" i="17"/>
  <c r="M951" i="17"/>
  <c r="M943" i="17"/>
  <c r="M935" i="17"/>
  <c r="M927" i="17"/>
  <c r="M919" i="17"/>
  <c r="M911" i="17"/>
  <c r="M903" i="17"/>
  <c r="M895" i="17"/>
  <c r="M887" i="17"/>
  <c r="M879" i="17"/>
  <c r="M871" i="17"/>
  <c r="M863" i="17"/>
  <c r="M855" i="17"/>
  <c r="M847" i="17"/>
  <c r="M839" i="17"/>
  <c r="M831" i="17"/>
  <c r="M823" i="17"/>
  <c r="M815" i="17"/>
  <c r="M807" i="17"/>
  <c r="M799" i="17"/>
  <c r="M791" i="17"/>
  <c r="M783" i="17"/>
  <c r="M775" i="17"/>
  <c r="M767" i="17"/>
  <c r="M759" i="17"/>
  <c r="M751" i="17"/>
  <c r="M743" i="17"/>
  <c r="M735" i="17"/>
  <c r="M727" i="17"/>
  <c r="M719" i="17"/>
  <c r="M711" i="17"/>
  <c r="M703" i="17"/>
  <c r="M695" i="17"/>
  <c r="M1318" i="17"/>
  <c r="M1310" i="17"/>
  <c r="M1302" i="17"/>
  <c r="M1294" i="17"/>
  <c r="M1286" i="17"/>
  <c r="M1278" i="17"/>
  <c r="M1270" i="17"/>
  <c r="M1262" i="17"/>
  <c r="M1254" i="17"/>
  <c r="M1246" i="17"/>
  <c r="M1238" i="17"/>
  <c r="M1230" i="17"/>
  <c r="M1222" i="17"/>
  <c r="M1214" i="17"/>
  <c r="M1206" i="17"/>
  <c r="M1198" i="17"/>
  <c r="M1190" i="17"/>
  <c r="M1182" i="17"/>
  <c r="M1174" i="17"/>
  <c r="M1166" i="17"/>
  <c r="M1158" i="17"/>
  <c r="M1150" i="17"/>
  <c r="M1142" i="17"/>
  <c r="M1134" i="17"/>
  <c r="M1126" i="17"/>
  <c r="M1118" i="17"/>
  <c r="M1110" i="17"/>
  <c r="M1102" i="17"/>
  <c r="M1094" i="17"/>
  <c r="M1086" i="17"/>
  <c r="M1078" i="17"/>
  <c r="M1070" i="17"/>
  <c r="M1062" i="17"/>
  <c r="M1054" i="17"/>
  <c r="M1046" i="17"/>
  <c r="M1038" i="17"/>
  <c r="M1030" i="17"/>
  <c r="M1022" i="17"/>
  <c r="M1014" i="17"/>
  <c r="M1006" i="17"/>
  <c r="M998" i="17"/>
  <c r="M990" i="17"/>
  <c r="M982" i="17"/>
  <c r="M974" i="17"/>
  <c r="M966" i="17"/>
  <c r="M958" i="17"/>
  <c r="M950" i="17"/>
  <c r="M942" i="17"/>
  <c r="M934" i="17"/>
  <c r="M926" i="17"/>
  <c r="M918" i="17"/>
  <c r="M910" i="17"/>
  <c r="M902" i="17"/>
  <c r="M894" i="17"/>
  <c r="M886" i="17"/>
  <c r="M878" i="17"/>
  <c r="M870" i="17"/>
  <c r="M862" i="17"/>
  <c r="M854" i="17"/>
  <c r="M846" i="17"/>
  <c r="M838" i="17"/>
  <c r="M830" i="17"/>
  <c r="M822" i="17"/>
  <c r="M814" i="17"/>
  <c r="M806" i="17"/>
  <c r="M798" i="17"/>
  <c r="M790" i="17"/>
  <c r="M782" i="17"/>
  <c r="M774" i="17"/>
  <c r="M766" i="17"/>
  <c r="M758" i="17"/>
  <c r="M750" i="17"/>
  <c r="M742" i="17"/>
  <c r="M734" i="17"/>
  <c r="M726" i="17"/>
  <c r="M718" i="17"/>
  <c r="M710" i="17"/>
  <c r="M702" i="17"/>
  <c r="M694" i="17"/>
  <c r="M1317" i="17"/>
  <c r="M1309" i="17"/>
  <c r="M1301" i="17"/>
  <c r="M1293" i="17"/>
  <c r="M1285" i="17"/>
  <c r="M1277" i="17"/>
  <c r="M1269" i="17"/>
  <c r="M1261" i="17"/>
  <c r="M1253" i="17"/>
  <c r="M1245" i="17"/>
  <c r="M1237" i="17"/>
  <c r="M1229" i="17"/>
  <c r="M1221" i="17"/>
  <c r="M1213" i="17"/>
  <c r="M1205" i="17"/>
  <c r="M1197" i="17"/>
  <c r="M1189" i="17"/>
  <c r="M1181" i="17"/>
  <c r="M1173" i="17"/>
  <c r="M1165" i="17"/>
  <c r="M1157" i="17"/>
  <c r="M1149" i="17"/>
  <c r="M1141" i="17"/>
  <c r="M1133" i="17"/>
  <c r="M1125" i="17"/>
  <c r="M1117" i="17"/>
  <c r="M1109" i="17"/>
  <c r="M1101" i="17"/>
  <c r="M1093" i="17"/>
  <c r="M1085" i="17"/>
  <c r="M1077" i="17"/>
  <c r="M1069" i="17"/>
  <c r="M1061" i="17"/>
  <c r="M1053" i="17"/>
  <c r="M1045" i="17"/>
  <c r="M1037" i="17"/>
  <c r="M1029" i="17"/>
  <c r="M1021" i="17"/>
  <c r="M1013" i="17"/>
  <c r="M1005" i="17"/>
  <c r="M997" i="17"/>
  <c r="M989" i="17"/>
  <c r="M981" i="17"/>
  <c r="M973" i="17"/>
  <c r="M965" i="17"/>
  <c r="M957" i="17"/>
  <c r="M949" i="17"/>
  <c r="M941" i="17"/>
  <c r="M933" i="17"/>
  <c r="M925" i="17"/>
  <c r="M917" i="17"/>
  <c r="M909" i="17"/>
  <c r="M901" i="17"/>
  <c r="M893" i="17"/>
  <c r="M885" i="17"/>
  <c r="M877" i="17"/>
  <c r="M869" i="17"/>
  <c r="M861" i="17"/>
  <c r="M853" i="17"/>
  <c r="M845" i="17"/>
  <c r="M837" i="17"/>
  <c r="M829" i="17"/>
  <c r="M821" i="17"/>
  <c r="M813" i="17"/>
  <c r="M805" i="17"/>
  <c r="M797" i="17"/>
  <c r="M789" i="17"/>
  <c r="M781" i="17"/>
  <c r="M773" i="17"/>
  <c r="M765" i="17"/>
  <c r="M757" i="17"/>
  <c r="M749" i="17"/>
  <c r="M741" i="17"/>
  <c r="M733" i="17"/>
  <c r="M725" i="17"/>
  <c r="M717" i="17"/>
  <c r="M709" i="17"/>
  <c r="M701" i="17"/>
  <c r="M693" i="17"/>
  <c r="M685" i="17"/>
  <c r="M677" i="17"/>
  <c r="M669" i="17"/>
  <c r="M1316" i="17"/>
  <c r="M1308" i="17"/>
  <c r="M1300" i="17"/>
  <c r="M1292" i="17"/>
  <c r="M1284" i="17"/>
  <c r="M1276" i="17"/>
  <c r="M1268" i="17"/>
  <c r="M1260" i="17"/>
  <c r="M1252" i="17"/>
  <c r="M1244" i="17"/>
  <c r="M1236" i="17"/>
  <c r="M1228" i="17"/>
  <c r="M1220" i="17"/>
  <c r="M1212" i="17"/>
  <c r="M1204" i="17"/>
  <c r="M1196" i="17"/>
  <c r="M1188" i="17"/>
  <c r="M1180" i="17"/>
  <c r="M1172" i="17"/>
  <c r="M1164" i="17"/>
  <c r="M1156" i="17"/>
  <c r="M1148" i="17"/>
  <c r="M1140" i="17"/>
  <c r="M1132" i="17"/>
  <c r="M1124" i="17"/>
  <c r="M1116" i="17"/>
  <c r="M1108" i="17"/>
  <c r="M1100" i="17"/>
  <c r="M1092" i="17"/>
  <c r="M1084" i="17"/>
  <c r="M1076" i="17"/>
  <c r="M1068" i="17"/>
  <c r="M1060" i="17"/>
  <c r="M1052" i="17"/>
  <c r="M1044" i="17"/>
  <c r="M1036" i="17"/>
  <c r="M1028" i="17"/>
  <c r="M1020" i="17"/>
  <c r="M1012" i="17"/>
  <c r="M1004" i="17"/>
  <c r="M996" i="17"/>
  <c r="M988" i="17"/>
  <c r="M980" i="17"/>
  <c r="M972" i="17"/>
  <c r="M964" i="17"/>
  <c r="M956" i="17"/>
  <c r="M948" i="17"/>
  <c r="M940" i="17"/>
  <c r="M932" i="17"/>
  <c r="M924" i="17"/>
  <c r="M916" i="17"/>
  <c r="M908" i="17"/>
  <c r="M900" i="17"/>
  <c r="M892" i="17"/>
  <c r="M884" i="17"/>
  <c r="M876" i="17"/>
  <c r="M868" i="17"/>
  <c r="M860" i="17"/>
  <c r="M852" i="17"/>
  <c r="M844" i="17"/>
  <c r="M836" i="17"/>
  <c r="M828" i="17"/>
  <c r="M820" i="17"/>
  <c r="M812" i="17"/>
  <c r="M804" i="17"/>
  <c r="M796" i="17"/>
  <c r="M788" i="17"/>
  <c r="M780" i="17"/>
  <c r="M772" i="17"/>
  <c r="M764" i="17"/>
  <c r="M756" i="17"/>
  <c r="M748" i="17"/>
  <c r="M740" i="17"/>
  <c r="M732" i="17"/>
  <c r="M724" i="17"/>
  <c r="M716" i="17"/>
  <c r="M708" i="17"/>
  <c r="M700" i="17"/>
  <c r="M692" i="17"/>
  <c r="M684" i="17"/>
  <c r="M676" i="17"/>
  <c r="M668" i="17"/>
  <c r="M1315" i="17"/>
  <c r="M1307" i="17"/>
  <c r="M1299" i="17"/>
  <c r="M1291" i="17"/>
  <c r="M1283" i="17"/>
  <c r="M1275" i="17"/>
  <c r="M1267" i="17"/>
  <c r="M1259" i="17"/>
  <c r="M1251" i="17"/>
  <c r="M1243" i="17"/>
  <c r="M1235" i="17"/>
  <c r="M1227" i="17"/>
  <c r="M1219" i="17"/>
  <c r="M1211" i="17"/>
  <c r="M1203" i="17"/>
  <c r="M1195" i="17"/>
  <c r="M1187" i="17"/>
  <c r="M1179" i="17"/>
  <c r="M1171" i="17"/>
  <c r="M1163" i="17"/>
  <c r="M1155" i="17"/>
  <c r="M1147" i="17"/>
  <c r="M1139" i="17"/>
  <c r="M1131" i="17"/>
  <c r="M1123" i="17"/>
  <c r="M1115" i="17"/>
  <c r="M1107" i="17"/>
  <c r="M1099" i="17"/>
  <c r="M1091" i="17"/>
  <c r="M1083" i="17"/>
  <c r="M1075" i="17"/>
  <c r="M1067" i="17"/>
  <c r="M1059" i="17"/>
  <c r="M1051" i="17"/>
  <c r="M1043" i="17"/>
  <c r="M1035" i="17"/>
  <c r="M1027" i="17"/>
  <c r="M1019" i="17"/>
  <c r="M1011" i="17"/>
  <c r="M1003" i="17"/>
  <c r="M995" i="17"/>
  <c r="M987" i="17"/>
  <c r="M979" i="17"/>
  <c r="M971" i="17"/>
  <c r="M963" i="17"/>
  <c r="M955" i="17"/>
  <c r="M947" i="17"/>
  <c r="M939" i="17"/>
  <c r="M931" i="17"/>
  <c r="M923" i="17"/>
  <c r="M915" i="17"/>
  <c r="M907" i="17"/>
  <c r="M899" i="17"/>
  <c r="M891" i="17"/>
  <c r="M883" i="17"/>
  <c r="M875" i="17"/>
  <c r="M867" i="17"/>
  <c r="M859" i="17"/>
  <c r="M851" i="17"/>
  <c r="M843" i="17"/>
  <c r="M835" i="17"/>
  <c r="M827" i="17"/>
  <c r="M819" i="17"/>
  <c r="M811" i="17"/>
  <c r="M803" i="17"/>
  <c r="M795" i="17"/>
  <c r="M787" i="17"/>
  <c r="M779" i="17"/>
  <c r="M771" i="17"/>
  <c r="M763" i="17"/>
  <c r="M755" i="17"/>
  <c r="M747" i="17"/>
  <c r="M739" i="17"/>
  <c r="M731" i="17"/>
  <c r="M723" i="17"/>
  <c r="M715" i="17"/>
  <c r="M707" i="17"/>
  <c r="M699" i="17"/>
  <c r="M691" i="17"/>
  <c r="M683" i="17"/>
  <c r="M675" i="17"/>
  <c r="M667" i="17"/>
  <c r="M2" i="17"/>
  <c r="M1314" i="17"/>
  <c r="M1306" i="17"/>
  <c r="M1298" i="17"/>
  <c r="M1290" i="17"/>
  <c r="M1282" i="17"/>
  <c r="M1274" i="17"/>
  <c r="M1266" i="17"/>
  <c r="M1258" i="17"/>
  <c r="M1250" i="17"/>
  <c r="M1242" i="17"/>
  <c r="M1234" i="17"/>
  <c r="M1226" i="17"/>
  <c r="M1218" i="17"/>
  <c r="M1210" i="17"/>
  <c r="M1202" i="17"/>
  <c r="M1194" i="17"/>
  <c r="M1186" i="17"/>
  <c r="M1178" i="17"/>
  <c r="M1170" i="17"/>
  <c r="M1162" i="17"/>
  <c r="M1154" i="17"/>
  <c r="M1146" i="17"/>
  <c r="M1138" i="17"/>
  <c r="M1130" i="17"/>
  <c r="M1122" i="17"/>
  <c r="M1114" i="17"/>
  <c r="M1106" i="17"/>
  <c r="M1098" i="17"/>
  <c r="M1090" i="17"/>
  <c r="M1082" i="17"/>
  <c r="M1074" i="17"/>
  <c r="M1066" i="17"/>
  <c r="M1058" i="17"/>
  <c r="M1050" i="17"/>
  <c r="M1042" i="17"/>
  <c r="M1034" i="17"/>
  <c r="M1026" i="17"/>
  <c r="M1018" i="17"/>
  <c r="M1010" i="17"/>
  <c r="M1002" i="17"/>
  <c r="M994" i="17"/>
  <c r="M986" i="17"/>
  <c r="M978" i="17"/>
  <c r="M970" i="17"/>
  <c r="M962" i="17"/>
  <c r="M954" i="17"/>
  <c r="M946" i="17"/>
  <c r="M938" i="17"/>
  <c r="M930" i="17"/>
  <c r="M922" i="17"/>
  <c r="M914" i="17"/>
  <c r="M906" i="17"/>
  <c r="M898" i="17"/>
  <c r="M890" i="17"/>
  <c r="M882" i="17"/>
  <c r="M874" i="17"/>
  <c r="M866" i="17"/>
  <c r="M858" i="17"/>
  <c r="M850" i="17"/>
  <c r="M842" i="17"/>
  <c r="M834" i="17"/>
  <c r="M826" i="17"/>
  <c r="M818" i="17"/>
  <c r="M810" i="17"/>
  <c r="M802" i="17"/>
  <c r="M794" i="17"/>
  <c r="M786" i="17"/>
  <c r="M778" i="17"/>
  <c r="M770" i="17"/>
  <c r="M762" i="17"/>
  <c r="M754" i="17"/>
  <c r="M746" i="17"/>
  <c r="M738" i="17"/>
  <c r="M730" i="17"/>
  <c r="M722" i="17"/>
  <c r="M714" i="17"/>
  <c r="M706" i="17"/>
  <c r="M698" i="17"/>
  <c r="M690" i="17"/>
  <c r="M682" i="17"/>
  <c r="M674" i="17"/>
  <c r="M666" i="17"/>
  <c r="M1321" i="17"/>
  <c r="M1313" i="17"/>
  <c r="M1305" i="17"/>
  <c r="M1297" i="17"/>
  <c r="M1289" i="17"/>
  <c r="M1281" i="17"/>
  <c r="M1273" i="17"/>
  <c r="M1265" i="17"/>
  <c r="M1257" i="17"/>
  <c r="M1249" i="17"/>
  <c r="M1241" i="17"/>
  <c r="M1233" i="17"/>
  <c r="M1225" i="17"/>
  <c r="M1217" i="17"/>
  <c r="M1209" i="17"/>
  <c r="M1201" i="17"/>
  <c r="M1193" i="17"/>
  <c r="M1185" i="17"/>
  <c r="M1177" i="17"/>
  <c r="M1169" i="17"/>
  <c r="M1161" i="17"/>
  <c r="M1153" i="17"/>
  <c r="M1145" i="17"/>
  <c r="M1137" i="17"/>
  <c r="M1129" i="17"/>
  <c r="M1121" i="17"/>
  <c r="M1113" i="17"/>
  <c r="M1105" i="17"/>
  <c r="M1097" i="17"/>
  <c r="M1089" i="17"/>
  <c r="M1081" i="17"/>
  <c r="M1073" i="17"/>
  <c r="M1065" i="17"/>
  <c r="M1057" i="17"/>
  <c r="M1049" i="17"/>
  <c r="M1041" i="17"/>
  <c r="M1033" i="17"/>
  <c r="M1025" i="17"/>
  <c r="M1017" i="17"/>
  <c r="M1009" i="17"/>
  <c r="M1001" i="17"/>
  <c r="M993" i="17"/>
  <c r="M985" i="17"/>
  <c r="M977" i="17"/>
  <c r="M969" i="17"/>
  <c r="M961" i="17"/>
  <c r="M953" i="17"/>
  <c r="M945" i="17"/>
  <c r="M937" i="17"/>
  <c r="M929" i="17"/>
  <c r="M921" i="17"/>
  <c r="M913" i="17"/>
  <c r="M905" i="17"/>
  <c r="M897" i="17"/>
  <c r="M889" i="17"/>
  <c r="M881" i="17"/>
  <c r="M873" i="17"/>
  <c r="M865" i="17"/>
  <c r="M857" i="17"/>
  <c r="M849" i="17"/>
  <c r="M841" i="17"/>
  <c r="M833" i="17"/>
  <c r="M825" i="17"/>
  <c r="M817" i="17"/>
  <c r="M809" i="17"/>
  <c r="M801" i="17"/>
  <c r="M793" i="17"/>
  <c r="M785" i="17"/>
  <c r="M777" i="17"/>
  <c r="M769" i="17"/>
  <c r="M761" i="17"/>
  <c r="M753" i="17"/>
  <c r="M745" i="17"/>
  <c r="M737" i="17"/>
  <c r="M729" i="17"/>
  <c r="M721" i="17"/>
  <c r="M713" i="17"/>
  <c r="M705" i="17"/>
  <c r="M697" i="17"/>
  <c r="M689" i="17"/>
  <c r="M640" i="17"/>
  <c r="M632" i="17"/>
  <c r="M624" i="17"/>
  <c r="M616" i="17"/>
  <c r="M608" i="17"/>
  <c r="M600" i="17"/>
  <c r="M592" i="17"/>
  <c r="M584" i="17"/>
  <c r="M576" i="17"/>
  <c r="M568" i="17"/>
  <c r="M560" i="17"/>
  <c r="M552" i="17"/>
  <c r="M544" i="17"/>
  <c r="M536" i="17"/>
  <c r="M528" i="17"/>
  <c r="M520" i="17"/>
  <c r="M512" i="17"/>
  <c r="M504" i="17"/>
  <c r="M496" i="17"/>
  <c r="M488" i="17"/>
  <c r="M480" i="17"/>
  <c r="M472" i="17"/>
  <c r="M464" i="17"/>
  <c r="M456" i="17"/>
  <c r="M448" i="17"/>
  <c r="M440" i="17"/>
  <c r="M432" i="17"/>
  <c r="M424" i="17"/>
  <c r="M416" i="17"/>
  <c r="M408" i="17"/>
  <c r="M400" i="17"/>
  <c r="M392" i="17"/>
  <c r="M384" i="17"/>
  <c r="M376" i="17"/>
  <c r="M368" i="17"/>
  <c r="M360" i="17"/>
  <c r="M352" i="17"/>
  <c r="M344" i="17"/>
  <c r="M336" i="17"/>
  <c r="M328" i="17"/>
  <c r="M320" i="17"/>
  <c r="M312" i="17"/>
  <c r="M304" i="17"/>
  <c r="M296" i="17"/>
  <c r="M288" i="17"/>
  <c r="M280" i="17"/>
  <c r="M272" i="17"/>
  <c r="M264" i="17"/>
  <c r="M256" i="17"/>
  <c r="M248" i="17"/>
  <c r="M240" i="17"/>
  <c r="M232" i="17"/>
  <c r="M224" i="17"/>
  <c r="M216" i="17"/>
  <c r="M208" i="17"/>
  <c r="M200" i="17"/>
  <c r="M192" i="17"/>
  <c r="M184" i="17"/>
  <c r="M176" i="17"/>
  <c r="M168" i="17"/>
  <c r="M160" i="17"/>
  <c r="M152" i="17"/>
  <c r="M144" i="17"/>
  <c r="M136" i="17"/>
  <c r="M128" i="17"/>
  <c r="M120" i="17"/>
  <c r="M112" i="17"/>
  <c r="M104" i="17"/>
  <c r="M96" i="17"/>
  <c r="M88" i="17"/>
  <c r="M80" i="17"/>
  <c r="M72" i="17"/>
  <c r="M64" i="17"/>
  <c r="M56" i="17"/>
  <c r="M48" i="17"/>
  <c r="M40" i="17"/>
  <c r="M32" i="17"/>
  <c r="M24" i="17"/>
  <c r="M16" i="17"/>
  <c r="M8" i="17"/>
  <c r="M687" i="17"/>
  <c r="M679" i="17"/>
  <c r="M671" i="17"/>
  <c r="M663" i="17"/>
  <c r="M647" i="17"/>
  <c r="M639" i="17"/>
  <c r="M631" i="17"/>
  <c r="M623" i="17"/>
  <c r="M615" i="17"/>
  <c r="M607" i="17"/>
  <c r="M599" i="17"/>
  <c r="M591" i="17"/>
  <c r="M583" i="17"/>
  <c r="M575" i="17"/>
  <c r="M567" i="17"/>
  <c r="M559" i="17"/>
  <c r="M551" i="17"/>
  <c r="M543" i="17"/>
  <c r="M535" i="17"/>
  <c r="M527" i="17"/>
  <c r="M519" i="17"/>
  <c r="M511" i="17"/>
  <c r="M503" i="17"/>
  <c r="M495" i="17"/>
  <c r="M487" i="17"/>
  <c r="M479" i="17"/>
  <c r="M471" i="17"/>
  <c r="M463" i="17"/>
  <c r="M455" i="17"/>
  <c r="M447" i="17"/>
  <c r="M439" i="17"/>
  <c r="M431" i="17"/>
  <c r="M423" i="17"/>
  <c r="M415" i="17"/>
  <c r="M407" i="17"/>
  <c r="M399" i="17"/>
  <c r="M391" i="17"/>
  <c r="M383" i="17"/>
  <c r="M375" i="17"/>
  <c r="M367" i="17"/>
  <c r="M359" i="17"/>
  <c r="M351" i="17"/>
  <c r="M343" i="17"/>
  <c r="M335" i="17"/>
  <c r="M327" i="17"/>
  <c r="M319" i="17"/>
  <c r="M311" i="17"/>
  <c r="M303" i="17"/>
  <c r="M295" i="17"/>
  <c r="M287" i="17"/>
  <c r="M279" i="17"/>
  <c r="M271" i="17"/>
  <c r="M263" i="17"/>
  <c r="M255" i="17"/>
  <c r="M247" i="17"/>
  <c r="M239" i="17"/>
  <c r="M231" i="17"/>
  <c r="M223" i="17"/>
  <c r="M215" i="17"/>
  <c r="M207" i="17"/>
  <c r="M199" i="17"/>
  <c r="M191" i="17"/>
  <c r="M183" i="17"/>
  <c r="M175" i="17"/>
  <c r="M167" i="17"/>
  <c r="M159" i="17"/>
  <c r="M151" i="17"/>
  <c r="M143" i="17"/>
  <c r="M135" i="17"/>
  <c r="M127" i="17"/>
  <c r="M119" i="17"/>
  <c r="M111" i="17"/>
  <c r="M103" i="17"/>
  <c r="M95" i="17"/>
  <c r="M87" i="17"/>
  <c r="M79" i="17"/>
  <c r="M71" i="17"/>
  <c r="M63" i="17"/>
  <c r="M55" i="17"/>
  <c r="M47" i="17"/>
  <c r="M39" i="17"/>
  <c r="M31" i="17"/>
  <c r="M23" i="17"/>
  <c r="M15" i="17"/>
  <c r="M7" i="17"/>
  <c r="M686" i="17"/>
  <c r="M678" i="17"/>
  <c r="M670" i="17"/>
  <c r="M662" i="17"/>
  <c r="M646" i="17"/>
  <c r="M638" i="17"/>
  <c r="M630" i="17"/>
  <c r="M622" i="17"/>
  <c r="M614" i="17"/>
  <c r="M606" i="17"/>
  <c r="M598" i="17"/>
  <c r="M590" i="17"/>
  <c r="M582" i="17"/>
  <c r="M574" i="17"/>
  <c r="M566" i="17"/>
  <c r="M558" i="17"/>
  <c r="M550" i="17"/>
  <c r="M542" i="17"/>
  <c r="M534" i="17"/>
  <c r="M526" i="17"/>
  <c r="M518" i="17"/>
  <c r="M510" i="17"/>
  <c r="M502" i="17"/>
  <c r="M494" i="17"/>
  <c r="M486" i="17"/>
  <c r="M478" i="17"/>
  <c r="M470" i="17"/>
  <c r="M462" i="17"/>
  <c r="M454" i="17"/>
  <c r="M446" i="17"/>
  <c r="M438" i="17"/>
  <c r="M430" i="17"/>
  <c r="M422" i="17"/>
  <c r="M414" i="17"/>
  <c r="M406" i="17"/>
  <c r="M398" i="17"/>
  <c r="M390" i="17"/>
  <c r="M382" i="17"/>
  <c r="M374" i="17"/>
  <c r="M366" i="17"/>
  <c r="M358" i="17"/>
  <c r="M350" i="17"/>
  <c r="M342" i="17"/>
  <c r="M334" i="17"/>
  <c r="M326" i="17"/>
  <c r="M318" i="17"/>
  <c r="M310" i="17"/>
  <c r="M302" i="17"/>
  <c r="M294" i="17"/>
  <c r="M286" i="17"/>
  <c r="M278" i="17"/>
  <c r="M270" i="17"/>
  <c r="M262" i="17"/>
  <c r="M254" i="17"/>
  <c r="M246" i="17"/>
  <c r="M238" i="17"/>
  <c r="M230" i="17"/>
  <c r="M222" i="17"/>
  <c r="M214" i="17"/>
  <c r="M206" i="17"/>
  <c r="M198" i="17"/>
  <c r="M190" i="17"/>
  <c r="M182" i="17"/>
  <c r="M174" i="17"/>
  <c r="M166" i="17"/>
  <c r="M158" i="17"/>
  <c r="M150" i="17"/>
  <c r="M142" i="17"/>
  <c r="M134" i="17"/>
  <c r="M126" i="17"/>
  <c r="M118" i="17"/>
  <c r="M110" i="17"/>
  <c r="M102" i="17"/>
  <c r="M94" i="17"/>
  <c r="M86" i="17"/>
  <c r="M78" i="17"/>
  <c r="M70" i="17"/>
  <c r="M62" i="17"/>
  <c r="M54" i="17"/>
  <c r="M46" i="17"/>
  <c r="M38" i="17"/>
  <c r="M30" i="17"/>
  <c r="M22" i="17"/>
  <c r="M14" i="17"/>
  <c r="M6" i="17"/>
  <c r="M645" i="17"/>
  <c r="M637" i="17"/>
  <c r="M629" i="17"/>
  <c r="M621" i="17"/>
  <c r="M613" i="17"/>
  <c r="M605" i="17"/>
  <c r="M597" i="17"/>
  <c r="M589" i="17"/>
  <c r="M581" i="17"/>
  <c r="M573" i="17"/>
  <c r="M565" i="17"/>
  <c r="M557" i="17"/>
  <c r="M549" i="17"/>
  <c r="M541" i="17"/>
  <c r="M533" i="17"/>
  <c r="M525" i="17"/>
  <c r="M517" i="17"/>
  <c r="M509" i="17"/>
  <c r="M501" i="17"/>
  <c r="M493" i="17"/>
  <c r="M485" i="17"/>
  <c r="M477" i="17"/>
  <c r="M469" i="17"/>
  <c r="M461" i="17"/>
  <c r="M453" i="17"/>
  <c r="M445" i="17"/>
  <c r="M437" i="17"/>
  <c r="M429" i="17"/>
  <c r="M421" i="17"/>
  <c r="M413" i="17"/>
  <c r="M405" i="17"/>
  <c r="M397" i="17"/>
  <c r="M389" i="17"/>
  <c r="M381" i="17"/>
  <c r="M373" i="17"/>
  <c r="M365" i="17"/>
  <c r="M357" i="17"/>
  <c r="M349" i="17"/>
  <c r="M341" i="17"/>
  <c r="M333" i="17"/>
  <c r="M325" i="17"/>
  <c r="M317" i="17"/>
  <c r="M309" i="17"/>
  <c r="M301" i="17"/>
  <c r="M293" i="17"/>
  <c r="M285" i="17"/>
  <c r="M277" i="17"/>
  <c r="M269" i="17"/>
  <c r="M261" i="17"/>
  <c r="M253" i="17"/>
  <c r="M245" i="17"/>
  <c r="M237" i="17"/>
  <c r="M229" i="17"/>
  <c r="M221" i="17"/>
  <c r="M213" i="17"/>
  <c r="M205" i="17"/>
  <c r="M197" i="17"/>
  <c r="M189" i="17"/>
  <c r="M181" i="17"/>
  <c r="M173" i="17"/>
  <c r="M165" i="17"/>
  <c r="M157" i="17"/>
  <c r="M149" i="17"/>
  <c r="M141" i="17"/>
  <c r="M133" i="17"/>
  <c r="M125" i="17"/>
  <c r="M117" i="17"/>
  <c r="M109" i="17"/>
  <c r="M101" i="17"/>
  <c r="M93" i="17"/>
  <c r="M85" i="17"/>
  <c r="M77" i="17"/>
  <c r="M69" i="17"/>
  <c r="M61" i="17"/>
  <c r="M53" i="17"/>
  <c r="M45" i="17"/>
  <c r="M37" i="17"/>
  <c r="M29" i="17"/>
  <c r="M21" i="17"/>
  <c r="M13" i="17"/>
  <c r="M5" i="17"/>
  <c r="M644" i="17"/>
  <c r="M636" i="17"/>
  <c r="M628" i="17"/>
  <c r="M620" i="17"/>
  <c r="M612" i="17"/>
  <c r="M604" i="17"/>
  <c r="M596" i="17"/>
  <c r="M588" i="17"/>
  <c r="M580" i="17"/>
  <c r="M572" i="17"/>
  <c r="M564" i="17"/>
  <c r="M556" i="17"/>
  <c r="M548" i="17"/>
  <c r="M540" i="17"/>
  <c r="M532" i="17"/>
  <c r="M524" i="17"/>
  <c r="M516" i="17"/>
  <c r="M508" i="17"/>
  <c r="M500" i="17"/>
  <c r="M492" i="17"/>
  <c r="M484" i="17"/>
  <c r="M476" i="17"/>
  <c r="M468" i="17"/>
  <c r="M460" i="17"/>
  <c r="M452" i="17"/>
  <c r="M444" i="17"/>
  <c r="M436" i="17"/>
  <c r="M428" i="17"/>
  <c r="M420" i="17"/>
  <c r="M412" i="17"/>
  <c r="M404" i="17"/>
  <c r="M396" i="17"/>
  <c r="M388" i="17"/>
  <c r="M380" i="17"/>
  <c r="M372" i="17"/>
  <c r="M364" i="17"/>
  <c r="M356" i="17"/>
  <c r="M348" i="17"/>
  <c r="M340" i="17"/>
  <c r="M332" i="17"/>
  <c r="M324" i="17"/>
  <c r="M316" i="17"/>
  <c r="M308" i="17"/>
  <c r="M300" i="17"/>
  <c r="M292" i="17"/>
  <c r="M284" i="17"/>
  <c r="M276" i="17"/>
  <c r="M268" i="17"/>
  <c r="M260" i="17"/>
  <c r="M252" i="17"/>
  <c r="M244" i="17"/>
  <c r="M236" i="17"/>
  <c r="M228" i="17"/>
  <c r="M220" i="17"/>
  <c r="M212" i="17"/>
  <c r="M204" i="17"/>
  <c r="M196" i="17"/>
  <c r="M188" i="17"/>
  <c r="M180" i="17"/>
  <c r="M172" i="17"/>
  <c r="M164" i="17"/>
  <c r="M156" i="17"/>
  <c r="M148" i="17"/>
  <c r="M140" i="17"/>
  <c r="M132" i="17"/>
  <c r="M124" i="17"/>
  <c r="M116" i="17"/>
  <c r="M108" i="17"/>
  <c r="M100" i="17"/>
  <c r="M92" i="17"/>
  <c r="M84" i="17"/>
  <c r="M76" i="17"/>
  <c r="M68" i="17"/>
  <c r="M60" i="17"/>
  <c r="M52" i="17"/>
  <c r="M44" i="17"/>
  <c r="M36" i="17"/>
  <c r="M28" i="17"/>
  <c r="M20" i="17"/>
  <c r="M12" i="17"/>
  <c r="M4" i="17"/>
  <c r="M643" i="17"/>
  <c r="M635" i="17"/>
  <c r="M627" i="17"/>
  <c r="M619" i="17"/>
  <c r="M611" i="17"/>
  <c r="M603" i="17"/>
  <c r="M595" i="17"/>
  <c r="M587" i="17"/>
  <c r="M579" i="17"/>
  <c r="M571" i="17"/>
  <c r="M563" i="17"/>
  <c r="M555" i="17"/>
  <c r="M547" i="17"/>
  <c r="M539" i="17"/>
  <c r="M531" i="17"/>
  <c r="M523" i="17"/>
  <c r="M515" i="17"/>
  <c r="M507" i="17"/>
  <c r="M499" i="17"/>
  <c r="M491" i="17"/>
  <c r="M483" i="17"/>
  <c r="M475" i="17"/>
  <c r="M467" i="17"/>
  <c r="M459" i="17"/>
  <c r="M451" i="17"/>
  <c r="M443" i="17"/>
  <c r="M435" i="17"/>
  <c r="M427" i="17"/>
  <c r="M419" i="17"/>
  <c r="M411" i="17"/>
  <c r="M403" i="17"/>
  <c r="M395" i="17"/>
  <c r="M387" i="17"/>
  <c r="M379" i="17"/>
  <c r="M371" i="17"/>
  <c r="M363" i="17"/>
  <c r="M355" i="17"/>
  <c r="M347" i="17"/>
  <c r="M339" i="17"/>
  <c r="M331" i="17"/>
  <c r="M323" i="17"/>
  <c r="M315" i="17"/>
  <c r="M307" i="17"/>
  <c r="M299" i="17"/>
  <c r="M291" i="17"/>
  <c r="M283" i="17"/>
  <c r="M275" i="17"/>
  <c r="M267" i="17"/>
  <c r="M259" i="17"/>
  <c r="M251" i="17"/>
  <c r="M243" i="17"/>
  <c r="M235" i="17"/>
  <c r="M227" i="17"/>
  <c r="M219" i="17"/>
  <c r="M211" i="17"/>
  <c r="M203" i="17"/>
  <c r="M195" i="17"/>
  <c r="M187" i="17"/>
  <c r="M179" i="17"/>
  <c r="M171" i="17"/>
  <c r="M163" i="17"/>
  <c r="M155" i="17"/>
  <c r="M147" i="17"/>
  <c r="M139" i="17"/>
  <c r="M131" i="17"/>
  <c r="M123" i="17"/>
  <c r="M115" i="17"/>
  <c r="M107" i="17"/>
  <c r="M99" i="17"/>
  <c r="M91" i="17"/>
  <c r="M83" i="17"/>
  <c r="M75" i="17"/>
  <c r="M67" i="17"/>
  <c r="M59" i="17"/>
  <c r="M51" i="17"/>
  <c r="M43" i="17"/>
  <c r="M35" i="17"/>
  <c r="M27" i="17"/>
  <c r="M19" i="17"/>
  <c r="M11" i="17"/>
  <c r="M3" i="17"/>
  <c r="M642" i="17"/>
  <c r="M634" i="17"/>
  <c r="M626" i="17"/>
  <c r="M618" i="17"/>
  <c r="M610" i="17"/>
  <c r="M602" i="17"/>
  <c r="M594" i="17"/>
  <c r="M586" i="17"/>
  <c r="M578" i="17"/>
  <c r="M570" i="17"/>
  <c r="M562" i="17"/>
  <c r="M554" i="17"/>
  <c r="M546" i="17"/>
  <c r="M538" i="17"/>
  <c r="M530" i="17"/>
  <c r="M522" i="17"/>
  <c r="M514" i="17"/>
  <c r="M506" i="17"/>
  <c r="M498" i="17"/>
  <c r="M490" i="17"/>
  <c r="M482" i="17"/>
  <c r="M474" i="17"/>
  <c r="M466" i="17"/>
  <c r="M458" i="17"/>
  <c r="M450" i="17"/>
  <c r="M442" i="17"/>
  <c r="M434" i="17"/>
  <c r="M426" i="17"/>
  <c r="M418" i="17"/>
  <c r="M410" i="17"/>
  <c r="M402" i="17"/>
  <c r="M394" i="17"/>
  <c r="M386" i="17"/>
  <c r="M378" i="17"/>
  <c r="M370" i="17"/>
  <c r="M362" i="17"/>
  <c r="M354" i="17"/>
  <c r="M346" i="17"/>
  <c r="M338" i="17"/>
  <c r="M330" i="17"/>
  <c r="M322" i="17"/>
  <c r="M314" i="17"/>
  <c r="M306" i="17"/>
  <c r="M298" i="17"/>
  <c r="M290" i="17"/>
  <c r="M282" i="17"/>
  <c r="M274" i="17"/>
  <c r="M266" i="17"/>
  <c r="M258" i="17"/>
  <c r="M250" i="17"/>
  <c r="M242" i="17"/>
  <c r="M234" i="17"/>
  <c r="M226" i="17"/>
  <c r="M218" i="17"/>
  <c r="M210" i="17"/>
  <c r="M202" i="17"/>
  <c r="M194" i="17"/>
  <c r="M186" i="17"/>
  <c r="M178" i="17"/>
  <c r="M170" i="17"/>
  <c r="M162" i="17"/>
  <c r="M154" i="17"/>
  <c r="M146" i="17"/>
  <c r="M138" i="17"/>
  <c r="M130" i="17"/>
  <c r="M122" i="17"/>
  <c r="M114" i="17"/>
  <c r="M106" i="17"/>
  <c r="M98" i="17"/>
  <c r="M90" i="17"/>
  <c r="M82" i="17"/>
  <c r="M74" i="17"/>
  <c r="M66" i="17"/>
  <c r="M58" i="17"/>
  <c r="M50" i="17"/>
  <c r="M42" i="17"/>
  <c r="M34" i="17"/>
  <c r="M26" i="17"/>
  <c r="M18" i="17"/>
  <c r="M10" i="17"/>
  <c r="M681" i="17"/>
  <c r="M673" i="17"/>
  <c r="M665" i="17"/>
  <c r="M649" i="17"/>
  <c r="M641" i="17"/>
  <c r="M633" i="17"/>
  <c r="M625" i="17"/>
  <c r="M617" i="17"/>
  <c r="M609" i="17"/>
  <c r="M601" i="17"/>
  <c r="M593" i="17"/>
  <c r="M585" i="17"/>
  <c r="M577" i="17"/>
  <c r="M569" i="17"/>
  <c r="M561" i="17"/>
  <c r="M553" i="17"/>
  <c r="M545" i="17"/>
  <c r="M537" i="17"/>
  <c r="M529" i="17"/>
  <c r="M521" i="17"/>
  <c r="M513" i="17"/>
  <c r="M505" i="17"/>
  <c r="M497" i="17"/>
  <c r="M489" i="17"/>
  <c r="M481" i="17"/>
  <c r="M473" i="17"/>
  <c r="M465" i="17"/>
  <c r="M457" i="17"/>
  <c r="M449" i="17"/>
  <c r="M441" i="17"/>
  <c r="M433" i="17"/>
  <c r="M425" i="17"/>
  <c r="M417" i="17"/>
  <c r="M409" i="17"/>
  <c r="M401" i="17"/>
  <c r="M393" i="17"/>
  <c r="M385" i="17"/>
  <c r="M377" i="17"/>
  <c r="M369" i="17"/>
  <c r="M361" i="17"/>
  <c r="M353" i="17"/>
  <c r="M345" i="17"/>
  <c r="M337" i="17"/>
  <c r="M329" i="17"/>
  <c r="M321" i="17"/>
  <c r="M313" i="17"/>
  <c r="M305" i="17"/>
  <c r="M297" i="17"/>
  <c r="M289" i="17"/>
  <c r="M281" i="17"/>
  <c r="M273" i="17"/>
  <c r="M265" i="17"/>
  <c r="M257" i="17"/>
  <c r="M249" i="17"/>
  <c r="M241" i="17"/>
  <c r="M233" i="17"/>
  <c r="M225" i="17"/>
  <c r="M217" i="17"/>
  <c r="M209" i="17"/>
  <c r="M201" i="17"/>
  <c r="M193" i="17"/>
  <c r="M185" i="17"/>
  <c r="M177" i="17"/>
  <c r="M169" i="17"/>
  <c r="M161" i="17"/>
  <c r="M153" i="17"/>
  <c r="M145" i="17"/>
  <c r="M137" i="17"/>
  <c r="M129" i="17"/>
  <c r="M121" i="17"/>
  <c r="M113" i="17"/>
  <c r="M105" i="17"/>
  <c r="M97" i="17"/>
  <c r="M89" i="17"/>
  <c r="M81" i="17"/>
  <c r="M73" i="17"/>
  <c r="M65" i="17"/>
  <c r="M57" i="17"/>
  <c r="M49" i="17"/>
  <c r="M41" i="17"/>
  <c r="M33" i="17"/>
  <c r="M25" i="17"/>
  <c r="M17" i="17"/>
  <c r="M9" i="17"/>
  <c r="G640" i="19"/>
  <c r="H640" i="19" s="1"/>
  <c r="G51" i="19"/>
  <c r="H51" i="19" s="1"/>
  <c r="G65" i="19"/>
  <c r="H65" i="19" s="1"/>
  <c r="G110" i="19"/>
  <c r="H110" i="19" s="1"/>
  <c r="G157" i="19"/>
  <c r="G284" i="19"/>
  <c r="H284" i="19" s="1"/>
  <c r="G41" i="19"/>
  <c r="H41" i="19" s="1"/>
  <c r="G173" i="19"/>
  <c r="H173" i="19" s="1"/>
  <c r="G251" i="19"/>
  <c r="H251" i="19" s="1"/>
  <c r="G609" i="19"/>
  <c r="H609" i="19" s="1"/>
  <c r="G49" i="19"/>
  <c r="H49" i="19" s="1"/>
  <c r="G112" i="19"/>
  <c r="H112" i="19" s="1"/>
  <c r="G189" i="19"/>
  <c r="G252" i="19"/>
  <c r="H252" i="19" s="1"/>
  <c r="G290" i="19"/>
  <c r="H290" i="19" s="1"/>
  <c r="G35" i="19"/>
  <c r="H35" i="19" s="1"/>
  <c r="G50" i="19"/>
  <c r="G67" i="19"/>
  <c r="H67" i="19" s="1"/>
  <c r="G113" i="19"/>
  <c r="H113" i="19" s="1"/>
  <c r="G128" i="19"/>
  <c r="H128" i="19" s="1"/>
  <c r="G141" i="19"/>
  <c r="G205" i="19"/>
  <c r="H205" i="19" s="1"/>
  <c r="G212" i="19"/>
  <c r="H212" i="19" s="1"/>
  <c r="G298" i="19"/>
  <c r="H298" i="19" s="1"/>
  <c r="G306" i="19"/>
  <c r="H306" i="19" s="1"/>
  <c r="G342" i="19"/>
  <c r="H342" i="19" s="1"/>
  <c r="G244" i="19"/>
  <c r="G350" i="19"/>
  <c r="H350" i="19" s="1"/>
  <c r="G409" i="19"/>
  <c r="G420" i="19"/>
  <c r="H420" i="19" s="1"/>
  <c r="G448" i="19"/>
  <c r="H448" i="19" s="1"/>
  <c r="G502" i="19"/>
  <c r="H502" i="19" s="1"/>
  <c r="G520" i="19"/>
  <c r="H520" i="19" s="1"/>
  <c r="G527" i="19"/>
  <c r="H527" i="19" s="1"/>
  <c r="G593" i="19"/>
  <c r="M656" i="17"/>
  <c r="M655" i="17"/>
  <c r="G25" i="19"/>
  <c r="H25" i="19" s="1"/>
  <c r="G384" i="19"/>
  <c r="H384" i="19" s="1"/>
  <c r="G417" i="19"/>
  <c r="H417" i="19" s="1"/>
  <c r="G424" i="19"/>
  <c r="H424" i="19" s="1"/>
  <c r="G445" i="19"/>
  <c r="H445" i="19" s="1"/>
  <c r="G452" i="19"/>
  <c r="G528" i="19"/>
  <c r="H528" i="19" s="1"/>
  <c r="M654" i="17"/>
  <c r="G282" i="19"/>
  <c r="H282" i="19" s="1"/>
  <c r="M661" i="17"/>
  <c r="M653" i="17"/>
  <c r="G26" i="19"/>
  <c r="H26" i="19" s="1"/>
  <c r="G75" i="19"/>
  <c r="H75" i="19" s="1"/>
  <c r="G385" i="19"/>
  <c r="H385" i="19" s="1"/>
  <c r="G392" i="19"/>
  <c r="H392" i="19" s="1"/>
  <c r="G407" i="19"/>
  <c r="G432" i="19"/>
  <c r="H432" i="19" s="1"/>
  <c r="G436" i="19"/>
  <c r="H436" i="19" s="1"/>
  <c r="G480" i="19"/>
  <c r="H480" i="19" s="1"/>
  <c r="G504" i="19"/>
  <c r="H504" i="19" s="1"/>
  <c r="G508" i="19"/>
  <c r="H508" i="19" s="1"/>
  <c r="G518" i="19"/>
  <c r="H518" i="19" s="1"/>
  <c r="G529" i="19"/>
  <c r="H529" i="19" s="1"/>
  <c r="G544" i="19"/>
  <c r="G552" i="19"/>
  <c r="H552" i="19" s="1"/>
  <c r="M660" i="17"/>
  <c r="M652" i="17"/>
  <c r="G453" i="19"/>
  <c r="H453" i="19" s="1"/>
  <c r="M659" i="17"/>
  <c r="M651" i="17"/>
  <c r="G7" i="19"/>
  <c r="H7" i="19" s="1"/>
  <c r="G11" i="19"/>
  <c r="G33" i="19"/>
  <c r="H33" i="19" s="1"/>
  <c r="G27" i="19"/>
  <c r="H27" i="19" s="1"/>
  <c r="G83" i="19"/>
  <c r="H83" i="19" s="1"/>
  <c r="G210" i="19"/>
  <c r="H210" i="19" s="1"/>
  <c r="G220" i="19"/>
  <c r="H220" i="19" s="1"/>
  <c r="G250" i="19"/>
  <c r="H250" i="19" s="1"/>
  <c r="G321" i="19"/>
  <c r="H321" i="19" s="1"/>
  <c r="G329" i="19"/>
  <c r="H329" i="19" s="1"/>
  <c r="G553" i="19"/>
  <c r="H553" i="19" s="1"/>
  <c r="G592" i="19"/>
  <c r="H592" i="19" s="1"/>
  <c r="M658" i="17"/>
  <c r="M650" i="17"/>
  <c r="M657" i="17"/>
  <c r="G352" i="19"/>
  <c r="H352" i="19" s="1"/>
  <c r="H512" i="19"/>
  <c r="G576" i="19"/>
  <c r="G601" i="19"/>
  <c r="H601" i="19" s="1"/>
  <c r="G624" i="19"/>
  <c r="H624" i="19" s="1"/>
  <c r="G656" i="19"/>
  <c r="H656" i="19" s="1"/>
  <c r="G58" i="19"/>
  <c r="H58" i="19" s="1"/>
  <c r="G90" i="19"/>
  <c r="H90" i="19" s="1"/>
  <c r="G98" i="19"/>
  <c r="G106" i="19"/>
  <c r="H106" i="19" s="1"/>
  <c r="G125" i="19"/>
  <c r="G149" i="19"/>
  <c r="H149" i="19" s="1"/>
  <c r="G160" i="19"/>
  <c r="H160" i="19" s="1"/>
  <c r="G168" i="19"/>
  <c r="H168" i="19" s="1"/>
  <c r="G219" i="19"/>
  <c r="H219" i="19" s="1"/>
  <c r="G631" i="19"/>
  <c r="H631" i="19" s="1"/>
  <c r="G649" i="19"/>
  <c r="H649" i="19" s="1"/>
  <c r="G227" i="19"/>
  <c r="H227" i="19" s="1"/>
  <c r="G234" i="19"/>
  <c r="G266" i="19"/>
  <c r="H266" i="19" s="1"/>
  <c r="G274" i="19"/>
  <c r="H274" i="19" s="1"/>
  <c r="G292" i="19"/>
  <c r="H292" i="19" s="1"/>
  <c r="G299" i="19"/>
  <c r="H299" i="19" s="1"/>
  <c r="G307" i="19"/>
  <c r="H307" i="19" s="1"/>
  <c r="G314" i="19"/>
  <c r="H314" i="19" s="1"/>
  <c r="G336" i="19"/>
  <c r="H336" i="19" s="1"/>
  <c r="G353" i="19"/>
  <c r="G393" i="19"/>
  <c r="H393" i="19" s="1"/>
  <c r="G400" i="19"/>
  <c r="H400" i="19" s="1"/>
  <c r="G408" i="19"/>
  <c r="H408" i="19" s="1"/>
  <c r="G429" i="19"/>
  <c r="H429" i="19" s="1"/>
  <c r="G464" i="19"/>
  <c r="H464" i="19" s="1"/>
  <c r="G477" i="19"/>
  <c r="H477" i="19" s="1"/>
  <c r="G484" i="19"/>
  <c r="H484" i="19" s="1"/>
  <c r="G577" i="19"/>
  <c r="G657" i="19"/>
  <c r="H657" i="19" s="1"/>
  <c r="G9" i="19"/>
  <c r="H9" i="19" s="1"/>
  <c r="G13" i="19"/>
  <c r="H13" i="19" s="1"/>
  <c r="G17" i="19"/>
  <c r="H17" i="19" s="1"/>
  <c r="G59" i="19"/>
  <c r="H59" i="19" s="1"/>
  <c r="G73" i="19"/>
  <c r="H73" i="19" s="1"/>
  <c r="G91" i="19"/>
  <c r="H91" i="19" s="1"/>
  <c r="G99" i="19"/>
  <c r="G133" i="19"/>
  <c r="H133" i="19" s="1"/>
  <c r="G136" i="19"/>
  <c r="H136" i="19" s="1"/>
  <c r="G165" i="19"/>
  <c r="H165" i="19" s="1"/>
  <c r="G176" i="19"/>
  <c r="H176" i="19" s="1"/>
  <c r="G184" i="19"/>
  <c r="G376" i="19"/>
  <c r="H376" i="19" s="1"/>
  <c r="G437" i="19"/>
  <c r="H437" i="19" s="1"/>
  <c r="G444" i="19"/>
  <c r="G488" i="19"/>
  <c r="H488" i="19" s="1"/>
  <c r="G516" i="19"/>
  <c r="H516" i="19" s="1"/>
  <c r="G523" i="19"/>
  <c r="H523" i="19" s="1"/>
  <c r="G537" i="19"/>
  <c r="H537" i="19" s="1"/>
  <c r="G545" i="19"/>
  <c r="H545" i="19" s="1"/>
  <c r="G560" i="19"/>
  <c r="H560" i="19" s="1"/>
  <c r="G632" i="19"/>
  <c r="H632" i="19" s="1"/>
  <c r="G639" i="19"/>
  <c r="G228" i="19"/>
  <c r="H228" i="19" s="1"/>
  <c r="G235" i="19"/>
  <c r="H235" i="19" s="1"/>
  <c r="G260" i="19"/>
  <c r="H260" i="19" s="1"/>
  <c r="G267" i="19"/>
  <c r="H267" i="19" s="1"/>
  <c r="G300" i="19"/>
  <c r="H300" i="19" s="1"/>
  <c r="G308" i="19"/>
  <c r="H308" i="19" s="1"/>
  <c r="G315" i="19"/>
  <c r="H315" i="19" s="1"/>
  <c r="G337" i="19"/>
  <c r="H337" i="19" s="1"/>
  <c r="G360" i="19"/>
  <c r="H360" i="19" s="1"/>
  <c r="G401" i="19"/>
  <c r="H401" i="19" s="1"/>
  <c r="G461" i="19"/>
  <c r="H461" i="19" s="1"/>
  <c r="G568" i="19"/>
  <c r="H568" i="19" s="1"/>
  <c r="G585" i="19"/>
  <c r="G18" i="19"/>
  <c r="G42" i="19"/>
  <c r="H42" i="19" s="1"/>
  <c r="G81" i="19"/>
  <c r="G104" i="19"/>
  <c r="H104" i="19" s="1"/>
  <c r="G181" i="19"/>
  <c r="H181" i="19" s="1"/>
  <c r="G192" i="19"/>
  <c r="H192" i="19" s="1"/>
  <c r="G200" i="19"/>
  <c r="H200" i="19" s="1"/>
  <c r="G217" i="19"/>
  <c r="H217" i="19" s="1"/>
  <c r="G472" i="19"/>
  <c r="G492" i="19"/>
  <c r="H492" i="19" s="1"/>
  <c r="G496" i="19"/>
  <c r="H496" i="19" s="1"/>
  <c r="G510" i="19"/>
  <c r="H510" i="19" s="1"/>
  <c r="G561" i="19"/>
  <c r="H561" i="19" s="1"/>
  <c r="G600" i="19"/>
  <c r="H600" i="19" s="1"/>
  <c r="G623" i="19"/>
  <c r="H623" i="19" s="1"/>
  <c r="G647" i="19"/>
  <c r="H647" i="19" s="1"/>
  <c r="G655" i="19"/>
  <c r="H655" i="19" s="1"/>
  <c r="G268" i="19"/>
  <c r="H268" i="19" s="1"/>
  <c r="G316" i="19"/>
  <c r="G358" i="19"/>
  <c r="H358" i="19" s="1"/>
  <c r="G361" i="19"/>
  <c r="H361" i="19" s="1"/>
  <c r="G19" i="19"/>
  <c r="H19" i="19" s="1"/>
  <c r="G43" i="19"/>
  <c r="G57" i="19"/>
  <c r="H57" i="19" s="1"/>
  <c r="G89" i="19"/>
  <c r="H89" i="19" s="1"/>
  <c r="G97" i="19"/>
  <c r="H97" i="19" s="1"/>
  <c r="G105" i="19"/>
  <c r="H105" i="19" s="1"/>
  <c r="G116" i="19"/>
  <c r="H116" i="19" s="1"/>
  <c r="G120" i="19"/>
  <c r="H120" i="19" s="1"/>
  <c r="G144" i="19"/>
  <c r="H144" i="19" s="1"/>
  <c r="G152" i="19"/>
  <c r="H152" i="19" s="1"/>
  <c r="G197" i="19"/>
  <c r="H197" i="19" s="1"/>
  <c r="G218" i="19"/>
  <c r="H218" i="19" s="1"/>
  <c r="G258" i="19"/>
  <c r="H258" i="19" s="1"/>
  <c r="G276" i="19"/>
  <c r="H276" i="19" s="1"/>
  <c r="G283" i="19"/>
  <c r="H283" i="19" s="1"/>
  <c r="G320" i="19"/>
  <c r="H320" i="19" s="1"/>
  <c r="G328" i="19"/>
  <c r="H328" i="19" s="1"/>
  <c r="G345" i="19"/>
  <c r="H345" i="19" s="1"/>
  <c r="G368" i="19"/>
  <c r="H368" i="19" s="1"/>
  <c r="G428" i="19"/>
  <c r="H428" i="19" s="1"/>
  <c r="G456" i="19"/>
  <c r="H456" i="19" s="1"/>
  <c r="G469" i="19"/>
  <c r="H469" i="19" s="1"/>
  <c r="G476" i="19"/>
  <c r="H476" i="19" s="1"/>
  <c r="G500" i="19"/>
  <c r="H500" i="19" s="1"/>
  <c r="G648" i="19"/>
  <c r="H648" i="19" s="1"/>
  <c r="N2" i="20"/>
  <c r="N6" i="20"/>
  <c r="N10" i="20"/>
  <c r="N14" i="20"/>
  <c r="N1277" i="20"/>
  <c r="N394" i="20"/>
  <c r="N402" i="20"/>
  <c r="N410" i="20"/>
  <c r="N513" i="20"/>
  <c r="N517" i="20"/>
  <c r="N521" i="20"/>
  <c r="N691" i="20"/>
  <c r="N885" i="20"/>
  <c r="N889" i="20"/>
  <c r="N1224" i="20"/>
  <c r="N972" i="20"/>
  <c r="N280" i="20"/>
  <c r="N391" i="20"/>
  <c r="N403" i="20"/>
  <c r="N407" i="20"/>
  <c r="N704" i="20"/>
  <c r="N708" i="20"/>
  <c r="N756" i="20"/>
  <c r="N1257" i="20"/>
  <c r="N142" i="20"/>
  <c r="N166" i="20"/>
  <c r="N362" i="20"/>
  <c r="N701" i="20"/>
  <c r="N453" i="20"/>
  <c r="N536" i="20"/>
  <c r="N540" i="20"/>
  <c r="N583" i="20"/>
  <c r="N587" i="20"/>
  <c r="N591" i="20"/>
  <c r="N607" i="20"/>
  <c r="N940" i="20"/>
  <c r="N944" i="20"/>
  <c r="N948" i="20"/>
  <c r="N952" i="20"/>
  <c r="N1082" i="20"/>
  <c r="N1247" i="20"/>
  <c r="N1251" i="20"/>
  <c r="N1259" i="20"/>
  <c r="N733" i="20"/>
  <c r="N804" i="20"/>
  <c r="N1002" i="20"/>
  <c r="N1010" i="20"/>
  <c r="N1014" i="20"/>
  <c r="N32" i="20"/>
  <c r="N841" i="20"/>
  <c r="N845" i="20"/>
  <c r="N865" i="20"/>
  <c r="N960" i="20"/>
  <c r="N964" i="20"/>
  <c r="N1031" i="20"/>
  <c r="N1035" i="20"/>
  <c r="N1039" i="20"/>
  <c r="N327" i="20"/>
  <c r="N331" i="20"/>
  <c r="N747" i="20"/>
  <c r="N806" i="20"/>
  <c r="N925" i="20"/>
  <c r="N1205" i="20"/>
  <c r="N1248" i="20"/>
  <c r="N1288" i="20"/>
  <c r="N204" i="20"/>
  <c r="N208" i="20"/>
  <c r="N216" i="20"/>
  <c r="N220" i="20"/>
  <c r="N224" i="20"/>
  <c r="N232" i="20"/>
  <c r="N779" i="20"/>
  <c r="N783" i="20"/>
  <c r="N1036" i="20"/>
  <c r="N1304" i="20"/>
  <c r="N1308" i="20"/>
  <c r="N316" i="20"/>
  <c r="N320" i="20"/>
  <c r="N914" i="20"/>
  <c r="N1147" i="20"/>
  <c r="N54" i="20"/>
  <c r="N78" i="20"/>
  <c r="N233" i="20"/>
  <c r="N249" i="20"/>
  <c r="N257" i="20"/>
  <c r="N1222" i="20"/>
  <c r="N456" i="20"/>
  <c r="N464" i="20"/>
  <c r="N543" i="20"/>
  <c r="N547" i="20"/>
  <c r="N566" i="20"/>
  <c r="N570" i="20"/>
  <c r="N721" i="20"/>
  <c r="N725" i="20"/>
  <c r="N907" i="20"/>
  <c r="N915" i="20"/>
  <c r="N15" i="20"/>
  <c r="N19" i="20"/>
  <c r="N27" i="20"/>
  <c r="N31" i="20"/>
  <c r="N226" i="20"/>
  <c r="N230" i="20"/>
  <c r="N472" i="20"/>
  <c r="N797" i="20"/>
  <c r="N983" i="20"/>
  <c r="N987" i="20"/>
  <c r="N1042" i="20"/>
  <c r="N1050" i="20"/>
  <c r="N1109" i="20"/>
  <c r="N354" i="20"/>
  <c r="N400" i="20"/>
  <c r="N491" i="20"/>
  <c r="N495" i="20"/>
  <c r="N499" i="20"/>
  <c r="N531" i="20"/>
  <c r="N614" i="20"/>
  <c r="N622" i="20"/>
  <c r="N638" i="20"/>
  <c r="N822" i="20"/>
  <c r="N834" i="20"/>
  <c r="N1299" i="20"/>
  <c r="N110" i="20"/>
  <c r="N114" i="20"/>
  <c r="N118" i="20"/>
  <c r="N122" i="20"/>
  <c r="N197" i="20"/>
  <c r="N284" i="20"/>
  <c r="N288" i="20"/>
  <c r="N292" i="20"/>
  <c r="N296" i="20"/>
  <c r="N300" i="20"/>
  <c r="N512" i="20"/>
  <c r="N516" i="20"/>
  <c r="N520" i="20"/>
  <c r="N796" i="20"/>
  <c r="N933" i="20"/>
  <c r="N941" i="20"/>
  <c r="N953" i="20"/>
  <c r="N1011" i="20"/>
  <c r="N1179" i="20"/>
  <c r="N387" i="20"/>
  <c r="N831" i="20"/>
  <c r="N1210" i="20"/>
  <c r="N1292" i="20"/>
  <c r="N1296" i="20"/>
  <c r="N95" i="20"/>
  <c r="N103" i="20"/>
  <c r="N170" i="20"/>
  <c r="N174" i="20"/>
  <c r="N186" i="20"/>
  <c r="N1059" i="20"/>
  <c r="N333" i="20"/>
  <c r="N341" i="20"/>
  <c r="N596" i="20"/>
  <c r="N608" i="20"/>
  <c r="N612" i="20"/>
  <c r="N628" i="20"/>
  <c r="N648" i="20"/>
  <c r="N652" i="20"/>
  <c r="N656" i="20"/>
  <c r="N672" i="20"/>
  <c r="N1238" i="20"/>
  <c r="N1281" i="20"/>
  <c r="N1285" i="20"/>
  <c r="N1297" i="20"/>
  <c r="N302" i="20"/>
  <c r="N306" i="20"/>
  <c r="N357" i="20"/>
  <c r="N565" i="20"/>
  <c r="N943" i="20"/>
  <c r="N251" i="20"/>
  <c r="N255" i="20"/>
  <c r="N259" i="20"/>
  <c r="N263" i="20"/>
  <c r="N267" i="20"/>
  <c r="N271" i="20"/>
  <c r="N322" i="20"/>
  <c r="N534" i="20"/>
  <c r="N562" i="20"/>
  <c r="N802" i="20"/>
  <c r="N817" i="20"/>
  <c r="N908" i="20"/>
  <c r="N990" i="20"/>
  <c r="N1045" i="20"/>
  <c r="N1138" i="20"/>
  <c r="N1189" i="20"/>
  <c r="N1235" i="20"/>
  <c r="N1290" i="20"/>
  <c r="N1017" i="20"/>
  <c r="N1071" i="20"/>
  <c r="N1113" i="20"/>
  <c r="N1117" i="20"/>
  <c r="N1121" i="20"/>
  <c r="N1132" i="20"/>
  <c r="N1163" i="20"/>
  <c r="N1171" i="20"/>
  <c r="N1193" i="20"/>
  <c r="N1215" i="20"/>
  <c r="N1241" i="20"/>
  <c r="N1276" i="20"/>
  <c r="N1314" i="20"/>
  <c r="N107" i="20"/>
  <c r="N123" i="20"/>
  <c r="N127" i="20"/>
  <c r="N135" i="20"/>
  <c r="N139" i="20"/>
  <c r="N252" i="20"/>
  <c r="N272" i="20"/>
  <c r="N368" i="20"/>
  <c r="N376" i="20"/>
  <c r="N434" i="20"/>
  <c r="N438" i="20"/>
  <c r="N442" i="20"/>
  <c r="N461" i="20"/>
  <c r="N465" i="20"/>
  <c r="N484" i="20"/>
  <c r="N597" i="20"/>
  <c r="N613" i="20"/>
  <c r="N617" i="20"/>
  <c r="N621" i="20"/>
  <c r="N625" i="20"/>
  <c r="N629" i="20"/>
  <c r="N641" i="20"/>
  <c r="N695" i="20"/>
  <c r="N784" i="20"/>
  <c r="N803" i="20"/>
  <c r="N1319" i="20"/>
  <c r="N1026" i="20"/>
  <c r="N1030" i="20"/>
  <c r="N1110" i="20"/>
  <c r="N1114" i="20"/>
  <c r="N1118" i="20"/>
  <c r="N1152" i="20"/>
  <c r="N1168" i="20"/>
  <c r="N1172" i="20"/>
  <c r="N1183" i="20"/>
  <c r="N1190" i="20"/>
  <c r="N1234" i="20"/>
  <c r="N1242" i="20"/>
  <c r="N4" i="20"/>
  <c r="N12" i="20"/>
  <c r="N35" i="20"/>
  <c r="N39" i="20"/>
  <c r="N58" i="20"/>
  <c r="N62" i="20"/>
  <c r="N70" i="20"/>
  <c r="N74" i="20"/>
  <c r="N85" i="20"/>
  <c r="N89" i="20"/>
  <c r="N155" i="20"/>
  <c r="N159" i="20"/>
  <c r="N163" i="20"/>
  <c r="N261" i="20"/>
  <c r="N265" i="20"/>
  <c r="N269" i="20"/>
  <c r="N273" i="20"/>
  <c r="N343" i="20"/>
  <c r="N373" i="20"/>
  <c r="N377" i="20"/>
  <c r="N646" i="20"/>
  <c r="N658" i="20"/>
  <c r="N662" i="20"/>
  <c r="N674" i="20"/>
  <c r="N712" i="20"/>
  <c r="N754" i="20"/>
  <c r="N842" i="20"/>
  <c r="N846" i="20"/>
  <c r="N850" i="20"/>
  <c r="N992" i="20"/>
  <c r="N567" i="20"/>
  <c r="N571" i="20"/>
  <c r="N575" i="20"/>
  <c r="N1123" i="20"/>
  <c r="N1165" i="20"/>
  <c r="N1173" i="20"/>
  <c r="N1213" i="20"/>
  <c r="N1232" i="20"/>
  <c r="N5" i="20"/>
  <c r="N9" i="20"/>
  <c r="N36" i="20"/>
  <c r="N55" i="20"/>
  <c r="N63" i="20"/>
  <c r="N133" i="20"/>
  <c r="N305" i="20"/>
  <c r="N340" i="20"/>
  <c r="N482" i="20"/>
  <c r="N611" i="20"/>
  <c r="N639" i="20"/>
  <c r="N643" i="20"/>
  <c r="N651" i="20"/>
  <c r="N694" i="20"/>
  <c r="N751" i="20"/>
  <c r="N755" i="20"/>
  <c r="N759" i="20"/>
  <c r="N763" i="20"/>
  <c r="N794" i="20"/>
  <c r="N823" i="20"/>
  <c r="N843" i="20"/>
  <c r="N862" i="20"/>
  <c r="N17" i="20"/>
  <c r="N98" i="20"/>
  <c r="N141" i="20"/>
  <c r="N168" i="20"/>
  <c r="N176" i="20"/>
  <c r="N282" i="20"/>
  <c r="N286" i="20"/>
  <c r="N317" i="20"/>
  <c r="N325" i="20"/>
  <c r="N348" i="20"/>
  <c r="N352" i="20"/>
  <c r="N356" i="20"/>
  <c r="N413" i="20"/>
  <c r="N421" i="20"/>
  <c r="N429" i="20"/>
  <c r="N467" i="20"/>
  <c r="N475" i="20"/>
  <c r="N479" i="20"/>
  <c r="N502" i="20"/>
  <c r="N549" i="20"/>
  <c r="N553" i="20"/>
  <c r="N557" i="20"/>
  <c r="N679" i="20"/>
  <c r="N740" i="20"/>
  <c r="N808" i="20"/>
  <c r="N812" i="20"/>
  <c r="N824" i="20"/>
  <c r="N832" i="20"/>
  <c r="N959" i="20"/>
  <c r="N963" i="20"/>
  <c r="N1001" i="20"/>
  <c r="N1016" i="20"/>
  <c r="N1062" i="20"/>
  <c r="N1066" i="20"/>
  <c r="N1108" i="20"/>
  <c r="N1116" i="20"/>
  <c r="N1162" i="20"/>
  <c r="N1240" i="20"/>
  <c r="N144" i="20"/>
  <c r="N1022" i="20"/>
  <c r="N53" i="20"/>
  <c r="N46" i="20"/>
  <c r="N239" i="20"/>
  <c r="N893" i="20"/>
  <c r="N897" i="20"/>
  <c r="N901" i="20"/>
  <c r="N912" i="20"/>
  <c r="N957" i="20"/>
  <c r="N994" i="20"/>
  <c r="N1054" i="20"/>
  <c r="N1107" i="20"/>
  <c r="N1177" i="20"/>
  <c r="N1180" i="20"/>
  <c r="N1187" i="20"/>
  <c r="N1274" i="20"/>
  <c r="N43" i="20"/>
  <c r="N77" i="20"/>
  <c r="N81" i="20"/>
  <c r="N99" i="20"/>
  <c r="N126" i="20"/>
  <c r="N130" i="20"/>
  <c r="N134" i="20"/>
  <c r="N152" i="20"/>
  <c r="N175" i="20"/>
  <c r="N179" i="20"/>
  <c r="N190" i="20"/>
  <c r="N198" i="20"/>
  <c r="N221" i="20"/>
  <c r="N240" i="20"/>
  <c r="N309" i="20"/>
  <c r="N313" i="20"/>
  <c r="N328" i="20"/>
  <c r="N380" i="20"/>
  <c r="N384" i="20"/>
  <c r="N388" i="20"/>
  <c r="N395" i="20"/>
  <c r="N418" i="20"/>
  <c r="N468" i="20"/>
  <c r="N532" i="20"/>
  <c r="N580" i="20"/>
  <c r="N610" i="20"/>
  <c r="N632" i="20"/>
  <c r="N636" i="20"/>
  <c r="N644" i="20"/>
  <c r="N655" i="20"/>
  <c r="N659" i="20"/>
  <c r="N663" i="20"/>
  <c r="N667" i="20"/>
  <c r="N682" i="20"/>
  <c r="N686" i="20"/>
  <c r="N700" i="20"/>
  <c r="N748" i="20"/>
  <c r="N782" i="20"/>
  <c r="N829" i="20"/>
  <c r="N833" i="20"/>
  <c r="N870" i="20"/>
  <c r="N874" i="20"/>
  <c r="N878" i="20"/>
  <c r="N905" i="20"/>
  <c r="N934" i="20"/>
  <c r="N946" i="20"/>
  <c r="N961" i="20"/>
  <c r="N976" i="20"/>
  <c r="N980" i="20"/>
  <c r="N1051" i="20"/>
  <c r="N1075" i="20"/>
  <c r="N1079" i="20"/>
  <c r="N1100" i="20"/>
  <c r="N1115" i="20"/>
  <c r="N1214" i="20"/>
  <c r="N1221" i="20"/>
  <c r="N1250" i="20"/>
  <c r="N1261" i="20"/>
  <c r="N1289" i="20"/>
  <c r="N1293" i="20"/>
  <c r="N863" i="20"/>
  <c r="N886" i="20"/>
  <c r="N958" i="20"/>
  <c r="N969" i="20"/>
  <c r="N973" i="20"/>
  <c r="N984" i="20"/>
  <c r="N1027" i="20"/>
  <c r="N1072" i="20"/>
  <c r="N1097" i="20"/>
  <c r="N1104" i="20"/>
  <c r="N1126" i="20"/>
  <c r="N1140" i="20"/>
  <c r="N1144" i="20"/>
  <c r="N1155" i="20"/>
  <c r="N1188" i="20"/>
  <c r="N1229" i="20"/>
  <c r="N1254" i="20"/>
  <c r="N1278" i="20"/>
  <c r="N1312" i="20"/>
  <c r="N21" i="20"/>
  <c r="N25" i="20"/>
  <c r="N29" i="20"/>
  <c r="N48" i="20"/>
  <c r="N51" i="20"/>
  <c r="N82" i="20"/>
  <c r="N180" i="20"/>
  <c r="N187" i="20"/>
  <c r="N210" i="20"/>
  <c r="N214" i="20"/>
  <c r="N237" i="20"/>
  <c r="N241" i="20"/>
  <c r="N329" i="20"/>
  <c r="N385" i="20"/>
  <c r="N389" i="20"/>
  <c r="N396" i="20"/>
  <c r="N423" i="20"/>
  <c r="N427" i="20"/>
  <c r="N431" i="20"/>
  <c r="N790" i="20"/>
  <c r="N75" i="20"/>
  <c r="N90" i="20"/>
  <c r="N112" i="20"/>
  <c r="N120" i="20"/>
  <c r="N359" i="20"/>
  <c r="N366" i="20"/>
  <c r="N443" i="20"/>
  <c r="N454" i="20"/>
  <c r="N458" i="20"/>
  <c r="N473" i="20"/>
  <c r="N492" i="20"/>
  <c r="N496" i="20"/>
  <c r="N522" i="20"/>
  <c r="N551" i="20"/>
  <c r="N555" i="20"/>
  <c r="N585" i="20"/>
  <c r="N593" i="20"/>
  <c r="N619" i="20"/>
  <c r="N676" i="20"/>
  <c r="N723" i="20"/>
  <c r="N761" i="20"/>
  <c r="N787" i="20"/>
  <c r="N791" i="20"/>
  <c r="N815" i="20"/>
  <c r="N819" i="20"/>
  <c r="N853" i="20"/>
  <c r="N910" i="20"/>
  <c r="N955" i="20"/>
  <c r="N970" i="20"/>
  <c r="N1007" i="20"/>
  <c r="N1084" i="20"/>
  <c r="N1091" i="20"/>
  <c r="N1124" i="20"/>
  <c r="N1127" i="20"/>
  <c r="N1134" i="20"/>
  <c r="N1141" i="20"/>
  <c r="N1145" i="20"/>
  <c r="N1156" i="20"/>
  <c r="N1206" i="20"/>
  <c r="N1237" i="20"/>
  <c r="N1255" i="20"/>
  <c r="N1269" i="20"/>
  <c r="N1298" i="20"/>
  <c r="N1309" i="20"/>
  <c r="N41" i="20"/>
  <c r="N45" i="20"/>
  <c r="N97" i="20"/>
  <c r="N101" i="20"/>
  <c r="N128" i="20"/>
  <c r="N143" i="20"/>
  <c r="N150" i="20"/>
  <c r="N181" i="20"/>
  <c r="N188" i="20"/>
  <c r="N192" i="20"/>
  <c r="N196" i="20"/>
  <c r="N215" i="20"/>
  <c r="N219" i="20"/>
  <c r="N234" i="20"/>
  <c r="N246" i="20"/>
  <c r="N277" i="20"/>
  <c r="N315" i="20"/>
  <c r="N345" i="20"/>
  <c r="N363" i="20"/>
  <c r="N382" i="20"/>
  <c r="N412" i="20"/>
  <c r="N420" i="20"/>
  <c r="N447" i="20"/>
  <c r="N451" i="20"/>
  <c r="N485" i="20"/>
  <c r="N500" i="20"/>
  <c r="N503" i="20"/>
  <c r="N507" i="20"/>
  <c r="N511" i="20"/>
  <c r="N563" i="20"/>
  <c r="N574" i="20"/>
  <c r="N684" i="20"/>
  <c r="N716" i="20"/>
  <c r="N1209" i="20"/>
  <c r="N1295" i="20"/>
  <c r="N38" i="20"/>
  <c r="N49" i="20"/>
  <c r="N56" i="20"/>
  <c r="N64" i="20"/>
  <c r="N87" i="20"/>
  <c r="N91" i="20"/>
  <c r="N94" i="20"/>
  <c r="N105" i="20"/>
  <c r="N113" i="20"/>
  <c r="N154" i="20"/>
  <c r="N158" i="20"/>
  <c r="N227" i="20"/>
  <c r="N270" i="20"/>
  <c r="N274" i="20"/>
  <c r="N281" i="20"/>
  <c r="N289" i="20"/>
  <c r="N293" i="20"/>
  <c r="N297" i="20"/>
  <c r="N304" i="20"/>
  <c r="N334" i="20"/>
  <c r="N349" i="20"/>
  <c r="N353" i="20"/>
  <c r="N401" i="20"/>
  <c r="N405" i="20"/>
  <c r="N409" i="20"/>
  <c r="N432" i="20"/>
  <c r="N440" i="20"/>
  <c r="N459" i="20"/>
  <c r="N493" i="20"/>
  <c r="N497" i="20"/>
  <c r="N541" i="20"/>
  <c r="N556" i="20"/>
  <c r="N590" i="20"/>
  <c r="N594" i="20"/>
  <c r="N605" i="20"/>
  <c r="N627" i="20"/>
  <c r="N642" i="20"/>
  <c r="N692" i="20"/>
  <c r="N702" i="20"/>
  <c r="N720" i="20"/>
  <c r="N724" i="20"/>
  <c r="N735" i="20"/>
  <c r="N766" i="20"/>
  <c r="N799" i="20"/>
  <c r="N839" i="20"/>
  <c r="N888" i="20"/>
  <c r="N892" i="20"/>
  <c r="N911" i="20"/>
  <c r="N971" i="20"/>
  <c r="N982" i="20"/>
  <c r="N986" i="20"/>
  <c r="N1029" i="20"/>
  <c r="N1040" i="20"/>
  <c r="N1043" i="20"/>
  <c r="N1046" i="20"/>
  <c r="N1060" i="20"/>
  <c r="N1157" i="20"/>
  <c r="N1161" i="20"/>
  <c r="N1176" i="20"/>
  <c r="N1186" i="20"/>
  <c r="N1204" i="20"/>
  <c r="N1231" i="20"/>
  <c r="N1252" i="20"/>
  <c r="N1256" i="20"/>
  <c r="N1284" i="20"/>
  <c r="N1306" i="20"/>
  <c r="N1318" i="20"/>
  <c r="N11" i="20"/>
  <c r="N18" i="20"/>
  <c r="N22" i="20"/>
  <c r="N26" i="20"/>
  <c r="N30" i="20"/>
  <c r="N40" i="20"/>
  <c r="N44" i="20"/>
  <c r="N50" i="20"/>
  <c r="N65" i="20"/>
  <c r="N83" i="20"/>
  <c r="N93" i="20"/>
  <c r="N136" i="20"/>
  <c r="N146" i="20"/>
  <c r="N160" i="20"/>
  <c r="N164" i="20"/>
  <c r="N171" i="20"/>
  <c r="N182" i="20"/>
  <c r="N200" i="20"/>
  <c r="N211" i="20"/>
  <c r="N222" i="20"/>
  <c r="N247" i="20"/>
  <c r="N258" i="20"/>
  <c r="N262" i="20"/>
  <c r="N266" i="20"/>
  <c r="N276" i="20"/>
  <c r="N298" i="20"/>
  <c r="N301" i="20"/>
  <c r="N308" i="20"/>
  <c r="N312" i="20"/>
  <c r="N323" i="20"/>
  <c r="N330" i="20"/>
  <c r="N344" i="20"/>
  <c r="N355" i="20"/>
  <c r="N358" i="20"/>
  <c r="N365" i="20"/>
  <c r="N369" i="20"/>
  <c r="N383" i="20"/>
  <c r="N390" i="20"/>
  <c r="N397" i="20"/>
  <c r="N415" i="20"/>
  <c r="N422" i="20"/>
  <c r="N426" i="20"/>
  <c r="N430" i="20"/>
  <c r="N437" i="20"/>
  <c r="N444" i="20"/>
  <c r="N448" i="20"/>
  <c r="N466" i="20"/>
  <c r="N469" i="20"/>
  <c r="N476" i="20"/>
  <c r="N504" i="20"/>
  <c r="N508" i="20"/>
  <c r="N523" i="20"/>
  <c r="N537" i="20"/>
  <c r="N577" i="20"/>
  <c r="N821" i="20"/>
  <c r="N1099" i="20"/>
  <c r="N102" i="20"/>
  <c r="N147" i="20"/>
  <c r="N165" i="20"/>
  <c r="N172" i="20"/>
  <c r="N183" i="20"/>
  <c r="N194" i="20"/>
  <c r="N201" i="20"/>
  <c r="N212" i="20"/>
  <c r="N445" i="20"/>
  <c r="N449" i="20"/>
  <c r="N470" i="20"/>
  <c r="N477" i="20"/>
  <c r="N505" i="20"/>
  <c r="N509" i="20"/>
  <c r="N524" i="20"/>
  <c r="N528" i="20"/>
  <c r="N538" i="20"/>
  <c r="N545" i="20"/>
  <c r="N578" i="20"/>
  <c r="N931" i="20"/>
  <c r="N1006" i="20"/>
  <c r="N13" i="20"/>
  <c r="N20" i="20"/>
  <c r="N28" i="20"/>
  <c r="N42" i="20"/>
  <c r="N52" i="20"/>
  <c r="N67" i="20"/>
  <c r="N106" i="20"/>
  <c r="N109" i="20"/>
  <c r="N131" i="20"/>
  <c r="N138" i="20"/>
  <c r="N151" i="20"/>
  <c r="N162" i="20"/>
  <c r="N184" i="20"/>
  <c r="N191" i="20"/>
  <c r="N202" i="20"/>
  <c r="N209" i="20"/>
  <c r="N231" i="20"/>
  <c r="N238" i="20"/>
  <c r="N256" i="20"/>
  <c r="N260" i="20"/>
  <c r="N264" i="20"/>
  <c r="N278" i="20"/>
  <c r="N285" i="20"/>
  <c r="N303" i="20"/>
  <c r="N310" i="20"/>
  <c r="N321" i="20"/>
  <c r="N332" i="20"/>
  <c r="N335" i="20"/>
  <c r="N346" i="20"/>
  <c r="N360" i="20"/>
  <c r="N367" i="20"/>
  <c r="N374" i="20"/>
  <c r="N381" i="20"/>
  <c r="N406" i="20"/>
  <c r="N428" i="20"/>
  <c r="N439" i="20"/>
  <c r="N446" i="20"/>
  <c r="N450" i="20"/>
  <c r="N457" i="20"/>
  <c r="N471" i="20"/>
  <c r="N478" i="20"/>
  <c r="N489" i="20"/>
  <c r="N506" i="20"/>
  <c r="N525" i="20"/>
  <c r="N539" i="20"/>
  <c r="N546" i="20"/>
  <c r="N579" i="20"/>
  <c r="N669" i="20"/>
  <c r="N1087" i="20"/>
  <c r="N1167" i="20"/>
  <c r="N514" i="20"/>
  <c r="N529" i="20"/>
  <c r="N550" i="20"/>
  <c r="N554" i="20"/>
  <c r="N561" i="20"/>
  <c r="N713" i="20"/>
  <c r="N739" i="20"/>
  <c r="N989" i="20"/>
  <c r="N1302" i="20"/>
  <c r="N3" i="20"/>
  <c r="N7" i="20"/>
  <c r="N33" i="20"/>
  <c r="N47" i="20"/>
  <c r="N57" i="20"/>
  <c r="N79" i="20"/>
  <c r="N86" i="20"/>
  <c r="N111" i="20"/>
  <c r="N115" i="20"/>
  <c r="N119" i="20"/>
  <c r="N129" i="20"/>
  <c r="N149" i="20"/>
  <c r="N156" i="20"/>
  <c r="N167" i="20"/>
  <c r="N178" i="20"/>
  <c r="N225" i="20"/>
  <c r="N229" i="20"/>
  <c r="N236" i="20"/>
  <c r="N250" i="20"/>
  <c r="N283" i="20"/>
  <c r="N290" i="20"/>
  <c r="N326" i="20"/>
  <c r="N372" i="20"/>
  <c r="N386" i="20"/>
  <c r="N411" i="20"/>
  <c r="N433" i="20"/>
  <c r="N462" i="20"/>
  <c r="N483" i="20"/>
  <c r="N494" i="20"/>
  <c r="N515" i="20"/>
  <c r="N530" i="20"/>
  <c r="N573" i="20"/>
  <c r="N592" i="20"/>
  <c r="N828" i="20"/>
  <c r="N869" i="20"/>
  <c r="N1019" i="20"/>
  <c r="N1128" i="20"/>
  <c r="N618" i="20"/>
  <c r="N635" i="20"/>
  <c r="N645" i="20"/>
  <c r="N681" i="20"/>
  <c r="N726" i="20"/>
  <c r="N743" i="20"/>
  <c r="N750" i="20"/>
  <c r="N772" i="20"/>
  <c r="N776" i="20"/>
  <c r="N811" i="20"/>
  <c r="N814" i="20"/>
  <c r="N873" i="20"/>
  <c r="N877" i="20"/>
  <c r="N881" i="20"/>
  <c r="N896" i="20"/>
  <c r="N900" i="20"/>
  <c r="N928" i="20"/>
  <c r="N938" i="20"/>
  <c r="N962" i="20"/>
  <c r="N979" i="20"/>
  <c r="N1003" i="20"/>
  <c r="N1013" i="20"/>
  <c r="N1078" i="20"/>
  <c r="N1090" i="20"/>
  <c r="N1106" i="20"/>
  <c r="N1120" i="20"/>
  <c r="N1131" i="20"/>
  <c r="N1192" i="20"/>
  <c r="N1195" i="20"/>
  <c r="N1199" i="20"/>
  <c r="N1203" i="20"/>
  <c r="N1208" i="20"/>
  <c r="N1228" i="20"/>
  <c r="N1244" i="20"/>
  <c r="N1275" i="20"/>
  <c r="N1315" i="20"/>
  <c r="N666" i="20"/>
  <c r="N1196" i="20"/>
  <c r="N1245" i="20"/>
  <c r="N1266" i="20"/>
  <c r="N1282" i="20"/>
  <c r="N544" i="20"/>
  <c r="N548" i="20"/>
  <c r="N559" i="20"/>
  <c r="N601" i="20"/>
  <c r="N609" i="20"/>
  <c r="N626" i="20"/>
  <c r="N637" i="20"/>
  <c r="N640" i="20"/>
  <c r="N650" i="20"/>
  <c r="N664" i="20"/>
  <c r="N715" i="20"/>
  <c r="N728" i="20"/>
  <c r="N731" i="20"/>
  <c r="N745" i="20"/>
  <c r="N765" i="20"/>
  <c r="N768" i="20"/>
  <c r="N801" i="20"/>
  <c r="N851" i="20"/>
  <c r="N861" i="20"/>
  <c r="N871" i="20"/>
  <c r="N875" i="20"/>
  <c r="N883" i="20"/>
  <c r="N898" i="20"/>
  <c r="N919" i="20"/>
  <c r="N926" i="20"/>
  <c r="N930" i="20"/>
  <c r="N936" i="20"/>
  <c r="N950" i="20"/>
  <c r="N977" i="20"/>
  <c r="N1008" i="20"/>
  <c r="N1058" i="20"/>
  <c r="N1076" i="20"/>
  <c r="N1094" i="20"/>
  <c r="N1098" i="20"/>
  <c r="N1101" i="20"/>
  <c r="N1197" i="20"/>
  <c r="N1201" i="20"/>
  <c r="N1260" i="20"/>
  <c r="N1317" i="20"/>
  <c r="N584" i="20"/>
  <c r="N595" i="20"/>
  <c r="N598" i="20"/>
  <c r="N602" i="20"/>
  <c r="N606" i="20"/>
  <c r="N620" i="20"/>
  <c r="N623" i="20"/>
  <c r="N647" i="20"/>
  <c r="N654" i="20"/>
  <c r="N661" i="20"/>
  <c r="N668" i="20"/>
  <c r="N697" i="20"/>
  <c r="N706" i="20"/>
  <c r="N738" i="20"/>
  <c r="N758" i="20"/>
  <c r="N778" i="20"/>
  <c r="N792" i="20"/>
  <c r="N795" i="20"/>
  <c r="N798" i="20"/>
  <c r="N820" i="20"/>
  <c r="N827" i="20"/>
  <c r="N858" i="20"/>
  <c r="N868" i="20"/>
  <c r="N891" i="20"/>
  <c r="N913" i="20"/>
  <c r="N965" i="20"/>
  <c r="N985" i="20"/>
  <c r="N995" i="20"/>
  <c r="N998" i="20"/>
  <c r="N1024" i="20"/>
  <c r="N1028" i="20"/>
  <c r="N1034" i="20"/>
  <c r="N1052" i="20"/>
  <c r="N1064" i="20"/>
  <c r="N1070" i="20"/>
  <c r="N1080" i="20"/>
  <c r="N1083" i="20"/>
  <c r="N1086" i="20"/>
  <c r="N1112" i="20"/>
  <c r="N1122" i="20"/>
  <c r="N1133" i="20"/>
  <c r="N1139" i="20"/>
  <c r="N1149" i="20"/>
  <c r="N1169" i="20"/>
  <c r="N1175" i="20"/>
  <c r="N1178" i="20"/>
  <c r="N1184" i="20"/>
  <c r="N1212" i="20"/>
  <c r="N1219" i="20"/>
  <c r="N1223" i="20"/>
  <c r="N1236" i="20"/>
  <c r="N1246" i="20"/>
  <c r="N1253" i="20"/>
  <c r="N1267" i="20"/>
  <c r="N1280" i="20"/>
  <c r="N1287" i="20"/>
  <c r="N1291" i="20"/>
  <c r="N1301" i="20"/>
  <c r="N1307" i="20"/>
  <c r="N677" i="20"/>
  <c r="N687" i="20"/>
  <c r="N732" i="20"/>
  <c r="N746" i="20"/>
  <c r="N753" i="20"/>
  <c r="N775" i="20"/>
  <c r="N807" i="20"/>
  <c r="N837" i="20"/>
  <c r="N855" i="20"/>
  <c r="N872" i="20"/>
  <c r="N876" i="20"/>
  <c r="N880" i="20"/>
  <c r="N884" i="20"/>
  <c r="N895" i="20"/>
  <c r="N899" i="20"/>
  <c r="N903" i="20"/>
  <c r="N916" i="20"/>
  <c r="N920" i="20"/>
  <c r="N923" i="20"/>
  <c r="N937" i="20"/>
  <c r="N951" i="20"/>
  <c r="N968" i="20"/>
  <c r="N974" i="20"/>
  <c r="N978" i="20"/>
  <c r="N1009" i="20"/>
  <c r="N1038" i="20"/>
  <c r="N1044" i="20"/>
  <c r="N1055" i="20"/>
  <c r="N1067" i="20"/>
  <c r="N1092" i="20"/>
  <c r="N1095" i="20"/>
  <c r="N1105" i="20"/>
  <c r="N1119" i="20"/>
  <c r="N1125" i="20"/>
  <c r="N1130" i="20"/>
  <c r="N1153" i="20"/>
  <c r="N1159" i="20"/>
  <c r="N1181" i="20"/>
  <c r="N1194" i="20"/>
  <c r="N1207" i="20"/>
  <c r="N1216" i="20"/>
  <c r="N1227" i="20"/>
  <c r="N1243" i="20"/>
  <c r="N1264" i="20"/>
  <c r="N634" i="20"/>
  <c r="N66" i="20"/>
  <c r="N569" i="20"/>
  <c r="N764" i="20"/>
  <c r="N16" i="20"/>
  <c r="N37" i="20"/>
  <c r="N59" i="20"/>
  <c r="N73" i="20"/>
  <c r="N121" i="20"/>
  <c r="N153" i="20"/>
  <c r="N169" i="20"/>
  <c r="N185" i="20"/>
  <c r="N195" i="20"/>
  <c r="N205" i="20"/>
  <c r="N253" i="20"/>
  <c r="N268" i="20"/>
  <c r="N287" i="20"/>
  <c r="N294" i="20"/>
  <c r="N314" i="20"/>
  <c r="N324" i="20"/>
  <c r="N338" i="20"/>
  <c r="N404" i="20"/>
  <c r="N34" i="20"/>
  <c r="N8" i="20"/>
  <c r="N23" i="20"/>
  <c r="N60" i="20"/>
  <c r="N71" i="20"/>
  <c r="N145" i="20"/>
  <c r="N157" i="20"/>
  <c r="N173" i="20"/>
  <c r="N189" i="20"/>
  <c r="N199" i="20"/>
  <c r="N206" i="20"/>
  <c r="N275" i="20"/>
  <c r="N295" i="20"/>
  <c r="N311" i="20"/>
  <c r="N318" i="20"/>
  <c r="N342" i="20"/>
  <c r="N370" i="20"/>
  <c r="N486" i="20"/>
  <c r="N490" i="20"/>
  <c r="N518" i="20"/>
  <c r="N564" i="20"/>
  <c r="N581" i="20"/>
  <c r="N589" i="20"/>
  <c r="N603" i="20"/>
  <c r="N624" i="20"/>
  <c r="N810" i="20"/>
  <c r="N24" i="20"/>
  <c r="N61" i="20"/>
  <c r="N69" i="20"/>
  <c r="N117" i="20"/>
  <c r="N137" i="20"/>
  <c r="N161" i="20"/>
  <c r="N177" i="20"/>
  <c r="N193" i="20"/>
  <c r="N228" i="20"/>
  <c r="N235" i="20"/>
  <c r="N245" i="20"/>
  <c r="N279" i="20"/>
  <c r="N336" i="20"/>
  <c r="N350" i="20"/>
  <c r="N364" i="20"/>
  <c r="N378" i="20"/>
  <c r="N392" i="20"/>
  <c r="N526" i="20"/>
  <c r="N572" i="20"/>
  <c r="N586" i="20"/>
  <c r="N600" i="20"/>
  <c r="N207" i="20"/>
  <c r="N217" i="20"/>
  <c r="N243" i="20"/>
  <c r="N254" i="20"/>
  <c r="N299" i="20"/>
  <c r="N319" i="20"/>
  <c r="N339" i="20"/>
  <c r="N379" i="20"/>
  <c r="N393" i="20"/>
  <c r="N399" i="20"/>
  <c r="N419" i="20"/>
  <c r="N487" i="20"/>
  <c r="N631" i="20"/>
  <c r="N657" i="20"/>
  <c r="N683" i="20"/>
  <c r="N718" i="20"/>
  <c r="N727" i="20"/>
  <c r="N730" i="20"/>
  <c r="N762" i="20"/>
  <c r="N780" i="20"/>
  <c r="N860" i="20"/>
  <c r="N902" i="20"/>
  <c r="N218" i="20"/>
  <c r="N244" i="20"/>
  <c r="N291" i="20"/>
  <c r="N337" i="20"/>
  <c r="N351" i="20"/>
  <c r="N371" i="20"/>
  <c r="N414" i="20"/>
  <c r="N417" i="20"/>
  <c r="N425" i="20"/>
  <c r="N481" i="20"/>
  <c r="N488" i="20"/>
  <c r="N510" i="20"/>
  <c r="N519" i="20"/>
  <c r="N527" i="20"/>
  <c r="N535" i="20"/>
  <c r="N558" i="20"/>
  <c r="N582" i="20"/>
  <c r="N588" i="20"/>
  <c r="N616" i="20"/>
  <c r="N707" i="20"/>
  <c r="N737" i="20"/>
  <c r="N788" i="20"/>
  <c r="N838" i="20"/>
  <c r="N854" i="20"/>
  <c r="N867" i="20"/>
  <c r="N906" i="20"/>
  <c r="N653" i="20"/>
  <c r="N864" i="20"/>
  <c r="N203" i="20"/>
  <c r="N213" i="20"/>
  <c r="N223" i="20"/>
  <c r="N242" i="20"/>
  <c r="N248" i="20"/>
  <c r="N307" i="20"/>
  <c r="N347" i="20"/>
  <c r="N361" i="20"/>
  <c r="N375" i="20"/>
  <c r="N398" i="20"/>
  <c r="N435" i="20"/>
  <c r="N441" i="20"/>
  <c r="N455" i="20"/>
  <c r="N463" i="20"/>
  <c r="N474" i="20"/>
  <c r="N480" i="20"/>
  <c r="N498" i="20"/>
  <c r="N542" i="20"/>
  <c r="N560" i="20"/>
  <c r="N630" i="20"/>
  <c r="N671" i="20"/>
  <c r="N696" i="20"/>
  <c r="N711" i="20"/>
  <c r="N714" i="20"/>
  <c r="N767" i="20"/>
  <c r="N770" i="20"/>
  <c r="N786" i="20"/>
  <c r="N836" i="20"/>
  <c r="N966" i="20"/>
  <c r="N690" i="20"/>
  <c r="N752" i="20"/>
  <c r="N760" i="20"/>
  <c r="N830" i="20"/>
  <c r="N882" i="20"/>
  <c r="N981" i="20"/>
  <c r="N991" i="20"/>
  <c r="N1056" i="20"/>
  <c r="N1068" i="20"/>
  <c r="N1160" i="20"/>
  <c r="N1249" i="20"/>
  <c r="N1286" i="20"/>
  <c r="N1313" i="20"/>
  <c r="N660" i="20"/>
  <c r="N680" i="20"/>
  <c r="N685" i="20"/>
  <c r="N688" i="20"/>
  <c r="N705" i="20"/>
  <c r="N710" i="20"/>
  <c r="N719" i="20"/>
  <c r="N722" i="20"/>
  <c r="N736" i="20"/>
  <c r="N744" i="20"/>
  <c r="N749" i="20"/>
  <c r="N771" i="20"/>
  <c r="N774" i="20"/>
  <c r="N777" i="20"/>
  <c r="N785" i="20"/>
  <c r="N793" i="20"/>
  <c r="N809" i="20"/>
  <c r="N813" i="20"/>
  <c r="N818" i="20"/>
  <c r="N835" i="20"/>
  <c r="N849" i="20"/>
  <c r="N859" i="20"/>
  <c r="N866" i="20"/>
  <c r="N879" i="20"/>
  <c r="N909" i="20"/>
  <c r="N918" i="20"/>
  <c r="N921" i="20"/>
  <c r="N939" i="20"/>
  <c r="N942" i="20"/>
  <c r="N954" i="20"/>
  <c r="N997" i="20"/>
  <c r="N1004" i="20"/>
  <c r="N1032" i="20"/>
  <c r="N1164" i="20"/>
  <c r="N1182" i="20"/>
  <c r="N1270" i="20"/>
  <c r="N1283" i="20"/>
  <c r="N670" i="20"/>
  <c r="N675" i="20"/>
  <c r="N678" i="20"/>
  <c r="N693" i="20"/>
  <c r="N698" i="20"/>
  <c r="N703" i="20"/>
  <c r="N729" i="20"/>
  <c r="N769" i="20"/>
  <c r="N856" i="20"/>
  <c r="N1033" i="20"/>
  <c r="N1063" i="20"/>
  <c r="N599" i="20"/>
  <c r="N604" i="20"/>
  <c r="N699" i="20"/>
  <c r="N734" i="20"/>
  <c r="N742" i="20"/>
  <c r="N800" i="20"/>
  <c r="N826" i="20"/>
  <c r="N847" i="20"/>
  <c r="N857" i="20"/>
  <c r="N887" i="20"/>
  <c r="N890" i="20"/>
  <c r="N924" i="20"/>
  <c r="N932" i="20"/>
  <c r="N1037" i="20"/>
  <c r="N1268" i="20"/>
  <c r="N1000" i="20"/>
  <c r="N1111" i="20"/>
  <c r="N1185" i="20"/>
  <c r="N1198" i="20"/>
  <c r="N1220" i="20"/>
  <c r="N1226" i="20"/>
  <c r="N1258" i="20"/>
  <c r="N1294" i="20"/>
  <c r="N1316" i="20"/>
  <c r="N1047" i="20"/>
  <c r="N927" i="20"/>
  <c r="N945" i="20"/>
  <c r="N956" i="20"/>
  <c r="N975" i="20"/>
  <c r="N993" i="20"/>
  <c r="N1012" i="20"/>
  <c r="N1025" i="20"/>
  <c r="N1096" i="20"/>
  <c r="N1191" i="20"/>
  <c r="N1202" i="20"/>
  <c r="N1218" i="20"/>
  <c r="N1230" i="20"/>
  <c r="N1300" i="20"/>
  <c r="N1015" i="20"/>
  <c r="N1018" i="20"/>
  <c r="N1020" i="20"/>
  <c r="N1048" i="20"/>
  <c r="N1074" i="20"/>
  <c r="N1088" i="20"/>
  <c r="N1102" i="20"/>
  <c r="N1129" i="20"/>
  <c r="N1136" i="20"/>
  <c r="N1142" i="20"/>
  <c r="N1148" i="20"/>
  <c r="N1151" i="20"/>
  <c r="N1211" i="20"/>
  <c r="N1262" i="20"/>
  <c r="N1272" i="20"/>
  <c r="N1303" i="20"/>
  <c r="N1310" i="20"/>
  <c r="N1320" i="20"/>
  <c r="N935" i="20"/>
  <c r="N1021" i="20"/>
  <c r="N1023" i="20"/>
  <c r="N1103" i="20"/>
  <c r="N1137" i="20"/>
  <c r="N1143" i="20"/>
  <c r="N1263" i="20"/>
  <c r="N1321" i="20"/>
  <c r="N68" i="20"/>
  <c r="N72" i="20"/>
  <c r="N76" i="20"/>
  <c r="N80" i="20"/>
  <c r="N84" i="20"/>
  <c r="N88" i="20"/>
  <c r="N92" i="20"/>
  <c r="N96" i="20"/>
  <c r="N100" i="20"/>
  <c r="N104" i="20"/>
  <c r="N108" i="20"/>
  <c r="N124" i="20"/>
  <c r="N132" i="20"/>
  <c r="N140" i="20"/>
  <c r="N148" i="20"/>
  <c r="N116" i="20"/>
  <c r="N408" i="20"/>
  <c r="N424" i="20"/>
  <c r="N436" i="20"/>
  <c r="N452" i="20"/>
  <c r="N416" i="20"/>
  <c r="N460" i="20"/>
  <c r="N576" i="20"/>
  <c r="N501" i="20"/>
  <c r="N533" i="20"/>
  <c r="N568" i="20"/>
  <c r="N552" i="20"/>
  <c r="N615" i="20"/>
  <c r="N689" i="20"/>
  <c r="N673" i="20"/>
  <c r="N633" i="20"/>
  <c r="N649" i="20"/>
  <c r="N665" i="20"/>
  <c r="N717" i="20"/>
  <c r="N757" i="20"/>
  <c r="N816" i="20"/>
  <c r="N844" i="20"/>
  <c r="N773" i="20"/>
  <c r="N781" i="20"/>
  <c r="N709" i="20"/>
  <c r="N789" i="20"/>
  <c r="N848" i="20"/>
  <c r="N741" i="20"/>
  <c r="N805" i="20"/>
  <c r="N825" i="20"/>
  <c r="N840" i="20"/>
  <c r="N852" i="20"/>
  <c r="N894" i="20"/>
  <c r="N949" i="20"/>
  <c r="N988" i="20"/>
  <c r="N904" i="20"/>
  <c r="N1005" i="20"/>
  <c r="N967" i="20"/>
  <c r="N996" i="20"/>
  <c r="N1041" i="20"/>
  <c r="N947" i="20"/>
  <c r="N999" i="20"/>
  <c r="N917" i="20"/>
  <c r="N922" i="20"/>
  <c r="N929" i="20"/>
  <c r="N1146" i="20"/>
  <c r="N1154" i="20"/>
  <c r="N1170" i="20"/>
  <c r="N1093" i="20"/>
  <c r="N1135" i="20"/>
  <c r="N1049" i="20"/>
  <c r="N1053" i="20"/>
  <c r="N1057" i="20"/>
  <c r="N1061" i="20"/>
  <c r="N1065" i="20"/>
  <c r="N1069" i="20"/>
  <c r="N1073" i="20"/>
  <c r="N1077" i="20"/>
  <c r="N1081" i="20"/>
  <c r="N1085" i="20"/>
  <c r="N1089" i="20"/>
  <c r="N1271" i="20"/>
  <c r="N1200" i="20"/>
  <c r="N1150" i="20"/>
  <c r="N1158" i="20"/>
  <c r="N1166" i="20"/>
  <c r="N1174" i="20"/>
  <c r="N1217" i="20"/>
  <c r="N1225" i="20"/>
  <c r="N1239" i="20"/>
  <c r="N1265" i="20"/>
  <c r="N1279" i="20"/>
  <c r="N1311" i="20"/>
  <c r="N1233" i="20"/>
  <c r="N1273" i="20"/>
  <c r="N1305" i="20"/>
  <c r="G30" i="19"/>
  <c r="H30" i="19" s="1"/>
  <c r="G48" i="19"/>
  <c r="H48" i="19" s="1"/>
  <c r="G54" i="19"/>
  <c r="H54" i="19" s="1"/>
  <c r="G221" i="19"/>
  <c r="G86" i="19"/>
  <c r="H86" i="19" s="1"/>
  <c r="G16" i="19"/>
  <c r="H16" i="19" s="1"/>
  <c r="G22" i="19"/>
  <c r="H22" i="19" s="1"/>
  <c r="G46" i="19"/>
  <c r="H46" i="19" s="1"/>
  <c r="G135" i="19"/>
  <c r="H135" i="19" s="1"/>
  <c r="G493" i="19"/>
  <c r="H493" i="19" s="1"/>
  <c r="G4" i="19"/>
  <c r="H4" i="19" s="1"/>
  <c r="G94" i="19"/>
  <c r="H94" i="19" s="1"/>
  <c r="G126" i="19"/>
  <c r="H126" i="19" s="1"/>
  <c r="G362" i="19"/>
  <c r="H362" i="19" s="1"/>
  <c r="G56" i="19"/>
  <c r="H56" i="19" s="1"/>
  <c r="G62" i="19"/>
  <c r="H62" i="19" s="1"/>
  <c r="G78" i="19"/>
  <c r="H78" i="19" s="1"/>
  <c r="G20" i="19"/>
  <c r="H20" i="19" s="1"/>
  <c r="G38" i="19"/>
  <c r="H38" i="19" s="1"/>
  <c r="G96" i="19"/>
  <c r="H96" i="19" s="1"/>
  <c r="G102" i="19"/>
  <c r="H102" i="19" s="1"/>
  <c r="G123" i="19"/>
  <c r="H123" i="19" s="1"/>
  <c r="G129" i="19"/>
  <c r="H129" i="19" s="1"/>
  <c r="H141" i="19"/>
  <c r="H157" i="19"/>
  <c r="H189" i="19"/>
  <c r="G208" i="19"/>
  <c r="H208" i="19" s="1"/>
  <c r="G237" i="19"/>
  <c r="H237" i="19" s="1"/>
  <c r="G253" i="19"/>
  <c r="H253" i="19" s="1"/>
  <c r="G269" i="19"/>
  <c r="H269" i="19" s="1"/>
  <c r="G285" i="19"/>
  <c r="H285" i="19" s="1"/>
  <c r="G301" i="19"/>
  <c r="G317" i="19"/>
  <c r="H317" i="19" s="1"/>
  <c r="G359" i="19"/>
  <c r="G418" i="19"/>
  <c r="H418" i="19" s="1"/>
  <c r="G438" i="19"/>
  <c r="H438" i="19" s="1"/>
  <c r="G446" i="19"/>
  <c r="H446" i="19" s="1"/>
  <c r="G454" i="19"/>
  <c r="H454" i="19" s="1"/>
  <c r="G462" i="19"/>
  <c r="H462" i="19" s="1"/>
  <c r="G470" i="19"/>
  <c r="H470" i="19" s="1"/>
  <c r="G478" i="19"/>
  <c r="H478" i="19" s="1"/>
  <c r="G583" i="19"/>
  <c r="G610" i="19"/>
  <c r="H610" i="19" s="1"/>
  <c r="G158" i="19"/>
  <c r="H158" i="19" s="1"/>
  <c r="G174" i="19"/>
  <c r="H174" i="19" s="1"/>
  <c r="G177" i="19"/>
  <c r="H177" i="19" s="1"/>
  <c r="G190" i="19"/>
  <c r="G193" i="19"/>
  <c r="H193" i="19" s="1"/>
  <c r="G206" i="19"/>
  <c r="H206" i="19" s="1"/>
  <c r="G343" i="19"/>
  <c r="H343" i="19" s="1"/>
  <c r="G351" i="19"/>
  <c r="H351" i="19" s="1"/>
  <c r="G374" i="19"/>
  <c r="H374" i="19" s="1"/>
  <c r="G383" i="19"/>
  <c r="H383" i="19" s="1"/>
  <c r="G402" i="19"/>
  <c r="H402" i="19" s="1"/>
  <c r="G412" i="19"/>
  <c r="H412" i="19" s="1"/>
  <c r="G203" i="19"/>
  <c r="H203" i="19" s="1"/>
  <c r="G209" i="19"/>
  <c r="H209" i="19" s="1"/>
  <c r="G225" i="19"/>
  <c r="H225" i="19" s="1"/>
  <c r="G485" i="19"/>
  <c r="G517" i="19"/>
  <c r="G213" i="19"/>
  <c r="H213" i="19" s="1"/>
  <c r="G245" i="19"/>
  <c r="H245" i="19" s="1"/>
  <c r="G261" i="19"/>
  <c r="H261" i="19" s="1"/>
  <c r="G277" i="19"/>
  <c r="H277" i="19" s="1"/>
  <c r="G293" i="19"/>
  <c r="H293" i="19" s="1"/>
  <c r="G309" i="19"/>
  <c r="H309" i="19" s="1"/>
  <c r="G338" i="19"/>
  <c r="H338" i="19" s="1"/>
  <c r="G366" i="19"/>
  <c r="G375" i="19"/>
  <c r="H375" i="19" s="1"/>
  <c r="G396" i="19"/>
  <c r="H396" i="19" s="1"/>
  <c r="G406" i="19"/>
  <c r="H406" i="19" s="1"/>
  <c r="G131" i="19"/>
  <c r="H131" i="19" s="1"/>
  <c r="G137" i="19"/>
  <c r="H137" i="19" s="1"/>
  <c r="G330" i="19"/>
  <c r="H330" i="19" s="1"/>
  <c r="G346" i="19"/>
  <c r="H346" i="19" s="1"/>
  <c r="G378" i="19"/>
  <c r="H378" i="19" s="1"/>
  <c r="G410" i="19"/>
  <c r="H410" i="19" s="1"/>
  <c r="G509" i="19"/>
  <c r="H509" i="19" s="1"/>
  <c r="G150" i="19"/>
  <c r="H150" i="19" s="1"/>
  <c r="G166" i="19"/>
  <c r="H166" i="19" s="1"/>
  <c r="G182" i="19"/>
  <c r="H182" i="19" s="1"/>
  <c r="G185" i="19"/>
  <c r="H185" i="19" s="1"/>
  <c r="G198" i="19"/>
  <c r="H198" i="19" s="1"/>
  <c r="G201" i="19"/>
  <c r="G322" i="19"/>
  <c r="H322" i="19" s="1"/>
  <c r="G367" i="19"/>
  <c r="H367" i="19" s="1"/>
  <c r="G486" i="19"/>
  <c r="H486" i="19" s="1"/>
  <c r="G567" i="19"/>
  <c r="H567" i="19" s="1"/>
  <c r="G650" i="19"/>
  <c r="H650" i="19" s="1"/>
  <c r="G370" i="19"/>
  <c r="G394" i="19"/>
  <c r="H444" i="19"/>
  <c r="H452" i="19"/>
  <c r="H460" i="19"/>
  <c r="H468" i="19"/>
  <c r="G501" i="19"/>
  <c r="H501" i="19" s="1"/>
  <c r="G658" i="19"/>
  <c r="H658" i="19" s="1"/>
  <c r="G5" i="19"/>
  <c r="H5" i="19" s="1"/>
  <c r="G6" i="19"/>
  <c r="H18" i="19"/>
  <c r="G24" i="19"/>
  <c r="G72" i="19"/>
  <c r="H11" i="19"/>
  <c r="G10" i="19"/>
  <c r="H10" i="19" s="1"/>
  <c r="H81" i="19"/>
  <c r="H99" i="19"/>
  <c r="G88" i="19"/>
  <c r="G8" i="19"/>
  <c r="G12" i="19"/>
  <c r="H12" i="19" s="1"/>
  <c r="G64" i="19"/>
  <c r="G109" i="19"/>
  <c r="G3" i="19"/>
  <c r="G15" i="19"/>
  <c r="H15" i="19" s="1"/>
  <c r="H40" i="19"/>
  <c r="H80" i="19"/>
  <c r="G2" i="19"/>
  <c r="G14" i="19"/>
  <c r="H14" i="19" s="1"/>
  <c r="H43" i="19"/>
  <c r="G23" i="19"/>
  <c r="H23" i="19" s="1"/>
  <c r="G28" i="19"/>
  <c r="G21" i="19"/>
  <c r="G29" i="19"/>
  <c r="H29" i="19" s="1"/>
  <c r="G37" i="19"/>
  <c r="G45" i="19"/>
  <c r="H45" i="19" s="1"/>
  <c r="G53" i="19"/>
  <c r="H53" i="19" s="1"/>
  <c r="G61" i="19"/>
  <c r="G69" i="19"/>
  <c r="G77" i="19"/>
  <c r="H77" i="19" s="1"/>
  <c r="G85" i="19"/>
  <c r="H85" i="19" s="1"/>
  <c r="G93" i="19"/>
  <c r="G101" i="19"/>
  <c r="H101" i="19" s="1"/>
  <c r="G36" i="19"/>
  <c r="H36" i="19" s="1"/>
  <c r="G44" i="19"/>
  <c r="G52" i="19"/>
  <c r="G60" i="19"/>
  <c r="G68" i="19"/>
  <c r="H68" i="19" s="1"/>
  <c r="G76" i="19"/>
  <c r="G84" i="19"/>
  <c r="G92" i="19"/>
  <c r="H92" i="19" s="1"/>
  <c r="G100" i="19"/>
  <c r="H100" i="19" s="1"/>
  <c r="G111" i="19"/>
  <c r="G115" i="19"/>
  <c r="G118" i="19"/>
  <c r="H190" i="19"/>
  <c r="G124" i="19"/>
  <c r="G132" i="19"/>
  <c r="H132" i="19" s="1"/>
  <c r="G134" i="19"/>
  <c r="H155" i="19"/>
  <c r="H187" i="19"/>
  <c r="H138" i="19"/>
  <c r="H50" i="19"/>
  <c r="H82" i="19"/>
  <c r="H98" i="19"/>
  <c r="H184" i="19"/>
  <c r="G216" i="19"/>
  <c r="H216" i="19" s="1"/>
  <c r="G114" i="19"/>
  <c r="G122" i="19"/>
  <c r="H122" i="19" s="1"/>
  <c r="G130" i="19"/>
  <c r="H201" i="19"/>
  <c r="G39" i="19"/>
  <c r="G47" i="19"/>
  <c r="G55" i="19"/>
  <c r="G63" i="19"/>
  <c r="H63" i="19" s="1"/>
  <c r="G71" i="19"/>
  <c r="G79" i="19"/>
  <c r="H79" i="19" s="1"/>
  <c r="G87" i="19"/>
  <c r="G95" i="19"/>
  <c r="H95" i="19" s="1"/>
  <c r="G103" i="19"/>
  <c r="H103" i="19" s="1"/>
  <c r="G107" i="19"/>
  <c r="H107" i="19" s="1"/>
  <c r="H125" i="19"/>
  <c r="H147" i="19"/>
  <c r="H179" i="19"/>
  <c r="G108" i="19"/>
  <c r="H108" i="19" s="1"/>
  <c r="G117" i="19"/>
  <c r="G140" i="19"/>
  <c r="H140" i="19" s="1"/>
  <c r="G148" i="19"/>
  <c r="G156" i="19"/>
  <c r="H156" i="19" s="1"/>
  <c r="G164" i="19"/>
  <c r="H164" i="19" s="1"/>
  <c r="G172" i="19"/>
  <c r="H172" i="19" s="1"/>
  <c r="G180" i="19"/>
  <c r="G188" i="19"/>
  <c r="H188" i="19" s="1"/>
  <c r="G196" i="19"/>
  <c r="H196" i="19" s="1"/>
  <c r="G204" i="19"/>
  <c r="H204" i="19" s="1"/>
  <c r="H221" i="19"/>
  <c r="G146" i="19"/>
  <c r="H146" i="19" s="1"/>
  <c r="G154" i="19"/>
  <c r="G162" i="19"/>
  <c r="G170" i="19"/>
  <c r="G178" i="19"/>
  <c r="H178" i="19" s="1"/>
  <c r="G186" i="19"/>
  <c r="G194" i="19"/>
  <c r="H194" i="19" s="1"/>
  <c r="G202" i="19"/>
  <c r="H202" i="19" s="1"/>
  <c r="G224" i="19"/>
  <c r="H244" i="19"/>
  <c r="G145" i="19"/>
  <c r="G153" i="19"/>
  <c r="H153" i="19" s="1"/>
  <c r="G161" i="19"/>
  <c r="H161" i="19" s="1"/>
  <c r="G169" i="19"/>
  <c r="G222" i="19"/>
  <c r="H242" i="19"/>
  <c r="G143" i="19"/>
  <c r="G151" i="19"/>
  <c r="G159" i="19"/>
  <c r="G167" i="19"/>
  <c r="G175" i="19"/>
  <c r="H175" i="19" s="1"/>
  <c r="G183" i="19"/>
  <c r="H183" i="19" s="1"/>
  <c r="G191" i="19"/>
  <c r="H191" i="19" s="1"/>
  <c r="G199" i="19"/>
  <c r="G207" i="19"/>
  <c r="G211" i="19"/>
  <c r="H214" i="19"/>
  <c r="H234" i="19"/>
  <c r="H316" i="19"/>
  <c r="G223" i="19"/>
  <c r="H223" i="19" s="1"/>
  <c r="G232" i="19"/>
  <c r="H232" i="19" s="1"/>
  <c r="G233" i="19"/>
  <c r="G241" i="19"/>
  <c r="G249" i="19"/>
  <c r="G257" i="19"/>
  <c r="G265" i="19"/>
  <c r="H265" i="19" s="1"/>
  <c r="G273" i="19"/>
  <c r="G281" i="19"/>
  <c r="G289" i="19"/>
  <c r="G297" i="19"/>
  <c r="G305" i="19"/>
  <c r="G313" i="19"/>
  <c r="G356" i="19"/>
  <c r="G388" i="19"/>
  <c r="G398" i="19"/>
  <c r="H398" i="19" s="1"/>
  <c r="G240" i="19"/>
  <c r="G248" i="19"/>
  <c r="G256" i="19"/>
  <c r="H256" i="19" s="1"/>
  <c r="G264" i="19"/>
  <c r="H264" i="19" s="1"/>
  <c r="G272" i="19"/>
  <c r="G280" i="19"/>
  <c r="G288" i="19"/>
  <c r="G296" i="19"/>
  <c r="G304" i="19"/>
  <c r="I304" i="19" s="1"/>
  <c r="G312" i="19"/>
  <c r="H353" i="19"/>
  <c r="H415" i="19"/>
  <c r="G231" i="19"/>
  <c r="G239" i="19"/>
  <c r="G247" i="19"/>
  <c r="G255" i="19"/>
  <c r="G263" i="19"/>
  <c r="G271" i="19"/>
  <c r="G279" i="19"/>
  <c r="H279" i="19" s="1"/>
  <c r="G287" i="19"/>
  <c r="G295" i="19"/>
  <c r="G303" i="19"/>
  <c r="G311" i="19"/>
  <c r="G319" i="19"/>
  <c r="G324" i="19"/>
  <c r="G326" i="19"/>
  <c r="G348" i="19"/>
  <c r="G380" i="19"/>
  <c r="G399" i="19"/>
  <c r="G230" i="19"/>
  <c r="G238" i="19"/>
  <c r="G246" i="19"/>
  <c r="H246" i="19" s="1"/>
  <c r="G254" i="19"/>
  <c r="G262" i="19"/>
  <c r="H262" i="19" s="1"/>
  <c r="G270" i="19"/>
  <c r="G278" i="19"/>
  <c r="G286" i="19"/>
  <c r="G294" i="19"/>
  <c r="G302" i="19"/>
  <c r="G310" i="19"/>
  <c r="H310" i="19" s="1"/>
  <c r="G327" i="19"/>
  <c r="G334" i="19"/>
  <c r="H409" i="19"/>
  <c r="G335" i="19"/>
  <c r="G340" i="19"/>
  <c r="G372" i="19"/>
  <c r="G323" i="19"/>
  <c r="G325" i="19"/>
  <c r="H325" i="19" s="1"/>
  <c r="G390" i="19"/>
  <c r="H390" i="19" s="1"/>
  <c r="G331" i="19"/>
  <c r="H331" i="19" s="1"/>
  <c r="G333" i="19"/>
  <c r="H333" i="19" s="1"/>
  <c r="H364" i="19"/>
  <c r="H370" i="19"/>
  <c r="H394" i="19"/>
  <c r="H407" i="19"/>
  <c r="G339" i="19"/>
  <c r="G341" i="19"/>
  <c r="H359" i="19"/>
  <c r="G382" i="19"/>
  <c r="H382" i="19" s="1"/>
  <c r="G391" i="19"/>
  <c r="G349" i="19"/>
  <c r="G357" i="19"/>
  <c r="H357" i="19" s="1"/>
  <c r="G365" i="19"/>
  <c r="H366" i="19"/>
  <c r="G373" i="19"/>
  <c r="G381" i="19"/>
  <c r="H381" i="19" s="1"/>
  <c r="G389" i="19"/>
  <c r="G397" i="19"/>
  <c r="G405" i="19"/>
  <c r="G413" i="19"/>
  <c r="G421" i="19"/>
  <c r="H421" i="19" s="1"/>
  <c r="G427" i="19"/>
  <c r="G425" i="19"/>
  <c r="G347" i="19"/>
  <c r="G355" i="19"/>
  <c r="G363" i="19"/>
  <c r="H363" i="19" s="1"/>
  <c r="G371" i="19"/>
  <c r="G379" i="19"/>
  <c r="G387" i="19"/>
  <c r="G395" i="19"/>
  <c r="G403" i="19"/>
  <c r="H403" i="19" s="1"/>
  <c r="G411" i="19"/>
  <c r="G419" i="19"/>
  <c r="H419" i="19" s="1"/>
  <c r="G423" i="19"/>
  <c r="H485" i="19"/>
  <c r="H517" i="19"/>
  <c r="G433" i="19"/>
  <c r="H440" i="19"/>
  <c r="H472" i="19"/>
  <c r="G416" i="19"/>
  <c r="G422" i="19"/>
  <c r="G426" i="19"/>
  <c r="H426" i="19" s="1"/>
  <c r="G434" i="19"/>
  <c r="H434" i="19" s="1"/>
  <c r="G534" i="19"/>
  <c r="H534" i="19" s="1"/>
  <c r="G542" i="19"/>
  <c r="H542" i="19" s="1"/>
  <c r="G559" i="19"/>
  <c r="G586" i="19"/>
  <c r="G435" i="19"/>
  <c r="G443" i="19"/>
  <c r="H443" i="19" s="1"/>
  <c r="G451" i="19"/>
  <c r="H451" i="19" s="1"/>
  <c r="G459" i="19"/>
  <c r="G467" i="19"/>
  <c r="H467" i="19" s="1"/>
  <c r="G475" i="19"/>
  <c r="G483" i="19"/>
  <c r="H483" i="19" s="1"/>
  <c r="G491" i="19"/>
  <c r="G499" i="19"/>
  <c r="H499" i="19" s="1"/>
  <c r="G507" i="19"/>
  <c r="G515" i="19"/>
  <c r="H515" i="19" s="1"/>
  <c r="G442" i="19"/>
  <c r="G450" i="19"/>
  <c r="H450" i="19" s="1"/>
  <c r="G458" i="19"/>
  <c r="G466" i="19"/>
  <c r="G474" i="19"/>
  <c r="H474" i="19" s="1"/>
  <c r="G482" i="19"/>
  <c r="G490" i="19"/>
  <c r="G498" i="19"/>
  <c r="G506" i="19"/>
  <c r="G514" i="19"/>
  <c r="H514" i="19" s="1"/>
  <c r="G522" i="19"/>
  <c r="G526" i="19"/>
  <c r="G575" i="19"/>
  <c r="G602" i="19"/>
  <c r="H608" i="19"/>
  <c r="G441" i="19"/>
  <c r="G449" i="19"/>
  <c r="G457" i="19"/>
  <c r="G465" i="19"/>
  <c r="G473" i="19"/>
  <c r="G481" i="19"/>
  <c r="G489" i="19"/>
  <c r="G497" i="19"/>
  <c r="G505" i="19"/>
  <c r="G513" i="19"/>
  <c r="H513" i="19" s="1"/>
  <c r="G521" i="19"/>
  <c r="G530" i="19"/>
  <c r="G535" i="19"/>
  <c r="G543" i="19"/>
  <c r="G551" i="19"/>
  <c r="G578" i="19"/>
  <c r="H639" i="19"/>
  <c r="G642" i="19"/>
  <c r="G524" i="19"/>
  <c r="G546" i="19"/>
  <c r="G554" i="19"/>
  <c r="G591" i="19"/>
  <c r="G618" i="19"/>
  <c r="G431" i="19"/>
  <c r="H431" i="19" s="1"/>
  <c r="G439" i="19"/>
  <c r="G447" i="19"/>
  <c r="G455" i="19"/>
  <c r="G463" i="19"/>
  <c r="G471" i="19"/>
  <c r="G479" i="19"/>
  <c r="G487" i="19"/>
  <c r="G495" i="19"/>
  <c r="H495" i="19" s="1"/>
  <c r="G503" i="19"/>
  <c r="G511" i="19"/>
  <c r="H511" i="19" s="1"/>
  <c r="G519" i="19"/>
  <c r="G525" i="19"/>
  <c r="G594" i="19"/>
  <c r="H576" i="19"/>
  <c r="H536" i="19"/>
  <c r="H544" i="19"/>
  <c r="H583" i="19"/>
  <c r="H616" i="19"/>
  <c r="H577" i="19"/>
  <c r="H585" i="19"/>
  <c r="H593" i="19"/>
  <c r="H617" i="19"/>
  <c r="G615" i="19"/>
  <c r="G550" i="19"/>
  <c r="G558" i="19"/>
  <c r="H558" i="19" s="1"/>
  <c r="G566" i="19"/>
  <c r="G574" i="19"/>
  <c r="H574" i="19" s="1"/>
  <c r="G582" i="19"/>
  <c r="H582" i="19" s="1"/>
  <c r="G590" i="19"/>
  <c r="H590" i="19" s="1"/>
  <c r="G598" i="19"/>
  <c r="G606" i="19"/>
  <c r="G614" i="19"/>
  <c r="G622" i="19"/>
  <c r="G630" i="19"/>
  <c r="G638" i="19"/>
  <c r="H638" i="19" s="1"/>
  <c r="G646" i="19"/>
  <c r="G654" i="19"/>
  <c r="H654" i="19" s="1"/>
  <c r="G533" i="19"/>
  <c r="G541" i="19"/>
  <c r="G549" i="19"/>
  <c r="G557" i="19"/>
  <c r="H557" i="19" s="1"/>
  <c r="G565" i="19"/>
  <c r="G573" i="19"/>
  <c r="H573" i="19" s="1"/>
  <c r="G581" i="19"/>
  <c r="G589" i="19"/>
  <c r="G597" i="19"/>
  <c r="G605" i="19"/>
  <c r="H605" i="19" s="1"/>
  <c r="G613" i="19"/>
  <c r="G621" i="19"/>
  <c r="H621" i="19" s="1"/>
  <c r="G629" i="19"/>
  <c r="G637" i="19"/>
  <c r="G645" i="19"/>
  <c r="G653" i="19"/>
  <c r="H653" i="19" s="1"/>
  <c r="G661" i="19"/>
  <c r="H661" i="19" s="1"/>
  <c r="G532" i="19"/>
  <c r="G540" i="19"/>
  <c r="G548" i="19"/>
  <c r="H548" i="19" s="1"/>
  <c r="G556" i="19"/>
  <c r="G564" i="19"/>
  <c r="H564" i="19" s="1"/>
  <c r="G572" i="19"/>
  <c r="G580" i="19"/>
  <c r="G588" i="19"/>
  <c r="G596" i="19"/>
  <c r="G604" i="19"/>
  <c r="G612" i="19"/>
  <c r="H612" i="19" s="1"/>
  <c r="G620" i="19"/>
  <c r="G628" i="19"/>
  <c r="H628" i="19" s="1"/>
  <c r="G636" i="19"/>
  <c r="G644" i="19"/>
  <c r="H644" i="19" s="1"/>
  <c r="G652" i="19"/>
  <c r="G660" i="19"/>
  <c r="G531" i="19"/>
  <c r="H531" i="19" s="1"/>
  <c r="G539" i="19"/>
  <c r="H539" i="19" s="1"/>
  <c r="G547" i="19"/>
  <c r="G555" i="19"/>
  <c r="H555" i="19" s="1"/>
  <c r="G563" i="19"/>
  <c r="G571" i="19"/>
  <c r="G579" i="19"/>
  <c r="G587" i="19"/>
  <c r="G595" i="19"/>
  <c r="G603" i="19"/>
  <c r="G611" i="19"/>
  <c r="G619" i="19"/>
  <c r="H619" i="19" s="1"/>
  <c r="G627" i="19"/>
  <c r="G635" i="19"/>
  <c r="G643" i="19"/>
  <c r="G651" i="19"/>
  <c r="H651" i="19" s="1"/>
  <c r="G659" i="19"/>
  <c r="I301" i="19" l="1"/>
  <c r="I169" i="19"/>
  <c r="I170" i="19"/>
  <c r="I519" i="19"/>
  <c r="I563" i="19"/>
  <c r="I636" i="19"/>
  <c r="I448" i="19"/>
  <c r="I627" i="19"/>
  <c r="I572" i="19"/>
  <c r="I645" i="19"/>
  <c r="I439" i="19"/>
  <c r="I643" i="19"/>
  <c r="I598" i="19"/>
  <c r="I581" i="19"/>
  <c r="I447" i="19"/>
  <c r="I171" i="19"/>
  <c r="I167" i="19"/>
  <c r="I524" i="19"/>
  <c r="H301" i="19"/>
  <c r="I652" i="19"/>
  <c r="I526" i="19"/>
  <c r="I525" i="19"/>
  <c r="I446" i="19"/>
  <c r="I488" i="19"/>
  <c r="J488" i="19" s="1"/>
  <c r="I616" i="19"/>
  <c r="J616" i="19" s="1"/>
  <c r="I650" i="19"/>
  <c r="J650" i="19" s="1"/>
  <c r="I599" i="19"/>
  <c r="I561" i="19"/>
  <c r="I607" i="19"/>
  <c r="I521" i="19"/>
  <c r="I522" i="19"/>
  <c r="I647" i="19"/>
  <c r="J647" i="19" s="1"/>
  <c r="I481" i="19"/>
  <c r="I485" i="19"/>
  <c r="I351" i="19"/>
  <c r="J351" i="19" s="1"/>
  <c r="I476" i="19"/>
  <c r="J476" i="19" s="1"/>
  <c r="I436" i="19"/>
  <c r="I452" i="19"/>
  <c r="J452" i="19" s="1"/>
  <c r="I492" i="19"/>
  <c r="J492" i="19" s="1"/>
  <c r="I392" i="19"/>
  <c r="J392" i="19" s="1"/>
  <c r="I332" i="19"/>
  <c r="J332" i="19" s="1"/>
  <c r="I502" i="19"/>
  <c r="J502" i="19" s="1"/>
  <c r="I417" i="19"/>
  <c r="J417" i="19" s="1"/>
  <c r="I322" i="19"/>
  <c r="I358" i="19"/>
  <c r="I367" i="19"/>
  <c r="I656" i="19"/>
  <c r="I568" i="19"/>
  <c r="J568" i="19" s="1"/>
  <c r="I470" i="19"/>
  <c r="J470" i="19" s="1"/>
  <c r="I407" i="19"/>
  <c r="J407" i="19" s="1"/>
  <c r="H341" i="19"/>
  <c r="I299" i="19"/>
  <c r="J299" i="19" s="1"/>
  <c r="I385" i="19"/>
  <c r="I611" i="19"/>
  <c r="I620" i="19"/>
  <c r="I629" i="19"/>
  <c r="I566" i="19"/>
  <c r="H598" i="19"/>
  <c r="J598" i="19" s="1"/>
  <c r="I395" i="19"/>
  <c r="I396" i="19"/>
  <c r="I361" i="19"/>
  <c r="I510" i="19"/>
  <c r="I297" i="19"/>
  <c r="I547" i="19"/>
  <c r="I556" i="19"/>
  <c r="I565" i="19"/>
  <c r="I400" i="19"/>
  <c r="J400" i="19" s="1"/>
  <c r="I442" i="19"/>
  <c r="I529" i="19"/>
  <c r="J529" i="19" s="1"/>
  <c r="I459" i="19"/>
  <c r="I486" i="19"/>
  <c r="I595" i="19"/>
  <c r="I461" i="19"/>
  <c r="J461" i="19" s="1"/>
  <c r="H473" i="19"/>
  <c r="I516" i="19"/>
  <c r="J516" i="19" s="1"/>
  <c r="H379" i="19"/>
  <c r="I432" i="19"/>
  <c r="I560" i="19"/>
  <c r="I659" i="19"/>
  <c r="I604" i="19"/>
  <c r="I639" i="19"/>
  <c r="I651" i="19"/>
  <c r="J651" i="19" s="1"/>
  <c r="H533" i="19"/>
  <c r="I471" i="19"/>
  <c r="H521" i="19"/>
  <c r="I345" i="19"/>
  <c r="J345" i="19" s="1"/>
  <c r="I406" i="19"/>
  <c r="I630" i="19"/>
  <c r="I531" i="19"/>
  <c r="J531" i="19" s="1"/>
  <c r="I540" i="19"/>
  <c r="I613" i="19"/>
  <c r="I549" i="19"/>
  <c r="I614" i="19"/>
  <c r="I550" i="19"/>
  <c r="I585" i="19"/>
  <c r="H547" i="19"/>
  <c r="J547" i="19" s="1"/>
  <c r="I657" i="19"/>
  <c r="J657" i="19" s="1"/>
  <c r="H613" i="19"/>
  <c r="I503" i="19"/>
  <c r="I593" i="19"/>
  <c r="J593" i="19" s="1"/>
  <c r="I546" i="19"/>
  <c r="H546" i="19"/>
  <c r="I642" i="19"/>
  <c r="H642" i="19"/>
  <c r="I551" i="19"/>
  <c r="H551" i="19"/>
  <c r="I465" i="19"/>
  <c r="I506" i="19"/>
  <c r="I507" i="19"/>
  <c r="I443" i="19"/>
  <c r="H550" i="19"/>
  <c r="I462" i="19"/>
  <c r="J462" i="19" s="1"/>
  <c r="H441" i="19"/>
  <c r="J485" i="19"/>
  <c r="H479" i="19"/>
  <c r="H458" i="19"/>
  <c r="J432" i="19"/>
  <c r="I493" i="19"/>
  <c r="I405" i="19"/>
  <c r="H405" i="19"/>
  <c r="I373" i="19"/>
  <c r="I364" i="19"/>
  <c r="I390" i="19"/>
  <c r="J390" i="19" s="1"/>
  <c r="I343" i="19"/>
  <c r="J343" i="19" s="1"/>
  <c r="I410" i="19"/>
  <c r="I409" i="19"/>
  <c r="I302" i="19"/>
  <c r="H302" i="19"/>
  <c r="I238" i="19"/>
  <c r="H238" i="19"/>
  <c r="I383" i="19"/>
  <c r="I412" i="19"/>
  <c r="I266" i="19"/>
  <c r="I260" i="19"/>
  <c r="I307" i="19"/>
  <c r="J307" i="19" s="1"/>
  <c r="I319" i="19"/>
  <c r="H319" i="19"/>
  <c r="I255" i="19"/>
  <c r="H255" i="19"/>
  <c r="J412" i="19"/>
  <c r="I280" i="19"/>
  <c r="I375" i="19"/>
  <c r="H280" i="19"/>
  <c r="I314" i="19"/>
  <c r="J314" i="19" s="1"/>
  <c r="I251" i="19"/>
  <c r="J251" i="19" s="1"/>
  <c r="I226" i="19"/>
  <c r="J226" i="19" s="1"/>
  <c r="I401" i="19"/>
  <c r="J401" i="19" s="1"/>
  <c r="H326" i="19"/>
  <c r="I285" i="19"/>
  <c r="I199" i="19"/>
  <c r="I210" i="19"/>
  <c r="I267" i="19"/>
  <c r="J267" i="19" s="1"/>
  <c r="H199" i="19"/>
  <c r="I261" i="19"/>
  <c r="I274" i="19"/>
  <c r="J274" i="19" s="1"/>
  <c r="I330" i="19"/>
  <c r="I225" i="19"/>
  <c r="I18" i="19"/>
  <c r="I11" i="19"/>
  <c r="I346" i="19"/>
  <c r="J346" i="19" s="1"/>
  <c r="I587" i="19"/>
  <c r="I660" i="19"/>
  <c r="I596" i="19"/>
  <c r="I532" i="19"/>
  <c r="I605" i="19"/>
  <c r="J605" i="19" s="1"/>
  <c r="I541" i="19"/>
  <c r="I606" i="19"/>
  <c r="I615" i="19"/>
  <c r="J585" i="19"/>
  <c r="I658" i="19"/>
  <c r="J658" i="19" s="1"/>
  <c r="I576" i="19"/>
  <c r="J576" i="19" s="1"/>
  <c r="I495" i="19"/>
  <c r="J495" i="19" s="1"/>
  <c r="I431" i="19"/>
  <c r="J431" i="19" s="1"/>
  <c r="I591" i="19"/>
  <c r="H591" i="19"/>
  <c r="I538" i="19"/>
  <c r="J538" i="19" s="1"/>
  <c r="J639" i="19"/>
  <c r="H606" i="19"/>
  <c r="I457" i="19"/>
  <c r="I608" i="19"/>
  <c r="J608" i="19" s="1"/>
  <c r="I498" i="19"/>
  <c r="H659" i="19"/>
  <c r="J659" i="19" s="1"/>
  <c r="I623" i="19"/>
  <c r="J623" i="19" s="1"/>
  <c r="H581" i="19"/>
  <c r="J581" i="19" s="1"/>
  <c r="I499" i="19"/>
  <c r="J499" i="19" s="1"/>
  <c r="I435" i="19"/>
  <c r="I542" i="19"/>
  <c r="J542" i="19" s="1"/>
  <c r="I518" i="19"/>
  <c r="J518" i="19" s="1"/>
  <c r="H481" i="19"/>
  <c r="I456" i="19"/>
  <c r="J456" i="19" s="1"/>
  <c r="H423" i="19"/>
  <c r="I509" i="19"/>
  <c r="J509" i="19" s="1"/>
  <c r="I387" i="19"/>
  <c r="H455" i="19"/>
  <c r="I425" i="19"/>
  <c r="H425" i="19"/>
  <c r="H439" i="19"/>
  <c r="H391" i="19"/>
  <c r="I391" i="19"/>
  <c r="H387" i="19"/>
  <c r="H349" i="19"/>
  <c r="I334" i="19"/>
  <c r="H334" i="19"/>
  <c r="I294" i="19"/>
  <c r="I230" i="19"/>
  <c r="H230" i="19"/>
  <c r="I311" i="19"/>
  <c r="H311" i="19"/>
  <c r="I247" i="19"/>
  <c r="H247" i="19"/>
  <c r="I353" i="19"/>
  <c r="J353" i="19" s="1"/>
  <c r="I272" i="19"/>
  <c r="I408" i="19"/>
  <c r="J408" i="19" s="1"/>
  <c r="I208" i="19"/>
  <c r="I243" i="19"/>
  <c r="J243" i="19" s="1"/>
  <c r="H272" i="19"/>
  <c r="I306" i="19"/>
  <c r="J306" i="19" s="1"/>
  <c r="I313" i="19"/>
  <c r="H313" i="19"/>
  <c r="I215" i="19"/>
  <c r="I242" i="19"/>
  <c r="I245" i="19"/>
  <c r="I579" i="19"/>
  <c r="I588" i="19"/>
  <c r="I661" i="19"/>
  <c r="J661" i="19" s="1"/>
  <c r="I597" i="19"/>
  <c r="I533" i="19"/>
  <c r="I583" i="19"/>
  <c r="J583" i="19" s="1"/>
  <c r="I544" i="19"/>
  <c r="J544" i="19" s="1"/>
  <c r="I609" i="19"/>
  <c r="I600" i="19"/>
  <c r="J600" i="19" s="1"/>
  <c r="H549" i="19"/>
  <c r="J549" i="19" s="1"/>
  <c r="I487" i="19"/>
  <c r="H588" i="19"/>
  <c r="H597" i="19"/>
  <c r="I545" i="19"/>
  <c r="J545" i="19" s="1"/>
  <c r="I513" i="19"/>
  <c r="I449" i="19"/>
  <c r="I168" i="19"/>
  <c r="J168" i="19" s="1"/>
  <c r="I298" i="19"/>
  <c r="J298" i="19" s="1"/>
  <c r="I602" i="19"/>
  <c r="H602" i="19"/>
  <c r="H540" i="19"/>
  <c r="I490" i="19"/>
  <c r="H652" i="19"/>
  <c r="J652" i="19" s="1"/>
  <c r="H620" i="19"/>
  <c r="J620" i="19" s="1"/>
  <c r="I491" i="19"/>
  <c r="I592" i="19"/>
  <c r="J592" i="19" s="1"/>
  <c r="H490" i="19"/>
  <c r="I454" i="19"/>
  <c r="J454" i="19" s="1"/>
  <c r="H457" i="19"/>
  <c r="I426" i="19"/>
  <c r="J426" i="19" s="1"/>
  <c r="J486" i="19"/>
  <c r="I453" i="19"/>
  <c r="J453" i="19" s="1"/>
  <c r="I416" i="19"/>
  <c r="I494" i="19"/>
  <c r="J494" i="19" s="1"/>
  <c r="J448" i="19"/>
  <c r="I523" i="19"/>
  <c r="J523" i="19" s="1"/>
  <c r="H475" i="19"/>
  <c r="I517" i="19"/>
  <c r="J517" i="19" s="1"/>
  <c r="I379" i="19"/>
  <c r="J379" i="19" s="1"/>
  <c r="I427" i="19"/>
  <c r="H427" i="19"/>
  <c r="I397" i="19"/>
  <c r="I365" i="19"/>
  <c r="H365" i="19"/>
  <c r="I382" i="19"/>
  <c r="I341" i="19"/>
  <c r="I394" i="19"/>
  <c r="J394" i="19" s="1"/>
  <c r="H347" i="19"/>
  <c r="I325" i="19"/>
  <c r="J325" i="19" s="1"/>
  <c r="I291" i="19"/>
  <c r="J291" i="19" s="1"/>
  <c r="I340" i="19"/>
  <c r="H340" i="19"/>
  <c r="J396" i="19"/>
  <c r="I286" i="19"/>
  <c r="H286" i="19"/>
  <c r="I354" i="19"/>
  <c r="J354" i="19" s="1"/>
  <c r="I303" i="19"/>
  <c r="H303" i="19"/>
  <c r="I239" i="19"/>
  <c r="H239" i="19"/>
  <c r="H395" i="19"/>
  <c r="I305" i="19"/>
  <c r="H305" i="19"/>
  <c r="I249" i="19"/>
  <c r="H249" i="19"/>
  <c r="H294" i="19"/>
  <c r="J294" i="19" s="1"/>
  <c r="I119" i="19"/>
  <c r="I220" i="19"/>
  <c r="I635" i="19"/>
  <c r="I571" i="19"/>
  <c r="I644" i="19"/>
  <c r="J644" i="19" s="1"/>
  <c r="I580" i="19"/>
  <c r="I653" i="19"/>
  <c r="J653" i="19" s="1"/>
  <c r="I589" i="19"/>
  <c r="I654" i="19"/>
  <c r="J654" i="19" s="1"/>
  <c r="I590" i="19"/>
  <c r="J590" i="19" s="1"/>
  <c r="H580" i="19"/>
  <c r="I640" i="19"/>
  <c r="J640" i="19" s="1"/>
  <c r="J607" i="19"/>
  <c r="I570" i="19"/>
  <c r="J570" i="19" s="1"/>
  <c r="I594" i="19"/>
  <c r="H594" i="19"/>
  <c r="H541" i="19"/>
  <c r="J541" i="19" s="1"/>
  <c r="I479" i="19"/>
  <c r="I649" i="19"/>
  <c r="J649" i="19" s="1"/>
  <c r="H660" i="19"/>
  <c r="H636" i="19"/>
  <c r="J636" i="19" s="1"/>
  <c r="I543" i="19"/>
  <c r="H543" i="19"/>
  <c r="I505" i="19"/>
  <c r="I441" i="19"/>
  <c r="H587" i="19"/>
  <c r="H532" i="19"/>
  <c r="J532" i="19" s="1"/>
  <c r="I482" i="19"/>
  <c r="H645" i="19"/>
  <c r="H611" i="19"/>
  <c r="J611" i="19" s="1"/>
  <c r="I483" i="19"/>
  <c r="J483" i="19" s="1"/>
  <c r="I655" i="19"/>
  <c r="J655" i="19" s="1"/>
  <c r="I586" i="19"/>
  <c r="H586" i="19"/>
  <c r="I534" i="19"/>
  <c r="J534" i="19" s="1"/>
  <c r="H487" i="19"/>
  <c r="I422" i="19"/>
  <c r="I480" i="19"/>
  <c r="J480" i="19" s="1"/>
  <c r="I520" i="19"/>
  <c r="J520" i="19" s="1"/>
  <c r="I371" i="19"/>
  <c r="H371" i="19"/>
  <c r="H471" i="19"/>
  <c r="J471" i="19" s="1"/>
  <c r="J510" i="19"/>
  <c r="I357" i="19"/>
  <c r="J357" i="19" s="1"/>
  <c r="I414" i="19"/>
  <c r="I333" i="19"/>
  <c r="J333" i="19" s="1"/>
  <c r="I369" i="19"/>
  <c r="J369" i="19" s="1"/>
  <c r="I335" i="19"/>
  <c r="H335" i="19"/>
  <c r="I253" i="19"/>
  <c r="I278" i="19"/>
  <c r="H278" i="19"/>
  <c r="H416" i="19"/>
  <c r="I165" i="19"/>
  <c r="J165" i="19" s="1"/>
  <c r="I241" i="19"/>
  <c r="H241" i="19"/>
  <c r="I386" i="19"/>
  <c r="J386" i="19" s="1"/>
  <c r="I150" i="19"/>
  <c r="J150" i="19" s="1"/>
  <c r="I113" i="19"/>
  <c r="J113" i="19" s="1"/>
  <c r="I65" i="19"/>
  <c r="I646" i="19"/>
  <c r="I582" i="19"/>
  <c r="J582" i="19" s="1"/>
  <c r="J561" i="19"/>
  <c r="H643" i="19"/>
  <c r="J643" i="19" s="1"/>
  <c r="H579" i="19"/>
  <c r="J579" i="19" s="1"/>
  <c r="J533" i="19"/>
  <c r="J656" i="19"/>
  <c r="H627" i="19"/>
  <c r="J627" i="19" s="1"/>
  <c r="I584" i="19"/>
  <c r="J584" i="19" s="1"/>
  <c r="I497" i="19"/>
  <c r="I577" i="19"/>
  <c r="J577" i="19" s="1"/>
  <c r="I474" i="19"/>
  <c r="J474" i="19" s="1"/>
  <c r="I601" i="19"/>
  <c r="J601" i="19" s="1"/>
  <c r="I475" i="19"/>
  <c r="H635" i="19"/>
  <c r="H571" i="19"/>
  <c r="I478" i="19"/>
  <c r="J478" i="19" s="1"/>
  <c r="J513" i="19"/>
  <c r="I512" i="19"/>
  <c r="J512" i="19" s="1"/>
  <c r="I477" i="19"/>
  <c r="J477" i="19" s="1"/>
  <c r="I445" i="19"/>
  <c r="J445" i="19" s="1"/>
  <c r="H459" i="19"/>
  <c r="J459" i="19" s="1"/>
  <c r="I423" i="19"/>
  <c r="I363" i="19"/>
  <c r="J363" i="19" s="1"/>
  <c r="I496" i="19"/>
  <c r="J496" i="19" s="1"/>
  <c r="I468" i="19"/>
  <c r="J468" i="19" s="1"/>
  <c r="H447" i="19"/>
  <c r="J447" i="19" s="1"/>
  <c r="I421" i="19"/>
  <c r="J421" i="19" s="1"/>
  <c r="I389" i="19"/>
  <c r="H389" i="19"/>
  <c r="I349" i="19"/>
  <c r="J361" i="19"/>
  <c r="I339" i="19"/>
  <c r="H373" i="19"/>
  <c r="I420" i="19"/>
  <c r="J420" i="19" s="1"/>
  <c r="I323" i="19"/>
  <c r="J330" i="19"/>
  <c r="I327" i="19"/>
  <c r="H327" i="19"/>
  <c r="I270" i="19"/>
  <c r="H270" i="19"/>
  <c r="H399" i="19"/>
  <c r="I399" i="19"/>
  <c r="I287" i="19"/>
  <c r="H287" i="19"/>
  <c r="J385" i="19"/>
  <c r="I312" i="19"/>
  <c r="H312" i="19"/>
  <c r="I248" i="19"/>
  <c r="H248" i="19"/>
  <c r="I131" i="19"/>
  <c r="J131" i="19" s="1"/>
  <c r="I309" i="19"/>
  <c r="I219" i="19"/>
  <c r="J219" i="19" s="1"/>
  <c r="I177" i="19"/>
  <c r="J177" i="19" s="1"/>
  <c r="I205" i="19"/>
  <c r="J205" i="19" s="1"/>
  <c r="I43" i="19"/>
  <c r="J43" i="19" s="1"/>
  <c r="I35" i="19"/>
  <c r="J35" i="19" s="1"/>
  <c r="I619" i="19"/>
  <c r="J619" i="19" s="1"/>
  <c r="I555" i="19"/>
  <c r="J555" i="19" s="1"/>
  <c r="I628" i="19"/>
  <c r="J628" i="19" s="1"/>
  <c r="I564" i="19"/>
  <c r="J564" i="19" s="1"/>
  <c r="I637" i="19"/>
  <c r="I573" i="19"/>
  <c r="J573" i="19" s="1"/>
  <c r="I638" i="19"/>
  <c r="J638" i="19" s="1"/>
  <c r="I574" i="19"/>
  <c r="J574" i="19" s="1"/>
  <c r="H565" i="19"/>
  <c r="I536" i="19"/>
  <c r="J536" i="19" s="1"/>
  <c r="I634" i="19"/>
  <c r="J634" i="19" s="1"/>
  <c r="H604" i="19"/>
  <c r="H637" i="19"/>
  <c r="I569" i="19"/>
  <c r="J569" i="19" s="1"/>
  <c r="I463" i="19"/>
  <c r="I624" i="19"/>
  <c r="J624" i="19" s="1"/>
  <c r="J560" i="19"/>
  <c r="I578" i="19"/>
  <c r="H578" i="19"/>
  <c r="I537" i="19"/>
  <c r="J537" i="19" s="1"/>
  <c r="I489" i="19"/>
  <c r="I648" i="19"/>
  <c r="J648" i="19" s="1"/>
  <c r="I575" i="19"/>
  <c r="H575" i="19"/>
  <c r="H525" i="19"/>
  <c r="I466" i="19"/>
  <c r="I632" i="19"/>
  <c r="J632" i="19" s="1"/>
  <c r="J599" i="19"/>
  <c r="I562" i="19"/>
  <c r="J562" i="19" s="1"/>
  <c r="I467" i="19"/>
  <c r="J467" i="19" s="1"/>
  <c r="H629" i="19"/>
  <c r="H522" i="19"/>
  <c r="J522" i="19" s="1"/>
  <c r="J446" i="19"/>
  <c r="H449" i="19"/>
  <c r="J449" i="19" s="1"/>
  <c r="H507" i="19"/>
  <c r="J507" i="19" s="1"/>
  <c r="I472" i="19"/>
  <c r="J472" i="19" s="1"/>
  <c r="I440" i="19"/>
  <c r="J440" i="19" s="1"/>
  <c r="I527" i="19"/>
  <c r="J527" i="19" s="1"/>
  <c r="H489" i="19"/>
  <c r="J436" i="19"/>
  <c r="I508" i="19"/>
  <c r="J508" i="19" s="1"/>
  <c r="I419" i="19"/>
  <c r="J419" i="19" s="1"/>
  <c r="I355" i="19"/>
  <c r="H491" i="19"/>
  <c r="H466" i="19"/>
  <c r="I444" i="19"/>
  <c r="J444" i="19" s="1"/>
  <c r="H505" i="19"/>
  <c r="J414" i="19"/>
  <c r="J382" i="19"/>
  <c r="H339" i="19"/>
  <c r="I331" i="19"/>
  <c r="J331" i="19" s="1"/>
  <c r="H397" i="19"/>
  <c r="J367" i="19"/>
  <c r="H323" i="19"/>
  <c r="J323" i="19" s="1"/>
  <c r="I428" i="19"/>
  <c r="J428" i="19" s="1"/>
  <c r="H422" i="19"/>
  <c r="J422" i="19" s="1"/>
  <c r="I356" i="19"/>
  <c r="H356" i="19"/>
  <c r="I277" i="19"/>
  <c r="J277" i="19" s="1"/>
  <c r="I235" i="19"/>
  <c r="I20" i="19"/>
  <c r="J20" i="19" s="1"/>
  <c r="I610" i="19"/>
  <c r="J610" i="19" s="1"/>
  <c r="I633" i="19"/>
  <c r="J633" i="19" s="1"/>
  <c r="I455" i="19"/>
  <c r="I618" i="19"/>
  <c r="H618" i="19"/>
  <c r="I617" i="19"/>
  <c r="J617" i="19" s="1"/>
  <c r="H563" i="19"/>
  <c r="J563" i="19" s="1"/>
  <c r="I535" i="19"/>
  <c r="H535" i="19"/>
  <c r="I641" i="19"/>
  <c r="J641" i="19" s="1"/>
  <c r="H572" i="19"/>
  <c r="I458" i="19"/>
  <c r="I625" i="19"/>
  <c r="J625" i="19" s="1"/>
  <c r="I559" i="19"/>
  <c r="H559" i="19"/>
  <c r="H519" i="19"/>
  <c r="J519" i="19" s="1"/>
  <c r="I438" i="19"/>
  <c r="J438" i="19" s="1"/>
  <c r="I500" i="19"/>
  <c r="J500" i="19" s="1"/>
  <c r="I469" i="19"/>
  <c r="J469" i="19" s="1"/>
  <c r="I433" i="19"/>
  <c r="H506" i="19"/>
  <c r="J506" i="19" s="1"/>
  <c r="J443" i="19"/>
  <c r="H497" i="19"/>
  <c r="I411" i="19"/>
  <c r="I347" i="19"/>
  <c r="I484" i="19"/>
  <c r="J484" i="19" s="1"/>
  <c r="H463" i="19"/>
  <c r="H442" i="19"/>
  <c r="J442" i="19" s="1"/>
  <c r="I413" i="19"/>
  <c r="I381" i="19"/>
  <c r="J381" i="19" s="1"/>
  <c r="I418" i="19"/>
  <c r="J418" i="19" s="1"/>
  <c r="I359" i="19"/>
  <c r="I337" i="19"/>
  <c r="J337" i="19" s="1"/>
  <c r="I370" i="19"/>
  <c r="J370" i="19" s="1"/>
  <c r="J358" i="19"/>
  <c r="I321" i="19"/>
  <c r="J321" i="19" s="1"/>
  <c r="I378" i="19"/>
  <c r="J378" i="19" s="1"/>
  <c r="H413" i="19"/>
  <c r="I377" i="19"/>
  <c r="J377" i="19" s="1"/>
  <c r="I254" i="19"/>
  <c r="H254" i="19"/>
  <c r="I317" i="19"/>
  <c r="J317" i="19" s="1"/>
  <c r="I380" i="19"/>
  <c r="H380" i="19"/>
  <c r="I326" i="19"/>
  <c r="I292" i="19"/>
  <c r="J292" i="19" s="1"/>
  <c r="I402" i="19"/>
  <c r="J402" i="19" s="1"/>
  <c r="I271" i="19"/>
  <c r="H271" i="19"/>
  <c r="I415" i="19"/>
  <c r="J415" i="19" s="1"/>
  <c r="I296" i="19"/>
  <c r="H296" i="19"/>
  <c r="I424" i="19"/>
  <c r="J424" i="19" s="1"/>
  <c r="I350" i="19"/>
  <c r="J350" i="19" s="1"/>
  <c r="I281" i="19"/>
  <c r="H281" i="19"/>
  <c r="I211" i="19"/>
  <c r="I328" i="19"/>
  <c r="J328" i="19" s="1"/>
  <c r="H211" i="19"/>
  <c r="I268" i="19"/>
  <c r="J268" i="19" s="1"/>
  <c r="I275" i="19"/>
  <c r="J275" i="19" s="1"/>
  <c r="I366" i="19"/>
  <c r="J366" i="19" s="1"/>
  <c r="I151" i="19"/>
  <c r="I252" i="19"/>
  <c r="I38" i="19"/>
  <c r="H151" i="19"/>
  <c r="I125" i="19"/>
  <c r="J125" i="19" s="1"/>
  <c r="I182" i="19"/>
  <c r="J182" i="19" s="1"/>
  <c r="I227" i="19"/>
  <c r="J227" i="19" s="1"/>
  <c r="I206" i="19"/>
  <c r="J206" i="19" s="1"/>
  <c r="I217" i="19"/>
  <c r="J217" i="19" s="1"/>
  <c r="I315" i="19"/>
  <c r="J315" i="19" s="1"/>
  <c r="I185" i="19"/>
  <c r="I106" i="19"/>
  <c r="J106" i="19" s="1"/>
  <c r="I174" i="19"/>
  <c r="J174" i="19" s="1"/>
  <c r="I98" i="19"/>
  <c r="J98" i="19" s="1"/>
  <c r="I133" i="19"/>
  <c r="J133" i="19" s="1"/>
  <c r="I120" i="19"/>
  <c r="J609" i="19"/>
  <c r="I603" i="19"/>
  <c r="I539" i="19"/>
  <c r="J539" i="19" s="1"/>
  <c r="I612" i="19"/>
  <c r="J612" i="19" s="1"/>
  <c r="I548" i="19"/>
  <c r="J548" i="19" s="1"/>
  <c r="I621" i="19"/>
  <c r="J621" i="19" s="1"/>
  <c r="I557" i="19"/>
  <c r="J557" i="19" s="1"/>
  <c r="I622" i="19"/>
  <c r="I558" i="19"/>
  <c r="J558" i="19" s="1"/>
  <c r="H595" i="19"/>
  <c r="I552" i="19"/>
  <c r="J552" i="19" s="1"/>
  <c r="H524" i="19"/>
  <c r="I631" i="19"/>
  <c r="J631" i="19" s="1"/>
  <c r="H589" i="19"/>
  <c r="H622" i="19"/>
  <c r="I567" i="19"/>
  <c r="J567" i="19" s="1"/>
  <c r="I511" i="19"/>
  <c r="J511" i="19" s="1"/>
  <c r="H603" i="19"/>
  <c r="I554" i="19"/>
  <c r="H554" i="19"/>
  <c r="H646" i="19"/>
  <c r="H615" i="19"/>
  <c r="I553" i="19"/>
  <c r="J553" i="19" s="1"/>
  <c r="I530" i="19"/>
  <c r="H530" i="19"/>
  <c r="I473" i="19"/>
  <c r="H630" i="19"/>
  <c r="H566" i="19"/>
  <c r="I514" i="19"/>
  <c r="J514" i="19" s="1"/>
  <c r="I450" i="19"/>
  <c r="J450" i="19" s="1"/>
  <c r="I626" i="19"/>
  <c r="J626" i="19" s="1"/>
  <c r="H596" i="19"/>
  <c r="I515" i="19"/>
  <c r="J515" i="19" s="1"/>
  <c r="I451" i="19"/>
  <c r="J451" i="19" s="1"/>
  <c r="H614" i="19"/>
  <c r="J614" i="19" s="1"/>
  <c r="H556" i="19"/>
  <c r="I504" i="19"/>
  <c r="J504" i="19" s="1"/>
  <c r="I434" i="19"/>
  <c r="J434" i="19" s="1"/>
  <c r="I501" i="19"/>
  <c r="J501" i="19" s="1"/>
  <c r="H465" i="19"/>
  <c r="J465" i="19" s="1"/>
  <c r="H498" i="19"/>
  <c r="J498" i="19" s="1"/>
  <c r="I464" i="19"/>
  <c r="J464" i="19" s="1"/>
  <c r="I429" i="19"/>
  <c r="J429" i="19" s="1"/>
  <c r="H433" i="19"/>
  <c r="H503" i="19"/>
  <c r="I437" i="19"/>
  <c r="J437" i="19" s="1"/>
  <c r="I403" i="19"/>
  <c r="J403" i="19" s="1"/>
  <c r="I293" i="19"/>
  <c r="J293" i="19" s="1"/>
  <c r="I362" i="19"/>
  <c r="J362" i="19" s="1"/>
  <c r="I163" i="19"/>
  <c r="J163" i="19" s="1"/>
  <c r="H526" i="19"/>
  <c r="J526" i="19" s="1"/>
  <c r="H482" i="19"/>
  <c r="I460" i="19"/>
  <c r="J460" i="19" s="1"/>
  <c r="H435" i="19"/>
  <c r="J493" i="19"/>
  <c r="J406" i="19"/>
  <c r="H411" i="19"/>
  <c r="J359" i="19"/>
  <c r="I404" i="19"/>
  <c r="J404" i="19" s="1"/>
  <c r="J364" i="19"/>
  <c r="I329" i="19"/>
  <c r="J329" i="19" s="1"/>
  <c r="I393" i="19"/>
  <c r="J393" i="19" s="1"/>
  <c r="H355" i="19"/>
  <c r="J410" i="19"/>
  <c r="I372" i="19"/>
  <c r="H372" i="19"/>
  <c r="J409" i="19"/>
  <c r="J375" i="19"/>
  <c r="I324" i="19"/>
  <c r="H324" i="19"/>
  <c r="I263" i="19"/>
  <c r="H263" i="19"/>
  <c r="I374" i="19"/>
  <c r="J374" i="19" s="1"/>
  <c r="I273" i="19"/>
  <c r="H273" i="19"/>
  <c r="I32" i="19"/>
  <c r="J32" i="19" s="1"/>
  <c r="I289" i="19"/>
  <c r="I257" i="19"/>
  <c r="J215" i="19"/>
  <c r="I308" i="19"/>
  <c r="J308" i="19" s="1"/>
  <c r="I276" i="19"/>
  <c r="I244" i="19"/>
  <c r="I186" i="19"/>
  <c r="I196" i="19"/>
  <c r="J196" i="19" s="1"/>
  <c r="J220" i="19"/>
  <c r="I117" i="19"/>
  <c r="I179" i="19"/>
  <c r="I55" i="19"/>
  <c r="I198" i="19"/>
  <c r="J198" i="19" s="1"/>
  <c r="J119" i="19"/>
  <c r="I200" i="19"/>
  <c r="J200" i="19" s="1"/>
  <c r="I142" i="19"/>
  <c r="J142" i="19" s="1"/>
  <c r="I76" i="19"/>
  <c r="I214" i="19"/>
  <c r="J214" i="19" s="1"/>
  <c r="H186" i="19"/>
  <c r="I144" i="19"/>
  <c r="J144" i="19" s="1"/>
  <c r="I77" i="19"/>
  <c r="J77" i="19" s="1"/>
  <c r="I45" i="19"/>
  <c r="J45" i="19" s="1"/>
  <c r="J65" i="19"/>
  <c r="I23" i="19"/>
  <c r="J23" i="19" s="1"/>
  <c r="I56" i="19"/>
  <c r="J56" i="19" s="1"/>
  <c r="I67" i="19"/>
  <c r="J67" i="19" s="1"/>
  <c r="I16" i="19"/>
  <c r="J16" i="19" s="1"/>
  <c r="I73" i="19"/>
  <c r="J73" i="19" s="1"/>
  <c r="I97" i="19"/>
  <c r="I51" i="19"/>
  <c r="J51" i="19" s="1"/>
  <c r="I99" i="19"/>
  <c r="J99" i="19" s="1"/>
  <c r="I10" i="19"/>
  <c r="J10" i="19" s="1"/>
  <c r="I78" i="19"/>
  <c r="J78" i="19" s="1"/>
  <c r="H6" i="19"/>
  <c r="I352" i="19"/>
  <c r="J352" i="19" s="1"/>
  <c r="H3" i="19"/>
  <c r="I310" i="19"/>
  <c r="J310" i="19" s="1"/>
  <c r="I246" i="19"/>
  <c r="J246" i="19" s="1"/>
  <c r="I279" i="19"/>
  <c r="J279" i="19" s="1"/>
  <c r="I240" i="19"/>
  <c r="I283" i="19"/>
  <c r="J283" i="19" s="1"/>
  <c r="J301" i="19"/>
  <c r="I232" i="19"/>
  <c r="J232" i="19" s="1"/>
  <c r="H304" i="19"/>
  <c r="J304" i="19" s="1"/>
  <c r="H240" i="19"/>
  <c r="I159" i="19"/>
  <c r="J261" i="19"/>
  <c r="I161" i="19"/>
  <c r="J161" i="19" s="1"/>
  <c r="I178" i="19"/>
  <c r="J178" i="19" s="1"/>
  <c r="J235" i="19"/>
  <c r="I250" i="19"/>
  <c r="J250" i="19" s="1"/>
  <c r="I188" i="19"/>
  <c r="J188" i="19" s="1"/>
  <c r="I141" i="19"/>
  <c r="J141" i="19" s="1"/>
  <c r="I107" i="19"/>
  <c r="I47" i="19"/>
  <c r="H117" i="19"/>
  <c r="I197" i="19"/>
  <c r="J197" i="19" s="1"/>
  <c r="H130" i="19"/>
  <c r="I203" i="19"/>
  <c r="J203" i="19" s="1"/>
  <c r="I137" i="19"/>
  <c r="J137" i="19" s="1"/>
  <c r="I218" i="19"/>
  <c r="J218" i="19" s="1"/>
  <c r="I68" i="19"/>
  <c r="J68" i="19" s="1"/>
  <c r="J38" i="19"/>
  <c r="I376" i="19"/>
  <c r="J376" i="19" s="1"/>
  <c r="I89" i="19"/>
  <c r="J89" i="19" s="1"/>
  <c r="I14" i="19"/>
  <c r="J14" i="19" s="1"/>
  <c r="H61" i="19"/>
  <c r="I31" i="19"/>
  <c r="J31" i="19" s="1"/>
  <c r="I57" i="19"/>
  <c r="J57" i="19" s="1"/>
  <c r="I127" i="19"/>
  <c r="J127" i="19" s="1"/>
  <c r="I48" i="19"/>
  <c r="J48" i="19" s="1"/>
  <c r="I74" i="19"/>
  <c r="J74" i="19" s="1"/>
  <c r="I384" i="19"/>
  <c r="J384" i="19" s="1"/>
  <c r="I7" i="19"/>
  <c r="J7" i="19" s="1"/>
  <c r="I153" i="19"/>
  <c r="J153" i="19" s="1"/>
  <c r="I224" i="19"/>
  <c r="H233" i="19"/>
  <c r="I180" i="19"/>
  <c r="I139" i="19"/>
  <c r="J139" i="19" s="1"/>
  <c r="I108" i="19"/>
  <c r="J108" i="19" s="1"/>
  <c r="I103" i="19"/>
  <c r="J103" i="19" s="1"/>
  <c r="I39" i="19"/>
  <c r="J185" i="19"/>
  <c r="I114" i="19"/>
  <c r="I152" i="19"/>
  <c r="J152" i="19" s="1"/>
  <c r="I134" i="19"/>
  <c r="H134" i="19"/>
  <c r="I118" i="19"/>
  <c r="H118" i="19"/>
  <c r="I60" i="19"/>
  <c r="H180" i="19"/>
  <c r="I160" i="19"/>
  <c r="J160" i="19" s="1"/>
  <c r="I101" i="19"/>
  <c r="J101" i="19" s="1"/>
  <c r="I69" i="19"/>
  <c r="I37" i="19"/>
  <c r="I102" i="19"/>
  <c r="J102" i="19" s="1"/>
  <c r="I49" i="19"/>
  <c r="J49" i="19" s="1"/>
  <c r="H55" i="19"/>
  <c r="I338" i="19"/>
  <c r="J338" i="19" s="1"/>
  <c r="I129" i="19"/>
  <c r="J129" i="19" s="1"/>
  <c r="I15" i="19"/>
  <c r="J15" i="19" s="1"/>
  <c r="J120" i="19"/>
  <c r="I81" i="19"/>
  <c r="J81" i="19" s="1"/>
  <c r="J11" i="19"/>
  <c r="I72" i="19"/>
  <c r="H72" i="19"/>
  <c r="I121" i="19"/>
  <c r="J121" i="19" s="1"/>
  <c r="I9" i="19"/>
  <c r="J9" i="19" s="1"/>
  <c r="I288" i="19"/>
  <c r="J285" i="19"/>
  <c r="I223" i="19"/>
  <c r="J223" i="19" s="1"/>
  <c r="I300" i="19"/>
  <c r="J300" i="19" s="1"/>
  <c r="I207" i="19"/>
  <c r="I143" i="19"/>
  <c r="H297" i="19"/>
  <c r="J297" i="19" s="1"/>
  <c r="J242" i="19"/>
  <c r="J309" i="19"/>
  <c r="J245" i="19"/>
  <c r="I145" i="19"/>
  <c r="J260" i="19"/>
  <c r="H224" i="19"/>
  <c r="I162" i="19"/>
  <c r="I342" i="19"/>
  <c r="J342" i="19" s="1"/>
  <c r="H295" i="19"/>
  <c r="J266" i="19"/>
  <c r="I172" i="19"/>
  <c r="J172" i="19" s="1"/>
  <c r="J208" i="19"/>
  <c r="I95" i="19"/>
  <c r="J95" i="19" s="1"/>
  <c r="I149" i="19"/>
  <c r="J149" i="19" s="1"/>
  <c r="I213" i="19"/>
  <c r="J213" i="19" s="1"/>
  <c r="I187" i="19"/>
  <c r="J187" i="19" s="1"/>
  <c r="I132" i="19"/>
  <c r="J132" i="19" s="1"/>
  <c r="I115" i="19"/>
  <c r="H115" i="19"/>
  <c r="I52" i="19"/>
  <c r="I157" i="19"/>
  <c r="J157" i="19" s="1"/>
  <c r="H47" i="19"/>
  <c r="I135" i="19"/>
  <c r="J135" i="19" s="1"/>
  <c r="H71" i="19"/>
  <c r="I34" i="19"/>
  <c r="J34" i="19" s="1"/>
  <c r="I237" i="19"/>
  <c r="J237" i="19" s="1"/>
  <c r="I116" i="19"/>
  <c r="J116" i="19" s="1"/>
  <c r="I2" i="19"/>
  <c r="I86" i="19"/>
  <c r="J86" i="19" s="1"/>
  <c r="H37" i="19"/>
  <c r="I112" i="19"/>
  <c r="J112" i="19" s="1"/>
  <c r="H52" i="19"/>
  <c r="I4" i="19"/>
  <c r="J4" i="19" s="1"/>
  <c r="H76" i="19"/>
  <c r="I94" i="19"/>
  <c r="J94" i="19" s="1"/>
  <c r="H39" i="19"/>
  <c r="H69" i="19"/>
  <c r="H114" i="19"/>
  <c r="I430" i="19"/>
  <c r="J430" i="19" s="1"/>
  <c r="I154" i="19"/>
  <c r="I164" i="19"/>
  <c r="J164" i="19" s="1"/>
  <c r="I147" i="19"/>
  <c r="J147" i="19" s="1"/>
  <c r="I87" i="19"/>
  <c r="J210" i="19"/>
  <c r="I138" i="19"/>
  <c r="J138" i="19" s="1"/>
  <c r="I216" i="19"/>
  <c r="J216" i="19" s="1"/>
  <c r="J171" i="19"/>
  <c r="I111" i="19"/>
  <c r="I44" i="19"/>
  <c r="I176" i="19"/>
  <c r="J176" i="19" s="1"/>
  <c r="H154" i="19"/>
  <c r="I93" i="19"/>
  <c r="I61" i="19"/>
  <c r="I29" i="19"/>
  <c r="J29" i="19" s="1"/>
  <c r="H44" i="19"/>
  <c r="I360" i="19"/>
  <c r="J360" i="19" s="1"/>
  <c r="I82" i="19"/>
  <c r="J82" i="19" s="1"/>
  <c r="I27" i="19"/>
  <c r="J27" i="19" s="1"/>
  <c r="I46" i="19"/>
  <c r="J46" i="19" s="1"/>
  <c r="I368" i="19"/>
  <c r="J368" i="19" s="1"/>
  <c r="I17" i="19"/>
  <c r="J17" i="19" s="1"/>
  <c r="I3" i="19"/>
  <c r="I70" i="19"/>
  <c r="J70" i="19" s="1"/>
  <c r="I228" i="19"/>
  <c r="J228" i="19" s="1"/>
  <c r="I12" i="19"/>
  <c r="J12" i="19" s="1"/>
  <c r="I90" i="19"/>
  <c r="J90" i="19" s="1"/>
  <c r="H111" i="19"/>
  <c r="I110" i="19"/>
  <c r="J110" i="19" s="1"/>
  <c r="I59" i="19"/>
  <c r="J59" i="19" s="1"/>
  <c r="I19" i="19"/>
  <c r="J19" i="19" s="1"/>
  <c r="J18" i="19"/>
  <c r="I6" i="19"/>
  <c r="I233" i="19"/>
  <c r="H288" i="19"/>
  <c r="I234" i="19"/>
  <c r="J234" i="19" s="1"/>
  <c r="I191" i="19"/>
  <c r="J191" i="19" s="1"/>
  <c r="I290" i="19"/>
  <c r="J290" i="19" s="1"/>
  <c r="I236" i="19"/>
  <c r="J236" i="19" s="1"/>
  <c r="I318" i="19"/>
  <c r="J318" i="19" s="1"/>
  <c r="I146" i="19"/>
  <c r="J146" i="19" s="1"/>
  <c r="H289" i="19"/>
  <c r="I156" i="19"/>
  <c r="J156" i="19" s="1"/>
  <c r="I79" i="19"/>
  <c r="J79" i="19" s="1"/>
  <c r="I130" i="19"/>
  <c r="H207" i="19"/>
  <c r="J207" i="19" s="1"/>
  <c r="H143" i="19"/>
  <c r="I212" i="19"/>
  <c r="J212" i="19" s="1"/>
  <c r="I126" i="19"/>
  <c r="J126" i="19" s="1"/>
  <c r="I193" i="19"/>
  <c r="J193" i="19" s="1"/>
  <c r="I158" i="19"/>
  <c r="J158" i="19" s="1"/>
  <c r="I100" i="19"/>
  <c r="J100" i="19" s="1"/>
  <c r="I36" i="19"/>
  <c r="J36" i="19" s="1"/>
  <c r="I173" i="19"/>
  <c r="J173" i="19" s="1"/>
  <c r="I96" i="19"/>
  <c r="J96" i="19" s="1"/>
  <c r="J107" i="19"/>
  <c r="I62" i="19"/>
  <c r="J62" i="19" s="1"/>
  <c r="I30" i="19"/>
  <c r="J30" i="19" s="1"/>
  <c r="I42" i="19"/>
  <c r="J42" i="19" s="1"/>
  <c r="I66" i="19"/>
  <c r="J66" i="19" s="1"/>
  <c r="I8" i="19"/>
  <c r="I88" i="19"/>
  <c r="H88" i="19"/>
  <c r="I33" i="19"/>
  <c r="J33" i="19" s="1"/>
  <c r="H60" i="19"/>
  <c r="H93" i="19"/>
  <c r="H8" i="19"/>
  <c r="I264" i="19"/>
  <c r="J264" i="19" s="1"/>
  <c r="I398" i="19"/>
  <c r="J398" i="19" s="1"/>
  <c r="I265" i="19"/>
  <c r="J265" i="19" s="1"/>
  <c r="I336" i="19"/>
  <c r="J336" i="19" s="1"/>
  <c r="I269" i="19"/>
  <c r="J269" i="19" s="1"/>
  <c r="J252" i="19"/>
  <c r="I183" i="19"/>
  <c r="J183" i="19" s="1"/>
  <c r="I222" i="19"/>
  <c r="I202" i="19"/>
  <c r="J202" i="19" s="1"/>
  <c r="I320" i="19"/>
  <c r="J320" i="19" s="1"/>
  <c r="I148" i="19"/>
  <c r="I123" i="19"/>
  <c r="J123" i="19" s="1"/>
  <c r="I195" i="19"/>
  <c r="J195" i="19" s="1"/>
  <c r="I71" i="19"/>
  <c r="H169" i="19"/>
  <c r="J169" i="19" s="1"/>
  <c r="I184" i="19"/>
  <c r="J184" i="19" s="1"/>
  <c r="H162" i="19"/>
  <c r="I136" i="19"/>
  <c r="J136" i="19" s="1"/>
  <c r="I124" i="19"/>
  <c r="I190" i="19"/>
  <c r="J190" i="19" s="1"/>
  <c r="I92" i="19"/>
  <c r="J92" i="19" s="1"/>
  <c r="I192" i="19"/>
  <c r="J192" i="19" s="1"/>
  <c r="H170" i="19"/>
  <c r="J170" i="19" s="1"/>
  <c r="H148" i="19"/>
  <c r="I85" i="19"/>
  <c r="J85" i="19" s="1"/>
  <c r="I53" i="19"/>
  <c r="J53" i="19" s="1"/>
  <c r="I21" i="19"/>
  <c r="I28" i="19"/>
  <c r="I58" i="19"/>
  <c r="J58" i="19" s="1"/>
  <c r="I80" i="19"/>
  <c r="J80" i="19" s="1"/>
  <c r="I91" i="19"/>
  <c r="J91" i="19" s="1"/>
  <c r="I109" i="19"/>
  <c r="H109" i="19"/>
  <c r="I64" i="19"/>
  <c r="H64" i="19"/>
  <c r="I105" i="19"/>
  <c r="J105" i="19" s="1"/>
  <c r="I54" i="19"/>
  <c r="J54" i="19" s="1"/>
  <c r="I22" i="19"/>
  <c r="J22" i="19" s="1"/>
  <c r="H87" i="19"/>
  <c r="I41" i="19"/>
  <c r="J41" i="19" s="1"/>
  <c r="I13" i="19"/>
  <c r="J13" i="19" s="1"/>
  <c r="I344" i="19"/>
  <c r="J344" i="19" s="1"/>
  <c r="I5" i="19"/>
  <c r="J5" i="19" s="1"/>
  <c r="J322" i="19"/>
  <c r="I262" i="19"/>
  <c r="J262" i="19" s="1"/>
  <c r="I348" i="19"/>
  <c r="H348" i="19"/>
  <c r="I295" i="19"/>
  <c r="I231" i="19"/>
  <c r="J383" i="19"/>
  <c r="I256" i="19"/>
  <c r="J256" i="19" s="1"/>
  <c r="I388" i="19"/>
  <c r="H388" i="19"/>
  <c r="I259" i="19"/>
  <c r="J259" i="19" s="1"/>
  <c r="J253" i="19"/>
  <c r="I316" i="19"/>
  <c r="J316" i="19" s="1"/>
  <c r="I284" i="19"/>
  <c r="J284" i="19" s="1"/>
  <c r="J225" i="19"/>
  <c r="I175" i="19"/>
  <c r="J175" i="19" s="1"/>
  <c r="I258" i="19"/>
  <c r="J258" i="19" s="1"/>
  <c r="H231" i="19"/>
  <c r="H222" i="19"/>
  <c r="J276" i="19"/>
  <c r="J244" i="19"/>
  <c r="I194" i="19"/>
  <c r="J194" i="19" s="1"/>
  <c r="I282" i="19"/>
  <c r="J282" i="19" s="1"/>
  <c r="H257" i="19"/>
  <c r="I204" i="19"/>
  <c r="J204" i="19" s="1"/>
  <c r="I528" i="19"/>
  <c r="J528" i="19" s="1"/>
  <c r="I140" i="19"/>
  <c r="J140" i="19" s="1"/>
  <c r="J179" i="19"/>
  <c r="I63" i="19"/>
  <c r="J63" i="19" s="1"/>
  <c r="I201" i="19"/>
  <c r="J201" i="19" s="1"/>
  <c r="I166" i="19"/>
  <c r="J166" i="19" s="1"/>
  <c r="I122" i="19"/>
  <c r="J122" i="19" s="1"/>
  <c r="I181" i="19"/>
  <c r="J181" i="19" s="1"/>
  <c r="H159" i="19"/>
  <c r="I128" i="19"/>
  <c r="J128" i="19" s="1"/>
  <c r="I209" i="19"/>
  <c r="J209" i="19" s="1"/>
  <c r="I155" i="19"/>
  <c r="J155" i="19" s="1"/>
  <c r="H124" i="19"/>
  <c r="H145" i="19"/>
  <c r="J145" i="19" s="1"/>
  <c r="I84" i="19"/>
  <c r="I221" i="19"/>
  <c r="J221" i="19" s="1"/>
  <c r="I189" i="19"/>
  <c r="J189" i="19" s="1"/>
  <c r="H167" i="19"/>
  <c r="J167" i="19" s="1"/>
  <c r="I83" i="19"/>
  <c r="J83" i="19" s="1"/>
  <c r="H28" i="19"/>
  <c r="I104" i="19"/>
  <c r="J104" i="19" s="1"/>
  <c r="I25" i="19"/>
  <c r="J25" i="19" s="1"/>
  <c r="H21" i="19"/>
  <c r="I40" i="19"/>
  <c r="J40" i="19" s="1"/>
  <c r="J97" i="19"/>
  <c r="I75" i="19"/>
  <c r="J75" i="19" s="1"/>
  <c r="I26" i="19"/>
  <c r="J26" i="19" s="1"/>
  <c r="I50" i="19"/>
  <c r="J50" i="19" s="1"/>
  <c r="H84" i="19"/>
  <c r="I24" i="19"/>
  <c r="H24" i="19"/>
  <c r="I229" i="19"/>
  <c r="J229" i="19" s="1"/>
  <c r="H2" i="19"/>
  <c r="J2" i="19" s="1"/>
  <c r="J550" i="19" l="1"/>
  <c r="J257" i="19"/>
  <c r="J416" i="19"/>
  <c r="J505" i="19"/>
  <c r="J76" i="19"/>
  <c r="J289" i="19"/>
  <c r="J589" i="19"/>
  <c r="J433" i="19"/>
  <c r="J55" i="19"/>
  <c r="J646" i="19"/>
  <c r="J587" i="19"/>
  <c r="J481" i="19"/>
  <c r="J556" i="19"/>
  <c r="J566" i="19"/>
  <c r="J572" i="19"/>
  <c r="J373" i="19"/>
  <c r="J411" i="19"/>
  <c r="J645" i="19"/>
  <c r="J524" i="19"/>
  <c r="J660" i="19"/>
  <c r="J473" i="19"/>
  <c r="J47" i="19"/>
  <c r="J435" i="19"/>
  <c r="J565" i="19"/>
  <c r="J540" i="19"/>
  <c r="J255" i="19"/>
  <c r="J595" i="19"/>
  <c r="J604" i="19"/>
  <c r="J439" i="19"/>
  <c r="J615" i="19"/>
  <c r="J482" i="19"/>
  <c r="J629" i="19"/>
  <c r="J588" i="19"/>
  <c r="J630" i="19"/>
  <c r="J635" i="19"/>
  <c r="J319" i="19"/>
  <c r="J21" i="19"/>
  <c r="J224" i="19"/>
  <c r="J162" i="19"/>
  <c r="J93" i="19"/>
  <c r="J521" i="19"/>
  <c r="J525" i="19"/>
  <c r="J554" i="19"/>
  <c r="J281" i="19"/>
  <c r="J489" i="19"/>
  <c r="J270" i="19"/>
  <c r="J341" i="19"/>
  <c r="J239" i="19"/>
  <c r="J355" i="19"/>
  <c r="J397" i="19"/>
  <c r="J117" i="19"/>
  <c r="J324" i="19"/>
  <c r="J596" i="19"/>
  <c r="J395" i="19"/>
  <c r="J348" i="19"/>
  <c r="J503" i="19"/>
  <c r="J491" i="19"/>
  <c r="J457" i="19"/>
  <c r="J339" i="19"/>
  <c r="J497" i="19"/>
  <c r="J603" i="19"/>
  <c r="J413" i="19"/>
  <c r="J154" i="19"/>
  <c r="J72" i="19"/>
  <c r="J580" i="19"/>
  <c r="J28" i="19"/>
  <c r="J311" i="19"/>
  <c r="J231" i="19"/>
  <c r="J52" i="19"/>
  <c r="J44" i="19"/>
  <c r="J8" i="19"/>
  <c r="J559" i="19"/>
  <c r="J241" i="19"/>
  <c r="J335" i="19"/>
  <c r="J490" i="19"/>
  <c r="J124" i="19"/>
  <c r="J288" i="19"/>
  <c r="J37" i="19"/>
  <c r="J356" i="19"/>
  <c r="J637" i="19"/>
  <c r="J327" i="19"/>
  <c r="J487" i="19"/>
  <c r="J286" i="19"/>
  <c r="J602" i="19"/>
  <c r="J313" i="19"/>
  <c r="J39" i="19"/>
  <c r="J530" i="19"/>
  <c r="J535" i="19"/>
  <c r="J371" i="19"/>
  <c r="J586" i="19"/>
  <c r="J272" i="19"/>
  <c r="J159" i="19"/>
  <c r="J151" i="19"/>
  <c r="J463" i="19"/>
  <c r="J575" i="19"/>
  <c r="J303" i="19"/>
  <c r="J64" i="19"/>
  <c r="J249" i="19"/>
  <c r="J405" i="19"/>
  <c r="J148" i="19"/>
  <c r="J111" i="19"/>
  <c r="J130" i="19"/>
  <c r="J349" i="19"/>
  <c r="J423" i="19"/>
  <c r="J441" i="19"/>
  <c r="J87" i="19"/>
  <c r="J60" i="19"/>
  <c r="J71" i="19"/>
  <c r="J61" i="19"/>
  <c r="J3" i="19"/>
  <c r="J271" i="19"/>
  <c r="J254" i="19"/>
  <c r="J466" i="19"/>
  <c r="J248" i="19"/>
  <c r="J399" i="19"/>
  <c r="J571" i="19"/>
  <c r="J278" i="19"/>
  <c r="J427" i="19"/>
  <c r="J597" i="19"/>
  <c r="J387" i="19"/>
  <c r="J425" i="19"/>
  <c r="J606" i="19"/>
  <c r="J199" i="19"/>
  <c r="J238" i="19"/>
  <c r="J24" i="19"/>
  <c r="J388" i="19"/>
  <c r="J109" i="19"/>
  <c r="J114" i="19"/>
  <c r="J115" i="19"/>
  <c r="J295" i="19"/>
  <c r="J180" i="19"/>
  <c r="J622" i="19"/>
  <c r="J347" i="19"/>
  <c r="J458" i="19"/>
  <c r="J143" i="19"/>
  <c r="J69" i="19"/>
  <c r="J6" i="19"/>
  <c r="J263" i="19"/>
  <c r="J372" i="19"/>
  <c r="J312" i="19"/>
  <c r="J340" i="19"/>
  <c r="J230" i="19"/>
  <c r="J455" i="19"/>
  <c r="J280" i="19"/>
  <c r="J302" i="19"/>
  <c r="J479" i="19"/>
  <c r="J551" i="19"/>
  <c r="J613" i="19"/>
  <c r="J88" i="19"/>
  <c r="J118" i="19"/>
  <c r="J233" i="19"/>
  <c r="J618" i="19"/>
  <c r="J578" i="19"/>
  <c r="J591" i="19"/>
  <c r="J475" i="19"/>
  <c r="J391" i="19"/>
  <c r="J642" i="19"/>
  <c r="J222" i="19"/>
  <c r="J134" i="19"/>
  <c r="J186" i="19"/>
  <c r="J273" i="19"/>
  <c r="J211" i="19"/>
  <c r="J296" i="19"/>
  <c r="J380" i="19"/>
  <c r="J287" i="19"/>
  <c r="J389" i="19"/>
  <c r="J305" i="19"/>
  <c r="J365" i="19"/>
  <c r="J247" i="19"/>
  <c r="J334" i="19"/>
  <c r="J326" i="19"/>
  <c r="J84" i="19"/>
  <c r="J240" i="19"/>
  <c r="J543" i="19"/>
  <c r="J594" i="19"/>
  <c r="J546" i="19"/>
  <c r="O5" i="22"/>
  <c r="O6" i="22"/>
  <c r="O3" i="22"/>
  <c r="O4" i="22"/>
  <c r="O7" i="22"/>
</calcChain>
</file>

<file path=xl/sharedStrings.xml><?xml version="1.0" encoding="utf-8"?>
<sst xmlns="http://schemas.openxmlformats.org/spreadsheetml/2006/main" count="16839" uniqueCount="264">
  <si>
    <t>CECO</t>
  </si>
  <si>
    <t>FECHA</t>
  </si>
  <si>
    <t>TIPO_DETALLE</t>
  </si>
  <si>
    <t>TIPO</t>
  </si>
  <si>
    <t>SUB_TIPO</t>
  </si>
  <si>
    <t>COMENTARIOS_CORRECCIÓN_MANUAL_OTRO_SI</t>
  </si>
  <si>
    <t>TIPO_SERVICIO_NORMALIZADO</t>
  </si>
  <si>
    <t>COORDINADOR</t>
  </si>
  <si>
    <t>CONTRACTUAL</t>
  </si>
  <si>
    <t>DIRECTOR</t>
  </si>
  <si>
    <t>RESIDENTE TECNICO DE COORDINACION</t>
  </si>
  <si>
    <t>RESIDENTE DE INSTALACIONES</t>
  </si>
  <si>
    <t>RESIDENTE  ADMINISTRATIVO</t>
  </si>
  <si>
    <t>PROFESIONAL CONTRATACIONES</t>
  </si>
  <si>
    <t>INSPECTOR 1</t>
  </si>
  <si>
    <t>INSPECTOR 2</t>
  </si>
  <si>
    <t>INSPECTOR DE ACABADOS 1</t>
  </si>
  <si>
    <t>INSPECTOR DE ACABADOS 2</t>
  </si>
  <si>
    <t>INSPECTOR INSTALACIONES</t>
  </si>
  <si>
    <t>INSPECTOR SISO</t>
  </si>
  <si>
    <t>PROFESIONAL CONTROL DE PPTO Y PROGRAMACION</t>
  </si>
  <si>
    <t>RESIDENTE TECNICO</t>
  </si>
  <si>
    <t>INSPECTOR</t>
  </si>
  <si>
    <t>RESIDENTE ADMINISTRATIVO</t>
  </si>
  <si>
    <t>PROFESIONAL DE SOPORTE</t>
  </si>
  <si>
    <t>RESIDENTE DE ESTRUCTURA</t>
  </si>
  <si>
    <t>RESIDENTE SISO</t>
  </si>
  <si>
    <t>INSPECTOR GENERAL</t>
  </si>
  <si>
    <t>INSPECTOR DE ACABADOS</t>
  </si>
  <si>
    <t>PROFESIONAL COORDINACION DE DISEÑOS</t>
  </si>
  <si>
    <t>DIRECTOR ENVIGADO</t>
  </si>
  <si>
    <t>DIRECTOR TUNJA</t>
  </si>
  <si>
    <t>INSPECTOR ENVIGADO</t>
  </si>
  <si>
    <t>ESPECIALISTA INSTALACIONES</t>
  </si>
  <si>
    <t>COORDINADOR BIM</t>
  </si>
  <si>
    <t>INSPECTOR SISOMA</t>
  </si>
  <si>
    <t>INSPECTOR DE INTERVENTORIA 1</t>
  </si>
  <si>
    <t>AUXILIAR ADMINISTRATIVO</t>
  </si>
  <si>
    <t>RESIDENTE DE INTERVENTORIA</t>
  </si>
  <si>
    <t xml:space="preserve">AUXILIAR DE INGENIERIA </t>
  </si>
  <si>
    <t>DIRECTOR DE INTERVENTORIA</t>
  </si>
  <si>
    <t>RESIDENTE</t>
  </si>
  <si>
    <t>ANTROPOLOGO</t>
  </si>
  <si>
    <t>ARQUIRECTO DISEÑADOR CON ESP EN URBANISMO</t>
  </si>
  <si>
    <t>BIOLOGO</t>
  </si>
  <si>
    <t>ESPECIALISTA CATASTRAL</t>
  </si>
  <si>
    <t>ESPECIALISTA DISEÑO GEOMETRICO</t>
  </si>
  <si>
    <t>ESPECIALISTA ELECTRICO</t>
  </si>
  <si>
    <t>ESPECIALISTA EN PAVIMENTOS</t>
  </si>
  <si>
    <t>ESPECIALISTA EN SEGURIDAD Y SALUD EN EL TRABAJO</t>
  </si>
  <si>
    <t>ESPECIALISTA EN TRANSITO</t>
  </si>
  <si>
    <t>ESPECIALISTA ESTRUCTURAL</t>
  </si>
  <si>
    <t>ESPECIALISTA FORESTAL</t>
  </si>
  <si>
    <t>ESPECIALISTA GEOTECNIA</t>
  </si>
  <si>
    <t>ESPECIALISTA HDROSANITARIO</t>
  </si>
  <si>
    <t>INGENIERO CATASTRAL</t>
  </si>
  <si>
    <t>PROFESIONAL DE APOYO ARQUITECTO</t>
  </si>
  <si>
    <t>PROFESIONAL SOCIAL</t>
  </si>
  <si>
    <t>RESIDENTE AMBIENTAL</t>
  </si>
  <si>
    <t>RESIDENTE TRANSITO Y TRANSPORTE</t>
  </si>
  <si>
    <t>INSPECTOR EN OBRA</t>
  </si>
  <si>
    <t>INSPECTOR DE REDES</t>
  </si>
  <si>
    <t>PROFESIONAL SISO</t>
  </si>
  <si>
    <t>INSPECTOR DE OBRA CIVIL FRENTE 1</t>
  </si>
  <si>
    <t>INSPECTOR DE OBRA CIVIL FRENTE 2</t>
  </si>
  <si>
    <t>PROFESIONAL DE CONTRATACIONES</t>
  </si>
  <si>
    <t>RESIDENTE DE COSTOS Y PRESUPUESTOS</t>
  </si>
  <si>
    <t>RESIDENTE DE OBRA</t>
  </si>
  <si>
    <t>INSPECTOR ADICIONAL</t>
  </si>
  <si>
    <t>DIRECTOR INTERVENTORIA</t>
  </si>
  <si>
    <t>RESIDENTE INSTALACIONES</t>
  </si>
  <si>
    <t>RESIDENTE SISOMA</t>
  </si>
  <si>
    <t>INSPECTOR TECNICO</t>
  </si>
  <si>
    <t>CONTADOR</t>
  </si>
  <si>
    <t>INSPECTOR DE OBRA 1</t>
  </si>
  <si>
    <t>RESIDENTE TECNICO DIURNO</t>
  </si>
  <si>
    <t>RESIDENTE TECNICO DIURNO ADICIONAL</t>
  </si>
  <si>
    <t>RESIDENTE INTERVENTOR HSQE</t>
  </si>
  <si>
    <t>RESIDENTE TECNICO NOCTURNO</t>
  </si>
  <si>
    <t>RESIDENTE TECNICO NOCTURNO ADICIONAL</t>
  </si>
  <si>
    <t>INSPECTOR DE OBRA NOCTURNO</t>
  </si>
  <si>
    <t>INSPECTOR DE OBRA NOCTURNO ADICIONAL</t>
  </si>
  <si>
    <t>INSPECTOR DE OBRA 2</t>
  </si>
  <si>
    <t xml:space="preserve">SUPERVISOR TECNICO </t>
  </si>
  <si>
    <t>DIRECTOR RESIDENTE</t>
  </si>
  <si>
    <t>DIRECTOR CONTRATACIONES</t>
  </si>
  <si>
    <t>RESIDENTE COMERCIO</t>
  </si>
  <si>
    <t>RESIDENTE TORRE 1</t>
  </si>
  <si>
    <t>RESIDENTE RECIBO Y ENTREGAS</t>
  </si>
  <si>
    <t>INSPECTOR COMERCIO</t>
  </si>
  <si>
    <t>INSPECTOR COMERCIO ACABADOS</t>
  </si>
  <si>
    <t>RESIDENTE VENTANERÍA TORRES</t>
  </si>
  <si>
    <t>INSPECTOR TORRE 1</t>
  </si>
  <si>
    <t>INSPECTOR TORRE 1 ACABADOS</t>
  </si>
  <si>
    <t>RESIDENTE URBANISMO</t>
  </si>
  <si>
    <t>INSPECTOR URBANISMO</t>
  </si>
  <si>
    <t>DIRECTOR INTERNACIONAL SYASA</t>
  </si>
  <si>
    <t>DIRECTOR LOCAL (DIRECTOR)</t>
  </si>
  <si>
    <t>PROFESIONAL DE ESTRUCTURA</t>
  </si>
  <si>
    <t xml:space="preserve">PROFESIONAL DE CONTROLES SYASA </t>
  </si>
  <si>
    <t xml:space="preserve">PROFESIONAL DE CONTROLES </t>
  </si>
  <si>
    <t>RESIDENTE MEP 1</t>
  </si>
  <si>
    <t>RESIDENTE MEP 2</t>
  </si>
  <si>
    <t>INSPECTOR ESTRUCTURA 2</t>
  </si>
  <si>
    <t>INSPECTOR INSTALACIONES 1</t>
  </si>
  <si>
    <t>INSPECTOR INSTALACIONES 2</t>
  </si>
  <si>
    <t>INSPECTOR FACHADA</t>
  </si>
  <si>
    <t>SOPORTE GERENCIAL PAYC</t>
  </si>
  <si>
    <t>SOPORTE GERENCIAL SYASA 1</t>
  </si>
  <si>
    <t xml:space="preserve">SOPORTE GERENCIAL SYASA 2 </t>
  </si>
  <si>
    <t>PROFESIONAL DE ACABADOS</t>
  </si>
  <si>
    <t>RESIDENTE ADMINISTRATIVO 1</t>
  </si>
  <si>
    <t>RESIDENTE ADMINISTRATIVO 2</t>
  </si>
  <si>
    <t>DIRECTOR 1A</t>
  </si>
  <si>
    <t>DIRECTOR DE CONTRATACIONES</t>
  </si>
  <si>
    <t xml:space="preserve">AUXILIAR ADMINISTRATIVO </t>
  </si>
  <si>
    <t>INSPECTOR ESTRUCTURA</t>
  </si>
  <si>
    <t>INSPECTOR ACABADOS</t>
  </si>
  <si>
    <t>RESIDENTE PLANEACION - LOGISTICA</t>
  </si>
  <si>
    <t>RESIDENTE TORRE 5</t>
  </si>
  <si>
    <t>RESIDENTE VENTANERIA CARPINTERÍA METÁLICA</t>
  </si>
  <si>
    <t>INSPECTOR PLATAFORMAS</t>
  </si>
  <si>
    <t>RESIDENTE TÉCNICO</t>
  </si>
  <si>
    <t>RESIDENTE DE ACABADOS</t>
  </si>
  <si>
    <t>AUXILIAR DE CONTROLES</t>
  </si>
  <si>
    <t>AUXILIAR SISOMA</t>
  </si>
  <si>
    <t>PROFESIONAL DE COORDINACION</t>
  </si>
  <si>
    <t>ESPECIALISTA AMBIENTAL</t>
  </si>
  <si>
    <t>INGENIERO RESIDENTE DE OBRA</t>
  </si>
  <si>
    <t>RESIDENTE CIMENTACION Y ESTRUCTURA</t>
  </si>
  <si>
    <t>INSPECTOR HSEQ</t>
  </si>
  <si>
    <t>PROFESIONAL ADMINISTRATIVO</t>
  </si>
  <si>
    <t>PROFESIONAL PRESUPUESTACION</t>
  </si>
  <si>
    <t>COORDINADOR - SUPERVISOR ESTRUCTURAL</t>
  </si>
  <si>
    <t>ESPECIALISTA MECANICO</t>
  </si>
  <si>
    <t>HONORARIOS</t>
  </si>
  <si>
    <t>OTRO SÍ</t>
  </si>
  <si>
    <t>DIRECTOR GENERAL</t>
  </si>
  <si>
    <t>INSPECTOR ACABADOS 1</t>
  </si>
  <si>
    <t>INSPECTOR ACABADOS 2</t>
  </si>
  <si>
    <t>INSPECTOR DE INSTALACIONES</t>
  </si>
  <si>
    <t>INSPECTOR DE INSTALACIONES 1</t>
  </si>
  <si>
    <t>INSPECTOR DE INSTALACIONES 2</t>
  </si>
  <si>
    <t>RESIDENTE COORDINACION DE INSTALACIONES</t>
  </si>
  <si>
    <t>RESIDENTE COORDINACION OBRA NEGRA</t>
  </si>
  <si>
    <t>RESIDENTE TECNICO DE INTERVENTORIA</t>
  </si>
  <si>
    <t>APOYO SUPERVISOR ESTRUCTURAL</t>
  </si>
  <si>
    <t>RESIDENTE TECNICO DE INSTALACIONES</t>
  </si>
  <si>
    <t>RESIDENTE DE CONTROL DE PRESUPUESTO Y PROGRAMACION</t>
  </si>
  <si>
    <t>INSPECTOR DE OBRA 3</t>
  </si>
  <si>
    <t>Etiquetas de columna</t>
  </si>
  <si>
    <t>Total general</t>
  </si>
  <si>
    <t>2019</t>
  </si>
  <si>
    <t>ene</t>
  </si>
  <si>
    <t>feb</t>
  </si>
  <si>
    <t>Etiquetas de fila</t>
  </si>
  <si>
    <t>SE CORRIGE A MANO - CON EL FIN MANTENER CONSISTENTE LA INFORMACIÓN CON EL PRIMER EJERCICIO</t>
  </si>
  <si>
    <t>TOTAL</t>
  </si>
  <si>
    <t>FFIE GRUPO 2</t>
  </si>
  <si>
    <t>PENDIENTES RECIBIR FASE 2</t>
  </si>
  <si>
    <t>SE MANTIENE IGUAL AL PRIMER EJERCICIO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</si>
  <si>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</si>
  <si>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</si>
  <si>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</si>
  <si>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</si>
  <si>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</si>
  <si>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</si>
  <si>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</si>
  <si>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</si>
  <si>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</si>
  <si>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</si>
  <si>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(Todas)</t>
  </si>
  <si>
    <t>FFIE GRUPO 7</t>
  </si>
  <si>
    <t>VALOR.INICIAL.F1</t>
  </si>
  <si>
    <t>PAGO_F2_HITO1</t>
  </si>
  <si>
    <t>PAGO_F2_HITO2</t>
  </si>
  <si>
    <t>PAGO_F2_HITO3</t>
  </si>
  <si>
    <t>PAGO_F2_HITO4</t>
  </si>
  <si>
    <t>PAGO_F2_HITO5</t>
  </si>
  <si>
    <t>(Varios elementos)</t>
  </si>
  <si>
    <t>PENDIENTES RECIBIR FASE 1</t>
  </si>
  <si>
    <t>PENDIENTES TRÁMITE F1</t>
  </si>
  <si>
    <t>RECIBIDOS FASE 2</t>
  </si>
  <si>
    <t>PENDIENTES DE RECIBIR DISEÑOS FASE 2</t>
  </si>
  <si>
    <t>SIN INFORMACIÓN</t>
  </si>
  <si>
    <t>FM 1 - REAL</t>
  </si>
  <si>
    <t>FM 2 - PLANEADO</t>
  </si>
  <si>
    <t>FM - REAL</t>
  </si>
  <si>
    <t>FACTOR BRUTO</t>
  </si>
  <si>
    <t>INGRESOS OPERACIONALES</t>
  </si>
  <si>
    <t>COSTOS DE VENTA</t>
  </si>
  <si>
    <t>SE MODIFICA MANUALMENTE</t>
  </si>
  <si>
    <t>Valores</t>
  </si>
  <si>
    <t>UTILIDAD BRUTA</t>
  </si>
  <si>
    <t>COSTOS Y GASTOS</t>
  </si>
  <si>
    <t>SIMULACIÓN FFIE 7 - ESCENARIO 1</t>
  </si>
  <si>
    <t>ESCENARIOS FFIE</t>
  </si>
  <si>
    <t>SE AGREGA MANUALMENTE</t>
  </si>
  <si>
    <t>COSTOS Y GASTOS ADMON</t>
  </si>
  <si>
    <t>INGRESO OPERACIONAL</t>
  </si>
  <si>
    <t>COSTO DE VENTA</t>
  </si>
  <si>
    <t xml:space="preserve"> UTILIDAD BRUTA</t>
  </si>
  <si>
    <t xml:space="preserve"> EBITDA</t>
  </si>
  <si>
    <t>COSTOS FINANCIEROS</t>
  </si>
  <si>
    <t>DTF+4%</t>
  </si>
  <si>
    <t>DTF+5%</t>
  </si>
  <si>
    <t>ESCENARIO</t>
  </si>
  <si>
    <t>FLUJO DE CAJA</t>
  </si>
  <si>
    <t>Efectiva anual</t>
  </si>
  <si>
    <t>Efectiva mensual</t>
  </si>
  <si>
    <t>COSTO Y GASTO ADMON</t>
  </si>
  <si>
    <t>EBITDA</t>
  </si>
  <si>
    <t>SIMULACIÓN FFIE 7 - ESCENARIO 2</t>
  </si>
  <si>
    <t/>
  </si>
  <si>
    <t>COSTO FINANCIERO</t>
  </si>
  <si>
    <t>ESCENARIO COSTO FINANCIERO</t>
  </si>
  <si>
    <t>UTILIDAD ANTES DE IMPUESTOS</t>
  </si>
  <si>
    <t>DTF</t>
  </si>
  <si>
    <t>TASA</t>
  </si>
  <si>
    <t>FECHA ESTIMADA PAGO</t>
  </si>
  <si>
    <t>COSTOS FINANCIERO</t>
  </si>
  <si>
    <t xml:space="preserve"> UTILIDAD ANTES DE IMPUESTOS</t>
  </si>
  <si>
    <t>NUEVOS</t>
  </si>
  <si>
    <t>NUEVOS PROYECTOS - ESCENARIO 1</t>
  </si>
  <si>
    <t>ESCENARIOS NUEVOS PROYECTOS</t>
  </si>
  <si>
    <t>NUEVOS PROYECTOS - ESCENARIO 2</t>
  </si>
  <si>
    <t>NUEVOS PROYECTOS - ESCENARIO 3</t>
  </si>
  <si>
    <t>NUEVOS PROYECTOS - ESCENARIO 4</t>
  </si>
  <si>
    <t>ECONÓMICA</t>
  </si>
  <si>
    <t>CONTROL DE PAGOS</t>
  </si>
  <si>
    <t>CONTRACTUAL SIN LEGALIZACIÓN</t>
  </si>
  <si>
    <t>VERBAL</t>
  </si>
  <si>
    <t>OTROSÍES</t>
  </si>
  <si>
    <t>VARIABLE</t>
  </si>
  <si>
    <t>INGRESOS OPERACIONALES - CONTRATADO</t>
  </si>
  <si>
    <t>Se actualizó la información contractual de los proyectos actuales y se incluyeron los proyectos nuevos, para estimar de acuerdo con las fuente de información, los ingresos estimados en los próximos años.</t>
  </si>
  <si>
    <t>INGRESOS OPERACIONALES - OTRO SÍ</t>
  </si>
  <si>
    <t>Se envió listado de centros de costo a Camilo para que nos diera su percepción de los posibles otrosíes del año en curso.</t>
  </si>
  <si>
    <t>INGRESOS OPERACIONALES - NUEVOS PROYECTOS</t>
  </si>
  <si>
    <t>Se actualizó el modelo de simulación, que tiene en cuenta distintos escenarios de envío y aceptación de propuestas.</t>
  </si>
  <si>
    <t>INGRESOS OPERACIONALES - FFIE GRUPO 7</t>
  </si>
  <si>
    <t>Se actualizó la información de FFIE, con sus avances de obra y se estimó los ingresos de acuerdo a varios escenarios de simulación, estimando la recepción del pago de cada Hito.</t>
  </si>
  <si>
    <t>INGRESOS OPERACIONALES - FFIE GRUPO 2</t>
  </si>
  <si>
    <t>GASTOS Y COSTOS ADMINISTRATIVOS</t>
  </si>
  <si>
    <t>Se toman los datos de la Evolución PAYC, enviada por María Claudia.</t>
  </si>
  <si>
    <t>Se estimaron tomando los factores multiplicadores reales de los proyectos y para los proyectos nuevos se estimó un factor de 1.5</t>
  </si>
  <si>
    <t>Resta entre las proyecciones de ingresos operacionales y las de costos de venta.</t>
  </si>
  <si>
    <t>Costo/gasto de administración: Se distribuye por cada centro de costo, de acuerdo a los costos estimados.</t>
  </si>
  <si>
    <t>EBITDA: Resta entre utilidad bruta y el costo/gasto de administración</t>
  </si>
  <si>
    <t xml:space="preserve">UTILIDAD ANTES DE IMPUESTOS POR CENTRO DE COSTOS </t>
  </si>
  <si>
    <t>Costos financieros: Se estima con algún escenario (DTF+4%) y los ingresos recibidos</t>
  </si>
  <si>
    <t>UAI: Se estima restando al EBITDA los costos financieros.</t>
  </si>
  <si>
    <t>Los ingresos se desplazan aleatoriamente (normal) dos meses hacia adelante y los costos de venta se dejan en el mismo tiempo, para estimar el flujo de caja</t>
  </si>
  <si>
    <t>METODOLOGÍA (A GRANDES RASGOS)</t>
  </si>
  <si>
    <t>DESCRIPCIÓN</t>
  </si>
  <si>
    <t>Se eliminan todos los proyectos suspendidos o abandonados y no se tienen en cuenta en la proyección.</t>
  </si>
  <si>
    <t>Se incluyen los proyectos suspendidos o abandonados, suponiendo que se reactivan en el mes actual</t>
  </si>
  <si>
    <t>ESC</t>
  </si>
  <si>
    <t>TASA DE LLEGADA</t>
  </si>
  <si>
    <t>TASA DE ACEPTACIÓN</t>
  </si>
  <si>
    <t>PROMEDIO 2010-2018</t>
  </si>
  <si>
    <t>ACUMULADA POR SERVICIO 2010-2019</t>
  </si>
  <si>
    <t>TASA DE LLEGADA 2019</t>
  </si>
  <si>
    <t>TASA DE ACEPTACIÓN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</si>
</sst>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2" formatCode="_-&quot;$&quot;\ * #,##0_-;\-&quot;$&quot;\ * #,##0_-;_-&quot;$&quot;\ * &quot;-&quot;_-;_-@_-"/>
    <numFmt numFmtId="41" formatCode="_-* #,##0_-;\-* #,##0_-;_-* &quot;-&quot;_-;_-@_-"/>
    <numFmt numFmtId="43" formatCode="_-* #,##0.00_-;\-* #,##0.00_-;_-* &quot;-&quot;??_-;_-@_-"/>
    <numFmt numFmtId="164" formatCode="yyyy\-mm\-dd;@"/>
    <numFmt numFmtId="165" formatCode="&quot;$&quot;\ #,##0"/>
    <numFmt numFmtId="166" formatCode="_-[$$-240A]\ * #,##0_-;\-[$$-240A]\ * #,##0_-;_-[$$-240A]\ * &quot;-&quot;??_-;_-@_-"/>
    <numFmt numFmtId="167" formatCode="_-* #,##0\ &quot;€&quot;_-;\-* #,##0\ &quot;€&quot;_-;_-* &quot;-&quot;\ &quot;€&quot;_-;_-@_-"/>
    <numFmt numFmtId="168" formatCode="_(&quot;$&quot;\ * #,##0.00_);_(&quot;$&quot;\ * \(#,##0.00\);_(&quot;$&quot;\ * &quot;-&quot;??_);_(@_)"/>
    <numFmt numFmtId="169" formatCode="[$-C0A]mmm\-yy;@"/>
    <numFmt numFmtId="170" formatCode="_ &quot;$&quot;\ * #,##0.00_ ;_ &quot;$&quot;\ * \-#,##0.00_ ;_ &quot;$&quot;\ * &quot;-&quot;??_ ;_ @_ "/>
    <numFmt numFmtId="171" formatCode="_ * #,##0.00_ ;_ * \-#,##0.00_ ;_ * &quot;-&quot;??_ ;_ @_ "/>
    <numFmt numFmtId="172" formatCode="_-&quot;$&quot;* #,##0.00_-;\-&quot;$&quot;* #,##0.00_-;_-&quot;$&quot;* &quot;-&quot;??_-;_-@_-"/>
    <numFmt numFmtId="173" formatCode="_-* #,##0.00\ &quot;Pts&quot;_-;\-* #,##0.00\ &quot;Pts&quot;_-;_-* &quot;-&quot;??\ &quot;Pts&quot;_-;_-@_-"/>
    <numFmt numFmtId="174" formatCode="_-* #,##0.00\ _P_t_s_-;\-* #,##0.00\ _P_t_s_-;_-* &quot;-&quot;??\ _P_t_s_-;_-@_-"/>
    <numFmt numFmtId="175" formatCode="_-* #,##0.00\ [$€]_-;\-* #,##0.00\ [$€]_-;_-* &quot;-&quot;??\ [$€]_-;_-@_-"/>
    <numFmt numFmtId="176" formatCode="0.000%"/>
    <numFmt numFmtId="177" formatCode="_-* #,##0_-;\-* #,##0_-;_-* &quot;-&quot;??_-;_-@_-"/>
    <numFmt numFmtId="178" formatCode="&quot;$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43717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22100"/>
        <bgColor indexed="64"/>
      </patternFill>
    </fill>
    <fill>
      <patternFill patternType="solid">
        <fgColor rgb="FFEAEFF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rgb="FF924F22"/>
      </left>
      <right style="hair">
        <color rgb="FF924F22"/>
      </right>
      <top style="hair">
        <color rgb="FF924F22"/>
      </top>
      <bottom style="hair">
        <color rgb="FF924F22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96">
    <xf numFmtId="0" fontId="0" fillId="0" borderId="0"/>
    <xf numFmtId="42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9" fontId="4" fillId="0" borderId="0"/>
    <xf numFmtId="0" fontId="4" fillId="0" borderId="0"/>
    <xf numFmtId="169" fontId="4" fillId="0" borderId="0"/>
    <xf numFmtId="43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4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9" fontId="4" fillId="0" borderId="0" applyFont="0" applyFill="0" applyBorder="0" applyAlignment="0" applyProtection="0"/>
    <xf numFmtId="0" fontId="1" fillId="0" borderId="0"/>
    <xf numFmtId="168" fontId="4" fillId="0" borderId="0" applyFont="0" applyFill="0" applyBorder="0" applyAlignment="0" applyProtection="0"/>
    <xf numFmtId="0" fontId="4" fillId="0" borderId="0"/>
    <xf numFmtId="168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5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71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0" fontId="4" fillId="0" borderId="0"/>
    <xf numFmtId="0" fontId="4" fillId="0" borderId="0"/>
    <xf numFmtId="43" fontId="1" fillId="0" borderId="0" applyFont="0" applyFill="0" applyBorder="0" applyAlignment="0" applyProtection="0"/>
    <xf numFmtId="17" fontId="3" fillId="4" borderId="3">
      <alignment horizontal="center"/>
    </xf>
    <xf numFmtId="49" fontId="3" fillId="4" borderId="3">
      <alignment horizontal="center"/>
    </xf>
    <xf numFmtId="43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0" fontId="4" fillId="0" borderId="0"/>
    <xf numFmtId="17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75" fontId="4" fillId="0" borderId="0" applyFont="0" applyFill="0" applyBorder="0" applyAlignment="0" applyProtection="0"/>
    <xf numFmtId="41" fontId="1" fillId="0" borderId="0" applyFont="0" applyFill="0" applyBorder="0" applyAlignment="0" applyProtection="0"/>
    <xf numFmtId="174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174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/>
    <xf numFmtId="174" fontId="4" fillId="0" borderId="0" applyFont="0" applyFill="0" applyBorder="0" applyAlignment="0" applyProtection="0"/>
    <xf numFmtId="0" fontId="4" fillId="0" borderId="0"/>
    <xf numFmtId="0" fontId="4" fillId="0" borderId="0"/>
    <xf numFmtId="174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0" fontId="4" fillId="0" borderId="0"/>
    <xf numFmtId="174" fontId="4" fillId="0" borderId="0" applyFont="0" applyFill="0" applyBorder="0" applyAlignment="0" applyProtection="0"/>
    <xf numFmtId="0" fontId="4" fillId="0" borderId="0"/>
    <xf numFmtId="174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/>
    <xf numFmtId="174" fontId="4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7">
    <xf numFmtId="0" fontId="0" fillId="0" borderId="0" xfId="0"/>
    <xf numFmtId="0" fontId="2" fillId="2" borderId="1" xfId="0" applyFont="1" applyFill="1" applyBorder="1" applyAlignment="1">
      <alignment wrapText="1"/>
    </xf>
    <xf numFmtId="164" fontId="2" fillId="2" borderId="1" xfId="0" applyNumberFormat="1" applyFont="1" applyFill="1" applyBorder="1" applyAlignment="1">
      <alignment wrapText="1"/>
    </xf>
    <xf numFmtId="165" fontId="2" fillId="2" borderId="1" xfId="1" applyNumberFormat="1" applyFont="1" applyFill="1" applyBorder="1" applyAlignment="1">
      <alignment wrapText="1"/>
    </xf>
    <xf numFmtId="166" fontId="2" fillId="2" borderId="1" xfId="1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7" fontId="0" fillId="0" borderId="0" xfId="0" applyNumberFormat="1"/>
    <xf numFmtId="0" fontId="2" fillId="3" borderId="0" xfId="0" applyFont="1" applyFill="1" applyAlignment="1">
      <alignment wrapText="1"/>
    </xf>
    <xf numFmtId="0" fontId="0" fillId="0" borderId="0" xfId="0"/>
    <xf numFmtId="2" fontId="0" fillId="0" borderId="0" xfId="3" applyNumberFormat="1" applyFont="1"/>
    <xf numFmtId="0" fontId="0" fillId="0" borderId="0" xfId="0" applyFill="1"/>
    <xf numFmtId="41" fontId="0" fillId="0" borderId="0" xfId="0" applyNumberFormat="1"/>
    <xf numFmtId="0" fontId="0" fillId="0" borderId="0" xfId="0"/>
    <xf numFmtId="0" fontId="0" fillId="0" borderId="0" xfId="0" applyAlignment="1">
      <alignment horizontal="left" indent="1"/>
    </xf>
    <xf numFmtId="41" fontId="0" fillId="0" borderId="0" xfId="95" applyFont="1"/>
    <xf numFmtId="10" fontId="0" fillId="0" borderId="0" xfId="0" applyNumberFormat="1"/>
    <xf numFmtId="10" fontId="0" fillId="0" borderId="0" xfId="3" applyNumberFormat="1" applyFont="1"/>
    <xf numFmtId="176" fontId="0" fillId="0" borderId="0" xfId="3" applyNumberFormat="1" applyFont="1"/>
    <xf numFmtId="0" fontId="2" fillId="5" borderId="1" xfId="0" applyFont="1" applyFill="1" applyBorder="1"/>
    <xf numFmtId="0" fontId="0" fillId="0" borderId="1" xfId="0" applyBorder="1" applyAlignment="1">
      <alignment horizontal="center" vertical="center"/>
    </xf>
    <xf numFmtId="41" fontId="2" fillId="0" borderId="4" xfId="0" applyNumberFormat="1" applyFont="1" applyBorder="1"/>
    <xf numFmtId="0" fontId="0" fillId="6" borderId="0" xfId="0" applyFill="1"/>
    <xf numFmtId="41" fontId="0" fillId="6" borderId="0" xfId="0" applyNumberFormat="1" applyFill="1"/>
    <xf numFmtId="177" fontId="0" fillId="6" borderId="0" xfId="0" applyNumberFormat="1" applyFill="1"/>
    <xf numFmtId="0" fontId="7" fillId="0" borderId="5" xfId="0" applyFont="1" applyBorder="1" applyAlignment="1">
      <alignment horizontal="left" wrapText="1" readingOrder="1"/>
    </xf>
    <xf numFmtId="0" fontId="7" fillId="0" borderId="6" xfId="0" applyFont="1" applyBorder="1" applyAlignment="1">
      <alignment horizontal="left" wrapText="1" readingOrder="1"/>
    </xf>
    <xf numFmtId="0" fontId="7" fillId="0" borderId="7" xfId="0" applyFont="1" applyBorder="1" applyAlignment="1">
      <alignment horizontal="left" wrapText="1" readingOrder="1"/>
    </xf>
    <xf numFmtId="0" fontId="6" fillId="0" borderId="5" xfId="0" applyFont="1" applyBorder="1" applyAlignment="1">
      <alignment horizontal="center" vertical="center" wrapText="1" readingOrder="1"/>
    </xf>
    <xf numFmtId="0" fontId="7" fillId="0" borderId="6" xfId="0" applyFont="1" applyBorder="1" applyAlignment="1">
      <alignment horizontal="left" wrapText="1" readingOrder="1"/>
    </xf>
    <xf numFmtId="0" fontId="7" fillId="0" borderId="7" xfId="0" applyFont="1" applyBorder="1" applyAlignment="1">
      <alignment horizontal="left" wrapText="1" readingOrder="1"/>
    </xf>
    <xf numFmtId="0" fontId="6" fillId="0" borderId="6" xfId="0" applyFont="1" applyBorder="1" applyAlignment="1">
      <alignment horizontal="center" vertical="center" wrapText="1" readingOrder="1"/>
    </xf>
    <xf numFmtId="0" fontId="6" fillId="0" borderId="7" xfId="0" applyFont="1" applyBorder="1" applyAlignment="1">
      <alignment horizontal="center" vertical="center" wrapText="1" readingOrder="1"/>
    </xf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17" fontId="0" fillId="0" borderId="1" xfId="0" applyNumberFormat="1" applyBorder="1"/>
    <xf numFmtId="2" fontId="0" fillId="0" borderId="1" xfId="3" applyNumberFormat="1" applyFont="1" applyBorder="1"/>
    <xf numFmtId="178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8" fillId="7" borderId="1" xfId="0" applyFont="1" applyFill="1" applyBorder="1" applyAlignment="1">
      <alignment horizontal="center" wrapText="1" readingOrder="1"/>
    </xf>
    <xf numFmtId="0" fontId="9" fillId="8" borderId="1" xfId="0" applyFont="1" applyFill="1" applyBorder="1" applyAlignment="1">
      <alignment horizontal="right" wrapText="1" readingOrder="1"/>
    </xf>
    <xf numFmtId="0" fontId="9" fillId="8" borderId="1" xfId="0" applyFont="1" applyFill="1" applyBorder="1" applyAlignment="1">
      <alignment horizontal="justify" wrapText="1" readingOrder="1"/>
    </xf>
  </cellXfs>
  <cellStyles count="96">
    <cellStyle name="Euro" xfId="55" xr:uid="{00000000-0005-0000-0000-000000000000}"/>
    <cellStyle name="Millares [0]" xfId="95" builtinId="6"/>
    <cellStyle name="Millares [0] 2" xfId="4" xr:uid="{00000000-0005-0000-0000-000002000000}"/>
    <cellStyle name="Millares [0] 2 2" xfId="87" xr:uid="{00000000-0005-0000-0000-000003000000}"/>
    <cellStyle name="Millares [0] 3" xfId="54" xr:uid="{00000000-0005-0000-0000-000004000000}"/>
    <cellStyle name="Millares [0] 3 2" xfId="88" xr:uid="{00000000-0005-0000-0000-000005000000}"/>
    <cellStyle name="Millares [0] 4" xfId="56" xr:uid="{00000000-0005-0000-0000-000006000000}"/>
    <cellStyle name="Millares [0] 4 2" xfId="89" xr:uid="{00000000-0005-0000-0000-000007000000}"/>
    <cellStyle name="Millares [0] 5" xfId="67" xr:uid="{00000000-0005-0000-0000-000008000000}"/>
    <cellStyle name="Millares [0] 5 2" xfId="90" xr:uid="{00000000-0005-0000-0000-000009000000}"/>
    <cellStyle name="Millares [0] 6" xfId="68" xr:uid="{00000000-0005-0000-0000-00000A000000}"/>
    <cellStyle name="Millares [0] 6 2" xfId="91" xr:uid="{00000000-0005-0000-0000-00000B000000}"/>
    <cellStyle name="Millares [0] 7" xfId="69" xr:uid="{00000000-0005-0000-0000-00000C000000}"/>
    <cellStyle name="Millares [0] 7 2" xfId="92" xr:uid="{00000000-0005-0000-0000-00000D000000}"/>
    <cellStyle name="Millares [0] 8" xfId="52" xr:uid="{00000000-0005-0000-0000-00000E000000}"/>
    <cellStyle name="Millares [0] 9" xfId="85" xr:uid="{00000000-0005-0000-0000-00000F000000}"/>
    <cellStyle name="Millares 10" xfId="77" xr:uid="{00000000-0005-0000-0000-000010000000}"/>
    <cellStyle name="Millares 11" xfId="79" xr:uid="{00000000-0005-0000-0000-000011000000}"/>
    <cellStyle name="Millares 12" xfId="53" xr:uid="{00000000-0005-0000-0000-000012000000}"/>
    <cellStyle name="Millares 12 2" xfId="94" xr:uid="{00000000-0005-0000-0000-000013000000}"/>
    <cellStyle name="Millares 13" xfId="80" xr:uid="{00000000-0005-0000-0000-000014000000}"/>
    <cellStyle name="Millares 14" xfId="86" xr:uid="{00000000-0005-0000-0000-000015000000}"/>
    <cellStyle name="Millares 2" xfId="8" xr:uid="{00000000-0005-0000-0000-000016000000}"/>
    <cellStyle name="Millares 2 2" xfId="29" xr:uid="{00000000-0005-0000-0000-000017000000}"/>
    <cellStyle name="Millares 2 2 2" xfId="46" xr:uid="{00000000-0005-0000-0000-000018000000}"/>
    <cellStyle name="Millares 2 3" xfId="59" xr:uid="{00000000-0005-0000-0000-000019000000}"/>
    <cellStyle name="Millares 2 4" xfId="41" xr:uid="{00000000-0005-0000-0000-00001A000000}"/>
    <cellStyle name="Millares 2 5" xfId="81" xr:uid="{00000000-0005-0000-0000-00001B000000}"/>
    <cellStyle name="Millares 3" xfId="30" xr:uid="{00000000-0005-0000-0000-00001C000000}"/>
    <cellStyle name="Millares 3 2" xfId="63" xr:uid="{00000000-0005-0000-0000-00001D000000}"/>
    <cellStyle name="Millares 3 3" xfId="48" xr:uid="{00000000-0005-0000-0000-00001E000000}"/>
    <cellStyle name="Millares 3 4" xfId="83" xr:uid="{00000000-0005-0000-0000-00001F000000}"/>
    <cellStyle name="Millares 4" xfId="31" xr:uid="{00000000-0005-0000-0000-000020000000}"/>
    <cellStyle name="Millares 4 2" xfId="45" xr:uid="{00000000-0005-0000-0000-000021000000}"/>
    <cellStyle name="Millares 4 3" xfId="82" xr:uid="{00000000-0005-0000-0000-000022000000}"/>
    <cellStyle name="Millares 5" xfId="34" xr:uid="{00000000-0005-0000-0000-000023000000}"/>
    <cellStyle name="Millares 5 2" xfId="57" xr:uid="{00000000-0005-0000-0000-000024000000}"/>
    <cellStyle name="Millares 6" xfId="14" xr:uid="{00000000-0005-0000-0000-000025000000}"/>
    <cellStyle name="Millares 6 2" xfId="71" xr:uid="{00000000-0005-0000-0000-000026000000}"/>
    <cellStyle name="Millares 7" xfId="38" xr:uid="{00000000-0005-0000-0000-000027000000}"/>
    <cellStyle name="Millares 7 2" xfId="51" xr:uid="{00000000-0005-0000-0000-000028000000}"/>
    <cellStyle name="Millares 7 3" xfId="84" xr:uid="{00000000-0005-0000-0000-000029000000}"/>
    <cellStyle name="Millares 8" xfId="74" xr:uid="{00000000-0005-0000-0000-00002A000000}"/>
    <cellStyle name="Millares 9" xfId="75" xr:uid="{00000000-0005-0000-0000-00002B000000}"/>
    <cellStyle name="Moneda [0]" xfId="1" builtinId="7"/>
    <cellStyle name="Moneda [0] 3" xfId="2" xr:uid="{00000000-0005-0000-0000-00002D000000}"/>
    <cellStyle name="Moneda 2" xfId="24" xr:uid="{00000000-0005-0000-0000-00002E000000}"/>
    <cellStyle name="Moneda 2 2" xfId="50" xr:uid="{00000000-0005-0000-0000-00002F000000}"/>
    <cellStyle name="Moneda 2 3" xfId="60" xr:uid="{00000000-0005-0000-0000-000030000000}"/>
    <cellStyle name="Moneda 2 4" xfId="42" xr:uid="{00000000-0005-0000-0000-000031000000}"/>
    <cellStyle name="Moneda 3" xfId="32" xr:uid="{00000000-0005-0000-0000-000032000000}"/>
    <cellStyle name="Moneda 3 2" xfId="64" xr:uid="{00000000-0005-0000-0000-000033000000}"/>
    <cellStyle name="Moneda 3 3" xfId="44" xr:uid="{00000000-0005-0000-0000-000034000000}"/>
    <cellStyle name="Moneda 4" xfId="35" xr:uid="{00000000-0005-0000-0000-000035000000}"/>
    <cellStyle name="Moneda 4 2" xfId="58" xr:uid="{00000000-0005-0000-0000-000036000000}"/>
    <cellStyle name="Moneda 5" xfId="22" xr:uid="{00000000-0005-0000-0000-000037000000}"/>
    <cellStyle name="Normal" xfId="0" builtinId="0"/>
    <cellStyle name="Normal 10" xfId="18" xr:uid="{00000000-0005-0000-0000-000039000000}"/>
    <cellStyle name="Normal 10 2" xfId="93" xr:uid="{00000000-0005-0000-0000-00003A000000}"/>
    <cellStyle name="Normal 11" xfId="19" xr:uid="{00000000-0005-0000-0000-00003B000000}"/>
    <cellStyle name="Normal 12" xfId="21" xr:uid="{00000000-0005-0000-0000-00003C000000}"/>
    <cellStyle name="Normal 13" xfId="26" xr:uid="{00000000-0005-0000-0000-00003D000000}"/>
    <cellStyle name="Normal 14" xfId="36" xr:uid="{00000000-0005-0000-0000-00003E000000}"/>
    <cellStyle name="Normal 15" xfId="37" xr:uid="{00000000-0005-0000-0000-00003F000000}"/>
    <cellStyle name="Normal 16" xfId="5" xr:uid="{00000000-0005-0000-0000-000040000000}"/>
    <cellStyle name="Normal 2" xfId="6" xr:uid="{00000000-0005-0000-0000-000041000000}"/>
    <cellStyle name="Normal 2 2" xfId="23" xr:uid="{00000000-0005-0000-0000-000042000000}"/>
    <cellStyle name="Normal 2 3" xfId="28" xr:uid="{00000000-0005-0000-0000-000043000000}"/>
    <cellStyle name="Normal 3" xfId="7" xr:uid="{00000000-0005-0000-0000-000044000000}"/>
    <cellStyle name="Normal 3 2" xfId="17" xr:uid="{00000000-0005-0000-0000-000045000000}"/>
    <cellStyle name="Normal 3 2 2" xfId="66" xr:uid="{00000000-0005-0000-0000-000046000000}"/>
    <cellStyle name="Normal 3 3" xfId="47" xr:uid="{00000000-0005-0000-0000-000047000000}"/>
    <cellStyle name="Normal 4" xfId="9" xr:uid="{00000000-0005-0000-0000-000048000000}"/>
    <cellStyle name="Normal 4 2" xfId="62" xr:uid="{00000000-0005-0000-0000-000049000000}"/>
    <cellStyle name="Normal 4 3" xfId="72" xr:uid="{00000000-0005-0000-0000-00004A000000}"/>
    <cellStyle name="Normal 5" xfId="10" xr:uid="{00000000-0005-0000-0000-00004B000000}"/>
    <cellStyle name="Normal 5 2" xfId="11" xr:uid="{00000000-0005-0000-0000-00004C000000}"/>
    <cellStyle name="Normal 5 3" xfId="43" xr:uid="{00000000-0005-0000-0000-00004D000000}"/>
    <cellStyle name="Normal 6" xfId="12" xr:uid="{00000000-0005-0000-0000-00004E000000}"/>
    <cellStyle name="Normal 6 2" xfId="70" xr:uid="{00000000-0005-0000-0000-00004F000000}"/>
    <cellStyle name="Normal 7" xfId="13" xr:uid="{00000000-0005-0000-0000-000050000000}"/>
    <cellStyle name="Normal 7 2" xfId="73" xr:uid="{00000000-0005-0000-0000-000051000000}"/>
    <cellStyle name="Normal 8" xfId="15" xr:uid="{00000000-0005-0000-0000-000052000000}"/>
    <cellStyle name="Normal 8 2" xfId="76" xr:uid="{00000000-0005-0000-0000-000053000000}"/>
    <cellStyle name="Normal 9" xfId="16" xr:uid="{00000000-0005-0000-0000-000054000000}"/>
    <cellStyle name="Normal 9 2" xfId="78" xr:uid="{00000000-0005-0000-0000-000055000000}"/>
    <cellStyle name="Payc 1" xfId="40" xr:uid="{00000000-0005-0000-0000-000056000000}"/>
    <cellStyle name="Payc mes" xfId="39" xr:uid="{00000000-0005-0000-0000-000057000000}"/>
    <cellStyle name="Porcentaje" xfId="3" builtinId="5"/>
    <cellStyle name="Porcentaje 2" xfId="25" xr:uid="{00000000-0005-0000-0000-000059000000}"/>
    <cellStyle name="Porcentaje 2 2" xfId="61" xr:uid="{00000000-0005-0000-0000-00005A000000}"/>
    <cellStyle name="Porcentaje 2 3" xfId="49" xr:uid="{00000000-0005-0000-0000-00005B000000}"/>
    <cellStyle name="Porcentaje 3" xfId="33" xr:uid="{00000000-0005-0000-0000-00005C000000}"/>
    <cellStyle name="Porcentaje 3 2" xfId="65" xr:uid="{00000000-0005-0000-0000-00005D000000}"/>
    <cellStyle name="Porcentaje 4" xfId="20" xr:uid="{00000000-0005-0000-0000-00005E000000}"/>
    <cellStyle name="Porcentual 2" xfId="27" xr:uid="{00000000-0005-0000-0000-00005F000000}"/>
  </cellStyles>
  <dxfs count="10">
    <dxf>
      <numFmt numFmtId="32" formatCode="_-&quot;$&quot;\ * #,##0_-;\-&quot;$&quot;\ * #,##0_-;_-&quot;$&quot;\ * &quot;-&quot;_-;_-@_-"/>
    </dxf>
    <dxf>
      <numFmt numFmtId="33" formatCode="_-* #,##0_-;\-* #,##0_-;_-* &quot;-&quot;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/>
        <i val="0"/>
        <color rgb="FF376091"/>
      </font>
      <border>
        <bottom style="dotted">
          <color rgb="FFB9E1BD"/>
        </bottom>
      </border>
    </dxf>
    <dxf>
      <font>
        <b/>
        <i val="0"/>
        <color rgb="FF376091"/>
      </font>
      <border>
        <bottom style="thin">
          <color rgb="FF3A6496"/>
        </bottom>
      </border>
    </dxf>
    <dxf>
      <border>
        <left style="dotted">
          <color rgb="FFB9E1BD"/>
        </left>
      </border>
    </dxf>
    <dxf>
      <font>
        <b/>
        <i val="0"/>
        <color rgb="FFFEE9D9"/>
      </font>
      <fill>
        <gradientFill degree="90">
          <stop position="0">
            <color rgb="FF2C4C90"/>
          </stop>
          <stop position="0.5">
            <color rgb="FF315683"/>
          </stop>
          <stop position="1">
            <color rgb="FF2C4C90"/>
          </stop>
        </gradientFill>
      </fill>
      <border>
        <top style="double">
          <color rgb="FFF0F5FA"/>
        </top>
      </border>
    </dxf>
    <dxf>
      <font>
        <b/>
        <i val="0"/>
        <color rgb="FFDBE5F1"/>
      </font>
      <fill>
        <gradientFill degree="90">
          <stop position="0">
            <color rgb="FF2C4C90"/>
          </stop>
          <stop position="0.5">
            <color rgb="FF315683"/>
          </stop>
          <stop position="1">
            <color rgb="FF2C4C90"/>
          </stop>
        </gradientFill>
      </fill>
    </dxf>
    <dxf>
      <fill>
        <gradientFill degree="45">
          <stop position="0">
            <color rgb="FFFFFFFF"/>
          </stop>
          <stop position="1">
            <color rgb="FFECEFFE"/>
          </stop>
        </gradientFill>
      </fill>
      <border>
        <left style="thin">
          <color rgb="FF3A6496"/>
        </left>
        <right style="thin">
          <color rgb="FF3A6496"/>
        </right>
        <top style="thin">
          <color rgb="FF3A6496"/>
        </top>
        <bottom style="thin">
          <color rgb="FF3A6496"/>
        </bottom>
      </border>
    </dxf>
  </dxfs>
  <tableStyles count="1" defaultTableStyle="TableStyleMedium2" defaultPivotStyle="PivotStyleLight16">
    <tableStyle name="Estilo Biable: Azul" table="0" count="6" xr9:uid="{00000000-0011-0000-FFFF-FFFF00000000}">
      <tableStyleElement type="wholeTable" dxfId="9"/>
      <tableStyleElement type="headerRow" dxfId="8"/>
      <tableStyleElement type="totalRow" dxfId="7"/>
      <tableStyleElement type="lastColumn" dxfId="6"/>
      <tableStyleElement type="firstRowSubheading" dxfId="5"/>
      <tableStyleElement type="secondRowSubheading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INGRESOS POR SEGMENTO -</a:t>
            </a:r>
            <a:r>
              <a:rPr lang="es-CO" baseline="0"/>
              <a:t> </a:t>
            </a:r>
            <a:r>
              <a:rPr lang="es-CO"/>
              <a:t>ESCENARIO 1</a:t>
            </a:r>
            <a:r>
              <a:rPr lang="es-CO" baseline="0"/>
              <a:t> (NUEVOS Y FFIE)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Gráficos!$A$3</c:f>
              <c:strCache>
                <c:ptCount val="1"/>
                <c:pt idx="0">
                  <c:v>CONTRACTUAL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Gráficos!$B$2:$M$2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Gráficos!$B$3:$M$3</c:f>
              <c:numCache>
                <c:formatCode>_(* #,##0_);_(* \(#,##0\);_(* "-"_);_(@_)</c:formatCode>
                <c:ptCount val="12"/>
                <c:pt idx="0">
                  <c:v>2794351707.3835292</c:v>
                </c:pt>
                <c:pt idx="1">
                  <c:v>2908938596.2494683</c:v>
                </c:pt>
                <c:pt idx="2">
                  <c:v>2871777328.3485312</c:v>
                </c:pt>
                <c:pt idx="3">
                  <c:v>2717003283.8211403</c:v>
                </c:pt>
                <c:pt idx="4">
                  <c:v>2200971053.1680808</c:v>
                </c:pt>
                <c:pt idx="5">
                  <c:v>2447378943.4245019</c:v>
                </c:pt>
                <c:pt idx="6">
                  <c:v>1757840119.4677904</c:v>
                </c:pt>
                <c:pt idx="7">
                  <c:v>1692393362.0848844</c:v>
                </c:pt>
                <c:pt idx="8">
                  <c:v>1533803047.0530906</c:v>
                </c:pt>
                <c:pt idx="9">
                  <c:v>1413278901.7838819</c:v>
                </c:pt>
                <c:pt idx="10">
                  <c:v>1223307581.4309525</c:v>
                </c:pt>
                <c:pt idx="11">
                  <c:v>1175806689.9454138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A-4296-87C8-E83EECE9792C}"/>
            </c:ext>
          </c:extLst>
        </c:ser>
        <c:ser>
          <c:idx val="1"/>
          <c:order val="1"/>
          <c:tx>
            <c:strRef>
              <c:f>Gráficos!$A$4</c:f>
              <c:strCache>
                <c:ptCount val="1"/>
                <c:pt idx="0">
                  <c:v>FFIE GRUPO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Gráficos!$B$2:$M$2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Gráficos!$B$4:$M$4</c:f>
              <c:numCache>
                <c:formatCode>_(* #,##0_);_(* \(#,##0\);_(* "-"_);_(@_)</c:formatCode>
                <c:ptCount val="12"/>
                <c:pt idx="3">
                  <c:v>113931505</c:v>
                </c:pt>
                <c:pt idx="4">
                  <c:v>886635143.78999996</c:v>
                </c:pt>
                <c:pt idx="5">
                  <c:v>161433687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6A-4296-87C8-E83EECE9792C}"/>
            </c:ext>
          </c:extLst>
        </c:ser>
        <c:ser>
          <c:idx val="2"/>
          <c:order val="2"/>
          <c:tx>
            <c:strRef>
              <c:f>Gráficos!$A$5</c:f>
              <c:strCache>
                <c:ptCount val="1"/>
                <c:pt idx="0">
                  <c:v>FFIE GRUPO 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Gráficos!$B$2:$M$2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Gráficos!$B$5:$M$5</c:f>
              <c:numCache>
                <c:formatCode>_(* #,##0_);_(* \(#,##0\);_(* "-"_);_(@_)</c:formatCode>
                <c:ptCount val="12"/>
                <c:pt idx="0">
                  <c:v>13105734.300000001</c:v>
                </c:pt>
                <c:pt idx="1">
                  <c:v>39691874.539999999</c:v>
                </c:pt>
                <c:pt idx="2">
                  <c:v>466647576.91000003</c:v>
                </c:pt>
                <c:pt idx="3">
                  <c:v>277757983.00000006</c:v>
                </c:pt>
                <c:pt idx="4">
                  <c:v>193325410.73000008</c:v>
                </c:pt>
                <c:pt idx="5">
                  <c:v>283865048.44304019</c:v>
                </c:pt>
                <c:pt idx="6">
                  <c:v>142959743.37775993</c:v>
                </c:pt>
                <c:pt idx="7">
                  <c:v>194610256.35320002</c:v>
                </c:pt>
                <c:pt idx="8">
                  <c:v>184627166.86367989</c:v>
                </c:pt>
                <c:pt idx="9">
                  <c:v>192950650.32607999</c:v>
                </c:pt>
                <c:pt idx="10">
                  <c:v>167475190.21960002</c:v>
                </c:pt>
                <c:pt idx="11">
                  <c:v>205289550.99031997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6A-4296-87C8-E83EECE9792C}"/>
            </c:ext>
          </c:extLst>
        </c:ser>
        <c:ser>
          <c:idx val="3"/>
          <c:order val="3"/>
          <c:tx>
            <c:strRef>
              <c:f>Gráficos!$A$6</c:f>
              <c:strCache>
                <c:ptCount val="1"/>
                <c:pt idx="0">
                  <c:v>NUEVOS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Gráficos!$B$2:$M$2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Gráficos!$B$6:$M$6</c:f>
              <c:numCache>
                <c:formatCode>_(* #,##0_);_(* \(#,##0\);_(* "-"_);_(@_)</c:formatCode>
                <c:ptCount val="12"/>
                <c:pt idx="0">
                  <c:v>0</c:v>
                </c:pt>
                <c:pt idx="1">
                  <c:v>62946300.296504878</c:v>
                </c:pt>
                <c:pt idx="2">
                  <c:v>223471469.45540509</c:v>
                </c:pt>
                <c:pt idx="3">
                  <c:v>409758312.58426094</c:v>
                </c:pt>
                <c:pt idx="4">
                  <c:v>613286398.99724996</c:v>
                </c:pt>
                <c:pt idx="5">
                  <c:v>807344457.87258947</c:v>
                </c:pt>
                <c:pt idx="6">
                  <c:v>986433993.63619196</c:v>
                </c:pt>
                <c:pt idx="7">
                  <c:v>1136844402.3221123</c:v>
                </c:pt>
                <c:pt idx="8">
                  <c:v>1270257037.0897892</c:v>
                </c:pt>
                <c:pt idx="9">
                  <c:v>1397969735.6108778</c:v>
                </c:pt>
                <c:pt idx="10">
                  <c:v>1518504570.1576886</c:v>
                </c:pt>
                <c:pt idx="11">
                  <c:v>1629046331.4775155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6A-4296-87C8-E83EECE9792C}"/>
            </c:ext>
          </c:extLst>
        </c:ser>
        <c:ser>
          <c:idx val="4"/>
          <c:order val="4"/>
          <c:tx>
            <c:strRef>
              <c:f>Gráficos!$A$7</c:f>
              <c:strCache>
                <c:ptCount val="1"/>
                <c:pt idx="0">
                  <c:v>OTRO SÍ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Gráficos!$B$2:$M$2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Gráficos!$B$7:$M$7</c:f>
              <c:numCache>
                <c:formatCode>_(* #,##0_);_(* \(#,##0\);_(* "-"_);_(@_)</c:formatCode>
                <c:ptCount val="12"/>
                <c:pt idx="1">
                  <c:v>29813870</c:v>
                </c:pt>
                <c:pt idx="2">
                  <c:v>83014864.99117288</c:v>
                </c:pt>
                <c:pt idx="3">
                  <c:v>108086494.86617288</c:v>
                </c:pt>
                <c:pt idx="4">
                  <c:v>165549112.80723679</c:v>
                </c:pt>
                <c:pt idx="5">
                  <c:v>86247816</c:v>
                </c:pt>
                <c:pt idx="6">
                  <c:v>62778573</c:v>
                </c:pt>
                <c:pt idx="7">
                  <c:v>62778573</c:v>
                </c:pt>
                <c:pt idx="8">
                  <c:v>62778573</c:v>
                </c:pt>
                <c:pt idx="11">
                  <c:v>13258047.600000001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6A-4296-87C8-E83EECE9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93634144"/>
        <c:axId val="-1293639040"/>
      </c:barChart>
      <c:dateAx>
        <c:axId val="-129363414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1293639040"/>
        <c:crosses val="autoZero"/>
        <c:auto val="1"/>
        <c:lblOffset val="100"/>
        <c:baseTimeUnit val="months"/>
      </c:dateAx>
      <c:valAx>
        <c:axId val="-129363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129363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INGRESOS CONTRACTUALES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Gráficos!$A$15</c:f>
              <c:strCache>
                <c:ptCount val="1"/>
                <c:pt idx="0">
                  <c:v>CONTRACTUAL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Gráficos!$B$14:$M$14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Gráficos!$B$15:$M$15</c:f>
              <c:numCache>
                <c:formatCode>_(* #,##0_);_(* \(#,##0\);_(* "-"_);_(@_)</c:formatCode>
                <c:ptCount val="12"/>
                <c:pt idx="0">
                  <c:v>1848644555.9316826</c:v>
                </c:pt>
                <c:pt idx="1">
                  <c:v>1954432381.9671648</c:v>
                </c:pt>
                <c:pt idx="2">
                  <c:v>1943732868.4602923</c:v>
                </c:pt>
                <c:pt idx="3">
                  <c:v>1826581596.4380555</c:v>
                </c:pt>
                <c:pt idx="4">
                  <c:v>1384652085.8720644</c:v>
                </c:pt>
                <c:pt idx="5">
                  <c:v>1824913843.5153964</c:v>
                </c:pt>
                <c:pt idx="6">
                  <c:v>1144618186.4339924</c:v>
                </c:pt>
                <c:pt idx="7">
                  <c:v>1135010168.6159925</c:v>
                </c:pt>
                <c:pt idx="8">
                  <c:v>1027289010.4709924</c:v>
                </c:pt>
                <c:pt idx="9">
                  <c:v>910553212.14599252</c:v>
                </c:pt>
                <c:pt idx="10">
                  <c:v>720792388.74055219</c:v>
                </c:pt>
                <c:pt idx="11">
                  <c:v>678812045.20021892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90-44E7-98BC-ED5C5876D40A}"/>
            </c:ext>
          </c:extLst>
        </c:ser>
        <c:ser>
          <c:idx val="1"/>
          <c:order val="1"/>
          <c:tx>
            <c:strRef>
              <c:f>Gráficos!$A$16</c:f>
              <c:strCache>
                <c:ptCount val="1"/>
                <c:pt idx="0">
                  <c:v>ECONÓMICA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Gráficos!$B$14:$M$14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Gráficos!$B$16:$M$16</c:f>
              <c:numCache>
                <c:formatCode>_(* #,##0_);_(* \(#,##0\);_(* "-"_);_(@_)</c:formatCode>
                <c:ptCount val="12"/>
                <c:pt idx="0">
                  <c:v>650225710.90484512</c:v>
                </c:pt>
                <c:pt idx="1">
                  <c:v>692473773.7353034</c:v>
                </c:pt>
                <c:pt idx="2">
                  <c:v>718971380.16623938</c:v>
                </c:pt>
                <c:pt idx="3">
                  <c:v>820235207.61108458</c:v>
                </c:pt>
                <c:pt idx="4">
                  <c:v>801068967.29601598</c:v>
                </c:pt>
                <c:pt idx="5">
                  <c:v>607215099.90910602</c:v>
                </c:pt>
                <c:pt idx="6">
                  <c:v>597971933.03379786</c:v>
                </c:pt>
                <c:pt idx="7">
                  <c:v>542133193.46889162</c:v>
                </c:pt>
                <c:pt idx="8">
                  <c:v>491264036.58209747</c:v>
                </c:pt>
                <c:pt idx="9">
                  <c:v>487475689.63788879</c:v>
                </c:pt>
                <c:pt idx="10">
                  <c:v>487265192.69040018</c:v>
                </c:pt>
                <c:pt idx="11">
                  <c:v>481744644.74519473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90-44E7-98BC-ED5C5876D40A}"/>
            </c:ext>
          </c:extLst>
        </c:ser>
        <c:ser>
          <c:idx val="2"/>
          <c:order val="2"/>
          <c:tx>
            <c:strRef>
              <c:f>Gráficos!$A$17</c:f>
              <c:strCache>
                <c:ptCount val="1"/>
                <c:pt idx="0">
                  <c:v>CONTROL DE PAGOS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Gráficos!$B$14:$M$14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Gráficos!$B$17:$M$17</c:f>
              <c:numCache>
                <c:formatCode>_(* #,##0_);_(* \(#,##0\);_(* "-"_);_(@_)</c:formatCode>
                <c:ptCount val="12"/>
                <c:pt idx="0">
                  <c:v>71364366.272</c:v>
                </c:pt>
                <c:pt idx="1">
                  <c:v>39364366.272</c:v>
                </c:pt>
                <c:pt idx="2">
                  <c:v>39364366.272</c:v>
                </c:pt>
                <c:pt idx="3">
                  <c:v>35374979.772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90-44E7-98BC-ED5C5876D40A}"/>
            </c:ext>
          </c:extLst>
        </c:ser>
        <c:ser>
          <c:idx val="3"/>
          <c:order val="3"/>
          <c:tx>
            <c:strRef>
              <c:f>Gráficos!$A$18</c:f>
              <c:strCache>
                <c:ptCount val="1"/>
                <c:pt idx="0">
                  <c:v>CONTRACTUAL SIN LEGALIZACIÓN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Gráficos!$B$14:$M$14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Gráficos!$B$18:$M$18</c:f>
              <c:numCache>
                <c:formatCode>_(* #,##0_);_(* \(#,##0\);_(* "-"_);_(@_)</c:formatCode>
                <c:ptCount val="12"/>
                <c:pt idx="0">
                  <c:v>208867074.27499998</c:v>
                </c:pt>
                <c:pt idx="1">
                  <c:v>207418074.27499998</c:v>
                </c:pt>
                <c:pt idx="2">
                  <c:v>154458713.44999999</c:v>
                </c:pt>
                <c:pt idx="3">
                  <c:v>19561500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90-44E7-98BC-ED5C5876D40A}"/>
            </c:ext>
          </c:extLst>
        </c:ser>
        <c:ser>
          <c:idx val="4"/>
          <c:order val="4"/>
          <c:tx>
            <c:strRef>
              <c:f>Gráficos!$A$19</c:f>
              <c:strCache>
                <c:ptCount val="1"/>
                <c:pt idx="0">
                  <c:v>VERBAL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Gráficos!$B$14:$M$14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Gráficos!$B$19:$M$19</c:f>
              <c:numCache>
                <c:formatCode>_(* #,##0_);_(* \(#,##0\);_(* "-"_);_(@_)</c:formatCode>
                <c:ptCount val="12"/>
                <c:pt idx="0">
                  <c:v>15250000</c:v>
                </c:pt>
                <c:pt idx="1">
                  <c:v>15250000</c:v>
                </c:pt>
                <c:pt idx="2">
                  <c:v>15250000</c:v>
                </c:pt>
                <c:pt idx="3">
                  <c:v>15250000</c:v>
                </c:pt>
                <c:pt idx="4">
                  <c:v>15250000</c:v>
                </c:pt>
                <c:pt idx="5">
                  <c:v>15250000</c:v>
                </c:pt>
                <c:pt idx="6">
                  <c:v>15250000</c:v>
                </c:pt>
                <c:pt idx="7">
                  <c:v>15250000</c:v>
                </c:pt>
                <c:pt idx="8">
                  <c:v>15250000</c:v>
                </c:pt>
                <c:pt idx="9">
                  <c:v>15250000</c:v>
                </c:pt>
                <c:pt idx="10">
                  <c:v>15250000</c:v>
                </c:pt>
                <c:pt idx="11">
                  <c:v>15250000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90-44E7-98BC-ED5C5876D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93646112"/>
        <c:axId val="-1293647744"/>
      </c:barChart>
      <c:dateAx>
        <c:axId val="-129364611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1293647744"/>
        <c:crosses val="autoZero"/>
        <c:auto val="1"/>
        <c:lblOffset val="100"/>
        <c:baseTimeUnit val="months"/>
      </c:dateAx>
      <c:valAx>
        <c:axId val="-129364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129364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ORÍGEN INGRESOS</a:t>
            </a:r>
            <a:r>
              <a:rPr lang="es-CO" baseline="0"/>
              <a:t> CONTRACTUALES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EA-4003-8343-EA53EB6345D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EA-4003-8343-EA53EB6345D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2EA-4003-8343-EA53EB6345D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2EA-4003-8343-EA53EB6345D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2EA-4003-8343-EA53EB6345DA}"/>
              </c:ext>
            </c:extLst>
          </c:dPt>
          <c:dLbls>
            <c:dLbl>
              <c:idx val="2"/>
              <c:layout>
                <c:manualLayout>
                  <c:x val="-2.7777777777777776E-2"/>
                  <c:y val="0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EA-4003-8343-EA53EB6345DA}"/>
                </c:ext>
              </c:extLst>
            </c:dLbl>
            <c:dLbl>
              <c:idx val="3"/>
              <c:layout>
                <c:manualLayout>
                  <c:x val="2.5000000000000001E-2"/>
                  <c:y val="-3.175000000000001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EA-4003-8343-EA53EB6345DA}"/>
                </c:ext>
              </c:extLst>
            </c:dLbl>
            <c:dLbl>
              <c:idx val="4"/>
              <c:layout>
                <c:manualLayout>
                  <c:x val="5.8333333333333286E-2"/>
                  <c:y val="-3.5277777777777777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EA-4003-8343-EA53EB6345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Gráficos!$A$15:$A$19</c:f>
              <c:strCache>
                <c:ptCount val="5"/>
                <c:pt idx="0">
                  <c:v>CONTRACTUAL</c:v>
                </c:pt>
                <c:pt idx="1">
                  <c:v>ECONÓMICA</c:v>
                </c:pt>
                <c:pt idx="2">
                  <c:v>CONTROL DE PAGOS</c:v>
                </c:pt>
                <c:pt idx="3">
                  <c:v>CONTRACTUAL SIN LEGALIZACIÓN</c:v>
                </c:pt>
                <c:pt idx="4">
                  <c:v>VERBAL</c:v>
                </c:pt>
              </c:strCache>
            </c:strRef>
          </c:cat>
          <c:val>
            <c:numRef>
              <c:f>Gráficos!$N$15:$N$19</c:f>
              <c:numCache>
                <c:formatCode>_(* #,##0_);_(* \(#,##0\);_(* "-"_);_(@_)</c:formatCode>
                <c:ptCount val="5"/>
                <c:pt idx="0">
                  <c:v>16400032343.792398</c:v>
                </c:pt>
                <c:pt idx="1">
                  <c:v>7378044829.7808647</c:v>
                </c:pt>
                <c:pt idx="2">
                  <c:v>185468078.588</c:v>
                </c:pt>
                <c:pt idx="3">
                  <c:v>590305362</c:v>
                </c:pt>
                <c:pt idx="4">
                  <c:v>183000000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2EA-4003-8343-EA53EB6345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Proyección de Ingresos</a:t>
            </a:r>
            <a:r>
              <a:rPr lang="es-CO" baseline="0"/>
              <a:t> </a:t>
            </a:r>
            <a:r>
              <a:rPr lang="es-CO"/>
              <a:t>Otro</a:t>
            </a:r>
            <a:r>
              <a:rPr lang="es-CO" baseline="0"/>
              <a:t>síes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Gráficos!$A$23</c:f>
              <c:strCache>
                <c:ptCount val="1"/>
                <c:pt idx="0">
                  <c:v>OTROSÍES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Gráficos!$B$22:$M$22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Gráficos!$B$23:$M$23</c:f>
              <c:numCache>
                <c:formatCode>_(* #,##0_);_(* \(#,##0\);_(* "-"_);_(@_)</c:formatCode>
                <c:ptCount val="12"/>
                <c:pt idx="1">
                  <c:v>29813870</c:v>
                </c:pt>
                <c:pt idx="2">
                  <c:v>83014864.99117288</c:v>
                </c:pt>
                <c:pt idx="3">
                  <c:v>108086494.86617288</c:v>
                </c:pt>
                <c:pt idx="4">
                  <c:v>165549112.80723679</c:v>
                </c:pt>
                <c:pt idx="5">
                  <c:v>86247816</c:v>
                </c:pt>
                <c:pt idx="6">
                  <c:v>62778573</c:v>
                </c:pt>
                <c:pt idx="7">
                  <c:v>62778573</c:v>
                </c:pt>
                <c:pt idx="8">
                  <c:v>62778573</c:v>
                </c:pt>
                <c:pt idx="11">
                  <c:v>13258047.600000001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B-449F-B4F2-2DA64ABD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93638496"/>
        <c:axId val="-1293637408"/>
      </c:barChart>
      <c:dateAx>
        <c:axId val="-12936384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1293637408"/>
        <c:crosses val="autoZero"/>
        <c:auto val="1"/>
        <c:lblOffset val="100"/>
        <c:baseTimeUnit val="months"/>
      </c:dateAx>
      <c:valAx>
        <c:axId val="-12936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12936384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PARTICIPACIÓN DE LOS INGRESOS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98-49A1-B768-21FB86E557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98-49A1-B768-21FB86E557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98-49A1-B768-21FB86E557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398-49A1-B768-21FB86E557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398-49A1-B768-21FB86E557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Gráficos!$A$3:$A$7</c:f>
              <c:strCache>
                <c:ptCount val="5"/>
                <c:pt idx="0">
                  <c:v>CONTRACTUAL</c:v>
                </c:pt>
                <c:pt idx="1">
                  <c:v>FFIE GRUPO 2</c:v>
                </c:pt>
                <c:pt idx="2">
                  <c:v>FFIE GRUPO 7</c:v>
                </c:pt>
                <c:pt idx="3">
                  <c:v>NUEVOS</c:v>
                </c:pt>
                <c:pt idx="4">
                  <c:v>OTRO SÍ</c:v>
                </c:pt>
              </c:strCache>
            </c:strRef>
          </c:cat>
          <c:val>
            <c:numRef>
              <c:f>Gráficos!$N$3:$N$7</c:f>
              <c:numCache>
                <c:formatCode>_(* #,##0_);_(* \(#,##0\);_(* "-"_);_(@_)</c:formatCode>
                <c:ptCount val="5"/>
                <c:pt idx="0">
                  <c:v>24736850614.161266</c:v>
                </c:pt>
                <c:pt idx="1">
                  <c:v>1162000335.79</c:v>
                </c:pt>
                <c:pt idx="2">
                  <c:v>2362306186.0536804</c:v>
                </c:pt>
                <c:pt idx="3">
                  <c:v>10055863009.500187</c:v>
                </c:pt>
                <c:pt idx="4">
                  <c:v>674305925.26458251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98-49A1-B768-21FB86E55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285756</xdr:colOff>
      <xdr:row>0</xdr:row>
      <xdr:rowOff>0</xdr:rowOff>
    </xdr:from>
    <xdr:to>
      <xdr:col>25</xdr:col>
      <xdr:colOff>284631</xdr:colOff>
      <xdr:row>18</xdr:row>
      <xdr:rowOff>171000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304800</xdr:colOff>
      <xdr:row>18</xdr:row>
      <xdr:rowOff>166687</xdr:rowOff>
    </xdr:from>
    <xdr:to>
      <xdr:col>25</xdr:col>
      <xdr:colOff>132450</xdr:colOff>
      <xdr:row>36</xdr:row>
      <xdr:rowOff>147187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257175</xdr:colOff>
      <xdr:row>18</xdr:row>
      <xdr:rowOff>166687</xdr:rowOff>
    </xdr:from>
    <xdr:to>
      <xdr:col>29</xdr:col>
      <xdr:colOff>257175</xdr:colOff>
      <xdr:row>36</xdr:row>
      <xdr:rowOff>147187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214312</xdr:colOff>
      <xdr:row>24</xdr:row>
      <xdr:rowOff>109537</xdr:rowOff>
    </xdr:from>
    <xdr:to>
      <xdr:col>11</xdr:col>
      <xdr:colOff>727537</xdr:colOff>
      <xdr:row>47</xdr:row>
      <xdr:rowOff>48037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171448</xdr:colOff>
      <xdr:row>1</xdr:row>
      <xdr:rowOff>14287</xdr:rowOff>
    </xdr:from>
    <xdr:to>
      <xdr:col>35</xdr:col>
      <xdr:colOff>513448</xdr:colOff>
      <xdr:row>23</xdr:row>
      <xdr:rowOff>143287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YECTO" refreshedDate="43594.439483796297" createdVersion="5" refreshedVersion="6" minRefreshableVersion="3" recordCount="1368" xr:uid="{00000000-000A-0000-FFFF-FFFF23000000}">
  <cacheSource type="worksheet">
    <worksheetSource ref="A1:Q1369" sheet="DATOS FC"/>
  </cacheSource>
  <cacheFields count="18">
    <cacheField name="CECO" numFmtId="0">
      <sharedItems containsMixedTypes="1" containsNumber="1" containsInteger="1" minValue="1385" maxValue="1900" count="61">
        <n v="1580"/>
        <n v="1588"/>
        <n v="1596"/>
        <n v="1687"/>
        <n v="1689"/>
        <n v="1701"/>
        <n v="1751"/>
        <n v="1758"/>
        <n v="1789"/>
        <n v="1802"/>
        <n v="1818"/>
        <n v="1829"/>
        <n v="1838"/>
        <n v="1846"/>
        <n v="1856"/>
        <n v="1860"/>
        <n v="1861"/>
        <n v="1873"/>
        <n v="1874"/>
        <n v="1881"/>
        <n v="1880"/>
        <n v="1877"/>
        <n v="1753"/>
        <n v="1723"/>
        <n v="1577"/>
        <n v="1622"/>
        <n v="1734"/>
        <n v="1888"/>
        <n v="1891"/>
        <n v="1895"/>
        <n v="1893"/>
        <n v="1890"/>
        <n v="1618"/>
        <n v="1715"/>
        <n v="1837"/>
        <n v="1845"/>
        <n v="1385"/>
        <n v="1899"/>
        <n v="1900"/>
        <n v="1790"/>
        <n v="1507"/>
        <n v="1744"/>
        <n v="1756"/>
        <n v="1804"/>
        <n v="1813"/>
        <n v="1857"/>
        <n v="1883"/>
        <n v="1884"/>
        <n v="1791"/>
        <n v="1453"/>
        <n v="1826"/>
        <n v="1858"/>
        <n v="1848"/>
        <n v="1806"/>
        <n v="1824"/>
        <n v="1866"/>
        <n v="1898"/>
        <n v="1700"/>
        <n v="1670"/>
        <n v="1706"/>
        <s v="TOTAL"/>
      </sharedItems>
    </cacheField>
    <cacheField name="FECHA" numFmtId="164">
      <sharedItems containsSemiMixedTypes="0" containsNonDate="0" containsDate="1" containsString="0" minDate="2019-01-01T00:00:00" maxDate="2021-10-02T00:00:00"/>
    </cacheField>
    <cacheField name="FECHA ESTIMADA PAGO" numFmtId="164">
      <sharedItems containsSemiMixedTypes="0" containsNonDate="0" containsDate="1" containsString="0" minDate="2019-01-23T08:29:02" maxDate="2021-11-22T11:54:18" count="1368">
        <d v="2019-02-10T12:00:21"/>
        <d v="2019-03-16T15:52:00"/>
        <d v="2019-05-25T13:05:35"/>
        <d v="2019-06-01T01:22:05"/>
        <d v="2019-06-28T01:07:10"/>
        <d v="2019-06-26T15:53:44"/>
        <d v="2019-08-12T17:38:49"/>
        <d v="2019-09-14T20:58:50"/>
        <d v="2019-11-03T14:00:06"/>
        <d v="2019-12-03T14:55:11"/>
        <d v="2019-12-20T19:45:30"/>
        <d v="2019-12-15T19:01:31"/>
        <d v="2020-02-13T08:27:56"/>
        <d v="2020-05-20T08:17:41"/>
        <d v="2019-02-04T14:19:35"/>
        <d v="2019-04-26T14:52:17"/>
        <d v="2019-05-24T11:09:44"/>
        <d v="2019-03-05T11:11:03"/>
        <d v="2019-03-14T23:32:13"/>
        <d v="2019-05-12T03:02:18"/>
        <d v="2019-06-16T19:06:22"/>
        <d v="2019-06-20T20:24:04"/>
        <d v="2019-06-19T15:30:00"/>
        <d v="2019-02-23T08:26:05"/>
        <d v="2019-03-28T19:56:52"/>
        <d v="2019-04-13T00:46:55"/>
        <d v="2019-06-25T12:50:46"/>
        <d v="2019-02-12T16:11:44"/>
        <d v="2019-04-20T03:27:50"/>
        <d v="2019-04-25T04:58:34"/>
        <d v="2019-06-10T12:15:56"/>
        <d v="2019-07-18T03:17:35"/>
        <d v="2019-08-11T11:00:52"/>
        <d v="2019-08-30T02:26:32"/>
        <d v="2019-08-25T04:10:46"/>
        <d v="2019-11-29T13:37:47"/>
        <d v="2020-01-06T08:03:03"/>
        <d v="2020-01-12T19:37:39"/>
        <d v="2019-02-05T01:15:18"/>
        <d v="2019-03-27T01:38:30"/>
        <d v="2019-04-23T22:50:51"/>
        <d v="2019-06-16T07:22:24"/>
        <d v="2019-06-06T04:23:17"/>
        <d v="2019-08-03T12:10:20"/>
        <d v="2019-09-16T01:46:56"/>
        <d v="2019-10-12T15:15:45"/>
        <d v="2019-10-21T07:26:14"/>
        <d v="2019-12-03T18:55:34"/>
        <d v="2019-12-19T12:40:01"/>
        <d v="2020-01-27T07:09:07"/>
        <d v="2020-02-16T20:52:39"/>
        <d v="2019-02-08T01:11:45"/>
        <d v="2019-04-05T23:33:51"/>
        <d v="2019-02-15T20:32:04"/>
        <d v="2019-03-14T03:50:41"/>
        <d v="2019-04-23T21:51:45"/>
        <d v="2019-05-29T17:36:07"/>
        <d v="2019-06-23T08:27:26"/>
        <d v="2019-08-04T03:40:31"/>
        <d v="2019-09-13T02:10:32"/>
        <d v="2019-08-23T21:29:43"/>
        <d v="2019-09-30T03:17:58"/>
        <d v="2019-12-04T03:19:48"/>
        <d v="2019-12-03T15:24:21"/>
        <d v="2020-01-16T01:34:00"/>
        <d v="2019-03-26T21:22:16"/>
        <d v="2019-03-14T05:57:29"/>
        <d v="2019-04-06T16:45:45"/>
        <d v="2019-04-16T01:51:53"/>
        <d v="2019-05-26T08:08:33"/>
        <d v="2019-06-19T18:31:28"/>
        <d v="2019-07-30T20:06:50"/>
        <d v="2019-09-28T15:47:24"/>
        <d v="2019-10-30T19:38:54"/>
        <d v="2019-10-13T13:22:47"/>
        <d v="2019-11-20T01:30:26"/>
        <d v="2020-02-11T18:14:41"/>
        <d v="2020-03-18T21:14:28"/>
        <d v="2019-02-19T05:46:27"/>
        <d v="2019-03-13T13:46:55"/>
        <d v="2019-04-21T17:39:10"/>
        <d v="2019-05-17T01:54:41"/>
        <d v="2019-07-21T23:03:32"/>
        <d v="2019-07-30T04:21:31"/>
        <d v="2019-08-20T13:29:16"/>
        <d v="2019-10-24T11:33:26"/>
        <d v="2019-10-08T07:01:34"/>
        <d v="2019-11-20T12:36:20"/>
        <d v="2019-12-15T20:24:38"/>
        <d v="2020-01-27T15:32:01"/>
        <d v="2019-03-07T11:42:57"/>
        <d v="2019-04-07T13:27:10"/>
        <d v="2019-04-02T04:49:14"/>
        <d v="2019-05-24T05:37:42"/>
        <d v="2019-06-21T20:50:58"/>
        <d v="2019-07-02T20:06:16"/>
        <d v="2019-09-02T15:31:09"/>
        <d v="2019-10-25T01:57:18"/>
        <d v="2019-11-08T18:34:56"/>
        <d v="2019-12-01T13:10:47"/>
        <d v="2020-01-12T00:37:12"/>
        <d v="2020-01-10T01:33:10"/>
        <d v="2020-03-11T07:42:36"/>
        <d v="2020-03-15T04:26:29"/>
        <d v="2020-05-01T12:18:04"/>
        <d v="2020-05-31T10:06:10"/>
        <d v="2020-07-14T14:55:13"/>
        <d v="2020-08-12T01:09:42"/>
        <d v="2019-02-06T05:26:49"/>
        <d v="2019-03-28T03:56:37"/>
        <d v="2019-04-28T09:29:38"/>
        <d v="2019-03-01T11:41:47"/>
        <d v="2019-04-05T20:02:19"/>
        <d v="2019-05-11T15:42:34"/>
        <d v="2019-04-05T21:15:01"/>
        <d v="2019-03-07T12:23:14"/>
        <d v="2019-04-11T05:53:33"/>
        <d v="2019-05-13T11:54:59"/>
        <d v="2019-06-03T17:41:30"/>
        <d v="2019-07-28T00:35:48"/>
        <d v="2019-09-13T04:28:41"/>
        <d v="2019-09-28T00:32:32"/>
        <d v="2019-11-01T19:48:36"/>
        <d v="2019-12-11T20:43:59"/>
        <d v="2019-12-31T03:51:10"/>
        <d v="2020-01-27T05:46:38"/>
        <d v="2020-02-11T12:14:08"/>
        <d v="2020-03-13T07:45:57"/>
        <d v="2020-05-28T07:12:26"/>
        <d v="2020-06-12T03:52:43"/>
        <d v="2020-08-14T06:07:28"/>
        <d v="2020-07-23T04:23:49"/>
        <d v="2020-08-24T12:18:20"/>
        <d v="2020-09-19T22:13:19"/>
        <d v="2020-10-23T21:15:27"/>
        <d v="2020-11-21T09:27:19"/>
        <d v="2020-12-24T02:07:46"/>
        <d v="2021-01-18T03:28:40"/>
        <d v="2021-02-10T19:04:03"/>
        <d v="2021-04-14T19:48:12"/>
        <d v="2019-02-27T10:41:14"/>
        <d v="2019-04-10T03:47:06"/>
        <d v="2019-05-06T12:04:58"/>
        <d v="2019-05-25T05:40:39"/>
        <d v="2019-07-07T11:40:03"/>
        <d v="2019-08-15T12:02:58"/>
        <d v="2019-08-13T19:33:38"/>
        <d v="2019-09-20T16:59:06"/>
        <d v="2019-10-20T23:11:27"/>
        <d v="2019-12-07T04:03:45"/>
        <d v="2020-01-05T06:02:42"/>
        <d v="2020-02-05T09:02:47"/>
        <d v="2020-03-16T22:25:32"/>
        <d v="2020-04-04T05:13:22"/>
        <d v="2020-05-19T07:14:12"/>
        <d v="2020-06-11T14:23:09"/>
        <d v="2020-06-13T15:50:42"/>
        <d v="2020-07-04T07:51:47"/>
        <d v="2020-08-03T03:40:19"/>
        <d v="2020-10-20T17:00:22"/>
        <d v="2020-11-07T13:41:44"/>
        <d v="2020-11-29T10:31:16"/>
        <d v="2021-01-19T23:56:18"/>
        <d v="2021-02-25T12:27:36"/>
        <d v="2021-02-15T20:10:10"/>
        <d v="2021-03-26T07:19:33"/>
        <d v="2021-04-16T07:42:23"/>
        <d v="2021-04-24T20:02:34"/>
        <d v="2021-07-01T03:25:59"/>
        <d v="2021-07-13T23:52:42"/>
        <d v="2021-08-15T01:31:57"/>
        <d v="2019-03-20T15:17:28"/>
        <d v="2019-04-11T22:14:16"/>
        <d v="2019-04-28T07:17:32"/>
        <d v="2019-06-15T11:41:43"/>
        <d v="2019-06-08T08:24:02"/>
        <d v="2019-07-09T00:39:06"/>
        <d v="2019-09-17T16:55:37"/>
        <d v="2019-10-11T01:47:37"/>
        <d v="2019-11-18T18:56:32"/>
        <d v="2019-12-13T17:33:53"/>
        <d v="2019-12-25T22:06:52"/>
        <d v="2020-02-26T02:35:55"/>
        <d v="2020-03-06T02:15:23"/>
        <d v="2020-03-27T04:30:52"/>
        <d v="2020-05-08T20:14:09"/>
        <d v="2020-06-01T01:50:13"/>
        <d v="2020-07-07T22:54:29"/>
        <d v="2020-08-06T14:17:54"/>
        <d v="2020-09-09T07:44:14"/>
        <d v="2020-09-14T01:53:53"/>
        <d v="2020-09-09T13:13:17"/>
        <d v="2020-11-30T10:13:05"/>
        <d v="2021-01-27T23:55:44"/>
        <d v="2021-02-08T22:42:52"/>
        <d v="2019-02-17T19:45:28"/>
        <d v="2019-03-14T12:34:48"/>
        <d v="2019-06-08T00:05:28"/>
        <d v="2019-05-11T16:41:34"/>
        <d v="2019-06-25T00:03:42"/>
        <d v="2019-08-21T18:03:50"/>
        <d v="2019-08-26T04:13:09"/>
        <d v="2019-09-24T19:29:35"/>
        <d v="2019-11-26T10:42:40"/>
        <d v="2019-11-20T02:01:12"/>
        <d v="2019-12-31T18:11:04"/>
        <d v="2019-02-09T13:34:01"/>
        <d v="2019-04-06T01:34:57"/>
        <d v="2019-05-24T10:33:20"/>
        <d v="2019-05-21T20:19:00"/>
        <d v="2019-06-05T10:19:53"/>
        <d v="2019-08-23T23:14:51"/>
        <d v="2019-09-13T05:11:56"/>
        <d v="2019-11-06T01:23:47"/>
        <d v="2019-10-09T04:23:21"/>
        <d v="2019-11-19T15:00:12"/>
        <d v="2019-02-12T19:35:01"/>
        <d v="2019-03-19T14:23:56"/>
        <d v="2019-05-14T04:43:31"/>
        <d v="2019-06-05T20:11:17"/>
        <d v="2019-06-21T22:30:43"/>
        <d v="2019-08-24T19:06:34"/>
        <d v="2019-08-03T17:40:33"/>
        <d v="2019-10-11T21:00:11"/>
        <d v="2019-11-28T02:06:03"/>
        <d v="2019-12-26T05:25:40"/>
        <d v="2019-12-18T00:10:05"/>
        <d v="2019-12-20T23:18:14"/>
        <d v="2020-02-26T01:16:07"/>
        <d v="2020-04-20T04:06:19"/>
        <d v="2020-05-17T18:12:50"/>
        <d v="2020-06-15T06:45:51"/>
        <d v="2020-07-03T21:29:35"/>
        <d v="2020-07-18T06:46:43"/>
        <d v="2020-09-11T08:52:56"/>
        <d v="2019-03-05T06:16:02"/>
        <d v="2019-04-10T08:03:25"/>
        <d v="2019-04-02T04:21:26"/>
        <d v="2019-05-30T02:04:09"/>
        <d v="2019-06-12T02:24:39"/>
        <d v="2019-09-02T22:49:42"/>
        <d v="2019-03-14T11:48:22"/>
        <d v="2019-03-25T16:05:00"/>
        <d v="2019-05-06T06:08:40"/>
        <d v="2019-05-21T09:43:37"/>
        <d v="2019-06-22T01:50:36"/>
        <d v="2019-08-07T16:06:27"/>
        <d v="2019-09-01T14:51:14"/>
        <d v="2019-10-23T10:05:09"/>
        <d v="2019-11-13T15:52:16"/>
        <d v="2019-12-02T19:52:23"/>
        <d v="2020-01-12T15:47:56"/>
        <d v="2020-01-30T19:06:07"/>
        <d v="2020-02-02T05:43:26"/>
        <d v="2020-03-15T08:16:04"/>
        <d v="2020-05-07T21:25:12"/>
        <d v="2019-02-27T05:42:33"/>
        <d v="2019-02-22T16:51:49"/>
        <d v="2019-05-08T05:36:03"/>
        <d v="2019-04-30T09:04:22"/>
        <d v="2019-06-07T00:15:11"/>
        <d v="2019-05-26T15:37:07"/>
        <d v="2019-07-12T17:27:23"/>
        <d v="2019-03-04T19:43:35"/>
        <d v="2019-03-08T00:20:07"/>
        <d v="2019-05-02T14:36:39"/>
        <d v="2019-05-22T16:12:01"/>
        <d v="2019-06-17T08:18:03"/>
        <d v="2019-07-22T17:50:56"/>
        <d v="2019-08-14T08:35:25"/>
        <d v="2019-03-19T00:18:57"/>
        <d v="2019-03-20T18:32:57"/>
        <d v="2019-04-29T01:25:19"/>
        <d v="2019-06-05T05:10:14"/>
        <d v="2019-07-01T06:37:57"/>
        <d v="2019-09-06T12:57:16"/>
        <d v="2019-08-19T05:57:15"/>
        <d v="2019-10-15T07:06:25"/>
        <d v="2019-10-15T13:02:29"/>
        <d v="2019-11-19T17:09:03"/>
        <d v="2020-01-06T03:51:45"/>
        <d v="2020-02-02T21:54:36"/>
        <d v="2020-02-24T15:54:52"/>
        <d v="2020-04-12T08:28:37"/>
        <d v="2020-04-08T07:44:11"/>
        <d v="2020-06-22T07:31:47"/>
        <d v="2020-06-08T21:22:17"/>
        <d v="2020-09-07T08:51:11"/>
        <d v="2020-09-22T17:13:02"/>
        <d v="2020-10-06T22:48:55"/>
        <d v="2020-10-12T18:27:25"/>
        <d v="2020-12-08T12:41:05"/>
        <d v="2020-12-17T02:30:52"/>
        <d v="2021-01-08T16:58:32"/>
        <d v="2021-01-31T07:17:41"/>
        <d v="2021-03-28T00:53:29"/>
        <d v="2021-05-02T10:40:47"/>
        <d v="2021-06-18T22:07:31"/>
        <d v="2021-07-19T05:04:14"/>
        <d v="2021-08-07T14:09:58"/>
        <d v="2021-09-24T20:10:36"/>
        <d v="2021-10-27T20:36:42"/>
        <d v="2021-10-29T20:55:31"/>
        <d v="2021-11-17T14:45:11"/>
        <d v="2019-02-16T21:17:14"/>
        <d v="2019-05-01T23:36:59"/>
        <d v="2019-03-30T20:20:08"/>
        <d v="2019-06-16T02:04:22"/>
        <d v="2019-07-01T00:32:52"/>
        <d v="2019-07-17T15:06:05"/>
        <d v="2019-07-15T17:27:04"/>
        <d v="2019-10-04T18:29:03"/>
        <d v="2019-11-07T11:37:11"/>
        <d v="2019-12-10T13:32:52"/>
        <d v="2020-01-04T04:32:55"/>
        <d v="2020-02-14T09:55:29"/>
        <d v="2020-02-25T06:13:59"/>
        <d v="2020-04-10T08:54:54"/>
        <d v="2020-03-31T01:20:33"/>
        <d v="2020-05-09T00:42:54"/>
        <d v="2020-07-18T11:59:25"/>
        <d v="2020-08-22T04:17:38"/>
        <d v="2020-09-03T12:26:00"/>
        <d v="2020-09-15T13:28:36"/>
        <d v="2020-11-22T12:25:35"/>
        <d v="2019-04-28T07:02:41"/>
        <d v="2019-06-17T22:46:11"/>
        <d v="2019-08-07T08:52:33"/>
        <d v="2019-07-04T19:30:57"/>
        <d v="2019-08-22T02:16:26"/>
        <d v="2019-10-01T18:46:04"/>
        <d v="2019-11-17T21:59:10"/>
        <d v="2019-12-08T13:01:59"/>
        <d v="2020-01-14T23:06:07"/>
        <d v="2020-01-23T09:07:10"/>
        <d v="2020-03-11T04:10:56"/>
        <d v="2020-04-25T16:02:12"/>
        <d v="2020-03-22T10:26:37"/>
        <d v="2020-05-28T09:21:41"/>
        <d v="2020-06-28T20:02:32"/>
        <d v="2019-04-14T09:53:47"/>
        <d v="2019-04-29T11:22:25"/>
        <d v="2019-06-21T08:04:52"/>
        <d v="2019-06-18T02:29:32"/>
        <d v="2019-07-18T09:15:48"/>
        <d v="2019-09-21T08:17:56"/>
        <d v="2019-09-15T06:25:08"/>
        <d v="2019-11-23T23:38:01"/>
        <d v="2019-11-05T07:31:31"/>
        <d v="2019-12-09T01:43:47"/>
        <d v="2019-12-25T18:05:00"/>
        <d v="2020-03-03T03:02:40"/>
        <d v="2020-05-15T07:24:16"/>
        <d v="2020-05-28T18:08:25"/>
        <d v="2020-06-19T01:03:13"/>
        <d v="2020-06-29T21:53:10"/>
        <d v="2020-08-24T02:10:29"/>
        <d v="2020-09-01T23:45:58"/>
        <d v="2020-09-21T14:19:42"/>
        <d v="2020-11-17T12:42:29"/>
        <d v="2020-11-26T23:00:10"/>
        <d v="2020-12-15T10:05:55"/>
        <d v="2021-01-22T02:31:55"/>
        <d v="2019-03-16T17:00:15"/>
        <d v="2019-06-08T13:54:45"/>
        <d v="2019-03-01T04:58:53"/>
        <d v="2019-03-26T16:07:49"/>
        <d v="2019-03-27T18:21:02"/>
        <d v="2019-05-11T11:54:43"/>
        <d v="2019-05-31T23:19:41"/>
        <d v="2019-08-06T04:52:27"/>
        <d v="2019-09-06T07:27:15"/>
        <d v="2019-10-04T09:08:18"/>
        <d v="2019-09-24T19:34:49"/>
        <d v="2019-12-15T15:41:24"/>
        <d v="2019-12-08T00:26:14"/>
        <d v="2020-03-01T08:29:29"/>
        <d v="2020-02-27T00:00:00"/>
        <d v="2020-03-27T19:10:28"/>
        <d v="2020-05-05T19:34:59"/>
        <d v="2019-02-28T00:21:58"/>
        <d v="2019-04-18T19:01:50"/>
        <d v="2019-04-19T21:05:17"/>
        <d v="2019-07-03T23:31:35"/>
        <d v="2019-06-14T00:31:40"/>
        <d v="2019-07-28T09:44:51"/>
        <d v="2019-08-28T09:26:27"/>
        <d v="2019-11-03T20:54:54"/>
        <d v="2019-11-13T15:13:48"/>
        <d v="2019-12-21T04:30:25"/>
        <d v="2020-01-03T17:36:33"/>
        <d v="2020-01-15T05:00:39"/>
        <d v="2020-03-30T06:34:45"/>
        <d v="2020-03-07T14:30:55"/>
        <d v="2020-05-23T11:29:17"/>
        <d v="2020-06-24T07:13:39"/>
        <d v="2020-07-05T09:16:27"/>
        <d v="2020-08-19T19:09:38"/>
        <d v="2020-08-07T06:17:35"/>
        <d v="2020-10-28T10:10:00"/>
        <d v="2020-10-29T20:18:24"/>
        <d v="2020-11-23T09:50:41"/>
        <d v="2021-01-01T14:35:27"/>
        <d v="2021-02-26T00:17:10"/>
        <d v="2019-02-01T12:52:35"/>
        <d v="2019-03-14T11:31:44"/>
        <d v="2019-02-21T12:52:49"/>
        <d v="2019-04-12T16:19:29"/>
        <d v="2019-04-07T07:58:05"/>
        <d v="2019-03-23T01:20:11"/>
        <d v="2019-03-10T18:25:09"/>
        <d v="2019-04-01T07:33:00"/>
        <d v="2019-04-14T11:45:14"/>
        <d v="2019-04-27T06:13:27"/>
        <d v="2019-06-27T11:55:40"/>
        <d v="2019-07-25T04:39:35"/>
        <d v="2019-08-21T06:08:47"/>
        <d v="2019-10-12T00:43:02"/>
        <d v="2019-03-25T18:21:40"/>
        <d v="2019-04-03T05:26:24"/>
        <d v="2019-05-03T11:03:06"/>
        <d v="2019-06-04T23:06:36"/>
        <d v="2019-07-12T17:39:18"/>
        <d v="2019-04-09T02:35:43"/>
        <d v="2019-04-27T17:21:45"/>
        <d v="2019-07-09T09:59:43"/>
        <d v="2019-07-18T22:02:15"/>
        <d v="2019-09-20T20:22:15"/>
        <d v="2019-10-29T19:52:43"/>
        <d v="2019-10-27T15:02:06"/>
        <d v="2019-12-05T12:07:06"/>
        <d v="2019-12-13T06:49:08"/>
        <d v="2020-02-15T04:15:35"/>
        <d v="2020-03-12T20:10:45"/>
        <d v="2020-05-03T18:37:23"/>
        <d v="2020-05-09T15:01:01"/>
        <d v="2020-05-31T09:50:12"/>
        <d v="2020-06-28T11:07:29"/>
        <d v="2020-07-31T16:24:01"/>
        <d v="2020-09-07T13:43:36"/>
        <d v="2020-10-30T19:54:47"/>
        <d v="2020-11-08T00:45:01"/>
        <d v="2020-11-25T15:43:49"/>
        <d v="2021-01-08T10:05:43"/>
        <d v="2021-02-21T15:22:37"/>
        <d v="2021-03-15T21:31:53"/>
        <d v="2021-04-19T03:06:47"/>
        <d v="2021-04-25T14:28:00"/>
        <d v="2019-05-29T11:35:41"/>
        <d v="2019-07-29T17:10:55"/>
        <d v="2019-09-03T14:19:04"/>
        <d v="2019-08-28T10:09:33"/>
        <d v="2019-10-18T18:21:00"/>
        <d v="2019-10-27T14:53:56"/>
        <d v="2020-01-01T05:54:34"/>
        <d v="2019-12-28T23:16:58"/>
        <d v="2020-01-10T06:07:03"/>
        <d v="2020-03-14T08:36:52"/>
        <d v="2019-05-18T15:05:53"/>
        <d v="2019-06-16T05:25:18"/>
        <d v="2019-08-08T23:31:40"/>
        <d v="2019-09-29T21:46:51"/>
        <d v="2019-09-27T00:03:08"/>
        <d v="2019-10-10T02:15:25"/>
        <d v="2019-12-17T17:59:25"/>
        <d v="2020-01-24T12:56:33"/>
        <d v="2020-01-27T17:13:49"/>
        <d v="2020-03-18T05:26:25"/>
        <d v="2020-04-08T06:10:43"/>
        <d v="2020-04-23T17:13:48"/>
        <d v="2020-06-14T08:22:10"/>
        <d v="2019-08-04T19:52:51"/>
        <d v="2019-02-10T10:47:57"/>
        <d v="2019-04-21T23:39:43"/>
        <d v="2019-05-22T04:19:43"/>
        <d v="2019-05-23T00:54:08"/>
        <d v="2019-06-22T00:21:31"/>
        <d v="2019-08-25T02:40:11"/>
        <d v="2019-09-18T06:40:05"/>
        <d v="2019-09-17T22:03:08"/>
        <d v="2019-03-22T14:16:05"/>
        <d v="2019-03-28T01:47:24"/>
        <d v="2019-05-19T01:34:23"/>
        <d v="2019-06-03T08:12:49"/>
        <d v="2019-05-30T21:01:57"/>
        <d v="2020-03-08T14:05:06"/>
        <d v="2020-04-28T02:27:00"/>
        <d v="2019-03-07T23:22:28"/>
        <d v="2019-03-21T21:03:50"/>
        <d v="2019-03-31T20:55:00"/>
        <d v="2019-05-20T20:10:02"/>
        <d v="2019-06-04T21:55:09"/>
        <d v="2019-03-02T14:45:15"/>
        <d v="2019-03-30T15:06:22"/>
        <d v="2019-04-09T14:33:06"/>
        <d v="2019-06-13T06:12:48"/>
        <d v="2019-06-21T05:46:14"/>
        <d v="2019-07-14T17:06:11"/>
        <d v="2019-07-30T15:17:41"/>
        <d v="2019-09-21T07:17:41"/>
        <d v="2019-11-15T22:09:31"/>
        <d v="2020-01-25T16:24:06"/>
        <d v="2019-04-06T21:04:20"/>
        <d v="2019-04-20T00:45:02"/>
        <d v="2019-04-20T21:57:38"/>
        <d v="2019-05-09T20:03:39"/>
        <d v="2019-07-07T00:32:42"/>
        <d v="2019-09-01T14:31:55"/>
        <d v="2019-08-18T07:12:58"/>
        <d v="2019-10-26T21:05:31"/>
        <d v="2019-11-26T07:20:27"/>
        <d v="2019-12-22T21:47:06"/>
        <d v="2020-01-05T20:47:19"/>
        <d v="2020-02-19T09:30:41"/>
        <d v="2020-03-20T13:35:23"/>
        <d v="2020-04-06T08:24:47"/>
        <d v="2020-04-15T07:23:26"/>
        <d v="2020-06-04T08:32:54"/>
        <d v="2020-07-01T01:34:22"/>
        <d v="2020-07-01T14:23:18"/>
        <d v="2020-08-20T19:42:34"/>
        <d v="2020-09-30T07:10:43"/>
        <d v="2020-10-18T14:01:38"/>
        <d v="2020-11-02T03:22:29"/>
        <d v="2020-12-12T09:50:58"/>
        <d v="2021-03-08T15:16:50"/>
        <d v="2021-03-05T02:41:49"/>
        <d v="2021-03-29T15:47:48"/>
        <d v="2019-03-02T11:36:35"/>
        <d v="2019-04-03T02:37:55"/>
        <d v="2019-06-15T01:58:48"/>
        <d v="2019-05-29T15:32:08"/>
        <d v="2019-06-30T11:54:25"/>
        <d v="2019-08-03T07:43:40"/>
        <d v="2019-08-10T19:16:51"/>
        <d v="2019-09-14T08:19:01"/>
        <d v="2019-11-19T04:21:00"/>
        <d v="2019-12-22T16:10:15"/>
        <d v="2020-01-28T05:04:02"/>
        <d v="2020-01-28T02:03:50"/>
        <d v="2020-02-12T03:48:40"/>
        <d v="2019-03-18T05:29:02"/>
        <d v="2019-04-25T15:53:14"/>
        <d v="2019-05-13T01:47:51"/>
        <d v="2019-06-16T15:42:34"/>
        <d v="2019-06-26T16:25:45"/>
        <d v="2019-07-27T23:37:49"/>
        <d v="2019-08-16T21:43:49"/>
        <d v="2019-09-26T07:32:37"/>
        <d v="2019-10-28T19:43:29"/>
        <d v="2019-11-29T23:20:14"/>
        <d v="2019-12-19T19:08:35"/>
        <d v="2020-02-25T01:18:05"/>
        <d v="2019-04-02T20:55:10"/>
        <d v="2019-04-28T12:29:55"/>
        <d v="2019-04-17T06:35:32"/>
        <d v="2019-05-20T20:33:37"/>
        <d v="2019-07-28T08:14:02"/>
        <d v="2019-08-21T07:48:06"/>
        <d v="2019-08-08T19:08:59"/>
        <d v="2019-09-15T00:58:57"/>
        <d v="2019-10-17T04:24:52"/>
        <d v="2019-11-16T07:32:08"/>
        <d v="2019-12-16T02:51:05"/>
        <d v="2020-02-19T12:21:34"/>
        <d v="2019-02-06T23:29:33"/>
        <d v="2019-03-25T14:01:42"/>
        <d v="2019-05-13T15:38:29"/>
        <d v="2019-03-03T03:22:46"/>
        <d v="2019-04-23T13:40:02"/>
        <d v="2019-05-03T01:41:06"/>
        <d v="2019-06-04T11:28:41"/>
        <d v="2019-03-29T17:34:48"/>
        <d v="2019-04-20T11:02:21"/>
        <d v="2019-01-23T08:29:02"/>
        <d v="2019-04-21T22:49:18"/>
        <d v="2019-04-24T03:26:46"/>
        <d v="2019-05-29T11:02:18"/>
        <d v="2019-05-17T12:51:43"/>
        <d v="2019-02-07T05:02:56"/>
        <d v="2019-03-18T06:23:16"/>
        <d v="2019-03-11T05:06:58"/>
        <d v="2019-05-29T20:46:43"/>
        <d v="2019-07-09T17:07:40"/>
        <d v="2019-09-06T07:00:38"/>
        <d v="2019-04-13T11:52:12"/>
        <d v="2019-05-12T21:43:28"/>
        <d v="2019-05-15T15:15:11"/>
        <d v="2019-07-28T19:44:59"/>
        <d v="2019-07-14T05:52:16"/>
        <d v="2019-07-01T20:45:44"/>
        <d v="2019-10-15T15:18:59"/>
        <d v="2019-10-14T23:38:32"/>
        <d v="2019-12-07T16:29:10"/>
        <d v="2019-12-19T22:39:51"/>
        <d v="2020-02-09T00:51:11"/>
        <d v="2020-02-17T14:13:02"/>
        <d v="2020-04-21T14:05:07"/>
        <d v="2020-03-29T09:02:39"/>
        <d v="2019-04-28T16:55:26"/>
        <d v="2019-06-29T19:50:34"/>
        <d v="2019-06-21T07:00:36"/>
        <d v="2019-08-18T19:51:17"/>
        <d v="2019-08-31T09:53:39"/>
        <d v="2019-10-10T11:13:22"/>
        <d v="2020-01-02T10:43:05"/>
        <d v="2019-11-24T23:30:23"/>
        <d v="2019-12-24T16:42:16"/>
        <d v="2019-05-19T04:53:00"/>
        <d v="2019-06-24T00:02:46"/>
        <d v="2019-08-12T13:58:25"/>
        <d v="2019-06-17T02:16:58"/>
        <d v="2019-05-14T01:39:18"/>
        <d v="2019-08-26T18:50:15"/>
        <d v="2019-10-05T20:16:33"/>
        <d v="2019-11-06T06:56:54"/>
        <d v="2019-11-22T08:49:23"/>
        <d v="2019-05-02T03:32:36"/>
        <d v="2019-05-12T13:03:33"/>
        <d v="2020-02-07T09:00:11"/>
        <d v="2019-06-19T04:23:28"/>
        <d v="2019-07-31T19:58:17"/>
        <d v="2019-08-01T09:30:35"/>
        <d v="2019-09-05T14:30:21"/>
        <d v="2019-08-31T00:21:16"/>
        <d v="2019-10-19T18:22:55"/>
        <d v="2019-02-15T12:46:38"/>
        <d v="2019-04-21T20:42:14"/>
        <d v="2019-07-12T18:33:42"/>
        <d v="2019-08-03T21:26:59"/>
        <d v="2019-06-01T00:18:13"/>
        <d v="2019-06-01T22:11:22"/>
        <d v="2019-04-21T01:20:06"/>
        <d v="2019-04-16T18:41:48"/>
        <d v="2019-05-21T23:34:29"/>
        <d v="2019-05-17T07:54:12"/>
        <d v="2019-08-05T20:30:51"/>
        <d v="2019-08-04T09:06:44"/>
        <d v="2019-09-03T00:54:08"/>
        <d v="2019-09-06T17:19:00"/>
        <d v="2019-10-10T17:27:28"/>
        <d v="2019-11-12T09:23:59"/>
        <d v="2020-01-19T15:47:27"/>
        <d v="2020-01-12T01:03:05"/>
        <d v="2019-05-01T16:49:14"/>
        <d v="2019-06-14T13:48:28"/>
        <d v="2019-07-11T18:32:25"/>
        <d v="2019-07-30T22:54:06"/>
        <d v="2019-08-20T21:28:05"/>
        <d v="2019-09-17T20:38:37"/>
        <d v="2019-10-01T09:19:53"/>
        <d v="2019-11-27T23:54:03"/>
        <d v="2019-11-07T06:07:59"/>
        <d v="2020-02-05T17:03:02"/>
        <d v="2020-02-22T06:43:25"/>
        <d v="2019-03-04T03:49:00"/>
        <d v="2019-04-14T12:46:24"/>
        <d v="2019-05-04T20:58:10"/>
        <d v="2019-06-05T13:15:57"/>
        <d v="2019-08-21T09:45:32"/>
        <d v="2019-03-02T18:05:59"/>
        <d v="2019-04-13T16:43:34"/>
        <d v="2019-05-02T10:08:47"/>
        <d v="2019-06-04T18:29:45"/>
        <d v="2019-07-25T04:58:13"/>
        <d v="2019-08-21T17:39:05"/>
        <d v="2019-09-01T02:29:57"/>
        <d v="2019-11-03T10:41:07"/>
        <d v="2019-10-14T19:38:25"/>
        <d v="2019-10-31T15:59:30"/>
        <d v="2019-12-19T21:43:40"/>
        <d v="2020-01-17T18:38:49"/>
        <d v="2020-01-15T15:54:45"/>
        <d v="2020-03-28T03:18:49"/>
        <d v="2019-03-21T06:32:02"/>
        <d v="2019-05-02T05:22:13"/>
        <d v="2019-05-01T08:33:50"/>
        <d v="2019-02-15T00:35:52"/>
        <d v="2019-04-27T08:11:37"/>
        <d v="2019-05-17T08:00:30"/>
        <d v="2019-05-20T22:40:26"/>
        <d v="2019-07-01T18:03:39"/>
        <d v="2019-08-02T23:55:49"/>
        <d v="2019-02-26T07:43:02"/>
        <d v="2019-04-13T14:12:54"/>
        <d v="2019-04-16T15:17:38"/>
        <d v="2019-05-20T18:39:55"/>
        <d v="2019-02-25T08:50:38"/>
        <d v="2019-04-14T10:46:59"/>
        <d v="2019-05-22T10:23:01"/>
        <d v="2019-06-20T16:29:52"/>
        <d v="2019-06-20T02:43:27"/>
        <d v="2019-08-04T06:24:34"/>
        <d v="2019-08-23T22:21:04"/>
        <d v="2019-09-30T09:13:46"/>
        <d v="2019-11-25T03:56:44"/>
        <d v="2019-12-23T18:59:37"/>
        <d v="2019-11-29T14:12:39"/>
        <d v="2019-02-19T06:47:51"/>
        <d v="2019-04-26T18:15:38"/>
        <d v="2019-05-14T23:55:27"/>
        <d v="2019-05-29T06:53:42"/>
        <d v="2019-06-10T19:51:44"/>
        <d v="2019-07-13T06:16:18"/>
        <d v="2019-07-29T08:16:38"/>
        <d v="2019-11-05T23:59:35"/>
        <d v="2019-11-20T06:31:05"/>
        <d v="2019-11-08T08:05:57"/>
        <d v="2019-12-09T06:08:24"/>
        <d v="2020-02-11T10:48:39"/>
        <d v="2020-03-05T16:57:09"/>
        <d v="2019-03-31T07:35:09"/>
        <d v="2019-03-28T11:31:54"/>
        <d v="2019-02-11T17:15:17"/>
        <d v="2019-03-31T13:32:26"/>
        <d v="2019-05-06T11:45:59"/>
        <d v="2019-06-28T10:56:37"/>
        <d v="2019-07-17T01:41:16"/>
        <d v="2019-09-22T08:48:38"/>
        <d v="2019-10-02T13:18:09"/>
        <d v="2019-09-19T21:48:41"/>
        <d v="2019-11-03T20:47:32"/>
        <d v="2019-12-03T16:29:30"/>
        <d v="2019-12-06T13:52:29"/>
        <d v="2020-02-24T21:17:35"/>
        <d v="2019-02-11T16:18:04"/>
        <d v="2019-03-29T01:41:26"/>
        <d v="2019-02-28T11:38:32"/>
        <d v="2019-05-02T13:54:17"/>
        <d v="2019-06-07T21:36:32"/>
        <d v="2019-06-30T00:44:26"/>
        <d v="2019-07-15T14:02:07"/>
        <d v="2019-08-05T14:23:45"/>
        <d v="2019-10-02T14:52:14"/>
        <d v="2019-11-08T23:49:03"/>
        <d v="2019-11-15T05:55:19"/>
        <d v="2020-01-08T05:19:22"/>
        <d v="2020-03-01T05:43:21"/>
        <d v="2019-02-08T06:31:23"/>
        <d v="2019-04-27T01:41:26"/>
        <d v="2019-06-01T01:22:09"/>
        <d v="2019-06-22T20:08:39"/>
        <d v="2019-07-23T03:36:06"/>
        <d v="2019-08-05T22:44:13"/>
        <d v="2019-09-18T19:34:38"/>
        <d v="2019-09-21T08:23:30"/>
        <d v="2019-10-18T01:14:21"/>
        <d v="2019-12-26T02:39:50"/>
        <d v="2020-01-12T17:13:52"/>
        <d v="2020-03-04T11:22:50"/>
        <d v="2019-03-05T18:30:59"/>
        <d v="2019-03-20T07:29:53"/>
        <d v="2019-04-28T00:54:38"/>
        <d v="2019-06-07T21:29:39"/>
        <d v="2019-06-26T13:14:30"/>
        <d v="2019-07-31T19:53:40"/>
        <d v="2019-07-24T04:52:02"/>
        <d v="2019-10-12T17:50:50"/>
        <d v="2019-09-29T03:34:47"/>
        <d v="2019-11-09T13:33:21"/>
        <d v="2019-12-29T07:15:43"/>
        <d v="2020-02-13T05:38:53"/>
        <d v="2020-03-11T01:35:46"/>
        <d v="2020-03-02T12:27:37"/>
        <d v="2020-05-03T06:05:29"/>
        <d v="2020-05-25T18:48:30"/>
        <d v="2020-06-27T00:55:18"/>
        <d v="2020-06-22T23:18:56"/>
        <d v="2019-02-23T21:15:54"/>
        <d v="2019-04-23T20:05:48"/>
        <d v="2019-03-31T16:32:32"/>
        <d v="2019-02-19T04:52:35"/>
        <d v="2019-03-14T16:10:24"/>
        <d v="2019-05-31T17:08:21"/>
        <d v="2019-03-05T00:17:02"/>
        <d v="2019-03-05T21:37:39"/>
        <d v="2019-05-17T09:13:31"/>
        <d v="2019-05-20T20:13:46"/>
        <d v="2019-07-12T11:52:33"/>
        <d v="2019-06-27T11:34:25"/>
        <d v="2019-09-13T05:33:56"/>
        <d v="2019-09-29T05:36:19"/>
        <d v="2019-11-23T00:32:42"/>
        <d v="2019-11-21T04:26:54"/>
        <d v="2020-01-12T01:12:53"/>
        <d v="2020-01-30T09:38:48"/>
        <d v="2020-02-19T14:29:37"/>
        <d v="2020-04-24T07:54:54"/>
        <d v="2020-05-30T23:23:47"/>
        <d v="2020-06-21T17:06:01"/>
        <d v="2020-05-26T16:43:17"/>
        <d v="2020-07-04T07:15:14"/>
        <d v="2020-08-08T01:48:57"/>
        <d v="2020-10-22T14:38:52"/>
        <d v="2020-10-28T17:49:20"/>
        <d v="2020-11-08T07:57:36"/>
        <d v="2020-12-18T11:35:36"/>
        <d v="2021-01-21T13:38:26"/>
        <d v="2021-03-22T17:01:55"/>
        <d v="2021-03-31T21:21:17"/>
        <d v="2019-02-25T22:12:48"/>
        <d v="2019-03-18T19:10:46"/>
        <d v="2019-05-06T19:28:32"/>
        <d v="2019-05-28T00:14:26"/>
        <d v="2019-06-13T15:25:29"/>
        <d v="2019-07-19T18:34:20"/>
        <d v="2019-09-22T06:17:50"/>
        <d v="2019-09-17T11:08:35"/>
        <d v="2019-10-20T05:18:29"/>
        <d v="2019-12-16T14:18:20"/>
        <d v="2019-12-14T00:40:52"/>
        <d v="2020-01-12T18:32:52"/>
        <d v="2020-03-04T21:43:41"/>
        <d v="2020-03-24T12:12:02"/>
        <d v="2020-05-04T11:01:31"/>
        <d v="2020-05-08T14:01:12"/>
        <d v="2020-06-12T22:09:12"/>
        <d v="2020-09-19T19:15:14"/>
        <d v="2020-09-19T22:21:59"/>
        <d v="2020-09-07T10:06:21"/>
        <d v="2020-11-13T06:19:01"/>
        <d v="2020-10-27T15:59:51"/>
        <d v="2021-01-07T06:32:21"/>
        <d v="2020-12-11T15:11:37"/>
        <d v="2021-03-10T23:12:41"/>
        <d v="2021-04-19T12:38:00"/>
        <d v="2021-05-10T18:11:13"/>
        <d v="2021-05-25T22:54:37"/>
        <d v="2021-07-12T21:42:04"/>
        <d v="2021-07-27T07:44:22"/>
        <d v="2021-09-27T09:46:23"/>
        <d v="2019-04-08T08:00:22"/>
        <d v="2019-03-22T15:18:27"/>
        <d v="2019-04-27T13:25:04"/>
        <d v="2019-05-30T17:45:23"/>
        <d v="2019-06-10T16:27:30"/>
        <d v="2019-07-06T04:56:43"/>
        <d v="2019-08-18T14:53:36"/>
        <d v="2019-09-09T06:15:44"/>
        <d v="2019-10-25T03:08:07"/>
        <d v="2019-12-04T20:33:47"/>
        <d v="2020-01-31T20:16:01"/>
        <d v="2020-01-15T17:51:59"/>
        <d v="2020-03-13T19:12:09"/>
        <d v="2020-03-25T22:03:24"/>
        <d v="2020-04-05T12:40:43"/>
        <d v="2020-05-09T14:46:04"/>
        <d v="2020-07-05T11:29:40"/>
        <d v="2020-07-15T16:13:48"/>
        <d v="2020-08-23T02:32:44"/>
        <d v="2020-09-04T23:36:49"/>
        <d v="2020-11-10T14:55:09"/>
        <d v="2020-12-22T05:53:35"/>
        <d v="2020-11-25T17:12:57"/>
        <d v="2021-01-31T23:06:49"/>
        <d v="2019-03-09T04:58:07"/>
        <d v="2019-03-16T16:17:08"/>
        <d v="2019-04-15T19:47:32"/>
        <d v="2019-05-30T20:28:52"/>
        <d v="2019-06-15T13:54:42"/>
        <d v="2019-07-16T14:42:53"/>
        <d v="2019-08-26T03:46:50"/>
        <d v="2019-09-01T15:39:59"/>
        <d v="2019-11-07T20:57:13"/>
        <d v="2019-11-25T17:21:58"/>
        <d v="2019-12-17T10:30:45"/>
        <d v="2019-03-01T16:45:57"/>
        <d v="2019-03-28T14:31:19"/>
        <d v="2019-04-28T05:12:04"/>
        <d v="2019-04-04T19:13:31"/>
        <d v="2019-06-23T18:43:34"/>
        <d v="2019-07-20T10:42:48"/>
        <d v="2019-10-03T12:29:40"/>
        <d v="2019-09-29T17:28:19"/>
        <d v="2019-11-18T17:57:00"/>
        <d v="2019-11-30T09:24:43"/>
        <d v="2019-02-24T09:32:14"/>
        <d v="2019-03-23T03:45:55"/>
        <d v="2019-05-01T08:56:22"/>
        <d v="2019-06-19T03:26:32"/>
        <d v="2019-06-15T04:27:52"/>
        <d v="2019-07-26T17:17:29"/>
        <d v="2019-09-11T07:06:21"/>
        <d v="2019-09-14T07:19:53"/>
        <d v="2019-10-04T23:24:45"/>
        <d v="2019-11-16T07:25:33"/>
        <d v="2020-01-26T00:46:04"/>
        <d v="2020-02-10T00:03:36"/>
        <d v="2020-03-02T06:04:12"/>
        <d v="2020-04-01T09:16:49"/>
        <d v="2020-04-18T22:04:27"/>
        <d v="2020-05-13T19:36:06"/>
        <d v="2020-07-21T00:03:20"/>
        <d v="2020-08-16T04:56:12"/>
        <d v="2020-10-11T05:34:23"/>
        <d v="2019-03-05T10:34:19"/>
        <d v="2019-03-29T02:50:52"/>
        <d v="2019-05-11T14:42:04"/>
        <d v="2019-05-06T00:08:52"/>
        <d v="2019-05-16T12:35:58"/>
        <d v="2019-07-16T12:29:43"/>
        <d v="2019-02-28T12:11:18"/>
        <d v="2019-05-12T21:33:29"/>
        <d v="2019-04-21T14:54:01"/>
        <d v="2019-07-08T05:23:54"/>
        <d v="2019-05-27T04:21:45"/>
        <d v="2019-08-02T23:54:00"/>
        <d v="2019-10-06T07:44:54"/>
        <d v="2019-09-13T22:44:25"/>
        <d v="2019-11-17T20:20:09"/>
        <d v="2019-11-26T19:53:54"/>
        <d v="2020-02-08T10:45:08"/>
        <d v="2020-01-07T22:34:38"/>
        <d v="2020-03-15T10:36:36"/>
        <d v="2020-03-28T17:18:10"/>
        <d v="2020-04-20T16:48:53"/>
        <d v="2019-03-21T19:17:22"/>
        <d v="2019-04-04T06:42:19"/>
        <d v="2019-04-16T16:46:33"/>
        <d v="2019-04-29T20:36:03"/>
        <d v="2019-04-28T15:51:10"/>
        <d v="2019-06-22T10:29:41"/>
        <d v="2019-08-09T05:39:11"/>
        <d v="2019-02-16T09:32:52"/>
        <d v="2019-03-22T20:08:43"/>
        <d v="2019-05-01T14:30:51"/>
        <d v="2019-06-02T10:27:11"/>
        <d v="2019-07-02T06:30:49"/>
        <d v="2019-07-30T17:19:46"/>
        <d v="2019-09-11T09:05:40"/>
        <d v="2019-03-14T01:27:35"/>
        <d v="2019-04-25T21:14:42"/>
        <d v="2019-05-01T17:59:32"/>
        <d v="2019-04-26T17:04:03"/>
        <d v="2019-05-16T03:36:58"/>
        <d v="2019-08-31T11:11:20"/>
        <d v="2019-09-14T00:41:31"/>
        <d v="2019-09-06T22:05:39"/>
        <d v="2019-11-22T07:04:43"/>
        <d v="2019-11-27T02:38:59"/>
        <d v="2019-12-16T03:18:22"/>
        <d v="2020-01-18T08:49:58"/>
        <d v="2020-02-19T04:18:01"/>
        <d v="2020-04-17T12:12:34"/>
        <d v="2020-04-28T12:54:01"/>
        <d v="2020-06-17T08:54:23"/>
        <d v="2020-07-19T05:20:05"/>
        <d v="2020-08-27T05:32:25"/>
        <d v="2020-09-03T15:15:19"/>
        <d v="2020-10-05T18:23:47"/>
        <d v="2020-11-25T10:39:19"/>
        <d v="2020-11-26T11:53:27"/>
        <d v="2021-01-02T15:54:31"/>
        <d v="2021-02-03T03:20:50"/>
        <d v="2021-03-21T22:44:03"/>
        <d v="2021-03-14T09:17:38"/>
        <d v="2021-04-21T01:38:45"/>
        <d v="2021-06-11T08:53:05"/>
        <d v="2021-05-26T19:25:46"/>
        <d v="2021-07-28T01:36:18"/>
        <d v="2021-08-27T01:13:39"/>
        <d v="2021-10-30T18:07:17"/>
        <d v="2021-11-19T10:53:49"/>
        <d v="2021-11-22T11:54:18"/>
        <d v="2019-02-13T04:08:52"/>
        <d v="2019-04-11T23:29:05"/>
        <d v="2019-05-06T11:35:17"/>
        <d v="2019-06-20T17:46:47"/>
        <d v="2019-06-28T07:08:55"/>
        <d v="2019-08-15T12:23:30"/>
        <d v="2019-09-02T15:02:36"/>
        <d v="2019-09-12T01:27:23"/>
        <d v="2019-10-28T10:35:28"/>
        <d v="2019-12-04T11:35:30"/>
        <d v="2019-12-04T02:45:29"/>
        <d v="2020-01-30T01:03:47"/>
        <d v="2020-03-04T07:18:01"/>
        <d v="2020-04-14T12:53:21"/>
        <d v="2020-05-18T13:30:34"/>
        <d v="2020-06-21T17:43:22"/>
        <d v="2020-07-13T12:36:19"/>
        <d v="2020-07-06T23:48:52"/>
        <d v="2020-08-28T05:42:17"/>
        <d v="2020-10-02T05:59:14"/>
        <d v="2020-10-26T17:37:42"/>
        <d v="2019-05-01T18:29:09"/>
        <d v="2019-06-14T00:52:24"/>
        <d v="2019-07-09T20:47:39"/>
        <d v="2019-08-19T16:00:31"/>
        <d v="2019-07-27T22:54:32"/>
        <d v="2019-10-26T01:30:56"/>
        <d v="2019-10-20T22:07:28"/>
        <d v="2019-11-10T03:32:39"/>
        <d v="2020-01-15T15:11:02"/>
        <d v="2020-01-21T07:06:21"/>
        <d v="2020-03-01T09:35:09"/>
        <d v="2020-04-11T17:50:00"/>
        <d v="2020-05-13T12:56:19"/>
        <d v="2020-05-30T06:02:50"/>
        <d v="2020-06-13T06:38:26"/>
        <d v="2019-04-11T17:13:49"/>
        <d v="2019-04-16T09:34:23"/>
        <d v="2019-06-11T01:07:21"/>
        <d v="2019-07-20T18:40:59"/>
        <d v="2019-09-01T09:26:06"/>
        <d v="2019-07-29T04:32:08"/>
        <d v="2019-10-11T02:30:05"/>
        <d v="2019-10-13T15:21:23"/>
        <d v="2019-12-05T11:27:45"/>
        <d v="2019-12-21T01:37:27"/>
        <d v="2020-03-11T01:55:15"/>
        <d v="2020-02-26T19:30:22"/>
        <d v="2020-04-29T10:10:55"/>
        <d v="2020-04-26T13:04:25"/>
        <d v="2020-06-06T01:58:34"/>
        <d v="2020-06-19T06:48:55"/>
        <d v="2020-07-11T20:09:15"/>
        <d v="2020-08-19T21:13:27"/>
        <d v="2020-10-17T04:19:16"/>
        <d v="2020-12-07T23:34:12"/>
        <d v="2020-11-30T04:42:33"/>
        <d v="2020-12-08T06:57:57"/>
        <d v="2021-01-15T14:12:02"/>
        <d v="2019-03-03T15:29:29"/>
        <d v="2019-06-20T11:02:19"/>
        <d v="2019-02-14T21:15:27"/>
        <d v="2019-04-08T02:57:09"/>
        <d v="2019-05-24T18:25:12"/>
        <d v="2019-05-19T23:03:42"/>
        <d v="2019-07-07T12:13:46"/>
        <d v="2019-08-13T16:21:31"/>
        <d v="2019-08-07T23:38:21"/>
        <d v="2019-09-17T18:15:02"/>
        <d v="2019-10-19T10:58:14"/>
        <d v="2019-11-27T09:13:06"/>
        <d v="2019-12-23T18:54:05"/>
        <d v="2020-01-07T03:26:55"/>
        <d v="2020-04-20T14:09:17"/>
        <d v="2020-04-09T20:36:19"/>
        <d v="2020-03-31T23:29:36"/>
        <d v="2019-03-05T21:52:13"/>
        <d v="2019-03-19T03:29:54"/>
        <d v="2019-05-05T04:39:41"/>
        <d v="2019-05-12T04:47:51"/>
        <d v="2019-06-16T22:41:00"/>
        <d v="2019-07-20T18:14:35"/>
        <d v="2019-08-19T15:31:39"/>
        <d v="2019-09-29T15:19:46"/>
        <d v="2019-12-13T07:33:20"/>
        <d v="2019-12-09T12:24:30"/>
        <d v="2020-01-17T18:29:02"/>
        <d v="2020-01-28T08:29:46"/>
        <d v="2020-04-02T19:51:15"/>
        <d v="2020-04-02T00:37:40"/>
        <d v="2020-04-18T18:16:19"/>
        <d v="2020-06-17T14:01:58"/>
        <d v="2020-05-29T19:10:47"/>
        <d v="2020-08-12T22:00:18"/>
        <d v="2020-07-27T09:54:49"/>
        <d v="2020-09-11T06:51:47"/>
        <d v="2020-10-10T06:25:36"/>
        <d v="2020-11-26T21:11:32"/>
        <d v="2020-11-23T10:57:38"/>
        <d v="2021-01-13T00:29:04"/>
        <d v="2019-03-17T07:24:02"/>
        <d v="2019-04-03T20:13:26"/>
        <d v="2019-02-11T19:39:51"/>
        <d v="2019-04-20T09:55:11"/>
        <d v="2019-04-15T21:34:01"/>
        <d v="2019-02-14T23:18:20"/>
        <d v="2019-03-24T18:10:29"/>
        <d v="2019-04-01T20:18:29"/>
        <d v="2019-05-15T11:27:42"/>
        <d v="2019-07-06T13:46:47"/>
        <d v="2019-06-30T21:20:37"/>
        <d v="2019-08-27T05:55:31"/>
        <d v="2019-08-18T08:00:26"/>
        <d v="2019-09-28T08:03:43"/>
        <d v="2019-04-03T06:33:43"/>
        <d v="2019-03-28T08:07:04"/>
        <d v="2019-04-18T03:19:58"/>
        <d v="2019-05-26T06:22:02"/>
        <d v="2019-06-26T17:32:57"/>
        <d v="2019-04-30T08:37:04"/>
        <d v="2019-06-04T02:01:07"/>
        <d v="2019-07-15T04:04:18"/>
        <d v="2019-08-02T10:39:05"/>
        <d v="2019-08-24T20:47:55"/>
        <d v="2019-09-14T12:05:44"/>
        <d v="2019-11-12T01:43:10"/>
        <d v="2019-12-15T11:49:17"/>
        <d v="2019-12-02T10:05:25"/>
        <d v="2020-01-01T16:54:21"/>
        <d v="2020-03-21T14:22:04"/>
        <d v="2020-06-03T03:44:27"/>
        <d v="2020-04-17T21:37:31"/>
        <d v="2020-06-01T13:25:36"/>
        <d v="2020-06-10T06:10:35"/>
        <d v="2020-08-06T04:18:48"/>
        <d v="2020-09-28T00:33:45"/>
        <d v="2020-09-06T04:26:28"/>
        <d v="2020-10-09T09:12:39"/>
        <d v="2020-12-12T23:24:35"/>
        <d v="2020-12-14T15:40:23"/>
        <d v="2020-12-31T08:34:51"/>
        <d v="2021-03-02T01:56:41"/>
        <d v="2021-04-22T02:33:37"/>
        <d v="2021-04-20T01:35:18"/>
        <d v="2019-06-15T17:24:38"/>
        <d v="2019-06-13T12:23:41"/>
        <d v="2019-08-11T18:33:47"/>
        <d v="2019-08-05T04:29:01"/>
        <d v="2019-10-09T21:27:41"/>
        <d v="2019-10-28T12:45:15"/>
        <d v="2019-12-26T01:14:33"/>
        <d v="2020-01-02T07:11:18"/>
        <d v="2020-02-14T18:53:33"/>
        <d v="2020-03-30T14:21:40"/>
        <d v="2019-05-17T07:28:42"/>
        <d v="2019-07-13T06:28:43"/>
        <d v="2019-06-15T08:06:13"/>
        <d v="2019-08-08T00:09:58"/>
        <d v="2019-08-29T00:35:09"/>
        <d v="2019-09-26T22:32:39"/>
        <d v="2019-11-13T19:02:18"/>
        <d v="2019-12-17T22:42:17"/>
        <d v="2020-01-26T23:24:54"/>
        <d v="2020-01-20T13:57:32"/>
        <d v="2020-04-25T08:18:57"/>
        <d v="2020-04-18T05:07:57"/>
        <d v="2020-05-28T09:01:34"/>
        <d v="2019-08-08T20:48:44"/>
        <d v="2019-03-28T00:52:35"/>
        <d v="2019-03-15T12:58:20"/>
        <d v="2019-04-30T21:48:38"/>
        <d v="2019-06-07T00:00:55"/>
        <d v="2019-07-12T23:34:58"/>
        <d v="2019-08-09T02:45:59"/>
        <d v="2019-09-16T20:16:04"/>
        <d v="2019-09-28T11:54:37"/>
        <d v="2019-02-15T16:40:06"/>
        <d v="2019-04-19T03:12:33"/>
        <d v="2019-05-01T10:00:04"/>
        <d v="2019-05-31T18:35:19"/>
        <d v="2019-06-25T05:04:22"/>
        <d v="2020-03-12T18:19:45"/>
        <d v="2020-04-07T10:04:31"/>
        <d v="2019-03-18T16:07:05"/>
        <d v="2019-02-25T00:13:08"/>
        <d v="2019-03-28T05:56:38"/>
        <d v="2019-04-27T01:22:01"/>
        <d v="2019-05-11T13:27:10"/>
        <d v="2019-03-16T03:35:46"/>
        <d v="2019-03-26T20:55:21"/>
        <d v="2019-04-17T14:26:21"/>
        <d v="2019-06-13T23:24:18"/>
        <d v="2019-07-13T22:31:42"/>
        <d v="2019-08-01T18:32:14"/>
        <d v="2019-09-23T02:17:24"/>
        <d v="2019-10-21T16:09:59"/>
        <d v="2019-11-10T10:34:37"/>
        <d v="2020-02-14T10:24:09"/>
        <d v="2019-04-13T06:13:08"/>
        <d v="2019-04-16T05:47:29"/>
        <d v="2019-04-30T13:21:28"/>
        <d v="2019-05-06T14:10:10"/>
        <d v="2019-06-18T15:42:17"/>
        <d v="2019-08-03T21:21:37"/>
        <d v="2019-09-14T23:01:39"/>
        <d v="2019-09-19T20:25:13"/>
        <d v="2019-09-28T11:51:54"/>
        <d v="2019-12-05T15:34:14"/>
        <d v="2019-12-23T11:32:35"/>
        <d v="2020-01-05T17:18:04"/>
        <d v="2020-02-08T01:13:15"/>
        <d v="2020-04-06T23:04:54"/>
        <d v="2020-03-29T23:54:34"/>
        <d v="2020-05-26T09:19:47"/>
        <d v="2020-08-09T19:16:15"/>
        <d v="2020-08-07T10:37:37"/>
        <d v="2020-07-21T22:43:10"/>
        <d v="2020-10-10T20:22:07"/>
        <d v="2020-11-29T20:38:35"/>
        <d v="2020-11-19T11:29:56"/>
        <d v="2020-12-28T17:34:52"/>
        <d v="2021-01-28T01:11:30"/>
        <d v="2021-03-31T17:04:48"/>
        <d v="2021-04-03T06:25:55"/>
        <d v="2019-02-16T10:26:07"/>
        <d v="2019-04-12T02:58:58"/>
        <d v="2019-05-02T14:58:06"/>
        <d v="2019-05-15T19:44:49"/>
        <d v="2019-07-06T12:00:09"/>
        <d v="2019-06-25T20:38:20"/>
        <d v="2019-08-24T04:00:45"/>
        <d v="2019-09-24T14:48:36"/>
        <d v="2019-10-27T05:43:39"/>
        <d v="2019-11-21T08:50:46"/>
        <d v="2020-01-10T23:33:31"/>
        <d v="2020-01-18T09:59:59"/>
        <d v="2020-02-17T16:57:16"/>
        <d v="2019-02-22T18:50:03"/>
        <d v="2019-03-04T03:13:36"/>
        <d v="2019-05-27T12:29:40"/>
        <d v="2019-05-24T22:41:23"/>
        <d v="2019-06-12T09:21:12"/>
        <d v="2019-08-09T11:23:06"/>
        <d v="2019-10-08T08:56:43"/>
        <d v="2019-10-04T22:15:23"/>
        <d v="2019-11-15T13:12:49"/>
        <d v="2019-10-17T20:59:40"/>
        <d v="2019-12-13T17:07:22"/>
        <d v="2020-02-21T22:11:51"/>
        <d v="2019-05-11T05:16:07"/>
        <d v="2019-04-22T01:58:09"/>
        <d v="2019-04-17T10:14:55"/>
        <d v="2019-06-05T15:24:05"/>
        <d v="2019-07-16T07:56:17"/>
        <d v="2019-07-29T09:50:38"/>
        <d v="2019-08-08T20:18:51"/>
        <d v="2019-08-24T06:15:23"/>
        <d v="2019-10-09T11:03:03"/>
        <d v="2020-01-01T09:17:04"/>
        <d v="2019-12-12T08:18:10"/>
        <d v="2020-01-25T16:46:34"/>
        <d v="2019-03-27T16:02:33"/>
        <d v="2019-04-27T17:02:37"/>
        <d v="2019-05-22T08:01:18"/>
        <d v="2019-03-28T09:01:52"/>
        <d v="2019-02-28T13:09:53"/>
        <d v="2019-04-19T02:25:17"/>
        <d v="2019-06-27T14:43:42"/>
        <d v="2019-03-30T08:08:03"/>
        <d v="2019-04-28T01:38:17"/>
        <d v="2019-03-20T03:31:59"/>
        <d v="2019-03-22T07:01:06"/>
        <d v="2019-05-06T02:35:13"/>
        <d v="2019-05-09T12:25:26"/>
        <d v="2019-08-05T23:18:48"/>
        <d v="2019-03-12T02:50:47"/>
        <d v="2019-03-08T23:12:04"/>
        <d v="2019-05-23T21:52:50"/>
        <d v="2019-06-01T12:53:54"/>
        <d v="2019-06-05T06:46:44"/>
        <d v="2019-08-12T15:40:12"/>
        <d v="2019-02-15T21:10:15"/>
        <d v="2019-05-03T13:42:52"/>
        <d v="2019-04-25T19:12:17"/>
        <d v="2019-08-03T10:06:35"/>
        <d v="2019-08-03T10:43:34"/>
        <d v="2019-08-22T03:17:57"/>
        <d v="2019-10-13T00:24:57"/>
        <d v="2019-12-15T09:54:05"/>
        <d v="2019-11-05T08:34:55"/>
        <d v="2020-01-01T02:47:37"/>
        <d v="2020-02-15T06:04:11"/>
        <d v="2020-02-23T07:28:40"/>
        <d v="2020-04-05T11:27:31"/>
        <d v="2020-05-08T11:28:23"/>
        <d v="2019-04-24T05:27:17"/>
        <d v="2019-05-15T17:54:45"/>
        <d v="2019-07-17T12:03:03"/>
        <d v="2019-08-02T18:31:39"/>
        <d v="2019-09-21T23:07:09"/>
        <d v="2019-10-03T10:43:46"/>
        <d v="2019-11-17T16:33:27"/>
        <d v="2019-11-27T14:05:59"/>
        <d v="2019-12-19T03:04:16"/>
        <d v="2019-05-15T23:09:11"/>
        <d v="2019-06-16T00:58:26"/>
        <d v="2019-07-15T11:33:45"/>
        <d v="2019-05-12T09:49:08"/>
        <d v="2019-06-07T10:36:59"/>
        <d v="2019-08-01T10:03:09"/>
        <d v="2019-09-17T07:23:13"/>
        <d v="2019-11-26T13:36:47"/>
        <d v="2019-12-17T06:44:46"/>
        <d v="2019-04-26T04:12:56"/>
        <d v="2019-06-12T13:11:29"/>
        <d v="2020-01-09T19:39:04"/>
        <d v="2019-05-23T02:09:03"/>
        <d v="2019-05-23T06:41:52"/>
        <d v="2019-09-17T19:28:19"/>
        <d v="2019-08-23T08:31:21"/>
        <d v="2019-08-26T14:15:56"/>
        <d v="2019-11-15T01:48:23"/>
        <d v="2019-04-27T14:37:15"/>
        <d v="2019-05-16T10:42:15"/>
        <d v="2019-06-05T20:52:32"/>
        <d v="2019-09-17T05:44:59"/>
        <d v="2019-06-05T01:02:05"/>
        <d v="2019-06-21T14:35:08"/>
        <d v="2019-02-05T06:42:15"/>
        <d v="2019-05-11T04:13:15"/>
        <d v="2019-04-25T14:53:22"/>
        <d v="2019-06-28T09:27:35"/>
        <d v="2019-08-02T21:40:18"/>
        <d v="2019-07-06T00:05:32"/>
        <d v="2019-08-09T19:56:30"/>
        <d v="2019-10-15T19:58:30"/>
        <d v="2019-09-22T14:42:51"/>
        <d v="2019-10-22T01:54:53"/>
        <d v="2020-01-24T00:40:16"/>
        <d v="2020-01-18T04:38:16"/>
        <d v="2019-05-13T14:59:10"/>
        <d v="2019-05-15T01:49:28"/>
        <d v="2019-06-29T15:14:48"/>
        <d v="2019-08-19T08:58:43"/>
        <d v="2019-08-20T01:10:35"/>
        <d v="2019-08-04T18:38:59"/>
        <d v="2019-10-20T09:47:55"/>
        <d v="2019-09-22T02:16:31"/>
        <d v="2019-12-05T13:22:06"/>
        <d v="2019-12-15T17:11:33"/>
        <d v="2020-01-20T06:03:16"/>
        <d v="2019-03-25T19:28:48"/>
        <d v="2019-03-08T18:32:20"/>
        <d v="2019-03-11T13:17:14"/>
        <d v="2019-06-06T01:07:09"/>
        <d v="2019-06-21T00:10:55"/>
        <d v="2019-04-14T12:40:40"/>
        <d v="2019-02-27T21:51:03"/>
        <d v="2019-04-26T18:38:26"/>
        <d v="2019-06-22T10:59:23"/>
        <d v="2019-06-18T18:28:59"/>
        <d v="2019-09-01T06:31:37"/>
        <d v="2019-09-08T08:27:27"/>
        <d v="2019-09-03T15:43:31"/>
        <d v="2019-11-20T21:10:10"/>
        <d v="2019-11-27T04:06:25"/>
        <d v="2019-12-15T11:54:55"/>
        <d v="2020-02-06T09:04:54"/>
        <d v="2019-03-26T08:00:47"/>
        <d v="2019-03-20T03:01:46"/>
        <d v="2019-05-19T13:41:42"/>
        <d v="2019-05-28T09:51:02"/>
        <d v="2019-07-01T22:09:44"/>
        <d v="2019-08-15T01:46:50"/>
        <d v="2019-09-15T01:25:52"/>
        <d v="2019-09-08T17:09:12"/>
        <d v="2019-11-10T17:39:13"/>
        <d v="2019-11-22T22:10:16"/>
        <d v="2019-12-29T04:58:51"/>
        <d v="2020-01-16T03:18:43"/>
        <d v="2019-02-28T13:38:39"/>
        <d v="2019-03-03T13:40:03"/>
        <d v="2019-04-14T11:41:43"/>
        <d v="2019-05-23T23:23:31"/>
        <d v="2019-07-09T15:03:27"/>
        <d v="2019-08-07T03:00:47"/>
        <d v="2019-07-17T07:45:06"/>
        <d v="2019-09-13T11:44:01"/>
        <d v="2019-11-11T12:40:05"/>
        <d v="2019-12-15T11:49:51"/>
        <d v="2019-12-16T19:23:00"/>
        <d v="2020-01-20T11:59:16"/>
        <d v="2019-01-27T09:48:24"/>
        <d v="2019-04-09T18:53:09"/>
        <d v="2019-05-25T00:56:32"/>
        <d v="2019-05-05T06:33:41"/>
        <d v="2019-06-22T21:34:56"/>
        <d v="2019-06-29T17:44:49"/>
        <d v="2019-08-31T17:08:46"/>
        <d v="2019-08-12T00:10:55"/>
        <d v="2019-10-18T15:44:15"/>
        <d v="2019-12-16T20:25:39"/>
        <d v="2020-01-17T00:44:03"/>
        <d v="2020-01-17T13:58:48"/>
      </sharedItems>
      <fieldGroup par="17" base="2">
        <rangePr groupBy="months" startDate="2019-01-23T08:29:02" endDate="2021-11-22T11:54:18"/>
        <groupItems count="14">
          <s v="&lt;23/0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2/11/2021"/>
        </groupItems>
      </fieldGroup>
    </cacheField>
    <cacheField name="ESCENARIOS FFIE" numFmtId="0">
      <sharedItems containsBlank="1" count="3">
        <s v="SIMULACIÓN FFIE 7 - ESCENARIO 2"/>
        <s v="SIMULACIÓN FFIE 7 - ESCENARIO 1"/>
        <m/>
      </sharedItems>
    </cacheField>
    <cacheField name="ESCENARIOS NUEVOS PROYECTOS" numFmtId="0">
      <sharedItems containsBlank="1" count="5">
        <m/>
        <s v="NUEVOS PROYECTOS - ESCENARIO 2"/>
        <s v="NUEVOS PROYECTOS - ESCENARIO 3"/>
        <s v="NUEVOS PROYECTOS - ESCENARIO 4"/>
        <s v="NUEVOS PROYECTOS - ESCENARIO 1"/>
      </sharedItems>
    </cacheField>
    <cacheField name="INGRESOS OPERACIONALES" numFmtId="165">
      <sharedItems containsSemiMixedTypes="0" containsString="0" containsNumber="1" minValue="0" maxValue="1806617631.1543489"/>
    </cacheField>
    <cacheField name="FM - REAL" numFmtId="2">
      <sharedItems containsSemiMixedTypes="0" containsString="0" containsNumber="1" minValue="0.65" maxValue="5.94"/>
    </cacheField>
    <cacheField name="FACTOR BRUTO" numFmtId="0">
      <sharedItems containsSemiMixedTypes="0" containsString="0" containsNumber="1" minValue="0.64700999999999997" maxValue="5.9126760000000003"/>
    </cacheField>
    <cacheField name="COSTOS DE VENTA" numFmtId="165">
      <sharedItems containsSemiMixedTypes="0" containsString="0" containsNumber="1" minValue="0" maxValue="1209977651.2988741"/>
    </cacheField>
    <cacheField name="UTILIDAD BRUTA" numFmtId="165">
      <sharedItems containsSemiMixedTypes="0" containsString="0" containsNumber="1" minValue="-311711211.22812271" maxValue="596639979.85547471"/>
    </cacheField>
    <cacheField name="COSTOS Y GASTOS" numFmtId="0">
      <sharedItems containsBlank="1" containsMixedTypes="1" containsNumber="1" minValue="278851.39193487825" maxValue="157518013.13690147"/>
    </cacheField>
    <cacheField name="EBITDA" numFmtId="165">
      <sharedItems containsMixedTypes="1" containsNumber="1" minValue="-458526220.48212349" maxValue="596639979.85547471"/>
    </cacheField>
    <cacheField name="COSTO FINANCIERO" numFmtId="178">
      <sharedItems containsSemiMixedTypes="0" containsString="0" containsNumber="1" minValue="0" maxValue="12295887.095834866"/>
    </cacheField>
    <cacheField name="UTILIDAD ANTES DE IMPUESTOS" numFmtId="165">
      <sharedItems containsMixedTypes="1" containsNumber="1" minValue="-464560682.58148611" maxValue="584344092.75963986"/>
    </cacheField>
    <cacheField name="SUB_TIPO" numFmtId="0">
      <sharedItems containsNonDate="0" containsString="0" containsBlank="1"/>
    </cacheField>
    <cacheField name="COMENTARIOS_CORRECCIÓN_MANUAL_OTRO_SI" numFmtId="0">
      <sharedItems containsNonDate="0" containsString="0" containsBlank="1"/>
    </cacheField>
    <cacheField name="TIPO_SERVICIO_NORMALIZADO" numFmtId="0">
      <sharedItems containsNonDate="0" containsString="0" containsBlank="1"/>
    </cacheField>
    <cacheField name="Años" numFmtId="0" databaseField="0">
      <fieldGroup base="2">
        <rangePr groupBy="years" startDate="2019-01-23T08:29:02" endDate="2021-11-22T11:54:18"/>
        <groupItems count="5">
          <s v="&lt;23/01/2019"/>
          <s v="2019"/>
          <s v="2020"/>
          <s v="2021"/>
          <s v="&gt;22/1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YECTO" refreshedDate="43594.439484953706" createdVersion="5" refreshedVersion="6" minRefreshableVersion="3" recordCount="1368" xr:uid="{00000000-000A-0000-FFFF-FFFF24000000}">
  <cacheSource type="worksheet">
    <worksheetSource ref="A1:P1369" sheet="DATOS INDICADORES"/>
  </cacheSource>
  <cacheFields count="19">
    <cacheField name="CECO" numFmtId="0">
      <sharedItems containsMixedTypes="1" containsNumber="1" containsInteger="1" minValue="1385" maxValue="1900" count="61">
        <n v="1580"/>
        <n v="1588"/>
        <n v="1596"/>
        <n v="1687"/>
        <n v="1689"/>
        <n v="1701"/>
        <n v="1751"/>
        <n v="1758"/>
        <n v="1789"/>
        <n v="1802"/>
        <n v="1818"/>
        <n v="1829"/>
        <n v="1838"/>
        <n v="1846"/>
        <n v="1856"/>
        <n v="1860"/>
        <n v="1861"/>
        <n v="1873"/>
        <n v="1874"/>
        <n v="1881"/>
        <n v="1880"/>
        <n v="1877"/>
        <n v="1753"/>
        <n v="1723"/>
        <n v="1577"/>
        <n v="1622"/>
        <n v="1734"/>
        <n v="1888"/>
        <n v="1891"/>
        <n v="1895"/>
        <n v="1893"/>
        <n v="1890"/>
        <n v="1618"/>
        <n v="1715"/>
        <n v="1837"/>
        <n v="1845"/>
        <n v="1385"/>
        <n v="1899"/>
        <n v="1900"/>
        <n v="1790"/>
        <n v="1507"/>
        <n v="1744"/>
        <n v="1756"/>
        <n v="1804"/>
        <n v="1813"/>
        <n v="1857"/>
        <n v="1883"/>
        <n v="1884"/>
        <n v="1791"/>
        <n v="1453"/>
        <n v="1826"/>
        <n v="1858"/>
        <n v="1848"/>
        <n v="1806"/>
        <n v="1824"/>
        <n v="1866"/>
        <n v="1898"/>
        <n v="1700"/>
        <n v="1670"/>
        <n v="1706"/>
        <s v="TOTAL"/>
      </sharedItems>
    </cacheField>
    <cacheField name="FECHA" numFmtId="164">
      <sharedItems containsSemiMixedTypes="0" containsNonDate="0" containsDate="1" containsString="0" minDate="2019-01-01T00:00:00" maxDate="2021-10-02T00:00:00" count="34"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</sharedItems>
      <fieldGroup par="17" base="1">
        <rangePr groupBy="months" startDate="2019-01-01T00:00:00" endDate="2021-10-02T00:00:00"/>
        <groupItems count="14">
          <s v="&lt;1/0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10/2021"/>
        </groupItems>
      </fieldGroup>
    </cacheField>
    <cacheField name="ESCENARIOS FFIE" numFmtId="0">
      <sharedItems containsBlank="1" count="3">
        <s v="SIMULACIÓN FFIE 7 - ESCENARIO 2"/>
        <s v="SIMULACIÓN FFIE 7 - ESCENARIO 1"/>
        <m/>
      </sharedItems>
    </cacheField>
    <cacheField name="ESCENARIOS NUEVOS PROYECTOS" numFmtId="0">
      <sharedItems containsBlank="1" count="5">
        <m/>
        <s v="NUEVOS PROYECTOS - ESCENARIO 2"/>
        <s v="NUEVOS PROYECTOS - ESCENARIO 3"/>
        <s v="NUEVOS PROYECTOS - ESCENARIO 4"/>
        <s v="NUEVOS PROYECTOS - ESCENARIO 1"/>
      </sharedItems>
    </cacheField>
    <cacheField name="INGRESOS OPERACIONALES" numFmtId="165">
      <sharedItems containsSemiMixedTypes="0" containsString="0" containsNumber="1" minValue="0" maxValue="1806617631.1543489"/>
    </cacheField>
    <cacheField name="FM - REAL" numFmtId="2">
      <sharedItems containsSemiMixedTypes="0" containsString="0" containsNumber="1" minValue="0.65" maxValue="5.94"/>
    </cacheField>
    <cacheField name="FACTOR BRUTO" numFmtId="0">
      <sharedItems containsSemiMixedTypes="0" containsString="0" containsNumber="1" minValue="0.64700999999999997" maxValue="5.9126760000000003"/>
    </cacheField>
    <cacheField name="COSTOS DE VENTA" numFmtId="165">
      <sharedItems containsSemiMixedTypes="0" containsString="0" containsNumber="1" minValue="0" maxValue="1209977651.2988741"/>
    </cacheField>
    <cacheField name="UTILIDAD BRUTA" numFmtId="165">
      <sharedItems containsSemiMixedTypes="0" containsString="0" containsNumber="1" minValue="-311711211.22812271" maxValue="596639979.85547471"/>
    </cacheField>
    <cacheField name="COSTOS Y GASTOS" numFmtId="0">
      <sharedItems containsBlank="1" containsMixedTypes="1" containsNumber="1" minValue="278851.39193487825" maxValue="157518013.13690147"/>
    </cacheField>
    <cacheField name="EBITDA" numFmtId="165">
      <sharedItems containsMixedTypes="1" containsNumber="1" minValue="-458526220.48212349" maxValue="596639979.85547471"/>
    </cacheField>
    <cacheField name="COSTOS FINANCIERO" numFmtId="178">
      <sharedItems containsSemiMixedTypes="0" containsString="0" containsNumber="1" minValue="0" maxValue="12295887.095834866"/>
    </cacheField>
    <cacheField name="UTILIDAD ANTES DE IMPUESTOS" numFmtId="165">
      <sharedItems containsMixedTypes="1" containsNumber="1" minValue="-464560682.58148611" maxValue="584344092.75963986"/>
    </cacheField>
    <cacheField name="SUB_TIPO" numFmtId="0">
      <sharedItems containsNonDate="0" containsString="0" containsBlank="1"/>
    </cacheField>
    <cacheField name="COMENTARIOS_CORRECCIÓN_MANUAL_OTRO_SI" numFmtId="0">
      <sharedItems containsNonDate="0" containsString="0" containsBlank="1"/>
    </cacheField>
    <cacheField name="TIPO_SERVICIO_NORMALIZADO" numFmtId="0">
      <sharedItems containsNonDate="0" containsString="0" containsBlank="1"/>
    </cacheField>
    <cacheField name="UTILIDAD BRUTA2" numFmtId="0" formula="#NAME?+#NAME?" databaseField="0"/>
    <cacheField name="Años" numFmtId="0" databaseField="0">
      <fieldGroup base="1">
        <rangePr groupBy="years" startDate="2019-01-01T00:00:00" endDate="2021-10-02T00:00:00"/>
        <groupItems count="5">
          <s v="&lt;1/01/2019"/>
          <s v="2019"/>
          <s v="2020"/>
          <s v="2021"/>
          <s v="&gt;2/10/2021"/>
        </groupItems>
      </fieldGroup>
    </cacheField>
    <cacheField name="EBITDA3" numFmtId="0" formula="#NAME?+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YECTO" refreshedDate="43594.43948645833" createdVersion="5" refreshedVersion="6" minRefreshableVersion="3" recordCount="3967" xr:uid="{00000000-000A-0000-FFFF-FFFF25000000}">
  <cacheSource type="worksheet">
    <worksheetSource ref="A1:J3968" sheet="DATOS PROYECCIÓN"/>
  </cacheSource>
  <cacheFields count="13">
    <cacheField name="CECO" numFmtId="0">
      <sharedItems containsMixedTypes="1" containsNumber="1" containsInteger="1" minValue="1385" maxValue="1900" count="61">
        <n v="1580"/>
        <n v="1588"/>
        <n v="1596"/>
        <n v="1687"/>
        <n v="1689"/>
        <n v="1701"/>
        <n v="1751"/>
        <n v="1758"/>
        <n v="1789"/>
        <n v="1802"/>
        <n v="1818"/>
        <n v="1829"/>
        <n v="1838"/>
        <n v="1846"/>
        <n v="1856"/>
        <n v="1860"/>
        <n v="1861"/>
        <n v="1873"/>
        <n v="1874"/>
        <n v="1881"/>
        <n v="1880"/>
        <n v="1877"/>
        <n v="1753"/>
        <n v="1723"/>
        <n v="1577"/>
        <n v="1622"/>
        <n v="1734"/>
        <n v="1888"/>
        <n v="1891"/>
        <n v="1895"/>
        <n v="1893"/>
        <n v="1890"/>
        <n v="1618"/>
        <n v="1715"/>
        <n v="1837"/>
        <n v="1845"/>
        <n v="1385"/>
        <n v="1899"/>
        <n v="1900"/>
        <n v="1790"/>
        <n v="1507"/>
        <n v="1744"/>
        <n v="1756"/>
        <n v="1804"/>
        <n v="1813"/>
        <n v="1857"/>
        <n v="1883"/>
        <n v="1884"/>
        <n v="1791"/>
        <n v="1453"/>
        <n v="1826"/>
        <n v="1858"/>
        <n v="1848"/>
        <n v="1806"/>
        <n v="1824"/>
        <n v="1866"/>
        <n v="1898"/>
        <n v="1700"/>
        <n v="1706"/>
        <n v="1670"/>
        <s v="TOTAL"/>
      </sharedItems>
    </cacheField>
    <cacheField name="FECHA" numFmtId="164">
      <sharedItems containsSemiMixedTypes="0" containsNonDate="0" containsDate="1" containsString="0" minDate="2019-01-01T00:00:00" maxDate="2021-10-02T00:00:00" count="34"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</sharedItems>
      <fieldGroup par="11" base="1">
        <rangePr groupBy="months" startDate="2019-01-01T00:00:00" endDate="2021-10-02T00:00:00"/>
        <groupItems count="14">
          <s v="&lt;1/01/2019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10/2021"/>
        </groupItems>
      </fieldGroup>
    </cacheField>
    <cacheField name="ESCENARIOS FFIE" numFmtId="0">
      <sharedItems containsBlank="1" count="3">
        <m/>
        <s v="SIMULACIÓN FFIE 7 - ESCENARIO 2"/>
        <s v="SIMULACIÓN FFIE 7 - ESCENARIO 1"/>
      </sharedItems>
    </cacheField>
    <cacheField name="ESCENARIOS NUEVOS PROYECTOS" numFmtId="0">
      <sharedItems containsBlank="1" count="13">
        <m/>
        <s v="NUEVOS PROYECTOS - ESCENARIO 2"/>
        <s v="NUEVOS PROYECTOS - ESCENARIO 3"/>
        <s v="NUEVOS PROYECTOS - ESCENARIO 4"/>
        <s v="NUEVOS PROYECTOS - ESCENARIO 1"/>
        <s v="NUEVOS PROYECTOS - ESCENARIO 10" u="1"/>
        <s v="NUEVOS PROYECTOS - ESCENARIO 12" u="1"/>
        <s v="NUEVOS PROYECTOS - ESCENARIO 5" u="1"/>
        <s v="NUEVOS PROYECTOS - ESCENARIO 6" u="1"/>
        <s v="NUEVOS PROYECTOS - ESCENARIO 7" u="1"/>
        <s v="NUEVOS PROYECTOS - ESCENARIO 8" u="1"/>
        <s v="NUEVOS PROYECTOS - ESCENARIO 11" u="1"/>
        <s v="NUEVOS PROYECTOS - ESCENARIO 9" u="1"/>
      </sharedItems>
    </cacheField>
    <cacheField name="TIPO_DETALLE" numFmtId="0">
      <sharedItems/>
    </cacheField>
    <cacheField name="INGRESOS OPERACIONALES" numFmtId="165">
      <sharedItems containsString="0" containsBlank="1" containsNumber="1" minValue="0" maxValue="1806617631.1543489"/>
    </cacheField>
    <cacheField name="TIPO" numFmtId="0">
      <sharedItems count="6">
        <s v="CONTRACTUAL"/>
        <s v="OTRO SÍ"/>
        <s v="FFIE GRUPO 2"/>
        <s v="FFIE GRUPO 7"/>
        <s v="NUEVOS"/>
        <s v="FFIE GRUPO 1" u="1"/>
      </sharedItems>
    </cacheField>
    <cacheField name="SUB_TIPO" numFmtId="0">
      <sharedItems/>
    </cacheField>
    <cacheField name="COMENTARIOS_CORRECCIÓN_MANUAL_OTRO_SI" numFmtId="0">
      <sharedItems containsBlank="1"/>
    </cacheField>
    <cacheField name="TIPO_SERVICIO_NORMALIZADO" numFmtId="0">
      <sharedItems containsNonDate="0" containsString="0" containsBlank="1"/>
    </cacheField>
    <cacheField name="UTILIDAD BRUTA2" numFmtId="0" formula="'INGRESOS OPERACIONALES'+#NAME?" databaseField="0"/>
    <cacheField name="Años" numFmtId="0" databaseField="0">
      <fieldGroup base="1">
        <rangePr groupBy="years" startDate="2019-01-01T00:00:00" endDate="2021-10-02T00:00:00"/>
        <groupItems count="5">
          <s v="&lt;1/01/2019"/>
          <s v="2019"/>
          <s v="2020"/>
          <s v="2021"/>
          <s v="&gt;2/10/2021"/>
        </groupItems>
      </fieldGroup>
    </cacheField>
    <cacheField name="EBITDA" numFmtId="0" formula="#NAME?+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8">
  <r>
    <x v="0"/>
    <d v="2019-01-01T00:00:00"/>
    <x v="0"/>
    <x v="0"/>
    <x v="0"/>
    <n v="70115372.945178598"/>
    <n v="1.74"/>
    <n v="1.7319959999999999"/>
    <n v="40482410.435808517"/>
    <n v="29632962.509370081"/>
    <n v="8882583.4900828656"/>
    <n v="20750379.019287214"/>
    <n v="477207.07168423192"/>
    <n v="20273171.947602984"/>
    <m/>
    <m/>
    <m/>
  </r>
  <r>
    <x v="0"/>
    <d v="2019-02-01T00:00:00"/>
    <x v="1"/>
    <x v="0"/>
    <x v="0"/>
    <n v="70115372.945178598"/>
    <n v="1.74"/>
    <n v="1.7319959999999999"/>
    <n v="40482410.435808517"/>
    <n v="29632962.509370081"/>
    <n v="8750590.6988490727"/>
    <n v="20882371.810521007"/>
    <n v="477207.07168423192"/>
    <n v="20405164.738836776"/>
    <m/>
    <m/>
    <m/>
  </r>
  <r>
    <x v="0"/>
    <d v="2019-03-01T00:00:00"/>
    <x v="2"/>
    <x v="0"/>
    <x v="0"/>
    <n v="70115372.945178598"/>
    <n v="1.74"/>
    <n v="1.7319959999999999"/>
    <n v="40482410.435808517"/>
    <n v="29632962.509370081"/>
    <n v="6330943.8381972862"/>
    <n v="23302018.671172794"/>
    <n v="477207.07168423192"/>
    <n v="22824811.599488564"/>
    <m/>
    <m/>
    <m/>
  </r>
  <r>
    <x v="0"/>
    <d v="2019-04-01T00:00:00"/>
    <x v="3"/>
    <x v="0"/>
    <x v="0"/>
    <n v="74111007.329178602"/>
    <n v="1.74"/>
    <n v="1.7319959999999999"/>
    <n v="42789364.022306405"/>
    <n v="31321643.306872196"/>
    <n v="6879595.1676320992"/>
    <n v="24442048.139240097"/>
    <n v="504401.46435187571"/>
    <n v="23937646.674888223"/>
    <m/>
    <m/>
    <m/>
  </r>
  <r>
    <x v="0"/>
    <d v="2019-05-01T00:00:00"/>
    <x v="4"/>
    <x v="0"/>
    <x v="0"/>
    <n v="74111007.329178602"/>
    <n v="1.74"/>
    <n v="1.7319959999999999"/>
    <n v="42789364.022306405"/>
    <n v="31321643.306872196"/>
    <n v="5675184.8926217835"/>
    <n v="25646458.414250411"/>
    <n v="504401.46435187571"/>
    <n v="25142056.949898534"/>
    <m/>
    <m/>
    <m/>
  </r>
  <r>
    <x v="0"/>
    <d v="2019-06-01T00:00:00"/>
    <x v="5"/>
    <x v="0"/>
    <x v="0"/>
    <n v="74111007.329178602"/>
    <n v="1.74"/>
    <n v="1.7319959999999999"/>
    <n v="42789364.022306405"/>
    <n v="31321643.306872196"/>
    <n v="6374375.5252148733"/>
    <n v="24947267.781657323"/>
    <n v="504401.46435187571"/>
    <n v="24442866.317305446"/>
    <m/>
    <m/>
    <m/>
  </r>
  <r>
    <x v="0"/>
    <d v="2019-07-01T00:00:00"/>
    <x v="6"/>
    <x v="0"/>
    <x v="0"/>
    <n v="74111007.329178602"/>
    <n v="1.74"/>
    <n v="1.7319959999999999"/>
    <n v="42789364.022306405"/>
    <n v="31321643.306872196"/>
    <n v="11069215.900658011"/>
    <n v="20252427.406214185"/>
    <n v="504401.46435187571"/>
    <n v="19748025.941862307"/>
    <m/>
    <m/>
    <m/>
  </r>
  <r>
    <x v="0"/>
    <d v="2019-08-01T00:00:00"/>
    <x v="7"/>
    <x v="0"/>
    <x v="0"/>
    <n v="74111007.329178602"/>
    <n v="1.74"/>
    <n v="1.7319959999999999"/>
    <n v="42789364.022306405"/>
    <n v="31321643.306872196"/>
    <n v="11115281.850709744"/>
    <n v="20206361.456162453"/>
    <n v="504401.46435187571"/>
    <n v="19701959.991810575"/>
    <m/>
    <m/>
    <m/>
  </r>
  <r>
    <x v="0"/>
    <d v="2019-09-01T00:00:00"/>
    <x v="8"/>
    <x v="0"/>
    <x v="0"/>
    <n v="74111007.329178602"/>
    <n v="1.74"/>
    <n v="1.7319959999999999"/>
    <n v="42789364.022306405"/>
    <n v="31321643.306872196"/>
    <n v="12268617.192712884"/>
    <n v="19053026.114159312"/>
    <n v="504401.46435187571"/>
    <n v="18548624.649807438"/>
    <m/>
    <m/>
    <m/>
  </r>
  <r>
    <x v="0"/>
    <d v="2019-10-01T00:00:00"/>
    <x v="9"/>
    <x v="0"/>
    <x v="0"/>
    <n v="69313527.964878604"/>
    <n v="1.74"/>
    <n v="1.7319959999999999"/>
    <n v="40019450.371062413"/>
    <n v="29294077.593816191"/>
    <n v="12452541.654586233"/>
    <n v="16841535.939229958"/>
    <n v="471749.69366681995"/>
    <n v="16369786.245563138"/>
    <m/>
    <m/>
    <m/>
  </r>
  <r>
    <x v="0"/>
    <d v="2019-11-01T00:00:00"/>
    <x v="10"/>
    <x v="0"/>
    <x v="0"/>
    <n v="69313527.964878604"/>
    <n v="1.74"/>
    <n v="1.7319959999999999"/>
    <n v="40019450.371062413"/>
    <n v="29294077.593816191"/>
    <n v="16341426.624851571"/>
    <n v="12952650.96896462"/>
    <n v="471749.69366681995"/>
    <n v="12480901.2752978"/>
    <m/>
    <m/>
    <m/>
  </r>
  <r>
    <x v="0"/>
    <d v="2019-12-01T00:00:00"/>
    <x v="11"/>
    <x v="0"/>
    <x v="0"/>
    <n v="69313527.964878604"/>
    <n v="1.74"/>
    <n v="1.7319959999999999"/>
    <n v="40019450.371062413"/>
    <n v="29294077.593816191"/>
    <n v="14095289.899996761"/>
    <n v="15198787.69381943"/>
    <n v="471749.69366681995"/>
    <n v="14727038.00015261"/>
    <m/>
    <m/>
    <m/>
  </r>
  <r>
    <x v="0"/>
    <d v="2020-01-01T00:00:00"/>
    <x v="12"/>
    <x v="0"/>
    <x v="0"/>
    <n v="65317893.580878608"/>
    <n v="1.74"/>
    <n v="1.7319959999999999"/>
    <n v="37712496.784564525"/>
    <n v="27605396.796314083"/>
    <s v=""/>
    <s v=""/>
    <n v="444555.30099917628"/>
    <s v=""/>
    <m/>
    <m/>
    <m/>
  </r>
  <r>
    <x v="0"/>
    <d v="2020-02-01T00:00:00"/>
    <x v="13"/>
    <x v="0"/>
    <x v="0"/>
    <n v="54776389.5693786"/>
    <n v="1.74"/>
    <n v="1.7319959999999999"/>
    <n v="31626164.015031561"/>
    <n v="23150225.554347038"/>
    <s v=""/>
    <s v=""/>
    <n v="372809.54754780827"/>
    <s v=""/>
    <m/>
    <m/>
    <m/>
  </r>
  <r>
    <x v="1"/>
    <d v="2019-01-01T00:00:00"/>
    <x v="14"/>
    <x v="0"/>
    <x v="0"/>
    <n v="68877916.829865009"/>
    <n v="1.49"/>
    <n v="1.4831459999999999"/>
    <n v="46440415.731064245"/>
    <n v="22437501.098800763"/>
    <n v="10189879.150092591"/>
    <n v="12247621.948708173"/>
    <n v="468784.91282916517"/>
    <n v="11778837.035879008"/>
    <m/>
    <m/>
    <m/>
  </r>
  <r>
    <x v="1"/>
    <d v="2019-02-01T00:00:00"/>
    <x v="15"/>
    <x v="0"/>
    <x v="0"/>
    <n v="68877916.829865009"/>
    <n v="1.49"/>
    <n v="1.4831459999999999"/>
    <n v="46440415.731064245"/>
    <n v="22437501.098800763"/>
    <n v="10038460.29848738"/>
    <n v="12399040.800313383"/>
    <n v="468784.91282916517"/>
    <n v="11930255.887484219"/>
    <m/>
    <m/>
    <m/>
  </r>
  <r>
    <x v="1"/>
    <d v="2019-03-01T00:00:00"/>
    <x v="16"/>
    <x v="0"/>
    <x v="0"/>
    <n v="68877916.829865009"/>
    <n v="1.49"/>
    <n v="1.4831459999999999"/>
    <n v="46440415.731064245"/>
    <n v="22437501.098800763"/>
    <n v="7262701.5202591531"/>
    <n v="15174799.57854161"/>
    <n v="468784.91282916517"/>
    <n v="14706014.665712446"/>
    <m/>
    <m/>
    <m/>
  </r>
  <r>
    <x v="2"/>
    <d v="2019-01-01T00:00:00"/>
    <x v="17"/>
    <x v="0"/>
    <x v="0"/>
    <n v="45333415.275986843"/>
    <n v="2.4300000000000002"/>
    <n v="2.418822"/>
    <n v="18741939.372135215"/>
    <n v="26591475.903851628"/>
    <n v="4112325.3147941511"/>
    <n v="22479150.589057475"/>
    <n v="308540.41623958165"/>
    <n v="22170610.172817893"/>
    <m/>
    <m/>
    <m/>
  </r>
  <r>
    <x v="2"/>
    <d v="2019-02-01T00:00:00"/>
    <x v="18"/>
    <x v="0"/>
    <x v="0"/>
    <n v="45333415.275986843"/>
    <n v="2.4300000000000002"/>
    <n v="2.418822"/>
    <n v="18741939.372135215"/>
    <n v="26591475.903851628"/>
    <n v="4051217.2714678957"/>
    <n v="22540258.632383734"/>
    <n v="308540.41623958165"/>
    <n v="22231718.216144152"/>
    <m/>
    <m/>
    <m/>
  </r>
  <r>
    <x v="2"/>
    <d v="2019-03-01T00:00:00"/>
    <x v="19"/>
    <x v="0"/>
    <x v="0"/>
    <n v="45333415.275986843"/>
    <n v="2.4300000000000002"/>
    <n v="2.418822"/>
    <n v="18741939.372135215"/>
    <n v="26591475.903851628"/>
    <n v="2931005.4491945864"/>
    <n v="23660470.454657041"/>
    <n v="308540.41623958165"/>
    <n v="23351930.038417459"/>
    <m/>
    <m/>
    <m/>
  </r>
  <r>
    <x v="2"/>
    <d v="2019-04-01T00:00:00"/>
    <x v="20"/>
    <x v="0"/>
    <x v="0"/>
    <n v="39811433.775986843"/>
    <n v="2.4300000000000002"/>
    <n v="2.418822"/>
    <n v="16459017.561435625"/>
    <n v="23352416.214551218"/>
    <n v="2646250.5406856723"/>
    <n v="20706165.673865546"/>
    <n v="270957.66497089993"/>
    <n v="20435208.008894645"/>
    <m/>
    <m/>
    <m/>
  </r>
  <r>
    <x v="2"/>
    <d v="2019-05-01T00:00:00"/>
    <x v="21"/>
    <x v="0"/>
    <x v="0"/>
    <n v="33697792.894736841"/>
    <n v="2.4300000000000002"/>
    <n v="2.418822"/>
    <n v="13931489.334368896"/>
    <n v="19766303.560367946"/>
    <n v="1847743.7000679735"/>
    <n v="17918559.860299971"/>
    <n v="229348.06439797828"/>
    <n v="17689211.795901991"/>
    <m/>
    <m/>
    <m/>
  </r>
  <r>
    <x v="2"/>
    <d v="2019-06-01T00:00:00"/>
    <x v="22"/>
    <x v="0"/>
    <x v="0"/>
    <n v="33697792.894736841"/>
    <n v="2.4300000000000002"/>
    <n v="2.418822"/>
    <n v="13931489.334368896"/>
    <n v="19766303.560367946"/>
    <n v="2075388.2809872725"/>
    <n v="17690915.279380672"/>
    <n v="229348.06439797828"/>
    <n v="17461567.214982692"/>
    <m/>
    <m/>
    <m/>
  </r>
  <r>
    <x v="3"/>
    <d v="2019-01-01T00:00:00"/>
    <x v="23"/>
    <x v="0"/>
    <x v="0"/>
    <n v="71364366.272"/>
    <n v="1.71"/>
    <n v="1.7021339999999998"/>
    <n v="41926409.008926444"/>
    <n v="29437957.263073556"/>
    <n v="9199423.2668451443"/>
    <n v="20238533.996228412"/>
    <n v="485707.75310414832"/>
    <n v="19752826.243124265"/>
    <m/>
    <m/>
    <m/>
  </r>
  <r>
    <x v="3"/>
    <d v="2019-02-01T00:00:00"/>
    <x v="24"/>
    <x v="0"/>
    <x v="0"/>
    <n v="39364366.272"/>
    <n v="1.71"/>
    <n v="1.7021339999999998"/>
    <n v="23126479.038665585"/>
    <n v="16237887.233334415"/>
    <n v="4998969.9277854618"/>
    <n v="11238917.305548953"/>
    <n v="267914.91178481124"/>
    <n v="10971002.393764142"/>
    <m/>
    <m/>
    <m/>
  </r>
  <r>
    <x v="3"/>
    <d v="2019-03-01T00:00:00"/>
    <x v="25"/>
    <x v="0"/>
    <x v="0"/>
    <n v="39364366.272"/>
    <n v="1.71"/>
    <n v="1.7021339999999998"/>
    <n v="23126479.038665585"/>
    <n v="16237887.233334415"/>
    <n v="3616692.7411893979"/>
    <n v="12621194.492145017"/>
    <n v="267914.91178481124"/>
    <n v="12353279.580360206"/>
    <m/>
    <m/>
    <m/>
  </r>
  <r>
    <x v="3"/>
    <d v="2019-04-01T00:00:00"/>
    <x v="26"/>
    <x v="0"/>
    <x v="0"/>
    <n v="35374979.772"/>
    <n v="1.71"/>
    <n v="1.7021339999999998"/>
    <n v="20782723.200406082"/>
    <n v="14592256.571593918"/>
    <n v="3341407.972906875"/>
    <n v="11250848.598687043"/>
    <n v="240763.04237993609"/>
    <n v="11010085.556307107"/>
    <m/>
    <m/>
    <m/>
  </r>
  <r>
    <x v="4"/>
    <d v="2019-01-01T00:00:00"/>
    <x v="27"/>
    <x v="0"/>
    <x v="0"/>
    <n v="36819716.200000003"/>
    <n v="2.11"/>
    <n v="2.1002939999999999"/>
    <n v="17530743.886332106"/>
    <n v="19288972.313667897"/>
    <n v="3846566.8061075942"/>
    <n v="15442405.507560303"/>
    <n v="250595.95649280079"/>
    <n v="15191809.551067503"/>
    <m/>
    <m/>
    <m/>
  </r>
  <r>
    <x v="4"/>
    <d v="2019-02-01T00:00:00"/>
    <x v="28"/>
    <x v="0"/>
    <x v="0"/>
    <n v="36819716.200000003"/>
    <n v="2.11"/>
    <n v="2.1002939999999999"/>
    <n v="17530743.886332106"/>
    <n v="19288972.313667897"/>
    <n v="3789407.8624317762"/>
    <n v="15499564.451236121"/>
    <n v="250595.95649280079"/>
    <n v="15248968.494743321"/>
    <m/>
    <m/>
    <m/>
  </r>
  <r>
    <x v="4"/>
    <d v="2019-03-01T00:00:00"/>
    <x v="29"/>
    <x v="0"/>
    <x v="0"/>
    <n v="36819716.200000003"/>
    <n v="2.11"/>
    <n v="2.1002939999999999"/>
    <n v="17530743.886332106"/>
    <n v="19288972.313667897"/>
    <n v="2741589.5889444551"/>
    <n v="16547382.724723442"/>
    <n v="250595.95649280079"/>
    <n v="16296786.768230641"/>
    <m/>
    <m/>
    <m/>
  </r>
  <r>
    <x v="4"/>
    <d v="2019-04-01T00:00:00"/>
    <x v="30"/>
    <x v="0"/>
    <x v="0"/>
    <n v="36819716.200000003"/>
    <n v="2.11"/>
    <n v="2.1002939999999999"/>
    <n v="17530743.886332106"/>
    <n v="19288972.313667897"/>
    <n v="2818560.7260377691"/>
    <n v="16470411.587630128"/>
    <n v="250595.95649280079"/>
    <n v="16219815.631137328"/>
    <m/>
    <m/>
    <m/>
  </r>
  <r>
    <x v="4"/>
    <d v="2019-05-01T00:00:00"/>
    <x v="31"/>
    <x v="0"/>
    <x v="0"/>
    <n v="36819716.200000003"/>
    <n v="2.11"/>
    <n v="2.1002939999999999"/>
    <n v="17530743.886332106"/>
    <n v="19288972.313667897"/>
    <n v="2325115.484499108"/>
    <n v="16963856.829168789"/>
    <n v="250595.95649280079"/>
    <n v="16713260.872675989"/>
    <m/>
    <m/>
    <m/>
  </r>
  <r>
    <x v="4"/>
    <d v="2019-06-01T00:00:00"/>
    <x v="32"/>
    <x v="0"/>
    <x v="0"/>
    <n v="36819716.200000003"/>
    <n v="2.11"/>
    <n v="2.1002939999999999"/>
    <n v="17530743.886332106"/>
    <n v="19288972.313667897"/>
    <n v="2611572.9298895597"/>
    <n v="16677399.383778337"/>
    <n v="250595.95649280079"/>
    <n v="16426803.427285537"/>
    <m/>
    <m/>
    <m/>
  </r>
  <r>
    <x v="4"/>
    <d v="2019-07-01T00:00:00"/>
    <x v="33"/>
    <x v="0"/>
    <x v="0"/>
    <n v="36819716.200000003"/>
    <n v="2.11"/>
    <n v="2.1002939999999999"/>
    <n v="17530743.886332106"/>
    <n v="19288972.313667897"/>
    <n v="4535042.6072187023"/>
    <n v="14753929.706449196"/>
    <n v="250595.95649280079"/>
    <n v="14503333.749956395"/>
    <m/>
    <m/>
    <m/>
  </r>
  <r>
    <x v="4"/>
    <d v="2019-08-01T00:00:00"/>
    <x v="34"/>
    <x v="0"/>
    <x v="0"/>
    <n v="36819716.200000003"/>
    <n v="2.11"/>
    <n v="2.1002939999999999"/>
    <n v="17530743.886332106"/>
    <n v="19288972.313667897"/>
    <n v="4553915.7639175607"/>
    <n v="14735056.549750336"/>
    <n v="250595.95649280079"/>
    <n v="14484460.593257535"/>
    <m/>
    <m/>
    <m/>
  </r>
  <r>
    <x v="4"/>
    <d v="2019-09-01T00:00:00"/>
    <x v="35"/>
    <x v="0"/>
    <x v="0"/>
    <n v="28923787.600000001"/>
    <n v="2.11"/>
    <n v="2.1002939999999999"/>
    <n v="13771304.207887087"/>
    <n v="15152483.392112914"/>
    <n v="3948524.6726940232"/>
    <n v="11203958.719418891"/>
    <n v="196856.05884753156"/>
    <n v="11007102.660571359"/>
    <m/>
    <m/>
    <m/>
  </r>
  <r>
    <x v="4"/>
    <d v="2019-10-01T00:00:00"/>
    <x v="36"/>
    <x v="0"/>
    <x v="0"/>
    <n v="13258047.600000001"/>
    <n v="2.11"/>
    <n v="2.1002939999999999"/>
    <n v="6312472.2538844571"/>
    <n v="6945575.3461155444"/>
    <n v="1964202.9802027303"/>
    <n v="4981372.3659128137"/>
    <n v="90234.620535969312"/>
    <n v="4891137.745376844"/>
    <m/>
    <m/>
    <m/>
  </r>
  <r>
    <x v="4"/>
    <d v="2019-11-01T00:00:00"/>
    <x v="37"/>
    <x v="0"/>
    <x v="0"/>
    <n v="13258047.600000001"/>
    <n v="2.11"/>
    <n v="2.1002939999999999"/>
    <n v="6312472.2538844571"/>
    <n v="6945575.3461155444"/>
    <n v="2577616.6639423487"/>
    <n v="4367958.6821731962"/>
    <n v="90234.620535969312"/>
    <n v="4277724.0616372265"/>
    <m/>
    <m/>
    <m/>
  </r>
  <r>
    <x v="5"/>
    <d v="2019-01-01T00:00:00"/>
    <x v="38"/>
    <x v="0"/>
    <x v="0"/>
    <n v="43079526.100000001"/>
    <n v="2.1800000000000002"/>
    <n v="2.169972"/>
    <n v="19852572.337338917"/>
    <n v="23226953.762661085"/>
    <n v="4356018.561664992"/>
    <n v="18870935.200996093"/>
    <n v="293200.38725029811"/>
    <n v="18577734.813745797"/>
    <m/>
    <m/>
    <m/>
  </r>
  <r>
    <x v="5"/>
    <d v="2019-02-01T00:00:00"/>
    <x v="39"/>
    <x v="0"/>
    <x v="0"/>
    <n v="39433007.350000001"/>
    <n v="2.1800000000000002"/>
    <n v="2.169972"/>
    <n v="18172127.267079946"/>
    <n v="21260880.082920056"/>
    <n v="3928047.9133958346"/>
    <n v="17332832.169524223"/>
    <n v="268382.08476633759"/>
    <n v="17064450.084757887"/>
    <m/>
    <m/>
    <m/>
  </r>
  <r>
    <x v="5"/>
    <d v="2019-03-01T00:00:00"/>
    <x v="40"/>
    <x v="0"/>
    <x v="0"/>
    <n v="39433007.350000001"/>
    <n v="2.1800000000000002"/>
    <n v="2.169972"/>
    <n v="18172127.267079946"/>
    <n v="21260880.082920056"/>
    <n v="2841893.9462827207"/>
    <n v="18418986.136637334"/>
    <n v="268382.08476633759"/>
    <n v="18150604.051870998"/>
    <m/>
    <m/>
    <m/>
  </r>
  <r>
    <x v="5"/>
    <d v="2019-04-01T00:00:00"/>
    <x v="41"/>
    <x v="0"/>
    <x v="0"/>
    <n v="39433007.350000001"/>
    <n v="2.1800000000000002"/>
    <n v="2.169972"/>
    <n v="18172127.267079946"/>
    <n v="21260880.082920056"/>
    <n v="2921681.1651378251"/>
    <n v="18339198.917782232"/>
    <n v="268382.08476633759"/>
    <n v="18070816.833015896"/>
    <m/>
    <m/>
    <m/>
  </r>
  <r>
    <x v="5"/>
    <d v="2019-05-01T00:00:00"/>
    <x v="42"/>
    <x v="0"/>
    <x v="0"/>
    <n v="39433007.350000001"/>
    <n v="2.1800000000000002"/>
    <n v="2.169972"/>
    <n v="18172127.267079946"/>
    <n v="21260880.082920056"/>
    <n v="2410182.6350859054"/>
    <n v="18850697.447834149"/>
    <n v="268382.08476633759"/>
    <n v="18582315.363067813"/>
    <m/>
    <m/>
    <m/>
  </r>
  <r>
    <x v="5"/>
    <d v="2019-06-01T00:00:00"/>
    <x v="43"/>
    <x v="0"/>
    <x v="0"/>
    <n v="22497185.125"/>
    <n v="2.1800000000000002"/>
    <n v="2.169972"/>
    <n v="10367500.191246707"/>
    <n v="12129684.933753293"/>
    <n v="1544457.1562758503"/>
    <n v="10585227.777477443"/>
    <n v="153116.43343940235"/>
    <n v="10432111.344038041"/>
    <m/>
    <m/>
    <m/>
  </r>
  <r>
    <x v="5"/>
    <d v="2019-07-01T00:00:00"/>
    <x v="44"/>
    <x v="0"/>
    <x v="0"/>
    <n v="22497185.125"/>
    <n v="2.1800000000000002"/>
    <n v="2.169972"/>
    <n v="10367500.191246707"/>
    <n v="12129684.933753293"/>
    <n v="2681977.1826287895"/>
    <n v="9447707.7511245031"/>
    <n v="153116.43343940235"/>
    <n v="9294591.3176851012"/>
    <m/>
    <m/>
    <m/>
  </r>
  <r>
    <x v="5"/>
    <d v="2019-08-01T00:00:00"/>
    <x v="45"/>
    <x v="0"/>
    <x v="0"/>
    <n v="22497185.125"/>
    <n v="2.1800000000000002"/>
    <n v="2.169972"/>
    <n v="10367500.191246707"/>
    <n v="12129684.933753293"/>
    <n v="2693138.5718404246"/>
    <n v="9436546.3619128689"/>
    <n v="153116.43343940235"/>
    <n v="9283429.928473467"/>
    <m/>
    <m/>
    <m/>
  </r>
  <r>
    <x v="5"/>
    <d v="2019-09-01T00:00:00"/>
    <x v="46"/>
    <x v="0"/>
    <x v="0"/>
    <n v="22497185.125"/>
    <n v="2.1800000000000002"/>
    <n v="2.169972"/>
    <n v="10367500.191246707"/>
    <n v="12129684.933753293"/>
    <n v="2972581.9487636192"/>
    <n v="9157102.9849896729"/>
    <n v="153116.43343940235"/>
    <n v="9003986.551550271"/>
    <m/>
    <m/>
    <m/>
  </r>
  <r>
    <x v="5"/>
    <d v="2019-10-01T00:00:00"/>
    <x v="47"/>
    <x v="0"/>
    <x v="0"/>
    <n v="22497185.125"/>
    <n v="2.1800000000000002"/>
    <n v="2.169972"/>
    <n v="10367500.191246707"/>
    <n v="12129684.933753293"/>
    <n v="3225974.5395899359"/>
    <n v="8903710.3941633571"/>
    <n v="153116.43343940235"/>
    <n v="8750593.9607239552"/>
    <m/>
    <m/>
    <m/>
  </r>
  <r>
    <x v="5"/>
    <d v="2019-11-01T00:00:00"/>
    <x v="48"/>
    <x v="0"/>
    <x v="0"/>
    <n v="22497185.125"/>
    <n v="2.1800000000000002"/>
    <n v="2.169972"/>
    <n v="10367500.191246707"/>
    <n v="12129684.933753293"/>
    <n v="4233435.0443977639"/>
    <n v="7896249.8893555291"/>
    <n v="153116.43343940235"/>
    <n v="7743133.4559161272"/>
    <m/>
    <m/>
    <m/>
  </r>
  <r>
    <x v="5"/>
    <d v="2019-12-01T00:00:00"/>
    <x v="49"/>
    <x v="0"/>
    <x v="0"/>
    <n v="22497185.125"/>
    <n v="2.1800000000000002"/>
    <n v="2.169972"/>
    <n v="10367500.191246707"/>
    <n v="12129684.933753293"/>
    <n v="3651547.4195408029"/>
    <n v="8478137.5142124891"/>
    <n v="153116.43343940235"/>
    <n v="8325021.0807730872"/>
    <m/>
    <m/>
    <m/>
  </r>
  <r>
    <x v="5"/>
    <d v="2020-01-01T00:00:00"/>
    <x v="50"/>
    <x v="0"/>
    <x v="0"/>
    <n v="3497185.125"/>
    <n v="2.1800000000000002"/>
    <n v="2.169972"/>
    <n v="1611626.8435721751"/>
    <n v="1885558.2814278249"/>
    <s v=""/>
    <s v=""/>
    <n v="23801.933906045968"/>
    <s v=""/>
    <m/>
    <m/>
    <m/>
  </r>
  <r>
    <x v="6"/>
    <d v="2019-01-01T00:00:00"/>
    <x v="51"/>
    <x v="0"/>
    <x v="0"/>
    <n v="28006691.09375"/>
    <n v="2"/>
    <n v="1.9907999999999999"/>
    <n v="14068058.616510952"/>
    <n v="13938632.477239048"/>
    <n v="3086790.1357475691"/>
    <n v="10851842.341491479"/>
    <n v="190614.27591439951"/>
    <n v="10661228.06557708"/>
    <m/>
    <m/>
    <m/>
  </r>
  <r>
    <x v="6"/>
    <d v="2019-02-01T00:00:00"/>
    <x v="52"/>
    <x v="0"/>
    <x v="0"/>
    <n v="28006691.09375"/>
    <n v="2"/>
    <n v="1.9907999999999999"/>
    <n v="14068058.616510952"/>
    <n v="13938632.477239048"/>
    <n v="3040921.2681568344"/>
    <n v="10897711.209082214"/>
    <n v="190614.27591439951"/>
    <n v="10707096.933167815"/>
    <m/>
    <m/>
    <m/>
  </r>
  <r>
    <x v="7"/>
    <d v="2019-01-01T00:00:00"/>
    <x v="53"/>
    <x v="0"/>
    <x v="0"/>
    <n v="39944033.964749999"/>
    <n v="2.4300000000000002"/>
    <n v="2.418822"/>
    <n v="16513837.713047922"/>
    <n v="23430196.251702078"/>
    <n v="3623438.936780239"/>
    <n v="19806757.314921837"/>
    <n v="271860.14534184395"/>
    <n v="19534897.169579994"/>
    <m/>
    <m/>
    <m/>
  </r>
  <r>
    <x v="7"/>
    <d v="2019-02-01T00:00:00"/>
    <x v="54"/>
    <x v="0"/>
    <x v="0"/>
    <n v="39944033.964749999"/>
    <n v="2.4300000000000002"/>
    <n v="2.418822"/>
    <n v="16513837.713047922"/>
    <n v="23430196.251702078"/>
    <n v="3569595.612969683"/>
    <n v="19860600.638732396"/>
    <n v="271860.14534184395"/>
    <n v="19588740.493390553"/>
    <m/>
    <m/>
    <m/>
  </r>
  <r>
    <x v="7"/>
    <d v="2019-03-01T00:00:00"/>
    <x v="55"/>
    <x v="0"/>
    <x v="0"/>
    <n v="39944033.964749999"/>
    <n v="2.4300000000000002"/>
    <n v="2.418822"/>
    <n v="16513837.713047922"/>
    <n v="23430196.251702078"/>
    <n v="2582558.1527609117"/>
    <n v="20847638.098941166"/>
    <n v="271860.14534184395"/>
    <n v="20575777.953599323"/>
    <m/>
    <m/>
    <m/>
  </r>
  <r>
    <x v="7"/>
    <d v="2019-04-01T00:00:00"/>
    <x v="56"/>
    <x v="0"/>
    <x v="0"/>
    <n v="39944033.964749999"/>
    <n v="2.4300000000000002"/>
    <n v="2.418822"/>
    <n v="16513837.713047922"/>
    <n v="23430196.251702078"/>
    <n v="2655064.4237320344"/>
    <n v="20775131.827970043"/>
    <n v="271860.14534184395"/>
    <n v="20503271.682628199"/>
    <m/>
    <m/>
    <m/>
  </r>
  <r>
    <x v="7"/>
    <d v="2019-05-01T00:00:00"/>
    <x v="57"/>
    <x v="0"/>
    <x v="0"/>
    <n v="39944033.964749999"/>
    <n v="2.4300000000000002"/>
    <n v="2.418822"/>
    <n v="16513837.713047922"/>
    <n v="23430196.251702078"/>
    <n v="2190242.4691201532"/>
    <n v="21239953.782581925"/>
    <n v="271860.14534184395"/>
    <n v="20968093.637240082"/>
    <m/>
    <m/>
    <m/>
  </r>
  <r>
    <x v="7"/>
    <d v="2019-06-01T00:00:00"/>
    <x v="58"/>
    <x v="0"/>
    <x v="0"/>
    <n v="39944033.964749999"/>
    <n v="2.4300000000000002"/>
    <n v="2.418822"/>
    <n v="16513837.713047922"/>
    <n v="23430196.251702078"/>
    <n v="2460083.3723667269"/>
    <n v="20970112.879335351"/>
    <n v="271860.14534184395"/>
    <n v="20698252.733993508"/>
    <m/>
    <m/>
    <m/>
  </r>
  <r>
    <x v="7"/>
    <d v="2019-07-01T00:00:00"/>
    <x v="59"/>
    <x v="0"/>
    <x v="0"/>
    <n v="39944033.964749999"/>
    <n v="2.4300000000000002"/>
    <n v="2.418822"/>
    <n v="16513837.713047922"/>
    <n v="23430196.251702078"/>
    <n v="4271978.3098169798"/>
    <n v="19158217.941885099"/>
    <n v="271860.14534184395"/>
    <n v="18886357.796543255"/>
    <m/>
    <m/>
    <m/>
  </r>
  <r>
    <x v="7"/>
    <d v="2019-08-01T00:00:00"/>
    <x v="60"/>
    <x v="0"/>
    <x v="0"/>
    <n v="39944033.964749999"/>
    <n v="2.4300000000000002"/>
    <n v="2.418822"/>
    <n v="16513837.713047922"/>
    <n v="23430196.251702078"/>
    <n v="4289756.6909785941"/>
    <n v="19140439.560723484"/>
    <n v="271860.14534184395"/>
    <n v="18868579.41538164"/>
    <m/>
    <m/>
    <m/>
  </r>
  <r>
    <x v="7"/>
    <d v="2019-09-01T00:00:00"/>
    <x v="61"/>
    <x v="0"/>
    <x v="0"/>
    <n v="39944033.964749999"/>
    <n v="2.4300000000000002"/>
    <n v="2.418822"/>
    <n v="16513837.713047922"/>
    <n v="23430196.251702078"/>
    <n v="4734867.1314290231"/>
    <n v="18695329.120273054"/>
    <n v="271860.14534184395"/>
    <n v="18423468.97493121"/>
    <m/>
    <m/>
    <m/>
  </r>
  <r>
    <x v="7"/>
    <d v="2019-10-01T00:00:00"/>
    <x v="62"/>
    <x v="0"/>
    <x v="0"/>
    <n v="39944033.964749999"/>
    <n v="2.4300000000000002"/>
    <n v="2.418822"/>
    <n v="16513837.713047922"/>
    <n v="23430196.251702078"/>
    <n v="5138482.665106806"/>
    <n v="18291713.586595271"/>
    <n v="271860.14534184395"/>
    <n v="18019853.441253427"/>
    <m/>
    <m/>
    <m/>
  </r>
  <r>
    <x v="7"/>
    <d v="2019-11-01T00:00:00"/>
    <x v="63"/>
    <x v="0"/>
    <x v="0"/>
    <n v="39944033.964749999"/>
    <n v="2.4300000000000002"/>
    <n v="2.418822"/>
    <n v="16513837.713047922"/>
    <n v="23430196.251702078"/>
    <n v="6743212.7323170742"/>
    <n v="16686983.519385003"/>
    <n v="271860.14534184395"/>
    <n v="16415123.374043159"/>
    <m/>
    <m/>
    <m/>
  </r>
  <r>
    <x v="7"/>
    <d v="2019-12-01T00:00:00"/>
    <x v="64"/>
    <x v="0"/>
    <x v="0"/>
    <n v="39944033.964749999"/>
    <n v="2.4300000000000002"/>
    <n v="2.418822"/>
    <n v="16513837.713047922"/>
    <n v="23430196.251702078"/>
    <n v="5816354.9916023146"/>
    <n v="17613841.260099761"/>
    <n v="271860.14534184395"/>
    <n v="17341981.114757918"/>
    <m/>
    <m/>
    <m/>
  </r>
  <r>
    <x v="8"/>
    <d v="2019-01-01T00:00:00"/>
    <x v="65"/>
    <x v="0"/>
    <x v="0"/>
    <n v="43502787.700000003"/>
    <n v="1.45"/>
    <n v="1.4433299999999998"/>
    <n v="30140569.169905711"/>
    <n v="13362218.530094292"/>
    <n v="6613393.7976551233"/>
    <n v="6748824.7324391687"/>
    <n v="296081.11682796589"/>
    <n v="6452743.615611203"/>
    <m/>
    <m/>
    <m/>
  </r>
  <r>
    <x v="9"/>
    <d v="2019-01-01T00:00:00"/>
    <x v="66"/>
    <x v="0"/>
    <x v="0"/>
    <n v="53929329.834749997"/>
    <n v="1.95"/>
    <n v="1.9410299999999998"/>
    <n v="27783872.394939803"/>
    <n v="26145457.439810194"/>
    <n v="6096291.2921697525"/>
    <n v="20049166.147640441"/>
    <n v="367044.43672368425"/>
    <n v="19682121.710916758"/>
    <m/>
    <m/>
    <m/>
  </r>
  <r>
    <x v="9"/>
    <d v="2019-02-01T00:00:00"/>
    <x v="67"/>
    <x v="0"/>
    <x v="0"/>
    <n v="53929329.834749997"/>
    <n v="1.95"/>
    <n v="1.9410299999999998"/>
    <n v="27783872.394939803"/>
    <n v="26145457.439810194"/>
    <n v="6005702.0503431903"/>
    <n v="20139755.389467005"/>
    <n v="367044.43672368425"/>
    <n v="19772710.952743322"/>
    <m/>
    <m/>
    <m/>
  </r>
  <r>
    <x v="9"/>
    <d v="2019-03-01T00:00:00"/>
    <x v="68"/>
    <x v="0"/>
    <x v="0"/>
    <n v="53929329.834749997"/>
    <n v="1.95"/>
    <n v="1.9410299999999998"/>
    <n v="27783872.394939803"/>
    <n v="26145457.439810194"/>
    <n v="4345050.9454944413"/>
    <n v="21800406.494315751"/>
    <n v="367044.43672368425"/>
    <n v="21433362.057592068"/>
    <m/>
    <m/>
    <m/>
  </r>
  <r>
    <x v="9"/>
    <d v="2019-04-01T00:00:00"/>
    <x v="69"/>
    <x v="0"/>
    <x v="0"/>
    <n v="53929329.834749997"/>
    <n v="1.95"/>
    <n v="1.9410299999999998"/>
    <n v="27783872.394939803"/>
    <n v="26145457.439810194"/>
    <n v="4467039.8505266672"/>
    <n v="21678417.589283526"/>
    <n v="367044.43672368425"/>
    <n v="21311373.152559843"/>
    <m/>
    <m/>
    <m/>
  </r>
  <r>
    <x v="9"/>
    <d v="2019-05-01T00:00:00"/>
    <x v="70"/>
    <x v="0"/>
    <x v="0"/>
    <n v="53929329.834749997"/>
    <n v="1.95"/>
    <n v="1.9410299999999998"/>
    <n v="27783872.394939803"/>
    <n v="26145457.439810194"/>
    <n v="3684995.4767286275"/>
    <n v="22460461.963081568"/>
    <n v="367044.43672368425"/>
    <n v="22093417.526357885"/>
    <m/>
    <m/>
    <m/>
  </r>
  <r>
    <x v="9"/>
    <d v="2019-06-01T00:00:00"/>
    <x v="71"/>
    <x v="0"/>
    <x v="0"/>
    <n v="53929329.834749997"/>
    <n v="1.95"/>
    <n v="1.9410299999999998"/>
    <n v="27783872.394939803"/>
    <n v="26145457.439810194"/>
    <n v="4138992.0190837933"/>
    <n v="22006465.4207264"/>
    <n v="367044.43672368425"/>
    <n v="21639420.984002717"/>
    <m/>
    <m/>
    <m/>
  </r>
  <r>
    <x v="9"/>
    <d v="2019-07-01T00:00:00"/>
    <x v="72"/>
    <x v="0"/>
    <x v="0"/>
    <n v="53929329.834749997"/>
    <n v="1.95"/>
    <n v="1.9410299999999998"/>
    <n v="27783872.394939803"/>
    <n v="26145457.439810194"/>
    <n v="7187432.8848541686"/>
    <n v="18958024.554956026"/>
    <n v="367044.43672368425"/>
    <n v="18590980.118232343"/>
    <m/>
    <m/>
    <m/>
  </r>
  <r>
    <x v="9"/>
    <d v="2019-08-01T00:00:00"/>
    <x v="73"/>
    <x v="0"/>
    <x v="0"/>
    <n v="45341011.5"/>
    <n v="1.95"/>
    <n v="1.9410299999999998"/>
    <n v="23359253.334569793"/>
    <n v="21981758.165430207"/>
    <n v="6067972.5106575554"/>
    <n v="15913785.65477265"/>
    <n v="308592.11633992929"/>
    <n v="15605193.538432721"/>
    <m/>
    <m/>
    <m/>
  </r>
  <r>
    <x v="9"/>
    <d v="2019-09-01T00:00:00"/>
    <x v="74"/>
    <x v="0"/>
    <x v="0"/>
    <n v="28318301.25"/>
    <n v="1.95"/>
    <n v="1.9410299999999998"/>
    <n v="14589316.625709033"/>
    <n v="13728984.624290967"/>
    <n v="4183066.1631427053"/>
    <n v="9545918.461148262"/>
    <n v="192735.10283045107"/>
    <n v="9353183.358317811"/>
    <m/>
    <m/>
    <m/>
  </r>
  <r>
    <x v="9"/>
    <d v="2019-10-01T00:00:00"/>
    <x v="75"/>
    <x v="0"/>
    <x v="0"/>
    <n v="28318301.25"/>
    <n v="1.95"/>
    <n v="1.9410299999999998"/>
    <n v="14589316.625709033"/>
    <n v="13728984.624290967"/>
    <n v="4539644.3806473557"/>
    <n v="9189340.2436436117"/>
    <n v="192735.10283045107"/>
    <n v="8996605.1408131607"/>
    <m/>
    <m/>
    <m/>
  </r>
  <r>
    <x v="9"/>
    <d v="2019-11-01T00:00:00"/>
    <x v="76"/>
    <x v="0"/>
    <x v="0"/>
    <n v="28318301.25"/>
    <n v="1.95"/>
    <n v="1.9410299999999998"/>
    <n v="14589316.625709033"/>
    <n v="13728984.624290967"/>
    <n v="5957359.3573924471"/>
    <n v="7771625.2668985203"/>
    <n v="192735.10283045107"/>
    <n v="7578890.1640680693"/>
    <m/>
    <m/>
    <m/>
  </r>
  <r>
    <x v="9"/>
    <d v="2019-12-01T00:00:00"/>
    <x v="77"/>
    <x v="0"/>
    <x v="0"/>
    <n v="28318301.25"/>
    <n v="1.95"/>
    <n v="1.9410299999999998"/>
    <n v="14589316.625709033"/>
    <n v="13728984.624290967"/>
    <n v="5138517.5302384375"/>
    <n v="8590467.0940525308"/>
    <n v="192735.10283045107"/>
    <n v="8397731.9912220798"/>
    <m/>
    <m/>
    <m/>
  </r>
  <r>
    <x v="10"/>
    <d v="2019-01-01T00:00:00"/>
    <x v="78"/>
    <x v="0"/>
    <x v="0"/>
    <n v="37932512.950000003"/>
    <n v="1.1100000000000001"/>
    <n v="1.104894"/>
    <n v="34331359.343068205"/>
    <n v="3601153.6069317982"/>
    <n v="7532930.0407244712"/>
    <n v="-3931776.4337926731"/>
    <n v="258169.68043009529"/>
    <n v="-4189946.1142227682"/>
    <m/>
    <m/>
    <m/>
  </r>
  <r>
    <x v="10"/>
    <d v="2019-02-01T00:00:00"/>
    <x v="79"/>
    <x v="0"/>
    <x v="0"/>
    <n v="37932512.950000003"/>
    <n v="1.1100000000000001"/>
    <n v="1.104894"/>
    <n v="34331359.343068205"/>
    <n v="3601153.6069317982"/>
    <n v="7420992.7351698196"/>
    <n v="-3819839.1282380214"/>
    <n v="258169.68043009529"/>
    <n v="-4078008.8086681166"/>
    <m/>
    <m/>
    <m/>
  </r>
  <r>
    <x v="10"/>
    <d v="2019-03-01T00:00:00"/>
    <x v="80"/>
    <x v="0"/>
    <x v="0"/>
    <n v="37932512.950000003"/>
    <n v="1.1100000000000001"/>
    <n v="1.104894"/>
    <n v="34331359.343068205"/>
    <n v="3601153.6069317982"/>
    <n v="5368996.2023031786"/>
    <n v="-1767842.5953713804"/>
    <n v="258169.68043009529"/>
    <n v="-2026012.2758014756"/>
    <m/>
    <m/>
    <m/>
  </r>
  <r>
    <x v="10"/>
    <d v="2019-04-01T00:00:00"/>
    <x v="81"/>
    <x v="0"/>
    <x v="0"/>
    <n v="37932512.950000003"/>
    <n v="1.1100000000000001"/>
    <n v="1.104894"/>
    <n v="34331359.343068205"/>
    <n v="3601153.6069317982"/>
    <n v="5519732.7474109624"/>
    <n v="-1918579.1404791642"/>
    <n v="258169.68043009529"/>
    <n v="-2176748.8209092594"/>
    <m/>
    <m/>
    <m/>
  </r>
  <r>
    <x v="10"/>
    <d v="2019-05-01T00:00:00"/>
    <x v="82"/>
    <x v="0"/>
    <x v="0"/>
    <n v="37932512.950000003"/>
    <n v="1.1100000000000001"/>
    <n v="1.104894"/>
    <n v="34331359.343068205"/>
    <n v="3601153.6069317982"/>
    <n v="4553393.4971639346"/>
    <n v="-952239.89023213647"/>
    <n v="258169.68043009529"/>
    <n v="-1210409.5706622317"/>
    <m/>
    <m/>
    <m/>
  </r>
  <r>
    <x v="10"/>
    <d v="2019-06-01T00:00:00"/>
    <x v="83"/>
    <x v="0"/>
    <x v="0"/>
    <n v="37932512.950000003"/>
    <n v="1.1100000000000001"/>
    <n v="1.104894"/>
    <n v="34331359.343068205"/>
    <n v="3601153.6069317982"/>
    <n v="5114377.8774026074"/>
    <n v="-1513224.2704708092"/>
    <n v="258169.68043009529"/>
    <n v="-1771393.9509009044"/>
    <m/>
    <m/>
    <m/>
  </r>
  <r>
    <x v="10"/>
    <d v="2019-07-01T00:00:00"/>
    <x v="84"/>
    <x v="0"/>
    <x v="0"/>
    <n v="35575919.200000003"/>
    <n v="1.1100000000000001"/>
    <n v="1.104894"/>
    <n v="32198490.714946412"/>
    <n v="3377428.4850535914"/>
    <n v="8329454.1422320269"/>
    <n v="-4952025.6571784355"/>
    <n v="242130.64140984867"/>
    <n v="-5194156.2985882843"/>
    <m/>
    <m/>
    <m/>
  </r>
  <r>
    <x v="10"/>
    <d v="2019-08-01T00:00:00"/>
    <x v="85"/>
    <x v="0"/>
    <x v="0"/>
    <n v="35575919.200000003"/>
    <n v="1.1100000000000001"/>
    <n v="1.104894"/>
    <n v="32198490.714946412"/>
    <n v="3377428.4850535914"/>
    <n v="8364118.2252093451"/>
    <n v="-4986689.7401557537"/>
    <n v="242130.64140984867"/>
    <n v="-5228820.3815656025"/>
    <m/>
    <m/>
    <m/>
  </r>
  <r>
    <x v="10"/>
    <d v="2019-09-01T00:00:00"/>
    <x v="86"/>
    <x v="0"/>
    <x v="0"/>
    <n v="35195556.700000003"/>
    <n v="1.1100000000000001"/>
    <n v="1.104894"/>
    <n v="31854238.234617982"/>
    <n v="3341318.4653820209"/>
    <n v="9133284.9598389827"/>
    <n v="-5791966.4944569618"/>
    <n v="239541.88423465099"/>
    <n v="-6031508.3786916127"/>
    <m/>
    <m/>
    <m/>
  </r>
  <r>
    <x v="10"/>
    <d v="2019-10-01T00:00:00"/>
    <x v="87"/>
    <x v="0"/>
    <x v="0"/>
    <n v="35195556.700000003"/>
    <n v="1.1100000000000001"/>
    <n v="1.104894"/>
    <n v="31854238.234617982"/>
    <n v="3341318.4653820209"/>
    <n v="9911835.9900944196"/>
    <n v="-6570517.5247123986"/>
    <n v="239541.88423465099"/>
    <n v="-6810059.4089470496"/>
    <m/>
    <m/>
    <m/>
  </r>
  <r>
    <x v="10"/>
    <d v="2019-11-01T00:00:00"/>
    <x v="88"/>
    <x v="0"/>
    <x v="0"/>
    <n v="35195556.700000003"/>
    <n v="1.1100000000000001"/>
    <n v="1.104894"/>
    <n v="31854238.234617982"/>
    <n v="3341318.4653820209"/>
    <n v="13007267.515546644"/>
    <n v="-9665949.0501646232"/>
    <n v="239541.88423465099"/>
    <n v="-9905490.9343992732"/>
    <m/>
    <m/>
    <m/>
  </r>
  <r>
    <x v="10"/>
    <d v="2019-12-01T00:00:00"/>
    <x v="89"/>
    <x v="0"/>
    <x v="0"/>
    <n v="31409130.699999999"/>
    <n v="1.1100000000000001"/>
    <n v="1.104894"/>
    <n v="28427279.630444184"/>
    <n v="2981851.0695558153"/>
    <n v="10012400.064072801"/>
    <n v="-7030548.9945169855"/>
    <n v="213771.36932885682"/>
    <n v="-7244320.363845842"/>
    <m/>
    <m/>
    <m/>
  </r>
  <r>
    <x v="11"/>
    <d v="2019-01-01T00:00:00"/>
    <x v="90"/>
    <x v="0"/>
    <x v="0"/>
    <n v="71699753.276983202"/>
    <n v="1.35"/>
    <n v="1.34379"/>
    <n v="53356367.644485518"/>
    <n v="18343385.632497683"/>
    <n v="11707365.871437222"/>
    <n v="6636019.7610604614"/>
    <n v="487990.40587780066"/>
    <n v="6148029.3551826607"/>
    <m/>
    <m/>
    <m/>
  </r>
  <r>
    <x v="11"/>
    <d v="2019-02-01T00:00:00"/>
    <x v="91"/>
    <x v="0"/>
    <x v="0"/>
    <n v="71699753.276983202"/>
    <n v="1.35"/>
    <n v="1.34379"/>
    <n v="53356367.644485518"/>
    <n v="18343385.632497683"/>
    <n v="11533397.577067515"/>
    <n v="6809988.0554301683"/>
    <n v="487990.40587780066"/>
    <n v="6321997.6495523676"/>
    <m/>
    <m/>
    <m/>
  </r>
  <r>
    <x v="11"/>
    <d v="2019-03-01T00:00:00"/>
    <x v="92"/>
    <x v="0"/>
    <x v="0"/>
    <n v="71699753.276983202"/>
    <n v="1.35"/>
    <n v="1.34379"/>
    <n v="53356367.644485518"/>
    <n v="18343385.632497683"/>
    <n v="8344270.0998023758"/>
    <n v="9999115.5326953083"/>
    <n v="487990.40587780066"/>
    <n v="9511125.1268175077"/>
    <m/>
    <m/>
    <m/>
  </r>
  <r>
    <x v="11"/>
    <d v="2019-04-01T00:00:00"/>
    <x v="93"/>
    <x v="0"/>
    <x v="0"/>
    <n v="71699753.276983202"/>
    <n v="1.35"/>
    <n v="1.34379"/>
    <n v="53356367.644485518"/>
    <n v="18343385.632497683"/>
    <n v="8578538.5550027788"/>
    <n v="9764847.0774949044"/>
    <n v="487990.40587780066"/>
    <n v="9276856.6716171037"/>
    <m/>
    <m/>
    <m/>
  </r>
  <r>
    <x v="11"/>
    <d v="2019-05-01T00:00:00"/>
    <x v="94"/>
    <x v="0"/>
    <x v="0"/>
    <n v="71699753.276983202"/>
    <n v="1.35"/>
    <n v="1.34379"/>
    <n v="53356367.644485518"/>
    <n v="18343385.632497683"/>
    <n v="7076694.3725385191"/>
    <n v="11266691.259959165"/>
    <n v="487990.40587780066"/>
    <n v="10778700.854081364"/>
    <m/>
    <m/>
    <m/>
  </r>
  <r>
    <x v="11"/>
    <d v="2019-06-01T00:00:00"/>
    <x v="95"/>
    <x v="0"/>
    <x v="0"/>
    <n v="71699753.276983202"/>
    <n v="1.35"/>
    <n v="1.34379"/>
    <n v="53356367.644485518"/>
    <n v="18343385.632497683"/>
    <n v="7948552.9125899505"/>
    <n v="10394832.719907733"/>
    <n v="487990.40587780066"/>
    <n v="9906842.314029932"/>
    <m/>
    <m/>
    <m/>
  </r>
  <r>
    <x v="11"/>
    <d v="2019-07-01T00:00:00"/>
    <x v="96"/>
    <x v="0"/>
    <x v="0"/>
    <n v="71699753.276983202"/>
    <n v="1.35"/>
    <n v="1.34379"/>
    <n v="53356367.644485518"/>
    <n v="18343385.632497683"/>
    <n v="13802802.790520627"/>
    <n v="4540582.8419770561"/>
    <n v="487990.40587780066"/>
    <n v="4052592.4360992555"/>
    <m/>
    <m/>
    <m/>
  </r>
  <r>
    <x v="11"/>
    <d v="2019-08-01T00:00:00"/>
    <x v="97"/>
    <x v="0"/>
    <x v="0"/>
    <n v="71699753.276983202"/>
    <n v="1.35"/>
    <n v="1.34379"/>
    <n v="53356367.644485518"/>
    <n v="18343385.632497683"/>
    <n v="13860244.910145761"/>
    <n v="4483140.7223519217"/>
    <n v="487990.40587780066"/>
    <n v="3995150.3164741211"/>
    <m/>
    <m/>
    <m/>
  </r>
  <r>
    <x v="11"/>
    <d v="2019-09-01T00:00:00"/>
    <x v="98"/>
    <x v="0"/>
    <x v="0"/>
    <n v="71699753.276983202"/>
    <n v="1.35"/>
    <n v="1.34379"/>
    <n v="53356367.644485518"/>
    <n v="18343385.632497683"/>
    <n v="15298401.001767455"/>
    <n v="3044984.6307302285"/>
    <n v="487990.40587780066"/>
    <n v="2556994.2248524278"/>
    <m/>
    <m/>
    <m/>
  </r>
  <r>
    <x v="11"/>
    <d v="2019-10-01T00:00:00"/>
    <x v="99"/>
    <x v="0"/>
    <x v="0"/>
    <n v="71699753.276983202"/>
    <n v="1.35"/>
    <n v="1.34379"/>
    <n v="53356367.644485518"/>
    <n v="18343385.632497683"/>
    <n v="16602486.652610525"/>
    <n v="1740898.9798871577"/>
    <n v="487990.40587780066"/>
    <n v="1252908.574009357"/>
    <m/>
    <m/>
    <m/>
  </r>
  <r>
    <x v="11"/>
    <d v="2019-11-01T00:00:00"/>
    <x v="100"/>
    <x v="0"/>
    <x v="0"/>
    <n v="71699753.276983202"/>
    <n v="1.35"/>
    <n v="1.34379"/>
    <n v="53356367.644485518"/>
    <n v="18343385.632497683"/>
    <n v="21787384.852777466"/>
    <n v="-3443999.220279783"/>
    <n v="487990.40587780066"/>
    <n v="-3931989.6261575837"/>
    <m/>
    <m/>
    <m/>
  </r>
  <r>
    <x v="11"/>
    <d v="2019-12-01T00:00:00"/>
    <x v="101"/>
    <x v="0"/>
    <x v="0"/>
    <n v="71699753.276983202"/>
    <n v="1.35"/>
    <n v="1.34379"/>
    <n v="53356367.644485518"/>
    <n v="18343385.632497683"/>
    <n v="18792698.624957781"/>
    <n v="-449312.99246009812"/>
    <n v="487990.40587780066"/>
    <n v="-937303.39833789878"/>
    <m/>
    <m/>
    <m/>
  </r>
  <r>
    <x v="11"/>
    <d v="2020-01-01T00:00:00"/>
    <x v="102"/>
    <x v="0"/>
    <x v="0"/>
    <n v="65878695.026983202"/>
    <n v="1.35"/>
    <n v="1.34379"/>
    <n v="49024546.266145155"/>
    <n v="16854148.760838047"/>
    <s v=""/>
    <s v=""/>
    <n v="448372.13038552355"/>
    <s v=""/>
    <m/>
    <m/>
    <m/>
  </r>
  <r>
    <x v="11"/>
    <d v="2020-02-01T00:00:00"/>
    <x v="103"/>
    <x v="0"/>
    <x v="0"/>
    <n v="65878695.026983202"/>
    <n v="1.35"/>
    <n v="1.34379"/>
    <n v="49024546.266145155"/>
    <n v="16854148.760838047"/>
    <s v=""/>
    <s v=""/>
    <n v="448372.13038552355"/>
    <s v=""/>
    <m/>
    <m/>
    <m/>
  </r>
  <r>
    <x v="11"/>
    <d v="2020-03-01T00:00:00"/>
    <x v="104"/>
    <x v="0"/>
    <x v="0"/>
    <n v="61723893.851983197"/>
    <n v="1.35"/>
    <n v="1.34379"/>
    <n v="45932693.242235169"/>
    <n v="15791200.609748028"/>
    <s v=""/>
    <s v=""/>
    <n v="420094.44435364316"/>
    <s v=""/>
    <m/>
    <m/>
    <m/>
  </r>
  <r>
    <x v="11"/>
    <d v="2020-04-01T00:00:00"/>
    <x v="105"/>
    <x v="0"/>
    <x v="0"/>
    <n v="49714833.851983197"/>
    <n v="1.35"/>
    <n v="1.34379"/>
    <n v="36995984.381475672"/>
    <n v="12718849.470507525"/>
    <s v=""/>
    <s v=""/>
    <n v="338360.46626069321"/>
    <s v=""/>
    <m/>
    <m/>
    <m/>
  </r>
  <r>
    <x v="11"/>
    <d v="2020-05-01T00:00:00"/>
    <x v="106"/>
    <x v="0"/>
    <x v="0"/>
    <n v="48046908.851983197"/>
    <n v="1.35"/>
    <n v="1.34379"/>
    <n v="35754774.817481302"/>
    <n v="12292134.034501895"/>
    <s v=""/>
    <s v=""/>
    <n v="327008.52485889464"/>
    <s v=""/>
    <m/>
    <m/>
    <m/>
  </r>
  <r>
    <x v="11"/>
    <d v="2020-06-01T00:00:00"/>
    <x v="107"/>
    <x v="0"/>
    <x v="0"/>
    <n v="40541246.351983197"/>
    <n v="1.35"/>
    <n v="1.34379"/>
    <n v="30169331.779506616"/>
    <n v="10371914.572476581"/>
    <s v=""/>
    <s v=""/>
    <n v="275924.78855080093"/>
    <s v=""/>
    <m/>
    <m/>
    <m/>
  </r>
  <r>
    <x v="12"/>
    <d v="2019-01-01T00:00:00"/>
    <x v="108"/>
    <x v="0"/>
    <x v="0"/>
    <n v="15824227.25"/>
    <n v="1.92"/>
    <n v="1.9111679999999998"/>
    <n v="8279872.4392622737"/>
    <n v="7544354.8107377263"/>
    <n v="1816755.9055210776"/>
    <n v="5727598.9052166492"/>
    <n v="107700.10670188686"/>
    <n v="5619898.798514762"/>
    <m/>
    <m/>
    <m/>
  </r>
  <r>
    <x v="12"/>
    <d v="2019-02-01T00:00:00"/>
    <x v="109"/>
    <x v="0"/>
    <x v="0"/>
    <n v="15824227.25"/>
    <n v="1.92"/>
    <n v="1.9111679999999998"/>
    <n v="8279872.4392622737"/>
    <n v="7544354.8107377263"/>
    <n v="1789759.4035205129"/>
    <n v="5754595.4072172139"/>
    <n v="107700.10670188686"/>
    <n v="5646895.3005153267"/>
    <m/>
    <m/>
    <m/>
  </r>
  <r>
    <x v="12"/>
    <d v="2019-03-01T00:00:00"/>
    <x v="110"/>
    <x v="0"/>
    <x v="0"/>
    <n v="15824227.25"/>
    <n v="1.92"/>
    <n v="1.9111679999999998"/>
    <n v="8279872.4392622737"/>
    <n v="7544354.8107377263"/>
    <n v="1294868.7302977319"/>
    <n v="6249486.0804399941"/>
    <n v="107700.10670188686"/>
    <n v="6141785.9737381069"/>
    <m/>
    <m/>
    <m/>
  </r>
  <r>
    <x v="13"/>
    <d v="2019-01-01T00:00:00"/>
    <x v="111"/>
    <x v="0"/>
    <x v="0"/>
    <n v="153017477.52499998"/>
    <n v="1.72"/>
    <n v="1.7120879999999998"/>
    <n v="89374773.682777986"/>
    <n v="63642703.84222199"/>
    <n v="19610464.905575749"/>
    <n v="44032238.936646238"/>
    <n v="1041440.9750527359"/>
    <n v="42990797.961593501"/>
    <m/>
    <m/>
    <m/>
  </r>
  <r>
    <x v="13"/>
    <d v="2019-02-01T00:00:00"/>
    <x v="112"/>
    <x v="0"/>
    <x v="0"/>
    <n v="151568477.52499998"/>
    <n v="1.72"/>
    <n v="1.7120879999999998"/>
    <n v="88528438.681306094"/>
    <n v="63040038.843693882"/>
    <n v="19136116.742273621"/>
    <n v="43903922.101420261"/>
    <n v="1031579.0429567446"/>
    <n v="42872343.058463514"/>
    <m/>
    <m/>
    <m/>
  </r>
  <r>
    <x v="13"/>
    <d v="2019-03-01T00:00:00"/>
    <x v="113"/>
    <x v="0"/>
    <x v="0"/>
    <n v="98609116.699999988"/>
    <n v="1.72"/>
    <n v="1.7120879999999998"/>
    <n v="57595822.586222202"/>
    <n v="41013294.113777786"/>
    <n v="9007267.9512584209"/>
    <n v="32006026.162519366"/>
    <n v="671136.24081509653"/>
    <n v="31334889.92170427"/>
    <m/>
    <m/>
    <m/>
  </r>
  <r>
    <x v="14"/>
    <d v="2019-01-01T00:00:00"/>
    <x v="114"/>
    <x v="0"/>
    <x v="0"/>
    <n v="51152180.402000003"/>
    <n v="1.69"/>
    <n v="1.6822259999999998"/>
    <n v="30407436.576298315"/>
    <n v="20744743.825701687"/>
    <n v="6671949.4022385757"/>
    <n v="14072794.423463112"/>
    <n v="348143.08466971532"/>
    <n v="13724651.338793397"/>
    <m/>
    <m/>
    <m/>
  </r>
  <r>
    <x v="14"/>
    <d v="2019-02-01T00:00:00"/>
    <x v="115"/>
    <x v="0"/>
    <x v="0"/>
    <n v="47167910.304499999"/>
    <n v="1.69"/>
    <n v="1.6822259999999998"/>
    <n v="28038985.430316739"/>
    <n v="19128924.87418326"/>
    <n v="6060846.7349232845"/>
    <n v="13068078.139259975"/>
    <n v="321026.03763477161"/>
    <n v="12747052.101625204"/>
    <m/>
    <m/>
    <m/>
  </r>
  <r>
    <x v="14"/>
    <d v="2019-03-01T00:00:00"/>
    <x v="116"/>
    <x v="0"/>
    <x v="0"/>
    <n v="47167910.304499999"/>
    <n v="1.69"/>
    <n v="1.6822259999999998"/>
    <n v="28038985.430316739"/>
    <n v="19128924.87418326"/>
    <n v="4384947.4408359034"/>
    <n v="14743977.433347356"/>
    <n v="321026.03763477161"/>
    <n v="14422951.395712584"/>
    <m/>
    <m/>
    <m/>
  </r>
  <r>
    <x v="14"/>
    <d v="2019-04-01T00:00:00"/>
    <x v="117"/>
    <x v="0"/>
    <x v="0"/>
    <n v="53612578.7795"/>
    <n v="1.69"/>
    <n v="1.6822259999999998"/>
    <n v="31870021.495030992"/>
    <n v="21742557.284469008"/>
    <n v="5124003.3797942931"/>
    <n v="16618553.904674716"/>
    <n v="364888.62071387819"/>
    <n v="16253665.283960838"/>
    <m/>
    <m/>
    <m/>
  </r>
  <r>
    <x v="14"/>
    <d v="2019-05-01T00:00:00"/>
    <x v="118"/>
    <x v="0"/>
    <x v="0"/>
    <n v="53612578.7795"/>
    <n v="1.69"/>
    <n v="1.6822259999999998"/>
    <n v="31870021.495030992"/>
    <n v="21742557.284469008"/>
    <n v="4226944.4439941533"/>
    <n v="17515612.840474855"/>
    <n v="364888.62071387819"/>
    <n v="17150724.219760977"/>
    <m/>
    <m/>
    <m/>
  </r>
  <r>
    <x v="14"/>
    <d v="2019-06-01T00:00:00"/>
    <x v="119"/>
    <x v="0"/>
    <x v="0"/>
    <n v="53612578.7795"/>
    <n v="1.69"/>
    <n v="1.6822259999999998"/>
    <n v="31870021.495030992"/>
    <n v="21742557.284469008"/>
    <n v="4747709.8491132781"/>
    <n v="16994847.43535573"/>
    <n v="364888.62071387819"/>
    <n v="16629958.814641852"/>
    <m/>
    <m/>
    <m/>
  </r>
  <r>
    <x v="14"/>
    <d v="2019-07-01T00:00:00"/>
    <x v="120"/>
    <x v="0"/>
    <x v="0"/>
    <n v="53612578.7795"/>
    <n v="1.69"/>
    <n v="1.6822259999999998"/>
    <n v="31870021.495030992"/>
    <n v="21742557.284469008"/>
    <n v="8244482.1685876166"/>
    <n v="13498075.115881391"/>
    <n v="364888.62071387819"/>
    <n v="13133186.495167512"/>
    <m/>
    <m/>
    <m/>
  </r>
  <r>
    <x v="14"/>
    <d v="2019-08-01T00:00:00"/>
    <x v="121"/>
    <x v="0"/>
    <x v="0"/>
    <n v="53612578.7795"/>
    <n v="1.69"/>
    <n v="1.6822259999999998"/>
    <n v="31870021.495030992"/>
    <n v="21742557.284469008"/>
    <n v="8278792.6298875874"/>
    <n v="13463764.65458142"/>
    <n v="364888.62071387819"/>
    <n v="13098876.033867542"/>
    <m/>
    <m/>
    <m/>
  </r>
  <r>
    <x v="14"/>
    <d v="2019-09-01T00:00:00"/>
    <x v="122"/>
    <x v="0"/>
    <x v="0"/>
    <n v="49351847.829500005"/>
    <n v="1.69"/>
    <n v="1.6822259999999998"/>
    <n v="29337228.071317416"/>
    <n v="20014619.758182589"/>
    <n v="8411604.8211109489"/>
    <n v="11603014.93707164"/>
    <n v="335889.97384832386"/>
    <n v="11267124.963223316"/>
    <m/>
    <m/>
    <m/>
  </r>
  <r>
    <x v="14"/>
    <d v="2019-10-01T00:00:00"/>
    <x v="123"/>
    <x v="0"/>
    <x v="0"/>
    <n v="49351847.829500005"/>
    <n v="1.69"/>
    <n v="1.6822259999999998"/>
    <n v="29337228.071317416"/>
    <n v="20014619.758182589"/>
    <n v="9128637.480047388"/>
    <n v="10885982.278135201"/>
    <n v="335889.97384832386"/>
    <n v="10550092.304286877"/>
    <m/>
    <m/>
    <m/>
  </r>
  <r>
    <x v="14"/>
    <d v="2019-11-01T00:00:00"/>
    <x v="124"/>
    <x v="0"/>
    <x v="0"/>
    <n v="49351847.829500005"/>
    <n v="1.69"/>
    <n v="1.6822259999999998"/>
    <n v="29337228.071317416"/>
    <n v="20014619.758182589"/>
    <n v="11979478.864872832"/>
    <n v="8035140.8933097571"/>
    <n v="335889.97384832386"/>
    <n v="7699250.9194614328"/>
    <m/>
    <m/>
    <m/>
  </r>
  <r>
    <x v="14"/>
    <d v="2019-12-01T00:00:00"/>
    <x v="125"/>
    <x v="0"/>
    <x v="0"/>
    <n v="49351847.829500005"/>
    <n v="1.69"/>
    <n v="1.6822259999999998"/>
    <n v="29337228.071317416"/>
    <n v="20014619.758182589"/>
    <n v="10332893.897677086"/>
    <n v="9681725.8605055027"/>
    <n v="335889.97384832386"/>
    <n v="9345835.8866571784"/>
    <m/>
    <m/>
    <m/>
  </r>
  <r>
    <x v="14"/>
    <d v="2020-01-01T00:00:00"/>
    <x v="126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2-01T00:00:00"/>
    <x v="127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3-01T00:00:00"/>
    <x v="128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4-01T00:00:00"/>
    <x v="129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5-01T00:00:00"/>
    <x v="130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6-01T00:00:00"/>
    <x v="131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7-01T00:00:00"/>
    <x v="132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8-01T00:00:00"/>
    <x v="133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9-01T00:00:00"/>
    <x v="134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10-01T00:00:00"/>
    <x v="135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11-01T00:00:00"/>
    <x v="136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12-01T00:00:00"/>
    <x v="137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1-01-01T00:00:00"/>
    <x v="138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1-02-01T00:00:00"/>
    <x v="139"/>
    <x v="0"/>
    <x v="0"/>
    <n v="9910003.9500000011"/>
    <n v="1.69"/>
    <n v="1.6822259999999998"/>
    <n v="5891006.291663547"/>
    <n v="4018997.6583364541"/>
    <s v=""/>
    <s v=""/>
    <n v="67447.747429886062"/>
    <s v=""/>
    <m/>
    <m/>
    <m/>
  </r>
  <r>
    <x v="15"/>
    <d v="2019-01-01T00:00:00"/>
    <x v="140"/>
    <x v="0"/>
    <x v="0"/>
    <n v="20348195"/>
    <n v="1.61"/>
    <n v="1.6025940000000001"/>
    <n v="12697036.804081382"/>
    <n v="7651158.1959186178"/>
    <n v="2785962.7990221307"/>
    <n v="4865195.3968964871"/>
    <n v="138490.35014906025"/>
    <n v="4726705.0467474265"/>
    <m/>
    <m/>
    <m/>
  </r>
  <r>
    <x v="15"/>
    <d v="2019-02-01T00:00:00"/>
    <x v="141"/>
    <x v="0"/>
    <x v="0"/>
    <n v="20348195"/>
    <n v="1.61"/>
    <n v="1.6025940000000001"/>
    <n v="12697036.804081382"/>
    <n v="7651158.1959186178"/>
    <n v="2744564.1443934408"/>
    <n v="4906594.0515251774"/>
    <n v="138490.35014906025"/>
    <n v="4768103.7013761168"/>
    <m/>
    <m/>
    <m/>
  </r>
  <r>
    <x v="15"/>
    <d v="2019-03-01T00:00:00"/>
    <x v="142"/>
    <x v="0"/>
    <x v="0"/>
    <n v="20348195"/>
    <n v="1.61"/>
    <n v="1.6025940000000001"/>
    <n v="12697036.804081382"/>
    <n v="7651158.1959186178"/>
    <n v="1985658.1180022748"/>
    <n v="5665500.0779163428"/>
    <n v="138490.35014906025"/>
    <n v="5527009.7277672822"/>
    <m/>
    <m/>
    <m/>
  </r>
  <r>
    <x v="15"/>
    <d v="2019-04-01T00:00:00"/>
    <x v="143"/>
    <x v="0"/>
    <x v="0"/>
    <n v="20348195"/>
    <n v="1.61"/>
    <n v="1.6025940000000001"/>
    <n v="12697036.804081382"/>
    <n v="7651158.1959186178"/>
    <n v="2041406.2007341066"/>
    <n v="5609751.9951845109"/>
    <n v="138490.35014906025"/>
    <n v="5471261.6450354503"/>
    <m/>
    <m/>
    <m/>
  </r>
  <r>
    <x v="15"/>
    <d v="2019-05-01T00:00:00"/>
    <x v="144"/>
    <x v="0"/>
    <x v="0"/>
    <n v="20348195"/>
    <n v="1.61"/>
    <n v="1.6025940000000001"/>
    <n v="12697036.804081382"/>
    <n v="7651158.1959186178"/>
    <n v="1684017.3509945383"/>
    <n v="5967140.8449240793"/>
    <n v="138490.35014906025"/>
    <n v="5828650.4947750187"/>
    <m/>
    <m/>
    <m/>
  </r>
  <r>
    <x v="15"/>
    <d v="2019-06-01T00:00:00"/>
    <x v="145"/>
    <x v="0"/>
    <x v="0"/>
    <n v="20348195"/>
    <n v="1.61"/>
    <n v="1.6025940000000001"/>
    <n v="12697036.804081382"/>
    <n v="7651158.1959186178"/>
    <n v="1891490.6191290077"/>
    <n v="5759667.5767896101"/>
    <n v="138490.35014906025"/>
    <n v="5621177.2266405495"/>
    <m/>
    <m/>
    <m/>
  </r>
  <r>
    <x v="15"/>
    <d v="2019-07-01T00:00:00"/>
    <x v="146"/>
    <x v="0"/>
    <x v="0"/>
    <n v="20348195"/>
    <n v="1.61"/>
    <n v="1.6025940000000001"/>
    <n v="12697036.804081382"/>
    <n v="7651158.1959186178"/>
    <n v="3284606.93198688"/>
    <n v="4366551.2639317382"/>
    <n v="138490.35014906025"/>
    <n v="4228060.9137826776"/>
    <m/>
    <m/>
    <m/>
  </r>
  <r>
    <x v="15"/>
    <d v="2019-08-01T00:00:00"/>
    <x v="147"/>
    <x v="0"/>
    <x v="0"/>
    <n v="20348195"/>
    <n v="1.61"/>
    <n v="1.6025940000000001"/>
    <n v="12697036.804081382"/>
    <n v="7651158.1959186178"/>
    <n v="3298276.2415591581"/>
    <n v="4352881.9543594597"/>
    <n v="138490.35014906025"/>
    <n v="4214391.6042103991"/>
    <m/>
    <m/>
    <m/>
  </r>
  <r>
    <x v="15"/>
    <d v="2019-09-01T00:00:00"/>
    <x v="148"/>
    <x v="0"/>
    <x v="0"/>
    <n v="20348195"/>
    <n v="1.61"/>
    <n v="1.6025940000000001"/>
    <n v="12697036.804081382"/>
    <n v="7651158.1959186178"/>
    <n v="3640509.448793266"/>
    <n v="4010648.7471253518"/>
    <n v="138490.35014906025"/>
    <n v="3872158.3969762917"/>
    <m/>
    <m/>
    <m/>
  </r>
  <r>
    <x v="15"/>
    <d v="2019-10-01T00:00:00"/>
    <x v="149"/>
    <x v="0"/>
    <x v="0"/>
    <n v="20348195"/>
    <n v="1.61"/>
    <n v="1.6025940000000001"/>
    <n v="12697036.804081382"/>
    <n v="7651158.1959186178"/>
    <n v="3950838.3605129574"/>
    <n v="3700319.8354056603"/>
    <n v="138490.35014906025"/>
    <n v="3561829.4852566002"/>
    <m/>
    <m/>
    <m/>
  </r>
  <r>
    <x v="15"/>
    <d v="2019-11-01T00:00:00"/>
    <x v="150"/>
    <x v="0"/>
    <x v="0"/>
    <n v="20348195"/>
    <n v="1.61"/>
    <n v="1.6025940000000001"/>
    <n v="12697036.804081382"/>
    <n v="7651158.1959186178"/>
    <n v="5184671.2876638537"/>
    <n v="2466486.908254764"/>
    <n v="138490.35014906025"/>
    <n v="2327996.5581057039"/>
    <m/>
    <m/>
    <m/>
  </r>
  <r>
    <x v="15"/>
    <d v="2019-12-01T00:00:00"/>
    <x v="151"/>
    <x v="0"/>
    <x v="0"/>
    <n v="20348195"/>
    <n v="1.61"/>
    <n v="1.6025940000000001"/>
    <n v="12697036.804081382"/>
    <n v="7651158.1959186178"/>
    <n v="4472035.7967201211"/>
    <n v="3179122.3991984967"/>
    <n v="138490.35014906025"/>
    <n v="3040632.0490494366"/>
    <m/>
    <m/>
    <m/>
  </r>
  <r>
    <x v="15"/>
    <d v="2020-01-01T00:00:00"/>
    <x v="152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2-01T00:00:00"/>
    <x v="153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3-01T00:00:00"/>
    <x v="154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4-01T00:00:00"/>
    <x v="155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5-01T00:00:00"/>
    <x v="156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6-01T00:00:00"/>
    <x v="157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7-01T00:00:00"/>
    <x v="158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8-01T00:00:00"/>
    <x v="159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0-09-01T00:00:00"/>
    <x v="160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0-10-01T00:00:00"/>
    <x v="161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0-11-01T00:00:00"/>
    <x v="162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0-12-01T00:00:00"/>
    <x v="163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1-01-01T00:00:00"/>
    <x v="164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1-02-01T00:00:00"/>
    <x v="165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1-03-01T00:00:00"/>
    <x v="166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1-04-01T00:00:00"/>
    <x v="167"/>
    <x v="0"/>
    <x v="0"/>
    <n v="19513445"/>
    <n v="1.61"/>
    <n v="1.6025940000000001"/>
    <n v="12176162.521511998"/>
    <n v="7337282.478488002"/>
    <s v=""/>
    <s v=""/>
    <n v="132809.0197024566"/>
    <s v=""/>
    <m/>
    <m/>
    <m/>
  </r>
  <r>
    <x v="15"/>
    <d v="2021-05-01T00:00:00"/>
    <x v="168"/>
    <x v="0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5"/>
    <d v="2021-06-01T00:00:00"/>
    <x v="169"/>
    <x v="0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5"/>
    <d v="2021-07-01T00:00:00"/>
    <x v="170"/>
    <x v="0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6"/>
    <d v="2019-01-01T00:00:00"/>
    <x v="171"/>
    <x v="0"/>
    <x v="0"/>
    <n v="195728607.46069998"/>
    <n v="2.2200000000000002"/>
    <n v="2.2097880000000001"/>
    <n v="88573477.392718196"/>
    <n v="107155130.06798178"/>
    <n v="19434645.79994132"/>
    <n v="87720484.268040463"/>
    <n v="1332134.0483232201"/>
    <n v="86388350.219717249"/>
    <m/>
    <m/>
    <m/>
  </r>
  <r>
    <x v="16"/>
    <d v="2019-02-01T00:00:00"/>
    <x v="172"/>
    <x v="0"/>
    <x v="0"/>
    <n v="195728607.46069998"/>
    <n v="2.2200000000000002"/>
    <n v="2.2097880000000001"/>
    <n v="88573477.392718196"/>
    <n v="107155130.06798178"/>
    <n v="19145852.213183776"/>
    <n v="88009277.854798004"/>
    <n v="1332134.0483232201"/>
    <n v="86677143.80647479"/>
    <m/>
    <m/>
    <m/>
  </r>
  <r>
    <x v="16"/>
    <d v="2019-03-01T00:00:00"/>
    <x v="173"/>
    <x v="0"/>
    <x v="0"/>
    <n v="195728607.46069998"/>
    <n v="2.2200000000000002"/>
    <n v="2.2097880000000001"/>
    <n v="88573477.392718196"/>
    <n v="107155130.06798178"/>
    <n v="13851786.612763651"/>
    <n v="93303343.455218136"/>
    <n v="1332134.0483232201"/>
    <n v="91971209.406894922"/>
    <m/>
    <m/>
    <m/>
  </r>
  <r>
    <x v="16"/>
    <d v="2019-04-01T00:00:00"/>
    <x v="174"/>
    <x v="0"/>
    <x v="0"/>
    <n v="131698607.46069999"/>
    <n v="2.2200000000000002"/>
    <n v="2.2097880000000001"/>
    <n v="59597847.151265182"/>
    <n v="72100760.309434801"/>
    <n v="9582032.1388600152"/>
    <n v="62518728.170574784"/>
    <n v="896344.18489580916"/>
    <n v="61622383.985678978"/>
    <m/>
    <m/>
    <m/>
  </r>
  <r>
    <x v="16"/>
    <d v="2019-05-01T00:00:00"/>
    <x v="175"/>
    <x v="0"/>
    <x v="0"/>
    <n v="131698607.46069999"/>
    <n v="2.2200000000000002"/>
    <n v="2.2097880000000001"/>
    <n v="59597847.151265182"/>
    <n v="72100760.309434801"/>
    <n v="7904506.4004531894"/>
    <n v="64196253.908981614"/>
    <n v="896344.18489580916"/>
    <n v="63299909.724085808"/>
    <m/>
    <m/>
    <m/>
  </r>
  <r>
    <x v="16"/>
    <d v="2019-06-01T00:00:00"/>
    <x v="176"/>
    <x v="0"/>
    <x v="0"/>
    <n v="131698607.46069999"/>
    <n v="2.2200000000000002"/>
    <n v="2.2097880000000001"/>
    <n v="59597847.151265182"/>
    <n v="72100760.309434801"/>
    <n v="8878352.5279431026"/>
    <n v="63222407.781491697"/>
    <n v="896344.18489580916"/>
    <n v="62326063.596595891"/>
    <m/>
    <m/>
    <m/>
  </r>
  <r>
    <x v="16"/>
    <d v="2019-07-01T00:00:00"/>
    <x v="177"/>
    <x v="0"/>
    <x v="0"/>
    <n v="131698607.46069999"/>
    <n v="2.2200000000000002"/>
    <n v="2.2097880000000001"/>
    <n v="59597847.151265182"/>
    <n v="72100760.309434801"/>
    <n v="15417416.276340617"/>
    <n v="56683344.033094183"/>
    <n v="896344.18489580916"/>
    <n v="55786999.848198377"/>
    <m/>
    <m/>
    <m/>
  </r>
  <r>
    <x v="16"/>
    <d v="2019-08-01T00:00:00"/>
    <x v="178"/>
    <x v="0"/>
    <x v="0"/>
    <n v="131698607.46069999"/>
    <n v="2.2200000000000002"/>
    <n v="2.2097880000000001"/>
    <n v="59597847.151265182"/>
    <n v="72100760.309434801"/>
    <n v="15481577.81537704"/>
    <n v="56619182.49405776"/>
    <n v="896344.18489580916"/>
    <n v="55722838.309161954"/>
    <m/>
    <m/>
    <m/>
  </r>
  <r>
    <x v="16"/>
    <d v="2019-09-01T00:00:00"/>
    <x v="179"/>
    <x v="0"/>
    <x v="0"/>
    <n v="131698607.46069999"/>
    <n v="2.2200000000000002"/>
    <n v="2.2097880000000001"/>
    <n v="59597847.151265182"/>
    <n v="72100760.309434801"/>
    <n v="17087965.407186598"/>
    <n v="55012794.902248204"/>
    <n v="896344.18489580916"/>
    <n v="54116450.717352398"/>
    <m/>
    <m/>
    <m/>
  </r>
  <r>
    <x v="16"/>
    <d v="2019-10-01T00:00:00"/>
    <x v="180"/>
    <x v="0"/>
    <x v="0"/>
    <n v="131698607.46069999"/>
    <n v="2.2200000000000002"/>
    <n v="2.2097880000000001"/>
    <n v="59597847.151265182"/>
    <n v="72100760.309434801"/>
    <n v="18544599.370895635"/>
    <n v="53556160.938539162"/>
    <n v="896344.18489580916"/>
    <n v="52659816.753643356"/>
    <m/>
    <m/>
    <m/>
  </r>
  <r>
    <x v="16"/>
    <d v="2019-11-01T00:00:00"/>
    <x v="181"/>
    <x v="0"/>
    <x v="0"/>
    <n v="131698607.46069999"/>
    <n v="2.2200000000000002"/>
    <n v="2.2097880000000001"/>
    <n v="59597847.151265182"/>
    <n v="72100760.309434801"/>
    <n v="24336012.543684129"/>
    <n v="47764747.765750676"/>
    <n v="896344.18489580916"/>
    <n v="46868403.58085487"/>
    <m/>
    <m/>
    <m/>
  </r>
  <r>
    <x v="16"/>
    <d v="2019-12-01T00:00:00"/>
    <x v="182"/>
    <x v="0"/>
    <x v="0"/>
    <n v="131698607.46069999"/>
    <n v="2.2200000000000002"/>
    <n v="2.2097880000000001"/>
    <n v="59597847.151265182"/>
    <n v="72100760.309434801"/>
    <n v="20991016.248943992"/>
    <n v="51109744.060490809"/>
    <n v="896344.18489580916"/>
    <n v="50213399.875595003"/>
    <m/>
    <m/>
    <m/>
  </r>
  <r>
    <x v="16"/>
    <d v="2020-01-01T00:00:00"/>
    <x v="183"/>
    <x v="0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d v="2020-02-01T00:00:00"/>
    <x v="184"/>
    <x v="0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d v="2020-03-01T00:00:00"/>
    <x v="185"/>
    <x v="0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d v="2020-04-01T00:00:00"/>
    <x v="186"/>
    <x v="0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d v="2020-05-01T00:00:00"/>
    <x v="187"/>
    <x v="0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d v="2020-06-01T00:00:00"/>
    <x v="188"/>
    <x v="0"/>
    <x v="0"/>
    <n v="115277855.6902"/>
    <n v="2.2200000000000002"/>
    <n v="2.2097880000000001"/>
    <n v="52166929.900153317"/>
    <n v="63110925.790046684"/>
    <s v=""/>
    <s v=""/>
    <n v="784584.11662403645"/>
    <s v=""/>
    <m/>
    <m/>
    <m/>
  </r>
  <r>
    <x v="16"/>
    <d v="2020-07-01T00:00:00"/>
    <x v="189"/>
    <x v="0"/>
    <x v="0"/>
    <n v="115277855.6902"/>
    <n v="2.2200000000000002"/>
    <n v="2.2097880000000001"/>
    <n v="52166929.900153317"/>
    <n v="63110925.790046684"/>
    <s v=""/>
    <s v=""/>
    <n v="784584.11662403645"/>
    <s v=""/>
    <m/>
    <m/>
    <m/>
  </r>
  <r>
    <x v="16"/>
    <d v="2020-08-01T00:00:00"/>
    <x v="190"/>
    <x v="0"/>
    <x v="0"/>
    <n v="109546785.0652"/>
    <n v="2.2200000000000002"/>
    <n v="2.2097880000000001"/>
    <n v="49573436.485852942"/>
    <n v="59973348.579347059"/>
    <s v=""/>
    <s v=""/>
    <n v="745578.29927339463"/>
    <s v=""/>
    <m/>
    <m/>
    <m/>
  </r>
  <r>
    <x v="16"/>
    <d v="2020-09-01T00:00:00"/>
    <x v="191"/>
    <x v="0"/>
    <x v="0"/>
    <n v="103283498.605"/>
    <n v="2.2200000000000002"/>
    <n v="2.2097880000000001"/>
    <n v="46739098.323006548"/>
    <n v="56544400.281993456"/>
    <s v=""/>
    <s v=""/>
    <n v="702950.20695577306"/>
    <s v=""/>
    <m/>
    <m/>
    <m/>
  </r>
  <r>
    <x v="16"/>
    <d v="2020-10-01T00:00:00"/>
    <x v="192"/>
    <x v="0"/>
    <x v="0"/>
    <n v="92003446.254999995"/>
    <n v="2.2200000000000002"/>
    <n v="2.2097880000000001"/>
    <n v="41634512.566363826"/>
    <n v="50368933.688636169"/>
    <s v=""/>
    <s v=""/>
    <n v="626177.87409523036"/>
    <s v=""/>
    <m/>
    <m/>
    <m/>
  </r>
  <r>
    <x v="16"/>
    <d v="2020-11-01T00:00:00"/>
    <x v="193"/>
    <x v="0"/>
    <x v="0"/>
    <n v="92003446.254999995"/>
    <n v="2.2200000000000002"/>
    <n v="2.2097880000000001"/>
    <n v="41634512.566363826"/>
    <n v="50368933.688636169"/>
    <s v=""/>
    <s v=""/>
    <n v="626177.87409523036"/>
    <s v=""/>
    <m/>
    <m/>
    <m/>
  </r>
  <r>
    <x v="16"/>
    <d v="2020-12-01T00:00:00"/>
    <x v="194"/>
    <x v="0"/>
    <x v="0"/>
    <n v="54343675.75"/>
    <n v="2.2200000000000002"/>
    <n v="2.2097880000000001"/>
    <n v="24592257.605706971"/>
    <n v="29751418.144293029"/>
    <s v=""/>
    <s v=""/>
    <n v="369864.48591653927"/>
    <s v=""/>
    <m/>
    <m/>
    <m/>
  </r>
  <r>
    <x v="17"/>
    <d v="2019-01-01T00:00:00"/>
    <x v="195"/>
    <x v="0"/>
    <x v="0"/>
    <n v="23358981.669500001"/>
    <n v="1.83"/>
    <n v="1.821582"/>
    <n v="12823458.767982995"/>
    <n v="10535522.901517006"/>
    <n v="2813702.0970838638"/>
    <n v="7721820.8044331418"/>
    <n v="158981.84337895989"/>
    <n v="7562838.9610541817"/>
    <m/>
    <m/>
    <m/>
  </r>
  <r>
    <x v="17"/>
    <d v="2019-02-01T00:00:00"/>
    <x v="196"/>
    <x v="0"/>
    <x v="0"/>
    <n v="23358981.669500001"/>
    <n v="1.83"/>
    <n v="1.821582"/>
    <n v="12823458.767982995"/>
    <n v="10535522.901517006"/>
    <n v="2771891.2439791202"/>
    <n v="7763631.657537885"/>
    <n v="158981.84337895989"/>
    <n v="7604649.8141589249"/>
    <m/>
    <m/>
    <m/>
  </r>
  <r>
    <x v="17"/>
    <d v="2019-03-01T00:00:00"/>
    <x v="197"/>
    <x v="0"/>
    <x v="0"/>
    <n v="19235315"/>
    <n v="1.83"/>
    <n v="1.821582"/>
    <n v="10559675.600659207"/>
    <n v="8675639.3993407935"/>
    <n v="1651401.4965428391"/>
    <n v="7024237.9027979542"/>
    <n v="130916.05961007701"/>
    <n v="6893321.843187877"/>
    <m/>
    <m/>
    <m/>
  </r>
  <r>
    <x v="17"/>
    <d v="2019-04-01T00:00:00"/>
    <x v="198"/>
    <x v="0"/>
    <x v="0"/>
    <n v="19235315"/>
    <n v="1.83"/>
    <n v="1.821582"/>
    <n v="10559675.600659207"/>
    <n v="8675639.3993407935"/>
    <n v="1697765.2015623935"/>
    <n v="6977874.1977784"/>
    <n v="130916.05961007701"/>
    <n v="6846958.1381683229"/>
    <m/>
    <m/>
    <m/>
  </r>
  <r>
    <x v="17"/>
    <d v="2019-05-01T00:00:00"/>
    <x v="199"/>
    <x v="0"/>
    <x v="0"/>
    <n v="19235315"/>
    <n v="1.83"/>
    <n v="1.821582"/>
    <n v="10559675.600659207"/>
    <n v="8675639.3993407935"/>
    <n v="1400537.5590206722"/>
    <n v="7275101.8403201215"/>
    <n v="130916.05961007701"/>
    <n v="7144185.7807100443"/>
    <m/>
    <m/>
    <m/>
  </r>
  <r>
    <x v="17"/>
    <d v="2019-06-01T00:00:00"/>
    <x v="200"/>
    <x v="0"/>
    <x v="0"/>
    <n v="19235315"/>
    <n v="1.83"/>
    <n v="1.821582"/>
    <n v="10559675.600659207"/>
    <n v="8675639.3993407935"/>
    <n v="1573085.7244795884"/>
    <n v="7102553.6748612048"/>
    <n v="130916.05961007701"/>
    <n v="6971637.6152511276"/>
    <m/>
    <m/>
    <m/>
  </r>
  <r>
    <x v="17"/>
    <d v="2019-07-01T00:00:00"/>
    <x v="201"/>
    <x v="0"/>
    <x v="0"/>
    <n v="19235315"/>
    <n v="1.83"/>
    <n v="1.821582"/>
    <n v="10559675.600659207"/>
    <n v="8675639.3993407935"/>
    <n v="2731691.1979265013"/>
    <n v="5943948.2014142927"/>
    <n v="130916.05961007701"/>
    <n v="5813032.1418042155"/>
    <m/>
    <m/>
    <m/>
  </r>
  <r>
    <x v="17"/>
    <d v="2019-08-01T00:00:00"/>
    <x v="202"/>
    <x v="0"/>
    <x v="0"/>
    <n v="19235315"/>
    <n v="1.83"/>
    <n v="1.821582"/>
    <n v="10559675.600659207"/>
    <n v="8675639.3993407935"/>
    <n v="2743059.4783367659"/>
    <n v="5932579.9210040271"/>
    <n v="130916.05961007701"/>
    <n v="5801663.8613939499"/>
    <m/>
    <m/>
    <m/>
  </r>
  <r>
    <x v="17"/>
    <d v="2019-09-01T00:00:00"/>
    <x v="203"/>
    <x v="0"/>
    <x v="0"/>
    <n v="15111650"/>
    <n v="1.83"/>
    <n v="1.821582"/>
    <n v="8295893.3498464515"/>
    <n v="6815756.6501535485"/>
    <n v="2378608.3786564451"/>
    <n v="4437148.2714971034"/>
    <n v="102850.287203855"/>
    <n v="4334297.9842932485"/>
    <m/>
    <m/>
    <m/>
  </r>
  <r>
    <x v="17"/>
    <d v="2019-10-01T00:00:00"/>
    <x v="204"/>
    <x v="0"/>
    <x v="0"/>
    <n v="15111650"/>
    <n v="1.83"/>
    <n v="1.821582"/>
    <n v="8295893.3498464515"/>
    <n v="6815756.6501535485"/>
    <n v="2581368.7230363977"/>
    <n v="4234387.9271171503"/>
    <n v="102850.287203855"/>
    <n v="4131537.6399132954"/>
    <m/>
    <m/>
    <m/>
  </r>
  <r>
    <x v="17"/>
    <d v="2019-11-01T00:00:00"/>
    <x v="205"/>
    <x v="0"/>
    <x v="0"/>
    <n v="15111650"/>
    <n v="1.83"/>
    <n v="1.821582"/>
    <n v="8295893.3498464515"/>
    <n v="6815756.6501535485"/>
    <n v="3387521.09804428"/>
    <n v="3428235.5521092685"/>
    <n v="102850.287203855"/>
    <n v="3325385.2649054136"/>
    <m/>
    <m/>
    <m/>
  </r>
  <r>
    <x v="18"/>
    <d v="2019-01-01T00:00:00"/>
    <x v="206"/>
    <x v="0"/>
    <x v="0"/>
    <n v="45806040.531499997"/>
    <n v="2.48"/>
    <n v="2.4685919999999997"/>
    <n v="18555533.085864332"/>
    <n v="27250507.445635665"/>
    <n v="4071424.3560060649"/>
    <n v="23179083.089629602"/>
    <n v="311757.11615450314"/>
    <n v="22867325.973475099"/>
    <m/>
    <m/>
    <m/>
  </r>
  <r>
    <x v="18"/>
    <d v="2019-02-01T00:00:00"/>
    <x v="207"/>
    <x v="0"/>
    <x v="0"/>
    <n v="45806040.531499997"/>
    <n v="2.48"/>
    <n v="2.4685919999999997"/>
    <n v="18555533.085864332"/>
    <n v="27250507.445635665"/>
    <n v="4010924.0898789321"/>
    <n v="23239583.355756734"/>
    <n v="311757.11615450314"/>
    <n v="22927826.23960223"/>
    <m/>
    <m/>
    <m/>
  </r>
  <r>
    <x v="18"/>
    <d v="2019-03-01T00:00:00"/>
    <x v="208"/>
    <x v="0"/>
    <x v="0"/>
    <n v="45806040.531499997"/>
    <n v="2.48"/>
    <n v="2.4685919999999997"/>
    <n v="18555533.085864332"/>
    <n v="27250507.445635665"/>
    <n v="2901853.8320659776"/>
    <n v="24348653.613569688"/>
    <n v="311757.11615450314"/>
    <n v="24036896.497415185"/>
    <m/>
    <m/>
    <m/>
  </r>
  <r>
    <x v="18"/>
    <d v="2019-04-01T00:00:00"/>
    <x v="209"/>
    <x v="0"/>
    <x v="0"/>
    <n v="45806040.531499997"/>
    <n v="2.48"/>
    <n v="2.4685919999999997"/>
    <n v="18555533.085864332"/>
    <n v="27250507.445635665"/>
    <n v="2983324.4467901546"/>
    <n v="24267182.99884551"/>
    <n v="311757.11615450314"/>
    <n v="23955425.882691007"/>
    <m/>
    <m/>
    <m/>
  </r>
  <r>
    <x v="18"/>
    <d v="2019-05-01T00:00:00"/>
    <x v="210"/>
    <x v="0"/>
    <x v="0"/>
    <n v="45806040.531499997"/>
    <n v="2.48"/>
    <n v="2.4685919999999997"/>
    <n v="18555533.085864332"/>
    <n v="27250507.445635665"/>
    <n v="2461034.0314603439"/>
    <n v="24789473.41417532"/>
    <n v="311757.11615450314"/>
    <n v="24477716.298020817"/>
    <m/>
    <m/>
    <m/>
  </r>
  <r>
    <x v="18"/>
    <d v="2019-06-01T00:00:00"/>
    <x v="211"/>
    <x v="0"/>
    <x v="0"/>
    <n v="45806040.531499997"/>
    <n v="2.48"/>
    <n v="2.4685919999999997"/>
    <n v="18555533.085864332"/>
    <n v="27250507.445635665"/>
    <n v="2764236.829932509"/>
    <n v="24486270.615703158"/>
    <n v="311757.11615450314"/>
    <n v="24174513.499548655"/>
    <m/>
    <m/>
    <m/>
  </r>
  <r>
    <x v="18"/>
    <d v="2019-07-01T00:00:00"/>
    <x v="212"/>
    <x v="0"/>
    <x v="0"/>
    <n v="45806040.531499997"/>
    <n v="2.48"/>
    <n v="2.4685919999999997"/>
    <n v="18555533.085864332"/>
    <n v="27250507.445635665"/>
    <n v="4800146.1711878041"/>
    <n v="22450361.274447862"/>
    <n v="311757.11615450314"/>
    <n v="22138604.158293359"/>
    <m/>
    <m/>
    <m/>
  </r>
  <r>
    <x v="18"/>
    <d v="2019-08-01T00:00:00"/>
    <x v="213"/>
    <x v="0"/>
    <x v="0"/>
    <n v="45806040.531499997"/>
    <n v="2.48"/>
    <n v="2.4685919999999997"/>
    <n v="18555533.085864332"/>
    <n v="27250507.445635665"/>
    <n v="4820122.5900911344"/>
    <n v="22430384.85554453"/>
    <n v="311757.11615450314"/>
    <n v="22118627.739390027"/>
    <m/>
    <m/>
    <m/>
  </r>
  <r>
    <x v="18"/>
    <d v="2019-09-01T00:00:00"/>
    <x v="214"/>
    <x v="0"/>
    <x v="0"/>
    <n v="33732090.531499997"/>
    <n v="2.48"/>
    <n v="2.4685919999999997"/>
    <n v="13664506.136088913"/>
    <n v="20067584.395411082"/>
    <n v="3917903.4029053766"/>
    <n v="16149680.992505705"/>
    <n v="229581.49501551536"/>
    <n v="15920099.49749019"/>
    <m/>
    <m/>
    <m/>
  </r>
  <r>
    <x v="18"/>
    <d v="2019-10-01T00:00:00"/>
    <x v="215"/>
    <x v="0"/>
    <x v="0"/>
    <n v="33732090.531499997"/>
    <n v="2.48"/>
    <n v="2.4685919999999997"/>
    <n v="13664506.136088913"/>
    <n v="20067584.395411082"/>
    <n v="4251878.2809679834"/>
    <n v="15815706.114443097"/>
    <n v="229581.49501551536"/>
    <n v="15586124.619427582"/>
    <m/>
    <m/>
    <m/>
  </r>
  <r>
    <x v="19"/>
    <d v="2019-01-01T00:00:00"/>
    <x v="216"/>
    <x v="0"/>
    <x v="0"/>
    <n v="18731301.130000003"/>
    <n v="1.96"/>
    <n v="1.9509839999999998"/>
    <n v="9600950.6638701316"/>
    <n v="9130350.4661298711"/>
    <n v="2106624.7028748528"/>
    <n v="7023725.7632550187"/>
    <n v="127485.72795971281"/>
    <n v="6896240.0352953058"/>
    <m/>
    <m/>
    <m/>
  </r>
  <r>
    <x v="19"/>
    <d v="2019-02-01T00:00:00"/>
    <x v="217"/>
    <x v="0"/>
    <x v="0"/>
    <n v="18731301.130000003"/>
    <n v="1.96"/>
    <n v="1.9509839999999998"/>
    <n v="9600950.6638701316"/>
    <n v="9130350.4661298711"/>
    <n v="2075320.8288471047"/>
    <n v="7055029.6372827664"/>
    <n v="127485.72795971281"/>
    <n v="6927543.9093230534"/>
    <m/>
    <m/>
    <m/>
  </r>
  <r>
    <x v="19"/>
    <d v="2019-03-01T00:00:00"/>
    <x v="218"/>
    <x v="0"/>
    <x v="0"/>
    <n v="18731301.130000003"/>
    <n v="1.96"/>
    <n v="1.9509839999999998"/>
    <n v="9600950.6638701316"/>
    <n v="9130350.4661298711"/>
    <n v="1501468.8797409006"/>
    <n v="7628881.5863889707"/>
    <n v="127485.72795971281"/>
    <n v="7501395.8584292578"/>
    <m/>
    <m/>
    <m/>
  </r>
  <r>
    <x v="19"/>
    <d v="2019-04-01T00:00:00"/>
    <x v="219"/>
    <x v="0"/>
    <x v="0"/>
    <n v="18731301.130000003"/>
    <n v="1.96"/>
    <n v="1.9509839999999998"/>
    <n v="9600950.6638701316"/>
    <n v="9130350.4661298711"/>
    <n v="1543623.1713423568"/>
    <n v="7586727.294787514"/>
    <n v="127485.72795971281"/>
    <n v="7459241.5668278011"/>
    <m/>
    <m/>
    <m/>
  </r>
  <r>
    <x v="19"/>
    <d v="2019-05-01T00:00:00"/>
    <x v="220"/>
    <x v="0"/>
    <x v="0"/>
    <n v="18731301.130000003"/>
    <n v="1.96"/>
    <n v="1.9509839999999998"/>
    <n v="9600950.6638701316"/>
    <n v="9130350.4661298711"/>
    <n v="1273381.1639265846"/>
    <n v="7856969.3022032864"/>
    <n v="127485.72795971281"/>
    <n v="7729483.5742435735"/>
    <m/>
    <m/>
    <m/>
  </r>
  <r>
    <x v="19"/>
    <d v="2019-06-01T00:00:00"/>
    <x v="221"/>
    <x v="0"/>
    <x v="0"/>
    <n v="18731301.130000003"/>
    <n v="1.96"/>
    <n v="1.9509839999999998"/>
    <n v="9600950.6638701316"/>
    <n v="9130350.4661298711"/>
    <n v="1430263.4855396592"/>
    <n v="7700086.9805902122"/>
    <n v="127485.72795971281"/>
    <n v="7572601.2526304992"/>
    <m/>
    <m/>
    <m/>
  </r>
  <r>
    <x v="19"/>
    <d v="2019-07-01T00:00:00"/>
    <x v="222"/>
    <x v="0"/>
    <x v="0"/>
    <n v="18731301.130000003"/>
    <n v="1.96"/>
    <n v="1.9509839999999998"/>
    <n v="9600950.6638701316"/>
    <n v="9130350.4661298711"/>
    <n v="2483677.8526210957"/>
    <n v="6646672.6135087758"/>
    <n v="127485.72795971281"/>
    <n v="6519186.8855490629"/>
    <m/>
    <m/>
    <m/>
  </r>
  <r>
    <x v="19"/>
    <d v="2019-08-01T00:00:00"/>
    <x v="223"/>
    <x v="0"/>
    <x v="0"/>
    <n v="18731301.130000003"/>
    <n v="1.96"/>
    <n v="1.9509839999999998"/>
    <n v="9600950.6638701316"/>
    <n v="9130350.4661298711"/>
    <n v="2494013.9939458519"/>
    <n v="6636336.4721840192"/>
    <n v="127485.72795971281"/>
    <n v="6508850.7442243062"/>
    <m/>
    <m/>
    <m/>
  </r>
  <r>
    <x v="19"/>
    <d v="2019-09-01T00:00:00"/>
    <x v="224"/>
    <x v="0"/>
    <x v="0"/>
    <n v="18731301.130000003"/>
    <n v="1.96"/>
    <n v="1.9509839999999998"/>
    <n v="9600950.6638701316"/>
    <n v="9130350.4661298711"/>
    <n v="2752795.9592888621"/>
    <n v="6377554.5068410095"/>
    <n v="127485.72795971281"/>
    <n v="6250068.7788812965"/>
    <m/>
    <m/>
    <m/>
  </r>
  <r>
    <x v="19"/>
    <d v="2019-10-01T00:00:00"/>
    <x v="225"/>
    <x v="0"/>
    <x v="0"/>
    <n v="18731301.130000003"/>
    <n v="1.96"/>
    <n v="1.9509839999999998"/>
    <n v="9600950.6638701316"/>
    <n v="9130350.4661298711"/>
    <n v="2987453.2747686077"/>
    <n v="6142897.1913612634"/>
    <n v="127485.72795971281"/>
    <n v="6015411.4634015504"/>
    <m/>
    <m/>
    <m/>
  </r>
  <r>
    <x v="19"/>
    <d v="2019-11-01T00:00:00"/>
    <x v="226"/>
    <x v="0"/>
    <x v="0"/>
    <n v="18731301.130000003"/>
    <n v="1.96"/>
    <n v="1.9509839999999998"/>
    <n v="9600950.6638701316"/>
    <n v="9130350.4661298711"/>
    <n v="3920424.427315508"/>
    <n v="5209926.0388143631"/>
    <n v="127485.72795971281"/>
    <n v="5082440.3108546501"/>
    <m/>
    <m/>
    <m/>
  </r>
  <r>
    <x v="19"/>
    <d v="2019-12-01T00:00:00"/>
    <x v="227"/>
    <x v="0"/>
    <x v="0"/>
    <n v="18731301.130000003"/>
    <n v="1.96"/>
    <n v="1.9509839999999998"/>
    <n v="9600950.6638701316"/>
    <n v="9130350.4661298711"/>
    <n v="3381560.2580256839"/>
    <n v="5748790.2081041876"/>
    <n v="127485.72795971281"/>
    <n v="5621304.4801444747"/>
    <m/>
    <m/>
    <m/>
  </r>
  <r>
    <x v="19"/>
    <d v="2020-01-01T00:00:00"/>
    <x v="228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2-01T00:00:00"/>
    <x v="229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3-01T00:00:00"/>
    <x v="230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4-01T00:00:00"/>
    <x v="231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5-01T00:00:00"/>
    <x v="232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6-01T00:00:00"/>
    <x v="233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7-01T00:00:00"/>
    <x v="234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20"/>
    <d v="2019-01-01T00:00:00"/>
    <x v="235"/>
    <x v="0"/>
    <x v="0"/>
    <n v="28582181.75662316"/>
    <n v="2.16"/>
    <n v="2.150064"/>
    <n v="13293642.308611818"/>
    <n v="15288539.448011342"/>
    <n v="2916868.99130625"/>
    <n v="12371670.456705093"/>
    <n v="194531.0804962712"/>
    <n v="12177139.376208821"/>
    <m/>
    <m/>
    <m/>
  </r>
  <r>
    <x v="20"/>
    <d v="2019-02-01T00:00:00"/>
    <x v="236"/>
    <x v="0"/>
    <x v="0"/>
    <n v="28582181.75662316"/>
    <n v="2.16"/>
    <n v="2.150064"/>
    <n v="13293642.308611818"/>
    <n v="15288539.448011342"/>
    <n v="2873525.1060215631"/>
    <n v="12415014.34198978"/>
    <n v="194531.0804962712"/>
    <n v="12220483.261493508"/>
    <m/>
    <m/>
    <m/>
  </r>
  <r>
    <x v="20"/>
    <d v="2019-03-01T00:00:00"/>
    <x v="237"/>
    <x v="0"/>
    <x v="0"/>
    <n v="25155129.655423157"/>
    <n v="2.16"/>
    <n v="2.150064"/>
    <n v="11699712.034350213"/>
    <n v="13455417.621072944"/>
    <n v="1829688.9689906822"/>
    <n v="11625728.652082263"/>
    <n v="171206.47379409143"/>
    <n v="11454522.178288171"/>
    <m/>
    <m/>
    <m/>
  </r>
  <r>
    <x v="20"/>
    <d v="2019-04-01T00:00:00"/>
    <x v="238"/>
    <x v="0"/>
    <x v="0"/>
    <n v="25155129.655423157"/>
    <n v="2.16"/>
    <n v="2.150064"/>
    <n v="11699712.034350213"/>
    <n v="13455417.621072944"/>
    <n v="1881058.160440132"/>
    <n v="11574359.460632812"/>
    <n v="171206.47379409143"/>
    <n v="11403152.986838721"/>
    <m/>
    <m/>
    <m/>
  </r>
  <r>
    <x v="20"/>
    <d v="2019-05-01T00:00:00"/>
    <x v="239"/>
    <x v="0"/>
    <x v="0"/>
    <n v="19133530.631668162"/>
    <n v="2.16"/>
    <n v="2.150064"/>
    <n v="8899051.6708656866"/>
    <n v="10234478.960802475"/>
    <n v="1180287.7830768789"/>
    <n v="9054191.1777255964"/>
    <n v="130223.31252317435"/>
    <n v="8923967.8652024213"/>
    <m/>
    <m/>
    <m/>
  </r>
  <r>
    <x v="20"/>
    <d v="2019-06-01T00:00:00"/>
    <x v="240"/>
    <x v="0"/>
    <x v="0"/>
    <n v="15168446"/>
    <n v="2.16"/>
    <n v="2.150064"/>
    <n v="7054881.1570260236"/>
    <n v="8113564.8429739764"/>
    <n v="1050972.8949746215"/>
    <n v="7062591.9479993545"/>
    <n v="103236.84227309166"/>
    <n v="6959355.1057262626"/>
    <m/>
    <m/>
    <m/>
  </r>
  <r>
    <x v="21"/>
    <d v="2019-01-01T00:00:00"/>
    <x v="241"/>
    <x v="0"/>
    <x v="0"/>
    <n v="103091506.81246251"/>
    <n v="1.82"/>
    <n v="1.811628"/>
    <n v="56905450.132401638"/>
    <n v="46186056.680060871"/>
    <n v="12486099.676384287"/>
    <n v="33699957.003676586"/>
    <n v="701643.50576806266"/>
    <n v="32998313.497908521"/>
    <m/>
    <m/>
    <m/>
  </r>
  <r>
    <x v="21"/>
    <d v="2019-02-01T00:00:00"/>
    <x v="242"/>
    <x v="0"/>
    <x v="0"/>
    <n v="103091506.81246251"/>
    <n v="1.82"/>
    <n v="1.811628"/>
    <n v="56905450.132401638"/>
    <n v="46186056.680060871"/>
    <n v="12300559.608030375"/>
    <n v="33885497.0720305"/>
    <n v="701643.50576806266"/>
    <n v="33183853.566262435"/>
    <m/>
    <m/>
    <m/>
  </r>
  <r>
    <x v="21"/>
    <d v="2019-03-01T00:00:00"/>
    <x v="243"/>
    <x v="0"/>
    <x v="0"/>
    <n v="93763648.062462509"/>
    <n v="1.82"/>
    <n v="1.811628"/>
    <n v="51756568.159943715"/>
    <n v="42007079.902518794"/>
    <n v="8094081.4232888781"/>
    <n v="33912998.479229912"/>
    <n v="638157.85387468955"/>
    <n v="33274840.625355221"/>
    <m/>
    <m/>
    <m/>
  </r>
  <r>
    <x v="21"/>
    <d v="2019-04-01T00:00:00"/>
    <x v="244"/>
    <x v="0"/>
    <x v="0"/>
    <n v="93763648.062462509"/>
    <n v="1.82"/>
    <n v="1.811628"/>
    <n v="51756568.159943715"/>
    <n v="42007079.902518794"/>
    <n v="8321325.7392830448"/>
    <n v="33685754.163235746"/>
    <n v="638157.85387468955"/>
    <n v="33047596.309361055"/>
    <m/>
    <m/>
    <m/>
  </r>
  <r>
    <x v="21"/>
    <d v="2019-05-01T00:00:00"/>
    <x v="245"/>
    <x v="0"/>
    <x v="0"/>
    <n v="93763648.062462509"/>
    <n v="1.82"/>
    <n v="1.811628"/>
    <n v="51756568.159943715"/>
    <n v="42007079.902518794"/>
    <n v="6864511.7876054347"/>
    <n v="35142568.114913359"/>
    <n v="638157.85387468955"/>
    <n v="34504410.261038668"/>
    <m/>
    <m/>
    <m/>
  </r>
  <r>
    <x v="21"/>
    <d v="2019-06-01T00:00:00"/>
    <x v="246"/>
    <x v="0"/>
    <x v="0"/>
    <n v="93763648.062462509"/>
    <n v="1.82"/>
    <n v="1.811628"/>
    <n v="51756568.159943715"/>
    <n v="42007079.902518794"/>
    <n v="7710229.1395561071"/>
    <n v="34296850.762962684"/>
    <n v="638157.85387468955"/>
    <n v="33658692.909087993"/>
    <m/>
    <m/>
    <m/>
  </r>
  <r>
    <x v="21"/>
    <d v="2019-07-01T00:00:00"/>
    <x v="247"/>
    <x v="0"/>
    <x v="0"/>
    <n v="93763648.062462509"/>
    <n v="1.82"/>
    <n v="1.811628"/>
    <n v="51756568.159943715"/>
    <n v="42007079.902518794"/>
    <n v="13388949.341263399"/>
    <n v="28618130.561255395"/>
    <n v="638157.85387468955"/>
    <n v="27979972.707380705"/>
    <m/>
    <m/>
    <m/>
  </r>
  <r>
    <x v="21"/>
    <d v="2019-08-01T00:00:00"/>
    <x v="248"/>
    <x v="0"/>
    <x v="0"/>
    <n v="88864260.739212513"/>
    <n v="1.82"/>
    <n v="1.811628"/>
    <n v="49052156.811007842"/>
    <n v="39812103.928204671"/>
    <n v="12742151.251776779"/>
    <n v="27069952.676427893"/>
    <n v="604812.49494173459"/>
    <n v="26465140.18148616"/>
    <m/>
    <m/>
    <m/>
  </r>
  <r>
    <x v="21"/>
    <d v="2019-09-01T00:00:00"/>
    <x v="249"/>
    <x v="0"/>
    <x v="0"/>
    <n v="70971349.444212496"/>
    <n v="1.82"/>
    <n v="1.811628"/>
    <n v="39175454.035934806"/>
    <n v="31795895.40827769"/>
    <n v="11232432.635994496"/>
    <n v="20563462.772283196"/>
    <n v="483032.87024133105"/>
    <n v="20080429.902041864"/>
    <m/>
    <m/>
    <m/>
  </r>
  <r>
    <x v="21"/>
    <d v="2019-10-01T00:00:00"/>
    <x v="250"/>
    <x v="0"/>
    <x v="0"/>
    <n v="70971349.444212496"/>
    <n v="1.82"/>
    <n v="1.811628"/>
    <n v="39175454.035934806"/>
    <n v="31795895.40827769"/>
    <n v="12189921.867906351"/>
    <n v="19605973.54037134"/>
    <n v="483032.87024133105"/>
    <n v="19122940.670130007"/>
    <m/>
    <m/>
    <m/>
  </r>
  <r>
    <x v="21"/>
    <d v="2019-11-01T00:00:00"/>
    <x v="251"/>
    <x v="0"/>
    <x v="0"/>
    <n v="60371192.323249996"/>
    <n v="1.82"/>
    <n v="1.811628"/>
    <n v="33324276.464732271"/>
    <n v="27046915.858517725"/>
    <n v="13607538.674955415"/>
    <n v="13439377.18356231"/>
    <n v="410887.92218489898"/>
    <n v="13028489.261377411"/>
    <m/>
    <m/>
    <m/>
  </r>
  <r>
    <x v="21"/>
    <d v="2019-12-01T00:00:00"/>
    <x v="252"/>
    <x v="0"/>
    <x v="0"/>
    <n v="60371192.323249996"/>
    <n v="1.82"/>
    <n v="1.811628"/>
    <n v="33324276.464732271"/>
    <n v="27046915.858517725"/>
    <n v="11737176.126179038"/>
    <n v="15309739.732338687"/>
    <n v="410887.92218489898"/>
    <n v="14898851.810153788"/>
    <m/>
    <m/>
    <m/>
  </r>
  <r>
    <x v="21"/>
    <d v="2020-01-01T00:00:00"/>
    <x v="253"/>
    <x v="0"/>
    <x v="0"/>
    <n v="48562280"/>
    <n v="1.82"/>
    <n v="1.811628"/>
    <n v="26805878.469531272"/>
    <n v="21756401.530468728"/>
    <s v=""/>
    <s v=""/>
    <n v="330516.15444203804"/>
    <s v=""/>
    <m/>
    <m/>
    <m/>
  </r>
  <r>
    <x v="21"/>
    <d v="2020-02-01T00:00:00"/>
    <x v="254"/>
    <x v="0"/>
    <x v="0"/>
    <n v="48562280"/>
    <n v="1.82"/>
    <n v="1.811628"/>
    <n v="26805878.469531272"/>
    <n v="21756401.530468728"/>
    <s v=""/>
    <s v=""/>
    <n v="330516.15444203804"/>
    <s v=""/>
    <m/>
    <m/>
    <m/>
  </r>
  <r>
    <x v="21"/>
    <d v="2020-03-01T00:00:00"/>
    <x v="255"/>
    <x v="0"/>
    <x v="0"/>
    <n v="48562280"/>
    <n v="1.82"/>
    <n v="1.811628"/>
    <n v="26805878.469531272"/>
    <n v="21756401.530468728"/>
    <s v=""/>
    <s v=""/>
    <n v="330516.15444203804"/>
    <s v=""/>
    <m/>
    <m/>
    <m/>
  </r>
  <r>
    <x v="22"/>
    <d v="2019-01-01T00:00:00"/>
    <x v="256"/>
    <x v="0"/>
    <x v="0"/>
    <n v="28159952.859999999"/>
    <n v="2.42"/>
    <n v="2.408868"/>
    <n v="11690118.703058863"/>
    <n v="16469834.156941136"/>
    <n v="2565026.4959778627"/>
    <n v="13904807.660963275"/>
    <n v="191657.37952493725"/>
    <n v="13713150.281438338"/>
    <m/>
    <m/>
    <m/>
  </r>
  <r>
    <x v="23"/>
    <d v="2019-01-01T00:00:00"/>
    <x v="257"/>
    <x v="0"/>
    <x v="0"/>
    <n v="141764652.89297777"/>
    <n v="1.82"/>
    <n v="1.811628"/>
    <n v="78252628.515886143"/>
    <n v="63512024.377091631"/>
    <n v="17170062.222776227"/>
    <n v="46341962.154315405"/>
    <n v="964853.9547566002"/>
    <n v="45377108.199558802"/>
    <m/>
    <m/>
    <m/>
  </r>
  <r>
    <x v="23"/>
    <d v="2019-02-01T00:00:00"/>
    <x v="258"/>
    <x v="0"/>
    <x v="0"/>
    <n v="135543402.89297777"/>
    <n v="1.82"/>
    <n v="1.811628"/>
    <n v="74818562.581820205"/>
    <n v="60724840.311157569"/>
    <n v="16172619.435986342"/>
    <n v="44552220.875171229"/>
    <n v="922511.96369229001"/>
    <n v="43629708.911478937"/>
    <m/>
    <m/>
    <m/>
  </r>
  <r>
    <x v="23"/>
    <d v="2019-03-01T00:00:00"/>
    <x v="259"/>
    <x v="0"/>
    <x v="0"/>
    <n v="129322152.89297776"/>
    <n v="1.82"/>
    <n v="1.811628"/>
    <n v="71384496.647754267"/>
    <n v="57937656.245223492"/>
    <n v="11163644.514486745"/>
    <n v="46774011.730736747"/>
    <n v="880169.97262797982"/>
    <n v="45893841.758108765"/>
    <m/>
    <m/>
    <m/>
  </r>
  <r>
    <x v="23"/>
    <d v="2019-04-01T00:00:00"/>
    <x v="260"/>
    <x v="0"/>
    <x v="0"/>
    <n v="125198487.89297776"/>
    <n v="1.82"/>
    <n v="1.811628"/>
    <n v="69108276.032926053"/>
    <n v="56090211.860051706"/>
    <n v="11111101.384719215"/>
    <n v="44979110.475332491"/>
    <n v="852104.20022175775"/>
    <n v="44127006.275110736"/>
    <m/>
    <m/>
    <m/>
  </r>
  <r>
    <x v="23"/>
    <d v="2019-05-01T00:00:00"/>
    <x v="261"/>
    <x v="0"/>
    <x v="0"/>
    <n v="125198487.89297776"/>
    <n v="1.82"/>
    <n v="1.811628"/>
    <n v="69108276.032926053"/>
    <n v="56090211.860051706"/>
    <n v="9165881.5936768819"/>
    <n v="46924330.266374826"/>
    <n v="852104.20022175775"/>
    <n v="46072226.066153072"/>
    <m/>
    <m/>
    <m/>
  </r>
  <r>
    <x v="23"/>
    <d v="2019-06-01T00:00:00"/>
    <x v="262"/>
    <x v="0"/>
    <x v="0"/>
    <n v="125198487.89297776"/>
    <n v="1.82"/>
    <n v="1.811628"/>
    <n v="69108276.032926053"/>
    <n v="56090211.860051706"/>
    <n v="10295130.890574351"/>
    <n v="45795080.969477355"/>
    <n v="852104.20022175775"/>
    <n v="44942976.769255601"/>
    <m/>
    <m/>
    <m/>
  </r>
  <r>
    <x v="24"/>
    <d v="2019-01-01T00:00:00"/>
    <x v="263"/>
    <x v="0"/>
    <x v="0"/>
    <n v="121885113.19781627"/>
    <n v="1.41"/>
    <n v="1.4035139999999999"/>
    <n v="86842819.663940847"/>
    <n v="35042293.533875421"/>
    <n v="19054907.74573138"/>
    <n v="15987385.788144041"/>
    <n v="829553.28493379487"/>
    <n v="15157832.503210247"/>
    <m/>
    <m/>
    <m/>
  </r>
  <r>
    <x v="24"/>
    <d v="2019-02-01T00:00:00"/>
    <x v="264"/>
    <x v="0"/>
    <x v="0"/>
    <n v="106137074.99812877"/>
    <n v="1.41"/>
    <n v="1.4035139999999999"/>
    <n v="75622384.242785454"/>
    <n v="30514690.755343318"/>
    <n v="16346371.7959435"/>
    <n v="14168318.959399818"/>
    <n v="722371.72291143867"/>
    <n v="13445947.23648838"/>
    <m/>
    <m/>
    <m/>
  </r>
  <r>
    <x v="24"/>
    <d v="2019-03-01T00:00:00"/>
    <x v="265"/>
    <x v="0"/>
    <x v="0"/>
    <n v="106137074.99812877"/>
    <n v="1.41"/>
    <n v="1.4035139999999999"/>
    <n v="75622384.242785454"/>
    <n v="30514690.755343318"/>
    <n v="11826397.252475962"/>
    <n v="18688293.502867356"/>
    <n v="722371.72291143867"/>
    <n v="17965921.779955916"/>
    <m/>
    <m/>
    <m/>
  </r>
  <r>
    <x v="24"/>
    <d v="2019-04-01T00:00:00"/>
    <x v="266"/>
    <x v="0"/>
    <x v="0"/>
    <n v="99367677.590628773"/>
    <n v="1.41"/>
    <n v="1.4035139999999999"/>
    <n v="70799206.556278586"/>
    <n v="28568471.034350187"/>
    <n v="11382966.081076784"/>
    <n v="17185504.953273401"/>
    <n v="676299.02618021437"/>
    <n v="16509205.927093185"/>
    <m/>
    <m/>
    <m/>
  </r>
  <r>
    <x v="24"/>
    <d v="2019-05-01T00:00:00"/>
    <x v="267"/>
    <x v="0"/>
    <x v="0"/>
    <n v="99367677.590628773"/>
    <n v="1.41"/>
    <n v="1.4035139999999999"/>
    <n v="70799206.556278586"/>
    <n v="28568471.034350187"/>
    <n v="9390150.9554650281"/>
    <n v="19178320.07888516"/>
    <n v="676299.02618021437"/>
    <n v="18502021.052704945"/>
    <m/>
    <m/>
    <m/>
  </r>
  <r>
    <x v="24"/>
    <d v="2019-06-01T00:00:00"/>
    <x v="268"/>
    <x v="0"/>
    <x v="0"/>
    <n v="38237656.60828501"/>
    <n v="1.41"/>
    <n v="1.4035139999999999"/>
    <n v="27244228.848650608"/>
    <n v="10993427.759634402"/>
    <n v="4058600.7655000109"/>
    <n v="6934826.9941343907"/>
    <n v="260246.49619098494"/>
    <n v="6674580.497943406"/>
    <m/>
    <m/>
    <m/>
  </r>
  <r>
    <x v="24"/>
    <d v="2019-07-01T00:00:00"/>
    <x v="269"/>
    <x v="0"/>
    <x v="0"/>
    <n v="38237656.60828501"/>
    <n v="1.41"/>
    <n v="1.4035139999999999"/>
    <n v="27244228.848650608"/>
    <n v="10993427.759634402"/>
    <n v="7047832.0504001239"/>
    <n v="3945595.7092342777"/>
    <n v="260246.49619098494"/>
    <n v="3685349.213043293"/>
    <m/>
    <m/>
    <m/>
  </r>
  <r>
    <x v="25"/>
    <d v="2019-01-01T00:00:00"/>
    <x v="270"/>
    <x v="0"/>
    <x v="0"/>
    <n v="180800040.98000002"/>
    <n v="0.95"/>
    <n v="0.94562999999999986"/>
    <n v="191195331.13374159"/>
    <n v="-10395290.153741568"/>
    <n v="41951763.084919199"/>
    <n v="-52347053.238660768"/>
    <n v="1230529.832365212"/>
    <n v="-53577583.071025982"/>
    <m/>
    <m/>
    <m/>
  </r>
  <r>
    <x v="25"/>
    <d v="2019-02-01T00:00:00"/>
    <x v="271"/>
    <x v="0"/>
    <x v="0"/>
    <n v="159566345.48000002"/>
    <n v="0.95"/>
    <n v="0.94562999999999986"/>
    <n v="168740781.78568789"/>
    <n v="-9174436.3056878746"/>
    <n v="36474644.165562302"/>
    <n v="-45649080.471250176"/>
    <n v="1086012.7425322551"/>
    <n v="-46735093.21378243"/>
    <m/>
    <m/>
    <m/>
  </r>
  <r>
    <x v="25"/>
    <d v="2019-03-01T00:00:00"/>
    <x v="272"/>
    <x v="0"/>
    <x v="0"/>
    <n v="147730918.13"/>
    <n v="0.95"/>
    <n v="0.94562999999999986"/>
    <n v="156224863.98485667"/>
    <n v="-8493945.8548566699"/>
    <n v="24431619.297631484"/>
    <n v="-32925565.152488153"/>
    <n v="1005460.5128202208"/>
    <n v="-33931025.665308371"/>
    <m/>
    <m/>
    <m/>
  </r>
  <r>
    <x v="25"/>
    <d v="2019-04-01T00:00:00"/>
    <x v="273"/>
    <x v="0"/>
    <x v="0"/>
    <n v="207125397.61500004"/>
    <n v="0.95"/>
    <n v="0.94562999999999986"/>
    <n v="219034292.07512459"/>
    <n v="-11908894.460124552"/>
    <n v="35215930.213877551"/>
    <n v="-47124824.674002104"/>
    <n v="1409700.9017490095"/>
    <n v="-48534525.575751111"/>
    <m/>
    <m/>
    <m/>
  </r>
  <r>
    <x v="25"/>
    <d v="2019-05-01T00:00:00"/>
    <x v="274"/>
    <x v="0"/>
    <x v="0"/>
    <n v="142765645.45500004"/>
    <n v="0.95"/>
    <n v="0.94562999999999986"/>
    <n v="150974107.69011143"/>
    <n v="-8208462.2351113856"/>
    <n v="20023807.194080181"/>
    <n v="-28232269.429191567"/>
    <n v="971666.73645104875"/>
    <n v="-29203936.165642615"/>
    <m/>
    <m/>
    <m/>
  </r>
  <r>
    <x v="25"/>
    <d v="2019-06-01T00:00:00"/>
    <x v="275"/>
    <x v="0"/>
    <x v="0"/>
    <n v="142765645.45500004"/>
    <n v="0.95"/>
    <n v="0.94562999999999986"/>
    <n v="150974107.69011143"/>
    <n v="-8208462.2351113856"/>
    <n v="22490767.951103751"/>
    <n v="-30699230.186215136"/>
    <n v="971666.73645104875"/>
    <n v="-31670896.922666185"/>
    <m/>
    <m/>
    <m/>
  </r>
  <r>
    <x v="25"/>
    <d v="2019-07-01T00:00:00"/>
    <x v="276"/>
    <x v="0"/>
    <x v="0"/>
    <n v="138859487.68500003"/>
    <n v="0.95"/>
    <n v="0.94562999999999986"/>
    <n v="146843361.23536694"/>
    <n v="-7983873.5503669083"/>
    <n v="37987030.33410915"/>
    <n v="-45970903.884476058"/>
    <n v="945081.32397073915"/>
    <n v="-46915985.208446801"/>
    <m/>
    <m/>
    <m/>
  </r>
  <r>
    <x v="25"/>
    <d v="2019-08-01T00:00:00"/>
    <x v="277"/>
    <x v="0"/>
    <x v="0"/>
    <n v="138859487.68500003"/>
    <n v="0.95"/>
    <n v="0.94562999999999986"/>
    <n v="146843361.23536694"/>
    <n v="-7983873.5503669083"/>
    <n v="38145118.19305864"/>
    <n v="-46128991.743425548"/>
    <n v="945081.32397073915"/>
    <n v="-47074073.067396291"/>
    <m/>
    <m/>
    <m/>
  </r>
  <r>
    <x v="25"/>
    <d v="2019-09-01T00:00:00"/>
    <x v="278"/>
    <x v="0"/>
    <x v="0"/>
    <n v="125986492.18499999"/>
    <n v="0.95"/>
    <n v="0.94562999999999986"/>
    <n v="133230219.20307097"/>
    <n v="-7243727.0180709809"/>
    <n v="38199926.436195679"/>
    <n v="-45443653.45426666"/>
    <n v="857467.37815086253"/>
    <n v="-46301120.832417525"/>
    <m/>
    <m/>
    <m/>
  </r>
  <r>
    <x v="25"/>
    <d v="2019-10-01T00:00:00"/>
    <x v="279"/>
    <x v="0"/>
    <x v="0"/>
    <n v="125986492.18499999"/>
    <n v="0.95"/>
    <n v="0.94562999999999986"/>
    <n v="133230219.20307097"/>
    <n v="-7243727.0180709809"/>
    <n v="41456212.888809159"/>
    <n v="-48699939.90688014"/>
    <n v="857467.37815086253"/>
    <n v="-49557407.285031006"/>
    <m/>
    <m/>
    <m/>
  </r>
  <r>
    <x v="25"/>
    <d v="2019-11-01T00:00:00"/>
    <x v="280"/>
    <x v="0"/>
    <x v="0"/>
    <n v="18409623"/>
    <n v="0.95"/>
    <n v="0.94562999999999986"/>
    <n v="19468103.803813335"/>
    <n v="-1058480.8038133346"/>
    <n v="7949549.2038304005"/>
    <n v="-9008030.007643735"/>
    <n v="125296.37814961931"/>
    <n v="-9133326.3857933544"/>
    <m/>
    <m/>
    <m/>
  </r>
  <r>
    <x v="25"/>
    <d v="2019-12-01T00:00:00"/>
    <x v="281"/>
    <x v="0"/>
    <x v="0"/>
    <n v="18409623"/>
    <n v="0.95"/>
    <n v="0.94562999999999986"/>
    <n v="19468103.803813335"/>
    <n v="-1058480.8038133346"/>
    <n v="6856879.9514648048"/>
    <n v="-7915360.7552781394"/>
    <n v="125296.37814961931"/>
    <n v="-8040657.1334277587"/>
    <m/>
    <m/>
    <m/>
  </r>
  <r>
    <x v="25"/>
    <d v="2020-01-01T00:00:00"/>
    <x v="282"/>
    <x v="0"/>
    <x v="0"/>
    <n v="18409623"/>
    <n v="0.95"/>
    <n v="0.94562999999999986"/>
    <n v="19468103.803813335"/>
    <n v="-1058480.8038133346"/>
    <s v=""/>
    <s v=""/>
    <n v="125296.37814961931"/>
    <s v=""/>
    <m/>
    <m/>
    <m/>
  </r>
  <r>
    <x v="25"/>
    <d v="2020-02-01T00:00:00"/>
    <x v="283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3-01T00:00:00"/>
    <x v="284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4-01T00:00:00"/>
    <x v="285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5-01T00:00:00"/>
    <x v="286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6-01T00:00:00"/>
    <x v="287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7-01T00:00:00"/>
    <x v="288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8-01T00:00:00"/>
    <x v="289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9-01T00:00:00"/>
    <x v="290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10-01T00:00:00"/>
    <x v="291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11-01T00:00:00"/>
    <x v="292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12-01T00:00:00"/>
    <x v="293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1-01T00:00:00"/>
    <x v="294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2-01T00:00:00"/>
    <x v="295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3-01T00:00:00"/>
    <x v="296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4-01T00:00:00"/>
    <x v="297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5-01T00:00:00"/>
    <x v="298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6-01T00:00:00"/>
    <x v="299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7-01T00:00:00"/>
    <x v="300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8-01T00:00:00"/>
    <x v="301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9-01T00:00:00"/>
    <x v="302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10-01T00:00:00"/>
    <x v="303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6"/>
    <d v="2019-01-01T00:00:00"/>
    <x v="304"/>
    <x v="0"/>
    <x v="0"/>
    <n v="56127548.580235153"/>
    <n v="1.73"/>
    <n v="1.7220419999999999"/>
    <n v="32593600.260757379"/>
    <n v="23533948.319477774"/>
    <n v="7151633.8192765992"/>
    <n v="16382314.500201175"/>
    <n v="382005.57129932928"/>
    <n v="16000308.928901846"/>
    <m/>
    <m/>
    <m/>
  </r>
  <r>
    <x v="26"/>
    <d v="2019-02-01T00:00:00"/>
    <x v="305"/>
    <x v="0"/>
    <x v="0"/>
    <n v="60393607.013095886"/>
    <n v="1.73"/>
    <n v="1.7220419999999999"/>
    <n v="35070925.68769861"/>
    <n v="25322681.325397275"/>
    <n v="7580855.804261677"/>
    <n v="17741825.521135598"/>
    <n v="411040.47715329984"/>
    <n v="17330785.043982297"/>
    <m/>
    <m/>
    <m/>
  </r>
  <r>
    <x v="26"/>
    <d v="2019-03-01T00:00:00"/>
    <x v="306"/>
    <x v="0"/>
    <x v="0"/>
    <n v="60987214.319031961"/>
    <n v="1.73"/>
    <n v="1.7220419999999999"/>
    <n v="35415636.969964705"/>
    <n v="25571577.349067256"/>
    <n v="5538563.6931466488"/>
    <n v="20033013.655920606"/>
    <n v="415080.58408416656"/>
    <n v="19617933.071836438"/>
    <m/>
    <m/>
    <m/>
  </r>
  <r>
    <x v="26"/>
    <d v="2019-04-01T00:00:00"/>
    <x v="307"/>
    <x v="0"/>
    <x v="0"/>
    <n v="64608218.885242015"/>
    <n v="1.73"/>
    <n v="1.7220419999999999"/>
    <n v="37518375.7917879"/>
    <n v="27089843.093454115"/>
    <n v="6032135.3843921097"/>
    <n v="21057707.709062006"/>
    <n v="439725.23636245349"/>
    <n v="20617982.472699553"/>
    <m/>
    <m/>
    <m/>
  </r>
  <r>
    <x v="26"/>
    <d v="2019-05-01T00:00:00"/>
    <x v="308"/>
    <x v="0"/>
    <x v="0"/>
    <n v="67101369.570173509"/>
    <n v="1.73"/>
    <n v="1.7220419999999999"/>
    <n v="38966163.177305497"/>
    <n v="28135206.392868012"/>
    <n v="5168110.9462621929"/>
    <n v="22967095.44660582"/>
    <n v="456693.68547209352"/>
    <n v="22510401.761133727"/>
    <m/>
    <m/>
    <m/>
  </r>
  <r>
    <x v="26"/>
    <d v="2019-06-01T00:00:00"/>
    <x v="309"/>
    <x v="0"/>
    <x v="0"/>
    <n v="68644748.565607309"/>
    <n v="1.73"/>
    <n v="1.7220419999999999"/>
    <n v="39862412.511197358"/>
    <n v="28782336.054409951"/>
    <n v="5938344.5511116376"/>
    <n v="22843991.503298312"/>
    <n v="467197.96349234699"/>
    <n v="22376793.539805964"/>
    <m/>
    <m/>
    <m/>
  </r>
  <r>
    <x v="26"/>
    <d v="2019-07-01T00:00:00"/>
    <x v="310"/>
    <x v="0"/>
    <x v="0"/>
    <n v="85079795.189299077"/>
    <n v="1.73"/>
    <n v="1.7220419999999999"/>
    <n v="49406341.534816854"/>
    <n v="35673453.654482223"/>
    <n v="12780967.275546269"/>
    <n v="22892486.378935955"/>
    <n v="579055.32291077229"/>
    <n v="22313431.056025185"/>
    <m/>
    <m/>
    <m/>
  </r>
  <r>
    <x v="26"/>
    <d v="2019-08-01T00:00:00"/>
    <x v="311"/>
    <x v="0"/>
    <x v="0"/>
    <n v="89917694.732678071"/>
    <n v="1.73"/>
    <n v="1.7220419999999999"/>
    <n v="52215738.485285535"/>
    <n v="37701956.247392535"/>
    <n v="13563946.638803456"/>
    <n v="24138009.608589079"/>
    <n v="611982.19439733576"/>
    <n v="23526027.414191745"/>
    <m/>
    <m/>
    <m/>
  </r>
  <r>
    <x v="26"/>
    <d v="2019-09-01T00:00:00"/>
    <x v="312"/>
    <x v="0"/>
    <x v="0"/>
    <n v="87216781.490668952"/>
    <n v="1.73"/>
    <n v="1.7220419999999999"/>
    <n v="50647302.15097481"/>
    <n v="36569479.339694142"/>
    <n v="14521654.531019621"/>
    <n v="22047824.808674522"/>
    <n v="593599.70786189241"/>
    <n v="21454225.100812629"/>
    <m/>
    <m/>
    <m/>
  </r>
  <r>
    <x v="26"/>
    <d v="2019-10-01T00:00:00"/>
    <x v="313"/>
    <x v="0"/>
    <x v="0"/>
    <n v="88225913.910760283"/>
    <n v="1.73"/>
    <n v="1.7220419999999999"/>
    <n v="51233311.330827177"/>
    <n v="36992602.579933107"/>
    <n v="15941871.703236323"/>
    <n v="21050730.876696784"/>
    <n v="600467.88964436587"/>
    <n v="20450262.987052418"/>
    <m/>
    <m/>
    <m/>
  </r>
  <r>
    <x v="26"/>
    <d v="2019-11-01T00:00:00"/>
    <x v="314"/>
    <x v="0"/>
    <x v="0"/>
    <n v="89977055.463271677"/>
    <n v="1.73"/>
    <n v="1.7220419999999999"/>
    <n v="52250209.613512151"/>
    <n v="37726845.849759527"/>
    <n v="21335699.481513288"/>
    <n v="16391146.368246239"/>
    <n v="612386.20509042253"/>
    <n v="15778760.163155816"/>
    <m/>
    <m/>
    <m/>
  </r>
  <r>
    <x v="26"/>
    <d v="2019-12-01T00:00:00"/>
    <x v="315"/>
    <x v="0"/>
    <x v="0"/>
    <n v="84456507.518066227"/>
    <n v="1.73"/>
    <n v="1.7220419999999999"/>
    <n v="49044394.688437469"/>
    <n v="35412112.829628758"/>
    <n v="17273974.397290938"/>
    <n v="18138138.432337821"/>
    <n v="574813.21063336241"/>
    <n v="17563325.221704457"/>
    <m/>
    <m/>
    <m/>
  </r>
  <r>
    <x v="26"/>
    <d v="2020-01-01T00:00:00"/>
    <x v="316"/>
    <x v="0"/>
    <x v="0"/>
    <n v="84812671.901627824"/>
    <n v="1.73"/>
    <n v="1.7220419999999999"/>
    <n v="49251221.457797095"/>
    <n v="35561450.443830729"/>
    <s v=""/>
    <s v=""/>
    <n v="577237.27479188202"/>
    <s v=""/>
    <m/>
    <m/>
    <m/>
  </r>
  <r>
    <x v="26"/>
    <d v="2020-02-01T00:00:00"/>
    <x v="317"/>
    <x v="0"/>
    <x v="0"/>
    <n v="87038699.298888147"/>
    <n v="1.73"/>
    <n v="1.7220419999999999"/>
    <n v="50543888.766294986"/>
    <n v="36494810.532593161"/>
    <s v=""/>
    <s v=""/>
    <n v="592387.67578263255"/>
    <s v=""/>
    <m/>
    <m/>
    <m/>
  </r>
  <r>
    <x v="26"/>
    <d v="2020-03-01T00:00:00"/>
    <x v="318"/>
    <x v="0"/>
    <x v="0"/>
    <n v="84219064.595691785"/>
    <n v="1.73"/>
    <n v="1.7220419999999999"/>
    <n v="48906510.175531022"/>
    <n v="35312554.420160763"/>
    <s v=""/>
    <s v=""/>
    <n v="573197.16786101565"/>
    <s v=""/>
    <m/>
    <m/>
    <m/>
  </r>
  <r>
    <x v="26"/>
    <d v="2020-04-01T00:00:00"/>
    <x v="319"/>
    <x v="0"/>
    <x v="0"/>
    <n v="86415411.627655238"/>
    <n v="1.73"/>
    <n v="1.7220419999999999"/>
    <n v="50181941.919915572"/>
    <n v="36233469.707739666"/>
    <s v=""/>
    <s v=""/>
    <n v="588145.56350522232"/>
    <s v=""/>
    <m/>
    <m/>
    <m/>
  </r>
  <r>
    <x v="26"/>
    <d v="2020-05-01T00:00:00"/>
    <x v="320"/>
    <x v="0"/>
    <x v="0"/>
    <n v="86919977.837700903"/>
    <n v="1.73"/>
    <n v="1.7220419999999999"/>
    <n v="50474946.509841755"/>
    <n v="36445031.327859148"/>
    <s v=""/>
    <s v=""/>
    <n v="591579.65439645899"/>
    <s v=""/>
    <m/>
    <m/>
    <m/>
  </r>
  <r>
    <x v="26"/>
    <d v="2020-06-01T00:00:00"/>
    <x v="321"/>
    <x v="0"/>
    <x v="0"/>
    <n v="82467923.043180406"/>
    <n v="1.73"/>
    <n v="1.7220419999999999"/>
    <n v="47889611.892846063"/>
    <n v="34578311.150334343"/>
    <s v=""/>
    <s v=""/>
    <n v="561278.85241495911"/>
    <s v=""/>
    <m/>
    <m/>
    <m/>
  </r>
  <r>
    <x v="26"/>
    <d v="2020-07-01T00:00:00"/>
    <x v="322"/>
    <x v="0"/>
    <x v="0"/>
    <n v="81013585.143636942"/>
    <n v="1.73"/>
    <n v="1.7220419999999999"/>
    <n v="47045069.251294076"/>
    <n v="33968515.892342865"/>
    <s v=""/>
    <s v=""/>
    <n v="551380.59043433517"/>
    <s v=""/>
    <m/>
    <m/>
    <m/>
  </r>
  <r>
    <x v="26"/>
    <d v="2020-08-01T00:00:00"/>
    <x v="323"/>
    <x v="0"/>
    <x v="0"/>
    <n v="80894863.682449803"/>
    <n v="1.73"/>
    <n v="1.7220419999999999"/>
    <n v="46976126.994840898"/>
    <n v="33918736.687608905"/>
    <s v=""/>
    <s v=""/>
    <n v="550572.56904816232"/>
    <s v=""/>
    <m/>
    <m/>
    <m/>
  </r>
  <r>
    <x v="26"/>
    <d v="2020-09-01T00:00:00"/>
    <x v="324"/>
    <x v="0"/>
    <x v="0"/>
    <n v="78609475.554595888"/>
    <n v="1.73"/>
    <n v="1.7220419999999999"/>
    <n v="45648988.558116406"/>
    <n v="32960486.996479481"/>
    <s v=""/>
    <s v=""/>
    <n v="535018.15736432525"/>
    <s v=""/>
    <m/>
    <m/>
    <m/>
  </r>
  <r>
    <x v="27"/>
    <d v="2019-03-01T00:00:00"/>
    <x v="325"/>
    <x v="0"/>
    <x v="0"/>
    <n v="50337339"/>
    <n v="1"/>
    <n v="0.99539999999999995"/>
    <n v="50569960.819770947"/>
    <n v="-232621.8197709471"/>
    <n v="7908510.8421956766"/>
    <n v="-8141132.6619666237"/>
    <n v="342597.25266452116"/>
    <n v="-8483729.9146311451"/>
    <m/>
    <m/>
    <m/>
  </r>
  <r>
    <x v="27"/>
    <d v="2019-04-01T00:00:00"/>
    <x v="326"/>
    <x v="0"/>
    <x v="0"/>
    <n v="50337339"/>
    <n v="1"/>
    <n v="0.99539999999999995"/>
    <n v="50569960.819770947"/>
    <n v="-232621.8197709471"/>
    <n v="8130545.1958032735"/>
    <n v="-8363167.0155742206"/>
    <n v="342597.25266452116"/>
    <n v="-8705764.2682387419"/>
    <m/>
    <m/>
    <m/>
  </r>
  <r>
    <x v="27"/>
    <d v="2019-05-01T00:00:00"/>
    <x v="327"/>
    <x v="0"/>
    <x v="0"/>
    <n v="50337339"/>
    <n v="1"/>
    <n v="0.99539999999999995"/>
    <n v="50569960.819770947"/>
    <n v="-232621.8197709471"/>
    <n v="6707131.1813661829"/>
    <n v="-6939753.00113713"/>
    <n v="342597.25266452116"/>
    <n v="-7282350.2538016513"/>
    <m/>
    <m/>
    <m/>
  </r>
  <r>
    <x v="27"/>
    <d v="2019-06-01T00:00:00"/>
    <x v="328"/>
    <x v="0"/>
    <x v="0"/>
    <n v="50337339"/>
    <n v="1"/>
    <n v="0.99539999999999995"/>
    <n v="50569960.819770947"/>
    <n v="-232621.8197709471"/>
    <n v="7533459.0248309979"/>
    <n v="-7766080.844601945"/>
    <n v="342597.25266452116"/>
    <n v="-8108678.0972664664"/>
    <m/>
    <m/>
    <m/>
  </r>
  <r>
    <x v="27"/>
    <d v="2019-07-01T00:00:00"/>
    <x v="329"/>
    <x v="0"/>
    <x v="0"/>
    <n v="39863714"/>
    <n v="1"/>
    <n v="0.99539999999999995"/>
    <n v="40047934.498693995"/>
    <n v="-184220.49869399518"/>
    <n v="10360033.234201822"/>
    <n v="-10544253.732895818"/>
    <n v="271313.48555004486"/>
    <n v="-10815567.218445862"/>
    <m/>
    <m/>
    <m/>
  </r>
  <r>
    <x v="27"/>
    <d v="2019-08-01T00:00:00"/>
    <x v="330"/>
    <x v="0"/>
    <x v="0"/>
    <n v="39863714"/>
    <n v="1"/>
    <n v="0.99539999999999995"/>
    <n v="40047934.498693995"/>
    <n v="-184220.49869399518"/>
    <n v="10403147.830374137"/>
    <n v="-10587368.329068132"/>
    <n v="271313.48555004486"/>
    <n v="-10858681.814618176"/>
    <m/>
    <m/>
    <m/>
  </r>
  <r>
    <x v="27"/>
    <d v="2019-09-01T00:00:00"/>
    <x v="331"/>
    <x v="0"/>
    <x v="0"/>
    <n v="39863714"/>
    <n v="1"/>
    <n v="0.99539999999999995"/>
    <n v="40047934.498693995"/>
    <n v="-184220.49869399518"/>
    <n v="11482591.268876566"/>
    <n v="-11666811.767570561"/>
    <n v="271313.48555004486"/>
    <n v="-11938125.253120605"/>
    <m/>
    <m/>
    <m/>
  </r>
  <r>
    <x v="27"/>
    <d v="2019-10-01T00:00:00"/>
    <x v="332"/>
    <x v="0"/>
    <x v="0"/>
    <n v="39863714"/>
    <n v="1"/>
    <n v="0.99539999999999995"/>
    <n v="40047934.498693995"/>
    <n v="-184220.49869399518"/>
    <n v="12461404.839426056"/>
    <n v="-12645625.338120051"/>
    <n v="271313.48555004486"/>
    <n v="-12916938.823670095"/>
    <m/>
    <m/>
    <m/>
  </r>
  <r>
    <x v="27"/>
    <d v="2019-11-01T00:00:00"/>
    <x v="333"/>
    <x v="0"/>
    <x v="0"/>
    <n v="39863714"/>
    <n v="1"/>
    <n v="0.99539999999999995"/>
    <n v="40047934.498693995"/>
    <n v="-184220.49869399518"/>
    <n v="16353057.751150122"/>
    <n v="-16537278.249844117"/>
    <n v="271313.48555004486"/>
    <n v="-16808591.735394161"/>
    <m/>
    <m/>
    <m/>
  </r>
  <r>
    <x v="27"/>
    <d v="2019-12-01T00:00:00"/>
    <x v="334"/>
    <x v="0"/>
    <x v="0"/>
    <n v="39863714"/>
    <n v="1"/>
    <n v="0.99539999999999995"/>
    <n v="40047934.498693995"/>
    <n v="-184220.49869399518"/>
    <n v="14105322.32255112"/>
    <n v="-14289542.821245115"/>
    <n v="271313.48555004486"/>
    <n v="-14560856.306795159"/>
    <m/>
    <m/>
    <m/>
  </r>
  <r>
    <x v="27"/>
    <d v="2020-01-01T00:00:00"/>
    <x v="335"/>
    <x v="0"/>
    <x v="0"/>
    <n v="39863714"/>
    <n v="1"/>
    <n v="0.99539999999999995"/>
    <n v="40047934.498693995"/>
    <n v="-184220.49869399518"/>
    <s v=""/>
    <s v=""/>
    <n v="271313.48555004486"/>
    <s v=""/>
    <m/>
    <m/>
    <m/>
  </r>
  <r>
    <x v="27"/>
    <d v="2020-02-01T00:00:00"/>
    <x v="336"/>
    <x v="0"/>
    <x v="0"/>
    <n v="35856914"/>
    <n v="1"/>
    <n v="0.99539999999999995"/>
    <n v="36022618.042997792"/>
    <n v="-165704.04299779236"/>
    <s v=""/>
    <s v=""/>
    <n v="244043.09940634738"/>
    <s v=""/>
    <m/>
    <m/>
    <m/>
  </r>
  <r>
    <x v="27"/>
    <d v="2020-03-01T00:00:00"/>
    <x v="337"/>
    <x v="0"/>
    <x v="0"/>
    <n v="3170664"/>
    <n v="1"/>
    <n v="0.99539999999999995"/>
    <n v="3185316.4556962028"/>
    <n v="-14652.455696202815"/>
    <s v=""/>
    <s v=""/>
    <n v="21579.622544654205"/>
    <s v=""/>
    <m/>
    <m/>
    <m/>
  </r>
  <r>
    <x v="27"/>
    <d v="2020-04-01T00:00:00"/>
    <x v="338"/>
    <x v="0"/>
    <x v="0"/>
    <n v="3170664"/>
    <n v="1"/>
    <n v="0.99539999999999995"/>
    <n v="3185316.4556962028"/>
    <n v="-14652.455696202815"/>
    <s v=""/>
    <s v=""/>
    <n v="21579.622544654205"/>
    <s v=""/>
    <m/>
    <m/>
    <m/>
  </r>
  <r>
    <x v="27"/>
    <d v="2020-05-01T00:00:00"/>
    <x v="339"/>
    <x v="0"/>
    <x v="0"/>
    <n v="3170664"/>
    <n v="1"/>
    <n v="0.99539999999999995"/>
    <n v="3185316.4556962028"/>
    <n v="-14652.455696202815"/>
    <s v=""/>
    <s v=""/>
    <n v="21579.622544654205"/>
    <s v=""/>
    <m/>
    <m/>
    <m/>
  </r>
  <r>
    <x v="28"/>
    <d v="2019-02-01T00:00:00"/>
    <x v="340"/>
    <x v="0"/>
    <x v="0"/>
    <n v="71835513.627000004"/>
    <n v="2.79"/>
    <n v="2.7771659999999998"/>
    <n v="25866481.739658345"/>
    <n v="45969031.887341663"/>
    <n v="5591243.0136025101"/>
    <n v="40377788.873739153"/>
    <n v="488914.3943893215"/>
    <n v="39888874.479349829"/>
    <m/>
    <m/>
    <m/>
  </r>
  <r>
    <x v="28"/>
    <d v="2019-03-01T00:00:00"/>
    <x v="341"/>
    <x v="0"/>
    <x v="0"/>
    <n v="71835513.627000004"/>
    <n v="2.79"/>
    <n v="2.7771659999999998"/>
    <n v="25866481.739658345"/>
    <n v="45969031.887341663"/>
    <n v="4045194.9728932194"/>
    <n v="41923836.91444844"/>
    <n v="488914.3943893215"/>
    <n v="41434922.520059116"/>
    <m/>
    <m/>
    <m/>
  </r>
  <r>
    <x v="28"/>
    <d v="2019-04-01T00:00:00"/>
    <x v="342"/>
    <x v="0"/>
    <x v="0"/>
    <n v="71835513.627000004"/>
    <n v="2.79"/>
    <n v="2.7771659999999998"/>
    <n v="25866481.739658345"/>
    <n v="45969031.887341663"/>
    <n v="4158765.311095308"/>
    <n v="41810266.576246358"/>
    <n v="488914.3943893215"/>
    <n v="41321352.181857035"/>
    <m/>
    <m/>
    <m/>
  </r>
  <r>
    <x v="28"/>
    <d v="2019-05-01T00:00:00"/>
    <x v="343"/>
    <x v="0"/>
    <x v="0"/>
    <n v="71835513.627000004"/>
    <n v="2.79"/>
    <n v="2.7771659999999998"/>
    <n v="25866481.739658345"/>
    <n v="45969031.887341663"/>
    <n v="3430690.5407067961"/>
    <n v="42538341.346634865"/>
    <n v="488914.3943893215"/>
    <n v="42049426.952245541"/>
    <m/>
    <m/>
    <m/>
  </r>
  <r>
    <x v="28"/>
    <d v="2019-06-01T00:00:00"/>
    <x v="344"/>
    <x v="0"/>
    <x v="0"/>
    <n v="71835513.627000004"/>
    <n v="2.79"/>
    <n v="2.7771659999999998"/>
    <n v="25866481.739658345"/>
    <n v="45969031.887341663"/>
    <n v="3853356.3630144414"/>
    <n v="42115675.524327219"/>
    <n v="488914.3943893215"/>
    <n v="41626761.129937895"/>
    <m/>
    <m/>
    <m/>
  </r>
  <r>
    <x v="28"/>
    <d v="2019-07-01T00:00:00"/>
    <x v="345"/>
    <x v="0"/>
    <x v="0"/>
    <n v="71835513.627000004"/>
    <n v="2.79"/>
    <n v="2.7771659999999998"/>
    <n v="25866481.739658345"/>
    <n v="45969031.887341663"/>
    <n v="6691421.5134734111"/>
    <n v="39277610.373868249"/>
    <n v="488914.3943893215"/>
    <n v="38788695.979478925"/>
    <m/>
    <m/>
    <m/>
  </r>
  <r>
    <x v="28"/>
    <d v="2019-08-01T00:00:00"/>
    <x v="346"/>
    <x v="0"/>
    <x v="0"/>
    <n v="71835513.627000004"/>
    <n v="2.79"/>
    <n v="2.7771659999999998"/>
    <n v="25866481.739658345"/>
    <n v="45969031.887341663"/>
    <n v="6719268.7152970219"/>
    <n v="39249763.172044642"/>
    <n v="488914.3943893215"/>
    <n v="38760848.777655318"/>
    <m/>
    <m/>
    <m/>
  </r>
  <r>
    <x v="28"/>
    <d v="2019-09-01T00:00:00"/>
    <x v="347"/>
    <x v="0"/>
    <x v="0"/>
    <n v="71835513.627000004"/>
    <n v="2.79"/>
    <n v="2.7771659999999998"/>
    <n v="25866481.739658345"/>
    <n v="45969031.887341663"/>
    <n v="7416468.3172372347"/>
    <n v="38552563.570104428"/>
    <n v="488914.3943893215"/>
    <n v="38063649.175715104"/>
    <m/>
    <m/>
    <m/>
  </r>
  <r>
    <x v="28"/>
    <d v="2019-10-01T00:00:00"/>
    <x v="348"/>
    <x v="0"/>
    <x v="0"/>
    <n v="71835513.627000004"/>
    <n v="2.79"/>
    <n v="2.7771659999999998"/>
    <n v="25866481.739658345"/>
    <n v="45969031.887341663"/>
    <n v="8048672.2914515305"/>
    <n v="37920359.595890135"/>
    <n v="488914.3943893215"/>
    <n v="37431445.201500811"/>
    <m/>
    <m/>
    <m/>
  </r>
  <r>
    <x v="28"/>
    <d v="2019-11-01T00:00:00"/>
    <x v="349"/>
    <x v="0"/>
    <x v="0"/>
    <n v="71835513.627000004"/>
    <n v="2.79"/>
    <n v="2.7771659999999998"/>
    <n v="25866481.739658345"/>
    <n v="45969031.887341663"/>
    <n v="10562244.345497953"/>
    <n v="35406787.541843712"/>
    <n v="488914.3943893215"/>
    <n v="34917873.147454388"/>
    <m/>
    <m/>
    <m/>
  </r>
  <r>
    <x v="28"/>
    <d v="2019-12-01T00:00:00"/>
    <x v="350"/>
    <x v="0"/>
    <x v="0"/>
    <n v="67834346.519999996"/>
    <n v="2.79"/>
    <n v="2.7771659999999998"/>
    <n v="24425744.273118712"/>
    <n v="43408602.246881284"/>
    <n v="8603015.3677908685"/>
    <n v="34805586.879090413"/>
    <n v="461682.34586347762"/>
    <n v="34343904.533226937"/>
    <m/>
    <m/>
    <m/>
  </r>
  <r>
    <x v="28"/>
    <d v="2020-01-01T00:00:00"/>
    <x v="351"/>
    <x v="0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d v="2020-02-01T00:00:00"/>
    <x v="352"/>
    <x v="0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d v="2020-03-01T00:00:00"/>
    <x v="353"/>
    <x v="0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d v="2020-04-01T00:00:00"/>
    <x v="354"/>
    <x v="0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d v="2020-05-01T00:00:00"/>
    <x v="355"/>
    <x v="0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d v="2020-06-01T00:00:00"/>
    <x v="356"/>
    <x v="0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d v="2020-07-01T00:00:00"/>
    <x v="357"/>
    <x v="0"/>
    <x v="0"/>
    <n v="42670815.644999996"/>
    <n v="2.79"/>
    <n v="2.7771659999999998"/>
    <n v="15364877.592841048"/>
    <n v="27305938.052158948"/>
    <s v=""/>
    <s v=""/>
    <n v="290418.6931480678"/>
    <s v=""/>
    <m/>
    <m/>
    <m/>
  </r>
  <r>
    <x v="28"/>
    <d v="2020-08-01T00:00:00"/>
    <x v="358"/>
    <x v="0"/>
    <x v="0"/>
    <n v="37747146.719999999"/>
    <n v="2.79"/>
    <n v="2.7771659999999998"/>
    <n v="13591966.313860966"/>
    <n v="24155180.406139031"/>
    <s v=""/>
    <s v=""/>
    <n v="256908.07299520919"/>
    <s v=""/>
    <m/>
    <m/>
    <m/>
  </r>
  <r>
    <x v="28"/>
    <d v="2020-09-01T00:00:00"/>
    <x v="359"/>
    <x v="0"/>
    <x v="0"/>
    <n v="37747146.719999999"/>
    <n v="2.79"/>
    <n v="2.7771659999999998"/>
    <n v="13591966.313860966"/>
    <n v="24155180.406139031"/>
    <s v=""/>
    <s v=""/>
    <n v="256908.07299520919"/>
    <s v=""/>
    <m/>
    <m/>
    <m/>
  </r>
  <r>
    <x v="28"/>
    <d v="2020-10-01T00:00:00"/>
    <x v="360"/>
    <x v="0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8"/>
    <d v="2020-11-01T00:00:00"/>
    <x v="361"/>
    <x v="0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8"/>
    <d v="2020-12-01T00:00:00"/>
    <x v="362"/>
    <x v="0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9"/>
    <d v="2019-01-01T00:00:00"/>
    <x v="363"/>
    <x v="0"/>
    <x v="0"/>
    <n v="18830171.789000001"/>
    <n v="5.94"/>
    <n v="5.9126760000000003"/>
    <n v="3184712.2671697214"/>
    <n v="15645459.521830279"/>
    <n v="698784.29422778916"/>
    <n v="14946675.227602489"/>
    <n v="128158.64426429795"/>
    <n v="14818516.583338192"/>
    <m/>
    <m/>
    <m/>
  </r>
  <r>
    <x v="13"/>
    <d v="2019-04-01T00:00:00"/>
    <x v="364"/>
    <x v="0"/>
    <x v="0"/>
    <n v="19561500"/>
    <n v="1.72"/>
    <n v="1.7120879999999998"/>
    <n v="11425522.519870475"/>
    <n v="8135977.4801295251"/>
    <n v="1836974.4751148054"/>
    <n v="6299003.0050147194"/>
    <n v="133136.08329588163"/>
    <n v="6165866.9217188377"/>
    <m/>
    <m/>
    <m/>
  </r>
  <r>
    <x v="30"/>
    <d v="2019-01-01T00:00:00"/>
    <x v="365"/>
    <x v="0"/>
    <x v="0"/>
    <n v="37763484.710000001"/>
    <n v="1.87"/>
    <n v="1.8613980000000001"/>
    <n v="20287700.271516353"/>
    <n v="17475784.438483648"/>
    <n v="4451493.6127449432"/>
    <n v="13024290.825738706"/>
    <n v="257019.26978469506"/>
    <n v="12767271.555954011"/>
    <m/>
    <m/>
    <m/>
  </r>
  <r>
    <x v="30"/>
    <d v="2019-02-01T00:00:00"/>
    <x v="366"/>
    <x v="0"/>
    <x v="0"/>
    <n v="37763484.710000001"/>
    <n v="1.87"/>
    <n v="1.8613980000000001"/>
    <n v="20287700.271516353"/>
    <n v="17475784.438483648"/>
    <n v="4385345.6201297762"/>
    <n v="13090438.818353873"/>
    <n v="257019.26978469506"/>
    <n v="12833419.548569178"/>
    <m/>
    <m/>
    <m/>
  </r>
  <r>
    <x v="30"/>
    <d v="2019-03-01T00:00:00"/>
    <x v="367"/>
    <x v="0"/>
    <x v="0"/>
    <n v="37763484.710000001"/>
    <n v="1.87"/>
    <n v="1.8613980000000001"/>
    <n v="20287700.271516353"/>
    <n v="17475784.438483648"/>
    <n v="3172743.1653017043"/>
    <n v="14303041.273181943"/>
    <n v="257019.26978469506"/>
    <n v="14046022.003397249"/>
    <m/>
    <m/>
    <m/>
  </r>
  <r>
    <x v="30"/>
    <d v="2019-04-01T00:00:00"/>
    <x v="368"/>
    <x v="0"/>
    <x v="0"/>
    <n v="37763484.710000001"/>
    <n v="1.87"/>
    <n v="1.8613980000000001"/>
    <n v="20287700.271516353"/>
    <n v="17475784.438483648"/>
    <n v="3261819.0977910506"/>
    <n v="14213965.340692598"/>
    <n v="257019.26978469506"/>
    <n v="13956946.070907904"/>
    <m/>
    <m/>
    <m/>
  </r>
  <r>
    <x v="30"/>
    <d v="2019-05-01T00:00:00"/>
    <x v="369"/>
    <x v="0"/>
    <x v="0"/>
    <n v="37763484.710000001"/>
    <n v="1.87"/>
    <n v="1.8613980000000001"/>
    <n v="20287700.271516353"/>
    <n v="17475784.438483648"/>
    <n v="2690772.6421670346"/>
    <n v="14785011.796316613"/>
    <n v="257019.26978469506"/>
    <n v="14527992.526531918"/>
    <m/>
    <m/>
    <m/>
  </r>
  <r>
    <x v="30"/>
    <d v="2019-06-01T00:00:00"/>
    <x v="370"/>
    <x v="0"/>
    <x v="0"/>
    <n v="37763484.710000001"/>
    <n v="1.87"/>
    <n v="1.8613980000000001"/>
    <n v="20287700.271516353"/>
    <n v="17475784.438483648"/>
    <n v="3022279.5554108443"/>
    <n v="14453504.883072805"/>
    <n v="257019.26978469506"/>
    <n v="14196485.61328811"/>
    <m/>
    <m/>
    <m/>
  </r>
  <r>
    <x v="30"/>
    <d v="2019-07-01T00:00:00"/>
    <x v="371"/>
    <x v="0"/>
    <x v="0"/>
    <n v="37763484.710000001"/>
    <n v="1.87"/>
    <n v="1.8613980000000001"/>
    <n v="20287700.271516353"/>
    <n v="17475784.438483648"/>
    <n v="5248241.9303120105"/>
    <n v="12227542.508171637"/>
    <n v="257019.26978469506"/>
    <n v="11970523.238386942"/>
    <m/>
    <m/>
    <m/>
  </r>
  <r>
    <x v="30"/>
    <d v="2019-08-01T00:00:00"/>
    <x v="372"/>
    <x v="0"/>
    <x v="0"/>
    <n v="37763484.710000001"/>
    <n v="1.87"/>
    <n v="1.8613980000000001"/>
    <n v="20287700.271516353"/>
    <n v="17475784.438483648"/>
    <n v="5270083.1567178294"/>
    <n v="12205701.281765819"/>
    <n v="257019.26978469506"/>
    <n v="11948682.011981124"/>
    <m/>
    <m/>
    <m/>
  </r>
  <r>
    <x v="30"/>
    <d v="2019-09-01T00:00:00"/>
    <x v="373"/>
    <x v="0"/>
    <x v="0"/>
    <n v="37763484.710000001"/>
    <n v="1.87"/>
    <n v="1.8613980000000001"/>
    <n v="20287700.271516353"/>
    <n v="17475784.438483648"/>
    <n v="5816913.479293054"/>
    <n v="11658870.959190594"/>
    <n v="257019.26978469506"/>
    <n v="11401851.689405899"/>
    <m/>
    <m/>
    <m/>
  </r>
  <r>
    <x v="30"/>
    <d v="2019-10-01T00:00:00"/>
    <x v="374"/>
    <x v="0"/>
    <x v="0"/>
    <n v="37763484.710000001"/>
    <n v="1.87"/>
    <n v="1.8613980000000001"/>
    <n v="20287700.271516353"/>
    <n v="17475784.438483648"/>
    <n v="6312766.1765563386"/>
    <n v="11163018.26192731"/>
    <n v="257019.26978469506"/>
    <n v="10905998.992142616"/>
    <m/>
    <m/>
    <m/>
  </r>
  <r>
    <x v="30"/>
    <d v="2019-11-01T00:00:00"/>
    <x v="375"/>
    <x v="0"/>
    <x v="0"/>
    <n v="37763484.710000001"/>
    <n v="1.87"/>
    <n v="1.8613980000000001"/>
    <n v="20287700.271516353"/>
    <n v="17475784.438483648"/>
    <n v="8284220.8551092744"/>
    <n v="9191563.5833743736"/>
    <n v="257019.26978469506"/>
    <n v="8934544.3135896791"/>
    <m/>
    <m/>
    <m/>
  </r>
  <r>
    <x v="30"/>
    <d v="2019-12-01T00:00:00"/>
    <x v="376"/>
    <x v="0"/>
    <x v="0"/>
    <n v="37763484.710000001"/>
    <n v="1.87"/>
    <n v="1.8613980000000001"/>
    <n v="20287700.271516353"/>
    <n v="17475784.438483648"/>
    <n v="7145550.8279054472"/>
    <n v="10330233.610578202"/>
    <n v="257019.26978469506"/>
    <n v="10073214.340793507"/>
    <m/>
    <m/>
    <m/>
  </r>
  <r>
    <x v="30"/>
    <d v="2020-01-01T00:00:00"/>
    <x v="377"/>
    <x v="0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0"/>
    <d v="2020-02-01T00:00:00"/>
    <x v="378"/>
    <x v="0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0"/>
    <d v="2020-03-01T00:00:00"/>
    <x v="379"/>
    <x v="0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1"/>
    <d v="2019-01-01T00:00:00"/>
    <x v="380"/>
    <x v="0"/>
    <x v="0"/>
    <n v="25318074"/>
    <n v="1.1100000000000001"/>
    <n v="1.104894"/>
    <n v="22914482.294229127"/>
    <n v="2403591.7057708725"/>
    <n v="5027857.7762374459"/>
    <n v="-2624266.0704665734"/>
    <n v="172315.47728728855"/>
    <n v="-2796581.5477538621"/>
    <m/>
    <m/>
    <m/>
  </r>
  <r>
    <x v="31"/>
    <d v="2019-02-01T00:00:00"/>
    <x v="381"/>
    <x v="0"/>
    <x v="0"/>
    <n v="29324874"/>
    <n v="1.1100000000000001"/>
    <n v="1.104894"/>
    <n v="26540893.515577059"/>
    <n v="2783980.4844229408"/>
    <n v="5737022.4113709899"/>
    <n v="-2953041.9269480491"/>
    <n v="199585.86343098604"/>
    <n v="-3152627.7903790353"/>
    <m/>
    <m/>
    <m/>
  </r>
  <r>
    <x v="31"/>
    <d v="2019-03-01T00:00:00"/>
    <x v="382"/>
    <x v="0"/>
    <x v="0"/>
    <n v="29324874"/>
    <n v="1.1100000000000001"/>
    <n v="1.104894"/>
    <n v="26540893.515577059"/>
    <n v="2783980.4844229408"/>
    <n v="4150664.5590961091"/>
    <n v="-1366684.0746731684"/>
    <n v="199585.86343098604"/>
    <n v="-1566269.9381041543"/>
    <m/>
    <m/>
    <m/>
  </r>
  <r>
    <x v="31"/>
    <d v="2019-04-01T00:00:00"/>
    <x v="383"/>
    <x v="0"/>
    <x v="0"/>
    <n v="29324874"/>
    <n v="1.1100000000000001"/>
    <n v="1.104894"/>
    <n v="26540893.515577059"/>
    <n v="2783980.4844229408"/>
    <n v="4267195.9947620686"/>
    <n v="-1483215.5103391279"/>
    <n v="199585.86343098604"/>
    <n v="-1682801.3737701138"/>
    <m/>
    <m/>
    <m/>
  </r>
  <r>
    <x v="31"/>
    <d v="2019-05-01T00:00:00"/>
    <x v="384"/>
    <x v="0"/>
    <x v="0"/>
    <n v="29324874"/>
    <n v="1.1100000000000001"/>
    <n v="1.104894"/>
    <n v="26540893.515577059"/>
    <n v="2783980.4844229408"/>
    <n v="3520138.271692114"/>
    <n v="-736157.78726917319"/>
    <n v="199585.86343098604"/>
    <n v="-935743.65070015925"/>
    <m/>
    <m/>
    <m/>
  </r>
  <r>
    <x v="31"/>
    <d v="2019-06-01T00:00:00"/>
    <x v="385"/>
    <x v="0"/>
    <x v="0"/>
    <n v="29324874"/>
    <n v="1.1100000000000001"/>
    <n v="1.104894"/>
    <n v="26540893.515577059"/>
    <n v="2783980.4844229408"/>
    <n v="3953824.1782428203"/>
    <n v="-1169843.6938198796"/>
    <n v="199585.86343098604"/>
    <n v="-1369429.5572508655"/>
    <m/>
    <m/>
    <m/>
  </r>
  <r>
    <x v="31"/>
    <d v="2019-07-01T00:00:00"/>
    <x v="386"/>
    <x v="0"/>
    <x v="0"/>
    <n v="29324874"/>
    <n v="1.1100000000000001"/>
    <n v="1.104894"/>
    <n v="26540893.515577059"/>
    <n v="2783980.4844229408"/>
    <n v="6865885.6524986783"/>
    <n v="-4081905.1680757375"/>
    <n v="199585.86343098604"/>
    <n v="-4281491.0315067237"/>
    <m/>
    <m/>
    <m/>
  </r>
  <r>
    <x v="31"/>
    <d v="2019-08-01T00:00:00"/>
    <x v="387"/>
    <x v="0"/>
    <x v="0"/>
    <n v="29324874"/>
    <n v="1.1100000000000001"/>
    <n v="1.104894"/>
    <n v="26540893.515577059"/>
    <n v="2783980.4844229408"/>
    <n v="6894458.9090298936"/>
    <n v="-4110478.4246069528"/>
    <n v="199585.86343098604"/>
    <n v="-4310064.288037939"/>
    <m/>
    <m/>
    <m/>
  </r>
  <r>
    <x v="31"/>
    <d v="2019-09-01T00:00:00"/>
    <x v="388"/>
    <x v="0"/>
    <x v="0"/>
    <n v="29324874"/>
    <n v="1.1100000000000001"/>
    <n v="1.104894"/>
    <n v="26540893.515577059"/>
    <n v="2783980.4844229408"/>
    <n v="7609836.4613557365"/>
    <n v="-4825855.9769327957"/>
    <n v="199585.86343098604"/>
    <n v="-5025441.8403637819"/>
    <m/>
    <m/>
    <m/>
  </r>
  <r>
    <x v="31"/>
    <d v="2019-10-01T00:00:00"/>
    <x v="389"/>
    <x v="0"/>
    <x v="0"/>
    <n v="29324874"/>
    <n v="1.1100000000000001"/>
    <n v="1.104894"/>
    <n v="26540893.515577059"/>
    <n v="2783980.4844229408"/>
    <n v="8258523.7675238736"/>
    <n v="-5474543.2831009328"/>
    <n v="199585.86343098604"/>
    <n v="-5674129.146531919"/>
    <m/>
    <m/>
    <m/>
  </r>
  <r>
    <x v="31"/>
    <d v="2019-11-01T00:00:00"/>
    <x v="390"/>
    <x v="0"/>
    <x v="0"/>
    <n v="29324874"/>
    <n v="1.1100000000000001"/>
    <n v="1.104894"/>
    <n v="26540893.515577059"/>
    <n v="2783980.4844229408"/>
    <n v="10837631.69962015"/>
    <n v="-8053651.2151972093"/>
    <n v="199585.86343098604"/>
    <n v="-8253237.0786281954"/>
    <m/>
    <m/>
    <m/>
  </r>
  <r>
    <x v="31"/>
    <d v="2019-12-01T00:00:00"/>
    <x v="391"/>
    <x v="0"/>
    <x v="0"/>
    <n v="29324874"/>
    <n v="1.1100000000000001"/>
    <n v="1.104894"/>
    <n v="26540893.515577059"/>
    <n v="2783980.4844229408"/>
    <n v="9347994.1587981246"/>
    <n v="-6564013.6743751839"/>
    <n v="199585.86343098604"/>
    <n v="-6763599.5378061701"/>
    <m/>
    <m/>
    <m/>
  </r>
  <r>
    <x v="31"/>
    <d v="2020-01-01T00:00:00"/>
    <x v="392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2-01T00:00:00"/>
    <x v="393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3-01T00:00:00"/>
    <x v="394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4-01T00:00:00"/>
    <x v="395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5-01T00:00:00"/>
    <x v="396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6-01T00:00:00"/>
    <x v="397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7-01T00:00:00"/>
    <x v="398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8-01T00:00:00"/>
    <x v="399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9-01T00:00:00"/>
    <x v="400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10-01T00:00:00"/>
    <x v="401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11-01T00:00:00"/>
    <x v="402"/>
    <x v="0"/>
    <x v="0"/>
    <n v="29413074"/>
    <n v="1.1100000000000001"/>
    <n v="1.104894"/>
    <n v="26620720.177682202"/>
    <n v="2792353.8223177977"/>
    <s v=""/>
    <s v=""/>
    <n v="200186.15494987246"/>
    <s v=""/>
    <m/>
    <m/>
    <m/>
  </r>
  <r>
    <x v="31"/>
    <d v="2020-12-01T00:00:00"/>
    <x v="403"/>
    <x v="0"/>
    <x v="0"/>
    <n v="29413074"/>
    <n v="1.1100000000000001"/>
    <n v="1.104894"/>
    <n v="26620720.177682202"/>
    <n v="2792353.8223177977"/>
    <s v=""/>
    <s v=""/>
    <n v="200186.15494987246"/>
    <s v=""/>
    <m/>
    <m/>
    <m/>
  </r>
  <r>
    <x v="32"/>
    <d v="2019-01-01T00:00:00"/>
    <x v="404"/>
    <x v="0"/>
    <x v="0"/>
    <n v="33554950.015926875"/>
    <n v="1.97"/>
    <n v="1.9609379999999998"/>
    <n v="17111683.294386093"/>
    <n v="16443266.721540783"/>
    <n v="3754617.2246648986"/>
    <n v="12688649.496875884"/>
    <n v="228375.87200928279"/>
    <n v="12460273.624866601"/>
    <m/>
    <m/>
    <m/>
  </r>
  <r>
    <x v="32"/>
    <d v="2019-02-01T00:00:00"/>
    <x v="405"/>
    <x v="0"/>
    <x v="0"/>
    <n v="13267655.116172869"/>
    <n v="1.97"/>
    <n v="1.9609379999999998"/>
    <n v="6765973.7922223294"/>
    <n v="6501681.3239505393"/>
    <n v="1462518.3307391868"/>
    <n v="5039162.9932113523"/>
    <n v="90300.009543635257"/>
    <n v="4948862.9836677173"/>
    <m/>
    <m/>
    <m/>
  </r>
  <r>
    <x v="33"/>
    <d v="2019-01-01T00:00:00"/>
    <x v="406"/>
    <x v="0"/>
    <x v="0"/>
    <n v="55849596.75"/>
    <n v="1.93"/>
    <n v="1.9211219999999998"/>
    <n v="29071343.074515834"/>
    <n v="26778253.675484166"/>
    <n v="6378785.977620896"/>
    <n v="20399467.69786327"/>
    <n v="380113.82383505354"/>
    <n v="20019353.874028217"/>
    <m/>
    <m/>
    <m/>
  </r>
  <r>
    <x v="33"/>
    <d v="2019-02-01T00:00:00"/>
    <x v="407"/>
    <x v="0"/>
    <x v="0"/>
    <n v="55849596.75"/>
    <n v="1.93"/>
    <n v="1.9211219999999998"/>
    <n v="29071343.074515834"/>
    <n v="26778253.675484166"/>
    <n v="6283998.9410780743"/>
    <n v="20494254.734406091"/>
    <n v="380113.82383505354"/>
    <n v="20114140.910571039"/>
    <m/>
    <m/>
    <m/>
  </r>
  <r>
    <x v="33"/>
    <d v="2019-03-01T00:00:00"/>
    <x v="408"/>
    <x v="0"/>
    <x v="0"/>
    <n v="55849596.75"/>
    <n v="1.93"/>
    <n v="1.9211219999999998"/>
    <n v="29071343.074515834"/>
    <n v="26778253.675484166"/>
    <n v="4546395.294261572"/>
    <n v="22231858.381222595"/>
    <n v="380113.82383505354"/>
    <n v="21851744.557387542"/>
    <m/>
    <m/>
    <m/>
  </r>
  <r>
    <x v="34"/>
    <d v="2019-01-01T00:00:00"/>
    <x v="409"/>
    <x v="0"/>
    <x v="0"/>
    <n v="24433339.875"/>
    <n v="1.98"/>
    <n v="1.9708919999999999"/>
    <n v="12397097.291480204"/>
    <n v="12036242.583519796"/>
    <n v="2720150.5676363707"/>
    <n v="9316092.0158834253"/>
    <n v="166293.95357179083"/>
    <n v="9149798.0623116344"/>
    <m/>
    <m/>
    <m/>
  </r>
  <r>
    <x v="34"/>
    <d v="2019-02-01T00:00:00"/>
    <x v="410"/>
    <x v="0"/>
    <x v="0"/>
    <n v="24433339.875"/>
    <n v="1.98"/>
    <n v="1.9708919999999999"/>
    <n v="12397097.291480204"/>
    <n v="12036242.583519796"/>
    <n v="2679729.8649883894"/>
    <n v="9356512.7185314074"/>
    <n v="166293.95357179083"/>
    <n v="9190218.7649596166"/>
    <m/>
    <m/>
    <m/>
  </r>
  <r>
    <x v="35"/>
    <d v="2019-02-01T00:00:00"/>
    <x v="411"/>
    <x v="0"/>
    <x v="0"/>
    <n v="43907512.694785044"/>
    <n v="1"/>
    <n v="0.99539999999999995"/>
    <n v="44110420.62968158"/>
    <n v="-202907.93489653617"/>
    <n v="9534813.5728346948"/>
    <n v="-9737721.5077312309"/>
    <n v="298835.68578319054"/>
    <n v="-10036557.193514422"/>
    <m/>
    <m/>
    <m/>
  </r>
  <r>
    <x v="35"/>
    <d v="2019-03-01T00:00:00"/>
    <x v="412"/>
    <x v="0"/>
    <x v="0"/>
    <n v="43907512.694785044"/>
    <n v="1"/>
    <n v="0.99539999999999995"/>
    <n v="44110420.62968158"/>
    <n v="-202907.93489653617"/>
    <n v="6898319.3609132143"/>
    <n v="-7101227.2958097504"/>
    <n v="298835.68578319054"/>
    <n v="-7400062.9815929411"/>
    <m/>
    <m/>
    <m/>
  </r>
  <r>
    <x v="35"/>
    <d v="2019-04-01T00:00:00"/>
    <x v="413"/>
    <x v="0"/>
    <x v="0"/>
    <n v="43907512.694785044"/>
    <n v="1"/>
    <n v="0.99539999999999995"/>
    <n v="44110420.62968158"/>
    <n v="-202907.93489653617"/>
    <n v="7091992.2167569455"/>
    <n v="-7294900.1516534816"/>
    <n v="298835.68578319054"/>
    <n v="-7593735.8374366723"/>
    <m/>
    <m/>
    <m/>
  </r>
  <r>
    <x v="35"/>
    <d v="2019-05-01T00:00:00"/>
    <x v="414"/>
    <x v="0"/>
    <x v="0"/>
    <n v="43907512.694785044"/>
    <n v="1"/>
    <n v="0.99539999999999995"/>
    <n v="44110420.62968158"/>
    <n v="-202907.93489653617"/>
    <n v="5850397.6042798823"/>
    <n v="-6053305.5391764184"/>
    <n v="298835.68578319054"/>
    <n v="-6352141.2249596091"/>
    <m/>
    <m/>
    <m/>
  </r>
  <r>
    <x v="35"/>
    <d v="2019-06-01T00:00:00"/>
    <x v="415"/>
    <x v="0"/>
    <x v="0"/>
    <n v="43907512.694785044"/>
    <n v="1"/>
    <n v="0.99539999999999995"/>
    <n v="44110420.62968158"/>
    <n v="-202907.93489653617"/>
    <n v="6571174.6854240745"/>
    <n v="-6774082.6203206107"/>
    <n v="298835.68578319054"/>
    <n v="-7072918.3061038014"/>
    <m/>
    <m/>
    <m/>
  </r>
  <r>
    <x v="35"/>
    <d v="2019-07-01T00:00:00"/>
    <x v="416"/>
    <x v="0"/>
    <x v="0"/>
    <n v="43907512.694785044"/>
    <n v="1"/>
    <n v="0.99539999999999995"/>
    <n v="44110420.62968158"/>
    <n v="-202907.93489653617"/>
    <n v="11410961.124924572"/>
    <n v="-11613869.059821108"/>
    <n v="298835.68578319054"/>
    <n v="-11912704.745604299"/>
    <m/>
    <m/>
    <m/>
  </r>
  <r>
    <x v="35"/>
    <d v="2019-08-01T00:00:00"/>
    <x v="417"/>
    <x v="0"/>
    <x v="0"/>
    <n v="43907512.694785044"/>
    <n v="1"/>
    <n v="0.99539999999999995"/>
    <n v="44110420.62968158"/>
    <n v="-202907.93489653617"/>
    <n v="11458449.291199455"/>
    <n v="-11661357.226095991"/>
    <n v="298835.68578319054"/>
    <n v="-11960192.911879182"/>
    <m/>
    <m/>
    <m/>
  </r>
  <r>
    <x v="36"/>
    <d v="2019-01-01T00:00:00"/>
    <x v="418"/>
    <x v="0"/>
    <x v="0"/>
    <n v="134267225.40000004"/>
    <n v="1.64"/>
    <n v="1.6324559999999999"/>
    <n v="82248602.963877767"/>
    <n v="52018622.436122268"/>
    <n v="18046852.321893618"/>
    <n v="33971770.114228651"/>
    <n v="913826.26612280845"/>
    <n v="33057943.848105844"/>
    <m/>
    <m/>
    <m/>
  </r>
  <r>
    <x v="36"/>
    <d v="2019-02-01T00:00:00"/>
    <x v="419"/>
    <x v="0"/>
    <x v="0"/>
    <n v="134267225.40000004"/>
    <n v="1.64"/>
    <n v="1.6324559999999999"/>
    <n v="82248602.963877767"/>
    <n v="52018622.436122268"/>
    <n v="17778680.971338872"/>
    <n v="34239941.4647834"/>
    <n v="913826.26612280845"/>
    <n v="33326115.198660593"/>
    <m/>
    <m/>
    <m/>
  </r>
  <r>
    <x v="36"/>
    <d v="2019-03-01T00:00:00"/>
    <x v="420"/>
    <x v="0"/>
    <x v="0"/>
    <n v="134267225.40000004"/>
    <n v="1.64"/>
    <n v="1.6324559999999999"/>
    <n v="82248602.963877767"/>
    <n v="52018622.436122268"/>
    <n v="12862655.1761331"/>
    <n v="39155967.259989172"/>
    <n v="913826.26612280845"/>
    <n v="38242140.993866362"/>
    <m/>
    <m/>
    <m/>
  </r>
  <r>
    <x v="36"/>
    <d v="2019-04-01T00:00:00"/>
    <x v="421"/>
    <x v="0"/>
    <x v="0"/>
    <n v="134267225.40000004"/>
    <n v="1.64"/>
    <n v="1.6324559999999999"/>
    <n v="82248602.963877767"/>
    <n v="52018622.436122268"/>
    <n v="13223778.955906186"/>
    <n v="38794843.480216086"/>
    <n v="913826.26612280845"/>
    <n v="37881017.214093275"/>
    <m/>
    <m/>
    <m/>
  </r>
  <r>
    <x v="36"/>
    <d v="2019-05-01T00:00:00"/>
    <x v="422"/>
    <x v="0"/>
    <x v="0"/>
    <n v="134267225.40000004"/>
    <n v="1.64"/>
    <n v="1.6324559999999999"/>
    <n v="82248602.963877767"/>
    <n v="52018622.436122268"/>
    <n v="10908692.840971244"/>
    <n v="41109929.595151022"/>
    <n v="913826.26612280845"/>
    <n v="40196103.329028212"/>
    <m/>
    <m/>
    <m/>
  </r>
  <r>
    <x v="37"/>
    <d v="2019-03-01T00:00:00"/>
    <x v="423"/>
    <x v="0"/>
    <x v="0"/>
    <n v="63859391.18"/>
    <n v="0.75"/>
    <n v="0.74654999999999994"/>
    <n v="85539335.851583958"/>
    <n v="-21679944.671583958"/>
    <n v="13377284.736831108"/>
    <n v="-35057229.408415064"/>
    <n v="434628.69531297544"/>
    <n v="-35491858.103728041"/>
    <m/>
    <m/>
    <m/>
  </r>
  <r>
    <x v="37"/>
    <d v="2019-04-01T00:00:00"/>
    <x v="424"/>
    <x v="0"/>
    <x v="0"/>
    <n v="63859391.18"/>
    <n v="0.75"/>
    <n v="0.74654999999999994"/>
    <n v="85539335.851583958"/>
    <n v="-21679944.671583958"/>
    <n v="13752856.930994334"/>
    <n v="-35432801.60257829"/>
    <n v="434628.69531297544"/>
    <n v="-35867430.297891267"/>
    <m/>
    <m/>
    <m/>
  </r>
  <r>
    <x v="37"/>
    <d v="2019-05-01T00:00:00"/>
    <x v="425"/>
    <x v="0"/>
    <x v="0"/>
    <n v="63859391.18"/>
    <n v="0.75"/>
    <n v="0.74654999999999994"/>
    <n v="85539335.851583958"/>
    <n v="-21679944.671583958"/>
    <n v="11345145.169644045"/>
    <n v="-33025089.841228001"/>
    <n v="434628.69531297544"/>
    <n v="-33459718.536540978"/>
    <m/>
    <m/>
    <m/>
  </r>
  <r>
    <x v="37"/>
    <d v="2019-06-01T00:00:00"/>
    <x v="426"/>
    <x v="0"/>
    <x v="0"/>
    <n v="60800628.68"/>
    <n v="0.75"/>
    <n v="0.74654999999999994"/>
    <n v="81442138.744893178"/>
    <n v="-20641510.064893179"/>
    <n v="12132519.092033435"/>
    <n v="-32774029.156926613"/>
    <n v="413810.6773193492"/>
    <n v="-33187839.834245961"/>
    <m/>
    <m/>
    <m/>
  </r>
  <r>
    <x v="37"/>
    <d v="2019-07-01T00:00:00"/>
    <x v="427"/>
    <x v="0"/>
    <x v="0"/>
    <n v="60800628.68"/>
    <n v="0.75"/>
    <n v="0.74654999999999994"/>
    <n v="81442138.744893178"/>
    <n v="-20641510.064893179"/>
    <n v="21068334.100703359"/>
    <n v="-41709844.165596537"/>
    <n v="413810.6773193492"/>
    <n v="-42123654.842915885"/>
    <m/>
    <m/>
    <m/>
  </r>
  <r>
    <x v="37"/>
    <d v="2019-08-01T00:00:00"/>
    <x v="428"/>
    <x v="0"/>
    <x v="0"/>
    <n v="64680316.519999996"/>
    <n v="0.75"/>
    <n v="0.74654999999999994"/>
    <n v="86638961.248409346"/>
    <n v="-21958644.72840935"/>
    <n v="22505977.724435486"/>
    <n v="-44464622.452844836"/>
    <n v="440215.93476015172"/>
    <n v="-44904838.387604989"/>
    <m/>
    <m/>
    <m/>
  </r>
  <r>
    <x v="37"/>
    <d v="2019-09-01T00:00:00"/>
    <x v="429"/>
    <x v="0"/>
    <x v="0"/>
    <n v="64680316.519999996"/>
    <n v="0.75"/>
    <n v="0.74654999999999994"/>
    <n v="86638961.248409346"/>
    <n v="-21958644.72840935"/>
    <n v="24841225.706857946"/>
    <n v="-46799870.435267299"/>
    <n v="440215.93476015172"/>
    <n v="-47240086.370027453"/>
    <m/>
    <m/>
    <m/>
  </r>
  <r>
    <x v="37"/>
    <d v="2019-10-01T00:00:00"/>
    <x v="430"/>
    <x v="0"/>
    <x v="0"/>
    <n v="60757039.519999996"/>
    <n v="0.75"/>
    <n v="0.74654999999999994"/>
    <n v="81383751.282566473"/>
    <n v="-20626711.762566477"/>
    <n v="25323550.010208219"/>
    <n v="-45950261.772774696"/>
    <n v="413514.00835037656"/>
    <n v="-46363775.781125076"/>
    <m/>
    <m/>
    <m/>
  </r>
  <r>
    <x v="37"/>
    <d v="2019-11-01T00:00:00"/>
    <x v="431"/>
    <x v="0"/>
    <x v="0"/>
    <n v="60757039.519999996"/>
    <n v="0.75"/>
    <n v="0.74654999999999994"/>
    <n v="81383751.282566473"/>
    <n v="-20626711.762566477"/>
    <n v="33232005.629964478"/>
    <n v="-53858717.392530955"/>
    <n v="413514.00835037656"/>
    <n v="-54272231.400881335"/>
    <m/>
    <m/>
    <m/>
  </r>
  <r>
    <x v="37"/>
    <d v="2019-12-01T00:00:00"/>
    <x v="432"/>
    <x v="0"/>
    <x v="0"/>
    <n v="60757039.519999996"/>
    <n v="0.75"/>
    <n v="0.74654999999999994"/>
    <n v="81383751.282566473"/>
    <n v="-20626711.762566477"/>
    <n v="28664250.929005306"/>
    <n v="-49290962.691571787"/>
    <n v="413514.00835037656"/>
    <n v="-49704476.699922167"/>
    <m/>
    <m/>
    <m/>
  </r>
  <r>
    <x v="37"/>
    <d v="2020-01-01T00:00:00"/>
    <x v="433"/>
    <x v="0"/>
    <x v="0"/>
    <n v="60757039.519999996"/>
    <n v="0.75"/>
    <n v="0.74654999999999994"/>
    <n v="81383751.282566473"/>
    <n v="-20626711.762566477"/>
    <s v=""/>
    <s v=""/>
    <n v="413514.00835037656"/>
    <s v=""/>
    <m/>
    <m/>
    <m/>
  </r>
  <r>
    <x v="37"/>
    <d v="2020-02-01T00:00:00"/>
    <x v="434"/>
    <x v="0"/>
    <x v="0"/>
    <n v="60757039.519999996"/>
    <n v="0.75"/>
    <n v="0.74654999999999994"/>
    <n v="81383751.282566473"/>
    <n v="-20626711.762566477"/>
    <s v=""/>
    <s v=""/>
    <n v="413514.00835037656"/>
    <s v=""/>
    <m/>
    <m/>
    <m/>
  </r>
  <r>
    <x v="37"/>
    <d v="2020-03-01T00:00:00"/>
    <x v="435"/>
    <x v="0"/>
    <x v="0"/>
    <n v="54757039.519999996"/>
    <n v="0.75"/>
    <n v="0.74654999999999994"/>
    <n v="73346781.220279962"/>
    <n v="-18589741.700279966"/>
    <s v=""/>
    <s v=""/>
    <n v="372677.8506030009"/>
    <s v=""/>
    <m/>
    <m/>
    <m/>
  </r>
  <r>
    <x v="37"/>
    <d v="2020-04-01T00:00:00"/>
    <x v="436"/>
    <x v="0"/>
    <x v="0"/>
    <n v="54757039.519999996"/>
    <n v="0.75"/>
    <n v="0.74654999999999994"/>
    <n v="73346781.220279962"/>
    <n v="-18589741.700279966"/>
    <s v=""/>
    <s v=""/>
    <n v="372677.8506030009"/>
    <s v=""/>
    <m/>
    <m/>
    <m/>
  </r>
  <r>
    <x v="37"/>
    <d v="2020-05-01T00:00:00"/>
    <x v="437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06-01T00:00:00"/>
    <x v="438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07-01T00:00:00"/>
    <x v="439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08-01T00:00:00"/>
    <x v="440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09-01T00:00:00"/>
    <x v="441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10-01T00:00:00"/>
    <x v="442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11-01T00:00:00"/>
    <x v="443"/>
    <x v="0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d v="2020-12-01T00:00:00"/>
    <x v="444"/>
    <x v="0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d v="2021-01-01T00:00:00"/>
    <x v="445"/>
    <x v="0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d v="2021-02-01T00:00:00"/>
    <x v="446"/>
    <x v="0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d v="2021-03-01T00:00:00"/>
    <x v="447"/>
    <x v="0"/>
    <x v="0"/>
    <n v="40862689.519999996"/>
    <n v="0.75"/>
    <n v="0.74654999999999994"/>
    <n v="54735368.722791508"/>
    <n v="-13872679.202791512"/>
    <s v=""/>
    <s v=""/>
    <n v="278112.53920345928"/>
    <s v=""/>
    <m/>
    <m/>
    <m/>
  </r>
  <r>
    <x v="38"/>
    <d v="2019-04-01T00:00:00"/>
    <x v="448"/>
    <x v="0"/>
    <x v="0"/>
    <n v="89776746.567000002"/>
    <n v="1"/>
    <n v="0.99539999999999995"/>
    <n v="90191628.05605787"/>
    <n v="-414881.48905786872"/>
    <n v="14500843.906253565"/>
    <n v="-14915725.395311434"/>
    <n v="611022.89747603028"/>
    <n v="-15526748.292787464"/>
    <m/>
    <m/>
    <m/>
  </r>
  <r>
    <x v="38"/>
    <d v="2019-05-01T00:00:00"/>
    <x v="449"/>
    <x v="0"/>
    <x v="0"/>
    <n v="68117355.567000002"/>
    <n v="1"/>
    <n v="0.99539999999999995"/>
    <n v="68432143.426763117"/>
    <n v="-314787.85976311564"/>
    <n v="9076205.6277077552"/>
    <n v="-9390993.4874708708"/>
    <n v="463608.5128780154"/>
    <n v="-9854602.0003488865"/>
    <m/>
    <m/>
    <m/>
  </r>
  <r>
    <x v="38"/>
    <d v="2019-06-01T00:00:00"/>
    <x v="450"/>
    <x v="0"/>
    <x v="0"/>
    <n v="68117355.567000002"/>
    <n v="1"/>
    <n v="0.99539999999999995"/>
    <n v="68432143.426763117"/>
    <n v="-314787.85976311564"/>
    <n v="10194406.721496308"/>
    <n v="-10509194.581259424"/>
    <n v="463608.5128780154"/>
    <n v="-10972803.09413744"/>
    <m/>
    <m/>
    <m/>
  </r>
  <r>
    <x v="38"/>
    <d v="2019-07-01T00:00:00"/>
    <x v="451"/>
    <x v="0"/>
    <x v="0"/>
    <n v="62912767.068000004"/>
    <n v="1"/>
    <n v="0.99539999999999995"/>
    <n v="63203503.18264015"/>
    <n v="-290736.11464014649"/>
    <n v="16350166.411490859"/>
    <n v="-16640902.526131006"/>
    <n v="428185.94671879185"/>
    <n v="-17069088.472849797"/>
    <m/>
    <m/>
    <m/>
  </r>
  <r>
    <x v="38"/>
    <d v="2019-08-01T00:00:00"/>
    <x v="452"/>
    <x v="0"/>
    <x v="0"/>
    <n v="41200017.068000004"/>
    <n v="1"/>
    <n v="0.99539999999999995"/>
    <n v="41390412.967651203"/>
    <n v="-190395.89965119958"/>
    <n v="10751879.97215567"/>
    <n v="-10942275.871806869"/>
    <n v="280408.39936390327"/>
    <n v="-11222684.271170773"/>
    <m/>
    <m/>
    <m/>
  </r>
  <r>
    <x v="38"/>
    <d v="2019-09-01T00:00:00"/>
    <x v="453"/>
    <x v="0"/>
    <x v="0"/>
    <n v="41200017.068000004"/>
    <n v="1"/>
    <n v="0.99539999999999995"/>
    <n v="41390412.967651203"/>
    <n v="-190395.89965119958"/>
    <n v="11867508.287426064"/>
    <n v="-12057904.187077263"/>
    <n v="280408.39936390327"/>
    <n v="-12338312.586441167"/>
    <m/>
    <m/>
    <m/>
  </r>
  <r>
    <x v="38"/>
    <d v="2019-10-01T00:00:00"/>
    <x v="454"/>
    <x v="0"/>
    <x v="0"/>
    <n v="41200017.068000004"/>
    <n v="1"/>
    <n v="0.99539999999999995"/>
    <n v="41390412.967651203"/>
    <n v="-190395.89965119958"/>
    <n v="12879133.441395134"/>
    <n v="-13069529.341046333"/>
    <n v="280408.39936390327"/>
    <n v="-13349937.740410237"/>
    <m/>
    <m/>
    <m/>
  </r>
  <r>
    <x v="38"/>
    <d v="2019-11-01T00:00:00"/>
    <x v="455"/>
    <x v="0"/>
    <x v="0"/>
    <n v="39238378.568000004"/>
    <n v="1"/>
    <n v="0.99539999999999995"/>
    <n v="39419709.230460122"/>
    <n v="-181330.66246011853"/>
    <n v="16096530.06200063"/>
    <n v="-16277860.724460749"/>
    <n v="267057.43615901569"/>
    <n v="-16544918.160619766"/>
    <m/>
    <m/>
    <m/>
  </r>
  <r>
    <x v="38"/>
    <d v="2019-12-01T00:00:00"/>
    <x v="456"/>
    <x v="0"/>
    <x v="0"/>
    <n v="39238378.568000004"/>
    <n v="1"/>
    <n v="0.99539999999999995"/>
    <n v="39419709.230460122"/>
    <n v="-181330.66246011853"/>
    <n v="13884054.484133663"/>
    <n v="-14065385.146593781"/>
    <n v="267057.43615901569"/>
    <n v="-14332442.582752798"/>
    <m/>
    <m/>
    <m/>
  </r>
  <r>
    <x v="38"/>
    <d v="2020-01-01T00:00:00"/>
    <x v="457"/>
    <x v="0"/>
    <x v="0"/>
    <n v="34612077.68"/>
    <n v="1"/>
    <n v="0.99539999999999995"/>
    <n v="34772029.013461925"/>
    <n v="-159951.33346192539"/>
    <s v=""/>
    <s v=""/>
    <n v="235570.71068415025"/>
    <s v=""/>
    <m/>
    <m/>
    <m/>
  </r>
  <r>
    <x v="39"/>
    <d v="2019-04-01T00:00:00"/>
    <x v="458"/>
    <x v="0"/>
    <x v="0"/>
    <n v="83414508.689999998"/>
    <n v="1"/>
    <n v="0.99539999999999995"/>
    <n v="83799988.637733579"/>
    <n v="-385479.94773358107"/>
    <n v="13473207.888278918"/>
    <n v="-13858687.836012499"/>
    <n v="567721.33921411354"/>
    <n v="-14426409.175226614"/>
    <m/>
    <m/>
    <m/>
  </r>
  <r>
    <x v="39"/>
    <d v="2019-05-01T00:00:00"/>
    <x v="459"/>
    <x v="0"/>
    <x v="0"/>
    <n v="83414508.689999998"/>
    <n v="1"/>
    <n v="0.99539999999999995"/>
    <n v="83799988.637733579"/>
    <n v="-385479.94773358107"/>
    <n v="11114454.266504621"/>
    <n v="-11499934.214238202"/>
    <n v="567721.33921411354"/>
    <n v="-12067655.553452317"/>
    <m/>
    <m/>
    <m/>
  </r>
  <r>
    <x v="39"/>
    <d v="2019-06-01T00:00:00"/>
    <x v="460"/>
    <x v="0"/>
    <x v="0"/>
    <n v="83414508.689999998"/>
    <n v="1"/>
    <n v="0.99539999999999995"/>
    <n v="83799988.637733579"/>
    <n v="-385479.94773358107"/>
    <n v="12483770.413301431"/>
    <n v="-12869250.361035012"/>
    <n v="567721.33921411354"/>
    <n v="-13436971.700249124"/>
    <m/>
    <m/>
    <m/>
  </r>
  <r>
    <x v="39"/>
    <d v="2019-07-01T00:00:00"/>
    <x v="461"/>
    <x v="0"/>
    <x v="0"/>
    <n v="83414508.689999998"/>
    <n v="1"/>
    <n v="0.99539999999999995"/>
    <n v="83799988.637733579"/>
    <n v="-385479.94773358107"/>
    <n v="21678288.235838152"/>
    <n v="-22063768.183571734"/>
    <n v="567721.33921411354"/>
    <n v="-22631489.522785846"/>
    <m/>
    <m/>
    <m/>
  </r>
  <r>
    <x v="39"/>
    <d v="2019-08-01T00:00:00"/>
    <x v="462"/>
    <x v="0"/>
    <x v="0"/>
    <n v="82688276.189999998"/>
    <n v="1"/>
    <n v="0.99539999999999995"/>
    <n v="83070400.030138642"/>
    <n v="-382123.84013864398"/>
    <n v="21578981.85410862"/>
    <n v="-21961105.694247264"/>
    <n v="562778.58172556839"/>
    <n v="-22523884.275972832"/>
    <m/>
    <m/>
    <m/>
  </r>
  <r>
    <x v="39"/>
    <d v="2019-09-01T00:00:00"/>
    <x v="463"/>
    <x v="0"/>
    <x v="0"/>
    <n v="82688276.189999998"/>
    <n v="1"/>
    <n v="0.99539999999999995"/>
    <n v="83070400.030138642"/>
    <n v="-382123.84013864398"/>
    <n v="23818043.602704655"/>
    <n v="-24200167.442843299"/>
    <n v="562778.58172556839"/>
    <n v="-24762946.024568867"/>
    <m/>
    <m/>
    <m/>
  </r>
  <r>
    <x v="39"/>
    <d v="2019-10-01T00:00:00"/>
    <x v="464"/>
    <x v="0"/>
    <x v="0"/>
    <n v="82688276.189999998"/>
    <n v="1"/>
    <n v="0.99539999999999995"/>
    <n v="83070400.030138642"/>
    <n v="-382123.84013864398"/>
    <n v="25848371.405581135"/>
    <n v="-26230495.245719779"/>
    <n v="562778.58172556839"/>
    <n v="-26793273.827445347"/>
    <m/>
    <m/>
    <m/>
  </r>
  <r>
    <x v="39"/>
    <d v="2019-11-01T00:00:00"/>
    <x v="465"/>
    <x v="0"/>
    <x v="0"/>
    <n v="82688276.189999998"/>
    <n v="1"/>
    <n v="0.99539999999999995"/>
    <n v="83070400.030138642"/>
    <n v="-382123.84013864398"/>
    <n v="33920726.901615888"/>
    <n v="-34302850.741754532"/>
    <n v="562778.58172556839"/>
    <n v="-34865629.323480099"/>
    <m/>
    <m/>
    <m/>
  </r>
  <r>
    <x v="39"/>
    <d v="2019-12-01T00:00:00"/>
    <x v="466"/>
    <x v="0"/>
    <x v="0"/>
    <n v="82688276.189999998"/>
    <n v="1"/>
    <n v="0.99539999999999995"/>
    <n v="83070400.030138642"/>
    <n v="-382123.84013864398"/>
    <n v="29258307.140074283"/>
    <n v="-29640430.980212927"/>
    <n v="562778.58172556839"/>
    <n v="-30203209.561938494"/>
    <m/>
    <m/>
    <m/>
  </r>
  <r>
    <x v="39"/>
    <d v="2020-01-01T00:00:00"/>
    <x v="467"/>
    <x v="0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d v="2020-02-01T00:00:00"/>
    <x v="468"/>
    <x v="0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d v="2020-03-01T00:00:00"/>
    <x v="469"/>
    <x v="0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d v="2020-04-01T00:00:00"/>
    <x v="470"/>
    <x v="0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40"/>
    <d v="2019-06-01T00:00:00"/>
    <x v="471"/>
    <x v="0"/>
    <x v="0"/>
    <n v="577000000"/>
    <n v="1.87"/>
    <n v="1.8613980000000001"/>
    <n v="309982067.24193317"/>
    <n v="267017932.75806683"/>
    <n v="46178347.068968281"/>
    <n v="220839585.68909854"/>
    <n v="3927077.1700392966"/>
    <n v="216912508.51905924"/>
    <m/>
    <m/>
    <m/>
  </r>
  <r>
    <x v="41"/>
    <d v="2019-01-01T00:00:00"/>
    <x v="472"/>
    <x v="0"/>
    <x v="0"/>
    <n v="35458635"/>
    <n v="2.2200000000000002"/>
    <n v="2.2097880000000001"/>
    <n v="16046170.492373023"/>
    <n v="19412464.507626977"/>
    <n v="3520824.1693170522"/>
    <n v="15891640.338309925"/>
    <n v="241332.40206110285"/>
    <n v="15650307.936248822"/>
    <m/>
    <m/>
    <m/>
  </r>
  <r>
    <x v="41"/>
    <d v="2019-02-01T00:00:00"/>
    <x v="473"/>
    <x v="0"/>
    <x v="0"/>
    <n v="35458635"/>
    <n v="2.2200000000000002"/>
    <n v="2.2097880000000001"/>
    <n v="16046170.492373023"/>
    <n v="19412464.507626977"/>
    <n v="3468505.6732319426"/>
    <n v="15943958.834395034"/>
    <n v="241332.40206110285"/>
    <n v="15702626.432333931"/>
    <m/>
    <m/>
    <m/>
  </r>
  <r>
    <x v="41"/>
    <d v="2019-03-01T00:00:00"/>
    <x v="474"/>
    <x v="0"/>
    <x v="0"/>
    <n v="35458635"/>
    <n v="2.2200000000000002"/>
    <n v="2.2097880000000001"/>
    <n v="16046170.492373023"/>
    <n v="19412464.507626977"/>
    <n v="2509420.8351658201"/>
    <n v="16903043.672461156"/>
    <n v="241332.40206110285"/>
    <n v="16661711.270400053"/>
    <m/>
    <m/>
    <m/>
  </r>
  <r>
    <x v="41"/>
    <d v="2019-04-01T00:00:00"/>
    <x v="475"/>
    <x v="0"/>
    <x v="0"/>
    <n v="35458635"/>
    <n v="2.2200000000000002"/>
    <n v="2.2097880000000001"/>
    <n v="16046170.492373023"/>
    <n v="19412464.507626977"/>
    <n v="2579873.7490181564"/>
    <n v="16832590.758608822"/>
    <n v="241332.40206110285"/>
    <n v="16591258.356547719"/>
    <m/>
    <m/>
    <m/>
  </r>
  <r>
    <x v="41"/>
    <d v="2019-05-01T00:00:00"/>
    <x v="476"/>
    <x v="0"/>
    <x v="0"/>
    <n v="35458635"/>
    <n v="2.2200000000000002"/>
    <n v="2.2097880000000001"/>
    <n v="16046170.492373023"/>
    <n v="19412464.507626977"/>
    <n v="2128215.4208993614"/>
    <n v="17284249.086727615"/>
    <n v="241332.40206110285"/>
    <n v="17042916.684666514"/>
    <m/>
    <m/>
    <m/>
  </r>
  <r>
    <x v="41"/>
    <d v="2019-06-01T00:00:00"/>
    <x v="477"/>
    <x v="0"/>
    <x v="0"/>
    <n v="35458635"/>
    <n v="2.2200000000000002"/>
    <n v="2.2097880000000001"/>
    <n v="16046170.492373023"/>
    <n v="19412464.507626977"/>
    <n v="2390414.5059666261"/>
    <n v="17022050.001660351"/>
    <n v="241332.40206110285"/>
    <n v="16780717.59959925"/>
    <m/>
    <m/>
    <m/>
  </r>
  <r>
    <x v="41"/>
    <d v="2019-07-01T00:00:00"/>
    <x v="478"/>
    <x v="0"/>
    <x v="0"/>
    <n v="35458635"/>
    <n v="2.2200000000000002"/>
    <n v="2.2097880000000001"/>
    <n v="16046170.492373023"/>
    <n v="19412464.507626977"/>
    <n v="4150997.0904510529"/>
    <n v="15261467.417175924"/>
    <n v="241332.40206110285"/>
    <n v="15020135.015114821"/>
    <m/>
    <m/>
    <m/>
  </r>
  <r>
    <x v="41"/>
    <d v="2019-08-01T00:00:00"/>
    <x v="479"/>
    <x v="0"/>
    <x v="0"/>
    <n v="35458635"/>
    <n v="2.2200000000000002"/>
    <n v="2.2097880000000001"/>
    <n v="16046170.492373023"/>
    <n v="19412464.507626977"/>
    <n v="4168271.9928786261"/>
    <n v="15244192.51474835"/>
    <n v="241332.40206110285"/>
    <n v="15002860.112687247"/>
    <m/>
    <m/>
    <m/>
  </r>
  <r>
    <x v="42"/>
    <d v="2019-01-01T00:00:00"/>
    <x v="480"/>
    <x v="0"/>
    <x v="0"/>
    <n v="62778573"/>
    <n v="1.72"/>
    <n v="1.7120879999999998"/>
    <n v="36667842.423987553"/>
    <n v="26110730.576012447"/>
    <n v="8045597.2909204792"/>
    <n v="18065133.285091966"/>
    <n v="427272.61836385686"/>
    <n v="17637860.666728109"/>
    <m/>
    <m/>
    <m/>
  </r>
  <r>
    <x v="42"/>
    <d v="2019-02-01T00:00:00"/>
    <x v="481"/>
    <x v="0"/>
    <x v="0"/>
    <n v="62778573"/>
    <n v="1.72"/>
    <n v="1.7120879999999998"/>
    <n v="36667842.423987553"/>
    <n v="26110730.576012447"/>
    <n v="7926041.8885133658"/>
    <n v="18184688.687499084"/>
    <n v="427272.61836385686"/>
    <n v="17757416.069135226"/>
    <m/>
    <m/>
    <m/>
  </r>
  <r>
    <x v="42"/>
    <d v="2019-03-01T00:00:00"/>
    <x v="482"/>
    <x v="0"/>
    <x v="0"/>
    <n v="62778573"/>
    <n v="1.72"/>
    <n v="1.7120879999999998"/>
    <n v="36667842.423987553"/>
    <n v="26110730.576012447"/>
    <n v="5734393.0006893296"/>
    <n v="20376337.57532312"/>
    <n v="427272.61836385686"/>
    <n v="19949064.956959262"/>
    <m/>
    <m/>
    <m/>
  </r>
  <r>
    <x v="42"/>
    <d v="2019-04-01T00:00:00"/>
    <x v="483"/>
    <x v="0"/>
    <x v="0"/>
    <n v="62778573"/>
    <n v="1.72"/>
    <n v="1.7120879999999998"/>
    <n v="36667842.423987553"/>
    <n v="26110730.576012447"/>
    <n v="5895388.1954416325"/>
    <n v="20215342.380570814"/>
    <n v="427272.61836385686"/>
    <n v="19788069.762206957"/>
    <m/>
    <m/>
    <m/>
  </r>
  <r>
    <x v="42"/>
    <d v="2019-05-01T00:00:00"/>
    <x v="484"/>
    <x v="0"/>
    <x v="0"/>
    <n v="62778573"/>
    <n v="1.72"/>
    <n v="1.7120879999999998"/>
    <n v="36667842.423987553"/>
    <n v="26110730.576012447"/>
    <n v="4863282.9705337035"/>
    <n v="21247447.605478745"/>
    <n v="427272.61836385686"/>
    <n v="20820174.987114888"/>
    <m/>
    <m/>
    <m/>
  </r>
  <r>
    <x v="9"/>
    <d v="2020-01-01T00:00:00"/>
    <x v="485"/>
    <x v="0"/>
    <x v="0"/>
    <n v="21063300"/>
    <n v="1.95"/>
    <n v="1.9410299999999998"/>
    <n v="10851609.712369207"/>
    <n v="10211690.287630793"/>
    <s v=""/>
    <s v=""/>
    <n v="143357.37358004975"/>
    <s v=""/>
    <m/>
    <m/>
    <m/>
  </r>
  <r>
    <x v="9"/>
    <d v="2020-02-01T00:00:00"/>
    <x v="486"/>
    <x v="0"/>
    <x v="0"/>
    <n v="21063300"/>
    <n v="1.95"/>
    <n v="1.9410299999999998"/>
    <n v="10851609.712369207"/>
    <n v="10211690.287630793"/>
    <s v=""/>
    <s v=""/>
    <n v="143357.37358004975"/>
    <s v=""/>
    <m/>
    <m/>
    <m/>
  </r>
  <r>
    <x v="43"/>
    <d v="2019-01-01T00:00:00"/>
    <x v="487"/>
    <x v="0"/>
    <x v="0"/>
    <n v="29813870"/>
    <n v="2.27"/>
    <n v="2.2595579999999997"/>
    <n v="13194558.404785363"/>
    <n v="16619311.595214637"/>
    <n v="2895128.1651354027"/>
    <n v="13724183.430079235"/>
    <n v="202913.98306329199"/>
    <n v="13521269.447015943"/>
    <m/>
    <m/>
    <m/>
  </r>
  <r>
    <x v="44"/>
    <d v="2019-01-01T00:00:00"/>
    <x v="488"/>
    <x v="0"/>
    <x v="0"/>
    <n v="126579869.80723679"/>
    <n v="2.5499999999999998"/>
    <n v="2.5382699999999998"/>
    <n v="49868560.006318003"/>
    <n v="76711309.800918788"/>
    <n v="10942076.892597962"/>
    <n v="65769232.908320829"/>
    <n v="861505.92184843333"/>
    <n v="64907726.986472398"/>
    <m/>
    <m/>
    <m/>
  </r>
  <r>
    <x v="44"/>
    <d v="2019-02-01T00:00:00"/>
    <x v="489"/>
    <x v="0"/>
    <x v="0"/>
    <n v="253159739.61447358"/>
    <n v="2.5499999999999998"/>
    <n v="2.5382699999999998"/>
    <n v="99737120.012636006"/>
    <n v="153422619.60183758"/>
    <n v="21558961.171456628"/>
    <n v="131863658.43038094"/>
    <n v="1723011.8436968667"/>
    <n v="130140646.58668408"/>
    <m/>
    <m/>
    <m/>
  </r>
  <r>
    <x v="44"/>
    <d v="2019-03-01T00:00:00"/>
    <x v="490"/>
    <x v="0"/>
    <x v="0"/>
    <n v="253159739.61447358"/>
    <n v="2.5499999999999998"/>
    <n v="2.5382699999999998"/>
    <n v="99737120.012636006"/>
    <n v="153422619.60183758"/>
    <n v="15597641.014602548"/>
    <n v="137824978.58723503"/>
    <n v="1723011.8436968667"/>
    <n v="136101966.74353817"/>
    <m/>
    <m/>
    <m/>
  </r>
  <r>
    <x v="44"/>
    <d v="2019-04-01T00:00:00"/>
    <x v="491"/>
    <x v="0"/>
    <x v="0"/>
    <n v="126579869.80723679"/>
    <n v="2.5499999999999998"/>
    <n v="2.5382699999999998"/>
    <n v="49868560.006318003"/>
    <n v="76711309.800918788"/>
    <n v="8017775.2643715153"/>
    <n v="68693534.536547273"/>
    <n v="861505.92184843333"/>
    <n v="67832028.614698842"/>
    <m/>
    <m/>
    <m/>
  </r>
  <r>
    <x v="45"/>
    <d v="2019-01-01T00:00:00"/>
    <x v="492"/>
    <x v="0"/>
    <x v="0"/>
    <n v="9800000"/>
    <n v="1.85"/>
    <n v="1.8414900000000001"/>
    <n v="5321777.4736762075"/>
    <n v="4478222.5263237925"/>
    <n v="1167695.6045027827"/>
    <n v="3310526.9218210098"/>
    <n v="66699.057654046977"/>
    <n v="3243827.8641669629"/>
    <m/>
    <m/>
    <m/>
  </r>
  <r>
    <x v="45"/>
    <d v="2019-02-01T00:00:00"/>
    <x v="493"/>
    <x v="0"/>
    <x v="0"/>
    <n v="9800000"/>
    <n v="1.85"/>
    <n v="1.8414900000000001"/>
    <n v="5321777.4736762075"/>
    <n v="4478222.5263237925"/>
    <n v="1150343.9632464035"/>
    <n v="3327878.5630773893"/>
    <n v="66699.057654046977"/>
    <n v="3261179.5054233423"/>
    <m/>
    <m/>
    <m/>
  </r>
  <r>
    <x v="45"/>
    <d v="2019-03-01T00:00:00"/>
    <x v="494"/>
    <x v="0"/>
    <x v="0"/>
    <n v="9800000"/>
    <n v="1.85"/>
    <n v="1.8414900000000001"/>
    <n v="5321777.4736762075"/>
    <n v="4478222.5263237925"/>
    <n v="832259.58984461869"/>
    <n v="3645962.9364791736"/>
    <n v="66699.057654046977"/>
    <n v="3579263.8788251267"/>
    <m/>
    <m/>
    <m/>
  </r>
  <r>
    <x v="45"/>
    <d v="2019-04-01T00:00:00"/>
    <x v="495"/>
    <x v="0"/>
    <x v="0"/>
    <n v="9800000"/>
    <n v="1.85"/>
    <n v="1.8414900000000001"/>
    <n v="5321777.4736762075"/>
    <n v="4478222.5263237925"/>
    <n v="855625.58424636256"/>
    <n v="3622596.94207743"/>
    <n v="66699.057654046977"/>
    <n v="3555897.884423383"/>
    <m/>
    <m/>
    <m/>
  </r>
  <r>
    <x v="45"/>
    <d v="2019-05-01T00:00:00"/>
    <x v="496"/>
    <x v="0"/>
    <x v="0"/>
    <n v="9800000"/>
    <n v="1.85"/>
    <n v="1.8414900000000001"/>
    <n v="5321777.4736762075"/>
    <n v="4478222.5263237925"/>
    <n v="705831.26930228679"/>
    <n v="3772391.2570215059"/>
    <n v="66699.057654046977"/>
    <n v="3705692.1993674589"/>
    <m/>
    <m/>
    <m/>
  </r>
  <r>
    <x v="45"/>
    <d v="2019-06-01T00:00:00"/>
    <x v="497"/>
    <x v="0"/>
    <x v="0"/>
    <n v="9800000"/>
    <n v="1.85"/>
    <n v="1.8414900000000001"/>
    <n v="5321777.4736762075"/>
    <n v="4478222.5263237925"/>
    <n v="792790.65847197792"/>
    <n v="3685431.8678518147"/>
    <n v="66699.057654046977"/>
    <n v="3618732.8101977678"/>
    <m/>
    <m/>
    <m/>
  </r>
  <r>
    <x v="45"/>
    <d v="2019-07-01T00:00:00"/>
    <x v="498"/>
    <x v="0"/>
    <x v="0"/>
    <n v="9800000"/>
    <n v="1.85"/>
    <n v="1.8414900000000001"/>
    <n v="5321777.4736762075"/>
    <n v="4478222.5263237925"/>
    <n v="1376695.0076816094"/>
    <n v="3101527.5186421834"/>
    <n v="66699.057654046977"/>
    <n v="3034828.4609881365"/>
    <m/>
    <m/>
    <m/>
  </r>
  <r>
    <x v="45"/>
    <d v="2019-08-01T00:00:00"/>
    <x v="499"/>
    <x v="0"/>
    <x v="0"/>
    <n v="9800000"/>
    <n v="1.85"/>
    <n v="1.8414900000000001"/>
    <n v="5321777.4736762075"/>
    <n v="4478222.5263237925"/>
    <n v="1382424.2990812433"/>
    <n v="3095798.227242549"/>
    <n v="66699.057654046977"/>
    <n v="3029099.169588502"/>
    <m/>
    <m/>
    <m/>
  </r>
  <r>
    <x v="45"/>
    <d v="2019-09-01T00:00:00"/>
    <x v="500"/>
    <x v="0"/>
    <x v="0"/>
    <n v="9800000"/>
    <n v="1.85"/>
    <n v="1.8414900000000001"/>
    <n v="5321777.4736762075"/>
    <n v="4478222.5263237925"/>
    <n v="1525866.3478919545"/>
    <n v="2952356.1784318378"/>
    <n v="66699.057654046977"/>
    <n v="2885657.1207777909"/>
    <m/>
    <m/>
    <m/>
  </r>
  <r>
    <x v="17"/>
    <d v="2019-12-01T00:00:00"/>
    <x v="501"/>
    <x v="0"/>
    <x v="0"/>
    <n v="6950000"/>
    <n v="1.83"/>
    <n v="1.821582"/>
    <n v="3815364.8861264549"/>
    <n v="3134635.1138735451"/>
    <n v="1343813.4118680258"/>
    <n v="1790821.7020055193"/>
    <n v="47301.88272404352"/>
    <n v="1743519.8192814759"/>
    <m/>
    <m/>
    <m/>
  </r>
  <r>
    <x v="46"/>
    <d v="2019-01-01T00:00:00"/>
    <x v="502"/>
    <x v="0"/>
    <x v="0"/>
    <n v="11029019"/>
    <n v="5.27"/>
    <n v="5.2457579999999995"/>
    <n v="2102464.3149760244"/>
    <n v="8926554.6850239746"/>
    <n v="461319.23992784927"/>
    <n v="8465235.4450961258"/>
    <n v="75063.793280467304"/>
    <n v="8390171.6518156584"/>
    <m/>
    <m/>
    <m/>
  </r>
  <r>
    <x v="46"/>
    <d v="2019-02-01T00:00:00"/>
    <x v="503"/>
    <x v="0"/>
    <x v="0"/>
    <n v="11029019"/>
    <n v="5.27"/>
    <n v="5.2457579999999995"/>
    <n v="2102464.3149760244"/>
    <n v="8926554.6850239746"/>
    <n v="454464.16063747031"/>
    <n v="8472090.5243865047"/>
    <n v="75063.793280467304"/>
    <n v="8397026.7311060373"/>
    <m/>
    <m/>
    <m/>
  </r>
  <r>
    <x v="46"/>
    <d v="2019-03-01T00:00:00"/>
    <x v="504"/>
    <x v="0"/>
    <x v="0"/>
    <n v="11029019"/>
    <n v="5.27"/>
    <n v="5.2457579999999995"/>
    <n v="2102464.3149760244"/>
    <n v="8926554.6850239746"/>
    <n v="328799.18356228434"/>
    <n v="8597755.5014616903"/>
    <n v="75063.793280467304"/>
    <n v="8522691.7081812229"/>
    <m/>
    <m/>
    <m/>
  </r>
  <r>
    <x v="46"/>
    <d v="2019-04-01T00:00:00"/>
    <x v="505"/>
    <x v="0"/>
    <x v="0"/>
    <n v="11029019"/>
    <n v="5.27"/>
    <n v="5.2457579999999995"/>
    <n v="2102464.3149760244"/>
    <n v="8926554.6850239746"/>
    <n v="338030.3416963091"/>
    <n v="8588524.3433276657"/>
    <n v="75063.793280467304"/>
    <n v="8513460.5500471983"/>
    <m/>
    <m/>
    <m/>
  </r>
  <r>
    <x v="46"/>
    <d v="2019-05-01T00:00:00"/>
    <x v="506"/>
    <x v="0"/>
    <x v="0"/>
    <n v="11029019"/>
    <n v="5.27"/>
    <n v="5.2457579999999995"/>
    <n v="2102464.3149760244"/>
    <n v="8926554.6850239746"/>
    <n v="278851.39193487825"/>
    <n v="8647703.2930890955"/>
    <n v="75063.793280467304"/>
    <n v="8572639.4998086281"/>
    <m/>
    <m/>
    <m/>
  </r>
  <r>
    <x v="46"/>
    <d v="2019-06-01T00:00:00"/>
    <x v="507"/>
    <x v="0"/>
    <x v="0"/>
    <n v="11029019"/>
    <n v="5.27"/>
    <n v="5.2457579999999995"/>
    <n v="2102464.3149760244"/>
    <n v="8926554.6850239746"/>
    <n v="313206.26932043949"/>
    <n v="8613348.4157035351"/>
    <n v="75063.793280467304"/>
    <n v="8538284.6224230677"/>
    <m/>
    <m/>
    <m/>
  </r>
  <r>
    <x v="46"/>
    <d v="2019-07-01T00:00:00"/>
    <x v="508"/>
    <x v="0"/>
    <x v="0"/>
    <n v="11029019"/>
    <n v="5.27"/>
    <n v="5.2457579999999995"/>
    <n v="2102464.3149760244"/>
    <n v="8926554.6850239746"/>
    <n v="543888.22918158991"/>
    <n v="8382666.4558423851"/>
    <n v="75063.793280467304"/>
    <n v="8307602.6625619177"/>
    <m/>
    <m/>
    <m/>
  </r>
  <r>
    <x v="46"/>
    <d v="2019-08-01T00:00:00"/>
    <x v="509"/>
    <x v="0"/>
    <x v="0"/>
    <n v="11029019"/>
    <n v="5.27"/>
    <n v="5.2457579999999995"/>
    <n v="2102464.3149760244"/>
    <n v="8926554.6850239746"/>
    <n v="546151.68923368945"/>
    <n v="8380402.9957902851"/>
    <n v="75063.793280467304"/>
    <n v="8305339.2025098177"/>
    <m/>
    <m/>
    <m/>
  </r>
  <r>
    <x v="46"/>
    <d v="2019-09-01T00:00:00"/>
    <x v="510"/>
    <x v="0"/>
    <x v="0"/>
    <n v="11029019"/>
    <n v="5.27"/>
    <n v="5.2457579999999995"/>
    <n v="2102464.3149760244"/>
    <n v="8926554.6850239746"/>
    <n v="602821.06152205018"/>
    <n v="8323733.6235019248"/>
    <n v="75063.793280467304"/>
    <n v="8248669.8302214574"/>
    <m/>
    <m/>
    <m/>
  </r>
  <r>
    <x v="46"/>
    <d v="2019-10-01T00:00:00"/>
    <x v="511"/>
    <x v="0"/>
    <x v="0"/>
    <n v="11029019"/>
    <n v="5.27"/>
    <n v="5.2457579999999995"/>
    <n v="2102464.3149760244"/>
    <n v="8926554.6850239746"/>
    <n v="654207.49702377839"/>
    <n v="8272347.1880001966"/>
    <n v="75063.793280467304"/>
    <n v="8197283.3947197292"/>
    <m/>
    <m/>
    <m/>
  </r>
  <r>
    <x v="46"/>
    <d v="2019-11-01T00:00:00"/>
    <x v="512"/>
    <x v="0"/>
    <x v="0"/>
    <n v="11029019"/>
    <n v="5.27"/>
    <n v="5.2457579999999995"/>
    <n v="2102464.3149760244"/>
    <n v="8926554.6850239746"/>
    <n v="858514.19787096477"/>
    <n v="8068040.4871530095"/>
    <n v="75063.793280467304"/>
    <n v="7992976.6938725421"/>
    <m/>
    <m/>
    <m/>
  </r>
  <r>
    <x v="46"/>
    <d v="2019-12-01T00:00:00"/>
    <x v="513"/>
    <x v="0"/>
    <x v="0"/>
    <n v="11029019"/>
    <n v="5.27"/>
    <n v="5.2457579999999995"/>
    <n v="2102464.3149760244"/>
    <n v="8926554.6850239746"/>
    <n v="740511.02024663903"/>
    <n v="8186043.6647773357"/>
    <n v="75063.793280467304"/>
    <n v="8110979.8714968683"/>
    <m/>
    <m/>
    <m/>
  </r>
  <r>
    <x v="46"/>
    <d v="2020-01-01T00:00:00"/>
    <x v="514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2-01T00:00:00"/>
    <x v="515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3-01T00:00:00"/>
    <x v="516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4-01T00:00:00"/>
    <x v="517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5-01T00:00:00"/>
    <x v="518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6-01T00:00:00"/>
    <x v="519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7-01T00:00:00"/>
    <x v="520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8-01T00:00:00"/>
    <x v="521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9-01T00:00:00"/>
    <x v="522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10-01T00:00:00"/>
    <x v="523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11-01T00:00:00"/>
    <x v="524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12-01T00:00:00"/>
    <x v="525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1-01-01T00:00:00"/>
    <x v="526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1-02-01T00:00:00"/>
    <x v="527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7"/>
    <d v="2019-01-01T00:00:00"/>
    <x v="528"/>
    <x v="0"/>
    <x v="0"/>
    <n v="10920000"/>
    <n v="5.0599999999999996"/>
    <n v="5.0367239999999995"/>
    <n v="2168075.9160120748"/>
    <n v="8751924.0839879252"/>
    <n v="475715.62882482097"/>
    <n v="8276208.4551631045"/>
    <n v="74321.80710022377"/>
    <n v="8201886.6480628811"/>
    <m/>
    <m/>
    <m/>
  </r>
  <r>
    <x v="47"/>
    <d v="2019-02-01T00:00:00"/>
    <x v="529"/>
    <x v="0"/>
    <x v="0"/>
    <n v="10920000"/>
    <n v="5.0599999999999996"/>
    <n v="5.0367239999999995"/>
    <n v="2168075.9160120748"/>
    <n v="8751924.0839879252"/>
    <n v="468646.62308429158"/>
    <n v="8283277.4609036334"/>
    <n v="74321.80710022377"/>
    <n v="8208955.65380341"/>
    <m/>
    <m/>
    <m/>
  </r>
  <r>
    <x v="47"/>
    <d v="2019-03-01T00:00:00"/>
    <x v="530"/>
    <x v="0"/>
    <x v="0"/>
    <n v="10920000"/>
    <n v="5.0599999999999996"/>
    <n v="5.0367239999999995"/>
    <n v="2168075.9160120748"/>
    <n v="8751924.0839879252"/>
    <n v="339060.01923935203"/>
    <n v="8412864.064748574"/>
    <n v="74321.80710022377"/>
    <n v="8338542.2576483507"/>
    <m/>
    <m/>
    <m/>
  </r>
  <r>
    <x v="47"/>
    <d v="2019-04-01T00:00:00"/>
    <x v="531"/>
    <x v="0"/>
    <x v="0"/>
    <n v="10920000"/>
    <n v="5.0599999999999996"/>
    <n v="5.0367239999999995"/>
    <n v="2168075.9160120748"/>
    <n v="8751924.0839879252"/>
    <n v="348579.25411278976"/>
    <n v="8403344.8298751358"/>
    <n v="74321.80710022377"/>
    <n v="8329023.0227749124"/>
    <m/>
    <m/>
    <m/>
  </r>
  <r>
    <x v="47"/>
    <d v="2019-05-01T00:00:00"/>
    <x v="532"/>
    <x v="0"/>
    <x v="0"/>
    <n v="10920000"/>
    <n v="5.0599999999999996"/>
    <n v="5.0367239999999995"/>
    <n v="2168075.9160120748"/>
    <n v="8751924.0839879252"/>
    <n v="287553.50694613217"/>
    <n v="8464370.5770417936"/>
    <n v="74321.80710022377"/>
    <n v="8390048.7699415702"/>
    <m/>
    <m/>
    <m/>
  </r>
  <r>
    <x v="47"/>
    <d v="2019-06-01T00:00:00"/>
    <x v="533"/>
    <x v="0"/>
    <x v="0"/>
    <n v="10920000"/>
    <n v="5.0599999999999996"/>
    <n v="5.0367239999999995"/>
    <n v="2168075.9160120748"/>
    <n v="8751924.0839879252"/>
    <n v="322980.49694383523"/>
    <n v="8428943.58704409"/>
    <n v="74321.80710022377"/>
    <n v="8354621.7799438667"/>
    <m/>
    <m/>
    <m/>
  </r>
  <r>
    <x v="47"/>
    <d v="2019-07-01T00:00:00"/>
    <x v="534"/>
    <x v="0"/>
    <x v="0"/>
    <n v="10920000"/>
    <n v="5.0599999999999996"/>
    <n v="5.0367239999999995"/>
    <n v="2168075.9160120748"/>
    <n v="8751924.0839879252"/>
    <n v="560861.34841461398"/>
    <n v="8191062.7355733113"/>
    <n v="74321.80710022377"/>
    <n v="8116740.928473088"/>
    <m/>
    <m/>
    <m/>
  </r>
  <r>
    <x v="47"/>
    <d v="2019-08-01T00:00:00"/>
    <x v="535"/>
    <x v="0"/>
    <x v="0"/>
    <n v="10920000"/>
    <n v="5.0599999999999996"/>
    <n v="5.0367239999999995"/>
    <n v="2168075.9160120748"/>
    <n v="8751924.0839879252"/>
    <n v="563195.44426150038"/>
    <n v="8188728.6397264246"/>
    <n v="74321.80710022377"/>
    <n v="8114406.8326262012"/>
    <m/>
    <m/>
    <m/>
  </r>
  <r>
    <x v="47"/>
    <d v="2019-09-01T00:00:00"/>
    <x v="536"/>
    <x v="0"/>
    <x v="0"/>
    <n v="10920000"/>
    <n v="5.0599999999999996"/>
    <n v="5.0367239999999995"/>
    <n v="2168075.9160120748"/>
    <n v="8751924.0839879252"/>
    <n v="621633.29757427739"/>
    <n v="8130290.7864136482"/>
    <n v="74321.80710022377"/>
    <n v="8055968.9793134248"/>
    <m/>
    <m/>
    <m/>
  </r>
  <r>
    <x v="47"/>
    <d v="2019-10-01T00:00:00"/>
    <x v="537"/>
    <x v="0"/>
    <x v="0"/>
    <n v="10920000"/>
    <n v="5.0599999999999996"/>
    <n v="5.0367239999999995"/>
    <n v="2168075.9160120748"/>
    <n v="8751924.0839879252"/>
    <n v="674623.34949926089"/>
    <n v="8077300.7344886642"/>
    <n v="74321.80710022377"/>
    <n v="8002978.9273884408"/>
    <m/>
    <m/>
    <m/>
  </r>
  <r>
    <x v="47"/>
    <d v="2019-11-01T00:00:00"/>
    <x v="538"/>
    <x v="0"/>
    <x v="0"/>
    <n v="10920000"/>
    <n v="5.0599999999999996"/>
    <n v="5.0367239999999995"/>
    <n v="2168075.9160120748"/>
    <n v="8751924.0839879252"/>
    <n v="885305.84928367217"/>
    <n v="7866618.2347042533"/>
    <n v="74321.80710022377"/>
    <n v="7792296.4276040299"/>
    <m/>
    <m/>
    <m/>
  </r>
  <r>
    <x v="47"/>
    <d v="2019-12-01T00:00:00"/>
    <x v="539"/>
    <x v="0"/>
    <x v="0"/>
    <n v="10920000"/>
    <n v="5.0599999999999996"/>
    <n v="5.0367239999999995"/>
    <n v="2168075.9160120748"/>
    <n v="8751924.0839879252"/>
    <n v="763620.14665470144"/>
    <n v="7988303.9373332234"/>
    <n v="74321.80710022377"/>
    <n v="7913982.130233"/>
    <m/>
    <m/>
    <m/>
  </r>
  <r>
    <x v="47"/>
    <d v="2020-01-01T00:00:00"/>
    <x v="540"/>
    <x v="0"/>
    <x v="0"/>
    <n v="10920000"/>
    <n v="5.0599999999999996"/>
    <n v="5.0367239999999995"/>
    <n v="2168075.9160120748"/>
    <n v="8751924.0839879252"/>
    <s v=""/>
    <s v=""/>
    <n v="74321.80710022377"/>
    <s v=""/>
    <m/>
    <m/>
    <m/>
  </r>
  <r>
    <x v="48"/>
    <d v="2019-01-01T00:00:00"/>
    <x v="541"/>
    <x v="0"/>
    <x v="0"/>
    <n v="60561853.894285716"/>
    <n v="2.06"/>
    <n v="2.0505239999999998"/>
    <n v="29534818.365591295"/>
    <n v="31027035.528694421"/>
    <n v="6480480.9588299869"/>
    <n v="24546554.569864433"/>
    <n v="412185.56985009514"/>
    <n v="24134369.000014339"/>
    <m/>
    <m/>
    <m/>
  </r>
  <r>
    <x v="48"/>
    <d v="2019-02-01T00:00:00"/>
    <x v="542"/>
    <x v="0"/>
    <x v="0"/>
    <n v="60561853.894285716"/>
    <n v="2.06"/>
    <n v="2.0505239999999998"/>
    <n v="29534818.365591295"/>
    <n v="31027035.528694421"/>
    <n v="6384182.7623369945"/>
    <n v="24642852.766357426"/>
    <n v="412185.56985009514"/>
    <n v="24230667.196507331"/>
    <m/>
    <m/>
    <m/>
  </r>
  <r>
    <x v="48"/>
    <d v="2019-03-01T00:00:00"/>
    <x v="543"/>
    <x v="0"/>
    <x v="0"/>
    <n v="60561853.894285716"/>
    <n v="2.06"/>
    <n v="2.0505239999999998"/>
    <n v="29534818.365591295"/>
    <n v="31027035.528694421"/>
    <n v="4618877.0463757049"/>
    <n v="26408158.482318714"/>
    <n v="412185.56985009514"/>
    <n v="25995972.91246862"/>
    <m/>
    <m/>
    <m/>
  </r>
  <r>
    <x v="48"/>
    <d v="2019-04-01T00:00:00"/>
    <x v="544"/>
    <x v="0"/>
    <x v="0"/>
    <n v="60561853.894285716"/>
    <n v="2.06"/>
    <n v="2.0505239999999998"/>
    <n v="29534818.365591295"/>
    <n v="31027035.528694421"/>
    <n v="4748553.7200059919"/>
    <n v="26278481.808688428"/>
    <n v="412185.56985009514"/>
    <n v="25866296.238838334"/>
    <m/>
    <m/>
    <m/>
  </r>
  <r>
    <x v="48"/>
    <d v="2019-05-01T00:00:00"/>
    <x v="545"/>
    <x v="0"/>
    <x v="0"/>
    <n v="60561853.894285716"/>
    <n v="2.06"/>
    <n v="2.0505239999999998"/>
    <n v="29534818.365591295"/>
    <n v="31027035.528694421"/>
    <n v="3917224.7315326519"/>
    <n v="27109810.797161769"/>
    <n v="412185.56985009514"/>
    <n v="26697625.227311675"/>
    <m/>
    <m/>
    <m/>
  </r>
  <r>
    <x v="48"/>
    <d v="2019-06-01T00:00:00"/>
    <x v="546"/>
    <x v="0"/>
    <x v="0"/>
    <n v="60561853.894285716"/>
    <n v="2.06"/>
    <n v="2.0505239999999998"/>
    <n v="29534818.365591295"/>
    <n v="31027035.528694421"/>
    <n v="4399832.2394590266"/>
    <n v="26627203.289235394"/>
    <n v="412185.56985009514"/>
    <n v="26215017.7193853"/>
    <m/>
    <m/>
    <m/>
  </r>
  <r>
    <x v="48"/>
    <d v="2019-07-01T00:00:00"/>
    <x v="547"/>
    <x v="0"/>
    <x v="0"/>
    <n v="60561853.894285716"/>
    <n v="2.06"/>
    <n v="2.0505239999999998"/>
    <n v="29534818.365591295"/>
    <n v="31027035.528694421"/>
    <n v="7640386.5433713822"/>
    <n v="23386648.985323038"/>
    <n v="412185.56985009514"/>
    <n v="22974463.415472943"/>
    <m/>
    <m/>
    <m/>
  </r>
  <r>
    <x v="48"/>
    <d v="2019-08-01T00:00:00"/>
    <x v="548"/>
    <x v="0"/>
    <x v="0"/>
    <n v="60561853.894285716"/>
    <n v="2.06"/>
    <n v="2.0505239999999998"/>
    <n v="29534818.365591295"/>
    <n v="31027035.528694421"/>
    <n v="7672182.9838818572"/>
    <n v="23354852.544812564"/>
    <n v="412185.56985009514"/>
    <n v="22942666.974962469"/>
    <m/>
    <m/>
    <m/>
  </r>
  <r>
    <x v="48"/>
    <d v="2019-09-01T00:00:00"/>
    <x v="549"/>
    <x v="0"/>
    <x v="0"/>
    <n v="60561853.894285716"/>
    <n v="2.06"/>
    <n v="2.0505239999999998"/>
    <n v="29534818.365591295"/>
    <n v="31027035.528694421"/>
    <n v="8468258.1445905399"/>
    <n v="22558777.384103879"/>
    <n v="412185.56985009514"/>
    <n v="22146591.814253785"/>
    <m/>
    <m/>
    <m/>
  </r>
  <r>
    <x v="48"/>
    <d v="2019-10-01T00:00:00"/>
    <x v="550"/>
    <x v="0"/>
    <x v="0"/>
    <n v="60561853.894285716"/>
    <n v="2.06"/>
    <n v="2.0505239999999998"/>
    <n v="29534818.365591295"/>
    <n v="31027035.528694421"/>
    <n v="9190120.1177941225"/>
    <n v="21836915.410900299"/>
    <n v="412185.56985009514"/>
    <n v="21424729.841050204"/>
    <m/>
    <m/>
    <m/>
  </r>
  <r>
    <x v="48"/>
    <d v="2019-11-01T00:00:00"/>
    <x v="551"/>
    <x v="0"/>
    <x v="0"/>
    <n v="60561853.894285716"/>
    <n v="2.06"/>
    <n v="2.0505239999999998"/>
    <n v="29534818.365591295"/>
    <n v="31027035.528694421"/>
    <n v="12060162.314188624"/>
    <n v="18966873.214505799"/>
    <n v="412185.56985009514"/>
    <n v="18554687.644655704"/>
    <m/>
    <m/>
    <m/>
  </r>
  <r>
    <x v="48"/>
    <d v="2019-12-01T00:00:00"/>
    <x v="552"/>
    <x v="0"/>
    <x v="0"/>
    <n v="60561853.894285716"/>
    <n v="2.06"/>
    <n v="2.0505239999999998"/>
    <n v="29534818.365591295"/>
    <n v="31027035.528694421"/>
    <n v="10402487.369186377"/>
    <n v="20624548.159508042"/>
    <n v="412185.56985009514"/>
    <n v="20212362.589657947"/>
    <m/>
    <m/>
    <m/>
  </r>
  <r>
    <x v="49"/>
    <d v="2019-01-01T00:00:00"/>
    <x v="553"/>
    <x v="0"/>
    <x v="0"/>
    <n v="15250000"/>
    <n v="2.0299999999999998"/>
    <n v="2.0206619999999997"/>
    <n v="7547031.6163712693"/>
    <n v="7702968.3836287307"/>
    <n v="1655957.1851832091"/>
    <n v="6047011.1984455213"/>
    <n v="103791.90094124657"/>
    <n v="5943219.2975042751"/>
    <m/>
    <m/>
    <m/>
  </r>
  <r>
    <x v="49"/>
    <d v="2019-02-01T00:00:00"/>
    <x v="554"/>
    <x v="0"/>
    <x v="0"/>
    <n v="15250000"/>
    <n v="2.0299999999999998"/>
    <n v="2.0206619999999997"/>
    <n v="7547031.6163712693"/>
    <n v="7702968.3836287307"/>
    <n v="1631350.1087307313"/>
    <n v="6071618.2748979991"/>
    <n v="103791.90094124657"/>
    <n v="5967826.3739567529"/>
    <m/>
    <m/>
    <m/>
  </r>
  <r>
    <x v="49"/>
    <d v="2019-03-01T00:00:00"/>
    <x v="555"/>
    <x v="0"/>
    <x v="0"/>
    <n v="15250000"/>
    <n v="2.0299999999999998"/>
    <n v="2.0206619999999997"/>
    <n v="7547031.6163712693"/>
    <n v="7702968.3836287307"/>
    <n v="1180261.5702468739"/>
    <n v="6522706.8133818563"/>
    <n v="103791.90094124657"/>
    <n v="6418914.9124406101"/>
    <m/>
    <m/>
    <m/>
  </r>
  <r>
    <x v="49"/>
    <d v="2019-04-01T00:00:00"/>
    <x v="556"/>
    <x v="0"/>
    <x v="0"/>
    <n v="15250000"/>
    <n v="2.0299999999999998"/>
    <n v="2.0206619999999997"/>
    <n v="7547031.6163712693"/>
    <n v="7702968.3836287307"/>
    <n v="1213397.8483739072"/>
    <n v="6489570.535254823"/>
    <n v="103791.90094124657"/>
    <n v="6385778.6343135769"/>
    <m/>
    <m/>
    <m/>
  </r>
  <r>
    <x v="49"/>
    <d v="2019-05-01T00:00:00"/>
    <x v="557"/>
    <x v="0"/>
    <x v="0"/>
    <n v="15250000"/>
    <n v="2.0299999999999998"/>
    <n v="2.0206619999999997"/>
    <n v="7547031.6163712693"/>
    <n v="7702968.3836287307"/>
    <n v="1000968.3666025319"/>
    <n v="6702000.017026199"/>
    <n v="103791.90094124657"/>
    <n v="6598208.1160849528"/>
    <m/>
    <m/>
    <m/>
  </r>
  <r>
    <x v="49"/>
    <d v="2019-06-01T00:00:00"/>
    <x v="558"/>
    <x v="0"/>
    <x v="0"/>
    <n v="15250000"/>
    <n v="2.0299999999999998"/>
    <n v="2.0206619999999997"/>
    <n v="7547031.6163712693"/>
    <n v="7702968.3836287307"/>
    <n v="1124289.054596395"/>
    <n v="6578679.3290323354"/>
    <n v="103791.90094124657"/>
    <n v="6474887.4280910892"/>
    <m/>
    <m/>
    <m/>
  </r>
  <r>
    <x v="49"/>
    <d v="2019-07-01T00:00:00"/>
    <x v="559"/>
    <x v="0"/>
    <x v="0"/>
    <n v="15250000"/>
    <n v="2.0299999999999998"/>
    <n v="2.0206619999999997"/>
    <n v="7547031.6163712693"/>
    <n v="7702968.3836287307"/>
    <n v="1952347.8387562789"/>
    <n v="5750620.5448724516"/>
    <n v="103791.90094124657"/>
    <n v="5646828.6439312054"/>
    <m/>
    <m/>
    <m/>
  </r>
  <r>
    <x v="49"/>
    <d v="2019-08-01T00:00:00"/>
    <x v="560"/>
    <x v="0"/>
    <x v="0"/>
    <n v="15250000"/>
    <n v="2.0299999999999998"/>
    <n v="2.0206619999999997"/>
    <n v="7547031.6163712693"/>
    <n v="7702968.3836287307"/>
    <n v="1960472.7826394683"/>
    <n v="5742495.6009892626"/>
    <n v="103791.90094124657"/>
    <n v="5638703.7000480164"/>
    <m/>
    <m/>
    <m/>
  </r>
  <r>
    <x v="49"/>
    <d v="2019-09-01T00:00:00"/>
    <x v="561"/>
    <x v="0"/>
    <x v="0"/>
    <n v="15250000"/>
    <n v="2.0299999999999998"/>
    <n v="2.0206619999999997"/>
    <n v="7547031.6163712693"/>
    <n v="7702968.3836287307"/>
    <n v="2163893.8544235332"/>
    <n v="5539074.5292051975"/>
    <n v="103791.90094124657"/>
    <n v="5435282.6282639513"/>
    <m/>
    <m/>
    <m/>
  </r>
  <r>
    <x v="49"/>
    <d v="2019-10-01T00:00:00"/>
    <x v="562"/>
    <x v="0"/>
    <x v="0"/>
    <n v="15250000"/>
    <n v="2.0299999999999998"/>
    <n v="2.0206619999999997"/>
    <n v="7547031.6163712693"/>
    <n v="7702968.3836287307"/>
    <n v="2348351.2317125206"/>
    <n v="5354617.1519162096"/>
    <n v="103791.90094124657"/>
    <n v="5250825.2509749634"/>
    <m/>
    <m/>
    <m/>
  </r>
  <r>
    <x v="49"/>
    <d v="2019-11-01T00:00:00"/>
    <x v="563"/>
    <x v="0"/>
    <x v="0"/>
    <n v="15250000"/>
    <n v="2.0299999999999998"/>
    <n v="2.0206619999999997"/>
    <n v="7547031.6163712693"/>
    <n v="7702968.3836287307"/>
    <n v="3081733.063569109"/>
    <n v="4621235.3200596217"/>
    <n v="103791.90094124657"/>
    <n v="4517443.4191183755"/>
    <m/>
    <m/>
    <m/>
  </r>
  <r>
    <x v="49"/>
    <d v="2019-12-01T00:00:00"/>
    <x v="564"/>
    <x v="0"/>
    <x v="0"/>
    <n v="15250000"/>
    <n v="2.0299999999999998"/>
    <n v="2.0206619999999997"/>
    <n v="7547031.6163712693"/>
    <n v="7702968.3836287307"/>
    <n v="2658147.4140912876"/>
    <n v="5044820.9695374426"/>
    <n v="103791.90094124657"/>
    <n v="4941029.0685961964"/>
    <m/>
    <m/>
    <m/>
  </r>
  <r>
    <x v="50"/>
    <d v="2019-01-01T00:00:00"/>
    <x v="565"/>
    <x v="0"/>
    <x v="0"/>
    <n v="20341421"/>
    <n v="2.62"/>
    <n v="2.6079479999999999"/>
    <n v="7799780.1336529721"/>
    <n v="12541640.866347028"/>
    <n v="1711414.8464879699"/>
    <n v="10830226.019859059"/>
    <n v="138444.24612696347"/>
    <n v="10691781.773732096"/>
    <m/>
    <m/>
    <m/>
  </r>
  <r>
    <x v="50"/>
    <d v="2019-02-01T00:00:00"/>
    <x v="566"/>
    <x v="0"/>
    <x v="0"/>
    <n v="20341421"/>
    <n v="2.62"/>
    <n v="2.6079479999999999"/>
    <n v="7799780.1336529721"/>
    <n v="12541640.866347028"/>
    <n v="1685983.6841691348"/>
    <n v="10855657.182177894"/>
    <n v="138444.24612696347"/>
    <n v="10717212.936050931"/>
    <m/>
    <m/>
    <m/>
  </r>
  <r>
    <x v="50"/>
    <d v="2019-03-01T00:00:00"/>
    <x v="567"/>
    <x v="0"/>
    <x v="0"/>
    <n v="20341421"/>
    <n v="2.62"/>
    <n v="2.6079479999999999"/>
    <n v="7799780.1336529721"/>
    <n v="12541640.866347028"/>
    <n v="1219788.2844635427"/>
    <n v="11321852.581883484"/>
    <n v="138444.24612696347"/>
    <n v="11183408.335756522"/>
    <m/>
    <m/>
    <m/>
  </r>
  <r>
    <x v="51"/>
    <d v="2019-01-01T00:00:00"/>
    <x v="568"/>
    <x v="0"/>
    <x v="0"/>
    <n v="118601976.15000001"/>
    <n v="0.73"/>
    <n v="0.7266419999999999"/>
    <n v="163219269.11739209"/>
    <n v="-44617292.967392087"/>
    <n v="35813301.864137962"/>
    <n v="-80430594.831530049"/>
    <n v="807208.16786864842"/>
    <n v="-81237802.999398693"/>
    <m/>
    <m/>
    <m/>
  </r>
  <r>
    <x v="51"/>
    <d v="2019-02-01T00:00:00"/>
    <x v="569"/>
    <x v="0"/>
    <x v="0"/>
    <n v="197669960.25"/>
    <n v="0.73"/>
    <n v="0.7266419999999999"/>
    <n v="272032115.19565344"/>
    <n v="-74362154.945653439"/>
    <n v="58801876.454315983"/>
    <n v="-133164031.39996943"/>
    <n v="1345346.9464477473"/>
    <n v="-134509378.34641719"/>
    <m/>
    <m/>
    <m/>
  </r>
  <r>
    <x v="51"/>
    <d v="2019-03-01T00:00:00"/>
    <x v="570"/>
    <x v="0"/>
    <x v="0"/>
    <n v="171313965.55000007"/>
    <n v="0.73"/>
    <n v="0.7266419999999999"/>
    <n v="235761166.50289977"/>
    <n v="-64447200.952899694"/>
    <n v="36870104.529088855"/>
    <n v="-101317305.48198855"/>
    <n v="1165967.3535880481"/>
    <n v="-102483272.83557659"/>
    <m/>
    <m/>
    <m/>
  </r>
  <r>
    <x v="51"/>
    <d v="2019-04-01T00:00:00"/>
    <x v="571"/>
    <x v="0"/>
    <x v="0"/>
    <n v="210847957.5999999"/>
    <n v="0.73"/>
    <n v="0.7266419999999999"/>
    <n v="290167589.54203022"/>
    <n v="-79319631.942030311"/>
    <n v="46652610.816467233"/>
    <n v="-125972242.75849754"/>
    <n v="1435036.7428775965"/>
    <n v="-127407279.50137514"/>
    <m/>
    <m/>
    <m/>
  </r>
  <r>
    <x v="52"/>
    <d v="2019-01-01T00:00:00"/>
    <x v="572"/>
    <x v="0"/>
    <x v="0"/>
    <n v="12773052.833333334"/>
    <n v="2.2999999999999998"/>
    <n v="2.2894199999999998"/>
    <n v="5579165.3926904351"/>
    <n v="7193887.4406428989"/>
    <n v="1224171.2356564121"/>
    <n v="5969716.2049864866"/>
    <n v="86933.733402927362"/>
    <n v="5882782.4715835592"/>
    <m/>
    <m/>
    <m/>
  </r>
  <r>
    <x v="52"/>
    <d v="2019-02-01T00:00:00"/>
    <x v="573"/>
    <x v="0"/>
    <x v="0"/>
    <n v="12773052.833333334"/>
    <n v="2.2999999999999998"/>
    <n v="2.2894199999999998"/>
    <n v="5579165.3926904351"/>
    <n v="7193887.4406428989"/>
    <n v="1205980.3817767035"/>
    <n v="5987907.0588661954"/>
    <n v="86933.733402927362"/>
    <n v="5900973.325463268"/>
    <m/>
    <m/>
    <m/>
  </r>
  <r>
    <x v="53"/>
    <d v="2019-01-01T00:00:00"/>
    <x v="574"/>
    <x v="0"/>
    <x v="0"/>
    <n v="50000000"/>
    <n v="2"/>
    <n v="1.9907999999999999"/>
    <n v="25115531.444645371"/>
    <n v="24884468.555354629"/>
    <n v="5510808.337576909"/>
    <n v="19373660.217777722"/>
    <n v="340301.31456146418"/>
    <n v="19033358.903216258"/>
    <m/>
    <m/>
    <m/>
  </r>
  <r>
    <x v="53"/>
    <d v="2019-02-01T00:00:00"/>
    <x v="575"/>
    <x v="0"/>
    <x v="0"/>
    <n v="50000000"/>
    <n v="2"/>
    <n v="1.9907999999999999"/>
    <n v="25115531.444645371"/>
    <n v="24884468.555354629"/>
    <n v="5428919.2143006306"/>
    <n v="19455549.341054"/>
    <n v="340301.31456146418"/>
    <n v="19115248.026492536"/>
    <m/>
    <m/>
    <m/>
  </r>
  <r>
    <x v="53"/>
    <d v="2019-03-01T00:00:00"/>
    <x v="576"/>
    <x v="0"/>
    <x v="0"/>
    <n v="50000000"/>
    <n v="2"/>
    <n v="1.9907999999999999"/>
    <n v="25115531.444645371"/>
    <n v="24884468.555354629"/>
    <n v="3927755.7173789409"/>
    <n v="20956712.837975688"/>
    <n v="340301.31456146418"/>
    <n v="20616411.523414224"/>
    <m/>
    <m/>
    <m/>
  </r>
  <r>
    <x v="53"/>
    <d v="2019-04-01T00:00:00"/>
    <x v="577"/>
    <x v="0"/>
    <x v="0"/>
    <n v="50000000"/>
    <n v="2"/>
    <n v="1.9907999999999999"/>
    <n v="25115531.444645371"/>
    <n v="24884468.555354629"/>
    <n v="4038028.9052443136"/>
    <n v="20846439.650110316"/>
    <n v="340301.31456146418"/>
    <n v="20506138.335548852"/>
    <m/>
    <m/>
    <m/>
  </r>
  <r>
    <x v="53"/>
    <d v="2019-05-01T00:00:00"/>
    <x v="578"/>
    <x v="0"/>
    <x v="0"/>
    <n v="50000000"/>
    <n v="2"/>
    <n v="1.9907999999999999"/>
    <n v="25115531.444645371"/>
    <n v="24884468.555354629"/>
    <n v="3331091.4495133436"/>
    <n v="21553377.105841286"/>
    <n v="340301.31456146418"/>
    <n v="21213075.791279823"/>
    <m/>
    <m/>
    <m/>
  </r>
  <r>
    <x v="54"/>
    <d v="2019-01-01T00:00:00"/>
    <x v="579"/>
    <x v="0"/>
    <x v="0"/>
    <n v="48166666.666666664"/>
    <n v="2.44"/>
    <n v="2.428776"/>
    <n v="19831662.80738391"/>
    <n v="28335003.859282754"/>
    <n v="4351430.627212367"/>
    <n v="23983573.232070386"/>
    <n v="327823.59969421045"/>
    <n v="23655749.632376175"/>
    <m/>
    <m/>
    <m/>
  </r>
  <r>
    <x v="54"/>
    <d v="2019-02-01T00:00:00"/>
    <x v="580"/>
    <x v="0"/>
    <x v="0"/>
    <n v="48166666.666666664"/>
    <n v="2.44"/>
    <n v="2.428776"/>
    <n v="19831662.80738391"/>
    <n v="28335003.859282754"/>
    <n v="4286769.5435324647"/>
    <n v="24048234.31575029"/>
    <n v="327823.59969421045"/>
    <n v="23720410.716056079"/>
    <m/>
    <m/>
    <m/>
  </r>
  <r>
    <x v="54"/>
    <d v="2019-03-01T00:00:00"/>
    <x v="581"/>
    <x v="0"/>
    <x v="0"/>
    <n v="48166666.666666664"/>
    <n v="2.44"/>
    <n v="2.428776"/>
    <n v="19831662.80738391"/>
    <n v="28335003.859282754"/>
    <n v="3101424.5965096005"/>
    <n v="25233579.262773152"/>
    <n v="327823.59969421045"/>
    <n v="24905755.663078941"/>
    <m/>
    <m/>
    <m/>
  </r>
  <r>
    <x v="54"/>
    <d v="2019-04-01T00:00:00"/>
    <x v="582"/>
    <x v="0"/>
    <x v="0"/>
    <n v="48166666.666666664"/>
    <n v="2.44"/>
    <n v="2.428776"/>
    <n v="19831662.80738391"/>
    <n v="28335003.859282754"/>
    <n v="3188498.2339224215"/>
    <n v="25146505.625360332"/>
    <n v="327823.59969421045"/>
    <n v="24818682.025666121"/>
    <m/>
    <m/>
    <m/>
  </r>
  <r>
    <x v="54"/>
    <d v="2019-05-01T00:00:00"/>
    <x v="583"/>
    <x v="0"/>
    <x v="0"/>
    <n v="48166666.666666664"/>
    <n v="2.44"/>
    <n v="2.428776"/>
    <n v="19831662.80738391"/>
    <n v="28335003.859282754"/>
    <n v="2630288.0571293887"/>
    <n v="25704715.802153364"/>
    <n v="327823.59969421045"/>
    <n v="25376892.202459153"/>
    <m/>
    <m/>
    <m/>
  </r>
  <r>
    <x v="54"/>
    <d v="2019-06-01T00:00:00"/>
    <x v="584"/>
    <x v="0"/>
    <x v="0"/>
    <n v="48166666.666666664"/>
    <n v="2.44"/>
    <n v="2.428776"/>
    <n v="19831662.80738391"/>
    <n v="28335003.859282754"/>
    <n v="2954343.1857926492"/>
    <n v="25380660.673490107"/>
    <n v="327823.59969421045"/>
    <n v="25052837.073795896"/>
    <m/>
    <m/>
    <m/>
  </r>
  <r>
    <x v="55"/>
    <d v="2019-02-01T00:00:00"/>
    <x v="585"/>
    <x v="0"/>
    <x v="0"/>
    <n v="9800000"/>
    <n v="1"/>
    <n v="0.99539999999999995"/>
    <n v="9845288.3263009842"/>
    <n v="-45288.326300984249"/>
    <n v="2128136.3320058468"/>
    <n v="-2173424.658306831"/>
    <n v="66699.057654046977"/>
    <n v="-2240123.7159608779"/>
    <m/>
    <m/>
    <m/>
  </r>
  <r>
    <x v="55"/>
    <d v="2019-03-01T00:00:00"/>
    <x v="586"/>
    <x v="0"/>
    <x v="0"/>
    <n v="9800000"/>
    <n v="1"/>
    <n v="0.99539999999999995"/>
    <n v="9845288.3263009842"/>
    <n v="-45288.326300984249"/>
    <n v="1539680.2412125445"/>
    <n v="-1584968.5675135287"/>
    <n v="66699.057654046977"/>
    <n v="-1651667.6251675757"/>
    <m/>
    <m/>
    <m/>
  </r>
  <r>
    <x v="55"/>
    <d v="2019-04-01T00:00:00"/>
    <x v="587"/>
    <x v="0"/>
    <x v="0"/>
    <n v="9800000"/>
    <n v="1"/>
    <n v="0.99539999999999995"/>
    <n v="9845288.3263009842"/>
    <n v="-45288.326300984249"/>
    <n v="1582907.3308557707"/>
    <n v="-1628195.657156755"/>
    <n v="66699.057654046977"/>
    <n v="-1694894.7148108019"/>
    <m/>
    <m/>
    <m/>
  </r>
  <r>
    <x v="55"/>
    <d v="2019-05-01T00:00:00"/>
    <x v="588"/>
    <x v="0"/>
    <x v="0"/>
    <n v="9800000"/>
    <n v="1"/>
    <n v="0.99539999999999995"/>
    <n v="9845288.3263009842"/>
    <n v="-45288.326300984249"/>
    <n v="1305787.8482092305"/>
    <n v="-1351076.1745102147"/>
    <n v="66699.057654046977"/>
    <n v="-1417775.2321642616"/>
    <m/>
    <m/>
    <m/>
  </r>
  <r>
    <x v="55"/>
    <d v="2019-06-01T00:00:00"/>
    <x v="589"/>
    <x v="0"/>
    <x v="0"/>
    <n v="9800000"/>
    <n v="1"/>
    <n v="0.99539999999999995"/>
    <n v="9845288.3263009842"/>
    <n v="-45288.326300984249"/>
    <n v="1466662.7181731593"/>
    <n v="-1511951.0444741435"/>
    <n v="66699.057654046977"/>
    <n v="-1578650.1021281905"/>
    <m/>
    <m/>
    <m/>
  </r>
  <r>
    <x v="55"/>
    <d v="2019-07-01T00:00:00"/>
    <x v="590"/>
    <x v="0"/>
    <x v="0"/>
    <n v="9800000"/>
    <n v="1"/>
    <n v="0.99539999999999995"/>
    <n v="9845288.3263009842"/>
    <n v="-45288.326300984249"/>
    <n v="2546885.7642109776"/>
    <n v="-2592174.0905119618"/>
    <n v="66699.057654046977"/>
    <n v="-2658873.1481660088"/>
    <m/>
    <m/>
    <m/>
  </r>
  <r>
    <x v="55"/>
    <d v="2019-08-01T00:00:00"/>
    <x v="591"/>
    <x v="0"/>
    <x v="0"/>
    <n v="9800000"/>
    <n v="1"/>
    <n v="0.99539999999999995"/>
    <n v="9845288.3263009842"/>
    <n v="-45288.326300984249"/>
    <n v="2557484.9533003001"/>
    <n v="-2602773.2796012843"/>
    <n v="66699.057654046977"/>
    <n v="-2669472.3372553312"/>
    <m/>
    <m/>
    <m/>
  </r>
  <r>
    <x v="55"/>
    <d v="2019-09-01T00:00:00"/>
    <x v="592"/>
    <x v="0"/>
    <x v="0"/>
    <n v="9800000"/>
    <n v="1"/>
    <n v="0.99539999999999995"/>
    <n v="9845288.3263009842"/>
    <n v="-45288.326300984249"/>
    <n v="2822852.7436001156"/>
    <n v="-2868141.0699010999"/>
    <n v="66699.057654046977"/>
    <n v="-2934840.1275551468"/>
    <m/>
    <m/>
    <m/>
  </r>
  <r>
    <x v="55"/>
    <d v="2019-10-01T00:00:00"/>
    <x v="593"/>
    <x v="0"/>
    <x v="0"/>
    <n v="9800000"/>
    <n v="1"/>
    <n v="0.99539999999999995"/>
    <n v="9845288.3263009842"/>
    <n v="-45288.326300984249"/>
    <n v="3063481.9281107462"/>
    <n v="-3108770.2544117304"/>
    <n v="66699.057654046977"/>
    <n v="-3175469.3120657774"/>
    <m/>
    <m/>
    <m/>
  </r>
  <r>
    <x v="55"/>
    <d v="2019-11-01T00:00:00"/>
    <x v="594"/>
    <x v="0"/>
    <x v="0"/>
    <n v="9800000"/>
    <n v="1"/>
    <n v="0.99539999999999995"/>
    <n v="9845288.3263009842"/>
    <n v="-45288.326300984249"/>
    <n v="4020196.5617471365"/>
    <n v="-4065484.8880481208"/>
    <n v="66699.057654046977"/>
    <n v="-4132183.9457021677"/>
    <m/>
    <m/>
    <m/>
  </r>
  <r>
    <x v="55"/>
    <d v="2019-12-01T00:00:00"/>
    <x v="595"/>
    <x v="0"/>
    <x v="0"/>
    <n v="9800000"/>
    <n v="1"/>
    <n v="0.99539999999999995"/>
    <n v="9845288.3263009842"/>
    <n v="-45288.326300984249"/>
    <n v="3467618.6659627589"/>
    <n v="-3512906.9922637432"/>
    <n v="66699.057654046977"/>
    <n v="-3579606.0499177901"/>
    <m/>
    <m/>
    <m/>
  </r>
  <r>
    <x v="55"/>
    <d v="2020-01-01T00:00:00"/>
    <x v="596"/>
    <x v="0"/>
    <x v="0"/>
    <n v="9800000"/>
    <n v="1"/>
    <n v="0.99539999999999995"/>
    <n v="9845288.3263009842"/>
    <n v="-45288.326300984249"/>
    <s v=""/>
    <s v=""/>
    <n v="66699.057654046977"/>
    <s v=""/>
    <m/>
    <m/>
    <m/>
  </r>
  <r>
    <x v="55"/>
    <d v="2020-02-01T00:00:00"/>
    <x v="597"/>
    <x v="0"/>
    <x v="0"/>
    <n v="9800000"/>
    <n v="1"/>
    <n v="0.99539999999999995"/>
    <n v="9845288.3263009842"/>
    <n v="-45288.326300984249"/>
    <s v=""/>
    <s v=""/>
    <n v="66699.057654046977"/>
    <s v=""/>
    <m/>
    <m/>
    <m/>
  </r>
  <r>
    <x v="55"/>
    <d v="2020-03-01T00:00:00"/>
    <x v="598"/>
    <x v="0"/>
    <x v="0"/>
    <n v="9800000"/>
    <n v="1"/>
    <n v="0.99539999999999995"/>
    <n v="9845288.3263009842"/>
    <n v="-45288.326300984249"/>
    <s v=""/>
    <s v=""/>
    <n v="66699.057654046977"/>
    <s v=""/>
    <m/>
    <m/>
    <m/>
  </r>
  <r>
    <x v="52"/>
    <d v="2019-03-01T00:00:00"/>
    <x v="599"/>
    <x v="0"/>
    <x v="0"/>
    <n v="12773052.833333334"/>
    <n v="2.2999999999999998"/>
    <n v="2.2894199999999998"/>
    <n v="5579165.3926904351"/>
    <n v="7193887.4406428989"/>
    <n v="872511.84860014403"/>
    <n v="6321375.5920427553"/>
    <n v="86933.733402927362"/>
    <n v="6234441.8586398279"/>
    <m/>
    <m/>
    <m/>
  </r>
  <r>
    <x v="52"/>
    <d v="2019-04-01T00:00:00"/>
    <x v="600"/>
    <x v="0"/>
    <x v="0"/>
    <n v="12773052.833333334"/>
    <n v="2.2999999999999998"/>
    <n v="2.2894199999999998"/>
    <n v="5579165.3926904351"/>
    <n v="7193887.4406428989"/>
    <n v="897007.93998630915"/>
    <n v="6296879.5006565899"/>
    <n v="86933.733402927362"/>
    <n v="6209945.7672536625"/>
    <m/>
    <m/>
    <m/>
  </r>
  <r>
    <x v="52"/>
    <d v="2019-05-01T00:00:00"/>
    <x v="601"/>
    <x v="0"/>
    <x v="0"/>
    <n v="12773052.833333334"/>
    <n v="2.2999999999999998"/>
    <n v="2.2894199999999998"/>
    <n v="5579165.3926904351"/>
    <n v="7193887.4406428989"/>
    <n v="739968.81873563235"/>
    <n v="6453918.6219072668"/>
    <n v="86933.733402927362"/>
    <n v="6366984.8885043394"/>
    <m/>
    <m/>
    <m/>
  </r>
  <r>
    <x v="52"/>
    <d v="2019-06-01T00:00:00"/>
    <x v="602"/>
    <x v="0"/>
    <x v="0"/>
    <n v="12773052.833333334"/>
    <n v="2.2999999999999998"/>
    <n v="2.2894199999999998"/>
    <n v="5579165.3926904351"/>
    <n v="7193887.4406428989"/>
    <n v="831134.00123806763"/>
    <n v="6362753.4394048313"/>
    <n v="86933.733402927362"/>
    <n v="6275819.7060019039"/>
    <m/>
    <m/>
    <m/>
  </r>
  <r>
    <x v="52"/>
    <d v="2019-07-01T00:00:00"/>
    <x v="603"/>
    <x v="0"/>
    <x v="0"/>
    <n v="12773052.833333334"/>
    <n v="2.2999999999999998"/>
    <n v="2.2894199999999998"/>
    <n v="5579165.3926904351"/>
    <n v="7193887.4406428989"/>
    <n v="1443278.9009197589"/>
    <n v="5750608.5397231402"/>
    <n v="86933.733402927362"/>
    <n v="5663674.8063202128"/>
    <m/>
    <m/>
    <m/>
  </r>
  <r>
    <x v="52"/>
    <d v="2019-08-01T00:00:00"/>
    <x v="604"/>
    <x v="0"/>
    <x v="0"/>
    <n v="12773052.833333334"/>
    <n v="2.2999999999999998"/>
    <n v="2.2894199999999998"/>
    <n v="5579165.3926904351"/>
    <n v="7193887.4406428989"/>
    <n v="1449285.289661037"/>
    <n v="5744602.1509818621"/>
    <n v="86933.733402927362"/>
    <n v="5657668.4175789347"/>
    <m/>
    <m/>
    <m/>
  </r>
  <r>
    <x v="52"/>
    <d v="2019-09-01T00:00:00"/>
    <x v="605"/>
    <x v="0"/>
    <x v="0"/>
    <n v="12773052.833333334"/>
    <n v="2.2999999999999998"/>
    <n v="2.2894199999999998"/>
    <n v="5579165.3926904351"/>
    <n v="7193887.4406428989"/>
    <n v="1599664.9172459731"/>
    <n v="5594222.523396926"/>
    <n v="86933.733402927362"/>
    <n v="5507288.7899939986"/>
    <m/>
    <m/>
    <m/>
  </r>
  <r>
    <x v="52"/>
    <d v="2019-10-01T00:00:00"/>
    <x v="606"/>
    <x v="0"/>
    <x v="0"/>
    <n v="12773052.833333334"/>
    <n v="2.2999999999999998"/>
    <n v="2.2894199999999998"/>
    <n v="5579165.3926904351"/>
    <n v="7193887.4406428989"/>
    <n v="1736025.57771608"/>
    <n v="5457861.8629268184"/>
    <n v="86933.733402927362"/>
    <n v="5370928.129523891"/>
    <m/>
    <m/>
    <m/>
  </r>
  <r>
    <x v="52"/>
    <d v="2019-11-01T00:00:00"/>
    <x v="607"/>
    <x v="0"/>
    <x v="0"/>
    <n v="12773052.833333334"/>
    <n v="2.2999999999999998"/>
    <n v="2.2894199999999998"/>
    <n v="5579165.3926904351"/>
    <n v="7193887.4406428989"/>
    <n v="2278180.2610284477"/>
    <n v="4915707.1796144508"/>
    <n v="86933.733402927362"/>
    <n v="4828773.4462115234"/>
    <m/>
    <m/>
    <m/>
  </r>
  <r>
    <x v="56"/>
    <d v="2019-04-01T00:00:00"/>
    <x v="608"/>
    <x v="0"/>
    <x v="0"/>
    <n v="10000000"/>
    <n v="1"/>
    <n v="0.99539999999999995"/>
    <n v="10046212.577858148"/>
    <n v="-46212.577858148143"/>
    <n v="1615211.5620977255"/>
    <n v="-1661424.1399558736"/>
    <n v="68060.262912292834"/>
    <n v="-1729484.4028681663"/>
    <m/>
    <m/>
    <m/>
  </r>
  <r>
    <x v="56"/>
    <d v="2019-05-01T00:00:00"/>
    <x v="609"/>
    <x v="0"/>
    <x v="0"/>
    <n v="10000000"/>
    <n v="1"/>
    <n v="0.99539999999999995"/>
    <n v="10046212.577858148"/>
    <n v="-46212.577858148143"/>
    <n v="1332436.5798053374"/>
    <n v="-1378649.1576634855"/>
    <n v="68060.262912292834"/>
    <n v="-1446709.4205757782"/>
    <m/>
    <m/>
    <m/>
  </r>
  <r>
    <x v="56"/>
    <d v="2019-06-01T00:00:00"/>
    <x v="610"/>
    <x v="0"/>
    <x v="0"/>
    <n v="10000000"/>
    <n v="1"/>
    <n v="0.99539999999999995"/>
    <n v="10046212.577858148"/>
    <n v="-46212.577858148143"/>
    <n v="1496594.6103807748"/>
    <n v="-1542807.188238923"/>
    <n v="68060.262912292834"/>
    <n v="-1610867.4511512157"/>
    <m/>
    <m/>
    <m/>
  </r>
  <r>
    <x v="6"/>
    <d v="2019-03-01T00:00:00"/>
    <x v="611"/>
    <x v="0"/>
    <x v="0"/>
    <n v="43506691.09375"/>
    <n v="2"/>
    <n v="1.9907999999999999"/>
    <n v="21853873.364351016"/>
    <n v="21652817.729398984"/>
    <n v="3417673.0937543199"/>
    <n v="18235144.635644663"/>
    <n v="296107.6834284534"/>
    <n v="17939036.952216208"/>
    <m/>
    <m/>
    <m/>
  </r>
  <r>
    <x v="6"/>
    <d v="2019-04-01T00:00:00"/>
    <x v="612"/>
    <x v="0"/>
    <x v="0"/>
    <n v="43506691.09375"/>
    <n v="2"/>
    <n v="1.9907999999999999"/>
    <n v="21853873.364351016"/>
    <n v="21652817.729398984"/>
    <n v="3513625.5241619558"/>
    <n v="18139192.205237027"/>
    <n v="296107.6834284534"/>
    <n v="17843084.521808572"/>
    <m/>
    <m/>
    <m/>
  </r>
  <r>
    <x v="23"/>
    <d v="2019-07-01T00:00:00"/>
    <x v="613"/>
    <x v="0"/>
    <x v="0"/>
    <n v="125198487.89297774"/>
    <n v="1.82"/>
    <n v="1.811628"/>
    <n v="69108276.032926038"/>
    <n v="56090211.860051706"/>
    <n v="17877676.974398151"/>
    <n v="38212534.885653555"/>
    <n v="852104.20022175764"/>
    <n v="37360430.685431801"/>
    <m/>
    <m/>
    <m/>
  </r>
  <r>
    <x v="23"/>
    <d v="2019-08-01T00:00:00"/>
    <x v="614"/>
    <x v="0"/>
    <x v="0"/>
    <n v="125198487.89297774"/>
    <n v="1.82"/>
    <n v="1.811628"/>
    <n v="69108276.032926038"/>
    <n v="56090211.860051706"/>
    <n v="17952077.201291788"/>
    <n v="38138134.658759922"/>
    <n v="852104.20022175764"/>
    <n v="37286030.458538167"/>
    <m/>
    <m/>
    <m/>
  </r>
  <r>
    <x v="23"/>
    <d v="2019-09-01T00:00:00"/>
    <x v="615"/>
    <x v="0"/>
    <x v="0"/>
    <n v="125198487.89297774"/>
    <n v="1.82"/>
    <n v="1.811628"/>
    <n v="69108276.032926038"/>
    <n v="56090211.860051706"/>
    <n v="19814806.853738397"/>
    <n v="36275405.006313309"/>
    <n v="852104.20022175764"/>
    <n v="35423300.806091554"/>
    <m/>
    <m/>
    <m/>
  </r>
  <r>
    <x v="23"/>
    <d v="2019-10-01T00:00:00"/>
    <x v="616"/>
    <x v="0"/>
    <x v="0"/>
    <n v="37851706.567977756"/>
    <n v="1.82"/>
    <n v="1.811628"/>
    <n v="20893752.231682088"/>
    <n v="16957954.336295668"/>
    <n v="6501346.6595173078"/>
    <n v="10456607.676778361"/>
    <n v="257619.71006955276"/>
    <n v="10198987.966708809"/>
    <m/>
    <m/>
    <m/>
  </r>
  <r>
    <x v="32"/>
    <d v="2019-03-01T00:00:00"/>
    <x v="617"/>
    <x v="0"/>
    <x v="0"/>
    <n v="13267655.116172869"/>
    <n v="1.97"/>
    <n v="1.9609379999999998"/>
    <n v="6765973.7922223294"/>
    <n v="6501681.3239505393"/>
    <n v="1058113.872868222"/>
    <n v="5443567.4510823172"/>
    <n v="90300.009543635257"/>
    <n v="5353267.4415386822"/>
    <m/>
    <m/>
    <m/>
  </r>
  <r>
    <x v="32"/>
    <d v="2019-04-01T00:00:00"/>
    <x v="618"/>
    <x v="0"/>
    <x v="0"/>
    <n v="13267655.116172869"/>
    <n v="1.97"/>
    <n v="1.9609379999999998"/>
    <n v="6765973.7922223294"/>
    <n v="6501681.3239505393"/>
    <n v="1087820.8094196678"/>
    <n v="5413860.5145308711"/>
    <n v="90300.009543635257"/>
    <n v="5323560.5049872361"/>
    <m/>
    <m/>
    <m/>
  </r>
  <r>
    <x v="4"/>
    <d v="2019-12-01T00:00:00"/>
    <x v="619"/>
    <x v="0"/>
    <x v="0"/>
    <n v="13258047.600000001"/>
    <n v="2.11"/>
    <n v="2.1002939999999999"/>
    <n v="6312472.2538844571"/>
    <n v="6945575.3461155444"/>
    <n v="2223322.0491335122"/>
    <n v="4722253.2969820322"/>
    <n v="90234.620535969312"/>
    <n v="4632018.6764460625"/>
    <m/>
    <m/>
    <m/>
  </r>
  <r>
    <x v="33"/>
    <d v="2019-04-01T00:00:00"/>
    <x v="620"/>
    <x v="0"/>
    <x v="0"/>
    <n v="55849596.75"/>
    <n v="1.93"/>
    <n v="1.9211219999999998"/>
    <n v="29071343.074515834"/>
    <n v="26778253.675484166"/>
    <n v="4674037.0160153136"/>
    <n v="22104216.659468852"/>
    <n v="380113.82383505354"/>
    <n v="21724102.835633799"/>
    <m/>
    <m/>
    <m/>
  </r>
  <r>
    <x v="6"/>
    <d v="2019-05-01T00:00:00"/>
    <x v="621"/>
    <x v="0"/>
    <x v="0"/>
    <n v="15500000"/>
    <n v="2"/>
    <n v="1.9907999999999999"/>
    <n v="7785814.7478400646"/>
    <n v="7714185.2521599354"/>
    <n v="1032638.3493491366"/>
    <n v="6681546.902810799"/>
    <n v="105493.40751405389"/>
    <n v="6576053.4952967446"/>
    <m/>
    <m/>
    <m/>
  </r>
  <r>
    <x v="42"/>
    <d v="2019-06-01T00:00:00"/>
    <x v="622"/>
    <x v="0"/>
    <x v="0"/>
    <n v="62778573"/>
    <n v="1.72"/>
    <n v="1.7120879999999998"/>
    <n v="36667842.423987553"/>
    <n v="26110730.576012447"/>
    <n v="5462446.1627439549"/>
    <n v="20648284.413268492"/>
    <n v="427272.61836385686"/>
    <n v="20221011.794904634"/>
    <m/>
    <m/>
    <m/>
  </r>
  <r>
    <x v="42"/>
    <d v="2019-07-01T00:00:00"/>
    <x v="623"/>
    <x v="0"/>
    <x v="0"/>
    <n v="62778573"/>
    <n v="1.72"/>
    <n v="1.7120879999999998"/>
    <n v="36667842.423987553"/>
    <n v="26110730.576012447"/>
    <n v="9485634.4252005015"/>
    <n v="16625096.150811946"/>
    <n v="427272.61836385686"/>
    <n v="16197823.532448089"/>
    <m/>
    <m/>
    <m/>
  </r>
  <r>
    <x v="42"/>
    <d v="2019-08-01T00:00:00"/>
    <x v="624"/>
    <x v="0"/>
    <x v="0"/>
    <n v="62778573"/>
    <n v="1.72"/>
    <n v="1.7120879999999998"/>
    <n v="36667842.423987553"/>
    <n v="26110730.576012447"/>
    <n v="9525110.0994995553"/>
    <n v="16585620.476512892"/>
    <n v="427272.61836385686"/>
    <n v="16158347.858149035"/>
    <m/>
    <m/>
    <m/>
  </r>
  <r>
    <x v="42"/>
    <d v="2019-09-01T00:00:00"/>
    <x v="625"/>
    <x v="0"/>
    <x v="0"/>
    <n v="62778573"/>
    <n v="1.72"/>
    <n v="1.7120879999999998"/>
    <n v="36667842.423987553"/>
    <n v="26110730.576012447"/>
    <n v="10513447.261055421"/>
    <n v="15597283.314957026"/>
    <n v="427272.61836385686"/>
    <n v="15170010.696593169"/>
    <m/>
    <m/>
    <m/>
  </r>
  <r>
    <x v="43"/>
    <d v="2019-02-01T00:00:00"/>
    <x v="626"/>
    <x v="0"/>
    <x v="0"/>
    <n v="29813870"/>
    <n v="2.27"/>
    <n v="2.2595579999999997"/>
    <n v="13194558.404785363"/>
    <n v="16619311.595214637"/>
    <n v="2852107.3426548219"/>
    <n v="13767204.252559815"/>
    <n v="202913.98306329199"/>
    <n v="13564290.269496523"/>
    <m/>
    <m/>
    <m/>
  </r>
  <r>
    <x v="43"/>
    <d v="2019-03-01T00:00:00"/>
    <x v="627"/>
    <x v="0"/>
    <x v="0"/>
    <n v="29813870"/>
    <n v="2.27"/>
    <n v="2.2595579999999997"/>
    <n v="13194558.404785363"/>
    <n v="16619311.595214637"/>
    <n v="2063464.288100308"/>
    <n v="14555847.307114329"/>
    <n v="202913.98306329199"/>
    <n v="14352933.324051037"/>
    <m/>
    <m/>
    <m/>
  </r>
  <r>
    <x v="44"/>
    <d v="2019-05-01T00:00:00"/>
    <x v="628"/>
    <x v="0"/>
    <x v="0"/>
    <n v="126579869.80723679"/>
    <n v="2.5499999999999998"/>
    <n v="2.5382699999999998"/>
    <n v="49868560.006318003"/>
    <n v="76711309.800918788"/>
    <n v="6614103.8744376274"/>
    <n v="70097205.926481158"/>
    <n v="861505.92184843333"/>
    <n v="69235700.004632726"/>
    <m/>
    <m/>
    <m/>
  </r>
  <r>
    <x v="57"/>
    <d v="2019-06-01T00:00:00"/>
    <x v="629"/>
    <x v="0"/>
    <x v="0"/>
    <n v="161433687"/>
    <n v="0.75"/>
    <n v="0.74654999999999994"/>
    <n v="216239618.24392205"/>
    <n v="-54805931.243922055"/>
    <n v="32213438.119746257"/>
    <n v="-87019369.363668308"/>
    <n v="1098721.9180120791"/>
    <n v="-88118091.28168039"/>
    <m/>
    <m/>
    <m/>
  </r>
  <r>
    <x v="57"/>
    <d v="2019-04-01T00:00:00"/>
    <x v="630"/>
    <x v="0"/>
    <x v="0"/>
    <n v="113931505"/>
    <n v="0.75"/>
    <n v="0.74654999999999994"/>
    <n v="152610682.47270781"/>
    <n v="-38679177.472707808"/>
    <n v="24536464.55509264"/>
    <n v="-63215642.027800448"/>
    <n v="775420.81842932058"/>
    <n v="-63991062.846229769"/>
    <m/>
    <m/>
    <m/>
  </r>
  <r>
    <x v="57"/>
    <d v="2019-05-01T00:00:00"/>
    <x v="631"/>
    <x v="0"/>
    <x v="0"/>
    <n v="886635143.78999996"/>
    <n v="0.75"/>
    <n v="0.74654999999999994"/>
    <n v="1187643351.135222"/>
    <n v="-301008207.345222"/>
    <n v="157518013.13690147"/>
    <n v="-458526220.48212349"/>
    <n v="6034462.0993625959"/>
    <n v="-464560682.58148611"/>
    <m/>
    <m/>
    <m/>
  </r>
  <r>
    <x v="58"/>
    <d v="2019-01-01T00:00:00"/>
    <x v="632"/>
    <x v="0"/>
    <x v="0"/>
    <n v="57276497"/>
    <n v="2.36"/>
    <n v="2.3491439999999999"/>
    <n v="24381858.668519258"/>
    <n v="32894638.331480742"/>
    <n v="5349827.0714372685"/>
    <n v="27544811.260043472"/>
    <n v="389825.34445151518"/>
    <n v="27154985.915591955"/>
    <m/>
    <m/>
    <m/>
  </r>
  <r>
    <x v="58"/>
    <d v="2019-02-01T00:00:00"/>
    <x v="633"/>
    <x v="0"/>
    <x v="0"/>
    <n v="57276497"/>
    <n v="2.36"/>
    <n v="2.3491439999999999"/>
    <n v="24381858.668519258"/>
    <n v="32894638.331480742"/>
    <n v="5270330.08629038"/>
    <n v="27624308.24519036"/>
    <n v="389825.34445151518"/>
    <n v="27234482.900738843"/>
    <m/>
    <m/>
    <m/>
  </r>
  <r>
    <x v="58"/>
    <d v="2019-03-01T00:00:00"/>
    <x v="634"/>
    <x v="0"/>
    <x v="0"/>
    <n v="57276497"/>
    <n v="2.36"/>
    <n v="2.3491439999999999"/>
    <n v="24381858.668519258"/>
    <n v="32894638.331480742"/>
    <n v="3813018.4502235213"/>
    <n v="29081619.881257221"/>
    <n v="389825.34445151518"/>
    <n v="28691794.536805704"/>
    <m/>
    <m/>
    <m/>
  </r>
  <r>
    <x v="58"/>
    <d v="2019-04-01T00:00:00"/>
    <x v="635"/>
    <x v="0"/>
    <x v="0"/>
    <n v="57276497"/>
    <n v="2.36"/>
    <n v="2.3491439999999999"/>
    <n v="24381858.668519258"/>
    <n v="32894638.331480742"/>
    <n v="3920070.3470701561"/>
    <n v="28974567.984410584"/>
    <n v="389825.34445151518"/>
    <n v="28584742.639959067"/>
    <m/>
    <m/>
    <m/>
  </r>
  <r>
    <x v="58"/>
    <d v="2019-05-01T00:00:00"/>
    <x v="636"/>
    <x v="0"/>
    <x v="0"/>
    <n v="57276497"/>
    <n v="2.36"/>
    <n v="2.3491439999999999"/>
    <n v="24381858.668519258"/>
    <n v="32894638.331480742"/>
    <n v="3233783.8883860451"/>
    <n v="29660854.443094697"/>
    <n v="389825.34445151518"/>
    <n v="29271029.09864318"/>
    <m/>
    <m/>
    <m/>
  </r>
  <r>
    <x v="58"/>
    <d v="2019-06-01T00:00:00"/>
    <x v="637"/>
    <x v="0"/>
    <x v="0"/>
    <n v="57276497"/>
    <n v="2.36"/>
    <n v="2.3491439999999999"/>
    <n v="24381858.668519258"/>
    <n v="32894638.331480742"/>
    <n v="3632190.5386309586"/>
    <n v="29262447.792849783"/>
    <n v="389825.34445151518"/>
    <n v="28872622.448398266"/>
    <m/>
    <m/>
    <m/>
  </r>
  <r>
    <x v="58"/>
    <d v="2019-07-01T00:00:00"/>
    <x v="638"/>
    <x v="0"/>
    <x v="0"/>
    <n v="57276497"/>
    <n v="2.36"/>
    <n v="2.3491439999999999"/>
    <n v="24381858.668519258"/>
    <n v="32894638.331480742"/>
    <n v="6307363.1456750603"/>
    <n v="26587275.185805682"/>
    <n v="389825.34445151518"/>
    <n v="26197449.841354165"/>
    <m/>
    <m/>
    <m/>
  </r>
  <r>
    <x v="58"/>
    <d v="2019-08-01T00:00:00"/>
    <x v="639"/>
    <x v="0"/>
    <x v="0"/>
    <n v="57276497"/>
    <n v="2.36"/>
    <n v="2.3491439999999999"/>
    <n v="24381858.668519258"/>
    <n v="32894638.331480742"/>
    <n v="6333612.0397461867"/>
    <n v="26561026.291734554"/>
    <n v="389825.34445151518"/>
    <n v="26171200.947283037"/>
    <m/>
    <m/>
    <m/>
  </r>
  <r>
    <x v="58"/>
    <d v="2019-09-01T00:00:00"/>
    <x v="640"/>
    <x v="0"/>
    <x v="0"/>
    <n v="57276497"/>
    <n v="2.36"/>
    <n v="2.3491439999999999"/>
    <n v="24381858.668519258"/>
    <n v="32894638.331480742"/>
    <n v="6990795.4297930561"/>
    <n v="25903842.901687685"/>
    <n v="389825.34445151518"/>
    <n v="25514017.557236169"/>
    <m/>
    <m/>
    <m/>
  </r>
  <r>
    <x v="58"/>
    <d v="2019-10-01T00:00:00"/>
    <x v="641"/>
    <x v="0"/>
    <x v="0"/>
    <n v="57276497"/>
    <n v="2.36"/>
    <n v="2.3491439999999999"/>
    <n v="24381858.668519258"/>
    <n v="32894638.331480742"/>
    <n v="7586713.657254816"/>
    <n v="25307924.674225926"/>
    <n v="389825.34445151518"/>
    <n v="24918099.32977441"/>
    <m/>
    <m/>
    <m/>
  </r>
  <r>
    <x v="58"/>
    <d v="2019-11-01T00:00:00"/>
    <x v="642"/>
    <x v="0"/>
    <x v="0"/>
    <n v="57276497"/>
    <n v="2.36"/>
    <n v="2.3491439999999999"/>
    <n v="24381858.668519258"/>
    <n v="32894638.331480742"/>
    <n v="9956017.6542857233"/>
    <n v="22938620.67719502"/>
    <n v="389825.34445151518"/>
    <n v="22548795.332743503"/>
    <m/>
    <m/>
    <m/>
  </r>
  <r>
    <x v="58"/>
    <d v="2019-12-01T00:00:00"/>
    <x v="643"/>
    <x v="0"/>
    <x v="0"/>
    <n v="57276497"/>
    <n v="2.36"/>
    <n v="2.3491439999999999"/>
    <n v="24381858.668519258"/>
    <n v="32894638.331480742"/>
    <n v="8587558.3759149071"/>
    <n v="24307079.955565833"/>
    <n v="389825.34445151518"/>
    <n v="23917254.611114316"/>
    <m/>
    <m/>
    <m/>
  </r>
  <r>
    <x v="34"/>
    <d v="2019-03-01T00:00:00"/>
    <x v="644"/>
    <x v="0"/>
    <x v="0"/>
    <n v="24433339.875"/>
    <n v="1.98"/>
    <n v="1.9708919999999999"/>
    <n v="12397097.291480204"/>
    <n v="12036242.583519796"/>
    <n v="1938751.3209837195"/>
    <n v="10097491.262536077"/>
    <n v="166293.95357179083"/>
    <n v="9931197.308964286"/>
    <m/>
    <m/>
    <m/>
  </r>
  <r>
    <x v="34"/>
    <d v="2019-04-01T00:00:00"/>
    <x v="645"/>
    <x v="0"/>
    <x v="0"/>
    <n v="23469243"/>
    <n v="1.98"/>
    <n v="1.9708919999999999"/>
    <n v="11907929.506030772"/>
    <n v="11561313.493969228"/>
    <n v="1914534.9821859144"/>
    <n v="9646778.511783313"/>
    <n v="159732.28489324881"/>
    <n v="9487046.2268900648"/>
    <m/>
    <m/>
    <m/>
  </r>
  <r>
    <x v="34"/>
    <d v="2019-05-01T00:00:00"/>
    <x v="646"/>
    <x v="0"/>
    <x v="0"/>
    <n v="23469243"/>
    <n v="1.98"/>
    <n v="1.9708919999999999"/>
    <n v="11907929.506030772"/>
    <n v="11561313.493969228"/>
    <n v="1579357.468360624"/>
    <n v="9981956.0256086048"/>
    <n v="159732.28489324881"/>
    <n v="9822223.7407153565"/>
    <m/>
    <m/>
    <m/>
  </r>
  <r>
    <x v="34"/>
    <d v="2019-06-01T00:00:00"/>
    <x v="647"/>
    <x v="0"/>
    <x v="0"/>
    <n v="23469243"/>
    <n v="1.98"/>
    <n v="1.9708919999999999"/>
    <n v="11907929.506030772"/>
    <n v="11561313.493969228"/>
    <n v="1773936.4941170064"/>
    <n v="9787376.9998522215"/>
    <n v="159732.28489324881"/>
    <n v="9627644.7149589732"/>
    <m/>
    <m/>
    <m/>
  </r>
  <r>
    <x v="59"/>
    <d v="2019-06-01T00:00:00"/>
    <x v="648"/>
    <x v="0"/>
    <x v="0"/>
    <n v="571348397.33903968"/>
    <n v="0.65"/>
    <n v="0.64700999999999997"/>
    <n v="883059608.56716239"/>
    <n v="-311711211.22812271"/>
    <n v="131550297.24727696"/>
    <n v="-443261508.47539967"/>
    <n v="3888612.2137412191"/>
    <n v="-447150120.68914092"/>
    <m/>
    <m/>
    <m/>
  </r>
  <r>
    <x v="59"/>
    <d v="2019-07-01T00:00:00"/>
    <x v="649"/>
    <x v="0"/>
    <x v="0"/>
    <n v="169100716.32175991"/>
    <n v="0.65"/>
    <n v="0.64700999999999997"/>
    <n v="261357191.26715183"/>
    <n v="-92256474.945391923"/>
    <n v="67610707.553809926"/>
    <n v="-159867182.49920183"/>
    <n v="1150903.9211516029"/>
    <n v="-161018086.42035344"/>
    <m/>
    <m/>
    <m/>
  </r>
  <r>
    <x v="59"/>
    <d v="2019-08-01T00:00:00"/>
    <x v="650"/>
    <x v="0"/>
    <x v="0"/>
    <n v="201793844.26040003"/>
    <n v="0.65"/>
    <n v="0.64700999999999997"/>
    <n v="311886747.12971985"/>
    <n v="-110092902.86931983"/>
    <n v="81018009.476388887"/>
    <n v="-191110912.34570873"/>
    <n v="1373414.2094445101"/>
    <n v="-192484326.55515325"/>
    <m/>
    <m/>
    <m/>
  </r>
  <r>
    <x v="59"/>
    <d v="2019-09-01T00:00:00"/>
    <x v="651"/>
    <x v="0"/>
    <x v="0"/>
    <n v="212124501.08639985"/>
    <n v="0.65"/>
    <n v="0.64700999999999997"/>
    <n v="327853512.44401145"/>
    <n v="-115729011.3576116"/>
    <n v="94002547.861310765"/>
    <n v="-209731559.21892238"/>
    <n v="1443724.9314079322"/>
    <n v="-211175284.15033031"/>
    <m/>
    <m/>
    <m/>
  </r>
  <r>
    <x v="59"/>
    <d v="2019-10-01T00:00:00"/>
    <x v="652"/>
    <x v="0"/>
    <x v="0"/>
    <n v="215602207.53135997"/>
    <n v="0.65"/>
    <n v="0.64700999999999997"/>
    <n v="333228555.24854326"/>
    <n v="-117626347.71718329"/>
    <n v="103688142.29719058"/>
    <n v="-221314490.01437387"/>
    <n v="1467394.2929055083"/>
    <n v="-222781884.30727938"/>
    <m/>
    <m/>
    <m/>
  </r>
  <r>
    <x v="59"/>
    <d v="2019-11-01T00:00:00"/>
    <x v="653"/>
    <x v="0"/>
    <x v="0"/>
    <n v="200026260.66271994"/>
    <n v="0.65"/>
    <n v="0.64700999999999997"/>
    <n v="309154820.88796145"/>
    <n v="-109128560.22524151"/>
    <n v="126239385.45924699"/>
    <n v="-235367945.68448851"/>
    <n v="1361383.9890067538"/>
    <n v="-236729329.67349526"/>
    <m/>
    <m/>
    <m/>
  </r>
  <r>
    <x v="59"/>
    <d v="2019-12-01T00:00:00"/>
    <x v="654"/>
    <x v="0"/>
    <x v="0"/>
    <n v="221397929.50327998"/>
    <n v="0.65"/>
    <n v="0.64700999999999997"/>
    <n v="342186256.01347739"/>
    <n v="-120788326.5101974"/>
    <n v="120521757.13517751"/>
    <n v="-241310083.64537489"/>
    <n v="1506840.1290230511"/>
    <n v="-242816923.77439794"/>
    <m/>
    <m/>
    <m/>
  </r>
  <r>
    <x v="59"/>
    <d v="2019-01-01T00:00:00"/>
    <x v="655"/>
    <x v="0"/>
    <x v="0"/>
    <n v="13105734.300000001"/>
    <n v="0.65"/>
    <n v="0.64700999999999997"/>
    <n v="20255845.041034918"/>
    <n v="-7150110.7410349175"/>
    <n v="4444503.9908004729"/>
    <n v="-11594614.731835391"/>
    <n v="89197.972211665416"/>
    <n v="-11683812.704047056"/>
    <m/>
    <m/>
    <m/>
  </r>
  <r>
    <x v="59"/>
    <d v="2019-02-01T00:00:00"/>
    <x v="656"/>
    <x v="0"/>
    <x v="0"/>
    <n v="39691874.539999999"/>
    <n v="0.65"/>
    <n v="0.64700999999999997"/>
    <n v="61346616.806540862"/>
    <n v="-21654742.266540863"/>
    <n v="13260552.636419445"/>
    <n v="-34915294.902960308"/>
    <n v="270143.94166741421"/>
    <n v="-35185438.844627723"/>
    <m/>
    <m/>
    <m/>
  </r>
  <r>
    <x v="59"/>
    <d v="2019-03-01T00:00:00"/>
    <x v="657"/>
    <x v="0"/>
    <x v="0"/>
    <n v="466647576.91000003"/>
    <n v="0.65"/>
    <n v="0.64700999999999997"/>
    <n v="721237039.47388768"/>
    <n v="-254589462.56388766"/>
    <n v="112792473.12057118"/>
    <n v="-367381935.68445885"/>
    <n v="3176015.6771878991"/>
    <n v="-370557951.36164677"/>
    <m/>
    <m/>
    <m/>
  </r>
  <r>
    <x v="59"/>
    <d v="2019-04-01T00:00:00"/>
    <x v="658"/>
    <x v="0"/>
    <x v="0"/>
    <n v="277757983.00000006"/>
    <n v="0.65"/>
    <n v="0.64700999999999997"/>
    <n v="429294729.60232466"/>
    <n v="-151536746.6023246"/>
    <n v="69021216.247160539"/>
    <n v="-220557962.84948516"/>
    <n v="1890428.1348968167"/>
    <n v="-222448390.98438197"/>
    <m/>
    <m/>
    <m/>
  </r>
  <r>
    <x v="59"/>
    <d v="2019-05-01T00:00:00"/>
    <x v="659"/>
    <x v="0"/>
    <x v="0"/>
    <n v="193325410.73000008"/>
    <n v="0.65"/>
    <n v="0.64700999999999997"/>
    <n v="298798180.44543374"/>
    <n v="-105472769.71543366"/>
    <n v="39629822.93269898"/>
    <n v="-145102592.64813262"/>
    <n v="1315777.8281910804"/>
    <n v="-146418370.47632369"/>
    <m/>
    <m/>
    <m/>
  </r>
  <r>
    <x v="0"/>
    <d v="2019-01-01T00:00:00"/>
    <x v="660"/>
    <x v="1"/>
    <x v="0"/>
    <n v="70115372.945178598"/>
    <n v="1.74"/>
    <n v="1.7319959999999999"/>
    <n v="40482410.435808517"/>
    <n v="29632962.509370081"/>
    <n v="8882583.4900828656"/>
    <n v="20750379.019287214"/>
    <n v="477207.07168423192"/>
    <n v="20273171.947602984"/>
    <m/>
    <m/>
    <m/>
  </r>
  <r>
    <x v="0"/>
    <d v="2019-02-01T00:00:00"/>
    <x v="661"/>
    <x v="1"/>
    <x v="0"/>
    <n v="70115372.945178598"/>
    <n v="1.74"/>
    <n v="1.7319959999999999"/>
    <n v="40482410.435808517"/>
    <n v="29632962.509370081"/>
    <n v="8750590.6988490727"/>
    <n v="20882371.810521007"/>
    <n v="477207.07168423192"/>
    <n v="20405164.738836776"/>
    <m/>
    <m/>
    <m/>
  </r>
  <r>
    <x v="0"/>
    <d v="2019-03-01T00:00:00"/>
    <x v="662"/>
    <x v="1"/>
    <x v="0"/>
    <n v="70115372.945178598"/>
    <n v="1.74"/>
    <n v="1.7319959999999999"/>
    <n v="40482410.435808517"/>
    <n v="29632962.509370081"/>
    <n v="6330943.8381972862"/>
    <n v="23302018.671172794"/>
    <n v="477207.07168423192"/>
    <n v="22824811.599488564"/>
    <m/>
    <m/>
    <m/>
  </r>
  <r>
    <x v="0"/>
    <d v="2019-04-01T00:00:00"/>
    <x v="663"/>
    <x v="1"/>
    <x v="0"/>
    <n v="74111007.329178602"/>
    <n v="1.74"/>
    <n v="1.7319959999999999"/>
    <n v="42789364.022306405"/>
    <n v="31321643.306872196"/>
    <n v="6879595.1676320992"/>
    <n v="24442048.139240097"/>
    <n v="504401.46435187571"/>
    <n v="23937646.674888223"/>
    <m/>
    <m/>
    <m/>
  </r>
  <r>
    <x v="0"/>
    <d v="2019-05-01T00:00:00"/>
    <x v="664"/>
    <x v="1"/>
    <x v="0"/>
    <n v="74111007.329178602"/>
    <n v="1.74"/>
    <n v="1.7319959999999999"/>
    <n v="42789364.022306405"/>
    <n v="31321643.306872196"/>
    <n v="5675184.8926217835"/>
    <n v="25646458.414250411"/>
    <n v="504401.46435187571"/>
    <n v="25142056.949898534"/>
    <m/>
    <m/>
    <m/>
  </r>
  <r>
    <x v="0"/>
    <d v="2019-06-01T00:00:00"/>
    <x v="665"/>
    <x v="1"/>
    <x v="0"/>
    <n v="74111007.329178602"/>
    <n v="1.74"/>
    <n v="1.7319959999999999"/>
    <n v="42789364.022306405"/>
    <n v="31321643.306872196"/>
    <n v="7631794.6404278073"/>
    <n v="23689848.666444391"/>
    <n v="504401.46435187571"/>
    <n v="23185447.202092513"/>
    <m/>
    <m/>
    <m/>
  </r>
  <r>
    <x v="0"/>
    <d v="2019-07-01T00:00:00"/>
    <x v="666"/>
    <x v="1"/>
    <x v="0"/>
    <n v="74111007.329178602"/>
    <n v="1.74"/>
    <n v="1.7319959999999999"/>
    <n v="42789364.022306405"/>
    <n v="31321643.306872196"/>
    <n v="11381257.374176994"/>
    <n v="19940385.932695203"/>
    <n v="504401.46435187571"/>
    <n v="19435984.468343325"/>
    <m/>
    <m/>
    <m/>
  </r>
  <r>
    <x v="0"/>
    <d v="2019-08-01T00:00:00"/>
    <x v="667"/>
    <x v="1"/>
    <x v="0"/>
    <n v="74111007.329178602"/>
    <n v="1.74"/>
    <n v="1.7319959999999999"/>
    <n v="42789364.022306405"/>
    <n v="31321643.306872196"/>
    <n v="11199569.892076371"/>
    <n v="20122073.414795823"/>
    <n v="504401.46435187571"/>
    <n v="19617671.950443946"/>
    <m/>
    <m/>
    <m/>
  </r>
  <r>
    <x v="0"/>
    <d v="2019-09-01T00:00:00"/>
    <x v="668"/>
    <x v="1"/>
    <x v="0"/>
    <n v="74111007.329178602"/>
    <n v="1.74"/>
    <n v="1.7319959999999999"/>
    <n v="42789364.022306405"/>
    <n v="31321643.306872196"/>
    <n v="12657452.027099146"/>
    <n v="18664191.279773049"/>
    <n v="504401.46435187571"/>
    <n v="18159789.815421171"/>
    <m/>
    <m/>
    <m/>
  </r>
  <r>
    <x v="0"/>
    <d v="2019-10-01T00:00:00"/>
    <x v="669"/>
    <x v="1"/>
    <x v="0"/>
    <n v="69313527.964878604"/>
    <n v="1.74"/>
    <n v="1.7319959999999999"/>
    <n v="40019450.371062413"/>
    <n v="29294077.593816191"/>
    <n v="12801670.196617555"/>
    <n v="16492407.397198636"/>
    <n v="471749.69366681995"/>
    <n v="16020657.703531817"/>
    <m/>
    <m/>
    <m/>
  </r>
  <r>
    <x v="0"/>
    <d v="2019-11-01T00:00:00"/>
    <x v="670"/>
    <x v="1"/>
    <x v="0"/>
    <n v="69313527.964878604"/>
    <n v="1.74"/>
    <n v="1.7319959999999999"/>
    <n v="40019450.371062413"/>
    <n v="29294077.593816191"/>
    <n v="17121291.079351015"/>
    <n v="12172786.514465176"/>
    <n v="471749.69366681995"/>
    <n v="11701036.820798356"/>
    <m/>
    <m/>
    <m/>
  </r>
  <r>
    <x v="0"/>
    <d v="2019-12-01T00:00:00"/>
    <x v="671"/>
    <x v="1"/>
    <x v="0"/>
    <n v="69313527.964878604"/>
    <n v="1.74"/>
    <n v="1.7319959999999999"/>
    <n v="40019450.371062413"/>
    <n v="29294077.593816191"/>
    <n v="14415911.258550359"/>
    <n v="14878166.335265832"/>
    <n v="471749.69366681995"/>
    <n v="14406416.641599013"/>
    <m/>
    <m/>
    <m/>
  </r>
  <r>
    <x v="0"/>
    <d v="2020-01-01T00:00:00"/>
    <x v="672"/>
    <x v="1"/>
    <x v="0"/>
    <n v="65317893.580878608"/>
    <n v="1.74"/>
    <n v="1.7319959999999999"/>
    <n v="37712496.784564525"/>
    <n v="27605396.796314083"/>
    <s v=""/>
    <s v=""/>
    <n v="444555.30099917628"/>
    <s v=""/>
    <m/>
    <m/>
    <m/>
  </r>
  <r>
    <x v="0"/>
    <d v="2020-02-01T00:00:00"/>
    <x v="673"/>
    <x v="1"/>
    <x v="0"/>
    <n v="54776389.5693786"/>
    <n v="1.74"/>
    <n v="1.7319959999999999"/>
    <n v="31626164.015031561"/>
    <n v="23150225.554347038"/>
    <s v=""/>
    <s v=""/>
    <n v="372809.54754780827"/>
    <s v=""/>
    <m/>
    <m/>
    <m/>
  </r>
  <r>
    <x v="1"/>
    <d v="2019-01-01T00:00:00"/>
    <x v="674"/>
    <x v="1"/>
    <x v="0"/>
    <n v="68877916.829865009"/>
    <n v="1.49"/>
    <n v="1.4831459999999999"/>
    <n v="46440415.731064245"/>
    <n v="22437501.098800763"/>
    <n v="10189879.150092591"/>
    <n v="12247621.948708173"/>
    <n v="468784.91282916517"/>
    <n v="11778837.035879008"/>
    <m/>
    <m/>
    <m/>
  </r>
  <r>
    <x v="1"/>
    <d v="2019-02-01T00:00:00"/>
    <x v="675"/>
    <x v="1"/>
    <x v="0"/>
    <n v="68877916.829865009"/>
    <n v="1.49"/>
    <n v="1.4831459999999999"/>
    <n v="46440415.731064245"/>
    <n v="22437501.098800763"/>
    <n v="10038460.29848738"/>
    <n v="12399040.800313383"/>
    <n v="468784.91282916517"/>
    <n v="11930255.887484219"/>
    <m/>
    <m/>
    <m/>
  </r>
  <r>
    <x v="1"/>
    <d v="2019-03-01T00:00:00"/>
    <x v="676"/>
    <x v="1"/>
    <x v="0"/>
    <n v="68877916.829865009"/>
    <n v="1.49"/>
    <n v="1.4831459999999999"/>
    <n v="46440415.731064245"/>
    <n v="22437501.098800763"/>
    <n v="7262701.5202591531"/>
    <n v="15174799.57854161"/>
    <n v="468784.91282916517"/>
    <n v="14706014.665712446"/>
    <m/>
    <m/>
    <m/>
  </r>
  <r>
    <x v="2"/>
    <d v="2019-01-01T00:00:00"/>
    <x v="677"/>
    <x v="1"/>
    <x v="0"/>
    <n v="45333415.275986843"/>
    <n v="2.4300000000000002"/>
    <n v="2.418822"/>
    <n v="18741939.372135215"/>
    <n v="26591475.903851628"/>
    <n v="4112325.3147941511"/>
    <n v="22479150.589057475"/>
    <n v="308540.41623958165"/>
    <n v="22170610.172817893"/>
    <m/>
    <m/>
    <m/>
  </r>
  <r>
    <x v="2"/>
    <d v="2019-02-01T00:00:00"/>
    <x v="678"/>
    <x v="1"/>
    <x v="0"/>
    <n v="45333415.275986843"/>
    <n v="2.4300000000000002"/>
    <n v="2.418822"/>
    <n v="18741939.372135215"/>
    <n v="26591475.903851628"/>
    <n v="4051217.2714678957"/>
    <n v="22540258.632383734"/>
    <n v="308540.41623958165"/>
    <n v="22231718.216144152"/>
    <m/>
    <m/>
    <m/>
  </r>
  <r>
    <x v="2"/>
    <d v="2019-03-01T00:00:00"/>
    <x v="679"/>
    <x v="1"/>
    <x v="0"/>
    <n v="45333415.275986843"/>
    <n v="2.4300000000000002"/>
    <n v="2.418822"/>
    <n v="18741939.372135215"/>
    <n v="26591475.903851628"/>
    <n v="2931005.4491945864"/>
    <n v="23660470.454657041"/>
    <n v="308540.41623958165"/>
    <n v="23351930.038417459"/>
    <m/>
    <m/>
    <m/>
  </r>
  <r>
    <x v="2"/>
    <d v="2019-04-01T00:00:00"/>
    <x v="680"/>
    <x v="1"/>
    <x v="0"/>
    <n v="39811433.775986843"/>
    <n v="2.4300000000000002"/>
    <n v="2.418822"/>
    <n v="16459017.561435625"/>
    <n v="23352416.214551218"/>
    <n v="2646250.5406856723"/>
    <n v="20706165.673865546"/>
    <n v="270957.66497089993"/>
    <n v="20435208.008894645"/>
    <m/>
    <m/>
    <m/>
  </r>
  <r>
    <x v="2"/>
    <d v="2019-05-01T00:00:00"/>
    <x v="681"/>
    <x v="1"/>
    <x v="0"/>
    <n v="33697792.894736841"/>
    <n v="2.4300000000000002"/>
    <n v="2.418822"/>
    <n v="13931489.334368896"/>
    <n v="19766303.560367946"/>
    <n v="1847743.7000679735"/>
    <n v="17918559.860299971"/>
    <n v="229348.06439797828"/>
    <n v="17689211.795901991"/>
    <m/>
    <m/>
    <m/>
  </r>
  <r>
    <x v="2"/>
    <d v="2019-06-01T00:00:00"/>
    <x v="682"/>
    <x v="1"/>
    <x v="0"/>
    <n v="33697792.894736841"/>
    <n v="2.4300000000000002"/>
    <n v="2.418822"/>
    <n v="13931489.334368896"/>
    <n v="19766303.560367946"/>
    <n v="2484782.5637181038"/>
    <n v="17281520.996649843"/>
    <n v="229348.06439797828"/>
    <n v="17052172.932251863"/>
    <m/>
    <m/>
    <m/>
  </r>
  <r>
    <x v="3"/>
    <d v="2019-01-01T00:00:00"/>
    <x v="683"/>
    <x v="1"/>
    <x v="0"/>
    <n v="71364366.272"/>
    <n v="1.71"/>
    <n v="1.7021339999999998"/>
    <n v="41926409.008926444"/>
    <n v="29437957.263073556"/>
    <n v="9199423.2668451443"/>
    <n v="20238533.996228412"/>
    <n v="485707.75310414832"/>
    <n v="19752826.243124265"/>
    <m/>
    <m/>
    <m/>
  </r>
  <r>
    <x v="3"/>
    <d v="2019-02-01T00:00:00"/>
    <x v="684"/>
    <x v="1"/>
    <x v="0"/>
    <n v="39364366.272"/>
    <n v="1.71"/>
    <n v="1.7021339999999998"/>
    <n v="23126479.038665585"/>
    <n v="16237887.233334415"/>
    <n v="4998969.9277854618"/>
    <n v="11238917.305548953"/>
    <n v="267914.91178481124"/>
    <n v="10971002.393764142"/>
    <m/>
    <m/>
    <m/>
  </r>
  <r>
    <x v="3"/>
    <d v="2019-03-01T00:00:00"/>
    <x v="685"/>
    <x v="1"/>
    <x v="0"/>
    <n v="39364366.272"/>
    <n v="1.71"/>
    <n v="1.7021339999999998"/>
    <n v="23126479.038665585"/>
    <n v="16237887.233334415"/>
    <n v="3616692.7411893979"/>
    <n v="12621194.492145017"/>
    <n v="267914.91178481124"/>
    <n v="12353279.580360206"/>
    <m/>
    <m/>
    <m/>
  </r>
  <r>
    <x v="3"/>
    <d v="2019-04-01T00:00:00"/>
    <x v="686"/>
    <x v="1"/>
    <x v="0"/>
    <n v="35374979.772"/>
    <n v="1.71"/>
    <n v="1.7021339999999998"/>
    <n v="20782723.200406082"/>
    <n v="14592256.571593918"/>
    <n v="3341407.972906875"/>
    <n v="11250848.598687043"/>
    <n v="240763.04237993609"/>
    <n v="11010085.556307107"/>
    <m/>
    <m/>
    <m/>
  </r>
  <r>
    <x v="4"/>
    <d v="2019-01-01T00:00:00"/>
    <x v="687"/>
    <x v="1"/>
    <x v="0"/>
    <n v="36819716.200000003"/>
    <n v="2.11"/>
    <n v="2.1002939999999999"/>
    <n v="17530743.886332106"/>
    <n v="19288972.313667897"/>
    <n v="3846566.8061075942"/>
    <n v="15442405.507560303"/>
    <n v="250595.95649280079"/>
    <n v="15191809.551067503"/>
    <m/>
    <m/>
    <m/>
  </r>
  <r>
    <x v="4"/>
    <d v="2019-02-01T00:00:00"/>
    <x v="688"/>
    <x v="1"/>
    <x v="0"/>
    <n v="36819716.200000003"/>
    <n v="2.11"/>
    <n v="2.1002939999999999"/>
    <n v="17530743.886332106"/>
    <n v="19288972.313667897"/>
    <n v="3789407.8624317762"/>
    <n v="15499564.451236121"/>
    <n v="250595.95649280079"/>
    <n v="15248968.494743321"/>
    <m/>
    <m/>
    <m/>
  </r>
  <r>
    <x v="4"/>
    <d v="2019-03-01T00:00:00"/>
    <x v="689"/>
    <x v="1"/>
    <x v="0"/>
    <n v="36819716.200000003"/>
    <n v="2.11"/>
    <n v="2.1002939999999999"/>
    <n v="17530743.886332106"/>
    <n v="19288972.313667897"/>
    <n v="2741589.5889444551"/>
    <n v="16547382.724723442"/>
    <n v="250595.95649280079"/>
    <n v="16296786.768230641"/>
    <m/>
    <m/>
    <m/>
  </r>
  <r>
    <x v="4"/>
    <d v="2019-04-01T00:00:00"/>
    <x v="690"/>
    <x v="1"/>
    <x v="0"/>
    <n v="36819716.200000003"/>
    <n v="2.11"/>
    <n v="2.1002939999999999"/>
    <n v="17530743.886332106"/>
    <n v="19288972.313667897"/>
    <n v="2818560.7260377691"/>
    <n v="16470411.587630128"/>
    <n v="250595.95649280079"/>
    <n v="16219815.631137328"/>
    <m/>
    <m/>
    <m/>
  </r>
  <r>
    <x v="4"/>
    <d v="2019-05-01T00:00:00"/>
    <x v="691"/>
    <x v="1"/>
    <x v="0"/>
    <n v="36819716.200000003"/>
    <n v="2.11"/>
    <n v="2.1002939999999999"/>
    <n v="17530743.886332106"/>
    <n v="19288972.313667897"/>
    <n v="2325115.484499108"/>
    <n v="16963856.829168789"/>
    <n v="250595.95649280079"/>
    <n v="16713260.872675989"/>
    <m/>
    <m/>
    <m/>
  </r>
  <r>
    <x v="4"/>
    <d v="2019-06-01T00:00:00"/>
    <x v="692"/>
    <x v="1"/>
    <x v="0"/>
    <n v="36819716.200000003"/>
    <n v="2.11"/>
    <n v="2.1002939999999999"/>
    <n v="17530743.886332106"/>
    <n v="19288972.313667897"/>
    <n v="3126735.820721142"/>
    <n v="16162236.492946755"/>
    <n v="250595.95649280079"/>
    <n v="15911640.536453955"/>
    <m/>
    <m/>
    <m/>
  </r>
  <r>
    <x v="4"/>
    <d v="2019-07-01T00:00:00"/>
    <x v="693"/>
    <x v="1"/>
    <x v="0"/>
    <n v="36819716.200000003"/>
    <n v="2.11"/>
    <n v="2.1002939999999999"/>
    <n v="17530743.886332106"/>
    <n v="19288972.313667897"/>
    <n v="4662885.5719172023"/>
    <n v="14626086.741750695"/>
    <n v="250595.95649280079"/>
    <n v="14375490.785257895"/>
    <m/>
    <m/>
    <m/>
  </r>
  <r>
    <x v="4"/>
    <d v="2019-08-01T00:00:00"/>
    <x v="694"/>
    <x v="1"/>
    <x v="0"/>
    <n v="36819716.200000003"/>
    <n v="2.11"/>
    <n v="2.1002939999999999"/>
    <n v="17530743.886332106"/>
    <n v="19288972.313667897"/>
    <n v="4588448.4591244496"/>
    <n v="14700523.854543447"/>
    <n v="250595.95649280079"/>
    <n v="14449927.898050647"/>
    <m/>
    <m/>
    <m/>
  </r>
  <r>
    <x v="4"/>
    <d v="2019-09-01T00:00:00"/>
    <x v="695"/>
    <x v="1"/>
    <x v="0"/>
    <n v="28923787.600000001"/>
    <n v="2.11"/>
    <n v="2.1002939999999999"/>
    <n v="13771304.207887087"/>
    <n v="15152483.392112914"/>
    <n v="4073667.0512571894"/>
    <n v="11078816.340855725"/>
    <n v="196856.05884753156"/>
    <n v="10881960.282008193"/>
    <m/>
    <m/>
    <m/>
  </r>
  <r>
    <x v="4"/>
    <d v="2019-10-01T00:00:00"/>
    <x v="696"/>
    <x v="1"/>
    <x v="0"/>
    <n v="13258047.600000001"/>
    <n v="2.11"/>
    <n v="2.1002939999999999"/>
    <n v="6312472.2538844571"/>
    <n v="6945575.3461155444"/>
    <n v="2019272.8078534727"/>
    <n v="4926302.538262072"/>
    <n v="90234.620535969312"/>
    <n v="4836067.9177261023"/>
    <m/>
    <m/>
    <m/>
  </r>
  <r>
    <x v="4"/>
    <d v="2019-11-01T00:00:00"/>
    <x v="697"/>
    <x v="1"/>
    <x v="0"/>
    <n v="13258047.600000001"/>
    <n v="2.11"/>
    <n v="2.1002939999999999"/>
    <n v="6312472.2538844571"/>
    <n v="6945575.3461155444"/>
    <n v="2700628.6664854456"/>
    <n v="4244946.6796300989"/>
    <n v="90234.620535969312"/>
    <n v="4154712.0590941296"/>
    <m/>
    <m/>
    <m/>
  </r>
  <r>
    <x v="5"/>
    <d v="2019-01-01T00:00:00"/>
    <x v="698"/>
    <x v="1"/>
    <x v="0"/>
    <n v="43079526.100000001"/>
    <n v="2.1800000000000002"/>
    <n v="2.169972"/>
    <n v="19852572.337338917"/>
    <n v="23226953.762661085"/>
    <n v="4356018.561664992"/>
    <n v="18870935.200996093"/>
    <n v="293200.38725029811"/>
    <n v="18577734.813745797"/>
    <m/>
    <m/>
    <m/>
  </r>
  <r>
    <x v="5"/>
    <d v="2019-02-01T00:00:00"/>
    <x v="699"/>
    <x v="1"/>
    <x v="0"/>
    <n v="39433007.350000001"/>
    <n v="2.1800000000000002"/>
    <n v="2.169972"/>
    <n v="18172127.267079946"/>
    <n v="21260880.082920056"/>
    <n v="3928047.9133958346"/>
    <n v="17332832.169524223"/>
    <n v="268382.08476633759"/>
    <n v="17064450.084757887"/>
    <m/>
    <m/>
    <m/>
  </r>
  <r>
    <x v="5"/>
    <d v="2019-03-01T00:00:00"/>
    <x v="700"/>
    <x v="1"/>
    <x v="0"/>
    <n v="39433007.350000001"/>
    <n v="2.1800000000000002"/>
    <n v="2.169972"/>
    <n v="18172127.267079946"/>
    <n v="21260880.082920056"/>
    <n v="2841893.9462827207"/>
    <n v="18418986.136637334"/>
    <n v="268382.08476633759"/>
    <n v="18150604.051870998"/>
    <m/>
    <m/>
    <m/>
  </r>
  <r>
    <x v="5"/>
    <d v="2019-04-01T00:00:00"/>
    <x v="701"/>
    <x v="1"/>
    <x v="0"/>
    <n v="39433007.350000001"/>
    <n v="2.1800000000000002"/>
    <n v="2.169972"/>
    <n v="18172127.267079946"/>
    <n v="21260880.082920056"/>
    <n v="2921681.1651378251"/>
    <n v="18339198.917782232"/>
    <n v="268382.08476633759"/>
    <n v="18070816.833015896"/>
    <m/>
    <m/>
    <m/>
  </r>
  <r>
    <x v="5"/>
    <d v="2019-05-01T00:00:00"/>
    <x v="702"/>
    <x v="1"/>
    <x v="0"/>
    <n v="39433007.350000001"/>
    <n v="2.1800000000000002"/>
    <n v="2.169972"/>
    <n v="18172127.267079946"/>
    <n v="21260880.082920056"/>
    <n v="2410182.6350859054"/>
    <n v="18850697.447834149"/>
    <n v="268382.08476633759"/>
    <n v="18582315.363067813"/>
    <m/>
    <m/>
    <m/>
  </r>
  <r>
    <x v="5"/>
    <d v="2019-06-01T00:00:00"/>
    <x v="703"/>
    <x v="1"/>
    <x v="0"/>
    <n v="22497185.125"/>
    <n v="2.1800000000000002"/>
    <n v="2.169972"/>
    <n v="10367500.191246707"/>
    <n v="12129684.933753293"/>
    <n v="1849119.1491638832"/>
    <n v="10280565.78458941"/>
    <n v="153116.43343940235"/>
    <n v="10127449.351150008"/>
    <m/>
    <m/>
    <m/>
  </r>
  <r>
    <x v="5"/>
    <d v="2019-07-01T00:00:00"/>
    <x v="704"/>
    <x v="1"/>
    <x v="0"/>
    <n v="22497185.125"/>
    <n v="2.1800000000000002"/>
    <n v="2.169972"/>
    <n v="10367500.191246707"/>
    <n v="12129684.933753293"/>
    <n v="2757582.1865895516"/>
    <n v="9372102.7471637409"/>
    <n v="153116.43343940235"/>
    <n v="9218986.313724339"/>
    <m/>
    <m/>
    <m/>
  </r>
  <r>
    <x v="5"/>
    <d v="2019-08-01T00:00:00"/>
    <x v="705"/>
    <x v="1"/>
    <x v="0"/>
    <n v="22497185.125"/>
    <n v="2.1800000000000002"/>
    <n v="2.169972"/>
    <n v="10367500.191246707"/>
    <n v="12129684.933753293"/>
    <n v="2713560.8497815686"/>
    <n v="9416124.0839717239"/>
    <n v="153116.43343940235"/>
    <n v="9263007.650532322"/>
    <m/>
    <m/>
    <m/>
  </r>
  <r>
    <x v="5"/>
    <d v="2019-09-01T00:00:00"/>
    <x v="706"/>
    <x v="1"/>
    <x v="0"/>
    <n v="22497185.125"/>
    <n v="2.1800000000000002"/>
    <n v="2.169972"/>
    <n v="10367500.191246707"/>
    <n v="12129684.933753293"/>
    <n v="3066793.3331104727"/>
    <n v="9062891.6006428208"/>
    <n v="153116.43343940235"/>
    <n v="8909775.1672034189"/>
    <m/>
    <m/>
    <m/>
  </r>
  <r>
    <x v="5"/>
    <d v="2019-10-01T00:00:00"/>
    <x v="707"/>
    <x v="1"/>
    <x v="0"/>
    <n v="22497185.125"/>
    <n v="2.1800000000000002"/>
    <n v="2.169972"/>
    <n v="10367500.191246707"/>
    <n v="12129684.933753293"/>
    <n v="3316420.3151495298"/>
    <n v="8813264.6186037622"/>
    <n v="153116.43343940235"/>
    <n v="8660148.1851643603"/>
    <m/>
    <m/>
    <m/>
  </r>
  <r>
    <x v="5"/>
    <d v="2019-11-01T00:00:00"/>
    <x v="708"/>
    <x v="1"/>
    <x v="0"/>
    <n v="22497185.125"/>
    <n v="2.1800000000000002"/>
    <n v="2.169972"/>
    <n v="10367500.191246707"/>
    <n v="12129684.933753293"/>
    <n v="4435467.9260641197"/>
    <n v="7694217.0076891733"/>
    <n v="153116.43343940235"/>
    <n v="7541100.5742497714"/>
    <m/>
    <m/>
    <m/>
  </r>
  <r>
    <x v="5"/>
    <d v="2019-12-01T00:00:00"/>
    <x v="709"/>
    <x v="1"/>
    <x v="0"/>
    <n v="22497185.125"/>
    <n v="2.1800000000000002"/>
    <n v="2.169972"/>
    <n v="10367500.191246707"/>
    <n v="12129684.933753293"/>
    <n v="3734608.0804269849"/>
    <n v="8395076.8533263076"/>
    <n v="153116.43343940235"/>
    <n v="8241960.4198869057"/>
    <m/>
    <m/>
    <m/>
  </r>
  <r>
    <x v="5"/>
    <d v="2020-01-01T00:00:00"/>
    <x v="710"/>
    <x v="1"/>
    <x v="0"/>
    <n v="3497185.125"/>
    <n v="2.1800000000000002"/>
    <n v="2.169972"/>
    <n v="1611626.8435721751"/>
    <n v="1885558.2814278249"/>
    <s v=""/>
    <s v=""/>
    <n v="23801.933906045968"/>
    <s v=""/>
    <m/>
    <m/>
    <m/>
  </r>
  <r>
    <x v="6"/>
    <d v="2019-01-01T00:00:00"/>
    <x v="711"/>
    <x v="1"/>
    <x v="0"/>
    <n v="28006691.09375"/>
    <n v="2"/>
    <n v="1.9907999999999999"/>
    <n v="14068058.616510952"/>
    <n v="13938632.477239048"/>
    <n v="3086790.1357475691"/>
    <n v="10851842.341491479"/>
    <n v="190614.27591439951"/>
    <n v="10661228.06557708"/>
    <m/>
    <m/>
    <m/>
  </r>
  <r>
    <x v="6"/>
    <d v="2019-02-01T00:00:00"/>
    <x v="712"/>
    <x v="1"/>
    <x v="0"/>
    <n v="28006691.09375"/>
    <n v="2"/>
    <n v="1.9907999999999999"/>
    <n v="14068058.616510952"/>
    <n v="13938632.477239048"/>
    <n v="3040921.2681568344"/>
    <n v="10897711.209082214"/>
    <n v="190614.27591439951"/>
    <n v="10707096.933167815"/>
    <m/>
    <m/>
    <m/>
  </r>
  <r>
    <x v="7"/>
    <d v="2019-01-01T00:00:00"/>
    <x v="713"/>
    <x v="1"/>
    <x v="0"/>
    <n v="39944033.964749999"/>
    <n v="2.4300000000000002"/>
    <n v="2.418822"/>
    <n v="16513837.713047922"/>
    <n v="23430196.251702078"/>
    <n v="3623438.936780239"/>
    <n v="19806757.314921837"/>
    <n v="271860.14534184395"/>
    <n v="19534897.169579994"/>
    <m/>
    <m/>
    <m/>
  </r>
  <r>
    <x v="7"/>
    <d v="2019-02-01T00:00:00"/>
    <x v="714"/>
    <x v="1"/>
    <x v="0"/>
    <n v="39944033.964749999"/>
    <n v="2.4300000000000002"/>
    <n v="2.418822"/>
    <n v="16513837.713047922"/>
    <n v="23430196.251702078"/>
    <n v="3569595.612969683"/>
    <n v="19860600.638732396"/>
    <n v="271860.14534184395"/>
    <n v="19588740.493390553"/>
    <m/>
    <m/>
    <m/>
  </r>
  <r>
    <x v="7"/>
    <d v="2019-03-01T00:00:00"/>
    <x v="715"/>
    <x v="1"/>
    <x v="0"/>
    <n v="39944033.964749999"/>
    <n v="2.4300000000000002"/>
    <n v="2.418822"/>
    <n v="16513837.713047922"/>
    <n v="23430196.251702078"/>
    <n v="2582558.1527609117"/>
    <n v="20847638.098941166"/>
    <n v="271860.14534184395"/>
    <n v="20575777.953599323"/>
    <m/>
    <m/>
    <m/>
  </r>
  <r>
    <x v="7"/>
    <d v="2019-04-01T00:00:00"/>
    <x v="716"/>
    <x v="1"/>
    <x v="0"/>
    <n v="39944033.964749999"/>
    <n v="2.4300000000000002"/>
    <n v="2.418822"/>
    <n v="16513837.713047922"/>
    <n v="23430196.251702078"/>
    <n v="2655064.4237320344"/>
    <n v="20775131.827970043"/>
    <n v="271860.14534184395"/>
    <n v="20503271.682628199"/>
    <m/>
    <m/>
    <m/>
  </r>
  <r>
    <x v="7"/>
    <d v="2019-05-01T00:00:00"/>
    <x v="717"/>
    <x v="1"/>
    <x v="0"/>
    <n v="39944033.964749999"/>
    <n v="2.4300000000000002"/>
    <n v="2.418822"/>
    <n v="16513837.713047922"/>
    <n v="23430196.251702078"/>
    <n v="2190242.4691201532"/>
    <n v="21239953.782581925"/>
    <n v="271860.14534184395"/>
    <n v="20968093.637240082"/>
    <m/>
    <m/>
    <m/>
  </r>
  <r>
    <x v="7"/>
    <d v="2019-06-01T00:00:00"/>
    <x v="718"/>
    <x v="1"/>
    <x v="0"/>
    <n v="39944033.964749999"/>
    <n v="2.4300000000000002"/>
    <n v="2.418822"/>
    <n v="16513837.713047922"/>
    <n v="23430196.251702078"/>
    <n v="2945363.2002016502"/>
    <n v="20484833.051500428"/>
    <n v="271860.14534184395"/>
    <n v="20212972.906158585"/>
    <m/>
    <m/>
    <m/>
  </r>
  <r>
    <x v="7"/>
    <d v="2019-07-01T00:00:00"/>
    <x v="719"/>
    <x v="1"/>
    <x v="0"/>
    <n v="39944033.964749999"/>
    <n v="2.4300000000000002"/>
    <n v="2.418822"/>
    <n v="16513837.713047922"/>
    <n v="23430196.251702078"/>
    <n v="4392405.4853820689"/>
    <n v="19037790.766320009"/>
    <n v="271860.14534184395"/>
    <n v="18765930.620978165"/>
    <m/>
    <m/>
    <m/>
  </r>
  <r>
    <x v="7"/>
    <d v="2019-08-01T00:00:00"/>
    <x v="720"/>
    <x v="1"/>
    <x v="0"/>
    <n v="39944033.964749999"/>
    <n v="2.4300000000000002"/>
    <n v="2.418822"/>
    <n v="16513837.713047922"/>
    <n v="23430196.251702078"/>
    <n v="4322286.2475187099"/>
    <n v="19107910.004183367"/>
    <n v="271860.14534184395"/>
    <n v="18836049.858841524"/>
    <m/>
    <m/>
    <m/>
  </r>
  <r>
    <x v="7"/>
    <d v="2019-09-01T00:00:00"/>
    <x v="721"/>
    <x v="1"/>
    <x v="0"/>
    <n v="39944033.964749999"/>
    <n v="2.4300000000000002"/>
    <n v="2.418822"/>
    <n v="16513837.713047922"/>
    <n v="23430196.251702078"/>
    <n v="4884931.41723816"/>
    <n v="18545264.834463917"/>
    <n v="271860.14534184395"/>
    <n v="18273404.689122073"/>
    <m/>
    <m/>
    <m/>
  </r>
  <r>
    <x v="7"/>
    <d v="2019-10-01T00:00:00"/>
    <x v="722"/>
    <x v="1"/>
    <x v="0"/>
    <n v="39944033.964749999"/>
    <n v="2.4300000000000002"/>
    <n v="2.418822"/>
    <n v="16513837.713047922"/>
    <n v="23430196.251702078"/>
    <n v="5282548.9136594646"/>
    <n v="18147647.338042613"/>
    <n v="271860.14534184395"/>
    <n v="17875787.19270077"/>
    <m/>
    <m/>
    <m/>
  </r>
  <r>
    <x v="7"/>
    <d v="2019-11-01T00:00:00"/>
    <x v="723"/>
    <x v="1"/>
    <x v="0"/>
    <n v="39944033.964749999"/>
    <n v="2.4300000000000002"/>
    <n v="2.418822"/>
    <n v="16513837.713047922"/>
    <n v="23430196.251702078"/>
    <n v="7065020.1264808578"/>
    <n v="16365176.125221219"/>
    <n v="271860.14534184395"/>
    <n v="16093315.979879376"/>
    <m/>
    <m/>
    <m/>
  </r>
  <r>
    <x v="7"/>
    <d v="2019-12-01T00:00:00"/>
    <x v="724"/>
    <x v="1"/>
    <x v="0"/>
    <n v="39944033.964749999"/>
    <n v="2.4300000000000002"/>
    <n v="2.418822"/>
    <n v="16513837.713047922"/>
    <n v="23430196.251702078"/>
    <n v="5948657.8851552848"/>
    <n v="17481538.366546795"/>
    <n v="271860.14534184395"/>
    <n v="17209678.221204951"/>
    <m/>
    <m/>
    <m/>
  </r>
  <r>
    <x v="8"/>
    <d v="2019-01-01T00:00:00"/>
    <x v="725"/>
    <x v="1"/>
    <x v="0"/>
    <n v="43502787.700000003"/>
    <n v="1.45"/>
    <n v="1.4433299999999998"/>
    <n v="30140569.169905711"/>
    <n v="13362218.530094292"/>
    <n v="6613393.7976551233"/>
    <n v="6748824.7324391687"/>
    <n v="296081.11682796589"/>
    <n v="6452743.615611203"/>
    <m/>
    <m/>
    <m/>
  </r>
  <r>
    <x v="9"/>
    <d v="2019-01-01T00:00:00"/>
    <x v="726"/>
    <x v="1"/>
    <x v="0"/>
    <n v="53929329.834749997"/>
    <n v="1.95"/>
    <n v="1.9410299999999998"/>
    <n v="27783872.394939803"/>
    <n v="26145457.439810194"/>
    <n v="6096291.2921697525"/>
    <n v="20049166.147640441"/>
    <n v="367044.43672368425"/>
    <n v="19682121.710916758"/>
    <m/>
    <m/>
    <m/>
  </r>
  <r>
    <x v="9"/>
    <d v="2019-02-01T00:00:00"/>
    <x v="727"/>
    <x v="1"/>
    <x v="0"/>
    <n v="53929329.834749997"/>
    <n v="1.95"/>
    <n v="1.9410299999999998"/>
    <n v="27783872.394939803"/>
    <n v="26145457.439810194"/>
    <n v="6005702.0503431903"/>
    <n v="20139755.389467005"/>
    <n v="367044.43672368425"/>
    <n v="19772710.952743322"/>
    <m/>
    <m/>
    <m/>
  </r>
  <r>
    <x v="9"/>
    <d v="2019-03-01T00:00:00"/>
    <x v="728"/>
    <x v="1"/>
    <x v="0"/>
    <n v="53929329.834749997"/>
    <n v="1.95"/>
    <n v="1.9410299999999998"/>
    <n v="27783872.394939803"/>
    <n v="26145457.439810194"/>
    <n v="4345050.9454944413"/>
    <n v="21800406.494315751"/>
    <n v="367044.43672368425"/>
    <n v="21433362.057592068"/>
    <m/>
    <m/>
    <m/>
  </r>
  <r>
    <x v="9"/>
    <d v="2019-04-01T00:00:00"/>
    <x v="729"/>
    <x v="1"/>
    <x v="0"/>
    <n v="53929329.834749997"/>
    <n v="1.95"/>
    <n v="1.9410299999999998"/>
    <n v="27783872.394939803"/>
    <n v="26145457.439810194"/>
    <n v="4467039.8505266672"/>
    <n v="21678417.589283526"/>
    <n v="367044.43672368425"/>
    <n v="21311373.152559843"/>
    <m/>
    <m/>
    <m/>
  </r>
  <r>
    <x v="9"/>
    <d v="2019-05-01T00:00:00"/>
    <x v="730"/>
    <x v="1"/>
    <x v="0"/>
    <n v="53929329.834749997"/>
    <n v="1.95"/>
    <n v="1.9410299999999998"/>
    <n v="27783872.394939803"/>
    <n v="26145457.439810194"/>
    <n v="3684995.4767286275"/>
    <n v="22460461.963081568"/>
    <n v="367044.43672368425"/>
    <n v="22093417.526357885"/>
    <m/>
    <m/>
    <m/>
  </r>
  <r>
    <x v="9"/>
    <d v="2019-06-01T00:00:00"/>
    <x v="731"/>
    <x v="1"/>
    <x v="0"/>
    <n v="53929329.834749997"/>
    <n v="1.95"/>
    <n v="1.9410299999999998"/>
    <n v="27783872.394939803"/>
    <n v="26145457.439810194"/>
    <n v="4955455.9474988524"/>
    <n v="21190001.492311344"/>
    <n v="367044.43672368425"/>
    <n v="20822957.055587661"/>
    <m/>
    <m/>
    <m/>
  </r>
  <r>
    <x v="9"/>
    <d v="2019-07-01T00:00:00"/>
    <x v="732"/>
    <x v="1"/>
    <x v="0"/>
    <n v="53929329.834749997"/>
    <n v="1.95"/>
    <n v="1.9410299999999998"/>
    <n v="27783872.394939803"/>
    <n v="26145457.439810194"/>
    <n v="7390046.7979205279"/>
    <n v="18755410.641889665"/>
    <n v="367044.43672368425"/>
    <n v="18388366.205165982"/>
    <m/>
    <m/>
    <m/>
  </r>
  <r>
    <x v="9"/>
    <d v="2019-08-01T00:00:00"/>
    <x v="733"/>
    <x v="1"/>
    <x v="0"/>
    <n v="45341011.5"/>
    <n v="1.95"/>
    <n v="1.9410299999999998"/>
    <n v="23359253.334569793"/>
    <n v="21981758.165430207"/>
    <n v="6113986.4151954064"/>
    <n v="15867771.750234801"/>
    <n v="308592.11633992929"/>
    <n v="15559179.633894872"/>
    <m/>
    <m/>
    <m/>
  </r>
  <r>
    <x v="9"/>
    <d v="2019-09-01T00:00:00"/>
    <x v="734"/>
    <x v="1"/>
    <x v="0"/>
    <n v="28318301.25"/>
    <n v="1.95"/>
    <n v="1.9410299999999998"/>
    <n v="14589316.625709033"/>
    <n v="13728984.624290967"/>
    <n v="4315641.9712572871"/>
    <n v="9413342.6530336812"/>
    <n v="192735.10283045107"/>
    <n v="9220607.5502032302"/>
    <m/>
    <m/>
    <m/>
  </r>
  <r>
    <x v="9"/>
    <d v="2019-10-01T00:00:00"/>
    <x v="735"/>
    <x v="1"/>
    <x v="0"/>
    <n v="28318301.25"/>
    <n v="1.95"/>
    <n v="1.9410299999999998"/>
    <n v="14589316.625709033"/>
    <n v="13728984.624290967"/>
    <n v="4666921.1622008123"/>
    <n v="9062063.4620901551"/>
    <n v="192735.10283045107"/>
    <n v="8869328.3592597041"/>
    <m/>
    <m/>
    <m/>
  </r>
  <r>
    <x v="9"/>
    <d v="2019-11-01T00:00:00"/>
    <x v="736"/>
    <x v="1"/>
    <x v="0"/>
    <n v="28318301.25"/>
    <n v="1.95"/>
    <n v="1.9410299999999998"/>
    <n v="14589316.625709033"/>
    <n v="13728984.624290967"/>
    <n v="6241663.3482352411"/>
    <n v="7487321.2760557262"/>
    <n v="192735.10283045107"/>
    <n v="7294586.1732252752"/>
    <m/>
    <m/>
    <m/>
  </r>
  <r>
    <x v="9"/>
    <d v="2019-12-01T00:00:00"/>
    <x v="737"/>
    <x v="1"/>
    <x v="0"/>
    <n v="28318301.25"/>
    <n v="1.95"/>
    <n v="1.9410299999999998"/>
    <n v="14589316.625709033"/>
    <n v="13728984.624290967"/>
    <n v="5255401.8570728153"/>
    <n v="8473582.7672181521"/>
    <n v="192735.10283045107"/>
    <n v="8280847.6643877011"/>
    <m/>
    <m/>
    <m/>
  </r>
  <r>
    <x v="10"/>
    <d v="2019-01-01T00:00:00"/>
    <x v="738"/>
    <x v="1"/>
    <x v="0"/>
    <n v="37932512.950000003"/>
    <n v="1.1100000000000001"/>
    <n v="1.104894"/>
    <n v="34331359.343068205"/>
    <n v="3601153.6069317982"/>
    <n v="7532930.0407244712"/>
    <n v="-3931776.4337926731"/>
    <n v="258169.68043009529"/>
    <n v="-4189946.1142227682"/>
    <m/>
    <m/>
    <m/>
  </r>
  <r>
    <x v="10"/>
    <d v="2019-02-01T00:00:00"/>
    <x v="739"/>
    <x v="1"/>
    <x v="0"/>
    <n v="37932512.950000003"/>
    <n v="1.1100000000000001"/>
    <n v="1.104894"/>
    <n v="34331359.343068205"/>
    <n v="3601153.6069317982"/>
    <n v="7420992.7351698196"/>
    <n v="-3819839.1282380214"/>
    <n v="258169.68043009529"/>
    <n v="-4078008.8086681166"/>
    <m/>
    <m/>
    <m/>
  </r>
  <r>
    <x v="10"/>
    <d v="2019-03-01T00:00:00"/>
    <x v="740"/>
    <x v="1"/>
    <x v="0"/>
    <n v="37932512.950000003"/>
    <n v="1.1100000000000001"/>
    <n v="1.104894"/>
    <n v="34331359.343068205"/>
    <n v="3601153.6069317982"/>
    <n v="5368996.2023031786"/>
    <n v="-1767842.5953713804"/>
    <n v="258169.68043009529"/>
    <n v="-2026012.2758014756"/>
    <m/>
    <m/>
    <m/>
  </r>
  <r>
    <x v="10"/>
    <d v="2019-04-01T00:00:00"/>
    <x v="741"/>
    <x v="1"/>
    <x v="0"/>
    <n v="37932512.950000003"/>
    <n v="1.1100000000000001"/>
    <n v="1.104894"/>
    <n v="34331359.343068205"/>
    <n v="3601153.6069317982"/>
    <n v="5519732.7474109624"/>
    <n v="-1918579.1404791642"/>
    <n v="258169.68043009529"/>
    <n v="-2176748.8209092594"/>
    <m/>
    <m/>
    <m/>
  </r>
  <r>
    <x v="10"/>
    <d v="2019-05-01T00:00:00"/>
    <x v="742"/>
    <x v="1"/>
    <x v="0"/>
    <n v="37932512.950000003"/>
    <n v="1.1100000000000001"/>
    <n v="1.104894"/>
    <n v="34331359.343068205"/>
    <n v="3601153.6069317982"/>
    <n v="4553393.4971639346"/>
    <n v="-952239.89023213647"/>
    <n v="258169.68043009529"/>
    <n v="-1210409.5706622317"/>
    <m/>
    <m/>
    <m/>
  </r>
  <r>
    <x v="10"/>
    <d v="2019-06-01T00:00:00"/>
    <x v="743"/>
    <x v="1"/>
    <x v="0"/>
    <n v="37932512.950000003"/>
    <n v="1.1100000000000001"/>
    <n v="1.104894"/>
    <n v="34331359.343068205"/>
    <n v="3601153.6069317982"/>
    <n v="6123247.9196568895"/>
    <n v="-2522094.3127250914"/>
    <n v="258169.68043009529"/>
    <n v="-2780263.9931551865"/>
    <m/>
    <m/>
    <m/>
  </r>
  <r>
    <x v="10"/>
    <d v="2019-07-01T00:00:00"/>
    <x v="744"/>
    <x v="1"/>
    <x v="0"/>
    <n v="35575919.200000003"/>
    <n v="1.1100000000000001"/>
    <n v="1.104894"/>
    <n v="32198490.714946412"/>
    <n v="3377428.4850535914"/>
    <n v="8564261.6631510444"/>
    <n v="-5186833.178097453"/>
    <n v="242130.64140984867"/>
    <n v="-5428963.8195073018"/>
    <m/>
    <m/>
    <m/>
  </r>
  <r>
    <x v="10"/>
    <d v="2019-08-01T00:00:00"/>
    <x v="745"/>
    <x v="1"/>
    <x v="0"/>
    <n v="35575919.200000003"/>
    <n v="1.1100000000000001"/>
    <n v="1.104894"/>
    <n v="32198490.714946412"/>
    <n v="3377428.4850535914"/>
    <n v="8427543.9801682066"/>
    <n v="-5050115.4951146152"/>
    <n v="242130.64140984867"/>
    <n v="-5292246.136524464"/>
    <m/>
    <m/>
    <m/>
  </r>
  <r>
    <x v="10"/>
    <d v="2019-09-01T00:00:00"/>
    <x v="746"/>
    <x v="1"/>
    <x v="0"/>
    <n v="35195556.700000003"/>
    <n v="1.1100000000000001"/>
    <n v="1.104894"/>
    <n v="31854238.234617982"/>
    <n v="3341318.4653820209"/>
    <n v="9422750.2915041409"/>
    <n v="-6081431.82612212"/>
    <n v="239541.88423465099"/>
    <n v="-6320973.710356771"/>
    <m/>
    <m/>
    <m/>
  </r>
  <r>
    <x v="10"/>
    <d v="2019-10-01T00:00:00"/>
    <x v="747"/>
    <x v="1"/>
    <x v="0"/>
    <n v="35195556.700000003"/>
    <n v="1.1100000000000001"/>
    <n v="1.104894"/>
    <n v="31854238.234617982"/>
    <n v="3341318.4653820209"/>
    <n v="10189731.454656126"/>
    <n v="-6848412.9892741051"/>
    <n v="239541.88423465099"/>
    <n v="-7087954.873508756"/>
    <m/>
    <m/>
    <m/>
  </r>
  <r>
    <x v="10"/>
    <d v="2019-11-01T00:00:00"/>
    <x v="748"/>
    <x v="1"/>
    <x v="0"/>
    <n v="35195556.700000003"/>
    <n v="1.1100000000000001"/>
    <n v="1.104894"/>
    <n v="31854238.234617982"/>
    <n v="3341318.4653820209"/>
    <n v="13628015.374250336"/>
    <n v="-10286696.908868315"/>
    <n v="239541.88423465099"/>
    <n v="-10526238.793102965"/>
    <m/>
    <m/>
    <m/>
  </r>
  <r>
    <x v="10"/>
    <d v="2019-12-01T00:00:00"/>
    <x v="749"/>
    <x v="1"/>
    <x v="0"/>
    <n v="31409130.699999999"/>
    <n v="1.1100000000000001"/>
    <n v="1.104894"/>
    <n v="28427279.630444184"/>
    <n v="2981851.0695558153"/>
    <n v="10240149.144347189"/>
    <n v="-7258298.0747913737"/>
    <n v="213771.36932885682"/>
    <n v="-7472069.4441202302"/>
    <m/>
    <m/>
    <m/>
  </r>
  <r>
    <x v="11"/>
    <d v="2019-01-01T00:00:00"/>
    <x v="750"/>
    <x v="1"/>
    <x v="0"/>
    <n v="71699753.276983202"/>
    <n v="1.35"/>
    <n v="1.34379"/>
    <n v="53356367.644485518"/>
    <n v="18343385.632497683"/>
    <n v="11707365.871437222"/>
    <n v="6636019.7610604614"/>
    <n v="487990.40587780066"/>
    <n v="6148029.3551826607"/>
    <m/>
    <m/>
    <m/>
  </r>
  <r>
    <x v="11"/>
    <d v="2019-02-01T00:00:00"/>
    <x v="751"/>
    <x v="1"/>
    <x v="0"/>
    <n v="71699753.276983202"/>
    <n v="1.35"/>
    <n v="1.34379"/>
    <n v="53356367.644485518"/>
    <n v="18343385.632497683"/>
    <n v="11533397.577067515"/>
    <n v="6809988.0554301683"/>
    <n v="487990.40587780066"/>
    <n v="6321997.6495523676"/>
    <m/>
    <m/>
    <m/>
  </r>
  <r>
    <x v="11"/>
    <d v="2019-03-01T00:00:00"/>
    <x v="752"/>
    <x v="1"/>
    <x v="0"/>
    <n v="71699753.276983202"/>
    <n v="1.35"/>
    <n v="1.34379"/>
    <n v="53356367.644485518"/>
    <n v="18343385.632497683"/>
    <n v="8344270.0998023758"/>
    <n v="9999115.5326953083"/>
    <n v="487990.40587780066"/>
    <n v="9511125.1268175077"/>
    <m/>
    <m/>
    <m/>
  </r>
  <r>
    <x v="11"/>
    <d v="2019-04-01T00:00:00"/>
    <x v="753"/>
    <x v="1"/>
    <x v="0"/>
    <n v="71699753.276983202"/>
    <n v="1.35"/>
    <n v="1.34379"/>
    <n v="53356367.644485518"/>
    <n v="18343385.632497683"/>
    <n v="8578538.5550027788"/>
    <n v="9764847.0774949044"/>
    <n v="487990.40587780066"/>
    <n v="9276856.6716171037"/>
    <m/>
    <m/>
    <m/>
  </r>
  <r>
    <x v="11"/>
    <d v="2019-05-01T00:00:00"/>
    <x v="754"/>
    <x v="1"/>
    <x v="0"/>
    <n v="71699753.276983202"/>
    <n v="1.35"/>
    <n v="1.34379"/>
    <n v="53356367.644485518"/>
    <n v="18343385.632497683"/>
    <n v="7076694.3725385191"/>
    <n v="11266691.259959165"/>
    <n v="487990.40587780066"/>
    <n v="10778700.854081364"/>
    <m/>
    <m/>
    <m/>
  </r>
  <r>
    <x v="11"/>
    <d v="2019-06-01T00:00:00"/>
    <x v="755"/>
    <x v="1"/>
    <x v="0"/>
    <n v="71699753.276983202"/>
    <n v="1.35"/>
    <n v="1.34379"/>
    <n v="53356367.644485518"/>
    <n v="18343385.632497683"/>
    <n v="9516496.6791654453"/>
    <n v="8826888.9533322379"/>
    <n v="487990.40587780066"/>
    <n v="8338898.5474544372"/>
    <m/>
    <m/>
    <m/>
  </r>
  <r>
    <x v="11"/>
    <d v="2019-07-01T00:00:00"/>
    <x v="756"/>
    <x v="1"/>
    <x v="0"/>
    <n v="71699753.276983202"/>
    <n v="1.35"/>
    <n v="1.34379"/>
    <n v="53356367.644485518"/>
    <n v="18343385.632497683"/>
    <n v="14191904.146940095"/>
    <n v="4151481.4855575878"/>
    <n v="487990.40587780066"/>
    <n v="3663491.0796797872"/>
    <m/>
    <m/>
    <m/>
  </r>
  <r>
    <x v="11"/>
    <d v="2019-08-01T00:00:00"/>
    <x v="757"/>
    <x v="1"/>
    <x v="0"/>
    <n v="71699753.276983202"/>
    <n v="1.35"/>
    <n v="1.34379"/>
    <n v="53356367.644485518"/>
    <n v="18343385.632497683"/>
    <n v="13965348.218548449"/>
    <n v="4378037.4139492344"/>
    <n v="487990.40587780066"/>
    <n v="3890047.0080714338"/>
    <m/>
    <m/>
    <m/>
  </r>
  <r>
    <x v="11"/>
    <d v="2019-09-01T00:00:00"/>
    <x v="758"/>
    <x v="1"/>
    <x v="0"/>
    <n v="71699753.276983202"/>
    <n v="1.35"/>
    <n v="1.34379"/>
    <n v="53356367.644485518"/>
    <n v="18343385.632497683"/>
    <n v="15783260.144933978"/>
    <n v="2560125.4875637051"/>
    <n v="487990.40587780066"/>
    <n v="2072135.0816859044"/>
    <m/>
    <m/>
    <m/>
  </r>
  <r>
    <x v="11"/>
    <d v="2019-10-01T00:00:00"/>
    <x v="759"/>
    <x v="1"/>
    <x v="0"/>
    <n v="71699753.276983202"/>
    <n v="1.35"/>
    <n v="1.34379"/>
    <n v="53356367.644485518"/>
    <n v="18343385.632497683"/>
    <n v="17067966.080016065"/>
    <n v="1275419.5524816178"/>
    <n v="487990.40587780066"/>
    <n v="787429.14660381712"/>
    <m/>
    <m/>
    <m/>
  </r>
  <r>
    <x v="11"/>
    <d v="2019-11-01T00:00:00"/>
    <x v="760"/>
    <x v="1"/>
    <x v="0"/>
    <n v="71699753.276983202"/>
    <n v="1.35"/>
    <n v="1.34379"/>
    <n v="53356367.644485518"/>
    <n v="18343385.632497683"/>
    <n v="22827147.622163888"/>
    <n v="-4483761.9896662049"/>
    <n v="487990.40587780066"/>
    <n v="-4971752.3955440056"/>
    <m/>
    <m/>
    <m/>
  </r>
  <r>
    <x v="11"/>
    <d v="2019-12-01T00:00:00"/>
    <x v="761"/>
    <x v="1"/>
    <x v="0"/>
    <n v="71699753.276983202"/>
    <n v="1.35"/>
    <n v="1.34379"/>
    <n v="53356367.644485518"/>
    <n v="18343385.632497683"/>
    <n v="19220170.539815214"/>
    <n v="-876784.90731753036"/>
    <n v="487990.40587780066"/>
    <n v="-1364775.313195331"/>
    <m/>
    <m/>
    <m/>
  </r>
  <r>
    <x v="11"/>
    <d v="2020-01-01T00:00:00"/>
    <x v="762"/>
    <x v="1"/>
    <x v="0"/>
    <n v="65878695.026983202"/>
    <n v="1.35"/>
    <n v="1.34379"/>
    <n v="49024546.266145155"/>
    <n v="16854148.760838047"/>
    <s v=""/>
    <s v=""/>
    <n v="448372.13038552355"/>
    <s v=""/>
    <m/>
    <m/>
    <m/>
  </r>
  <r>
    <x v="11"/>
    <d v="2020-02-01T00:00:00"/>
    <x v="763"/>
    <x v="1"/>
    <x v="0"/>
    <n v="65878695.026983202"/>
    <n v="1.35"/>
    <n v="1.34379"/>
    <n v="49024546.266145155"/>
    <n v="16854148.760838047"/>
    <s v=""/>
    <s v=""/>
    <n v="448372.13038552355"/>
    <s v=""/>
    <m/>
    <m/>
    <m/>
  </r>
  <r>
    <x v="11"/>
    <d v="2020-03-01T00:00:00"/>
    <x v="764"/>
    <x v="1"/>
    <x v="0"/>
    <n v="61723893.851983197"/>
    <n v="1.35"/>
    <n v="1.34379"/>
    <n v="45932693.242235169"/>
    <n v="15791200.609748028"/>
    <s v=""/>
    <s v=""/>
    <n v="420094.44435364316"/>
    <s v=""/>
    <m/>
    <m/>
    <m/>
  </r>
  <r>
    <x v="11"/>
    <d v="2020-04-01T00:00:00"/>
    <x v="765"/>
    <x v="1"/>
    <x v="0"/>
    <n v="49714833.851983197"/>
    <n v="1.35"/>
    <n v="1.34379"/>
    <n v="36995984.381475672"/>
    <n v="12718849.470507525"/>
    <s v=""/>
    <s v=""/>
    <n v="338360.46626069321"/>
    <s v=""/>
    <m/>
    <m/>
    <m/>
  </r>
  <r>
    <x v="11"/>
    <d v="2020-05-01T00:00:00"/>
    <x v="766"/>
    <x v="1"/>
    <x v="0"/>
    <n v="48046908.851983197"/>
    <n v="1.35"/>
    <n v="1.34379"/>
    <n v="35754774.817481302"/>
    <n v="12292134.034501895"/>
    <s v=""/>
    <s v=""/>
    <n v="327008.52485889464"/>
    <s v=""/>
    <m/>
    <m/>
    <m/>
  </r>
  <r>
    <x v="11"/>
    <d v="2020-06-01T00:00:00"/>
    <x v="767"/>
    <x v="1"/>
    <x v="0"/>
    <n v="40541246.351983197"/>
    <n v="1.35"/>
    <n v="1.34379"/>
    <n v="30169331.779506616"/>
    <n v="10371914.572476581"/>
    <s v=""/>
    <s v=""/>
    <n v="275924.78855080093"/>
    <s v=""/>
    <m/>
    <m/>
    <m/>
  </r>
  <r>
    <x v="12"/>
    <d v="2019-01-01T00:00:00"/>
    <x v="768"/>
    <x v="1"/>
    <x v="0"/>
    <n v="15824227.25"/>
    <n v="1.92"/>
    <n v="1.9111679999999998"/>
    <n v="8279872.4392622737"/>
    <n v="7544354.8107377263"/>
    <n v="1816755.9055210776"/>
    <n v="5727598.9052166492"/>
    <n v="107700.10670188686"/>
    <n v="5619898.798514762"/>
    <m/>
    <m/>
    <m/>
  </r>
  <r>
    <x v="12"/>
    <d v="2019-02-01T00:00:00"/>
    <x v="769"/>
    <x v="1"/>
    <x v="0"/>
    <n v="15824227.25"/>
    <n v="1.92"/>
    <n v="1.9111679999999998"/>
    <n v="8279872.4392622737"/>
    <n v="7544354.8107377263"/>
    <n v="1789759.4035205129"/>
    <n v="5754595.4072172139"/>
    <n v="107700.10670188686"/>
    <n v="5646895.3005153267"/>
    <m/>
    <m/>
    <m/>
  </r>
  <r>
    <x v="12"/>
    <d v="2019-03-01T00:00:00"/>
    <x v="770"/>
    <x v="1"/>
    <x v="0"/>
    <n v="15824227.25"/>
    <n v="1.92"/>
    <n v="1.9111679999999998"/>
    <n v="8279872.4392622737"/>
    <n v="7544354.8107377263"/>
    <n v="1294868.7302977319"/>
    <n v="6249486.0804399941"/>
    <n v="107700.10670188686"/>
    <n v="6141785.9737381069"/>
    <m/>
    <m/>
    <m/>
  </r>
  <r>
    <x v="13"/>
    <d v="2019-01-01T00:00:00"/>
    <x v="771"/>
    <x v="1"/>
    <x v="0"/>
    <n v="153017477.52499998"/>
    <n v="1.72"/>
    <n v="1.7120879999999998"/>
    <n v="89374773.682777986"/>
    <n v="63642703.84222199"/>
    <n v="19610464.905575749"/>
    <n v="44032238.936646238"/>
    <n v="1041440.9750527359"/>
    <n v="42990797.961593501"/>
    <m/>
    <m/>
    <m/>
  </r>
  <r>
    <x v="13"/>
    <d v="2019-02-01T00:00:00"/>
    <x v="772"/>
    <x v="1"/>
    <x v="0"/>
    <n v="151568477.52499998"/>
    <n v="1.72"/>
    <n v="1.7120879999999998"/>
    <n v="88528438.681306094"/>
    <n v="63040038.843693882"/>
    <n v="19136116.742273621"/>
    <n v="43903922.101420261"/>
    <n v="1031579.0429567446"/>
    <n v="42872343.058463514"/>
    <m/>
    <m/>
    <m/>
  </r>
  <r>
    <x v="13"/>
    <d v="2019-03-01T00:00:00"/>
    <x v="773"/>
    <x v="1"/>
    <x v="0"/>
    <n v="98609116.699999988"/>
    <n v="1.72"/>
    <n v="1.7120879999999998"/>
    <n v="57595822.586222202"/>
    <n v="41013294.113777786"/>
    <n v="9007267.9512584209"/>
    <n v="32006026.162519366"/>
    <n v="671136.24081509653"/>
    <n v="31334889.92170427"/>
    <m/>
    <m/>
    <m/>
  </r>
  <r>
    <x v="14"/>
    <d v="2019-01-01T00:00:00"/>
    <x v="774"/>
    <x v="1"/>
    <x v="0"/>
    <n v="51152180.402000003"/>
    <n v="1.69"/>
    <n v="1.6822259999999998"/>
    <n v="30407436.576298315"/>
    <n v="20744743.825701687"/>
    <n v="6671949.4022385757"/>
    <n v="14072794.423463112"/>
    <n v="348143.08466971532"/>
    <n v="13724651.338793397"/>
    <m/>
    <m/>
    <m/>
  </r>
  <r>
    <x v="14"/>
    <d v="2019-02-01T00:00:00"/>
    <x v="775"/>
    <x v="1"/>
    <x v="0"/>
    <n v="47167910.304499999"/>
    <n v="1.69"/>
    <n v="1.6822259999999998"/>
    <n v="28038985.430316739"/>
    <n v="19128924.87418326"/>
    <n v="6060846.7349232845"/>
    <n v="13068078.139259975"/>
    <n v="321026.03763477161"/>
    <n v="12747052.101625204"/>
    <m/>
    <m/>
    <m/>
  </r>
  <r>
    <x v="14"/>
    <d v="2019-03-01T00:00:00"/>
    <x v="776"/>
    <x v="1"/>
    <x v="0"/>
    <n v="47167910.304499999"/>
    <n v="1.69"/>
    <n v="1.6822259999999998"/>
    <n v="28038985.430316739"/>
    <n v="19128924.87418326"/>
    <n v="4384947.4408359034"/>
    <n v="14743977.433347356"/>
    <n v="321026.03763477161"/>
    <n v="14422951.395712584"/>
    <m/>
    <m/>
    <m/>
  </r>
  <r>
    <x v="14"/>
    <d v="2019-04-01T00:00:00"/>
    <x v="777"/>
    <x v="1"/>
    <x v="0"/>
    <n v="53612578.7795"/>
    <n v="1.69"/>
    <n v="1.6822259999999998"/>
    <n v="31870021.495030992"/>
    <n v="21742557.284469008"/>
    <n v="5124003.3797942931"/>
    <n v="16618553.904674716"/>
    <n v="364888.62071387819"/>
    <n v="16253665.283960838"/>
    <m/>
    <m/>
    <m/>
  </r>
  <r>
    <x v="14"/>
    <d v="2019-05-01T00:00:00"/>
    <x v="778"/>
    <x v="1"/>
    <x v="0"/>
    <n v="53612578.7795"/>
    <n v="1.69"/>
    <n v="1.6822259999999998"/>
    <n v="31870021.495030992"/>
    <n v="21742557.284469008"/>
    <n v="4226944.4439941533"/>
    <n v="17515612.840474855"/>
    <n v="364888.62071387819"/>
    <n v="17150724.219760977"/>
    <m/>
    <m/>
    <m/>
  </r>
  <r>
    <x v="14"/>
    <d v="2019-06-01T00:00:00"/>
    <x v="779"/>
    <x v="1"/>
    <x v="0"/>
    <n v="53612578.7795"/>
    <n v="1.69"/>
    <n v="1.6822259999999998"/>
    <n v="31870021.495030992"/>
    <n v="21742557.284469008"/>
    <n v="5684250.3924410138"/>
    <n v="16058306.892027995"/>
    <n v="364888.62071387819"/>
    <n v="15693418.271314116"/>
    <m/>
    <m/>
    <m/>
  </r>
  <r>
    <x v="14"/>
    <d v="2019-07-01T00:00:00"/>
    <x v="780"/>
    <x v="1"/>
    <x v="0"/>
    <n v="53612578.7795"/>
    <n v="1.69"/>
    <n v="1.6822259999999998"/>
    <n v="31870021.495030992"/>
    <n v="21742557.284469008"/>
    <n v="8476894.3274410851"/>
    <n v="13265662.957027923"/>
    <n v="364888.62071387819"/>
    <n v="12900774.336314045"/>
    <m/>
    <m/>
    <m/>
  </r>
  <r>
    <x v="14"/>
    <d v="2019-08-01T00:00:00"/>
    <x v="781"/>
    <x v="1"/>
    <x v="0"/>
    <n v="53612578.7795"/>
    <n v="1.69"/>
    <n v="1.6822259999999998"/>
    <n v="31870021.495030992"/>
    <n v="21742557.284469008"/>
    <n v="8341571.3542623688"/>
    <n v="13400985.93020664"/>
    <n v="364888.62071387819"/>
    <n v="13036097.309492761"/>
    <m/>
    <m/>
    <m/>
  </r>
  <r>
    <x v="14"/>
    <d v="2019-09-01T00:00:00"/>
    <x v="782"/>
    <x v="1"/>
    <x v="0"/>
    <n v="49351847.829500005"/>
    <n v="1.69"/>
    <n v="1.6822259999999998"/>
    <n v="29337228.071317416"/>
    <n v="20014619.758182589"/>
    <n v="8678197.6176880579"/>
    <n v="11336422.140494531"/>
    <n v="335889.97384832386"/>
    <n v="11000532.166646207"/>
    <m/>
    <m/>
    <m/>
  </r>
  <r>
    <x v="14"/>
    <d v="2019-10-01T00:00:00"/>
    <x v="783"/>
    <x v="1"/>
    <x v="0"/>
    <n v="49351847.829500005"/>
    <n v="1.69"/>
    <n v="1.6822259999999998"/>
    <n v="29337228.071317416"/>
    <n v="20014619.758182589"/>
    <n v="9384574.6198334359"/>
    <n v="10630045.138349153"/>
    <n v="335889.97384832386"/>
    <n v="10294155.164500829"/>
    <m/>
    <m/>
    <m/>
  </r>
  <r>
    <x v="14"/>
    <d v="2019-11-01T00:00:00"/>
    <x v="784"/>
    <x v="1"/>
    <x v="0"/>
    <n v="49351847.829500005"/>
    <n v="1.69"/>
    <n v="1.6822259999999998"/>
    <n v="29337228.071317416"/>
    <n v="20014619.758182589"/>
    <n v="12551177.405313239"/>
    <n v="7463442.3528693505"/>
    <n v="335889.97384832386"/>
    <n v="7127552.3790210262"/>
    <m/>
    <m/>
    <m/>
  </r>
  <r>
    <x v="14"/>
    <d v="2019-12-01T00:00:00"/>
    <x v="785"/>
    <x v="1"/>
    <x v="0"/>
    <n v="49351847.829500005"/>
    <n v="1.69"/>
    <n v="1.6822259999999998"/>
    <n v="29337228.071317416"/>
    <n v="20014619.758182589"/>
    <n v="10567933.155668095"/>
    <n v="9446686.6025144942"/>
    <n v="335889.97384832386"/>
    <n v="9110796.6286661699"/>
    <m/>
    <m/>
    <m/>
  </r>
  <r>
    <x v="14"/>
    <d v="2020-01-01T00:00:00"/>
    <x v="786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2-01T00:00:00"/>
    <x v="787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3-01T00:00:00"/>
    <x v="788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4-01T00:00:00"/>
    <x v="789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5-01T00:00:00"/>
    <x v="790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6-01T00:00:00"/>
    <x v="791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7-01T00:00:00"/>
    <x v="792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8-01T00:00:00"/>
    <x v="793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09-01T00:00:00"/>
    <x v="794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10-01T00:00:00"/>
    <x v="795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11-01T00:00:00"/>
    <x v="796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0-12-01T00:00:00"/>
    <x v="797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1-01-01T00:00:00"/>
    <x v="798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d v="2021-02-01T00:00:00"/>
    <x v="799"/>
    <x v="1"/>
    <x v="0"/>
    <n v="9910003.9500000011"/>
    <n v="1.69"/>
    <n v="1.6822259999999998"/>
    <n v="5891006.291663547"/>
    <n v="4018997.6583364541"/>
    <s v=""/>
    <s v=""/>
    <n v="67447.747429886062"/>
    <s v=""/>
    <m/>
    <m/>
    <m/>
  </r>
  <r>
    <x v="15"/>
    <d v="2019-01-01T00:00:00"/>
    <x v="800"/>
    <x v="1"/>
    <x v="0"/>
    <n v="20348195"/>
    <n v="1.61"/>
    <n v="1.6025940000000001"/>
    <n v="12697036.804081382"/>
    <n v="7651158.1959186178"/>
    <n v="2785962.7990221307"/>
    <n v="4865195.3968964871"/>
    <n v="138490.35014906025"/>
    <n v="4726705.0467474265"/>
    <m/>
    <m/>
    <m/>
  </r>
  <r>
    <x v="15"/>
    <d v="2019-02-01T00:00:00"/>
    <x v="801"/>
    <x v="1"/>
    <x v="0"/>
    <n v="20348195"/>
    <n v="1.61"/>
    <n v="1.6025940000000001"/>
    <n v="12697036.804081382"/>
    <n v="7651158.1959186178"/>
    <n v="2744564.1443934408"/>
    <n v="4906594.0515251774"/>
    <n v="138490.35014906025"/>
    <n v="4768103.7013761168"/>
    <m/>
    <m/>
    <m/>
  </r>
  <r>
    <x v="15"/>
    <d v="2019-03-01T00:00:00"/>
    <x v="802"/>
    <x v="1"/>
    <x v="0"/>
    <n v="20348195"/>
    <n v="1.61"/>
    <n v="1.6025940000000001"/>
    <n v="12697036.804081382"/>
    <n v="7651158.1959186178"/>
    <n v="1985658.1180022748"/>
    <n v="5665500.0779163428"/>
    <n v="138490.35014906025"/>
    <n v="5527009.7277672822"/>
    <m/>
    <m/>
    <m/>
  </r>
  <r>
    <x v="15"/>
    <d v="2019-04-01T00:00:00"/>
    <x v="803"/>
    <x v="1"/>
    <x v="0"/>
    <n v="20348195"/>
    <n v="1.61"/>
    <n v="1.6025940000000001"/>
    <n v="12697036.804081382"/>
    <n v="7651158.1959186178"/>
    <n v="2041406.2007341066"/>
    <n v="5609751.9951845109"/>
    <n v="138490.35014906025"/>
    <n v="5471261.6450354503"/>
    <m/>
    <m/>
    <m/>
  </r>
  <r>
    <x v="15"/>
    <d v="2019-05-01T00:00:00"/>
    <x v="804"/>
    <x v="1"/>
    <x v="0"/>
    <n v="20348195"/>
    <n v="1.61"/>
    <n v="1.6025940000000001"/>
    <n v="12697036.804081382"/>
    <n v="7651158.1959186178"/>
    <n v="1684017.3509945383"/>
    <n v="5967140.8449240793"/>
    <n v="138490.35014906025"/>
    <n v="5828650.4947750187"/>
    <m/>
    <m/>
    <m/>
  </r>
  <r>
    <x v="15"/>
    <d v="2019-06-01T00:00:00"/>
    <x v="805"/>
    <x v="1"/>
    <x v="0"/>
    <n v="20348195"/>
    <n v="1.61"/>
    <n v="1.6025940000000001"/>
    <n v="12697036.804081382"/>
    <n v="7651158.1959186178"/>
    <n v="2264608.9663821044"/>
    <n v="5386549.2295365129"/>
    <n v="138490.35014906025"/>
    <n v="5248058.8793874523"/>
    <m/>
    <m/>
    <m/>
  </r>
  <r>
    <x v="15"/>
    <d v="2019-07-01T00:00:00"/>
    <x v="806"/>
    <x v="1"/>
    <x v="0"/>
    <n v="20348195"/>
    <n v="1.61"/>
    <n v="1.6025940000000001"/>
    <n v="12697036.804081382"/>
    <n v="7651158.1959186178"/>
    <n v="3377200.0836776807"/>
    <n v="4273958.1122409366"/>
    <n v="138490.35014906025"/>
    <n v="4135467.7620918765"/>
    <m/>
    <m/>
    <m/>
  </r>
  <r>
    <x v="15"/>
    <d v="2019-08-01T00:00:00"/>
    <x v="807"/>
    <x v="1"/>
    <x v="0"/>
    <n v="20348195"/>
    <n v="1.61"/>
    <n v="1.6025940000000001"/>
    <n v="12697036.804081382"/>
    <n v="7651158.1959186178"/>
    <n v="3323287.3252204647"/>
    <n v="4327870.870698153"/>
    <n v="138490.35014906025"/>
    <n v="4189380.5205490929"/>
    <m/>
    <m/>
    <m/>
  </r>
  <r>
    <x v="15"/>
    <d v="2019-09-01T00:00:00"/>
    <x v="808"/>
    <x v="1"/>
    <x v="0"/>
    <n v="20348195"/>
    <n v="1.61"/>
    <n v="1.6025940000000001"/>
    <n v="12697036.804081382"/>
    <n v="7651158.1959186178"/>
    <n v="3755889.7615349451"/>
    <n v="3895268.4343836727"/>
    <n v="138490.35014906025"/>
    <n v="3756778.0842346125"/>
    <m/>
    <m/>
    <m/>
  </r>
  <r>
    <x v="15"/>
    <d v="2019-10-01T00:00:00"/>
    <x v="809"/>
    <x v="1"/>
    <x v="0"/>
    <n v="20348195"/>
    <n v="1.61"/>
    <n v="1.6025940000000001"/>
    <n v="12697036.804081382"/>
    <n v="7651158.1959186178"/>
    <n v="4061606.9469484258"/>
    <n v="3589551.2489701919"/>
    <n v="138490.35014906025"/>
    <n v="3451060.8988211318"/>
    <m/>
    <m/>
    <m/>
  </r>
  <r>
    <x v="15"/>
    <d v="2019-11-01T00:00:00"/>
    <x v="810"/>
    <x v="1"/>
    <x v="0"/>
    <n v="20348195"/>
    <n v="1.61"/>
    <n v="1.6025940000000001"/>
    <n v="12697036.804081382"/>
    <n v="7651158.1959186178"/>
    <n v="5432100.1651012665"/>
    <n v="2219058.0308173513"/>
    <n v="138490.35014906025"/>
    <n v="2080567.6806682912"/>
    <m/>
    <m/>
    <m/>
  </r>
  <r>
    <x v="15"/>
    <d v="2019-12-01T00:00:00"/>
    <x v="811"/>
    <x v="1"/>
    <x v="0"/>
    <n v="20348195"/>
    <n v="1.61"/>
    <n v="1.6025940000000001"/>
    <n v="12697036.804081382"/>
    <n v="7651158.1959186178"/>
    <n v="4573759.8621928757"/>
    <n v="3077398.3337257421"/>
    <n v="138490.35014906025"/>
    <n v="2938907.9835766819"/>
    <m/>
    <m/>
    <m/>
  </r>
  <r>
    <x v="15"/>
    <d v="2020-01-01T00:00:00"/>
    <x v="812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2-01T00:00:00"/>
    <x v="813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3-01T00:00:00"/>
    <x v="814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4-01T00:00:00"/>
    <x v="815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5-01T00:00:00"/>
    <x v="816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6-01T00:00:00"/>
    <x v="817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7-01T00:00:00"/>
    <x v="818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d v="2020-08-01T00:00:00"/>
    <x v="819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0-09-01T00:00:00"/>
    <x v="820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0-10-01T00:00:00"/>
    <x v="821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0-11-01T00:00:00"/>
    <x v="822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0-12-01T00:00:00"/>
    <x v="823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1-01-01T00:00:00"/>
    <x v="824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1-02-01T00:00:00"/>
    <x v="825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1-03-01T00:00:00"/>
    <x v="826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d v="2021-04-01T00:00:00"/>
    <x v="827"/>
    <x v="1"/>
    <x v="0"/>
    <n v="19513445"/>
    <n v="1.61"/>
    <n v="1.6025940000000001"/>
    <n v="12176162.521511998"/>
    <n v="7337282.478488002"/>
    <s v=""/>
    <s v=""/>
    <n v="132809.0197024566"/>
    <s v=""/>
    <m/>
    <m/>
    <m/>
  </r>
  <r>
    <x v="15"/>
    <d v="2021-05-01T00:00:00"/>
    <x v="828"/>
    <x v="1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5"/>
    <d v="2021-06-01T00:00:00"/>
    <x v="829"/>
    <x v="1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5"/>
    <d v="2021-07-01T00:00:00"/>
    <x v="830"/>
    <x v="1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6"/>
    <d v="2019-01-01T00:00:00"/>
    <x v="831"/>
    <x v="1"/>
    <x v="0"/>
    <n v="195728607.46069998"/>
    <n v="2.2200000000000002"/>
    <n v="2.2097880000000001"/>
    <n v="88573477.392718196"/>
    <n v="107155130.06798178"/>
    <n v="19434645.79994132"/>
    <n v="87720484.268040463"/>
    <n v="1332134.0483232201"/>
    <n v="86388350.219717249"/>
    <m/>
    <m/>
    <m/>
  </r>
  <r>
    <x v="16"/>
    <d v="2019-02-01T00:00:00"/>
    <x v="832"/>
    <x v="1"/>
    <x v="0"/>
    <n v="195728607.46069998"/>
    <n v="2.2200000000000002"/>
    <n v="2.2097880000000001"/>
    <n v="88573477.392718196"/>
    <n v="107155130.06798178"/>
    <n v="19145852.213183776"/>
    <n v="88009277.854798004"/>
    <n v="1332134.0483232201"/>
    <n v="86677143.80647479"/>
    <m/>
    <m/>
    <m/>
  </r>
  <r>
    <x v="16"/>
    <d v="2019-03-01T00:00:00"/>
    <x v="833"/>
    <x v="1"/>
    <x v="0"/>
    <n v="195728607.46069998"/>
    <n v="2.2200000000000002"/>
    <n v="2.2097880000000001"/>
    <n v="88573477.392718196"/>
    <n v="107155130.06798178"/>
    <n v="13851786.612763651"/>
    <n v="93303343.455218136"/>
    <n v="1332134.0483232201"/>
    <n v="91971209.406894922"/>
    <m/>
    <m/>
    <m/>
  </r>
  <r>
    <x v="16"/>
    <d v="2019-04-01T00:00:00"/>
    <x v="834"/>
    <x v="1"/>
    <x v="0"/>
    <n v="131698607.46069999"/>
    <n v="2.2200000000000002"/>
    <n v="2.2097880000000001"/>
    <n v="59597847.151265182"/>
    <n v="72100760.309434801"/>
    <n v="9582032.1388600152"/>
    <n v="62518728.170574784"/>
    <n v="896344.18489580916"/>
    <n v="61622383.985678978"/>
    <m/>
    <m/>
    <m/>
  </r>
  <r>
    <x v="16"/>
    <d v="2019-05-01T00:00:00"/>
    <x v="835"/>
    <x v="1"/>
    <x v="0"/>
    <n v="131698607.46069999"/>
    <n v="2.2200000000000002"/>
    <n v="2.2097880000000001"/>
    <n v="59597847.151265182"/>
    <n v="72100760.309434801"/>
    <n v="7904506.4004531894"/>
    <n v="64196253.908981614"/>
    <n v="896344.18489580916"/>
    <n v="63299909.724085808"/>
    <m/>
    <m/>
    <m/>
  </r>
  <r>
    <x v="16"/>
    <d v="2019-06-01T00:00:00"/>
    <x v="836"/>
    <x v="1"/>
    <x v="0"/>
    <n v="131698607.46069999"/>
    <n v="2.2200000000000002"/>
    <n v="2.2097880000000001"/>
    <n v="59597847.151265182"/>
    <n v="72100760.309434801"/>
    <n v="10629709.995992245"/>
    <n v="61471050.313442558"/>
    <n v="896344.18489580916"/>
    <n v="60574706.128546752"/>
    <m/>
    <m/>
    <m/>
  </r>
  <r>
    <x v="16"/>
    <d v="2019-07-01T00:00:00"/>
    <x v="837"/>
    <x v="1"/>
    <x v="0"/>
    <n v="131698607.46069999"/>
    <n v="2.2200000000000002"/>
    <n v="2.2097880000000001"/>
    <n v="59597847.151265182"/>
    <n v="72100760.309434801"/>
    <n v="15852033.627370773"/>
    <n v="56248726.682064027"/>
    <n v="896344.18489580916"/>
    <n v="55352382.497168221"/>
    <m/>
    <m/>
    <m/>
  </r>
  <r>
    <x v="16"/>
    <d v="2019-08-01T00:00:00"/>
    <x v="838"/>
    <x v="1"/>
    <x v="0"/>
    <n v="131698607.46069999"/>
    <n v="2.2200000000000002"/>
    <n v="2.2097880000000001"/>
    <n v="59597847.151265182"/>
    <n v="72100760.309434801"/>
    <n v="15598975.816511832"/>
    <n v="56501784.492922969"/>
    <n v="896344.18489580916"/>
    <n v="55605440.308027163"/>
    <m/>
    <m/>
    <m/>
  </r>
  <r>
    <x v="16"/>
    <d v="2019-09-01T00:00:00"/>
    <x v="839"/>
    <x v="1"/>
    <x v="0"/>
    <n v="131698607.46069999"/>
    <n v="2.2200000000000002"/>
    <n v="2.2097880000000001"/>
    <n v="59597847.151265182"/>
    <n v="72100760.309434801"/>
    <n v="17629542.024561871"/>
    <n v="54471218.284872934"/>
    <n v="896344.18489580916"/>
    <n v="53574874.099977128"/>
    <m/>
    <m/>
    <m/>
  </r>
  <r>
    <x v="16"/>
    <d v="2019-10-01T00:00:00"/>
    <x v="840"/>
    <x v="1"/>
    <x v="0"/>
    <n v="131698607.46069999"/>
    <n v="2.2200000000000002"/>
    <n v="2.2097880000000001"/>
    <n v="59597847.151265182"/>
    <n v="72100760.309434801"/>
    <n v="19064529.287253819"/>
    <n v="53036231.022180982"/>
    <n v="896344.18489580916"/>
    <n v="52139886.837285176"/>
    <m/>
    <m/>
    <m/>
  </r>
  <r>
    <x v="16"/>
    <d v="2019-11-01T00:00:00"/>
    <x v="841"/>
    <x v="1"/>
    <x v="0"/>
    <n v="131698607.46069999"/>
    <n v="2.2200000000000002"/>
    <n v="2.2097880000000001"/>
    <n v="59597847.151265182"/>
    <n v="72100760.309434801"/>
    <n v="25497403.870326895"/>
    <n v="46603356.43910791"/>
    <n v="896344.18489580916"/>
    <n v="45707012.254212104"/>
    <m/>
    <m/>
    <m/>
  </r>
  <r>
    <x v="16"/>
    <d v="2019-12-01T00:00:00"/>
    <x v="842"/>
    <x v="1"/>
    <x v="0"/>
    <n v="131698607.46069999"/>
    <n v="2.2200000000000002"/>
    <n v="2.2097880000000001"/>
    <n v="59597847.151265182"/>
    <n v="72100760.309434801"/>
    <n v="21468492.639632389"/>
    <n v="50632267.669802412"/>
    <n v="896344.18489580916"/>
    <n v="49735923.484906606"/>
    <m/>
    <m/>
    <m/>
  </r>
  <r>
    <x v="16"/>
    <d v="2020-01-01T00:00:00"/>
    <x v="843"/>
    <x v="1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d v="2020-02-01T00:00:00"/>
    <x v="844"/>
    <x v="1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d v="2020-03-01T00:00:00"/>
    <x v="845"/>
    <x v="1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d v="2020-04-01T00:00:00"/>
    <x v="846"/>
    <x v="1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d v="2020-05-01T00:00:00"/>
    <x v="847"/>
    <x v="1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d v="2020-06-01T00:00:00"/>
    <x v="848"/>
    <x v="1"/>
    <x v="0"/>
    <n v="115277855.6902"/>
    <n v="2.2200000000000002"/>
    <n v="2.2097880000000001"/>
    <n v="52166929.900153317"/>
    <n v="63110925.790046684"/>
    <s v=""/>
    <s v=""/>
    <n v="784584.11662403645"/>
    <s v=""/>
    <m/>
    <m/>
    <m/>
  </r>
  <r>
    <x v="16"/>
    <d v="2020-07-01T00:00:00"/>
    <x v="849"/>
    <x v="1"/>
    <x v="0"/>
    <n v="115277855.6902"/>
    <n v="2.2200000000000002"/>
    <n v="2.2097880000000001"/>
    <n v="52166929.900153317"/>
    <n v="63110925.790046684"/>
    <s v=""/>
    <s v=""/>
    <n v="784584.11662403645"/>
    <s v=""/>
    <m/>
    <m/>
    <m/>
  </r>
  <r>
    <x v="16"/>
    <d v="2020-08-01T00:00:00"/>
    <x v="850"/>
    <x v="1"/>
    <x v="0"/>
    <n v="109546785.0652"/>
    <n v="2.2200000000000002"/>
    <n v="2.2097880000000001"/>
    <n v="49573436.485852942"/>
    <n v="59973348.579347059"/>
    <s v=""/>
    <s v=""/>
    <n v="745578.29927339463"/>
    <s v=""/>
    <m/>
    <m/>
    <m/>
  </r>
  <r>
    <x v="16"/>
    <d v="2020-09-01T00:00:00"/>
    <x v="851"/>
    <x v="1"/>
    <x v="0"/>
    <n v="103283498.605"/>
    <n v="2.2200000000000002"/>
    <n v="2.2097880000000001"/>
    <n v="46739098.323006548"/>
    <n v="56544400.281993456"/>
    <s v=""/>
    <s v=""/>
    <n v="702950.20695577306"/>
    <s v=""/>
    <m/>
    <m/>
    <m/>
  </r>
  <r>
    <x v="16"/>
    <d v="2020-10-01T00:00:00"/>
    <x v="852"/>
    <x v="1"/>
    <x v="0"/>
    <n v="92003446.254999995"/>
    <n v="2.2200000000000002"/>
    <n v="2.2097880000000001"/>
    <n v="41634512.566363826"/>
    <n v="50368933.688636169"/>
    <s v=""/>
    <s v=""/>
    <n v="626177.87409523036"/>
    <s v=""/>
    <m/>
    <m/>
    <m/>
  </r>
  <r>
    <x v="16"/>
    <d v="2020-11-01T00:00:00"/>
    <x v="853"/>
    <x v="1"/>
    <x v="0"/>
    <n v="92003446.254999995"/>
    <n v="2.2200000000000002"/>
    <n v="2.2097880000000001"/>
    <n v="41634512.566363826"/>
    <n v="50368933.688636169"/>
    <s v=""/>
    <s v=""/>
    <n v="626177.87409523036"/>
    <s v=""/>
    <m/>
    <m/>
    <m/>
  </r>
  <r>
    <x v="16"/>
    <d v="2020-12-01T00:00:00"/>
    <x v="854"/>
    <x v="1"/>
    <x v="0"/>
    <n v="54343675.75"/>
    <n v="2.2200000000000002"/>
    <n v="2.2097880000000001"/>
    <n v="24592257.605706971"/>
    <n v="29751418.144293029"/>
    <s v=""/>
    <s v=""/>
    <n v="369864.48591653927"/>
    <s v=""/>
    <m/>
    <m/>
    <m/>
  </r>
  <r>
    <x v="17"/>
    <d v="2019-01-01T00:00:00"/>
    <x v="855"/>
    <x v="1"/>
    <x v="0"/>
    <n v="23358981.669500001"/>
    <n v="1.83"/>
    <n v="1.821582"/>
    <n v="12823458.767982995"/>
    <n v="10535522.901517006"/>
    <n v="2813702.0970838638"/>
    <n v="7721820.8044331418"/>
    <n v="158981.84337895989"/>
    <n v="7562838.9610541817"/>
    <m/>
    <m/>
    <m/>
  </r>
  <r>
    <x v="17"/>
    <d v="2019-02-01T00:00:00"/>
    <x v="856"/>
    <x v="1"/>
    <x v="0"/>
    <n v="23358981.669500001"/>
    <n v="1.83"/>
    <n v="1.821582"/>
    <n v="12823458.767982995"/>
    <n v="10535522.901517006"/>
    <n v="2771891.2439791202"/>
    <n v="7763631.657537885"/>
    <n v="158981.84337895989"/>
    <n v="7604649.8141589249"/>
    <m/>
    <m/>
    <m/>
  </r>
  <r>
    <x v="17"/>
    <d v="2019-03-01T00:00:00"/>
    <x v="857"/>
    <x v="1"/>
    <x v="0"/>
    <n v="19235315"/>
    <n v="1.83"/>
    <n v="1.821582"/>
    <n v="10559675.600659207"/>
    <n v="8675639.3993407935"/>
    <n v="1651401.4965428391"/>
    <n v="7024237.9027979542"/>
    <n v="130916.05961007701"/>
    <n v="6893321.843187877"/>
    <m/>
    <m/>
    <m/>
  </r>
  <r>
    <x v="17"/>
    <d v="2019-04-01T00:00:00"/>
    <x v="858"/>
    <x v="1"/>
    <x v="0"/>
    <n v="19235315"/>
    <n v="1.83"/>
    <n v="1.821582"/>
    <n v="10559675.600659207"/>
    <n v="8675639.3993407935"/>
    <n v="1697765.2015623935"/>
    <n v="6977874.1977784"/>
    <n v="130916.05961007701"/>
    <n v="6846958.1381683229"/>
    <m/>
    <m/>
    <m/>
  </r>
  <r>
    <x v="17"/>
    <d v="2019-05-01T00:00:00"/>
    <x v="859"/>
    <x v="1"/>
    <x v="0"/>
    <n v="19235315"/>
    <n v="1.83"/>
    <n v="1.821582"/>
    <n v="10559675.600659207"/>
    <n v="8675639.3993407935"/>
    <n v="1400537.5590206722"/>
    <n v="7275101.8403201215"/>
    <n v="130916.05961007701"/>
    <n v="7144185.7807100443"/>
    <m/>
    <m/>
    <m/>
  </r>
  <r>
    <x v="17"/>
    <d v="2019-06-01T00:00:00"/>
    <x v="860"/>
    <x v="1"/>
    <x v="0"/>
    <n v="19235315"/>
    <n v="1.83"/>
    <n v="1.821582"/>
    <n v="10559675.600659207"/>
    <n v="8675639.3993407935"/>
    <n v="1883395.0327412076"/>
    <n v="6792244.3665995859"/>
    <n v="130916.05961007701"/>
    <n v="6661328.3069895087"/>
    <m/>
    <m/>
    <m/>
  </r>
  <r>
    <x v="17"/>
    <d v="2019-07-01T00:00:00"/>
    <x v="861"/>
    <x v="1"/>
    <x v="0"/>
    <n v="19235315"/>
    <n v="1.83"/>
    <n v="1.821582"/>
    <n v="10559675.600659207"/>
    <n v="8675639.3993407935"/>
    <n v="2808697.6412238223"/>
    <n v="5866941.7581169717"/>
    <n v="130916.05961007701"/>
    <n v="5736025.6985068945"/>
    <m/>
    <m/>
    <m/>
  </r>
  <r>
    <x v="17"/>
    <d v="2019-08-01T00:00:00"/>
    <x v="862"/>
    <x v="1"/>
    <x v="0"/>
    <n v="19235315"/>
    <n v="1.83"/>
    <n v="1.821582"/>
    <n v="10559675.600659207"/>
    <n v="8675639.3993407935"/>
    <n v="2763860.310370225"/>
    <n v="5911779.088970568"/>
    <n v="130916.05961007701"/>
    <n v="5780863.0293604909"/>
    <m/>
    <m/>
    <m/>
  </r>
  <r>
    <x v="17"/>
    <d v="2019-09-01T00:00:00"/>
    <x v="863"/>
    <x v="1"/>
    <x v="0"/>
    <n v="15111650"/>
    <n v="1.83"/>
    <n v="1.821582"/>
    <n v="8295893.3498464515"/>
    <n v="6815756.6501535485"/>
    <n v="2453994.6899624984"/>
    <n v="4361761.9601910505"/>
    <n v="102850.287203855"/>
    <n v="4258911.6729871957"/>
    <m/>
    <m/>
    <m/>
  </r>
  <r>
    <x v="17"/>
    <d v="2019-10-01T00:00:00"/>
    <x v="864"/>
    <x v="1"/>
    <x v="0"/>
    <n v="15111650"/>
    <n v="1.83"/>
    <n v="1.821582"/>
    <n v="8295893.3498464515"/>
    <n v="6815756.6501535485"/>
    <n v="2653741.859679312"/>
    <n v="4162014.7904742365"/>
    <n v="102850.287203855"/>
    <n v="4059164.5032703816"/>
    <m/>
    <m/>
    <m/>
  </r>
  <r>
    <x v="17"/>
    <d v="2019-11-01T00:00:00"/>
    <x v="865"/>
    <x v="1"/>
    <x v="0"/>
    <n v="15111650"/>
    <n v="1.83"/>
    <n v="1.821582"/>
    <n v="8295893.3498464515"/>
    <n v="6815756.6501535485"/>
    <n v="3549184.2963610082"/>
    <n v="3266572.3537925403"/>
    <n v="102850.287203855"/>
    <n v="3163722.0665886854"/>
    <m/>
    <m/>
    <m/>
  </r>
  <r>
    <x v="18"/>
    <d v="2019-01-01T00:00:00"/>
    <x v="866"/>
    <x v="1"/>
    <x v="0"/>
    <n v="45806040.531499997"/>
    <n v="2.48"/>
    <n v="2.4685919999999997"/>
    <n v="18555533.085864332"/>
    <n v="27250507.445635665"/>
    <n v="4071424.3560060649"/>
    <n v="23179083.089629602"/>
    <n v="311757.11615450314"/>
    <n v="22867325.973475099"/>
    <m/>
    <m/>
    <m/>
  </r>
  <r>
    <x v="18"/>
    <d v="2019-02-01T00:00:00"/>
    <x v="867"/>
    <x v="1"/>
    <x v="0"/>
    <n v="45806040.531499997"/>
    <n v="2.48"/>
    <n v="2.4685919999999997"/>
    <n v="18555533.085864332"/>
    <n v="27250507.445635665"/>
    <n v="4010924.0898789321"/>
    <n v="23239583.355756734"/>
    <n v="311757.11615450314"/>
    <n v="22927826.23960223"/>
    <m/>
    <m/>
    <m/>
  </r>
  <r>
    <x v="18"/>
    <d v="2019-03-01T00:00:00"/>
    <x v="868"/>
    <x v="1"/>
    <x v="0"/>
    <n v="45806040.531499997"/>
    <n v="2.48"/>
    <n v="2.4685919999999997"/>
    <n v="18555533.085864332"/>
    <n v="27250507.445635665"/>
    <n v="2901853.8320659776"/>
    <n v="24348653.613569688"/>
    <n v="311757.11615450314"/>
    <n v="24036896.497415185"/>
    <m/>
    <m/>
    <m/>
  </r>
  <r>
    <x v="18"/>
    <d v="2019-04-01T00:00:00"/>
    <x v="869"/>
    <x v="1"/>
    <x v="0"/>
    <n v="45806040.531499997"/>
    <n v="2.48"/>
    <n v="2.4685919999999997"/>
    <n v="18555533.085864332"/>
    <n v="27250507.445635665"/>
    <n v="2983324.4467901546"/>
    <n v="24267182.99884551"/>
    <n v="311757.11615450314"/>
    <n v="23955425.882691007"/>
    <m/>
    <m/>
    <m/>
  </r>
  <r>
    <x v="18"/>
    <d v="2019-05-01T00:00:00"/>
    <x v="870"/>
    <x v="1"/>
    <x v="0"/>
    <n v="45806040.531499997"/>
    <n v="2.48"/>
    <n v="2.4685919999999997"/>
    <n v="18555533.085864332"/>
    <n v="27250507.445635665"/>
    <n v="2461034.0314603439"/>
    <n v="24789473.41417532"/>
    <n v="311757.11615450314"/>
    <n v="24477716.298020817"/>
    <m/>
    <m/>
    <m/>
  </r>
  <r>
    <x v="18"/>
    <d v="2019-06-01T00:00:00"/>
    <x v="871"/>
    <x v="1"/>
    <x v="0"/>
    <n v="45806040.531499997"/>
    <n v="2.48"/>
    <n v="2.4685919999999997"/>
    <n v="18555533.085864332"/>
    <n v="27250507.445635665"/>
    <n v="3309514.4363715458"/>
    <n v="23940993.009264119"/>
    <n v="311757.11615450314"/>
    <n v="23629235.893109616"/>
    <m/>
    <m/>
    <m/>
  </r>
  <r>
    <x v="18"/>
    <d v="2019-07-01T00:00:00"/>
    <x v="872"/>
    <x v="1"/>
    <x v="0"/>
    <n v="45806040.531499997"/>
    <n v="2.48"/>
    <n v="2.4685919999999997"/>
    <n v="18555533.085864332"/>
    <n v="27250507.445635665"/>
    <n v="4935462.4119953318"/>
    <n v="22315045.033640333"/>
    <n v="311757.11615450314"/>
    <n v="22003287.917485829"/>
    <m/>
    <m/>
    <m/>
  </r>
  <r>
    <x v="18"/>
    <d v="2019-08-01T00:00:00"/>
    <x v="873"/>
    <x v="1"/>
    <x v="0"/>
    <n v="45806040.531499997"/>
    <n v="2.48"/>
    <n v="2.4685919999999997"/>
    <n v="18555533.085864332"/>
    <n v="27250507.445635665"/>
    <n v="4856673.9522358449"/>
    <n v="22393833.493399821"/>
    <n v="311757.11615450314"/>
    <n v="22082076.377245318"/>
    <m/>
    <m/>
    <m/>
  </r>
  <r>
    <x v="18"/>
    <d v="2019-09-01T00:00:00"/>
    <x v="874"/>
    <x v="1"/>
    <x v="0"/>
    <n v="33732090.531499997"/>
    <n v="2.48"/>
    <n v="2.4685919999999997"/>
    <n v="13664506.136088913"/>
    <n v="20067584.395411082"/>
    <n v="4042075.2877136283"/>
    <n v="16025509.107697453"/>
    <n v="229581.49501551536"/>
    <n v="15795927.612681938"/>
    <m/>
    <m/>
    <m/>
  </r>
  <r>
    <x v="18"/>
    <d v="2019-10-01T00:00:00"/>
    <x v="875"/>
    <x v="1"/>
    <x v="0"/>
    <n v="33732090.531499997"/>
    <n v="2.48"/>
    <n v="2.4685919999999997"/>
    <n v="13664506.136088913"/>
    <n v="20067584.395411082"/>
    <n v="4371087.042223745"/>
    <n v="15696497.353187338"/>
    <n v="229581.49501551536"/>
    <n v="15466915.858171823"/>
    <m/>
    <m/>
    <m/>
  </r>
  <r>
    <x v="19"/>
    <d v="2019-01-01T00:00:00"/>
    <x v="876"/>
    <x v="1"/>
    <x v="0"/>
    <n v="18731301.130000003"/>
    <n v="1.96"/>
    <n v="1.9509839999999998"/>
    <n v="9600950.6638701316"/>
    <n v="9130350.4661298711"/>
    <n v="2106624.7028748528"/>
    <n v="7023725.7632550187"/>
    <n v="127485.72795971281"/>
    <n v="6896240.0352953058"/>
    <m/>
    <m/>
    <m/>
  </r>
  <r>
    <x v="19"/>
    <d v="2019-02-01T00:00:00"/>
    <x v="877"/>
    <x v="1"/>
    <x v="0"/>
    <n v="18731301.130000003"/>
    <n v="1.96"/>
    <n v="1.9509839999999998"/>
    <n v="9600950.6638701316"/>
    <n v="9130350.4661298711"/>
    <n v="2075320.8288471047"/>
    <n v="7055029.6372827664"/>
    <n v="127485.72795971281"/>
    <n v="6927543.9093230534"/>
    <m/>
    <m/>
    <m/>
  </r>
  <r>
    <x v="19"/>
    <d v="2019-03-01T00:00:00"/>
    <x v="878"/>
    <x v="1"/>
    <x v="0"/>
    <n v="18731301.130000003"/>
    <n v="1.96"/>
    <n v="1.9509839999999998"/>
    <n v="9600950.6638701316"/>
    <n v="9130350.4661298711"/>
    <n v="1501468.8797409006"/>
    <n v="7628881.5863889707"/>
    <n v="127485.72795971281"/>
    <n v="7501395.8584292578"/>
    <m/>
    <m/>
    <m/>
  </r>
  <r>
    <x v="19"/>
    <d v="2019-04-01T00:00:00"/>
    <x v="879"/>
    <x v="1"/>
    <x v="0"/>
    <n v="18731301.130000003"/>
    <n v="1.96"/>
    <n v="1.9509839999999998"/>
    <n v="9600950.6638701316"/>
    <n v="9130350.4661298711"/>
    <n v="1543623.1713423568"/>
    <n v="7586727.294787514"/>
    <n v="127485.72795971281"/>
    <n v="7459241.5668278011"/>
    <m/>
    <m/>
    <m/>
  </r>
  <r>
    <x v="19"/>
    <d v="2019-05-01T00:00:00"/>
    <x v="880"/>
    <x v="1"/>
    <x v="0"/>
    <n v="18731301.130000003"/>
    <n v="1.96"/>
    <n v="1.9509839999999998"/>
    <n v="9600950.6638701316"/>
    <n v="9130350.4661298711"/>
    <n v="1273381.1639265846"/>
    <n v="7856969.3022032864"/>
    <n v="127485.72795971281"/>
    <n v="7729483.5742435735"/>
    <m/>
    <m/>
    <m/>
  </r>
  <r>
    <x v="19"/>
    <d v="2019-06-01T00:00:00"/>
    <x v="881"/>
    <x v="1"/>
    <x v="0"/>
    <n v="18731301.130000003"/>
    <n v="1.96"/>
    <n v="1.9509839999999998"/>
    <n v="9600950.6638701316"/>
    <n v="9130350.4661298711"/>
    <n v="1712399.4593922545"/>
    <n v="7417951.0067376168"/>
    <n v="127485.72795971281"/>
    <n v="7290465.2787779039"/>
    <m/>
    <m/>
    <m/>
  </r>
  <r>
    <x v="19"/>
    <d v="2019-07-01T00:00:00"/>
    <x v="882"/>
    <x v="1"/>
    <x v="0"/>
    <n v="18731301.130000003"/>
    <n v="1.96"/>
    <n v="1.9509839999999998"/>
    <n v="9600950.6638701316"/>
    <n v="9130350.4661298711"/>
    <n v="2553692.793501622"/>
    <n v="6576657.672628249"/>
    <n v="127485.72795971281"/>
    <n v="6449171.9446685361"/>
    <m/>
    <m/>
    <m/>
  </r>
  <r>
    <x v="19"/>
    <d v="2019-08-01T00:00:00"/>
    <x v="883"/>
    <x v="1"/>
    <x v="0"/>
    <n v="18731301.130000003"/>
    <n v="1.96"/>
    <n v="1.9509839999999998"/>
    <n v="9600950.6638701316"/>
    <n v="9130350.4661298711"/>
    <n v="2512926.294822616"/>
    <n v="6617424.1713072546"/>
    <n v="127485.72795971281"/>
    <n v="6489938.4433475416"/>
    <m/>
    <m/>
    <m/>
  </r>
  <r>
    <x v="19"/>
    <d v="2019-09-01T00:00:00"/>
    <x v="884"/>
    <x v="1"/>
    <x v="0"/>
    <n v="18731301.130000003"/>
    <n v="1.96"/>
    <n v="1.9509839999999998"/>
    <n v="9600950.6638701316"/>
    <n v="9130350.4661298711"/>
    <n v="2840041.5668513034"/>
    <n v="6290308.8992785681"/>
    <n v="127485.72795971281"/>
    <n v="6162823.1713188551"/>
    <m/>
    <m/>
    <m/>
  </r>
  <r>
    <x v="19"/>
    <d v="2019-10-01T00:00:00"/>
    <x v="885"/>
    <x v="1"/>
    <x v="0"/>
    <n v="18731301.130000003"/>
    <n v="1.96"/>
    <n v="1.9509839999999998"/>
    <n v="9600950.6638701316"/>
    <n v="9130350.4661298711"/>
    <n v="3071211.6941449866"/>
    <n v="6059138.7719848845"/>
    <n v="127485.72795971281"/>
    <n v="5931653.0440251715"/>
    <m/>
    <m/>
    <m/>
  </r>
  <r>
    <x v="19"/>
    <d v="2019-11-01T00:00:00"/>
    <x v="886"/>
    <x v="1"/>
    <x v="0"/>
    <n v="18731301.130000003"/>
    <n v="1.96"/>
    <n v="1.9509839999999998"/>
    <n v="9600950.6638701316"/>
    <n v="9130350.4661298711"/>
    <n v="4107519.4544268548"/>
    <n v="5022831.0117030162"/>
    <n v="127485.72795971281"/>
    <n v="4895345.2837433033"/>
    <m/>
    <m/>
    <m/>
  </r>
  <r>
    <x v="19"/>
    <d v="2019-12-01T00:00:00"/>
    <x v="887"/>
    <x v="1"/>
    <x v="0"/>
    <n v="18731301.130000003"/>
    <n v="1.96"/>
    <n v="1.9509839999999998"/>
    <n v="9600950.6638701316"/>
    <n v="9130350.4661298711"/>
    <n v="3458479.6014128174"/>
    <n v="5671870.8647170532"/>
    <n v="127485.72795971281"/>
    <n v="5544385.1367573403"/>
    <m/>
    <m/>
    <m/>
  </r>
  <r>
    <x v="19"/>
    <d v="2020-01-01T00:00:00"/>
    <x v="888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2-01T00:00:00"/>
    <x v="889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3-01T00:00:00"/>
    <x v="890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4-01T00:00:00"/>
    <x v="891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5-01T00:00:00"/>
    <x v="892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6-01T00:00:00"/>
    <x v="893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d v="2020-07-01T00:00:00"/>
    <x v="894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20"/>
    <d v="2019-01-01T00:00:00"/>
    <x v="895"/>
    <x v="1"/>
    <x v="0"/>
    <n v="28582181.75662316"/>
    <n v="2.16"/>
    <n v="2.150064"/>
    <n v="13293642.308611818"/>
    <n v="15288539.448011342"/>
    <n v="2916868.99130625"/>
    <n v="12371670.456705093"/>
    <n v="194531.0804962712"/>
    <n v="12177139.376208821"/>
    <m/>
    <m/>
    <m/>
  </r>
  <r>
    <x v="20"/>
    <d v="2019-02-01T00:00:00"/>
    <x v="896"/>
    <x v="1"/>
    <x v="0"/>
    <n v="28582181.75662316"/>
    <n v="2.16"/>
    <n v="2.150064"/>
    <n v="13293642.308611818"/>
    <n v="15288539.448011342"/>
    <n v="2873525.1060215631"/>
    <n v="12415014.34198978"/>
    <n v="194531.0804962712"/>
    <n v="12220483.261493508"/>
    <m/>
    <m/>
    <m/>
  </r>
  <r>
    <x v="20"/>
    <d v="2019-03-01T00:00:00"/>
    <x v="897"/>
    <x v="1"/>
    <x v="0"/>
    <n v="25155129.655423157"/>
    <n v="2.16"/>
    <n v="2.150064"/>
    <n v="11699712.034350213"/>
    <n v="13455417.621072944"/>
    <n v="1829688.9689906822"/>
    <n v="11625728.652082263"/>
    <n v="171206.47379409143"/>
    <n v="11454522.178288171"/>
    <m/>
    <m/>
    <m/>
  </r>
  <r>
    <x v="20"/>
    <d v="2019-04-01T00:00:00"/>
    <x v="898"/>
    <x v="1"/>
    <x v="0"/>
    <n v="25155129.655423157"/>
    <n v="2.16"/>
    <n v="2.150064"/>
    <n v="11699712.034350213"/>
    <n v="13455417.621072944"/>
    <n v="1881058.160440132"/>
    <n v="11574359.460632812"/>
    <n v="171206.47379409143"/>
    <n v="11403152.986838721"/>
    <m/>
    <m/>
    <m/>
  </r>
  <r>
    <x v="20"/>
    <d v="2019-05-01T00:00:00"/>
    <x v="899"/>
    <x v="1"/>
    <x v="0"/>
    <n v="19133530.631668162"/>
    <n v="2.16"/>
    <n v="2.150064"/>
    <n v="8899051.6708656866"/>
    <n v="10234478.960802475"/>
    <n v="1180287.7830768789"/>
    <n v="9054191.1777255964"/>
    <n v="130223.31252317435"/>
    <n v="8923967.8652024213"/>
    <m/>
    <m/>
    <m/>
  </r>
  <r>
    <x v="20"/>
    <d v="2019-06-01T00:00:00"/>
    <x v="900"/>
    <x v="1"/>
    <x v="0"/>
    <n v="15168446"/>
    <n v="2.16"/>
    <n v="2.150064"/>
    <n v="7054881.1570260236"/>
    <n v="8113564.8429739764"/>
    <n v="1258289.4238619304"/>
    <n v="6855275.4191120462"/>
    <n v="103236.84227309166"/>
    <n v="6752038.5768389544"/>
    <m/>
    <m/>
    <m/>
  </r>
  <r>
    <x v="21"/>
    <d v="2019-01-01T00:00:00"/>
    <x v="901"/>
    <x v="1"/>
    <x v="0"/>
    <n v="103091506.81246251"/>
    <n v="1.82"/>
    <n v="1.811628"/>
    <n v="56905450.132401638"/>
    <n v="46186056.680060871"/>
    <n v="12486099.676384287"/>
    <n v="33699957.003676586"/>
    <n v="701643.50576806266"/>
    <n v="32998313.497908521"/>
    <m/>
    <m/>
    <m/>
  </r>
  <r>
    <x v="21"/>
    <d v="2019-02-01T00:00:00"/>
    <x v="902"/>
    <x v="1"/>
    <x v="0"/>
    <n v="103091506.81246251"/>
    <n v="1.82"/>
    <n v="1.811628"/>
    <n v="56905450.132401638"/>
    <n v="46186056.680060871"/>
    <n v="12300559.608030375"/>
    <n v="33885497.0720305"/>
    <n v="701643.50576806266"/>
    <n v="33183853.566262435"/>
    <m/>
    <m/>
    <m/>
  </r>
  <r>
    <x v="21"/>
    <d v="2019-03-01T00:00:00"/>
    <x v="903"/>
    <x v="1"/>
    <x v="0"/>
    <n v="93763648.062462509"/>
    <n v="1.82"/>
    <n v="1.811628"/>
    <n v="51756568.159943715"/>
    <n v="42007079.902518794"/>
    <n v="8094081.4232888781"/>
    <n v="33912998.479229912"/>
    <n v="638157.85387468955"/>
    <n v="33274840.625355221"/>
    <m/>
    <m/>
    <m/>
  </r>
  <r>
    <x v="21"/>
    <d v="2019-04-01T00:00:00"/>
    <x v="904"/>
    <x v="1"/>
    <x v="0"/>
    <n v="93763648.062462509"/>
    <n v="1.82"/>
    <n v="1.811628"/>
    <n v="51756568.159943715"/>
    <n v="42007079.902518794"/>
    <n v="8321325.7392830448"/>
    <n v="33685754.163235746"/>
    <n v="638157.85387468955"/>
    <n v="33047596.309361055"/>
    <m/>
    <m/>
    <m/>
  </r>
  <r>
    <x v="21"/>
    <d v="2019-05-01T00:00:00"/>
    <x v="905"/>
    <x v="1"/>
    <x v="0"/>
    <n v="93763648.062462509"/>
    <n v="1.82"/>
    <n v="1.811628"/>
    <n v="51756568.159943715"/>
    <n v="42007079.902518794"/>
    <n v="6864511.7876054347"/>
    <n v="35142568.114913359"/>
    <n v="638157.85387468955"/>
    <n v="34504410.261038668"/>
    <m/>
    <m/>
    <m/>
  </r>
  <r>
    <x v="21"/>
    <d v="2019-06-01T00:00:00"/>
    <x v="906"/>
    <x v="1"/>
    <x v="0"/>
    <n v="93763648.062462509"/>
    <n v="1.82"/>
    <n v="1.811628"/>
    <n v="51756568.159943715"/>
    <n v="42007079.902518794"/>
    <n v="9231160.7922959775"/>
    <n v="32775919.110222816"/>
    <n v="638157.85387468955"/>
    <n v="32137761.256348126"/>
    <m/>
    <m/>
    <m/>
  </r>
  <r>
    <x v="21"/>
    <d v="2019-07-01T00:00:00"/>
    <x v="907"/>
    <x v="1"/>
    <x v="0"/>
    <n v="93763648.062462509"/>
    <n v="1.82"/>
    <n v="1.811628"/>
    <n v="51756568.159943715"/>
    <n v="42007079.902518794"/>
    <n v="13766384.158581443"/>
    <n v="28240695.743937351"/>
    <n v="638157.85387468955"/>
    <n v="27602537.89006266"/>
    <m/>
    <m/>
    <m/>
  </r>
  <r>
    <x v="21"/>
    <d v="2019-08-01T00:00:00"/>
    <x v="908"/>
    <x v="1"/>
    <x v="0"/>
    <n v="88864260.739212513"/>
    <n v="1.82"/>
    <n v="1.811628"/>
    <n v="49052156.811007842"/>
    <n v="39812103.928204671"/>
    <n v="12838775.969551345"/>
    <n v="26973327.958653323"/>
    <n v="604812.49494173459"/>
    <n v="26368515.46371159"/>
    <m/>
    <m/>
    <m/>
  </r>
  <r>
    <x v="21"/>
    <d v="2019-09-01T00:00:00"/>
    <x v="909"/>
    <x v="1"/>
    <x v="0"/>
    <n v="70971349.444212496"/>
    <n v="1.82"/>
    <n v="1.811628"/>
    <n v="39175454.035934806"/>
    <n v="31795895.40827769"/>
    <n v="11588427.204507556"/>
    <n v="20207468.203770135"/>
    <n v="483032.87024133105"/>
    <n v="19724435.333528802"/>
    <m/>
    <m/>
    <m/>
  </r>
  <r>
    <x v="21"/>
    <d v="2019-10-01T00:00:00"/>
    <x v="910"/>
    <x v="1"/>
    <x v="0"/>
    <n v="70971349.444212496"/>
    <n v="1.82"/>
    <n v="1.811628"/>
    <n v="39175454.035934806"/>
    <n v="31795895.40827769"/>
    <n v="12531687.410015613"/>
    <n v="19264207.998262078"/>
    <n v="483032.87024133105"/>
    <n v="18781175.128020745"/>
    <m/>
    <m/>
    <m/>
  </r>
  <r>
    <x v="21"/>
    <d v="2019-11-01T00:00:00"/>
    <x v="911"/>
    <x v="1"/>
    <x v="0"/>
    <n v="60371192.323249996"/>
    <n v="1.82"/>
    <n v="1.811628"/>
    <n v="33324276.464732271"/>
    <n v="27046915.858517725"/>
    <n v="14256933.367930731"/>
    <n v="12789982.490586994"/>
    <n v="410887.92218489898"/>
    <n v="12379094.568402095"/>
    <m/>
    <m/>
    <m/>
  </r>
  <r>
    <x v="21"/>
    <d v="2019-12-01T00:00:00"/>
    <x v="912"/>
    <x v="1"/>
    <x v="0"/>
    <n v="60371192.323249996"/>
    <n v="1.82"/>
    <n v="1.811628"/>
    <n v="33324276.464732271"/>
    <n v="27046915.858517725"/>
    <n v="12004158.173505301"/>
    <n v="15042757.685012424"/>
    <n v="410887.92218489898"/>
    <n v="14631869.762827525"/>
    <m/>
    <m/>
    <m/>
  </r>
  <r>
    <x v="21"/>
    <d v="2020-01-01T00:00:00"/>
    <x v="913"/>
    <x v="1"/>
    <x v="0"/>
    <n v="48562280"/>
    <n v="1.82"/>
    <n v="1.811628"/>
    <n v="26805878.469531272"/>
    <n v="21756401.530468728"/>
    <s v=""/>
    <s v=""/>
    <n v="330516.15444203804"/>
    <s v=""/>
    <m/>
    <m/>
    <m/>
  </r>
  <r>
    <x v="21"/>
    <d v="2020-02-01T00:00:00"/>
    <x v="914"/>
    <x v="1"/>
    <x v="0"/>
    <n v="48562280"/>
    <n v="1.82"/>
    <n v="1.811628"/>
    <n v="26805878.469531272"/>
    <n v="21756401.530468728"/>
    <s v=""/>
    <s v=""/>
    <n v="330516.15444203804"/>
    <s v=""/>
    <m/>
    <m/>
    <m/>
  </r>
  <r>
    <x v="21"/>
    <d v="2020-03-01T00:00:00"/>
    <x v="915"/>
    <x v="1"/>
    <x v="0"/>
    <n v="48562280"/>
    <n v="1.82"/>
    <n v="1.811628"/>
    <n v="26805878.469531272"/>
    <n v="21756401.530468728"/>
    <s v=""/>
    <s v=""/>
    <n v="330516.15444203804"/>
    <s v=""/>
    <m/>
    <m/>
    <m/>
  </r>
  <r>
    <x v="22"/>
    <d v="2019-01-01T00:00:00"/>
    <x v="916"/>
    <x v="1"/>
    <x v="0"/>
    <n v="28159952.859999999"/>
    <n v="2.42"/>
    <n v="2.408868"/>
    <n v="11690118.703058863"/>
    <n v="16469834.156941136"/>
    <n v="2565026.4959778627"/>
    <n v="13904807.660963275"/>
    <n v="191657.37952493725"/>
    <n v="13713150.281438338"/>
    <m/>
    <m/>
    <m/>
  </r>
  <r>
    <x v="23"/>
    <d v="2019-01-01T00:00:00"/>
    <x v="917"/>
    <x v="1"/>
    <x v="0"/>
    <n v="141764652.89297777"/>
    <n v="1.82"/>
    <n v="1.811628"/>
    <n v="78252628.515886143"/>
    <n v="63512024.377091631"/>
    <n v="17170062.222776227"/>
    <n v="46341962.154315405"/>
    <n v="964853.9547566002"/>
    <n v="45377108.199558802"/>
    <m/>
    <m/>
    <m/>
  </r>
  <r>
    <x v="23"/>
    <d v="2019-02-01T00:00:00"/>
    <x v="918"/>
    <x v="1"/>
    <x v="0"/>
    <n v="135543402.89297777"/>
    <n v="1.82"/>
    <n v="1.811628"/>
    <n v="74818562.581820205"/>
    <n v="60724840.311157569"/>
    <n v="16172619.435986342"/>
    <n v="44552220.875171229"/>
    <n v="922511.96369229001"/>
    <n v="43629708.911478937"/>
    <m/>
    <m/>
    <m/>
  </r>
  <r>
    <x v="23"/>
    <d v="2019-03-01T00:00:00"/>
    <x v="919"/>
    <x v="1"/>
    <x v="0"/>
    <n v="129322152.89297776"/>
    <n v="1.82"/>
    <n v="1.811628"/>
    <n v="71384496.647754267"/>
    <n v="57937656.245223492"/>
    <n v="11163644.514486745"/>
    <n v="46774011.730736747"/>
    <n v="880169.97262797982"/>
    <n v="45893841.758108765"/>
    <m/>
    <m/>
    <m/>
  </r>
  <r>
    <x v="23"/>
    <d v="2019-04-01T00:00:00"/>
    <x v="920"/>
    <x v="1"/>
    <x v="0"/>
    <n v="125198487.89297776"/>
    <n v="1.82"/>
    <n v="1.811628"/>
    <n v="69108276.032926053"/>
    <n v="56090211.860051706"/>
    <n v="11111101.384719215"/>
    <n v="44979110.475332491"/>
    <n v="852104.20022175775"/>
    <n v="44127006.275110736"/>
    <m/>
    <m/>
    <m/>
  </r>
  <r>
    <x v="23"/>
    <d v="2019-05-01T00:00:00"/>
    <x v="921"/>
    <x v="1"/>
    <x v="0"/>
    <n v="125198487.89297776"/>
    <n v="1.82"/>
    <n v="1.811628"/>
    <n v="69108276.032926053"/>
    <n v="56090211.860051706"/>
    <n v="9165881.5936768819"/>
    <n v="46924330.266374826"/>
    <n v="852104.20022175775"/>
    <n v="46072226.066153072"/>
    <m/>
    <m/>
    <m/>
  </r>
  <r>
    <x v="23"/>
    <d v="2019-06-01T00:00:00"/>
    <x v="922"/>
    <x v="1"/>
    <x v="0"/>
    <n v="125198487.89297776"/>
    <n v="1.82"/>
    <n v="1.811628"/>
    <n v="69108276.032926053"/>
    <n v="56090211.860051706"/>
    <n v="12325964.236400958"/>
    <n v="43764247.623650745"/>
    <n v="852104.20022175775"/>
    <n v="42912143.42342899"/>
    <m/>
    <m/>
    <m/>
  </r>
  <r>
    <x v="24"/>
    <d v="2019-01-01T00:00:00"/>
    <x v="923"/>
    <x v="1"/>
    <x v="0"/>
    <n v="121885113.19781627"/>
    <n v="1.41"/>
    <n v="1.4035139999999999"/>
    <n v="86842819.663940847"/>
    <n v="35042293.533875421"/>
    <n v="19054907.74573138"/>
    <n v="15987385.788144041"/>
    <n v="829553.28493379487"/>
    <n v="15157832.503210247"/>
    <m/>
    <m/>
    <m/>
  </r>
  <r>
    <x v="24"/>
    <d v="2019-02-01T00:00:00"/>
    <x v="924"/>
    <x v="1"/>
    <x v="0"/>
    <n v="106137074.99812877"/>
    <n v="1.41"/>
    <n v="1.4035139999999999"/>
    <n v="75622384.242785454"/>
    <n v="30514690.755343318"/>
    <n v="16346371.7959435"/>
    <n v="14168318.959399818"/>
    <n v="722371.72291143867"/>
    <n v="13445947.23648838"/>
    <m/>
    <m/>
    <m/>
  </r>
  <r>
    <x v="24"/>
    <d v="2019-03-01T00:00:00"/>
    <x v="925"/>
    <x v="1"/>
    <x v="0"/>
    <n v="106137074.99812877"/>
    <n v="1.41"/>
    <n v="1.4035139999999999"/>
    <n v="75622384.242785454"/>
    <n v="30514690.755343318"/>
    <n v="11826397.252475962"/>
    <n v="18688293.502867356"/>
    <n v="722371.72291143867"/>
    <n v="17965921.779955916"/>
    <m/>
    <m/>
    <m/>
  </r>
  <r>
    <x v="24"/>
    <d v="2019-04-01T00:00:00"/>
    <x v="926"/>
    <x v="1"/>
    <x v="0"/>
    <n v="99367677.590628773"/>
    <n v="1.41"/>
    <n v="1.4035139999999999"/>
    <n v="70799206.556278586"/>
    <n v="28568471.034350187"/>
    <n v="11382966.081076784"/>
    <n v="17185504.953273401"/>
    <n v="676299.02618021437"/>
    <n v="16509205.927093185"/>
    <m/>
    <m/>
    <m/>
  </r>
  <r>
    <x v="24"/>
    <d v="2019-05-01T00:00:00"/>
    <x v="927"/>
    <x v="1"/>
    <x v="0"/>
    <n v="99367677.590628773"/>
    <n v="1.41"/>
    <n v="1.4035139999999999"/>
    <n v="70799206.556278586"/>
    <n v="28568471.034350187"/>
    <n v="9390150.9554650281"/>
    <n v="19178320.07888516"/>
    <n v="676299.02618021437"/>
    <n v="18502021.052704945"/>
    <m/>
    <m/>
    <m/>
  </r>
  <r>
    <x v="24"/>
    <d v="2019-06-01T00:00:00"/>
    <x v="928"/>
    <x v="1"/>
    <x v="0"/>
    <n v="38237656.60828501"/>
    <n v="1.41"/>
    <n v="1.4035139999999999"/>
    <n v="27244228.848650608"/>
    <n v="10993427.759634402"/>
    <n v="4859206.5916504143"/>
    <n v="6134221.1679839874"/>
    <n v="260246.49619098494"/>
    <n v="5873974.6717930026"/>
    <m/>
    <m/>
    <m/>
  </r>
  <r>
    <x v="24"/>
    <d v="2019-07-01T00:00:00"/>
    <x v="929"/>
    <x v="1"/>
    <x v="0"/>
    <n v="38237656.60828501"/>
    <n v="1.41"/>
    <n v="1.4035139999999999"/>
    <n v="27244228.848650608"/>
    <n v="10993427.759634402"/>
    <n v="7246510.6124462783"/>
    <n v="3746917.1471881233"/>
    <n v="260246.49619098494"/>
    <n v="3486670.6509971386"/>
    <m/>
    <m/>
    <m/>
  </r>
  <r>
    <x v="25"/>
    <d v="2019-01-01T00:00:00"/>
    <x v="930"/>
    <x v="1"/>
    <x v="0"/>
    <n v="180800040.98000002"/>
    <n v="0.95"/>
    <n v="0.94562999999999986"/>
    <n v="191195331.13374159"/>
    <n v="-10395290.153741568"/>
    <n v="41951763.084919199"/>
    <n v="-52347053.238660768"/>
    <n v="1230529.832365212"/>
    <n v="-53577583.071025982"/>
    <m/>
    <m/>
    <m/>
  </r>
  <r>
    <x v="25"/>
    <d v="2019-02-01T00:00:00"/>
    <x v="931"/>
    <x v="1"/>
    <x v="0"/>
    <n v="159566345.48000002"/>
    <n v="0.95"/>
    <n v="0.94562999999999986"/>
    <n v="168740781.78568789"/>
    <n v="-9174436.3056878746"/>
    <n v="36474644.165562302"/>
    <n v="-45649080.471250176"/>
    <n v="1086012.7425322551"/>
    <n v="-46735093.21378243"/>
    <m/>
    <m/>
    <m/>
  </r>
  <r>
    <x v="25"/>
    <d v="2019-03-01T00:00:00"/>
    <x v="932"/>
    <x v="1"/>
    <x v="0"/>
    <n v="147730918.13"/>
    <n v="0.95"/>
    <n v="0.94562999999999986"/>
    <n v="156224863.98485667"/>
    <n v="-8493945.8548566699"/>
    <n v="24431619.297631484"/>
    <n v="-32925565.152488153"/>
    <n v="1005460.5128202208"/>
    <n v="-33931025.665308371"/>
    <m/>
    <m/>
    <m/>
  </r>
  <r>
    <x v="25"/>
    <d v="2019-04-01T00:00:00"/>
    <x v="933"/>
    <x v="1"/>
    <x v="0"/>
    <n v="207125397.61500004"/>
    <n v="0.95"/>
    <n v="0.94562999999999986"/>
    <n v="219034292.07512459"/>
    <n v="-11908894.460124552"/>
    <n v="35215930.213877551"/>
    <n v="-47124824.674002104"/>
    <n v="1409700.9017490095"/>
    <n v="-48534525.575751111"/>
    <m/>
    <m/>
    <m/>
  </r>
  <r>
    <x v="25"/>
    <d v="2019-05-01T00:00:00"/>
    <x v="934"/>
    <x v="1"/>
    <x v="0"/>
    <n v="142765645.45500004"/>
    <n v="0.95"/>
    <n v="0.94562999999999986"/>
    <n v="150974107.69011143"/>
    <n v="-8208462.2351113856"/>
    <n v="20023807.194080181"/>
    <n v="-28232269.429191567"/>
    <n v="971666.73645104875"/>
    <n v="-29203936.165642615"/>
    <m/>
    <m/>
    <m/>
  </r>
  <r>
    <x v="25"/>
    <d v="2019-06-01T00:00:00"/>
    <x v="935"/>
    <x v="1"/>
    <x v="0"/>
    <n v="142765645.45500004"/>
    <n v="0.95"/>
    <n v="0.94562999999999986"/>
    <n v="150974107.69011143"/>
    <n v="-8208462.2351113856"/>
    <n v="26927331.411425304"/>
    <n v="-35135793.646536693"/>
    <n v="971666.73645104875"/>
    <n v="-36107460.382987745"/>
    <m/>
    <m/>
    <m/>
  </r>
  <r>
    <x v="25"/>
    <d v="2019-07-01T00:00:00"/>
    <x v="936"/>
    <x v="1"/>
    <x v="0"/>
    <n v="138859487.68500003"/>
    <n v="0.95"/>
    <n v="0.94562999999999986"/>
    <n v="146843361.23536694"/>
    <n v="-7983873.5503669083"/>
    <n v="39057885.67078761"/>
    <n v="-47041759.221154518"/>
    <n v="945081.32397073915"/>
    <n v="-47986840.545125261"/>
    <m/>
    <m/>
    <m/>
  </r>
  <r>
    <x v="25"/>
    <d v="2019-08-01T00:00:00"/>
    <x v="937"/>
    <x v="1"/>
    <x v="0"/>
    <n v="138859487.68500003"/>
    <n v="0.95"/>
    <n v="0.94562999999999986"/>
    <n v="146843361.23536694"/>
    <n v="-7983873.5503669083"/>
    <n v="38434375.572527267"/>
    <n v="-46418249.122894175"/>
    <n v="945081.32397073915"/>
    <n v="-47363330.446864918"/>
    <m/>
    <m/>
    <m/>
  </r>
  <r>
    <x v="25"/>
    <d v="2019-09-01T00:00:00"/>
    <x v="938"/>
    <x v="1"/>
    <x v="0"/>
    <n v="125986492.18499999"/>
    <n v="0.95"/>
    <n v="0.94562999999999986"/>
    <n v="133230219.20307097"/>
    <n v="-7243727.0180709809"/>
    <n v="39410613.984439336"/>
    <n v="-46654341.002510317"/>
    <n v="857467.37815086253"/>
    <n v="-47511808.380661182"/>
    <m/>
    <m/>
    <m/>
  </r>
  <r>
    <x v="25"/>
    <d v="2019-10-01T00:00:00"/>
    <x v="939"/>
    <x v="1"/>
    <x v="0"/>
    <n v="125986492.18499999"/>
    <n v="0.95"/>
    <n v="0.94562999999999986"/>
    <n v="133230219.20307097"/>
    <n v="-7243727.0180709809"/>
    <n v="42618509.51591415"/>
    <n v="-49862236.53398513"/>
    <n v="857467.37815086253"/>
    <n v="-50719703.912135996"/>
    <m/>
    <m/>
    <m/>
  </r>
  <r>
    <x v="25"/>
    <d v="2019-11-01T00:00:00"/>
    <x v="940"/>
    <x v="1"/>
    <x v="0"/>
    <n v="18409623"/>
    <n v="0.95"/>
    <n v="0.94562999999999986"/>
    <n v="19468103.803813335"/>
    <n v="-1058480.8038133346"/>
    <n v="8328926.7817912828"/>
    <n v="-9387407.5856046174"/>
    <n v="125296.37814961931"/>
    <n v="-9512703.9637542367"/>
    <m/>
    <m/>
    <m/>
  </r>
  <r>
    <x v="25"/>
    <d v="2019-12-01T00:00:00"/>
    <x v="941"/>
    <x v="1"/>
    <x v="0"/>
    <n v="18409623"/>
    <n v="0.95"/>
    <n v="0.94562999999999986"/>
    <n v="19468103.803813335"/>
    <n v="-1058480.8038133346"/>
    <n v="7012851.3561734138"/>
    <n v="-8071332.1599867484"/>
    <n v="125296.37814961931"/>
    <n v="-8196628.5381363677"/>
    <m/>
    <m/>
    <m/>
  </r>
  <r>
    <x v="25"/>
    <d v="2020-01-01T00:00:00"/>
    <x v="942"/>
    <x v="1"/>
    <x v="0"/>
    <n v="18409623"/>
    <n v="0.95"/>
    <n v="0.94562999999999986"/>
    <n v="19468103.803813335"/>
    <n v="-1058480.8038133346"/>
    <s v=""/>
    <s v=""/>
    <n v="125296.37814961931"/>
    <s v=""/>
    <m/>
    <m/>
    <m/>
  </r>
  <r>
    <x v="25"/>
    <d v="2020-02-01T00:00:00"/>
    <x v="943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3-01T00:00:00"/>
    <x v="944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4-01T00:00:00"/>
    <x v="945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5-01T00:00:00"/>
    <x v="946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6-01T00:00:00"/>
    <x v="947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7-01T00:00:00"/>
    <x v="948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8-01T00:00:00"/>
    <x v="949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09-01T00:00:00"/>
    <x v="950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10-01T00:00:00"/>
    <x v="951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11-01T00:00:00"/>
    <x v="952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0-12-01T00:00:00"/>
    <x v="953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1-01T00:00:00"/>
    <x v="954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2-01T00:00:00"/>
    <x v="955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3-01T00:00:00"/>
    <x v="956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4-01T00:00:00"/>
    <x v="957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5-01T00:00:00"/>
    <x v="958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6-01T00:00:00"/>
    <x v="959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7-01T00:00:00"/>
    <x v="960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8-01T00:00:00"/>
    <x v="961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09-01T00:00:00"/>
    <x v="962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d v="2021-10-01T00:00:00"/>
    <x v="963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6"/>
    <d v="2019-01-01T00:00:00"/>
    <x v="964"/>
    <x v="1"/>
    <x v="0"/>
    <n v="56127548.580235153"/>
    <n v="1.73"/>
    <n v="1.7220419999999999"/>
    <n v="32593600.260757379"/>
    <n v="23533948.319477774"/>
    <n v="7151633.8192765992"/>
    <n v="16382314.500201175"/>
    <n v="382005.57129932928"/>
    <n v="16000308.928901846"/>
    <m/>
    <m/>
    <m/>
  </r>
  <r>
    <x v="26"/>
    <d v="2019-02-01T00:00:00"/>
    <x v="965"/>
    <x v="1"/>
    <x v="0"/>
    <n v="60393607.013095886"/>
    <n v="1.73"/>
    <n v="1.7220419999999999"/>
    <n v="35070925.68769861"/>
    <n v="25322681.325397275"/>
    <n v="7580855.804261677"/>
    <n v="17741825.521135598"/>
    <n v="411040.47715329984"/>
    <n v="17330785.043982297"/>
    <m/>
    <m/>
    <m/>
  </r>
  <r>
    <x v="26"/>
    <d v="2019-03-01T00:00:00"/>
    <x v="966"/>
    <x v="1"/>
    <x v="0"/>
    <n v="60987214.319031961"/>
    <n v="1.73"/>
    <n v="1.7220419999999999"/>
    <n v="35415636.969964705"/>
    <n v="25571577.349067256"/>
    <n v="5538563.6931466488"/>
    <n v="20033013.655920606"/>
    <n v="415080.58408416656"/>
    <n v="19617933.071836438"/>
    <m/>
    <m/>
    <m/>
  </r>
  <r>
    <x v="26"/>
    <d v="2019-04-01T00:00:00"/>
    <x v="967"/>
    <x v="1"/>
    <x v="0"/>
    <n v="64608218.885242015"/>
    <n v="1.73"/>
    <n v="1.7220419999999999"/>
    <n v="37518375.7917879"/>
    <n v="27089843.093454115"/>
    <n v="6032135.3843921097"/>
    <n v="21057707.709062006"/>
    <n v="439725.23636245349"/>
    <n v="20617982.472699553"/>
    <m/>
    <m/>
    <m/>
  </r>
  <r>
    <x v="26"/>
    <d v="2019-05-01T00:00:00"/>
    <x v="968"/>
    <x v="1"/>
    <x v="0"/>
    <n v="67101369.570173509"/>
    <n v="1.73"/>
    <n v="1.7220419999999999"/>
    <n v="38966163.177305497"/>
    <n v="28135206.392868012"/>
    <n v="5168110.9462621929"/>
    <n v="22967095.44660582"/>
    <n v="456693.68547209352"/>
    <n v="22510401.761133727"/>
    <m/>
    <m/>
    <m/>
  </r>
  <r>
    <x v="26"/>
    <d v="2019-06-01T00:00:00"/>
    <x v="969"/>
    <x v="1"/>
    <x v="0"/>
    <n v="68644748.565607309"/>
    <n v="1.73"/>
    <n v="1.7220419999999999"/>
    <n v="39862412.511197358"/>
    <n v="28782336.054409951"/>
    <n v="7109751.526077494"/>
    <n v="21672584.528332457"/>
    <n v="467197.96349234699"/>
    <n v="21205386.564840108"/>
    <m/>
    <m/>
    <m/>
  </r>
  <r>
    <x v="26"/>
    <d v="2019-07-01T00:00:00"/>
    <x v="970"/>
    <x v="1"/>
    <x v="0"/>
    <n v="85079795.189299077"/>
    <n v="1.73"/>
    <n v="1.7220419999999999"/>
    <n v="49406341.534816854"/>
    <n v="35673453.654482223"/>
    <n v="13141263.06320204"/>
    <n v="22532190.591280185"/>
    <n v="579055.32291077229"/>
    <n v="21953135.268369414"/>
    <m/>
    <m/>
    <m/>
  </r>
  <r>
    <x v="26"/>
    <d v="2019-08-01T00:00:00"/>
    <x v="971"/>
    <x v="1"/>
    <x v="0"/>
    <n v="89917694.732678071"/>
    <n v="1.73"/>
    <n v="1.7220419999999999"/>
    <n v="52215738.485285535"/>
    <n v="37701956.247392535"/>
    <n v="13666803.094513861"/>
    <n v="24035153.152878672"/>
    <n v="611982.19439733576"/>
    <n v="23423170.958481338"/>
    <m/>
    <m/>
    <m/>
  </r>
  <r>
    <x v="26"/>
    <d v="2019-09-01T00:00:00"/>
    <x v="972"/>
    <x v="1"/>
    <x v="0"/>
    <n v="87216781.490668952"/>
    <n v="1.73"/>
    <n v="1.7220419999999999"/>
    <n v="50647302.15097481"/>
    <n v="36569479.339694142"/>
    <n v="14981895.896928189"/>
    <n v="21587583.442765951"/>
    <n v="593599.70786189241"/>
    <n v="20993983.734904058"/>
    <m/>
    <m/>
    <m/>
  </r>
  <r>
    <x v="26"/>
    <d v="2019-10-01T00:00:00"/>
    <x v="973"/>
    <x v="1"/>
    <x v="0"/>
    <n v="88225913.910760283"/>
    <n v="1.73"/>
    <n v="1.7220419999999999"/>
    <n v="51233311.330827177"/>
    <n v="36992602.579933107"/>
    <n v="16388829.647998663"/>
    <n v="20603772.931934446"/>
    <n v="600467.88964436587"/>
    <n v="20003305.04229008"/>
    <m/>
    <m/>
    <m/>
  </r>
  <r>
    <x v="26"/>
    <d v="2019-11-01T00:00:00"/>
    <x v="974"/>
    <x v="1"/>
    <x v="0"/>
    <n v="89977055.463271677"/>
    <n v="1.73"/>
    <n v="1.7220419999999999"/>
    <n v="52250209.613512151"/>
    <n v="37726845.849759527"/>
    <n v="22353906.399397086"/>
    <n v="15372939.45036244"/>
    <n v="612386.20509042253"/>
    <n v="14760553.245272018"/>
    <m/>
    <m/>
    <m/>
  </r>
  <r>
    <x v="26"/>
    <d v="2019-12-01T00:00:00"/>
    <x v="975"/>
    <x v="1"/>
    <x v="0"/>
    <n v="84456507.518066227"/>
    <n v="1.73"/>
    <n v="1.7220419999999999"/>
    <n v="49044394.688437469"/>
    <n v="35412112.829628758"/>
    <n v="17666900.344765119"/>
    <n v="17745212.484863639"/>
    <n v="574813.21063336241"/>
    <n v="17170399.274230275"/>
    <m/>
    <m/>
    <m/>
  </r>
  <r>
    <x v="26"/>
    <d v="2020-01-01T00:00:00"/>
    <x v="976"/>
    <x v="1"/>
    <x v="0"/>
    <n v="84812671.901627824"/>
    <n v="1.73"/>
    <n v="1.7220419999999999"/>
    <n v="49251221.457797095"/>
    <n v="35561450.443830729"/>
    <s v=""/>
    <s v=""/>
    <n v="577237.27479188202"/>
    <s v=""/>
    <m/>
    <m/>
    <m/>
  </r>
  <r>
    <x v="26"/>
    <d v="2020-02-01T00:00:00"/>
    <x v="977"/>
    <x v="1"/>
    <x v="0"/>
    <n v="87038699.298888147"/>
    <n v="1.73"/>
    <n v="1.7220419999999999"/>
    <n v="50543888.766294986"/>
    <n v="36494810.532593161"/>
    <s v=""/>
    <s v=""/>
    <n v="592387.67578263255"/>
    <s v=""/>
    <m/>
    <m/>
    <m/>
  </r>
  <r>
    <x v="26"/>
    <d v="2020-03-01T00:00:00"/>
    <x v="978"/>
    <x v="1"/>
    <x v="0"/>
    <n v="84219064.595691785"/>
    <n v="1.73"/>
    <n v="1.7220419999999999"/>
    <n v="48906510.175531022"/>
    <n v="35312554.420160763"/>
    <s v=""/>
    <s v=""/>
    <n v="573197.16786101565"/>
    <s v=""/>
    <m/>
    <m/>
    <m/>
  </r>
  <r>
    <x v="26"/>
    <d v="2020-04-01T00:00:00"/>
    <x v="979"/>
    <x v="1"/>
    <x v="0"/>
    <n v="86415411.627655238"/>
    <n v="1.73"/>
    <n v="1.7220419999999999"/>
    <n v="50181941.919915572"/>
    <n v="36233469.707739666"/>
    <s v=""/>
    <s v=""/>
    <n v="588145.56350522232"/>
    <s v=""/>
    <m/>
    <m/>
    <m/>
  </r>
  <r>
    <x v="26"/>
    <d v="2020-05-01T00:00:00"/>
    <x v="980"/>
    <x v="1"/>
    <x v="0"/>
    <n v="86919977.837700903"/>
    <n v="1.73"/>
    <n v="1.7220419999999999"/>
    <n v="50474946.509841755"/>
    <n v="36445031.327859148"/>
    <s v=""/>
    <s v=""/>
    <n v="591579.65439645899"/>
    <s v=""/>
    <m/>
    <m/>
    <m/>
  </r>
  <r>
    <x v="26"/>
    <d v="2020-06-01T00:00:00"/>
    <x v="981"/>
    <x v="1"/>
    <x v="0"/>
    <n v="82467923.043180406"/>
    <n v="1.73"/>
    <n v="1.7220419999999999"/>
    <n v="47889611.892846063"/>
    <n v="34578311.150334343"/>
    <s v=""/>
    <s v=""/>
    <n v="561278.85241495911"/>
    <s v=""/>
    <m/>
    <m/>
    <m/>
  </r>
  <r>
    <x v="26"/>
    <d v="2020-07-01T00:00:00"/>
    <x v="982"/>
    <x v="1"/>
    <x v="0"/>
    <n v="81013585.143636942"/>
    <n v="1.73"/>
    <n v="1.7220419999999999"/>
    <n v="47045069.251294076"/>
    <n v="33968515.892342865"/>
    <s v=""/>
    <s v=""/>
    <n v="551380.59043433517"/>
    <s v=""/>
    <m/>
    <m/>
    <m/>
  </r>
  <r>
    <x v="26"/>
    <d v="2020-08-01T00:00:00"/>
    <x v="983"/>
    <x v="1"/>
    <x v="0"/>
    <n v="80894863.682449803"/>
    <n v="1.73"/>
    <n v="1.7220419999999999"/>
    <n v="46976126.994840898"/>
    <n v="33918736.687608905"/>
    <s v=""/>
    <s v=""/>
    <n v="550572.56904816232"/>
    <s v=""/>
    <m/>
    <m/>
    <m/>
  </r>
  <r>
    <x v="26"/>
    <d v="2020-09-01T00:00:00"/>
    <x v="984"/>
    <x v="1"/>
    <x v="0"/>
    <n v="78609475.554595888"/>
    <n v="1.73"/>
    <n v="1.7220419999999999"/>
    <n v="45648988.558116406"/>
    <n v="32960486.996479481"/>
    <s v=""/>
    <s v=""/>
    <n v="535018.15736432525"/>
    <s v=""/>
    <m/>
    <m/>
    <m/>
  </r>
  <r>
    <x v="27"/>
    <d v="2019-03-01T00:00:00"/>
    <x v="985"/>
    <x v="1"/>
    <x v="0"/>
    <n v="50337339"/>
    <n v="1"/>
    <n v="0.99539999999999995"/>
    <n v="50569960.819770947"/>
    <n v="-232621.8197709471"/>
    <n v="7908510.8421956766"/>
    <n v="-8141132.6619666237"/>
    <n v="342597.25266452116"/>
    <n v="-8483729.9146311451"/>
    <m/>
    <m/>
    <m/>
  </r>
  <r>
    <x v="27"/>
    <d v="2019-04-01T00:00:00"/>
    <x v="986"/>
    <x v="1"/>
    <x v="0"/>
    <n v="50337339"/>
    <n v="1"/>
    <n v="0.99539999999999995"/>
    <n v="50569960.819770947"/>
    <n v="-232621.8197709471"/>
    <n v="8130545.1958032735"/>
    <n v="-8363167.0155742206"/>
    <n v="342597.25266452116"/>
    <n v="-8705764.2682387419"/>
    <m/>
    <m/>
    <m/>
  </r>
  <r>
    <x v="27"/>
    <d v="2019-05-01T00:00:00"/>
    <x v="987"/>
    <x v="1"/>
    <x v="0"/>
    <n v="50337339"/>
    <n v="1"/>
    <n v="0.99539999999999995"/>
    <n v="50569960.819770947"/>
    <n v="-232621.8197709471"/>
    <n v="6707131.1813661829"/>
    <n v="-6939753.00113713"/>
    <n v="342597.25266452116"/>
    <n v="-7282350.2538016513"/>
    <m/>
    <m/>
    <m/>
  </r>
  <r>
    <x v="27"/>
    <d v="2019-06-01T00:00:00"/>
    <x v="988"/>
    <x v="1"/>
    <x v="0"/>
    <n v="50337339"/>
    <n v="1"/>
    <n v="0.99539999999999995"/>
    <n v="50569960.819770947"/>
    <n v="-232621.8197709471"/>
    <n v="9019520.7329975516"/>
    <n v="-9252142.5527684987"/>
    <n v="342597.25266452116"/>
    <n v="-9594739.80543302"/>
    <m/>
    <m/>
    <m/>
  </r>
  <r>
    <x v="27"/>
    <d v="2019-07-01T00:00:00"/>
    <x v="989"/>
    <x v="1"/>
    <x v="0"/>
    <n v="39863714"/>
    <n v="1"/>
    <n v="0.99539999999999995"/>
    <n v="40047934.498693995"/>
    <n v="-184220.49869399518"/>
    <n v="10652082.830588663"/>
    <n v="-10836303.329282658"/>
    <n v="271313.48555004486"/>
    <n v="-11107616.814832702"/>
    <m/>
    <m/>
    <m/>
  </r>
  <r>
    <x v="27"/>
    <d v="2019-08-01T00:00:00"/>
    <x v="990"/>
    <x v="1"/>
    <x v="0"/>
    <n v="39863714"/>
    <n v="1"/>
    <n v="0.99539999999999995"/>
    <n v="40047934.498693995"/>
    <n v="-184220.49869399518"/>
    <n v="10482035.704424197"/>
    <n v="-10666256.203118192"/>
    <n v="271313.48555004486"/>
    <n v="-10937569.688668236"/>
    <m/>
    <m/>
    <m/>
  </r>
  <r>
    <x v="27"/>
    <d v="2019-09-01T00:00:00"/>
    <x v="991"/>
    <x v="1"/>
    <x v="0"/>
    <n v="39863714"/>
    <n v="1"/>
    <n v="0.99539999999999995"/>
    <n v="40047934.498693995"/>
    <n v="-184220.49869399518"/>
    <n v="11846514.228100585"/>
    <n v="-12030734.72679458"/>
    <n v="271313.48555004486"/>
    <n v="-12302048.212344624"/>
    <m/>
    <m/>
    <m/>
  </r>
  <r>
    <x v="27"/>
    <d v="2019-10-01T00:00:00"/>
    <x v="992"/>
    <x v="1"/>
    <x v="0"/>
    <n v="39863714"/>
    <n v="1"/>
    <n v="0.99539999999999995"/>
    <n v="40047934.498693995"/>
    <n v="-184220.49869399518"/>
    <n v="12810781.876173295"/>
    <n v="-12995002.37486729"/>
    <n v="271313.48555004486"/>
    <n v="-13266315.860417334"/>
    <m/>
    <m/>
    <m/>
  </r>
  <r>
    <x v="27"/>
    <d v="2019-11-01T00:00:00"/>
    <x v="993"/>
    <x v="1"/>
    <x v="0"/>
    <n v="39863714"/>
    <n v="1"/>
    <n v="0.99539999999999995"/>
    <n v="40047934.498693995"/>
    <n v="-184220.49869399518"/>
    <n v="17133477.279706087"/>
    <n v="-17317697.778400082"/>
    <n v="271313.48555004486"/>
    <n v="-17589011.263950128"/>
    <m/>
    <m/>
    <m/>
  </r>
  <r>
    <x v="27"/>
    <d v="2019-12-01T00:00:00"/>
    <x v="994"/>
    <x v="1"/>
    <x v="0"/>
    <n v="39863714"/>
    <n v="1"/>
    <n v="0.99539999999999995"/>
    <n v="40047934.498693995"/>
    <n v="-184220.49869399518"/>
    <n v="14426171.885630608"/>
    <n v="-14610392.384324603"/>
    <n v="271313.48555004486"/>
    <n v="-14881705.869874647"/>
    <m/>
    <m/>
    <m/>
  </r>
  <r>
    <x v="27"/>
    <d v="2020-01-01T00:00:00"/>
    <x v="995"/>
    <x v="1"/>
    <x v="0"/>
    <n v="39863714"/>
    <n v="1"/>
    <n v="0.99539999999999995"/>
    <n v="40047934.498693995"/>
    <n v="-184220.49869399518"/>
    <s v=""/>
    <s v=""/>
    <n v="271313.48555004486"/>
    <s v=""/>
    <m/>
    <m/>
    <m/>
  </r>
  <r>
    <x v="27"/>
    <d v="2020-02-01T00:00:00"/>
    <x v="996"/>
    <x v="1"/>
    <x v="0"/>
    <n v="35856914"/>
    <n v="1"/>
    <n v="0.99539999999999995"/>
    <n v="36022618.042997792"/>
    <n v="-165704.04299779236"/>
    <s v=""/>
    <s v=""/>
    <n v="244043.09940634738"/>
    <s v=""/>
    <m/>
    <m/>
    <m/>
  </r>
  <r>
    <x v="27"/>
    <d v="2020-03-01T00:00:00"/>
    <x v="997"/>
    <x v="1"/>
    <x v="0"/>
    <n v="3170664"/>
    <n v="1"/>
    <n v="0.99539999999999995"/>
    <n v="3185316.4556962028"/>
    <n v="-14652.455696202815"/>
    <s v=""/>
    <s v=""/>
    <n v="21579.622544654205"/>
    <s v=""/>
    <m/>
    <m/>
    <m/>
  </r>
  <r>
    <x v="27"/>
    <d v="2020-04-01T00:00:00"/>
    <x v="998"/>
    <x v="1"/>
    <x v="0"/>
    <n v="3170664"/>
    <n v="1"/>
    <n v="0.99539999999999995"/>
    <n v="3185316.4556962028"/>
    <n v="-14652.455696202815"/>
    <s v=""/>
    <s v=""/>
    <n v="21579.622544654205"/>
    <s v=""/>
    <m/>
    <m/>
    <m/>
  </r>
  <r>
    <x v="27"/>
    <d v="2020-05-01T00:00:00"/>
    <x v="999"/>
    <x v="1"/>
    <x v="0"/>
    <n v="3170664"/>
    <n v="1"/>
    <n v="0.99539999999999995"/>
    <n v="3185316.4556962028"/>
    <n v="-14652.455696202815"/>
    <s v=""/>
    <s v=""/>
    <n v="21579.622544654205"/>
    <s v=""/>
    <m/>
    <m/>
    <m/>
  </r>
  <r>
    <x v="28"/>
    <d v="2019-02-01T00:00:00"/>
    <x v="1000"/>
    <x v="1"/>
    <x v="0"/>
    <n v="71835513.627000004"/>
    <n v="2.79"/>
    <n v="2.7771659999999998"/>
    <n v="25866481.739658345"/>
    <n v="45969031.887341663"/>
    <n v="5591243.0136025101"/>
    <n v="40377788.873739153"/>
    <n v="488914.3943893215"/>
    <n v="39888874.479349829"/>
    <m/>
    <m/>
    <m/>
  </r>
  <r>
    <x v="28"/>
    <d v="2019-03-01T00:00:00"/>
    <x v="1001"/>
    <x v="1"/>
    <x v="0"/>
    <n v="71835513.627000004"/>
    <n v="2.79"/>
    <n v="2.7771659999999998"/>
    <n v="25866481.739658345"/>
    <n v="45969031.887341663"/>
    <n v="4045194.9728932194"/>
    <n v="41923836.91444844"/>
    <n v="488914.3943893215"/>
    <n v="41434922.520059116"/>
    <m/>
    <m/>
    <m/>
  </r>
  <r>
    <x v="28"/>
    <d v="2019-04-01T00:00:00"/>
    <x v="1002"/>
    <x v="1"/>
    <x v="0"/>
    <n v="71835513.627000004"/>
    <n v="2.79"/>
    <n v="2.7771659999999998"/>
    <n v="25866481.739658345"/>
    <n v="45969031.887341663"/>
    <n v="4158765.311095308"/>
    <n v="41810266.576246358"/>
    <n v="488914.3943893215"/>
    <n v="41321352.181857035"/>
    <m/>
    <m/>
    <m/>
  </r>
  <r>
    <x v="28"/>
    <d v="2019-05-01T00:00:00"/>
    <x v="1003"/>
    <x v="1"/>
    <x v="0"/>
    <n v="71835513.627000004"/>
    <n v="2.79"/>
    <n v="2.7771659999999998"/>
    <n v="25866481.739658345"/>
    <n v="45969031.887341663"/>
    <n v="3430690.5407067961"/>
    <n v="42538341.346634865"/>
    <n v="488914.3943893215"/>
    <n v="42049426.952245541"/>
    <m/>
    <m/>
    <m/>
  </r>
  <r>
    <x v="28"/>
    <d v="2019-06-01T00:00:00"/>
    <x v="1004"/>
    <x v="1"/>
    <x v="0"/>
    <n v="71835513.627000004"/>
    <n v="2.79"/>
    <n v="2.7771659999999998"/>
    <n v="25866481.739658345"/>
    <n v="45969031.887341663"/>
    <n v="4613475.362815355"/>
    <n v="41355556.524526305"/>
    <n v="488914.3943893215"/>
    <n v="40866642.130136982"/>
    <m/>
    <m/>
    <m/>
  </r>
  <r>
    <x v="28"/>
    <d v="2019-07-01T00:00:00"/>
    <x v="1005"/>
    <x v="1"/>
    <x v="0"/>
    <n v="71835513.627000004"/>
    <n v="2.79"/>
    <n v="2.7771659999999998"/>
    <n v="25866481.739658345"/>
    <n v="45969031.887341663"/>
    <n v="6880052.8535556607"/>
    <n v="39088979.033785999"/>
    <n v="488914.3943893215"/>
    <n v="38600064.639396675"/>
    <m/>
    <m/>
    <m/>
  </r>
  <r>
    <x v="28"/>
    <d v="2019-08-01T00:00:00"/>
    <x v="1006"/>
    <x v="1"/>
    <x v="0"/>
    <n v="71835513.627000004"/>
    <n v="2.79"/>
    <n v="2.7771659999999998"/>
    <n v="25866481.739658345"/>
    <n v="45969031.887341663"/>
    <n v="6770221.4492929028"/>
    <n v="39198810.438048758"/>
    <n v="488914.3943893215"/>
    <n v="38709896.043659434"/>
    <m/>
    <m/>
    <m/>
  </r>
  <r>
    <x v="28"/>
    <d v="2019-09-01T00:00:00"/>
    <x v="1007"/>
    <x v="1"/>
    <x v="0"/>
    <n v="71835513.627000004"/>
    <n v="2.79"/>
    <n v="2.7771659999999998"/>
    <n v="25866481.739658345"/>
    <n v="45969031.887341663"/>
    <n v="7651521.8024480008"/>
    <n v="38317510.084893659"/>
    <n v="488914.3943893215"/>
    <n v="37828595.690504335"/>
    <m/>
    <m/>
    <m/>
  </r>
  <r>
    <x v="28"/>
    <d v="2019-10-01T00:00:00"/>
    <x v="1008"/>
    <x v="1"/>
    <x v="0"/>
    <n v="71835513.627000004"/>
    <n v="2.79"/>
    <n v="2.7771659999999998"/>
    <n v="25866481.739658345"/>
    <n v="45969031.887341663"/>
    <n v="8274330.7393690646"/>
    <n v="37694701.147972599"/>
    <n v="488914.3943893215"/>
    <n v="37205786.753583275"/>
    <m/>
    <m/>
    <m/>
  </r>
  <r>
    <x v="28"/>
    <d v="2019-11-01T00:00:00"/>
    <x v="1009"/>
    <x v="1"/>
    <x v="0"/>
    <n v="71835513.627000004"/>
    <n v="2.79"/>
    <n v="2.7771659999999998"/>
    <n v="25866481.739658345"/>
    <n v="45969031.887341663"/>
    <n v="11066307.981671847"/>
    <n v="34902723.905669816"/>
    <n v="488914.3943893215"/>
    <n v="34413809.511280492"/>
    <m/>
    <m/>
    <m/>
  </r>
  <r>
    <x v="28"/>
    <d v="2019-12-01T00:00:00"/>
    <x v="1010"/>
    <x v="1"/>
    <x v="0"/>
    <n v="67834346.519999996"/>
    <n v="2.79"/>
    <n v="2.7771659999999998"/>
    <n v="24425744.273118712"/>
    <n v="43408602.246881284"/>
    <n v="8798705.5944160912"/>
    <n v="34609896.652465194"/>
    <n v="461682.34586347762"/>
    <n v="34148214.306601718"/>
    <m/>
    <m/>
    <m/>
  </r>
  <r>
    <x v="28"/>
    <d v="2020-01-01T00:00:00"/>
    <x v="1011"/>
    <x v="1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d v="2020-02-01T00:00:00"/>
    <x v="1012"/>
    <x v="1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d v="2020-03-01T00:00:00"/>
    <x v="1013"/>
    <x v="1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d v="2020-04-01T00:00:00"/>
    <x v="1014"/>
    <x v="1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d v="2020-05-01T00:00:00"/>
    <x v="1015"/>
    <x v="1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d v="2020-06-01T00:00:00"/>
    <x v="1016"/>
    <x v="1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d v="2020-07-01T00:00:00"/>
    <x v="1017"/>
    <x v="1"/>
    <x v="0"/>
    <n v="42670815.644999996"/>
    <n v="2.79"/>
    <n v="2.7771659999999998"/>
    <n v="15364877.592841048"/>
    <n v="27305938.052158948"/>
    <s v=""/>
    <s v=""/>
    <n v="290418.6931480678"/>
    <s v=""/>
    <m/>
    <m/>
    <m/>
  </r>
  <r>
    <x v="28"/>
    <d v="2020-08-01T00:00:00"/>
    <x v="1018"/>
    <x v="1"/>
    <x v="0"/>
    <n v="37747146.719999999"/>
    <n v="2.79"/>
    <n v="2.7771659999999998"/>
    <n v="13591966.313860966"/>
    <n v="24155180.406139031"/>
    <s v=""/>
    <s v=""/>
    <n v="256908.07299520919"/>
    <s v=""/>
    <m/>
    <m/>
    <m/>
  </r>
  <r>
    <x v="28"/>
    <d v="2020-09-01T00:00:00"/>
    <x v="1019"/>
    <x v="1"/>
    <x v="0"/>
    <n v="37747146.719999999"/>
    <n v="2.79"/>
    <n v="2.7771659999999998"/>
    <n v="13591966.313860966"/>
    <n v="24155180.406139031"/>
    <s v=""/>
    <s v=""/>
    <n v="256908.07299520919"/>
    <s v=""/>
    <m/>
    <m/>
    <m/>
  </r>
  <r>
    <x v="28"/>
    <d v="2020-10-01T00:00:00"/>
    <x v="1020"/>
    <x v="1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8"/>
    <d v="2020-11-01T00:00:00"/>
    <x v="1021"/>
    <x v="1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8"/>
    <d v="2020-12-01T00:00:00"/>
    <x v="1022"/>
    <x v="1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9"/>
    <d v="2019-01-01T00:00:00"/>
    <x v="1023"/>
    <x v="1"/>
    <x v="0"/>
    <n v="18830171.789000001"/>
    <n v="5.94"/>
    <n v="5.9126760000000003"/>
    <n v="3184712.2671697214"/>
    <n v="15645459.521830279"/>
    <n v="698784.29422778916"/>
    <n v="14946675.227602489"/>
    <n v="128158.64426429795"/>
    <n v="14818516.583338192"/>
    <m/>
    <m/>
    <m/>
  </r>
  <r>
    <x v="13"/>
    <d v="2019-04-01T00:00:00"/>
    <x v="1024"/>
    <x v="1"/>
    <x v="0"/>
    <n v="19561500"/>
    <n v="1.72"/>
    <n v="1.7120879999999998"/>
    <n v="11425522.519870475"/>
    <n v="8135977.4801295251"/>
    <n v="1836974.4751148054"/>
    <n v="6299003.0050147194"/>
    <n v="133136.08329588163"/>
    <n v="6165866.9217188377"/>
    <m/>
    <m/>
    <m/>
  </r>
  <r>
    <x v="30"/>
    <d v="2019-01-01T00:00:00"/>
    <x v="1025"/>
    <x v="1"/>
    <x v="0"/>
    <n v="37763484.710000001"/>
    <n v="1.87"/>
    <n v="1.8613980000000001"/>
    <n v="20287700.271516353"/>
    <n v="17475784.438483648"/>
    <n v="4451493.6127449432"/>
    <n v="13024290.825738706"/>
    <n v="257019.26978469506"/>
    <n v="12767271.555954011"/>
    <m/>
    <m/>
    <m/>
  </r>
  <r>
    <x v="30"/>
    <d v="2019-02-01T00:00:00"/>
    <x v="1026"/>
    <x v="1"/>
    <x v="0"/>
    <n v="37763484.710000001"/>
    <n v="1.87"/>
    <n v="1.8613980000000001"/>
    <n v="20287700.271516353"/>
    <n v="17475784.438483648"/>
    <n v="4385345.6201297762"/>
    <n v="13090438.818353873"/>
    <n v="257019.26978469506"/>
    <n v="12833419.548569178"/>
    <m/>
    <m/>
    <m/>
  </r>
  <r>
    <x v="30"/>
    <d v="2019-03-01T00:00:00"/>
    <x v="1027"/>
    <x v="1"/>
    <x v="0"/>
    <n v="37763484.710000001"/>
    <n v="1.87"/>
    <n v="1.8613980000000001"/>
    <n v="20287700.271516353"/>
    <n v="17475784.438483648"/>
    <n v="3172743.1653017043"/>
    <n v="14303041.273181943"/>
    <n v="257019.26978469506"/>
    <n v="14046022.003397249"/>
    <m/>
    <m/>
    <m/>
  </r>
  <r>
    <x v="30"/>
    <d v="2019-04-01T00:00:00"/>
    <x v="1028"/>
    <x v="1"/>
    <x v="0"/>
    <n v="37763484.710000001"/>
    <n v="1.87"/>
    <n v="1.8613980000000001"/>
    <n v="20287700.271516353"/>
    <n v="17475784.438483648"/>
    <n v="3261819.0977910506"/>
    <n v="14213965.340692598"/>
    <n v="257019.26978469506"/>
    <n v="13956946.070907904"/>
    <m/>
    <m/>
    <m/>
  </r>
  <r>
    <x v="30"/>
    <d v="2019-05-01T00:00:00"/>
    <x v="1029"/>
    <x v="1"/>
    <x v="0"/>
    <n v="37763484.710000001"/>
    <n v="1.87"/>
    <n v="1.8613980000000001"/>
    <n v="20287700.271516353"/>
    <n v="17475784.438483648"/>
    <n v="2690772.6421670346"/>
    <n v="14785011.796316613"/>
    <n v="257019.26978469506"/>
    <n v="14527992.526531918"/>
    <m/>
    <m/>
    <m/>
  </r>
  <r>
    <x v="30"/>
    <d v="2019-06-01T00:00:00"/>
    <x v="1030"/>
    <x v="1"/>
    <x v="0"/>
    <n v="37763484.710000001"/>
    <n v="1.87"/>
    <n v="1.8613980000000001"/>
    <n v="20287700.271516353"/>
    <n v="17475784.438483648"/>
    <n v="3618459.066557976"/>
    <n v="13857325.371925673"/>
    <n v="257019.26978469506"/>
    <n v="13600306.102140978"/>
    <m/>
    <m/>
    <m/>
  </r>
  <r>
    <x v="30"/>
    <d v="2019-07-01T00:00:00"/>
    <x v="1031"/>
    <x v="1"/>
    <x v="0"/>
    <n v="37763484.710000001"/>
    <n v="1.87"/>
    <n v="1.8613980000000001"/>
    <n v="20287700.271516353"/>
    <n v="17475784.438483648"/>
    <n v="5396190.0017938688"/>
    <n v="12079594.436689779"/>
    <n v="257019.26978469506"/>
    <n v="11822575.166905085"/>
    <m/>
    <m/>
    <m/>
  </r>
  <r>
    <x v="30"/>
    <d v="2019-08-01T00:00:00"/>
    <x v="1032"/>
    <x v="1"/>
    <x v="0"/>
    <n v="37763484.710000001"/>
    <n v="1.87"/>
    <n v="1.8613980000000001"/>
    <n v="20287700.271516353"/>
    <n v="17475784.438483648"/>
    <n v="5310046.6046164213"/>
    <n v="12165737.833867226"/>
    <n v="257019.26978469506"/>
    <n v="11908718.564082531"/>
    <m/>
    <m/>
    <m/>
  </r>
  <r>
    <x v="30"/>
    <d v="2019-09-01T00:00:00"/>
    <x v="1033"/>
    <x v="1"/>
    <x v="0"/>
    <n v="37763484.710000001"/>
    <n v="1.87"/>
    <n v="1.8613980000000001"/>
    <n v="20287700.271516353"/>
    <n v="17475784.438483648"/>
    <n v="6001271.549467708"/>
    <n v="11474512.889015939"/>
    <n v="257019.26978469506"/>
    <n v="11217493.619231245"/>
    <m/>
    <m/>
    <m/>
  </r>
  <r>
    <x v="30"/>
    <d v="2019-10-01T00:00:00"/>
    <x v="1034"/>
    <x v="1"/>
    <x v="0"/>
    <n v="37763484.710000001"/>
    <n v="1.87"/>
    <n v="1.8613980000000001"/>
    <n v="20287700.271516353"/>
    <n v="17475784.438483648"/>
    <n v="6489755.4942828165"/>
    <n v="10986028.944200832"/>
    <n v="257019.26978469506"/>
    <n v="10729009.674416138"/>
    <m/>
    <m/>
    <m/>
  </r>
  <r>
    <x v="30"/>
    <d v="2019-11-01T00:00:00"/>
    <x v="1035"/>
    <x v="1"/>
    <x v="0"/>
    <n v="37763484.710000001"/>
    <n v="1.87"/>
    <n v="1.8613980000000001"/>
    <n v="20287700.271516353"/>
    <n v="17475784.438483648"/>
    <n v="8679570.0205424577"/>
    <n v="8796214.4179411903"/>
    <n v="257019.26978469506"/>
    <n v="8539195.1481564958"/>
    <m/>
    <m/>
    <m/>
  </r>
  <r>
    <x v="30"/>
    <d v="2019-12-01T00:00:00"/>
    <x v="1036"/>
    <x v="1"/>
    <x v="0"/>
    <n v="37763484.710000001"/>
    <n v="1.87"/>
    <n v="1.8613980000000001"/>
    <n v="20287700.271516353"/>
    <n v="17475784.438483648"/>
    <n v="7308088.5430082316"/>
    <n v="10167695.895475417"/>
    <n v="257019.26978469506"/>
    <n v="9910676.6256907228"/>
    <m/>
    <m/>
    <m/>
  </r>
  <r>
    <x v="30"/>
    <d v="2020-01-01T00:00:00"/>
    <x v="1037"/>
    <x v="1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0"/>
    <d v="2020-02-01T00:00:00"/>
    <x v="1038"/>
    <x v="1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0"/>
    <d v="2020-03-01T00:00:00"/>
    <x v="1039"/>
    <x v="1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1"/>
    <d v="2019-01-01T00:00:00"/>
    <x v="1040"/>
    <x v="1"/>
    <x v="0"/>
    <n v="25318074"/>
    <n v="1.1100000000000001"/>
    <n v="1.104894"/>
    <n v="22914482.294229127"/>
    <n v="2403591.7057708725"/>
    <n v="5027857.7762374459"/>
    <n v="-2624266.0704665734"/>
    <n v="172315.47728728855"/>
    <n v="-2796581.5477538621"/>
    <m/>
    <m/>
    <m/>
  </r>
  <r>
    <x v="31"/>
    <d v="2019-02-01T00:00:00"/>
    <x v="1041"/>
    <x v="1"/>
    <x v="0"/>
    <n v="29324874"/>
    <n v="1.1100000000000001"/>
    <n v="1.104894"/>
    <n v="26540893.515577059"/>
    <n v="2783980.4844229408"/>
    <n v="5737022.4113709899"/>
    <n v="-2953041.9269480491"/>
    <n v="199585.86343098604"/>
    <n v="-3152627.7903790353"/>
    <m/>
    <m/>
    <m/>
  </r>
  <r>
    <x v="31"/>
    <d v="2019-03-01T00:00:00"/>
    <x v="1042"/>
    <x v="1"/>
    <x v="0"/>
    <n v="29324874"/>
    <n v="1.1100000000000001"/>
    <n v="1.104894"/>
    <n v="26540893.515577059"/>
    <n v="2783980.4844229408"/>
    <n v="4150664.5590961091"/>
    <n v="-1366684.0746731684"/>
    <n v="199585.86343098604"/>
    <n v="-1566269.9381041543"/>
    <m/>
    <m/>
    <m/>
  </r>
  <r>
    <x v="31"/>
    <d v="2019-04-01T00:00:00"/>
    <x v="1043"/>
    <x v="1"/>
    <x v="0"/>
    <n v="29324874"/>
    <n v="1.1100000000000001"/>
    <n v="1.104894"/>
    <n v="26540893.515577059"/>
    <n v="2783980.4844229408"/>
    <n v="4267195.9947620686"/>
    <n v="-1483215.5103391279"/>
    <n v="199585.86343098604"/>
    <n v="-1682801.3737701138"/>
    <m/>
    <m/>
    <m/>
  </r>
  <r>
    <x v="31"/>
    <d v="2019-05-01T00:00:00"/>
    <x v="1044"/>
    <x v="1"/>
    <x v="0"/>
    <n v="29324874"/>
    <n v="1.1100000000000001"/>
    <n v="1.104894"/>
    <n v="26540893.515577059"/>
    <n v="2783980.4844229408"/>
    <n v="3520138.271692114"/>
    <n v="-736157.78726917319"/>
    <n v="199585.86343098604"/>
    <n v="-935743.65070015925"/>
    <m/>
    <m/>
    <m/>
  </r>
  <r>
    <x v="31"/>
    <d v="2019-06-01T00:00:00"/>
    <x v="1045"/>
    <x v="1"/>
    <x v="0"/>
    <n v="29324874"/>
    <n v="1.1100000000000001"/>
    <n v="1.104894"/>
    <n v="26540893.515577059"/>
    <n v="2783980.4844229408"/>
    <n v="4733761.6137214135"/>
    <n v="-1949781.1292984728"/>
    <n v="199585.86343098604"/>
    <n v="-2149366.992729459"/>
    <m/>
    <m/>
    <m/>
  </r>
  <r>
    <x v="31"/>
    <d v="2019-07-01T00:00:00"/>
    <x v="1046"/>
    <x v="1"/>
    <x v="0"/>
    <n v="29324874"/>
    <n v="1.1100000000000001"/>
    <n v="1.104894"/>
    <n v="26540893.515577059"/>
    <n v="2783980.4844229408"/>
    <n v="7059435.1410303069"/>
    <n v="-4275454.6566073662"/>
    <n v="199585.86343098604"/>
    <n v="-4475040.5200383523"/>
    <m/>
    <m/>
    <m/>
  </r>
  <r>
    <x v="31"/>
    <d v="2019-08-01T00:00:00"/>
    <x v="1047"/>
    <x v="1"/>
    <x v="0"/>
    <n v="29324874"/>
    <n v="1.1100000000000001"/>
    <n v="1.104894"/>
    <n v="26540893.515577059"/>
    <n v="2783980.4844229408"/>
    <n v="6946740.123805183"/>
    <n v="-4162759.6393822422"/>
    <n v="199585.86343098604"/>
    <n v="-4362345.5028132284"/>
    <m/>
    <m/>
    <m/>
  </r>
  <r>
    <x v="31"/>
    <d v="2019-09-01T00:00:00"/>
    <x v="1048"/>
    <x v="1"/>
    <x v="0"/>
    <n v="29324874"/>
    <n v="1.1100000000000001"/>
    <n v="1.104894"/>
    <n v="26540893.515577059"/>
    <n v="2783980.4844229408"/>
    <n v="7851018.450627951"/>
    <n v="-5067037.9662050102"/>
    <n v="199585.86343098604"/>
    <n v="-5266623.8296359964"/>
    <m/>
    <m/>
    <m/>
  </r>
  <r>
    <x v="31"/>
    <d v="2019-10-01T00:00:00"/>
    <x v="1049"/>
    <x v="1"/>
    <x v="0"/>
    <n v="29324874"/>
    <n v="1.1100000000000001"/>
    <n v="1.104894"/>
    <n v="26540893.515577059"/>
    <n v="2783980.4844229408"/>
    <n v="8490065.7645124737"/>
    <n v="-5706085.280089533"/>
    <n v="199585.86343098604"/>
    <n v="-5905671.1435205191"/>
    <m/>
    <m/>
    <m/>
  </r>
  <r>
    <x v="31"/>
    <d v="2019-11-01T00:00:00"/>
    <x v="1050"/>
    <x v="1"/>
    <x v="0"/>
    <n v="29324874"/>
    <n v="1.1100000000000001"/>
    <n v="1.104894"/>
    <n v="26540893.515577059"/>
    <n v="2783980.4844229408"/>
    <n v="11354837.689496014"/>
    <n v="-8570857.2050730735"/>
    <n v="199585.86343098604"/>
    <n v="-8770443.0685040597"/>
    <m/>
    <m/>
    <m/>
  </r>
  <r>
    <x v="31"/>
    <d v="2019-12-01T00:00:00"/>
    <x v="1051"/>
    <x v="1"/>
    <x v="0"/>
    <n v="29324874"/>
    <n v="1.1100000000000001"/>
    <n v="1.104894"/>
    <n v="26540893.515577059"/>
    <n v="2783980.4844229408"/>
    <n v="9560630.19595729"/>
    <n v="-6776649.7115343492"/>
    <n v="199585.86343098604"/>
    <n v="-6976235.5749653354"/>
    <m/>
    <m/>
    <m/>
  </r>
  <r>
    <x v="31"/>
    <d v="2020-01-01T00:00:00"/>
    <x v="1052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2-01T00:00:00"/>
    <x v="1053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3-01T00:00:00"/>
    <x v="1054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4-01T00:00:00"/>
    <x v="1055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5-01T00:00:00"/>
    <x v="1056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6-01T00:00:00"/>
    <x v="1057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7-01T00:00:00"/>
    <x v="1058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8-01T00:00:00"/>
    <x v="1059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09-01T00:00:00"/>
    <x v="1060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10-01T00:00:00"/>
    <x v="1061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d v="2020-11-01T00:00:00"/>
    <x v="1062"/>
    <x v="1"/>
    <x v="0"/>
    <n v="29413074"/>
    <n v="1.1100000000000001"/>
    <n v="1.104894"/>
    <n v="26620720.177682202"/>
    <n v="2792353.8223177977"/>
    <s v=""/>
    <s v=""/>
    <n v="200186.15494987246"/>
    <s v=""/>
    <m/>
    <m/>
    <m/>
  </r>
  <r>
    <x v="31"/>
    <d v="2020-12-01T00:00:00"/>
    <x v="1063"/>
    <x v="1"/>
    <x v="0"/>
    <n v="29413074"/>
    <n v="1.1100000000000001"/>
    <n v="1.104894"/>
    <n v="26620720.177682202"/>
    <n v="2792353.8223177977"/>
    <s v=""/>
    <s v=""/>
    <n v="200186.15494987246"/>
    <s v=""/>
    <m/>
    <m/>
    <m/>
  </r>
  <r>
    <x v="32"/>
    <d v="2019-01-01T00:00:00"/>
    <x v="1064"/>
    <x v="1"/>
    <x v="0"/>
    <n v="33554950.015926875"/>
    <n v="1.97"/>
    <n v="1.9609379999999998"/>
    <n v="17111683.294386093"/>
    <n v="16443266.721540783"/>
    <n v="3754617.2246648986"/>
    <n v="12688649.496875884"/>
    <n v="228375.87200928279"/>
    <n v="12460273.624866601"/>
    <m/>
    <m/>
    <m/>
  </r>
  <r>
    <x v="32"/>
    <d v="2019-02-01T00:00:00"/>
    <x v="1065"/>
    <x v="1"/>
    <x v="0"/>
    <n v="13267655.116172869"/>
    <n v="1.97"/>
    <n v="1.9609379999999998"/>
    <n v="6765973.7922223294"/>
    <n v="6501681.3239505393"/>
    <n v="1462518.3307391868"/>
    <n v="5039162.9932113523"/>
    <n v="90300.009543635257"/>
    <n v="4948862.9836677173"/>
    <m/>
    <m/>
    <m/>
  </r>
  <r>
    <x v="33"/>
    <d v="2019-01-01T00:00:00"/>
    <x v="1066"/>
    <x v="1"/>
    <x v="0"/>
    <n v="55849596.75"/>
    <n v="1.93"/>
    <n v="1.9211219999999998"/>
    <n v="29071343.074515834"/>
    <n v="26778253.675484166"/>
    <n v="6378785.977620896"/>
    <n v="20399467.69786327"/>
    <n v="380113.82383505354"/>
    <n v="20019353.874028217"/>
    <m/>
    <m/>
    <m/>
  </r>
  <r>
    <x v="33"/>
    <d v="2019-02-01T00:00:00"/>
    <x v="1067"/>
    <x v="1"/>
    <x v="0"/>
    <n v="55849596.75"/>
    <n v="1.93"/>
    <n v="1.9211219999999998"/>
    <n v="29071343.074515834"/>
    <n v="26778253.675484166"/>
    <n v="6283998.9410780743"/>
    <n v="20494254.734406091"/>
    <n v="380113.82383505354"/>
    <n v="20114140.910571039"/>
    <m/>
    <m/>
    <m/>
  </r>
  <r>
    <x v="33"/>
    <d v="2019-03-01T00:00:00"/>
    <x v="1068"/>
    <x v="1"/>
    <x v="0"/>
    <n v="55849596.75"/>
    <n v="1.93"/>
    <n v="1.9211219999999998"/>
    <n v="29071343.074515834"/>
    <n v="26778253.675484166"/>
    <n v="4546395.294261572"/>
    <n v="22231858.381222595"/>
    <n v="380113.82383505354"/>
    <n v="21851744.557387542"/>
    <m/>
    <m/>
    <m/>
  </r>
  <r>
    <x v="34"/>
    <d v="2019-01-01T00:00:00"/>
    <x v="1069"/>
    <x v="1"/>
    <x v="0"/>
    <n v="24433339.875"/>
    <n v="1.98"/>
    <n v="1.9708919999999999"/>
    <n v="12397097.291480204"/>
    <n v="12036242.583519796"/>
    <n v="2720150.5676363707"/>
    <n v="9316092.0158834253"/>
    <n v="166293.95357179083"/>
    <n v="9149798.0623116344"/>
    <m/>
    <m/>
    <m/>
  </r>
  <r>
    <x v="34"/>
    <d v="2019-02-01T00:00:00"/>
    <x v="1070"/>
    <x v="1"/>
    <x v="0"/>
    <n v="24433339.875"/>
    <n v="1.98"/>
    <n v="1.9708919999999999"/>
    <n v="12397097.291480204"/>
    <n v="12036242.583519796"/>
    <n v="2679729.8649883894"/>
    <n v="9356512.7185314074"/>
    <n v="166293.95357179083"/>
    <n v="9190218.7649596166"/>
    <m/>
    <m/>
    <m/>
  </r>
  <r>
    <x v="35"/>
    <d v="2019-02-01T00:00:00"/>
    <x v="1071"/>
    <x v="1"/>
    <x v="0"/>
    <n v="43907512.694785044"/>
    <n v="1"/>
    <n v="0.99539999999999995"/>
    <n v="44110420.62968158"/>
    <n v="-202907.93489653617"/>
    <n v="9534813.5728346948"/>
    <n v="-9737721.5077312309"/>
    <n v="298835.68578319054"/>
    <n v="-10036557.193514422"/>
    <m/>
    <m/>
    <m/>
  </r>
  <r>
    <x v="35"/>
    <d v="2019-03-01T00:00:00"/>
    <x v="1072"/>
    <x v="1"/>
    <x v="0"/>
    <n v="43907512.694785044"/>
    <n v="1"/>
    <n v="0.99539999999999995"/>
    <n v="44110420.62968158"/>
    <n v="-202907.93489653617"/>
    <n v="6898319.3609132143"/>
    <n v="-7101227.2958097504"/>
    <n v="298835.68578319054"/>
    <n v="-7400062.9815929411"/>
    <m/>
    <m/>
    <m/>
  </r>
  <r>
    <x v="35"/>
    <d v="2019-04-01T00:00:00"/>
    <x v="1073"/>
    <x v="1"/>
    <x v="0"/>
    <n v="43907512.694785044"/>
    <n v="1"/>
    <n v="0.99539999999999995"/>
    <n v="44110420.62968158"/>
    <n v="-202907.93489653617"/>
    <n v="7091992.2167569455"/>
    <n v="-7294900.1516534816"/>
    <n v="298835.68578319054"/>
    <n v="-7593735.8374366723"/>
    <m/>
    <m/>
    <m/>
  </r>
  <r>
    <x v="35"/>
    <d v="2019-05-01T00:00:00"/>
    <x v="1074"/>
    <x v="1"/>
    <x v="0"/>
    <n v="43907512.694785044"/>
    <n v="1"/>
    <n v="0.99539999999999995"/>
    <n v="44110420.62968158"/>
    <n v="-202907.93489653617"/>
    <n v="5850397.6042798823"/>
    <n v="-6053305.5391764184"/>
    <n v="298835.68578319054"/>
    <n v="-6352141.2249596091"/>
    <m/>
    <m/>
    <m/>
  </r>
  <r>
    <x v="35"/>
    <d v="2019-06-01T00:00:00"/>
    <x v="1075"/>
    <x v="1"/>
    <x v="0"/>
    <n v="43907512.694785044"/>
    <n v="1"/>
    <n v="0.99539999999999995"/>
    <n v="44110420.62968158"/>
    <n v="-202907.93489653617"/>
    <n v="7867414.7055124799"/>
    <n v="-8070322.6404090161"/>
    <n v="298835.68578319054"/>
    <n v="-8369158.3261922067"/>
    <m/>
    <m/>
    <m/>
  </r>
  <r>
    <x v="35"/>
    <d v="2019-07-01T00:00:00"/>
    <x v="1076"/>
    <x v="1"/>
    <x v="0"/>
    <n v="43907512.694785044"/>
    <n v="1"/>
    <n v="0.99539999999999995"/>
    <n v="44110420.62968158"/>
    <n v="-202907.93489653617"/>
    <n v="11732636.40487621"/>
    <n v="-11935544.339772746"/>
    <n v="298835.68578319054"/>
    <n v="-12234380.025555937"/>
    <m/>
    <m/>
    <m/>
  </r>
  <r>
    <x v="35"/>
    <d v="2019-08-01T00:00:00"/>
    <x v="1077"/>
    <x v="1"/>
    <x v="0"/>
    <n v="43907512.694785044"/>
    <n v="1"/>
    <n v="0.99539999999999995"/>
    <n v="44110420.62968158"/>
    <n v="-202907.93489653617"/>
    <n v="11545339.597790498"/>
    <n v="-11748247.532687034"/>
    <n v="298835.68578319054"/>
    <n v="-12047083.218470225"/>
    <m/>
    <m/>
    <m/>
  </r>
  <r>
    <x v="36"/>
    <d v="2019-01-01T00:00:00"/>
    <x v="1078"/>
    <x v="1"/>
    <x v="0"/>
    <n v="134267225.40000004"/>
    <n v="1.64"/>
    <n v="1.6324559999999999"/>
    <n v="82248602.963877767"/>
    <n v="52018622.436122268"/>
    <n v="18046852.321893618"/>
    <n v="33971770.114228651"/>
    <n v="913826.26612280845"/>
    <n v="33057943.848105844"/>
    <m/>
    <m/>
    <m/>
  </r>
  <r>
    <x v="36"/>
    <d v="2019-02-01T00:00:00"/>
    <x v="1079"/>
    <x v="1"/>
    <x v="0"/>
    <n v="134267225.40000004"/>
    <n v="1.64"/>
    <n v="1.6324559999999999"/>
    <n v="82248602.963877767"/>
    <n v="52018622.436122268"/>
    <n v="17778680.971338872"/>
    <n v="34239941.4647834"/>
    <n v="913826.26612280845"/>
    <n v="33326115.198660593"/>
    <m/>
    <m/>
    <m/>
  </r>
  <r>
    <x v="36"/>
    <d v="2019-03-01T00:00:00"/>
    <x v="1080"/>
    <x v="1"/>
    <x v="0"/>
    <n v="134267225.40000004"/>
    <n v="1.64"/>
    <n v="1.6324559999999999"/>
    <n v="82248602.963877767"/>
    <n v="52018622.436122268"/>
    <n v="12862655.1761331"/>
    <n v="39155967.259989172"/>
    <n v="913826.26612280845"/>
    <n v="38242140.993866362"/>
    <m/>
    <m/>
    <m/>
  </r>
  <r>
    <x v="36"/>
    <d v="2019-04-01T00:00:00"/>
    <x v="1081"/>
    <x v="1"/>
    <x v="0"/>
    <n v="134267225.40000004"/>
    <n v="1.64"/>
    <n v="1.6324559999999999"/>
    <n v="82248602.963877767"/>
    <n v="52018622.436122268"/>
    <n v="13223778.955906186"/>
    <n v="38794843.480216086"/>
    <n v="913826.26612280845"/>
    <n v="37881017.214093275"/>
    <m/>
    <m/>
    <m/>
  </r>
  <r>
    <x v="36"/>
    <d v="2019-05-01T00:00:00"/>
    <x v="1082"/>
    <x v="1"/>
    <x v="0"/>
    <n v="134267225.40000004"/>
    <n v="1.64"/>
    <n v="1.6324559999999999"/>
    <n v="82248602.963877767"/>
    <n v="52018622.436122268"/>
    <n v="10908692.840971244"/>
    <n v="41109929.595151022"/>
    <n v="913826.26612280845"/>
    <n v="40196103.329028212"/>
    <m/>
    <m/>
    <m/>
  </r>
  <r>
    <x v="37"/>
    <d v="2019-03-01T00:00:00"/>
    <x v="1083"/>
    <x v="1"/>
    <x v="0"/>
    <n v="63859391.18"/>
    <n v="0.75"/>
    <n v="0.74654999999999994"/>
    <n v="85539335.851583958"/>
    <n v="-21679944.671583958"/>
    <n v="13377284.736831108"/>
    <n v="-35057229.408415064"/>
    <n v="434628.69531297544"/>
    <n v="-35491858.103728041"/>
    <m/>
    <m/>
    <m/>
  </r>
  <r>
    <x v="37"/>
    <d v="2019-04-01T00:00:00"/>
    <x v="1084"/>
    <x v="1"/>
    <x v="0"/>
    <n v="63859391.18"/>
    <n v="0.75"/>
    <n v="0.74654999999999994"/>
    <n v="85539335.851583958"/>
    <n v="-21679944.671583958"/>
    <n v="13752856.930994334"/>
    <n v="-35432801.60257829"/>
    <n v="434628.69531297544"/>
    <n v="-35867430.297891267"/>
    <m/>
    <m/>
    <m/>
  </r>
  <r>
    <x v="37"/>
    <d v="2019-05-01T00:00:00"/>
    <x v="1085"/>
    <x v="1"/>
    <x v="0"/>
    <n v="63859391.18"/>
    <n v="0.75"/>
    <n v="0.74654999999999994"/>
    <n v="85539335.851583958"/>
    <n v="-21679944.671583958"/>
    <n v="11345145.169644045"/>
    <n v="-33025089.841228001"/>
    <n v="434628.69531297544"/>
    <n v="-33459718.536540978"/>
    <m/>
    <m/>
    <m/>
  </r>
  <r>
    <x v="37"/>
    <d v="2019-06-01T00:00:00"/>
    <x v="1086"/>
    <x v="1"/>
    <x v="0"/>
    <n v="60800628.68"/>
    <n v="0.75"/>
    <n v="0.74654999999999994"/>
    <n v="81442138.744893178"/>
    <n v="-20641510.064893179"/>
    <n v="14525798.459033774"/>
    <n v="-35167308.523926951"/>
    <n v="413810.6773193492"/>
    <n v="-35581119.201246299"/>
    <m/>
    <m/>
    <m/>
  </r>
  <r>
    <x v="37"/>
    <d v="2019-07-01T00:00:00"/>
    <x v="1087"/>
    <x v="1"/>
    <x v="0"/>
    <n v="60800628.68"/>
    <n v="0.75"/>
    <n v="0.74654999999999994"/>
    <n v="81442138.744893178"/>
    <n v="-20641510.064893179"/>
    <n v="21662250.966755535"/>
    <n v="-42303761.03164871"/>
    <n v="413810.6773193492"/>
    <n v="-42717571.708968058"/>
    <m/>
    <m/>
    <m/>
  </r>
  <r>
    <x v="37"/>
    <d v="2019-08-01T00:00:00"/>
    <x v="1088"/>
    <x v="1"/>
    <x v="0"/>
    <n v="64680316.519999996"/>
    <n v="0.75"/>
    <n v="0.74654999999999994"/>
    <n v="86638961.248409346"/>
    <n v="-21958644.72840935"/>
    <n v="22676642.292991839"/>
    <n v="-44635287.021401189"/>
    <n v="440215.93476015172"/>
    <n v="-45075502.956161343"/>
    <m/>
    <m/>
    <m/>
  </r>
  <r>
    <x v="37"/>
    <d v="2019-09-01T00:00:00"/>
    <x v="1089"/>
    <x v="1"/>
    <x v="0"/>
    <n v="64680316.519999996"/>
    <n v="0.75"/>
    <n v="0.74654999999999994"/>
    <n v="86638961.248409346"/>
    <n v="-21958644.72840935"/>
    <n v="25628529.910090804"/>
    <n v="-47587174.638500154"/>
    <n v="440215.93476015172"/>
    <n v="-48027390.573260307"/>
    <m/>
    <m/>
    <m/>
  </r>
  <r>
    <x v="37"/>
    <d v="2019-10-01T00:00:00"/>
    <x v="1090"/>
    <x v="1"/>
    <x v="0"/>
    <n v="60757039.519999996"/>
    <n v="0.75"/>
    <n v="0.74654999999999994"/>
    <n v="81383751.282566473"/>
    <n v="-20626711.762566477"/>
    <n v="26033539.531975053"/>
    <n v="-46660251.29454153"/>
    <n v="413514.00835037656"/>
    <n v="-47073765.30289191"/>
    <m/>
    <m/>
    <m/>
  </r>
  <r>
    <x v="37"/>
    <d v="2019-11-01T00:00:00"/>
    <x v="1091"/>
    <x v="1"/>
    <x v="0"/>
    <n v="60757039.519999996"/>
    <n v="0.75"/>
    <n v="0.74654999999999994"/>
    <n v="81383751.282566473"/>
    <n v="-20626711.762566477"/>
    <n v="34817941.823755637"/>
    <n v="-55444653.586322114"/>
    <n v="413514.00835037656"/>
    <n v="-55858167.594672494"/>
    <m/>
    <m/>
    <m/>
  </r>
  <r>
    <x v="37"/>
    <d v="2019-12-01T00:00:00"/>
    <x v="1092"/>
    <x v="1"/>
    <x v="0"/>
    <n v="60757039.519999996"/>
    <n v="0.75"/>
    <n v="0.74654999999999994"/>
    <n v="81383751.282566473"/>
    <n v="-20626711.762566477"/>
    <n v="29316268.102116518"/>
    <n v="-49942979.864682995"/>
    <n v="413514.00835037656"/>
    <n v="-50356493.873033375"/>
    <m/>
    <m/>
    <m/>
  </r>
  <r>
    <x v="37"/>
    <d v="2020-01-01T00:00:00"/>
    <x v="1093"/>
    <x v="1"/>
    <x v="0"/>
    <n v="60757039.519999996"/>
    <n v="0.75"/>
    <n v="0.74654999999999994"/>
    <n v="81383751.282566473"/>
    <n v="-20626711.762566477"/>
    <s v=""/>
    <s v=""/>
    <n v="413514.00835037656"/>
    <s v=""/>
    <m/>
    <m/>
    <m/>
  </r>
  <r>
    <x v="37"/>
    <d v="2020-02-01T00:00:00"/>
    <x v="1094"/>
    <x v="1"/>
    <x v="0"/>
    <n v="60757039.519999996"/>
    <n v="0.75"/>
    <n v="0.74654999999999994"/>
    <n v="81383751.282566473"/>
    <n v="-20626711.762566477"/>
    <s v=""/>
    <s v=""/>
    <n v="413514.00835037656"/>
    <s v=""/>
    <m/>
    <m/>
    <m/>
  </r>
  <r>
    <x v="37"/>
    <d v="2020-03-01T00:00:00"/>
    <x v="1095"/>
    <x v="1"/>
    <x v="0"/>
    <n v="54757039.519999996"/>
    <n v="0.75"/>
    <n v="0.74654999999999994"/>
    <n v="73346781.220279962"/>
    <n v="-18589741.700279966"/>
    <s v=""/>
    <s v=""/>
    <n v="372677.8506030009"/>
    <s v=""/>
    <m/>
    <m/>
    <m/>
  </r>
  <r>
    <x v="37"/>
    <d v="2020-04-01T00:00:00"/>
    <x v="1096"/>
    <x v="1"/>
    <x v="0"/>
    <n v="54757039.519999996"/>
    <n v="0.75"/>
    <n v="0.74654999999999994"/>
    <n v="73346781.220279962"/>
    <n v="-18589741.700279966"/>
    <s v=""/>
    <s v=""/>
    <n v="372677.8506030009"/>
    <s v=""/>
    <m/>
    <m/>
    <m/>
  </r>
  <r>
    <x v="37"/>
    <d v="2020-05-01T00:00:00"/>
    <x v="1097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06-01T00:00:00"/>
    <x v="1098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07-01T00:00:00"/>
    <x v="1099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08-01T00:00:00"/>
    <x v="1100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09-01T00:00:00"/>
    <x v="1101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10-01T00:00:00"/>
    <x v="1102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d v="2020-11-01T00:00:00"/>
    <x v="1103"/>
    <x v="1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d v="2020-12-01T00:00:00"/>
    <x v="1104"/>
    <x v="1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d v="2021-01-01T00:00:00"/>
    <x v="1105"/>
    <x v="1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d v="2021-02-01T00:00:00"/>
    <x v="1106"/>
    <x v="1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d v="2021-03-01T00:00:00"/>
    <x v="1107"/>
    <x v="1"/>
    <x v="0"/>
    <n v="40862689.519999996"/>
    <n v="0.75"/>
    <n v="0.74654999999999994"/>
    <n v="54735368.722791508"/>
    <n v="-13872679.202791512"/>
    <s v=""/>
    <s v=""/>
    <n v="278112.53920345928"/>
    <s v=""/>
    <m/>
    <m/>
    <m/>
  </r>
  <r>
    <x v="38"/>
    <d v="2019-04-01T00:00:00"/>
    <x v="1108"/>
    <x v="1"/>
    <x v="0"/>
    <n v="89776746.567000002"/>
    <n v="1"/>
    <n v="0.99539999999999995"/>
    <n v="90191628.05605787"/>
    <n v="-414881.48905786872"/>
    <n v="14500843.906253565"/>
    <n v="-14915725.395311434"/>
    <n v="611022.89747603028"/>
    <n v="-15526748.292787464"/>
    <m/>
    <m/>
    <m/>
  </r>
  <r>
    <x v="38"/>
    <d v="2019-05-01T00:00:00"/>
    <x v="1109"/>
    <x v="1"/>
    <x v="0"/>
    <n v="68117355.567000002"/>
    <n v="1"/>
    <n v="0.99539999999999995"/>
    <n v="68432143.426763117"/>
    <n v="-314787.85976311564"/>
    <n v="9076205.6277077552"/>
    <n v="-9390993.4874708708"/>
    <n v="463608.5128780154"/>
    <n v="-9854602.0003488865"/>
    <m/>
    <m/>
    <m/>
  </r>
  <r>
    <x v="38"/>
    <d v="2019-06-01T00:00:00"/>
    <x v="1110"/>
    <x v="1"/>
    <x v="0"/>
    <n v="68117355.567000002"/>
    <n v="1"/>
    <n v="0.99539999999999995"/>
    <n v="68432143.426763117"/>
    <n v="-314787.85976311564"/>
    <n v="12205371.062890764"/>
    <n v="-12520158.92265388"/>
    <n v="463608.5128780154"/>
    <n v="-12983767.435531896"/>
    <m/>
    <m/>
    <m/>
  </r>
  <r>
    <x v="38"/>
    <d v="2019-07-01T00:00:00"/>
    <x v="1111"/>
    <x v="1"/>
    <x v="0"/>
    <n v="62912767.068000004"/>
    <n v="1"/>
    <n v="0.99539999999999995"/>
    <n v="63203503.18264015"/>
    <n v="-290736.11464014649"/>
    <n v="16811078.012195919"/>
    <n v="-17101814.126836065"/>
    <n v="428185.94671879185"/>
    <n v="-17530000.073554859"/>
    <m/>
    <m/>
    <m/>
  </r>
  <r>
    <x v="38"/>
    <d v="2019-08-01T00:00:00"/>
    <x v="1112"/>
    <x v="1"/>
    <x v="0"/>
    <n v="41200017.068000004"/>
    <n v="1"/>
    <n v="0.99539999999999995"/>
    <n v="41390412.967651203"/>
    <n v="-190395.89965119958"/>
    <n v="10833412.308990134"/>
    <n v="-11023808.208641334"/>
    <n v="280408.39936390327"/>
    <n v="-11304216.608005237"/>
    <m/>
    <m/>
    <m/>
  </r>
  <r>
    <x v="38"/>
    <d v="2019-09-01T00:00:00"/>
    <x v="1113"/>
    <x v="1"/>
    <x v="0"/>
    <n v="41200017.068000004"/>
    <n v="1"/>
    <n v="0.99539999999999995"/>
    <n v="41390412.967651203"/>
    <n v="-190395.89965119958"/>
    <n v="12243630.595835827"/>
    <n v="-12434026.495487027"/>
    <n v="280408.39936390327"/>
    <n v="-12714434.89485093"/>
    <m/>
    <m/>
    <m/>
  </r>
  <r>
    <x v="38"/>
    <d v="2019-10-01T00:00:00"/>
    <x v="1114"/>
    <x v="1"/>
    <x v="0"/>
    <n v="41200017.068000004"/>
    <n v="1"/>
    <n v="0.99539999999999995"/>
    <n v="41390412.967651203"/>
    <n v="-190395.89965119958"/>
    <n v="13240222.221962681"/>
    <n v="-13430618.121613881"/>
    <n v="280408.39936390327"/>
    <n v="-13711026.520977784"/>
    <m/>
    <m/>
    <m/>
  </r>
  <r>
    <x v="38"/>
    <d v="2019-11-01T00:00:00"/>
    <x v="1115"/>
    <x v="1"/>
    <x v="0"/>
    <n v="39238378.568000004"/>
    <n v="1"/>
    <n v="0.99539999999999995"/>
    <n v="39419709.230460122"/>
    <n v="-181330.66246011853"/>
    <n v="16864707.279591016"/>
    <n v="-17046037.942051135"/>
    <n v="267057.43615901569"/>
    <n v="-17313095.37821015"/>
    <m/>
    <m/>
    <m/>
  </r>
  <r>
    <x v="38"/>
    <d v="2019-12-01T00:00:00"/>
    <x v="1116"/>
    <x v="1"/>
    <x v="0"/>
    <n v="39238378.568000004"/>
    <n v="1"/>
    <n v="0.99539999999999995"/>
    <n v="39419709.230460122"/>
    <n v="-181330.66246011853"/>
    <n v="14199870.933636848"/>
    <n v="-14381201.596096966"/>
    <n v="267057.43615901569"/>
    <n v="-14648259.032255983"/>
    <m/>
    <m/>
    <m/>
  </r>
  <r>
    <x v="38"/>
    <d v="2020-01-01T00:00:00"/>
    <x v="1117"/>
    <x v="1"/>
    <x v="0"/>
    <n v="34612077.68"/>
    <n v="1"/>
    <n v="0.99539999999999995"/>
    <n v="34772029.013461925"/>
    <n v="-159951.33346192539"/>
    <s v=""/>
    <s v=""/>
    <n v="235570.71068415025"/>
    <s v=""/>
    <m/>
    <m/>
    <m/>
  </r>
  <r>
    <x v="39"/>
    <d v="2019-04-01T00:00:00"/>
    <x v="1118"/>
    <x v="1"/>
    <x v="0"/>
    <n v="83414508.689999998"/>
    <n v="1"/>
    <n v="0.99539999999999995"/>
    <n v="83799988.637733579"/>
    <n v="-385479.94773358107"/>
    <n v="13473207.888278918"/>
    <n v="-13858687.836012499"/>
    <n v="567721.33921411354"/>
    <n v="-14426409.175226614"/>
    <m/>
    <m/>
    <m/>
  </r>
  <r>
    <x v="39"/>
    <d v="2019-05-01T00:00:00"/>
    <x v="1119"/>
    <x v="1"/>
    <x v="0"/>
    <n v="83414508.689999998"/>
    <n v="1"/>
    <n v="0.99539999999999995"/>
    <n v="83799988.637733579"/>
    <n v="-385479.94773358107"/>
    <n v="11114454.266504621"/>
    <n v="-11499934.214238202"/>
    <n v="567721.33921411354"/>
    <n v="-12067655.553452317"/>
    <m/>
    <m/>
    <m/>
  </r>
  <r>
    <x v="39"/>
    <d v="2019-06-01T00:00:00"/>
    <x v="1120"/>
    <x v="1"/>
    <x v="0"/>
    <n v="83414508.689999998"/>
    <n v="1"/>
    <n v="0.99539999999999995"/>
    <n v="83799988.637733579"/>
    <n v="-385479.94773358107"/>
    <n v="14946338.155901715"/>
    <n v="-15331818.103635296"/>
    <n v="567721.33921411354"/>
    <n v="-15899539.442849409"/>
    <m/>
    <m/>
    <m/>
  </r>
  <r>
    <x v="39"/>
    <d v="2019-07-01T00:00:00"/>
    <x v="1121"/>
    <x v="1"/>
    <x v="0"/>
    <n v="83414508.689999998"/>
    <n v="1"/>
    <n v="0.99539999999999995"/>
    <n v="83799988.637733579"/>
    <n v="-385479.94773358107"/>
    <n v="22289399.724238884"/>
    <n v="-22674879.671972465"/>
    <n v="567721.33921411354"/>
    <n v="-23242601.011186577"/>
    <m/>
    <m/>
    <m/>
  </r>
  <r>
    <x v="39"/>
    <d v="2019-08-01T00:00:00"/>
    <x v="1122"/>
    <x v="1"/>
    <x v="0"/>
    <n v="82688276.189999998"/>
    <n v="1"/>
    <n v="0.99539999999999995"/>
    <n v="83070400.030138642"/>
    <n v="-382123.84013864398"/>
    <n v="21742616.941333391"/>
    <n v="-22124740.781472035"/>
    <n v="562778.58172556839"/>
    <n v="-22687519.363197602"/>
    <m/>
    <m/>
    <m/>
  </r>
  <r>
    <x v="39"/>
    <d v="2019-09-01T00:00:00"/>
    <x v="1123"/>
    <x v="1"/>
    <x v="0"/>
    <n v="82688276.189999998"/>
    <n v="1"/>
    <n v="0.99539999999999995"/>
    <n v="83070400.030138642"/>
    <n v="-382123.84013864398"/>
    <n v="24572919.632675111"/>
    <n v="-24955043.472813755"/>
    <n v="562778.58172556839"/>
    <n v="-25517822.054539323"/>
    <m/>
    <m/>
    <m/>
  </r>
  <r>
    <x v="39"/>
    <d v="2019-10-01T00:00:00"/>
    <x v="1124"/>
    <x v="1"/>
    <x v="0"/>
    <n v="82688276.189999998"/>
    <n v="1"/>
    <n v="0.99539999999999995"/>
    <n v="83070400.030138642"/>
    <n v="-382123.84013864398"/>
    <n v="26573075.202848982"/>
    <n v="-26955199.042987626"/>
    <n v="562778.58172556839"/>
    <n v="-27517977.624713194"/>
    <m/>
    <m/>
    <m/>
  </r>
  <r>
    <x v="39"/>
    <d v="2019-11-01T00:00:00"/>
    <x v="1125"/>
    <x v="1"/>
    <x v="0"/>
    <n v="82688276.189999998"/>
    <n v="1"/>
    <n v="0.99539999999999995"/>
    <n v="83070400.030138642"/>
    <n v="-382123.84013864398"/>
    <n v="35539531.048196532"/>
    <n v="-35921654.888335176"/>
    <n v="562778.58172556839"/>
    <n v="-36484433.470060743"/>
    <m/>
    <m/>
    <m/>
  </r>
  <r>
    <x v="39"/>
    <d v="2019-12-01T00:00:00"/>
    <x v="1126"/>
    <x v="1"/>
    <x v="0"/>
    <n v="82688276.189999998"/>
    <n v="1"/>
    <n v="0.99539999999999995"/>
    <n v="83070400.030138642"/>
    <n v="-382123.84013864398"/>
    <n v="29923837.132772848"/>
    <n v="-30305960.972911492"/>
    <n v="562778.58172556839"/>
    <n v="-30868739.55463706"/>
    <m/>
    <m/>
    <m/>
  </r>
  <r>
    <x v="39"/>
    <d v="2020-01-01T00:00:00"/>
    <x v="1127"/>
    <x v="1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d v="2020-02-01T00:00:00"/>
    <x v="1128"/>
    <x v="1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d v="2020-03-01T00:00:00"/>
    <x v="1129"/>
    <x v="1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d v="2020-04-01T00:00:00"/>
    <x v="1130"/>
    <x v="1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40"/>
    <d v="2019-06-01T00:00:00"/>
    <x v="1131"/>
    <x v="1"/>
    <x v="0"/>
    <n v="577000000"/>
    <n v="1.87"/>
    <n v="1.8613980000000001"/>
    <n v="309982067.24193317"/>
    <n v="267017932.75806683"/>
    <n v="55287558.800183408"/>
    <n v="211730373.95788342"/>
    <n v="3927077.1700392966"/>
    <n v="207803296.78784412"/>
    <m/>
    <m/>
    <m/>
  </r>
  <r>
    <x v="41"/>
    <d v="2019-01-01T00:00:00"/>
    <x v="1132"/>
    <x v="1"/>
    <x v="0"/>
    <n v="35458635"/>
    <n v="2.2200000000000002"/>
    <n v="2.2097880000000001"/>
    <n v="16046170.492373023"/>
    <n v="19412464.507626977"/>
    <n v="3520824.1693170522"/>
    <n v="15891640.338309925"/>
    <n v="241332.40206110285"/>
    <n v="15650307.936248822"/>
    <m/>
    <m/>
    <m/>
  </r>
  <r>
    <x v="41"/>
    <d v="2019-02-01T00:00:00"/>
    <x v="1133"/>
    <x v="1"/>
    <x v="0"/>
    <n v="35458635"/>
    <n v="2.2200000000000002"/>
    <n v="2.2097880000000001"/>
    <n v="16046170.492373023"/>
    <n v="19412464.507626977"/>
    <n v="3468505.6732319426"/>
    <n v="15943958.834395034"/>
    <n v="241332.40206110285"/>
    <n v="15702626.432333931"/>
    <m/>
    <m/>
    <m/>
  </r>
  <r>
    <x v="41"/>
    <d v="2019-03-01T00:00:00"/>
    <x v="1134"/>
    <x v="1"/>
    <x v="0"/>
    <n v="35458635"/>
    <n v="2.2200000000000002"/>
    <n v="2.2097880000000001"/>
    <n v="16046170.492373023"/>
    <n v="19412464.507626977"/>
    <n v="2509420.8351658201"/>
    <n v="16903043.672461156"/>
    <n v="241332.40206110285"/>
    <n v="16661711.270400053"/>
    <m/>
    <m/>
    <m/>
  </r>
  <r>
    <x v="41"/>
    <d v="2019-04-01T00:00:00"/>
    <x v="1135"/>
    <x v="1"/>
    <x v="0"/>
    <n v="35458635"/>
    <n v="2.2200000000000002"/>
    <n v="2.2097880000000001"/>
    <n v="16046170.492373023"/>
    <n v="19412464.507626977"/>
    <n v="2579873.7490181564"/>
    <n v="16832590.758608822"/>
    <n v="241332.40206110285"/>
    <n v="16591258.356547719"/>
    <m/>
    <m/>
    <m/>
  </r>
  <r>
    <x v="41"/>
    <d v="2019-05-01T00:00:00"/>
    <x v="1136"/>
    <x v="1"/>
    <x v="0"/>
    <n v="35458635"/>
    <n v="2.2200000000000002"/>
    <n v="2.2097880000000001"/>
    <n v="16046170.492373023"/>
    <n v="19412464.507626977"/>
    <n v="2128215.4208993614"/>
    <n v="17284249.086727615"/>
    <n v="241332.40206110285"/>
    <n v="17042916.684666514"/>
    <m/>
    <m/>
    <m/>
  </r>
  <r>
    <x v="41"/>
    <d v="2019-06-01T00:00:00"/>
    <x v="1137"/>
    <x v="1"/>
    <x v="0"/>
    <n v="35458635"/>
    <n v="2.2200000000000002"/>
    <n v="2.2097880000000001"/>
    <n v="16046170.492373023"/>
    <n v="19412464.507626977"/>
    <n v="2861951.3461159044"/>
    <n v="16550513.161511073"/>
    <n v="241332.40206110285"/>
    <n v="16309180.75944997"/>
    <m/>
    <m/>
    <m/>
  </r>
  <r>
    <x v="41"/>
    <d v="2019-07-01T00:00:00"/>
    <x v="1138"/>
    <x v="1"/>
    <x v="0"/>
    <n v="35458635"/>
    <n v="2.2200000000000002"/>
    <n v="2.2097880000000001"/>
    <n v="16046170.492373023"/>
    <n v="19412464.507626977"/>
    <n v="4268013.8024116866"/>
    <n v="15144450.70521529"/>
    <n v="241332.40206110285"/>
    <n v="14903118.303154187"/>
    <m/>
    <m/>
    <m/>
  </r>
  <r>
    <x v="41"/>
    <d v="2019-08-01T00:00:00"/>
    <x v="1139"/>
    <x v="1"/>
    <x v="0"/>
    <n v="35458635"/>
    <n v="2.2200000000000002"/>
    <n v="2.2097880000000001"/>
    <n v="16046170.492373023"/>
    <n v="19412464.507626977"/>
    <n v="4199880.3215635773"/>
    <n v="15212584.1860634"/>
    <n v="241332.40206110285"/>
    <n v="14971251.784002297"/>
    <m/>
    <m/>
    <m/>
  </r>
  <r>
    <x v="42"/>
    <d v="2019-01-01T00:00:00"/>
    <x v="1140"/>
    <x v="1"/>
    <x v="0"/>
    <n v="62778573"/>
    <n v="1.72"/>
    <n v="1.7120879999999998"/>
    <n v="36667842.423987553"/>
    <n v="26110730.576012447"/>
    <n v="8045597.2909204792"/>
    <n v="18065133.285091966"/>
    <n v="427272.61836385686"/>
    <n v="17637860.666728109"/>
    <m/>
    <m/>
    <m/>
  </r>
  <r>
    <x v="42"/>
    <d v="2019-02-01T00:00:00"/>
    <x v="1141"/>
    <x v="1"/>
    <x v="0"/>
    <n v="62778573"/>
    <n v="1.72"/>
    <n v="1.7120879999999998"/>
    <n v="36667842.423987553"/>
    <n v="26110730.576012447"/>
    <n v="7926041.8885133658"/>
    <n v="18184688.687499084"/>
    <n v="427272.61836385686"/>
    <n v="17757416.069135226"/>
    <m/>
    <m/>
    <m/>
  </r>
  <r>
    <x v="42"/>
    <d v="2019-03-01T00:00:00"/>
    <x v="1142"/>
    <x v="1"/>
    <x v="0"/>
    <n v="62778573"/>
    <n v="1.72"/>
    <n v="1.7120879999999998"/>
    <n v="36667842.423987553"/>
    <n v="26110730.576012447"/>
    <n v="5734393.0006893296"/>
    <n v="20376337.57532312"/>
    <n v="427272.61836385686"/>
    <n v="19949064.956959262"/>
    <m/>
    <m/>
    <m/>
  </r>
  <r>
    <x v="42"/>
    <d v="2019-04-01T00:00:00"/>
    <x v="1143"/>
    <x v="1"/>
    <x v="0"/>
    <n v="62778573"/>
    <n v="1.72"/>
    <n v="1.7120879999999998"/>
    <n v="36667842.423987553"/>
    <n v="26110730.576012447"/>
    <n v="5895388.1954416325"/>
    <n v="20215342.380570814"/>
    <n v="427272.61836385686"/>
    <n v="19788069.762206957"/>
    <m/>
    <m/>
    <m/>
  </r>
  <r>
    <x v="42"/>
    <d v="2019-05-01T00:00:00"/>
    <x v="1144"/>
    <x v="1"/>
    <x v="0"/>
    <n v="62778573"/>
    <n v="1.72"/>
    <n v="1.7120879999999998"/>
    <n v="36667842.423987553"/>
    <n v="26110730.576012447"/>
    <n v="4863282.9705337035"/>
    <n v="21247447.605478745"/>
    <n v="427272.61836385686"/>
    <n v="20820174.987114888"/>
    <m/>
    <m/>
    <m/>
  </r>
  <r>
    <x v="9"/>
    <d v="2020-01-01T00:00:00"/>
    <x v="1145"/>
    <x v="1"/>
    <x v="0"/>
    <n v="21063300"/>
    <n v="1.95"/>
    <n v="1.9410299999999998"/>
    <n v="10851609.712369207"/>
    <n v="10211690.287630793"/>
    <s v=""/>
    <s v=""/>
    <n v="143357.37358004975"/>
    <s v=""/>
    <m/>
    <m/>
    <m/>
  </r>
  <r>
    <x v="9"/>
    <d v="2020-02-01T00:00:00"/>
    <x v="1146"/>
    <x v="1"/>
    <x v="0"/>
    <n v="21063300"/>
    <n v="1.95"/>
    <n v="1.9410299999999998"/>
    <n v="10851609.712369207"/>
    <n v="10211690.287630793"/>
    <s v=""/>
    <s v=""/>
    <n v="143357.37358004975"/>
    <s v=""/>
    <m/>
    <m/>
    <m/>
  </r>
  <r>
    <x v="43"/>
    <d v="2019-01-01T00:00:00"/>
    <x v="1147"/>
    <x v="1"/>
    <x v="0"/>
    <n v="29813870"/>
    <n v="2.27"/>
    <n v="2.2595579999999997"/>
    <n v="13194558.404785363"/>
    <n v="16619311.595214637"/>
    <n v="2895128.1651354027"/>
    <n v="13724183.430079235"/>
    <n v="202913.98306329199"/>
    <n v="13521269.447015943"/>
    <m/>
    <m/>
    <m/>
  </r>
  <r>
    <x v="44"/>
    <d v="2019-01-01T00:00:00"/>
    <x v="1148"/>
    <x v="1"/>
    <x v="0"/>
    <n v="126579869.80723679"/>
    <n v="2.5499999999999998"/>
    <n v="2.5382699999999998"/>
    <n v="49868560.006318003"/>
    <n v="76711309.800918788"/>
    <n v="10942076.892597962"/>
    <n v="65769232.908320829"/>
    <n v="861505.92184843333"/>
    <n v="64907726.986472398"/>
    <m/>
    <m/>
    <m/>
  </r>
  <r>
    <x v="44"/>
    <d v="2019-02-01T00:00:00"/>
    <x v="1149"/>
    <x v="1"/>
    <x v="0"/>
    <n v="253159739.61447358"/>
    <n v="2.5499999999999998"/>
    <n v="2.5382699999999998"/>
    <n v="99737120.012636006"/>
    <n v="153422619.60183758"/>
    <n v="21558961.171456628"/>
    <n v="131863658.43038094"/>
    <n v="1723011.8436968667"/>
    <n v="130140646.58668408"/>
    <m/>
    <m/>
    <m/>
  </r>
  <r>
    <x v="44"/>
    <d v="2019-03-01T00:00:00"/>
    <x v="1150"/>
    <x v="1"/>
    <x v="0"/>
    <n v="253159739.61447358"/>
    <n v="2.5499999999999998"/>
    <n v="2.5382699999999998"/>
    <n v="99737120.012636006"/>
    <n v="153422619.60183758"/>
    <n v="15597641.014602548"/>
    <n v="137824978.58723503"/>
    <n v="1723011.8436968667"/>
    <n v="136101966.74353817"/>
    <m/>
    <m/>
    <m/>
  </r>
  <r>
    <x v="44"/>
    <d v="2019-04-01T00:00:00"/>
    <x v="1151"/>
    <x v="1"/>
    <x v="0"/>
    <n v="126579869.80723679"/>
    <n v="2.5499999999999998"/>
    <n v="2.5382699999999998"/>
    <n v="49868560.006318003"/>
    <n v="76711309.800918788"/>
    <n v="8017775.2643715153"/>
    <n v="68693534.536547273"/>
    <n v="861505.92184843333"/>
    <n v="67832028.614698842"/>
    <m/>
    <m/>
    <m/>
  </r>
  <r>
    <x v="45"/>
    <d v="2019-01-01T00:00:00"/>
    <x v="1152"/>
    <x v="1"/>
    <x v="0"/>
    <n v="9800000"/>
    <n v="1.85"/>
    <n v="1.8414900000000001"/>
    <n v="5321777.4736762075"/>
    <n v="4478222.5263237925"/>
    <n v="1167695.6045027827"/>
    <n v="3310526.9218210098"/>
    <n v="66699.057654046977"/>
    <n v="3243827.8641669629"/>
    <m/>
    <m/>
    <m/>
  </r>
  <r>
    <x v="45"/>
    <d v="2019-02-01T00:00:00"/>
    <x v="1153"/>
    <x v="1"/>
    <x v="0"/>
    <n v="9800000"/>
    <n v="1.85"/>
    <n v="1.8414900000000001"/>
    <n v="5321777.4736762075"/>
    <n v="4478222.5263237925"/>
    <n v="1150343.9632464035"/>
    <n v="3327878.5630773893"/>
    <n v="66699.057654046977"/>
    <n v="3261179.5054233423"/>
    <m/>
    <m/>
    <m/>
  </r>
  <r>
    <x v="45"/>
    <d v="2019-03-01T00:00:00"/>
    <x v="1154"/>
    <x v="1"/>
    <x v="0"/>
    <n v="9800000"/>
    <n v="1.85"/>
    <n v="1.8414900000000001"/>
    <n v="5321777.4736762075"/>
    <n v="4478222.5263237925"/>
    <n v="832259.58984461869"/>
    <n v="3645962.9364791736"/>
    <n v="66699.057654046977"/>
    <n v="3579263.8788251267"/>
    <m/>
    <m/>
    <m/>
  </r>
  <r>
    <x v="45"/>
    <d v="2019-04-01T00:00:00"/>
    <x v="1155"/>
    <x v="1"/>
    <x v="0"/>
    <n v="9800000"/>
    <n v="1.85"/>
    <n v="1.8414900000000001"/>
    <n v="5321777.4736762075"/>
    <n v="4478222.5263237925"/>
    <n v="855625.58424636256"/>
    <n v="3622596.94207743"/>
    <n v="66699.057654046977"/>
    <n v="3555897.884423383"/>
    <m/>
    <m/>
    <m/>
  </r>
  <r>
    <x v="45"/>
    <d v="2019-05-01T00:00:00"/>
    <x v="1156"/>
    <x v="1"/>
    <x v="0"/>
    <n v="9800000"/>
    <n v="1.85"/>
    <n v="1.8414900000000001"/>
    <n v="5321777.4736762075"/>
    <n v="4478222.5263237925"/>
    <n v="705831.26930228679"/>
    <n v="3772391.2570215059"/>
    <n v="66699.057654046977"/>
    <n v="3705692.1993674589"/>
    <m/>
    <m/>
    <m/>
  </r>
  <r>
    <x v="45"/>
    <d v="2019-06-01T00:00:00"/>
    <x v="1157"/>
    <x v="1"/>
    <x v="0"/>
    <n v="9800000"/>
    <n v="1.85"/>
    <n v="1.8414900000000001"/>
    <n v="5321777.4736762075"/>
    <n v="4478222.5263237925"/>
    <n v="949177.76249207114"/>
    <n v="3529044.7638317216"/>
    <n v="66699.057654046977"/>
    <n v="3462345.7061776747"/>
    <m/>
    <m/>
    <m/>
  </r>
  <r>
    <x v="45"/>
    <d v="2019-07-01T00:00:00"/>
    <x v="1158"/>
    <x v="1"/>
    <x v="0"/>
    <n v="9800000"/>
    <n v="1.85"/>
    <n v="1.8414900000000001"/>
    <n v="5321777.4736762075"/>
    <n v="4478222.5263237925"/>
    <n v="1415504.0744338138"/>
    <n v="3062718.4518899787"/>
    <n v="66699.057654046977"/>
    <n v="2996019.3942359318"/>
    <m/>
    <m/>
    <m/>
  </r>
  <r>
    <x v="45"/>
    <d v="2019-08-01T00:00:00"/>
    <x v="1159"/>
    <x v="1"/>
    <x v="0"/>
    <n v="9800000"/>
    <n v="1.85"/>
    <n v="1.8414900000000001"/>
    <n v="5321777.4736762075"/>
    <n v="4478222.5263237925"/>
    <n v="1392907.3293878252"/>
    <n v="3085315.1969359675"/>
    <n v="66699.057654046977"/>
    <n v="3018616.1392819206"/>
    <m/>
    <m/>
    <m/>
  </r>
  <r>
    <x v="45"/>
    <d v="2019-09-01T00:00:00"/>
    <x v="1160"/>
    <x v="1"/>
    <x v="0"/>
    <n v="9800000"/>
    <n v="1.85"/>
    <n v="1.8414900000000001"/>
    <n v="5321777.4736762075"/>
    <n v="4478222.5263237925"/>
    <n v="1574226.3202799216"/>
    <n v="2903996.2060438711"/>
    <n v="66699.057654046977"/>
    <n v="2837297.1483898242"/>
    <m/>
    <m/>
    <m/>
  </r>
  <r>
    <x v="17"/>
    <d v="2019-12-01T00:00:00"/>
    <x v="1161"/>
    <x v="1"/>
    <x v="0"/>
    <n v="6950000"/>
    <n v="1.83"/>
    <n v="1.821582"/>
    <n v="3815364.8861264549"/>
    <n v="3134635.1138735451"/>
    <n v="1374380.7350527563"/>
    <n v="1760254.3788207888"/>
    <n v="47301.88272404352"/>
    <n v="1712952.4960967454"/>
    <m/>
    <m/>
    <m/>
  </r>
  <r>
    <x v="46"/>
    <d v="2019-01-01T00:00:00"/>
    <x v="1162"/>
    <x v="1"/>
    <x v="0"/>
    <n v="11029019"/>
    <n v="5.27"/>
    <n v="5.2457579999999995"/>
    <n v="2102464.3149760244"/>
    <n v="8926554.6850239746"/>
    <n v="461319.23992784927"/>
    <n v="8465235.4450961258"/>
    <n v="75063.793280467304"/>
    <n v="8390171.6518156584"/>
    <m/>
    <m/>
    <m/>
  </r>
  <r>
    <x v="46"/>
    <d v="2019-02-01T00:00:00"/>
    <x v="1163"/>
    <x v="1"/>
    <x v="0"/>
    <n v="11029019"/>
    <n v="5.27"/>
    <n v="5.2457579999999995"/>
    <n v="2102464.3149760244"/>
    <n v="8926554.6850239746"/>
    <n v="454464.16063747031"/>
    <n v="8472090.5243865047"/>
    <n v="75063.793280467304"/>
    <n v="8397026.7311060373"/>
    <m/>
    <m/>
    <m/>
  </r>
  <r>
    <x v="46"/>
    <d v="2019-03-01T00:00:00"/>
    <x v="1164"/>
    <x v="1"/>
    <x v="0"/>
    <n v="11029019"/>
    <n v="5.27"/>
    <n v="5.2457579999999995"/>
    <n v="2102464.3149760244"/>
    <n v="8926554.6850239746"/>
    <n v="328799.18356228434"/>
    <n v="8597755.5014616903"/>
    <n v="75063.793280467304"/>
    <n v="8522691.7081812229"/>
    <m/>
    <m/>
    <m/>
  </r>
  <r>
    <x v="46"/>
    <d v="2019-04-01T00:00:00"/>
    <x v="1165"/>
    <x v="1"/>
    <x v="0"/>
    <n v="11029019"/>
    <n v="5.27"/>
    <n v="5.2457579999999995"/>
    <n v="2102464.3149760244"/>
    <n v="8926554.6850239746"/>
    <n v="338030.3416963091"/>
    <n v="8588524.3433276657"/>
    <n v="75063.793280467304"/>
    <n v="8513460.5500471983"/>
    <m/>
    <m/>
    <m/>
  </r>
  <r>
    <x v="46"/>
    <d v="2019-05-01T00:00:00"/>
    <x v="1166"/>
    <x v="1"/>
    <x v="0"/>
    <n v="11029019"/>
    <n v="5.27"/>
    <n v="5.2457579999999995"/>
    <n v="2102464.3149760244"/>
    <n v="8926554.6850239746"/>
    <n v="278851.39193487825"/>
    <n v="8647703.2930890955"/>
    <n v="75063.793280467304"/>
    <n v="8572639.4998086281"/>
    <m/>
    <m/>
    <m/>
  </r>
  <r>
    <x v="46"/>
    <d v="2019-06-01T00:00:00"/>
    <x v="1167"/>
    <x v="1"/>
    <x v="0"/>
    <n v="11029019"/>
    <n v="5.27"/>
    <n v="5.2457579999999995"/>
    <n v="2102464.3149760244"/>
    <n v="8926554.6850239746"/>
    <n v="374989.81948785379"/>
    <n v="8551564.8655361217"/>
    <n v="75063.793280467304"/>
    <n v="8476501.0722556543"/>
    <m/>
    <m/>
    <m/>
  </r>
  <r>
    <x v="46"/>
    <d v="2019-07-01T00:00:00"/>
    <x v="1168"/>
    <x v="1"/>
    <x v="0"/>
    <n v="11029019"/>
    <n v="5.27"/>
    <n v="5.2457579999999995"/>
    <n v="2102464.3149760244"/>
    <n v="8926554.6850239746"/>
    <n v="559220.45198640169"/>
    <n v="8367334.2330375733"/>
    <n v="75063.793280467304"/>
    <n v="8292270.4397571059"/>
    <m/>
    <m/>
    <m/>
  </r>
  <r>
    <x v="46"/>
    <d v="2019-08-01T00:00:00"/>
    <x v="1169"/>
    <x v="1"/>
    <x v="0"/>
    <n v="11029019"/>
    <n v="5.27"/>
    <n v="5.2457579999999995"/>
    <n v="2102464.3149760244"/>
    <n v="8926554.6850239746"/>
    <n v="550293.19970484707"/>
    <n v="8376261.4853191273"/>
    <n v="75063.793280467304"/>
    <n v="8301197.6920386599"/>
    <m/>
    <m/>
    <m/>
  </r>
  <r>
    <x v="46"/>
    <d v="2019-09-01T00:00:00"/>
    <x v="1170"/>
    <x v="1"/>
    <x v="0"/>
    <n v="11029019"/>
    <n v="5.27"/>
    <n v="5.2457579999999995"/>
    <n v="2102464.3149760244"/>
    <n v="8926554.6850239746"/>
    <n v="621926.54211041681"/>
    <n v="8304628.1429135576"/>
    <n v="75063.793280467304"/>
    <n v="8229564.3496330902"/>
    <m/>
    <m/>
    <m/>
  </r>
  <r>
    <x v="46"/>
    <d v="2019-10-01T00:00:00"/>
    <x v="1171"/>
    <x v="1"/>
    <x v="0"/>
    <n v="11029019"/>
    <n v="5.27"/>
    <n v="5.2457579999999995"/>
    <n v="2102464.3149760244"/>
    <n v="8926554.6850239746"/>
    <n v="672549.33565860451"/>
    <n v="8254005.3493653703"/>
    <n v="75063.793280467304"/>
    <n v="8178941.556084903"/>
    <m/>
    <m/>
    <m/>
  </r>
  <r>
    <x v="46"/>
    <d v="2019-11-01T00:00:00"/>
    <x v="1172"/>
    <x v="1"/>
    <x v="0"/>
    <n v="11029019"/>
    <n v="5.27"/>
    <n v="5.2457579999999995"/>
    <n v="2102464.3149760244"/>
    <n v="8926554.6850239746"/>
    <n v="899485.20499126543"/>
    <n v="8027069.4800327094"/>
    <n v="75063.793280467304"/>
    <n v="7952005.686752242"/>
    <m/>
    <m/>
    <m/>
  </r>
  <r>
    <x v="46"/>
    <d v="2019-12-01T00:00:00"/>
    <x v="1173"/>
    <x v="1"/>
    <x v="0"/>
    <n v="11029019"/>
    <n v="5.27"/>
    <n v="5.2457579999999995"/>
    <n v="2102464.3149760244"/>
    <n v="8926554.6850239746"/>
    <n v="757355.20373061567"/>
    <n v="8169199.4812933588"/>
    <n v="75063.793280467304"/>
    <n v="8094135.6880128914"/>
    <m/>
    <m/>
    <m/>
  </r>
  <r>
    <x v="46"/>
    <d v="2020-01-01T00:00:00"/>
    <x v="1174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2-01T00:00:00"/>
    <x v="1175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3-01T00:00:00"/>
    <x v="1176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4-01T00:00:00"/>
    <x v="1177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5-01T00:00:00"/>
    <x v="1178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6-01T00:00:00"/>
    <x v="1179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7-01T00:00:00"/>
    <x v="1180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8-01T00:00:00"/>
    <x v="1181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09-01T00:00:00"/>
    <x v="1182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10-01T00:00:00"/>
    <x v="1183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11-01T00:00:00"/>
    <x v="1184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0-12-01T00:00:00"/>
    <x v="1185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1-01-01T00:00:00"/>
    <x v="1186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d v="2021-02-01T00:00:00"/>
    <x v="1187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7"/>
    <d v="2019-01-01T00:00:00"/>
    <x v="1188"/>
    <x v="1"/>
    <x v="0"/>
    <n v="10920000"/>
    <n v="5.0599999999999996"/>
    <n v="5.0367239999999995"/>
    <n v="2168075.9160120748"/>
    <n v="8751924.0839879252"/>
    <n v="475715.62882482097"/>
    <n v="8276208.4551631045"/>
    <n v="74321.80710022377"/>
    <n v="8201886.6480628811"/>
    <m/>
    <m/>
    <m/>
  </r>
  <r>
    <x v="47"/>
    <d v="2019-02-01T00:00:00"/>
    <x v="1189"/>
    <x v="1"/>
    <x v="0"/>
    <n v="10920000"/>
    <n v="5.0599999999999996"/>
    <n v="5.0367239999999995"/>
    <n v="2168075.9160120748"/>
    <n v="8751924.0839879252"/>
    <n v="468646.62308429158"/>
    <n v="8283277.4609036334"/>
    <n v="74321.80710022377"/>
    <n v="8208955.65380341"/>
    <m/>
    <m/>
    <m/>
  </r>
  <r>
    <x v="47"/>
    <d v="2019-03-01T00:00:00"/>
    <x v="1190"/>
    <x v="1"/>
    <x v="0"/>
    <n v="10920000"/>
    <n v="5.0599999999999996"/>
    <n v="5.0367239999999995"/>
    <n v="2168075.9160120748"/>
    <n v="8751924.0839879252"/>
    <n v="339060.01923935203"/>
    <n v="8412864.064748574"/>
    <n v="74321.80710022377"/>
    <n v="8338542.2576483507"/>
    <m/>
    <m/>
    <m/>
  </r>
  <r>
    <x v="47"/>
    <d v="2019-04-01T00:00:00"/>
    <x v="1191"/>
    <x v="1"/>
    <x v="0"/>
    <n v="10920000"/>
    <n v="5.0599999999999996"/>
    <n v="5.0367239999999995"/>
    <n v="2168075.9160120748"/>
    <n v="8751924.0839879252"/>
    <n v="348579.25411278976"/>
    <n v="8403344.8298751358"/>
    <n v="74321.80710022377"/>
    <n v="8329023.0227749124"/>
    <m/>
    <m/>
    <m/>
  </r>
  <r>
    <x v="47"/>
    <d v="2019-05-01T00:00:00"/>
    <x v="1192"/>
    <x v="1"/>
    <x v="0"/>
    <n v="10920000"/>
    <n v="5.0599999999999996"/>
    <n v="5.0367239999999995"/>
    <n v="2168075.9160120748"/>
    <n v="8751924.0839879252"/>
    <n v="287553.50694613217"/>
    <n v="8464370.5770417936"/>
    <n v="74321.80710022377"/>
    <n v="8390048.7699415702"/>
    <m/>
    <m/>
    <m/>
  </r>
  <r>
    <x v="47"/>
    <d v="2019-06-01T00:00:00"/>
    <x v="1193"/>
    <x v="1"/>
    <x v="0"/>
    <n v="10920000"/>
    <n v="5.0599999999999996"/>
    <n v="5.0367239999999995"/>
    <n v="2168075.9160120748"/>
    <n v="8751924.0839879252"/>
    <n v="386692.12627782574"/>
    <n v="8365231.9577100994"/>
    <n v="74321.80710022377"/>
    <n v="8290910.150609876"/>
    <m/>
    <m/>
    <m/>
  </r>
  <r>
    <x v="47"/>
    <d v="2019-07-01T00:00:00"/>
    <x v="1194"/>
    <x v="1"/>
    <x v="0"/>
    <n v="10920000"/>
    <n v="5.0599999999999996"/>
    <n v="5.0367239999999995"/>
    <n v="2168075.9160120748"/>
    <n v="8751924.0839879252"/>
    <n v="576672.0438757746"/>
    <n v="8175252.0401121508"/>
    <n v="74321.80710022377"/>
    <n v="8100930.2330119275"/>
    <m/>
    <m/>
    <m/>
  </r>
  <r>
    <x v="47"/>
    <d v="2019-08-01T00:00:00"/>
    <x v="1195"/>
    <x v="1"/>
    <x v="0"/>
    <n v="10920000"/>
    <n v="5.0599999999999996"/>
    <n v="5.0367239999999995"/>
    <n v="2168075.9160120748"/>
    <n v="8751924.0839879252"/>
    <n v="567466.19884433434"/>
    <n v="8184457.8851435911"/>
    <n v="74321.80710022377"/>
    <n v="8110136.0780433677"/>
    <m/>
    <m/>
    <m/>
  </r>
  <r>
    <x v="47"/>
    <d v="2019-09-01T00:00:00"/>
    <x v="1196"/>
    <x v="1"/>
    <x v="0"/>
    <n v="10920000"/>
    <n v="5.0599999999999996"/>
    <n v="5.0367239999999995"/>
    <n v="2168075.9160120748"/>
    <n v="8751924.0839879252"/>
    <n v="641335.00286954478"/>
    <n v="8110589.0811183807"/>
    <n v="74321.80710022377"/>
    <n v="8036267.2740181573"/>
    <m/>
    <m/>
    <m/>
  </r>
  <r>
    <x v="47"/>
    <d v="2019-10-01T00:00:00"/>
    <x v="1197"/>
    <x v="1"/>
    <x v="0"/>
    <n v="10920000"/>
    <n v="5.0599999999999996"/>
    <n v="5.0367239999999995"/>
    <n v="2168075.9160120748"/>
    <n v="8751924.0839879252"/>
    <n v="693537.58186757588"/>
    <n v="8058386.5021203496"/>
    <n v="74321.80710022377"/>
    <n v="7984064.6950201262"/>
    <m/>
    <m/>
    <m/>
  </r>
  <r>
    <x v="47"/>
    <d v="2019-11-01T00:00:00"/>
    <x v="1198"/>
    <x v="1"/>
    <x v="0"/>
    <n v="10920000"/>
    <n v="5.0599999999999996"/>
    <n v="5.0367239999999995"/>
    <n v="2168075.9160120748"/>
    <n v="8751924.0839879252"/>
    <n v="927555.43856780534"/>
    <n v="7824368.6454201201"/>
    <n v="74321.80710022377"/>
    <n v="7750046.8383198967"/>
    <m/>
    <m/>
    <m/>
  </r>
  <r>
    <x v="47"/>
    <d v="2019-12-01T00:00:00"/>
    <x v="1199"/>
    <x v="1"/>
    <x v="0"/>
    <n v="10920000"/>
    <n v="5.0599999999999996"/>
    <n v="5.0367239999999995"/>
    <n v="2168075.9160120748"/>
    <n v="8751924.0839879252"/>
    <n v="780989.98654989805"/>
    <n v="7970934.0974380272"/>
    <n v="74321.80710022377"/>
    <n v="7896612.2903378038"/>
    <m/>
    <m/>
    <m/>
  </r>
  <r>
    <x v="47"/>
    <d v="2020-01-01T00:00:00"/>
    <x v="1200"/>
    <x v="1"/>
    <x v="0"/>
    <n v="10920000"/>
    <n v="5.0599999999999996"/>
    <n v="5.0367239999999995"/>
    <n v="2168075.9160120748"/>
    <n v="8751924.0839879252"/>
    <s v=""/>
    <s v=""/>
    <n v="74321.80710022377"/>
    <s v=""/>
    <m/>
    <m/>
    <m/>
  </r>
  <r>
    <x v="48"/>
    <d v="2019-01-01T00:00:00"/>
    <x v="1201"/>
    <x v="1"/>
    <x v="0"/>
    <n v="60561853.894285716"/>
    <n v="2.06"/>
    <n v="2.0505239999999998"/>
    <n v="29534818.365591295"/>
    <n v="31027035.528694421"/>
    <n v="6480480.9588299869"/>
    <n v="24546554.569864433"/>
    <n v="412185.56985009514"/>
    <n v="24134369.000014339"/>
    <m/>
    <m/>
    <m/>
  </r>
  <r>
    <x v="48"/>
    <d v="2019-02-01T00:00:00"/>
    <x v="1202"/>
    <x v="1"/>
    <x v="0"/>
    <n v="60561853.894285716"/>
    <n v="2.06"/>
    <n v="2.0505239999999998"/>
    <n v="29534818.365591295"/>
    <n v="31027035.528694421"/>
    <n v="6384182.7623369945"/>
    <n v="24642852.766357426"/>
    <n v="412185.56985009514"/>
    <n v="24230667.196507331"/>
    <m/>
    <m/>
    <m/>
  </r>
  <r>
    <x v="48"/>
    <d v="2019-03-01T00:00:00"/>
    <x v="1203"/>
    <x v="1"/>
    <x v="0"/>
    <n v="60561853.894285716"/>
    <n v="2.06"/>
    <n v="2.0505239999999998"/>
    <n v="29534818.365591295"/>
    <n v="31027035.528694421"/>
    <n v="4618877.0463757049"/>
    <n v="26408158.482318714"/>
    <n v="412185.56985009514"/>
    <n v="25995972.91246862"/>
    <m/>
    <m/>
    <m/>
  </r>
  <r>
    <x v="48"/>
    <d v="2019-04-01T00:00:00"/>
    <x v="1204"/>
    <x v="1"/>
    <x v="0"/>
    <n v="60561853.894285716"/>
    <n v="2.06"/>
    <n v="2.0505239999999998"/>
    <n v="29534818.365591295"/>
    <n v="31027035.528694421"/>
    <n v="4748553.7200059919"/>
    <n v="26278481.808688428"/>
    <n v="412185.56985009514"/>
    <n v="25866296.238838334"/>
    <m/>
    <m/>
    <m/>
  </r>
  <r>
    <x v="48"/>
    <d v="2019-05-01T00:00:00"/>
    <x v="1205"/>
    <x v="1"/>
    <x v="0"/>
    <n v="60561853.894285716"/>
    <n v="2.06"/>
    <n v="2.0505239999999998"/>
    <n v="29534818.365591295"/>
    <n v="31027035.528694421"/>
    <n v="3917224.7315326519"/>
    <n v="27109810.797161769"/>
    <n v="412185.56985009514"/>
    <n v="26697625.227311675"/>
    <m/>
    <m/>
    <m/>
  </r>
  <r>
    <x v="48"/>
    <d v="2019-06-01T00:00:00"/>
    <x v="1206"/>
    <x v="1"/>
    <x v="0"/>
    <n v="60561853.894285716"/>
    <n v="2.06"/>
    <n v="2.0505239999999998"/>
    <n v="29534818.365591295"/>
    <n v="31027035.528694421"/>
    <n v="5267749.9107260359"/>
    <n v="25759285.617968384"/>
    <n v="412185.56985009514"/>
    <n v="25347100.04811829"/>
    <m/>
    <m/>
    <m/>
  </r>
  <r>
    <x v="48"/>
    <d v="2019-07-01T00:00:00"/>
    <x v="1207"/>
    <x v="1"/>
    <x v="0"/>
    <n v="60561853.894285716"/>
    <n v="2.06"/>
    <n v="2.0505239999999998"/>
    <n v="29534818.365591295"/>
    <n v="31027035.528694421"/>
    <n v="7855769.2314176504"/>
    <n v="23171266.297276773"/>
    <n v="412185.56985009514"/>
    <n v="22759080.727426678"/>
    <m/>
    <m/>
    <m/>
  </r>
  <r>
    <x v="48"/>
    <d v="2019-08-01T00:00:00"/>
    <x v="1208"/>
    <x v="1"/>
    <x v="0"/>
    <n v="60561853.894285716"/>
    <n v="2.06"/>
    <n v="2.0505239999999998"/>
    <n v="29534818.365591295"/>
    <n v="31027035.528694421"/>
    <n v="7730361.7404265217"/>
    <n v="23296673.788267899"/>
    <n v="412185.56985009514"/>
    <n v="22884488.218417805"/>
    <m/>
    <m/>
    <m/>
  </r>
  <r>
    <x v="48"/>
    <d v="2019-09-01T00:00:00"/>
    <x v="1209"/>
    <x v="1"/>
    <x v="0"/>
    <n v="60561853.894285716"/>
    <n v="2.06"/>
    <n v="2.0505239999999998"/>
    <n v="29534818.365591295"/>
    <n v="31027035.528694421"/>
    <n v="8736646.4805757664"/>
    <n v="22290389.048118655"/>
    <n v="412185.56985009514"/>
    <n v="21878203.47826856"/>
    <m/>
    <m/>
    <m/>
  </r>
  <r>
    <x v="48"/>
    <d v="2019-10-01T00:00:00"/>
    <x v="1210"/>
    <x v="1"/>
    <x v="0"/>
    <n v="60561853.894285716"/>
    <n v="2.06"/>
    <n v="2.0505239999999998"/>
    <n v="29534818.365591295"/>
    <n v="31027035.528694421"/>
    <n v="9447781.0296639875"/>
    <n v="21579254.499030434"/>
    <n v="412185.56985009514"/>
    <n v="21167068.929180339"/>
    <m/>
    <m/>
    <m/>
  </r>
  <r>
    <x v="48"/>
    <d v="2019-11-01T00:00:00"/>
    <x v="1211"/>
    <x v="1"/>
    <x v="0"/>
    <n v="60561853.894285716"/>
    <n v="2.06"/>
    <n v="2.0505239999999998"/>
    <n v="29534818.365591295"/>
    <n v="31027035.528694421"/>
    <n v="12635711.323479287"/>
    <n v="18391324.205215134"/>
    <n v="412185.56985009514"/>
    <n v="17979138.635365039"/>
    <m/>
    <m/>
    <m/>
  </r>
  <r>
    <x v="48"/>
    <d v="2019-12-01T00:00:00"/>
    <x v="1212"/>
    <x v="1"/>
    <x v="0"/>
    <n v="60561853.894285716"/>
    <n v="2.06"/>
    <n v="2.0505239999999998"/>
    <n v="29534818.365591295"/>
    <n v="31027035.528694421"/>
    <n v="10639109.649132952"/>
    <n v="20387925.879561469"/>
    <n v="412185.56985009514"/>
    <n v="19975740.309711374"/>
    <m/>
    <m/>
    <m/>
  </r>
  <r>
    <x v="49"/>
    <d v="2019-01-01T00:00:00"/>
    <x v="1213"/>
    <x v="1"/>
    <x v="0"/>
    <n v="15250000"/>
    <n v="2.0299999999999998"/>
    <n v="2.0206619999999997"/>
    <n v="7547031.6163712693"/>
    <n v="7702968.3836287307"/>
    <n v="1655957.1851832091"/>
    <n v="6047011.1984455213"/>
    <n v="103791.90094124657"/>
    <n v="5943219.2975042751"/>
    <m/>
    <m/>
    <m/>
  </r>
  <r>
    <x v="49"/>
    <d v="2019-02-01T00:00:00"/>
    <x v="1214"/>
    <x v="1"/>
    <x v="0"/>
    <n v="15250000"/>
    <n v="2.0299999999999998"/>
    <n v="2.0206619999999997"/>
    <n v="7547031.6163712693"/>
    <n v="7702968.3836287307"/>
    <n v="1631350.1087307313"/>
    <n v="6071618.2748979991"/>
    <n v="103791.90094124657"/>
    <n v="5967826.3739567529"/>
    <m/>
    <m/>
    <m/>
  </r>
  <r>
    <x v="49"/>
    <d v="2019-03-01T00:00:00"/>
    <x v="1215"/>
    <x v="1"/>
    <x v="0"/>
    <n v="15250000"/>
    <n v="2.0299999999999998"/>
    <n v="2.0206619999999997"/>
    <n v="7547031.6163712693"/>
    <n v="7702968.3836287307"/>
    <n v="1180261.5702468739"/>
    <n v="6522706.8133818563"/>
    <n v="103791.90094124657"/>
    <n v="6418914.9124406101"/>
    <m/>
    <m/>
    <m/>
  </r>
  <r>
    <x v="49"/>
    <d v="2019-04-01T00:00:00"/>
    <x v="1216"/>
    <x v="1"/>
    <x v="0"/>
    <n v="15250000"/>
    <n v="2.0299999999999998"/>
    <n v="2.0206619999999997"/>
    <n v="7547031.6163712693"/>
    <n v="7702968.3836287307"/>
    <n v="1213397.8483739072"/>
    <n v="6489570.535254823"/>
    <n v="103791.90094124657"/>
    <n v="6385778.6343135769"/>
    <m/>
    <m/>
    <m/>
  </r>
  <r>
    <x v="49"/>
    <d v="2019-05-01T00:00:00"/>
    <x v="1217"/>
    <x v="1"/>
    <x v="0"/>
    <n v="15250000"/>
    <n v="2.0299999999999998"/>
    <n v="2.0206619999999997"/>
    <n v="7547031.6163712693"/>
    <n v="7702968.3836287307"/>
    <n v="1000968.3666025319"/>
    <n v="6702000.017026199"/>
    <n v="103791.90094124657"/>
    <n v="6598208.1160849528"/>
    <m/>
    <m/>
    <m/>
  </r>
  <r>
    <x v="49"/>
    <d v="2019-06-01T00:00:00"/>
    <x v="1218"/>
    <x v="1"/>
    <x v="0"/>
    <n v="15250000"/>
    <n v="2.0299999999999998"/>
    <n v="2.0206619999999997"/>
    <n v="7547031.6163712693"/>
    <n v="7702968.3836287307"/>
    <n v="1346068.0418371146"/>
    <n v="6356900.3417916158"/>
    <n v="103791.90094124657"/>
    <n v="6253108.4408503696"/>
    <m/>
    <m/>
    <m/>
  </r>
  <r>
    <x v="49"/>
    <d v="2019-07-01T00:00:00"/>
    <x v="1219"/>
    <x v="1"/>
    <x v="0"/>
    <n v="15250000"/>
    <n v="2.0299999999999998"/>
    <n v="2.0206619999999997"/>
    <n v="7547031.6163712693"/>
    <n v="7702968.3836287307"/>
    <n v="2007384.5732363516"/>
    <n v="5695583.8103923788"/>
    <n v="103791.90094124657"/>
    <n v="5591791.9094511326"/>
    <m/>
    <m/>
    <m/>
  </r>
  <r>
    <x v="49"/>
    <d v="2019-08-01T00:00:00"/>
    <x v="1220"/>
    <x v="1"/>
    <x v="0"/>
    <n v="15250000"/>
    <n v="2.0299999999999998"/>
    <n v="2.0206619999999997"/>
    <n v="7547031.6163712693"/>
    <n v="7702968.3836287307"/>
    <n v="1975339.1992738529"/>
    <n v="5727629.184354878"/>
    <n v="103791.90094124657"/>
    <n v="5623837.2834136318"/>
    <m/>
    <m/>
    <m/>
  </r>
  <r>
    <x v="49"/>
    <d v="2019-09-01T00:00:00"/>
    <x v="1221"/>
    <x v="1"/>
    <x v="0"/>
    <n v="15250000"/>
    <n v="2.0299999999999998"/>
    <n v="2.0206619999999997"/>
    <n v="7547031.6163712693"/>
    <n v="7702968.3836287307"/>
    <n v="2232475.121187157"/>
    <n v="5470493.2624415737"/>
    <n v="103791.90094124657"/>
    <n v="5366701.3615003275"/>
    <m/>
    <m/>
    <m/>
  </r>
  <r>
    <x v="49"/>
    <d v="2019-10-01T00:00:00"/>
    <x v="1222"/>
    <x v="1"/>
    <x v="0"/>
    <n v="15250000"/>
    <n v="2.0299999999999998"/>
    <n v="2.0206619999999997"/>
    <n v="7547031.6163712693"/>
    <n v="7702968.3836287307"/>
    <n v="2414191.3199810302"/>
    <n v="5288777.0636477005"/>
    <n v="103791.90094124657"/>
    <n v="5184985.1627064543"/>
    <m/>
    <m/>
    <m/>
  </r>
  <r>
    <x v="49"/>
    <d v="2019-11-01T00:00:00"/>
    <x v="1223"/>
    <x v="1"/>
    <x v="0"/>
    <n v="15250000"/>
    <n v="2.0299999999999998"/>
    <n v="2.0206619999999997"/>
    <n v="7547031.6163712693"/>
    <n v="7702968.3836287307"/>
    <n v="3228803.0917683779"/>
    <n v="4474165.2918603532"/>
    <n v="103791.90094124657"/>
    <n v="4370373.390919107"/>
    <m/>
    <m/>
    <m/>
  </r>
  <r>
    <x v="49"/>
    <d v="2019-12-01T00:00:00"/>
    <x v="1224"/>
    <x v="1"/>
    <x v="0"/>
    <n v="15250000"/>
    <n v="2.0299999999999998"/>
    <n v="2.0206619999999997"/>
    <n v="7547031.6163712693"/>
    <n v="7702968.3836287307"/>
    <n v="2718611.5011152709"/>
    <n v="4984356.8825134598"/>
    <n v="103791.90094124657"/>
    <n v="4880564.9815722136"/>
    <m/>
    <m/>
    <m/>
  </r>
  <r>
    <x v="50"/>
    <d v="2019-01-01T00:00:00"/>
    <x v="1225"/>
    <x v="1"/>
    <x v="0"/>
    <n v="20341421"/>
    <n v="2.62"/>
    <n v="2.6079479999999999"/>
    <n v="7799780.1336529721"/>
    <n v="12541640.866347028"/>
    <n v="1711414.8464879699"/>
    <n v="10830226.019859059"/>
    <n v="138444.24612696347"/>
    <n v="10691781.773732096"/>
    <m/>
    <m/>
    <m/>
  </r>
  <r>
    <x v="50"/>
    <d v="2019-02-01T00:00:00"/>
    <x v="1226"/>
    <x v="1"/>
    <x v="0"/>
    <n v="20341421"/>
    <n v="2.62"/>
    <n v="2.6079479999999999"/>
    <n v="7799780.1336529721"/>
    <n v="12541640.866347028"/>
    <n v="1685983.6841691348"/>
    <n v="10855657.182177894"/>
    <n v="138444.24612696347"/>
    <n v="10717212.936050931"/>
    <m/>
    <m/>
    <m/>
  </r>
  <r>
    <x v="50"/>
    <d v="2019-03-01T00:00:00"/>
    <x v="1227"/>
    <x v="1"/>
    <x v="0"/>
    <n v="20341421"/>
    <n v="2.62"/>
    <n v="2.6079479999999999"/>
    <n v="7799780.1336529721"/>
    <n v="12541640.866347028"/>
    <n v="1219788.2844635427"/>
    <n v="11321852.581883484"/>
    <n v="138444.24612696347"/>
    <n v="11183408.335756522"/>
    <m/>
    <m/>
    <m/>
  </r>
  <r>
    <x v="51"/>
    <d v="2019-01-01T00:00:00"/>
    <x v="1228"/>
    <x v="1"/>
    <x v="0"/>
    <n v="118601976.15000001"/>
    <n v="0.73"/>
    <n v="0.7266419999999999"/>
    <n v="163219269.11739209"/>
    <n v="-44617292.967392087"/>
    <n v="35813301.864137962"/>
    <n v="-80430594.831530049"/>
    <n v="807208.16786864842"/>
    <n v="-81237802.999398693"/>
    <m/>
    <m/>
    <m/>
  </r>
  <r>
    <x v="51"/>
    <d v="2019-02-01T00:00:00"/>
    <x v="1229"/>
    <x v="1"/>
    <x v="0"/>
    <n v="197669960.25"/>
    <n v="0.73"/>
    <n v="0.7266419999999999"/>
    <n v="272032115.19565344"/>
    <n v="-74362154.945653439"/>
    <n v="58801876.454315983"/>
    <n v="-133164031.39996943"/>
    <n v="1345346.9464477473"/>
    <n v="-134509378.34641719"/>
    <m/>
    <m/>
    <m/>
  </r>
  <r>
    <x v="51"/>
    <d v="2019-03-01T00:00:00"/>
    <x v="1230"/>
    <x v="1"/>
    <x v="0"/>
    <n v="171313965.55000007"/>
    <n v="0.73"/>
    <n v="0.7266419999999999"/>
    <n v="235761166.50289977"/>
    <n v="-64447200.952899694"/>
    <n v="36870104.529088855"/>
    <n v="-101317305.48198855"/>
    <n v="1165967.3535880481"/>
    <n v="-102483272.83557659"/>
    <m/>
    <m/>
    <m/>
  </r>
  <r>
    <x v="51"/>
    <d v="2019-04-01T00:00:00"/>
    <x v="1231"/>
    <x v="1"/>
    <x v="0"/>
    <n v="210847957.5999999"/>
    <n v="0.73"/>
    <n v="0.7266419999999999"/>
    <n v="290167589.54203022"/>
    <n v="-79319631.942030311"/>
    <n v="46652610.816467233"/>
    <n v="-125972242.75849754"/>
    <n v="1435036.7428775965"/>
    <n v="-127407279.50137514"/>
    <m/>
    <m/>
    <m/>
  </r>
  <r>
    <x v="52"/>
    <d v="2019-01-01T00:00:00"/>
    <x v="1232"/>
    <x v="1"/>
    <x v="0"/>
    <n v="12773052.833333334"/>
    <n v="2.2999999999999998"/>
    <n v="2.2894199999999998"/>
    <n v="5579165.3926904351"/>
    <n v="7193887.4406428989"/>
    <n v="1224171.2356564121"/>
    <n v="5969716.2049864866"/>
    <n v="86933.733402927362"/>
    <n v="5882782.4715835592"/>
    <m/>
    <m/>
    <m/>
  </r>
  <r>
    <x v="52"/>
    <d v="2019-02-01T00:00:00"/>
    <x v="1233"/>
    <x v="1"/>
    <x v="0"/>
    <n v="12773052.833333334"/>
    <n v="2.2999999999999998"/>
    <n v="2.2894199999999998"/>
    <n v="5579165.3926904351"/>
    <n v="7193887.4406428989"/>
    <n v="1205980.3817767035"/>
    <n v="5987907.0588661954"/>
    <n v="86933.733402927362"/>
    <n v="5900973.325463268"/>
    <m/>
    <m/>
    <m/>
  </r>
  <r>
    <x v="53"/>
    <d v="2019-01-01T00:00:00"/>
    <x v="1234"/>
    <x v="1"/>
    <x v="0"/>
    <n v="50000000"/>
    <n v="2"/>
    <n v="1.9907999999999999"/>
    <n v="25115531.444645371"/>
    <n v="24884468.555354629"/>
    <n v="5510808.337576909"/>
    <n v="19373660.217777722"/>
    <n v="340301.31456146418"/>
    <n v="19033358.903216258"/>
    <m/>
    <m/>
    <m/>
  </r>
  <r>
    <x v="53"/>
    <d v="2019-02-01T00:00:00"/>
    <x v="1235"/>
    <x v="1"/>
    <x v="0"/>
    <n v="50000000"/>
    <n v="2"/>
    <n v="1.9907999999999999"/>
    <n v="25115531.444645371"/>
    <n v="24884468.555354629"/>
    <n v="5428919.2143006306"/>
    <n v="19455549.341054"/>
    <n v="340301.31456146418"/>
    <n v="19115248.026492536"/>
    <m/>
    <m/>
    <m/>
  </r>
  <r>
    <x v="53"/>
    <d v="2019-03-01T00:00:00"/>
    <x v="1236"/>
    <x v="1"/>
    <x v="0"/>
    <n v="50000000"/>
    <n v="2"/>
    <n v="1.9907999999999999"/>
    <n v="25115531.444645371"/>
    <n v="24884468.555354629"/>
    <n v="3927755.7173789409"/>
    <n v="20956712.837975688"/>
    <n v="340301.31456146418"/>
    <n v="20616411.523414224"/>
    <m/>
    <m/>
    <m/>
  </r>
  <r>
    <x v="53"/>
    <d v="2019-04-01T00:00:00"/>
    <x v="1237"/>
    <x v="1"/>
    <x v="0"/>
    <n v="50000000"/>
    <n v="2"/>
    <n v="1.9907999999999999"/>
    <n v="25115531.444645371"/>
    <n v="24884468.555354629"/>
    <n v="4038028.9052443136"/>
    <n v="20846439.650110316"/>
    <n v="340301.31456146418"/>
    <n v="20506138.335548852"/>
    <m/>
    <m/>
    <m/>
  </r>
  <r>
    <x v="53"/>
    <d v="2019-05-01T00:00:00"/>
    <x v="1238"/>
    <x v="1"/>
    <x v="0"/>
    <n v="50000000"/>
    <n v="2"/>
    <n v="1.9907999999999999"/>
    <n v="25115531.444645371"/>
    <n v="24884468.555354629"/>
    <n v="3331091.4495133436"/>
    <n v="21553377.105841286"/>
    <n v="340301.31456146418"/>
    <n v="21213075.791279823"/>
    <m/>
    <m/>
    <m/>
  </r>
  <r>
    <x v="54"/>
    <d v="2019-01-01T00:00:00"/>
    <x v="1239"/>
    <x v="1"/>
    <x v="0"/>
    <n v="48166666.666666664"/>
    <n v="2.44"/>
    <n v="2.428776"/>
    <n v="19831662.80738391"/>
    <n v="28335003.859282754"/>
    <n v="4351430.627212367"/>
    <n v="23983573.232070386"/>
    <n v="327823.59969421045"/>
    <n v="23655749.632376175"/>
    <m/>
    <m/>
    <m/>
  </r>
  <r>
    <x v="54"/>
    <d v="2019-02-01T00:00:00"/>
    <x v="1240"/>
    <x v="1"/>
    <x v="0"/>
    <n v="48166666.666666664"/>
    <n v="2.44"/>
    <n v="2.428776"/>
    <n v="19831662.80738391"/>
    <n v="28335003.859282754"/>
    <n v="4286769.5435324647"/>
    <n v="24048234.31575029"/>
    <n v="327823.59969421045"/>
    <n v="23720410.716056079"/>
    <m/>
    <m/>
    <m/>
  </r>
  <r>
    <x v="54"/>
    <d v="2019-03-01T00:00:00"/>
    <x v="1241"/>
    <x v="1"/>
    <x v="0"/>
    <n v="48166666.666666664"/>
    <n v="2.44"/>
    <n v="2.428776"/>
    <n v="19831662.80738391"/>
    <n v="28335003.859282754"/>
    <n v="3101424.5965096005"/>
    <n v="25233579.262773152"/>
    <n v="327823.59969421045"/>
    <n v="24905755.663078941"/>
    <m/>
    <m/>
    <m/>
  </r>
  <r>
    <x v="54"/>
    <d v="2019-04-01T00:00:00"/>
    <x v="1242"/>
    <x v="1"/>
    <x v="0"/>
    <n v="48166666.666666664"/>
    <n v="2.44"/>
    <n v="2.428776"/>
    <n v="19831662.80738391"/>
    <n v="28335003.859282754"/>
    <n v="3188498.2339224215"/>
    <n v="25146505.625360332"/>
    <n v="327823.59969421045"/>
    <n v="24818682.025666121"/>
    <m/>
    <m/>
    <m/>
  </r>
  <r>
    <x v="54"/>
    <d v="2019-05-01T00:00:00"/>
    <x v="1243"/>
    <x v="1"/>
    <x v="0"/>
    <n v="48166666.666666664"/>
    <n v="2.44"/>
    <n v="2.428776"/>
    <n v="19831662.80738391"/>
    <n v="28335003.859282754"/>
    <n v="2630288.0571293887"/>
    <n v="25704715.802153364"/>
    <n v="327823.59969421045"/>
    <n v="25376892.202459153"/>
    <m/>
    <m/>
    <m/>
  </r>
  <r>
    <x v="54"/>
    <d v="2019-06-01T00:00:00"/>
    <x v="1244"/>
    <x v="1"/>
    <x v="0"/>
    <n v="48166666.666666664"/>
    <n v="2.44"/>
    <n v="2.428776"/>
    <n v="19831662.80738391"/>
    <n v="28335003.859282754"/>
    <n v="3537121.4642326431"/>
    <n v="24797882.395050112"/>
    <n v="327823.59969421045"/>
    <n v="24470058.795355901"/>
    <m/>
    <m/>
    <m/>
  </r>
  <r>
    <x v="55"/>
    <d v="2019-02-01T00:00:00"/>
    <x v="1245"/>
    <x v="1"/>
    <x v="0"/>
    <n v="9800000"/>
    <n v="1"/>
    <n v="0.99539999999999995"/>
    <n v="9845288.3263009842"/>
    <n v="-45288.326300984249"/>
    <n v="2128136.3320058468"/>
    <n v="-2173424.658306831"/>
    <n v="66699.057654046977"/>
    <n v="-2240123.7159608779"/>
    <m/>
    <m/>
    <m/>
  </r>
  <r>
    <x v="55"/>
    <d v="2019-03-01T00:00:00"/>
    <x v="1246"/>
    <x v="1"/>
    <x v="0"/>
    <n v="9800000"/>
    <n v="1"/>
    <n v="0.99539999999999995"/>
    <n v="9845288.3263009842"/>
    <n v="-45288.326300984249"/>
    <n v="1539680.2412125445"/>
    <n v="-1584968.5675135287"/>
    <n v="66699.057654046977"/>
    <n v="-1651667.6251675757"/>
    <m/>
    <m/>
    <m/>
  </r>
  <r>
    <x v="55"/>
    <d v="2019-04-01T00:00:00"/>
    <x v="1247"/>
    <x v="1"/>
    <x v="0"/>
    <n v="9800000"/>
    <n v="1"/>
    <n v="0.99539999999999995"/>
    <n v="9845288.3263009842"/>
    <n v="-45288.326300984249"/>
    <n v="1582907.3308557707"/>
    <n v="-1628195.657156755"/>
    <n v="66699.057654046977"/>
    <n v="-1694894.7148108019"/>
    <m/>
    <m/>
    <m/>
  </r>
  <r>
    <x v="55"/>
    <d v="2019-05-01T00:00:00"/>
    <x v="1248"/>
    <x v="1"/>
    <x v="0"/>
    <n v="9800000"/>
    <n v="1"/>
    <n v="0.99539999999999995"/>
    <n v="9845288.3263009842"/>
    <n v="-45288.326300984249"/>
    <n v="1305787.8482092305"/>
    <n v="-1351076.1745102147"/>
    <n v="66699.057654046977"/>
    <n v="-1417775.2321642616"/>
    <m/>
    <m/>
    <m/>
  </r>
  <r>
    <x v="55"/>
    <d v="2019-06-01T00:00:00"/>
    <x v="1249"/>
    <x v="1"/>
    <x v="0"/>
    <n v="9800000"/>
    <n v="1"/>
    <n v="0.99539999999999995"/>
    <n v="9845288.3263009842"/>
    <n v="-45288.326300984249"/>
    <n v="1755978.8606103314"/>
    <n v="-1801267.1869113157"/>
    <n v="66699.057654046977"/>
    <n v="-1867966.2445653626"/>
    <m/>
    <m/>
    <m/>
  </r>
  <r>
    <x v="55"/>
    <d v="2019-07-01T00:00:00"/>
    <x v="1250"/>
    <x v="1"/>
    <x v="0"/>
    <n v="9800000"/>
    <n v="1"/>
    <n v="0.99539999999999995"/>
    <n v="9845288.3263009842"/>
    <n v="-45288.326300984249"/>
    <n v="2618682.5377025553"/>
    <n v="-2663970.8640035396"/>
    <n v="66699.057654046977"/>
    <n v="-2730669.9216575865"/>
    <m/>
    <m/>
    <m/>
  </r>
  <r>
    <x v="55"/>
    <d v="2019-08-01T00:00:00"/>
    <x v="1251"/>
    <x v="1"/>
    <x v="0"/>
    <n v="9800000"/>
    <n v="1"/>
    <n v="0.99539999999999995"/>
    <n v="9845288.3263009842"/>
    <n v="-45288.326300984249"/>
    <n v="2576878.559367477"/>
    <n v="-2622166.8856684612"/>
    <n v="66699.057654046977"/>
    <n v="-2688865.9433225081"/>
    <m/>
    <m/>
    <m/>
  </r>
  <r>
    <x v="55"/>
    <d v="2019-09-01T00:00:00"/>
    <x v="1252"/>
    <x v="1"/>
    <x v="0"/>
    <n v="9800000"/>
    <n v="1"/>
    <n v="0.99539999999999995"/>
    <n v="9845288.3263009842"/>
    <n v="-45288.326300984249"/>
    <n v="2912318.6925178552"/>
    <n v="-2957607.0188188395"/>
    <n v="66699.057654046977"/>
    <n v="-3024306.0764728864"/>
    <m/>
    <m/>
    <m/>
  </r>
  <r>
    <x v="55"/>
    <d v="2019-10-01T00:00:00"/>
    <x v="1253"/>
    <x v="1"/>
    <x v="0"/>
    <n v="9800000"/>
    <n v="1"/>
    <n v="0.99539999999999995"/>
    <n v="9845288.3263009842"/>
    <n v="-45288.326300984249"/>
    <n v="3149371.942275581"/>
    <n v="-3194660.2685765652"/>
    <n v="66699.057654046977"/>
    <n v="-3261359.3262306121"/>
    <m/>
    <m/>
    <m/>
  </r>
  <r>
    <x v="55"/>
    <d v="2019-11-01T00:00:00"/>
    <x v="1254"/>
    <x v="1"/>
    <x v="0"/>
    <n v="9800000"/>
    <n v="1"/>
    <n v="0.99539999999999995"/>
    <n v="9845288.3263009842"/>
    <n v="-45288.326300984249"/>
    <n v="4212053.0300091868"/>
    <n v="-4257341.3563101711"/>
    <n v="66699.057654046977"/>
    <n v="-4324040.4139642185"/>
    <m/>
    <m/>
    <m/>
  </r>
  <r>
    <x v="55"/>
    <d v="2019-12-01T00:00:00"/>
    <x v="1255"/>
    <x v="1"/>
    <x v="0"/>
    <n v="9800000"/>
    <n v="1"/>
    <n v="0.99539999999999995"/>
    <n v="9845288.3263009842"/>
    <n v="-45288.326300984249"/>
    <n v="3546495.5543073569"/>
    <n v="-3591783.8806083412"/>
    <n v="66699.057654046977"/>
    <n v="-3658482.9382623881"/>
    <m/>
    <m/>
    <m/>
  </r>
  <r>
    <x v="55"/>
    <d v="2020-01-01T00:00:00"/>
    <x v="1256"/>
    <x v="1"/>
    <x v="0"/>
    <n v="9800000"/>
    <n v="1"/>
    <n v="0.99539999999999995"/>
    <n v="9845288.3263009842"/>
    <n v="-45288.326300984249"/>
    <s v=""/>
    <s v=""/>
    <n v="66699.057654046977"/>
    <s v=""/>
    <m/>
    <m/>
    <m/>
  </r>
  <r>
    <x v="55"/>
    <d v="2020-02-01T00:00:00"/>
    <x v="1257"/>
    <x v="1"/>
    <x v="0"/>
    <n v="9800000"/>
    <n v="1"/>
    <n v="0.99539999999999995"/>
    <n v="9845288.3263009842"/>
    <n v="-45288.326300984249"/>
    <s v=""/>
    <s v=""/>
    <n v="66699.057654046977"/>
    <s v=""/>
    <m/>
    <m/>
    <m/>
  </r>
  <r>
    <x v="55"/>
    <d v="2020-03-01T00:00:00"/>
    <x v="1258"/>
    <x v="1"/>
    <x v="0"/>
    <n v="9800000"/>
    <n v="1"/>
    <n v="0.99539999999999995"/>
    <n v="9845288.3263009842"/>
    <n v="-45288.326300984249"/>
    <s v=""/>
    <s v=""/>
    <n v="66699.057654046977"/>
    <s v=""/>
    <m/>
    <m/>
    <m/>
  </r>
  <r>
    <x v="52"/>
    <d v="2019-03-01T00:00:00"/>
    <x v="1259"/>
    <x v="1"/>
    <x v="0"/>
    <n v="12773052.833333334"/>
    <n v="2.2999999999999998"/>
    <n v="2.2894199999999998"/>
    <n v="5579165.3926904351"/>
    <n v="7193887.4406428989"/>
    <n v="872511.84860014403"/>
    <n v="6321375.5920427553"/>
    <n v="86933.733402927362"/>
    <n v="6234441.8586398279"/>
    <m/>
    <m/>
    <m/>
  </r>
  <r>
    <x v="52"/>
    <d v="2019-04-01T00:00:00"/>
    <x v="1260"/>
    <x v="1"/>
    <x v="0"/>
    <n v="12773052.833333334"/>
    <n v="2.2999999999999998"/>
    <n v="2.2894199999999998"/>
    <n v="5579165.3926904351"/>
    <n v="7193887.4406428989"/>
    <n v="897007.93998630915"/>
    <n v="6296879.5006565899"/>
    <n v="86933.733402927362"/>
    <n v="6209945.7672536625"/>
    <m/>
    <m/>
    <m/>
  </r>
  <r>
    <x v="52"/>
    <d v="2019-05-01T00:00:00"/>
    <x v="1261"/>
    <x v="1"/>
    <x v="0"/>
    <n v="12773052.833333334"/>
    <n v="2.2999999999999998"/>
    <n v="2.2894199999999998"/>
    <n v="5579165.3926904351"/>
    <n v="7193887.4406428989"/>
    <n v="739968.81873563235"/>
    <n v="6453918.6219072668"/>
    <n v="86933.733402927362"/>
    <n v="6366984.8885043394"/>
    <m/>
    <m/>
    <m/>
  </r>
  <r>
    <x v="52"/>
    <d v="2019-06-01T00:00:00"/>
    <x v="1262"/>
    <x v="1"/>
    <x v="0"/>
    <n v="12773052.833333334"/>
    <n v="2.2999999999999998"/>
    <n v="2.2894199999999998"/>
    <n v="5579165.3926904351"/>
    <n v="7193887.4406428989"/>
    <n v="995084.77199610649"/>
    <n v="6198802.6686467919"/>
    <n v="86933.733402927362"/>
    <n v="6111868.9352438645"/>
    <m/>
    <m/>
    <m/>
  </r>
  <r>
    <x v="52"/>
    <d v="2019-07-01T00:00:00"/>
    <x v="1263"/>
    <x v="1"/>
    <x v="0"/>
    <n v="12773052.833333334"/>
    <n v="2.2999999999999998"/>
    <n v="2.2894199999999998"/>
    <n v="5579165.3926904351"/>
    <n v="7193887.4406428989"/>
    <n v="1483964.9692902465"/>
    <n v="5709922.4713526526"/>
    <n v="86933.733402927362"/>
    <n v="5622988.7379497252"/>
    <m/>
    <m/>
    <m/>
  </r>
  <r>
    <x v="52"/>
    <d v="2019-08-01T00:00:00"/>
    <x v="1264"/>
    <x v="1"/>
    <x v="0"/>
    <n v="12773052.833333334"/>
    <n v="2.2999999999999998"/>
    <n v="2.2894199999999998"/>
    <n v="5579165.3926904351"/>
    <n v="7193887.4406428989"/>
    <n v="1460275.3320268269"/>
    <n v="5733612.1086160718"/>
    <n v="86933.733402927362"/>
    <n v="5646678.3752131443"/>
    <m/>
    <m/>
    <m/>
  </r>
  <r>
    <x v="52"/>
    <d v="2019-09-01T00:00:00"/>
    <x v="1265"/>
    <x v="1"/>
    <x v="0"/>
    <n v="12773052.833333334"/>
    <n v="2.2999999999999998"/>
    <n v="2.2894199999999998"/>
    <n v="5579165.3926904351"/>
    <n v="7193887.4406428989"/>
    <n v="1650363.821075192"/>
    <n v="5543523.6195677072"/>
    <n v="86933.733402927362"/>
    <n v="5456589.8861647798"/>
    <m/>
    <m/>
    <m/>
  </r>
  <r>
    <x v="52"/>
    <d v="2019-10-01T00:00:00"/>
    <x v="1266"/>
    <x v="1"/>
    <x v="0"/>
    <n v="12773052.833333334"/>
    <n v="2.2999999999999998"/>
    <n v="2.2894199999999998"/>
    <n v="5579165.3926904351"/>
    <n v="7193887.4406428989"/>
    <n v="1784698.0572539316"/>
    <n v="5409189.3833889673"/>
    <n v="86933.733402927362"/>
    <n v="5322255.6499860398"/>
    <m/>
    <m/>
    <m/>
  </r>
  <r>
    <x v="52"/>
    <d v="2019-11-01T00:00:00"/>
    <x v="1267"/>
    <x v="1"/>
    <x v="0"/>
    <n v="12773052.833333334"/>
    <n v="2.2999999999999998"/>
    <n v="2.2894199999999998"/>
    <n v="5579165.3926904351"/>
    <n v="7193887.4406428989"/>
    <n v="2386902.2133588782"/>
    <n v="4806985.2272840207"/>
    <n v="86933.733402927362"/>
    <n v="4720051.4938810933"/>
    <m/>
    <m/>
    <m/>
  </r>
  <r>
    <x v="56"/>
    <d v="2019-04-01T00:00:00"/>
    <x v="1268"/>
    <x v="1"/>
    <x v="0"/>
    <n v="10000000"/>
    <n v="1"/>
    <n v="0.99539999999999995"/>
    <n v="10046212.577858148"/>
    <n v="-46212.577858148143"/>
    <n v="1615211.5620977255"/>
    <n v="-1661424.1399558736"/>
    <n v="68060.262912292834"/>
    <n v="-1729484.4028681663"/>
    <m/>
    <m/>
    <m/>
  </r>
  <r>
    <x v="56"/>
    <d v="2019-05-01T00:00:00"/>
    <x v="1269"/>
    <x v="1"/>
    <x v="0"/>
    <n v="10000000"/>
    <n v="1"/>
    <n v="0.99539999999999995"/>
    <n v="10046212.577858148"/>
    <n v="-46212.577858148143"/>
    <n v="1332436.5798053374"/>
    <n v="-1378649.1576634855"/>
    <n v="68060.262912292834"/>
    <n v="-1446709.4205757782"/>
    <m/>
    <m/>
    <m/>
  </r>
  <r>
    <x v="56"/>
    <d v="2019-06-01T00:00:00"/>
    <x v="1270"/>
    <x v="1"/>
    <x v="0"/>
    <n v="10000000"/>
    <n v="1"/>
    <n v="0.99539999999999995"/>
    <n v="10046212.577858148"/>
    <n v="-46212.577858148143"/>
    <n v="1791815.1638880933"/>
    <n v="-1838027.7417462415"/>
    <n v="68060.262912292834"/>
    <n v="-1906088.0046585342"/>
    <m/>
    <m/>
    <m/>
  </r>
  <r>
    <x v="6"/>
    <d v="2019-03-01T00:00:00"/>
    <x v="1271"/>
    <x v="1"/>
    <x v="0"/>
    <n v="43506691.09375"/>
    <n v="2"/>
    <n v="1.9907999999999999"/>
    <n v="21853873.364351016"/>
    <n v="21652817.729398984"/>
    <n v="3417673.0937543199"/>
    <n v="18235144.635644663"/>
    <n v="296107.6834284534"/>
    <n v="17939036.952216208"/>
    <m/>
    <m/>
    <m/>
  </r>
  <r>
    <x v="6"/>
    <d v="2019-04-01T00:00:00"/>
    <x v="1272"/>
    <x v="1"/>
    <x v="0"/>
    <n v="43506691.09375"/>
    <n v="2"/>
    <n v="1.9907999999999999"/>
    <n v="21853873.364351016"/>
    <n v="21652817.729398984"/>
    <n v="3513625.5241619558"/>
    <n v="18139192.205237027"/>
    <n v="296107.6834284534"/>
    <n v="17843084.521808572"/>
    <m/>
    <m/>
    <m/>
  </r>
  <r>
    <x v="23"/>
    <d v="2019-07-01T00:00:00"/>
    <x v="1273"/>
    <x v="1"/>
    <x v="0"/>
    <n v="125198487.89297774"/>
    <n v="1.82"/>
    <n v="1.811628"/>
    <n v="69108276.032926038"/>
    <n v="56090211.860051706"/>
    <n v="18381649.136135098"/>
    <n v="37708562.723916605"/>
    <n v="852104.20022175764"/>
    <n v="36856458.523694851"/>
    <m/>
    <m/>
    <m/>
  </r>
  <r>
    <x v="23"/>
    <d v="2019-08-01T00:00:00"/>
    <x v="1274"/>
    <x v="1"/>
    <x v="0"/>
    <n v="125198487.89297774"/>
    <n v="1.82"/>
    <n v="1.811628"/>
    <n v="69108276.032926038"/>
    <n v="56090211.860051706"/>
    <n v="18088209.190213218"/>
    <n v="38002002.669838488"/>
    <n v="852104.20022175764"/>
    <n v="37149898.469616733"/>
    <m/>
    <m/>
    <m/>
  </r>
  <r>
    <x v="23"/>
    <d v="2019-09-01T00:00:00"/>
    <x v="1275"/>
    <x v="1"/>
    <x v="0"/>
    <n v="125198487.89297774"/>
    <n v="1.82"/>
    <n v="1.811628"/>
    <n v="69108276.032926038"/>
    <n v="56090211.860051706"/>
    <n v="20442806.490563437"/>
    <n v="35647405.369488269"/>
    <n v="852104.20022175764"/>
    <n v="34795301.169266514"/>
    <m/>
    <m/>
    <m/>
  </r>
  <r>
    <x v="23"/>
    <d v="2019-10-01T00:00:00"/>
    <x v="1276"/>
    <x v="1"/>
    <x v="0"/>
    <n v="37851706.567977756"/>
    <n v="1.82"/>
    <n v="1.811628"/>
    <n v="20893752.231682088"/>
    <n v="16957954.336295668"/>
    <n v="6683623.157234665"/>
    <n v="10274331.179061003"/>
    <n v="257619.71006955276"/>
    <n v="10016711.468991451"/>
    <m/>
    <m/>
    <m/>
  </r>
  <r>
    <x v="32"/>
    <d v="2019-03-01T00:00:00"/>
    <x v="1277"/>
    <x v="1"/>
    <x v="0"/>
    <n v="13267655.116172869"/>
    <n v="1.97"/>
    <n v="1.9609379999999998"/>
    <n v="6765973.7922223294"/>
    <n v="6501681.3239505393"/>
    <n v="1058113.872868222"/>
    <n v="5443567.4510823172"/>
    <n v="90300.009543635257"/>
    <n v="5353267.4415386822"/>
    <m/>
    <m/>
    <m/>
  </r>
  <r>
    <x v="32"/>
    <d v="2019-04-01T00:00:00"/>
    <x v="1278"/>
    <x v="1"/>
    <x v="0"/>
    <n v="13267655.116172869"/>
    <n v="1.97"/>
    <n v="1.9609379999999998"/>
    <n v="6765973.7922223294"/>
    <n v="6501681.3239505393"/>
    <n v="1087820.8094196678"/>
    <n v="5413860.5145308711"/>
    <n v="90300.009543635257"/>
    <n v="5323560.5049872361"/>
    <m/>
    <m/>
    <m/>
  </r>
  <r>
    <x v="4"/>
    <d v="2019-12-01T00:00:00"/>
    <x v="1279"/>
    <x v="1"/>
    <x v="0"/>
    <n v="13258047.600000001"/>
    <n v="2.11"/>
    <n v="2.1002939999999999"/>
    <n v="6312472.2538844571"/>
    <n v="6945575.3461155444"/>
    <n v="2273895.293171261"/>
    <n v="4671680.0529442839"/>
    <n v="90234.620535969312"/>
    <n v="4581445.4324083142"/>
    <m/>
    <m/>
    <m/>
  </r>
  <r>
    <x v="33"/>
    <d v="2019-04-01T00:00:00"/>
    <x v="1280"/>
    <x v="1"/>
    <x v="0"/>
    <n v="55849596.75"/>
    <n v="1.93"/>
    <n v="1.9211219999999998"/>
    <n v="29071343.074515834"/>
    <n v="26778253.675484166"/>
    <n v="4674037.0160153136"/>
    <n v="22104216.659468852"/>
    <n v="380113.82383505354"/>
    <n v="21724102.835633799"/>
    <m/>
    <m/>
    <m/>
  </r>
  <r>
    <x v="6"/>
    <d v="2019-05-01T00:00:00"/>
    <x v="1281"/>
    <x v="1"/>
    <x v="0"/>
    <n v="15500000"/>
    <n v="2"/>
    <n v="1.9907999999999999"/>
    <n v="7785814.7478400646"/>
    <n v="7714185.2521599354"/>
    <n v="1032638.3493491366"/>
    <n v="6681546.902810799"/>
    <n v="105493.40751405389"/>
    <n v="6576053.4952967446"/>
    <m/>
    <m/>
    <m/>
  </r>
  <r>
    <x v="42"/>
    <d v="2019-06-01T00:00:00"/>
    <x v="1282"/>
    <x v="1"/>
    <x v="0"/>
    <n v="62778573"/>
    <n v="1.72"/>
    <n v="1.7120879999999998"/>
    <n v="36667842.423987553"/>
    <n v="26110730.576012447"/>
    <n v="6539976.6900381185"/>
    <n v="19570753.885974329"/>
    <n v="427272.61836385686"/>
    <n v="19143481.267610472"/>
    <m/>
    <m/>
    <m/>
  </r>
  <r>
    <x v="42"/>
    <d v="2019-07-01T00:00:00"/>
    <x v="1283"/>
    <x v="1"/>
    <x v="0"/>
    <n v="62778573"/>
    <n v="1.72"/>
    <n v="1.7120879999999998"/>
    <n v="36667842.423987553"/>
    <n v="26110730.576012447"/>
    <n v="9753034.6972582545"/>
    <n v="16357695.878754193"/>
    <n v="427272.61836385686"/>
    <n v="15930423.260390336"/>
    <m/>
    <m/>
    <m/>
  </r>
  <r>
    <x v="42"/>
    <d v="2019-08-01T00:00:00"/>
    <x v="1284"/>
    <x v="1"/>
    <x v="0"/>
    <n v="62778573"/>
    <n v="1.72"/>
    <n v="1.7120879999999998"/>
    <n v="36667842.423987553"/>
    <n v="26110730.576012447"/>
    <n v="9597339.7455734443"/>
    <n v="16513390.830439003"/>
    <n v="427272.61836385686"/>
    <n v="16086118.212075146"/>
    <m/>
    <m/>
    <m/>
  </r>
  <r>
    <x v="42"/>
    <d v="2019-09-01T00:00:00"/>
    <x v="1285"/>
    <x v="1"/>
    <x v="0"/>
    <n v="62778573"/>
    <n v="1.72"/>
    <n v="1.7120879999999998"/>
    <n v="36667842.423987553"/>
    <n v="26110730.576012447"/>
    <n v="10846654.70084817"/>
    <n v="15264075.875164278"/>
    <n v="427272.61836385686"/>
    <n v="14836803.256800421"/>
    <m/>
    <m/>
    <m/>
  </r>
  <r>
    <x v="43"/>
    <d v="2019-02-01T00:00:00"/>
    <x v="1286"/>
    <x v="1"/>
    <x v="0"/>
    <n v="29813870"/>
    <n v="2.27"/>
    <n v="2.2595579999999997"/>
    <n v="13194558.404785363"/>
    <n v="16619311.595214637"/>
    <n v="2852107.3426548219"/>
    <n v="13767204.252559815"/>
    <n v="202913.98306329199"/>
    <n v="13564290.269496523"/>
    <m/>
    <m/>
    <m/>
  </r>
  <r>
    <x v="43"/>
    <d v="2019-03-01T00:00:00"/>
    <x v="1287"/>
    <x v="1"/>
    <x v="0"/>
    <n v="29813870"/>
    <n v="2.27"/>
    <n v="2.2595579999999997"/>
    <n v="13194558.404785363"/>
    <n v="16619311.595214637"/>
    <n v="2063464.288100308"/>
    <n v="14555847.307114329"/>
    <n v="202913.98306329199"/>
    <n v="14352933.324051037"/>
    <m/>
    <m/>
    <m/>
  </r>
  <r>
    <x v="44"/>
    <d v="2019-05-01T00:00:00"/>
    <x v="1288"/>
    <x v="1"/>
    <x v="0"/>
    <n v="126579869.80723679"/>
    <n v="2.5499999999999998"/>
    <n v="2.5382699999999998"/>
    <n v="49868560.006318003"/>
    <n v="76711309.800918788"/>
    <n v="6614103.8744376274"/>
    <n v="70097205.926481158"/>
    <n v="861505.92184843333"/>
    <n v="69235700.004632726"/>
    <m/>
    <m/>
    <m/>
  </r>
  <r>
    <x v="57"/>
    <d v="2019-06-01T00:00:00"/>
    <x v="1289"/>
    <x v="1"/>
    <x v="0"/>
    <n v="161433687"/>
    <n v="0.75"/>
    <n v="0.74654999999999994"/>
    <n v="216239618.24392205"/>
    <n v="-54805931.243922055"/>
    <n v="38567910.443861894"/>
    <n v="-93373841.687783957"/>
    <n v="1098721.9180120791"/>
    <n v="-94472563.605796039"/>
    <m/>
    <m/>
    <m/>
  </r>
  <r>
    <x v="57"/>
    <d v="2019-04-01T00:00:00"/>
    <x v="1290"/>
    <x v="1"/>
    <x v="0"/>
    <n v="113931505"/>
    <n v="0.75"/>
    <n v="0.74654999999999994"/>
    <n v="152610682.47270781"/>
    <n v="-38679177.472707808"/>
    <n v="24536464.55509264"/>
    <n v="-63215642.027800448"/>
    <n v="775420.81842932058"/>
    <n v="-63991062.846229769"/>
    <m/>
    <m/>
    <m/>
  </r>
  <r>
    <x v="57"/>
    <d v="2019-05-01T00:00:00"/>
    <x v="1291"/>
    <x v="1"/>
    <x v="0"/>
    <n v="886635143.78999996"/>
    <n v="0.75"/>
    <n v="0.74654999999999994"/>
    <n v="1187643351.135222"/>
    <n v="-301008207.345222"/>
    <n v="157518013.13690147"/>
    <n v="-458526220.48212349"/>
    <n v="6034462.0993625959"/>
    <n v="-464560682.58148611"/>
    <m/>
    <m/>
    <m/>
  </r>
  <r>
    <x v="58"/>
    <d v="2019-01-01T00:00:00"/>
    <x v="1292"/>
    <x v="1"/>
    <x v="0"/>
    <n v="57276497"/>
    <n v="2.36"/>
    <n v="2.3491439999999999"/>
    <n v="24381858.668519258"/>
    <n v="32894638.331480742"/>
    <n v="5349827.0714372685"/>
    <n v="27544811.260043472"/>
    <n v="389825.34445151518"/>
    <n v="27154985.915591955"/>
    <m/>
    <m/>
    <m/>
  </r>
  <r>
    <x v="58"/>
    <d v="2019-02-01T00:00:00"/>
    <x v="1293"/>
    <x v="1"/>
    <x v="0"/>
    <n v="57276497"/>
    <n v="2.36"/>
    <n v="2.3491439999999999"/>
    <n v="24381858.668519258"/>
    <n v="32894638.331480742"/>
    <n v="5270330.08629038"/>
    <n v="27624308.24519036"/>
    <n v="389825.34445151518"/>
    <n v="27234482.900738843"/>
    <m/>
    <m/>
    <m/>
  </r>
  <r>
    <x v="58"/>
    <d v="2019-03-01T00:00:00"/>
    <x v="1294"/>
    <x v="1"/>
    <x v="0"/>
    <n v="57276497"/>
    <n v="2.36"/>
    <n v="2.3491439999999999"/>
    <n v="24381858.668519258"/>
    <n v="32894638.331480742"/>
    <n v="3813018.4502235213"/>
    <n v="29081619.881257221"/>
    <n v="389825.34445151518"/>
    <n v="28691794.536805704"/>
    <m/>
    <m/>
    <m/>
  </r>
  <r>
    <x v="58"/>
    <d v="2019-04-01T00:00:00"/>
    <x v="1295"/>
    <x v="1"/>
    <x v="0"/>
    <n v="57276497"/>
    <n v="2.36"/>
    <n v="2.3491439999999999"/>
    <n v="24381858.668519258"/>
    <n v="32894638.331480742"/>
    <n v="3920070.3470701561"/>
    <n v="28974567.984410584"/>
    <n v="389825.34445151518"/>
    <n v="28584742.639959067"/>
    <m/>
    <m/>
    <m/>
  </r>
  <r>
    <x v="58"/>
    <d v="2019-05-01T00:00:00"/>
    <x v="1296"/>
    <x v="1"/>
    <x v="0"/>
    <n v="57276497"/>
    <n v="2.36"/>
    <n v="2.3491439999999999"/>
    <n v="24381858.668519258"/>
    <n v="32894638.331480742"/>
    <n v="3233783.8883860451"/>
    <n v="29660854.443094697"/>
    <n v="389825.34445151518"/>
    <n v="29271029.09864318"/>
    <m/>
    <m/>
    <m/>
  </r>
  <r>
    <x v="58"/>
    <d v="2019-06-01T00:00:00"/>
    <x v="1297"/>
    <x v="1"/>
    <x v="0"/>
    <n v="57276497"/>
    <n v="2.36"/>
    <n v="2.3491439999999999"/>
    <n v="24381858.668519258"/>
    <n v="32894638.331480742"/>
    <n v="4348682.0279233437"/>
    <n v="28545956.303557396"/>
    <n v="389825.34445151518"/>
    <n v="28156130.959105879"/>
    <m/>
    <m/>
    <m/>
  </r>
  <r>
    <x v="58"/>
    <d v="2019-07-01T00:00:00"/>
    <x v="1298"/>
    <x v="1"/>
    <x v="0"/>
    <n v="57276497"/>
    <n v="2.36"/>
    <n v="2.3491439999999999"/>
    <n v="24381858.668519258"/>
    <n v="32894638.331480742"/>
    <n v="6485167.8707485646"/>
    <n v="26409470.460732177"/>
    <n v="389825.34445151518"/>
    <n v="26019645.11628066"/>
    <m/>
    <m/>
    <m/>
  </r>
  <r>
    <x v="58"/>
    <d v="2019-08-01T00:00:00"/>
    <x v="1299"/>
    <x v="1"/>
    <x v="0"/>
    <n v="57276497"/>
    <n v="2.36"/>
    <n v="2.3491439999999999"/>
    <n v="24381858.668519258"/>
    <n v="32894638.331480742"/>
    <n v="6381640.3093642183"/>
    <n v="26512998.022116523"/>
    <n v="389825.34445151518"/>
    <n v="26123172.677665006"/>
    <m/>
    <m/>
    <m/>
  </r>
  <r>
    <x v="58"/>
    <d v="2019-09-01T00:00:00"/>
    <x v="1300"/>
    <x v="1"/>
    <x v="0"/>
    <n v="57276497"/>
    <n v="2.36"/>
    <n v="2.3491439999999999"/>
    <n v="24381858.668519258"/>
    <n v="32894638.331480742"/>
    <n v="7212357.8716293182"/>
    <n v="25682280.459851421"/>
    <n v="389825.34445151518"/>
    <n v="25292455.115399905"/>
    <m/>
    <m/>
    <m/>
  </r>
  <r>
    <x v="58"/>
    <d v="2019-10-01T00:00:00"/>
    <x v="1301"/>
    <x v="1"/>
    <x v="0"/>
    <n v="57276497"/>
    <n v="2.36"/>
    <n v="2.3491439999999999"/>
    <n v="24381858.668519258"/>
    <n v="32894638.331480742"/>
    <n v="7799420.2959024347"/>
    <n v="25095218.035578307"/>
    <n v="389825.34445151518"/>
    <n v="24705392.69112679"/>
    <m/>
    <m/>
    <m/>
  </r>
  <r>
    <x v="58"/>
    <d v="2019-11-01T00:00:00"/>
    <x v="1302"/>
    <x v="1"/>
    <x v="0"/>
    <n v="57276497"/>
    <n v="2.36"/>
    <n v="2.3491439999999999"/>
    <n v="24381858.668519258"/>
    <n v="32894638.331480742"/>
    <n v="10431150.23941379"/>
    <n v="22463488.092066951"/>
    <n v="389825.34445151518"/>
    <n v="22073662.747615434"/>
    <m/>
    <m/>
    <m/>
  </r>
  <r>
    <x v="58"/>
    <d v="2019-12-01T00:00:00"/>
    <x v="1303"/>
    <x v="1"/>
    <x v="0"/>
    <n v="57276497"/>
    <n v="2.36"/>
    <n v="2.3491439999999999"/>
    <n v="24381858.668519258"/>
    <n v="32894638.331480742"/>
    <n v="8782897.0069525559"/>
    <n v="24111741.324528188"/>
    <n v="389825.34445151518"/>
    <n v="23721915.980076671"/>
    <m/>
    <m/>
    <m/>
  </r>
  <r>
    <x v="34"/>
    <d v="2019-03-01T00:00:00"/>
    <x v="1304"/>
    <x v="1"/>
    <x v="0"/>
    <n v="24433339.875"/>
    <n v="1.98"/>
    <n v="1.9708919999999999"/>
    <n v="12397097.291480204"/>
    <n v="12036242.583519796"/>
    <n v="1938751.3209837195"/>
    <n v="10097491.262536077"/>
    <n v="166293.95357179083"/>
    <n v="9931197.308964286"/>
    <m/>
    <m/>
    <m/>
  </r>
  <r>
    <x v="34"/>
    <d v="2019-04-01T00:00:00"/>
    <x v="1305"/>
    <x v="1"/>
    <x v="0"/>
    <n v="23469243"/>
    <n v="1.98"/>
    <n v="1.9708919999999999"/>
    <n v="11907929.506030772"/>
    <n v="11561313.493969228"/>
    <n v="1914534.9821859144"/>
    <n v="9646778.511783313"/>
    <n v="159732.28489324881"/>
    <n v="9487046.2268900648"/>
    <m/>
    <m/>
    <m/>
  </r>
  <r>
    <x v="34"/>
    <d v="2019-05-01T00:00:00"/>
    <x v="1306"/>
    <x v="1"/>
    <x v="0"/>
    <n v="23469243"/>
    <n v="1.98"/>
    <n v="1.9708919999999999"/>
    <n v="11907929.506030772"/>
    <n v="11561313.493969228"/>
    <n v="1579357.468360624"/>
    <n v="9981956.0256086048"/>
    <n v="159732.28489324881"/>
    <n v="9822223.7407153565"/>
    <m/>
    <m/>
    <m/>
  </r>
  <r>
    <x v="34"/>
    <d v="2019-06-01T00:00:00"/>
    <x v="1307"/>
    <x v="1"/>
    <x v="0"/>
    <n v="23469243"/>
    <n v="1.98"/>
    <n v="1.9708919999999999"/>
    <n v="11907929.506030772"/>
    <n v="11561313.493969228"/>
    <n v="2123865.9339583074"/>
    <n v="9437447.5600109212"/>
    <n v="159732.28489324881"/>
    <n v="9277715.275117673"/>
    <m/>
    <m/>
    <m/>
  </r>
  <r>
    <x v="59"/>
    <d v="2019-06-01T00:00:00"/>
    <x v="1308"/>
    <x v="1"/>
    <x v="0"/>
    <n v="283865048.44304019"/>
    <n v="0.65"/>
    <n v="0.64700999999999997"/>
    <n v="438733633.85888964"/>
    <n v="-154868585.41584945"/>
    <n v="78251338.19970271"/>
    <n v="-233119923.61555216"/>
    <n v="1931992.9828644057"/>
    <n v="-235051916.59841657"/>
    <m/>
    <m/>
    <m/>
  </r>
  <r>
    <x v="59"/>
    <d v="2019-07-01T00:00:00"/>
    <x v="1309"/>
    <x v="1"/>
    <x v="0"/>
    <n v="142959743.37775993"/>
    <n v="0.65"/>
    <n v="0.64700999999999997"/>
    <n v="220954457.23831153"/>
    <n v="-77994713.860551596"/>
    <n v="58770201.503575906"/>
    <n v="-136764915.36412752"/>
    <n v="972987.77201642562"/>
    <n v="-137737903.13614395"/>
    <m/>
    <m/>
    <m/>
  </r>
  <r>
    <x v="59"/>
    <d v="2019-08-01T00:00:00"/>
    <x v="1310"/>
    <x v="1"/>
    <x v="0"/>
    <n v="194610256.35320002"/>
    <n v="0.65"/>
    <n v="0.64700999999999997"/>
    <n v="300784000.79318714"/>
    <n v="-106173744.43998712"/>
    <n v="78726373.160057992"/>
    <n v="-184900117.60004511"/>
    <n v="1324522.5212827499"/>
    <n v="-186224640.12132788"/>
    <m/>
    <m/>
    <m/>
  </r>
  <r>
    <x v="59"/>
    <d v="2019-09-01T00:00:00"/>
    <x v="1311"/>
    <x v="1"/>
    <x v="0"/>
    <n v="184627166.86367989"/>
    <n v="0.65"/>
    <n v="0.64700999999999997"/>
    <n v="285354425.53234088"/>
    <n v="-100727258.668661"/>
    <n v="84410227.504506767"/>
    <n v="-185137486.17316777"/>
    <n v="1256577.3517493813"/>
    <n v="-186394063.52491716"/>
    <m/>
    <m/>
    <m/>
  </r>
  <r>
    <x v="59"/>
    <d v="2019-10-01T00:00:00"/>
    <x v="1312"/>
    <x v="1"/>
    <x v="0"/>
    <n v="192950650.32607999"/>
    <n v="0.65"/>
    <n v="0.64700999999999997"/>
    <n v="298218961.57104218"/>
    <n v="-105268311.24496219"/>
    <n v="95396132.55585292"/>
    <n v="-200664443.80081511"/>
    <n v="1313227.1990290885"/>
    <n v="-201977670.99984419"/>
    <m/>
    <m/>
    <m/>
  </r>
  <r>
    <x v="59"/>
    <d v="2019-11-01T00:00:00"/>
    <x v="1313"/>
    <x v="1"/>
    <x v="0"/>
    <n v="167475190.21959996"/>
    <n v="0.65"/>
    <n v="0.64700999999999997"/>
    <n v="258844824.99435863"/>
    <n v="-91369634.774758667"/>
    <n v="110740091.43105668"/>
    <n v="-202109726.20581535"/>
    <n v="1139840.5477632226"/>
    <n v="-203249566.75357857"/>
    <m/>
    <m/>
    <m/>
  </r>
  <r>
    <x v="59"/>
    <d v="2019-12-01T00:00:00"/>
    <x v="1314"/>
    <x v="1"/>
    <x v="0"/>
    <n v="205289550.99032"/>
    <n v="0.65"/>
    <n v="0.64700999999999997"/>
    <n v="317289610.65566218"/>
    <n v="-112000059.66534218"/>
    <n v="114294894.80893616"/>
    <n v="-226294954.47427833"/>
    <n v="1397206.0813547724"/>
    <n v="-227692160.5556331"/>
    <m/>
    <m/>
    <m/>
  </r>
  <r>
    <x v="59"/>
    <d v="2019-01-01T00:00:00"/>
    <x v="1315"/>
    <x v="1"/>
    <x v="0"/>
    <n v="13105734.300000001"/>
    <n v="0.65"/>
    <n v="0.64700999999999997"/>
    <n v="20255845.041034918"/>
    <n v="-7150110.7410349175"/>
    <n v="4444503.9908004729"/>
    <n v="-11594614.731835391"/>
    <n v="89197.972211665416"/>
    <n v="-11683812.704047056"/>
    <m/>
    <m/>
    <m/>
  </r>
  <r>
    <x v="59"/>
    <d v="2019-02-01T00:00:00"/>
    <x v="1316"/>
    <x v="1"/>
    <x v="0"/>
    <n v="39691874.539999999"/>
    <n v="0.65"/>
    <n v="0.64700999999999997"/>
    <n v="61346616.806540862"/>
    <n v="-21654742.266540863"/>
    <n v="13260552.636419445"/>
    <n v="-34915294.902960308"/>
    <n v="270143.94166741421"/>
    <n v="-35185438.844627723"/>
    <m/>
    <m/>
    <m/>
  </r>
  <r>
    <x v="59"/>
    <d v="2019-03-01T00:00:00"/>
    <x v="1317"/>
    <x v="1"/>
    <x v="0"/>
    <n v="466647576.91000003"/>
    <n v="0.65"/>
    <n v="0.64700999999999997"/>
    <n v="721237039.47388768"/>
    <n v="-254589462.56388766"/>
    <n v="112792473.12057118"/>
    <n v="-367381935.68445885"/>
    <n v="3176015.6771878991"/>
    <n v="-370557951.36164677"/>
    <m/>
    <m/>
    <m/>
  </r>
  <r>
    <x v="59"/>
    <d v="2019-04-01T00:00:00"/>
    <x v="1318"/>
    <x v="1"/>
    <x v="0"/>
    <n v="277757983.00000006"/>
    <n v="0.65"/>
    <n v="0.64700999999999997"/>
    <n v="429294729.60232466"/>
    <n v="-151536746.6023246"/>
    <n v="69021216.247160539"/>
    <n v="-220557962.84948516"/>
    <n v="1890428.1348968167"/>
    <n v="-222448390.98438197"/>
    <m/>
    <m/>
    <m/>
  </r>
  <r>
    <x v="59"/>
    <d v="2019-05-01T00:00:00"/>
    <x v="1319"/>
    <x v="1"/>
    <x v="0"/>
    <n v="193325410.73000008"/>
    <n v="0.65"/>
    <n v="0.64700999999999997"/>
    <n v="298798180.44543374"/>
    <n v="-105472769.71543366"/>
    <n v="39629822.93269898"/>
    <n v="-145102592.64813262"/>
    <n v="1315777.8281910804"/>
    <n v="-146418370.47632369"/>
    <m/>
    <m/>
    <m/>
  </r>
  <r>
    <x v="60"/>
    <d v="2019-01-01T00:00:00"/>
    <x v="1320"/>
    <x v="2"/>
    <x v="1"/>
    <n v="0"/>
    <n v="1.5"/>
    <n v="1.4930999999999999"/>
    <n v="0"/>
    <n v="0"/>
    <m/>
    <n v="0"/>
    <n v="0"/>
    <n v="0"/>
    <m/>
    <m/>
    <m/>
  </r>
  <r>
    <x v="60"/>
    <d v="2019-02-01T00:00:00"/>
    <x v="1321"/>
    <x v="2"/>
    <x v="1"/>
    <n v="65380491.681576155"/>
    <n v="1.5"/>
    <n v="1.4930999999999999"/>
    <n v="43788421.191866696"/>
    <n v="21592070.489709459"/>
    <m/>
    <n v="21592070.489709459"/>
    <n v="444981.34531830478"/>
    <n v="21147089.144391153"/>
    <m/>
    <m/>
    <m/>
  </r>
  <r>
    <x v="60"/>
    <d v="2019-03-01T00:00:00"/>
    <x v="1322"/>
    <x v="2"/>
    <x v="1"/>
    <n v="237933985.8693701"/>
    <n v="1.5"/>
    <n v="1.4930999999999999"/>
    <n v="159355693.43605259"/>
    <n v="78578292.433317512"/>
    <m/>
    <n v="78578292.433317512"/>
    <n v="1619384.9634039097"/>
    <n v="76958907.469913602"/>
    <m/>
    <m/>
    <m/>
  </r>
  <r>
    <x v="60"/>
    <d v="2019-04-01T00:00:00"/>
    <x v="1323"/>
    <x v="2"/>
    <x v="1"/>
    <n v="450459612.7334311"/>
    <n v="1.5"/>
    <n v="1.4930999999999999"/>
    <n v="301694201.81731373"/>
    <n v="148765410.91611737"/>
    <m/>
    <n v="148765410.91611737"/>
    <n v="3065839.9674006933"/>
    <n v="145699570.94871667"/>
    <m/>
    <m/>
    <m/>
  </r>
  <r>
    <x v="60"/>
    <d v="2019-05-01T00:00:00"/>
    <x v="1324"/>
    <x v="2"/>
    <x v="1"/>
    <n v="668572032.50786221"/>
    <n v="1.5"/>
    <n v="1.4930999999999999"/>
    <n v="447774450.81231147"/>
    <n v="220797581.69555074"/>
    <m/>
    <n v="220797581.69555074"/>
    <n v="4550318.8308291091"/>
    <n v="216247262.86472163"/>
    <m/>
    <m/>
    <m/>
  </r>
  <r>
    <x v="60"/>
    <d v="2019-06-01T00:00:00"/>
    <x v="1325"/>
    <x v="2"/>
    <x v="1"/>
    <n v="866343539.12683725"/>
    <n v="1.5"/>
    <n v="1.4930999999999999"/>
    <n v="580231423.96814501"/>
    <n v="286112115.15869224"/>
    <m/>
    <n v="286112115.15869224"/>
    <n v="5896356.9045338798"/>
    <n v="280215758.25415838"/>
    <m/>
    <m/>
    <m/>
  </r>
  <r>
    <x v="60"/>
    <d v="2019-07-01T00:00:00"/>
    <x v="1326"/>
    <x v="2"/>
    <x v="1"/>
    <n v="1060833240.3960474"/>
    <n v="1.5"/>
    <n v="1.4930999999999999"/>
    <n v="710490416.17845249"/>
    <n v="350342824.21759486"/>
    <m/>
    <n v="350342824.21759486"/>
    <n v="7220058.9247454535"/>
    <n v="343122765.29284942"/>
    <m/>
    <m/>
    <m/>
  </r>
  <r>
    <x v="60"/>
    <d v="2019-08-01T00:00:00"/>
    <x v="1327"/>
    <x v="2"/>
    <x v="1"/>
    <n v="1239967103.8884077"/>
    <n v="1.5"/>
    <n v="1.4930999999999999"/>
    <n v="830464874.34760416"/>
    <n v="409502229.54080355"/>
    <m/>
    <n v="409502229.54080355"/>
    <n v="8439248.7093239352"/>
    <n v="401062980.83147961"/>
    <m/>
    <m/>
    <m/>
  </r>
  <r>
    <x v="60"/>
    <d v="2019-09-01T00:00:00"/>
    <x v="1328"/>
    <x v="2"/>
    <x v="1"/>
    <n v="1421490223.25789"/>
    <n v="1.5"/>
    <n v="1.4930999999999999"/>
    <n v="952039530.67972016"/>
    <n v="469450692.57816982"/>
    <m/>
    <n v="469450692.57816982"/>
    <n v="9674699.8322185837"/>
    <n v="459775992.74595124"/>
    <m/>
    <m/>
    <m/>
  </r>
  <r>
    <x v="60"/>
    <d v="2019-10-01T00:00:00"/>
    <x v="1329"/>
    <x v="2"/>
    <x v="1"/>
    <n v="1570359940.4896142"/>
    <n v="1.5"/>
    <n v="1.4930999999999999"/>
    <n v="1051744652.3940891"/>
    <n v="518615288.09552515"/>
    <m/>
    <n v="518615288.09552515"/>
    <n v="10687911.041665567"/>
    <n v="507927377.05385959"/>
    <m/>
    <m/>
    <m/>
  </r>
  <r>
    <x v="60"/>
    <d v="2019-11-01T00:00:00"/>
    <x v="1330"/>
    <x v="2"/>
    <x v="1"/>
    <n v="1694649963.0432663"/>
    <n v="1.5"/>
    <n v="1.4930999999999999"/>
    <n v="1134987584.9194739"/>
    <n v="559662378.12379241"/>
    <m/>
    <n v="559662378.12379241"/>
    <n v="11533832.202903204"/>
    <n v="548128545.92088926"/>
    <m/>
    <m/>
    <m/>
  </r>
  <r>
    <x v="60"/>
    <d v="2019-12-01T00:00:00"/>
    <x v="1331"/>
    <x v="2"/>
    <x v="1"/>
    <n v="1806617631.1543489"/>
    <n v="1.5"/>
    <n v="1.4930999999999999"/>
    <n v="1209977651.2988741"/>
    <n v="596639979.85547471"/>
    <m/>
    <n v="596639979.85547471"/>
    <n v="12295887.095834866"/>
    <n v="584344092.75963986"/>
    <m/>
    <m/>
    <m/>
  </r>
  <r>
    <x v="60"/>
    <d v="2019-01-01T00:00:00"/>
    <x v="1332"/>
    <x v="2"/>
    <x v="2"/>
    <n v="0"/>
    <n v="1.5"/>
    <n v="1.4930999999999999"/>
    <n v="0"/>
    <n v="0"/>
    <m/>
    <n v="0"/>
    <n v="0"/>
    <n v="0"/>
    <m/>
    <m/>
    <m/>
  </r>
  <r>
    <x v="60"/>
    <d v="2019-02-01T00:00:00"/>
    <x v="1333"/>
    <x v="2"/>
    <x v="2"/>
    <n v="29723362.07914333"/>
    <n v="1.5"/>
    <n v="1.4930999999999999"/>
    <n v="19907147.598381445"/>
    <n v="9816214.4807618856"/>
    <m/>
    <n v="9816214.4807618856"/>
    <n v="202297.983774377"/>
    <n v="9613916.4969875086"/>
    <m/>
    <m/>
    <m/>
  </r>
  <r>
    <x v="60"/>
    <d v="2019-03-01T00:00:00"/>
    <x v="1334"/>
    <x v="2"/>
    <x v="2"/>
    <n v="106493295.64064981"/>
    <n v="1.5"/>
    <n v="1.4930999999999999"/>
    <n v="71323619.074844167"/>
    <n v="35169676.565805644"/>
    <m/>
    <n v="35169676.565805644"/>
    <n v="724796.16996991541"/>
    <n v="34444880.395835727"/>
    <m/>
    <m/>
    <m/>
  </r>
  <r>
    <x v="60"/>
    <d v="2019-04-01T00:00:00"/>
    <x v="1335"/>
    <x v="2"/>
    <x v="2"/>
    <n v="212154874.02579421"/>
    <n v="1.5"/>
    <n v="1.4930999999999999"/>
    <n v="142090197.59278965"/>
    <n v="70064676.433004558"/>
    <m/>
    <n v="70064676.433004558"/>
    <n v="1443931.650431992"/>
    <n v="68620744.782572567"/>
    <m/>
    <m/>
    <m/>
  </r>
  <r>
    <x v="60"/>
    <d v="2019-05-01T00:00:00"/>
    <x v="1336"/>
    <x v="2"/>
    <x v="2"/>
    <n v="306283344.13891673"/>
    <n v="1.5"/>
    <n v="1.4930999999999999"/>
    <n v="205132505.61845607"/>
    <n v="101150838.52046067"/>
    <m/>
    <n v="101150838.52046067"/>
    <n v="2084572.4927750938"/>
    <n v="99066266.027685568"/>
    <m/>
    <m/>
    <m/>
  </r>
  <r>
    <x v="60"/>
    <d v="2019-06-01T00:00:00"/>
    <x v="1337"/>
    <x v="2"/>
    <x v="2"/>
    <n v="402829101.16013914"/>
    <n v="1.5"/>
    <n v="1.4930999999999999"/>
    <n v="269793785.52015215"/>
    <n v="133035315.63998699"/>
    <m/>
    <n v="133035315.63998699"/>
    <n v="2741665.4533681679"/>
    <n v="130293650.18661882"/>
    <m/>
    <m/>
    <m/>
  </r>
  <r>
    <x v="60"/>
    <d v="2019-07-01T00:00:00"/>
    <x v="1338"/>
    <x v="2"/>
    <x v="2"/>
    <n v="504540568.92664355"/>
    <n v="1.5"/>
    <n v="1.4930999999999999"/>
    <n v="337914787.30603683"/>
    <n v="166625781.62060672"/>
    <m/>
    <n v="166625781.62060672"/>
    <n v="3433916.3771065166"/>
    <n v="163191865.2435002"/>
    <m/>
    <m/>
    <m/>
  </r>
  <r>
    <x v="60"/>
    <d v="2019-08-01T00:00:00"/>
    <x v="1339"/>
    <x v="2"/>
    <x v="2"/>
    <n v="591722058.84424269"/>
    <n v="1.5"/>
    <n v="1.4930999999999999"/>
    <n v="396304372.67714334"/>
    <n v="195417686.16709936"/>
    <m/>
    <n v="195417686.16709936"/>
    <n v="4027275.8895942369"/>
    <n v="191390410.27750513"/>
    <m/>
    <m/>
    <m/>
  </r>
  <r>
    <x v="60"/>
    <d v="2019-09-01T00:00:00"/>
    <x v="1340"/>
    <x v="2"/>
    <x v="2"/>
    <n v="657023582.20424581"/>
    <n v="1.5"/>
    <n v="1.4930999999999999"/>
    <n v="440039905.03264743"/>
    <n v="216983677.17159837"/>
    <m/>
    <n v="216983677.17159837"/>
    <n v="4471719.7744397409"/>
    <n v="212511957.39715862"/>
    <m/>
    <m/>
    <m/>
  </r>
  <r>
    <x v="60"/>
    <d v="2019-10-01T00:00:00"/>
    <x v="1341"/>
    <x v="2"/>
    <x v="2"/>
    <n v="731693920.82438624"/>
    <n v="1.5"/>
    <n v="1.4930999999999999"/>
    <n v="490050178.03521955"/>
    <n v="241643742.78916669"/>
    <m/>
    <n v="241643742.78916669"/>
    <n v="4979928.0622634105"/>
    <n v="236663814.72690329"/>
    <m/>
    <m/>
    <m/>
  </r>
  <r>
    <x v="60"/>
    <d v="2019-11-01T00:00:00"/>
    <x v="1342"/>
    <x v="2"/>
    <x v="2"/>
    <n v="788166760.38460636"/>
    <n v="1.5"/>
    <n v="1.4930999999999999"/>
    <n v="527872721.44170278"/>
    <n v="260294038.94290358"/>
    <m/>
    <n v="260294038.94290358"/>
    <n v="5364283.6930506416"/>
    <n v="254929755.24985293"/>
    <m/>
    <m/>
    <m/>
  </r>
  <r>
    <x v="60"/>
    <d v="2019-12-01T00:00:00"/>
    <x v="1343"/>
    <x v="2"/>
    <x v="2"/>
    <n v="862325415.31937265"/>
    <n v="1.5"/>
    <n v="1.4930999999999999"/>
    <n v="577540295.57254887"/>
    <n v="284785119.74682379"/>
    <m/>
    <n v="284785119.74682379"/>
    <n v="5869009.448258861"/>
    <n v="278916110.29856491"/>
    <m/>
    <m/>
    <m/>
  </r>
  <r>
    <x v="60"/>
    <d v="2019-01-01T00:00:00"/>
    <x v="1344"/>
    <x v="2"/>
    <x v="3"/>
    <n v="0"/>
    <n v="1.5"/>
    <n v="1.4930999999999999"/>
    <n v="0"/>
    <n v="0"/>
    <m/>
    <n v="0"/>
    <n v="0"/>
    <n v="0"/>
    <m/>
    <m/>
    <m/>
  </r>
  <r>
    <x v="60"/>
    <d v="2019-02-01T00:00:00"/>
    <x v="1345"/>
    <x v="2"/>
    <x v="3"/>
    <n v="27644099.01730093"/>
    <n v="1.5"/>
    <n v="1.4930999999999999"/>
    <n v="18514566.350077644"/>
    <n v="9129532.6672232859"/>
    <m/>
    <n v="9129532.6672232859"/>
    <n v="188146.46470909572"/>
    <n v="8941386.2025141902"/>
    <m/>
    <m/>
    <m/>
  </r>
  <r>
    <x v="60"/>
    <d v="2019-03-01T00:00:00"/>
    <x v="1346"/>
    <x v="2"/>
    <x v="3"/>
    <n v="108434465.15695676"/>
    <n v="1.5"/>
    <n v="1.4930999999999999"/>
    <n v="72623712.515542671"/>
    <n v="35810752.641414091"/>
    <m/>
    <n v="35810752.641414091"/>
    <n v="738007.82073363336"/>
    <n v="35072744.820680454"/>
    <m/>
    <m/>
    <m/>
  </r>
  <r>
    <x v="60"/>
    <d v="2019-04-01T00:00:00"/>
    <x v="1347"/>
    <x v="2"/>
    <x v="3"/>
    <n v="215040164.92998627"/>
    <n v="1.5"/>
    <n v="1.4930999999999999"/>
    <n v="144022613.97762126"/>
    <n v="71017550.952365011"/>
    <m/>
    <n v="71017550.952365011"/>
    <n v="1463569.0161837679"/>
    <n v="69553981.936181247"/>
    <m/>
    <m/>
    <m/>
  </r>
  <r>
    <x v="60"/>
    <d v="2019-05-01T00:00:00"/>
    <x v="1348"/>
    <x v="2"/>
    <x v="3"/>
    <n v="326103414.20165074"/>
    <n v="1.5"/>
    <n v="1.4930999999999999"/>
    <n v="218406948.09567395"/>
    <n v="107696466.10597679"/>
    <m/>
    <n v="107696466.10597679"/>
    <n v="2219468.410716068"/>
    <n v="105476997.69526072"/>
    <m/>
    <m/>
    <m/>
  </r>
  <r>
    <x v="60"/>
    <d v="2019-06-01T00:00:00"/>
    <x v="1349"/>
    <x v="2"/>
    <x v="3"/>
    <n v="433658250.30918729"/>
    <n v="1.5"/>
    <n v="1.4930999999999999"/>
    <n v="290441531.24987429"/>
    <n v="143216719.059313"/>
    <m/>
    <n v="143216719.059313"/>
    <n v="2951489.4530128185"/>
    <n v="140265229.60630018"/>
    <m/>
    <m/>
    <m/>
  </r>
  <r>
    <x v="60"/>
    <d v="2019-07-01T00:00:00"/>
    <x v="1350"/>
    <x v="2"/>
    <x v="3"/>
    <n v="537306402.27573991"/>
    <n v="1.5"/>
    <n v="1.4930999999999999"/>
    <n v="359859622.44708323"/>
    <n v="177446779.82865667"/>
    <m/>
    <n v="177446779.82865667"/>
    <n v="3656921.5003345036"/>
    <n v="173789858.32832217"/>
    <m/>
    <m/>
    <m/>
  </r>
  <r>
    <x v="60"/>
    <d v="2019-08-01T00:00:00"/>
    <x v="1351"/>
    <x v="2"/>
    <x v="3"/>
    <n v="628784529.53308058"/>
    <n v="1.5"/>
    <n v="1.4930999999999999"/>
    <n v="421126869.95719016"/>
    <n v="207657659.57589042"/>
    <m/>
    <n v="207657659.57589042"/>
    <n v="4279524.0395203819"/>
    <n v="203378135.53637004"/>
    <m/>
    <m/>
    <m/>
  </r>
  <r>
    <x v="60"/>
    <d v="2019-09-01T00:00:00"/>
    <x v="1352"/>
    <x v="2"/>
    <x v="3"/>
    <n v="703478269.58076894"/>
    <n v="1.5"/>
    <n v="1.4930999999999999"/>
    <n v="471152816.00748038"/>
    <n v="232325453.57328856"/>
    <m/>
    <n v="232325453.57328856"/>
    <n v="4787891.5980751952"/>
    <n v="227537561.97521338"/>
    <m/>
    <m/>
    <m/>
  </r>
  <r>
    <x v="60"/>
    <d v="2019-10-01T00:00:00"/>
    <x v="1353"/>
    <x v="2"/>
    <x v="3"/>
    <n v="789708741.5707835"/>
    <n v="1.5"/>
    <n v="1.4930999999999999"/>
    <n v="528905459.4941957"/>
    <n v="260803282.0765878"/>
    <m/>
    <n v="260803282.0765878"/>
    <n v="5374778.4575443445"/>
    <n v="255428503.61904344"/>
    <m/>
    <m/>
    <m/>
  </r>
  <r>
    <x v="60"/>
    <d v="2019-11-01T00:00:00"/>
    <x v="1354"/>
    <x v="2"/>
    <x v="3"/>
    <n v="874060685.94035137"/>
    <n v="1.5"/>
    <n v="1.4930999999999999"/>
    <n v="585399963.7936852"/>
    <n v="288660722.14666617"/>
    <m/>
    <n v="288660722.14666617"/>
    <n v="5948880.0086399335"/>
    <n v="282711842.13802624"/>
    <m/>
    <m/>
    <m/>
  </r>
  <r>
    <x v="60"/>
    <d v="2019-12-01T00:00:00"/>
    <x v="1355"/>
    <x v="2"/>
    <x v="3"/>
    <n v="922424163.38466382"/>
    <n v="1.5"/>
    <n v="1.4930999999999999"/>
    <n v="617791282.15435266"/>
    <n v="304632881.23031116"/>
    <m/>
    <n v="304632881.23031116"/>
    <n v="6278043.1076611979"/>
    <n v="298354838.12264997"/>
    <m/>
    <m/>
    <m/>
  </r>
  <r>
    <x v="60"/>
    <d v="2019-01-01T00:00:00"/>
    <x v="1356"/>
    <x v="2"/>
    <x v="4"/>
    <n v="0"/>
    <n v="1.5"/>
    <n v="1.4930999999999999"/>
    <n v="0"/>
    <n v="0"/>
    <m/>
    <n v="0"/>
    <n v="0"/>
    <n v="0"/>
    <m/>
    <m/>
    <m/>
  </r>
  <r>
    <x v="60"/>
    <d v="2019-02-01T00:00:00"/>
    <x v="1357"/>
    <x v="2"/>
    <x v="4"/>
    <n v="62946300.296504878"/>
    <n v="1.5"/>
    <n v="1.4930999999999999"/>
    <n v="42158127.584558889"/>
    <n v="20788172.711945988"/>
    <m/>
    <n v="20788172.711945988"/>
    <n v="428414.17475362582"/>
    <n v="20359758.537192363"/>
    <m/>
    <m/>
    <m/>
  </r>
  <r>
    <x v="60"/>
    <d v="2019-03-01T00:00:00"/>
    <x v="1358"/>
    <x v="2"/>
    <x v="4"/>
    <n v="223471469.45540509"/>
    <n v="1.5"/>
    <n v="1.4930999999999999"/>
    <n v="149669459.14902225"/>
    <n v="73802010.306382835"/>
    <m/>
    <n v="73802010.306382835"/>
    <n v="1520952.6964531287"/>
    <n v="72281057.609929711"/>
    <m/>
    <m/>
    <m/>
  </r>
  <r>
    <x v="60"/>
    <d v="2019-04-01T00:00:00"/>
    <x v="1359"/>
    <x v="2"/>
    <x v="4"/>
    <n v="409758312.58426094"/>
    <n v="1.5"/>
    <n v="1.4930999999999999"/>
    <n v="274434607.58439553"/>
    <n v="135323704.99986541"/>
    <m/>
    <n v="135323704.99986541"/>
    <n v="2788825.8484982271"/>
    <n v="132534879.15136719"/>
    <m/>
    <m/>
    <m/>
  </r>
  <r>
    <x v="60"/>
    <d v="2019-05-01T00:00:00"/>
    <x v="1360"/>
    <x v="2"/>
    <x v="4"/>
    <n v="613286398.99724996"/>
    <n v="1.5"/>
    <n v="1.4930999999999999"/>
    <n v="410747035.69570023"/>
    <n v="202539363.30154973"/>
    <m/>
    <n v="202539363.30154973"/>
    <n v="4174043.3556286157"/>
    <n v="198365319.94592112"/>
    <m/>
    <m/>
    <m/>
  </r>
  <r>
    <x v="60"/>
    <d v="2019-06-01T00:00:00"/>
    <x v="1361"/>
    <x v="2"/>
    <x v="4"/>
    <n v="807344457.87258947"/>
    <n v="1.5"/>
    <n v="1.4930999999999999"/>
    <n v="540716936.48957837"/>
    <n v="266627521.3830111"/>
    <m/>
    <n v="266627521.3830111"/>
    <n v="5494807.6063590962"/>
    <n v="261132713.77665201"/>
    <m/>
    <m/>
    <m/>
  </r>
  <r>
    <x v="60"/>
    <d v="2019-07-01T00:00:00"/>
    <x v="1362"/>
    <x v="2"/>
    <x v="4"/>
    <n v="986433993.63619196"/>
    <n v="1.5"/>
    <n v="1.4930999999999999"/>
    <n v="660661706.27298379"/>
    <n v="325772287.36320817"/>
    <m/>
    <n v="325772287.36320817"/>
    <n v="6713695.6952502225"/>
    <n v="319058591.66795796"/>
    <m/>
    <m/>
    <m/>
  </r>
  <r>
    <x v="60"/>
    <d v="2019-08-01T00:00:00"/>
    <x v="1363"/>
    <x v="2"/>
    <x v="4"/>
    <n v="1136844402.3221123"/>
    <n v="1.5"/>
    <n v="1.4930999999999999"/>
    <n v="761398702.24506891"/>
    <n v="375445700.07704341"/>
    <m/>
    <n v="375445700.07704341"/>
    <n v="7737392.8912411379"/>
    <n v="367708307.18580228"/>
    <m/>
    <m/>
    <m/>
  </r>
  <r>
    <x v="60"/>
    <d v="2019-09-01T00:00:00"/>
    <x v="1364"/>
    <x v="2"/>
    <x v="4"/>
    <n v="1270257037.0897892"/>
    <n v="1.5"/>
    <n v="1.4930999999999999"/>
    <n v="850751481.54161763"/>
    <n v="419505555.54817152"/>
    <m/>
    <n v="419505555.54817152"/>
    <n v="8645402.7910521161"/>
    <n v="410860152.75711942"/>
    <m/>
    <m/>
    <m/>
  </r>
  <r>
    <x v="60"/>
    <d v="2019-10-01T00:00:00"/>
    <x v="1365"/>
    <x v="2"/>
    <x v="4"/>
    <n v="1397969735.6108778"/>
    <n v="1.5"/>
    <n v="1.4930999999999999"/>
    <n v="936286742.75726867"/>
    <n v="461682992.85360909"/>
    <m/>
    <n v="461682992.85360909"/>
    <n v="9514618.7749104835"/>
    <n v="452168374.07869858"/>
    <m/>
    <m/>
    <m/>
  </r>
  <r>
    <x v="60"/>
    <d v="2019-11-01T00:00:00"/>
    <x v="1366"/>
    <x v="2"/>
    <x v="4"/>
    <n v="1518504570.1576886"/>
    <n v="1.5"/>
    <n v="1.4930999999999999"/>
    <n v="1017014647.4835502"/>
    <n v="501489922.67413843"/>
    <m/>
    <n v="501489922.67413843"/>
    <n v="10334982.027845051"/>
    <n v="491154940.6462934"/>
    <m/>
    <m/>
    <m/>
  </r>
  <r>
    <x v="60"/>
    <d v="2019-12-01T00:00:00"/>
    <x v="1367"/>
    <x v="2"/>
    <x v="4"/>
    <n v="1629046331.4775155"/>
    <n v="1.5"/>
    <n v="1.4930999999999999"/>
    <n v="1091049716.3468726"/>
    <n v="537996615.13064289"/>
    <m/>
    <n v="537996615.13064289"/>
    <n v="11087332.161666585"/>
    <n v="526909282.9689763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8">
  <r>
    <x v="0"/>
    <x v="0"/>
    <x v="0"/>
    <x v="0"/>
    <n v="70115372.945178598"/>
    <n v="1.74"/>
    <n v="1.7319959999999999"/>
    <n v="40482410.435808517"/>
    <n v="29632962.509370081"/>
    <n v="8882583.4900828656"/>
    <n v="20750379.019287214"/>
    <n v="477207.07168423192"/>
    <n v="20273171.947602984"/>
    <m/>
    <m/>
    <m/>
  </r>
  <r>
    <x v="0"/>
    <x v="1"/>
    <x v="0"/>
    <x v="0"/>
    <n v="70115372.945178598"/>
    <n v="1.74"/>
    <n v="1.7319959999999999"/>
    <n v="40482410.435808517"/>
    <n v="29632962.509370081"/>
    <n v="8750590.6988490727"/>
    <n v="20882371.810521007"/>
    <n v="477207.07168423192"/>
    <n v="20405164.738836776"/>
    <m/>
    <m/>
    <m/>
  </r>
  <r>
    <x v="0"/>
    <x v="2"/>
    <x v="0"/>
    <x v="0"/>
    <n v="70115372.945178598"/>
    <n v="1.74"/>
    <n v="1.7319959999999999"/>
    <n v="40482410.435808517"/>
    <n v="29632962.509370081"/>
    <n v="6330943.8381972862"/>
    <n v="23302018.671172794"/>
    <n v="477207.07168423192"/>
    <n v="22824811.599488564"/>
    <m/>
    <m/>
    <m/>
  </r>
  <r>
    <x v="0"/>
    <x v="3"/>
    <x v="0"/>
    <x v="0"/>
    <n v="74111007.329178602"/>
    <n v="1.74"/>
    <n v="1.7319959999999999"/>
    <n v="42789364.022306405"/>
    <n v="31321643.306872196"/>
    <n v="6879595.1676320992"/>
    <n v="24442048.139240097"/>
    <n v="504401.46435187571"/>
    <n v="23937646.674888223"/>
    <m/>
    <m/>
    <m/>
  </r>
  <r>
    <x v="0"/>
    <x v="4"/>
    <x v="0"/>
    <x v="0"/>
    <n v="74111007.329178602"/>
    <n v="1.74"/>
    <n v="1.7319959999999999"/>
    <n v="42789364.022306405"/>
    <n v="31321643.306872196"/>
    <n v="5675184.8926217835"/>
    <n v="25646458.414250411"/>
    <n v="504401.46435187571"/>
    <n v="25142056.949898534"/>
    <m/>
    <m/>
    <m/>
  </r>
  <r>
    <x v="0"/>
    <x v="5"/>
    <x v="0"/>
    <x v="0"/>
    <n v="74111007.329178602"/>
    <n v="1.74"/>
    <n v="1.7319959999999999"/>
    <n v="42789364.022306405"/>
    <n v="31321643.306872196"/>
    <n v="6374375.5252148733"/>
    <n v="24947267.781657323"/>
    <n v="504401.46435187571"/>
    <n v="24442866.317305446"/>
    <m/>
    <m/>
    <m/>
  </r>
  <r>
    <x v="0"/>
    <x v="6"/>
    <x v="0"/>
    <x v="0"/>
    <n v="74111007.329178602"/>
    <n v="1.74"/>
    <n v="1.7319959999999999"/>
    <n v="42789364.022306405"/>
    <n v="31321643.306872196"/>
    <n v="11069215.900658011"/>
    <n v="20252427.406214185"/>
    <n v="504401.46435187571"/>
    <n v="19748025.941862307"/>
    <m/>
    <m/>
    <m/>
  </r>
  <r>
    <x v="0"/>
    <x v="7"/>
    <x v="0"/>
    <x v="0"/>
    <n v="74111007.329178602"/>
    <n v="1.74"/>
    <n v="1.7319959999999999"/>
    <n v="42789364.022306405"/>
    <n v="31321643.306872196"/>
    <n v="11115281.850709744"/>
    <n v="20206361.456162453"/>
    <n v="504401.46435187571"/>
    <n v="19701959.991810575"/>
    <m/>
    <m/>
    <m/>
  </r>
  <r>
    <x v="0"/>
    <x v="8"/>
    <x v="0"/>
    <x v="0"/>
    <n v="74111007.329178602"/>
    <n v="1.74"/>
    <n v="1.7319959999999999"/>
    <n v="42789364.022306405"/>
    <n v="31321643.306872196"/>
    <n v="12268617.192712884"/>
    <n v="19053026.114159312"/>
    <n v="504401.46435187571"/>
    <n v="18548624.649807438"/>
    <m/>
    <m/>
    <m/>
  </r>
  <r>
    <x v="0"/>
    <x v="9"/>
    <x v="0"/>
    <x v="0"/>
    <n v="69313527.964878604"/>
    <n v="1.74"/>
    <n v="1.7319959999999999"/>
    <n v="40019450.371062413"/>
    <n v="29294077.593816191"/>
    <n v="12452541.654586233"/>
    <n v="16841535.939229958"/>
    <n v="471749.69366681995"/>
    <n v="16369786.245563138"/>
    <m/>
    <m/>
    <m/>
  </r>
  <r>
    <x v="0"/>
    <x v="10"/>
    <x v="0"/>
    <x v="0"/>
    <n v="69313527.964878604"/>
    <n v="1.74"/>
    <n v="1.7319959999999999"/>
    <n v="40019450.371062413"/>
    <n v="29294077.593816191"/>
    <n v="16341426.624851571"/>
    <n v="12952650.96896462"/>
    <n v="471749.69366681995"/>
    <n v="12480901.2752978"/>
    <m/>
    <m/>
    <m/>
  </r>
  <r>
    <x v="0"/>
    <x v="11"/>
    <x v="0"/>
    <x v="0"/>
    <n v="69313527.964878604"/>
    <n v="1.74"/>
    <n v="1.7319959999999999"/>
    <n v="40019450.371062413"/>
    <n v="29294077.593816191"/>
    <n v="14095289.899996761"/>
    <n v="15198787.69381943"/>
    <n v="471749.69366681995"/>
    <n v="14727038.00015261"/>
    <m/>
    <m/>
    <m/>
  </r>
  <r>
    <x v="0"/>
    <x v="12"/>
    <x v="0"/>
    <x v="0"/>
    <n v="65317893.580878608"/>
    <n v="1.74"/>
    <n v="1.7319959999999999"/>
    <n v="37712496.784564525"/>
    <n v="27605396.796314083"/>
    <s v=""/>
    <s v=""/>
    <n v="444555.30099917628"/>
    <s v=""/>
    <m/>
    <m/>
    <m/>
  </r>
  <r>
    <x v="0"/>
    <x v="13"/>
    <x v="0"/>
    <x v="0"/>
    <n v="54776389.5693786"/>
    <n v="1.74"/>
    <n v="1.7319959999999999"/>
    <n v="31626164.015031561"/>
    <n v="23150225.554347038"/>
    <s v=""/>
    <s v=""/>
    <n v="372809.54754780827"/>
    <s v=""/>
    <m/>
    <m/>
    <m/>
  </r>
  <r>
    <x v="1"/>
    <x v="0"/>
    <x v="0"/>
    <x v="0"/>
    <n v="68877916.829865009"/>
    <n v="1.49"/>
    <n v="1.4831459999999999"/>
    <n v="46440415.731064245"/>
    <n v="22437501.098800763"/>
    <n v="10189879.150092591"/>
    <n v="12247621.948708173"/>
    <n v="468784.91282916517"/>
    <n v="11778837.035879008"/>
    <m/>
    <m/>
    <m/>
  </r>
  <r>
    <x v="1"/>
    <x v="1"/>
    <x v="0"/>
    <x v="0"/>
    <n v="68877916.829865009"/>
    <n v="1.49"/>
    <n v="1.4831459999999999"/>
    <n v="46440415.731064245"/>
    <n v="22437501.098800763"/>
    <n v="10038460.29848738"/>
    <n v="12399040.800313383"/>
    <n v="468784.91282916517"/>
    <n v="11930255.887484219"/>
    <m/>
    <m/>
    <m/>
  </r>
  <r>
    <x v="1"/>
    <x v="2"/>
    <x v="0"/>
    <x v="0"/>
    <n v="68877916.829865009"/>
    <n v="1.49"/>
    <n v="1.4831459999999999"/>
    <n v="46440415.731064245"/>
    <n v="22437501.098800763"/>
    <n v="7262701.5202591531"/>
    <n v="15174799.57854161"/>
    <n v="468784.91282916517"/>
    <n v="14706014.665712446"/>
    <m/>
    <m/>
    <m/>
  </r>
  <r>
    <x v="2"/>
    <x v="0"/>
    <x v="0"/>
    <x v="0"/>
    <n v="45333415.275986843"/>
    <n v="2.4300000000000002"/>
    <n v="2.418822"/>
    <n v="18741939.372135215"/>
    <n v="26591475.903851628"/>
    <n v="4112325.3147941511"/>
    <n v="22479150.589057475"/>
    <n v="308540.41623958165"/>
    <n v="22170610.172817893"/>
    <m/>
    <m/>
    <m/>
  </r>
  <r>
    <x v="2"/>
    <x v="1"/>
    <x v="0"/>
    <x v="0"/>
    <n v="45333415.275986843"/>
    <n v="2.4300000000000002"/>
    <n v="2.418822"/>
    <n v="18741939.372135215"/>
    <n v="26591475.903851628"/>
    <n v="4051217.2714678957"/>
    <n v="22540258.632383734"/>
    <n v="308540.41623958165"/>
    <n v="22231718.216144152"/>
    <m/>
    <m/>
    <m/>
  </r>
  <r>
    <x v="2"/>
    <x v="2"/>
    <x v="0"/>
    <x v="0"/>
    <n v="45333415.275986843"/>
    <n v="2.4300000000000002"/>
    <n v="2.418822"/>
    <n v="18741939.372135215"/>
    <n v="26591475.903851628"/>
    <n v="2931005.4491945864"/>
    <n v="23660470.454657041"/>
    <n v="308540.41623958165"/>
    <n v="23351930.038417459"/>
    <m/>
    <m/>
    <m/>
  </r>
  <r>
    <x v="2"/>
    <x v="3"/>
    <x v="0"/>
    <x v="0"/>
    <n v="39811433.775986843"/>
    <n v="2.4300000000000002"/>
    <n v="2.418822"/>
    <n v="16459017.561435625"/>
    <n v="23352416.214551218"/>
    <n v="2646250.5406856723"/>
    <n v="20706165.673865546"/>
    <n v="270957.66497089993"/>
    <n v="20435208.008894645"/>
    <m/>
    <m/>
    <m/>
  </r>
  <r>
    <x v="2"/>
    <x v="4"/>
    <x v="0"/>
    <x v="0"/>
    <n v="33697792.894736841"/>
    <n v="2.4300000000000002"/>
    <n v="2.418822"/>
    <n v="13931489.334368896"/>
    <n v="19766303.560367946"/>
    <n v="1847743.7000679735"/>
    <n v="17918559.860299971"/>
    <n v="229348.06439797828"/>
    <n v="17689211.795901991"/>
    <m/>
    <m/>
    <m/>
  </r>
  <r>
    <x v="2"/>
    <x v="5"/>
    <x v="0"/>
    <x v="0"/>
    <n v="33697792.894736841"/>
    <n v="2.4300000000000002"/>
    <n v="2.418822"/>
    <n v="13931489.334368896"/>
    <n v="19766303.560367946"/>
    <n v="2075388.2809872725"/>
    <n v="17690915.279380672"/>
    <n v="229348.06439797828"/>
    <n v="17461567.214982692"/>
    <m/>
    <m/>
    <m/>
  </r>
  <r>
    <x v="3"/>
    <x v="0"/>
    <x v="0"/>
    <x v="0"/>
    <n v="71364366.272"/>
    <n v="1.71"/>
    <n v="1.7021339999999998"/>
    <n v="41926409.008926444"/>
    <n v="29437957.263073556"/>
    <n v="9199423.2668451443"/>
    <n v="20238533.996228412"/>
    <n v="485707.75310414832"/>
    <n v="19752826.243124265"/>
    <m/>
    <m/>
    <m/>
  </r>
  <r>
    <x v="3"/>
    <x v="1"/>
    <x v="0"/>
    <x v="0"/>
    <n v="39364366.272"/>
    <n v="1.71"/>
    <n v="1.7021339999999998"/>
    <n v="23126479.038665585"/>
    <n v="16237887.233334415"/>
    <n v="4998969.9277854618"/>
    <n v="11238917.305548953"/>
    <n v="267914.91178481124"/>
    <n v="10971002.393764142"/>
    <m/>
    <m/>
    <m/>
  </r>
  <r>
    <x v="3"/>
    <x v="2"/>
    <x v="0"/>
    <x v="0"/>
    <n v="39364366.272"/>
    <n v="1.71"/>
    <n v="1.7021339999999998"/>
    <n v="23126479.038665585"/>
    <n v="16237887.233334415"/>
    <n v="3616692.7411893979"/>
    <n v="12621194.492145017"/>
    <n v="267914.91178481124"/>
    <n v="12353279.580360206"/>
    <m/>
    <m/>
    <m/>
  </r>
  <r>
    <x v="3"/>
    <x v="3"/>
    <x v="0"/>
    <x v="0"/>
    <n v="35374979.772"/>
    <n v="1.71"/>
    <n v="1.7021339999999998"/>
    <n v="20782723.200406082"/>
    <n v="14592256.571593918"/>
    <n v="3341407.972906875"/>
    <n v="11250848.598687043"/>
    <n v="240763.04237993609"/>
    <n v="11010085.556307107"/>
    <m/>
    <m/>
    <m/>
  </r>
  <r>
    <x v="4"/>
    <x v="0"/>
    <x v="0"/>
    <x v="0"/>
    <n v="36819716.200000003"/>
    <n v="2.11"/>
    <n v="2.1002939999999999"/>
    <n v="17530743.886332106"/>
    <n v="19288972.313667897"/>
    <n v="3846566.8061075942"/>
    <n v="15442405.507560303"/>
    <n v="250595.95649280079"/>
    <n v="15191809.551067503"/>
    <m/>
    <m/>
    <m/>
  </r>
  <r>
    <x v="4"/>
    <x v="1"/>
    <x v="0"/>
    <x v="0"/>
    <n v="36819716.200000003"/>
    <n v="2.11"/>
    <n v="2.1002939999999999"/>
    <n v="17530743.886332106"/>
    <n v="19288972.313667897"/>
    <n v="3789407.8624317762"/>
    <n v="15499564.451236121"/>
    <n v="250595.95649280079"/>
    <n v="15248968.494743321"/>
    <m/>
    <m/>
    <m/>
  </r>
  <r>
    <x v="4"/>
    <x v="2"/>
    <x v="0"/>
    <x v="0"/>
    <n v="36819716.200000003"/>
    <n v="2.11"/>
    <n v="2.1002939999999999"/>
    <n v="17530743.886332106"/>
    <n v="19288972.313667897"/>
    <n v="2741589.5889444551"/>
    <n v="16547382.724723442"/>
    <n v="250595.95649280079"/>
    <n v="16296786.768230641"/>
    <m/>
    <m/>
    <m/>
  </r>
  <r>
    <x v="4"/>
    <x v="3"/>
    <x v="0"/>
    <x v="0"/>
    <n v="36819716.200000003"/>
    <n v="2.11"/>
    <n v="2.1002939999999999"/>
    <n v="17530743.886332106"/>
    <n v="19288972.313667897"/>
    <n v="2818560.7260377691"/>
    <n v="16470411.587630128"/>
    <n v="250595.95649280079"/>
    <n v="16219815.631137328"/>
    <m/>
    <m/>
    <m/>
  </r>
  <r>
    <x v="4"/>
    <x v="4"/>
    <x v="0"/>
    <x v="0"/>
    <n v="36819716.200000003"/>
    <n v="2.11"/>
    <n v="2.1002939999999999"/>
    <n v="17530743.886332106"/>
    <n v="19288972.313667897"/>
    <n v="2325115.484499108"/>
    <n v="16963856.829168789"/>
    <n v="250595.95649280079"/>
    <n v="16713260.872675989"/>
    <m/>
    <m/>
    <m/>
  </r>
  <r>
    <x v="4"/>
    <x v="5"/>
    <x v="0"/>
    <x v="0"/>
    <n v="36819716.200000003"/>
    <n v="2.11"/>
    <n v="2.1002939999999999"/>
    <n v="17530743.886332106"/>
    <n v="19288972.313667897"/>
    <n v="2611572.9298895597"/>
    <n v="16677399.383778337"/>
    <n v="250595.95649280079"/>
    <n v="16426803.427285537"/>
    <m/>
    <m/>
    <m/>
  </r>
  <r>
    <x v="4"/>
    <x v="6"/>
    <x v="0"/>
    <x v="0"/>
    <n v="36819716.200000003"/>
    <n v="2.11"/>
    <n v="2.1002939999999999"/>
    <n v="17530743.886332106"/>
    <n v="19288972.313667897"/>
    <n v="4535042.6072187023"/>
    <n v="14753929.706449196"/>
    <n v="250595.95649280079"/>
    <n v="14503333.749956395"/>
    <m/>
    <m/>
    <m/>
  </r>
  <r>
    <x v="4"/>
    <x v="7"/>
    <x v="0"/>
    <x v="0"/>
    <n v="36819716.200000003"/>
    <n v="2.11"/>
    <n v="2.1002939999999999"/>
    <n v="17530743.886332106"/>
    <n v="19288972.313667897"/>
    <n v="4553915.7639175607"/>
    <n v="14735056.549750336"/>
    <n v="250595.95649280079"/>
    <n v="14484460.593257535"/>
    <m/>
    <m/>
    <m/>
  </r>
  <r>
    <x v="4"/>
    <x v="8"/>
    <x v="0"/>
    <x v="0"/>
    <n v="28923787.600000001"/>
    <n v="2.11"/>
    <n v="2.1002939999999999"/>
    <n v="13771304.207887087"/>
    <n v="15152483.392112914"/>
    <n v="3948524.6726940232"/>
    <n v="11203958.719418891"/>
    <n v="196856.05884753156"/>
    <n v="11007102.660571359"/>
    <m/>
    <m/>
    <m/>
  </r>
  <r>
    <x v="4"/>
    <x v="9"/>
    <x v="0"/>
    <x v="0"/>
    <n v="13258047.600000001"/>
    <n v="2.11"/>
    <n v="2.1002939999999999"/>
    <n v="6312472.2538844571"/>
    <n v="6945575.3461155444"/>
    <n v="1964202.9802027303"/>
    <n v="4981372.3659128137"/>
    <n v="90234.620535969312"/>
    <n v="4891137.745376844"/>
    <m/>
    <m/>
    <m/>
  </r>
  <r>
    <x v="4"/>
    <x v="10"/>
    <x v="0"/>
    <x v="0"/>
    <n v="13258047.600000001"/>
    <n v="2.11"/>
    <n v="2.1002939999999999"/>
    <n v="6312472.2538844571"/>
    <n v="6945575.3461155444"/>
    <n v="2577616.6639423487"/>
    <n v="4367958.6821731962"/>
    <n v="90234.620535969312"/>
    <n v="4277724.0616372265"/>
    <m/>
    <m/>
    <m/>
  </r>
  <r>
    <x v="5"/>
    <x v="0"/>
    <x v="0"/>
    <x v="0"/>
    <n v="43079526.100000001"/>
    <n v="2.1800000000000002"/>
    <n v="2.169972"/>
    <n v="19852572.337338917"/>
    <n v="23226953.762661085"/>
    <n v="4356018.561664992"/>
    <n v="18870935.200996093"/>
    <n v="293200.38725029811"/>
    <n v="18577734.813745797"/>
    <m/>
    <m/>
    <m/>
  </r>
  <r>
    <x v="5"/>
    <x v="1"/>
    <x v="0"/>
    <x v="0"/>
    <n v="39433007.350000001"/>
    <n v="2.1800000000000002"/>
    <n v="2.169972"/>
    <n v="18172127.267079946"/>
    <n v="21260880.082920056"/>
    <n v="3928047.9133958346"/>
    <n v="17332832.169524223"/>
    <n v="268382.08476633759"/>
    <n v="17064450.084757887"/>
    <m/>
    <m/>
    <m/>
  </r>
  <r>
    <x v="5"/>
    <x v="2"/>
    <x v="0"/>
    <x v="0"/>
    <n v="39433007.350000001"/>
    <n v="2.1800000000000002"/>
    <n v="2.169972"/>
    <n v="18172127.267079946"/>
    <n v="21260880.082920056"/>
    <n v="2841893.9462827207"/>
    <n v="18418986.136637334"/>
    <n v="268382.08476633759"/>
    <n v="18150604.051870998"/>
    <m/>
    <m/>
    <m/>
  </r>
  <r>
    <x v="5"/>
    <x v="3"/>
    <x v="0"/>
    <x v="0"/>
    <n v="39433007.350000001"/>
    <n v="2.1800000000000002"/>
    <n v="2.169972"/>
    <n v="18172127.267079946"/>
    <n v="21260880.082920056"/>
    <n v="2921681.1651378251"/>
    <n v="18339198.917782232"/>
    <n v="268382.08476633759"/>
    <n v="18070816.833015896"/>
    <m/>
    <m/>
    <m/>
  </r>
  <r>
    <x v="5"/>
    <x v="4"/>
    <x v="0"/>
    <x v="0"/>
    <n v="39433007.350000001"/>
    <n v="2.1800000000000002"/>
    <n v="2.169972"/>
    <n v="18172127.267079946"/>
    <n v="21260880.082920056"/>
    <n v="2410182.6350859054"/>
    <n v="18850697.447834149"/>
    <n v="268382.08476633759"/>
    <n v="18582315.363067813"/>
    <m/>
    <m/>
    <m/>
  </r>
  <r>
    <x v="5"/>
    <x v="5"/>
    <x v="0"/>
    <x v="0"/>
    <n v="22497185.125"/>
    <n v="2.1800000000000002"/>
    <n v="2.169972"/>
    <n v="10367500.191246707"/>
    <n v="12129684.933753293"/>
    <n v="1544457.1562758503"/>
    <n v="10585227.777477443"/>
    <n v="153116.43343940235"/>
    <n v="10432111.344038041"/>
    <m/>
    <m/>
    <m/>
  </r>
  <r>
    <x v="5"/>
    <x v="6"/>
    <x v="0"/>
    <x v="0"/>
    <n v="22497185.125"/>
    <n v="2.1800000000000002"/>
    <n v="2.169972"/>
    <n v="10367500.191246707"/>
    <n v="12129684.933753293"/>
    <n v="2681977.1826287895"/>
    <n v="9447707.7511245031"/>
    <n v="153116.43343940235"/>
    <n v="9294591.3176851012"/>
    <m/>
    <m/>
    <m/>
  </r>
  <r>
    <x v="5"/>
    <x v="7"/>
    <x v="0"/>
    <x v="0"/>
    <n v="22497185.125"/>
    <n v="2.1800000000000002"/>
    <n v="2.169972"/>
    <n v="10367500.191246707"/>
    <n v="12129684.933753293"/>
    <n v="2693138.5718404246"/>
    <n v="9436546.3619128689"/>
    <n v="153116.43343940235"/>
    <n v="9283429.928473467"/>
    <m/>
    <m/>
    <m/>
  </r>
  <r>
    <x v="5"/>
    <x v="8"/>
    <x v="0"/>
    <x v="0"/>
    <n v="22497185.125"/>
    <n v="2.1800000000000002"/>
    <n v="2.169972"/>
    <n v="10367500.191246707"/>
    <n v="12129684.933753293"/>
    <n v="2972581.9487636192"/>
    <n v="9157102.9849896729"/>
    <n v="153116.43343940235"/>
    <n v="9003986.551550271"/>
    <m/>
    <m/>
    <m/>
  </r>
  <r>
    <x v="5"/>
    <x v="9"/>
    <x v="0"/>
    <x v="0"/>
    <n v="22497185.125"/>
    <n v="2.1800000000000002"/>
    <n v="2.169972"/>
    <n v="10367500.191246707"/>
    <n v="12129684.933753293"/>
    <n v="3225974.5395899359"/>
    <n v="8903710.3941633571"/>
    <n v="153116.43343940235"/>
    <n v="8750593.9607239552"/>
    <m/>
    <m/>
    <m/>
  </r>
  <r>
    <x v="5"/>
    <x v="10"/>
    <x v="0"/>
    <x v="0"/>
    <n v="22497185.125"/>
    <n v="2.1800000000000002"/>
    <n v="2.169972"/>
    <n v="10367500.191246707"/>
    <n v="12129684.933753293"/>
    <n v="4233435.0443977639"/>
    <n v="7896249.8893555291"/>
    <n v="153116.43343940235"/>
    <n v="7743133.4559161272"/>
    <m/>
    <m/>
    <m/>
  </r>
  <r>
    <x v="5"/>
    <x v="11"/>
    <x v="0"/>
    <x v="0"/>
    <n v="22497185.125"/>
    <n v="2.1800000000000002"/>
    <n v="2.169972"/>
    <n v="10367500.191246707"/>
    <n v="12129684.933753293"/>
    <n v="3651547.4195408029"/>
    <n v="8478137.5142124891"/>
    <n v="153116.43343940235"/>
    <n v="8325021.0807730872"/>
    <m/>
    <m/>
    <m/>
  </r>
  <r>
    <x v="5"/>
    <x v="12"/>
    <x v="0"/>
    <x v="0"/>
    <n v="3497185.125"/>
    <n v="2.1800000000000002"/>
    <n v="2.169972"/>
    <n v="1611626.8435721751"/>
    <n v="1885558.2814278249"/>
    <s v=""/>
    <s v=""/>
    <n v="23801.933906045968"/>
    <s v=""/>
    <m/>
    <m/>
    <m/>
  </r>
  <r>
    <x v="6"/>
    <x v="0"/>
    <x v="0"/>
    <x v="0"/>
    <n v="28006691.09375"/>
    <n v="2"/>
    <n v="1.9907999999999999"/>
    <n v="14068058.616510952"/>
    <n v="13938632.477239048"/>
    <n v="3086790.1357475691"/>
    <n v="10851842.341491479"/>
    <n v="190614.27591439951"/>
    <n v="10661228.06557708"/>
    <m/>
    <m/>
    <m/>
  </r>
  <r>
    <x v="6"/>
    <x v="1"/>
    <x v="0"/>
    <x v="0"/>
    <n v="28006691.09375"/>
    <n v="2"/>
    <n v="1.9907999999999999"/>
    <n v="14068058.616510952"/>
    <n v="13938632.477239048"/>
    <n v="3040921.2681568344"/>
    <n v="10897711.209082214"/>
    <n v="190614.27591439951"/>
    <n v="10707096.933167815"/>
    <m/>
    <m/>
    <m/>
  </r>
  <r>
    <x v="7"/>
    <x v="0"/>
    <x v="0"/>
    <x v="0"/>
    <n v="39944033.964749999"/>
    <n v="2.4300000000000002"/>
    <n v="2.418822"/>
    <n v="16513837.713047922"/>
    <n v="23430196.251702078"/>
    <n v="3623438.936780239"/>
    <n v="19806757.314921837"/>
    <n v="271860.14534184395"/>
    <n v="19534897.169579994"/>
    <m/>
    <m/>
    <m/>
  </r>
  <r>
    <x v="7"/>
    <x v="1"/>
    <x v="0"/>
    <x v="0"/>
    <n v="39944033.964749999"/>
    <n v="2.4300000000000002"/>
    <n v="2.418822"/>
    <n v="16513837.713047922"/>
    <n v="23430196.251702078"/>
    <n v="3569595.612969683"/>
    <n v="19860600.638732396"/>
    <n v="271860.14534184395"/>
    <n v="19588740.493390553"/>
    <m/>
    <m/>
    <m/>
  </r>
  <r>
    <x v="7"/>
    <x v="2"/>
    <x v="0"/>
    <x v="0"/>
    <n v="39944033.964749999"/>
    <n v="2.4300000000000002"/>
    <n v="2.418822"/>
    <n v="16513837.713047922"/>
    <n v="23430196.251702078"/>
    <n v="2582558.1527609117"/>
    <n v="20847638.098941166"/>
    <n v="271860.14534184395"/>
    <n v="20575777.953599323"/>
    <m/>
    <m/>
    <m/>
  </r>
  <r>
    <x v="7"/>
    <x v="3"/>
    <x v="0"/>
    <x v="0"/>
    <n v="39944033.964749999"/>
    <n v="2.4300000000000002"/>
    <n v="2.418822"/>
    <n v="16513837.713047922"/>
    <n v="23430196.251702078"/>
    <n v="2655064.4237320344"/>
    <n v="20775131.827970043"/>
    <n v="271860.14534184395"/>
    <n v="20503271.682628199"/>
    <m/>
    <m/>
    <m/>
  </r>
  <r>
    <x v="7"/>
    <x v="4"/>
    <x v="0"/>
    <x v="0"/>
    <n v="39944033.964749999"/>
    <n v="2.4300000000000002"/>
    <n v="2.418822"/>
    <n v="16513837.713047922"/>
    <n v="23430196.251702078"/>
    <n v="2190242.4691201532"/>
    <n v="21239953.782581925"/>
    <n v="271860.14534184395"/>
    <n v="20968093.637240082"/>
    <m/>
    <m/>
    <m/>
  </r>
  <r>
    <x v="7"/>
    <x v="5"/>
    <x v="0"/>
    <x v="0"/>
    <n v="39944033.964749999"/>
    <n v="2.4300000000000002"/>
    <n v="2.418822"/>
    <n v="16513837.713047922"/>
    <n v="23430196.251702078"/>
    <n v="2460083.3723667269"/>
    <n v="20970112.879335351"/>
    <n v="271860.14534184395"/>
    <n v="20698252.733993508"/>
    <m/>
    <m/>
    <m/>
  </r>
  <r>
    <x v="7"/>
    <x v="6"/>
    <x v="0"/>
    <x v="0"/>
    <n v="39944033.964749999"/>
    <n v="2.4300000000000002"/>
    <n v="2.418822"/>
    <n v="16513837.713047922"/>
    <n v="23430196.251702078"/>
    <n v="4271978.3098169798"/>
    <n v="19158217.941885099"/>
    <n v="271860.14534184395"/>
    <n v="18886357.796543255"/>
    <m/>
    <m/>
    <m/>
  </r>
  <r>
    <x v="7"/>
    <x v="7"/>
    <x v="0"/>
    <x v="0"/>
    <n v="39944033.964749999"/>
    <n v="2.4300000000000002"/>
    <n v="2.418822"/>
    <n v="16513837.713047922"/>
    <n v="23430196.251702078"/>
    <n v="4289756.6909785941"/>
    <n v="19140439.560723484"/>
    <n v="271860.14534184395"/>
    <n v="18868579.41538164"/>
    <m/>
    <m/>
    <m/>
  </r>
  <r>
    <x v="7"/>
    <x v="8"/>
    <x v="0"/>
    <x v="0"/>
    <n v="39944033.964749999"/>
    <n v="2.4300000000000002"/>
    <n v="2.418822"/>
    <n v="16513837.713047922"/>
    <n v="23430196.251702078"/>
    <n v="4734867.1314290231"/>
    <n v="18695329.120273054"/>
    <n v="271860.14534184395"/>
    <n v="18423468.97493121"/>
    <m/>
    <m/>
    <m/>
  </r>
  <r>
    <x v="7"/>
    <x v="9"/>
    <x v="0"/>
    <x v="0"/>
    <n v="39944033.964749999"/>
    <n v="2.4300000000000002"/>
    <n v="2.418822"/>
    <n v="16513837.713047922"/>
    <n v="23430196.251702078"/>
    <n v="5138482.665106806"/>
    <n v="18291713.586595271"/>
    <n v="271860.14534184395"/>
    <n v="18019853.441253427"/>
    <m/>
    <m/>
    <m/>
  </r>
  <r>
    <x v="7"/>
    <x v="10"/>
    <x v="0"/>
    <x v="0"/>
    <n v="39944033.964749999"/>
    <n v="2.4300000000000002"/>
    <n v="2.418822"/>
    <n v="16513837.713047922"/>
    <n v="23430196.251702078"/>
    <n v="6743212.7323170742"/>
    <n v="16686983.519385003"/>
    <n v="271860.14534184395"/>
    <n v="16415123.374043159"/>
    <m/>
    <m/>
    <m/>
  </r>
  <r>
    <x v="7"/>
    <x v="11"/>
    <x v="0"/>
    <x v="0"/>
    <n v="39944033.964749999"/>
    <n v="2.4300000000000002"/>
    <n v="2.418822"/>
    <n v="16513837.713047922"/>
    <n v="23430196.251702078"/>
    <n v="5816354.9916023146"/>
    <n v="17613841.260099761"/>
    <n v="271860.14534184395"/>
    <n v="17341981.114757918"/>
    <m/>
    <m/>
    <m/>
  </r>
  <r>
    <x v="8"/>
    <x v="0"/>
    <x v="0"/>
    <x v="0"/>
    <n v="43502787.700000003"/>
    <n v="1.45"/>
    <n v="1.4433299999999998"/>
    <n v="30140569.169905711"/>
    <n v="13362218.530094292"/>
    <n v="6613393.7976551233"/>
    <n v="6748824.7324391687"/>
    <n v="296081.11682796589"/>
    <n v="6452743.615611203"/>
    <m/>
    <m/>
    <m/>
  </r>
  <r>
    <x v="9"/>
    <x v="0"/>
    <x v="0"/>
    <x v="0"/>
    <n v="53929329.834749997"/>
    <n v="1.95"/>
    <n v="1.9410299999999998"/>
    <n v="27783872.394939803"/>
    <n v="26145457.439810194"/>
    <n v="6096291.2921697525"/>
    <n v="20049166.147640441"/>
    <n v="367044.43672368425"/>
    <n v="19682121.710916758"/>
    <m/>
    <m/>
    <m/>
  </r>
  <r>
    <x v="9"/>
    <x v="1"/>
    <x v="0"/>
    <x v="0"/>
    <n v="53929329.834749997"/>
    <n v="1.95"/>
    <n v="1.9410299999999998"/>
    <n v="27783872.394939803"/>
    <n v="26145457.439810194"/>
    <n v="6005702.0503431903"/>
    <n v="20139755.389467005"/>
    <n v="367044.43672368425"/>
    <n v="19772710.952743322"/>
    <m/>
    <m/>
    <m/>
  </r>
  <r>
    <x v="9"/>
    <x v="2"/>
    <x v="0"/>
    <x v="0"/>
    <n v="53929329.834749997"/>
    <n v="1.95"/>
    <n v="1.9410299999999998"/>
    <n v="27783872.394939803"/>
    <n v="26145457.439810194"/>
    <n v="4345050.9454944413"/>
    <n v="21800406.494315751"/>
    <n v="367044.43672368425"/>
    <n v="21433362.057592068"/>
    <m/>
    <m/>
    <m/>
  </r>
  <r>
    <x v="9"/>
    <x v="3"/>
    <x v="0"/>
    <x v="0"/>
    <n v="53929329.834749997"/>
    <n v="1.95"/>
    <n v="1.9410299999999998"/>
    <n v="27783872.394939803"/>
    <n v="26145457.439810194"/>
    <n v="4467039.8505266672"/>
    <n v="21678417.589283526"/>
    <n v="367044.43672368425"/>
    <n v="21311373.152559843"/>
    <m/>
    <m/>
    <m/>
  </r>
  <r>
    <x v="9"/>
    <x v="4"/>
    <x v="0"/>
    <x v="0"/>
    <n v="53929329.834749997"/>
    <n v="1.95"/>
    <n v="1.9410299999999998"/>
    <n v="27783872.394939803"/>
    <n v="26145457.439810194"/>
    <n v="3684995.4767286275"/>
    <n v="22460461.963081568"/>
    <n v="367044.43672368425"/>
    <n v="22093417.526357885"/>
    <m/>
    <m/>
    <m/>
  </r>
  <r>
    <x v="9"/>
    <x v="5"/>
    <x v="0"/>
    <x v="0"/>
    <n v="53929329.834749997"/>
    <n v="1.95"/>
    <n v="1.9410299999999998"/>
    <n v="27783872.394939803"/>
    <n v="26145457.439810194"/>
    <n v="4138992.0190837933"/>
    <n v="22006465.4207264"/>
    <n v="367044.43672368425"/>
    <n v="21639420.984002717"/>
    <m/>
    <m/>
    <m/>
  </r>
  <r>
    <x v="9"/>
    <x v="6"/>
    <x v="0"/>
    <x v="0"/>
    <n v="53929329.834749997"/>
    <n v="1.95"/>
    <n v="1.9410299999999998"/>
    <n v="27783872.394939803"/>
    <n v="26145457.439810194"/>
    <n v="7187432.8848541686"/>
    <n v="18958024.554956026"/>
    <n v="367044.43672368425"/>
    <n v="18590980.118232343"/>
    <m/>
    <m/>
    <m/>
  </r>
  <r>
    <x v="9"/>
    <x v="7"/>
    <x v="0"/>
    <x v="0"/>
    <n v="45341011.5"/>
    <n v="1.95"/>
    <n v="1.9410299999999998"/>
    <n v="23359253.334569793"/>
    <n v="21981758.165430207"/>
    <n v="6067972.5106575554"/>
    <n v="15913785.65477265"/>
    <n v="308592.11633992929"/>
    <n v="15605193.538432721"/>
    <m/>
    <m/>
    <m/>
  </r>
  <r>
    <x v="9"/>
    <x v="8"/>
    <x v="0"/>
    <x v="0"/>
    <n v="28318301.25"/>
    <n v="1.95"/>
    <n v="1.9410299999999998"/>
    <n v="14589316.625709033"/>
    <n v="13728984.624290967"/>
    <n v="4183066.1631427053"/>
    <n v="9545918.461148262"/>
    <n v="192735.10283045107"/>
    <n v="9353183.358317811"/>
    <m/>
    <m/>
    <m/>
  </r>
  <r>
    <x v="9"/>
    <x v="9"/>
    <x v="0"/>
    <x v="0"/>
    <n v="28318301.25"/>
    <n v="1.95"/>
    <n v="1.9410299999999998"/>
    <n v="14589316.625709033"/>
    <n v="13728984.624290967"/>
    <n v="4539644.3806473557"/>
    <n v="9189340.2436436117"/>
    <n v="192735.10283045107"/>
    <n v="8996605.1408131607"/>
    <m/>
    <m/>
    <m/>
  </r>
  <r>
    <x v="9"/>
    <x v="10"/>
    <x v="0"/>
    <x v="0"/>
    <n v="28318301.25"/>
    <n v="1.95"/>
    <n v="1.9410299999999998"/>
    <n v="14589316.625709033"/>
    <n v="13728984.624290967"/>
    <n v="5957359.3573924471"/>
    <n v="7771625.2668985203"/>
    <n v="192735.10283045107"/>
    <n v="7578890.1640680693"/>
    <m/>
    <m/>
    <m/>
  </r>
  <r>
    <x v="9"/>
    <x v="11"/>
    <x v="0"/>
    <x v="0"/>
    <n v="28318301.25"/>
    <n v="1.95"/>
    <n v="1.9410299999999998"/>
    <n v="14589316.625709033"/>
    <n v="13728984.624290967"/>
    <n v="5138517.5302384375"/>
    <n v="8590467.0940525308"/>
    <n v="192735.10283045107"/>
    <n v="8397731.9912220798"/>
    <m/>
    <m/>
    <m/>
  </r>
  <r>
    <x v="10"/>
    <x v="0"/>
    <x v="0"/>
    <x v="0"/>
    <n v="37932512.950000003"/>
    <n v="1.1100000000000001"/>
    <n v="1.104894"/>
    <n v="34331359.343068205"/>
    <n v="3601153.6069317982"/>
    <n v="7532930.0407244712"/>
    <n v="-3931776.4337926731"/>
    <n v="258169.68043009529"/>
    <n v="-4189946.1142227682"/>
    <m/>
    <m/>
    <m/>
  </r>
  <r>
    <x v="10"/>
    <x v="1"/>
    <x v="0"/>
    <x v="0"/>
    <n v="37932512.950000003"/>
    <n v="1.1100000000000001"/>
    <n v="1.104894"/>
    <n v="34331359.343068205"/>
    <n v="3601153.6069317982"/>
    <n v="7420992.7351698196"/>
    <n v="-3819839.1282380214"/>
    <n v="258169.68043009529"/>
    <n v="-4078008.8086681166"/>
    <m/>
    <m/>
    <m/>
  </r>
  <r>
    <x v="10"/>
    <x v="2"/>
    <x v="0"/>
    <x v="0"/>
    <n v="37932512.950000003"/>
    <n v="1.1100000000000001"/>
    <n v="1.104894"/>
    <n v="34331359.343068205"/>
    <n v="3601153.6069317982"/>
    <n v="5368996.2023031786"/>
    <n v="-1767842.5953713804"/>
    <n v="258169.68043009529"/>
    <n v="-2026012.2758014756"/>
    <m/>
    <m/>
    <m/>
  </r>
  <r>
    <x v="10"/>
    <x v="3"/>
    <x v="0"/>
    <x v="0"/>
    <n v="37932512.950000003"/>
    <n v="1.1100000000000001"/>
    <n v="1.104894"/>
    <n v="34331359.343068205"/>
    <n v="3601153.6069317982"/>
    <n v="5519732.7474109624"/>
    <n v="-1918579.1404791642"/>
    <n v="258169.68043009529"/>
    <n v="-2176748.8209092594"/>
    <m/>
    <m/>
    <m/>
  </r>
  <r>
    <x v="10"/>
    <x v="4"/>
    <x v="0"/>
    <x v="0"/>
    <n v="37932512.950000003"/>
    <n v="1.1100000000000001"/>
    <n v="1.104894"/>
    <n v="34331359.343068205"/>
    <n v="3601153.6069317982"/>
    <n v="4553393.4971639346"/>
    <n v="-952239.89023213647"/>
    <n v="258169.68043009529"/>
    <n v="-1210409.5706622317"/>
    <m/>
    <m/>
    <m/>
  </r>
  <r>
    <x v="10"/>
    <x v="5"/>
    <x v="0"/>
    <x v="0"/>
    <n v="37932512.950000003"/>
    <n v="1.1100000000000001"/>
    <n v="1.104894"/>
    <n v="34331359.343068205"/>
    <n v="3601153.6069317982"/>
    <n v="5114377.8774026074"/>
    <n v="-1513224.2704708092"/>
    <n v="258169.68043009529"/>
    <n v="-1771393.9509009044"/>
    <m/>
    <m/>
    <m/>
  </r>
  <r>
    <x v="10"/>
    <x v="6"/>
    <x v="0"/>
    <x v="0"/>
    <n v="35575919.200000003"/>
    <n v="1.1100000000000001"/>
    <n v="1.104894"/>
    <n v="32198490.714946412"/>
    <n v="3377428.4850535914"/>
    <n v="8329454.1422320269"/>
    <n v="-4952025.6571784355"/>
    <n v="242130.64140984867"/>
    <n v="-5194156.2985882843"/>
    <m/>
    <m/>
    <m/>
  </r>
  <r>
    <x v="10"/>
    <x v="7"/>
    <x v="0"/>
    <x v="0"/>
    <n v="35575919.200000003"/>
    <n v="1.1100000000000001"/>
    <n v="1.104894"/>
    <n v="32198490.714946412"/>
    <n v="3377428.4850535914"/>
    <n v="8364118.2252093451"/>
    <n v="-4986689.7401557537"/>
    <n v="242130.64140984867"/>
    <n v="-5228820.3815656025"/>
    <m/>
    <m/>
    <m/>
  </r>
  <r>
    <x v="10"/>
    <x v="8"/>
    <x v="0"/>
    <x v="0"/>
    <n v="35195556.700000003"/>
    <n v="1.1100000000000001"/>
    <n v="1.104894"/>
    <n v="31854238.234617982"/>
    <n v="3341318.4653820209"/>
    <n v="9133284.9598389827"/>
    <n v="-5791966.4944569618"/>
    <n v="239541.88423465099"/>
    <n v="-6031508.3786916127"/>
    <m/>
    <m/>
    <m/>
  </r>
  <r>
    <x v="10"/>
    <x v="9"/>
    <x v="0"/>
    <x v="0"/>
    <n v="35195556.700000003"/>
    <n v="1.1100000000000001"/>
    <n v="1.104894"/>
    <n v="31854238.234617982"/>
    <n v="3341318.4653820209"/>
    <n v="9911835.9900944196"/>
    <n v="-6570517.5247123986"/>
    <n v="239541.88423465099"/>
    <n v="-6810059.4089470496"/>
    <m/>
    <m/>
    <m/>
  </r>
  <r>
    <x v="10"/>
    <x v="10"/>
    <x v="0"/>
    <x v="0"/>
    <n v="35195556.700000003"/>
    <n v="1.1100000000000001"/>
    <n v="1.104894"/>
    <n v="31854238.234617982"/>
    <n v="3341318.4653820209"/>
    <n v="13007267.515546644"/>
    <n v="-9665949.0501646232"/>
    <n v="239541.88423465099"/>
    <n v="-9905490.9343992732"/>
    <m/>
    <m/>
    <m/>
  </r>
  <r>
    <x v="10"/>
    <x v="11"/>
    <x v="0"/>
    <x v="0"/>
    <n v="31409130.699999999"/>
    <n v="1.1100000000000001"/>
    <n v="1.104894"/>
    <n v="28427279.630444184"/>
    <n v="2981851.0695558153"/>
    <n v="10012400.064072801"/>
    <n v="-7030548.9945169855"/>
    <n v="213771.36932885682"/>
    <n v="-7244320.363845842"/>
    <m/>
    <m/>
    <m/>
  </r>
  <r>
    <x v="11"/>
    <x v="0"/>
    <x v="0"/>
    <x v="0"/>
    <n v="71699753.276983202"/>
    <n v="1.35"/>
    <n v="1.34379"/>
    <n v="53356367.644485518"/>
    <n v="18343385.632497683"/>
    <n v="11707365.871437222"/>
    <n v="6636019.7610604614"/>
    <n v="487990.40587780066"/>
    <n v="6148029.3551826607"/>
    <m/>
    <m/>
    <m/>
  </r>
  <r>
    <x v="11"/>
    <x v="1"/>
    <x v="0"/>
    <x v="0"/>
    <n v="71699753.276983202"/>
    <n v="1.35"/>
    <n v="1.34379"/>
    <n v="53356367.644485518"/>
    <n v="18343385.632497683"/>
    <n v="11533397.577067515"/>
    <n v="6809988.0554301683"/>
    <n v="487990.40587780066"/>
    <n v="6321997.6495523676"/>
    <m/>
    <m/>
    <m/>
  </r>
  <r>
    <x v="11"/>
    <x v="2"/>
    <x v="0"/>
    <x v="0"/>
    <n v="71699753.276983202"/>
    <n v="1.35"/>
    <n v="1.34379"/>
    <n v="53356367.644485518"/>
    <n v="18343385.632497683"/>
    <n v="8344270.0998023758"/>
    <n v="9999115.5326953083"/>
    <n v="487990.40587780066"/>
    <n v="9511125.1268175077"/>
    <m/>
    <m/>
    <m/>
  </r>
  <r>
    <x v="11"/>
    <x v="3"/>
    <x v="0"/>
    <x v="0"/>
    <n v="71699753.276983202"/>
    <n v="1.35"/>
    <n v="1.34379"/>
    <n v="53356367.644485518"/>
    <n v="18343385.632497683"/>
    <n v="8578538.5550027788"/>
    <n v="9764847.0774949044"/>
    <n v="487990.40587780066"/>
    <n v="9276856.6716171037"/>
    <m/>
    <m/>
    <m/>
  </r>
  <r>
    <x v="11"/>
    <x v="4"/>
    <x v="0"/>
    <x v="0"/>
    <n v="71699753.276983202"/>
    <n v="1.35"/>
    <n v="1.34379"/>
    <n v="53356367.644485518"/>
    <n v="18343385.632497683"/>
    <n v="7076694.3725385191"/>
    <n v="11266691.259959165"/>
    <n v="487990.40587780066"/>
    <n v="10778700.854081364"/>
    <m/>
    <m/>
    <m/>
  </r>
  <r>
    <x v="11"/>
    <x v="5"/>
    <x v="0"/>
    <x v="0"/>
    <n v="71699753.276983202"/>
    <n v="1.35"/>
    <n v="1.34379"/>
    <n v="53356367.644485518"/>
    <n v="18343385.632497683"/>
    <n v="7948552.9125899505"/>
    <n v="10394832.719907733"/>
    <n v="487990.40587780066"/>
    <n v="9906842.314029932"/>
    <m/>
    <m/>
    <m/>
  </r>
  <r>
    <x v="11"/>
    <x v="6"/>
    <x v="0"/>
    <x v="0"/>
    <n v="71699753.276983202"/>
    <n v="1.35"/>
    <n v="1.34379"/>
    <n v="53356367.644485518"/>
    <n v="18343385.632497683"/>
    <n v="13802802.790520627"/>
    <n v="4540582.8419770561"/>
    <n v="487990.40587780066"/>
    <n v="4052592.4360992555"/>
    <m/>
    <m/>
    <m/>
  </r>
  <r>
    <x v="11"/>
    <x v="7"/>
    <x v="0"/>
    <x v="0"/>
    <n v="71699753.276983202"/>
    <n v="1.35"/>
    <n v="1.34379"/>
    <n v="53356367.644485518"/>
    <n v="18343385.632497683"/>
    <n v="13860244.910145761"/>
    <n v="4483140.7223519217"/>
    <n v="487990.40587780066"/>
    <n v="3995150.3164741211"/>
    <m/>
    <m/>
    <m/>
  </r>
  <r>
    <x v="11"/>
    <x v="8"/>
    <x v="0"/>
    <x v="0"/>
    <n v="71699753.276983202"/>
    <n v="1.35"/>
    <n v="1.34379"/>
    <n v="53356367.644485518"/>
    <n v="18343385.632497683"/>
    <n v="15298401.001767455"/>
    <n v="3044984.6307302285"/>
    <n v="487990.40587780066"/>
    <n v="2556994.2248524278"/>
    <m/>
    <m/>
    <m/>
  </r>
  <r>
    <x v="11"/>
    <x v="9"/>
    <x v="0"/>
    <x v="0"/>
    <n v="71699753.276983202"/>
    <n v="1.35"/>
    <n v="1.34379"/>
    <n v="53356367.644485518"/>
    <n v="18343385.632497683"/>
    <n v="16602486.652610525"/>
    <n v="1740898.9798871577"/>
    <n v="487990.40587780066"/>
    <n v="1252908.574009357"/>
    <m/>
    <m/>
    <m/>
  </r>
  <r>
    <x v="11"/>
    <x v="10"/>
    <x v="0"/>
    <x v="0"/>
    <n v="71699753.276983202"/>
    <n v="1.35"/>
    <n v="1.34379"/>
    <n v="53356367.644485518"/>
    <n v="18343385.632497683"/>
    <n v="21787384.852777466"/>
    <n v="-3443999.220279783"/>
    <n v="487990.40587780066"/>
    <n v="-3931989.6261575837"/>
    <m/>
    <m/>
    <m/>
  </r>
  <r>
    <x v="11"/>
    <x v="11"/>
    <x v="0"/>
    <x v="0"/>
    <n v="71699753.276983202"/>
    <n v="1.35"/>
    <n v="1.34379"/>
    <n v="53356367.644485518"/>
    <n v="18343385.632497683"/>
    <n v="18792698.624957781"/>
    <n v="-449312.99246009812"/>
    <n v="487990.40587780066"/>
    <n v="-937303.39833789878"/>
    <m/>
    <m/>
    <m/>
  </r>
  <r>
    <x v="11"/>
    <x v="12"/>
    <x v="0"/>
    <x v="0"/>
    <n v="65878695.026983202"/>
    <n v="1.35"/>
    <n v="1.34379"/>
    <n v="49024546.266145155"/>
    <n v="16854148.760838047"/>
    <s v=""/>
    <s v=""/>
    <n v="448372.13038552355"/>
    <s v=""/>
    <m/>
    <m/>
    <m/>
  </r>
  <r>
    <x v="11"/>
    <x v="13"/>
    <x v="0"/>
    <x v="0"/>
    <n v="65878695.026983202"/>
    <n v="1.35"/>
    <n v="1.34379"/>
    <n v="49024546.266145155"/>
    <n v="16854148.760838047"/>
    <s v=""/>
    <s v=""/>
    <n v="448372.13038552355"/>
    <s v=""/>
    <m/>
    <m/>
    <m/>
  </r>
  <r>
    <x v="11"/>
    <x v="14"/>
    <x v="0"/>
    <x v="0"/>
    <n v="61723893.851983197"/>
    <n v="1.35"/>
    <n v="1.34379"/>
    <n v="45932693.242235169"/>
    <n v="15791200.609748028"/>
    <s v=""/>
    <s v=""/>
    <n v="420094.44435364316"/>
    <s v=""/>
    <m/>
    <m/>
    <m/>
  </r>
  <r>
    <x v="11"/>
    <x v="15"/>
    <x v="0"/>
    <x v="0"/>
    <n v="49714833.851983197"/>
    <n v="1.35"/>
    <n v="1.34379"/>
    <n v="36995984.381475672"/>
    <n v="12718849.470507525"/>
    <s v=""/>
    <s v=""/>
    <n v="338360.46626069321"/>
    <s v=""/>
    <m/>
    <m/>
    <m/>
  </r>
  <r>
    <x v="11"/>
    <x v="16"/>
    <x v="0"/>
    <x v="0"/>
    <n v="48046908.851983197"/>
    <n v="1.35"/>
    <n v="1.34379"/>
    <n v="35754774.817481302"/>
    <n v="12292134.034501895"/>
    <s v=""/>
    <s v=""/>
    <n v="327008.52485889464"/>
    <s v=""/>
    <m/>
    <m/>
    <m/>
  </r>
  <r>
    <x v="11"/>
    <x v="17"/>
    <x v="0"/>
    <x v="0"/>
    <n v="40541246.351983197"/>
    <n v="1.35"/>
    <n v="1.34379"/>
    <n v="30169331.779506616"/>
    <n v="10371914.572476581"/>
    <s v=""/>
    <s v=""/>
    <n v="275924.78855080093"/>
    <s v=""/>
    <m/>
    <m/>
    <m/>
  </r>
  <r>
    <x v="12"/>
    <x v="0"/>
    <x v="0"/>
    <x v="0"/>
    <n v="15824227.25"/>
    <n v="1.92"/>
    <n v="1.9111679999999998"/>
    <n v="8279872.4392622737"/>
    <n v="7544354.8107377263"/>
    <n v="1816755.9055210776"/>
    <n v="5727598.9052166492"/>
    <n v="107700.10670188686"/>
    <n v="5619898.798514762"/>
    <m/>
    <m/>
    <m/>
  </r>
  <r>
    <x v="12"/>
    <x v="1"/>
    <x v="0"/>
    <x v="0"/>
    <n v="15824227.25"/>
    <n v="1.92"/>
    <n v="1.9111679999999998"/>
    <n v="8279872.4392622737"/>
    <n v="7544354.8107377263"/>
    <n v="1789759.4035205129"/>
    <n v="5754595.4072172139"/>
    <n v="107700.10670188686"/>
    <n v="5646895.3005153267"/>
    <m/>
    <m/>
    <m/>
  </r>
  <r>
    <x v="12"/>
    <x v="2"/>
    <x v="0"/>
    <x v="0"/>
    <n v="15824227.25"/>
    <n v="1.92"/>
    <n v="1.9111679999999998"/>
    <n v="8279872.4392622737"/>
    <n v="7544354.8107377263"/>
    <n v="1294868.7302977319"/>
    <n v="6249486.0804399941"/>
    <n v="107700.10670188686"/>
    <n v="6141785.9737381069"/>
    <m/>
    <m/>
    <m/>
  </r>
  <r>
    <x v="13"/>
    <x v="0"/>
    <x v="0"/>
    <x v="0"/>
    <n v="153017477.52499998"/>
    <n v="1.72"/>
    <n v="1.7120879999999998"/>
    <n v="89374773.682777986"/>
    <n v="63642703.84222199"/>
    <n v="19610464.905575749"/>
    <n v="44032238.936646238"/>
    <n v="1041440.9750527359"/>
    <n v="42990797.961593501"/>
    <m/>
    <m/>
    <m/>
  </r>
  <r>
    <x v="13"/>
    <x v="1"/>
    <x v="0"/>
    <x v="0"/>
    <n v="151568477.52499998"/>
    <n v="1.72"/>
    <n v="1.7120879999999998"/>
    <n v="88528438.681306094"/>
    <n v="63040038.843693882"/>
    <n v="19136116.742273621"/>
    <n v="43903922.101420261"/>
    <n v="1031579.0429567446"/>
    <n v="42872343.058463514"/>
    <m/>
    <m/>
    <m/>
  </r>
  <r>
    <x v="13"/>
    <x v="2"/>
    <x v="0"/>
    <x v="0"/>
    <n v="98609116.699999988"/>
    <n v="1.72"/>
    <n v="1.7120879999999998"/>
    <n v="57595822.586222202"/>
    <n v="41013294.113777786"/>
    <n v="9007267.9512584209"/>
    <n v="32006026.162519366"/>
    <n v="671136.24081509653"/>
    <n v="31334889.92170427"/>
    <m/>
    <m/>
    <m/>
  </r>
  <r>
    <x v="14"/>
    <x v="0"/>
    <x v="0"/>
    <x v="0"/>
    <n v="51152180.402000003"/>
    <n v="1.69"/>
    <n v="1.6822259999999998"/>
    <n v="30407436.576298315"/>
    <n v="20744743.825701687"/>
    <n v="6671949.4022385757"/>
    <n v="14072794.423463112"/>
    <n v="348143.08466971532"/>
    <n v="13724651.338793397"/>
    <m/>
    <m/>
    <m/>
  </r>
  <r>
    <x v="14"/>
    <x v="1"/>
    <x v="0"/>
    <x v="0"/>
    <n v="47167910.304499999"/>
    <n v="1.69"/>
    <n v="1.6822259999999998"/>
    <n v="28038985.430316739"/>
    <n v="19128924.87418326"/>
    <n v="6060846.7349232845"/>
    <n v="13068078.139259975"/>
    <n v="321026.03763477161"/>
    <n v="12747052.101625204"/>
    <m/>
    <m/>
    <m/>
  </r>
  <r>
    <x v="14"/>
    <x v="2"/>
    <x v="0"/>
    <x v="0"/>
    <n v="47167910.304499999"/>
    <n v="1.69"/>
    <n v="1.6822259999999998"/>
    <n v="28038985.430316739"/>
    <n v="19128924.87418326"/>
    <n v="4384947.4408359034"/>
    <n v="14743977.433347356"/>
    <n v="321026.03763477161"/>
    <n v="14422951.395712584"/>
    <m/>
    <m/>
    <m/>
  </r>
  <r>
    <x v="14"/>
    <x v="3"/>
    <x v="0"/>
    <x v="0"/>
    <n v="53612578.7795"/>
    <n v="1.69"/>
    <n v="1.6822259999999998"/>
    <n v="31870021.495030992"/>
    <n v="21742557.284469008"/>
    <n v="5124003.3797942931"/>
    <n v="16618553.904674716"/>
    <n v="364888.62071387819"/>
    <n v="16253665.283960838"/>
    <m/>
    <m/>
    <m/>
  </r>
  <r>
    <x v="14"/>
    <x v="4"/>
    <x v="0"/>
    <x v="0"/>
    <n v="53612578.7795"/>
    <n v="1.69"/>
    <n v="1.6822259999999998"/>
    <n v="31870021.495030992"/>
    <n v="21742557.284469008"/>
    <n v="4226944.4439941533"/>
    <n v="17515612.840474855"/>
    <n v="364888.62071387819"/>
    <n v="17150724.219760977"/>
    <m/>
    <m/>
    <m/>
  </r>
  <r>
    <x v="14"/>
    <x v="5"/>
    <x v="0"/>
    <x v="0"/>
    <n v="53612578.7795"/>
    <n v="1.69"/>
    <n v="1.6822259999999998"/>
    <n v="31870021.495030992"/>
    <n v="21742557.284469008"/>
    <n v="4747709.8491132781"/>
    <n v="16994847.43535573"/>
    <n v="364888.62071387819"/>
    <n v="16629958.814641852"/>
    <m/>
    <m/>
    <m/>
  </r>
  <r>
    <x v="14"/>
    <x v="6"/>
    <x v="0"/>
    <x v="0"/>
    <n v="53612578.7795"/>
    <n v="1.69"/>
    <n v="1.6822259999999998"/>
    <n v="31870021.495030992"/>
    <n v="21742557.284469008"/>
    <n v="8244482.1685876166"/>
    <n v="13498075.115881391"/>
    <n v="364888.62071387819"/>
    <n v="13133186.495167512"/>
    <m/>
    <m/>
    <m/>
  </r>
  <r>
    <x v="14"/>
    <x v="7"/>
    <x v="0"/>
    <x v="0"/>
    <n v="53612578.7795"/>
    <n v="1.69"/>
    <n v="1.6822259999999998"/>
    <n v="31870021.495030992"/>
    <n v="21742557.284469008"/>
    <n v="8278792.6298875874"/>
    <n v="13463764.65458142"/>
    <n v="364888.62071387819"/>
    <n v="13098876.033867542"/>
    <m/>
    <m/>
    <m/>
  </r>
  <r>
    <x v="14"/>
    <x v="8"/>
    <x v="0"/>
    <x v="0"/>
    <n v="49351847.829500005"/>
    <n v="1.69"/>
    <n v="1.6822259999999998"/>
    <n v="29337228.071317416"/>
    <n v="20014619.758182589"/>
    <n v="8411604.8211109489"/>
    <n v="11603014.93707164"/>
    <n v="335889.97384832386"/>
    <n v="11267124.963223316"/>
    <m/>
    <m/>
    <m/>
  </r>
  <r>
    <x v="14"/>
    <x v="9"/>
    <x v="0"/>
    <x v="0"/>
    <n v="49351847.829500005"/>
    <n v="1.69"/>
    <n v="1.6822259999999998"/>
    <n v="29337228.071317416"/>
    <n v="20014619.758182589"/>
    <n v="9128637.480047388"/>
    <n v="10885982.278135201"/>
    <n v="335889.97384832386"/>
    <n v="10550092.304286877"/>
    <m/>
    <m/>
    <m/>
  </r>
  <r>
    <x v="14"/>
    <x v="10"/>
    <x v="0"/>
    <x v="0"/>
    <n v="49351847.829500005"/>
    <n v="1.69"/>
    <n v="1.6822259999999998"/>
    <n v="29337228.071317416"/>
    <n v="20014619.758182589"/>
    <n v="11979478.864872832"/>
    <n v="8035140.8933097571"/>
    <n v="335889.97384832386"/>
    <n v="7699250.9194614328"/>
    <m/>
    <m/>
    <m/>
  </r>
  <r>
    <x v="14"/>
    <x v="11"/>
    <x v="0"/>
    <x v="0"/>
    <n v="49351847.829500005"/>
    <n v="1.69"/>
    <n v="1.6822259999999998"/>
    <n v="29337228.071317416"/>
    <n v="20014619.758182589"/>
    <n v="10332893.897677086"/>
    <n v="9681725.8605055027"/>
    <n v="335889.97384832386"/>
    <n v="9345835.8866571784"/>
    <m/>
    <m/>
    <m/>
  </r>
  <r>
    <x v="14"/>
    <x v="12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3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4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5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6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7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8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9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0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1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2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3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4"/>
    <x v="0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5"/>
    <x v="0"/>
    <x v="0"/>
    <n v="9910003.9500000011"/>
    <n v="1.69"/>
    <n v="1.6822259999999998"/>
    <n v="5891006.291663547"/>
    <n v="4018997.6583364541"/>
    <s v=""/>
    <s v=""/>
    <n v="67447.747429886062"/>
    <s v=""/>
    <m/>
    <m/>
    <m/>
  </r>
  <r>
    <x v="15"/>
    <x v="0"/>
    <x v="0"/>
    <x v="0"/>
    <n v="20348195"/>
    <n v="1.61"/>
    <n v="1.6025940000000001"/>
    <n v="12697036.804081382"/>
    <n v="7651158.1959186178"/>
    <n v="2785962.7990221307"/>
    <n v="4865195.3968964871"/>
    <n v="138490.35014906025"/>
    <n v="4726705.0467474265"/>
    <m/>
    <m/>
    <m/>
  </r>
  <r>
    <x v="15"/>
    <x v="1"/>
    <x v="0"/>
    <x v="0"/>
    <n v="20348195"/>
    <n v="1.61"/>
    <n v="1.6025940000000001"/>
    <n v="12697036.804081382"/>
    <n v="7651158.1959186178"/>
    <n v="2744564.1443934408"/>
    <n v="4906594.0515251774"/>
    <n v="138490.35014906025"/>
    <n v="4768103.7013761168"/>
    <m/>
    <m/>
    <m/>
  </r>
  <r>
    <x v="15"/>
    <x v="2"/>
    <x v="0"/>
    <x v="0"/>
    <n v="20348195"/>
    <n v="1.61"/>
    <n v="1.6025940000000001"/>
    <n v="12697036.804081382"/>
    <n v="7651158.1959186178"/>
    <n v="1985658.1180022748"/>
    <n v="5665500.0779163428"/>
    <n v="138490.35014906025"/>
    <n v="5527009.7277672822"/>
    <m/>
    <m/>
    <m/>
  </r>
  <r>
    <x v="15"/>
    <x v="3"/>
    <x v="0"/>
    <x v="0"/>
    <n v="20348195"/>
    <n v="1.61"/>
    <n v="1.6025940000000001"/>
    <n v="12697036.804081382"/>
    <n v="7651158.1959186178"/>
    <n v="2041406.2007341066"/>
    <n v="5609751.9951845109"/>
    <n v="138490.35014906025"/>
    <n v="5471261.6450354503"/>
    <m/>
    <m/>
    <m/>
  </r>
  <r>
    <x v="15"/>
    <x v="4"/>
    <x v="0"/>
    <x v="0"/>
    <n v="20348195"/>
    <n v="1.61"/>
    <n v="1.6025940000000001"/>
    <n v="12697036.804081382"/>
    <n v="7651158.1959186178"/>
    <n v="1684017.3509945383"/>
    <n v="5967140.8449240793"/>
    <n v="138490.35014906025"/>
    <n v="5828650.4947750187"/>
    <m/>
    <m/>
    <m/>
  </r>
  <r>
    <x v="15"/>
    <x v="5"/>
    <x v="0"/>
    <x v="0"/>
    <n v="20348195"/>
    <n v="1.61"/>
    <n v="1.6025940000000001"/>
    <n v="12697036.804081382"/>
    <n v="7651158.1959186178"/>
    <n v="1891490.6191290077"/>
    <n v="5759667.5767896101"/>
    <n v="138490.35014906025"/>
    <n v="5621177.2266405495"/>
    <m/>
    <m/>
    <m/>
  </r>
  <r>
    <x v="15"/>
    <x v="6"/>
    <x v="0"/>
    <x v="0"/>
    <n v="20348195"/>
    <n v="1.61"/>
    <n v="1.6025940000000001"/>
    <n v="12697036.804081382"/>
    <n v="7651158.1959186178"/>
    <n v="3284606.93198688"/>
    <n v="4366551.2639317382"/>
    <n v="138490.35014906025"/>
    <n v="4228060.9137826776"/>
    <m/>
    <m/>
    <m/>
  </r>
  <r>
    <x v="15"/>
    <x v="7"/>
    <x v="0"/>
    <x v="0"/>
    <n v="20348195"/>
    <n v="1.61"/>
    <n v="1.6025940000000001"/>
    <n v="12697036.804081382"/>
    <n v="7651158.1959186178"/>
    <n v="3298276.2415591581"/>
    <n v="4352881.9543594597"/>
    <n v="138490.35014906025"/>
    <n v="4214391.6042103991"/>
    <m/>
    <m/>
    <m/>
  </r>
  <r>
    <x v="15"/>
    <x v="8"/>
    <x v="0"/>
    <x v="0"/>
    <n v="20348195"/>
    <n v="1.61"/>
    <n v="1.6025940000000001"/>
    <n v="12697036.804081382"/>
    <n v="7651158.1959186178"/>
    <n v="3640509.448793266"/>
    <n v="4010648.7471253518"/>
    <n v="138490.35014906025"/>
    <n v="3872158.3969762917"/>
    <m/>
    <m/>
    <m/>
  </r>
  <r>
    <x v="15"/>
    <x v="9"/>
    <x v="0"/>
    <x v="0"/>
    <n v="20348195"/>
    <n v="1.61"/>
    <n v="1.6025940000000001"/>
    <n v="12697036.804081382"/>
    <n v="7651158.1959186178"/>
    <n v="3950838.3605129574"/>
    <n v="3700319.8354056603"/>
    <n v="138490.35014906025"/>
    <n v="3561829.4852566002"/>
    <m/>
    <m/>
    <m/>
  </r>
  <r>
    <x v="15"/>
    <x v="10"/>
    <x v="0"/>
    <x v="0"/>
    <n v="20348195"/>
    <n v="1.61"/>
    <n v="1.6025940000000001"/>
    <n v="12697036.804081382"/>
    <n v="7651158.1959186178"/>
    <n v="5184671.2876638537"/>
    <n v="2466486.908254764"/>
    <n v="138490.35014906025"/>
    <n v="2327996.5581057039"/>
    <m/>
    <m/>
    <m/>
  </r>
  <r>
    <x v="15"/>
    <x v="11"/>
    <x v="0"/>
    <x v="0"/>
    <n v="20348195"/>
    <n v="1.61"/>
    <n v="1.6025940000000001"/>
    <n v="12697036.804081382"/>
    <n v="7651158.1959186178"/>
    <n v="4472035.7967201211"/>
    <n v="3179122.3991984967"/>
    <n v="138490.35014906025"/>
    <n v="3040632.0490494366"/>
    <m/>
    <m/>
    <m/>
  </r>
  <r>
    <x v="15"/>
    <x v="12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3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4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5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6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7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8"/>
    <x v="0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9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0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1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2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3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4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5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6"/>
    <x v="0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7"/>
    <x v="0"/>
    <x v="0"/>
    <n v="19513445"/>
    <n v="1.61"/>
    <n v="1.6025940000000001"/>
    <n v="12176162.521511998"/>
    <n v="7337282.478488002"/>
    <s v=""/>
    <s v=""/>
    <n v="132809.0197024566"/>
    <s v=""/>
    <m/>
    <m/>
    <m/>
  </r>
  <r>
    <x v="15"/>
    <x v="28"/>
    <x v="0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5"/>
    <x v="29"/>
    <x v="0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5"/>
    <x v="30"/>
    <x v="0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6"/>
    <x v="0"/>
    <x v="0"/>
    <x v="0"/>
    <n v="195728607.46069998"/>
    <n v="2.2200000000000002"/>
    <n v="2.2097880000000001"/>
    <n v="88573477.392718196"/>
    <n v="107155130.06798178"/>
    <n v="19434645.79994132"/>
    <n v="87720484.268040463"/>
    <n v="1332134.0483232201"/>
    <n v="86388350.219717249"/>
    <m/>
    <m/>
    <m/>
  </r>
  <r>
    <x v="16"/>
    <x v="1"/>
    <x v="0"/>
    <x v="0"/>
    <n v="195728607.46069998"/>
    <n v="2.2200000000000002"/>
    <n v="2.2097880000000001"/>
    <n v="88573477.392718196"/>
    <n v="107155130.06798178"/>
    <n v="19145852.213183776"/>
    <n v="88009277.854798004"/>
    <n v="1332134.0483232201"/>
    <n v="86677143.80647479"/>
    <m/>
    <m/>
    <m/>
  </r>
  <r>
    <x v="16"/>
    <x v="2"/>
    <x v="0"/>
    <x v="0"/>
    <n v="195728607.46069998"/>
    <n v="2.2200000000000002"/>
    <n v="2.2097880000000001"/>
    <n v="88573477.392718196"/>
    <n v="107155130.06798178"/>
    <n v="13851786.612763651"/>
    <n v="93303343.455218136"/>
    <n v="1332134.0483232201"/>
    <n v="91971209.406894922"/>
    <m/>
    <m/>
    <m/>
  </r>
  <r>
    <x v="16"/>
    <x v="3"/>
    <x v="0"/>
    <x v="0"/>
    <n v="131698607.46069999"/>
    <n v="2.2200000000000002"/>
    <n v="2.2097880000000001"/>
    <n v="59597847.151265182"/>
    <n v="72100760.309434801"/>
    <n v="9582032.1388600152"/>
    <n v="62518728.170574784"/>
    <n v="896344.18489580916"/>
    <n v="61622383.985678978"/>
    <m/>
    <m/>
    <m/>
  </r>
  <r>
    <x v="16"/>
    <x v="4"/>
    <x v="0"/>
    <x v="0"/>
    <n v="131698607.46069999"/>
    <n v="2.2200000000000002"/>
    <n v="2.2097880000000001"/>
    <n v="59597847.151265182"/>
    <n v="72100760.309434801"/>
    <n v="7904506.4004531894"/>
    <n v="64196253.908981614"/>
    <n v="896344.18489580916"/>
    <n v="63299909.724085808"/>
    <m/>
    <m/>
    <m/>
  </r>
  <r>
    <x v="16"/>
    <x v="5"/>
    <x v="0"/>
    <x v="0"/>
    <n v="131698607.46069999"/>
    <n v="2.2200000000000002"/>
    <n v="2.2097880000000001"/>
    <n v="59597847.151265182"/>
    <n v="72100760.309434801"/>
    <n v="8878352.5279431026"/>
    <n v="63222407.781491697"/>
    <n v="896344.18489580916"/>
    <n v="62326063.596595891"/>
    <m/>
    <m/>
    <m/>
  </r>
  <r>
    <x v="16"/>
    <x v="6"/>
    <x v="0"/>
    <x v="0"/>
    <n v="131698607.46069999"/>
    <n v="2.2200000000000002"/>
    <n v="2.2097880000000001"/>
    <n v="59597847.151265182"/>
    <n v="72100760.309434801"/>
    <n v="15417416.276340617"/>
    <n v="56683344.033094183"/>
    <n v="896344.18489580916"/>
    <n v="55786999.848198377"/>
    <m/>
    <m/>
    <m/>
  </r>
  <r>
    <x v="16"/>
    <x v="7"/>
    <x v="0"/>
    <x v="0"/>
    <n v="131698607.46069999"/>
    <n v="2.2200000000000002"/>
    <n v="2.2097880000000001"/>
    <n v="59597847.151265182"/>
    <n v="72100760.309434801"/>
    <n v="15481577.81537704"/>
    <n v="56619182.49405776"/>
    <n v="896344.18489580916"/>
    <n v="55722838.309161954"/>
    <m/>
    <m/>
    <m/>
  </r>
  <r>
    <x v="16"/>
    <x v="8"/>
    <x v="0"/>
    <x v="0"/>
    <n v="131698607.46069999"/>
    <n v="2.2200000000000002"/>
    <n v="2.2097880000000001"/>
    <n v="59597847.151265182"/>
    <n v="72100760.309434801"/>
    <n v="17087965.407186598"/>
    <n v="55012794.902248204"/>
    <n v="896344.18489580916"/>
    <n v="54116450.717352398"/>
    <m/>
    <m/>
    <m/>
  </r>
  <r>
    <x v="16"/>
    <x v="9"/>
    <x v="0"/>
    <x v="0"/>
    <n v="131698607.46069999"/>
    <n v="2.2200000000000002"/>
    <n v="2.2097880000000001"/>
    <n v="59597847.151265182"/>
    <n v="72100760.309434801"/>
    <n v="18544599.370895635"/>
    <n v="53556160.938539162"/>
    <n v="896344.18489580916"/>
    <n v="52659816.753643356"/>
    <m/>
    <m/>
    <m/>
  </r>
  <r>
    <x v="16"/>
    <x v="10"/>
    <x v="0"/>
    <x v="0"/>
    <n v="131698607.46069999"/>
    <n v="2.2200000000000002"/>
    <n v="2.2097880000000001"/>
    <n v="59597847.151265182"/>
    <n v="72100760.309434801"/>
    <n v="24336012.543684129"/>
    <n v="47764747.765750676"/>
    <n v="896344.18489580916"/>
    <n v="46868403.58085487"/>
    <m/>
    <m/>
    <m/>
  </r>
  <r>
    <x v="16"/>
    <x v="11"/>
    <x v="0"/>
    <x v="0"/>
    <n v="131698607.46069999"/>
    <n v="2.2200000000000002"/>
    <n v="2.2097880000000001"/>
    <n v="59597847.151265182"/>
    <n v="72100760.309434801"/>
    <n v="20991016.248943992"/>
    <n v="51109744.060490809"/>
    <n v="896344.18489580916"/>
    <n v="50213399.875595003"/>
    <m/>
    <m/>
    <m/>
  </r>
  <r>
    <x v="16"/>
    <x v="12"/>
    <x v="0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x v="13"/>
    <x v="0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x v="14"/>
    <x v="0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x v="15"/>
    <x v="0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x v="16"/>
    <x v="0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x v="17"/>
    <x v="0"/>
    <x v="0"/>
    <n v="115277855.6902"/>
    <n v="2.2200000000000002"/>
    <n v="2.2097880000000001"/>
    <n v="52166929.900153317"/>
    <n v="63110925.790046684"/>
    <s v=""/>
    <s v=""/>
    <n v="784584.11662403645"/>
    <s v=""/>
    <m/>
    <m/>
    <m/>
  </r>
  <r>
    <x v="16"/>
    <x v="18"/>
    <x v="0"/>
    <x v="0"/>
    <n v="115277855.6902"/>
    <n v="2.2200000000000002"/>
    <n v="2.2097880000000001"/>
    <n v="52166929.900153317"/>
    <n v="63110925.790046684"/>
    <s v=""/>
    <s v=""/>
    <n v="784584.11662403645"/>
    <s v=""/>
    <m/>
    <m/>
    <m/>
  </r>
  <r>
    <x v="16"/>
    <x v="19"/>
    <x v="0"/>
    <x v="0"/>
    <n v="109546785.0652"/>
    <n v="2.2200000000000002"/>
    <n v="2.2097880000000001"/>
    <n v="49573436.485852942"/>
    <n v="59973348.579347059"/>
    <s v=""/>
    <s v=""/>
    <n v="745578.29927339463"/>
    <s v=""/>
    <m/>
    <m/>
    <m/>
  </r>
  <r>
    <x v="16"/>
    <x v="20"/>
    <x v="0"/>
    <x v="0"/>
    <n v="103283498.605"/>
    <n v="2.2200000000000002"/>
    <n v="2.2097880000000001"/>
    <n v="46739098.323006548"/>
    <n v="56544400.281993456"/>
    <s v=""/>
    <s v=""/>
    <n v="702950.20695577306"/>
    <s v=""/>
    <m/>
    <m/>
    <m/>
  </r>
  <r>
    <x v="16"/>
    <x v="21"/>
    <x v="0"/>
    <x v="0"/>
    <n v="92003446.254999995"/>
    <n v="2.2200000000000002"/>
    <n v="2.2097880000000001"/>
    <n v="41634512.566363826"/>
    <n v="50368933.688636169"/>
    <s v=""/>
    <s v=""/>
    <n v="626177.87409523036"/>
    <s v=""/>
    <m/>
    <m/>
    <m/>
  </r>
  <r>
    <x v="16"/>
    <x v="22"/>
    <x v="0"/>
    <x v="0"/>
    <n v="92003446.254999995"/>
    <n v="2.2200000000000002"/>
    <n v="2.2097880000000001"/>
    <n v="41634512.566363826"/>
    <n v="50368933.688636169"/>
    <s v=""/>
    <s v=""/>
    <n v="626177.87409523036"/>
    <s v=""/>
    <m/>
    <m/>
    <m/>
  </r>
  <r>
    <x v="16"/>
    <x v="23"/>
    <x v="0"/>
    <x v="0"/>
    <n v="54343675.75"/>
    <n v="2.2200000000000002"/>
    <n v="2.2097880000000001"/>
    <n v="24592257.605706971"/>
    <n v="29751418.144293029"/>
    <s v=""/>
    <s v=""/>
    <n v="369864.48591653927"/>
    <s v=""/>
    <m/>
    <m/>
    <m/>
  </r>
  <r>
    <x v="17"/>
    <x v="0"/>
    <x v="0"/>
    <x v="0"/>
    <n v="23358981.669500001"/>
    <n v="1.83"/>
    <n v="1.821582"/>
    <n v="12823458.767982995"/>
    <n v="10535522.901517006"/>
    <n v="2813702.0970838638"/>
    <n v="7721820.8044331418"/>
    <n v="158981.84337895989"/>
    <n v="7562838.9610541817"/>
    <m/>
    <m/>
    <m/>
  </r>
  <r>
    <x v="17"/>
    <x v="1"/>
    <x v="0"/>
    <x v="0"/>
    <n v="23358981.669500001"/>
    <n v="1.83"/>
    <n v="1.821582"/>
    <n v="12823458.767982995"/>
    <n v="10535522.901517006"/>
    <n v="2771891.2439791202"/>
    <n v="7763631.657537885"/>
    <n v="158981.84337895989"/>
    <n v="7604649.8141589249"/>
    <m/>
    <m/>
    <m/>
  </r>
  <r>
    <x v="17"/>
    <x v="2"/>
    <x v="0"/>
    <x v="0"/>
    <n v="19235315"/>
    <n v="1.83"/>
    <n v="1.821582"/>
    <n v="10559675.600659207"/>
    <n v="8675639.3993407935"/>
    <n v="1651401.4965428391"/>
    <n v="7024237.9027979542"/>
    <n v="130916.05961007701"/>
    <n v="6893321.843187877"/>
    <m/>
    <m/>
    <m/>
  </r>
  <r>
    <x v="17"/>
    <x v="3"/>
    <x v="0"/>
    <x v="0"/>
    <n v="19235315"/>
    <n v="1.83"/>
    <n v="1.821582"/>
    <n v="10559675.600659207"/>
    <n v="8675639.3993407935"/>
    <n v="1697765.2015623935"/>
    <n v="6977874.1977784"/>
    <n v="130916.05961007701"/>
    <n v="6846958.1381683229"/>
    <m/>
    <m/>
    <m/>
  </r>
  <r>
    <x v="17"/>
    <x v="4"/>
    <x v="0"/>
    <x v="0"/>
    <n v="19235315"/>
    <n v="1.83"/>
    <n v="1.821582"/>
    <n v="10559675.600659207"/>
    <n v="8675639.3993407935"/>
    <n v="1400537.5590206722"/>
    <n v="7275101.8403201215"/>
    <n v="130916.05961007701"/>
    <n v="7144185.7807100443"/>
    <m/>
    <m/>
    <m/>
  </r>
  <r>
    <x v="17"/>
    <x v="5"/>
    <x v="0"/>
    <x v="0"/>
    <n v="19235315"/>
    <n v="1.83"/>
    <n v="1.821582"/>
    <n v="10559675.600659207"/>
    <n v="8675639.3993407935"/>
    <n v="1573085.7244795884"/>
    <n v="7102553.6748612048"/>
    <n v="130916.05961007701"/>
    <n v="6971637.6152511276"/>
    <m/>
    <m/>
    <m/>
  </r>
  <r>
    <x v="17"/>
    <x v="6"/>
    <x v="0"/>
    <x v="0"/>
    <n v="19235315"/>
    <n v="1.83"/>
    <n v="1.821582"/>
    <n v="10559675.600659207"/>
    <n v="8675639.3993407935"/>
    <n v="2731691.1979265013"/>
    <n v="5943948.2014142927"/>
    <n v="130916.05961007701"/>
    <n v="5813032.1418042155"/>
    <m/>
    <m/>
    <m/>
  </r>
  <r>
    <x v="17"/>
    <x v="7"/>
    <x v="0"/>
    <x v="0"/>
    <n v="19235315"/>
    <n v="1.83"/>
    <n v="1.821582"/>
    <n v="10559675.600659207"/>
    <n v="8675639.3993407935"/>
    <n v="2743059.4783367659"/>
    <n v="5932579.9210040271"/>
    <n v="130916.05961007701"/>
    <n v="5801663.8613939499"/>
    <m/>
    <m/>
    <m/>
  </r>
  <r>
    <x v="17"/>
    <x v="8"/>
    <x v="0"/>
    <x v="0"/>
    <n v="15111650"/>
    <n v="1.83"/>
    <n v="1.821582"/>
    <n v="8295893.3498464515"/>
    <n v="6815756.6501535485"/>
    <n v="2378608.3786564451"/>
    <n v="4437148.2714971034"/>
    <n v="102850.287203855"/>
    <n v="4334297.9842932485"/>
    <m/>
    <m/>
    <m/>
  </r>
  <r>
    <x v="17"/>
    <x v="9"/>
    <x v="0"/>
    <x v="0"/>
    <n v="15111650"/>
    <n v="1.83"/>
    <n v="1.821582"/>
    <n v="8295893.3498464515"/>
    <n v="6815756.6501535485"/>
    <n v="2581368.7230363977"/>
    <n v="4234387.9271171503"/>
    <n v="102850.287203855"/>
    <n v="4131537.6399132954"/>
    <m/>
    <m/>
    <m/>
  </r>
  <r>
    <x v="17"/>
    <x v="10"/>
    <x v="0"/>
    <x v="0"/>
    <n v="15111650"/>
    <n v="1.83"/>
    <n v="1.821582"/>
    <n v="8295893.3498464515"/>
    <n v="6815756.6501535485"/>
    <n v="3387521.09804428"/>
    <n v="3428235.5521092685"/>
    <n v="102850.287203855"/>
    <n v="3325385.2649054136"/>
    <m/>
    <m/>
    <m/>
  </r>
  <r>
    <x v="18"/>
    <x v="0"/>
    <x v="0"/>
    <x v="0"/>
    <n v="45806040.531499997"/>
    <n v="2.48"/>
    <n v="2.4685919999999997"/>
    <n v="18555533.085864332"/>
    <n v="27250507.445635665"/>
    <n v="4071424.3560060649"/>
    <n v="23179083.089629602"/>
    <n v="311757.11615450314"/>
    <n v="22867325.973475099"/>
    <m/>
    <m/>
    <m/>
  </r>
  <r>
    <x v="18"/>
    <x v="1"/>
    <x v="0"/>
    <x v="0"/>
    <n v="45806040.531499997"/>
    <n v="2.48"/>
    <n v="2.4685919999999997"/>
    <n v="18555533.085864332"/>
    <n v="27250507.445635665"/>
    <n v="4010924.0898789321"/>
    <n v="23239583.355756734"/>
    <n v="311757.11615450314"/>
    <n v="22927826.23960223"/>
    <m/>
    <m/>
    <m/>
  </r>
  <r>
    <x v="18"/>
    <x v="2"/>
    <x v="0"/>
    <x v="0"/>
    <n v="45806040.531499997"/>
    <n v="2.48"/>
    <n v="2.4685919999999997"/>
    <n v="18555533.085864332"/>
    <n v="27250507.445635665"/>
    <n v="2901853.8320659776"/>
    <n v="24348653.613569688"/>
    <n v="311757.11615450314"/>
    <n v="24036896.497415185"/>
    <m/>
    <m/>
    <m/>
  </r>
  <r>
    <x v="18"/>
    <x v="3"/>
    <x v="0"/>
    <x v="0"/>
    <n v="45806040.531499997"/>
    <n v="2.48"/>
    <n v="2.4685919999999997"/>
    <n v="18555533.085864332"/>
    <n v="27250507.445635665"/>
    <n v="2983324.4467901546"/>
    <n v="24267182.99884551"/>
    <n v="311757.11615450314"/>
    <n v="23955425.882691007"/>
    <m/>
    <m/>
    <m/>
  </r>
  <r>
    <x v="18"/>
    <x v="4"/>
    <x v="0"/>
    <x v="0"/>
    <n v="45806040.531499997"/>
    <n v="2.48"/>
    <n v="2.4685919999999997"/>
    <n v="18555533.085864332"/>
    <n v="27250507.445635665"/>
    <n v="2461034.0314603439"/>
    <n v="24789473.41417532"/>
    <n v="311757.11615450314"/>
    <n v="24477716.298020817"/>
    <m/>
    <m/>
    <m/>
  </r>
  <r>
    <x v="18"/>
    <x v="5"/>
    <x v="0"/>
    <x v="0"/>
    <n v="45806040.531499997"/>
    <n v="2.48"/>
    <n v="2.4685919999999997"/>
    <n v="18555533.085864332"/>
    <n v="27250507.445635665"/>
    <n v="2764236.829932509"/>
    <n v="24486270.615703158"/>
    <n v="311757.11615450314"/>
    <n v="24174513.499548655"/>
    <m/>
    <m/>
    <m/>
  </r>
  <r>
    <x v="18"/>
    <x v="6"/>
    <x v="0"/>
    <x v="0"/>
    <n v="45806040.531499997"/>
    <n v="2.48"/>
    <n v="2.4685919999999997"/>
    <n v="18555533.085864332"/>
    <n v="27250507.445635665"/>
    <n v="4800146.1711878041"/>
    <n v="22450361.274447862"/>
    <n v="311757.11615450314"/>
    <n v="22138604.158293359"/>
    <m/>
    <m/>
    <m/>
  </r>
  <r>
    <x v="18"/>
    <x v="7"/>
    <x v="0"/>
    <x v="0"/>
    <n v="45806040.531499997"/>
    <n v="2.48"/>
    <n v="2.4685919999999997"/>
    <n v="18555533.085864332"/>
    <n v="27250507.445635665"/>
    <n v="4820122.5900911344"/>
    <n v="22430384.85554453"/>
    <n v="311757.11615450314"/>
    <n v="22118627.739390027"/>
    <m/>
    <m/>
    <m/>
  </r>
  <r>
    <x v="18"/>
    <x v="8"/>
    <x v="0"/>
    <x v="0"/>
    <n v="33732090.531499997"/>
    <n v="2.48"/>
    <n v="2.4685919999999997"/>
    <n v="13664506.136088913"/>
    <n v="20067584.395411082"/>
    <n v="3917903.4029053766"/>
    <n v="16149680.992505705"/>
    <n v="229581.49501551536"/>
    <n v="15920099.49749019"/>
    <m/>
    <m/>
    <m/>
  </r>
  <r>
    <x v="18"/>
    <x v="9"/>
    <x v="0"/>
    <x v="0"/>
    <n v="33732090.531499997"/>
    <n v="2.48"/>
    <n v="2.4685919999999997"/>
    <n v="13664506.136088913"/>
    <n v="20067584.395411082"/>
    <n v="4251878.2809679834"/>
    <n v="15815706.114443097"/>
    <n v="229581.49501551536"/>
    <n v="15586124.619427582"/>
    <m/>
    <m/>
    <m/>
  </r>
  <r>
    <x v="19"/>
    <x v="0"/>
    <x v="0"/>
    <x v="0"/>
    <n v="18731301.130000003"/>
    <n v="1.96"/>
    <n v="1.9509839999999998"/>
    <n v="9600950.6638701316"/>
    <n v="9130350.4661298711"/>
    <n v="2106624.7028748528"/>
    <n v="7023725.7632550187"/>
    <n v="127485.72795971281"/>
    <n v="6896240.0352953058"/>
    <m/>
    <m/>
    <m/>
  </r>
  <r>
    <x v="19"/>
    <x v="1"/>
    <x v="0"/>
    <x v="0"/>
    <n v="18731301.130000003"/>
    <n v="1.96"/>
    <n v="1.9509839999999998"/>
    <n v="9600950.6638701316"/>
    <n v="9130350.4661298711"/>
    <n v="2075320.8288471047"/>
    <n v="7055029.6372827664"/>
    <n v="127485.72795971281"/>
    <n v="6927543.9093230534"/>
    <m/>
    <m/>
    <m/>
  </r>
  <r>
    <x v="19"/>
    <x v="2"/>
    <x v="0"/>
    <x v="0"/>
    <n v="18731301.130000003"/>
    <n v="1.96"/>
    <n v="1.9509839999999998"/>
    <n v="9600950.6638701316"/>
    <n v="9130350.4661298711"/>
    <n v="1501468.8797409006"/>
    <n v="7628881.5863889707"/>
    <n v="127485.72795971281"/>
    <n v="7501395.8584292578"/>
    <m/>
    <m/>
    <m/>
  </r>
  <r>
    <x v="19"/>
    <x v="3"/>
    <x v="0"/>
    <x v="0"/>
    <n v="18731301.130000003"/>
    <n v="1.96"/>
    <n v="1.9509839999999998"/>
    <n v="9600950.6638701316"/>
    <n v="9130350.4661298711"/>
    <n v="1543623.1713423568"/>
    <n v="7586727.294787514"/>
    <n v="127485.72795971281"/>
    <n v="7459241.5668278011"/>
    <m/>
    <m/>
    <m/>
  </r>
  <r>
    <x v="19"/>
    <x v="4"/>
    <x v="0"/>
    <x v="0"/>
    <n v="18731301.130000003"/>
    <n v="1.96"/>
    <n v="1.9509839999999998"/>
    <n v="9600950.6638701316"/>
    <n v="9130350.4661298711"/>
    <n v="1273381.1639265846"/>
    <n v="7856969.3022032864"/>
    <n v="127485.72795971281"/>
    <n v="7729483.5742435735"/>
    <m/>
    <m/>
    <m/>
  </r>
  <r>
    <x v="19"/>
    <x v="5"/>
    <x v="0"/>
    <x v="0"/>
    <n v="18731301.130000003"/>
    <n v="1.96"/>
    <n v="1.9509839999999998"/>
    <n v="9600950.6638701316"/>
    <n v="9130350.4661298711"/>
    <n v="1430263.4855396592"/>
    <n v="7700086.9805902122"/>
    <n v="127485.72795971281"/>
    <n v="7572601.2526304992"/>
    <m/>
    <m/>
    <m/>
  </r>
  <r>
    <x v="19"/>
    <x v="6"/>
    <x v="0"/>
    <x v="0"/>
    <n v="18731301.130000003"/>
    <n v="1.96"/>
    <n v="1.9509839999999998"/>
    <n v="9600950.6638701316"/>
    <n v="9130350.4661298711"/>
    <n v="2483677.8526210957"/>
    <n v="6646672.6135087758"/>
    <n v="127485.72795971281"/>
    <n v="6519186.8855490629"/>
    <m/>
    <m/>
    <m/>
  </r>
  <r>
    <x v="19"/>
    <x v="7"/>
    <x v="0"/>
    <x v="0"/>
    <n v="18731301.130000003"/>
    <n v="1.96"/>
    <n v="1.9509839999999998"/>
    <n v="9600950.6638701316"/>
    <n v="9130350.4661298711"/>
    <n v="2494013.9939458519"/>
    <n v="6636336.4721840192"/>
    <n v="127485.72795971281"/>
    <n v="6508850.7442243062"/>
    <m/>
    <m/>
    <m/>
  </r>
  <r>
    <x v="19"/>
    <x v="8"/>
    <x v="0"/>
    <x v="0"/>
    <n v="18731301.130000003"/>
    <n v="1.96"/>
    <n v="1.9509839999999998"/>
    <n v="9600950.6638701316"/>
    <n v="9130350.4661298711"/>
    <n v="2752795.9592888621"/>
    <n v="6377554.5068410095"/>
    <n v="127485.72795971281"/>
    <n v="6250068.7788812965"/>
    <m/>
    <m/>
    <m/>
  </r>
  <r>
    <x v="19"/>
    <x v="9"/>
    <x v="0"/>
    <x v="0"/>
    <n v="18731301.130000003"/>
    <n v="1.96"/>
    <n v="1.9509839999999998"/>
    <n v="9600950.6638701316"/>
    <n v="9130350.4661298711"/>
    <n v="2987453.2747686077"/>
    <n v="6142897.1913612634"/>
    <n v="127485.72795971281"/>
    <n v="6015411.4634015504"/>
    <m/>
    <m/>
    <m/>
  </r>
  <r>
    <x v="19"/>
    <x v="10"/>
    <x v="0"/>
    <x v="0"/>
    <n v="18731301.130000003"/>
    <n v="1.96"/>
    <n v="1.9509839999999998"/>
    <n v="9600950.6638701316"/>
    <n v="9130350.4661298711"/>
    <n v="3920424.427315508"/>
    <n v="5209926.0388143631"/>
    <n v="127485.72795971281"/>
    <n v="5082440.3108546501"/>
    <m/>
    <m/>
    <m/>
  </r>
  <r>
    <x v="19"/>
    <x v="11"/>
    <x v="0"/>
    <x v="0"/>
    <n v="18731301.130000003"/>
    <n v="1.96"/>
    <n v="1.9509839999999998"/>
    <n v="9600950.6638701316"/>
    <n v="9130350.4661298711"/>
    <n v="3381560.2580256839"/>
    <n v="5748790.2081041876"/>
    <n v="127485.72795971281"/>
    <n v="5621304.4801444747"/>
    <m/>
    <m/>
    <m/>
  </r>
  <r>
    <x v="19"/>
    <x v="12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3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4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5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6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7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8"/>
    <x v="0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20"/>
    <x v="0"/>
    <x v="0"/>
    <x v="0"/>
    <n v="28582181.75662316"/>
    <n v="2.16"/>
    <n v="2.150064"/>
    <n v="13293642.308611818"/>
    <n v="15288539.448011342"/>
    <n v="2916868.99130625"/>
    <n v="12371670.456705093"/>
    <n v="194531.0804962712"/>
    <n v="12177139.376208821"/>
    <m/>
    <m/>
    <m/>
  </r>
  <r>
    <x v="20"/>
    <x v="1"/>
    <x v="0"/>
    <x v="0"/>
    <n v="28582181.75662316"/>
    <n v="2.16"/>
    <n v="2.150064"/>
    <n v="13293642.308611818"/>
    <n v="15288539.448011342"/>
    <n v="2873525.1060215631"/>
    <n v="12415014.34198978"/>
    <n v="194531.0804962712"/>
    <n v="12220483.261493508"/>
    <m/>
    <m/>
    <m/>
  </r>
  <r>
    <x v="20"/>
    <x v="2"/>
    <x v="0"/>
    <x v="0"/>
    <n v="25155129.655423157"/>
    <n v="2.16"/>
    <n v="2.150064"/>
    <n v="11699712.034350213"/>
    <n v="13455417.621072944"/>
    <n v="1829688.9689906822"/>
    <n v="11625728.652082263"/>
    <n v="171206.47379409143"/>
    <n v="11454522.178288171"/>
    <m/>
    <m/>
    <m/>
  </r>
  <r>
    <x v="20"/>
    <x v="3"/>
    <x v="0"/>
    <x v="0"/>
    <n v="25155129.655423157"/>
    <n v="2.16"/>
    <n v="2.150064"/>
    <n v="11699712.034350213"/>
    <n v="13455417.621072944"/>
    <n v="1881058.160440132"/>
    <n v="11574359.460632812"/>
    <n v="171206.47379409143"/>
    <n v="11403152.986838721"/>
    <m/>
    <m/>
    <m/>
  </r>
  <r>
    <x v="20"/>
    <x v="4"/>
    <x v="0"/>
    <x v="0"/>
    <n v="19133530.631668162"/>
    <n v="2.16"/>
    <n v="2.150064"/>
    <n v="8899051.6708656866"/>
    <n v="10234478.960802475"/>
    <n v="1180287.7830768789"/>
    <n v="9054191.1777255964"/>
    <n v="130223.31252317435"/>
    <n v="8923967.8652024213"/>
    <m/>
    <m/>
    <m/>
  </r>
  <r>
    <x v="20"/>
    <x v="5"/>
    <x v="0"/>
    <x v="0"/>
    <n v="15168446"/>
    <n v="2.16"/>
    <n v="2.150064"/>
    <n v="7054881.1570260236"/>
    <n v="8113564.8429739764"/>
    <n v="1050972.8949746215"/>
    <n v="7062591.9479993545"/>
    <n v="103236.84227309166"/>
    <n v="6959355.1057262626"/>
    <m/>
    <m/>
    <m/>
  </r>
  <r>
    <x v="21"/>
    <x v="0"/>
    <x v="0"/>
    <x v="0"/>
    <n v="103091506.81246251"/>
    <n v="1.82"/>
    <n v="1.811628"/>
    <n v="56905450.132401638"/>
    <n v="46186056.680060871"/>
    <n v="12486099.676384287"/>
    <n v="33699957.003676586"/>
    <n v="701643.50576806266"/>
    <n v="32998313.497908521"/>
    <m/>
    <m/>
    <m/>
  </r>
  <r>
    <x v="21"/>
    <x v="1"/>
    <x v="0"/>
    <x v="0"/>
    <n v="103091506.81246251"/>
    <n v="1.82"/>
    <n v="1.811628"/>
    <n v="56905450.132401638"/>
    <n v="46186056.680060871"/>
    <n v="12300559.608030375"/>
    <n v="33885497.0720305"/>
    <n v="701643.50576806266"/>
    <n v="33183853.566262435"/>
    <m/>
    <m/>
    <m/>
  </r>
  <r>
    <x v="21"/>
    <x v="2"/>
    <x v="0"/>
    <x v="0"/>
    <n v="93763648.062462509"/>
    <n v="1.82"/>
    <n v="1.811628"/>
    <n v="51756568.159943715"/>
    <n v="42007079.902518794"/>
    <n v="8094081.4232888781"/>
    <n v="33912998.479229912"/>
    <n v="638157.85387468955"/>
    <n v="33274840.625355221"/>
    <m/>
    <m/>
    <m/>
  </r>
  <r>
    <x v="21"/>
    <x v="3"/>
    <x v="0"/>
    <x v="0"/>
    <n v="93763648.062462509"/>
    <n v="1.82"/>
    <n v="1.811628"/>
    <n v="51756568.159943715"/>
    <n v="42007079.902518794"/>
    <n v="8321325.7392830448"/>
    <n v="33685754.163235746"/>
    <n v="638157.85387468955"/>
    <n v="33047596.309361055"/>
    <m/>
    <m/>
    <m/>
  </r>
  <r>
    <x v="21"/>
    <x v="4"/>
    <x v="0"/>
    <x v="0"/>
    <n v="93763648.062462509"/>
    <n v="1.82"/>
    <n v="1.811628"/>
    <n v="51756568.159943715"/>
    <n v="42007079.902518794"/>
    <n v="6864511.7876054347"/>
    <n v="35142568.114913359"/>
    <n v="638157.85387468955"/>
    <n v="34504410.261038668"/>
    <m/>
    <m/>
    <m/>
  </r>
  <r>
    <x v="21"/>
    <x v="5"/>
    <x v="0"/>
    <x v="0"/>
    <n v="93763648.062462509"/>
    <n v="1.82"/>
    <n v="1.811628"/>
    <n v="51756568.159943715"/>
    <n v="42007079.902518794"/>
    <n v="7710229.1395561071"/>
    <n v="34296850.762962684"/>
    <n v="638157.85387468955"/>
    <n v="33658692.909087993"/>
    <m/>
    <m/>
    <m/>
  </r>
  <r>
    <x v="21"/>
    <x v="6"/>
    <x v="0"/>
    <x v="0"/>
    <n v="93763648.062462509"/>
    <n v="1.82"/>
    <n v="1.811628"/>
    <n v="51756568.159943715"/>
    <n v="42007079.902518794"/>
    <n v="13388949.341263399"/>
    <n v="28618130.561255395"/>
    <n v="638157.85387468955"/>
    <n v="27979972.707380705"/>
    <m/>
    <m/>
    <m/>
  </r>
  <r>
    <x v="21"/>
    <x v="7"/>
    <x v="0"/>
    <x v="0"/>
    <n v="88864260.739212513"/>
    <n v="1.82"/>
    <n v="1.811628"/>
    <n v="49052156.811007842"/>
    <n v="39812103.928204671"/>
    <n v="12742151.251776779"/>
    <n v="27069952.676427893"/>
    <n v="604812.49494173459"/>
    <n v="26465140.18148616"/>
    <m/>
    <m/>
    <m/>
  </r>
  <r>
    <x v="21"/>
    <x v="8"/>
    <x v="0"/>
    <x v="0"/>
    <n v="70971349.444212496"/>
    <n v="1.82"/>
    <n v="1.811628"/>
    <n v="39175454.035934806"/>
    <n v="31795895.40827769"/>
    <n v="11232432.635994496"/>
    <n v="20563462.772283196"/>
    <n v="483032.87024133105"/>
    <n v="20080429.902041864"/>
    <m/>
    <m/>
    <m/>
  </r>
  <r>
    <x v="21"/>
    <x v="9"/>
    <x v="0"/>
    <x v="0"/>
    <n v="70971349.444212496"/>
    <n v="1.82"/>
    <n v="1.811628"/>
    <n v="39175454.035934806"/>
    <n v="31795895.40827769"/>
    <n v="12189921.867906351"/>
    <n v="19605973.54037134"/>
    <n v="483032.87024133105"/>
    <n v="19122940.670130007"/>
    <m/>
    <m/>
    <m/>
  </r>
  <r>
    <x v="21"/>
    <x v="10"/>
    <x v="0"/>
    <x v="0"/>
    <n v="60371192.323249996"/>
    <n v="1.82"/>
    <n v="1.811628"/>
    <n v="33324276.464732271"/>
    <n v="27046915.858517725"/>
    <n v="13607538.674955415"/>
    <n v="13439377.18356231"/>
    <n v="410887.92218489898"/>
    <n v="13028489.261377411"/>
    <m/>
    <m/>
    <m/>
  </r>
  <r>
    <x v="21"/>
    <x v="11"/>
    <x v="0"/>
    <x v="0"/>
    <n v="60371192.323249996"/>
    <n v="1.82"/>
    <n v="1.811628"/>
    <n v="33324276.464732271"/>
    <n v="27046915.858517725"/>
    <n v="11737176.126179038"/>
    <n v="15309739.732338687"/>
    <n v="410887.92218489898"/>
    <n v="14898851.810153788"/>
    <m/>
    <m/>
    <m/>
  </r>
  <r>
    <x v="21"/>
    <x v="12"/>
    <x v="0"/>
    <x v="0"/>
    <n v="48562280"/>
    <n v="1.82"/>
    <n v="1.811628"/>
    <n v="26805878.469531272"/>
    <n v="21756401.530468728"/>
    <s v=""/>
    <s v=""/>
    <n v="330516.15444203804"/>
    <s v=""/>
    <m/>
    <m/>
    <m/>
  </r>
  <r>
    <x v="21"/>
    <x v="13"/>
    <x v="0"/>
    <x v="0"/>
    <n v="48562280"/>
    <n v="1.82"/>
    <n v="1.811628"/>
    <n v="26805878.469531272"/>
    <n v="21756401.530468728"/>
    <s v=""/>
    <s v=""/>
    <n v="330516.15444203804"/>
    <s v=""/>
    <m/>
    <m/>
    <m/>
  </r>
  <r>
    <x v="21"/>
    <x v="14"/>
    <x v="0"/>
    <x v="0"/>
    <n v="48562280"/>
    <n v="1.82"/>
    <n v="1.811628"/>
    <n v="26805878.469531272"/>
    <n v="21756401.530468728"/>
    <s v=""/>
    <s v=""/>
    <n v="330516.15444203804"/>
    <s v=""/>
    <m/>
    <m/>
    <m/>
  </r>
  <r>
    <x v="22"/>
    <x v="0"/>
    <x v="0"/>
    <x v="0"/>
    <n v="28159952.859999999"/>
    <n v="2.42"/>
    <n v="2.408868"/>
    <n v="11690118.703058863"/>
    <n v="16469834.156941136"/>
    <n v="2565026.4959778627"/>
    <n v="13904807.660963275"/>
    <n v="191657.37952493725"/>
    <n v="13713150.281438338"/>
    <m/>
    <m/>
    <m/>
  </r>
  <r>
    <x v="23"/>
    <x v="0"/>
    <x v="0"/>
    <x v="0"/>
    <n v="141764652.89297777"/>
    <n v="1.82"/>
    <n v="1.811628"/>
    <n v="78252628.515886143"/>
    <n v="63512024.377091631"/>
    <n v="17170062.222776227"/>
    <n v="46341962.154315405"/>
    <n v="964853.9547566002"/>
    <n v="45377108.199558802"/>
    <m/>
    <m/>
    <m/>
  </r>
  <r>
    <x v="23"/>
    <x v="1"/>
    <x v="0"/>
    <x v="0"/>
    <n v="135543402.89297777"/>
    <n v="1.82"/>
    <n v="1.811628"/>
    <n v="74818562.581820205"/>
    <n v="60724840.311157569"/>
    <n v="16172619.435986342"/>
    <n v="44552220.875171229"/>
    <n v="922511.96369229001"/>
    <n v="43629708.911478937"/>
    <m/>
    <m/>
    <m/>
  </r>
  <r>
    <x v="23"/>
    <x v="2"/>
    <x v="0"/>
    <x v="0"/>
    <n v="129322152.89297776"/>
    <n v="1.82"/>
    <n v="1.811628"/>
    <n v="71384496.647754267"/>
    <n v="57937656.245223492"/>
    <n v="11163644.514486745"/>
    <n v="46774011.730736747"/>
    <n v="880169.97262797982"/>
    <n v="45893841.758108765"/>
    <m/>
    <m/>
    <m/>
  </r>
  <r>
    <x v="23"/>
    <x v="3"/>
    <x v="0"/>
    <x v="0"/>
    <n v="125198487.89297776"/>
    <n v="1.82"/>
    <n v="1.811628"/>
    <n v="69108276.032926053"/>
    <n v="56090211.860051706"/>
    <n v="11111101.384719215"/>
    <n v="44979110.475332491"/>
    <n v="852104.20022175775"/>
    <n v="44127006.275110736"/>
    <m/>
    <m/>
    <m/>
  </r>
  <r>
    <x v="23"/>
    <x v="4"/>
    <x v="0"/>
    <x v="0"/>
    <n v="125198487.89297776"/>
    <n v="1.82"/>
    <n v="1.811628"/>
    <n v="69108276.032926053"/>
    <n v="56090211.860051706"/>
    <n v="9165881.5936768819"/>
    <n v="46924330.266374826"/>
    <n v="852104.20022175775"/>
    <n v="46072226.066153072"/>
    <m/>
    <m/>
    <m/>
  </r>
  <r>
    <x v="23"/>
    <x v="5"/>
    <x v="0"/>
    <x v="0"/>
    <n v="125198487.89297776"/>
    <n v="1.82"/>
    <n v="1.811628"/>
    <n v="69108276.032926053"/>
    <n v="56090211.860051706"/>
    <n v="10295130.890574351"/>
    <n v="45795080.969477355"/>
    <n v="852104.20022175775"/>
    <n v="44942976.769255601"/>
    <m/>
    <m/>
    <m/>
  </r>
  <r>
    <x v="24"/>
    <x v="0"/>
    <x v="0"/>
    <x v="0"/>
    <n v="121885113.19781627"/>
    <n v="1.41"/>
    <n v="1.4035139999999999"/>
    <n v="86842819.663940847"/>
    <n v="35042293.533875421"/>
    <n v="19054907.74573138"/>
    <n v="15987385.788144041"/>
    <n v="829553.28493379487"/>
    <n v="15157832.503210247"/>
    <m/>
    <m/>
    <m/>
  </r>
  <r>
    <x v="24"/>
    <x v="1"/>
    <x v="0"/>
    <x v="0"/>
    <n v="106137074.99812877"/>
    <n v="1.41"/>
    <n v="1.4035139999999999"/>
    <n v="75622384.242785454"/>
    <n v="30514690.755343318"/>
    <n v="16346371.7959435"/>
    <n v="14168318.959399818"/>
    <n v="722371.72291143867"/>
    <n v="13445947.23648838"/>
    <m/>
    <m/>
    <m/>
  </r>
  <r>
    <x v="24"/>
    <x v="2"/>
    <x v="0"/>
    <x v="0"/>
    <n v="106137074.99812877"/>
    <n v="1.41"/>
    <n v="1.4035139999999999"/>
    <n v="75622384.242785454"/>
    <n v="30514690.755343318"/>
    <n v="11826397.252475962"/>
    <n v="18688293.502867356"/>
    <n v="722371.72291143867"/>
    <n v="17965921.779955916"/>
    <m/>
    <m/>
    <m/>
  </r>
  <r>
    <x v="24"/>
    <x v="3"/>
    <x v="0"/>
    <x v="0"/>
    <n v="99367677.590628773"/>
    <n v="1.41"/>
    <n v="1.4035139999999999"/>
    <n v="70799206.556278586"/>
    <n v="28568471.034350187"/>
    <n v="11382966.081076784"/>
    <n v="17185504.953273401"/>
    <n v="676299.02618021437"/>
    <n v="16509205.927093185"/>
    <m/>
    <m/>
    <m/>
  </r>
  <r>
    <x v="24"/>
    <x v="4"/>
    <x v="0"/>
    <x v="0"/>
    <n v="99367677.590628773"/>
    <n v="1.41"/>
    <n v="1.4035139999999999"/>
    <n v="70799206.556278586"/>
    <n v="28568471.034350187"/>
    <n v="9390150.9554650281"/>
    <n v="19178320.07888516"/>
    <n v="676299.02618021437"/>
    <n v="18502021.052704945"/>
    <m/>
    <m/>
    <m/>
  </r>
  <r>
    <x v="24"/>
    <x v="5"/>
    <x v="0"/>
    <x v="0"/>
    <n v="38237656.60828501"/>
    <n v="1.41"/>
    <n v="1.4035139999999999"/>
    <n v="27244228.848650608"/>
    <n v="10993427.759634402"/>
    <n v="4058600.7655000109"/>
    <n v="6934826.9941343907"/>
    <n v="260246.49619098494"/>
    <n v="6674580.497943406"/>
    <m/>
    <m/>
    <m/>
  </r>
  <r>
    <x v="24"/>
    <x v="6"/>
    <x v="0"/>
    <x v="0"/>
    <n v="38237656.60828501"/>
    <n v="1.41"/>
    <n v="1.4035139999999999"/>
    <n v="27244228.848650608"/>
    <n v="10993427.759634402"/>
    <n v="7047832.0504001239"/>
    <n v="3945595.7092342777"/>
    <n v="260246.49619098494"/>
    <n v="3685349.213043293"/>
    <m/>
    <m/>
    <m/>
  </r>
  <r>
    <x v="25"/>
    <x v="0"/>
    <x v="0"/>
    <x v="0"/>
    <n v="180800040.98000002"/>
    <n v="0.95"/>
    <n v="0.94562999999999986"/>
    <n v="191195331.13374159"/>
    <n v="-10395290.153741568"/>
    <n v="41951763.084919199"/>
    <n v="-52347053.238660768"/>
    <n v="1230529.832365212"/>
    <n v="-53577583.071025982"/>
    <m/>
    <m/>
    <m/>
  </r>
  <r>
    <x v="25"/>
    <x v="1"/>
    <x v="0"/>
    <x v="0"/>
    <n v="159566345.48000002"/>
    <n v="0.95"/>
    <n v="0.94562999999999986"/>
    <n v="168740781.78568789"/>
    <n v="-9174436.3056878746"/>
    <n v="36474644.165562302"/>
    <n v="-45649080.471250176"/>
    <n v="1086012.7425322551"/>
    <n v="-46735093.21378243"/>
    <m/>
    <m/>
    <m/>
  </r>
  <r>
    <x v="25"/>
    <x v="2"/>
    <x v="0"/>
    <x v="0"/>
    <n v="147730918.13"/>
    <n v="0.95"/>
    <n v="0.94562999999999986"/>
    <n v="156224863.98485667"/>
    <n v="-8493945.8548566699"/>
    <n v="24431619.297631484"/>
    <n v="-32925565.152488153"/>
    <n v="1005460.5128202208"/>
    <n v="-33931025.665308371"/>
    <m/>
    <m/>
    <m/>
  </r>
  <r>
    <x v="25"/>
    <x v="3"/>
    <x v="0"/>
    <x v="0"/>
    <n v="207125397.61500004"/>
    <n v="0.95"/>
    <n v="0.94562999999999986"/>
    <n v="219034292.07512459"/>
    <n v="-11908894.460124552"/>
    <n v="35215930.213877551"/>
    <n v="-47124824.674002104"/>
    <n v="1409700.9017490095"/>
    <n v="-48534525.575751111"/>
    <m/>
    <m/>
    <m/>
  </r>
  <r>
    <x v="25"/>
    <x v="4"/>
    <x v="0"/>
    <x v="0"/>
    <n v="142765645.45500004"/>
    <n v="0.95"/>
    <n v="0.94562999999999986"/>
    <n v="150974107.69011143"/>
    <n v="-8208462.2351113856"/>
    <n v="20023807.194080181"/>
    <n v="-28232269.429191567"/>
    <n v="971666.73645104875"/>
    <n v="-29203936.165642615"/>
    <m/>
    <m/>
    <m/>
  </r>
  <r>
    <x v="25"/>
    <x v="5"/>
    <x v="0"/>
    <x v="0"/>
    <n v="142765645.45500004"/>
    <n v="0.95"/>
    <n v="0.94562999999999986"/>
    <n v="150974107.69011143"/>
    <n v="-8208462.2351113856"/>
    <n v="22490767.951103751"/>
    <n v="-30699230.186215136"/>
    <n v="971666.73645104875"/>
    <n v="-31670896.922666185"/>
    <m/>
    <m/>
    <m/>
  </r>
  <r>
    <x v="25"/>
    <x v="6"/>
    <x v="0"/>
    <x v="0"/>
    <n v="138859487.68500003"/>
    <n v="0.95"/>
    <n v="0.94562999999999986"/>
    <n v="146843361.23536694"/>
    <n v="-7983873.5503669083"/>
    <n v="37987030.33410915"/>
    <n v="-45970903.884476058"/>
    <n v="945081.32397073915"/>
    <n v="-46915985.208446801"/>
    <m/>
    <m/>
    <m/>
  </r>
  <r>
    <x v="25"/>
    <x v="7"/>
    <x v="0"/>
    <x v="0"/>
    <n v="138859487.68500003"/>
    <n v="0.95"/>
    <n v="0.94562999999999986"/>
    <n v="146843361.23536694"/>
    <n v="-7983873.5503669083"/>
    <n v="38145118.19305864"/>
    <n v="-46128991.743425548"/>
    <n v="945081.32397073915"/>
    <n v="-47074073.067396291"/>
    <m/>
    <m/>
    <m/>
  </r>
  <r>
    <x v="25"/>
    <x v="8"/>
    <x v="0"/>
    <x v="0"/>
    <n v="125986492.18499999"/>
    <n v="0.95"/>
    <n v="0.94562999999999986"/>
    <n v="133230219.20307097"/>
    <n v="-7243727.0180709809"/>
    <n v="38199926.436195679"/>
    <n v="-45443653.45426666"/>
    <n v="857467.37815086253"/>
    <n v="-46301120.832417525"/>
    <m/>
    <m/>
    <m/>
  </r>
  <r>
    <x v="25"/>
    <x v="9"/>
    <x v="0"/>
    <x v="0"/>
    <n v="125986492.18499999"/>
    <n v="0.95"/>
    <n v="0.94562999999999986"/>
    <n v="133230219.20307097"/>
    <n v="-7243727.0180709809"/>
    <n v="41456212.888809159"/>
    <n v="-48699939.90688014"/>
    <n v="857467.37815086253"/>
    <n v="-49557407.285031006"/>
    <m/>
    <m/>
    <m/>
  </r>
  <r>
    <x v="25"/>
    <x v="10"/>
    <x v="0"/>
    <x v="0"/>
    <n v="18409623"/>
    <n v="0.95"/>
    <n v="0.94562999999999986"/>
    <n v="19468103.803813335"/>
    <n v="-1058480.8038133346"/>
    <n v="7949549.2038304005"/>
    <n v="-9008030.007643735"/>
    <n v="125296.37814961931"/>
    <n v="-9133326.3857933544"/>
    <m/>
    <m/>
    <m/>
  </r>
  <r>
    <x v="25"/>
    <x v="11"/>
    <x v="0"/>
    <x v="0"/>
    <n v="18409623"/>
    <n v="0.95"/>
    <n v="0.94562999999999986"/>
    <n v="19468103.803813335"/>
    <n v="-1058480.8038133346"/>
    <n v="6856879.9514648048"/>
    <n v="-7915360.7552781394"/>
    <n v="125296.37814961931"/>
    <n v="-8040657.1334277587"/>
    <m/>
    <m/>
    <m/>
  </r>
  <r>
    <x v="25"/>
    <x v="12"/>
    <x v="0"/>
    <x v="0"/>
    <n v="18409623"/>
    <n v="0.95"/>
    <n v="0.94562999999999986"/>
    <n v="19468103.803813335"/>
    <n v="-1058480.8038133346"/>
    <s v=""/>
    <s v=""/>
    <n v="125296.37814961931"/>
    <s v=""/>
    <m/>
    <m/>
    <m/>
  </r>
  <r>
    <x v="25"/>
    <x v="13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4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5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6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7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8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9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0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1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2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3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4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5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6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7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8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9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30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31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32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33"/>
    <x v="0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6"/>
    <x v="0"/>
    <x v="0"/>
    <x v="0"/>
    <n v="56127548.580235153"/>
    <n v="1.73"/>
    <n v="1.7220419999999999"/>
    <n v="32593600.260757379"/>
    <n v="23533948.319477774"/>
    <n v="7151633.8192765992"/>
    <n v="16382314.500201175"/>
    <n v="382005.57129932928"/>
    <n v="16000308.928901846"/>
    <m/>
    <m/>
    <m/>
  </r>
  <r>
    <x v="26"/>
    <x v="1"/>
    <x v="0"/>
    <x v="0"/>
    <n v="60393607.013095886"/>
    <n v="1.73"/>
    <n v="1.7220419999999999"/>
    <n v="35070925.68769861"/>
    <n v="25322681.325397275"/>
    <n v="7580855.804261677"/>
    <n v="17741825.521135598"/>
    <n v="411040.47715329984"/>
    <n v="17330785.043982297"/>
    <m/>
    <m/>
    <m/>
  </r>
  <r>
    <x v="26"/>
    <x v="2"/>
    <x v="0"/>
    <x v="0"/>
    <n v="60987214.319031961"/>
    <n v="1.73"/>
    <n v="1.7220419999999999"/>
    <n v="35415636.969964705"/>
    <n v="25571577.349067256"/>
    <n v="5538563.6931466488"/>
    <n v="20033013.655920606"/>
    <n v="415080.58408416656"/>
    <n v="19617933.071836438"/>
    <m/>
    <m/>
    <m/>
  </r>
  <r>
    <x v="26"/>
    <x v="3"/>
    <x v="0"/>
    <x v="0"/>
    <n v="64608218.885242015"/>
    <n v="1.73"/>
    <n v="1.7220419999999999"/>
    <n v="37518375.7917879"/>
    <n v="27089843.093454115"/>
    <n v="6032135.3843921097"/>
    <n v="21057707.709062006"/>
    <n v="439725.23636245349"/>
    <n v="20617982.472699553"/>
    <m/>
    <m/>
    <m/>
  </r>
  <r>
    <x v="26"/>
    <x v="4"/>
    <x v="0"/>
    <x v="0"/>
    <n v="67101369.570173509"/>
    <n v="1.73"/>
    <n v="1.7220419999999999"/>
    <n v="38966163.177305497"/>
    <n v="28135206.392868012"/>
    <n v="5168110.9462621929"/>
    <n v="22967095.44660582"/>
    <n v="456693.68547209352"/>
    <n v="22510401.761133727"/>
    <m/>
    <m/>
    <m/>
  </r>
  <r>
    <x v="26"/>
    <x v="5"/>
    <x v="0"/>
    <x v="0"/>
    <n v="68644748.565607309"/>
    <n v="1.73"/>
    <n v="1.7220419999999999"/>
    <n v="39862412.511197358"/>
    <n v="28782336.054409951"/>
    <n v="5938344.5511116376"/>
    <n v="22843991.503298312"/>
    <n v="467197.96349234699"/>
    <n v="22376793.539805964"/>
    <m/>
    <m/>
    <m/>
  </r>
  <r>
    <x v="26"/>
    <x v="6"/>
    <x v="0"/>
    <x v="0"/>
    <n v="85079795.189299077"/>
    <n v="1.73"/>
    <n v="1.7220419999999999"/>
    <n v="49406341.534816854"/>
    <n v="35673453.654482223"/>
    <n v="12780967.275546269"/>
    <n v="22892486.378935955"/>
    <n v="579055.32291077229"/>
    <n v="22313431.056025185"/>
    <m/>
    <m/>
    <m/>
  </r>
  <r>
    <x v="26"/>
    <x v="7"/>
    <x v="0"/>
    <x v="0"/>
    <n v="89917694.732678071"/>
    <n v="1.73"/>
    <n v="1.7220419999999999"/>
    <n v="52215738.485285535"/>
    <n v="37701956.247392535"/>
    <n v="13563946.638803456"/>
    <n v="24138009.608589079"/>
    <n v="611982.19439733576"/>
    <n v="23526027.414191745"/>
    <m/>
    <m/>
    <m/>
  </r>
  <r>
    <x v="26"/>
    <x v="8"/>
    <x v="0"/>
    <x v="0"/>
    <n v="87216781.490668952"/>
    <n v="1.73"/>
    <n v="1.7220419999999999"/>
    <n v="50647302.15097481"/>
    <n v="36569479.339694142"/>
    <n v="14521654.531019621"/>
    <n v="22047824.808674522"/>
    <n v="593599.70786189241"/>
    <n v="21454225.100812629"/>
    <m/>
    <m/>
    <m/>
  </r>
  <r>
    <x v="26"/>
    <x v="9"/>
    <x v="0"/>
    <x v="0"/>
    <n v="88225913.910760283"/>
    <n v="1.73"/>
    <n v="1.7220419999999999"/>
    <n v="51233311.330827177"/>
    <n v="36992602.579933107"/>
    <n v="15941871.703236323"/>
    <n v="21050730.876696784"/>
    <n v="600467.88964436587"/>
    <n v="20450262.987052418"/>
    <m/>
    <m/>
    <m/>
  </r>
  <r>
    <x v="26"/>
    <x v="10"/>
    <x v="0"/>
    <x v="0"/>
    <n v="89977055.463271677"/>
    <n v="1.73"/>
    <n v="1.7220419999999999"/>
    <n v="52250209.613512151"/>
    <n v="37726845.849759527"/>
    <n v="21335699.481513288"/>
    <n v="16391146.368246239"/>
    <n v="612386.20509042253"/>
    <n v="15778760.163155816"/>
    <m/>
    <m/>
    <m/>
  </r>
  <r>
    <x v="26"/>
    <x v="11"/>
    <x v="0"/>
    <x v="0"/>
    <n v="84456507.518066227"/>
    <n v="1.73"/>
    <n v="1.7220419999999999"/>
    <n v="49044394.688437469"/>
    <n v="35412112.829628758"/>
    <n v="17273974.397290938"/>
    <n v="18138138.432337821"/>
    <n v="574813.21063336241"/>
    <n v="17563325.221704457"/>
    <m/>
    <m/>
    <m/>
  </r>
  <r>
    <x v="26"/>
    <x v="12"/>
    <x v="0"/>
    <x v="0"/>
    <n v="84812671.901627824"/>
    <n v="1.73"/>
    <n v="1.7220419999999999"/>
    <n v="49251221.457797095"/>
    <n v="35561450.443830729"/>
    <s v=""/>
    <s v=""/>
    <n v="577237.27479188202"/>
    <s v=""/>
    <m/>
    <m/>
    <m/>
  </r>
  <r>
    <x v="26"/>
    <x v="13"/>
    <x v="0"/>
    <x v="0"/>
    <n v="87038699.298888147"/>
    <n v="1.73"/>
    <n v="1.7220419999999999"/>
    <n v="50543888.766294986"/>
    <n v="36494810.532593161"/>
    <s v=""/>
    <s v=""/>
    <n v="592387.67578263255"/>
    <s v=""/>
    <m/>
    <m/>
    <m/>
  </r>
  <r>
    <x v="26"/>
    <x v="14"/>
    <x v="0"/>
    <x v="0"/>
    <n v="84219064.595691785"/>
    <n v="1.73"/>
    <n v="1.7220419999999999"/>
    <n v="48906510.175531022"/>
    <n v="35312554.420160763"/>
    <s v=""/>
    <s v=""/>
    <n v="573197.16786101565"/>
    <s v=""/>
    <m/>
    <m/>
    <m/>
  </r>
  <r>
    <x v="26"/>
    <x v="15"/>
    <x v="0"/>
    <x v="0"/>
    <n v="86415411.627655238"/>
    <n v="1.73"/>
    <n v="1.7220419999999999"/>
    <n v="50181941.919915572"/>
    <n v="36233469.707739666"/>
    <s v=""/>
    <s v=""/>
    <n v="588145.56350522232"/>
    <s v=""/>
    <m/>
    <m/>
    <m/>
  </r>
  <r>
    <x v="26"/>
    <x v="16"/>
    <x v="0"/>
    <x v="0"/>
    <n v="86919977.837700903"/>
    <n v="1.73"/>
    <n v="1.7220419999999999"/>
    <n v="50474946.509841755"/>
    <n v="36445031.327859148"/>
    <s v=""/>
    <s v=""/>
    <n v="591579.65439645899"/>
    <s v=""/>
    <m/>
    <m/>
    <m/>
  </r>
  <r>
    <x v="26"/>
    <x v="17"/>
    <x v="0"/>
    <x v="0"/>
    <n v="82467923.043180406"/>
    <n v="1.73"/>
    <n v="1.7220419999999999"/>
    <n v="47889611.892846063"/>
    <n v="34578311.150334343"/>
    <s v=""/>
    <s v=""/>
    <n v="561278.85241495911"/>
    <s v=""/>
    <m/>
    <m/>
    <m/>
  </r>
  <r>
    <x v="26"/>
    <x v="18"/>
    <x v="0"/>
    <x v="0"/>
    <n v="81013585.143636942"/>
    <n v="1.73"/>
    <n v="1.7220419999999999"/>
    <n v="47045069.251294076"/>
    <n v="33968515.892342865"/>
    <s v=""/>
    <s v=""/>
    <n v="551380.59043433517"/>
    <s v=""/>
    <m/>
    <m/>
    <m/>
  </r>
  <r>
    <x v="26"/>
    <x v="19"/>
    <x v="0"/>
    <x v="0"/>
    <n v="80894863.682449803"/>
    <n v="1.73"/>
    <n v="1.7220419999999999"/>
    <n v="46976126.994840898"/>
    <n v="33918736.687608905"/>
    <s v=""/>
    <s v=""/>
    <n v="550572.56904816232"/>
    <s v=""/>
    <m/>
    <m/>
    <m/>
  </r>
  <r>
    <x v="26"/>
    <x v="20"/>
    <x v="0"/>
    <x v="0"/>
    <n v="78609475.554595888"/>
    <n v="1.73"/>
    <n v="1.7220419999999999"/>
    <n v="45648988.558116406"/>
    <n v="32960486.996479481"/>
    <s v=""/>
    <s v=""/>
    <n v="535018.15736432525"/>
    <s v=""/>
    <m/>
    <m/>
    <m/>
  </r>
  <r>
    <x v="27"/>
    <x v="2"/>
    <x v="0"/>
    <x v="0"/>
    <n v="50337339"/>
    <n v="1"/>
    <n v="0.99539999999999995"/>
    <n v="50569960.819770947"/>
    <n v="-232621.8197709471"/>
    <n v="7908510.8421956766"/>
    <n v="-8141132.6619666237"/>
    <n v="342597.25266452116"/>
    <n v="-8483729.9146311451"/>
    <m/>
    <m/>
    <m/>
  </r>
  <r>
    <x v="27"/>
    <x v="3"/>
    <x v="0"/>
    <x v="0"/>
    <n v="50337339"/>
    <n v="1"/>
    <n v="0.99539999999999995"/>
    <n v="50569960.819770947"/>
    <n v="-232621.8197709471"/>
    <n v="8130545.1958032735"/>
    <n v="-8363167.0155742206"/>
    <n v="342597.25266452116"/>
    <n v="-8705764.2682387419"/>
    <m/>
    <m/>
    <m/>
  </r>
  <r>
    <x v="27"/>
    <x v="4"/>
    <x v="0"/>
    <x v="0"/>
    <n v="50337339"/>
    <n v="1"/>
    <n v="0.99539999999999995"/>
    <n v="50569960.819770947"/>
    <n v="-232621.8197709471"/>
    <n v="6707131.1813661829"/>
    <n v="-6939753.00113713"/>
    <n v="342597.25266452116"/>
    <n v="-7282350.2538016513"/>
    <m/>
    <m/>
    <m/>
  </r>
  <r>
    <x v="27"/>
    <x v="5"/>
    <x v="0"/>
    <x v="0"/>
    <n v="50337339"/>
    <n v="1"/>
    <n v="0.99539999999999995"/>
    <n v="50569960.819770947"/>
    <n v="-232621.8197709471"/>
    <n v="7533459.0248309979"/>
    <n v="-7766080.844601945"/>
    <n v="342597.25266452116"/>
    <n v="-8108678.0972664664"/>
    <m/>
    <m/>
    <m/>
  </r>
  <r>
    <x v="27"/>
    <x v="6"/>
    <x v="0"/>
    <x v="0"/>
    <n v="39863714"/>
    <n v="1"/>
    <n v="0.99539999999999995"/>
    <n v="40047934.498693995"/>
    <n v="-184220.49869399518"/>
    <n v="10360033.234201822"/>
    <n v="-10544253.732895818"/>
    <n v="271313.48555004486"/>
    <n v="-10815567.218445862"/>
    <m/>
    <m/>
    <m/>
  </r>
  <r>
    <x v="27"/>
    <x v="7"/>
    <x v="0"/>
    <x v="0"/>
    <n v="39863714"/>
    <n v="1"/>
    <n v="0.99539999999999995"/>
    <n v="40047934.498693995"/>
    <n v="-184220.49869399518"/>
    <n v="10403147.830374137"/>
    <n v="-10587368.329068132"/>
    <n v="271313.48555004486"/>
    <n v="-10858681.814618176"/>
    <m/>
    <m/>
    <m/>
  </r>
  <r>
    <x v="27"/>
    <x v="8"/>
    <x v="0"/>
    <x v="0"/>
    <n v="39863714"/>
    <n v="1"/>
    <n v="0.99539999999999995"/>
    <n v="40047934.498693995"/>
    <n v="-184220.49869399518"/>
    <n v="11482591.268876566"/>
    <n v="-11666811.767570561"/>
    <n v="271313.48555004486"/>
    <n v="-11938125.253120605"/>
    <m/>
    <m/>
    <m/>
  </r>
  <r>
    <x v="27"/>
    <x v="9"/>
    <x v="0"/>
    <x v="0"/>
    <n v="39863714"/>
    <n v="1"/>
    <n v="0.99539999999999995"/>
    <n v="40047934.498693995"/>
    <n v="-184220.49869399518"/>
    <n v="12461404.839426056"/>
    <n v="-12645625.338120051"/>
    <n v="271313.48555004486"/>
    <n v="-12916938.823670095"/>
    <m/>
    <m/>
    <m/>
  </r>
  <r>
    <x v="27"/>
    <x v="10"/>
    <x v="0"/>
    <x v="0"/>
    <n v="39863714"/>
    <n v="1"/>
    <n v="0.99539999999999995"/>
    <n v="40047934.498693995"/>
    <n v="-184220.49869399518"/>
    <n v="16353057.751150122"/>
    <n v="-16537278.249844117"/>
    <n v="271313.48555004486"/>
    <n v="-16808591.735394161"/>
    <m/>
    <m/>
    <m/>
  </r>
  <r>
    <x v="27"/>
    <x v="11"/>
    <x v="0"/>
    <x v="0"/>
    <n v="39863714"/>
    <n v="1"/>
    <n v="0.99539999999999995"/>
    <n v="40047934.498693995"/>
    <n v="-184220.49869399518"/>
    <n v="14105322.32255112"/>
    <n v="-14289542.821245115"/>
    <n v="271313.48555004486"/>
    <n v="-14560856.306795159"/>
    <m/>
    <m/>
    <m/>
  </r>
  <r>
    <x v="27"/>
    <x v="12"/>
    <x v="0"/>
    <x v="0"/>
    <n v="39863714"/>
    <n v="1"/>
    <n v="0.99539999999999995"/>
    <n v="40047934.498693995"/>
    <n v="-184220.49869399518"/>
    <s v=""/>
    <s v=""/>
    <n v="271313.48555004486"/>
    <s v=""/>
    <m/>
    <m/>
    <m/>
  </r>
  <r>
    <x v="27"/>
    <x v="13"/>
    <x v="0"/>
    <x v="0"/>
    <n v="35856914"/>
    <n v="1"/>
    <n v="0.99539999999999995"/>
    <n v="36022618.042997792"/>
    <n v="-165704.04299779236"/>
    <s v=""/>
    <s v=""/>
    <n v="244043.09940634738"/>
    <s v=""/>
    <m/>
    <m/>
    <m/>
  </r>
  <r>
    <x v="27"/>
    <x v="14"/>
    <x v="0"/>
    <x v="0"/>
    <n v="3170664"/>
    <n v="1"/>
    <n v="0.99539999999999995"/>
    <n v="3185316.4556962028"/>
    <n v="-14652.455696202815"/>
    <s v=""/>
    <s v=""/>
    <n v="21579.622544654205"/>
    <s v=""/>
    <m/>
    <m/>
    <m/>
  </r>
  <r>
    <x v="27"/>
    <x v="15"/>
    <x v="0"/>
    <x v="0"/>
    <n v="3170664"/>
    <n v="1"/>
    <n v="0.99539999999999995"/>
    <n v="3185316.4556962028"/>
    <n v="-14652.455696202815"/>
    <s v=""/>
    <s v=""/>
    <n v="21579.622544654205"/>
    <s v=""/>
    <m/>
    <m/>
    <m/>
  </r>
  <r>
    <x v="27"/>
    <x v="16"/>
    <x v="0"/>
    <x v="0"/>
    <n v="3170664"/>
    <n v="1"/>
    <n v="0.99539999999999995"/>
    <n v="3185316.4556962028"/>
    <n v="-14652.455696202815"/>
    <s v=""/>
    <s v=""/>
    <n v="21579.622544654205"/>
    <s v=""/>
    <m/>
    <m/>
    <m/>
  </r>
  <r>
    <x v="28"/>
    <x v="1"/>
    <x v="0"/>
    <x v="0"/>
    <n v="71835513.627000004"/>
    <n v="2.79"/>
    <n v="2.7771659999999998"/>
    <n v="25866481.739658345"/>
    <n v="45969031.887341663"/>
    <n v="5591243.0136025101"/>
    <n v="40377788.873739153"/>
    <n v="488914.3943893215"/>
    <n v="39888874.479349829"/>
    <m/>
    <m/>
    <m/>
  </r>
  <r>
    <x v="28"/>
    <x v="2"/>
    <x v="0"/>
    <x v="0"/>
    <n v="71835513.627000004"/>
    <n v="2.79"/>
    <n v="2.7771659999999998"/>
    <n v="25866481.739658345"/>
    <n v="45969031.887341663"/>
    <n v="4045194.9728932194"/>
    <n v="41923836.91444844"/>
    <n v="488914.3943893215"/>
    <n v="41434922.520059116"/>
    <m/>
    <m/>
    <m/>
  </r>
  <r>
    <x v="28"/>
    <x v="3"/>
    <x v="0"/>
    <x v="0"/>
    <n v="71835513.627000004"/>
    <n v="2.79"/>
    <n v="2.7771659999999998"/>
    <n v="25866481.739658345"/>
    <n v="45969031.887341663"/>
    <n v="4158765.311095308"/>
    <n v="41810266.576246358"/>
    <n v="488914.3943893215"/>
    <n v="41321352.181857035"/>
    <m/>
    <m/>
    <m/>
  </r>
  <r>
    <x v="28"/>
    <x v="4"/>
    <x v="0"/>
    <x v="0"/>
    <n v="71835513.627000004"/>
    <n v="2.79"/>
    <n v="2.7771659999999998"/>
    <n v="25866481.739658345"/>
    <n v="45969031.887341663"/>
    <n v="3430690.5407067961"/>
    <n v="42538341.346634865"/>
    <n v="488914.3943893215"/>
    <n v="42049426.952245541"/>
    <m/>
    <m/>
    <m/>
  </r>
  <r>
    <x v="28"/>
    <x v="5"/>
    <x v="0"/>
    <x v="0"/>
    <n v="71835513.627000004"/>
    <n v="2.79"/>
    <n v="2.7771659999999998"/>
    <n v="25866481.739658345"/>
    <n v="45969031.887341663"/>
    <n v="3853356.3630144414"/>
    <n v="42115675.524327219"/>
    <n v="488914.3943893215"/>
    <n v="41626761.129937895"/>
    <m/>
    <m/>
    <m/>
  </r>
  <r>
    <x v="28"/>
    <x v="6"/>
    <x v="0"/>
    <x v="0"/>
    <n v="71835513.627000004"/>
    <n v="2.79"/>
    <n v="2.7771659999999998"/>
    <n v="25866481.739658345"/>
    <n v="45969031.887341663"/>
    <n v="6691421.5134734111"/>
    <n v="39277610.373868249"/>
    <n v="488914.3943893215"/>
    <n v="38788695.979478925"/>
    <m/>
    <m/>
    <m/>
  </r>
  <r>
    <x v="28"/>
    <x v="7"/>
    <x v="0"/>
    <x v="0"/>
    <n v="71835513.627000004"/>
    <n v="2.79"/>
    <n v="2.7771659999999998"/>
    <n v="25866481.739658345"/>
    <n v="45969031.887341663"/>
    <n v="6719268.7152970219"/>
    <n v="39249763.172044642"/>
    <n v="488914.3943893215"/>
    <n v="38760848.777655318"/>
    <m/>
    <m/>
    <m/>
  </r>
  <r>
    <x v="28"/>
    <x v="8"/>
    <x v="0"/>
    <x v="0"/>
    <n v="71835513.627000004"/>
    <n v="2.79"/>
    <n v="2.7771659999999998"/>
    <n v="25866481.739658345"/>
    <n v="45969031.887341663"/>
    <n v="7416468.3172372347"/>
    <n v="38552563.570104428"/>
    <n v="488914.3943893215"/>
    <n v="38063649.175715104"/>
    <m/>
    <m/>
    <m/>
  </r>
  <r>
    <x v="28"/>
    <x v="9"/>
    <x v="0"/>
    <x v="0"/>
    <n v="71835513.627000004"/>
    <n v="2.79"/>
    <n v="2.7771659999999998"/>
    <n v="25866481.739658345"/>
    <n v="45969031.887341663"/>
    <n v="8048672.2914515305"/>
    <n v="37920359.595890135"/>
    <n v="488914.3943893215"/>
    <n v="37431445.201500811"/>
    <m/>
    <m/>
    <m/>
  </r>
  <r>
    <x v="28"/>
    <x v="10"/>
    <x v="0"/>
    <x v="0"/>
    <n v="71835513.627000004"/>
    <n v="2.79"/>
    <n v="2.7771659999999998"/>
    <n v="25866481.739658345"/>
    <n v="45969031.887341663"/>
    <n v="10562244.345497953"/>
    <n v="35406787.541843712"/>
    <n v="488914.3943893215"/>
    <n v="34917873.147454388"/>
    <m/>
    <m/>
    <m/>
  </r>
  <r>
    <x v="28"/>
    <x v="11"/>
    <x v="0"/>
    <x v="0"/>
    <n v="67834346.519999996"/>
    <n v="2.79"/>
    <n v="2.7771659999999998"/>
    <n v="24425744.273118712"/>
    <n v="43408602.246881284"/>
    <n v="8603015.3677908685"/>
    <n v="34805586.879090413"/>
    <n v="461682.34586347762"/>
    <n v="34343904.533226937"/>
    <m/>
    <m/>
    <m/>
  </r>
  <r>
    <x v="28"/>
    <x v="12"/>
    <x v="0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x v="13"/>
    <x v="0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x v="14"/>
    <x v="0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x v="15"/>
    <x v="0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x v="16"/>
    <x v="0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x v="17"/>
    <x v="0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x v="18"/>
    <x v="0"/>
    <x v="0"/>
    <n v="42670815.644999996"/>
    <n v="2.79"/>
    <n v="2.7771659999999998"/>
    <n v="15364877.592841048"/>
    <n v="27305938.052158948"/>
    <s v=""/>
    <s v=""/>
    <n v="290418.6931480678"/>
    <s v=""/>
    <m/>
    <m/>
    <m/>
  </r>
  <r>
    <x v="28"/>
    <x v="19"/>
    <x v="0"/>
    <x v="0"/>
    <n v="37747146.719999999"/>
    <n v="2.79"/>
    <n v="2.7771659999999998"/>
    <n v="13591966.313860966"/>
    <n v="24155180.406139031"/>
    <s v=""/>
    <s v=""/>
    <n v="256908.07299520919"/>
    <s v=""/>
    <m/>
    <m/>
    <m/>
  </r>
  <r>
    <x v="28"/>
    <x v="20"/>
    <x v="0"/>
    <x v="0"/>
    <n v="37747146.719999999"/>
    <n v="2.79"/>
    <n v="2.7771659999999998"/>
    <n v="13591966.313860966"/>
    <n v="24155180.406139031"/>
    <s v=""/>
    <s v=""/>
    <n v="256908.07299520919"/>
    <s v=""/>
    <m/>
    <m/>
    <m/>
  </r>
  <r>
    <x v="28"/>
    <x v="21"/>
    <x v="0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8"/>
    <x v="22"/>
    <x v="0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8"/>
    <x v="23"/>
    <x v="0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9"/>
    <x v="0"/>
    <x v="0"/>
    <x v="0"/>
    <n v="18830171.789000001"/>
    <n v="5.94"/>
    <n v="5.9126760000000003"/>
    <n v="3184712.2671697214"/>
    <n v="15645459.521830279"/>
    <n v="698784.29422778916"/>
    <n v="14946675.227602489"/>
    <n v="128158.64426429795"/>
    <n v="14818516.583338192"/>
    <m/>
    <m/>
    <m/>
  </r>
  <r>
    <x v="13"/>
    <x v="3"/>
    <x v="0"/>
    <x v="0"/>
    <n v="19561500"/>
    <n v="1.72"/>
    <n v="1.7120879999999998"/>
    <n v="11425522.519870475"/>
    <n v="8135977.4801295251"/>
    <n v="1836974.4751148054"/>
    <n v="6299003.0050147194"/>
    <n v="133136.08329588163"/>
    <n v="6165866.9217188377"/>
    <m/>
    <m/>
    <m/>
  </r>
  <r>
    <x v="30"/>
    <x v="0"/>
    <x v="0"/>
    <x v="0"/>
    <n v="37763484.710000001"/>
    <n v="1.87"/>
    <n v="1.8613980000000001"/>
    <n v="20287700.271516353"/>
    <n v="17475784.438483648"/>
    <n v="4451493.6127449432"/>
    <n v="13024290.825738706"/>
    <n v="257019.26978469506"/>
    <n v="12767271.555954011"/>
    <m/>
    <m/>
    <m/>
  </r>
  <r>
    <x v="30"/>
    <x v="1"/>
    <x v="0"/>
    <x v="0"/>
    <n v="37763484.710000001"/>
    <n v="1.87"/>
    <n v="1.8613980000000001"/>
    <n v="20287700.271516353"/>
    <n v="17475784.438483648"/>
    <n v="4385345.6201297762"/>
    <n v="13090438.818353873"/>
    <n v="257019.26978469506"/>
    <n v="12833419.548569178"/>
    <m/>
    <m/>
    <m/>
  </r>
  <r>
    <x v="30"/>
    <x v="2"/>
    <x v="0"/>
    <x v="0"/>
    <n v="37763484.710000001"/>
    <n v="1.87"/>
    <n v="1.8613980000000001"/>
    <n v="20287700.271516353"/>
    <n v="17475784.438483648"/>
    <n v="3172743.1653017043"/>
    <n v="14303041.273181943"/>
    <n v="257019.26978469506"/>
    <n v="14046022.003397249"/>
    <m/>
    <m/>
    <m/>
  </r>
  <r>
    <x v="30"/>
    <x v="3"/>
    <x v="0"/>
    <x v="0"/>
    <n v="37763484.710000001"/>
    <n v="1.87"/>
    <n v="1.8613980000000001"/>
    <n v="20287700.271516353"/>
    <n v="17475784.438483648"/>
    <n v="3261819.0977910506"/>
    <n v="14213965.340692598"/>
    <n v="257019.26978469506"/>
    <n v="13956946.070907904"/>
    <m/>
    <m/>
    <m/>
  </r>
  <r>
    <x v="30"/>
    <x v="4"/>
    <x v="0"/>
    <x v="0"/>
    <n v="37763484.710000001"/>
    <n v="1.87"/>
    <n v="1.8613980000000001"/>
    <n v="20287700.271516353"/>
    <n v="17475784.438483648"/>
    <n v="2690772.6421670346"/>
    <n v="14785011.796316613"/>
    <n v="257019.26978469506"/>
    <n v="14527992.526531918"/>
    <m/>
    <m/>
    <m/>
  </r>
  <r>
    <x v="30"/>
    <x v="5"/>
    <x v="0"/>
    <x v="0"/>
    <n v="37763484.710000001"/>
    <n v="1.87"/>
    <n v="1.8613980000000001"/>
    <n v="20287700.271516353"/>
    <n v="17475784.438483648"/>
    <n v="3022279.5554108443"/>
    <n v="14453504.883072805"/>
    <n v="257019.26978469506"/>
    <n v="14196485.61328811"/>
    <m/>
    <m/>
    <m/>
  </r>
  <r>
    <x v="30"/>
    <x v="6"/>
    <x v="0"/>
    <x v="0"/>
    <n v="37763484.710000001"/>
    <n v="1.87"/>
    <n v="1.8613980000000001"/>
    <n v="20287700.271516353"/>
    <n v="17475784.438483648"/>
    <n v="5248241.9303120105"/>
    <n v="12227542.508171637"/>
    <n v="257019.26978469506"/>
    <n v="11970523.238386942"/>
    <m/>
    <m/>
    <m/>
  </r>
  <r>
    <x v="30"/>
    <x v="7"/>
    <x v="0"/>
    <x v="0"/>
    <n v="37763484.710000001"/>
    <n v="1.87"/>
    <n v="1.8613980000000001"/>
    <n v="20287700.271516353"/>
    <n v="17475784.438483648"/>
    <n v="5270083.1567178294"/>
    <n v="12205701.281765819"/>
    <n v="257019.26978469506"/>
    <n v="11948682.011981124"/>
    <m/>
    <m/>
    <m/>
  </r>
  <r>
    <x v="30"/>
    <x v="8"/>
    <x v="0"/>
    <x v="0"/>
    <n v="37763484.710000001"/>
    <n v="1.87"/>
    <n v="1.8613980000000001"/>
    <n v="20287700.271516353"/>
    <n v="17475784.438483648"/>
    <n v="5816913.479293054"/>
    <n v="11658870.959190594"/>
    <n v="257019.26978469506"/>
    <n v="11401851.689405899"/>
    <m/>
    <m/>
    <m/>
  </r>
  <r>
    <x v="30"/>
    <x v="9"/>
    <x v="0"/>
    <x v="0"/>
    <n v="37763484.710000001"/>
    <n v="1.87"/>
    <n v="1.8613980000000001"/>
    <n v="20287700.271516353"/>
    <n v="17475784.438483648"/>
    <n v="6312766.1765563386"/>
    <n v="11163018.26192731"/>
    <n v="257019.26978469506"/>
    <n v="10905998.992142616"/>
    <m/>
    <m/>
    <m/>
  </r>
  <r>
    <x v="30"/>
    <x v="10"/>
    <x v="0"/>
    <x v="0"/>
    <n v="37763484.710000001"/>
    <n v="1.87"/>
    <n v="1.8613980000000001"/>
    <n v="20287700.271516353"/>
    <n v="17475784.438483648"/>
    <n v="8284220.8551092744"/>
    <n v="9191563.5833743736"/>
    <n v="257019.26978469506"/>
    <n v="8934544.3135896791"/>
    <m/>
    <m/>
    <m/>
  </r>
  <r>
    <x v="30"/>
    <x v="11"/>
    <x v="0"/>
    <x v="0"/>
    <n v="37763484.710000001"/>
    <n v="1.87"/>
    <n v="1.8613980000000001"/>
    <n v="20287700.271516353"/>
    <n v="17475784.438483648"/>
    <n v="7145550.8279054472"/>
    <n v="10330233.610578202"/>
    <n v="257019.26978469506"/>
    <n v="10073214.340793507"/>
    <m/>
    <m/>
    <m/>
  </r>
  <r>
    <x v="30"/>
    <x v="12"/>
    <x v="0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0"/>
    <x v="13"/>
    <x v="0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0"/>
    <x v="14"/>
    <x v="0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1"/>
    <x v="0"/>
    <x v="0"/>
    <x v="0"/>
    <n v="25318074"/>
    <n v="1.1100000000000001"/>
    <n v="1.104894"/>
    <n v="22914482.294229127"/>
    <n v="2403591.7057708725"/>
    <n v="5027857.7762374459"/>
    <n v="-2624266.0704665734"/>
    <n v="172315.47728728855"/>
    <n v="-2796581.5477538621"/>
    <m/>
    <m/>
    <m/>
  </r>
  <r>
    <x v="31"/>
    <x v="1"/>
    <x v="0"/>
    <x v="0"/>
    <n v="29324874"/>
    <n v="1.1100000000000001"/>
    <n v="1.104894"/>
    <n v="26540893.515577059"/>
    <n v="2783980.4844229408"/>
    <n v="5737022.4113709899"/>
    <n v="-2953041.9269480491"/>
    <n v="199585.86343098604"/>
    <n v="-3152627.7903790353"/>
    <m/>
    <m/>
    <m/>
  </r>
  <r>
    <x v="31"/>
    <x v="2"/>
    <x v="0"/>
    <x v="0"/>
    <n v="29324874"/>
    <n v="1.1100000000000001"/>
    <n v="1.104894"/>
    <n v="26540893.515577059"/>
    <n v="2783980.4844229408"/>
    <n v="4150664.5590961091"/>
    <n v="-1366684.0746731684"/>
    <n v="199585.86343098604"/>
    <n v="-1566269.9381041543"/>
    <m/>
    <m/>
    <m/>
  </r>
  <r>
    <x v="31"/>
    <x v="3"/>
    <x v="0"/>
    <x v="0"/>
    <n v="29324874"/>
    <n v="1.1100000000000001"/>
    <n v="1.104894"/>
    <n v="26540893.515577059"/>
    <n v="2783980.4844229408"/>
    <n v="4267195.9947620686"/>
    <n v="-1483215.5103391279"/>
    <n v="199585.86343098604"/>
    <n v="-1682801.3737701138"/>
    <m/>
    <m/>
    <m/>
  </r>
  <r>
    <x v="31"/>
    <x v="4"/>
    <x v="0"/>
    <x v="0"/>
    <n v="29324874"/>
    <n v="1.1100000000000001"/>
    <n v="1.104894"/>
    <n v="26540893.515577059"/>
    <n v="2783980.4844229408"/>
    <n v="3520138.271692114"/>
    <n v="-736157.78726917319"/>
    <n v="199585.86343098604"/>
    <n v="-935743.65070015925"/>
    <m/>
    <m/>
    <m/>
  </r>
  <r>
    <x v="31"/>
    <x v="5"/>
    <x v="0"/>
    <x v="0"/>
    <n v="29324874"/>
    <n v="1.1100000000000001"/>
    <n v="1.104894"/>
    <n v="26540893.515577059"/>
    <n v="2783980.4844229408"/>
    <n v="3953824.1782428203"/>
    <n v="-1169843.6938198796"/>
    <n v="199585.86343098604"/>
    <n v="-1369429.5572508655"/>
    <m/>
    <m/>
    <m/>
  </r>
  <r>
    <x v="31"/>
    <x v="6"/>
    <x v="0"/>
    <x v="0"/>
    <n v="29324874"/>
    <n v="1.1100000000000001"/>
    <n v="1.104894"/>
    <n v="26540893.515577059"/>
    <n v="2783980.4844229408"/>
    <n v="6865885.6524986783"/>
    <n v="-4081905.1680757375"/>
    <n v="199585.86343098604"/>
    <n v="-4281491.0315067237"/>
    <m/>
    <m/>
    <m/>
  </r>
  <r>
    <x v="31"/>
    <x v="7"/>
    <x v="0"/>
    <x v="0"/>
    <n v="29324874"/>
    <n v="1.1100000000000001"/>
    <n v="1.104894"/>
    <n v="26540893.515577059"/>
    <n v="2783980.4844229408"/>
    <n v="6894458.9090298936"/>
    <n v="-4110478.4246069528"/>
    <n v="199585.86343098604"/>
    <n v="-4310064.288037939"/>
    <m/>
    <m/>
    <m/>
  </r>
  <r>
    <x v="31"/>
    <x v="8"/>
    <x v="0"/>
    <x v="0"/>
    <n v="29324874"/>
    <n v="1.1100000000000001"/>
    <n v="1.104894"/>
    <n v="26540893.515577059"/>
    <n v="2783980.4844229408"/>
    <n v="7609836.4613557365"/>
    <n v="-4825855.9769327957"/>
    <n v="199585.86343098604"/>
    <n v="-5025441.8403637819"/>
    <m/>
    <m/>
    <m/>
  </r>
  <r>
    <x v="31"/>
    <x v="9"/>
    <x v="0"/>
    <x v="0"/>
    <n v="29324874"/>
    <n v="1.1100000000000001"/>
    <n v="1.104894"/>
    <n v="26540893.515577059"/>
    <n v="2783980.4844229408"/>
    <n v="8258523.7675238736"/>
    <n v="-5474543.2831009328"/>
    <n v="199585.86343098604"/>
    <n v="-5674129.146531919"/>
    <m/>
    <m/>
    <m/>
  </r>
  <r>
    <x v="31"/>
    <x v="10"/>
    <x v="0"/>
    <x v="0"/>
    <n v="29324874"/>
    <n v="1.1100000000000001"/>
    <n v="1.104894"/>
    <n v="26540893.515577059"/>
    <n v="2783980.4844229408"/>
    <n v="10837631.69962015"/>
    <n v="-8053651.2151972093"/>
    <n v="199585.86343098604"/>
    <n v="-8253237.0786281954"/>
    <m/>
    <m/>
    <m/>
  </r>
  <r>
    <x v="31"/>
    <x v="11"/>
    <x v="0"/>
    <x v="0"/>
    <n v="29324874"/>
    <n v="1.1100000000000001"/>
    <n v="1.104894"/>
    <n v="26540893.515577059"/>
    <n v="2783980.4844229408"/>
    <n v="9347994.1587981246"/>
    <n v="-6564013.6743751839"/>
    <n v="199585.86343098604"/>
    <n v="-6763599.5378061701"/>
    <m/>
    <m/>
    <m/>
  </r>
  <r>
    <x v="31"/>
    <x v="12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3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4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5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6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7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8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9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20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21"/>
    <x v="0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22"/>
    <x v="0"/>
    <x v="0"/>
    <n v="29413074"/>
    <n v="1.1100000000000001"/>
    <n v="1.104894"/>
    <n v="26620720.177682202"/>
    <n v="2792353.8223177977"/>
    <s v=""/>
    <s v=""/>
    <n v="200186.15494987246"/>
    <s v=""/>
    <m/>
    <m/>
    <m/>
  </r>
  <r>
    <x v="31"/>
    <x v="23"/>
    <x v="0"/>
    <x v="0"/>
    <n v="29413074"/>
    <n v="1.1100000000000001"/>
    <n v="1.104894"/>
    <n v="26620720.177682202"/>
    <n v="2792353.8223177977"/>
    <s v=""/>
    <s v=""/>
    <n v="200186.15494987246"/>
    <s v=""/>
    <m/>
    <m/>
    <m/>
  </r>
  <r>
    <x v="32"/>
    <x v="0"/>
    <x v="0"/>
    <x v="0"/>
    <n v="33554950.015926875"/>
    <n v="1.97"/>
    <n v="1.9609379999999998"/>
    <n v="17111683.294386093"/>
    <n v="16443266.721540783"/>
    <n v="3754617.2246648986"/>
    <n v="12688649.496875884"/>
    <n v="228375.87200928279"/>
    <n v="12460273.624866601"/>
    <m/>
    <m/>
    <m/>
  </r>
  <r>
    <x v="32"/>
    <x v="1"/>
    <x v="0"/>
    <x v="0"/>
    <n v="13267655.116172869"/>
    <n v="1.97"/>
    <n v="1.9609379999999998"/>
    <n v="6765973.7922223294"/>
    <n v="6501681.3239505393"/>
    <n v="1462518.3307391868"/>
    <n v="5039162.9932113523"/>
    <n v="90300.009543635257"/>
    <n v="4948862.9836677173"/>
    <m/>
    <m/>
    <m/>
  </r>
  <r>
    <x v="33"/>
    <x v="0"/>
    <x v="0"/>
    <x v="0"/>
    <n v="55849596.75"/>
    <n v="1.93"/>
    <n v="1.9211219999999998"/>
    <n v="29071343.074515834"/>
    <n v="26778253.675484166"/>
    <n v="6378785.977620896"/>
    <n v="20399467.69786327"/>
    <n v="380113.82383505354"/>
    <n v="20019353.874028217"/>
    <m/>
    <m/>
    <m/>
  </r>
  <r>
    <x v="33"/>
    <x v="1"/>
    <x v="0"/>
    <x v="0"/>
    <n v="55849596.75"/>
    <n v="1.93"/>
    <n v="1.9211219999999998"/>
    <n v="29071343.074515834"/>
    <n v="26778253.675484166"/>
    <n v="6283998.9410780743"/>
    <n v="20494254.734406091"/>
    <n v="380113.82383505354"/>
    <n v="20114140.910571039"/>
    <m/>
    <m/>
    <m/>
  </r>
  <r>
    <x v="33"/>
    <x v="2"/>
    <x v="0"/>
    <x v="0"/>
    <n v="55849596.75"/>
    <n v="1.93"/>
    <n v="1.9211219999999998"/>
    <n v="29071343.074515834"/>
    <n v="26778253.675484166"/>
    <n v="4546395.294261572"/>
    <n v="22231858.381222595"/>
    <n v="380113.82383505354"/>
    <n v="21851744.557387542"/>
    <m/>
    <m/>
    <m/>
  </r>
  <r>
    <x v="34"/>
    <x v="0"/>
    <x v="0"/>
    <x v="0"/>
    <n v="24433339.875"/>
    <n v="1.98"/>
    <n v="1.9708919999999999"/>
    <n v="12397097.291480204"/>
    <n v="12036242.583519796"/>
    <n v="2720150.5676363707"/>
    <n v="9316092.0158834253"/>
    <n v="166293.95357179083"/>
    <n v="9149798.0623116344"/>
    <m/>
    <m/>
    <m/>
  </r>
  <r>
    <x v="34"/>
    <x v="1"/>
    <x v="0"/>
    <x v="0"/>
    <n v="24433339.875"/>
    <n v="1.98"/>
    <n v="1.9708919999999999"/>
    <n v="12397097.291480204"/>
    <n v="12036242.583519796"/>
    <n v="2679729.8649883894"/>
    <n v="9356512.7185314074"/>
    <n v="166293.95357179083"/>
    <n v="9190218.7649596166"/>
    <m/>
    <m/>
    <m/>
  </r>
  <r>
    <x v="35"/>
    <x v="1"/>
    <x v="0"/>
    <x v="0"/>
    <n v="43907512.694785044"/>
    <n v="1"/>
    <n v="0.99539999999999995"/>
    <n v="44110420.62968158"/>
    <n v="-202907.93489653617"/>
    <n v="9534813.5728346948"/>
    <n v="-9737721.5077312309"/>
    <n v="298835.68578319054"/>
    <n v="-10036557.193514422"/>
    <m/>
    <m/>
    <m/>
  </r>
  <r>
    <x v="35"/>
    <x v="2"/>
    <x v="0"/>
    <x v="0"/>
    <n v="43907512.694785044"/>
    <n v="1"/>
    <n v="0.99539999999999995"/>
    <n v="44110420.62968158"/>
    <n v="-202907.93489653617"/>
    <n v="6898319.3609132143"/>
    <n v="-7101227.2958097504"/>
    <n v="298835.68578319054"/>
    <n v="-7400062.9815929411"/>
    <m/>
    <m/>
    <m/>
  </r>
  <r>
    <x v="35"/>
    <x v="3"/>
    <x v="0"/>
    <x v="0"/>
    <n v="43907512.694785044"/>
    <n v="1"/>
    <n v="0.99539999999999995"/>
    <n v="44110420.62968158"/>
    <n v="-202907.93489653617"/>
    <n v="7091992.2167569455"/>
    <n v="-7294900.1516534816"/>
    <n v="298835.68578319054"/>
    <n v="-7593735.8374366723"/>
    <m/>
    <m/>
    <m/>
  </r>
  <r>
    <x v="35"/>
    <x v="4"/>
    <x v="0"/>
    <x v="0"/>
    <n v="43907512.694785044"/>
    <n v="1"/>
    <n v="0.99539999999999995"/>
    <n v="44110420.62968158"/>
    <n v="-202907.93489653617"/>
    <n v="5850397.6042798823"/>
    <n v="-6053305.5391764184"/>
    <n v="298835.68578319054"/>
    <n v="-6352141.2249596091"/>
    <m/>
    <m/>
    <m/>
  </r>
  <r>
    <x v="35"/>
    <x v="5"/>
    <x v="0"/>
    <x v="0"/>
    <n v="43907512.694785044"/>
    <n v="1"/>
    <n v="0.99539999999999995"/>
    <n v="44110420.62968158"/>
    <n v="-202907.93489653617"/>
    <n v="6571174.6854240745"/>
    <n v="-6774082.6203206107"/>
    <n v="298835.68578319054"/>
    <n v="-7072918.3061038014"/>
    <m/>
    <m/>
    <m/>
  </r>
  <r>
    <x v="35"/>
    <x v="6"/>
    <x v="0"/>
    <x v="0"/>
    <n v="43907512.694785044"/>
    <n v="1"/>
    <n v="0.99539999999999995"/>
    <n v="44110420.62968158"/>
    <n v="-202907.93489653617"/>
    <n v="11410961.124924572"/>
    <n v="-11613869.059821108"/>
    <n v="298835.68578319054"/>
    <n v="-11912704.745604299"/>
    <m/>
    <m/>
    <m/>
  </r>
  <r>
    <x v="35"/>
    <x v="7"/>
    <x v="0"/>
    <x v="0"/>
    <n v="43907512.694785044"/>
    <n v="1"/>
    <n v="0.99539999999999995"/>
    <n v="44110420.62968158"/>
    <n v="-202907.93489653617"/>
    <n v="11458449.291199455"/>
    <n v="-11661357.226095991"/>
    <n v="298835.68578319054"/>
    <n v="-11960192.911879182"/>
    <m/>
    <m/>
    <m/>
  </r>
  <r>
    <x v="36"/>
    <x v="0"/>
    <x v="0"/>
    <x v="0"/>
    <n v="134267225.40000004"/>
    <n v="1.64"/>
    <n v="1.6324559999999999"/>
    <n v="82248602.963877767"/>
    <n v="52018622.436122268"/>
    <n v="18046852.321893618"/>
    <n v="33971770.114228651"/>
    <n v="913826.26612280845"/>
    <n v="33057943.848105844"/>
    <m/>
    <m/>
    <m/>
  </r>
  <r>
    <x v="36"/>
    <x v="1"/>
    <x v="0"/>
    <x v="0"/>
    <n v="134267225.40000004"/>
    <n v="1.64"/>
    <n v="1.6324559999999999"/>
    <n v="82248602.963877767"/>
    <n v="52018622.436122268"/>
    <n v="17778680.971338872"/>
    <n v="34239941.4647834"/>
    <n v="913826.26612280845"/>
    <n v="33326115.198660593"/>
    <m/>
    <m/>
    <m/>
  </r>
  <r>
    <x v="36"/>
    <x v="2"/>
    <x v="0"/>
    <x v="0"/>
    <n v="134267225.40000004"/>
    <n v="1.64"/>
    <n v="1.6324559999999999"/>
    <n v="82248602.963877767"/>
    <n v="52018622.436122268"/>
    <n v="12862655.1761331"/>
    <n v="39155967.259989172"/>
    <n v="913826.26612280845"/>
    <n v="38242140.993866362"/>
    <m/>
    <m/>
    <m/>
  </r>
  <r>
    <x v="36"/>
    <x v="3"/>
    <x v="0"/>
    <x v="0"/>
    <n v="134267225.40000004"/>
    <n v="1.64"/>
    <n v="1.6324559999999999"/>
    <n v="82248602.963877767"/>
    <n v="52018622.436122268"/>
    <n v="13223778.955906186"/>
    <n v="38794843.480216086"/>
    <n v="913826.26612280845"/>
    <n v="37881017.214093275"/>
    <m/>
    <m/>
    <m/>
  </r>
  <r>
    <x v="36"/>
    <x v="4"/>
    <x v="0"/>
    <x v="0"/>
    <n v="134267225.40000004"/>
    <n v="1.64"/>
    <n v="1.6324559999999999"/>
    <n v="82248602.963877767"/>
    <n v="52018622.436122268"/>
    <n v="10908692.840971244"/>
    <n v="41109929.595151022"/>
    <n v="913826.26612280845"/>
    <n v="40196103.329028212"/>
    <m/>
    <m/>
    <m/>
  </r>
  <r>
    <x v="37"/>
    <x v="2"/>
    <x v="0"/>
    <x v="0"/>
    <n v="63859391.18"/>
    <n v="0.75"/>
    <n v="0.74654999999999994"/>
    <n v="85539335.851583958"/>
    <n v="-21679944.671583958"/>
    <n v="13377284.736831108"/>
    <n v="-35057229.408415064"/>
    <n v="434628.69531297544"/>
    <n v="-35491858.103728041"/>
    <m/>
    <m/>
    <m/>
  </r>
  <r>
    <x v="37"/>
    <x v="3"/>
    <x v="0"/>
    <x v="0"/>
    <n v="63859391.18"/>
    <n v="0.75"/>
    <n v="0.74654999999999994"/>
    <n v="85539335.851583958"/>
    <n v="-21679944.671583958"/>
    <n v="13752856.930994334"/>
    <n v="-35432801.60257829"/>
    <n v="434628.69531297544"/>
    <n v="-35867430.297891267"/>
    <m/>
    <m/>
    <m/>
  </r>
  <r>
    <x v="37"/>
    <x v="4"/>
    <x v="0"/>
    <x v="0"/>
    <n v="63859391.18"/>
    <n v="0.75"/>
    <n v="0.74654999999999994"/>
    <n v="85539335.851583958"/>
    <n v="-21679944.671583958"/>
    <n v="11345145.169644045"/>
    <n v="-33025089.841228001"/>
    <n v="434628.69531297544"/>
    <n v="-33459718.536540978"/>
    <m/>
    <m/>
    <m/>
  </r>
  <r>
    <x v="37"/>
    <x v="5"/>
    <x v="0"/>
    <x v="0"/>
    <n v="60800628.68"/>
    <n v="0.75"/>
    <n v="0.74654999999999994"/>
    <n v="81442138.744893178"/>
    <n v="-20641510.064893179"/>
    <n v="12132519.092033435"/>
    <n v="-32774029.156926613"/>
    <n v="413810.6773193492"/>
    <n v="-33187839.834245961"/>
    <m/>
    <m/>
    <m/>
  </r>
  <r>
    <x v="37"/>
    <x v="6"/>
    <x v="0"/>
    <x v="0"/>
    <n v="60800628.68"/>
    <n v="0.75"/>
    <n v="0.74654999999999994"/>
    <n v="81442138.744893178"/>
    <n v="-20641510.064893179"/>
    <n v="21068334.100703359"/>
    <n v="-41709844.165596537"/>
    <n v="413810.6773193492"/>
    <n v="-42123654.842915885"/>
    <m/>
    <m/>
    <m/>
  </r>
  <r>
    <x v="37"/>
    <x v="7"/>
    <x v="0"/>
    <x v="0"/>
    <n v="64680316.519999996"/>
    <n v="0.75"/>
    <n v="0.74654999999999994"/>
    <n v="86638961.248409346"/>
    <n v="-21958644.72840935"/>
    <n v="22505977.724435486"/>
    <n v="-44464622.452844836"/>
    <n v="440215.93476015172"/>
    <n v="-44904838.387604989"/>
    <m/>
    <m/>
    <m/>
  </r>
  <r>
    <x v="37"/>
    <x v="8"/>
    <x v="0"/>
    <x v="0"/>
    <n v="64680316.519999996"/>
    <n v="0.75"/>
    <n v="0.74654999999999994"/>
    <n v="86638961.248409346"/>
    <n v="-21958644.72840935"/>
    <n v="24841225.706857946"/>
    <n v="-46799870.435267299"/>
    <n v="440215.93476015172"/>
    <n v="-47240086.370027453"/>
    <m/>
    <m/>
    <m/>
  </r>
  <r>
    <x v="37"/>
    <x v="9"/>
    <x v="0"/>
    <x v="0"/>
    <n v="60757039.519999996"/>
    <n v="0.75"/>
    <n v="0.74654999999999994"/>
    <n v="81383751.282566473"/>
    <n v="-20626711.762566477"/>
    <n v="25323550.010208219"/>
    <n v="-45950261.772774696"/>
    <n v="413514.00835037656"/>
    <n v="-46363775.781125076"/>
    <m/>
    <m/>
    <m/>
  </r>
  <r>
    <x v="37"/>
    <x v="10"/>
    <x v="0"/>
    <x v="0"/>
    <n v="60757039.519999996"/>
    <n v="0.75"/>
    <n v="0.74654999999999994"/>
    <n v="81383751.282566473"/>
    <n v="-20626711.762566477"/>
    <n v="33232005.629964478"/>
    <n v="-53858717.392530955"/>
    <n v="413514.00835037656"/>
    <n v="-54272231.400881335"/>
    <m/>
    <m/>
    <m/>
  </r>
  <r>
    <x v="37"/>
    <x v="11"/>
    <x v="0"/>
    <x v="0"/>
    <n v="60757039.519999996"/>
    <n v="0.75"/>
    <n v="0.74654999999999994"/>
    <n v="81383751.282566473"/>
    <n v="-20626711.762566477"/>
    <n v="28664250.929005306"/>
    <n v="-49290962.691571787"/>
    <n v="413514.00835037656"/>
    <n v="-49704476.699922167"/>
    <m/>
    <m/>
    <m/>
  </r>
  <r>
    <x v="37"/>
    <x v="12"/>
    <x v="0"/>
    <x v="0"/>
    <n v="60757039.519999996"/>
    <n v="0.75"/>
    <n v="0.74654999999999994"/>
    <n v="81383751.282566473"/>
    <n v="-20626711.762566477"/>
    <s v=""/>
    <s v=""/>
    <n v="413514.00835037656"/>
    <s v=""/>
    <m/>
    <m/>
    <m/>
  </r>
  <r>
    <x v="37"/>
    <x v="13"/>
    <x v="0"/>
    <x v="0"/>
    <n v="60757039.519999996"/>
    <n v="0.75"/>
    <n v="0.74654999999999994"/>
    <n v="81383751.282566473"/>
    <n v="-20626711.762566477"/>
    <s v=""/>
    <s v=""/>
    <n v="413514.00835037656"/>
    <s v=""/>
    <m/>
    <m/>
    <m/>
  </r>
  <r>
    <x v="37"/>
    <x v="14"/>
    <x v="0"/>
    <x v="0"/>
    <n v="54757039.519999996"/>
    <n v="0.75"/>
    <n v="0.74654999999999994"/>
    <n v="73346781.220279962"/>
    <n v="-18589741.700279966"/>
    <s v=""/>
    <s v=""/>
    <n v="372677.8506030009"/>
    <s v=""/>
    <m/>
    <m/>
    <m/>
  </r>
  <r>
    <x v="37"/>
    <x v="15"/>
    <x v="0"/>
    <x v="0"/>
    <n v="54757039.519999996"/>
    <n v="0.75"/>
    <n v="0.74654999999999994"/>
    <n v="73346781.220279962"/>
    <n v="-18589741.700279966"/>
    <s v=""/>
    <s v=""/>
    <n v="372677.8506030009"/>
    <s v=""/>
    <m/>
    <m/>
    <m/>
  </r>
  <r>
    <x v="37"/>
    <x v="16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17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18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19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20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21"/>
    <x v="0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22"/>
    <x v="0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x v="23"/>
    <x v="0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x v="24"/>
    <x v="0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x v="25"/>
    <x v="0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x v="26"/>
    <x v="0"/>
    <x v="0"/>
    <n v="40862689.519999996"/>
    <n v="0.75"/>
    <n v="0.74654999999999994"/>
    <n v="54735368.722791508"/>
    <n v="-13872679.202791512"/>
    <s v=""/>
    <s v=""/>
    <n v="278112.53920345928"/>
    <s v=""/>
    <m/>
    <m/>
    <m/>
  </r>
  <r>
    <x v="38"/>
    <x v="3"/>
    <x v="0"/>
    <x v="0"/>
    <n v="89776746.567000002"/>
    <n v="1"/>
    <n v="0.99539999999999995"/>
    <n v="90191628.05605787"/>
    <n v="-414881.48905786872"/>
    <n v="14500843.906253565"/>
    <n v="-14915725.395311434"/>
    <n v="611022.89747603028"/>
    <n v="-15526748.292787464"/>
    <m/>
    <m/>
    <m/>
  </r>
  <r>
    <x v="38"/>
    <x v="4"/>
    <x v="0"/>
    <x v="0"/>
    <n v="68117355.567000002"/>
    <n v="1"/>
    <n v="0.99539999999999995"/>
    <n v="68432143.426763117"/>
    <n v="-314787.85976311564"/>
    <n v="9076205.6277077552"/>
    <n v="-9390993.4874708708"/>
    <n v="463608.5128780154"/>
    <n v="-9854602.0003488865"/>
    <m/>
    <m/>
    <m/>
  </r>
  <r>
    <x v="38"/>
    <x v="5"/>
    <x v="0"/>
    <x v="0"/>
    <n v="68117355.567000002"/>
    <n v="1"/>
    <n v="0.99539999999999995"/>
    <n v="68432143.426763117"/>
    <n v="-314787.85976311564"/>
    <n v="10194406.721496308"/>
    <n v="-10509194.581259424"/>
    <n v="463608.5128780154"/>
    <n v="-10972803.09413744"/>
    <m/>
    <m/>
    <m/>
  </r>
  <r>
    <x v="38"/>
    <x v="6"/>
    <x v="0"/>
    <x v="0"/>
    <n v="62912767.068000004"/>
    <n v="1"/>
    <n v="0.99539999999999995"/>
    <n v="63203503.18264015"/>
    <n v="-290736.11464014649"/>
    <n v="16350166.411490859"/>
    <n v="-16640902.526131006"/>
    <n v="428185.94671879185"/>
    <n v="-17069088.472849797"/>
    <m/>
    <m/>
    <m/>
  </r>
  <r>
    <x v="38"/>
    <x v="7"/>
    <x v="0"/>
    <x v="0"/>
    <n v="41200017.068000004"/>
    <n v="1"/>
    <n v="0.99539999999999995"/>
    <n v="41390412.967651203"/>
    <n v="-190395.89965119958"/>
    <n v="10751879.97215567"/>
    <n v="-10942275.871806869"/>
    <n v="280408.39936390327"/>
    <n v="-11222684.271170773"/>
    <m/>
    <m/>
    <m/>
  </r>
  <r>
    <x v="38"/>
    <x v="8"/>
    <x v="0"/>
    <x v="0"/>
    <n v="41200017.068000004"/>
    <n v="1"/>
    <n v="0.99539999999999995"/>
    <n v="41390412.967651203"/>
    <n v="-190395.89965119958"/>
    <n v="11867508.287426064"/>
    <n v="-12057904.187077263"/>
    <n v="280408.39936390327"/>
    <n v="-12338312.586441167"/>
    <m/>
    <m/>
    <m/>
  </r>
  <r>
    <x v="38"/>
    <x v="9"/>
    <x v="0"/>
    <x v="0"/>
    <n v="41200017.068000004"/>
    <n v="1"/>
    <n v="0.99539999999999995"/>
    <n v="41390412.967651203"/>
    <n v="-190395.89965119958"/>
    <n v="12879133.441395134"/>
    <n v="-13069529.341046333"/>
    <n v="280408.39936390327"/>
    <n v="-13349937.740410237"/>
    <m/>
    <m/>
    <m/>
  </r>
  <r>
    <x v="38"/>
    <x v="10"/>
    <x v="0"/>
    <x v="0"/>
    <n v="39238378.568000004"/>
    <n v="1"/>
    <n v="0.99539999999999995"/>
    <n v="39419709.230460122"/>
    <n v="-181330.66246011853"/>
    <n v="16096530.06200063"/>
    <n v="-16277860.724460749"/>
    <n v="267057.43615901569"/>
    <n v="-16544918.160619766"/>
    <m/>
    <m/>
    <m/>
  </r>
  <r>
    <x v="38"/>
    <x v="11"/>
    <x v="0"/>
    <x v="0"/>
    <n v="39238378.568000004"/>
    <n v="1"/>
    <n v="0.99539999999999995"/>
    <n v="39419709.230460122"/>
    <n v="-181330.66246011853"/>
    <n v="13884054.484133663"/>
    <n v="-14065385.146593781"/>
    <n v="267057.43615901569"/>
    <n v="-14332442.582752798"/>
    <m/>
    <m/>
    <m/>
  </r>
  <r>
    <x v="38"/>
    <x v="12"/>
    <x v="0"/>
    <x v="0"/>
    <n v="34612077.68"/>
    <n v="1"/>
    <n v="0.99539999999999995"/>
    <n v="34772029.013461925"/>
    <n v="-159951.33346192539"/>
    <s v=""/>
    <s v=""/>
    <n v="235570.71068415025"/>
    <s v=""/>
    <m/>
    <m/>
    <m/>
  </r>
  <r>
    <x v="39"/>
    <x v="3"/>
    <x v="0"/>
    <x v="0"/>
    <n v="83414508.689999998"/>
    <n v="1"/>
    <n v="0.99539999999999995"/>
    <n v="83799988.637733579"/>
    <n v="-385479.94773358107"/>
    <n v="13473207.888278918"/>
    <n v="-13858687.836012499"/>
    <n v="567721.33921411354"/>
    <n v="-14426409.175226614"/>
    <m/>
    <m/>
    <m/>
  </r>
  <r>
    <x v="39"/>
    <x v="4"/>
    <x v="0"/>
    <x v="0"/>
    <n v="83414508.689999998"/>
    <n v="1"/>
    <n v="0.99539999999999995"/>
    <n v="83799988.637733579"/>
    <n v="-385479.94773358107"/>
    <n v="11114454.266504621"/>
    <n v="-11499934.214238202"/>
    <n v="567721.33921411354"/>
    <n v="-12067655.553452317"/>
    <m/>
    <m/>
    <m/>
  </r>
  <r>
    <x v="39"/>
    <x v="5"/>
    <x v="0"/>
    <x v="0"/>
    <n v="83414508.689999998"/>
    <n v="1"/>
    <n v="0.99539999999999995"/>
    <n v="83799988.637733579"/>
    <n v="-385479.94773358107"/>
    <n v="12483770.413301431"/>
    <n v="-12869250.361035012"/>
    <n v="567721.33921411354"/>
    <n v="-13436971.700249124"/>
    <m/>
    <m/>
    <m/>
  </r>
  <r>
    <x v="39"/>
    <x v="6"/>
    <x v="0"/>
    <x v="0"/>
    <n v="83414508.689999998"/>
    <n v="1"/>
    <n v="0.99539999999999995"/>
    <n v="83799988.637733579"/>
    <n v="-385479.94773358107"/>
    <n v="21678288.235838152"/>
    <n v="-22063768.183571734"/>
    <n v="567721.33921411354"/>
    <n v="-22631489.522785846"/>
    <m/>
    <m/>
    <m/>
  </r>
  <r>
    <x v="39"/>
    <x v="7"/>
    <x v="0"/>
    <x v="0"/>
    <n v="82688276.189999998"/>
    <n v="1"/>
    <n v="0.99539999999999995"/>
    <n v="83070400.030138642"/>
    <n v="-382123.84013864398"/>
    <n v="21578981.85410862"/>
    <n v="-21961105.694247264"/>
    <n v="562778.58172556839"/>
    <n v="-22523884.275972832"/>
    <m/>
    <m/>
    <m/>
  </r>
  <r>
    <x v="39"/>
    <x v="8"/>
    <x v="0"/>
    <x v="0"/>
    <n v="82688276.189999998"/>
    <n v="1"/>
    <n v="0.99539999999999995"/>
    <n v="83070400.030138642"/>
    <n v="-382123.84013864398"/>
    <n v="23818043.602704655"/>
    <n v="-24200167.442843299"/>
    <n v="562778.58172556839"/>
    <n v="-24762946.024568867"/>
    <m/>
    <m/>
    <m/>
  </r>
  <r>
    <x v="39"/>
    <x v="9"/>
    <x v="0"/>
    <x v="0"/>
    <n v="82688276.189999998"/>
    <n v="1"/>
    <n v="0.99539999999999995"/>
    <n v="83070400.030138642"/>
    <n v="-382123.84013864398"/>
    <n v="25848371.405581135"/>
    <n v="-26230495.245719779"/>
    <n v="562778.58172556839"/>
    <n v="-26793273.827445347"/>
    <m/>
    <m/>
    <m/>
  </r>
  <r>
    <x v="39"/>
    <x v="10"/>
    <x v="0"/>
    <x v="0"/>
    <n v="82688276.189999998"/>
    <n v="1"/>
    <n v="0.99539999999999995"/>
    <n v="83070400.030138642"/>
    <n v="-382123.84013864398"/>
    <n v="33920726.901615888"/>
    <n v="-34302850.741754532"/>
    <n v="562778.58172556839"/>
    <n v="-34865629.323480099"/>
    <m/>
    <m/>
    <m/>
  </r>
  <r>
    <x v="39"/>
    <x v="11"/>
    <x v="0"/>
    <x v="0"/>
    <n v="82688276.189999998"/>
    <n v="1"/>
    <n v="0.99539999999999995"/>
    <n v="83070400.030138642"/>
    <n v="-382123.84013864398"/>
    <n v="29258307.140074283"/>
    <n v="-29640430.980212927"/>
    <n v="562778.58172556839"/>
    <n v="-30203209.561938494"/>
    <m/>
    <m/>
    <m/>
  </r>
  <r>
    <x v="39"/>
    <x v="12"/>
    <x v="0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x v="13"/>
    <x v="0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x v="14"/>
    <x v="0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x v="15"/>
    <x v="0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40"/>
    <x v="5"/>
    <x v="0"/>
    <x v="0"/>
    <n v="577000000"/>
    <n v="1.87"/>
    <n v="1.8613980000000001"/>
    <n v="309982067.24193317"/>
    <n v="267017932.75806683"/>
    <n v="46178347.068968281"/>
    <n v="220839585.68909854"/>
    <n v="3927077.1700392966"/>
    <n v="216912508.51905924"/>
    <m/>
    <m/>
    <m/>
  </r>
  <r>
    <x v="41"/>
    <x v="0"/>
    <x v="0"/>
    <x v="0"/>
    <n v="35458635"/>
    <n v="2.2200000000000002"/>
    <n v="2.2097880000000001"/>
    <n v="16046170.492373023"/>
    <n v="19412464.507626977"/>
    <n v="3520824.1693170522"/>
    <n v="15891640.338309925"/>
    <n v="241332.40206110285"/>
    <n v="15650307.936248822"/>
    <m/>
    <m/>
    <m/>
  </r>
  <r>
    <x v="41"/>
    <x v="1"/>
    <x v="0"/>
    <x v="0"/>
    <n v="35458635"/>
    <n v="2.2200000000000002"/>
    <n v="2.2097880000000001"/>
    <n v="16046170.492373023"/>
    <n v="19412464.507626977"/>
    <n v="3468505.6732319426"/>
    <n v="15943958.834395034"/>
    <n v="241332.40206110285"/>
    <n v="15702626.432333931"/>
    <m/>
    <m/>
    <m/>
  </r>
  <r>
    <x v="41"/>
    <x v="2"/>
    <x v="0"/>
    <x v="0"/>
    <n v="35458635"/>
    <n v="2.2200000000000002"/>
    <n v="2.2097880000000001"/>
    <n v="16046170.492373023"/>
    <n v="19412464.507626977"/>
    <n v="2509420.8351658201"/>
    <n v="16903043.672461156"/>
    <n v="241332.40206110285"/>
    <n v="16661711.270400053"/>
    <m/>
    <m/>
    <m/>
  </r>
  <r>
    <x v="41"/>
    <x v="3"/>
    <x v="0"/>
    <x v="0"/>
    <n v="35458635"/>
    <n v="2.2200000000000002"/>
    <n v="2.2097880000000001"/>
    <n v="16046170.492373023"/>
    <n v="19412464.507626977"/>
    <n v="2579873.7490181564"/>
    <n v="16832590.758608822"/>
    <n v="241332.40206110285"/>
    <n v="16591258.356547719"/>
    <m/>
    <m/>
    <m/>
  </r>
  <r>
    <x v="41"/>
    <x v="4"/>
    <x v="0"/>
    <x v="0"/>
    <n v="35458635"/>
    <n v="2.2200000000000002"/>
    <n v="2.2097880000000001"/>
    <n v="16046170.492373023"/>
    <n v="19412464.507626977"/>
    <n v="2128215.4208993614"/>
    <n v="17284249.086727615"/>
    <n v="241332.40206110285"/>
    <n v="17042916.684666514"/>
    <m/>
    <m/>
    <m/>
  </r>
  <r>
    <x v="41"/>
    <x v="5"/>
    <x v="0"/>
    <x v="0"/>
    <n v="35458635"/>
    <n v="2.2200000000000002"/>
    <n v="2.2097880000000001"/>
    <n v="16046170.492373023"/>
    <n v="19412464.507626977"/>
    <n v="2390414.5059666261"/>
    <n v="17022050.001660351"/>
    <n v="241332.40206110285"/>
    <n v="16780717.59959925"/>
    <m/>
    <m/>
    <m/>
  </r>
  <r>
    <x v="41"/>
    <x v="6"/>
    <x v="0"/>
    <x v="0"/>
    <n v="35458635"/>
    <n v="2.2200000000000002"/>
    <n v="2.2097880000000001"/>
    <n v="16046170.492373023"/>
    <n v="19412464.507626977"/>
    <n v="4150997.0904510529"/>
    <n v="15261467.417175924"/>
    <n v="241332.40206110285"/>
    <n v="15020135.015114821"/>
    <m/>
    <m/>
    <m/>
  </r>
  <r>
    <x v="41"/>
    <x v="7"/>
    <x v="0"/>
    <x v="0"/>
    <n v="35458635"/>
    <n v="2.2200000000000002"/>
    <n v="2.2097880000000001"/>
    <n v="16046170.492373023"/>
    <n v="19412464.507626977"/>
    <n v="4168271.9928786261"/>
    <n v="15244192.51474835"/>
    <n v="241332.40206110285"/>
    <n v="15002860.112687247"/>
    <m/>
    <m/>
    <m/>
  </r>
  <r>
    <x v="42"/>
    <x v="0"/>
    <x v="0"/>
    <x v="0"/>
    <n v="62778573"/>
    <n v="1.72"/>
    <n v="1.7120879999999998"/>
    <n v="36667842.423987553"/>
    <n v="26110730.576012447"/>
    <n v="8045597.2909204792"/>
    <n v="18065133.285091966"/>
    <n v="427272.61836385686"/>
    <n v="17637860.666728109"/>
    <m/>
    <m/>
    <m/>
  </r>
  <r>
    <x v="42"/>
    <x v="1"/>
    <x v="0"/>
    <x v="0"/>
    <n v="62778573"/>
    <n v="1.72"/>
    <n v="1.7120879999999998"/>
    <n v="36667842.423987553"/>
    <n v="26110730.576012447"/>
    <n v="7926041.8885133658"/>
    <n v="18184688.687499084"/>
    <n v="427272.61836385686"/>
    <n v="17757416.069135226"/>
    <m/>
    <m/>
    <m/>
  </r>
  <r>
    <x v="42"/>
    <x v="2"/>
    <x v="0"/>
    <x v="0"/>
    <n v="62778573"/>
    <n v="1.72"/>
    <n v="1.7120879999999998"/>
    <n v="36667842.423987553"/>
    <n v="26110730.576012447"/>
    <n v="5734393.0006893296"/>
    <n v="20376337.57532312"/>
    <n v="427272.61836385686"/>
    <n v="19949064.956959262"/>
    <m/>
    <m/>
    <m/>
  </r>
  <r>
    <x v="42"/>
    <x v="3"/>
    <x v="0"/>
    <x v="0"/>
    <n v="62778573"/>
    <n v="1.72"/>
    <n v="1.7120879999999998"/>
    <n v="36667842.423987553"/>
    <n v="26110730.576012447"/>
    <n v="5895388.1954416325"/>
    <n v="20215342.380570814"/>
    <n v="427272.61836385686"/>
    <n v="19788069.762206957"/>
    <m/>
    <m/>
    <m/>
  </r>
  <r>
    <x v="42"/>
    <x v="4"/>
    <x v="0"/>
    <x v="0"/>
    <n v="62778573"/>
    <n v="1.72"/>
    <n v="1.7120879999999998"/>
    <n v="36667842.423987553"/>
    <n v="26110730.576012447"/>
    <n v="4863282.9705337035"/>
    <n v="21247447.605478745"/>
    <n v="427272.61836385686"/>
    <n v="20820174.987114888"/>
    <m/>
    <m/>
    <m/>
  </r>
  <r>
    <x v="9"/>
    <x v="12"/>
    <x v="0"/>
    <x v="0"/>
    <n v="21063300"/>
    <n v="1.95"/>
    <n v="1.9410299999999998"/>
    <n v="10851609.712369207"/>
    <n v="10211690.287630793"/>
    <s v=""/>
    <s v=""/>
    <n v="143357.37358004975"/>
    <s v=""/>
    <m/>
    <m/>
    <m/>
  </r>
  <r>
    <x v="9"/>
    <x v="13"/>
    <x v="0"/>
    <x v="0"/>
    <n v="21063300"/>
    <n v="1.95"/>
    <n v="1.9410299999999998"/>
    <n v="10851609.712369207"/>
    <n v="10211690.287630793"/>
    <s v=""/>
    <s v=""/>
    <n v="143357.37358004975"/>
    <s v=""/>
    <m/>
    <m/>
    <m/>
  </r>
  <r>
    <x v="43"/>
    <x v="0"/>
    <x v="0"/>
    <x v="0"/>
    <n v="29813870"/>
    <n v="2.27"/>
    <n v="2.2595579999999997"/>
    <n v="13194558.404785363"/>
    <n v="16619311.595214637"/>
    <n v="2895128.1651354027"/>
    <n v="13724183.430079235"/>
    <n v="202913.98306329199"/>
    <n v="13521269.447015943"/>
    <m/>
    <m/>
    <m/>
  </r>
  <r>
    <x v="44"/>
    <x v="0"/>
    <x v="0"/>
    <x v="0"/>
    <n v="126579869.80723679"/>
    <n v="2.5499999999999998"/>
    <n v="2.5382699999999998"/>
    <n v="49868560.006318003"/>
    <n v="76711309.800918788"/>
    <n v="10942076.892597962"/>
    <n v="65769232.908320829"/>
    <n v="861505.92184843333"/>
    <n v="64907726.986472398"/>
    <m/>
    <m/>
    <m/>
  </r>
  <r>
    <x v="44"/>
    <x v="1"/>
    <x v="0"/>
    <x v="0"/>
    <n v="253159739.61447358"/>
    <n v="2.5499999999999998"/>
    <n v="2.5382699999999998"/>
    <n v="99737120.012636006"/>
    <n v="153422619.60183758"/>
    <n v="21558961.171456628"/>
    <n v="131863658.43038094"/>
    <n v="1723011.8436968667"/>
    <n v="130140646.58668408"/>
    <m/>
    <m/>
    <m/>
  </r>
  <r>
    <x v="44"/>
    <x v="2"/>
    <x v="0"/>
    <x v="0"/>
    <n v="253159739.61447358"/>
    <n v="2.5499999999999998"/>
    <n v="2.5382699999999998"/>
    <n v="99737120.012636006"/>
    <n v="153422619.60183758"/>
    <n v="15597641.014602548"/>
    <n v="137824978.58723503"/>
    <n v="1723011.8436968667"/>
    <n v="136101966.74353817"/>
    <m/>
    <m/>
    <m/>
  </r>
  <r>
    <x v="44"/>
    <x v="3"/>
    <x v="0"/>
    <x v="0"/>
    <n v="126579869.80723679"/>
    <n v="2.5499999999999998"/>
    <n v="2.5382699999999998"/>
    <n v="49868560.006318003"/>
    <n v="76711309.800918788"/>
    <n v="8017775.2643715153"/>
    <n v="68693534.536547273"/>
    <n v="861505.92184843333"/>
    <n v="67832028.614698842"/>
    <m/>
    <m/>
    <m/>
  </r>
  <r>
    <x v="45"/>
    <x v="0"/>
    <x v="0"/>
    <x v="0"/>
    <n v="9800000"/>
    <n v="1.85"/>
    <n v="1.8414900000000001"/>
    <n v="5321777.4736762075"/>
    <n v="4478222.5263237925"/>
    <n v="1167695.6045027827"/>
    <n v="3310526.9218210098"/>
    <n v="66699.057654046977"/>
    <n v="3243827.8641669629"/>
    <m/>
    <m/>
    <m/>
  </r>
  <r>
    <x v="45"/>
    <x v="1"/>
    <x v="0"/>
    <x v="0"/>
    <n v="9800000"/>
    <n v="1.85"/>
    <n v="1.8414900000000001"/>
    <n v="5321777.4736762075"/>
    <n v="4478222.5263237925"/>
    <n v="1150343.9632464035"/>
    <n v="3327878.5630773893"/>
    <n v="66699.057654046977"/>
    <n v="3261179.5054233423"/>
    <m/>
    <m/>
    <m/>
  </r>
  <r>
    <x v="45"/>
    <x v="2"/>
    <x v="0"/>
    <x v="0"/>
    <n v="9800000"/>
    <n v="1.85"/>
    <n v="1.8414900000000001"/>
    <n v="5321777.4736762075"/>
    <n v="4478222.5263237925"/>
    <n v="832259.58984461869"/>
    <n v="3645962.9364791736"/>
    <n v="66699.057654046977"/>
    <n v="3579263.8788251267"/>
    <m/>
    <m/>
    <m/>
  </r>
  <r>
    <x v="45"/>
    <x v="3"/>
    <x v="0"/>
    <x v="0"/>
    <n v="9800000"/>
    <n v="1.85"/>
    <n v="1.8414900000000001"/>
    <n v="5321777.4736762075"/>
    <n v="4478222.5263237925"/>
    <n v="855625.58424636256"/>
    <n v="3622596.94207743"/>
    <n v="66699.057654046977"/>
    <n v="3555897.884423383"/>
    <m/>
    <m/>
    <m/>
  </r>
  <r>
    <x v="45"/>
    <x v="4"/>
    <x v="0"/>
    <x v="0"/>
    <n v="9800000"/>
    <n v="1.85"/>
    <n v="1.8414900000000001"/>
    <n v="5321777.4736762075"/>
    <n v="4478222.5263237925"/>
    <n v="705831.26930228679"/>
    <n v="3772391.2570215059"/>
    <n v="66699.057654046977"/>
    <n v="3705692.1993674589"/>
    <m/>
    <m/>
    <m/>
  </r>
  <r>
    <x v="45"/>
    <x v="5"/>
    <x v="0"/>
    <x v="0"/>
    <n v="9800000"/>
    <n v="1.85"/>
    <n v="1.8414900000000001"/>
    <n v="5321777.4736762075"/>
    <n v="4478222.5263237925"/>
    <n v="792790.65847197792"/>
    <n v="3685431.8678518147"/>
    <n v="66699.057654046977"/>
    <n v="3618732.8101977678"/>
    <m/>
    <m/>
    <m/>
  </r>
  <r>
    <x v="45"/>
    <x v="6"/>
    <x v="0"/>
    <x v="0"/>
    <n v="9800000"/>
    <n v="1.85"/>
    <n v="1.8414900000000001"/>
    <n v="5321777.4736762075"/>
    <n v="4478222.5263237925"/>
    <n v="1376695.0076816094"/>
    <n v="3101527.5186421834"/>
    <n v="66699.057654046977"/>
    <n v="3034828.4609881365"/>
    <m/>
    <m/>
    <m/>
  </r>
  <r>
    <x v="45"/>
    <x v="7"/>
    <x v="0"/>
    <x v="0"/>
    <n v="9800000"/>
    <n v="1.85"/>
    <n v="1.8414900000000001"/>
    <n v="5321777.4736762075"/>
    <n v="4478222.5263237925"/>
    <n v="1382424.2990812433"/>
    <n v="3095798.227242549"/>
    <n v="66699.057654046977"/>
    <n v="3029099.169588502"/>
    <m/>
    <m/>
    <m/>
  </r>
  <r>
    <x v="45"/>
    <x v="8"/>
    <x v="0"/>
    <x v="0"/>
    <n v="9800000"/>
    <n v="1.85"/>
    <n v="1.8414900000000001"/>
    <n v="5321777.4736762075"/>
    <n v="4478222.5263237925"/>
    <n v="1525866.3478919545"/>
    <n v="2952356.1784318378"/>
    <n v="66699.057654046977"/>
    <n v="2885657.1207777909"/>
    <m/>
    <m/>
    <m/>
  </r>
  <r>
    <x v="17"/>
    <x v="11"/>
    <x v="0"/>
    <x v="0"/>
    <n v="6950000"/>
    <n v="1.83"/>
    <n v="1.821582"/>
    <n v="3815364.8861264549"/>
    <n v="3134635.1138735451"/>
    <n v="1343813.4118680258"/>
    <n v="1790821.7020055193"/>
    <n v="47301.88272404352"/>
    <n v="1743519.8192814759"/>
    <m/>
    <m/>
    <m/>
  </r>
  <r>
    <x v="46"/>
    <x v="0"/>
    <x v="0"/>
    <x v="0"/>
    <n v="11029019"/>
    <n v="5.27"/>
    <n v="5.2457579999999995"/>
    <n v="2102464.3149760244"/>
    <n v="8926554.6850239746"/>
    <n v="461319.23992784927"/>
    <n v="8465235.4450961258"/>
    <n v="75063.793280467304"/>
    <n v="8390171.6518156584"/>
    <m/>
    <m/>
    <m/>
  </r>
  <r>
    <x v="46"/>
    <x v="1"/>
    <x v="0"/>
    <x v="0"/>
    <n v="11029019"/>
    <n v="5.27"/>
    <n v="5.2457579999999995"/>
    <n v="2102464.3149760244"/>
    <n v="8926554.6850239746"/>
    <n v="454464.16063747031"/>
    <n v="8472090.5243865047"/>
    <n v="75063.793280467304"/>
    <n v="8397026.7311060373"/>
    <m/>
    <m/>
    <m/>
  </r>
  <r>
    <x v="46"/>
    <x v="2"/>
    <x v="0"/>
    <x v="0"/>
    <n v="11029019"/>
    <n v="5.27"/>
    <n v="5.2457579999999995"/>
    <n v="2102464.3149760244"/>
    <n v="8926554.6850239746"/>
    <n v="328799.18356228434"/>
    <n v="8597755.5014616903"/>
    <n v="75063.793280467304"/>
    <n v="8522691.7081812229"/>
    <m/>
    <m/>
    <m/>
  </r>
  <r>
    <x v="46"/>
    <x v="3"/>
    <x v="0"/>
    <x v="0"/>
    <n v="11029019"/>
    <n v="5.27"/>
    <n v="5.2457579999999995"/>
    <n v="2102464.3149760244"/>
    <n v="8926554.6850239746"/>
    <n v="338030.3416963091"/>
    <n v="8588524.3433276657"/>
    <n v="75063.793280467304"/>
    <n v="8513460.5500471983"/>
    <m/>
    <m/>
    <m/>
  </r>
  <r>
    <x v="46"/>
    <x v="4"/>
    <x v="0"/>
    <x v="0"/>
    <n v="11029019"/>
    <n v="5.27"/>
    <n v="5.2457579999999995"/>
    <n v="2102464.3149760244"/>
    <n v="8926554.6850239746"/>
    <n v="278851.39193487825"/>
    <n v="8647703.2930890955"/>
    <n v="75063.793280467304"/>
    <n v="8572639.4998086281"/>
    <m/>
    <m/>
    <m/>
  </r>
  <r>
    <x v="46"/>
    <x v="5"/>
    <x v="0"/>
    <x v="0"/>
    <n v="11029019"/>
    <n v="5.27"/>
    <n v="5.2457579999999995"/>
    <n v="2102464.3149760244"/>
    <n v="8926554.6850239746"/>
    <n v="313206.26932043949"/>
    <n v="8613348.4157035351"/>
    <n v="75063.793280467304"/>
    <n v="8538284.6224230677"/>
    <m/>
    <m/>
    <m/>
  </r>
  <r>
    <x v="46"/>
    <x v="6"/>
    <x v="0"/>
    <x v="0"/>
    <n v="11029019"/>
    <n v="5.27"/>
    <n v="5.2457579999999995"/>
    <n v="2102464.3149760244"/>
    <n v="8926554.6850239746"/>
    <n v="543888.22918158991"/>
    <n v="8382666.4558423851"/>
    <n v="75063.793280467304"/>
    <n v="8307602.6625619177"/>
    <m/>
    <m/>
    <m/>
  </r>
  <r>
    <x v="46"/>
    <x v="7"/>
    <x v="0"/>
    <x v="0"/>
    <n v="11029019"/>
    <n v="5.27"/>
    <n v="5.2457579999999995"/>
    <n v="2102464.3149760244"/>
    <n v="8926554.6850239746"/>
    <n v="546151.68923368945"/>
    <n v="8380402.9957902851"/>
    <n v="75063.793280467304"/>
    <n v="8305339.2025098177"/>
    <m/>
    <m/>
    <m/>
  </r>
  <r>
    <x v="46"/>
    <x v="8"/>
    <x v="0"/>
    <x v="0"/>
    <n v="11029019"/>
    <n v="5.27"/>
    <n v="5.2457579999999995"/>
    <n v="2102464.3149760244"/>
    <n v="8926554.6850239746"/>
    <n v="602821.06152205018"/>
    <n v="8323733.6235019248"/>
    <n v="75063.793280467304"/>
    <n v="8248669.8302214574"/>
    <m/>
    <m/>
    <m/>
  </r>
  <r>
    <x v="46"/>
    <x v="9"/>
    <x v="0"/>
    <x v="0"/>
    <n v="11029019"/>
    <n v="5.27"/>
    <n v="5.2457579999999995"/>
    <n v="2102464.3149760244"/>
    <n v="8926554.6850239746"/>
    <n v="654207.49702377839"/>
    <n v="8272347.1880001966"/>
    <n v="75063.793280467304"/>
    <n v="8197283.3947197292"/>
    <m/>
    <m/>
    <m/>
  </r>
  <r>
    <x v="46"/>
    <x v="10"/>
    <x v="0"/>
    <x v="0"/>
    <n v="11029019"/>
    <n v="5.27"/>
    <n v="5.2457579999999995"/>
    <n v="2102464.3149760244"/>
    <n v="8926554.6850239746"/>
    <n v="858514.19787096477"/>
    <n v="8068040.4871530095"/>
    <n v="75063.793280467304"/>
    <n v="7992976.6938725421"/>
    <m/>
    <m/>
    <m/>
  </r>
  <r>
    <x v="46"/>
    <x v="11"/>
    <x v="0"/>
    <x v="0"/>
    <n v="11029019"/>
    <n v="5.27"/>
    <n v="5.2457579999999995"/>
    <n v="2102464.3149760244"/>
    <n v="8926554.6850239746"/>
    <n v="740511.02024663903"/>
    <n v="8186043.6647773357"/>
    <n v="75063.793280467304"/>
    <n v="8110979.8714968683"/>
    <m/>
    <m/>
    <m/>
  </r>
  <r>
    <x v="46"/>
    <x v="12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3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4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5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6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7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8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9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0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1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2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3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4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5"/>
    <x v="0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7"/>
    <x v="0"/>
    <x v="0"/>
    <x v="0"/>
    <n v="10920000"/>
    <n v="5.0599999999999996"/>
    <n v="5.0367239999999995"/>
    <n v="2168075.9160120748"/>
    <n v="8751924.0839879252"/>
    <n v="475715.62882482097"/>
    <n v="8276208.4551631045"/>
    <n v="74321.80710022377"/>
    <n v="8201886.6480628811"/>
    <m/>
    <m/>
    <m/>
  </r>
  <r>
    <x v="47"/>
    <x v="1"/>
    <x v="0"/>
    <x v="0"/>
    <n v="10920000"/>
    <n v="5.0599999999999996"/>
    <n v="5.0367239999999995"/>
    <n v="2168075.9160120748"/>
    <n v="8751924.0839879252"/>
    <n v="468646.62308429158"/>
    <n v="8283277.4609036334"/>
    <n v="74321.80710022377"/>
    <n v="8208955.65380341"/>
    <m/>
    <m/>
    <m/>
  </r>
  <r>
    <x v="47"/>
    <x v="2"/>
    <x v="0"/>
    <x v="0"/>
    <n v="10920000"/>
    <n v="5.0599999999999996"/>
    <n v="5.0367239999999995"/>
    <n v="2168075.9160120748"/>
    <n v="8751924.0839879252"/>
    <n v="339060.01923935203"/>
    <n v="8412864.064748574"/>
    <n v="74321.80710022377"/>
    <n v="8338542.2576483507"/>
    <m/>
    <m/>
    <m/>
  </r>
  <r>
    <x v="47"/>
    <x v="3"/>
    <x v="0"/>
    <x v="0"/>
    <n v="10920000"/>
    <n v="5.0599999999999996"/>
    <n v="5.0367239999999995"/>
    <n v="2168075.9160120748"/>
    <n v="8751924.0839879252"/>
    <n v="348579.25411278976"/>
    <n v="8403344.8298751358"/>
    <n v="74321.80710022377"/>
    <n v="8329023.0227749124"/>
    <m/>
    <m/>
    <m/>
  </r>
  <r>
    <x v="47"/>
    <x v="4"/>
    <x v="0"/>
    <x v="0"/>
    <n v="10920000"/>
    <n v="5.0599999999999996"/>
    <n v="5.0367239999999995"/>
    <n v="2168075.9160120748"/>
    <n v="8751924.0839879252"/>
    <n v="287553.50694613217"/>
    <n v="8464370.5770417936"/>
    <n v="74321.80710022377"/>
    <n v="8390048.7699415702"/>
    <m/>
    <m/>
    <m/>
  </r>
  <r>
    <x v="47"/>
    <x v="5"/>
    <x v="0"/>
    <x v="0"/>
    <n v="10920000"/>
    <n v="5.0599999999999996"/>
    <n v="5.0367239999999995"/>
    <n v="2168075.9160120748"/>
    <n v="8751924.0839879252"/>
    <n v="322980.49694383523"/>
    <n v="8428943.58704409"/>
    <n v="74321.80710022377"/>
    <n v="8354621.7799438667"/>
    <m/>
    <m/>
    <m/>
  </r>
  <r>
    <x v="47"/>
    <x v="6"/>
    <x v="0"/>
    <x v="0"/>
    <n v="10920000"/>
    <n v="5.0599999999999996"/>
    <n v="5.0367239999999995"/>
    <n v="2168075.9160120748"/>
    <n v="8751924.0839879252"/>
    <n v="560861.34841461398"/>
    <n v="8191062.7355733113"/>
    <n v="74321.80710022377"/>
    <n v="8116740.928473088"/>
    <m/>
    <m/>
    <m/>
  </r>
  <r>
    <x v="47"/>
    <x v="7"/>
    <x v="0"/>
    <x v="0"/>
    <n v="10920000"/>
    <n v="5.0599999999999996"/>
    <n v="5.0367239999999995"/>
    <n v="2168075.9160120748"/>
    <n v="8751924.0839879252"/>
    <n v="563195.44426150038"/>
    <n v="8188728.6397264246"/>
    <n v="74321.80710022377"/>
    <n v="8114406.8326262012"/>
    <m/>
    <m/>
    <m/>
  </r>
  <r>
    <x v="47"/>
    <x v="8"/>
    <x v="0"/>
    <x v="0"/>
    <n v="10920000"/>
    <n v="5.0599999999999996"/>
    <n v="5.0367239999999995"/>
    <n v="2168075.9160120748"/>
    <n v="8751924.0839879252"/>
    <n v="621633.29757427739"/>
    <n v="8130290.7864136482"/>
    <n v="74321.80710022377"/>
    <n v="8055968.9793134248"/>
    <m/>
    <m/>
    <m/>
  </r>
  <r>
    <x v="47"/>
    <x v="9"/>
    <x v="0"/>
    <x v="0"/>
    <n v="10920000"/>
    <n v="5.0599999999999996"/>
    <n v="5.0367239999999995"/>
    <n v="2168075.9160120748"/>
    <n v="8751924.0839879252"/>
    <n v="674623.34949926089"/>
    <n v="8077300.7344886642"/>
    <n v="74321.80710022377"/>
    <n v="8002978.9273884408"/>
    <m/>
    <m/>
    <m/>
  </r>
  <r>
    <x v="47"/>
    <x v="10"/>
    <x v="0"/>
    <x v="0"/>
    <n v="10920000"/>
    <n v="5.0599999999999996"/>
    <n v="5.0367239999999995"/>
    <n v="2168075.9160120748"/>
    <n v="8751924.0839879252"/>
    <n v="885305.84928367217"/>
    <n v="7866618.2347042533"/>
    <n v="74321.80710022377"/>
    <n v="7792296.4276040299"/>
    <m/>
    <m/>
    <m/>
  </r>
  <r>
    <x v="47"/>
    <x v="11"/>
    <x v="0"/>
    <x v="0"/>
    <n v="10920000"/>
    <n v="5.0599999999999996"/>
    <n v="5.0367239999999995"/>
    <n v="2168075.9160120748"/>
    <n v="8751924.0839879252"/>
    <n v="763620.14665470144"/>
    <n v="7988303.9373332234"/>
    <n v="74321.80710022377"/>
    <n v="7913982.130233"/>
    <m/>
    <m/>
    <m/>
  </r>
  <r>
    <x v="47"/>
    <x v="12"/>
    <x v="0"/>
    <x v="0"/>
    <n v="10920000"/>
    <n v="5.0599999999999996"/>
    <n v="5.0367239999999995"/>
    <n v="2168075.9160120748"/>
    <n v="8751924.0839879252"/>
    <s v=""/>
    <s v=""/>
    <n v="74321.80710022377"/>
    <s v=""/>
    <m/>
    <m/>
    <m/>
  </r>
  <r>
    <x v="48"/>
    <x v="0"/>
    <x v="0"/>
    <x v="0"/>
    <n v="60561853.894285716"/>
    <n v="2.06"/>
    <n v="2.0505239999999998"/>
    <n v="29534818.365591295"/>
    <n v="31027035.528694421"/>
    <n v="6480480.9588299869"/>
    <n v="24546554.569864433"/>
    <n v="412185.56985009514"/>
    <n v="24134369.000014339"/>
    <m/>
    <m/>
    <m/>
  </r>
  <r>
    <x v="48"/>
    <x v="1"/>
    <x v="0"/>
    <x v="0"/>
    <n v="60561853.894285716"/>
    <n v="2.06"/>
    <n v="2.0505239999999998"/>
    <n v="29534818.365591295"/>
    <n v="31027035.528694421"/>
    <n v="6384182.7623369945"/>
    <n v="24642852.766357426"/>
    <n v="412185.56985009514"/>
    <n v="24230667.196507331"/>
    <m/>
    <m/>
    <m/>
  </r>
  <r>
    <x v="48"/>
    <x v="2"/>
    <x v="0"/>
    <x v="0"/>
    <n v="60561853.894285716"/>
    <n v="2.06"/>
    <n v="2.0505239999999998"/>
    <n v="29534818.365591295"/>
    <n v="31027035.528694421"/>
    <n v="4618877.0463757049"/>
    <n v="26408158.482318714"/>
    <n v="412185.56985009514"/>
    <n v="25995972.91246862"/>
    <m/>
    <m/>
    <m/>
  </r>
  <r>
    <x v="48"/>
    <x v="3"/>
    <x v="0"/>
    <x v="0"/>
    <n v="60561853.894285716"/>
    <n v="2.06"/>
    <n v="2.0505239999999998"/>
    <n v="29534818.365591295"/>
    <n v="31027035.528694421"/>
    <n v="4748553.7200059919"/>
    <n v="26278481.808688428"/>
    <n v="412185.56985009514"/>
    <n v="25866296.238838334"/>
    <m/>
    <m/>
    <m/>
  </r>
  <r>
    <x v="48"/>
    <x v="4"/>
    <x v="0"/>
    <x v="0"/>
    <n v="60561853.894285716"/>
    <n v="2.06"/>
    <n v="2.0505239999999998"/>
    <n v="29534818.365591295"/>
    <n v="31027035.528694421"/>
    <n v="3917224.7315326519"/>
    <n v="27109810.797161769"/>
    <n v="412185.56985009514"/>
    <n v="26697625.227311675"/>
    <m/>
    <m/>
    <m/>
  </r>
  <r>
    <x v="48"/>
    <x v="5"/>
    <x v="0"/>
    <x v="0"/>
    <n v="60561853.894285716"/>
    <n v="2.06"/>
    <n v="2.0505239999999998"/>
    <n v="29534818.365591295"/>
    <n v="31027035.528694421"/>
    <n v="4399832.2394590266"/>
    <n v="26627203.289235394"/>
    <n v="412185.56985009514"/>
    <n v="26215017.7193853"/>
    <m/>
    <m/>
    <m/>
  </r>
  <r>
    <x v="48"/>
    <x v="6"/>
    <x v="0"/>
    <x v="0"/>
    <n v="60561853.894285716"/>
    <n v="2.06"/>
    <n v="2.0505239999999998"/>
    <n v="29534818.365591295"/>
    <n v="31027035.528694421"/>
    <n v="7640386.5433713822"/>
    <n v="23386648.985323038"/>
    <n v="412185.56985009514"/>
    <n v="22974463.415472943"/>
    <m/>
    <m/>
    <m/>
  </r>
  <r>
    <x v="48"/>
    <x v="7"/>
    <x v="0"/>
    <x v="0"/>
    <n v="60561853.894285716"/>
    <n v="2.06"/>
    <n v="2.0505239999999998"/>
    <n v="29534818.365591295"/>
    <n v="31027035.528694421"/>
    <n v="7672182.9838818572"/>
    <n v="23354852.544812564"/>
    <n v="412185.56985009514"/>
    <n v="22942666.974962469"/>
    <m/>
    <m/>
    <m/>
  </r>
  <r>
    <x v="48"/>
    <x v="8"/>
    <x v="0"/>
    <x v="0"/>
    <n v="60561853.894285716"/>
    <n v="2.06"/>
    <n v="2.0505239999999998"/>
    <n v="29534818.365591295"/>
    <n v="31027035.528694421"/>
    <n v="8468258.1445905399"/>
    <n v="22558777.384103879"/>
    <n v="412185.56985009514"/>
    <n v="22146591.814253785"/>
    <m/>
    <m/>
    <m/>
  </r>
  <r>
    <x v="48"/>
    <x v="9"/>
    <x v="0"/>
    <x v="0"/>
    <n v="60561853.894285716"/>
    <n v="2.06"/>
    <n v="2.0505239999999998"/>
    <n v="29534818.365591295"/>
    <n v="31027035.528694421"/>
    <n v="9190120.1177941225"/>
    <n v="21836915.410900299"/>
    <n v="412185.56985009514"/>
    <n v="21424729.841050204"/>
    <m/>
    <m/>
    <m/>
  </r>
  <r>
    <x v="48"/>
    <x v="10"/>
    <x v="0"/>
    <x v="0"/>
    <n v="60561853.894285716"/>
    <n v="2.06"/>
    <n v="2.0505239999999998"/>
    <n v="29534818.365591295"/>
    <n v="31027035.528694421"/>
    <n v="12060162.314188624"/>
    <n v="18966873.214505799"/>
    <n v="412185.56985009514"/>
    <n v="18554687.644655704"/>
    <m/>
    <m/>
    <m/>
  </r>
  <r>
    <x v="48"/>
    <x v="11"/>
    <x v="0"/>
    <x v="0"/>
    <n v="60561853.894285716"/>
    <n v="2.06"/>
    <n v="2.0505239999999998"/>
    <n v="29534818.365591295"/>
    <n v="31027035.528694421"/>
    <n v="10402487.369186377"/>
    <n v="20624548.159508042"/>
    <n v="412185.56985009514"/>
    <n v="20212362.589657947"/>
    <m/>
    <m/>
    <m/>
  </r>
  <r>
    <x v="49"/>
    <x v="0"/>
    <x v="0"/>
    <x v="0"/>
    <n v="15250000"/>
    <n v="2.0299999999999998"/>
    <n v="2.0206619999999997"/>
    <n v="7547031.6163712693"/>
    <n v="7702968.3836287307"/>
    <n v="1655957.1851832091"/>
    <n v="6047011.1984455213"/>
    <n v="103791.90094124657"/>
    <n v="5943219.2975042751"/>
    <m/>
    <m/>
    <m/>
  </r>
  <r>
    <x v="49"/>
    <x v="1"/>
    <x v="0"/>
    <x v="0"/>
    <n v="15250000"/>
    <n v="2.0299999999999998"/>
    <n v="2.0206619999999997"/>
    <n v="7547031.6163712693"/>
    <n v="7702968.3836287307"/>
    <n v="1631350.1087307313"/>
    <n v="6071618.2748979991"/>
    <n v="103791.90094124657"/>
    <n v="5967826.3739567529"/>
    <m/>
    <m/>
    <m/>
  </r>
  <r>
    <x v="49"/>
    <x v="2"/>
    <x v="0"/>
    <x v="0"/>
    <n v="15250000"/>
    <n v="2.0299999999999998"/>
    <n v="2.0206619999999997"/>
    <n v="7547031.6163712693"/>
    <n v="7702968.3836287307"/>
    <n v="1180261.5702468739"/>
    <n v="6522706.8133818563"/>
    <n v="103791.90094124657"/>
    <n v="6418914.9124406101"/>
    <m/>
    <m/>
    <m/>
  </r>
  <r>
    <x v="49"/>
    <x v="3"/>
    <x v="0"/>
    <x v="0"/>
    <n v="15250000"/>
    <n v="2.0299999999999998"/>
    <n v="2.0206619999999997"/>
    <n v="7547031.6163712693"/>
    <n v="7702968.3836287307"/>
    <n v="1213397.8483739072"/>
    <n v="6489570.535254823"/>
    <n v="103791.90094124657"/>
    <n v="6385778.6343135769"/>
    <m/>
    <m/>
    <m/>
  </r>
  <r>
    <x v="49"/>
    <x v="4"/>
    <x v="0"/>
    <x v="0"/>
    <n v="15250000"/>
    <n v="2.0299999999999998"/>
    <n v="2.0206619999999997"/>
    <n v="7547031.6163712693"/>
    <n v="7702968.3836287307"/>
    <n v="1000968.3666025319"/>
    <n v="6702000.017026199"/>
    <n v="103791.90094124657"/>
    <n v="6598208.1160849528"/>
    <m/>
    <m/>
    <m/>
  </r>
  <r>
    <x v="49"/>
    <x v="5"/>
    <x v="0"/>
    <x v="0"/>
    <n v="15250000"/>
    <n v="2.0299999999999998"/>
    <n v="2.0206619999999997"/>
    <n v="7547031.6163712693"/>
    <n v="7702968.3836287307"/>
    <n v="1124289.054596395"/>
    <n v="6578679.3290323354"/>
    <n v="103791.90094124657"/>
    <n v="6474887.4280910892"/>
    <m/>
    <m/>
    <m/>
  </r>
  <r>
    <x v="49"/>
    <x v="6"/>
    <x v="0"/>
    <x v="0"/>
    <n v="15250000"/>
    <n v="2.0299999999999998"/>
    <n v="2.0206619999999997"/>
    <n v="7547031.6163712693"/>
    <n v="7702968.3836287307"/>
    <n v="1952347.8387562789"/>
    <n v="5750620.5448724516"/>
    <n v="103791.90094124657"/>
    <n v="5646828.6439312054"/>
    <m/>
    <m/>
    <m/>
  </r>
  <r>
    <x v="49"/>
    <x v="7"/>
    <x v="0"/>
    <x v="0"/>
    <n v="15250000"/>
    <n v="2.0299999999999998"/>
    <n v="2.0206619999999997"/>
    <n v="7547031.6163712693"/>
    <n v="7702968.3836287307"/>
    <n v="1960472.7826394683"/>
    <n v="5742495.6009892626"/>
    <n v="103791.90094124657"/>
    <n v="5638703.7000480164"/>
    <m/>
    <m/>
    <m/>
  </r>
  <r>
    <x v="49"/>
    <x v="8"/>
    <x v="0"/>
    <x v="0"/>
    <n v="15250000"/>
    <n v="2.0299999999999998"/>
    <n v="2.0206619999999997"/>
    <n v="7547031.6163712693"/>
    <n v="7702968.3836287307"/>
    <n v="2163893.8544235332"/>
    <n v="5539074.5292051975"/>
    <n v="103791.90094124657"/>
    <n v="5435282.6282639513"/>
    <m/>
    <m/>
    <m/>
  </r>
  <r>
    <x v="49"/>
    <x v="9"/>
    <x v="0"/>
    <x v="0"/>
    <n v="15250000"/>
    <n v="2.0299999999999998"/>
    <n v="2.0206619999999997"/>
    <n v="7547031.6163712693"/>
    <n v="7702968.3836287307"/>
    <n v="2348351.2317125206"/>
    <n v="5354617.1519162096"/>
    <n v="103791.90094124657"/>
    <n v="5250825.2509749634"/>
    <m/>
    <m/>
    <m/>
  </r>
  <r>
    <x v="49"/>
    <x v="10"/>
    <x v="0"/>
    <x v="0"/>
    <n v="15250000"/>
    <n v="2.0299999999999998"/>
    <n v="2.0206619999999997"/>
    <n v="7547031.6163712693"/>
    <n v="7702968.3836287307"/>
    <n v="3081733.063569109"/>
    <n v="4621235.3200596217"/>
    <n v="103791.90094124657"/>
    <n v="4517443.4191183755"/>
    <m/>
    <m/>
    <m/>
  </r>
  <r>
    <x v="49"/>
    <x v="11"/>
    <x v="0"/>
    <x v="0"/>
    <n v="15250000"/>
    <n v="2.0299999999999998"/>
    <n v="2.0206619999999997"/>
    <n v="7547031.6163712693"/>
    <n v="7702968.3836287307"/>
    <n v="2658147.4140912876"/>
    <n v="5044820.9695374426"/>
    <n v="103791.90094124657"/>
    <n v="4941029.0685961964"/>
    <m/>
    <m/>
    <m/>
  </r>
  <r>
    <x v="50"/>
    <x v="0"/>
    <x v="0"/>
    <x v="0"/>
    <n v="20341421"/>
    <n v="2.62"/>
    <n v="2.6079479999999999"/>
    <n v="7799780.1336529721"/>
    <n v="12541640.866347028"/>
    <n v="1711414.8464879699"/>
    <n v="10830226.019859059"/>
    <n v="138444.24612696347"/>
    <n v="10691781.773732096"/>
    <m/>
    <m/>
    <m/>
  </r>
  <r>
    <x v="50"/>
    <x v="1"/>
    <x v="0"/>
    <x v="0"/>
    <n v="20341421"/>
    <n v="2.62"/>
    <n v="2.6079479999999999"/>
    <n v="7799780.1336529721"/>
    <n v="12541640.866347028"/>
    <n v="1685983.6841691348"/>
    <n v="10855657.182177894"/>
    <n v="138444.24612696347"/>
    <n v="10717212.936050931"/>
    <m/>
    <m/>
    <m/>
  </r>
  <r>
    <x v="50"/>
    <x v="2"/>
    <x v="0"/>
    <x v="0"/>
    <n v="20341421"/>
    <n v="2.62"/>
    <n v="2.6079479999999999"/>
    <n v="7799780.1336529721"/>
    <n v="12541640.866347028"/>
    <n v="1219788.2844635427"/>
    <n v="11321852.581883484"/>
    <n v="138444.24612696347"/>
    <n v="11183408.335756522"/>
    <m/>
    <m/>
    <m/>
  </r>
  <r>
    <x v="51"/>
    <x v="0"/>
    <x v="0"/>
    <x v="0"/>
    <n v="118601976.15000001"/>
    <n v="0.73"/>
    <n v="0.7266419999999999"/>
    <n v="163219269.11739209"/>
    <n v="-44617292.967392087"/>
    <n v="35813301.864137962"/>
    <n v="-80430594.831530049"/>
    <n v="807208.16786864842"/>
    <n v="-81237802.999398693"/>
    <m/>
    <m/>
    <m/>
  </r>
  <r>
    <x v="51"/>
    <x v="1"/>
    <x v="0"/>
    <x v="0"/>
    <n v="197669960.25"/>
    <n v="0.73"/>
    <n v="0.7266419999999999"/>
    <n v="272032115.19565344"/>
    <n v="-74362154.945653439"/>
    <n v="58801876.454315983"/>
    <n v="-133164031.39996943"/>
    <n v="1345346.9464477473"/>
    <n v="-134509378.34641719"/>
    <m/>
    <m/>
    <m/>
  </r>
  <r>
    <x v="51"/>
    <x v="2"/>
    <x v="0"/>
    <x v="0"/>
    <n v="171313965.55000007"/>
    <n v="0.73"/>
    <n v="0.7266419999999999"/>
    <n v="235761166.50289977"/>
    <n v="-64447200.952899694"/>
    <n v="36870104.529088855"/>
    <n v="-101317305.48198855"/>
    <n v="1165967.3535880481"/>
    <n v="-102483272.83557659"/>
    <m/>
    <m/>
    <m/>
  </r>
  <r>
    <x v="51"/>
    <x v="3"/>
    <x v="0"/>
    <x v="0"/>
    <n v="210847957.5999999"/>
    <n v="0.73"/>
    <n v="0.7266419999999999"/>
    <n v="290167589.54203022"/>
    <n v="-79319631.942030311"/>
    <n v="46652610.816467233"/>
    <n v="-125972242.75849754"/>
    <n v="1435036.7428775965"/>
    <n v="-127407279.50137514"/>
    <m/>
    <m/>
    <m/>
  </r>
  <r>
    <x v="52"/>
    <x v="0"/>
    <x v="0"/>
    <x v="0"/>
    <n v="12773052.833333334"/>
    <n v="2.2999999999999998"/>
    <n v="2.2894199999999998"/>
    <n v="5579165.3926904351"/>
    <n v="7193887.4406428989"/>
    <n v="1224171.2356564121"/>
    <n v="5969716.2049864866"/>
    <n v="86933.733402927362"/>
    <n v="5882782.4715835592"/>
    <m/>
    <m/>
    <m/>
  </r>
  <r>
    <x v="52"/>
    <x v="1"/>
    <x v="0"/>
    <x v="0"/>
    <n v="12773052.833333334"/>
    <n v="2.2999999999999998"/>
    <n v="2.2894199999999998"/>
    <n v="5579165.3926904351"/>
    <n v="7193887.4406428989"/>
    <n v="1205980.3817767035"/>
    <n v="5987907.0588661954"/>
    <n v="86933.733402927362"/>
    <n v="5900973.325463268"/>
    <m/>
    <m/>
    <m/>
  </r>
  <r>
    <x v="53"/>
    <x v="0"/>
    <x v="0"/>
    <x v="0"/>
    <n v="50000000"/>
    <n v="2"/>
    <n v="1.9907999999999999"/>
    <n v="25115531.444645371"/>
    <n v="24884468.555354629"/>
    <n v="5510808.337576909"/>
    <n v="19373660.217777722"/>
    <n v="340301.31456146418"/>
    <n v="19033358.903216258"/>
    <m/>
    <m/>
    <m/>
  </r>
  <r>
    <x v="53"/>
    <x v="1"/>
    <x v="0"/>
    <x v="0"/>
    <n v="50000000"/>
    <n v="2"/>
    <n v="1.9907999999999999"/>
    <n v="25115531.444645371"/>
    <n v="24884468.555354629"/>
    <n v="5428919.2143006306"/>
    <n v="19455549.341054"/>
    <n v="340301.31456146418"/>
    <n v="19115248.026492536"/>
    <m/>
    <m/>
    <m/>
  </r>
  <r>
    <x v="53"/>
    <x v="2"/>
    <x v="0"/>
    <x v="0"/>
    <n v="50000000"/>
    <n v="2"/>
    <n v="1.9907999999999999"/>
    <n v="25115531.444645371"/>
    <n v="24884468.555354629"/>
    <n v="3927755.7173789409"/>
    <n v="20956712.837975688"/>
    <n v="340301.31456146418"/>
    <n v="20616411.523414224"/>
    <m/>
    <m/>
    <m/>
  </r>
  <r>
    <x v="53"/>
    <x v="3"/>
    <x v="0"/>
    <x v="0"/>
    <n v="50000000"/>
    <n v="2"/>
    <n v="1.9907999999999999"/>
    <n v="25115531.444645371"/>
    <n v="24884468.555354629"/>
    <n v="4038028.9052443136"/>
    <n v="20846439.650110316"/>
    <n v="340301.31456146418"/>
    <n v="20506138.335548852"/>
    <m/>
    <m/>
    <m/>
  </r>
  <r>
    <x v="53"/>
    <x v="4"/>
    <x v="0"/>
    <x v="0"/>
    <n v="50000000"/>
    <n v="2"/>
    <n v="1.9907999999999999"/>
    <n v="25115531.444645371"/>
    <n v="24884468.555354629"/>
    <n v="3331091.4495133436"/>
    <n v="21553377.105841286"/>
    <n v="340301.31456146418"/>
    <n v="21213075.791279823"/>
    <m/>
    <m/>
    <m/>
  </r>
  <r>
    <x v="54"/>
    <x v="0"/>
    <x v="0"/>
    <x v="0"/>
    <n v="48166666.666666664"/>
    <n v="2.44"/>
    <n v="2.428776"/>
    <n v="19831662.80738391"/>
    <n v="28335003.859282754"/>
    <n v="4351430.627212367"/>
    <n v="23983573.232070386"/>
    <n v="327823.59969421045"/>
    <n v="23655749.632376175"/>
    <m/>
    <m/>
    <m/>
  </r>
  <r>
    <x v="54"/>
    <x v="1"/>
    <x v="0"/>
    <x v="0"/>
    <n v="48166666.666666664"/>
    <n v="2.44"/>
    <n v="2.428776"/>
    <n v="19831662.80738391"/>
    <n v="28335003.859282754"/>
    <n v="4286769.5435324647"/>
    <n v="24048234.31575029"/>
    <n v="327823.59969421045"/>
    <n v="23720410.716056079"/>
    <m/>
    <m/>
    <m/>
  </r>
  <r>
    <x v="54"/>
    <x v="2"/>
    <x v="0"/>
    <x v="0"/>
    <n v="48166666.666666664"/>
    <n v="2.44"/>
    <n v="2.428776"/>
    <n v="19831662.80738391"/>
    <n v="28335003.859282754"/>
    <n v="3101424.5965096005"/>
    <n v="25233579.262773152"/>
    <n v="327823.59969421045"/>
    <n v="24905755.663078941"/>
    <m/>
    <m/>
    <m/>
  </r>
  <r>
    <x v="54"/>
    <x v="3"/>
    <x v="0"/>
    <x v="0"/>
    <n v="48166666.666666664"/>
    <n v="2.44"/>
    <n v="2.428776"/>
    <n v="19831662.80738391"/>
    <n v="28335003.859282754"/>
    <n v="3188498.2339224215"/>
    <n v="25146505.625360332"/>
    <n v="327823.59969421045"/>
    <n v="24818682.025666121"/>
    <m/>
    <m/>
    <m/>
  </r>
  <r>
    <x v="54"/>
    <x v="4"/>
    <x v="0"/>
    <x v="0"/>
    <n v="48166666.666666664"/>
    <n v="2.44"/>
    <n v="2.428776"/>
    <n v="19831662.80738391"/>
    <n v="28335003.859282754"/>
    <n v="2630288.0571293887"/>
    <n v="25704715.802153364"/>
    <n v="327823.59969421045"/>
    <n v="25376892.202459153"/>
    <m/>
    <m/>
    <m/>
  </r>
  <r>
    <x v="54"/>
    <x v="5"/>
    <x v="0"/>
    <x v="0"/>
    <n v="48166666.666666664"/>
    <n v="2.44"/>
    <n v="2.428776"/>
    <n v="19831662.80738391"/>
    <n v="28335003.859282754"/>
    <n v="2954343.1857926492"/>
    <n v="25380660.673490107"/>
    <n v="327823.59969421045"/>
    <n v="25052837.073795896"/>
    <m/>
    <m/>
    <m/>
  </r>
  <r>
    <x v="55"/>
    <x v="1"/>
    <x v="0"/>
    <x v="0"/>
    <n v="9800000"/>
    <n v="1"/>
    <n v="0.99539999999999995"/>
    <n v="9845288.3263009842"/>
    <n v="-45288.326300984249"/>
    <n v="2128136.3320058468"/>
    <n v="-2173424.658306831"/>
    <n v="66699.057654046977"/>
    <n v="-2240123.7159608779"/>
    <m/>
    <m/>
    <m/>
  </r>
  <r>
    <x v="55"/>
    <x v="2"/>
    <x v="0"/>
    <x v="0"/>
    <n v="9800000"/>
    <n v="1"/>
    <n v="0.99539999999999995"/>
    <n v="9845288.3263009842"/>
    <n v="-45288.326300984249"/>
    <n v="1539680.2412125445"/>
    <n v="-1584968.5675135287"/>
    <n v="66699.057654046977"/>
    <n v="-1651667.6251675757"/>
    <m/>
    <m/>
    <m/>
  </r>
  <r>
    <x v="55"/>
    <x v="3"/>
    <x v="0"/>
    <x v="0"/>
    <n v="9800000"/>
    <n v="1"/>
    <n v="0.99539999999999995"/>
    <n v="9845288.3263009842"/>
    <n v="-45288.326300984249"/>
    <n v="1582907.3308557707"/>
    <n v="-1628195.657156755"/>
    <n v="66699.057654046977"/>
    <n v="-1694894.7148108019"/>
    <m/>
    <m/>
    <m/>
  </r>
  <r>
    <x v="55"/>
    <x v="4"/>
    <x v="0"/>
    <x v="0"/>
    <n v="9800000"/>
    <n v="1"/>
    <n v="0.99539999999999995"/>
    <n v="9845288.3263009842"/>
    <n v="-45288.326300984249"/>
    <n v="1305787.8482092305"/>
    <n v="-1351076.1745102147"/>
    <n v="66699.057654046977"/>
    <n v="-1417775.2321642616"/>
    <m/>
    <m/>
    <m/>
  </r>
  <r>
    <x v="55"/>
    <x v="5"/>
    <x v="0"/>
    <x v="0"/>
    <n v="9800000"/>
    <n v="1"/>
    <n v="0.99539999999999995"/>
    <n v="9845288.3263009842"/>
    <n v="-45288.326300984249"/>
    <n v="1466662.7181731593"/>
    <n v="-1511951.0444741435"/>
    <n v="66699.057654046977"/>
    <n v="-1578650.1021281905"/>
    <m/>
    <m/>
    <m/>
  </r>
  <r>
    <x v="55"/>
    <x v="6"/>
    <x v="0"/>
    <x v="0"/>
    <n v="9800000"/>
    <n v="1"/>
    <n v="0.99539999999999995"/>
    <n v="9845288.3263009842"/>
    <n v="-45288.326300984249"/>
    <n v="2546885.7642109776"/>
    <n v="-2592174.0905119618"/>
    <n v="66699.057654046977"/>
    <n v="-2658873.1481660088"/>
    <m/>
    <m/>
    <m/>
  </r>
  <r>
    <x v="55"/>
    <x v="7"/>
    <x v="0"/>
    <x v="0"/>
    <n v="9800000"/>
    <n v="1"/>
    <n v="0.99539999999999995"/>
    <n v="9845288.3263009842"/>
    <n v="-45288.326300984249"/>
    <n v="2557484.9533003001"/>
    <n v="-2602773.2796012843"/>
    <n v="66699.057654046977"/>
    <n v="-2669472.3372553312"/>
    <m/>
    <m/>
    <m/>
  </r>
  <r>
    <x v="55"/>
    <x v="8"/>
    <x v="0"/>
    <x v="0"/>
    <n v="9800000"/>
    <n v="1"/>
    <n v="0.99539999999999995"/>
    <n v="9845288.3263009842"/>
    <n v="-45288.326300984249"/>
    <n v="2822852.7436001156"/>
    <n v="-2868141.0699010999"/>
    <n v="66699.057654046977"/>
    <n v="-2934840.1275551468"/>
    <m/>
    <m/>
    <m/>
  </r>
  <r>
    <x v="55"/>
    <x v="9"/>
    <x v="0"/>
    <x v="0"/>
    <n v="9800000"/>
    <n v="1"/>
    <n v="0.99539999999999995"/>
    <n v="9845288.3263009842"/>
    <n v="-45288.326300984249"/>
    <n v="3063481.9281107462"/>
    <n v="-3108770.2544117304"/>
    <n v="66699.057654046977"/>
    <n v="-3175469.3120657774"/>
    <m/>
    <m/>
    <m/>
  </r>
  <r>
    <x v="55"/>
    <x v="10"/>
    <x v="0"/>
    <x v="0"/>
    <n v="9800000"/>
    <n v="1"/>
    <n v="0.99539999999999995"/>
    <n v="9845288.3263009842"/>
    <n v="-45288.326300984249"/>
    <n v="4020196.5617471365"/>
    <n v="-4065484.8880481208"/>
    <n v="66699.057654046977"/>
    <n v="-4132183.9457021677"/>
    <m/>
    <m/>
    <m/>
  </r>
  <r>
    <x v="55"/>
    <x v="11"/>
    <x v="0"/>
    <x v="0"/>
    <n v="9800000"/>
    <n v="1"/>
    <n v="0.99539999999999995"/>
    <n v="9845288.3263009842"/>
    <n v="-45288.326300984249"/>
    <n v="3467618.6659627589"/>
    <n v="-3512906.9922637432"/>
    <n v="66699.057654046977"/>
    <n v="-3579606.0499177901"/>
    <m/>
    <m/>
    <m/>
  </r>
  <r>
    <x v="55"/>
    <x v="12"/>
    <x v="0"/>
    <x v="0"/>
    <n v="9800000"/>
    <n v="1"/>
    <n v="0.99539999999999995"/>
    <n v="9845288.3263009842"/>
    <n v="-45288.326300984249"/>
    <s v=""/>
    <s v=""/>
    <n v="66699.057654046977"/>
    <s v=""/>
    <m/>
    <m/>
    <m/>
  </r>
  <r>
    <x v="55"/>
    <x v="13"/>
    <x v="0"/>
    <x v="0"/>
    <n v="9800000"/>
    <n v="1"/>
    <n v="0.99539999999999995"/>
    <n v="9845288.3263009842"/>
    <n v="-45288.326300984249"/>
    <s v=""/>
    <s v=""/>
    <n v="66699.057654046977"/>
    <s v=""/>
    <m/>
    <m/>
    <m/>
  </r>
  <r>
    <x v="55"/>
    <x v="14"/>
    <x v="0"/>
    <x v="0"/>
    <n v="9800000"/>
    <n v="1"/>
    <n v="0.99539999999999995"/>
    <n v="9845288.3263009842"/>
    <n v="-45288.326300984249"/>
    <s v=""/>
    <s v=""/>
    <n v="66699.057654046977"/>
    <s v=""/>
    <m/>
    <m/>
    <m/>
  </r>
  <r>
    <x v="52"/>
    <x v="2"/>
    <x v="0"/>
    <x v="0"/>
    <n v="12773052.833333334"/>
    <n v="2.2999999999999998"/>
    <n v="2.2894199999999998"/>
    <n v="5579165.3926904351"/>
    <n v="7193887.4406428989"/>
    <n v="872511.84860014403"/>
    <n v="6321375.5920427553"/>
    <n v="86933.733402927362"/>
    <n v="6234441.8586398279"/>
    <m/>
    <m/>
    <m/>
  </r>
  <r>
    <x v="52"/>
    <x v="3"/>
    <x v="0"/>
    <x v="0"/>
    <n v="12773052.833333334"/>
    <n v="2.2999999999999998"/>
    <n v="2.2894199999999998"/>
    <n v="5579165.3926904351"/>
    <n v="7193887.4406428989"/>
    <n v="897007.93998630915"/>
    <n v="6296879.5006565899"/>
    <n v="86933.733402927362"/>
    <n v="6209945.7672536625"/>
    <m/>
    <m/>
    <m/>
  </r>
  <r>
    <x v="52"/>
    <x v="4"/>
    <x v="0"/>
    <x v="0"/>
    <n v="12773052.833333334"/>
    <n v="2.2999999999999998"/>
    <n v="2.2894199999999998"/>
    <n v="5579165.3926904351"/>
    <n v="7193887.4406428989"/>
    <n v="739968.81873563235"/>
    <n v="6453918.6219072668"/>
    <n v="86933.733402927362"/>
    <n v="6366984.8885043394"/>
    <m/>
    <m/>
    <m/>
  </r>
  <r>
    <x v="52"/>
    <x v="5"/>
    <x v="0"/>
    <x v="0"/>
    <n v="12773052.833333334"/>
    <n v="2.2999999999999998"/>
    <n v="2.2894199999999998"/>
    <n v="5579165.3926904351"/>
    <n v="7193887.4406428989"/>
    <n v="831134.00123806763"/>
    <n v="6362753.4394048313"/>
    <n v="86933.733402927362"/>
    <n v="6275819.7060019039"/>
    <m/>
    <m/>
    <m/>
  </r>
  <r>
    <x v="52"/>
    <x v="6"/>
    <x v="0"/>
    <x v="0"/>
    <n v="12773052.833333334"/>
    <n v="2.2999999999999998"/>
    <n v="2.2894199999999998"/>
    <n v="5579165.3926904351"/>
    <n v="7193887.4406428989"/>
    <n v="1443278.9009197589"/>
    <n v="5750608.5397231402"/>
    <n v="86933.733402927362"/>
    <n v="5663674.8063202128"/>
    <m/>
    <m/>
    <m/>
  </r>
  <r>
    <x v="52"/>
    <x v="7"/>
    <x v="0"/>
    <x v="0"/>
    <n v="12773052.833333334"/>
    <n v="2.2999999999999998"/>
    <n v="2.2894199999999998"/>
    <n v="5579165.3926904351"/>
    <n v="7193887.4406428989"/>
    <n v="1449285.289661037"/>
    <n v="5744602.1509818621"/>
    <n v="86933.733402927362"/>
    <n v="5657668.4175789347"/>
    <m/>
    <m/>
    <m/>
  </r>
  <r>
    <x v="52"/>
    <x v="8"/>
    <x v="0"/>
    <x v="0"/>
    <n v="12773052.833333334"/>
    <n v="2.2999999999999998"/>
    <n v="2.2894199999999998"/>
    <n v="5579165.3926904351"/>
    <n v="7193887.4406428989"/>
    <n v="1599664.9172459731"/>
    <n v="5594222.523396926"/>
    <n v="86933.733402927362"/>
    <n v="5507288.7899939986"/>
    <m/>
    <m/>
    <m/>
  </r>
  <r>
    <x v="52"/>
    <x v="9"/>
    <x v="0"/>
    <x v="0"/>
    <n v="12773052.833333334"/>
    <n v="2.2999999999999998"/>
    <n v="2.2894199999999998"/>
    <n v="5579165.3926904351"/>
    <n v="7193887.4406428989"/>
    <n v="1736025.57771608"/>
    <n v="5457861.8629268184"/>
    <n v="86933.733402927362"/>
    <n v="5370928.129523891"/>
    <m/>
    <m/>
    <m/>
  </r>
  <r>
    <x v="52"/>
    <x v="10"/>
    <x v="0"/>
    <x v="0"/>
    <n v="12773052.833333334"/>
    <n v="2.2999999999999998"/>
    <n v="2.2894199999999998"/>
    <n v="5579165.3926904351"/>
    <n v="7193887.4406428989"/>
    <n v="2278180.2610284477"/>
    <n v="4915707.1796144508"/>
    <n v="86933.733402927362"/>
    <n v="4828773.4462115234"/>
    <m/>
    <m/>
    <m/>
  </r>
  <r>
    <x v="56"/>
    <x v="3"/>
    <x v="0"/>
    <x v="0"/>
    <n v="10000000"/>
    <n v="1"/>
    <n v="0.99539999999999995"/>
    <n v="10046212.577858148"/>
    <n v="-46212.577858148143"/>
    <n v="1615211.5620977255"/>
    <n v="-1661424.1399558736"/>
    <n v="68060.262912292834"/>
    <n v="-1729484.4028681663"/>
    <m/>
    <m/>
    <m/>
  </r>
  <r>
    <x v="56"/>
    <x v="4"/>
    <x v="0"/>
    <x v="0"/>
    <n v="10000000"/>
    <n v="1"/>
    <n v="0.99539999999999995"/>
    <n v="10046212.577858148"/>
    <n v="-46212.577858148143"/>
    <n v="1332436.5798053374"/>
    <n v="-1378649.1576634855"/>
    <n v="68060.262912292834"/>
    <n v="-1446709.4205757782"/>
    <m/>
    <m/>
    <m/>
  </r>
  <r>
    <x v="56"/>
    <x v="5"/>
    <x v="0"/>
    <x v="0"/>
    <n v="10000000"/>
    <n v="1"/>
    <n v="0.99539999999999995"/>
    <n v="10046212.577858148"/>
    <n v="-46212.577858148143"/>
    <n v="1496594.6103807748"/>
    <n v="-1542807.188238923"/>
    <n v="68060.262912292834"/>
    <n v="-1610867.4511512157"/>
    <m/>
    <m/>
    <m/>
  </r>
  <r>
    <x v="6"/>
    <x v="2"/>
    <x v="0"/>
    <x v="0"/>
    <n v="43506691.09375"/>
    <n v="2"/>
    <n v="1.9907999999999999"/>
    <n v="21853873.364351016"/>
    <n v="21652817.729398984"/>
    <n v="3417673.0937543199"/>
    <n v="18235144.635644663"/>
    <n v="296107.6834284534"/>
    <n v="17939036.952216208"/>
    <m/>
    <m/>
    <m/>
  </r>
  <r>
    <x v="6"/>
    <x v="3"/>
    <x v="0"/>
    <x v="0"/>
    <n v="43506691.09375"/>
    <n v="2"/>
    <n v="1.9907999999999999"/>
    <n v="21853873.364351016"/>
    <n v="21652817.729398984"/>
    <n v="3513625.5241619558"/>
    <n v="18139192.205237027"/>
    <n v="296107.6834284534"/>
    <n v="17843084.521808572"/>
    <m/>
    <m/>
    <m/>
  </r>
  <r>
    <x v="23"/>
    <x v="6"/>
    <x v="0"/>
    <x v="0"/>
    <n v="125198487.89297774"/>
    <n v="1.82"/>
    <n v="1.811628"/>
    <n v="69108276.032926038"/>
    <n v="56090211.860051706"/>
    <n v="17877676.974398151"/>
    <n v="38212534.885653555"/>
    <n v="852104.20022175764"/>
    <n v="37360430.685431801"/>
    <m/>
    <m/>
    <m/>
  </r>
  <r>
    <x v="23"/>
    <x v="7"/>
    <x v="0"/>
    <x v="0"/>
    <n v="125198487.89297774"/>
    <n v="1.82"/>
    <n v="1.811628"/>
    <n v="69108276.032926038"/>
    <n v="56090211.860051706"/>
    <n v="17952077.201291788"/>
    <n v="38138134.658759922"/>
    <n v="852104.20022175764"/>
    <n v="37286030.458538167"/>
    <m/>
    <m/>
    <m/>
  </r>
  <r>
    <x v="23"/>
    <x v="8"/>
    <x v="0"/>
    <x v="0"/>
    <n v="125198487.89297774"/>
    <n v="1.82"/>
    <n v="1.811628"/>
    <n v="69108276.032926038"/>
    <n v="56090211.860051706"/>
    <n v="19814806.853738397"/>
    <n v="36275405.006313309"/>
    <n v="852104.20022175764"/>
    <n v="35423300.806091554"/>
    <m/>
    <m/>
    <m/>
  </r>
  <r>
    <x v="23"/>
    <x v="9"/>
    <x v="0"/>
    <x v="0"/>
    <n v="37851706.567977756"/>
    <n v="1.82"/>
    <n v="1.811628"/>
    <n v="20893752.231682088"/>
    <n v="16957954.336295668"/>
    <n v="6501346.6595173078"/>
    <n v="10456607.676778361"/>
    <n v="257619.71006955276"/>
    <n v="10198987.966708809"/>
    <m/>
    <m/>
    <m/>
  </r>
  <r>
    <x v="32"/>
    <x v="2"/>
    <x v="0"/>
    <x v="0"/>
    <n v="13267655.116172869"/>
    <n v="1.97"/>
    <n v="1.9609379999999998"/>
    <n v="6765973.7922223294"/>
    <n v="6501681.3239505393"/>
    <n v="1058113.872868222"/>
    <n v="5443567.4510823172"/>
    <n v="90300.009543635257"/>
    <n v="5353267.4415386822"/>
    <m/>
    <m/>
    <m/>
  </r>
  <r>
    <x v="32"/>
    <x v="3"/>
    <x v="0"/>
    <x v="0"/>
    <n v="13267655.116172869"/>
    <n v="1.97"/>
    <n v="1.9609379999999998"/>
    <n v="6765973.7922223294"/>
    <n v="6501681.3239505393"/>
    <n v="1087820.8094196678"/>
    <n v="5413860.5145308711"/>
    <n v="90300.009543635257"/>
    <n v="5323560.5049872361"/>
    <m/>
    <m/>
    <m/>
  </r>
  <r>
    <x v="4"/>
    <x v="11"/>
    <x v="0"/>
    <x v="0"/>
    <n v="13258047.600000001"/>
    <n v="2.11"/>
    <n v="2.1002939999999999"/>
    <n v="6312472.2538844571"/>
    <n v="6945575.3461155444"/>
    <n v="2223322.0491335122"/>
    <n v="4722253.2969820322"/>
    <n v="90234.620535969312"/>
    <n v="4632018.6764460625"/>
    <m/>
    <m/>
    <m/>
  </r>
  <r>
    <x v="33"/>
    <x v="3"/>
    <x v="0"/>
    <x v="0"/>
    <n v="55849596.75"/>
    <n v="1.93"/>
    <n v="1.9211219999999998"/>
    <n v="29071343.074515834"/>
    <n v="26778253.675484166"/>
    <n v="4674037.0160153136"/>
    <n v="22104216.659468852"/>
    <n v="380113.82383505354"/>
    <n v="21724102.835633799"/>
    <m/>
    <m/>
    <m/>
  </r>
  <r>
    <x v="6"/>
    <x v="4"/>
    <x v="0"/>
    <x v="0"/>
    <n v="15500000"/>
    <n v="2"/>
    <n v="1.9907999999999999"/>
    <n v="7785814.7478400646"/>
    <n v="7714185.2521599354"/>
    <n v="1032638.3493491366"/>
    <n v="6681546.902810799"/>
    <n v="105493.40751405389"/>
    <n v="6576053.4952967446"/>
    <m/>
    <m/>
    <m/>
  </r>
  <r>
    <x v="42"/>
    <x v="5"/>
    <x v="0"/>
    <x v="0"/>
    <n v="62778573"/>
    <n v="1.72"/>
    <n v="1.7120879999999998"/>
    <n v="36667842.423987553"/>
    <n v="26110730.576012447"/>
    <n v="5462446.1627439549"/>
    <n v="20648284.413268492"/>
    <n v="427272.61836385686"/>
    <n v="20221011.794904634"/>
    <m/>
    <m/>
    <m/>
  </r>
  <r>
    <x v="42"/>
    <x v="6"/>
    <x v="0"/>
    <x v="0"/>
    <n v="62778573"/>
    <n v="1.72"/>
    <n v="1.7120879999999998"/>
    <n v="36667842.423987553"/>
    <n v="26110730.576012447"/>
    <n v="9485634.4252005015"/>
    <n v="16625096.150811946"/>
    <n v="427272.61836385686"/>
    <n v="16197823.532448089"/>
    <m/>
    <m/>
    <m/>
  </r>
  <r>
    <x v="42"/>
    <x v="7"/>
    <x v="0"/>
    <x v="0"/>
    <n v="62778573"/>
    <n v="1.72"/>
    <n v="1.7120879999999998"/>
    <n v="36667842.423987553"/>
    <n v="26110730.576012447"/>
    <n v="9525110.0994995553"/>
    <n v="16585620.476512892"/>
    <n v="427272.61836385686"/>
    <n v="16158347.858149035"/>
    <m/>
    <m/>
    <m/>
  </r>
  <r>
    <x v="42"/>
    <x v="8"/>
    <x v="0"/>
    <x v="0"/>
    <n v="62778573"/>
    <n v="1.72"/>
    <n v="1.7120879999999998"/>
    <n v="36667842.423987553"/>
    <n v="26110730.576012447"/>
    <n v="10513447.261055421"/>
    <n v="15597283.314957026"/>
    <n v="427272.61836385686"/>
    <n v="15170010.696593169"/>
    <m/>
    <m/>
    <m/>
  </r>
  <r>
    <x v="43"/>
    <x v="1"/>
    <x v="0"/>
    <x v="0"/>
    <n v="29813870"/>
    <n v="2.27"/>
    <n v="2.2595579999999997"/>
    <n v="13194558.404785363"/>
    <n v="16619311.595214637"/>
    <n v="2852107.3426548219"/>
    <n v="13767204.252559815"/>
    <n v="202913.98306329199"/>
    <n v="13564290.269496523"/>
    <m/>
    <m/>
    <m/>
  </r>
  <r>
    <x v="43"/>
    <x v="2"/>
    <x v="0"/>
    <x v="0"/>
    <n v="29813870"/>
    <n v="2.27"/>
    <n v="2.2595579999999997"/>
    <n v="13194558.404785363"/>
    <n v="16619311.595214637"/>
    <n v="2063464.288100308"/>
    <n v="14555847.307114329"/>
    <n v="202913.98306329199"/>
    <n v="14352933.324051037"/>
    <m/>
    <m/>
    <m/>
  </r>
  <r>
    <x v="44"/>
    <x v="4"/>
    <x v="0"/>
    <x v="0"/>
    <n v="126579869.80723679"/>
    <n v="2.5499999999999998"/>
    <n v="2.5382699999999998"/>
    <n v="49868560.006318003"/>
    <n v="76711309.800918788"/>
    <n v="6614103.8744376274"/>
    <n v="70097205.926481158"/>
    <n v="861505.92184843333"/>
    <n v="69235700.004632726"/>
    <m/>
    <m/>
    <m/>
  </r>
  <r>
    <x v="57"/>
    <x v="5"/>
    <x v="0"/>
    <x v="0"/>
    <n v="161433687"/>
    <n v="0.75"/>
    <n v="0.74654999999999994"/>
    <n v="216239618.24392205"/>
    <n v="-54805931.243922055"/>
    <n v="32213438.119746257"/>
    <n v="-87019369.363668308"/>
    <n v="1098721.9180120791"/>
    <n v="-88118091.28168039"/>
    <m/>
    <m/>
    <m/>
  </r>
  <r>
    <x v="57"/>
    <x v="3"/>
    <x v="0"/>
    <x v="0"/>
    <n v="113931505"/>
    <n v="0.75"/>
    <n v="0.74654999999999994"/>
    <n v="152610682.47270781"/>
    <n v="-38679177.472707808"/>
    <n v="24536464.55509264"/>
    <n v="-63215642.027800448"/>
    <n v="775420.81842932058"/>
    <n v="-63991062.846229769"/>
    <m/>
    <m/>
    <m/>
  </r>
  <r>
    <x v="57"/>
    <x v="4"/>
    <x v="0"/>
    <x v="0"/>
    <n v="886635143.78999996"/>
    <n v="0.75"/>
    <n v="0.74654999999999994"/>
    <n v="1187643351.135222"/>
    <n v="-301008207.345222"/>
    <n v="157518013.13690147"/>
    <n v="-458526220.48212349"/>
    <n v="6034462.0993625959"/>
    <n v="-464560682.58148611"/>
    <m/>
    <m/>
    <m/>
  </r>
  <r>
    <x v="58"/>
    <x v="0"/>
    <x v="0"/>
    <x v="0"/>
    <n v="57276497"/>
    <n v="2.36"/>
    <n v="2.3491439999999999"/>
    <n v="24381858.668519258"/>
    <n v="32894638.331480742"/>
    <n v="5349827.0714372685"/>
    <n v="27544811.260043472"/>
    <n v="389825.34445151518"/>
    <n v="27154985.915591955"/>
    <m/>
    <m/>
    <m/>
  </r>
  <r>
    <x v="58"/>
    <x v="1"/>
    <x v="0"/>
    <x v="0"/>
    <n v="57276497"/>
    <n v="2.36"/>
    <n v="2.3491439999999999"/>
    <n v="24381858.668519258"/>
    <n v="32894638.331480742"/>
    <n v="5270330.08629038"/>
    <n v="27624308.24519036"/>
    <n v="389825.34445151518"/>
    <n v="27234482.900738843"/>
    <m/>
    <m/>
    <m/>
  </r>
  <r>
    <x v="58"/>
    <x v="2"/>
    <x v="0"/>
    <x v="0"/>
    <n v="57276497"/>
    <n v="2.36"/>
    <n v="2.3491439999999999"/>
    <n v="24381858.668519258"/>
    <n v="32894638.331480742"/>
    <n v="3813018.4502235213"/>
    <n v="29081619.881257221"/>
    <n v="389825.34445151518"/>
    <n v="28691794.536805704"/>
    <m/>
    <m/>
    <m/>
  </r>
  <r>
    <x v="58"/>
    <x v="3"/>
    <x v="0"/>
    <x v="0"/>
    <n v="57276497"/>
    <n v="2.36"/>
    <n v="2.3491439999999999"/>
    <n v="24381858.668519258"/>
    <n v="32894638.331480742"/>
    <n v="3920070.3470701561"/>
    <n v="28974567.984410584"/>
    <n v="389825.34445151518"/>
    <n v="28584742.639959067"/>
    <m/>
    <m/>
    <m/>
  </r>
  <r>
    <x v="58"/>
    <x v="4"/>
    <x v="0"/>
    <x v="0"/>
    <n v="57276497"/>
    <n v="2.36"/>
    <n v="2.3491439999999999"/>
    <n v="24381858.668519258"/>
    <n v="32894638.331480742"/>
    <n v="3233783.8883860451"/>
    <n v="29660854.443094697"/>
    <n v="389825.34445151518"/>
    <n v="29271029.09864318"/>
    <m/>
    <m/>
    <m/>
  </r>
  <r>
    <x v="58"/>
    <x v="5"/>
    <x v="0"/>
    <x v="0"/>
    <n v="57276497"/>
    <n v="2.36"/>
    <n v="2.3491439999999999"/>
    <n v="24381858.668519258"/>
    <n v="32894638.331480742"/>
    <n v="3632190.5386309586"/>
    <n v="29262447.792849783"/>
    <n v="389825.34445151518"/>
    <n v="28872622.448398266"/>
    <m/>
    <m/>
    <m/>
  </r>
  <r>
    <x v="58"/>
    <x v="6"/>
    <x v="0"/>
    <x v="0"/>
    <n v="57276497"/>
    <n v="2.36"/>
    <n v="2.3491439999999999"/>
    <n v="24381858.668519258"/>
    <n v="32894638.331480742"/>
    <n v="6307363.1456750603"/>
    <n v="26587275.185805682"/>
    <n v="389825.34445151518"/>
    <n v="26197449.841354165"/>
    <m/>
    <m/>
    <m/>
  </r>
  <r>
    <x v="58"/>
    <x v="7"/>
    <x v="0"/>
    <x v="0"/>
    <n v="57276497"/>
    <n v="2.36"/>
    <n v="2.3491439999999999"/>
    <n v="24381858.668519258"/>
    <n v="32894638.331480742"/>
    <n v="6333612.0397461867"/>
    <n v="26561026.291734554"/>
    <n v="389825.34445151518"/>
    <n v="26171200.947283037"/>
    <m/>
    <m/>
    <m/>
  </r>
  <r>
    <x v="58"/>
    <x v="8"/>
    <x v="0"/>
    <x v="0"/>
    <n v="57276497"/>
    <n v="2.36"/>
    <n v="2.3491439999999999"/>
    <n v="24381858.668519258"/>
    <n v="32894638.331480742"/>
    <n v="6990795.4297930561"/>
    <n v="25903842.901687685"/>
    <n v="389825.34445151518"/>
    <n v="25514017.557236169"/>
    <m/>
    <m/>
    <m/>
  </r>
  <r>
    <x v="58"/>
    <x v="9"/>
    <x v="0"/>
    <x v="0"/>
    <n v="57276497"/>
    <n v="2.36"/>
    <n v="2.3491439999999999"/>
    <n v="24381858.668519258"/>
    <n v="32894638.331480742"/>
    <n v="7586713.657254816"/>
    <n v="25307924.674225926"/>
    <n v="389825.34445151518"/>
    <n v="24918099.32977441"/>
    <m/>
    <m/>
    <m/>
  </r>
  <r>
    <x v="58"/>
    <x v="10"/>
    <x v="0"/>
    <x v="0"/>
    <n v="57276497"/>
    <n v="2.36"/>
    <n v="2.3491439999999999"/>
    <n v="24381858.668519258"/>
    <n v="32894638.331480742"/>
    <n v="9956017.6542857233"/>
    <n v="22938620.67719502"/>
    <n v="389825.34445151518"/>
    <n v="22548795.332743503"/>
    <m/>
    <m/>
    <m/>
  </r>
  <r>
    <x v="58"/>
    <x v="11"/>
    <x v="0"/>
    <x v="0"/>
    <n v="57276497"/>
    <n v="2.36"/>
    <n v="2.3491439999999999"/>
    <n v="24381858.668519258"/>
    <n v="32894638.331480742"/>
    <n v="8587558.3759149071"/>
    <n v="24307079.955565833"/>
    <n v="389825.34445151518"/>
    <n v="23917254.611114316"/>
    <m/>
    <m/>
    <m/>
  </r>
  <r>
    <x v="34"/>
    <x v="2"/>
    <x v="0"/>
    <x v="0"/>
    <n v="24433339.875"/>
    <n v="1.98"/>
    <n v="1.9708919999999999"/>
    <n v="12397097.291480204"/>
    <n v="12036242.583519796"/>
    <n v="1938751.3209837195"/>
    <n v="10097491.262536077"/>
    <n v="166293.95357179083"/>
    <n v="9931197.308964286"/>
    <m/>
    <m/>
    <m/>
  </r>
  <r>
    <x v="34"/>
    <x v="3"/>
    <x v="0"/>
    <x v="0"/>
    <n v="23469243"/>
    <n v="1.98"/>
    <n v="1.9708919999999999"/>
    <n v="11907929.506030772"/>
    <n v="11561313.493969228"/>
    <n v="1914534.9821859144"/>
    <n v="9646778.511783313"/>
    <n v="159732.28489324881"/>
    <n v="9487046.2268900648"/>
    <m/>
    <m/>
    <m/>
  </r>
  <r>
    <x v="34"/>
    <x v="4"/>
    <x v="0"/>
    <x v="0"/>
    <n v="23469243"/>
    <n v="1.98"/>
    <n v="1.9708919999999999"/>
    <n v="11907929.506030772"/>
    <n v="11561313.493969228"/>
    <n v="1579357.468360624"/>
    <n v="9981956.0256086048"/>
    <n v="159732.28489324881"/>
    <n v="9822223.7407153565"/>
    <m/>
    <m/>
    <m/>
  </r>
  <r>
    <x v="34"/>
    <x v="5"/>
    <x v="0"/>
    <x v="0"/>
    <n v="23469243"/>
    <n v="1.98"/>
    <n v="1.9708919999999999"/>
    <n v="11907929.506030772"/>
    <n v="11561313.493969228"/>
    <n v="1773936.4941170064"/>
    <n v="9787376.9998522215"/>
    <n v="159732.28489324881"/>
    <n v="9627644.7149589732"/>
    <m/>
    <m/>
    <m/>
  </r>
  <r>
    <x v="59"/>
    <x v="5"/>
    <x v="0"/>
    <x v="0"/>
    <n v="571348397.33903968"/>
    <n v="0.65"/>
    <n v="0.64700999999999997"/>
    <n v="883059608.56716239"/>
    <n v="-311711211.22812271"/>
    <n v="131550297.24727696"/>
    <n v="-443261508.47539967"/>
    <n v="3888612.2137412191"/>
    <n v="-447150120.68914092"/>
    <m/>
    <m/>
    <m/>
  </r>
  <r>
    <x v="59"/>
    <x v="6"/>
    <x v="0"/>
    <x v="0"/>
    <n v="169100716.32175991"/>
    <n v="0.65"/>
    <n v="0.64700999999999997"/>
    <n v="261357191.26715183"/>
    <n v="-92256474.945391923"/>
    <n v="67610707.553809926"/>
    <n v="-159867182.49920183"/>
    <n v="1150903.9211516029"/>
    <n v="-161018086.42035344"/>
    <m/>
    <m/>
    <m/>
  </r>
  <r>
    <x v="59"/>
    <x v="7"/>
    <x v="0"/>
    <x v="0"/>
    <n v="201793844.26040003"/>
    <n v="0.65"/>
    <n v="0.64700999999999997"/>
    <n v="311886747.12971985"/>
    <n v="-110092902.86931983"/>
    <n v="81018009.476388887"/>
    <n v="-191110912.34570873"/>
    <n v="1373414.2094445101"/>
    <n v="-192484326.55515325"/>
    <m/>
    <m/>
    <m/>
  </r>
  <r>
    <x v="59"/>
    <x v="8"/>
    <x v="0"/>
    <x v="0"/>
    <n v="212124501.08639985"/>
    <n v="0.65"/>
    <n v="0.64700999999999997"/>
    <n v="327853512.44401145"/>
    <n v="-115729011.3576116"/>
    <n v="94002547.861310765"/>
    <n v="-209731559.21892238"/>
    <n v="1443724.9314079322"/>
    <n v="-211175284.15033031"/>
    <m/>
    <m/>
    <m/>
  </r>
  <r>
    <x v="59"/>
    <x v="9"/>
    <x v="0"/>
    <x v="0"/>
    <n v="215602207.53135997"/>
    <n v="0.65"/>
    <n v="0.64700999999999997"/>
    <n v="333228555.24854326"/>
    <n v="-117626347.71718329"/>
    <n v="103688142.29719058"/>
    <n v="-221314490.01437387"/>
    <n v="1467394.2929055083"/>
    <n v="-222781884.30727938"/>
    <m/>
    <m/>
    <m/>
  </r>
  <r>
    <x v="59"/>
    <x v="10"/>
    <x v="0"/>
    <x v="0"/>
    <n v="200026260.66271994"/>
    <n v="0.65"/>
    <n v="0.64700999999999997"/>
    <n v="309154820.88796145"/>
    <n v="-109128560.22524151"/>
    <n v="126239385.45924699"/>
    <n v="-235367945.68448851"/>
    <n v="1361383.9890067538"/>
    <n v="-236729329.67349526"/>
    <m/>
    <m/>
    <m/>
  </r>
  <r>
    <x v="59"/>
    <x v="11"/>
    <x v="0"/>
    <x v="0"/>
    <n v="221397929.50327998"/>
    <n v="0.65"/>
    <n v="0.64700999999999997"/>
    <n v="342186256.01347739"/>
    <n v="-120788326.5101974"/>
    <n v="120521757.13517751"/>
    <n v="-241310083.64537489"/>
    <n v="1506840.1290230511"/>
    <n v="-242816923.77439794"/>
    <m/>
    <m/>
    <m/>
  </r>
  <r>
    <x v="59"/>
    <x v="0"/>
    <x v="0"/>
    <x v="0"/>
    <n v="13105734.300000001"/>
    <n v="0.65"/>
    <n v="0.64700999999999997"/>
    <n v="20255845.041034918"/>
    <n v="-7150110.7410349175"/>
    <n v="4444503.9908004729"/>
    <n v="-11594614.731835391"/>
    <n v="89197.972211665416"/>
    <n v="-11683812.704047056"/>
    <m/>
    <m/>
    <m/>
  </r>
  <r>
    <x v="59"/>
    <x v="1"/>
    <x v="0"/>
    <x v="0"/>
    <n v="39691874.539999999"/>
    <n v="0.65"/>
    <n v="0.64700999999999997"/>
    <n v="61346616.806540862"/>
    <n v="-21654742.266540863"/>
    <n v="13260552.636419445"/>
    <n v="-34915294.902960308"/>
    <n v="270143.94166741421"/>
    <n v="-35185438.844627723"/>
    <m/>
    <m/>
    <m/>
  </r>
  <r>
    <x v="59"/>
    <x v="2"/>
    <x v="0"/>
    <x v="0"/>
    <n v="466647576.91000003"/>
    <n v="0.65"/>
    <n v="0.64700999999999997"/>
    <n v="721237039.47388768"/>
    <n v="-254589462.56388766"/>
    <n v="112792473.12057118"/>
    <n v="-367381935.68445885"/>
    <n v="3176015.6771878991"/>
    <n v="-370557951.36164677"/>
    <m/>
    <m/>
    <m/>
  </r>
  <r>
    <x v="59"/>
    <x v="3"/>
    <x v="0"/>
    <x v="0"/>
    <n v="277757983.00000006"/>
    <n v="0.65"/>
    <n v="0.64700999999999997"/>
    <n v="429294729.60232466"/>
    <n v="-151536746.6023246"/>
    <n v="69021216.247160539"/>
    <n v="-220557962.84948516"/>
    <n v="1890428.1348968167"/>
    <n v="-222448390.98438197"/>
    <m/>
    <m/>
    <m/>
  </r>
  <r>
    <x v="59"/>
    <x v="4"/>
    <x v="0"/>
    <x v="0"/>
    <n v="193325410.73000008"/>
    <n v="0.65"/>
    <n v="0.64700999999999997"/>
    <n v="298798180.44543374"/>
    <n v="-105472769.71543366"/>
    <n v="39629822.93269898"/>
    <n v="-145102592.64813262"/>
    <n v="1315777.8281910804"/>
    <n v="-146418370.47632369"/>
    <m/>
    <m/>
    <m/>
  </r>
  <r>
    <x v="0"/>
    <x v="0"/>
    <x v="1"/>
    <x v="0"/>
    <n v="70115372.945178598"/>
    <n v="1.74"/>
    <n v="1.7319959999999999"/>
    <n v="40482410.435808517"/>
    <n v="29632962.509370081"/>
    <n v="8882583.4900828656"/>
    <n v="20750379.019287214"/>
    <n v="477207.07168423192"/>
    <n v="20273171.947602984"/>
    <m/>
    <m/>
    <m/>
  </r>
  <r>
    <x v="0"/>
    <x v="1"/>
    <x v="1"/>
    <x v="0"/>
    <n v="70115372.945178598"/>
    <n v="1.74"/>
    <n v="1.7319959999999999"/>
    <n v="40482410.435808517"/>
    <n v="29632962.509370081"/>
    <n v="8750590.6988490727"/>
    <n v="20882371.810521007"/>
    <n v="477207.07168423192"/>
    <n v="20405164.738836776"/>
    <m/>
    <m/>
    <m/>
  </r>
  <r>
    <x v="0"/>
    <x v="2"/>
    <x v="1"/>
    <x v="0"/>
    <n v="70115372.945178598"/>
    <n v="1.74"/>
    <n v="1.7319959999999999"/>
    <n v="40482410.435808517"/>
    <n v="29632962.509370081"/>
    <n v="6330943.8381972862"/>
    <n v="23302018.671172794"/>
    <n v="477207.07168423192"/>
    <n v="22824811.599488564"/>
    <m/>
    <m/>
    <m/>
  </r>
  <r>
    <x v="0"/>
    <x v="3"/>
    <x v="1"/>
    <x v="0"/>
    <n v="74111007.329178602"/>
    <n v="1.74"/>
    <n v="1.7319959999999999"/>
    <n v="42789364.022306405"/>
    <n v="31321643.306872196"/>
    <n v="6879595.1676320992"/>
    <n v="24442048.139240097"/>
    <n v="504401.46435187571"/>
    <n v="23937646.674888223"/>
    <m/>
    <m/>
    <m/>
  </r>
  <r>
    <x v="0"/>
    <x v="4"/>
    <x v="1"/>
    <x v="0"/>
    <n v="74111007.329178602"/>
    <n v="1.74"/>
    <n v="1.7319959999999999"/>
    <n v="42789364.022306405"/>
    <n v="31321643.306872196"/>
    <n v="5675184.8926217835"/>
    <n v="25646458.414250411"/>
    <n v="504401.46435187571"/>
    <n v="25142056.949898534"/>
    <m/>
    <m/>
    <m/>
  </r>
  <r>
    <x v="0"/>
    <x v="5"/>
    <x v="1"/>
    <x v="0"/>
    <n v="74111007.329178602"/>
    <n v="1.74"/>
    <n v="1.7319959999999999"/>
    <n v="42789364.022306405"/>
    <n v="31321643.306872196"/>
    <n v="7631794.6404278073"/>
    <n v="23689848.666444391"/>
    <n v="504401.46435187571"/>
    <n v="23185447.202092513"/>
    <m/>
    <m/>
    <m/>
  </r>
  <r>
    <x v="0"/>
    <x v="6"/>
    <x v="1"/>
    <x v="0"/>
    <n v="74111007.329178602"/>
    <n v="1.74"/>
    <n v="1.7319959999999999"/>
    <n v="42789364.022306405"/>
    <n v="31321643.306872196"/>
    <n v="11381257.374176994"/>
    <n v="19940385.932695203"/>
    <n v="504401.46435187571"/>
    <n v="19435984.468343325"/>
    <m/>
    <m/>
    <m/>
  </r>
  <r>
    <x v="0"/>
    <x v="7"/>
    <x v="1"/>
    <x v="0"/>
    <n v="74111007.329178602"/>
    <n v="1.74"/>
    <n v="1.7319959999999999"/>
    <n v="42789364.022306405"/>
    <n v="31321643.306872196"/>
    <n v="11199569.892076371"/>
    <n v="20122073.414795823"/>
    <n v="504401.46435187571"/>
    <n v="19617671.950443946"/>
    <m/>
    <m/>
    <m/>
  </r>
  <r>
    <x v="0"/>
    <x v="8"/>
    <x v="1"/>
    <x v="0"/>
    <n v="74111007.329178602"/>
    <n v="1.74"/>
    <n v="1.7319959999999999"/>
    <n v="42789364.022306405"/>
    <n v="31321643.306872196"/>
    <n v="12657452.027099146"/>
    <n v="18664191.279773049"/>
    <n v="504401.46435187571"/>
    <n v="18159789.815421171"/>
    <m/>
    <m/>
    <m/>
  </r>
  <r>
    <x v="0"/>
    <x v="9"/>
    <x v="1"/>
    <x v="0"/>
    <n v="69313527.964878604"/>
    <n v="1.74"/>
    <n v="1.7319959999999999"/>
    <n v="40019450.371062413"/>
    <n v="29294077.593816191"/>
    <n v="12801670.196617555"/>
    <n v="16492407.397198636"/>
    <n v="471749.69366681995"/>
    <n v="16020657.703531817"/>
    <m/>
    <m/>
    <m/>
  </r>
  <r>
    <x v="0"/>
    <x v="10"/>
    <x v="1"/>
    <x v="0"/>
    <n v="69313527.964878604"/>
    <n v="1.74"/>
    <n v="1.7319959999999999"/>
    <n v="40019450.371062413"/>
    <n v="29294077.593816191"/>
    <n v="17121291.079351015"/>
    <n v="12172786.514465176"/>
    <n v="471749.69366681995"/>
    <n v="11701036.820798356"/>
    <m/>
    <m/>
    <m/>
  </r>
  <r>
    <x v="0"/>
    <x v="11"/>
    <x v="1"/>
    <x v="0"/>
    <n v="69313527.964878604"/>
    <n v="1.74"/>
    <n v="1.7319959999999999"/>
    <n v="40019450.371062413"/>
    <n v="29294077.593816191"/>
    <n v="14415911.258550359"/>
    <n v="14878166.335265832"/>
    <n v="471749.69366681995"/>
    <n v="14406416.641599013"/>
    <m/>
    <m/>
    <m/>
  </r>
  <r>
    <x v="0"/>
    <x v="12"/>
    <x v="1"/>
    <x v="0"/>
    <n v="65317893.580878608"/>
    <n v="1.74"/>
    <n v="1.7319959999999999"/>
    <n v="37712496.784564525"/>
    <n v="27605396.796314083"/>
    <s v=""/>
    <s v=""/>
    <n v="444555.30099917628"/>
    <s v=""/>
    <m/>
    <m/>
    <m/>
  </r>
  <r>
    <x v="0"/>
    <x v="13"/>
    <x v="1"/>
    <x v="0"/>
    <n v="54776389.5693786"/>
    <n v="1.74"/>
    <n v="1.7319959999999999"/>
    <n v="31626164.015031561"/>
    <n v="23150225.554347038"/>
    <s v=""/>
    <s v=""/>
    <n v="372809.54754780827"/>
    <s v=""/>
    <m/>
    <m/>
    <m/>
  </r>
  <r>
    <x v="1"/>
    <x v="0"/>
    <x v="1"/>
    <x v="0"/>
    <n v="68877916.829865009"/>
    <n v="1.49"/>
    <n v="1.4831459999999999"/>
    <n v="46440415.731064245"/>
    <n v="22437501.098800763"/>
    <n v="10189879.150092591"/>
    <n v="12247621.948708173"/>
    <n v="468784.91282916517"/>
    <n v="11778837.035879008"/>
    <m/>
    <m/>
    <m/>
  </r>
  <r>
    <x v="1"/>
    <x v="1"/>
    <x v="1"/>
    <x v="0"/>
    <n v="68877916.829865009"/>
    <n v="1.49"/>
    <n v="1.4831459999999999"/>
    <n v="46440415.731064245"/>
    <n v="22437501.098800763"/>
    <n v="10038460.29848738"/>
    <n v="12399040.800313383"/>
    <n v="468784.91282916517"/>
    <n v="11930255.887484219"/>
    <m/>
    <m/>
    <m/>
  </r>
  <r>
    <x v="1"/>
    <x v="2"/>
    <x v="1"/>
    <x v="0"/>
    <n v="68877916.829865009"/>
    <n v="1.49"/>
    <n v="1.4831459999999999"/>
    <n v="46440415.731064245"/>
    <n v="22437501.098800763"/>
    <n v="7262701.5202591531"/>
    <n v="15174799.57854161"/>
    <n v="468784.91282916517"/>
    <n v="14706014.665712446"/>
    <m/>
    <m/>
    <m/>
  </r>
  <r>
    <x v="2"/>
    <x v="0"/>
    <x v="1"/>
    <x v="0"/>
    <n v="45333415.275986843"/>
    <n v="2.4300000000000002"/>
    <n v="2.418822"/>
    <n v="18741939.372135215"/>
    <n v="26591475.903851628"/>
    <n v="4112325.3147941511"/>
    <n v="22479150.589057475"/>
    <n v="308540.41623958165"/>
    <n v="22170610.172817893"/>
    <m/>
    <m/>
    <m/>
  </r>
  <r>
    <x v="2"/>
    <x v="1"/>
    <x v="1"/>
    <x v="0"/>
    <n v="45333415.275986843"/>
    <n v="2.4300000000000002"/>
    <n v="2.418822"/>
    <n v="18741939.372135215"/>
    <n v="26591475.903851628"/>
    <n v="4051217.2714678957"/>
    <n v="22540258.632383734"/>
    <n v="308540.41623958165"/>
    <n v="22231718.216144152"/>
    <m/>
    <m/>
    <m/>
  </r>
  <r>
    <x v="2"/>
    <x v="2"/>
    <x v="1"/>
    <x v="0"/>
    <n v="45333415.275986843"/>
    <n v="2.4300000000000002"/>
    <n v="2.418822"/>
    <n v="18741939.372135215"/>
    <n v="26591475.903851628"/>
    <n v="2931005.4491945864"/>
    <n v="23660470.454657041"/>
    <n v="308540.41623958165"/>
    <n v="23351930.038417459"/>
    <m/>
    <m/>
    <m/>
  </r>
  <r>
    <x v="2"/>
    <x v="3"/>
    <x v="1"/>
    <x v="0"/>
    <n v="39811433.775986843"/>
    <n v="2.4300000000000002"/>
    <n v="2.418822"/>
    <n v="16459017.561435625"/>
    <n v="23352416.214551218"/>
    <n v="2646250.5406856723"/>
    <n v="20706165.673865546"/>
    <n v="270957.66497089993"/>
    <n v="20435208.008894645"/>
    <m/>
    <m/>
    <m/>
  </r>
  <r>
    <x v="2"/>
    <x v="4"/>
    <x v="1"/>
    <x v="0"/>
    <n v="33697792.894736841"/>
    <n v="2.4300000000000002"/>
    <n v="2.418822"/>
    <n v="13931489.334368896"/>
    <n v="19766303.560367946"/>
    <n v="1847743.7000679735"/>
    <n v="17918559.860299971"/>
    <n v="229348.06439797828"/>
    <n v="17689211.795901991"/>
    <m/>
    <m/>
    <m/>
  </r>
  <r>
    <x v="2"/>
    <x v="5"/>
    <x v="1"/>
    <x v="0"/>
    <n v="33697792.894736841"/>
    <n v="2.4300000000000002"/>
    <n v="2.418822"/>
    <n v="13931489.334368896"/>
    <n v="19766303.560367946"/>
    <n v="2484782.5637181038"/>
    <n v="17281520.996649843"/>
    <n v="229348.06439797828"/>
    <n v="17052172.932251863"/>
    <m/>
    <m/>
    <m/>
  </r>
  <r>
    <x v="3"/>
    <x v="0"/>
    <x v="1"/>
    <x v="0"/>
    <n v="71364366.272"/>
    <n v="1.71"/>
    <n v="1.7021339999999998"/>
    <n v="41926409.008926444"/>
    <n v="29437957.263073556"/>
    <n v="9199423.2668451443"/>
    <n v="20238533.996228412"/>
    <n v="485707.75310414832"/>
    <n v="19752826.243124265"/>
    <m/>
    <m/>
    <m/>
  </r>
  <r>
    <x v="3"/>
    <x v="1"/>
    <x v="1"/>
    <x v="0"/>
    <n v="39364366.272"/>
    <n v="1.71"/>
    <n v="1.7021339999999998"/>
    <n v="23126479.038665585"/>
    <n v="16237887.233334415"/>
    <n v="4998969.9277854618"/>
    <n v="11238917.305548953"/>
    <n v="267914.91178481124"/>
    <n v="10971002.393764142"/>
    <m/>
    <m/>
    <m/>
  </r>
  <r>
    <x v="3"/>
    <x v="2"/>
    <x v="1"/>
    <x v="0"/>
    <n v="39364366.272"/>
    <n v="1.71"/>
    <n v="1.7021339999999998"/>
    <n v="23126479.038665585"/>
    <n v="16237887.233334415"/>
    <n v="3616692.7411893979"/>
    <n v="12621194.492145017"/>
    <n v="267914.91178481124"/>
    <n v="12353279.580360206"/>
    <m/>
    <m/>
    <m/>
  </r>
  <r>
    <x v="3"/>
    <x v="3"/>
    <x v="1"/>
    <x v="0"/>
    <n v="35374979.772"/>
    <n v="1.71"/>
    <n v="1.7021339999999998"/>
    <n v="20782723.200406082"/>
    <n v="14592256.571593918"/>
    <n v="3341407.972906875"/>
    <n v="11250848.598687043"/>
    <n v="240763.04237993609"/>
    <n v="11010085.556307107"/>
    <m/>
    <m/>
    <m/>
  </r>
  <r>
    <x v="4"/>
    <x v="0"/>
    <x v="1"/>
    <x v="0"/>
    <n v="36819716.200000003"/>
    <n v="2.11"/>
    <n v="2.1002939999999999"/>
    <n v="17530743.886332106"/>
    <n v="19288972.313667897"/>
    <n v="3846566.8061075942"/>
    <n v="15442405.507560303"/>
    <n v="250595.95649280079"/>
    <n v="15191809.551067503"/>
    <m/>
    <m/>
    <m/>
  </r>
  <r>
    <x v="4"/>
    <x v="1"/>
    <x v="1"/>
    <x v="0"/>
    <n v="36819716.200000003"/>
    <n v="2.11"/>
    <n v="2.1002939999999999"/>
    <n v="17530743.886332106"/>
    <n v="19288972.313667897"/>
    <n v="3789407.8624317762"/>
    <n v="15499564.451236121"/>
    <n v="250595.95649280079"/>
    <n v="15248968.494743321"/>
    <m/>
    <m/>
    <m/>
  </r>
  <r>
    <x v="4"/>
    <x v="2"/>
    <x v="1"/>
    <x v="0"/>
    <n v="36819716.200000003"/>
    <n v="2.11"/>
    <n v="2.1002939999999999"/>
    <n v="17530743.886332106"/>
    <n v="19288972.313667897"/>
    <n v="2741589.5889444551"/>
    <n v="16547382.724723442"/>
    <n v="250595.95649280079"/>
    <n v="16296786.768230641"/>
    <m/>
    <m/>
    <m/>
  </r>
  <r>
    <x v="4"/>
    <x v="3"/>
    <x v="1"/>
    <x v="0"/>
    <n v="36819716.200000003"/>
    <n v="2.11"/>
    <n v="2.1002939999999999"/>
    <n v="17530743.886332106"/>
    <n v="19288972.313667897"/>
    <n v="2818560.7260377691"/>
    <n v="16470411.587630128"/>
    <n v="250595.95649280079"/>
    <n v="16219815.631137328"/>
    <m/>
    <m/>
    <m/>
  </r>
  <r>
    <x v="4"/>
    <x v="4"/>
    <x v="1"/>
    <x v="0"/>
    <n v="36819716.200000003"/>
    <n v="2.11"/>
    <n v="2.1002939999999999"/>
    <n v="17530743.886332106"/>
    <n v="19288972.313667897"/>
    <n v="2325115.484499108"/>
    <n v="16963856.829168789"/>
    <n v="250595.95649280079"/>
    <n v="16713260.872675989"/>
    <m/>
    <m/>
    <m/>
  </r>
  <r>
    <x v="4"/>
    <x v="5"/>
    <x v="1"/>
    <x v="0"/>
    <n v="36819716.200000003"/>
    <n v="2.11"/>
    <n v="2.1002939999999999"/>
    <n v="17530743.886332106"/>
    <n v="19288972.313667897"/>
    <n v="3126735.820721142"/>
    <n v="16162236.492946755"/>
    <n v="250595.95649280079"/>
    <n v="15911640.536453955"/>
    <m/>
    <m/>
    <m/>
  </r>
  <r>
    <x v="4"/>
    <x v="6"/>
    <x v="1"/>
    <x v="0"/>
    <n v="36819716.200000003"/>
    <n v="2.11"/>
    <n v="2.1002939999999999"/>
    <n v="17530743.886332106"/>
    <n v="19288972.313667897"/>
    <n v="4662885.5719172023"/>
    <n v="14626086.741750695"/>
    <n v="250595.95649280079"/>
    <n v="14375490.785257895"/>
    <m/>
    <m/>
    <m/>
  </r>
  <r>
    <x v="4"/>
    <x v="7"/>
    <x v="1"/>
    <x v="0"/>
    <n v="36819716.200000003"/>
    <n v="2.11"/>
    <n v="2.1002939999999999"/>
    <n v="17530743.886332106"/>
    <n v="19288972.313667897"/>
    <n v="4588448.4591244496"/>
    <n v="14700523.854543447"/>
    <n v="250595.95649280079"/>
    <n v="14449927.898050647"/>
    <m/>
    <m/>
    <m/>
  </r>
  <r>
    <x v="4"/>
    <x v="8"/>
    <x v="1"/>
    <x v="0"/>
    <n v="28923787.600000001"/>
    <n v="2.11"/>
    <n v="2.1002939999999999"/>
    <n v="13771304.207887087"/>
    <n v="15152483.392112914"/>
    <n v="4073667.0512571894"/>
    <n v="11078816.340855725"/>
    <n v="196856.05884753156"/>
    <n v="10881960.282008193"/>
    <m/>
    <m/>
    <m/>
  </r>
  <r>
    <x v="4"/>
    <x v="9"/>
    <x v="1"/>
    <x v="0"/>
    <n v="13258047.600000001"/>
    <n v="2.11"/>
    <n v="2.1002939999999999"/>
    <n v="6312472.2538844571"/>
    <n v="6945575.3461155444"/>
    <n v="2019272.8078534727"/>
    <n v="4926302.538262072"/>
    <n v="90234.620535969312"/>
    <n v="4836067.9177261023"/>
    <m/>
    <m/>
    <m/>
  </r>
  <r>
    <x v="4"/>
    <x v="10"/>
    <x v="1"/>
    <x v="0"/>
    <n v="13258047.600000001"/>
    <n v="2.11"/>
    <n v="2.1002939999999999"/>
    <n v="6312472.2538844571"/>
    <n v="6945575.3461155444"/>
    <n v="2700628.6664854456"/>
    <n v="4244946.6796300989"/>
    <n v="90234.620535969312"/>
    <n v="4154712.0590941296"/>
    <m/>
    <m/>
    <m/>
  </r>
  <r>
    <x v="5"/>
    <x v="0"/>
    <x v="1"/>
    <x v="0"/>
    <n v="43079526.100000001"/>
    <n v="2.1800000000000002"/>
    <n v="2.169972"/>
    <n v="19852572.337338917"/>
    <n v="23226953.762661085"/>
    <n v="4356018.561664992"/>
    <n v="18870935.200996093"/>
    <n v="293200.38725029811"/>
    <n v="18577734.813745797"/>
    <m/>
    <m/>
    <m/>
  </r>
  <r>
    <x v="5"/>
    <x v="1"/>
    <x v="1"/>
    <x v="0"/>
    <n v="39433007.350000001"/>
    <n v="2.1800000000000002"/>
    <n v="2.169972"/>
    <n v="18172127.267079946"/>
    <n v="21260880.082920056"/>
    <n v="3928047.9133958346"/>
    <n v="17332832.169524223"/>
    <n v="268382.08476633759"/>
    <n v="17064450.084757887"/>
    <m/>
    <m/>
    <m/>
  </r>
  <r>
    <x v="5"/>
    <x v="2"/>
    <x v="1"/>
    <x v="0"/>
    <n v="39433007.350000001"/>
    <n v="2.1800000000000002"/>
    <n v="2.169972"/>
    <n v="18172127.267079946"/>
    <n v="21260880.082920056"/>
    <n v="2841893.9462827207"/>
    <n v="18418986.136637334"/>
    <n v="268382.08476633759"/>
    <n v="18150604.051870998"/>
    <m/>
    <m/>
    <m/>
  </r>
  <r>
    <x v="5"/>
    <x v="3"/>
    <x v="1"/>
    <x v="0"/>
    <n v="39433007.350000001"/>
    <n v="2.1800000000000002"/>
    <n v="2.169972"/>
    <n v="18172127.267079946"/>
    <n v="21260880.082920056"/>
    <n v="2921681.1651378251"/>
    <n v="18339198.917782232"/>
    <n v="268382.08476633759"/>
    <n v="18070816.833015896"/>
    <m/>
    <m/>
    <m/>
  </r>
  <r>
    <x v="5"/>
    <x v="4"/>
    <x v="1"/>
    <x v="0"/>
    <n v="39433007.350000001"/>
    <n v="2.1800000000000002"/>
    <n v="2.169972"/>
    <n v="18172127.267079946"/>
    <n v="21260880.082920056"/>
    <n v="2410182.6350859054"/>
    <n v="18850697.447834149"/>
    <n v="268382.08476633759"/>
    <n v="18582315.363067813"/>
    <m/>
    <m/>
    <m/>
  </r>
  <r>
    <x v="5"/>
    <x v="5"/>
    <x v="1"/>
    <x v="0"/>
    <n v="22497185.125"/>
    <n v="2.1800000000000002"/>
    <n v="2.169972"/>
    <n v="10367500.191246707"/>
    <n v="12129684.933753293"/>
    <n v="1849119.1491638832"/>
    <n v="10280565.78458941"/>
    <n v="153116.43343940235"/>
    <n v="10127449.351150008"/>
    <m/>
    <m/>
    <m/>
  </r>
  <r>
    <x v="5"/>
    <x v="6"/>
    <x v="1"/>
    <x v="0"/>
    <n v="22497185.125"/>
    <n v="2.1800000000000002"/>
    <n v="2.169972"/>
    <n v="10367500.191246707"/>
    <n v="12129684.933753293"/>
    <n v="2757582.1865895516"/>
    <n v="9372102.7471637409"/>
    <n v="153116.43343940235"/>
    <n v="9218986.313724339"/>
    <m/>
    <m/>
    <m/>
  </r>
  <r>
    <x v="5"/>
    <x v="7"/>
    <x v="1"/>
    <x v="0"/>
    <n v="22497185.125"/>
    <n v="2.1800000000000002"/>
    <n v="2.169972"/>
    <n v="10367500.191246707"/>
    <n v="12129684.933753293"/>
    <n v="2713560.8497815686"/>
    <n v="9416124.0839717239"/>
    <n v="153116.43343940235"/>
    <n v="9263007.650532322"/>
    <m/>
    <m/>
    <m/>
  </r>
  <r>
    <x v="5"/>
    <x v="8"/>
    <x v="1"/>
    <x v="0"/>
    <n v="22497185.125"/>
    <n v="2.1800000000000002"/>
    <n v="2.169972"/>
    <n v="10367500.191246707"/>
    <n v="12129684.933753293"/>
    <n v="3066793.3331104727"/>
    <n v="9062891.6006428208"/>
    <n v="153116.43343940235"/>
    <n v="8909775.1672034189"/>
    <m/>
    <m/>
    <m/>
  </r>
  <r>
    <x v="5"/>
    <x v="9"/>
    <x v="1"/>
    <x v="0"/>
    <n v="22497185.125"/>
    <n v="2.1800000000000002"/>
    <n v="2.169972"/>
    <n v="10367500.191246707"/>
    <n v="12129684.933753293"/>
    <n v="3316420.3151495298"/>
    <n v="8813264.6186037622"/>
    <n v="153116.43343940235"/>
    <n v="8660148.1851643603"/>
    <m/>
    <m/>
    <m/>
  </r>
  <r>
    <x v="5"/>
    <x v="10"/>
    <x v="1"/>
    <x v="0"/>
    <n v="22497185.125"/>
    <n v="2.1800000000000002"/>
    <n v="2.169972"/>
    <n v="10367500.191246707"/>
    <n v="12129684.933753293"/>
    <n v="4435467.9260641197"/>
    <n v="7694217.0076891733"/>
    <n v="153116.43343940235"/>
    <n v="7541100.5742497714"/>
    <m/>
    <m/>
    <m/>
  </r>
  <r>
    <x v="5"/>
    <x v="11"/>
    <x v="1"/>
    <x v="0"/>
    <n v="22497185.125"/>
    <n v="2.1800000000000002"/>
    <n v="2.169972"/>
    <n v="10367500.191246707"/>
    <n v="12129684.933753293"/>
    <n v="3734608.0804269849"/>
    <n v="8395076.8533263076"/>
    <n v="153116.43343940235"/>
    <n v="8241960.4198869057"/>
    <m/>
    <m/>
    <m/>
  </r>
  <r>
    <x v="5"/>
    <x v="12"/>
    <x v="1"/>
    <x v="0"/>
    <n v="3497185.125"/>
    <n v="2.1800000000000002"/>
    <n v="2.169972"/>
    <n v="1611626.8435721751"/>
    <n v="1885558.2814278249"/>
    <s v=""/>
    <s v=""/>
    <n v="23801.933906045968"/>
    <s v=""/>
    <m/>
    <m/>
    <m/>
  </r>
  <r>
    <x v="6"/>
    <x v="0"/>
    <x v="1"/>
    <x v="0"/>
    <n v="28006691.09375"/>
    <n v="2"/>
    <n v="1.9907999999999999"/>
    <n v="14068058.616510952"/>
    <n v="13938632.477239048"/>
    <n v="3086790.1357475691"/>
    <n v="10851842.341491479"/>
    <n v="190614.27591439951"/>
    <n v="10661228.06557708"/>
    <m/>
    <m/>
    <m/>
  </r>
  <r>
    <x v="6"/>
    <x v="1"/>
    <x v="1"/>
    <x v="0"/>
    <n v="28006691.09375"/>
    <n v="2"/>
    <n v="1.9907999999999999"/>
    <n v="14068058.616510952"/>
    <n v="13938632.477239048"/>
    <n v="3040921.2681568344"/>
    <n v="10897711.209082214"/>
    <n v="190614.27591439951"/>
    <n v="10707096.933167815"/>
    <m/>
    <m/>
    <m/>
  </r>
  <r>
    <x v="7"/>
    <x v="0"/>
    <x v="1"/>
    <x v="0"/>
    <n v="39944033.964749999"/>
    <n v="2.4300000000000002"/>
    <n v="2.418822"/>
    <n v="16513837.713047922"/>
    <n v="23430196.251702078"/>
    <n v="3623438.936780239"/>
    <n v="19806757.314921837"/>
    <n v="271860.14534184395"/>
    <n v="19534897.169579994"/>
    <m/>
    <m/>
    <m/>
  </r>
  <r>
    <x v="7"/>
    <x v="1"/>
    <x v="1"/>
    <x v="0"/>
    <n v="39944033.964749999"/>
    <n v="2.4300000000000002"/>
    <n v="2.418822"/>
    <n v="16513837.713047922"/>
    <n v="23430196.251702078"/>
    <n v="3569595.612969683"/>
    <n v="19860600.638732396"/>
    <n v="271860.14534184395"/>
    <n v="19588740.493390553"/>
    <m/>
    <m/>
    <m/>
  </r>
  <r>
    <x v="7"/>
    <x v="2"/>
    <x v="1"/>
    <x v="0"/>
    <n v="39944033.964749999"/>
    <n v="2.4300000000000002"/>
    <n v="2.418822"/>
    <n v="16513837.713047922"/>
    <n v="23430196.251702078"/>
    <n v="2582558.1527609117"/>
    <n v="20847638.098941166"/>
    <n v="271860.14534184395"/>
    <n v="20575777.953599323"/>
    <m/>
    <m/>
    <m/>
  </r>
  <r>
    <x v="7"/>
    <x v="3"/>
    <x v="1"/>
    <x v="0"/>
    <n v="39944033.964749999"/>
    <n v="2.4300000000000002"/>
    <n v="2.418822"/>
    <n v="16513837.713047922"/>
    <n v="23430196.251702078"/>
    <n v="2655064.4237320344"/>
    <n v="20775131.827970043"/>
    <n v="271860.14534184395"/>
    <n v="20503271.682628199"/>
    <m/>
    <m/>
    <m/>
  </r>
  <r>
    <x v="7"/>
    <x v="4"/>
    <x v="1"/>
    <x v="0"/>
    <n v="39944033.964749999"/>
    <n v="2.4300000000000002"/>
    <n v="2.418822"/>
    <n v="16513837.713047922"/>
    <n v="23430196.251702078"/>
    <n v="2190242.4691201532"/>
    <n v="21239953.782581925"/>
    <n v="271860.14534184395"/>
    <n v="20968093.637240082"/>
    <m/>
    <m/>
    <m/>
  </r>
  <r>
    <x v="7"/>
    <x v="5"/>
    <x v="1"/>
    <x v="0"/>
    <n v="39944033.964749999"/>
    <n v="2.4300000000000002"/>
    <n v="2.418822"/>
    <n v="16513837.713047922"/>
    <n v="23430196.251702078"/>
    <n v="2945363.2002016502"/>
    <n v="20484833.051500428"/>
    <n v="271860.14534184395"/>
    <n v="20212972.906158585"/>
    <m/>
    <m/>
    <m/>
  </r>
  <r>
    <x v="7"/>
    <x v="6"/>
    <x v="1"/>
    <x v="0"/>
    <n v="39944033.964749999"/>
    <n v="2.4300000000000002"/>
    <n v="2.418822"/>
    <n v="16513837.713047922"/>
    <n v="23430196.251702078"/>
    <n v="4392405.4853820689"/>
    <n v="19037790.766320009"/>
    <n v="271860.14534184395"/>
    <n v="18765930.620978165"/>
    <m/>
    <m/>
    <m/>
  </r>
  <r>
    <x v="7"/>
    <x v="7"/>
    <x v="1"/>
    <x v="0"/>
    <n v="39944033.964749999"/>
    <n v="2.4300000000000002"/>
    <n v="2.418822"/>
    <n v="16513837.713047922"/>
    <n v="23430196.251702078"/>
    <n v="4322286.2475187099"/>
    <n v="19107910.004183367"/>
    <n v="271860.14534184395"/>
    <n v="18836049.858841524"/>
    <m/>
    <m/>
    <m/>
  </r>
  <r>
    <x v="7"/>
    <x v="8"/>
    <x v="1"/>
    <x v="0"/>
    <n v="39944033.964749999"/>
    <n v="2.4300000000000002"/>
    <n v="2.418822"/>
    <n v="16513837.713047922"/>
    <n v="23430196.251702078"/>
    <n v="4884931.41723816"/>
    <n v="18545264.834463917"/>
    <n v="271860.14534184395"/>
    <n v="18273404.689122073"/>
    <m/>
    <m/>
    <m/>
  </r>
  <r>
    <x v="7"/>
    <x v="9"/>
    <x v="1"/>
    <x v="0"/>
    <n v="39944033.964749999"/>
    <n v="2.4300000000000002"/>
    <n v="2.418822"/>
    <n v="16513837.713047922"/>
    <n v="23430196.251702078"/>
    <n v="5282548.9136594646"/>
    <n v="18147647.338042613"/>
    <n v="271860.14534184395"/>
    <n v="17875787.19270077"/>
    <m/>
    <m/>
    <m/>
  </r>
  <r>
    <x v="7"/>
    <x v="10"/>
    <x v="1"/>
    <x v="0"/>
    <n v="39944033.964749999"/>
    <n v="2.4300000000000002"/>
    <n v="2.418822"/>
    <n v="16513837.713047922"/>
    <n v="23430196.251702078"/>
    <n v="7065020.1264808578"/>
    <n v="16365176.125221219"/>
    <n v="271860.14534184395"/>
    <n v="16093315.979879376"/>
    <m/>
    <m/>
    <m/>
  </r>
  <r>
    <x v="7"/>
    <x v="11"/>
    <x v="1"/>
    <x v="0"/>
    <n v="39944033.964749999"/>
    <n v="2.4300000000000002"/>
    <n v="2.418822"/>
    <n v="16513837.713047922"/>
    <n v="23430196.251702078"/>
    <n v="5948657.8851552848"/>
    <n v="17481538.366546795"/>
    <n v="271860.14534184395"/>
    <n v="17209678.221204951"/>
    <m/>
    <m/>
    <m/>
  </r>
  <r>
    <x v="8"/>
    <x v="0"/>
    <x v="1"/>
    <x v="0"/>
    <n v="43502787.700000003"/>
    <n v="1.45"/>
    <n v="1.4433299999999998"/>
    <n v="30140569.169905711"/>
    <n v="13362218.530094292"/>
    <n v="6613393.7976551233"/>
    <n v="6748824.7324391687"/>
    <n v="296081.11682796589"/>
    <n v="6452743.615611203"/>
    <m/>
    <m/>
    <m/>
  </r>
  <r>
    <x v="9"/>
    <x v="0"/>
    <x v="1"/>
    <x v="0"/>
    <n v="53929329.834749997"/>
    <n v="1.95"/>
    <n v="1.9410299999999998"/>
    <n v="27783872.394939803"/>
    <n v="26145457.439810194"/>
    <n v="6096291.2921697525"/>
    <n v="20049166.147640441"/>
    <n v="367044.43672368425"/>
    <n v="19682121.710916758"/>
    <m/>
    <m/>
    <m/>
  </r>
  <r>
    <x v="9"/>
    <x v="1"/>
    <x v="1"/>
    <x v="0"/>
    <n v="53929329.834749997"/>
    <n v="1.95"/>
    <n v="1.9410299999999998"/>
    <n v="27783872.394939803"/>
    <n v="26145457.439810194"/>
    <n v="6005702.0503431903"/>
    <n v="20139755.389467005"/>
    <n v="367044.43672368425"/>
    <n v="19772710.952743322"/>
    <m/>
    <m/>
    <m/>
  </r>
  <r>
    <x v="9"/>
    <x v="2"/>
    <x v="1"/>
    <x v="0"/>
    <n v="53929329.834749997"/>
    <n v="1.95"/>
    <n v="1.9410299999999998"/>
    <n v="27783872.394939803"/>
    <n v="26145457.439810194"/>
    <n v="4345050.9454944413"/>
    <n v="21800406.494315751"/>
    <n v="367044.43672368425"/>
    <n v="21433362.057592068"/>
    <m/>
    <m/>
    <m/>
  </r>
  <r>
    <x v="9"/>
    <x v="3"/>
    <x v="1"/>
    <x v="0"/>
    <n v="53929329.834749997"/>
    <n v="1.95"/>
    <n v="1.9410299999999998"/>
    <n v="27783872.394939803"/>
    <n v="26145457.439810194"/>
    <n v="4467039.8505266672"/>
    <n v="21678417.589283526"/>
    <n v="367044.43672368425"/>
    <n v="21311373.152559843"/>
    <m/>
    <m/>
    <m/>
  </r>
  <r>
    <x v="9"/>
    <x v="4"/>
    <x v="1"/>
    <x v="0"/>
    <n v="53929329.834749997"/>
    <n v="1.95"/>
    <n v="1.9410299999999998"/>
    <n v="27783872.394939803"/>
    <n v="26145457.439810194"/>
    <n v="3684995.4767286275"/>
    <n v="22460461.963081568"/>
    <n v="367044.43672368425"/>
    <n v="22093417.526357885"/>
    <m/>
    <m/>
    <m/>
  </r>
  <r>
    <x v="9"/>
    <x v="5"/>
    <x v="1"/>
    <x v="0"/>
    <n v="53929329.834749997"/>
    <n v="1.95"/>
    <n v="1.9410299999999998"/>
    <n v="27783872.394939803"/>
    <n v="26145457.439810194"/>
    <n v="4955455.9474988524"/>
    <n v="21190001.492311344"/>
    <n v="367044.43672368425"/>
    <n v="20822957.055587661"/>
    <m/>
    <m/>
    <m/>
  </r>
  <r>
    <x v="9"/>
    <x v="6"/>
    <x v="1"/>
    <x v="0"/>
    <n v="53929329.834749997"/>
    <n v="1.95"/>
    <n v="1.9410299999999998"/>
    <n v="27783872.394939803"/>
    <n v="26145457.439810194"/>
    <n v="7390046.7979205279"/>
    <n v="18755410.641889665"/>
    <n v="367044.43672368425"/>
    <n v="18388366.205165982"/>
    <m/>
    <m/>
    <m/>
  </r>
  <r>
    <x v="9"/>
    <x v="7"/>
    <x v="1"/>
    <x v="0"/>
    <n v="45341011.5"/>
    <n v="1.95"/>
    <n v="1.9410299999999998"/>
    <n v="23359253.334569793"/>
    <n v="21981758.165430207"/>
    <n v="6113986.4151954064"/>
    <n v="15867771.750234801"/>
    <n v="308592.11633992929"/>
    <n v="15559179.633894872"/>
    <m/>
    <m/>
    <m/>
  </r>
  <r>
    <x v="9"/>
    <x v="8"/>
    <x v="1"/>
    <x v="0"/>
    <n v="28318301.25"/>
    <n v="1.95"/>
    <n v="1.9410299999999998"/>
    <n v="14589316.625709033"/>
    <n v="13728984.624290967"/>
    <n v="4315641.9712572871"/>
    <n v="9413342.6530336812"/>
    <n v="192735.10283045107"/>
    <n v="9220607.5502032302"/>
    <m/>
    <m/>
    <m/>
  </r>
  <r>
    <x v="9"/>
    <x v="9"/>
    <x v="1"/>
    <x v="0"/>
    <n v="28318301.25"/>
    <n v="1.95"/>
    <n v="1.9410299999999998"/>
    <n v="14589316.625709033"/>
    <n v="13728984.624290967"/>
    <n v="4666921.1622008123"/>
    <n v="9062063.4620901551"/>
    <n v="192735.10283045107"/>
    <n v="8869328.3592597041"/>
    <m/>
    <m/>
    <m/>
  </r>
  <r>
    <x v="9"/>
    <x v="10"/>
    <x v="1"/>
    <x v="0"/>
    <n v="28318301.25"/>
    <n v="1.95"/>
    <n v="1.9410299999999998"/>
    <n v="14589316.625709033"/>
    <n v="13728984.624290967"/>
    <n v="6241663.3482352411"/>
    <n v="7487321.2760557262"/>
    <n v="192735.10283045107"/>
    <n v="7294586.1732252752"/>
    <m/>
    <m/>
    <m/>
  </r>
  <r>
    <x v="9"/>
    <x v="11"/>
    <x v="1"/>
    <x v="0"/>
    <n v="28318301.25"/>
    <n v="1.95"/>
    <n v="1.9410299999999998"/>
    <n v="14589316.625709033"/>
    <n v="13728984.624290967"/>
    <n v="5255401.8570728153"/>
    <n v="8473582.7672181521"/>
    <n v="192735.10283045107"/>
    <n v="8280847.6643877011"/>
    <m/>
    <m/>
    <m/>
  </r>
  <r>
    <x v="10"/>
    <x v="0"/>
    <x v="1"/>
    <x v="0"/>
    <n v="37932512.950000003"/>
    <n v="1.1100000000000001"/>
    <n v="1.104894"/>
    <n v="34331359.343068205"/>
    <n v="3601153.6069317982"/>
    <n v="7532930.0407244712"/>
    <n v="-3931776.4337926731"/>
    <n v="258169.68043009529"/>
    <n v="-4189946.1142227682"/>
    <m/>
    <m/>
    <m/>
  </r>
  <r>
    <x v="10"/>
    <x v="1"/>
    <x v="1"/>
    <x v="0"/>
    <n v="37932512.950000003"/>
    <n v="1.1100000000000001"/>
    <n v="1.104894"/>
    <n v="34331359.343068205"/>
    <n v="3601153.6069317982"/>
    <n v="7420992.7351698196"/>
    <n v="-3819839.1282380214"/>
    <n v="258169.68043009529"/>
    <n v="-4078008.8086681166"/>
    <m/>
    <m/>
    <m/>
  </r>
  <r>
    <x v="10"/>
    <x v="2"/>
    <x v="1"/>
    <x v="0"/>
    <n v="37932512.950000003"/>
    <n v="1.1100000000000001"/>
    <n v="1.104894"/>
    <n v="34331359.343068205"/>
    <n v="3601153.6069317982"/>
    <n v="5368996.2023031786"/>
    <n v="-1767842.5953713804"/>
    <n v="258169.68043009529"/>
    <n v="-2026012.2758014756"/>
    <m/>
    <m/>
    <m/>
  </r>
  <r>
    <x v="10"/>
    <x v="3"/>
    <x v="1"/>
    <x v="0"/>
    <n v="37932512.950000003"/>
    <n v="1.1100000000000001"/>
    <n v="1.104894"/>
    <n v="34331359.343068205"/>
    <n v="3601153.6069317982"/>
    <n v="5519732.7474109624"/>
    <n v="-1918579.1404791642"/>
    <n v="258169.68043009529"/>
    <n v="-2176748.8209092594"/>
    <m/>
    <m/>
    <m/>
  </r>
  <r>
    <x v="10"/>
    <x v="4"/>
    <x v="1"/>
    <x v="0"/>
    <n v="37932512.950000003"/>
    <n v="1.1100000000000001"/>
    <n v="1.104894"/>
    <n v="34331359.343068205"/>
    <n v="3601153.6069317982"/>
    <n v="4553393.4971639346"/>
    <n v="-952239.89023213647"/>
    <n v="258169.68043009529"/>
    <n v="-1210409.5706622317"/>
    <m/>
    <m/>
    <m/>
  </r>
  <r>
    <x v="10"/>
    <x v="5"/>
    <x v="1"/>
    <x v="0"/>
    <n v="37932512.950000003"/>
    <n v="1.1100000000000001"/>
    <n v="1.104894"/>
    <n v="34331359.343068205"/>
    <n v="3601153.6069317982"/>
    <n v="6123247.9196568895"/>
    <n v="-2522094.3127250914"/>
    <n v="258169.68043009529"/>
    <n v="-2780263.9931551865"/>
    <m/>
    <m/>
    <m/>
  </r>
  <r>
    <x v="10"/>
    <x v="6"/>
    <x v="1"/>
    <x v="0"/>
    <n v="35575919.200000003"/>
    <n v="1.1100000000000001"/>
    <n v="1.104894"/>
    <n v="32198490.714946412"/>
    <n v="3377428.4850535914"/>
    <n v="8564261.6631510444"/>
    <n v="-5186833.178097453"/>
    <n v="242130.64140984867"/>
    <n v="-5428963.8195073018"/>
    <m/>
    <m/>
    <m/>
  </r>
  <r>
    <x v="10"/>
    <x v="7"/>
    <x v="1"/>
    <x v="0"/>
    <n v="35575919.200000003"/>
    <n v="1.1100000000000001"/>
    <n v="1.104894"/>
    <n v="32198490.714946412"/>
    <n v="3377428.4850535914"/>
    <n v="8427543.9801682066"/>
    <n v="-5050115.4951146152"/>
    <n v="242130.64140984867"/>
    <n v="-5292246.136524464"/>
    <m/>
    <m/>
    <m/>
  </r>
  <r>
    <x v="10"/>
    <x v="8"/>
    <x v="1"/>
    <x v="0"/>
    <n v="35195556.700000003"/>
    <n v="1.1100000000000001"/>
    <n v="1.104894"/>
    <n v="31854238.234617982"/>
    <n v="3341318.4653820209"/>
    <n v="9422750.2915041409"/>
    <n v="-6081431.82612212"/>
    <n v="239541.88423465099"/>
    <n v="-6320973.710356771"/>
    <m/>
    <m/>
    <m/>
  </r>
  <r>
    <x v="10"/>
    <x v="9"/>
    <x v="1"/>
    <x v="0"/>
    <n v="35195556.700000003"/>
    <n v="1.1100000000000001"/>
    <n v="1.104894"/>
    <n v="31854238.234617982"/>
    <n v="3341318.4653820209"/>
    <n v="10189731.454656126"/>
    <n v="-6848412.9892741051"/>
    <n v="239541.88423465099"/>
    <n v="-7087954.873508756"/>
    <m/>
    <m/>
    <m/>
  </r>
  <r>
    <x v="10"/>
    <x v="10"/>
    <x v="1"/>
    <x v="0"/>
    <n v="35195556.700000003"/>
    <n v="1.1100000000000001"/>
    <n v="1.104894"/>
    <n v="31854238.234617982"/>
    <n v="3341318.4653820209"/>
    <n v="13628015.374250336"/>
    <n v="-10286696.908868315"/>
    <n v="239541.88423465099"/>
    <n v="-10526238.793102965"/>
    <m/>
    <m/>
    <m/>
  </r>
  <r>
    <x v="10"/>
    <x v="11"/>
    <x v="1"/>
    <x v="0"/>
    <n v="31409130.699999999"/>
    <n v="1.1100000000000001"/>
    <n v="1.104894"/>
    <n v="28427279.630444184"/>
    <n v="2981851.0695558153"/>
    <n v="10240149.144347189"/>
    <n v="-7258298.0747913737"/>
    <n v="213771.36932885682"/>
    <n v="-7472069.4441202302"/>
    <m/>
    <m/>
    <m/>
  </r>
  <r>
    <x v="11"/>
    <x v="0"/>
    <x v="1"/>
    <x v="0"/>
    <n v="71699753.276983202"/>
    <n v="1.35"/>
    <n v="1.34379"/>
    <n v="53356367.644485518"/>
    <n v="18343385.632497683"/>
    <n v="11707365.871437222"/>
    <n v="6636019.7610604614"/>
    <n v="487990.40587780066"/>
    <n v="6148029.3551826607"/>
    <m/>
    <m/>
    <m/>
  </r>
  <r>
    <x v="11"/>
    <x v="1"/>
    <x v="1"/>
    <x v="0"/>
    <n v="71699753.276983202"/>
    <n v="1.35"/>
    <n v="1.34379"/>
    <n v="53356367.644485518"/>
    <n v="18343385.632497683"/>
    <n v="11533397.577067515"/>
    <n v="6809988.0554301683"/>
    <n v="487990.40587780066"/>
    <n v="6321997.6495523676"/>
    <m/>
    <m/>
    <m/>
  </r>
  <r>
    <x v="11"/>
    <x v="2"/>
    <x v="1"/>
    <x v="0"/>
    <n v="71699753.276983202"/>
    <n v="1.35"/>
    <n v="1.34379"/>
    <n v="53356367.644485518"/>
    <n v="18343385.632497683"/>
    <n v="8344270.0998023758"/>
    <n v="9999115.5326953083"/>
    <n v="487990.40587780066"/>
    <n v="9511125.1268175077"/>
    <m/>
    <m/>
    <m/>
  </r>
  <r>
    <x v="11"/>
    <x v="3"/>
    <x v="1"/>
    <x v="0"/>
    <n v="71699753.276983202"/>
    <n v="1.35"/>
    <n v="1.34379"/>
    <n v="53356367.644485518"/>
    <n v="18343385.632497683"/>
    <n v="8578538.5550027788"/>
    <n v="9764847.0774949044"/>
    <n v="487990.40587780066"/>
    <n v="9276856.6716171037"/>
    <m/>
    <m/>
    <m/>
  </r>
  <r>
    <x v="11"/>
    <x v="4"/>
    <x v="1"/>
    <x v="0"/>
    <n v="71699753.276983202"/>
    <n v="1.35"/>
    <n v="1.34379"/>
    <n v="53356367.644485518"/>
    <n v="18343385.632497683"/>
    <n v="7076694.3725385191"/>
    <n v="11266691.259959165"/>
    <n v="487990.40587780066"/>
    <n v="10778700.854081364"/>
    <m/>
    <m/>
    <m/>
  </r>
  <r>
    <x v="11"/>
    <x v="5"/>
    <x v="1"/>
    <x v="0"/>
    <n v="71699753.276983202"/>
    <n v="1.35"/>
    <n v="1.34379"/>
    <n v="53356367.644485518"/>
    <n v="18343385.632497683"/>
    <n v="9516496.6791654453"/>
    <n v="8826888.9533322379"/>
    <n v="487990.40587780066"/>
    <n v="8338898.5474544372"/>
    <m/>
    <m/>
    <m/>
  </r>
  <r>
    <x v="11"/>
    <x v="6"/>
    <x v="1"/>
    <x v="0"/>
    <n v="71699753.276983202"/>
    <n v="1.35"/>
    <n v="1.34379"/>
    <n v="53356367.644485518"/>
    <n v="18343385.632497683"/>
    <n v="14191904.146940095"/>
    <n v="4151481.4855575878"/>
    <n v="487990.40587780066"/>
    <n v="3663491.0796797872"/>
    <m/>
    <m/>
    <m/>
  </r>
  <r>
    <x v="11"/>
    <x v="7"/>
    <x v="1"/>
    <x v="0"/>
    <n v="71699753.276983202"/>
    <n v="1.35"/>
    <n v="1.34379"/>
    <n v="53356367.644485518"/>
    <n v="18343385.632497683"/>
    <n v="13965348.218548449"/>
    <n v="4378037.4139492344"/>
    <n v="487990.40587780066"/>
    <n v="3890047.0080714338"/>
    <m/>
    <m/>
    <m/>
  </r>
  <r>
    <x v="11"/>
    <x v="8"/>
    <x v="1"/>
    <x v="0"/>
    <n v="71699753.276983202"/>
    <n v="1.35"/>
    <n v="1.34379"/>
    <n v="53356367.644485518"/>
    <n v="18343385.632497683"/>
    <n v="15783260.144933978"/>
    <n v="2560125.4875637051"/>
    <n v="487990.40587780066"/>
    <n v="2072135.0816859044"/>
    <m/>
    <m/>
    <m/>
  </r>
  <r>
    <x v="11"/>
    <x v="9"/>
    <x v="1"/>
    <x v="0"/>
    <n v="71699753.276983202"/>
    <n v="1.35"/>
    <n v="1.34379"/>
    <n v="53356367.644485518"/>
    <n v="18343385.632497683"/>
    <n v="17067966.080016065"/>
    <n v="1275419.5524816178"/>
    <n v="487990.40587780066"/>
    <n v="787429.14660381712"/>
    <m/>
    <m/>
    <m/>
  </r>
  <r>
    <x v="11"/>
    <x v="10"/>
    <x v="1"/>
    <x v="0"/>
    <n v="71699753.276983202"/>
    <n v="1.35"/>
    <n v="1.34379"/>
    <n v="53356367.644485518"/>
    <n v="18343385.632497683"/>
    <n v="22827147.622163888"/>
    <n v="-4483761.9896662049"/>
    <n v="487990.40587780066"/>
    <n v="-4971752.3955440056"/>
    <m/>
    <m/>
    <m/>
  </r>
  <r>
    <x v="11"/>
    <x v="11"/>
    <x v="1"/>
    <x v="0"/>
    <n v="71699753.276983202"/>
    <n v="1.35"/>
    <n v="1.34379"/>
    <n v="53356367.644485518"/>
    <n v="18343385.632497683"/>
    <n v="19220170.539815214"/>
    <n v="-876784.90731753036"/>
    <n v="487990.40587780066"/>
    <n v="-1364775.313195331"/>
    <m/>
    <m/>
    <m/>
  </r>
  <r>
    <x v="11"/>
    <x v="12"/>
    <x v="1"/>
    <x v="0"/>
    <n v="65878695.026983202"/>
    <n v="1.35"/>
    <n v="1.34379"/>
    <n v="49024546.266145155"/>
    <n v="16854148.760838047"/>
    <s v=""/>
    <s v=""/>
    <n v="448372.13038552355"/>
    <s v=""/>
    <m/>
    <m/>
    <m/>
  </r>
  <r>
    <x v="11"/>
    <x v="13"/>
    <x v="1"/>
    <x v="0"/>
    <n v="65878695.026983202"/>
    <n v="1.35"/>
    <n v="1.34379"/>
    <n v="49024546.266145155"/>
    <n v="16854148.760838047"/>
    <s v=""/>
    <s v=""/>
    <n v="448372.13038552355"/>
    <s v=""/>
    <m/>
    <m/>
    <m/>
  </r>
  <r>
    <x v="11"/>
    <x v="14"/>
    <x v="1"/>
    <x v="0"/>
    <n v="61723893.851983197"/>
    <n v="1.35"/>
    <n v="1.34379"/>
    <n v="45932693.242235169"/>
    <n v="15791200.609748028"/>
    <s v=""/>
    <s v=""/>
    <n v="420094.44435364316"/>
    <s v=""/>
    <m/>
    <m/>
    <m/>
  </r>
  <r>
    <x v="11"/>
    <x v="15"/>
    <x v="1"/>
    <x v="0"/>
    <n v="49714833.851983197"/>
    <n v="1.35"/>
    <n v="1.34379"/>
    <n v="36995984.381475672"/>
    <n v="12718849.470507525"/>
    <s v=""/>
    <s v=""/>
    <n v="338360.46626069321"/>
    <s v=""/>
    <m/>
    <m/>
    <m/>
  </r>
  <r>
    <x v="11"/>
    <x v="16"/>
    <x v="1"/>
    <x v="0"/>
    <n v="48046908.851983197"/>
    <n v="1.35"/>
    <n v="1.34379"/>
    <n v="35754774.817481302"/>
    <n v="12292134.034501895"/>
    <s v=""/>
    <s v=""/>
    <n v="327008.52485889464"/>
    <s v=""/>
    <m/>
    <m/>
    <m/>
  </r>
  <r>
    <x v="11"/>
    <x v="17"/>
    <x v="1"/>
    <x v="0"/>
    <n v="40541246.351983197"/>
    <n v="1.35"/>
    <n v="1.34379"/>
    <n v="30169331.779506616"/>
    <n v="10371914.572476581"/>
    <s v=""/>
    <s v=""/>
    <n v="275924.78855080093"/>
    <s v=""/>
    <m/>
    <m/>
    <m/>
  </r>
  <r>
    <x v="12"/>
    <x v="0"/>
    <x v="1"/>
    <x v="0"/>
    <n v="15824227.25"/>
    <n v="1.92"/>
    <n v="1.9111679999999998"/>
    <n v="8279872.4392622737"/>
    <n v="7544354.8107377263"/>
    <n v="1816755.9055210776"/>
    <n v="5727598.9052166492"/>
    <n v="107700.10670188686"/>
    <n v="5619898.798514762"/>
    <m/>
    <m/>
    <m/>
  </r>
  <r>
    <x v="12"/>
    <x v="1"/>
    <x v="1"/>
    <x v="0"/>
    <n v="15824227.25"/>
    <n v="1.92"/>
    <n v="1.9111679999999998"/>
    <n v="8279872.4392622737"/>
    <n v="7544354.8107377263"/>
    <n v="1789759.4035205129"/>
    <n v="5754595.4072172139"/>
    <n v="107700.10670188686"/>
    <n v="5646895.3005153267"/>
    <m/>
    <m/>
    <m/>
  </r>
  <r>
    <x v="12"/>
    <x v="2"/>
    <x v="1"/>
    <x v="0"/>
    <n v="15824227.25"/>
    <n v="1.92"/>
    <n v="1.9111679999999998"/>
    <n v="8279872.4392622737"/>
    <n v="7544354.8107377263"/>
    <n v="1294868.7302977319"/>
    <n v="6249486.0804399941"/>
    <n v="107700.10670188686"/>
    <n v="6141785.9737381069"/>
    <m/>
    <m/>
    <m/>
  </r>
  <r>
    <x v="13"/>
    <x v="0"/>
    <x v="1"/>
    <x v="0"/>
    <n v="153017477.52499998"/>
    <n v="1.72"/>
    <n v="1.7120879999999998"/>
    <n v="89374773.682777986"/>
    <n v="63642703.84222199"/>
    <n v="19610464.905575749"/>
    <n v="44032238.936646238"/>
    <n v="1041440.9750527359"/>
    <n v="42990797.961593501"/>
    <m/>
    <m/>
    <m/>
  </r>
  <r>
    <x v="13"/>
    <x v="1"/>
    <x v="1"/>
    <x v="0"/>
    <n v="151568477.52499998"/>
    <n v="1.72"/>
    <n v="1.7120879999999998"/>
    <n v="88528438.681306094"/>
    <n v="63040038.843693882"/>
    <n v="19136116.742273621"/>
    <n v="43903922.101420261"/>
    <n v="1031579.0429567446"/>
    <n v="42872343.058463514"/>
    <m/>
    <m/>
    <m/>
  </r>
  <r>
    <x v="13"/>
    <x v="2"/>
    <x v="1"/>
    <x v="0"/>
    <n v="98609116.699999988"/>
    <n v="1.72"/>
    <n v="1.7120879999999998"/>
    <n v="57595822.586222202"/>
    <n v="41013294.113777786"/>
    <n v="9007267.9512584209"/>
    <n v="32006026.162519366"/>
    <n v="671136.24081509653"/>
    <n v="31334889.92170427"/>
    <m/>
    <m/>
    <m/>
  </r>
  <r>
    <x v="14"/>
    <x v="0"/>
    <x v="1"/>
    <x v="0"/>
    <n v="51152180.402000003"/>
    <n v="1.69"/>
    <n v="1.6822259999999998"/>
    <n v="30407436.576298315"/>
    <n v="20744743.825701687"/>
    <n v="6671949.4022385757"/>
    <n v="14072794.423463112"/>
    <n v="348143.08466971532"/>
    <n v="13724651.338793397"/>
    <m/>
    <m/>
    <m/>
  </r>
  <r>
    <x v="14"/>
    <x v="1"/>
    <x v="1"/>
    <x v="0"/>
    <n v="47167910.304499999"/>
    <n v="1.69"/>
    <n v="1.6822259999999998"/>
    <n v="28038985.430316739"/>
    <n v="19128924.87418326"/>
    <n v="6060846.7349232845"/>
    <n v="13068078.139259975"/>
    <n v="321026.03763477161"/>
    <n v="12747052.101625204"/>
    <m/>
    <m/>
    <m/>
  </r>
  <r>
    <x v="14"/>
    <x v="2"/>
    <x v="1"/>
    <x v="0"/>
    <n v="47167910.304499999"/>
    <n v="1.69"/>
    <n v="1.6822259999999998"/>
    <n v="28038985.430316739"/>
    <n v="19128924.87418326"/>
    <n v="4384947.4408359034"/>
    <n v="14743977.433347356"/>
    <n v="321026.03763477161"/>
    <n v="14422951.395712584"/>
    <m/>
    <m/>
    <m/>
  </r>
  <r>
    <x v="14"/>
    <x v="3"/>
    <x v="1"/>
    <x v="0"/>
    <n v="53612578.7795"/>
    <n v="1.69"/>
    <n v="1.6822259999999998"/>
    <n v="31870021.495030992"/>
    <n v="21742557.284469008"/>
    <n v="5124003.3797942931"/>
    <n v="16618553.904674716"/>
    <n v="364888.62071387819"/>
    <n v="16253665.283960838"/>
    <m/>
    <m/>
    <m/>
  </r>
  <r>
    <x v="14"/>
    <x v="4"/>
    <x v="1"/>
    <x v="0"/>
    <n v="53612578.7795"/>
    <n v="1.69"/>
    <n v="1.6822259999999998"/>
    <n v="31870021.495030992"/>
    <n v="21742557.284469008"/>
    <n v="4226944.4439941533"/>
    <n v="17515612.840474855"/>
    <n v="364888.62071387819"/>
    <n v="17150724.219760977"/>
    <m/>
    <m/>
    <m/>
  </r>
  <r>
    <x v="14"/>
    <x v="5"/>
    <x v="1"/>
    <x v="0"/>
    <n v="53612578.7795"/>
    <n v="1.69"/>
    <n v="1.6822259999999998"/>
    <n v="31870021.495030992"/>
    <n v="21742557.284469008"/>
    <n v="5684250.3924410138"/>
    <n v="16058306.892027995"/>
    <n v="364888.62071387819"/>
    <n v="15693418.271314116"/>
    <m/>
    <m/>
    <m/>
  </r>
  <r>
    <x v="14"/>
    <x v="6"/>
    <x v="1"/>
    <x v="0"/>
    <n v="53612578.7795"/>
    <n v="1.69"/>
    <n v="1.6822259999999998"/>
    <n v="31870021.495030992"/>
    <n v="21742557.284469008"/>
    <n v="8476894.3274410851"/>
    <n v="13265662.957027923"/>
    <n v="364888.62071387819"/>
    <n v="12900774.336314045"/>
    <m/>
    <m/>
    <m/>
  </r>
  <r>
    <x v="14"/>
    <x v="7"/>
    <x v="1"/>
    <x v="0"/>
    <n v="53612578.7795"/>
    <n v="1.69"/>
    <n v="1.6822259999999998"/>
    <n v="31870021.495030992"/>
    <n v="21742557.284469008"/>
    <n v="8341571.3542623688"/>
    <n v="13400985.93020664"/>
    <n v="364888.62071387819"/>
    <n v="13036097.309492761"/>
    <m/>
    <m/>
    <m/>
  </r>
  <r>
    <x v="14"/>
    <x v="8"/>
    <x v="1"/>
    <x v="0"/>
    <n v="49351847.829500005"/>
    <n v="1.69"/>
    <n v="1.6822259999999998"/>
    <n v="29337228.071317416"/>
    <n v="20014619.758182589"/>
    <n v="8678197.6176880579"/>
    <n v="11336422.140494531"/>
    <n v="335889.97384832386"/>
    <n v="11000532.166646207"/>
    <m/>
    <m/>
    <m/>
  </r>
  <r>
    <x v="14"/>
    <x v="9"/>
    <x v="1"/>
    <x v="0"/>
    <n v="49351847.829500005"/>
    <n v="1.69"/>
    <n v="1.6822259999999998"/>
    <n v="29337228.071317416"/>
    <n v="20014619.758182589"/>
    <n v="9384574.6198334359"/>
    <n v="10630045.138349153"/>
    <n v="335889.97384832386"/>
    <n v="10294155.164500829"/>
    <m/>
    <m/>
    <m/>
  </r>
  <r>
    <x v="14"/>
    <x v="10"/>
    <x v="1"/>
    <x v="0"/>
    <n v="49351847.829500005"/>
    <n v="1.69"/>
    <n v="1.6822259999999998"/>
    <n v="29337228.071317416"/>
    <n v="20014619.758182589"/>
    <n v="12551177.405313239"/>
    <n v="7463442.3528693505"/>
    <n v="335889.97384832386"/>
    <n v="7127552.3790210262"/>
    <m/>
    <m/>
    <m/>
  </r>
  <r>
    <x v="14"/>
    <x v="11"/>
    <x v="1"/>
    <x v="0"/>
    <n v="49351847.829500005"/>
    <n v="1.69"/>
    <n v="1.6822259999999998"/>
    <n v="29337228.071317416"/>
    <n v="20014619.758182589"/>
    <n v="10567933.155668095"/>
    <n v="9446686.6025144942"/>
    <n v="335889.97384832386"/>
    <n v="9110796.6286661699"/>
    <m/>
    <m/>
    <m/>
  </r>
  <r>
    <x v="14"/>
    <x v="12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3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4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5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6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7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8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19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0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1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2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3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4"/>
    <x v="1"/>
    <x v="0"/>
    <n v="49351847.829500005"/>
    <n v="1.69"/>
    <n v="1.6822259999999998"/>
    <n v="29337228.071317416"/>
    <n v="20014619.758182589"/>
    <s v=""/>
    <s v=""/>
    <n v="335889.97384832386"/>
    <s v=""/>
    <m/>
    <m/>
    <m/>
  </r>
  <r>
    <x v="14"/>
    <x v="25"/>
    <x v="1"/>
    <x v="0"/>
    <n v="9910003.9500000011"/>
    <n v="1.69"/>
    <n v="1.6822259999999998"/>
    <n v="5891006.291663547"/>
    <n v="4018997.6583364541"/>
    <s v=""/>
    <s v=""/>
    <n v="67447.747429886062"/>
    <s v=""/>
    <m/>
    <m/>
    <m/>
  </r>
  <r>
    <x v="15"/>
    <x v="0"/>
    <x v="1"/>
    <x v="0"/>
    <n v="20348195"/>
    <n v="1.61"/>
    <n v="1.6025940000000001"/>
    <n v="12697036.804081382"/>
    <n v="7651158.1959186178"/>
    <n v="2785962.7990221307"/>
    <n v="4865195.3968964871"/>
    <n v="138490.35014906025"/>
    <n v="4726705.0467474265"/>
    <m/>
    <m/>
    <m/>
  </r>
  <r>
    <x v="15"/>
    <x v="1"/>
    <x v="1"/>
    <x v="0"/>
    <n v="20348195"/>
    <n v="1.61"/>
    <n v="1.6025940000000001"/>
    <n v="12697036.804081382"/>
    <n v="7651158.1959186178"/>
    <n v="2744564.1443934408"/>
    <n v="4906594.0515251774"/>
    <n v="138490.35014906025"/>
    <n v="4768103.7013761168"/>
    <m/>
    <m/>
    <m/>
  </r>
  <r>
    <x v="15"/>
    <x v="2"/>
    <x v="1"/>
    <x v="0"/>
    <n v="20348195"/>
    <n v="1.61"/>
    <n v="1.6025940000000001"/>
    <n v="12697036.804081382"/>
    <n v="7651158.1959186178"/>
    <n v="1985658.1180022748"/>
    <n v="5665500.0779163428"/>
    <n v="138490.35014906025"/>
    <n v="5527009.7277672822"/>
    <m/>
    <m/>
    <m/>
  </r>
  <r>
    <x v="15"/>
    <x v="3"/>
    <x v="1"/>
    <x v="0"/>
    <n v="20348195"/>
    <n v="1.61"/>
    <n v="1.6025940000000001"/>
    <n v="12697036.804081382"/>
    <n v="7651158.1959186178"/>
    <n v="2041406.2007341066"/>
    <n v="5609751.9951845109"/>
    <n v="138490.35014906025"/>
    <n v="5471261.6450354503"/>
    <m/>
    <m/>
    <m/>
  </r>
  <r>
    <x v="15"/>
    <x v="4"/>
    <x v="1"/>
    <x v="0"/>
    <n v="20348195"/>
    <n v="1.61"/>
    <n v="1.6025940000000001"/>
    <n v="12697036.804081382"/>
    <n v="7651158.1959186178"/>
    <n v="1684017.3509945383"/>
    <n v="5967140.8449240793"/>
    <n v="138490.35014906025"/>
    <n v="5828650.4947750187"/>
    <m/>
    <m/>
    <m/>
  </r>
  <r>
    <x v="15"/>
    <x v="5"/>
    <x v="1"/>
    <x v="0"/>
    <n v="20348195"/>
    <n v="1.61"/>
    <n v="1.6025940000000001"/>
    <n v="12697036.804081382"/>
    <n v="7651158.1959186178"/>
    <n v="2264608.9663821044"/>
    <n v="5386549.2295365129"/>
    <n v="138490.35014906025"/>
    <n v="5248058.8793874523"/>
    <m/>
    <m/>
    <m/>
  </r>
  <r>
    <x v="15"/>
    <x v="6"/>
    <x v="1"/>
    <x v="0"/>
    <n v="20348195"/>
    <n v="1.61"/>
    <n v="1.6025940000000001"/>
    <n v="12697036.804081382"/>
    <n v="7651158.1959186178"/>
    <n v="3377200.0836776807"/>
    <n v="4273958.1122409366"/>
    <n v="138490.35014906025"/>
    <n v="4135467.7620918765"/>
    <m/>
    <m/>
    <m/>
  </r>
  <r>
    <x v="15"/>
    <x v="7"/>
    <x v="1"/>
    <x v="0"/>
    <n v="20348195"/>
    <n v="1.61"/>
    <n v="1.6025940000000001"/>
    <n v="12697036.804081382"/>
    <n v="7651158.1959186178"/>
    <n v="3323287.3252204647"/>
    <n v="4327870.870698153"/>
    <n v="138490.35014906025"/>
    <n v="4189380.5205490929"/>
    <m/>
    <m/>
    <m/>
  </r>
  <r>
    <x v="15"/>
    <x v="8"/>
    <x v="1"/>
    <x v="0"/>
    <n v="20348195"/>
    <n v="1.61"/>
    <n v="1.6025940000000001"/>
    <n v="12697036.804081382"/>
    <n v="7651158.1959186178"/>
    <n v="3755889.7615349451"/>
    <n v="3895268.4343836727"/>
    <n v="138490.35014906025"/>
    <n v="3756778.0842346125"/>
    <m/>
    <m/>
    <m/>
  </r>
  <r>
    <x v="15"/>
    <x v="9"/>
    <x v="1"/>
    <x v="0"/>
    <n v="20348195"/>
    <n v="1.61"/>
    <n v="1.6025940000000001"/>
    <n v="12697036.804081382"/>
    <n v="7651158.1959186178"/>
    <n v="4061606.9469484258"/>
    <n v="3589551.2489701919"/>
    <n v="138490.35014906025"/>
    <n v="3451060.8988211318"/>
    <m/>
    <m/>
    <m/>
  </r>
  <r>
    <x v="15"/>
    <x v="10"/>
    <x v="1"/>
    <x v="0"/>
    <n v="20348195"/>
    <n v="1.61"/>
    <n v="1.6025940000000001"/>
    <n v="12697036.804081382"/>
    <n v="7651158.1959186178"/>
    <n v="5432100.1651012665"/>
    <n v="2219058.0308173513"/>
    <n v="138490.35014906025"/>
    <n v="2080567.6806682912"/>
    <m/>
    <m/>
    <m/>
  </r>
  <r>
    <x v="15"/>
    <x v="11"/>
    <x v="1"/>
    <x v="0"/>
    <n v="20348195"/>
    <n v="1.61"/>
    <n v="1.6025940000000001"/>
    <n v="12697036.804081382"/>
    <n v="7651158.1959186178"/>
    <n v="4573759.8621928757"/>
    <n v="3077398.3337257421"/>
    <n v="138490.35014906025"/>
    <n v="2938907.9835766819"/>
    <m/>
    <m/>
    <m/>
  </r>
  <r>
    <x v="15"/>
    <x v="12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3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4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5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6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7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8"/>
    <x v="1"/>
    <x v="0"/>
    <n v="20348195"/>
    <n v="1.61"/>
    <n v="1.6025940000000001"/>
    <n v="12697036.804081382"/>
    <n v="7651158.1959186178"/>
    <s v=""/>
    <s v=""/>
    <n v="138490.35014906025"/>
    <s v=""/>
    <m/>
    <m/>
    <m/>
  </r>
  <r>
    <x v="15"/>
    <x v="19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0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1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2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3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4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5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6"/>
    <x v="1"/>
    <x v="0"/>
    <n v="24271520"/>
    <n v="1.61"/>
    <n v="1.6025940000000001"/>
    <n v="15145145.932157489"/>
    <n v="9126374.0678425115"/>
    <s v=""/>
    <s v=""/>
    <n v="165192.60324809738"/>
    <s v=""/>
    <m/>
    <m/>
    <m/>
  </r>
  <r>
    <x v="15"/>
    <x v="27"/>
    <x v="1"/>
    <x v="0"/>
    <n v="19513445"/>
    <n v="1.61"/>
    <n v="1.6025940000000001"/>
    <n v="12176162.521511998"/>
    <n v="7337282.478488002"/>
    <s v=""/>
    <s v=""/>
    <n v="132809.0197024566"/>
    <s v=""/>
    <m/>
    <m/>
    <m/>
  </r>
  <r>
    <x v="15"/>
    <x v="28"/>
    <x v="1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5"/>
    <x v="29"/>
    <x v="1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5"/>
    <x v="30"/>
    <x v="1"/>
    <x v="0"/>
    <n v="3923324.9999999995"/>
    <n v="1.61"/>
    <n v="1.6025940000000001"/>
    <n v="2448109.1280761063"/>
    <n v="1475215.8719238932"/>
    <s v=""/>
    <s v=""/>
    <n v="26702.253099037127"/>
    <s v=""/>
    <m/>
    <m/>
    <m/>
  </r>
  <r>
    <x v="16"/>
    <x v="0"/>
    <x v="1"/>
    <x v="0"/>
    <n v="195728607.46069998"/>
    <n v="2.2200000000000002"/>
    <n v="2.2097880000000001"/>
    <n v="88573477.392718196"/>
    <n v="107155130.06798178"/>
    <n v="19434645.79994132"/>
    <n v="87720484.268040463"/>
    <n v="1332134.0483232201"/>
    <n v="86388350.219717249"/>
    <m/>
    <m/>
    <m/>
  </r>
  <r>
    <x v="16"/>
    <x v="1"/>
    <x v="1"/>
    <x v="0"/>
    <n v="195728607.46069998"/>
    <n v="2.2200000000000002"/>
    <n v="2.2097880000000001"/>
    <n v="88573477.392718196"/>
    <n v="107155130.06798178"/>
    <n v="19145852.213183776"/>
    <n v="88009277.854798004"/>
    <n v="1332134.0483232201"/>
    <n v="86677143.80647479"/>
    <m/>
    <m/>
    <m/>
  </r>
  <r>
    <x v="16"/>
    <x v="2"/>
    <x v="1"/>
    <x v="0"/>
    <n v="195728607.46069998"/>
    <n v="2.2200000000000002"/>
    <n v="2.2097880000000001"/>
    <n v="88573477.392718196"/>
    <n v="107155130.06798178"/>
    <n v="13851786.612763651"/>
    <n v="93303343.455218136"/>
    <n v="1332134.0483232201"/>
    <n v="91971209.406894922"/>
    <m/>
    <m/>
    <m/>
  </r>
  <r>
    <x v="16"/>
    <x v="3"/>
    <x v="1"/>
    <x v="0"/>
    <n v="131698607.46069999"/>
    <n v="2.2200000000000002"/>
    <n v="2.2097880000000001"/>
    <n v="59597847.151265182"/>
    <n v="72100760.309434801"/>
    <n v="9582032.1388600152"/>
    <n v="62518728.170574784"/>
    <n v="896344.18489580916"/>
    <n v="61622383.985678978"/>
    <m/>
    <m/>
    <m/>
  </r>
  <r>
    <x v="16"/>
    <x v="4"/>
    <x v="1"/>
    <x v="0"/>
    <n v="131698607.46069999"/>
    <n v="2.2200000000000002"/>
    <n v="2.2097880000000001"/>
    <n v="59597847.151265182"/>
    <n v="72100760.309434801"/>
    <n v="7904506.4004531894"/>
    <n v="64196253.908981614"/>
    <n v="896344.18489580916"/>
    <n v="63299909.724085808"/>
    <m/>
    <m/>
    <m/>
  </r>
  <r>
    <x v="16"/>
    <x v="5"/>
    <x v="1"/>
    <x v="0"/>
    <n v="131698607.46069999"/>
    <n v="2.2200000000000002"/>
    <n v="2.2097880000000001"/>
    <n v="59597847.151265182"/>
    <n v="72100760.309434801"/>
    <n v="10629709.995992245"/>
    <n v="61471050.313442558"/>
    <n v="896344.18489580916"/>
    <n v="60574706.128546752"/>
    <m/>
    <m/>
    <m/>
  </r>
  <r>
    <x v="16"/>
    <x v="6"/>
    <x v="1"/>
    <x v="0"/>
    <n v="131698607.46069999"/>
    <n v="2.2200000000000002"/>
    <n v="2.2097880000000001"/>
    <n v="59597847.151265182"/>
    <n v="72100760.309434801"/>
    <n v="15852033.627370773"/>
    <n v="56248726.682064027"/>
    <n v="896344.18489580916"/>
    <n v="55352382.497168221"/>
    <m/>
    <m/>
    <m/>
  </r>
  <r>
    <x v="16"/>
    <x v="7"/>
    <x v="1"/>
    <x v="0"/>
    <n v="131698607.46069999"/>
    <n v="2.2200000000000002"/>
    <n v="2.2097880000000001"/>
    <n v="59597847.151265182"/>
    <n v="72100760.309434801"/>
    <n v="15598975.816511832"/>
    <n v="56501784.492922969"/>
    <n v="896344.18489580916"/>
    <n v="55605440.308027163"/>
    <m/>
    <m/>
    <m/>
  </r>
  <r>
    <x v="16"/>
    <x v="8"/>
    <x v="1"/>
    <x v="0"/>
    <n v="131698607.46069999"/>
    <n v="2.2200000000000002"/>
    <n v="2.2097880000000001"/>
    <n v="59597847.151265182"/>
    <n v="72100760.309434801"/>
    <n v="17629542.024561871"/>
    <n v="54471218.284872934"/>
    <n v="896344.18489580916"/>
    <n v="53574874.099977128"/>
    <m/>
    <m/>
    <m/>
  </r>
  <r>
    <x v="16"/>
    <x v="9"/>
    <x v="1"/>
    <x v="0"/>
    <n v="131698607.46069999"/>
    <n v="2.2200000000000002"/>
    <n v="2.2097880000000001"/>
    <n v="59597847.151265182"/>
    <n v="72100760.309434801"/>
    <n v="19064529.287253819"/>
    <n v="53036231.022180982"/>
    <n v="896344.18489580916"/>
    <n v="52139886.837285176"/>
    <m/>
    <m/>
    <m/>
  </r>
  <r>
    <x v="16"/>
    <x v="10"/>
    <x v="1"/>
    <x v="0"/>
    <n v="131698607.46069999"/>
    <n v="2.2200000000000002"/>
    <n v="2.2097880000000001"/>
    <n v="59597847.151265182"/>
    <n v="72100760.309434801"/>
    <n v="25497403.870326895"/>
    <n v="46603356.43910791"/>
    <n v="896344.18489580916"/>
    <n v="45707012.254212104"/>
    <m/>
    <m/>
    <m/>
  </r>
  <r>
    <x v="16"/>
    <x v="11"/>
    <x v="1"/>
    <x v="0"/>
    <n v="131698607.46069999"/>
    <n v="2.2200000000000002"/>
    <n v="2.2097880000000001"/>
    <n v="59597847.151265182"/>
    <n v="72100760.309434801"/>
    <n v="21468492.639632389"/>
    <n v="50632267.669802412"/>
    <n v="896344.18489580916"/>
    <n v="49735923.484906606"/>
    <m/>
    <m/>
    <m/>
  </r>
  <r>
    <x v="16"/>
    <x v="12"/>
    <x v="1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x v="13"/>
    <x v="1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x v="14"/>
    <x v="1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x v="15"/>
    <x v="1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x v="16"/>
    <x v="1"/>
    <x v="0"/>
    <n v="127335452.6857"/>
    <n v="2.2200000000000002"/>
    <n v="2.2097880000000001"/>
    <n v="57623379.566591904"/>
    <n v="69712073.119108096"/>
    <s v=""/>
    <s v=""/>
    <n v="866648.4387844567"/>
    <s v=""/>
    <m/>
    <m/>
    <m/>
  </r>
  <r>
    <x v="16"/>
    <x v="17"/>
    <x v="1"/>
    <x v="0"/>
    <n v="115277855.6902"/>
    <n v="2.2200000000000002"/>
    <n v="2.2097880000000001"/>
    <n v="52166929.900153317"/>
    <n v="63110925.790046684"/>
    <s v=""/>
    <s v=""/>
    <n v="784584.11662403645"/>
    <s v=""/>
    <m/>
    <m/>
    <m/>
  </r>
  <r>
    <x v="16"/>
    <x v="18"/>
    <x v="1"/>
    <x v="0"/>
    <n v="115277855.6902"/>
    <n v="2.2200000000000002"/>
    <n v="2.2097880000000001"/>
    <n v="52166929.900153317"/>
    <n v="63110925.790046684"/>
    <s v=""/>
    <s v=""/>
    <n v="784584.11662403645"/>
    <s v=""/>
    <m/>
    <m/>
    <m/>
  </r>
  <r>
    <x v="16"/>
    <x v="19"/>
    <x v="1"/>
    <x v="0"/>
    <n v="109546785.0652"/>
    <n v="2.2200000000000002"/>
    <n v="2.2097880000000001"/>
    <n v="49573436.485852942"/>
    <n v="59973348.579347059"/>
    <s v=""/>
    <s v=""/>
    <n v="745578.29927339463"/>
    <s v=""/>
    <m/>
    <m/>
    <m/>
  </r>
  <r>
    <x v="16"/>
    <x v="20"/>
    <x v="1"/>
    <x v="0"/>
    <n v="103283498.605"/>
    <n v="2.2200000000000002"/>
    <n v="2.2097880000000001"/>
    <n v="46739098.323006548"/>
    <n v="56544400.281993456"/>
    <s v=""/>
    <s v=""/>
    <n v="702950.20695577306"/>
    <s v=""/>
    <m/>
    <m/>
    <m/>
  </r>
  <r>
    <x v="16"/>
    <x v="21"/>
    <x v="1"/>
    <x v="0"/>
    <n v="92003446.254999995"/>
    <n v="2.2200000000000002"/>
    <n v="2.2097880000000001"/>
    <n v="41634512.566363826"/>
    <n v="50368933.688636169"/>
    <s v=""/>
    <s v=""/>
    <n v="626177.87409523036"/>
    <s v=""/>
    <m/>
    <m/>
    <m/>
  </r>
  <r>
    <x v="16"/>
    <x v="22"/>
    <x v="1"/>
    <x v="0"/>
    <n v="92003446.254999995"/>
    <n v="2.2200000000000002"/>
    <n v="2.2097880000000001"/>
    <n v="41634512.566363826"/>
    <n v="50368933.688636169"/>
    <s v=""/>
    <s v=""/>
    <n v="626177.87409523036"/>
    <s v=""/>
    <m/>
    <m/>
    <m/>
  </r>
  <r>
    <x v="16"/>
    <x v="23"/>
    <x v="1"/>
    <x v="0"/>
    <n v="54343675.75"/>
    <n v="2.2200000000000002"/>
    <n v="2.2097880000000001"/>
    <n v="24592257.605706971"/>
    <n v="29751418.144293029"/>
    <s v=""/>
    <s v=""/>
    <n v="369864.48591653927"/>
    <s v=""/>
    <m/>
    <m/>
    <m/>
  </r>
  <r>
    <x v="17"/>
    <x v="0"/>
    <x v="1"/>
    <x v="0"/>
    <n v="23358981.669500001"/>
    <n v="1.83"/>
    <n v="1.821582"/>
    <n v="12823458.767982995"/>
    <n v="10535522.901517006"/>
    <n v="2813702.0970838638"/>
    <n v="7721820.8044331418"/>
    <n v="158981.84337895989"/>
    <n v="7562838.9610541817"/>
    <m/>
    <m/>
    <m/>
  </r>
  <r>
    <x v="17"/>
    <x v="1"/>
    <x v="1"/>
    <x v="0"/>
    <n v="23358981.669500001"/>
    <n v="1.83"/>
    <n v="1.821582"/>
    <n v="12823458.767982995"/>
    <n v="10535522.901517006"/>
    <n v="2771891.2439791202"/>
    <n v="7763631.657537885"/>
    <n v="158981.84337895989"/>
    <n v="7604649.8141589249"/>
    <m/>
    <m/>
    <m/>
  </r>
  <r>
    <x v="17"/>
    <x v="2"/>
    <x v="1"/>
    <x v="0"/>
    <n v="19235315"/>
    <n v="1.83"/>
    <n v="1.821582"/>
    <n v="10559675.600659207"/>
    <n v="8675639.3993407935"/>
    <n v="1651401.4965428391"/>
    <n v="7024237.9027979542"/>
    <n v="130916.05961007701"/>
    <n v="6893321.843187877"/>
    <m/>
    <m/>
    <m/>
  </r>
  <r>
    <x v="17"/>
    <x v="3"/>
    <x v="1"/>
    <x v="0"/>
    <n v="19235315"/>
    <n v="1.83"/>
    <n v="1.821582"/>
    <n v="10559675.600659207"/>
    <n v="8675639.3993407935"/>
    <n v="1697765.2015623935"/>
    <n v="6977874.1977784"/>
    <n v="130916.05961007701"/>
    <n v="6846958.1381683229"/>
    <m/>
    <m/>
    <m/>
  </r>
  <r>
    <x v="17"/>
    <x v="4"/>
    <x v="1"/>
    <x v="0"/>
    <n v="19235315"/>
    <n v="1.83"/>
    <n v="1.821582"/>
    <n v="10559675.600659207"/>
    <n v="8675639.3993407935"/>
    <n v="1400537.5590206722"/>
    <n v="7275101.8403201215"/>
    <n v="130916.05961007701"/>
    <n v="7144185.7807100443"/>
    <m/>
    <m/>
    <m/>
  </r>
  <r>
    <x v="17"/>
    <x v="5"/>
    <x v="1"/>
    <x v="0"/>
    <n v="19235315"/>
    <n v="1.83"/>
    <n v="1.821582"/>
    <n v="10559675.600659207"/>
    <n v="8675639.3993407935"/>
    <n v="1883395.0327412076"/>
    <n v="6792244.3665995859"/>
    <n v="130916.05961007701"/>
    <n v="6661328.3069895087"/>
    <m/>
    <m/>
    <m/>
  </r>
  <r>
    <x v="17"/>
    <x v="6"/>
    <x v="1"/>
    <x v="0"/>
    <n v="19235315"/>
    <n v="1.83"/>
    <n v="1.821582"/>
    <n v="10559675.600659207"/>
    <n v="8675639.3993407935"/>
    <n v="2808697.6412238223"/>
    <n v="5866941.7581169717"/>
    <n v="130916.05961007701"/>
    <n v="5736025.6985068945"/>
    <m/>
    <m/>
    <m/>
  </r>
  <r>
    <x v="17"/>
    <x v="7"/>
    <x v="1"/>
    <x v="0"/>
    <n v="19235315"/>
    <n v="1.83"/>
    <n v="1.821582"/>
    <n v="10559675.600659207"/>
    <n v="8675639.3993407935"/>
    <n v="2763860.310370225"/>
    <n v="5911779.088970568"/>
    <n v="130916.05961007701"/>
    <n v="5780863.0293604909"/>
    <m/>
    <m/>
    <m/>
  </r>
  <r>
    <x v="17"/>
    <x v="8"/>
    <x v="1"/>
    <x v="0"/>
    <n v="15111650"/>
    <n v="1.83"/>
    <n v="1.821582"/>
    <n v="8295893.3498464515"/>
    <n v="6815756.6501535485"/>
    <n v="2453994.6899624984"/>
    <n v="4361761.9601910505"/>
    <n v="102850.287203855"/>
    <n v="4258911.6729871957"/>
    <m/>
    <m/>
    <m/>
  </r>
  <r>
    <x v="17"/>
    <x v="9"/>
    <x v="1"/>
    <x v="0"/>
    <n v="15111650"/>
    <n v="1.83"/>
    <n v="1.821582"/>
    <n v="8295893.3498464515"/>
    <n v="6815756.6501535485"/>
    <n v="2653741.859679312"/>
    <n v="4162014.7904742365"/>
    <n v="102850.287203855"/>
    <n v="4059164.5032703816"/>
    <m/>
    <m/>
    <m/>
  </r>
  <r>
    <x v="17"/>
    <x v="10"/>
    <x v="1"/>
    <x v="0"/>
    <n v="15111650"/>
    <n v="1.83"/>
    <n v="1.821582"/>
    <n v="8295893.3498464515"/>
    <n v="6815756.6501535485"/>
    <n v="3549184.2963610082"/>
    <n v="3266572.3537925403"/>
    <n v="102850.287203855"/>
    <n v="3163722.0665886854"/>
    <m/>
    <m/>
    <m/>
  </r>
  <r>
    <x v="18"/>
    <x v="0"/>
    <x v="1"/>
    <x v="0"/>
    <n v="45806040.531499997"/>
    <n v="2.48"/>
    <n v="2.4685919999999997"/>
    <n v="18555533.085864332"/>
    <n v="27250507.445635665"/>
    <n v="4071424.3560060649"/>
    <n v="23179083.089629602"/>
    <n v="311757.11615450314"/>
    <n v="22867325.973475099"/>
    <m/>
    <m/>
    <m/>
  </r>
  <r>
    <x v="18"/>
    <x v="1"/>
    <x v="1"/>
    <x v="0"/>
    <n v="45806040.531499997"/>
    <n v="2.48"/>
    <n v="2.4685919999999997"/>
    <n v="18555533.085864332"/>
    <n v="27250507.445635665"/>
    <n v="4010924.0898789321"/>
    <n v="23239583.355756734"/>
    <n v="311757.11615450314"/>
    <n v="22927826.23960223"/>
    <m/>
    <m/>
    <m/>
  </r>
  <r>
    <x v="18"/>
    <x v="2"/>
    <x v="1"/>
    <x v="0"/>
    <n v="45806040.531499997"/>
    <n v="2.48"/>
    <n v="2.4685919999999997"/>
    <n v="18555533.085864332"/>
    <n v="27250507.445635665"/>
    <n v="2901853.8320659776"/>
    <n v="24348653.613569688"/>
    <n v="311757.11615450314"/>
    <n v="24036896.497415185"/>
    <m/>
    <m/>
    <m/>
  </r>
  <r>
    <x v="18"/>
    <x v="3"/>
    <x v="1"/>
    <x v="0"/>
    <n v="45806040.531499997"/>
    <n v="2.48"/>
    <n v="2.4685919999999997"/>
    <n v="18555533.085864332"/>
    <n v="27250507.445635665"/>
    <n v="2983324.4467901546"/>
    <n v="24267182.99884551"/>
    <n v="311757.11615450314"/>
    <n v="23955425.882691007"/>
    <m/>
    <m/>
    <m/>
  </r>
  <r>
    <x v="18"/>
    <x v="4"/>
    <x v="1"/>
    <x v="0"/>
    <n v="45806040.531499997"/>
    <n v="2.48"/>
    <n v="2.4685919999999997"/>
    <n v="18555533.085864332"/>
    <n v="27250507.445635665"/>
    <n v="2461034.0314603439"/>
    <n v="24789473.41417532"/>
    <n v="311757.11615450314"/>
    <n v="24477716.298020817"/>
    <m/>
    <m/>
    <m/>
  </r>
  <r>
    <x v="18"/>
    <x v="5"/>
    <x v="1"/>
    <x v="0"/>
    <n v="45806040.531499997"/>
    <n v="2.48"/>
    <n v="2.4685919999999997"/>
    <n v="18555533.085864332"/>
    <n v="27250507.445635665"/>
    <n v="3309514.4363715458"/>
    <n v="23940993.009264119"/>
    <n v="311757.11615450314"/>
    <n v="23629235.893109616"/>
    <m/>
    <m/>
    <m/>
  </r>
  <r>
    <x v="18"/>
    <x v="6"/>
    <x v="1"/>
    <x v="0"/>
    <n v="45806040.531499997"/>
    <n v="2.48"/>
    <n v="2.4685919999999997"/>
    <n v="18555533.085864332"/>
    <n v="27250507.445635665"/>
    <n v="4935462.4119953318"/>
    <n v="22315045.033640333"/>
    <n v="311757.11615450314"/>
    <n v="22003287.917485829"/>
    <m/>
    <m/>
    <m/>
  </r>
  <r>
    <x v="18"/>
    <x v="7"/>
    <x v="1"/>
    <x v="0"/>
    <n v="45806040.531499997"/>
    <n v="2.48"/>
    <n v="2.4685919999999997"/>
    <n v="18555533.085864332"/>
    <n v="27250507.445635665"/>
    <n v="4856673.9522358449"/>
    <n v="22393833.493399821"/>
    <n v="311757.11615450314"/>
    <n v="22082076.377245318"/>
    <m/>
    <m/>
    <m/>
  </r>
  <r>
    <x v="18"/>
    <x v="8"/>
    <x v="1"/>
    <x v="0"/>
    <n v="33732090.531499997"/>
    <n v="2.48"/>
    <n v="2.4685919999999997"/>
    <n v="13664506.136088913"/>
    <n v="20067584.395411082"/>
    <n v="4042075.2877136283"/>
    <n v="16025509.107697453"/>
    <n v="229581.49501551536"/>
    <n v="15795927.612681938"/>
    <m/>
    <m/>
    <m/>
  </r>
  <r>
    <x v="18"/>
    <x v="9"/>
    <x v="1"/>
    <x v="0"/>
    <n v="33732090.531499997"/>
    <n v="2.48"/>
    <n v="2.4685919999999997"/>
    <n v="13664506.136088913"/>
    <n v="20067584.395411082"/>
    <n v="4371087.042223745"/>
    <n v="15696497.353187338"/>
    <n v="229581.49501551536"/>
    <n v="15466915.858171823"/>
    <m/>
    <m/>
    <m/>
  </r>
  <r>
    <x v="19"/>
    <x v="0"/>
    <x v="1"/>
    <x v="0"/>
    <n v="18731301.130000003"/>
    <n v="1.96"/>
    <n v="1.9509839999999998"/>
    <n v="9600950.6638701316"/>
    <n v="9130350.4661298711"/>
    <n v="2106624.7028748528"/>
    <n v="7023725.7632550187"/>
    <n v="127485.72795971281"/>
    <n v="6896240.0352953058"/>
    <m/>
    <m/>
    <m/>
  </r>
  <r>
    <x v="19"/>
    <x v="1"/>
    <x v="1"/>
    <x v="0"/>
    <n v="18731301.130000003"/>
    <n v="1.96"/>
    <n v="1.9509839999999998"/>
    <n v="9600950.6638701316"/>
    <n v="9130350.4661298711"/>
    <n v="2075320.8288471047"/>
    <n v="7055029.6372827664"/>
    <n v="127485.72795971281"/>
    <n v="6927543.9093230534"/>
    <m/>
    <m/>
    <m/>
  </r>
  <r>
    <x v="19"/>
    <x v="2"/>
    <x v="1"/>
    <x v="0"/>
    <n v="18731301.130000003"/>
    <n v="1.96"/>
    <n v="1.9509839999999998"/>
    <n v="9600950.6638701316"/>
    <n v="9130350.4661298711"/>
    <n v="1501468.8797409006"/>
    <n v="7628881.5863889707"/>
    <n v="127485.72795971281"/>
    <n v="7501395.8584292578"/>
    <m/>
    <m/>
    <m/>
  </r>
  <r>
    <x v="19"/>
    <x v="3"/>
    <x v="1"/>
    <x v="0"/>
    <n v="18731301.130000003"/>
    <n v="1.96"/>
    <n v="1.9509839999999998"/>
    <n v="9600950.6638701316"/>
    <n v="9130350.4661298711"/>
    <n v="1543623.1713423568"/>
    <n v="7586727.294787514"/>
    <n v="127485.72795971281"/>
    <n v="7459241.5668278011"/>
    <m/>
    <m/>
    <m/>
  </r>
  <r>
    <x v="19"/>
    <x v="4"/>
    <x v="1"/>
    <x v="0"/>
    <n v="18731301.130000003"/>
    <n v="1.96"/>
    <n v="1.9509839999999998"/>
    <n v="9600950.6638701316"/>
    <n v="9130350.4661298711"/>
    <n v="1273381.1639265846"/>
    <n v="7856969.3022032864"/>
    <n v="127485.72795971281"/>
    <n v="7729483.5742435735"/>
    <m/>
    <m/>
    <m/>
  </r>
  <r>
    <x v="19"/>
    <x v="5"/>
    <x v="1"/>
    <x v="0"/>
    <n v="18731301.130000003"/>
    <n v="1.96"/>
    <n v="1.9509839999999998"/>
    <n v="9600950.6638701316"/>
    <n v="9130350.4661298711"/>
    <n v="1712399.4593922545"/>
    <n v="7417951.0067376168"/>
    <n v="127485.72795971281"/>
    <n v="7290465.2787779039"/>
    <m/>
    <m/>
    <m/>
  </r>
  <r>
    <x v="19"/>
    <x v="6"/>
    <x v="1"/>
    <x v="0"/>
    <n v="18731301.130000003"/>
    <n v="1.96"/>
    <n v="1.9509839999999998"/>
    <n v="9600950.6638701316"/>
    <n v="9130350.4661298711"/>
    <n v="2553692.793501622"/>
    <n v="6576657.672628249"/>
    <n v="127485.72795971281"/>
    <n v="6449171.9446685361"/>
    <m/>
    <m/>
    <m/>
  </r>
  <r>
    <x v="19"/>
    <x v="7"/>
    <x v="1"/>
    <x v="0"/>
    <n v="18731301.130000003"/>
    <n v="1.96"/>
    <n v="1.9509839999999998"/>
    <n v="9600950.6638701316"/>
    <n v="9130350.4661298711"/>
    <n v="2512926.294822616"/>
    <n v="6617424.1713072546"/>
    <n v="127485.72795971281"/>
    <n v="6489938.4433475416"/>
    <m/>
    <m/>
    <m/>
  </r>
  <r>
    <x v="19"/>
    <x v="8"/>
    <x v="1"/>
    <x v="0"/>
    <n v="18731301.130000003"/>
    <n v="1.96"/>
    <n v="1.9509839999999998"/>
    <n v="9600950.6638701316"/>
    <n v="9130350.4661298711"/>
    <n v="2840041.5668513034"/>
    <n v="6290308.8992785681"/>
    <n v="127485.72795971281"/>
    <n v="6162823.1713188551"/>
    <m/>
    <m/>
    <m/>
  </r>
  <r>
    <x v="19"/>
    <x v="9"/>
    <x v="1"/>
    <x v="0"/>
    <n v="18731301.130000003"/>
    <n v="1.96"/>
    <n v="1.9509839999999998"/>
    <n v="9600950.6638701316"/>
    <n v="9130350.4661298711"/>
    <n v="3071211.6941449866"/>
    <n v="6059138.7719848845"/>
    <n v="127485.72795971281"/>
    <n v="5931653.0440251715"/>
    <m/>
    <m/>
    <m/>
  </r>
  <r>
    <x v="19"/>
    <x v="10"/>
    <x v="1"/>
    <x v="0"/>
    <n v="18731301.130000003"/>
    <n v="1.96"/>
    <n v="1.9509839999999998"/>
    <n v="9600950.6638701316"/>
    <n v="9130350.4661298711"/>
    <n v="4107519.4544268548"/>
    <n v="5022831.0117030162"/>
    <n v="127485.72795971281"/>
    <n v="4895345.2837433033"/>
    <m/>
    <m/>
    <m/>
  </r>
  <r>
    <x v="19"/>
    <x v="11"/>
    <x v="1"/>
    <x v="0"/>
    <n v="18731301.130000003"/>
    <n v="1.96"/>
    <n v="1.9509839999999998"/>
    <n v="9600950.6638701316"/>
    <n v="9130350.4661298711"/>
    <n v="3458479.6014128174"/>
    <n v="5671870.8647170532"/>
    <n v="127485.72795971281"/>
    <n v="5544385.1367573403"/>
    <m/>
    <m/>
    <m/>
  </r>
  <r>
    <x v="19"/>
    <x v="12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3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4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5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6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7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19"/>
    <x v="18"/>
    <x v="1"/>
    <x v="0"/>
    <n v="18731301.130000003"/>
    <n v="1.96"/>
    <n v="1.9509839999999998"/>
    <n v="9600950.6638701316"/>
    <n v="9130350.4661298711"/>
    <s v=""/>
    <s v=""/>
    <n v="127485.72795971281"/>
    <s v=""/>
    <m/>
    <m/>
    <m/>
  </r>
  <r>
    <x v="20"/>
    <x v="0"/>
    <x v="1"/>
    <x v="0"/>
    <n v="28582181.75662316"/>
    <n v="2.16"/>
    <n v="2.150064"/>
    <n v="13293642.308611818"/>
    <n v="15288539.448011342"/>
    <n v="2916868.99130625"/>
    <n v="12371670.456705093"/>
    <n v="194531.0804962712"/>
    <n v="12177139.376208821"/>
    <m/>
    <m/>
    <m/>
  </r>
  <r>
    <x v="20"/>
    <x v="1"/>
    <x v="1"/>
    <x v="0"/>
    <n v="28582181.75662316"/>
    <n v="2.16"/>
    <n v="2.150064"/>
    <n v="13293642.308611818"/>
    <n v="15288539.448011342"/>
    <n v="2873525.1060215631"/>
    <n v="12415014.34198978"/>
    <n v="194531.0804962712"/>
    <n v="12220483.261493508"/>
    <m/>
    <m/>
    <m/>
  </r>
  <r>
    <x v="20"/>
    <x v="2"/>
    <x v="1"/>
    <x v="0"/>
    <n v="25155129.655423157"/>
    <n v="2.16"/>
    <n v="2.150064"/>
    <n v="11699712.034350213"/>
    <n v="13455417.621072944"/>
    <n v="1829688.9689906822"/>
    <n v="11625728.652082263"/>
    <n v="171206.47379409143"/>
    <n v="11454522.178288171"/>
    <m/>
    <m/>
    <m/>
  </r>
  <r>
    <x v="20"/>
    <x v="3"/>
    <x v="1"/>
    <x v="0"/>
    <n v="25155129.655423157"/>
    <n v="2.16"/>
    <n v="2.150064"/>
    <n v="11699712.034350213"/>
    <n v="13455417.621072944"/>
    <n v="1881058.160440132"/>
    <n v="11574359.460632812"/>
    <n v="171206.47379409143"/>
    <n v="11403152.986838721"/>
    <m/>
    <m/>
    <m/>
  </r>
  <r>
    <x v="20"/>
    <x v="4"/>
    <x v="1"/>
    <x v="0"/>
    <n v="19133530.631668162"/>
    <n v="2.16"/>
    <n v="2.150064"/>
    <n v="8899051.6708656866"/>
    <n v="10234478.960802475"/>
    <n v="1180287.7830768789"/>
    <n v="9054191.1777255964"/>
    <n v="130223.31252317435"/>
    <n v="8923967.8652024213"/>
    <m/>
    <m/>
    <m/>
  </r>
  <r>
    <x v="20"/>
    <x v="5"/>
    <x v="1"/>
    <x v="0"/>
    <n v="15168446"/>
    <n v="2.16"/>
    <n v="2.150064"/>
    <n v="7054881.1570260236"/>
    <n v="8113564.8429739764"/>
    <n v="1258289.4238619304"/>
    <n v="6855275.4191120462"/>
    <n v="103236.84227309166"/>
    <n v="6752038.5768389544"/>
    <m/>
    <m/>
    <m/>
  </r>
  <r>
    <x v="21"/>
    <x v="0"/>
    <x v="1"/>
    <x v="0"/>
    <n v="103091506.81246251"/>
    <n v="1.82"/>
    <n v="1.811628"/>
    <n v="56905450.132401638"/>
    <n v="46186056.680060871"/>
    <n v="12486099.676384287"/>
    <n v="33699957.003676586"/>
    <n v="701643.50576806266"/>
    <n v="32998313.497908521"/>
    <m/>
    <m/>
    <m/>
  </r>
  <r>
    <x v="21"/>
    <x v="1"/>
    <x v="1"/>
    <x v="0"/>
    <n v="103091506.81246251"/>
    <n v="1.82"/>
    <n v="1.811628"/>
    <n v="56905450.132401638"/>
    <n v="46186056.680060871"/>
    <n v="12300559.608030375"/>
    <n v="33885497.0720305"/>
    <n v="701643.50576806266"/>
    <n v="33183853.566262435"/>
    <m/>
    <m/>
    <m/>
  </r>
  <r>
    <x v="21"/>
    <x v="2"/>
    <x v="1"/>
    <x v="0"/>
    <n v="93763648.062462509"/>
    <n v="1.82"/>
    <n v="1.811628"/>
    <n v="51756568.159943715"/>
    <n v="42007079.902518794"/>
    <n v="8094081.4232888781"/>
    <n v="33912998.479229912"/>
    <n v="638157.85387468955"/>
    <n v="33274840.625355221"/>
    <m/>
    <m/>
    <m/>
  </r>
  <r>
    <x v="21"/>
    <x v="3"/>
    <x v="1"/>
    <x v="0"/>
    <n v="93763648.062462509"/>
    <n v="1.82"/>
    <n v="1.811628"/>
    <n v="51756568.159943715"/>
    <n v="42007079.902518794"/>
    <n v="8321325.7392830448"/>
    <n v="33685754.163235746"/>
    <n v="638157.85387468955"/>
    <n v="33047596.309361055"/>
    <m/>
    <m/>
    <m/>
  </r>
  <r>
    <x v="21"/>
    <x v="4"/>
    <x v="1"/>
    <x v="0"/>
    <n v="93763648.062462509"/>
    <n v="1.82"/>
    <n v="1.811628"/>
    <n v="51756568.159943715"/>
    <n v="42007079.902518794"/>
    <n v="6864511.7876054347"/>
    <n v="35142568.114913359"/>
    <n v="638157.85387468955"/>
    <n v="34504410.261038668"/>
    <m/>
    <m/>
    <m/>
  </r>
  <r>
    <x v="21"/>
    <x v="5"/>
    <x v="1"/>
    <x v="0"/>
    <n v="93763648.062462509"/>
    <n v="1.82"/>
    <n v="1.811628"/>
    <n v="51756568.159943715"/>
    <n v="42007079.902518794"/>
    <n v="9231160.7922959775"/>
    <n v="32775919.110222816"/>
    <n v="638157.85387468955"/>
    <n v="32137761.256348126"/>
    <m/>
    <m/>
    <m/>
  </r>
  <r>
    <x v="21"/>
    <x v="6"/>
    <x v="1"/>
    <x v="0"/>
    <n v="93763648.062462509"/>
    <n v="1.82"/>
    <n v="1.811628"/>
    <n v="51756568.159943715"/>
    <n v="42007079.902518794"/>
    <n v="13766384.158581443"/>
    <n v="28240695.743937351"/>
    <n v="638157.85387468955"/>
    <n v="27602537.89006266"/>
    <m/>
    <m/>
    <m/>
  </r>
  <r>
    <x v="21"/>
    <x v="7"/>
    <x v="1"/>
    <x v="0"/>
    <n v="88864260.739212513"/>
    <n v="1.82"/>
    <n v="1.811628"/>
    <n v="49052156.811007842"/>
    <n v="39812103.928204671"/>
    <n v="12838775.969551345"/>
    <n v="26973327.958653323"/>
    <n v="604812.49494173459"/>
    <n v="26368515.46371159"/>
    <m/>
    <m/>
    <m/>
  </r>
  <r>
    <x v="21"/>
    <x v="8"/>
    <x v="1"/>
    <x v="0"/>
    <n v="70971349.444212496"/>
    <n v="1.82"/>
    <n v="1.811628"/>
    <n v="39175454.035934806"/>
    <n v="31795895.40827769"/>
    <n v="11588427.204507556"/>
    <n v="20207468.203770135"/>
    <n v="483032.87024133105"/>
    <n v="19724435.333528802"/>
    <m/>
    <m/>
    <m/>
  </r>
  <r>
    <x v="21"/>
    <x v="9"/>
    <x v="1"/>
    <x v="0"/>
    <n v="70971349.444212496"/>
    <n v="1.82"/>
    <n v="1.811628"/>
    <n v="39175454.035934806"/>
    <n v="31795895.40827769"/>
    <n v="12531687.410015613"/>
    <n v="19264207.998262078"/>
    <n v="483032.87024133105"/>
    <n v="18781175.128020745"/>
    <m/>
    <m/>
    <m/>
  </r>
  <r>
    <x v="21"/>
    <x v="10"/>
    <x v="1"/>
    <x v="0"/>
    <n v="60371192.323249996"/>
    <n v="1.82"/>
    <n v="1.811628"/>
    <n v="33324276.464732271"/>
    <n v="27046915.858517725"/>
    <n v="14256933.367930731"/>
    <n v="12789982.490586994"/>
    <n v="410887.92218489898"/>
    <n v="12379094.568402095"/>
    <m/>
    <m/>
    <m/>
  </r>
  <r>
    <x v="21"/>
    <x v="11"/>
    <x v="1"/>
    <x v="0"/>
    <n v="60371192.323249996"/>
    <n v="1.82"/>
    <n v="1.811628"/>
    <n v="33324276.464732271"/>
    <n v="27046915.858517725"/>
    <n v="12004158.173505301"/>
    <n v="15042757.685012424"/>
    <n v="410887.92218489898"/>
    <n v="14631869.762827525"/>
    <m/>
    <m/>
    <m/>
  </r>
  <r>
    <x v="21"/>
    <x v="12"/>
    <x v="1"/>
    <x v="0"/>
    <n v="48562280"/>
    <n v="1.82"/>
    <n v="1.811628"/>
    <n v="26805878.469531272"/>
    <n v="21756401.530468728"/>
    <s v=""/>
    <s v=""/>
    <n v="330516.15444203804"/>
    <s v=""/>
    <m/>
    <m/>
    <m/>
  </r>
  <r>
    <x v="21"/>
    <x v="13"/>
    <x v="1"/>
    <x v="0"/>
    <n v="48562280"/>
    <n v="1.82"/>
    <n v="1.811628"/>
    <n v="26805878.469531272"/>
    <n v="21756401.530468728"/>
    <s v=""/>
    <s v=""/>
    <n v="330516.15444203804"/>
    <s v=""/>
    <m/>
    <m/>
    <m/>
  </r>
  <r>
    <x v="21"/>
    <x v="14"/>
    <x v="1"/>
    <x v="0"/>
    <n v="48562280"/>
    <n v="1.82"/>
    <n v="1.811628"/>
    <n v="26805878.469531272"/>
    <n v="21756401.530468728"/>
    <s v=""/>
    <s v=""/>
    <n v="330516.15444203804"/>
    <s v=""/>
    <m/>
    <m/>
    <m/>
  </r>
  <r>
    <x v="22"/>
    <x v="0"/>
    <x v="1"/>
    <x v="0"/>
    <n v="28159952.859999999"/>
    <n v="2.42"/>
    <n v="2.408868"/>
    <n v="11690118.703058863"/>
    <n v="16469834.156941136"/>
    <n v="2565026.4959778627"/>
    <n v="13904807.660963275"/>
    <n v="191657.37952493725"/>
    <n v="13713150.281438338"/>
    <m/>
    <m/>
    <m/>
  </r>
  <r>
    <x v="23"/>
    <x v="0"/>
    <x v="1"/>
    <x v="0"/>
    <n v="141764652.89297777"/>
    <n v="1.82"/>
    <n v="1.811628"/>
    <n v="78252628.515886143"/>
    <n v="63512024.377091631"/>
    <n v="17170062.222776227"/>
    <n v="46341962.154315405"/>
    <n v="964853.9547566002"/>
    <n v="45377108.199558802"/>
    <m/>
    <m/>
    <m/>
  </r>
  <r>
    <x v="23"/>
    <x v="1"/>
    <x v="1"/>
    <x v="0"/>
    <n v="135543402.89297777"/>
    <n v="1.82"/>
    <n v="1.811628"/>
    <n v="74818562.581820205"/>
    <n v="60724840.311157569"/>
    <n v="16172619.435986342"/>
    <n v="44552220.875171229"/>
    <n v="922511.96369229001"/>
    <n v="43629708.911478937"/>
    <m/>
    <m/>
    <m/>
  </r>
  <r>
    <x v="23"/>
    <x v="2"/>
    <x v="1"/>
    <x v="0"/>
    <n v="129322152.89297776"/>
    <n v="1.82"/>
    <n v="1.811628"/>
    <n v="71384496.647754267"/>
    <n v="57937656.245223492"/>
    <n v="11163644.514486745"/>
    <n v="46774011.730736747"/>
    <n v="880169.97262797982"/>
    <n v="45893841.758108765"/>
    <m/>
    <m/>
    <m/>
  </r>
  <r>
    <x v="23"/>
    <x v="3"/>
    <x v="1"/>
    <x v="0"/>
    <n v="125198487.89297776"/>
    <n v="1.82"/>
    <n v="1.811628"/>
    <n v="69108276.032926053"/>
    <n v="56090211.860051706"/>
    <n v="11111101.384719215"/>
    <n v="44979110.475332491"/>
    <n v="852104.20022175775"/>
    <n v="44127006.275110736"/>
    <m/>
    <m/>
    <m/>
  </r>
  <r>
    <x v="23"/>
    <x v="4"/>
    <x v="1"/>
    <x v="0"/>
    <n v="125198487.89297776"/>
    <n v="1.82"/>
    <n v="1.811628"/>
    <n v="69108276.032926053"/>
    <n v="56090211.860051706"/>
    <n v="9165881.5936768819"/>
    <n v="46924330.266374826"/>
    <n v="852104.20022175775"/>
    <n v="46072226.066153072"/>
    <m/>
    <m/>
    <m/>
  </r>
  <r>
    <x v="23"/>
    <x v="5"/>
    <x v="1"/>
    <x v="0"/>
    <n v="125198487.89297776"/>
    <n v="1.82"/>
    <n v="1.811628"/>
    <n v="69108276.032926053"/>
    <n v="56090211.860051706"/>
    <n v="12325964.236400958"/>
    <n v="43764247.623650745"/>
    <n v="852104.20022175775"/>
    <n v="42912143.42342899"/>
    <m/>
    <m/>
    <m/>
  </r>
  <r>
    <x v="24"/>
    <x v="0"/>
    <x v="1"/>
    <x v="0"/>
    <n v="121885113.19781627"/>
    <n v="1.41"/>
    <n v="1.4035139999999999"/>
    <n v="86842819.663940847"/>
    <n v="35042293.533875421"/>
    <n v="19054907.74573138"/>
    <n v="15987385.788144041"/>
    <n v="829553.28493379487"/>
    <n v="15157832.503210247"/>
    <m/>
    <m/>
    <m/>
  </r>
  <r>
    <x v="24"/>
    <x v="1"/>
    <x v="1"/>
    <x v="0"/>
    <n v="106137074.99812877"/>
    <n v="1.41"/>
    <n v="1.4035139999999999"/>
    <n v="75622384.242785454"/>
    <n v="30514690.755343318"/>
    <n v="16346371.7959435"/>
    <n v="14168318.959399818"/>
    <n v="722371.72291143867"/>
    <n v="13445947.23648838"/>
    <m/>
    <m/>
    <m/>
  </r>
  <r>
    <x v="24"/>
    <x v="2"/>
    <x v="1"/>
    <x v="0"/>
    <n v="106137074.99812877"/>
    <n v="1.41"/>
    <n v="1.4035139999999999"/>
    <n v="75622384.242785454"/>
    <n v="30514690.755343318"/>
    <n v="11826397.252475962"/>
    <n v="18688293.502867356"/>
    <n v="722371.72291143867"/>
    <n v="17965921.779955916"/>
    <m/>
    <m/>
    <m/>
  </r>
  <r>
    <x v="24"/>
    <x v="3"/>
    <x v="1"/>
    <x v="0"/>
    <n v="99367677.590628773"/>
    <n v="1.41"/>
    <n v="1.4035139999999999"/>
    <n v="70799206.556278586"/>
    <n v="28568471.034350187"/>
    <n v="11382966.081076784"/>
    <n v="17185504.953273401"/>
    <n v="676299.02618021437"/>
    <n v="16509205.927093185"/>
    <m/>
    <m/>
    <m/>
  </r>
  <r>
    <x v="24"/>
    <x v="4"/>
    <x v="1"/>
    <x v="0"/>
    <n v="99367677.590628773"/>
    <n v="1.41"/>
    <n v="1.4035139999999999"/>
    <n v="70799206.556278586"/>
    <n v="28568471.034350187"/>
    <n v="9390150.9554650281"/>
    <n v="19178320.07888516"/>
    <n v="676299.02618021437"/>
    <n v="18502021.052704945"/>
    <m/>
    <m/>
    <m/>
  </r>
  <r>
    <x v="24"/>
    <x v="5"/>
    <x v="1"/>
    <x v="0"/>
    <n v="38237656.60828501"/>
    <n v="1.41"/>
    <n v="1.4035139999999999"/>
    <n v="27244228.848650608"/>
    <n v="10993427.759634402"/>
    <n v="4859206.5916504143"/>
    <n v="6134221.1679839874"/>
    <n v="260246.49619098494"/>
    <n v="5873974.6717930026"/>
    <m/>
    <m/>
    <m/>
  </r>
  <r>
    <x v="24"/>
    <x v="6"/>
    <x v="1"/>
    <x v="0"/>
    <n v="38237656.60828501"/>
    <n v="1.41"/>
    <n v="1.4035139999999999"/>
    <n v="27244228.848650608"/>
    <n v="10993427.759634402"/>
    <n v="7246510.6124462783"/>
    <n v="3746917.1471881233"/>
    <n v="260246.49619098494"/>
    <n v="3486670.6509971386"/>
    <m/>
    <m/>
    <m/>
  </r>
  <r>
    <x v="25"/>
    <x v="0"/>
    <x v="1"/>
    <x v="0"/>
    <n v="180800040.98000002"/>
    <n v="0.95"/>
    <n v="0.94562999999999986"/>
    <n v="191195331.13374159"/>
    <n v="-10395290.153741568"/>
    <n v="41951763.084919199"/>
    <n v="-52347053.238660768"/>
    <n v="1230529.832365212"/>
    <n v="-53577583.071025982"/>
    <m/>
    <m/>
    <m/>
  </r>
  <r>
    <x v="25"/>
    <x v="1"/>
    <x v="1"/>
    <x v="0"/>
    <n v="159566345.48000002"/>
    <n v="0.95"/>
    <n v="0.94562999999999986"/>
    <n v="168740781.78568789"/>
    <n v="-9174436.3056878746"/>
    <n v="36474644.165562302"/>
    <n v="-45649080.471250176"/>
    <n v="1086012.7425322551"/>
    <n v="-46735093.21378243"/>
    <m/>
    <m/>
    <m/>
  </r>
  <r>
    <x v="25"/>
    <x v="2"/>
    <x v="1"/>
    <x v="0"/>
    <n v="147730918.13"/>
    <n v="0.95"/>
    <n v="0.94562999999999986"/>
    <n v="156224863.98485667"/>
    <n v="-8493945.8548566699"/>
    <n v="24431619.297631484"/>
    <n v="-32925565.152488153"/>
    <n v="1005460.5128202208"/>
    <n v="-33931025.665308371"/>
    <m/>
    <m/>
    <m/>
  </r>
  <r>
    <x v="25"/>
    <x v="3"/>
    <x v="1"/>
    <x v="0"/>
    <n v="207125397.61500004"/>
    <n v="0.95"/>
    <n v="0.94562999999999986"/>
    <n v="219034292.07512459"/>
    <n v="-11908894.460124552"/>
    <n v="35215930.213877551"/>
    <n v="-47124824.674002104"/>
    <n v="1409700.9017490095"/>
    <n v="-48534525.575751111"/>
    <m/>
    <m/>
    <m/>
  </r>
  <r>
    <x v="25"/>
    <x v="4"/>
    <x v="1"/>
    <x v="0"/>
    <n v="142765645.45500004"/>
    <n v="0.95"/>
    <n v="0.94562999999999986"/>
    <n v="150974107.69011143"/>
    <n v="-8208462.2351113856"/>
    <n v="20023807.194080181"/>
    <n v="-28232269.429191567"/>
    <n v="971666.73645104875"/>
    <n v="-29203936.165642615"/>
    <m/>
    <m/>
    <m/>
  </r>
  <r>
    <x v="25"/>
    <x v="5"/>
    <x v="1"/>
    <x v="0"/>
    <n v="142765645.45500004"/>
    <n v="0.95"/>
    <n v="0.94562999999999986"/>
    <n v="150974107.69011143"/>
    <n v="-8208462.2351113856"/>
    <n v="26927331.411425304"/>
    <n v="-35135793.646536693"/>
    <n v="971666.73645104875"/>
    <n v="-36107460.382987745"/>
    <m/>
    <m/>
    <m/>
  </r>
  <r>
    <x v="25"/>
    <x v="6"/>
    <x v="1"/>
    <x v="0"/>
    <n v="138859487.68500003"/>
    <n v="0.95"/>
    <n v="0.94562999999999986"/>
    <n v="146843361.23536694"/>
    <n v="-7983873.5503669083"/>
    <n v="39057885.67078761"/>
    <n v="-47041759.221154518"/>
    <n v="945081.32397073915"/>
    <n v="-47986840.545125261"/>
    <m/>
    <m/>
    <m/>
  </r>
  <r>
    <x v="25"/>
    <x v="7"/>
    <x v="1"/>
    <x v="0"/>
    <n v="138859487.68500003"/>
    <n v="0.95"/>
    <n v="0.94562999999999986"/>
    <n v="146843361.23536694"/>
    <n v="-7983873.5503669083"/>
    <n v="38434375.572527267"/>
    <n v="-46418249.122894175"/>
    <n v="945081.32397073915"/>
    <n v="-47363330.446864918"/>
    <m/>
    <m/>
    <m/>
  </r>
  <r>
    <x v="25"/>
    <x v="8"/>
    <x v="1"/>
    <x v="0"/>
    <n v="125986492.18499999"/>
    <n v="0.95"/>
    <n v="0.94562999999999986"/>
    <n v="133230219.20307097"/>
    <n v="-7243727.0180709809"/>
    <n v="39410613.984439336"/>
    <n v="-46654341.002510317"/>
    <n v="857467.37815086253"/>
    <n v="-47511808.380661182"/>
    <m/>
    <m/>
    <m/>
  </r>
  <r>
    <x v="25"/>
    <x v="9"/>
    <x v="1"/>
    <x v="0"/>
    <n v="125986492.18499999"/>
    <n v="0.95"/>
    <n v="0.94562999999999986"/>
    <n v="133230219.20307097"/>
    <n v="-7243727.0180709809"/>
    <n v="42618509.51591415"/>
    <n v="-49862236.53398513"/>
    <n v="857467.37815086253"/>
    <n v="-50719703.912135996"/>
    <m/>
    <m/>
    <m/>
  </r>
  <r>
    <x v="25"/>
    <x v="10"/>
    <x v="1"/>
    <x v="0"/>
    <n v="18409623"/>
    <n v="0.95"/>
    <n v="0.94562999999999986"/>
    <n v="19468103.803813335"/>
    <n v="-1058480.8038133346"/>
    <n v="8328926.7817912828"/>
    <n v="-9387407.5856046174"/>
    <n v="125296.37814961931"/>
    <n v="-9512703.9637542367"/>
    <m/>
    <m/>
    <m/>
  </r>
  <r>
    <x v="25"/>
    <x v="11"/>
    <x v="1"/>
    <x v="0"/>
    <n v="18409623"/>
    <n v="0.95"/>
    <n v="0.94562999999999986"/>
    <n v="19468103.803813335"/>
    <n v="-1058480.8038133346"/>
    <n v="7012851.3561734138"/>
    <n v="-8071332.1599867484"/>
    <n v="125296.37814961931"/>
    <n v="-8196628.5381363677"/>
    <m/>
    <m/>
    <m/>
  </r>
  <r>
    <x v="25"/>
    <x v="12"/>
    <x v="1"/>
    <x v="0"/>
    <n v="18409623"/>
    <n v="0.95"/>
    <n v="0.94562999999999986"/>
    <n v="19468103.803813335"/>
    <n v="-1058480.8038133346"/>
    <s v=""/>
    <s v=""/>
    <n v="125296.37814961931"/>
    <s v=""/>
    <m/>
    <m/>
    <m/>
  </r>
  <r>
    <x v="25"/>
    <x v="13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4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5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6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7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8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19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0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1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2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3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4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5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6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7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8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29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30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31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32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5"/>
    <x v="33"/>
    <x v="1"/>
    <x v="0"/>
    <n v="10956546"/>
    <n v="0.95"/>
    <n v="0.94562999999999986"/>
    <n v="11586504.235271726"/>
    <n v="-629958.2352717258"/>
    <s v=""/>
    <s v=""/>
    <n v="74570.540137063042"/>
    <s v=""/>
    <m/>
    <m/>
    <m/>
  </r>
  <r>
    <x v="26"/>
    <x v="0"/>
    <x v="1"/>
    <x v="0"/>
    <n v="56127548.580235153"/>
    <n v="1.73"/>
    <n v="1.7220419999999999"/>
    <n v="32593600.260757379"/>
    <n v="23533948.319477774"/>
    <n v="7151633.8192765992"/>
    <n v="16382314.500201175"/>
    <n v="382005.57129932928"/>
    <n v="16000308.928901846"/>
    <m/>
    <m/>
    <m/>
  </r>
  <r>
    <x v="26"/>
    <x v="1"/>
    <x v="1"/>
    <x v="0"/>
    <n v="60393607.013095886"/>
    <n v="1.73"/>
    <n v="1.7220419999999999"/>
    <n v="35070925.68769861"/>
    <n v="25322681.325397275"/>
    <n v="7580855.804261677"/>
    <n v="17741825.521135598"/>
    <n v="411040.47715329984"/>
    <n v="17330785.043982297"/>
    <m/>
    <m/>
    <m/>
  </r>
  <r>
    <x v="26"/>
    <x v="2"/>
    <x v="1"/>
    <x v="0"/>
    <n v="60987214.319031961"/>
    <n v="1.73"/>
    <n v="1.7220419999999999"/>
    <n v="35415636.969964705"/>
    <n v="25571577.349067256"/>
    <n v="5538563.6931466488"/>
    <n v="20033013.655920606"/>
    <n v="415080.58408416656"/>
    <n v="19617933.071836438"/>
    <m/>
    <m/>
    <m/>
  </r>
  <r>
    <x v="26"/>
    <x v="3"/>
    <x v="1"/>
    <x v="0"/>
    <n v="64608218.885242015"/>
    <n v="1.73"/>
    <n v="1.7220419999999999"/>
    <n v="37518375.7917879"/>
    <n v="27089843.093454115"/>
    <n v="6032135.3843921097"/>
    <n v="21057707.709062006"/>
    <n v="439725.23636245349"/>
    <n v="20617982.472699553"/>
    <m/>
    <m/>
    <m/>
  </r>
  <r>
    <x v="26"/>
    <x v="4"/>
    <x v="1"/>
    <x v="0"/>
    <n v="67101369.570173509"/>
    <n v="1.73"/>
    <n v="1.7220419999999999"/>
    <n v="38966163.177305497"/>
    <n v="28135206.392868012"/>
    <n v="5168110.9462621929"/>
    <n v="22967095.44660582"/>
    <n v="456693.68547209352"/>
    <n v="22510401.761133727"/>
    <m/>
    <m/>
    <m/>
  </r>
  <r>
    <x v="26"/>
    <x v="5"/>
    <x v="1"/>
    <x v="0"/>
    <n v="68644748.565607309"/>
    <n v="1.73"/>
    <n v="1.7220419999999999"/>
    <n v="39862412.511197358"/>
    <n v="28782336.054409951"/>
    <n v="7109751.526077494"/>
    <n v="21672584.528332457"/>
    <n v="467197.96349234699"/>
    <n v="21205386.564840108"/>
    <m/>
    <m/>
    <m/>
  </r>
  <r>
    <x v="26"/>
    <x v="6"/>
    <x v="1"/>
    <x v="0"/>
    <n v="85079795.189299077"/>
    <n v="1.73"/>
    <n v="1.7220419999999999"/>
    <n v="49406341.534816854"/>
    <n v="35673453.654482223"/>
    <n v="13141263.06320204"/>
    <n v="22532190.591280185"/>
    <n v="579055.32291077229"/>
    <n v="21953135.268369414"/>
    <m/>
    <m/>
    <m/>
  </r>
  <r>
    <x v="26"/>
    <x v="7"/>
    <x v="1"/>
    <x v="0"/>
    <n v="89917694.732678071"/>
    <n v="1.73"/>
    <n v="1.7220419999999999"/>
    <n v="52215738.485285535"/>
    <n v="37701956.247392535"/>
    <n v="13666803.094513861"/>
    <n v="24035153.152878672"/>
    <n v="611982.19439733576"/>
    <n v="23423170.958481338"/>
    <m/>
    <m/>
    <m/>
  </r>
  <r>
    <x v="26"/>
    <x v="8"/>
    <x v="1"/>
    <x v="0"/>
    <n v="87216781.490668952"/>
    <n v="1.73"/>
    <n v="1.7220419999999999"/>
    <n v="50647302.15097481"/>
    <n v="36569479.339694142"/>
    <n v="14981895.896928189"/>
    <n v="21587583.442765951"/>
    <n v="593599.70786189241"/>
    <n v="20993983.734904058"/>
    <m/>
    <m/>
    <m/>
  </r>
  <r>
    <x v="26"/>
    <x v="9"/>
    <x v="1"/>
    <x v="0"/>
    <n v="88225913.910760283"/>
    <n v="1.73"/>
    <n v="1.7220419999999999"/>
    <n v="51233311.330827177"/>
    <n v="36992602.579933107"/>
    <n v="16388829.647998663"/>
    <n v="20603772.931934446"/>
    <n v="600467.88964436587"/>
    <n v="20003305.04229008"/>
    <m/>
    <m/>
    <m/>
  </r>
  <r>
    <x v="26"/>
    <x v="10"/>
    <x v="1"/>
    <x v="0"/>
    <n v="89977055.463271677"/>
    <n v="1.73"/>
    <n v="1.7220419999999999"/>
    <n v="52250209.613512151"/>
    <n v="37726845.849759527"/>
    <n v="22353906.399397086"/>
    <n v="15372939.45036244"/>
    <n v="612386.20509042253"/>
    <n v="14760553.245272018"/>
    <m/>
    <m/>
    <m/>
  </r>
  <r>
    <x v="26"/>
    <x v="11"/>
    <x v="1"/>
    <x v="0"/>
    <n v="84456507.518066227"/>
    <n v="1.73"/>
    <n v="1.7220419999999999"/>
    <n v="49044394.688437469"/>
    <n v="35412112.829628758"/>
    <n v="17666900.344765119"/>
    <n v="17745212.484863639"/>
    <n v="574813.21063336241"/>
    <n v="17170399.274230275"/>
    <m/>
    <m/>
    <m/>
  </r>
  <r>
    <x v="26"/>
    <x v="12"/>
    <x v="1"/>
    <x v="0"/>
    <n v="84812671.901627824"/>
    <n v="1.73"/>
    <n v="1.7220419999999999"/>
    <n v="49251221.457797095"/>
    <n v="35561450.443830729"/>
    <s v=""/>
    <s v=""/>
    <n v="577237.27479188202"/>
    <s v=""/>
    <m/>
    <m/>
    <m/>
  </r>
  <r>
    <x v="26"/>
    <x v="13"/>
    <x v="1"/>
    <x v="0"/>
    <n v="87038699.298888147"/>
    <n v="1.73"/>
    <n v="1.7220419999999999"/>
    <n v="50543888.766294986"/>
    <n v="36494810.532593161"/>
    <s v=""/>
    <s v=""/>
    <n v="592387.67578263255"/>
    <s v=""/>
    <m/>
    <m/>
    <m/>
  </r>
  <r>
    <x v="26"/>
    <x v="14"/>
    <x v="1"/>
    <x v="0"/>
    <n v="84219064.595691785"/>
    <n v="1.73"/>
    <n v="1.7220419999999999"/>
    <n v="48906510.175531022"/>
    <n v="35312554.420160763"/>
    <s v=""/>
    <s v=""/>
    <n v="573197.16786101565"/>
    <s v=""/>
    <m/>
    <m/>
    <m/>
  </r>
  <r>
    <x v="26"/>
    <x v="15"/>
    <x v="1"/>
    <x v="0"/>
    <n v="86415411.627655238"/>
    <n v="1.73"/>
    <n v="1.7220419999999999"/>
    <n v="50181941.919915572"/>
    <n v="36233469.707739666"/>
    <s v=""/>
    <s v=""/>
    <n v="588145.56350522232"/>
    <s v=""/>
    <m/>
    <m/>
    <m/>
  </r>
  <r>
    <x v="26"/>
    <x v="16"/>
    <x v="1"/>
    <x v="0"/>
    <n v="86919977.837700903"/>
    <n v="1.73"/>
    <n v="1.7220419999999999"/>
    <n v="50474946.509841755"/>
    <n v="36445031.327859148"/>
    <s v=""/>
    <s v=""/>
    <n v="591579.65439645899"/>
    <s v=""/>
    <m/>
    <m/>
    <m/>
  </r>
  <r>
    <x v="26"/>
    <x v="17"/>
    <x v="1"/>
    <x v="0"/>
    <n v="82467923.043180406"/>
    <n v="1.73"/>
    <n v="1.7220419999999999"/>
    <n v="47889611.892846063"/>
    <n v="34578311.150334343"/>
    <s v=""/>
    <s v=""/>
    <n v="561278.85241495911"/>
    <s v=""/>
    <m/>
    <m/>
    <m/>
  </r>
  <r>
    <x v="26"/>
    <x v="18"/>
    <x v="1"/>
    <x v="0"/>
    <n v="81013585.143636942"/>
    <n v="1.73"/>
    <n v="1.7220419999999999"/>
    <n v="47045069.251294076"/>
    <n v="33968515.892342865"/>
    <s v=""/>
    <s v=""/>
    <n v="551380.59043433517"/>
    <s v=""/>
    <m/>
    <m/>
    <m/>
  </r>
  <r>
    <x v="26"/>
    <x v="19"/>
    <x v="1"/>
    <x v="0"/>
    <n v="80894863.682449803"/>
    <n v="1.73"/>
    <n v="1.7220419999999999"/>
    <n v="46976126.994840898"/>
    <n v="33918736.687608905"/>
    <s v=""/>
    <s v=""/>
    <n v="550572.56904816232"/>
    <s v=""/>
    <m/>
    <m/>
    <m/>
  </r>
  <r>
    <x v="26"/>
    <x v="20"/>
    <x v="1"/>
    <x v="0"/>
    <n v="78609475.554595888"/>
    <n v="1.73"/>
    <n v="1.7220419999999999"/>
    <n v="45648988.558116406"/>
    <n v="32960486.996479481"/>
    <s v=""/>
    <s v=""/>
    <n v="535018.15736432525"/>
    <s v=""/>
    <m/>
    <m/>
    <m/>
  </r>
  <r>
    <x v="27"/>
    <x v="2"/>
    <x v="1"/>
    <x v="0"/>
    <n v="50337339"/>
    <n v="1"/>
    <n v="0.99539999999999995"/>
    <n v="50569960.819770947"/>
    <n v="-232621.8197709471"/>
    <n v="7908510.8421956766"/>
    <n v="-8141132.6619666237"/>
    <n v="342597.25266452116"/>
    <n v="-8483729.9146311451"/>
    <m/>
    <m/>
    <m/>
  </r>
  <r>
    <x v="27"/>
    <x v="3"/>
    <x v="1"/>
    <x v="0"/>
    <n v="50337339"/>
    <n v="1"/>
    <n v="0.99539999999999995"/>
    <n v="50569960.819770947"/>
    <n v="-232621.8197709471"/>
    <n v="8130545.1958032735"/>
    <n v="-8363167.0155742206"/>
    <n v="342597.25266452116"/>
    <n v="-8705764.2682387419"/>
    <m/>
    <m/>
    <m/>
  </r>
  <r>
    <x v="27"/>
    <x v="4"/>
    <x v="1"/>
    <x v="0"/>
    <n v="50337339"/>
    <n v="1"/>
    <n v="0.99539999999999995"/>
    <n v="50569960.819770947"/>
    <n v="-232621.8197709471"/>
    <n v="6707131.1813661829"/>
    <n v="-6939753.00113713"/>
    <n v="342597.25266452116"/>
    <n v="-7282350.2538016513"/>
    <m/>
    <m/>
    <m/>
  </r>
  <r>
    <x v="27"/>
    <x v="5"/>
    <x v="1"/>
    <x v="0"/>
    <n v="50337339"/>
    <n v="1"/>
    <n v="0.99539999999999995"/>
    <n v="50569960.819770947"/>
    <n v="-232621.8197709471"/>
    <n v="9019520.7329975516"/>
    <n v="-9252142.5527684987"/>
    <n v="342597.25266452116"/>
    <n v="-9594739.80543302"/>
    <m/>
    <m/>
    <m/>
  </r>
  <r>
    <x v="27"/>
    <x v="6"/>
    <x v="1"/>
    <x v="0"/>
    <n v="39863714"/>
    <n v="1"/>
    <n v="0.99539999999999995"/>
    <n v="40047934.498693995"/>
    <n v="-184220.49869399518"/>
    <n v="10652082.830588663"/>
    <n v="-10836303.329282658"/>
    <n v="271313.48555004486"/>
    <n v="-11107616.814832702"/>
    <m/>
    <m/>
    <m/>
  </r>
  <r>
    <x v="27"/>
    <x v="7"/>
    <x v="1"/>
    <x v="0"/>
    <n v="39863714"/>
    <n v="1"/>
    <n v="0.99539999999999995"/>
    <n v="40047934.498693995"/>
    <n v="-184220.49869399518"/>
    <n v="10482035.704424197"/>
    <n v="-10666256.203118192"/>
    <n v="271313.48555004486"/>
    <n v="-10937569.688668236"/>
    <m/>
    <m/>
    <m/>
  </r>
  <r>
    <x v="27"/>
    <x v="8"/>
    <x v="1"/>
    <x v="0"/>
    <n v="39863714"/>
    <n v="1"/>
    <n v="0.99539999999999995"/>
    <n v="40047934.498693995"/>
    <n v="-184220.49869399518"/>
    <n v="11846514.228100585"/>
    <n v="-12030734.72679458"/>
    <n v="271313.48555004486"/>
    <n v="-12302048.212344624"/>
    <m/>
    <m/>
    <m/>
  </r>
  <r>
    <x v="27"/>
    <x v="9"/>
    <x v="1"/>
    <x v="0"/>
    <n v="39863714"/>
    <n v="1"/>
    <n v="0.99539999999999995"/>
    <n v="40047934.498693995"/>
    <n v="-184220.49869399518"/>
    <n v="12810781.876173295"/>
    <n v="-12995002.37486729"/>
    <n v="271313.48555004486"/>
    <n v="-13266315.860417334"/>
    <m/>
    <m/>
    <m/>
  </r>
  <r>
    <x v="27"/>
    <x v="10"/>
    <x v="1"/>
    <x v="0"/>
    <n v="39863714"/>
    <n v="1"/>
    <n v="0.99539999999999995"/>
    <n v="40047934.498693995"/>
    <n v="-184220.49869399518"/>
    <n v="17133477.279706087"/>
    <n v="-17317697.778400082"/>
    <n v="271313.48555004486"/>
    <n v="-17589011.263950128"/>
    <m/>
    <m/>
    <m/>
  </r>
  <r>
    <x v="27"/>
    <x v="11"/>
    <x v="1"/>
    <x v="0"/>
    <n v="39863714"/>
    <n v="1"/>
    <n v="0.99539999999999995"/>
    <n v="40047934.498693995"/>
    <n v="-184220.49869399518"/>
    <n v="14426171.885630608"/>
    <n v="-14610392.384324603"/>
    <n v="271313.48555004486"/>
    <n v="-14881705.869874647"/>
    <m/>
    <m/>
    <m/>
  </r>
  <r>
    <x v="27"/>
    <x v="12"/>
    <x v="1"/>
    <x v="0"/>
    <n v="39863714"/>
    <n v="1"/>
    <n v="0.99539999999999995"/>
    <n v="40047934.498693995"/>
    <n v="-184220.49869399518"/>
    <s v=""/>
    <s v=""/>
    <n v="271313.48555004486"/>
    <s v=""/>
    <m/>
    <m/>
    <m/>
  </r>
  <r>
    <x v="27"/>
    <x v="13"/>
    <x v="1"/>
    <x v="0"/>
    <n v="35856914"/>
    <n v="1"/>
    <n v="0.99539999999999995"/>
    <n v="36022618.042997792"/>
    <n v="-165704.04299779236"/>
    <s v=""/>
    <s v=""/>
    <n v="244043.09940634738"/>
    <s v=""/>
    <m/>
    <m/>
    <m/>
  </r>
  <r>
    <x v="27"/>
    <x v="14"/>
    <x v="1"/>
    <x v="0"/>
    <n v="3170664"/>
    <n v="1"/>
    <n v="0.99539999999999995"/>
    <n v="3185316.4556962028"/>
    <n v="-14652.455696202815"/>
    <s v=""/>
    <s v=""/>
    <n v="21579.622544654205"/>
    <s v=""/>
    <m/>
    <m/>
    <m/>
  </r>
  <r>
    <x v="27"/>
    <x v="15"/>
    <x v="1"/>
    <x v="0"/>
    <n v="3170664"/>
    <n v="1"/>
    <n v="0.99539999999999995"/>
    <n v="3185316.4556962028"/>
    <n v="-14652.455696202815"/>
    <s v=""/>
    <s v=""/>
    <n v="21579.622544654205"/>
    <s v=""/>
    <m/>
    <m/>
    <m/>
  </r>
  <r>
    <x v="27"/>
    <x v="16"/>
    <x v="1"/>
    <x v="0"/>
    <n v="3170664"/>
    <n v="1"/>
    <n v="0.99539999999999995"/>
    <n v="3185316.4556962028"/>
    <n v="-14652.455696202815"/>
    <s v=""/>
    <s v=""/>
    <n v="21579.622544654205"/>
    <s v=""/>
    <m/>
    <m/>
    <m/>
  </r>
  <r>
    <x v="28"/>
    <x v="1"/>
    <x v="1"/>
    <x v="0"/>
    <n v="71835513.627000004"/>
    <n v="2.79"/>
    <n v="2.7771659999999998"/>
    <n v="25866481.739658345"/>
    <n v="45969031.887341663"/>
    <n v="5591243.0136025101"/>
    <n v="40377788.873739153"/>
    <n v="488914.3943893215"/>
    <n v="39888874.479349829"/>
    <m/>
    <m/>
    <m/>
  </r>
  <r>
    <x v="28"/>
    <x v="2"/>
    <x v="1"/>
    <x v="0"/>
    <n v="71835513.627000004"/>
    <n v="2.79"/>
    <n v="2.7771659999999998"/>
    <n v="25866481.739658345"/>
    <n v="45969031.887341663"/>
    <n v="4045194.9728932194"/>
    <n v="41923836.91444844"/>
    <n v="488914.3943893215"/>
    <n v="41434922.520059116"/>
    <m/>
    <m/>
    <m/>
  </r>
  <r>
    <x v="28"/>
    <x v="3"/>
    <x v="1"/>
    <x v="0"/>
    <n v="71835513.627000004"/>
    <n v="2.79"/>
    <n v="2.7771659999999998"/>
    <n v="25866481.739658345"/>
    <n v="45969031.887341663"/>
    <n v="4158765.311095308"/>
    <n v="41810266.576246358"/>
    <n v="488914.3943893215"/>
    <n v="41321352.181857035"/>
    <m/>
    <m/>
    <m/>
  </r>
  <r>
    <x v="28"/>
    <x v="4"/>
    <x v="1"/>
    <x v="0"/>
    <n v="71835513.627000004"/>
    <n v="2.79"/>
    <n v="2.7771659999999998"/>
    <n v="25866481.739658345"/>
    <n v="45969031.887341663"/>
    <n v="3430690.5407067961"/>
    <n v="42538341.346634865"/>
    <n v="488914.3943893215"/>
    <n v="42049426.952245541"/>
    <m/>
    <m/>
    <m/>
  </r>
  <r>
    <x v="28"/>
    <x v="5"/>
    <x v="1"/>
    <x v="0"/>
    <n v="71835513.627000004"/>
    <n v="2.79"/>
    <n v="2.7771659999999998"/>
    <n v="25866481.739658345"/>
    <n v="45969031.887341663"/>
    <n v="4613475.362815355"/>
    <n v="41355556.524526305"/>
    <n v="488914.3943893215"/>
    <n v="40866642.130136982"/>
    <m/>
    <m/>
    <m/>
  </r>
  <r>
    <x v="28"/>
    <x v="6"/>
    <x v="1"/>
    <x v="0"/>
    <n v="71835513.627000004"/>
    <n v="2.79"/>
    <n v="2.7771659999999998"/>
    <n v="25866481.739658345"/>
    <n v="45969031.887341663"/>
    <n v="6880052.8535556607"/>
    <n v="39088979.033785999"/>
    <n v="488914.3943893215"/>
    <n v="38600064.639396675"/>
    <m/>
    <m/>
    <m/>
  </r>
  <r>
    <x v="28"/>
    <x v="7"/>
    <x v="1"/>
    <x v="0"/>
    <n v="71835513.627000004"/>
    <n v="2.79"/>
    <n v="2.7771659999999998"/>
    <n v="25866481.739658345"/>
    <n v="45969031.887341663"/>
    <n v="6770221.4492929028"/>
    <n v="39198810.438048758"/>
    <n v="488914.3943893215"/>
    <n v="38709896.043659434"/>
    <m/>
    <m/>
    <m/>
  </r>
  <r>
    <x v="28"/>
    <x v="8"/>
    <x v="1"/>
    <x v="0"/>
    <n v="71835513.627000004"/>
    <n v="2.79"/>
    <n v="2.7771659999999998"/>
    <n v="25866481.739658345"/>
    <n v="45969031.887341663"/>
    <n v="7651521.8024480008"/>
    <n v="38317510.084893659"/>
    <n v="488914.3943893215"/>
    <n v="37828595.690504335"/>
    <m/>
    <m/>
    <m/>
  </r>
  <r>
    <x v="28"/>
    <x v="9"/>
    <x v="1"/>
    <x v="0"/>
    <n v="71835513.627000004"/>
    <n v="2.79"/>
    <n v="2.7771659999999998"/>
    <n v="25866481.739658345"/>
    <n v="45969031.887341663"/>
    <n v="8274330.7393690646"/>
    <n v="37694701.147972599"/>
    <n v="488914.3943893215"/>
    <n v="37205786.753583275"/>
    <m/>
    <m/>
    <m/>
  </r>
  <r>
    <x v="28"/>
    <x v="10"/>
    <x v="1"/>
    <x v="0"/>
    <n v="71835513.627000004"/>
    <n v="2.79"/>
    <n v="2.7771659999999998"/>
    <n v="25866481.739658345"/>
    <n v="45969031.887341663"/>
    <n v="11066307.981671847"/>
    <n v="34902723.905669816"/>
    <n v="488914.3943893215"/>
    <n v="34413809.511280492"/>
    <m/>
    <m/>
    <m/>
  </r>
  <r>
    <x v="28"/>
    <x v="11"/>
    <x v="1"/>
    <x v="0"/>
    <n v="67834346.519999996"/>
    <n v="2.79"/>
    <n v="2.7771659999999998"/>
    <n v="24425744.273118712"/>
    <n v="43408602.246881284"/>
    <n v="8798705.5944160912"/>
    <n v="34609896.652465194"/>
    <n v="461682.34586347762"/>
    <n v="34148214.306601718"/>
    <m/>
    <m/>
    <m/>
  </r>
  <r>
    <x v="28"/>
    <x v="12"/>
    <x v="1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x v="13"/>
    <x v="1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x v="14"/>
    <x v="1"/>
    <x v="0"/>
    <n v="67834346.519999996"/>
    <n v="2.79"/>
    <n v="2.7771659999999998"/>
    <n v="24425744.273118712"/>
    <n v="43408602.246881284"/>
    <s v=""/>
    <s v=""/>
    <n v="461682.34586347762"/>
    <s v=""/>
    <m/>
    <m/>
    <m/>
  </r>
  <r>
    <x v="28"/>
    <x v="15"/>
    <x v="1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x v="16"/>
    <x v="1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x v="17"/>
    <x v="1"/>
    <x v="0"/>
    <n v="60294326.969999999"/>
    <n v="2.79"/>
    <n v="2.7771659999999998"/>
    <n v="21710739.282419562"/>
    <n v="38583587.687580436"/>
    <s v=""/>
    <s v=""/>
    <n v="410364.77456979483"/>
    <s v=""/>
    <m/>
    <m/>
    <m/>
  </r>
  <r>
    <x v="28"/>
    <x v="18"/>
    <x v="1"/>
    <x v="0"/>
    <n v="42670815.644999996"/>
    <n v="2.79"/>
    <n v="2.7771659999999998"/>
    <n v="15364877.592841048"/>
    <n v="27305938.052158948"/>
    <s v=""/>
    <s v=""/>
    <n v="290418.6931480678"/>
    <s v=""/>
    <m/>
    <m/>
    <m/>
  </r>
  <r>
    <x v="28"/>
    <x v="19"/>
    <x v="1"/>
    <x v="0"/>
    <n v="37747146.719999999"/>
    <n v="2.79"/>
    <n v="2.7771659999999998"/>
    <n v="13591966.313860966"/>
    <n v="24155180.406139031"/>
    <s v=""/>
    <s v=""/>
    <n v="256908.07299520919"/>
    <s v=""/>
    <m/>
    <m/>
    <m/>
  </r>
  <r>
    <x v="28"/>
    <x v="20"/>
    <x v="1"/>
    <x v="0"/>
    <n v="37747146.719999999"/>
    <n v="2.79"/>
    <n v="2.7771659999999998"/>
    <n v="13591966.313860966"/>
    <n v="24155180.406139031"/>
    <s v=""/>
    <s v=""/>
    <n v="256908.07299520919"/>
    <s v=""/>
    <m/>
    <m/>
    <m/>
  </r>
  <r>
    <x v="28"/>
    <x v="21"/>
    <x v="1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8"/>
    <x v="22"/>
    <x v="1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8"/>
    <x v="23"/>
    <x v="1"/>
    <x v="0"/>
    <n v="33878898.524999999"/>
    <n v="2.79"/>
    <n v="2.7771659999999998"/>
    <n v="12199090.196624905"/>
    <n v="21679808.328375094"/>
    <s v=""/>
    <s v=""/>
    <n v="230580.67407903899"/>
    <s v=""/>
    <m/>
    <m/>
    <m/>
  </r>
  <r>
    <x v="29"/>
    <x v="0"/>
    <x v="1"/>
    <x v="0"/>
    <n v="18830171.789000001"/>
    <n v="5.94"/>
    <n v="5.9126760000000003"/>
    <n v="3184712.2671697214"/>
    <n v="15645459.521830279"/>
    <n v="698784.29422778916"/>
    <n v="14946675.227602489"/>
    <n v="128158.64426429795"/>
    <n v="14818516.583338192"/>
    <m/>
    <m/>
    <m/>
  </r>
  <r>
    <x v="13"/>
    <x v="3"/>
    <x v="1"/>
    <x v="0"/>
    <n v="19561500"/>
    <n v="1.72"/>
    <n v="1.7120879999999998"/>
    <n v="11425522.519870475"/>
    <n v="8135977.4801295251"/>
    <n v="1836974.4751148054"/>
    <n v="6299003.0050147194"/>
    <n v="133136.08329588163"/>
    <n v="6165866.9217188377"/>
    <m/>
    <m/>
    <m/>
  </r>
  <r>
    <x v="30"/>
    <x v="0"/>
    <x v="1"/>
    <x v="0"/>
    <n v="37763484.710000001"/>
    <n v="1.87"/>
    <n v="1.8613980000000001"/>
    <n v="20287700.271516353"/>
    <n v="17475784.438483648"/>
    <n v="4451493.6127449432"/>
    <n v="13024290.825738706"/>
    <n v="257019.26978469506"/>
    <n v="12767271.555954011"/>
    <m/>
    <m/>
    <m/>
  </r>
  <r>
    <x v="30"/>
    <x v="1"/>
    <x v="1"/>
    <x v="0"/>
    <n v="37763484.710000001"/>
    <n v="1.87"/>
    <n v="1.8613980000000001"/>
    <n v="20287700.271516353"/>
    <n v="17475784.438483648"/>
    <n v="4385345.6201297762"/>
    <n v="13090438.818353873"/>
    <n v="257019.26978469506"/>
    <n v="12833419.548569178"/>
    <m/>
    <m/>
    <m/>
  </r>
  <r>
    <x v="30"/>
    <x v="2"/>
    <x v="1"/>
    <x v="0"/>
    <n v="37763484.710000001"/>
    <n v="1.87"/>
    <n v="1.8613980000000001"/>
    <n v="20287700.271516353"/>
    <n v="17475784.438483648"/>
    <n v="3172743.1653017043"/>
    <n v="14303041.273181943"/>
    <n v="257019.26978469506"/>
    <n v="14046022.003397249"/>
    <m/>
    <m/>
    <m/>
  </r>
  <r>
    <x v="30"/>
    <x v="3"/>
    <x v="1"/>
    <x v="0"/>
    <n v="37763484.710000001"/>
    <n v="1.87"/>
    <n v="1.8613980000000001"/>
    <n v="20287700.271516353"/>
    <n v="17475784.438483648"/>
    <n v="3261819.0977910506"/>
    <n v="14213965.340692598"/>
    <n v="257019.26978469506"/>
    <n v="13956946.070907904"/>
    <m/>
    <m/>
    <m/>
  </r>
  <r>
    <x v="30"/>
    <x v="4"/>
    <x v="1"/>
    <x v="0"/>
    <n v="37763484.710000001"/>
    <n v="1.87"/>
    <n v="1.8613980000000001"/>
    <n v="20287700.271516353"/>
    <n v="17475784.438483648"/>
    <n v="2690772.6421670346"/>
    <n v="14785011.796316613"/>
    <n v="257019.26978469506"/>
    <n v="14527992.526531918"/>
    <m/>
    <m/>
    <m/>
  </r>
  <r>
    <x v="30"/>
    <x v="5"/>
    <x v="1"/>
    <x v="0"/>
    <n v="37763484.710000001"/>
    <n v="1.87"/>
    <n v="1.8613980000000001"/>
    <n v="20287700.271516353"/>
    <n v="17475784.438483648"/>
    <n v="3618459.066557976"/>
    <n v="13857325.371925673"/>
    <n v="257019.26978469506"/>
    <n v="13600306.102140978"/>
    <m/>
    <m/>
    <m/>
  </r>
  <r>
    <x v="30"/>
    <x v="6"/>
    <x v="1"/>
    <x v="0"/>
    <n v="37763484.710000001"/>
    <n v="1.87"/>
    <n v="1.8613980000000001"/>
    <n v="20287700.271516353"/>
    <n v="17475784.438483648"/>
    <n v="5396190.0017938688"/>
    <n v="12079594.436689779"/>
    <n v="257019.26978469506"/>
    <n v="11822575.166905085"/>
    <m/>
    <m/>
    <m/>
  </r>
  <r>
    <x v="30"/>
    <x v="7"/>
    <x v="1"/>
    <x v="0"/>
    <n v="37763484.710000001"/>
    <n v="1.87"/>
    <n v="1.8613980000000001"/>
    <n v="20287700.271516353"/>
    <n v="17475784.438483648"/>
    <n v="5310046.6046164213"/>
    <n v="12165737.833867226"/>
    <n v="257019.26978469506"/>
    <n v="11908718.564082531"/>
    <m/>
    <m/>
    <m/>
  </r>
  <r>
    <x v="30"/>
    <x v="8"/>
    <x v="1"/>
    <x v="0"/>
    <n v="37763484.710000001"/>
    <n v="1.87"/>
    <n v="1.8613980000000001"/>
    <n v="20287700.271516353"/>
    <n v="17475784.438483648"/>
    <n v="6001271.549467708"/>
    <n v="11474512.889015939"/>
    <n v="257019.26978469506"/>
    <n v="11217493.619231245"/>
    <m/>
    <m/>
    <m/>
  </r>
  <r>
    <x v="30"/>
    <x v="9"/>
    <x v="1"/>
    <x v="0"/>
    <n v="37763484.710000001"/>
    <n v="1.87"/>
    <n v="1.8613980000000001"/>
    <n v="20287700.271516353"/>
    <n v="17475784.438483648"/>
    <n v="6489755.4942828165"/>
    <n v="10986028.944200832"/>
    <n v="257019.26978469506"/>
    <n v="10729009.674416138"/>
    <m/>
    <m/>
    <m/>
  </r>
  <r>
    <x v="30"/>
    <x v="10"/>
    <x v="1"/>
    <x v="0"/>
    <n v="37763484.710000001"/>
    <n v="1.87"/>
    <n v="1.8613980000000001"/>
    <n v="20287700.271516353"/>
    <n v="17475784.438483648"/>
    <n v="8679570.0205424577"/>
    <n v="8796214.4179411903"/>
    <n v="257019.26978469506"/>
    <n v="8539195.1481564958"/>
    <m/>
    <m/>
    <m/>
  </r>
  <r>
    <x v="30"/>
    <x v="11"/>
    <x v="1"/>
    <x v="0"/>
    <n v="37763484.710000001"/>
    <n v="1.87"/>
    <n v="1.8613980000000001"/>
    <n v="20287700.271516353"/>
    <n v="17475784.438483648"/>
    <n v="7308088.5430082316"/>
    <n v="10167695.895475417"/>
    <n v="257019.26978469506"/>
    <n v="9910676.6256907228"/>
    <m/>
    <m/>
    <m/>
  </r>
  <r>
    <x v="30"/>
    <x v="12"/>
    <x v="1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0"/>
    <x v="13"/>
    <x v="1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0"/>
    <x v="14"/>
    <x v="1"/>
    <x v="0"/>
    <n v="37763484.710000001"/>
    <n v="1.87"/>
    <n v="1.8613980000000001"/>
    <n v="20287700.271516353"/>
    <n v="17475784.438483648"/>
    <s v=""/>
    <s v=""/>
    <n v="257019.26978469506"/>
    <s v=""/>
    <m/>
    <m/>
    <m/>
  </r>
  <r>
    <x v="31"/>
    <x v="0"/>
    <x v="1"/>
    <x v="0"/>
    <n v="25318074"/>
    <n v="1.1100000000000001"/>
    <n v="1.104894"/>
    <n v="22914482.294229127"/>
    <n v="2403591.7057708725"/>
    <n v="5027857.7762374459"/>
    <n v="-2624266.0704665734"/>
    <n v="172315.47728728855"/>
    <n v="-2796581.5477538621"/>
    <m/>
    <m/>
    <m/>
  </r>
  <r>
    <x v="31"/>
    <x v="1"/>
    <x v="1"/>
    <x v="0"/>
    <n v="29324874"/>
    <n v="1.1100000000000001"/>
    <n v="1.104894"/>
    <n v="26540893.515577059"/>
    <n v="2783980.4844229408"/>
    <n v="5737022.4113709899"/>
    <n v="-2953041.9269480491"/>
    <n v="199585.86343098604"/>
    <n v="-3152627.7903790353"/>
    <m/>
    <m/>
    <m/>
  </r>
  <r>
    <x v="31"/>
    <x v="2"/>
    <x v="1"/>
    <x v="0"/>
    <n v="29324874"/>
    <n v="1.1100000000000001"/>
    <n v="1.104894"/>
    <n v="26540893.515577059"/>
    <n v="2783980.4844229408"/>
    <n v="4150664.5590961091"/>
    <n v="-1366684.0746731684"/>
    <n v="199585.86343098604"/>
    <n v="-1566269.9381041543"/>
    <m/>
    <m/>
    <m/>
  </r>
  <r>
    <x v="31"/>
    <x v="3"/>
    <x v="1"/>
    <x v="0"/>
    <n v="29324874"/>
    <n v="1.1100000000000001"/>
    <n v="1.104894"/>
    <n v="26540893.515577059"/>
    <n v="2783980.4844229408"/>
    <n v="4267195.9947620686"/>
    <n v="-1483215.5103391279"/>
    <n v="199585.86343098604"/>
    <n v="-1682801.3737701138"/>
    <m/>
    <m/>
    <m/>
  </r>
  <r>
    <x v="31"/>
    <x v="4"/>
    <x v="1"/>
    <x v="0"/>
    <n v="29324874"/>
    <n v="1.1100000000000001"/>
    <n v="1.104894"/>
    <n v="26540893.515577059"/>
    <n v="2783980.4844229408"/>
    <n v="3520138.271692114"/>
    <n v="-736157.78726917319"/>
    <n v="199585.86343098604"/>
    <n v="-935743.65070015925"/>
    <m/>
    <m/>
    <m/>
  </r>
  <r>
    <x v="31"/>
    <x v="5"/>
    <x v="1"/>
    <x v="0"/>
    <n v="29324874"/>
    <n v="1.1100000000000001"/>
    <n v="1.104894"/>
    <n v="26540893.515577059"/>
    <n v="2783980.4844229408"/>
    <n v="4733761.6137214135"/>
    <n v="-1949781.1292984728"/>
    <n v="199585.86343098604"/>
    <n v="-2149366.992729459"/>
    <m/>
    <m/>
    <m/>
  </r>
  <r>
    <x v="31"/>
    <x v="6"/>
    <x v="1"/>
    <x v="0"/>
    <n v="29324874"/>
    <n v="1.1100000000000001"/>
    <n v="1.104894"/>
    <n v="26540893.515577059"/>
    <n v="2783980.4844229408"/>
    <n v="7059435.1410303069"/>
    <n v="-4275454.6566073662"/>
    <n v="199585.86343098604"/>
    <n v="-4475040.5200383523"/>
    <m/>
    <m/>
    <m/>
  </r>
  <r>
    <x v="31"/>
    <x v="7"/>
    <x v="1"/>
    <x v="0"/>
    <n v="29324874"/>
    <n v="1.1100000000000001"/>
    <n v="1.104894"/>
    <n v="26540893.515577059"/>
    <n v="2783980.4844229408"/>
    <n v="6946740.123805183"/>
    <n v="-4162759.6393822422"/>
    <n v="199585.86343098604"/>
    <n v="-4362345.5028132284"/>
    <m/>
    <m/>
    <m/>
  </r>
  <r>
    <x v="31"/>
    <x v="8"/>
    <x v="1"/>
    <x v="0"/>
    <n v="29324874"/>
    <n v="1.1100000000000001"/>
    <n v="1.104894"/>
    <n v="26540893.515577059"/>
    <n v="2783980.4844229408"/>
    <n v="7851018.450627951"/>
    <n v="-5067037.9662050102"/>
    <n v="199585.86343098604"/>
    <n v="-5266623.8296359964"/>
    <m/>
    <m/>
    <m/>
  </r>
  <r>
    <x v="31"/>
    <x v="9"/>
    <x v="1"/>
    <x v="0"/>
    <n v="29324874"/>
    <n v="1.1100000000000001"/>
    <n v="1.104894"/>
    <n v="26540893.515577059"/>
    <n v="2783980.4844229408"/>
    <n v="8490065.7645124737"/>
    <n v="-5706085.280089533"/>
    <n v="199585.86343098604"/>
    <n v="-5905671.1435205191"/>
    <m/>
    <m/>
    <m/>
  </r>
  <r>
    <x v="31"/>
    <x v="10"/>
    <x v="1"/>
    <x v="0"/>
    <n v="29324874"/>
    <n v="1.1100000000000001"/>
    <n v="1.104894"/>
    <n v="26540893.515577059"/>
    <n v="2783980.4844229408"/>
    <n v="11354837.689496014"/>
    <n v="-8570857.2050730735"/>
    <n v="199585.86343098604"/>
    <n v="-8770443.0685040597"/>
    <m/>
    <m/>
    <m/>
  </r>
  <r>
    <x v="31"/>
    <x v="11"/>
    <x v="1"/>
    <x v="0"/>
    <n v="29324874"/>
    <n v="1.1100000000000001"/>
    <n v="1.104894"/>
    <n v="26540893.515577059"/>
    <n v="2783980.4844229408"/>
    <n v="9560630.19595729"/>
    <n v="-6776649.7115343492"/>
    <n v="199585.86343098604"/>
    <n v="-6976235.5749653354"/>
    <m/>
    <m/>
    <m/>
  </r>
  <r>
    <x v="31"/>
    <x v="12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3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4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5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6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7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8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19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20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21"/>
    <x v="1"/>
    <x v="0"/>
    <n v="43647924"/>
    <n v="1.1100000000000001"/>
    <n v="1.104894"/>
    <n v="39504173.251008689"/>
    <n v="4143750.7489913106"/>
    <s v=""/>
    <s v=""/>
    <n v="297068.91830157762"/>
    <s v=""/>
    <m/>
    <m/>
    <m/>
  </r>
  <r>
    <x v="31"/>
    <x v="22"/>
    <x v="1"/>
    <x v="0"/>
    <n v="29413074"/>
    <n v="1.1100000000000001"/>
    <n v="1.104894"/>
    <n v="26620720.177682202"/>
    <n v="2792353.8223177977"/>
    <s v=""/>
    <s v=""/>
    <n v="200186.15494987246"/>
    <s v=""/>
    <m/>
    <m/>
    <m/>
  </r>
  <r>
    <x v="31"/>
    <x v="23"/>
    <x v="1"/>
    <x v="0"/>
    <n v="29413074"/>
    <n v="1.1100000000000001"/>
    <n v="1.104894"/>
    <n v="26620720.177682202"/>
    <n v="2792353.8223177977"/>
    <s v=""/>
    <s v=""/>
    <n v="200186.15494987246"/>
    <s v=""/>
    <m/>
    <m/>
    <m/>
  </r>
  <r>
    <x v="32"/>
    <x v="0"/>
    <x v="1"/>
    <x v="0"/>
    <n v="33554950.015926875"/>
    <n v="1.97"/>
    <n v="1.9609379999999998"/>
    <n v="17111683.294386093"/>
    <n v="16443266.721540783"/>
    <n v="3754617.2246648986"/>
    <n v="12688649.496875884"/>
    <n v="228375.87200928279"/>
    <n v="12460273.624866601"/>
    <m/>
    <m/>
    <m/>
  </r>
  <r>
    <x v="32"/>
    <x v="1"/>
    <x v="1"/>
    <x v="0"/>
    <n v="13267655.116172869"/>
    <n v="1.97"/>
    <n v="1.9609379999999998"/>
    <n v="6765973.7922223294"/>
    <n v="6501681.3239505393"/>
    <n v="1462518.3307391868"/>
    <n v="5039162.9932113523"/>
    <n v="90300.009543635257"/>
    <n v="4948862.9836677173"/>
    <m/>
    <m/>
    <m/>
  </r>
  <r>
    <x v="33"/>
    <x v="0"/>
    <x v="1"/>
    <x v="0"/>
    <n v="55849596.75"/>
    <n v="1.93"/>
    <n v="1.9211219999999998"/>
    <n v="29071343.074515834"/>
    <n v="26778253.675484166"/>
    <n v="6378785.977620896"/>
    <n v="20399467.69786327"/>
    <n v="380113.82383505354"/>
    <n v="20019353.874028217"/>
    <m/>
    <m/>
    <m/>
  </r>
  <r>
    <x v="33"/>
    <x v="1"/>
    <x v="1"/>
    <x v="0"/>
    <n v="55849596.75"/>
    <n v="1.93"/>
    <n v="1.9211219999999998"/>
    <n v="29071343.074515834"/>
    <n v="26778253.675484166"/>
    <n v="6283998.9410780743"/>
    <n v="20494254.734406091"/>
    <n v="380113.82383505354"/>
    <n v="20114140.910571039"/>
    <m/>
    <m/>
    <m/>
  </r>
  <r>
    <x v="33"/>
    <x v="2"/>
    <x v="1"/>
    <x v="0"/>
    <n v="55849596.75"/>
    <n v="1.93"/>
    <n v="1.9211219999999998"/>
    <n v="29071343.074515834"/>
    <n v="26778253.675484166"/>
    <n v="4546395.294261572"/>
    <n v="22231858.381222595"/>
    <n v="380113.82383505354"/>
    <n v="21851744.557387542"/>
    <m/>
    <m/>
    <m/>
  </r>
  <r>
    <x v="34"/>
    <x v="0"/>
    <x v="1"/>
    <x v="0"/>
    <n v="24433339.875"/>
    <n v="1.98"/>
    <n v="1.9708919999999999"/>
    <n v="12397097.291480204"/>
    <n v="12036242.583519796"/>
    <n v="2720150.5676363707"/>
    <n v="9316092.0158834253"/>
    <n v="166293.95357179083"/>
    <n v="9149798.0623116344"/>
    <m/>
    <m/>
    <m/>
  </r>
  <r>
    <x v="34"/>
    <x v="1"/>
    <x v="1"/>
    <x v="0"/>
    <n v="24433339.875"/>
    <n v="1.98"/>
    <n v="1.9708919999999999"/>
    <n v="12397097.291480204"/>
    <n v="12036242.583519796"/>
    <n v="2679729.8649883894"/>
    <n v="9356512.7185314074"/>
    <n v="166293.95357179083"/>
    <n v="9190218.7649596166"/>
    <m/>
    <m/>
    <m/>
  </r>
  <r>
    <x v="35"/>
    <x v="1"/>
    <x v="1"/>
    <x v="0"/>
    <n v="43907512.694785044"/>
    <n v="1"/>
    <n v="0.99539999999999995"/>
    <n v="44110420.62968158"/>
    <n v="-202907.93489653617"/>
    <n v="9534813.5728346948"/>
    <n v="-9737721.5077312309"/>
    <n v="298835.68578319054"/>
    <n v="-10036557.193514422"/>
    <m/>
    <m/>
    <m/>
  </r>
  <r>
    <x v="35"/>
    <x v="2"/>
    <x v="1"/>
    <x v="0"/>
    <n v="43907512.694785044"/>
    <n v="1"/>
    <n v="0.99539999999999995"/>
    <n v="44110420.62968158"/>
    <n v="-202907.93489653617"/>
    <n v="6898319.3609132143"/>
    <n v="-7101227.2958097504"/>
    <n v="298835.68578319054"/>
    <n v="-7400062.9815929411"/>
    <m/>
    <m/>
    <m/>
  </r>
  <r>
    <x v="35"/>
    <x v="3"/>
    <x v="1"/>
    <x v="0"/>
    <n v="43907512.694785044"/>
    <n v="1"/>
    <n v="0.99539999999999995"/>
    <n v="44110420.62968158"/>
    <n v="-202907.93489653617"/>
    <n v="7091992.2167569455"/>
    <n v="-7294900.1516534816"/>
    <n v="298835.68578319054"/>
    <n v="-7593735.8374366723"/>
    <m/>
    <m/>
    <m/>
  </r>
  <r>
    <x v="35"/>
    <x v="4"/>
    <x v="1"/>
    <x v="0"/>
    <n v="43907512.694785044"/>
    <n v="1"/>
    <n v="0.99539999999999995"/>
    <n v="44110420.62968158"/>
    <n v="-202907.93489653617"/>
    <n v="5850397.6042798823"/>
    <n v="-6053305.5391764184"/>
    <n v="298835.68578319054"/>
    <n v="-6352141.2249596091"/>
    <m/>
    <m/>
    <m/>
  </r>
  <r>
    <x v="35"/>
    <x v="5"/>
    <x v="1"/>
    <x v="0"/>
    <n v="43907512.694785044"/>
    <n v="1"/>
    <n v="0.99539999999999995"/>
    <n v="44110420.62968158"/>
    <n v="-202907.93489653617"/>
    <n v="7867414.7055124799"/>
    <n v="-8070322.6404090161"/>
    <n v="298835.68578319054"/>
    <n v="-8369158.3261922067"/>
    <m/>
    <m/>
    <m/>
  </r>
  <r>
    <x v="35"/>
    <x v="6"/>
    <x v="1"/>
    <x v="0"/>
    <n v="43907512.694785044"/>
    <n v="1"/>
    <n v="0.99539999999999995"/>
    <n v="44110420.62968158"/>
    <n v="-202907.93489653617"/>
    <n v="11732636.40487621"/>
    <n v="-11935544.339772746"/>
    <n v="298835.68578319054"/>
    <n v="-12234380.025555937"/>
    <m/>
    <m/>
    <m/>
  </r>
  <r>
    <x v="35"/>
    <x v="7"/>
    <x v="1"/>
    <x v="0"/>
    <n v="43907512.694785044"/>
    <n v="1"/>
    <n v="0.99539999999999995"/>
    <n v="44110420.62968158"/>
    <n v="-202907.93489653617"/>
    <n v="11545339.597790498"/>
    <n v="-11748247.532687034"/>
    <n v="298835.68578319054"/>
    <n v="-12047083.218470225"/>
    <m/>
    <m/>
    <m/>
  </r>
  <r>
    <x v="36"/>
    <x v="0"/>
    <x v="1"/>
    <x v="0"/>
    <n v="134267225.40000004"/>
    <n v="1.64"/>
    <n v="1.6324559999999999"/>
    <n v="82248602.963877767"/>
    <n v="52018622.436122268"/>
    <n v="18046852.321893618"/>
    <n v="33971770.114228651"/>
    <n v="913826.26612280845"/>
    <n v="33057943.848105844"/>
    <m/>
    <m/>
    <m/>
  </r>
  <r>
    <x v="36"/>
    <x v="1"/>
    <x v="1"/>
    <x v="0"/>
    <n v="134267225.40000004"/>
    <n v="1.64"/>
    <n v="1.6324559999999999"/>
    <n v="82248602.963877767"/>
    <n v="52018622.436122268"/>
    <n v="17778680.971338872"/>
    <n v="34239941.4647834"/>
    <n v="913826.26612280845"/>
    <n v="33326115.198660593"/>
    <m/>
    <m/>
    <m/>
  </r>
  <r>
    <x v="36"/>
    <x v="2"/>
    <x v="1"/>
    <x v="0"/>
    <n v="134267225.40000004"/>
    <n v="1.64"/>
    <n v="1.6324559999999999"/>
    <n v="82248602.963877767"/>
    <n v="52018622.436122268"/>
    <n v="12862655.1761331"/>
    <n v="39155967.259989172"/>
    <n v="913826.26612280845"/>
    <n v="38242140.993866362"/>
    <m/>
    <m/>
    <m/>
  </r>
  <r>
    <x v="36"/>
    <x v="3"/>
    <x v="1"/>
    <x v="0"/>
    <n v="134267225.40000004"/>
    <n v="1.64"/>
    <n v="1.6324559999999999"/>
    <n v="82248602.963877767"/>
    <n v="52018622.436122268"/>
    <n v="13223778.955906186"/>
    <n v="38794843.480216086"/>
    <n v="913826.26612280845"/>
    <n v="37881017.214093275"/>
    <m/>
    <m/>
    <m/>
  </r>
  <r>
    <x v="36"/>
    <x v="4"/>
    <x v="1"/>
    <x v="0"/>
    <n v="134267225.40000004"/>
    <n v="1.64"/>
    <n v="1.6324559999999999"/>
    <n v="82248602.963877767"/>
    <n v="52018622.436122268"/>
    <n v="10908692.840971244"/>
    <n v="41109929.595151022"/>
    <n v="913826.26612280845"/>
    <n v="40196103.329028212"/>
    <m/>
    <m/>
    <m/>
  </r>
  <r>
    <x v="37"/>
    <x v="2"/>
    <x v="1"/>
    <x v="0"/>
    <n v="63859391.18"/>
    <n v="0.75"/>
    <n v="0.74654999999999994"/>
    <n v="85539335.851583958"/>
    <n v="-21679944.671583958"/>
    <n v="13377284.736831108"/>
    <n v="-35057229.408415064"/>
    <n v="434628.69531297544"/>
    <n v="-35491858.103728041"/>
    <m/>
    <m/>
    <m/>
  </r>
  <r>
    <x v="37"/>
    <x v="3"/>
    <x v="1"/>
    <x v="0"/>
    <n v="63859391.18"/>
    <n v="0.75"/>
    <n v="0.74654999999999994"/>
    <n v="85539335.851583958"/>
    <n v="-21679944.671583958"/>
    <n v="13752856.930994334"/>
    <n v="-35432801.60257829"/>
    <n v="434628.69531297544"/>
    <n v="-35867430.297891267"/>
    <m/>
    <m/>
    <m/>
  </r>
  <r>
    <x v="37"/>
    <x v="4"/>
    <x v="1"/>
    <x v="0"/>
    <n v="63859391.18"/>
    <n v="0.75"/>
    <n v="0.74654999999999994"/>
    <n v="85539335.851583958"/>
    <n v="-21679944.671583958"/>
    <n v="11345145.169644045"/>
    <n v="-33025089.841228001"/>
    <n v="434628.69531297544"/>
    <n v="-33459718.536540978"/>
    <m/>
    <m/>
    <m/>
  </r>
  <r>
    <x v="37"/>
    <x v="5"/>
    <x v="1"/>
    <x v="0"/>
    <n v="60800628.68"/>
    <n v="0.75"/>
    <n v="0.74654999999999994"/>
    <n v="81442138.744893178"/>
    <n v="-20641510.064893179"/>
    <n v="14525798.459033774"/>
    <n v="-35167308.523926951"/>
    <n v="413810.6773193492"/>
    <n v="-35581119.201246299"/>
    <m/>
    <m/>
    <m/>
  </r>
  <r>
    <x v="37"/>
    <x v="6"/>
    <x v="1"/>
    <x v="0"/>
    <n v="60800628.68"/>
    <n v="0.75"/>
    <n v="0.74654999999999994"/>
    <n v="81442138.744893178"/>
    <n v="-20641510.064893179"/>
    <n v="21662250.966755535"/>
    <n v="-42303761.03164871"/>
    <n v="413810.6773193492"/>
    <n v="-42717571.708968058"/>
    <m/>
    <m/>
    <m/>
  </r>
  <r>
    <x v="37"/>
    <x v="7"/>
    <x v="1"/>
    <x v="0"/>
    <n v="64680316.519999996"/>
    <n v="0.75"/>
    <n v="0.74654999999999994"/>
    <n v="86638961.248409346"/>
    <n v="-21958644.72840935"/>
    <n v="22676642.292991839"/>
    <n v="-44635287.021401189"/>
    <n v="440215.93476015172"/>
    <n v="-45075502.956161343"/>
    <m/>
    <m/>
    <m/>
  </r>
  <r>
    <x v="37"/>
    <x v="8"/>
    <x v="1"/>
    <x v="0"/>
    <n v="64680316.519999996"/>
    <n v="0.75"/>
    <n v="0.74654999999999994"/>
    <n v="86638961.248409346"/>
    <n v="-21958644.72840935"/>
    <n v="25628529.910090804"/>
    <n v="-47587174.638500154"/>
    <n v="440215.93476015172"/>
    <n v="-48027390.573260307"/>
    <m/>
    <m/>
    <m/>
  </r>
  <r>
    <x v="37"/>
    <x v="9"/>
    <x v="1"/>
    <x v="0"/>
    <n v="60757039.519999996"/>
    <n v="0.75"/>
    <n v="0.74654999999999994"/>
    <n v="81383751.282566473"/>
    <n v="-20626711.762566477"/>
    <n v="26033539.531975053"/>
    <n v="-46660251.29454153"/>
    <n v="413514.00835037656"/>
    <n v="-47073765.30289191"/>
    <m/>
    <m/>
    <m/>
  </r>
  <r>
    <x v="37"/>
    <x v="10"/>
    <x v="1"/>
    <x v="0"/>
    <n v="60757039.519999996"/>
    <n v="0.75"/>
    <n v="0.74654999999999994"/>
    <n v="81383751.282566473"/>
    <n v="-20626711.762566477"/>
    <n v="34817941.823755637"/>
    <n v="-55444653.586322114"/>
    <n v="413514.00835037656"/>
    <n v="-55858167.594672494"/>
    <m/>
    <m/>
    <m/>
  </r>
  <r>
    <x v="37"/>
    <x v="11"/>
    <x v="1"/>
    <x v="0"/>
    <n v="60757039.519999996"/>
    <n v="0.75"/>
    <n v="0.74654999999999994"/>
    <n v="81383751.282566473"/>
    <n v="-20626711.762566477"/>
    <n v="29316268.102116518"/>
    <n v="-49942979.864682995"/>
    <n v="413514.00835037656"/>
    <n v="-50356493.873033375"/>
    <m/>
    <m/>
    <m/>
  </r>
  <r>
    <x v="37"/>
    <x v="12"/>
    <x v="1"/>
    <x v="0"/>
    <n v="60757039.519999996"/>
    <n v="0.75"/>
    <n v="0.74654999999999994"/>
    <n v="81383751.282566473"/>
    <n v="-20626711.762566477"/>
    <s v=""/>
    <s v=""/>
    <n v="413514.00835037656"/>
    <s v=""/>
    <m/>
    <m/>
    <m/>
  </r>
  <r>
    <x v="37"/>
    <x v="13"/>
    <x v="1"/>
    <x v="0"/>
    <n v="60757039.519999996"/>
    <n v="0.75"/>
    <n v="0.74654999999999994"/>
    <n v="81383751.282566473"/>
    <n v="-20626711.762566477"/>
    <s v=""/>
    <s v=""/>
    <n v="413514.00835037656"/>
    <s v=""/>
    <m/>
    <m/>
    <m/>
  </r>
  <r>
    <x v="37"/>
    <x v="14"/>
    <x v="1"/>
    <x v="0"/>
    <n v="54757039.519999996"/>
    <n v="0.75"/>
    <n v="0.74654999999999994"/>
    <n v="73346781.220279962"/>
    <n v="-18589741.700279966"/>
    <s v=""/>
    <s v=""/>
    <n v="372677.8506030009"/>
    <s v=""/>
    <m/>
    <m/>
    <m/>
  </r>
  <r>
    <x v="37"/>
    <x v="15"/>
    <x v="1"/>
    <x v="0"/>
    <n v="54757039.519999996"/>
    <n v="0.75"/>
    <n v="0.74654999999999994"/>
    <n v="73346781.220279962"/>
    <n v="-18589741.700279966"/>
    <s v=""/>
    <s v=""/>
    <n v="372677.8506030009"/>
    <s v=""/>
    <m/>
    <m/>
    <m/>
  </r>
  <r>
    <x v="37"/>
    <x v="16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17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18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19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20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21"/>
    <x v="1"/>
    <x v="0"/>
    <n v="48757039.519999996"/>
    <n v="0.75"/>
    <n v="0.74654999999999994"/>
    <n v="65309811.157993436"/>
    <n v="-16552771.63799344"/>
    <s v=""/>
    <s v=""/>
    <n v="331841.69285562518"/>
    <s v=""/>
    <m/>
    <m/>
    <m/>
  </r>
  <r>
    <x v="37"/>
    <x v="22"/>
    <x v="1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x v="23"/>
    <x v="1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x v="24"/>
    <x v="1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x v="25"/>
    <x v="1"/>
    <x v="0"/>
    <n v="44678689.519999996"/>
    <n v="0.75"/>
    <n v="0.74654999999999994"/>
    <n v="59846881.682405733"/>
    <n v="-15168192.162405737"/>
    <s v=""/>
    <s v=""/>
    <n v="304084.33553079021"/>
    <s v=""/>
    <m/>
    <m/>
    <m/>
  </r>
  <r>
    <x v="37"/>
    <x v="26"/>
    <x v="1"/>
    <x v="0"/>
    <n v="40862689.519999996"/>
    <n v="0.75"/>
    <n v="0.74654999999999994"/>
    <n v="54735368.722791508"/>
    <n v="-13872679.202791512"/>
    <s v=""/>
    <s v=""/>
    <n v="278112.53920345928"/>
    <s v=""/>
    <m/>
    <m/>
    <m/>
  </r>
  <r>
    <x v="38"/>
    <x v="3"/>
    <x v="1"/>
    <x v="0"/>
    <n v="89776746.567000002"/>
    <n v="1"/>
    <n v="0.99539999999999995"/>
    <n v="90191628.05605787"/>
    <n v="-414881.48905786872"/>
    <n v="14500843.906253565"/>
    <n v="-14915725.395311434"/>
    <n v="611022.89747603028"/>
    <n v="-15526748.292787464"/>
    <m/>
    <m/>
    <m/>
  </r>
  <r>
    <x v="38"/>
    <x v="4"/>
    <x v="1"/>
    <x v="0"/>
    <n v="68117355.567000002"/>
    <n v="1"/>
    <n v="0.99539999999999995"/>
    <n v="68432143.426763117"/>
    <n v="-314787.85976311564"/>
    <n v="9076205.6277077552"/>
    <n v="-9390993.4874708708"/>
    <n v="463608.5128780154"/>
    <n v="-9854602.0003488865"/>
    <m/>
    <m/>
    <m/>
  </r>
  <r>
    <x v="38"/>
    <x v="5"/>
    <x v="1"/>
    <x v="0"/>
    <n v="68117355.567000002"/>
    <n v="1"/>
    <n v="0.99539999999999995"/>
    <n v="68432143.426763117"/>
    <n v="-314787.85976311564"/>
    <n v="12205371.062890764"/>
    <n v="-12520158.92265388"/>
    <n v="463608.5128780154"/>
    <n v="-12983767.435531896"/>
    <m/>
    <m/>
    <m/>
  </r>
  <r>
    <x v="38"/>
    <x v="6"/>
    <x v="1"/>
    <x v="0"/>
    <n v="62912767.068000004"/>
    <n v="1"/>
    <n v="0.99539999999999995"/>
    <n v="63203503.18264015"/>
    <n v="-290736.11464014649"/>
    <n v="16811078.012195919"/>
    <n v="-17101814.126836065"/>
    <n v="428185.94671879185"/>
    <n v="-17530000.073554859"/>
    <m/>
    <m/>
    <m/>
  </r>
  <r>
    <x v="38"/>
    <x v="7"/>
    <x v="1"/>
    <x v="0"/>
    <n v="41200017.068000004"/>
    <n v="1"/>
    <n v="0.99539999999999995"/>
    <n v="41390412.967651203"/>
    <n v="-190395.89965119958"/>
    <n v="10833412.308990134"/>
    <n v="-11023808.208641334"/>
    <n v="280408.39936390327"/>
    <n v="-11304216.608005237"/>
    <m/>
    <m/>
    <m/>
  </r>
  <r>
    <x v="38"/>
    <x v="8"/>
    <x v="1"/>
    <x v="0"/>
    <n v="41200017.068000004"/>
    <n v="1"/>
    <n v="0.99539999999999995"/>
    <n v="41390412.967651203"/>
    <n v="-190395.89965119958"/>
    <n v="12243630.595835827"/>
    <n v="-12434026.495487027"/>
    <n v="280408.39936390327"/>
    <n v="-12714434.89485093"/>
    <m/>
    <m/>
    <m/>
  </r>
  <r>
    <x v="38"/>
    <x v="9"/>
    <x v="1"/>
    <x v="0"/>
    <n v="41200017.068000004"/>
    <n v="1"/>
    <n v="0.99539999999999995"/>
    <n v="41390412.967651203"/>
    <n v="-190395.89965119958"/>
    <n v="13240222.221962681"/>
    <n v="-13430618.121613881"/>
    <n v="280408.39936390327"/>
    <n v="-13711026.520977784"/>
    <m/>
    <m/>
    <m/>
  </r>
  <r>
    <x v="38"/>
    <x v="10"/>
    <x v="1"/>
    <x v="0"/>
    <n v="39238378.568000004"/>
    <n v="1"/>
    <n v="0.99539999999999995"/>
    <n v="39419709.230460122"/>
    <n v="-181330.66246011853"/>
    <n v="16864707.279591016"/>
    <n v="-17046037.942051135"/>
    <n v="267057.43615901569"/>
    <n v="-17313095.37821015"/>
    <m/>
    <m/>
    <m/>
  </r>
  <r>
    <x v="38"/>
    <x v="11"/>
    <x v="1"/>
    <x v="0"/>
    <n v="39238378.568000004"/>
    <n v="1"/>
    <n v="0.99539999999999995"/>
    <n v="39419709.230460122"/>
    <n v="-181330.66246011853"/>
    <n v="14199870.933636848"/>
    <n v="-14381201.596096966"/>
    <n v="267057.43615901569"/>
    <n v="-14648259.032255983"/>
    <m/>
    <m/>
    <m/>
  </r>
  <r>
    <x v="38"/>
    <x v="12"/>
    <x v="1"/>
    <x v="0"/>
    <n v="34612077.68"/>
    <n v="1"/>
    <n v="0.99539999999999995"/>
    <n v="34772029.013461925"/>
    <n v="-159951.33346192539"/>
    <s v=""/>
    <s v=""/>
    <n v="235570.71068415025"/>
    <s v=""/>
    <m/>
    <m/>
    <m/>
  </r>
  <r>
    <x v="39"/>
    <x v="3"/>
    <x v="1"/>
    <x v="0"/>
    <n v="83414508.689999998"/>
    <n v="1"/>
    <n v="0.99539999999999995"/>
    <n v="83799988.637733579"/>
    <n v="-385479.94773358107"/>
    <n v="13473207.888278918"/>
    <n v="-13858687.836012499"/>
    <n v="567721.33921411354"/>
    <n v="-14426409.175226614"/>
    <m/>
    <m/>
    <m/>
  </r>
  <r>
    <x v="39"/>
    <x v="4"/>
    <x v="1"/>
    <x v="0"/>
    <n v="83414508.689999998"/>
    <n v="1"/>
    <n v="0.99539999999999995"/>
    <n v="83799988.637733579"/>
    <n v="-385479.94773358107"/>
    <n v="11114454.266504621"/>
    <n v="-11499934.214238202"/>
    <n v="567721.33921411354"/>
    <n v="-12067655.553452317"/>
    <m/>
    <m/>
    <m/>
  </r>
  <r>
    <x v="39"/>
    <x v="5"/>
    <x v="1"/>
    <x v="0"/>
    <n v="83414508.689999998"/>
    <n v="1"/>
    <n v="0.99539999999999995"/>
    <n v="83799988.637733579"/>
    <n v="-385479.94773358107"/>
    <n v="14946338.155901715"/>
    <n v="-15331818.103635296"/>
    <n v="567721.33921411354"/>
    <n v="-15899539.442849409"/>
    <m/>
    <m/>
    <m/>
  </r>
  <r>
    <x v="39"/>
    <x v="6"/>
    <x v="1"/>
    <x v="0"/>
    <n v="83414508.689999998"/>
    <n v="1"/>
    <n v="0.99539999999999995"/>
    <n v="83799988.637733579"/>
    <n v="-385479.94773358107"/>
    <n v="22289399.724238884"/>
    <n v="-22674879.671972465"/>
    <n v="567721.33921411354"/>
    <n v="-23242601.011186577"/>
    <m/>
    <m/>
    <m/>
  </r>
  <r>
    <x v="39"/>
    <x v="7"/>
    <x v="1"/>
    <x v="0"/>
    <n v="82688276.189999998"/>
    <n v="1"/>
    <n v="0.99539999999999995"/>
    <n v="83070400.030138642"/>
    <n v="-382123.84013864398"/>
    <n v="21742616.941333391"/>
    <n v="-22124740.781472035"/>
    <n v="562778.58172556839"/>
    <n v="-22687519.363197602"/>
    <m/>
    <m/>
    <m/>
  </r>
  <r>
    <x v="39"/>
    <x v="8"/>
    <x v="1"/>
    <x v="0"/>
    <n v="82688276.189999998"/>
    <n v="1"/>
    <n v="0.99539999999999995"/>
    <n v="83070400.030138642"/>
    <n v="-382123.84013864398"/>
    <n v="24572919.632675111"/>
    <n v="-24955043.472813755"/>
    <n v="562778.58172556839"/>
    <n v="-25517822.054539323"/>
    <m/>
    <m/>
    <m/>
  </r>
  <r>
    <x v="39"/>
    <x v="9"/>
    <x v="1"/>
    <x v="0"/>
    <n v="82688276.189999998"/>
    <n v="1"/>
    <n v="0.99539999999999995"/>
    <n v="83070400.030138642"/>
    <n v="-382123.84013864398"/>
    <n v="26573075.202848982"/>
    <n v="-26955199.042987626"/>
    <n v="562778.58172556839"/>
    <n v="-27517977.624713194"/>
    <m/>
    <m/>
    <m/>
  </r>
  <r>
    <x v="39"/>
    <x v="10"/>
    <x v="1"/>
    <x v="0"/>
    <n v="82688276.189999998"/>
    <n v="1"/>
    <n v="0.99539999999999995"/>
    <n v="83070400.030138642"/>
    <n v="-382123.84013864398"/>
    <n v="35539531.048196532"/>
    <n v="-35921654.888335176"/>
    <n v="562778.58172556839"/>
    <n v="-36484433.470060743"/>
    <m/>
    <m/>
    <m/>
  </r>
  <r>
    <x v="39"/>
    <x v="11"/>
    <x v="1"/>
    <x v="0"/>
    <n v="82688276.189999998"/>
    <n v="1"/>
    <n v="0.99539999999999995"/>
    <n v="83070400.030138642"/>
    <n v="-382123.84013864398"/>
    <n v="29923837.132772848"/>
    <n v="-30305960.972911492"/>
    <n v="562778.58172556839"/>
    <n v="-30868739.55463706"/>
    <m/>
    <m/>
    <m/>
  </r>
  <r>
    <x v="39"/>
    <x v="12"/>
    <x v="1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x v="13"/>
    <x v="1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x v="14"/>
    <x v="1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39"/>
    <x v="15"/>
    <x v="1"/>
    <x v="0"/>
    <n v="79010033.789999992"/>
    <n v="1"/>
    <n v="0.99539999999999995"/>
    <n v="79375159.523809522"/>
    <n v="-365125.73380953074"/>
    <s v=""/>
    <s v=""/>
    <n v="537744.36724565399"/>
    <s v=""/>
    <m/>
    <m/>
    <m/>
  </r>
  <r>
    <x v="40"/>
    <x v="5"/>
    <x v="1"/>
    <x v="0"/>
    <n v="577000000"/>
    <n v="1.87"/>
    <n v="1.8613980000000001"/>
    <n v="309982067.24193317"/>
    <n v="267017932.75806683"/>
    <n v="55287558.800183408"/>
    <n v="211730373.95788342"/>
    <n v="3927077.1700392966"/>
    <n v="207803296.78784412"/>
    <m/>
    <m/>
    <m/>
  </r>
  <r>
    <x v="41"/>
    <x v="0"/>
    <x v="1"/>
    <x v="0"/>
    <n v="35458635"/>
    <n v="2.2200000000000002"/>
    <n v="2.2097880000000001"/>
    <n v="16046170.492373023"/>
    <n v="19412464.507626977"/>
    <n v="3520824.1693170522"/>
    <n v="15891640.338309925"/>
    <n v="241332.40206110285"/>
    <n v="15650307.936248822"/>
    <m/>
    <m/>
    <m/>
  </r>
  <r>
    <x v="41"/>
    <x v="1"/>
    <x v="1"/>
    <x v="0"/>
    <n v="35458635"/>
    <n v="2.2200000000000002"/>
    <n v="2.2097880000000001"/>
    <n v="16046170.492373023"/>
    <n v="19412464.507626977"/>
    <n v="3468505.6732319426"/>
    <n v="15943958.834395034"/>
    <n v="241332.40206110285"/>
    <n v="15702626.432333931"/>
    <m/>
    <m/>
    <m/>
  </r>
  <r>
    <x v="41"/>
    <x v="2"/>
    <x v="1"/>
    <x v="0"/>
    <n v="35458635"/>
    <n v="2.2200000000000002"/>
    <n v="2.2097880000000001"/>
    <n v="16046170.492373023"/>
    <n v="19412464.507626977"/>
    <n v="2509420.8351658201"/>
    <n v="16903043.672461156"/>
    <n v="241332.40206110285"/>
    <n v="16661711.270400053"/>
    <m/>
    <m/>
    <m/>
  </r>
  <r>
    <x v="41"/>
    <x v="3"/>
    <x v="1"/>
    <x v="0"/>
    <n v="35458635"/>
    <n v="2.2200000000000002"/>
    <n v="2.2097880000000001"/>
    <n v="16046170.492373023"/>
    <n v="19412464.507626977"/>
    <n v="2579873.7490181564"/>
    <n v="16832590.758608822"/>
    <n v="241332.40206110285"/>
    <n v="16591258.356547719"/>
    <m/>
    <m/>
    <m/>
  </r>
  <r>
    <x v="41"/>
    <x v="4"/>
    <x v="1"/>
    <x v="0"/>
    <n v="35458635"/>
    <n v="2.2200000000000002"/>
    <n v="2.2097880000000001"/>
    <n v="16046170.492373023"/>
    <n v="19412464.507626977"/>
    <n v="2128215.4208993614"/>
    <n v="17284249.086727615"/>
    <n v="241332.40206110285"/>
    <n v="17042916.684666514"/>
    <m/>
    <m/>
    <m/>
  </r>
  <r>
    <x v="41"/>
    <x v="5"/>
    <x v="1"/>
    <x v="0"/>
    <n v="35458635"/>
    <n v="2.2200000000000002"/>
    <n v="2.2097880000000001"/>
    <n v="16046170.492373023"/>
    <n v="19412464.507626977"/>
    <n v="2861951.3461159044"/>
    <n v="16550513.161511073"/>
    <n v="241332.40206110285"/>
    <n v="16309180.75944997"/>
    <m/>
    <m/>
    <m/>
  </r>
  <r>
    <x v="41"/>
    <x v="6"/>
    <x v="1"/>
    <x v="0"/>
    <n v="35458635"/>
    <n v="2.2200000000000002"/>
    <n v="2.2097880000000001"/>
    <n v="16046170.492373023"/>
    <n v="19412464.507626977"/>
    <n v="4268013.8024116866"/>
    <n v="15144450.70521529"/>
    <n v="241332.40206110285"/>
    <n v="14903118.303154187"/>
    <m/>
    <m/>
    <m/>
  </r>
  <r>
    <x v="41"/>
    <x v="7"/>
    <x v="1"/>
    <x v="0"/>
    <n v="35458635"/>
    <n v="2.2200000000000002"/>
    <n v="2.2097880000000001"/>
    <n v="16046170.492373023"/>
    <n v="19412464.507626977"/>
    <n v="4199880.3215635773"/>
    <n v="15212584.1860634"/>
    <n v="241332.40206110285"/>
    <n v="14971251.784002297"/>
    <m/>
    <m/>
    <m/>
  </r>
  <r>
    <x v="42"/>
    <x v="0"/>
    <x v="1"/>
    <x v="0"/>
    <n v="62778573"/>
    <n v="1.72"/>
    <n v="1.7120879999999998"/>
    <n v="36667842.423987553"/>
    <n v="26110730.576012447"/>
    <n v="8045597.2909204792"/>
    <n v="18065133.285091966"/>
    <n v="427272.61836385686"/>
    <n v="17637860.666728109"/>
    <m/>
    <m/>
    <m/>
  </r>
  <r>
    <x v="42"/>
    <x v="1"/>
    <x v="1"/>
    <x v="0"/>
    <n v="62778573"/>
    <n v="1.72"/>
    <n v="1.7120879999999998"/>
    <n v="36667842.423987553"/>
    <n v="26110730.576012447"/>
    <n v="7926041.8885133658"/>
    <n v="18184688.687499084"/>
    <n v="427272.61836385686"/>
    <n v="17757416.069135226"/>
    <m/>
    <m/>
    <m/>
  </r>
  <r>
    <x v="42"/>
    <x v="2"/>
    <x v="1"/>
    <x v="0"/>
    <n v="62778573"/>
    <n v="1.72"/>
    <n v="1.7120879999999998"/>
    <n v="36667842.423987553"/>
    <n v="26110730.576012447"/>
    <n v="5734393.0006893296"/>
    <n v="20376337.57532312"/>
    <n v="427272.61836385686"/>
    <n v="19949064.956959262"/>
    <m/>
    <m/>
    <m/>
  </r>
  <r>
    <x v="42"/>
    <x v="3"/>
    <x v="1"/>
    <x v="0"/>
    <n v="62778573"/>
    <n v="1.72"/>
    <n v="1.7120879999999998"/>
    <n v="36667842.423987553"/>
    <n v="26110730.576012447"/>
    <n v="5895388.1954416325"/>
    <n v="20215342.380570814"/>
    <n v="427272.61836385686"/>
    <n v="19788069.762206957"/>
    <m/>
    <m/>
    <m/>
  </r>
  <r>
    <x v="42"/>
    <x v="4"/>
    <x v="1"/>
    <x v="0"/>
    <n v="62778573"/>
    <n v="1.72"/>
    <n v="1.7120879999999998"/>
    <n v="36667842.423987553"/>
    <n v="26110730.576012447"/>
    <n v="4863282.9705337035"/>
    <n v="21247447.605478745"/>
    <n v="427272.61836385686"/>
    <n v="20820174.987114888"/>
    <m/>
    <m/>
    <m/>
  </r>
  <r>
    <x v="9"/>
    <x v="12"/>
    <x v="1"/>
    <x v="0"/>
    <n v="21063300"/>
    <n v="1.95"/>
    <n v="1.9410299999999998"/>
    <n v="10851609.712369207"/>
    <n v="10211690.287630793"/>
    <s v=""/>
    <s v=""/>
    <n v="143357.37358004975"/>
    <s v=""/>
    <m/>
    <m/>
    <m/>
  </r>
  <r>
    <x v="9"/>
    <x v="13"/>
    <x v="1"/>
    <x v="0"/>
    <n v="21063300"/>
    <n v="1.95"/>
    <n v="1.9410299999999998"/>
    <n v="10851609.712369207"/>
    <n v="10211690.287630793"/>
    <s v=""/>
    <s v=""/>
    <n v="143357.37358004975"/>
    <s v=""/>
    <m/>
    <m/>
    <m/>
  </r>
  <r>
    <x v="43"/>
    <x v="0"/>
    <x v="1"/>
    <x v="0"/>
    <n v="29813870"/>
    <n v="2.27"/>
    <n v="2.2595579999999997"/>
    <n v="13194558.404785363"/>
    <n v="16619311.595214637"/>
    <n v="2895128.1651354027"/>
    <n v="13724183.430079235"/>
    <n v="202913.98306329199"/>
    <n v="13521269.447015943"/>
    <m/>
    <m/>
    <m/>
  </r>
  <r>
    <x v="44"/>
    <x v="0"/>
    <x v="1"/>
    <x v="0"/>
    <n v="126579869.80723679"/>
    <n v="2.5499999999999998"/>
    <n v="2.5382699999999998"/>
    <n v="49868560.006318003"/>
    <n v="76711309.800918788"/>
    <n v="10942076.892597962"/>
    <n v="65769232.908320829"/>
    <n v="861505.92184843333"/>
    <n v="64907726.986472398"/>
    <m/>
    <m/>
    <m/>
  </r>
  <r>
    <x v="44"/>
    <x v="1"/>
    <x v="1"/>
    <x v="0"/>
    <n v="253159739.61447358"/>
    <n v="2.5499999999999998"/>
    <n v="2.5382699999999998"/>
    <n v="99737120.012636006"/>
    <n v="153422619.60183758"/>
    <n v="21558961.171456628"/>
    <n v="131863658.43038094"/>
    <n v="1723011.8436968667"/>
    <n v="130140646.58668408"/>
    <m/>
    <m/>
    <m/>
  </r>
  <r>
    <x v="44"/>
    <x v="2"/>
    <x v="1"/>
    <x v="0"/>
    <n v="253159739.61447358"/>
    <n v="2.5499999999999998"/>
    <n v="2.5382699999999998"/>
    <n v="99737120.012636006"/>
    <n v="153422619.60183758"/>
    <n v="15597641.014602548"/>
    <n v="137824978.58723503"/>
    <n v="1723011.8436968667"/>
    <n v="136101966.74353817"/>
    <m/>
    <m/>
    <m/>
  </r>
  <r>
    <x v="44"/>
    <x v="3"/>
    <x v="1"/>
    <x v="0"/>
    <n v="126579869.80723679"/>
    <n v="2.5499999999999998"/>
    <n v="2.5382699999999998"/>
    <n v="49868560.006318003"/>
    <n v="76711309.800918788"/>
    <n v="8017775.2643715153"/>
    <n v="68693534.536547273"/>
    <n v="861505.92184843333"/>
    <n v="67832028.614698842"/>
    <m/>
    <m/>
    <m/>
  </r>
  <r>
    <x v="45"/>
    <x v="0"/>
    <x v="1"/>
    <x v="0"/>
    <n v="9800000"/>
    <n v="1.85"/>
    <n v="1.8414900000000001"/>
    <n v="5321777.4736762075"/>
    <n v="4478222.5263237925"/>
    <n v="1167695.6045027827"/>
    <n v="3310526.9218210098"/>
    <n v="66699.057654046977"/>
    <n v="3243827.8641669629"/>
    <m/>
    <m/>
    <m/>
  </r>
  <r>
    <x v="45"/>
    <x v="1"/>
    <x v="1"/>
    <x v="0"/>
    <n v="9800000"/>
    <n v="1.85"/>
    <n v="1.8414900000000001"/>
    <n v="5321777.4736762075"/>
    <n v="4478222.5263237925"/>
    <n v="1150343.9632464035"/>
    <n v="3327878.5630773893"/>
    <n v="66699.057654046977"/>
    <n v="3261179.5054233423"/>
    <m/>
    <m/>
    <m/>
  </r>
  <r>
    <x v="45"/>
    <x v="2"/>
    <x v="1"/>
    <x v="0"/>
    <n v="9800000"/>
    <n v="1.85"/>
    <n v="1.8414900000000001"/>
    <n v="5321777.4736762075"/>
    <n v="4478222.5263237925"/>
    <n v="832259.58984461869"/>
    <n v="3645962.9364791736"/>
    <n v="66699.057654046977"/>
    <n v="3579263.8788251267"/>
    <m/>
    <m/>
    <m/>
  </r>
  <r>
    <x v="45"/>
    <x v="3"/>
    <x v="1"/>
    <x v="0"/>
    <n v="9800000"/>
    <n v="1.85"/>
    <n v="1.8414900000000001"/>
    <n v="5321777.4736762075"/>
    <n v="4478222.5263237925"/>
    <n v="855625.58424636256"/>
    <n v="3622596.94207743"/>
    <n v="66699.057654046977"/>
    <n v="3555897.884423383"/>
    <m/>
    <m/>
    <m/>
  </r>
  <r>
    <x v="45"/>
    <x v="4"/>
    <x v="1"/>
    <x v="0"/>
    <n v="9800000"/>
    <n v="1.85"/>
    <n v="1.8414900000000001"/>
    <n v="5321777.4736762075"/>
    <n v="4478222.5263237925"/>
    <n v="705831.26930228679"/>
    <n v="3772391.2570215059"/>
    <n v="66699.057654046977"/>
    <n v="3705692.1993674589"/>
    <m/>
    <m/>
    <m/>
  </r>
  <r>
    <x v="45"/>
    <x v="5"/>
    <x v="1"/>
    <x v="0"/>
    <n v="9800000"/>
    <n v="1.85"/>
    <n v="1.8414900000000001"/>
    <n v="5321777.4736762075"/>
    <n v="4478222.5263237925"/>
    <n v="949177.76249207114"/>
    <n v="3529044.7638317216"/>
    <n v="66699.057654046977"/>
    <n v="3462345.7061776747"/>
    <m/>
    <m/>
    <m/>
  </r>
  <r>
    <x v="45"/>
    <x v="6"/>
    <x v="1"/>
    <x v="0"/>
    <n v="9800000"/>
    <n v="1.85"/>
    <n v="1.8414900000000001"/>
    <n v="5321777.4736762075"/>
    <n v="4478222.5263237925"/>
    <n v="1415504.0744338138"/>
    <n v="3062718.4518899787"/>
    <n v="66699.057654046977"/>
    <n v="2996019.3942359318"/>
    <m/>
    <m/>
    <m/>
  </r>
  <r>
    <x v="45"/>
    <x v="7"/>
    <x v="1"/>
    <x v="0"/>
    <n v="9800000"/>
    <n v="1.85"/>
    <n v="1.8414900000000001"/>
    <n v="5321777.4736762075"/>
    <n v="4478222.5263237925"/>
    <n v="1392907.3293878252"/>
    <n v="3085315.1969359675"/>
    <n v="66699.057654046977"/>
    <n v="3018616.1392819206"/>
    <m/>
    <m/>
    <m/>
  </r>
  <r>
    <x v="45"/>
    <x v="8"/>
    <x v="1"/>
    <x v="0"/>
    <n v="9800000"/>
    <n v="1.85"/>
    <n v="1.8414900000000001"/>
    <n v="5321777.4736762075"/>
    <n v="4478222.5263237925"/>
    <n v="1574226.3202799216"/>
    <n v="2903996.2060438711"/>
    <n v="66699.057654046977"/>
    <n v="2837297.1483898242"/>
    <m/>
    <m/>
    <m/>
  </r>
  <r>
    <x v="17"/>
    <x v="11"/>
    <x v="1"/>
    <x v="0"/>
    <n v="6950000"/>
    <n v="1.83"/>
    <n v="1.821582"/>
    <n v="3815364.8861264549"/>
    <n v="3134635.1138735451"/>
    <n v="1374380.7350527563"/>
    <n v="1760254.3788207888"/>
    <n v="47301.88272404352"/>
    <n v="1712952.4960967454"/>
    <m/>
    <m/>
    <m/>
  </r>
  <r>
    <x v="46"/>
    <x v="0"/>
    <x v="1"/>
    <x v="0"/>
    <n v="11029019"/>
    <n v="5.27"/>
    <n v="5.2457579999999995"/>
    <n v="2102464.3149760244"/>
    <n v="8926554.6850239746"/>
    <n v="461319.23992784927"/>
    <n v="8465235.4450961258"/>
    <n v="75063.793280467304"/>
    <n v="8390171.6518156584"/>
    <m/>
    <m/>
    <m/>
  </r>
  <r>
    <x v="46"/>
    <x v="1"/>
    <x v="1"/>
    <x v="0"/>
    <n v="11029019"/>
    <n v="5.27"/>
    <n v="5.2457579999999995"/>
    <n v="2102464.3149760244"/>
    <n v="8926554.6850239746"/>
    <n v="454464.16063747031"/>
    <n v="8472090.5243865047"/>
    <n v="75063.793280467304"/>
    <n v="8397026.7311060373"/>
    <m/>
    <m/>
    <m/>
  </r>
  <r>
    <x v="46"/>
    <x v="2"/>
    <x v="1"/>
    <x v="0"/>
    <n v="11029019"/>
    <n v="5.27"/>
    <n v="5.2457579999999995"/>
    <n v="2102464.3149760244"/>
    <n v="8926554.6850239746"/>
    <n v="328799.18356228434"/>
    <n v="8597755.5014616903"/>
    <n v="75063.793280467304"/>
    <n v="8522691.7081812229"/>
    <m/>
    <m/>
    <m/>
  </r>
  <r>
    <x v="46"/>
    <x v="3"/>
    <x v="1"/>
    <x v="0"/>
    <n v="11029019"/>
    <n v="5.27"/>
    <n v="5.2457579999999995"/>
    <n v="2102464.3149760244"/>
    <n v="8926554.6850239746"/>
    <n v="338030.3416963091"/>
    <n v="8588524.3433276657"/>
    <n v="75063.793280467304"/>
    <n v="8513460.5500471983"/>
    <m/>
    <m/>
    <m/>
  </r>
  <r>
    <x v="46"/>
    <x v="4"/>
    <x v="1"/>
    <x v="0"/>
    <n v="11029019"/>
    <n v="5.27"/>
    <n v="5.2457579999999995"/>
    <n v="2102464.3149760244"/>
    <n v="8926554.6850239746"/>
    <n v="278851.39193487825"/>
    <n v="8647703.2930890955"/>
    <n v="75063.793280467304"/>
    <n v="8572639.4998086281"/>
    <m/>
    <m/>
    <m/>
  </r>
  <r>
    <x v="46"/>
    <x v="5"/>
    <x v="1"/>
    <x v="0"/>
    <n v="11029019"/>
    <n v="5.27"/>
    <n v="5.2457579999999995"/>
    <n v="2102464.3149760244"/>
    <n v="8926554.6850239746"/>
    <n v="374989.81948785379"/>
    <n v="8551564.8655361217"/>
    <n v="75063.793280467304"/>
    <n v="8476501.0722556543"/>
    <m/>
    <m/>
    <m/>
  </r>
  <r>
    <x v="46"/>
    <x v="6"/>
    <x v="1"/>
    <x v="0"/>
    <n v="11029019"/>
    <n v="5.27"/>
    <n v="5.2457579999999995"/>
    <n v="2102464.3149760244"/>
    <n v="8926554.6850239746"/>
    <n v="559220.45198640169"/>
    <n v="8367334.2330375733"/>
    <n v="75063.793280467304"/>
    <n v="8292270.4397571059"/>
    <m/>
    <m/>
    <m/>
  </r>
  <r>
    <x v="46"/>
    <x v="7"/>
    <x v="1"/>
    <x v="0"/>
    <n v="11029019"/>
    <n v="5.27"/>
    <n v="5.2457579999999995"/>
    <n v="2102464.3149760244"/>
    <n v="8926554.6850239746"/>
    <n v="550293.19970484707"/>
    <n v="8376261.4853191273"/>
    <n v="75063.793280467304"/>
    <n v="8301197.6920386599"/>
    <m/>
    <m/>
    <m/>
  </r>
  <r>
    <x v="46"/>
    <x v="8"/>
    <x v="1"/>
    <x v="0"/>
    <n v="11029019"/>
    <n v="5.27"/>
    <n v="5.2457579999999995"/>
    <n v="2102464.3149760244"/>
    <n v="8926554.6850239746"/>
    <n v="621926.54211041681"/>
    <n v="8304628.1429135576"/>
    <n v="75063.793280467304"/>
    <n v="8229564.3496330902"/>
    <m/>
    <m/>
    <m/>
  </r>
  <r>
    <x v="46"/>
    <x v="9"/>
    <x v="1"/>
    <x v="0"/>
    <n v="11029019"/>
    <n v="5.27"/>
    <n v="5.2457579999999995"/>
    <n v="2102464.3149760244"/>
    <n v="8926554.6850239746"/>
    <n v="672549.33565860451"/>
    <n v="8254005.3493653703"/>
    <n v="75063.793280467304"/>
    <n v="8178941.556084903"/>
    <m/>
    <m/>
    <m/>
  </r>
  <r>
    <x v="46"/>
    <x v="10"/>
    <x v="1"/>
    <x v="0"/>
    <n v="11029019"/>
    <n v="5.27"/>
    <n v="5.2457579999999995"/>
    <n v="2102464.3149760244"/>
    <n v="8926554.6850239746"/>
    <n v="899485.20499126543"/>
    <n v="8027069.4800327094"/>
    <n v="75063.793280467304"/>
    <n v="7952005.686752242"/>
    <m/>
    <m/>
    <m/>
  </r>
  <r>
    <x v="46"/>
    <x v="11"/>
    <x v="1"/>
    <x v="0"/>
    <n v="11029019"/>
    <n v="5.27"/>
    <n v="5.2457579999999995"/>
    <n v="2102464.3149760244"/>
    <n v="8926554.6850239746"/>
    <n v="757355.20373061567"/>
    <n v="8169199.4812933588"/>
    <n v="75063.793280467304"/>
    <n v="8094135.6880128914"/>
    <m/>
    <m/>
    <m/>
  </r>
  <r>
    <x v="46"/>
    <x v="12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3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4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5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6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7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8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19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0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1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2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3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4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6"/>
    <x v="25"/>
    <x v="1"/>
    <x v="0"/>
    <n v="11029019"/>
    <n v="5.27"/>
    <n v="5.2457579999999995"/>
    <n v="2102464.3149760244"/>
    <n v="8926554.6850239746"/>
    <s v=""/>
    <s v=""/>
    <n v="75063.793280467304"/>
    <s v=""/>
    <m/>
    <m/>
    <m/>
  </r>
  <r>
    <x v="47"/>
    <x v="0"/>
    <x v="1"/>
    <x v="0"/>
    <n v="10920000"/>
    <n v="5.0599999999999996"/>
    <n v="5.0367239999999995"/>
    <n v="2168075.9160120748"/>
    <n v="8751924.0839879252"/>
    <n v="475715.62882482097"/>
    <n v="8276208.4551631045"/>
    <n v="74321.80710022377"/>
    <n v="8201886.6480628811"/>
    <m/>
    <m/>
    <m/>
  </r>
  <r>
    <x v="47"/>
    <x v="1"/>
    <x v="1"/>
    <x v="0"/>
    <n v="10920000"/>
    <n v="5.0599999999999996"/>
    <n v="5.0367239999999995"/>
    <n v="2168075.9160120748"/>
    <n v="8751924.0839879252"/>
    <n v="468646.62308429158"/>
    <n v="8283277.4609036334"/>
    <n v="74321.80710022377"/>
    <n v="8208955.65380341"/>
    <m/>
    <m/>
    <m/>
  </r>
  <r>
    <x v="47"/>
    <x v="2"/>
    <x v="1"/>
    <x v="0"/>
    <n v="10920000"/>
    <n v="5.0599999999999996"/>
    <n v="5.0367239999999995"/>
    <n v="2168075.9160120748"/>
    <n v="8751924.0839879252"/>
    <n v="339060.01923935203"/>
    <n v="8412864.064748574"/>
    <n v="74321.80710022377"/>
    <n v="8338542.2576483507"/>
    <m/>
    <m/>
    <m/>
  </r>
  <r>
    <x v="47"/>
    <x v="3"/>
    <x v="1"/>
    <x v="0"/>
    <n v="10920000"/>
    <n v="5.0599999999999996"/>
    <n v="5.0367239999999995"/>
    <n v="2168075.9160120748"/>
    <n v="8751924.0839879252"/>
    <n v="348579.25411278976"/>
    <n v="8403344.8298751358"/>
    <n v="74321.80710022377"/>
    <n v="8329023.0227749124"/>
    <m/>
    <m/>
    <m/>
  </r>
  <r>
    <x v="47"/>
    <x v="4"/>
    <x v="1"/>
    <x v="0"/>
    <n v="10920000"/>
    <n v="5.0599999999999996"/>
    <n v="5.0367239999999995"/>
    <n v="2168075.9160120748"/>
    <n v="8751924.0839879252"/>
    <n v="287553.50694613217"/>
    <n v="8464370.5770417936"/>
    <n v="74321.80710022377"/>
    <n v="8390048.7699415702"/>
    <m/>
    <m/>
    <m/>
  </r>
  <r>
    <x v="47"/>
    <x v="5"/>
    <x v="1"/>
    <x v="0"/>
    <n v="10920000"/>
    <n v="5.0599999999999996"/>
    <n v="5.0367239999999995"/>
    <n v="2168075.9160120748"/>
    <n v="8751924.0839879252"/>
    <n v="386692.12627782574"/>
    <n v="8365231.9577100994"/>
    <n v="74321.80710022377"/>
    <n v="8290910.150609876"/>
    <m/>
    <m/>
    <m/>
  </r>
  <r>
    <x v="47"/>
    <x v="6"/>
    <x v="1"/>
    <x v="0"/>
    <n v="10920000"/>
    <n v="5.0599999999999996"/>
    <n v="5.0367239999999995"/>
    <n v="2168075.9160120748"/>
    <n v="8751924.0839879252"/>
    <n v="576672.0438757746"/>
    <n v="8175252.0401121508"/>
    <n v="74321.80710022377"/>
    <n v="8100930.2330119275"/>
    <m/>
    <m/>
    <m/>
  </r>
  <r>
    <x v="47"/>
    <x v="7"/>
    <x v="1"/>
    <x v="0"/>
    <n v="10920000"/>
    <n v="5.0599999999999996"/>
    <n v="5.0367239999999995"/>
    <n v="2168075.9160120748"/>
    <n v="8751924.0839879252"/>
    <n v="567466.19884433434"/>
    <n v="8184457.8851435911"/>
    <n v="74321.80710022377"/>
    <n v="8110136.0780433677"/>
    <m/>
    <m/>
    <m/>
  </r>
  <r>
    <x v="47"/>
    <x v="8"/>
    <x v="1"/>
    <x v="0"/>
    <n v="10920000"/>
    <n v="5.0599999999999996"/>
    <n v="5.0367239999999995"/>
    <n v="2168075.9160120748"/>
    <n v="8751924.0839879252"/>
    <n v="641335.00286954478"/>
    <n v="8110589.0811183807"/>
    <n v="74321.80710022377"/>
    <n v="8036267.2740181573"/>
    <m/>
    <m/>
    <m/>
  </r>
  <r>
    <x v="47"/>
    <x v="9"/>
    <x v="1"/>
    <x v="0"/>
    <n v="10920000"/>
    <n v="5.0599999999999996"/>
    <n v="5.0367239999999995"/>
    <n v="2168075.9160120748"/>
    <n v="8751924.0839879252"/>
    <n v="693537.58186757588"/>
    <n v="8058386.5021203496"/>
    <n v="74321.80710022377"/>
    <n v="7984064.6950201262"/>
    <m/>
    <m/>
    <m/>
  </r>
  <r>
    <x v="47"/>
    <x v="10"/>
    <x v="1"/>
    <x v="0"/>
    <n v="10920000"/>
    <n v="5.0599999999999996"/>
    <n v="5.0367239999999995"/>
    <n v="2168075.9160120748"/>
    <n v="8751924.0839879252"/>
    <n v="927555.43856780534"/>
    <n v="7824368.6454201201"/>
    <n v="74321.80710022377"/>
    <n v="7750046.8383198967"/>
    <m/>
    <m/>
    <m/>
  </r>
  <r>
    <x v="47"/>
    <x v="11"/>
    <x v="1"/>
    <x v="0"/>
    <n v="10920000"/>
    <n v="5.0599999999999996"/>
    <n v="5.0367239999999995"/>
    <n v="2168075.9160120748"/>
    <n v="8751924.0839879252"/>
    <n v="780989.98654989805"/>
    <n v="7970934.0974380272"/>
    <n v="74321.80710022377"/>
    <n v="7896612.2903378038"/>
    <m/>
    <m/>
    <m/>
  </r>
  <r>
    <x v="47"/>
    <x v="12"/>
    <x v="1"/>
    <x v="0"/>
    <n v="10920000"/>
    <n v="5.0599999999999996"/>
    <n v="5.0367239999999995"/>
    <n v="2168075.9160120748"/>
    <n v="8751924.0839879252"/>
    <s v=""/>
    <s v=""/>
    <n v="74321.80710022377"/>
    <s v=""/>
    <m/>
    <m/>
    <m/>
  </r>
  <r>
    <x v="48"/>
    <x v="0"/>
    <x v="1"/>
    <x v="0"/>
    <n v="60561853.894285716"/>
    <n v="2.06"/>
    <n v="2.0505239999999998"/>
    <n v="29534818.365591295"/>
    <n v="31027035.528694421"/>
    <n v="6480480.9588299869"/>
    <n v="24546554.569864433"/>
    <n v="412185.56985009514"/>
    <n v="24134369.000014339"/>
    <m/>
    <m/>
    <m/>
  </r>
  <r>
    <x v="48"/>
    <x v="1"/>
    <x v="1"/>
    <x v="0"/>
    <n v="60561853.894285716"/>
    <n v="2.06"/>
    <n v="2.0505239999999998"/>
    <n v="29534818.365591295"/>
    <n v="31027035.528694421"/>
    <n v="6384182.7623369945"/>
    <n v="24642852.766357426"/>
    <n v="412185.56985009514"/>
    <n v="24230667.196507331"/>
    <m/>
    <m/>
    <m/>
  </r>
  <r>
    <x v="48"/>
    <x v="2"/>
    <x v="1"/>
    <x v="0"/>
    <n v="60561853.894285716"/>
    <n v="2.06"/>
    <n v="2.0505239999999998"/>
    <n v="29534818.365591295"/>
    <n v="31027035.528694421"/>
    <n v="4618877.0463757049"/>
    <n v="26408158.482318714"/>
    <n v="412185.56985009514"/>
    <n v="25995972.91246862"/>
    <m/>
    <m/>
    <m/>
  </r>
  <r>
    <x v="48"/>
    <x v="3"/>
    <x v="1"/>
    <x v="0"/>
    <n v="60561853.894285716"/>
    <n v="2.06"/>
    <n v="2.0505239999999998"/>
    <n v="29534818.365591295"/>
    <n v="31027035.528694421"/>
    <n v="4748553.7200059919"/>
    <n v="26278481.808688428"/>
    <n v="412185.56985009514"/>
    <n v="25866296.238838334"/>
    <m/>
    <m/>
    <m/>
  </r>
  <r>
    <x v="48"/>
    <x v="4"/>
    <x v="1"/>
    <x v="0"/>
    <n v="60561853.894285716"/>
    <n v="2.06"/>
    <n v="2.0505239999999998"/>
    <n v="29534818.365591295"/>
    <n v="31027035.528694421"/>
    <n v="3917224.7315326519"/>
    <n v="27109810.797161769"/>
    <n v="412185.56985009514"/>
    <n v="26697625.227311675"/>
    <m/>
    <m/>
    <m/>
  </r>
  <r>
    <x v="48"/>
    <x v="5"/>
    <x v="1"/>
    <x v="0"/>
    <n v="60561853.894285716"/>
    <n v="2.06"/>
    <n v="2.0505239999999998"/>
    <n v="29534818.365591295"/>
    <n v="31027035.528694421"/>
    <n v="5267749.9107260359"/>
    <n v="25759285.617968384"/>
    <n v="412185.56985009514"/>
    <n v="25347100.04811829"/>
    <m/>
    <m/>
    <m/>
  </r>
  <r>
    <x v="48"/>
    <x v="6"/>
    <x v="1"/>
    <x v="0"/>
    <n v="60561853.894285716"/>
    <n v="2.06"/>
    <n v="2.0505239999999998"/>
    <n v="29534818.365591295"/>
    <n v="31027035.528694421"/>
    <n v="7855769.2314176504"/>
    <n v="23171266.297276773"/>
    <n v="412185.56985009514"/>
    <n v="22759080.727426678"/>
    <m/>
    <m/>
    <m/>
  </r>
  <r>
    <x v="48"/>
    <x v="7"/>
    <x v="1"/>
    <x v="0"/>
    <n v="60561853.894285716"/>
    <n v="2.06"/>
    <n v="2.0505239999999998"/>
    <n v="29534818.365591295"/>
    <n v="31027035.528694421"/>
    <n v="7730361.7404265217"/>
    <n v="23296673.788267899"/>
    <n v="412185.56985009514"/>
    <n v="22884488.218417805"/>
    <m/>
    <m/>
    <m/>
  </r>
  <r>
    <x v="48"/>
    <x v="8"/>
    <x v="1"/>
    <x v="0"/>
    <n v="60561853.894285716"/>
    <n v="2.06"/>
    <n v="2.0505239999999998"/>
    <n v="29534818.365591295"/>
    <n v="31027035.528694421"/>
    <n v="8736646.4805757664"/>
    <n v="22290389.048118655"/>
    <n v="412185.56985009514"/>
    <n v="21878203.47826856"/>
    <m/>
    <m/>
    <m/>
  </r>
  <r>
    <x v="48"/>
    <x v="9"/>
    <x v="1"/>
    <x v="0"/>
    <n v="60561853.894285716"/>
    <n v="2.06"/>
    <n v="2.0505239999999998"/>
    <n v="29534818.365591295"/>
    <n v="31027035.528694421"/>
    <n v="9447781.0296639875"/>
    <n v="21579254.499030434"/>
    <n v="412185.56985009514"/>
    <n v="21167068.929180339"/>
    <m/>
    <m/>
    <m/>
  </r>
  <r>
    <x v="48"/>
    <x v="10"/>
    <x v="1"/>
    <x v="0"/>
    <n v="60561853.894285716"/>
    <n v="2.06"/>
    <n v="2.0505239999999998"/>
    <n v="29534818.365591295"/>
    <n v="31027035.528694421"/>
    <n v="12635711.323479287"/>
    <n v="18391324.205215134"/>
    <n v="412185.56985009514"/>
    <n v="17979138.635365039"/>
    <m/>
    <m/>
    <m/>
  </r>
  <r>
    <x v="48"/>
    <x v="11"/>
    <x v="1"/>
    <x v="0"/>
    <n v="60561853.894285716"/>
    <n v="2.06"/>
    <n v="2.0505239999999998"/>
    <n v="29534818.365591295"/>
    <n v="31027035.528694421"/>
    <n v="10639109.649132952"/>
    <n v="20387925.879561469"/>
    <n v="412185.56985009514"/>
    <n v="19975740.309711374"/>
    <m/>
    <m/>
    <m/>
  </r>
  <r>
    <x v="49"/>
    <x v="0"/>
    <x v="1"/>
    <x v="0"/>
    <n v="15250000"/>
    <n v="2.0299999999999998"/>
    <n v="2.0206619999999997"/>
    <n v="7547031.6163712693"/>
    <n v="7702968.3836287307"/>
    <n v="1655957.1851832091"/>
    <n v="6047011.1984455213"/>
    <n v="103791.90094124657"/>
    <n v="5943219.2975042751"/>
    <m/>
    <m/>
    <m/>
  </r>
  <r>
    <x v="49"/>
    <x v="1"/>
    <x v="1"/>
    <x v="0"/>
    <n v="15250000"/>
    <n v="2.0299999999999998"/>
    <n v="2.0206619999999997"/>
    <n v="7547031.6163712693"/>
    <n v="7702968.3836287307"/>
    <n v="1631350.1087307313"/>
    <n v="6071618.2748979991"/>
    <n v="103791.90094124657"/>
    <n v="5967826.3739567529"/>
    <m/>
    <m/>
    <m/>
  </r>
  <r>
    <x v="49"/>
    <x v="2"/>
    <x v="1"/>
    <x v="0"/>
    <n v="15250000"/>
    <n v="2.0299999999999998"/>
    <n v="2.0206619999999997"/>
    <n v="7547031.6163712693"/>
    <n v="7702968.3836287307"/>
    <n v="1180261.5702468739"/>
    <n v="6522706.8133818563"/>
    <n v="103791.90094124657"/>
    <n v="6418914.9124406101"/>
    <m/>
    <m/>
    <m/>
  </r>
  <r>
    <x v="49"/>
    <x v="3"/>
    <x v="1"/>
    <x v="0"/>
    <n v="15250000"/>
    <n v="2.0299999999999998"/>
    <n v="2.0206619999999997"/>
    <n v="7547031.6163712693"/>
    <n v="7702968.3836287307"/>
    <n v="1213397.8483739072"/>
    <n v="6489570.535254823"/>
    <n v="103791.90094124657"/>
    <n v="6385778.6343135769"/>
    <m/>
    <m/>
    <m/>
  </r>
  <r>
    <x v="49"/>
    <x v="4"/>
    <x v="1"/>
    <x v="0"/>
    <n v="15250000"/>
    <n v="2.0299999999999998"/>
    <n v="2.0206619999999997"/>
    <n v="7547031.6163712693"/>
    <n v="7702968.3836287307"/>
    <n v="1000968.3666025319"/>
    <n v="6702000.017026199"/>
    <n v="103791.90094124657"/>
    <n v="6598208.1160849528"/>
    <m/>
    <m/>
    <m/>
  </r>
  <r>
    <x v="49"/>
    <x v="5"/>
    <x v="1"/>
    <x v="0"/>
    <n v="15250000"/>
    <n v="2.0299999999999998"/>
    <n v="2.0206619999999997"/>
    <n v="7547031.6163712693"/>
    <n v="7702968.3836287307"/>
    <n v="1346068.0418371146"/>
    <n v="6356900.3417916158"/>
    <n v="103791.90094124657"/>
    <n v="6253108.4408503696"/>
    <m/>
    <m/>
    <m/>
  </r>
  <r>
    <x v="49"/>
    <x v="6"/>
    <x v="1"/>
    <x v="0"/>
    <n v="15250000"/>
    <n v="2.0299999999999998"/>
    <n v="2.0206619999999997"/>
    <n v="7547031.6163712693"/>
    <n v="7702968.3836287307"/>
    <n v="2007384.5732363516"/>
    <n v="5695583.8103923788"/>
    <n v="103791.90094124657"/>
    <n v="5591791.9094511326"/>
    <m/>
    <m/>
    <m/>
  </r>
  <r>
    <x v="49"/>
    <x v="7"/>
    <x v="1"/>
    <x v="0"/>
    <n v="15250000"/>
    <n v="2.0299999999999998"/>
    <n v="2.0206619999999997"/>
    <n v="7547031.6163712693"/>
    <n v="7702968.3836287307"/>
    <n v="1975339.1992738529"/>
    <n v="5727629.184354878"/>
    <n v="103791.90094124657"/>
    <n v="5623837.2834136318"/>
    <m/>
    <m/>
    <m/>
  </r>
  <r>
    <x v="49"/>
    <x v="8"/>
    <x v="1"/>
    <x v="0"/>
    <n v="15250000"/>
    <n v="2.0299999999999998"/>
    <n v="2.0206619999999997"/>
    <n v="7547031.6163712693"/>
    <n v="7702968.3836287307"/>
    <n v="2232475.121187157"/>
    <n v="5470493.2624415737"/>
    <n v="103791.90094124657"/>
    <n v="5366701.3615003275"/>
    <m/>
    <m/>
    <m/>
  </r>
  <r>
    <x v="49"/>
    <x v="9"/>
    <x v="1"/>
    <x v="0"/>
    <n v="15250000"/>
    <n v="2.0299999999999998"/>
    <n v="2.0206619999999997"/>
    <n v="7547031.6163712693"/>
    <n v="7702968.3836287307"/>
    <n v="2414191.3199810302"/>
    <n v="5288777.0636477005"/>
    <n v="103791.90094124657"/>
    <n v="5184985.1627064543"/>
    <m/>
    <m/>
    <m/>
  </r>
  <r>
    <x v="49"/>
    <x v="10"/>
    <x v="1"/>
    <x v="0"/>
    <n v="15250000"/>
    <n v="2.0299999999999998"/>
    <n v="2.0206619999999997"/>
    <n v="7547031.6163712693"/>
    <n v="7702968.3836287307"/>
    <n v="3228803.0917683779"/>
    <n v="4474165.2918603532"/>
    <n v="103791.90094124657"/>
    <n v="4370373.390919107"/>
    <m/>
    <m/>
    <m/>
  </r>
  <r>
    <x v="49"/>
    <x v="11"/>
    <x v="1"/>
    <x v="0"/>
    <n v="15250000"/>
    <n v="2.0299999999999998"/>
    <n v="2.0206619999999997"/>
    <n v="7547031.6163712693"/>
    <n v="7702968.3836287307"/>
    <n v="2718611.5011152709"/>
    <n v="4984356.8825134598"/>
    <n v="103791.90094124657"/>
    <n v="4880564.9815722136"/>
    <m/>
    <m/>
    <m/>
  </r>
  <r>
    <x v="50"/>
    <x v="0"/>
    <x v="1"/>
    <x v="0"/>
    <n v="20341421"/>
    <n v="2.62"/>
    <n v="2.6079479999999999"/>
    <n v="7799780.1336529721"/>
    <n v="12541640.866347028"/>
    <n v="1711414.8464879699"/>
    <n v="10830226.019859059"/>
    <n v="138444.24612696347"/>
    <n v="10691781.773732096"/>
    <m/>
    <m/>
    <m/>
  </r>
  <r>
    <x v="50"/>
    <x v="1"/>
    <x v="1"/>
    <x v="0"/>
    <n v="20341421"/>
    <n v="2.62"/>
    <n v="2.6079479999999999"/>
    <n v="7799780.1336529721"/>
    <n v="12541640.866347028"/>
    <n v="1685983.6841691348"/>
    <n v="10855657.182177894"/>
    <n v="138444.24612696347"/>
    <n v="10717212.936050931"/>
    <m/>
    <m/>
    <m/>
  </r>
  <r>
    <x v="50"/>
    <x v="2"/>
    <x v="1"/>
    <x v="0"/>
    <n v="20341421"/>
    <n v="2.62"/>
    <n v="2.6079479999999999"/>
    <n v="7799780.1336529721"/>
    <n v="12541640.866347028"/>
    <n v="1219788.2844635427"/>
    <n v="11321852.581883484"/>
    <n v="138444.24612696347"/>
    <n v="11183408.335756522"/>
    <m/>
    <m/>
    <m/>
  </r>
  <r>
    <x v="51"/>
    <x v="0"/>
    <x v="1"/>
    <x v="0"/>
    <n v="118601976.15000001"/>
    <n v="0.73"/>
    <n v="0.7266419999999999"/>
    <n v="163219269.11739209"/>
    <n v="-44617292.967392087"/>
    <n v="35813301.864137962"/>
    <n v="-80430594.831530049"/>
    <n v="807208.16786864842"/>
    <n v="-81237802.999398693"/>
    <m/>
    <m/>
    <m/>
  </r>
  <r>
    <x v="51"/>
    <x v="1"/>
    <x v="1"/>
    <x v="0"/>
    <n v="197669960.25"/>
    <n v="0.73"/>
    <n v="0.7266419999999999"/>
    <n v="272032115.19565344"/>
    <n v="-74362154.945653439"/>
    <n v="58801876.454315983"/>
    <n v="-133164031.39996943"/>
    <n v="1345346.9464477473"/>
    <n v="-134509378.34641719"/>
    <m/>
    <m/>
    <m/>
  </r>
  <r>
    <x v="51"/>
    <x v="2"/>
    <x v="1"/>
    <x v="0"/>
    <n v="171313965.55000007"/>
    <n v="0.73"/>
    <n v="0.7266419999999999"/>
    <n v="235761166.50289977"/>
    <n v="-64447200.952899694"/>
    <n v="36870104.529088855"/>
    <n v="-101317305.48198855"/>
    <n v="1165967.3535880481"/>
    <n v="-102483272.83557659"/>
    <m/>
    <m/>
    <m/>
  </r>
  <r>
    <x v="51"/>
    <x v="3"/>
    <x v="1"/>
    <x v="0"/>
    <n v="210847957.5999999"/>
    <n v="0.73"/>
    <n v="0.7266419999999999"/>
    <n v="290167589.54203022"/>
    <n v="-79319631.942030311"/>
    <n v="46652610.816467233"/>
    <n v="-125972242.75849754"/>
    <n v="1435036.7428775965"/>
    <n v="-127407279.50137514"/>
    <m/>
    <m/>
    <m/>
  </r>
  <r>
    <x v="52"/>
    <x v="0"/>
    <x v="1"/>
    <x v="0"/>
    <n v="12773052.833333334"/>
    <n v="2.2999999999999998"/>
    <n v="2.2894199999999998"/>
    <n v="5579165.3926904351"/>
    <n v="7193887.4406428989"/>
    <n v="1224171.2356564121"/>
    <n v="5969716.2049864866"/>
    <n v="86933.733402927362"/>
    <n v="5882782.4715835592"/>
    <m/>
    <m/>
    <m/>
  </r>
  <r>
    <x v="52"/>
    <x v="1"/>
    <x v="1"/>
    <x v="0"/>
    <n v="12773052.833333334"/>
    <n v="2.2999999999999998"/>
    <n v="2.2894199999999998"/>
    <n v="5579165.3926904351"/>
    <n v="7193887.4406428989"/>
    <n v="1205980.3817767035"/>
    <n v="5987907.0588661954"/>
    <n v="86933.733402927362"/>
    <n v="5900973.325463268"/>
    <m/>
    <m/>
    <m/>
  </r>
  <r>
    <x v="53"/>
    <x v="0"/>
    <x v="1"/>
    <x v="0"/>
    <n v="50000000"/>
    <n v="2"/>
    <n v="1.9907999999999999"/>
    <n v="25115531.444645371"/>
    <n v="24884468.555354629"/>
    <n v="5510808.337576909"/>
    <n v="19373660.217777722"/>
    <n v="340301.31456146418"/>
    <n v="19033358.903216258"/>
    <m/>
    <m/>
    <m/>
  </r>
  <r>
    <x v="53"/>
    <x v="1"/>
    <x v="1"/>
    <x v="0"/>
    <n v="50000000"/>
    <n v="2"/>
    <n v="1.9907999999999999"/>
    <n v="25115531.444645371"/>
    <n v="24884468.555354629"/>
    <n v="5428919.2143006306"/>
    <n v="19455549.341054"/>
    <n v="340301.31456146418"/>
    <n v="19115248.026492536"/>
    <m/>
    <m/>
    <m/>
  </r>
  <r>
    <x v="53"/>
    <x v="2"/>
    <x v="1"/>
    <x v="0"/>
    <n v="50000000"/>
    <n v="2"/>
    <n v="1.9907999999999999"/>
    <n v="25115531.444645371"/>
    <n v="24884468.555354629"/>
    <n v="3927755.7173789409"/>
    <n v="20956712.837975688"/>
    <n v="340301.31456146418"/>
    <n v="20616411.523414224"/>
    <m/>
    <m/>
    <m/>
  </r>
  <r>
    <x v="53"/>
    <x v="3"/>
    <x v="1"/>
    <x v="0"/>
    <n v="50000000"/>
    <n v="2"/>
    <n v="1.9907999999999999"/>
    <n v="25115531.444645371"/>
    <n v="24884468.555354629"/>
    <n v="4038028.9052443136"/>
    <n v="20846439.650110316"/>
    <n v="340301.31456146418"/>
    <n v="20506138.335548852"/>
    <m/>
    <m/>
    <m/>
  </r>
  <r>
    <x v="53"/>
    <x v="4"/>
    <x v="1"/>
    <x v="0"/>
    <n v="50000000"/>
    <n v="2"/>
    <n v="1.9907999999999999"/>
    <n v="25115531.444645371"/>
    <n v="24884468.555354629"/>
    <n v="3331091.4495133436"/>
    <n v="21553377.105841286"/>
    <n v="340301.31456146418"/>
    <n v="21213075.791279823"/>
    <m/>
    <m/>
    <m/>
  </r>
  <r>
    <x v="54"/>
    <x v="0"/>
    <x v="1"/>
    <x v="0"/>
    <n v="48166666.666666664"/>
    <n v="2.44"/>
    <n v="2.428776"/>
    <n v="19831662.80738391"/>
    <n v="28335003.859282754"/>
    <n v="4351430.627212367"/>
    <n v="23983573.232070386"/>
    <n v="327823.59969421045"/>
    <n v="23655749.632376175"/>
    <m/>
    <m/>
    <m/>
  </r>
  <r>
    <x v="54"/>
    <x v="1"/>
    <x v="1"/>
    <x v="0"/>
    <n v="48166666.666666664"/>
    <n v="2.44"/>
    <n v="2.428776"/>
    <n v="19831662.80738391"/>
    <n v="28335003.859282754"/>
    <n v="4286769.5435324647"/>
    <n v="24048234.31575029"/>
    <n v="327823.59969421045"/>
    <n v="23720410.716056079"/>
    <m/>
    <m/>
    <m/>
  </r>
  <r>
    <x v="54"/>
    <x v="2"/>
    <x v="1"/>
    <x v="0"/>
    <n v="48166666.666666664"/>
    <n v="2.44"/>
    <n v="2.428776"/>
    <n v="19831662.80738391"/>
    <n v="28335003.859282754"/>
    <n v="3101424.5965096005"/>
    <n v="25233579.262773152"/>
    <n v="327823.59969421045"/>
    <n v="24905755.663078941"/>
    <m/>
    <m/>
    <m/>
  </r>
  <r>
    <x v="54"/>
    <x v="3"/>
    <x v="1"/>
    <x v="0"/>
    <n v="48166666.666666664"/>
    <n v="2.44"/>
    <n v="2.428776"/>
    <n v="19831662.80738391"/>
    <n v="28335003.859282754"/>
    <n v="3188498.2339224215"/>
    <n v="25146505.625360332"/>
    <n v="327823.59969421045"/>
    <n v="24818682.025666121"/>
    <m/>
    <m/>
    <m/>
  </r>
  <r>
    <x v="54"/>
    <x v="4"/>
    <x v="1"/>
    <x v="0"/>
    <n v="48166666.666666664"/>
    <n v="2.44"/>
    <n v="2.428776"/>
    <n v="19831662.80738391"/>
    <n v="28335003.859282754"/>
    <n v="2630288.0571293887"/>
    <n v="25704715.802153364"/>
    <n v="327823.59969421045"/>
    <n v="25376892.202459153"/>
    <m/>
    <m/>
    <m/>
  </r>
  <r>
    <x v="54"/>
    <x v="5"/>
    <x v="1"/>
    <x v="0"/>
    <n v="48166666.666666664"/>
    <n v="2.44"/>
    <n v="2.428776"/>
    <n v="19831662.80738391"/>
    <n v="28335003.859282754"/>
    <n v="3537121.4642326431"/>
    <n v="24797882.395050112"/>
    <n v="327823.59969421045"/>
    <n v="24470058.795355901"/>
    <m/>
    <m/>
    <m/>
  </r>
  <r>
    <x v="55"/>
    <x v="1"/>
    <x v="1"/>
    <x v="0"/>
    <n v="9800000"/>
    <n v="1"/>
    <n v="0.99539999999999995"/>
    <n v="9845288.3263009842"/>
    <n v="-45288.326300984249"/>
    <n v="2128136.3320058468"/>
    <n v="-2173424.658306831"/>
    <n v="66699.057654046977"/>
    <n v="-2240123.7159608779"/>
    <m/>
    <m/>
    <m/>
  </r>
  <r>
    <x v="55"/>
    <x v="2"/>
    <x v="1"/>
    <x v="0"/>
    <n v="9800000"/>
    <n v="1"/>
    <n v="0.99539999999999995"/>
    <n v="9845288.3263009842"/>
    <n v="-45288.326300984249"/>
    <n v="1539680.2412125445"/>
    <n v="-1584968.5675135287"/>
    <n v="66699.057654046977"/>
    <n v="-1651667.6251675757"/>
    <m/>
    <m/>
    <m/>
  </r>
  <r>
    <x v="55"/>
    <x v="3"/>
    <x v="1"/>
    <x v="0"/>
    <n v="9800000"/>
    <n v="1"/>
    <n v="0.99539999999999995"/>
    <n v="9845288.3263009842"/>
    <n v="-45288.326300984249"/>
    <n v="1582907.3308557707"/>
    <n v="-1628195.657156755"/>
    <n v="66699.057654046977"/>
    <n v="-1694894.7148108019"/>
    <m/>
    <m/>
    <m/>
  </r>
  <r>
    <x v="55"/>
    <x v="4"/>
    <x v="1"/>
    <x v="0"/>
    <n v="9800000"/>
    <n v="1"/>
    <n v="0.99539999999999995"/>
    <n v="9845288.3263009842"/>
    <n v="-45288.326300984249"/>
    <n v="1305787.8482092305"/>
    <n v="-1351076.1745102147"/>
    <n v="66699.057654046977"/>
    <n v="-1417775.2321642616"/>
    <m/>
    <m/>
    <m/>
  </r>
  <r>
    <x v="55"/>
    <x v="5"/>
    <x v="1"/>
    <x v="0"/>
    <n v="9800000"/>
    <n v="1"/>
    <n v="0.99539999999999995"/>
    <n v="9845288.3263009842"/>
    <n v="-45288.326300984249"/>
    <n v="1755978.8606103314"/>
    <n v="-1801267.1869113157"/>
    <n v="66699.057654046977"/>
    <n v="-1867966.2445653626"/>
    <m/>
    <m/>
    <m/>
  </r>
  <r>
    <x v="55"/>
    <x v="6"/>
    <x v="1"/>
    <x v="0"/>
    <n v="9800000"/>
    <n v="1"/>
    <n v="0.99539999999999995"/>
    <n v="9845288.3263009842"/>
    <n v="-45288.326300984249"/>
    <n v="2618682.5377025553"/>
    <n v="-2663970.8640035396"/>
    <n v="66699.057654046977"/>
    <n v="-2730669.9216575865"/>
    <m/>
    <m/>
    <m/>
  </r>
  <r>
    <x v="55"/>
    <x v="7"/>
    <x v="1"/>
    <x v="0"/>
    <n v="9800000"/>
    <n v="1"/>
    <n v="0.99539999999999995"/>
    <n v="9845288.3263009842"/>
    <n v="-45288.326300984249"/>
    <n v="2576878.559367477"/>
    <n v="-2622166.8856684612"/>
    <n v="66699.057654046977"/>
    <n v="-2688865.9433225081"/>
    <m/>
    <m/>
    <m/>
  </r>
  <r>
    <x v="55"/>
    <x v="8"/>
    <x v="1"/>
    <x v="0"/>
    <n v="9800000"/>
    <n v="1"/>
    <n v="0.99539999999999995"/>
    <n v="9845288.3263009842"/>
    <n v="-45288.326300984249"/>
    <n v="2912318.6925178552"/>
    <n v="-2957607.0188188395"/>
    <n v="66699.057654046977"/>
    <n v="-3024306.0764728864"/>
    <m/>
    <m/>
    <m/>
  </r>
  <r>
    <x v="55"/>
    <x v="9"/>
    <x v="1"/>
    <x v="0"/>
    <n v="9800000"/>
    <n v="1"/>
    <n v="0.99539999999999995"/>
    <n v="9845288.3263009842"/>
    <n v="-45288.326300984249"/>
    <n v="3149371.942275581"/>
    <n v="-3194660.2685765652"/>
    <n v="66699.057654046977"/>
    <n v="-3261359.3262306121"/>
    <m/>
    <m/>
    <m/>
  </r>
  <r>
    <x v="55"/>
    <x v="10"/>
    <x v="1"/>
    <x v="0"/>
    <n v="9800000"/>
    <n v="1"/>
    <n v="0.99539999999999995"/>
    <n v="9845288.3263009842"/>
    <n v="-45288.326300984249"/>
    <n v="4212053.0300091868"/>
    <n v="-4257341.3563101711"/>
    <n v="66699.057654046977"/>
    <n v="-4324040.4139642185"/>
    <m/>
    <m/>
    <m/>
  </r>
  <r>
    <x v="55"/>
    <x v="11"/>
    <x v="1"/>
    <x v="0"/>
    <n v="9800000"/>
    <n v="1"/>
    <n v="0.99539999999999995"/>
    <n v="9845288.3263009842"/>
    <n v="-45288.326300984249"/>
    <n v="3546495.5543073569"/>
    <n v="-3591783.8806083412"/>
    <n v="66699.057654046977"/>
    <n v="-3658482.9382623881"/>
    <m/>
    <m/>
    <m/>
  </r>
  <r>
    <x v="55"/>
    <x v="12"/>
    <x v="1"/>
    <x v="0"/>
    <n v="9800000"/>
    <n v="1"/>
    <n v="0.99539999999999995"/>
    <n v="9845288.3263009842"/>
    <n v="-45288.326300984249"/>
    <s v=""/>
    <s v=""/>
    <n v="66699.057654046977"/>
    <s v=""/>
    <m/>
    <m/>
    <m/>
  </r>
  <r>
    <x v="55"/>
    <x v="13"/>
    <x v="1"/>
    <x v="0"/>
    <n v="9800000"/>
    <n v="1"/>
    <n v="0.99539999999999995"/>
    <n v="9845288.3263009842"/>
    <n v="-45288.326300984249"/>
    <s v=""/>
    <s v=""/>
    <n v="66699.057654046977"/>
    <s v=""/>
    <m/>
    <m/>
    <m/>
  </r>
  <r>
    <x v="55"/>
    <x v="14"/>
    <x v="1"/>
    <x v="0"/>
    <n v="9800000"/>
    <n v="1"/>
    <n v="0.99539999999999995"/>
    <n v="9845288.3263009842"/>
    <n v="-45288.326300984249"/>
    <s v=""/>
    <s v=""/>
    <n v="66699.057654046977"/>
    <s v=""/>
    <m/>
    <m/>
    <m/>
  </r>
  <r>
    <x v="52"/>
    <x v="2"/>
    <x v="1"/>
    <x v="0"/>
    <n v="12773052.833333334"/>
    <n v="2.2999999999999998"/>
    <n v="2.2894199999999998"/>
    <n v="5579165.3926904351"/>
    <n v="7193887.4406428989"/>
    <n v="872511.84860014403"/>
    <n v="6321375.5920427553"/>
    <n v="86933.733402927362"/>
    <n v="6234441.8586398279"/>
    <m/>
    <m/>
    <m/>
  </r>
  <r>
    <x v="52"/>
    <x v="3"/>
    <x v="1"/>
    <x v="0"/>
    <n v="12773052.833333334"/>
    <n v="2.2999999999999998"/>
    <n v="2.2894199999999998"/>
    <n v="5579165.3926904351"/>
    <n v="7193887.4406428989"/>
    <n v="897007.93998630915"/>
    <n v="6296879.5006565899"/>
    <n v="86933.733402927362"/>
    <n v="6209945.7672536625"/>
    <m/>
    <m/>
    <m/>
  </r>
  <r>
    <x v="52"/>
    <x v="4"/>
    <x v="1"/>
    <x v="0"/>
    <n v="12773052.833333334"/>
    <n v="2.2999999999999998"/>
    <n v="2.2894199999999998"/>
    <n v="5579165.3926904351"/>
    <n v="7193887.4406428989"/>
    <n v="739968.81873563235"/>
    <n v="6453918.6219072668"/>
    <n v="86933.733402927362"/>
    <n v="6366984.8885043394"/>
    <m/>
    <m/>
    <m/>
  </r>
  <r>
    <x v="52"/>
    <x v="5"/>
    <x v="1"/>
    <x v="0"/>
    <n v="12773052.833333334"/>
    <n v="2.2999999999999998"/>
    <n v="2.2894199999999998"/>
    <n v="5579165.3926904351"/>
    <n v="7193887.4406428989"/>
    <n v="995084.77199610649"/>
    <n v="6198802.6686467919"/>
    <n v="86933.733402927362"/>
    <n v="6111868.9352438645"/>
    <m/>
    <m/>
    <m/>
  </r>
  <r>
    <x v="52"/>
    <x v="6"/>
    <x v="1"/>
    <x v="0"/>
    <n v="12773052.833333334"/>
    <n v="2.2999999999999998"/>
    <n v="2.2894199999999998"/>
    <n v="5579165.3926904351"/>
    <n v="7193887.4406428989"/>
    <n v="1483964.9692902465"/>
    <n v="5709922.4713526526"/>
    <n v="86933.733402927362"/>
    <n v="5622988.7379497252"/>
    <m/>
    <m/>
    <m/>
  </r>
  <r>
    <x v="52"/>
    <x v="7"/>
    <x v="1"/>
    <x v="0"/>
    <n v="12773052.833333334"/>
    <n v="2.2999999999999998"/>
    <n v="2.2894199999999998"/>
    <n v="5579165.3926904351"/>
    <n v="7193887.4406428989"/>
    <n v="1460275.3320268269"/>
    <n v="5733612.1086160718"/>
    <n v="86933.733402927362"/>
    <n v="5646678.3752131443"/>
    <m/>
    <m/>
    <m/>
  </r>
  <r>
    <x v="52"/>
    <x v="8"/>
    <x v="1"/>
    <x v="0"/>
    <n v="12773052.833333334"/>
    <n v="2.2999999999999998"/>
    <n v="2.2894199999999998"/>
    <n v="5579165.3926904351"/>
    <n v="7193887.4406428989"/>
    <n v="1650363.821075192"/>
    <n v="5543523.6195677072"/>
    <n v="86933.733402927362"/>
    <n v="5456589.8861647798"/>
    <m/>
    <m/>
    <m/>
  </r>
  <r>
    <x v="52"/>
    <x v="9"/>
    <x v="1"/>
    <x v="0"/>
    <n v="12773052.833333334"/>
    <n v="2.2999999999999998"/>
    <n v="2.2894199999999998"/>
    <n v="5579165.3926904351"/>
    <n v="7193887.4406428989"/>
    <n v="1784698.0572539316"/>
    <n v="5409189.3833889673"/>
    <n v="86933.733402927362"/>
    <n v="5322255.6499860398"/>
    <m/>
    <m/>
    <m/>
  </r>
  <r>
    <x v="52"/>
    <x v="10"/>
    <x v="1"/>
    <x v="0"/>
    <n v="12773052.833333334"/>
    <n v="2.2999999999999998"/>
    <n v="2.2894199999999998"/>
    <n v="5579165.3926904351"/>
    <n v="7193887.4406428989"/>
    <n v="2386902.2133588782"/>
    <n v="4806985.2272840207"/>
    <n v="86933.733402927362"/>
    <n v="4720051.4938810933"/>
    <m/>
    <m/>
    <m/>
  </r>
  <r>
    <x v="56"/>
    <x v="3"/>
    <x v="1"/>
    <x v="0"/>
    <n v="10000000"/>
    <n v="1"/>
    <n v="0.99539999999999995"/>
    <n v="10046212.577858148"/>
    <n v="-46212.577858148143"/>
    <n v="1615211.5620977255"/>
    <n v="-1661424.1399558736"/>
    <n v="68060.262912292834"/>
    <n v="-1729484.4028681663"/>
    <m/>
    <m/>
    <m/>
  </r>
  <r>
    <x v="56"/>
    <x v="4"/>
    <x v="1"/>
    <x v="0"/>
    <n v="10000000"/>
    <n v="1"/>
    <n v="0.99539999999999995"/>
    <n v="10046212.577858148"/>
    <n v="-46212.577858148143"/>
    <n v="1332436.5798053374"/>
    <n v="-1378649.1576634855"/>
    <n v="68060.262912292834"/>
    <n v="-1446709.4205757782"/>
    <m/>
    <m/>
    <m/>
  </r>
  <r>
    <x v="56"/>
    <x v="5"/>
    <x v="1"/>
    <x v="0"/>
    <n v="10000000"/>
    <n v="1"/>
    <n v="0.99539999999999995"/>
    <n v="10046212.577858148"/>
    <n v="-46212.577858148143"/>
    <n v="1791815.1638880933"/>
    <n v="-1838027.7417462415"/>
    <n v="68060.262912292834"/>
    <n v="-1906088.0046585342"/>
    <m/>
    <m/>
    <m/>
  </r>
  <r>
    <x v="6"/>
    <x v="2"/>
    <x v="1"/>
    <x v="0"/>
    <n v="43506691.09375"/>
    <n v="2"/>
    <n v="1.9907999999999999"/>
    <n v="21853873.364351016"/>
    <n v="21652817.729398984"/>
    <n v="3417673.0937543199"/>
    <n v="18235144.635644663"/>
    <n v="296107.6834284534"/>
    <n v="17939036.952216208"/>
    <m/>
    <m/>
    <m/>
  </r>
  <r>
    <x v="6"/>
    <x v="3"/>
    <x v="1"/>
    <x v="0"/>
    <n v="43506691.09375"/>
    <n v="2"/>
    <n v="1.9907999999999999"/>
    <n v="21853873.364351016"/>
    <n v="21652817.729398984"/>
    <n v="3513625.5241619558"/>
    <n v="18139192.205237027"/>
    <n v="296107.6834284534"/>
    <n v="17843084.521808572"/>
    <m/>
    <m/>
    <m/>
  </r>
  <r>
    <x v="23"/>
    <x v="6"/>
    <x v="1"/>
    <x v="0"/>
    <n v="125198487.89297774"/>
    <n v="1.82"/>
    <n v="1.811628"/>
    <n v="69108276.032926038"/>
    <n v="56090211.860051706"/>
    <n v="18381649.136135098"/>
    <n v="37708562.723916605"/>
    <n v="852104.20022175764"/>
    <n v="36856458.523694851"/>
    <m/>
    <m/>
    <m/>
  </r>
  <r>
    <x v="23"/>
    <x v="7"/>
    <x v="1"/>
    <x v="0"/>
    <n v="125198487.89297774"/>
    <n v="1.82"/>
    <n v="1.811628"/>
    <n v="69108276.032926038"/>
    <n v="56090211.860051706"/>
    <n v="18088209.190213218"/>
    <n v="38002002.669838488"/>
    <n v="852104.20022175764"/>
    <n v="37149898.469616733"/>
    <m/>
    <m/>
    <m/>
  </r>
  <r>
    <x v="23"/>
    <x v="8"/>
    <x v="1"/>
    <x v="0"/>
    <n v="125198487.89297774"/>
    <n v="1.82"/>
    <n v="1.811628"/>
    <n v="69108276.032926038"/>
    <n v="56090211.860051706"/>
    <n v="20442806.490563437"/>
    <n v="35647405.369488269"/>
    <n v="852104.20022175764"/>
    <n v="34795301.169266514"/>
    <m/>
    <m/>
    <m/>
  </r>
  <r>
    <x v="23"/>
    <x v="9"/>
    <x v="1"/>
    <x v="0"/>
    <n v="37851706.567977756"/>
    <n v="1.82"/>
    <n v="1.811628"/>
    <n v="20893752.231682088"/>
    <n v="16957954.336295668"/>
    <n v="6683623.157234665"/>
    <n v="10274331.179061003"/>
    <n v="257619.71006955276"/>
    <n v="10016711.468991451"/>
    <m/>
    <m/>
    <m/>
  </r>
  <r>
    <x v="32"/>
    <x v="2"/>
    <x v="1"/>
    <x v="0"/>
    <n v="13267655.116172869"/>
    <n v="1.97"/>
    <n v="1.9609379999999998"/>
    <n v="6765973.7922223294"/>
    <n v="6501681.3239505393"/>
    <n v="1058113.872868222"/>
    <n v="5443567.4510823172"/>
    <n v="90300.009543635257"/>
    <n v="5353267.4415386822"/>
    <m/>
    <m/>
    <m/>
  </r>
  <r>
    <x v="32"/>
    <x v="3"/>
    <x v="1"/>
    <x v="0"/>
    <n v="13267655.116172869"/>
    <n v="1.97"/>
    <n v="1.9609379999999998"/>
    <n v="6765973.7922223294"/>
    <n v="6501681.3239505393"/>
    <n v="1087820.8094196678"/>
    <n v="5413860.5145308711"/>
    <n v="90300.009543635257"/>
    <n v="5323560.5049872361"/>
    <m/>
    <m/>
    <m/>
  </r>
  <r>
    <x v="4"/>
    <x v="11"/>
    <x v="1"/>
    <x v="0"/>
    <n v="13258047.600000001"/>
    <n v="2.11"/>
    <n v="2.1002939999999999"/>
    <n v="6312472.2538844571"/>
    <n v="6945575.3461155444"/>
    <n v="2273895.293171261"/>
    <n v="4671680.0529442839"/>
    <n v="90234.620535969312"/>
    <n v="4581445.4324083142"/>
    <m/>
    <m/>
    <m/>
  </r>
  <r>
    <x v="33"/>
    <x v="3"/>
    <x v="1"/>
    <x v="0"/>
    <n v="55849596.75"/>
    <n v="1.93"/>
    <n v="1.9211219999999998"/>
    <n v="29071343.074515834"/>
    <n v="26778253.675484166"/>
    <n v="4674037.0160153136"/>
    <n v="22104216.659468852"/>
    <n v="380113.82383505354"/>
    <n v="21724102.835633799"/>
    <m/>
    <m/>
    <m/>
  </r>
  <r>
    <x v="6"/>
    <x v="4"/>
    <x v="1"/>
    <x v="0"/>
    <n v="15500000"/>
    <n v="2"/>
    <n v="1.9907999999999999"/>
    <n v="7785814.7478400646"/>
    <n v="7714185.2521599354"/>
    <n v="1032638.3493491366"/>
    <n v="6681546.902810799"/>
    <n v="105493.40751405389"/>
    <n v="6576053.4952967446"/>
    <m/>
    <m/>
    <m/>
  </r>
  <r>
    <x v="42"/>
    <x v="5"/>
    <x v="1"/>
    <x v="0"/>
    <n v="62778573"/>
    <n v="1.72"/>
    <n v="1.7120879999999998"/>
    <n v="36667842.423987553"/>
    <n v="26110730.576012447"/>
    <n v="6539976.6900381185"/>
    <n v="19570753.885974329"/>
    <n v="427272.61836385686"/>
    <n v="19143481.267610472"/>
    <m/>
    <m/>
    <m/>
  </r>
  <r>
    <x v="42"/>
    <x v="6"/>
    <x v="1"/>
    <x v="0"/>
    <n v="62778573"/>
    <n v="1.72"/>
    <n v="1.7120879999999998"/>
    <n v="36667842.423987553"/>
    <n v="26110730.576012447"/>
    <n v="9753034.6972582545"/>
    <n v="16357695.878754193"/>
    <n v="427272.61836385686"/>
    <n v="15930423.260390336"/>
    <m/>
    <m/>
    <m/>
  </r>
  <r>
    <x v="42"/>
    <x v="7"/>
    <x v="1"/>
    <x v="0"/>
    <n v="62778573"/>
    <n v="1.72"/>
    <n v="1.7120879999999998"/>
    <n v="36667842.423987553"/>
    <n v="26110730.576012447"/>
    <n v="9597339.7455734443"/>
    <n v="16513390.830439003"/>
    <n v="427272.61836385686"/>
    <n v="16086118.212075146"/>
    <m/>
    <m/>
    <m/>
  </r>
  <r>
    <x v="42"/>
    <x v="8"/>
    <x v="1"/>
    <x v="0"/>
    <n v="62778573"/>
    <n v="1.72"/>
    <n v="1.7120879999999998"/>
    <n v="36667842.423987553"/>
    <n v="26110730.576012447"/>
    <n v="10846654.70084817"/>
    <n v="15264075.875164278"/>
    <n v="427272.61836385686"/>
    <n v="14836803.256800421"/>
    <m/>
    <m/>
    <m/>
  </r>
  <r>
    <x v="43"/>
    <x v="1"/>
    <x v="1"/>
    <x v="0"/>
    <n v="29813870"/>
    <n v="2.27"/>
    <n v="2.2595579999999997"/>
    <n v="13194558.404785363"/>
    <n v="16619311.595214637"/>
    <n v="2852107.3426548219"/>
    <n v="13767204.252559815"/>
    <n v="202913.98306329199"/>
    <n v="13564290.269496523"/>
    <m/>
    <m/>
    <m/>
  </r>
  <r>
    <x v="43"/>
    <x v="2"/>
    <x v="1"/>
    <x v="0"/>
    <n v="29813870"/>
    <n v="2.27"/>
    <n v="2.2595579999999997"/>
    <n v="13194558.404785363"/>
    <n v="16619311.595214637"/>
    <n v="2063464.288100308"/>
    <n v="14555847.307114329"/>
    <n v="202913.98306329199"/>
    <n v="14352933.324051037"/>
    <m/>
    <m/>
    <m/>
  </r>
  <r>
    <x v="44"/>
    <x v="4"/>
    <x v="1"/>
    <x v="0"/>
    <n v="126579869.80723679"/>
    <n v="2.5499999999999998"/>
    <n v="2.5382699999999998"/>
    <n v="49868560.006318003"/>
    <n v="76711309.800918788"/>
    <n v="6614103.8744376274"/>
    <n v="70097205.926481158"/>
    <n v="861505.92184843333"/>
    <n v="69235700.004632726"/>
    <m/>
    <m/>
    <m/>
  </r>
  <r>
    <x v="57"/>
    <x v="5"/>
    <x v="1"/>
    <x v="0"/>
    <n v="161433687"/>
    <n v="0.75"/>
    <n v="0.74654999999999994"/>
    <n v="216239618.24392205"/>
    <n v="-54805931.243922055"/>
    <n v="38567910.443861894"/>
    <n v="-93373841.687783957"/>
    <n v="1098721.9180120791"/>
    <n v="-94472563.605796039"/>
    <m/>
    <m/>
    <m/>
  </r>
  <r>
    <x v="57"/>
    <x v="3"/>
    <x v="1"/>
    <x v="0"/>
    <n v="113931505"/>
    <n v="0.75"/>
    <n v="0.74654999999999994"/>
    <n v="152610682.47270781"/>
    <n v="-38679177.472707808"/>
    <n v="24536464.55509264"/>
    <n v="-63215642.027800448"/>
    <n v="775420.81842932058"/>
    <n v="-63991062.846229769"/>
    <m/>
    <m/>
    <m/>
  </r>
  <r>
    <x v="57"/>
    <x v="4"/>
    <x v="1"/>
    <x v="0"/>
    <n v="886635143.78999996"/>
    <n v="0.75"/>
    <n v="0.74654999999999994"/>
    <n v="1187643351.135222"/>
    <n v="-301008207.345222"/>
    <n v="157518013.13690147"/>
    <n v="-458526220.48212349"/>
    <n v="6034462.0993625959"/>
    <n v="-464560682.58148611"/>
    <m/>
    <m/>
    <m/>
  </r>
  <r>
    <x v="58"/>
    <x v="0"/>
    <x v="1"/>
    <x v="0"/>
    <n v="57276497"/>
    <n v="2.36"/>
    <n v="2.3491439999999999"/>
    <n v="24381858.668519258"/>
    <n v="32894638.331480742"/>
    <n v="5349827.0714372685"/>
    <n v="27544811.260043472"/>
    <n v="389825.34445151518"/>
    <n v="27154985.915591955"/>
    <m/>
    <m/>
    <m/>
  </r>
  <r>
    <x v="58"/>
    <x v="1"/>
    <x v="1"/>
    <x v="0"/>
    <n v="57276497"/>
    <n v="2.36"/>
    <n v="2.3491439999999999"/>
    <n v="24381858.668519258"/>
    <n v="32894638.331480742"/>
    <n v="5270330.08629038"/>
    <n v="27624308.24519036"/>
    <n v="389825.34445151518"/>
    <n v="27234482.900738843"/>
    <m/>
    <m/>
    <m/>
  </r>
  <r>
    <x v="58"/>
    <x v="2"/>
    <x v="1"/>
    <x v="0"/>
    <n v="57276497"/>
    <n v="2.36"/>
    <n v="2.3491439999999999"/>
    <n v="24381858.668519258"/>
    <n v="32894638.331480742"/>
    <n v="3813018.4502235213"/>
    <n v="29081619.881257221"/>
    <n v="389825.34445151518"/>
    <n v="28691794.536805704"/>
    <m/>
    <m/>
    <m/>
  </r>
  <r>
    <x v="58"/>
    <x v="3"/>
    <x v="1"/>
    <x v="0"/>
    <n v="57276497"/>
    <n v="2.36"/>
    <n v="2.3491439999999999"/>
    <n v="24381858.668519258"/>
    <n v="32894638.331480742"/>
    <n v="3920070.3470701561"/>
    <n v="28974567.984410584"/>
    <n v="389825.34445151518"/>
    <n v="28584742.639959067"/>
    <m/>
    <m/>
    <m/>
  </r>
  <r>
    <x v="58"/>
    <x v="4"/>
    <x v="1"/>
    <x v="0"/>
    <n v="57276497"/>
    <n v="2.36"/>
    <n v="2.3491439999999999"/>
    <n v="24381858.668519258"/>
    <n v="32894638.331480742"/>
    <n v="3233783.8883860451"/>
    <n v="29660854.443094697"/>
    <n v="389825.34445151518"/>
    <n v="29271029.09864318"/>
    <m/>
    <m/>
    <m/>
  </r>
  <r>
    <x v="58"/>
    <x v="5"/>
    <x v="1"/>
    <x v="0"/>
    <n v="57276497"/>
    <n v="2.36"/>
    <n v="2.3491439999999999"/>
    <n v="24381858.668519258"/>
    <n v="32894638.331480742"/>
    <n v="4348682.0279233437"/>
    <n v="28545956.303557396"/>
    <n v="389825.34445151518"/>
    <n v="28156130.959105879"/>
    <m/>
    <m/>
    <m/>
  </r>
  <r>
    <x v="58"/>
    <x v="6"/>
    <x v="1"/>
    <x v="0"/>
    <n v="57276497"/>
    <n v="2.36"/>
    <n v="2.3491439999999999"/>
    <n v="24381858.668519258"/>
    <n v="32894638.331480742"/>
    <n v="6485167.8707485646"/>
    <n v="26409470.460732177"/>
    <n v="389825.34445151518"/>
    <n v="26019645.11628066"/>
    <m/>
    <m/>
    <m/>
  </r>
  <r>
    <x v="58"/>
    <x v="7"/>
    <x v="1"/>
    <x v="0"/>
    <n v="57276497"/>
    <n v="2.36"/>
    <n v="2.3491439999999999"/>
    <n v="24381858.668519258"/>
    <n v="32894638.331480742"/>
    <n v="6381640.3093642183"/>
    <n v="26512998.022116523"/>
    <n v="389825.34445151518"/>
    <n v="26123172.677665006"/>
    <m/>
    <m/>
    <m/>
  </r>
  <r>
    <x v="58"/>
    <x v="8"/>
    <x v="1"/>
    <x v="0"/>
    <n v="57276497"/>
    <n v="2.36"/>
    <n v="2.3491439999999999"/>
    <n v="24381858.668519258"/>
    <n v="32894638.331480742"/>
    <n v="7212357.8716293182"/>
    <n v="25682280.459851421"/>
    <n v="389825.34445151518"/>
    <n v="25292455.115399905"/>
    <m/>
    <m/>
    <m/>
  </r>
  <r>
    <x v="58"/>
    <x v="9"/>
    <x v="1"/>
    <x v="0"/>
    <n v="57276497"/>
    <n v="2.36"/>
    <n v="2.3491439999999999"/>
    <n v="24381858.668519258"/>
    <n v="32894638.331480742"/>
    <n v="7799420.2959024347"/>
    <n v="25095218.035578307"/>
    <n v="389825.34445151518"/>
    <n v="24705392.69112679"/>
    <m/>
    <m/>
    <m/>
  </r>
  <r>
    <x v="58"/>
    <x v="10"/>
    <x v="1"/>
    <x v="0"/>
    <n v="57276497"/>
    <n v="2.36"/>
    <n v="2.3491439999999999"/>
    <n v="24381858.668519258"/>
    <n v="32894638.331480742"/>
    <n v="10431150.23941379"/>
    <n v="22463488.092066951"/>
    <n v="389825.34445151518"/>
    <n v="22073662.747615434"/>
    <m/>
    <m/>
    <m/>
  </r>
  <r>
    <x v="58"/>
    <x v="11"/>
    <x v="1"/>
    <x v="0"/>
    <n v="57276497"/>
    <n v="2.36"/>
    <n v="2.3491439999999999"/>
    <n v="24381858.668519258"/>
    <n v="32894638.331480742"/>
    <n v="8782897.0069525559"/>
    <n v="24111741.324528188"/>
    <n v="389825.34445151518"/>
    <n v="23721915.980076671"/>
    <m/>
    <m/>
    <m/>
  </r>
  <r>
    <x v="34"/>
    <x v="2"/>
    <x v="1"/>
    <x v="0"/>
    <n v="24433339.875"/>
    <n v="1.98"/>
    <n v="1.9708919999999999"/>
    <n v="12397097.291480204"/>
    <n v="12036242.583519796"/>
    <n v="1938751.3209837195"/>
    <n v="10097491.262536077"/>
    <n v="166293.95357179083"/>
    <n v="9931197.308964286"/>
    <m/>
    <m/>
    <m/>
  </r>
  <r>
    <x v="34"/>
    <x v="3"/>
    <x v="1"/>
    <x v="0"/>
    <n v="23469243"/>
    <n v="1.98"/>
    <n v="1.9708919999999999"/>
    <n v="11907929.506030772"/>
    <n v="11561313.493969228"/>
    <n v="1914534.9821859144"/>
    <n v="9646778.511783313"/>
    <n v="159732.28489324881"/>
    <n v="9487046.2268900648"/>
    <m/>
    <m/>
    <m/>
  </r>
  <r>
    <x v="34"/>
    <x v="4"/>
    <x v="1"/>
    <x v="0"/>
    <n v="23469243"/>
    <n v="1.98"/>
    <n v="1.9708919999999999"/>
    <n v="11907929.506030772"/>
    <n v="11561313.493969228"/>
    <n v="1579357.468360624"/>
    <n v="9981956.0256086048"/>
    <n v="159732.28489324881"/>
    <n v="9822223.7407153565"/>
    <m/>
    <m/>
    <m/>
  </r>
  <r>
    <x v="34"/>
    <x v="5"/>
    <x v="1"/>
    <x v="0"/>
    <n v="23469243"/>
    <n v="1.98"/>
    <n v="1.9708919999999999"/>
    <n v="11907929.506030772"/>
    <n v="11561313.493969228"/>
    <n v="2123865.9339583074"/>
    <n v="9437447.5600109212"/>
    <n v="159732.28489324881"/>
    <n v="9277715.275117673"/>
    <m/>
    <m/>
    <m/>
  </r>
  <r>
    <x v="59"/>
    <x v="5"/>
    <x v="1"/>
    <x v="0"/>
    <n v="283865048.44304019"/>
    <n v="0.65"/>
    <n v="0.64700999999999997"/>
    <n v="438733633.85888964"/>
    <n v="-154868585.41584945"/>
    <n v="78251338.19970271"/>
    <n v="-233119923.61555216"/>
    <n v="1931992.9828644057"/>
    <n v="-235051916.59841657"/>
    <m/>
    <m/>
    <m/>
  </r>
  <r>
    <x v="59"/>
    <x v="6"/>
    <x v="1"/>
    <x v="0"/>
    <n v="142959743.37775993"/>
    <n v="0.65"/>
    <n v="0.64700999999999997"/>
    <n v="220954457.23831153"/>
    <n v="-77994713.860551596"/>
    <n v="58770201.503575906"/>
    <n v="-136764915.36412752"/>
    <n v="972987.77201642562"/>
    <n v="-137737903.13614395"/>
    <m/>
    <m/>
    <m/>
  </r>
  <r>
    <x v="59"/>
    <x v="7"/>
    <x v="1"/>
    <x v="0"/>
    <n v="194610256.35320002"/>
    <n v="0.65"/>
    <n v="0.64700999999999997"/>
    <n v="300784000.79318714"/>
    <n v="-106173744.43998712"/>
    <n v="78726373.160057992"/>
    <n v="-184900117.60004511"/>
    <n v="1324522.5212827499"/>
    <n v="-186224640.12132788"/>
    <m/>
    <m/>
    <m/>
  </r>
  <r>
    <x v="59"/>
    <x v="8"/>
    <x v="1"/>
    <x v="0"/>
    <n v="184627166.86367989"/>
    <n v="0.65"/>
    <n v="0.64700999999999997"/>
    <n v="285354425.53234088"/>
    <n v="-100727258.668661"/>
    <n v="84410227.504506767"/>
    <n v="-185137486.17316777"/>
    <n v="1256577.3517493813"/>
    <n v="-186394063.52491716"/>
    <m/>
    <m/>
    <m/>
  </r>
  <r>
    <x v="59"/>
    <x v="9"/>
    <x v="1"/>
    <x v="0"/>
    <n v="192950650.32607999"/>
    <n v="0.65"/>
    <n v="0.64700999999999997"/>
    <n v="298218961.57104218"/>
    <n v="-105268311.24496219"/>
    <n v="95396132.55585292"/>
    <n v="-200664443.80081511"/>
    <n v="1313227.1990290885"/>
    <n v="-201977670.99984419"/>
    <m/>
    <m/>
    <m/>
  </r>
  <r>
    <x v="59"/>
    <x v="10"/>
    <x v="1"/>
    <x v="0"/>
    <n v="167475190.21959996"/>
    <n v="0.65"/>
    <n v="0.64700999999999997"/>
    <n v="258844824.99435863"/>
    <n v="-91369634.774758667"/>
    <n v="110740091.43105668"/>
    <n v="-202109726.20581535"/>
    <n v="1139840.5477632226"/>
    <n v="-203249566.75357857"/>
    <m/>
    <m/>
    <m/>
  </r>
  <r>
    <x v="59"/>
    <x v="11"/>
    <x v="1"/>
    <x v="0"/>
    <n v="205289550.99032"/>
    <n v="0.65"/>
    <n v="0.64700999999999997"/>
    <n v="317289610.65566218"/>
    <n v="-112000059.66534218"/>
    <n v="114294894.80893616"/>
    <n v="-226294954.47427833"/>
    <n v="1397206.0813547724"/>
    <n v="-227692160.5556331"/>
    <m/>
    <m/>
    <m/>
  </r>
  <r>
    <x v="59"/>
    <x v="0"/>
    <x v="1"/>
    <x v="0"/>
    <n v="13105734.300000001"/>
    <n v="0.65"/>
    <n v="0.64700999999999997"/>
    <n v="20255845.041034918"/>
    <n v="-7150110.7410349175"/>
    <n v="4444503.9908004729"/>
    <n v="-11594614.731835391"/>
    <n v="89197.972211665416"/>
    <n v="-11683812.704047056"/>
    <m/>
    <m/>
    <m/>
  </r>
  <r>
    <x v="59"/>
    <x v="1"/>
    <x v="1"/>
    <x v="0"/>
    <n v="39691874.539999999"/>
    <n v="0.65"/>
    <n v="0.64700999999999997"/>
    <n v="61346616.806540862"/>
    <n v="-21654742.266540863"/>
    <n v="13260552.636419445"/>
    <n v="-34915294.902960308"/>
    <n v="270143.94166741421"/>
    <n v="-35185438.844627723"/>
    <m/>
    <m/>
    <m/>
  </r>
  <r>
    <x v="59"/>
    <x v="2"/>
    <x v="1"/>
    <x v="0"/>
    <n v="466647576.91000003"/>
    <n v="0.65"/>
    <n v="0.64700999999999997"/>
    <n v="721237039.47388768"/>
    <n v="-254589462.56388766"/>
    <n v="112792473.12057118"/>
    <n v="-367381935.68445885"/>
    <n v="3176015.6771878991"/>
    <n v="-370557951.36164677"/>
    <m/>
    <m/>
    <m/>
  </r>
  <r>
    <x v="59"/>
    <x v="3"/>
    <x v="1"/>
    <x v="0"/>
    <n v="277757983.00000006"/>
    <n v="0.65"/>
    <n v="0.64700999999999997"/>
    <n v="429294729.60232466"/>
    <n v="-151536746.6023246"/>
    <n v="69021216.247160539"/>
    <n v="-220557962.84948516"/>
    <n v="1890428.1348968167"/>
    <n v="-222448390.98438197"/>
    <m/>
    <m/>
    <m/>
  </r>
  <r>
    <x v="59"/>
    <x v="4"/>
    <x v="1"/>
    <x v="0"/>
    <n v="193325410.73000008"/>
    <n v="0.65"/>
    <n v="0.64700999999999997"/>
    <n v="298798180.44543374"/>
    <n v="-105472769.71543366"/>
    <n v="39629822.93269898"/>
    <n v="-145102592.64813262"/>
    <n v="1315777.8281910804"/>
    <n v="-146418370.47632369"/>
    <m/>
    <m/>
    <m/>
  </r>
  <r>
    <x v="60"/>
    <x v="0"/>
    <x v="2"/>
    <x v="1"/>
    <n v="0"/>
    <n v="1.5"/>
    <n v="1.4930999999999999"/>
    <n v="0"/>
    <n v="0"/>
    <m/>
    <n v="0"/>
    <n v="0"/>
    <n v="0"/>
    <m/>
    <m/>
    <m/>
  </r>
  <r>
    <x v="60"/>
    <x v="1"/>
    <x v="2"/>
    <x v="1"/>
    <n v="65380491.681576155"/>
    <n v="1.5"/>
    <n v="1.4930999999999999"/>
    <n v="43788421.191866696"/>
    <n v="21592070.489709459"/>
    <m/>
    <n v="21592070.489709459"/>
    <n v="444981.34531830478"/>
    <n v="21147089.144391153"/>
    <m/>
    <m/>
    <m/>
  </r>
  <r>
    <x v="60"/>
    <x v="2"/>
    <x v="2"/>
    <x v="1"/>
    <n v="237933985.8693701"/>
    <n v="1.5"/>
    <n v="1.4930999999999999"/>
    <n v="159355693.43605259"/>
    <n v="78578292.433317512"/>
    <m/>
    <n v="78578292.433317512"/>
    <n v="1619384.9634039097"/>
    <n v="76958907.469913602"/>
    <m/>
    <m/>
    <m/>
  </r>
  <r>
    <x v="60"/>
    <x v="3"/>
    <x v="2"/>
    <x v="1"/>
    <n v="450459612.7334311"/>
    <n v="1.5"/>
    <n v="1.4930999999999999"/>
    <n v="301694201.81731373"/>
    <n v="148765410.91611737"/>
    <m/>
    <n v="148765410.91611737"/>
    <n v="3065839.9674006933"/>
    <n v="145699570.94871667"/>
    <m/>
    <m/>
    <m/>
  </r>
  <r>
    <x v="60"/>
    <x v="4"/>
    <x v="2"/>
    <x v="1"/>
    <n v="668572032.50786221"/>
    <n v="1.5"/>
    <n v="1.4930999999999999"/>
    <n v="447774450.81231147"/>
    <n v="220797581.69555074"/>
    <m/>
    <n v="220797581.69555074"/>
    <n v="4550318.8308291091"/>
    <n v="216247262.86472163"/>
    <m/>
    <m/>
    <m/>
  </r>
  <r>
    <x v="60"/>
    <x v="5"/>
    <x v="2"/>
    <x v="1"/>
    <n v="866343539.12683725"/>
    <n v="1.5"/>
    <n v="1.4930999999999999"/>
    <n v="580231423.96814501"/>
    <n v="286112115.15869224"/>
    <m/>
    <n v="286112115.15869224"/>
    <n v="5896356.9045338798"/>
    <n v="280215758.25415838"/>
    <m/>
    <m/>
    <m/>
  </r>
  <r>
    <x v="60"/>
    <x v="6"/>
    <x v="2"/>
    <x v="1"/>
    <n v="1060833240.3960474"/>
    <n v="1.5"/>
    <n v="1.4930999999999999"/>
    <n v="710490416.17845249"/>
    <n v="350342824.21759486"/>
    <m/>
    <n v="350342824.21759486"/>
    <n v="7220058.9247454535"/>
    <n v="343122765.29284942"/>
    <m/>
    <m/>
    <m/>
  </r>
  <r>
    <x v="60"/>
    <x v="7"/>
    <x v="2"/>
    <x v="1"/>
    <n v="1239967103.8884077"/>
    <n v="1.5"/>
    <n v="1.4930999999999999"/>
    <n v="830464874.34760416"/>
    <n v="409502229.54080355"/>
    <m/>
    <n v="409502229.54080355"/>
    <n v="8439248.7093239352"/>
    <n v="401062980.83147961"/>
    <m/>
    <m/>
    <m/>
  </r>
  <r>
    <x v="60"/>
    <x v="8"/>
    <x v="2"/>
    <x v="1"/>
    <n v="1421490223.25789"/>
    <n v="1.5"/>
    <n v="1.4930999999999999"/>
    <n v="952039530.67972016"/>
    <n v="469450692.57816982"/>
    <m/>
    <n v="469450692.57816982"/>
    <n v="9674699.8322185837"/>
    <n v="459775992.74595124"/>
    <m/>
    <m/>
    <m/>
  </r>
  <r>
    <x v="60"/>
    <x v="9"/>
    <x v="2"/>
    <x v="1"/>
    <n v="1570359940.4896142"/>
    <n v="1.5"/>
    <n v="1.4930999999999999"/>
    <n v="1051744652.3940891"/>
    <n v="518615288.09552515"/>
    <m/>
    <n v="518615288.09552515"/>
    <n v="10687911.041665567"/>
    <n v="507927377.05385959"/>
    <m/>
    <m/>
    <m/>
  </r>
  <r>
    <x v="60"/>
    <x v="10"/>
    <x v="2"/>
    <x v="1"/>
    <n v="1694649963.0432663"/>
    <n v="1.5"/>
    <n v="1.4930999999999999"/>
    <n v="1134987584.9194739"/>
    <n v="559662378.12379241"/>
    <m/>
    <n v="559662378.12379241"/>
    <n v="11533832.202903204"/>
    <n v="548128545.92088926"/>
    <m/>
    <m/>
    <m/>
  </r>
  <r>
    <x v="60"/>
    <x v="11"/>
    <x v="2"/>
    <x v="1"/>
    <n v="1806617631.1543489"/>
    <n v="1.5"/>
    <n v="1.4930999999999999"/>
    <n v="1209977651.2988741"/>
    <n v="596639979.85547471"/>
    <m/>
    <n v="596639979.85547471"/>
    <n v="12295887.095834866"/>
    <n v="584344092.75963986"/>
    <m/>
    <m/>
    <m/>
  </r>
  <r>
    <x v="60"/>
    <x v="0"/>
    <x v="2"/>
    <x v="2"/>
    <n v="0"/>
    <n v="1.5"/>
    <n v="1.4930999999999999"/>
    <n v="0"/>
    <n v="0"/>
    <m/>
    <n v="0"/>
    <n v="0"/>
    <n v="0"/>
    <m/>
    <m/>
    <m/>
  </r>
  <r>
    <x v="60"/>
    <x v="1"/>
    <x v="2"/>
    <x v="2"/>
    <n v="29723362.07914333"/>
    <n v="1.5"/>
    <n v="1.4930999999999999"/>
    <n v="19907147.598381445"/>
    <n v="9816214.4807618856"/>
    <m/>
    <n v="9816214.4807618856"/>
    <n v="202297.983774377"/>
    <n v="9613916.4969875086"/>
    <m/>
    <m/>
    <m/>
  </r>
  <r>
    <x v="60"/>
    <x v="2"/>
    <x v="2"/>
    <x v="2"/>
    <n v="106493295.64064981"/>
    <n v="1.5"/>
    <n v="1.4930999999999999"/>
    <n v="71323619.074844167"/>
    <n v="35169676.565805644"/>
    <m/>
    <n v="35169676.565805644"/>
    <n v="724796.16996991541"/>
    <n v="34444880.395835727"/>
    <m/>
    <m/>
    <m/>
  </r>
  <r>
    <x v="60"/>
    <x v="3"/>
    <x v="2"/>
    <x v="2"/>
    <n v="212154874.02579421"/>
    <n v="1.5"/>
    <n v="1.4930999999999999"/>
    <n v="142090197.59278965"/>
    <n v="70064676.433004558"/>
    <m/>
    <n v="70064676.433004558"/>
    <n v="1443931.650431992"/>
    <n v="68620744.782572567"/>
    <m/>
    <m/>
    <m/>
  </r>
  <r>
    <x v="60"/>
    <x v="4"/>
    <x v="2"/>
    <x v="2"/>
    <n v="306283344.13891673"/>
    <n v="1.5"/>
    <n v="1.4930999999999999"/>
    <n v="205132505.61845607"/>
    <n v="101150838.52046067"/>
    <m/>
    <n v="101150838.52046067"/>
    <n v="2084572.4927750938"/>
    <n v="99066266.027685568"/>
    <m/>
    <m/>
    <m/>
  </r>
  <r>
    <x v="60"/>
    <x v="5"/>
    <x v="2"/>
    <x v="2"/>
    <n v="402829101.16013914"/>
    <n v="1.5"/>
    <n v="1.4930999999999999"/>
    <n v="269793785.52015215"/>
    <n v="133035315.63998699"/>
    <m/>
    <n v="133035315.63998699"/>
    <n v="2741665.4533681679"/>
    <n v="130293650.18661882"/>
    <m/>
    <m/>
    <m/>
  </r>
  <r>
    <x v="60"/>
    <x v="6"/>
    <x v="2"/>
    <x v="2"/>
    <n v="504540568.92664355"/>
    <n v="1.5"/>
    <n v="1.4930999999999999"/>
    <n v="337914787.30603683"/>
    <n v="166625781.62060672"/>
    <m/>
    <n v="166625781.62060672"/>
    <n v="3433916.3771065166"/>
    <n v="163191865.2435002"/>
    <m/>
    <m/>
    <m/>
  </r>
  <r>
    <x v="60"/>
    <x v="7"/>
    <x v="2"/>
    <x v="2"/>
    <n v="591722058.84424269"/>
    <n v="1.5"/>
    <n v="1.4930999999999999"/>
    <n v="396304372.67714334"/>
    <n v="195417686.16709936"/>
    <m/>
    <n v="195417686.16709936"/>
    <n v="4027275.8895942369"/>
    <n v="191390410.27750513"/>
    <m/>
    <m/>
    <m/>
  </r>
  <r>
    <x v="60"/>
    <x v="8"/>
    <x v="2"/>
    <x v="2"/>
    <n v="657023582.20424581"/>
    <n v="1.5"/>
    <n v="1.4930999999999999"/>
    <n v="440039905.03264743"/>
    <n v="216983677.17159837"/>
    <m/>
    <n v="216983677.17159837"/>
    <n v="4471719.7744397409"/>
    <n v="212511957.39715862"/>
    <m/>
    <m/>
    <m/>
  </r>
  <r>
    <x v="60"/>
    <x v="9"/>
    <x v="2"/>
    <x v="2"/>
    <n v="731693920.82438624"/>
    <n v="1.5"/>
    <n v="1.4930999999999999"/>
    <n v="490050178.03521955"/>
    <n v="241643742.78916669"/>
    <m/>
    <n v="241643742.78916669"/>
    <n v="4979928.0622634105"/>
    <n v="236663814.72690329"/>
    <m/>
    <m/>
    <m/>
  </r>
  <r>
    <x v="60"/>
    <x v="10"/>
    <x v="2"/>
    <x v="2"/>
    <n v="788166760.38460636"/>
    <n v="1.5"/>
    <n v="1.4930999999999999"/>
    <n v="527872721.44170278"/>
    <n v="260294038.94290358"/>
    <m/>
    <n v="260294038.94290358"/>
    <n v="5364283.6930506416"/>
    <n v="254929755.24985293"/>
    <m/>
    <m/>
    <m/>
  </r>
  <r>
    <x v="60"/>
    <x v="11"/>
    <x v="2"/>
    <x v="2"/>
    <n v="862325415.31937265"/>
    <n v="1.5"/>
    <n v="1.4930999999999999"/>
    <n v="577540295.57254887"/>
    <n v="284785119.74682379"/>
    <m/>
    <n v="284785119.74682379"/>
    <n v="5869009.448258861"/>
    <n v="278916110.29856491"/>
    <m/>
    <m/>
    <m/>
  </r>
  <r>
    <x v="60"/>
    <x v="0"/>
    <x v="2"/>
    <x v="3"/>
    <n v="0"/>
    <n v="1.5"/>
    <n v="1.4930999999999999"/>
    <n v="0"/>
    <n v="0"/>
    <m/>
    <n v="0"/>
    <n v="0"/>
    <n v="0"/>
    <m/>
    <m/>
    <m/>
  </r>
  <r>
    <x v="60"/>
    <x v="1"/>
    <x v="2"/>
    <x v="3"/>
    <n v="27644099.01730093"/>
    <n v="1.5"/>
    <n v="1.4930999999999999"/>
    <n v="18514566.350077644"/>
    <n v="9129532.6672232859"/>
    <m/>
    <n v="9129532.6672232859"/>
    <n v="188146.46470909572"/>
    <n v="8941386.2025141902"/>
    <m/>
    <m/>
    <m/>
  </r>
  <r>
    <x v="60"/>
    <x v="2"/>
    <x v="2"/>
    <x v="3"/>
    <n v="108434465.15695676"/>
    <n v="1.5"/>
    <n v="1.4930999999999999"/>
    <n v="72623712.515542671"/>
    <n v="35810752.641414091"/>
    <m/>
    <n v="35810752.641414091"/>
    <n v="738007.82073363336"/>
    <n v="35072744.820680454"/>
    <m/>
    <m/>
    <m/>
  </r>
  <r>
    <x v="60"/>
    <x v="3"/>
    <x v="2"/>
    <x v="3"/>
    <n v="215040164.92998627"/>
    <n v="1.5"/>
    <n v="1.4930999999999999"/>
    <n v="144022613.97762126"/>
    <n v="71017550.952365011"/>
    <m/>
    <n v="71017550.952365011"/>
    <n v="1463569.0161837679"/>
    <n v="69553981.936181247"/>
    <m/>
    <m/>
    <m/>
  </r>
  <r>
    <x v="60"/>
    <x v="4"/>
    <x v="2"/>
    <x v="3"/>
    <n v="326103414.20165074"/>
    <n v="1.5"/>
    <n v="1.4930999999999999"/>
    <n v="218406948.09567395"/>
    <n v="107696466.10597679"/>
    <m/>
    <n v="107696466.10597679"/>
    <n v="2219468.410716068"/>
    <n v="105476997.69526072"/>
    <m/>
    <m/>
    <m/>
  </r>
  <r>
    <x v="60"/>
    <x v="5"/>
    <x v="2"/>
    <x v="3"/>
    <n v="433658250.30918729"/>
    <n v="1.5"/>
    <n v="1.4930999999999999"/>
    <n v="290441531.24987429"/>
    <n v="143216719.059313"/>
    <m/>
    <n v="143216719.059313"/>
    <n v="2951489.4530128185"/>
    <n v="140265229.60630018"/>
    <m/>
    <m/>
    <m/>
  </r>
  <r>
    <x v="60"/>
    <x v="6"/>
    <x v="2"/>
    <x v="3"/>
    <n v="537306402.27573991"/>
    <n v="1.5"/>
    <n v="1.4930999999999999"/>
    <n v="359859622.44708323"/>
    <n v="177446779.82865667"/>
    <m/>
    <n v="177446779.82865667"/>
    <n v="3656921.5003345036"/>
    <n v="173789858.32832217"/>
    <m/>
    <m/>
    <m/>
  </r>
  <r>
    <x v="60"/>
    <x v="7"/>
    <x v="2"/>
    <x v="3"/>
    <n v="628784529.53308058"/>
    <n v="1.5"/>
    <n v="1.4930999999999999"/>
    <n v="421126869.95719016"/>
    <n v="207657659.57589042"/>
    <m/>
    <n v="207657659.57589042"/>
    <n v="4279524.0395203819"/>
    <n v="203378135.53637004"/>
    <m/>
    <m/>
    <m/>
  </r>
  <r>
    <x v="60"/>
    <x v="8"/>
    <x v="2"/>
    <x v="3"/>
    <n v="703478269.58076894"/>
    <n v="1.5"/>
    <n v="1.4930999999999999"/>
    <n v="471152816.00748038"/>
    <n v="232325453.57328856"/>
    <m/>
    <n v="232325453.57328856"/>
    <n v="4787891.5980751952"/>
    <n v="227537561.97521338"/>
    <m/>
    <m/>
    <m/>
  </r>
  <r>
    <x v="60"/>
    <x v="9"/>
    <x v="2"/>
    <x v="3"/>
    <n v="789708741.5707835"/>
    <n v="1.5"/>
    <n v="1.4930999999999999"/>
    <n v="528905459.4941957"/>
    <n v="260803282.0765878"/>
    <m/>
    <n v="260803282.0765878"/>
    <n v="5374778.4575443445"/>
    <n v="255428503.61904344"/>
    <m/>
    <m/>
    <m/>
  </r>
  <r>
    <x v="60"/>
    <x v="10"/>
    <x v="2"/>
    <x v="3"/>
    <n v="874060685.94035137"/>
    <n v="1.5"/>
    <n v="1.4930999999999999"/>
    <n v="585399963.7936852"/>
    <n v="288660722.14666617"/>
    <m/>
    <n v="288660722.14666617"/>
    <n v="5948880.0086399335"/>
    <n v="282711842.13802624"/>
    <m/>
    <m/>
    <m/>
  </r>
  <r>
    <x v="60"/>
    <x v="11"/>
    <x v="2"/>
    <x v="3"/>
    <n v="922424163.38466382"/>
    <n v="1.5"/>
    <n v="1.4930999999999999"/>
    <n v="617791282.15435266"/>
    <n v="304632881.23031116"/>
    <m/>
    <n v="304632881.23031116"/>
    <n v="6278043.1076611979"/>
    <n v="298354838.12264997"/>
    <m/>
    <m/>
    <m/>
  </r>
  <r>
    <x v="60"/>
    <x v="0"/>
    <x v="2"/>
    <x v="4"/>
    <n v="0"/>
    <n v="1.5"/>
    <n v="1.4930999999999999"/>
    <n v="0"/>
    <n v="0"/>
    <m/>
    <n v="0"/>
    <n v="0"/>
    <n v="0"/>
    <m/>
    <m/>
    <m/>
  </r>
  <r>
    <x v="60"/>
    <x v="1"/>
    <x v="2"/>
    <x v="4"/>
    <n v="62946300.296504878"/>
    <n v="1.5"/>
    <n v="1.4930999999999999"/>
    <n v="42158127.584558889"/>
    <n v="20788172.711945988"/>
    <m/>
    <n v="20788172.711945988"/>
    <n v="428414.17475362582"/>
    <n v="20359758.537192363"/>
    <m/>
    <m/>
    <m/>
  </r>
  <r>
    <x v="60"/>
    <x v="2"/>
    <x v="2"/>
    <x v="4"/>
    <n v="223471469.45540509"/>
    <n v="1.5"/>
    <n v="1.4930999999999999"/>
    <n v="149669459.14902225"/>
    <n v="73802010.306382835"/>
    <m/>
    <n v="73802010.306382835"/>
    <n v="1520952.6964531287"/>
    <n v="72281057.609929711"/>
    <m/>
    <m/>
    <m/>
  </r>
  <r>
    <x v="60"/>
    <x v="3"/>
    <x v="2"/>
    <x v="4"/>
    <n v="409758312.58426094"/>
    <n v="1.5"/>
    <n v="1.4930999999999999"/>
    <n v="274434607.58439553"/>
    <n v="135323704.99986541"/>
    <m/>
    <n v="135323704.99986541"/>
    <n v="2788825.8484982271"/>
    <n v="132534879.15136719"/>
    <m/>
    <m/>
    <m/>
  </r>
  <r>
    <x v="60"/>
    <x v="4"/>
    <x v="2"/>
    <x v="4"/>
    <n v="613286398.99724996"/>
    <n v="1.5"/>
    <n v="1.4930999999999999"/>
    <n v="410747035.69570023"/>
    <n v="202539363.30154973"/>
    <m/>
    <n v="202539363.30154973"/>
    <n v="4174043.3556286157"/>
    <n v="198365319.94592112"/>
    <m/>
    <m/>
    <m/>
  </r>
  <r>
    <x v="60"/>
    <x v="5"/>
    <x v="2"/>
    <x v="4"/>
    <n v="807344457.87258947"/>
    <n v="1.5"/>
    <n v="1.4930999999999999"/>
    <n v="540716936.48957837"/>
    <n v="266627521.3830111"/>
    <m/>
    <n v="266627521.3830111"/>
    <n v="5494807.6063590962"/>
    <n v="261132713.77665201"/>
    <m/>
    <m/>
    <m/>
  </r>
  <r>
    <x v="60"/>
    <x v="6"/>
    <x v="2"/>
    <x v="4"/>
    <n v="986433993.63619196"/>
    <n v="1.5"/>
    <n v="1.4930999999999999"/>
    <n v="660661706.27298379"/>
    <n v="325772287.36320817"/>
    <m/>
    <n v="325772287.36320817"/>
    <n v="6713695.6952502225"/>
    <n v="319058591.66795796"/>
    <m/>
    <m/>
    <m/>
  </r>
  <r>
    <x v="60"/>
    <x v="7"/>
    <x v="2"/>
    <x v="4"/>
    <n v="1136844402.3221123"/>
    <n v="1.5"/>
    <n v="1.4930999999999999"/>
    <n v="761398702.24506891"/>
    <n v="375445700.07704341"/>
    <m/>
    <n v="375445700.07704341"/>
    <n v="7737392.8912411379"/>
    <n v="367708307.18580228"/>
    <m/>
    <m/>
    <m/>
  </r>
  <r>
    <x v="60"/>
    <x v="8"/>
    <x v="2"/>
    <x v="4"/>
    <n v="1270257037.0897892"/>
    <n v="1.5"/>
    <n v="1.4930999999999999"/>
    <n v="850751481.54161763"/>
    <n v="419505555.54817152"/>
    <m/>
    <n v="419505555.54817152"/>
    <n v="8645402.7910521161"/>
    <n v="410860152.75711942"/>
    <m/>
    <m/>
    <m/>
  </r>
  <r>
    <x v="60"/>
    <x v="9"/>
    <x v="2"/>
    <x v="4"/>
    <n v="1397969735.6108778"/>
    <n v="1.5"/>
    <n v="1.4930999999999999"/>
    <n v="936286742.75726867"/>
    <n v="461682992.85360909"/>
    <m/>
    <n v="461682992.85360909"/>
    <n v="9514618.7749104835"/>
    <n v="452168374.07869858"/>
    <m/>
    <m/>
    <m/>
  </r>
  <r>
    <x v="60"/>
    <x v="10"/>
    <x v="2"/>
    <x v="4"/>
    <n v="1518504570.1576886"/>
    <n v="1.5"/>
    <n v="1.4930999999999999"/>
    <n v="1017014647.4835502"/>
    <n v="501489922.67413843"/>
    <m/>
    <n v="501489922.67413843"/>
    <n v="10334982.027845051"/>
    <n v="491154940.6462934"/>
    <m/>
    <m/>
    <m/>
  </r>
  <r>
    <x v="60"/>
    <x v="11"/>
    <x v="2"/>
    <x v="4"/>
    <n v="1629046331.4775155"/>
    <n v="1.5"/>
    <n v="1.4930999999999999"/>
    <n v="1091049716.3468726"/>
    <n v="537996615.13064289"/>
    <m/>
    <n v="537996615.13064289"/>
    <n v="11087332.161666585"/>
    <n v="526909282.96897632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7">
  <r>
    <x v="0"/>
    <x v="0"/>
    <x v="0"/>
    <x v="0"/>
    <s v="COORDINADOR"/>
    <n v="5273934.6806999994"/>
    <x v="0"/>
    <s v="ECONÓMICA"/>
    <m/>
    <m/>
  </r>
  <r>
    <x v="0"/>
    <x v="1"/>
    <x v="0"/>
    <x v="0"/>
    <s v="COORDINADOR"/>
    <n v="5273934.6806999994"/>
    <x v="0"/>
    <s v="ECONÓMICA"/>
    <m/>
    <m/>
  </r>
  <r>
    <x v="0"/>
    <x v="2"/>
    <x v="0"/>
    <x v="0"/>
    <s v="COORDINADOR"/>
    <n v="5273934.6806999994"/>
    <x v="0"/>
    <s v="ECONÓMICA"/>
    <m/>
    <m/>
  </r>
  <r>
    <x v="0"/>
    <x v="3"/>
    <x v="0"/>
    <x v="0"/>
    <s v="COORDINADOR"/>
    <n v="5273934.6806999994"/>
    <x v="0"/>
    <s v="ECONÓMICA"/>
    <m/>
    <m/>
  </r>
  <r>
    <x v="0"/>
    <x v="4"/>
    <x v="0"/>
    <x v="0"/>
    <s v="COORDINADOR"/>
    <n v="5273934.6806999994"/>
    <x v="0"/>
    <s v="ECONÓMICA"/>
    <m/>
    <m/>
  </r>
  <r>
    <x v="0"/>
    <x v="5"/>
    <x v="0"/>
    <x v="0"/>
    <s v="COORDINADOR"/>
    <n v="5273934.6806999994"/>
    <x v="0"/>
    <s v="ECONÓMICA"/>
    <m/>
    <m/>
  </r>
  <r>
    <x v="0"/>
    <x v="6"/>
    <x v="0"/>
    <x v="0"/>
    <s v="COORDINADOR"/>
    <n v="5273934.6806999994"/>
    <x v="0"/>
    <s v="ECONÓMICA"/>
    <m/>
    <m/>
  </r>
  <r>
    <x v="0"/>
    <x v="7"/>
    <x v="0"/>
    <x v="0"/>
    <s v="COORDINADOR"/>
    <n v="5273934.6806999994"/>
    <x v="0"/>
    <s v="ECONÓMICA"/>
    <m/>
    <m/>
  </r>
  <r>
    <x v="0"/>
    <x v="8"/>
    <x v="0"/>
    <x v="0"/>
    <s v="COORDINADOR"/>
    <n v="5273934.6806999994"/>
    <x v="0"/>
    <s v="ECONÓMICA"/>
    <m/>
    <m/>
  </r>
  <r>
    <x v="0"/>
    <x v="9"/>
    <x v="0"/>
    <x v="0"/>
    <s v="COORDINADOR"/>
    <n v="5273934.6806999994"/>
    <x v="0"/>
    <s v="ECONÓMICA"/>
    <m/>
    <m/>
  </r>
  <r>
    <x v="0"/>
    <x v="10"/>
    <x v="0"/>
    <x v="0"/>
    <s v="COORDINADOR"/>
    <n v="5273934.6806999994"/>
    <x v="0"/>
    <s v="ECONÓMICA"/>
    <m/>
    <m/>
  </r>
  <r>
    <x v="0"/>
    <x v="11"/>
    <x v="0"/>
    <x v="0"/>
    <s v="COORDINADOR"/>
    <n v="5273934.6806999994"/>
    <x v="0"/>
    <s v="ECONÓMICA"/>
    <m/>
    <m/>
  </r>
  <r>
    <x v="0"/>
    <x v="12"/>
    <x v="0"/>
    <x v="0"/>
    <s v="COORDINADOR"/>
    <n v="5273934.6806999994"/>
    <x v="0"/>
    <s v="ECONÓMICA"/>
    <m/>
    <m/>
  </r>
  <r>
    <x v="0"/>
    <x v="13"/>
    <x v="0"/>
    <x v="0"/>
    <s v="COORDINADOR"/>
    <n v="5273934.6806999994"/>
    <x v="0"/>
    <s v="ECONÓMICA"/>
    <m/>
    <m/>
  </r>
  <r>
    <x v="0"/>
    <x v="0"/>
    <x v="0"/>
    <x v="0"/>
    <s v="DIRECTOR"/>
    <n v="7784590.2750000004"/>
    <x v="0"/>
    <s v="ECONÓMICA"/>
    <m/>
    <m/>
  </r>
  <r>
    <x v="0"/>
    <x v="1"/>
    <x v="0"/>
    <x v="0"/>
    <s v="DIRECTOR"/>
    <n v="7784590.2750000004"/>
    <x v="0"/>
    <s v="ECONÓMICA"/>
    <m/>
    <m/>
  </r>
  <r>
    <x v="0"/>
    <x v="2"/>
    <x v="0"/>
    <x v="0"/>
    <s v="DIRECTOR"/>
    <n v="7784590.2750000004"/>
    <x v="0"/>
    <s v="ECONÓMICA"/>
    <m/>
    <m/>
  </r>
  <r>
    <x v="0"/>
    <x v="3"/>
    <x v="0"/>
    <x v="0"/>
    <s v="DIRECTOR"/>
    <n v="7784590.2750000004"/>
    <x v="0"/>
    <s v="ECONÓMICA"/>
    <m/>
    <m/>
  </r>
  <r>
    <x v="0"/>
    <x v="4"/>
    <x v="0"/>
    <x v="0"/>
    <s v="DIRECTOR"/>
    <n v="7784590.2750000004"/>
    <x v="0"/>
    <s v="ECONÓMICA"/>
    <m/>
    <m/>
  </r>
  <r>
    <x v="0"/>
    <x v="5"/>
    <x v="0"/>
    <x v="0"/>
    <s v="DIRECTOR"/>
    <n v="7784590.2750000004"/>
    <x v="0"/>
    <s v="ECONÓMICA"/>
    <m/>
    <m/>
  </r>
  <r>
    <x v="0"/>
    <x v="6"/>
    <x v="0"/>
    <x v="0"/>
    <s v="DIRECTOR"/>
    <n v="7784590.2750000004"/>
    <x v="0"/>
    <s v="ECONÓMICA"/>
    <m/>
    <m/>
  </r>
  <r>
    <x v="0"/>
    <x v="7"/>
    <x v="0"/>
    <x v="0"/>
    <s v="DIRECTOR"/>
    <n v="7784590.2750000004"/>
    <x v="0"/>
    <s v="ECONÓMICA"/>
    <m/>
    <m/>
  </r>
  <r>
    <x v="0"/>
    <x v="8"/>
    <x v="0"/>
    <x v="0"/>
    <s v="DIRECTOR"/>
    <n v="7784590.2750000004"/>
    <x v="0"/>
    <s v="ECONÓMICA"/>
    <m/>
    <m/>
  </r>
  <r>
    <x v="0"/>
    <x v="9"/>
    <x v="0"/>
    <x v="0"/>
    <s v="DIRECTOR"/>
    <n v="7784590.2750000004"/>
    <x v="0"/>
    <s v="ECONÓMICA"/>
    <m/>
    <m/>
  </r>
  <r>
    <x v="0"/>
    <x v="10"/>
    <x v="0"/>
    <x v="0"/>
    <s v="DIRECTOR"/>
    <n v="7784590.2750000004"/>
    <x v="0"/>
    <s v="ECONÓMICA"/>
    <m/>
    <m/>
  </r>
  <r>
    <x v="0"/>
    <x v="11"/>
    <x v="0"/>
    <x v="0"/>
    <s v="DIRECTOR"/>
    <n v="7784590.2750000004"/>
    <x v="0"/>
    <s v="ECONÓMICA"/>
    <m/>
    <m/>
  </r>
  <r>
    <x v="0"/>
    <x v="12"/>
    <x v="0"/>
    <x v="0"/>
    <s v="DIRECTOR"/>
    <n v="7784590.2750000004"/>
    <x v="0"/>
    <s v="ECONÓMICA"/>
    <m/>
    <m/>
  </r>
  <r>
    <x v="0"/>
    <x v="13"/>
    <x v="0"/>
    <x v="0"/>
    <s v="DIRECTOR"/>
    <n v="7784590.2750000004"/>
    <x v="0"/>
    <s v="ECONÓMICA"/>
    <m/>
    <m/>
  </r>
  <r>
    <x v="0"/>
    <x v="0"/>
    <x v="0"/>
    <x v="0"/>
    <s v="RESIDENTE TECNICO DE COORDINACION"/>
    <n v="6517329.5250000004"/>
    <x v="0"/>
    <s v="ECONÓMICA"/>
    <m/>
    <m/>
  </r>
  <r>
    <x v="0"/>
    <x v="1"/>
    <x v="0"/>
    <x v="0"/>
    <s v="RESIDENTE TECNICO DE COORDINACION"/>
    <n v="6517329.5250000004"/>
    <x v="0"/>
    <s v="ECONÓMICA"/>
    <m/>
    <m/>
  </r>
  <r>
    <x v="0"/>
    <x v="2"/>
    <x v="0"/>
    <x v="0"/>
    <s v="RESIDENTE TECNICO DE COORDINACION"/>
    <n v="6517329.5250000004"/>
    <x v="0"/>
    <s v="ECONÓMICA"/>
    <m/>
    <m/>
  </r>
  <r>
    <x v="0"/>
    <x v="3"/>
    <x v="0"/>
    <x v="0"/>
    <s v="RESIDENTE TECNICO DE COORDINACION"/>
    <n v="6517329.5250000004"/>
    <x v="0"/>
    <s v="ECONÓMICA"/>
    <m/>
    <m/>
  </r>
  <r>
    <x v="0"/>
    <x v="4"/>
    <x v="0"/>
    <x v="0"/>
    <s v="RESIDENTE TECNICO DE COORDINACION"/>
    <n v="6517329.5250000004"/>
    <x v="0"/>
    <s v="ECONÓMICA"/>
    <m/>
    <m/>
  </r>
  <r>
    <x v="0"/>
    <x v="5"/>
    <x v="0"/>
    <x v="0"/>
    <s v="RESIDENTE TECNICO DE COORDINACION"/>
    <n v="6517329.5250000004"/>
    <x v="0"/>
    <s v="ECONÓMICA"/>
    <m/>
    <m/>
  </r>
  <r>
    <x v="0"/>
    <x v="6"/>
    <x v="0"/>
    <x v="0"/>
    <s v="RESIDENTE TECNICO DE COORDINACION"/>
    <n v="6517329.5250000004"/>
    <x v="0"/>
    <s v="ECONÓMICA"/>
    <m/>
    <m/>
  </r>
  <r>
    <x v="0"/>
    <x v="7"/>
    <x v="0"/>
    <x v="0"/>
    <s v="RESIDENTE TECNICO DE COORDINACION"/>
    <n v="6517329.5250000004"/>
    <x v="0"/>
    <s v="ECONÓMICA"/>
    <m/>
    <m/>
  </r>
  <r>
    <x v="0"/>
    <x v="8"/>
    <x v="0"/>
    <x v="0"/>
    <s v="RESIDENTE TECNICO DE COORDINACION"/>
    <n v="6517329.5250000004"/>
    <x v="0"/>
    <s v="ECONÓMICA"/>
    <m/>
    <m/>
  </r>
  <r>
    <x v="0"/>
    <x v="9"/>
    <x v="0"/>
    <x v="0"/>
    <s v="RESIDENTE TECNICO DE COORDINACION"/>
    <n v="6517329.5250000004"/>
    <x v="0"/>
    <s v="ECONÓMICA"/>
    <m/>
    <m/>
  </r>
  <r>
    <x v="0"/>
    <x v="10"/>
    <x v="0"/>
    <x v="0"/>
    <s v="RESIDENTE TECNICO DE COORDINACION"/>
    <n v="6517329.5250000004"/>
    <x v="0"/>
    <s v="ECONÓMICA"/>
    <m/>
    <m/>
  </r>
  <r>
    <x v="0"/>
    <x v="11"/>
    <x v="0"/>
    <x v="0"/>
    <s v="RESIDENTE TECNICO DE COORDINACION"/>
    <n v="6517329.5250000004"/>
    <x v="0"/>
    <s v="ECONÓMICA"/>
    <m/>
    <m/>
  </r>
  <r>
    <x v="0"/>
    <x v="12"/>
    <x v="0"/>
    <x v="0"/>
    <s v="RESIDENTE TECNICO DE COORDINACION"/>
    <n v="6517329.5250000004"/>
    <x v="0"/>
    <s v="ECONÓMICA"/>
    <m/>
    <m/>
  </r>
  <r>
    <x v="0"/>
    <x v="0"/>
    <x v="0"/>
    <x v="0"/>
    <s v="RESIDENTE DE INSTALACIONES"/>
    <n v="7791940.1186286025"/>
    <x v="0"/>
    <s v="ECONÓMICA"/>
    <m/>
    <m/>
  </r>
  <r>
    <x v="0"/>
    <x v="1"/>
    <x v="0"/>
    <x v="0"/>
    <s v="RESIDENTE DE INSTALACIONES"/>
    <n v="7791940.1186286025"/>
    <x v="0"/>
    <s v="ECONÓMICA"/>
    <m/>
    <m/>
  </r>
  <r>
    <x v="0"/>
    <x v="2"/>
    <x v="0"/>
    <x v="0"/>
    <s v="RESIDENTE DE INSTALACIONES"/>
    <n v="7791940.1186286025"/>
    <x v="0"/>
    <s v="ECONÓMICA"/>
    <m/>
    <m/>
  </r>
  <r>
    <x v="0"/>
    <x v="3"/>
    <x v="0"/>
    <x v="0"/>
    <s v="RESIDENTE DE INSTALACIONES"/>
    <n v="7791940.1186286025"/>
    <x v="0"/>
    <s v="ECONÓMICA"/>
    <m/>
    <m/>
  </r>
  <r>
    <x v="0"/>
    <x v="4"/>
    <x v="0"/>
    <x v="0"/>
    <s v="RESIDENTE DE INSTALACIONES"/>
    <n v="7791940.1186286025"/>
    <x v="0"/>
    <s v="ECONÓMICA"/>
    <m/>
    <m/>
  </r>
  <r>
    <x v="0"/>
    <x v="5"/>
    <x v="0"/>
    <x v="0"/>
    <s v="RESIDENTE DE INSTALACIONES"/>
    <n v="7791940.1186286025"/>
    <x v="0"/>
    <s v="ECONÓMICA"/>
    <m/>
    <m/>
  </r>
  <r>
    <x v="0"/>
    <x v="6"/>
    <x v="0"/>
    <x v="0"/>
    <s v="RESIDENTE DE INSTALACIONES"/>
    <n v="7791940.1186286025"/>
    <x v="0"/>
    <s v="ECONÓMICA"/>
    <m/>
    <m/>
  </r>
  <r>
    <x v="0"/>
    <x v="7"/>
    <x v="0"/>
    <x v="0"/>
    <s v="RESIDENTE DE INSTALACIONES"/>
    <n v="7791940.1186286025"/>
    <x v="0"/>
    <s v="ECONÓMICA"/>
    <m/>
    <m/>
  </r>
  <r>
    <x v="0"/>
    <x v="8"/>
    <x v="0"/>
    <x v="0"/>
    <s v="RESIDENTE DE INSTALACIONES"/>
    <n v="7791940.1186286025"/>
    <x v="0"/>
    <s v="ECONÓMICA"/>
    <m/>
    <m/>
  </r>
  <r>
    <x v="0"/>
    <x v="9"/>
    <x v="0"/>
    <x v="0"/>
    <s v="RESIDENTE DE INSTALACIONES"/>
    <n v="7791940.1186286025"/>
    <x v="0"/>
    <s v="ECONÓMICA"/>
    <m/>
    <m/>
  </r>
  <r>
    <x v="0"/>
    <x v="10"/>
    <x v="0"/>
    <x v="0"/>
    <s v="RESIDENTE DE INSTALACIONES"/>
    <n v="7791940.1186286025"/>
    <x v="0"/>
    <s v="ECONÓMICA"/>
    <m/>
    <m/>
  </r>
  <r>
    <x v="0"/>
    <x v="11"/>
    <x v="0"/>
    <x v="0"/>
    <s v="RESIDENTE DE INSTALACIONES"/>
    <n v="7791940.1186286025"/>
    <x v="0"/>
    <s v="ECONÓMICA"/>
    <m/>
    <m/>
  </r>
  <r>
    <x v="0"/>
    <x v="12"/>
    <x v="0"/>
    <x v="0"/>
    <s v="RESIDENTE DE INSTALACIONES"/>
    <n v="7791940.1186286025"/>
    <x v="0"/>
    <s v="ECONÓMICA"/>
    <m/>
    <m/>
  </r>
  <r>
    <x v="0"/>
    <x v="13"/>
    <x v="0"/>
    <x v="0"/>
    <s v="RESIDENTE DE INSTALACIONES"/>
    <n v="7791940.1186286025"/>
    <x v="0"/>
    <s v="ECONÓMICA"/>
    <m/>
    <m/>
  </r>
  <r>
    <x v="0"/>
    <x v="0"/>
    <x v="0"/>
    <x v="0"/>
    <s v="RESIDENTE  ADMINISTRATIVO"/>
    <n v="4525924.49505"/>
    <x v="0"/>
    <s v="ECONÓMICA"/>
    <m/>
    <m/>
  </r>
  <r>
    <x v="0"/>
    <x v="1"/>
    <x v="0"/>
    <x v="0"/>
    <s v="RESIDENTE  ADMINISTRATIVO"/>
    <n v="4525924.49505"/>
    <x v="0"/>
    <s v="ECONÓMICA"/>
    <m/>
    <m/>
  </r>
  <r>
    <x v="0"/>
    <x v="2"/>
    <x v="0"/>
    <x v="0"/>
    <s v="RESIDENTE  ADMINISTRATIVO"/>
    <n v="4525924.49505"/>
    <x v="0"/>
    <s v="ECONÓMICA"/>
    <m/>
    <m/>
  </r>
  <r>
    <x v="0"/>
    <x v="3"/>
    <x v="0"/>
    <x v="0"/>
    <s v="RESIDENTE  ADMINISTRATIVO"/>
    <n v="4525924.49505"/>
    <x v="0"/>
    <s v="ECONÓMICA"/>
    <m/>
    <m/>
  </r>
  <r>
    <x v="0"/>
    <x v="4"/>
    <x v="0"/>
    <x v="0"/>
    <s v="RESIDENTE  ADMINISTRATIVO"/>
    <n v="4525924.49505"/>
    <x v="0"/>
    <s v="ECONÓMICA"/>
    <m/>
    <m/>
  </r>
  <r>
    <x v="0"/>
    <x v="5"/>
    <x v="0"/>
    <x v="0"/>
    <s v="RESIDENTE  ADMINISTRATIVO"/>
    <n v="4525924.49505"/>
    <x v="0"/>
    <s v="ECONÓMICA"/>
    <m/>
    <m/>
  </r>
  <r>
    <x v="0"/>
    <x v="6"/>
    <x v="0"/>
    <x v="0"/>
    <s v="RESIDENTE  ADMINISTRATIVO"/>
    <n v="4525924.49505"/>
    <x v="0"/>
    <s v="ECONÓMICA"/>
    <m/>
    <m/>
  </r>
  <r>
    <x v="0"/>
    <x v="7"/>
    <x v="0"/>
    <x v="0"/>
    <s v="RESIDENTE  ADMINISTRATIVO"/>
    <n v="4525924.49505"/>
    <x v="0"/>
    <s v="ECONÓMICA"/>
    <m/>
    <m/>
  </r>
  <r>
    <x v="0"/>
    <x v="8"/>
    <x v="0"/>
    <x v="0"/>
    <s v="RESIDENTE  ADMINISTRATIVO"/>
    <n v="4525924.49505"/>
    <x v="0"/>
    <s v="ECONÓMICA"/>
    <m/>
    <m/>
  </r>
  <r>
    <x v="0"/>
    <x v="9"/>
    <x v="0"/>
    <x v="0"/>
    <s v="RESIDENTE  ADMINISTRATIVO"/>
    <n v="4525924.49505"/>
    <x v="0"/>
    <s v="ECONÓMICA"/>
    <m/>
    <m/>
  </r>
  <r>
    <x v="0"/>
    <x v="10"/>
    <x v="0"/>
    <x v="0"/>
    <s v="RESIDENTE  ADMINISTRATIVO"/>
    <n v="4525924.49505"/>
    <x v="0"/>
    <s v="ECONÓMICA"/>
    <m/>
    <m/>
  </r>
  <r>
    <x v="0"/>
    <x v="11"/>
    <x v="0"/>
    <x v="0"/>
    <s v="RESIDENTE  ADMINISTRATIVO"/>
    <n v="4525924.49505"/>
    <x v="0"/>
    <s v="ECONÓMICA"/>
    <m/>
    <m/>
  </r>
  <r>
    <x v="0"/>
    <x v="12"/>
    <x v="0"/>
    <x v="0"/>
    <s v="RESIDENTE  ADMINISTRATIVO"/>
    <n v="4525924.49505"/>
    <x v="0"/>
    <s v="ECONÓMICA"/>
    <m/>
    <m/>
  </r>
  <r>
    <x v="0"/>
    <x v="13"/>
    <x v="0"/>
    <x v="0"/>
    <s v="RESIDENTE  ADMINISTRATIVO"/>
    <n v="4525924.49505"/>
    <x v="0"/>
    <s v="ECONÓMICA"/>
    <m/>
    <m/>
  </r>
  <r>
    <x v="0"/>
    <x v="0"/>
    <x v="0"/>
    <x v="0"/>
    <s v="PROFESIONAL CONTRATACIONES"/>
    <n v="4797479.3643000005"/>
    <x v="0"/>
    <s v="ECONÓMICA"/>
    <m/>
    <m/>
  </r>
  <r>
    <x v="0"/>
    <x v="1"/>
    <x v="0"/>
    <x v="0"/>
    <s v="PROFESIONAL CONTRATACIONES"/>
    <n v="4797479.3643000005"/>
    <x v="0"/>
    <s v="ECONÓMICA"/>
    <m/>
    <m/>
  </r>
  <r>
    <x v="0"/>
    <x v="2"/>
    <x v="0"/>
    <x v="0"/>
    <s v="PROFESIONAL CONTRATACIONES"/>
    <n v="4797479.3643000005"/>
    <x v="0"/>
    <s v="ECONÓMICA"/>
    <m/>
    <m/>
  </r>
  <r>
    <x v="0"/>
    <x v="3"/>
    <x v="0"/>
    <x v="0"/>
    <s v="PROFESIONAL CONTRATACIONES"/>
    <n v="4797479.3643000005"/>
    <x v="0"/>
    <s v="ECONÓMICA"/>
    <m/>
    <m/>
  </r>
  <r>
    <x v="0"/>
    <x v="4"/>
    <x v="0"/>
    <x v="0"/>
    <s v="PROFESIONAL CONTRATACIONES"/>
    <n v="4797479.3643000005"/>
    <x v="0"/>
    <s v="ECONÓMICA"/>
    <m/>
    <m/>
  </r>
  <r>
    <x v="0"/>
    <x v="5"/>
    <x v="0"/>
    <x v="0"/>
    <s v="PROFESIONAL CONTRATACIONES"/>
    <n v="4797479.3643000005"/>
    <x v="0"/>
    <s v="ECONÓMICA"/>
    <m/>
    <m/>
  </r>
  <r>
    <x v="0"/>
    <x v="6"/>
    <x v="0"/>
    <x v="0"/>
    <s v="PROFESIONAL CONTRATACIONES"/>
    <n v="4797479.3643000005"/>
    <x v="0"/>
    <s v="ECONÓMICA"/>
    <m/>
    <m/>
  </r>
  <r>
    <x v="0"/>
    <x v="7"/>
    <x v="0"/>
    <x v="0"/>
    <s v="PROFESIONAL CONTRATACIONES"/>
    <n v="4797479.3643000005"/>
    <x v="0"/>
    <s v="ECONÓMICA"/>
    <m/>
    <m/>
  </r>
  <r>
    <x v="0"/>
    <x v="8"/>
    <x v="0"/>
    <x v="0"/>
    <s v="PROFESIONAL CONTRATACIONES"/>
    <n v="4797479.3643000005"/>
    <x v="0"/>
    <s v="ECONÓMICA"/>
    <m/>
    <m/>
  </r>
  <r>
    <x v="0"/>
    <x v="0"/>
    <x v="0"/>
    <x v="0"/>
    <s v="INSPECTOR 1"/>
    <n v="4024174.4865000001"/>
    <x v="0"/>
    <s v="ECONÓMICA"/>
    <m/>
    <m/>
  </r>
  <r>
    <x v="0"/>
    <x v="1"/>
    <x v="0"/>
    <x v="0"/>
    <s v="INSPECTOR 1"/>
    <n v="4024174.4865000001"/>
    <x v="0"/>
    <s v="ECONÓMICA"/>
    <m/>
    <m/>
  </r>
  <r>
    <x v="0"/>
    <x v="2"/>
    <x v="0"/>
    <x v="0"/>
    <s v="INSPECTOR 1"/>
    <n v="4024174.4865000001"/>
    <x v="0"/>
    <s v="ECONÓMICA"/>
    <m/>
    <m/>
  </r>
  <r>
    <x v="0"/>
    <x v="3"/>
    <x v="0"/>
    <x v="0"/>
    <s v="INSPECTOR 1"/>
    <n v="4024174.4865000001"/>
    <x v="0"/>
    <s v="ECONÓMICA"/>
    <m/>
    <m/>
  </r>
  <r>
    <x v="0"/>
    <x v="4"/>
    <x v="0"/>
    <x v="0"/>
    <s v="INSPECTOR 1"/>
    <n v="4024174.4865000001"/>
    <x v="0"/>
    <s v="ECONÓMICA"/>
    <m/>
    <m/>
  </r>
  <r>
    <x v="0"/>
    <x v="5"/>
    <x v="0"/>
    <x v="0"/>
    <s v="INSPECTOR 1"/>
    <n v="4024174.4865000001"/>
    <x v="0"/>
    <s v="ECONÓMICA"/>
    <m/>
    <m/>
  </r>
  <r>
    <x v="0"/>
    <x v="6"/>
    <x v="0"/>
    <x v="0"/>
    <s v="INSPECTOR 1"/>
    <n v="4024174.4865000001"/>
    <x v="0"/>
    <s v="ECONÓMICA"/>
    <m/>
    <m/>
  </r>
  <r>
    <x v="0"/>
    <x v="7"/>
    <x v="0"/>
    <x v="0"/>
    <s v="INSPECTOR 1"/>
    <n v="4024174.4865000001"/>
    <x v="0"/>
    <s v="ECONÓMICA"/>
    <m/>
    <m/>
  </r>
  <r>
    <x v="0"/>
    <x v="8"/>
    <x v="0"/>
    <x v="0"/>
    <s v="INSPECTOR 1"/>
    <n v="4024174.4865000001"/>
    <x v="0"/>
    <s v="ECONÓMICA"/>
    <m/>
    <m/>
  </r>
  <r>
    <x v="0"/>
    <x v="9"/>
    <x v="0"/>
    <x v="0"/>
    <s v="INSPECTOR 1"/>
    <n v="4024174.4865000001"/>
    <x v="0"/>
    <s v="ECONÓMICA"/>
    <m/>
    <m/>
  </r>
  <r>
    <x v="0"/>
    <x v="10"/>
    <x v="0"/>
    <x v="0"/>
    <s v="INSPECTOR 1"/>
    <n v="4024174.4865000001"/>
    <x v="0"/>
    <s v="ECONÓMICA"/>
    <m/>
    <m/>
  </r>
  <r>
    <x v="0"/>
    <x v="11"/>
    <x v="0"/>
    <x v="0"/>
    <s v="INSPECTOR 1"/>
    <n v="4024174.4865000001"/>
    <x v="0"/>
    <s v="ECONÓMICA"/>
    <m/>
    <m/>
  </r>
  <r>
    <x v="0"/>
    <x v="12"/>
    <x v="0"/>
    <x v="0"/>
    <s v="INSPECTOR 1"/>
    <n v="4024174.4865000001"/>
    <x v="0"/>
    <s v="ECONÓMICA"/>
    <m/>
    <m/>
  </r>
  <r>
    <x v="0"/>
    <x v="3"/>
    <x v="0"/>
    <x v="0"/>
    <s v="INSPECTOR 2"/>
    <n v="3995634.3839999996"/>
    <x v="0"/>
    <s v="ECONÓMICA"/>
    <m/>
    <m/>
  </r>
  <r>
    <x v="0"/>
    <x v="4"/>
    <x v="0"/>
    <x v="0"/>
    <s v="INSPECTOR 2"/>
    <n v="3995634.3839999996"/>
    <x v="0"/>
    <s v="ECONÓMICA"/>
    <m/>
    <m/>
  </r>
  <r>
    <x v="0"/>
    <x v="5"/>
    <x v="0"/>
    <x v="0"/>
    <s v="INSPECTOR 2"/>
    <n v="3995634.3839999996"/>
    <x v="0"/>
    <s v="ECONÓMICA"/>
    <m/>
    <m/>
  </r>
  <r>
    <x v="0"/>
    <x v="6"/>
    <x v="0"/>
    <x v="0"/>
    <s v="INSPECTOR 2"/>
    <n v="3995634.3839999996"/>
    <x v="0"/>
    <s v="ECONÓMICA"/>
    <m/>
    <m/>
  </r>
  <r>
    <x v="0"/>
    <x v="7"/>
    <x v="0"/>
    <x v="0"/>
    <s v="INSPECTOR 2"/>
    <n v="3995634.3839999996"/>
    <x v="0"/>
    <s v="ECONÓMICA"/>
    <m/>
    <m/>
  </r>
  <r>
    <x v="0"/>
    <x v="8"/>
    <x v="0"/>
    <x v="0"/>
    <s v="INSPECTOR 2"/>
    <n v="3995634.3839999996"/>
    <x v="0"/>
    <s v="ECONÓMICA"/>
    <m/>
    <m/>
  </r>
  <r>
    <x v="0"/>
    <x v="9"/>
    <x v="0"/>
    <x v="0"/>
    <s v="INSPECTOR 2"/>
    <n v="3995634.3839999996"/>
    <x v="0"/>
    <s v="ECONÓMICA"/>
    <m/>
    <m/>
  </r>
  <r>
    <x v="0"/>
    <x v="10"/>
    <x v="0"/>
    <x v="0"/>
    <s v="INSPECTOR 2"/>
    <n v="3995634.3839999996"/>
    <x v="0"/>
    <s v="ECONÓMICA"/>
    <m/>
    <m/>
  </r>
  <r>
    <x v="0"/>
    <x v="11"/>
    <x v="0"/>
    <x v="0"/>
    <s v="INSPECTOR 2"/>
    <n v="3995634.3839999996"/>
    <x v="0"/>
    <s v="ECONÓMICA"/>
    <m/>
    <m/>
  </r>
  <r>
    <x v="1"/>
    <x v="0"/>
    <x v="0"/>
    <x v="0"/>
    <s v="DIRECTOR"/>
    <n v="10120918.862249998"/>
    <x v="0"/>
    <s v="ECONÓMICA"/>
    <m/>
    <m/>
  </r>
  <r>
    <x v="1"/>
    <x v="1"/>
    <x v="0"/>
    <x v="0"/>
    <s v="DIRECTOR"/>
    <n v="10120918.862249998"/>
    <x v="0"/>
    <s v="ECONÓMICA"/>
    <m/>
    <m/>
  </r>
  <r>
    <x v="1"/>
    <x v="2"/>
    <x v="0"/>
    <x v="0"/>
    <s v="DIRECTOR"/>
    <n v="10120918.862249998"/>
    <x v="0"/>
    <s v="ECONÓMICA"/>
    <m/>
    <m/>
  </r>
  <r>
    <x v="1"/>
    <x v="0"/>
    <x v="0"/>
    <x v="0"/>
    <s v="INSPECTOR DE ACABADOS 1"/>
    <n v="3845949.1676549995"/>
    <x v="0"/>
    <s v="ECONÓMICA"/>
    <m/>
    <m/>
  </r>
  <r>
    <x v="1"/>
    <x v="1"/>
    <x v="0"/>
    <x v="0"/>
    <s v="INSPECTOR DE ACABADOS 1"/>
    <n v="3845949.1676549995"/>
    <x v="0"/>
    <s v="ECONÓMICA"/>
    <m/>
    <m/>
  </r>
  <r>
    <x v="1"/>
    <x v="2"/>
    <x v="0"/>
    <x v="0"/>
    <s v="INSPECTOR DE ACABADOS 1"/>
    <n v="3845949.1676549995"/>
    <x v="0"/>
    <s v="ECONÓMICA"/>
    <m/>
    <m/>
  </r>
  <r>
    <x v="1"/>
    <x v="0"/>
    <x v="0"/>
    <x v="0"/>
    <s v="INSPECTOR DE ACABADOS 2"/>
    <n v="3845949.1676549995"/>
    <x v="0"/>
    <s v="ECONÓMICA"/>
    <m/>
    <m/>
  </r>
  <r>
    <x v="1"/>
    <x v="1"/>
    <x v="0"/>
    <x v="0"/>
    <s v="INSPECTOR DE ACABADOS 2"/>
    <n v="3845949.1676549995"/>
    <x v="0"/>
    <s v="ECONÓMICA"/>
    <m/>
    <m/>
  </r>
  <r>
    <x v="1"/>
    <x v="2"/>
    <x v="0"/>
    <x v="0"/>
    <s v="INSPECTOR DE ACABADOS 2"/>
    <n v="3845949.1676549995"/>
    <x v="0"/>
    <s v="ECONÓMICA"/>
    <m/>
    <m/>
  </r>
  <r>
    <x v="1"/>
    <x v="0"/>
    <x v="0"/>
    <x v="0"/>
    <s v="INSPECTOR INSTALACIONES"/>
    <n v="4250785.9221449997"/>
    <x v="0"/>
    <s v="ECONÓMICA"/>
    <m/>
    <m/>
  </r>
  <r>
    <x v="1"/>
    <x v="1"/>
    <x v="0"/>
    <x v="0"/>
    <s v="INSPECTOR INSTALACIONES"/>
    <n v="4250785.9221449997"/>
    <x v="0"/>
    <s v="ECONÓMICA"/>
    <m/>
    <m/>
  </r>
  <r>
    <x v="1"/>
    <x v="2"/>
    <x v="0"/>
    <x v="0"/>
    <s v="INSPECTOR INSTALACIONES"/>
    <n v="4250785.9221449997"/>
    <x v="0"/>
    <s v="ECONÓMICA"/>
    <m/>
    <m/>
  </r>
  <r>
    <x v="1"/>
    <x v="0"/>
    <x v="0"/>
    <x v="0"/>
    <s v="INSPECTOR SISO"/>
    <n v="3643530.7904099999"/>
    <x v="0"/>
    <s v="ECONÓMICA"/>
    <m/>
    <m/>
  </r>
  <r>
    <x v="1"/>
    <x v="1"/>
    <x v="0"/>
    <x v="0"/>
    <s v="INSPECTOR SISO"/>
    <n v="3643530.7904099999"/>
    <x v="0"/>
    <s v="ECONÓMICA"/>
    <m/>
    <m/>
  </r>
  <r>
    <x v="1"/>
    <x v="2"/>
    <x v="0"/>
    <x v="0"/>
    <s v="INSPECTOR SISO"/>
    <n v="3643530.7904099999"/>
    <x v="0"/>
    <s v="ECONÓMICA"/>
    <m/>
    <m/>
  </r>
  <r>
    <x v="1"/>
    <x v="0"/>
    <x v="0"/>
    <x v="0"/>
    <s v="PROFESIONAL CONTROL DE PPTO Y PROGRAMACION"/>
    <n v="4964979.0644999994"/>
    <x v="0"/>
    <s v="ECONÓMICA"/>
    <m/>
    <m/>
  </r>
  <r>
    <x v="1"/>
    <x v="1"/>
    <x v="0"/>
    <x v="0"/>
    <s v="PROFESIONAL CONTROL DE PPTO Y PROGRAMACION"/>
    <n v="4964979.0644999994"/>
    <x v="0"/>
    <s v="ECONÓMICA"/>
    <m/>
    <m/>
  </r>
  <r>
    <x v="1"/>
    <x v="2"/>
    <x v="0"/>
    <x v="0"/>
    <s v="PROFESIONAL CONTROL DE PPTO Y PROGRAMACION"/>
    <n v="4964979.0644999994"/>
    <x v="0"/>
    <s v="ECONÓMICA"/>
    <m/>
    <m/>
  </r>
  <r>
    <x v="1"/>
    <x v="0"/>
    <x v="0"/>
    <x v="0"/>
    <s v="RESIDENTE DE INSTALACIONES"/>
    <n v="8593232.9962500017"/>
    <x v="0"/>
    <s v="ECONÓMICA"/>
    <m/>
    <m/>
  </r>
  <r>
    <x v="1"/>
    <x v="1"/>
    <x v="0"/>
    <x v="0"/>
    <s v="RESIDENTE DE INSTALACIONES"/>
    <n v="8593232.9962500017"/>
    <x v="0"/>
    <s v="ECONÓMICA"/>
    <m/>
    <m/>
  </r>
  <r>
    <x v="1"/>
    <x v="2"/>
    <x v="0"/>
    <x v="0"/>
    <s v="RESIDENTE DE INSTALACIONES"/>
    <n v="8593232.9962500017"/>
    <x v="0"/>
    <s v="ECONÓMICA"/>
    <m/>
    <m/>
  </r>
  <r>
    <x v="1"/>
    <x v="0"/>
    <x v="0"/>
    <x v="0"/>
    <s v="RESIDENTE TECNICO"/>
    <n v="6110743.4639999997"/>
    <x v="0"/>
    <s v="ECONÓMICA"/>
    <m/>
    <m/>
  </r>
  <r>
    <x v="1"/>
    <x v="1"/>
    <x v="0"/>
    <x v="0"/>
    <s v="RESIDENTE TECNICO"/>
    <n v="6110743.4639999997"/>
    <x v="0"/>
    <s v="ECONÓMICA"/>
    <m/>
    <m/>
  </r>
  <r>
    <x v="1"/>
    <x v="2"/>
    <x v="0"/>
    <x v="0"/>
    <s v="RESIDENTE TECNICO"/>
    <n v="6110743.4639999997"/>
    <x v="0"/>
    <s v="ECONÓMICA"/>
    <m/>
    <m/>
  </r>
  <r>
    <x v="2"/>
    <x v="0"/>
    <x v="0"/>
    <x v="0"/>
    <s v="COORDINADOR"/>
    <n v="2679075"/>
    <x v="0"/>
    <s v="CONTRACTUAL"/>
    <m/>
    <m/>
  </r>
  <r>
    <x v="2"/>
    <x v="1"/>
    <x v="0"/>
    <x v="0"/>
    <s v="COORDINADOR"/>
    <n v="2679075"/>
    <x v="0"/>
    <s v="CONTRACTUAL"/>
    <m/>
    <m/>
  </r>
  <r>
    <x v="2"/>
    <x v="2"/>
    <x v="0"/>
    <x v="0"/>
    <s v="COORDINADOR"/>
    <n v="2679075"/>
    <x v="0"/>
    <s v="CONTRACTUAL"/>
    <m/>
    <m/>
  </r>
  <r>
    <x v="2"/>
    <x v="3"/>
    <x v="0"/>
    <x v="0"/>
    <s v="COORDINADOR"/>
    <n v="2679075"/>
    <x v="0"/>
    <s v="CONTRACTUAL"/>
    <m/>
    <m/>
  </r>
  <r>
    <x v="2"/>
    <x v="4"/>
    <x v="0"/>
    <x v="0"/>
    <s v="COORDINADOR"/>
    <n v="2679075"/>
    <x v="0"/>
    <s v="CONTRACTUAL"/>
    <m/>
    <m/>
  </r>
  <r>
    <x v="2"/>
    <x v="5"/>
    <x v="0"/>
    <x v="0"/>
    <s v="COORDINADOR"/>
    <n v="2679075"/>
    <x v="0"/>
    <s v="CONTRACTUAL"/>
    <m/>
    <m/>
  </r>
  <r>
    <x v="2"/>
    <x v="0"/>
    <x v="0"/>
    <x v="0"/>
    <s v="DIRECTOR"/>
    <n v="9754920"/>
    <x v="0"/>
    <s v="CONTRACTUAL"/>
    <m/>
    <m/>
  </r>
  <r>
    <x v="2"/>
    <x v="1"/>
    <x v="0"/>
    <x v="0"/>
    <s v="DIRECTOR"/>
    <n v="9754920"/>
    <x v="0"/>
    <s v="CONTRACTUAL"/>
    <m/>
    <m/>
  </r>
  <r>
    <x v="2"/>
    <x v="2"/>
    <x v="0"/>
    <x v="0"/>
    <s v="DIRECTOR"/>
    <n v="9754920"/>
    <x v="0"/>
    <s v="CONTRACTUAL"/>
    <m/>
    <m/>
  </r>
  <r>
    <x v="2"/>
    <x v="3"/>
    <x v="0"/>
    <x v="0"/>
    <s v="DIRECTOR"/>
    <n v="9754920"/>
    <x v="0"/>
    <s v="CONTRACTUAL"/>
    <m/>
    <m/>
  </r>
  <r>
    <x v="2"/>
    <x v="4"/>
    <x v="0"/>
    <x v="0"/>
    <s v="DIRECTOR"/>
    <n v="9754920"/>
    <x v="0"/>
    <s v="CONTRACTUAL"/>
    <m/>
    <m/>
  </r>
  <r>
    <x v="2"/>
    <x v="5"/>
    <x v="0"/>
    <x v="0"/>
    <s v="DIRECTOR"/>
    <n v="9754920"/>
    <x v="0"/>
    <s v="CONTRACTUAL"/>
    <m/>
    <m/>
  </r>
  <r>
    <x v="2"/>
    <x v="0"/>
    <x v="0"/>
    <x v="0"/>
    <s v="INSPECTOR"/>
    <n v="4163260.5"/>
    <x v="0"/>
    <s v="CONTRACTUAL"/>
    <m/>
    <m/>
  </r>
  <r>
    <x v="2"/>
    <x v="1"/>
    <x v="0"/>
    <x v="0"/>
    <s v="INSPECTOR"/>
    <n v="4163260.5"/>
    <x v="0"/>
    <s v="CONTRACTUAL"/>
    <m/>
    <m/>
  </r>
  <r>
    <x v="2"/>
    <x v="2"/>
    <x v="0"/>
    <x v="0"/>
    <s v="INSPECTOR"/>
    <n v="4163260.5"/>
    <x v="0"/>
    <s v="CONTRACTUAL"/>
    <m/>
    <m/>
  </r>
  <r>
    <x v="2"/>
    <x v="3"/>
    <x v="0"/>
    <x v="0"/>
    <s v="INSPECTOR"/>
    <n v="4163260.5"/>
    <x v="0"/>
    <s v="CONTRACTUAL"/>
    <m/>
    <m/>
  </r>
  <r>
    <x v="2"/>
    <x v="0"/>
    <x v="0"/>
    <x v="0"/>
    <s v="PROFESIONAL CONTRATACIONES"/>
    <n v="1950380.3812500001"/>
    <x v="0"/>
    <s v="CONTRACTUAL"/>
    <m/>
    <m/>
  </r>
  <r>
    <x v="2"/>
    <x v="1"/>
    <x v="0"/>
    <x v="0"/>
    <s v="PROFESIONAL CONTRATACIONES"/>
    <n v="1950380.3812500001"/>
    <x v="0"/>
    <s v="CONTRACTUAL"/>
    <m/>
    <m/>
  </r>
  <r>
    <x v="2"/>
    <x v="2"/>
    <x v="0"/>
    <x v="0"/>
    <s v="PROFESIONAL CONTRATACIONES"/>
    <n v="1950380.3812500001"/>
    <x v="0"/>
    <s v="CONTRACTUAL"/>
    <m/>
    <m/>
  </r>
  <r>
    <x v="2"/>
    <x v="3"/>
    <x v="0"/>
    <x v="0"/>
    <s v="PROFESIONAL CONTRATACIONES"/>
    <n v="1950380.3812500001"/>
    <x v="0"/>
    <s v="CONTRACTUAL"/>
    <m/>
    <m/>
  </r>
  <r>
    <x v="2"/>
    <x v="0"/>
    <x v="0"/>
    <x v="0"/>
    <s v="RESIDENTE ADMINISTRATIVO"/>
    <n v="5521981.5"/>
    <x v="0"/>
    <s v="CONTRACTUAL"/>
    <m/>
    <m/>
  </r>
  <r>
    <x v="2"/>
    <x v="1"/>
    <x v="0"/>
    <x v="0"/>
    <s v="RESIDENTE ADMINISTRATIVO"/>
    <n v="5521981.5"/>
    <x v="0"/>
    <s v="CONTRACTUAL"/>
    <m/>
    <m/>
  </r>
  <r>
    <x v="2"/>
    <x v="2"/>
    <x v="0"/>
    <x v="0"/>
    <s v="RESIDENTE ADMINISTRATIVO"/>
    <n v="5521981.5"/>
    <x v="0"/>
    <s v="CONTRACTUAL"/>
    <m/>
    <m/>
  </r>
  <r>
    <x v="3"/>
    <x v="0"/>
    <x v="0"/>
    <x v="0"/>
    <s v="COORDINADOR"/>
    <n v="3804794.5320000006"/>
    <x v="0"/>
    <s v="CONTROL DE PAGOS"/>
    <m/>
    <m/>
  </r>
  <r>
    <x v="3"/>
    <x v="1"/>
    <x v="0"/>
    <x v="0"/>
    <s v="COORDINADOR"/>
    <n v="3804794.5320000006"/>
    <x v="0"/>
    <s v="CONTROL DE PAGOS"/>
    <m/>
    <m/>
  </r>
  <r>
    <x v="3"/>
    <x v="2"/>
    <x v="0"/>
    <x v="0"/>
    <s v="COORDINADOR"/>
    <n v="3804794.5320000006"/>
    <x v="0"/>
    <s v="CONTROL DE PAGOS"/>
    <m/>
    <m/>
  </r>
  <r>
    <x v="3"/>
    <x v="3"/>
    <x v="0"/>
    <x v="0"/>
    <s v="COORDINADOR"/>
    <n v="3804794.5320000006"/>
    <x v="0"/>
    <s v="CONTROL DE PAGOS"/>
    <m/>
    <m/>
  </r>
  <r>
    <x v="3"/>
    <x v="0"/>
    <x v="0"/>
    <x v="0"/>
    <s v="DIRECTOR"/>
    <n v="10868700"/>
    <x v="0"/>
    <s v="CONTROL DE PAGOS"/>
    <m/>
    <m/>
  </r>
  <r>
    <x v="3"/>
    <x v="1"/>
    <x v="0"/>
    <x v="0"/>
    <s v="DIRECTOR"/>
    <n v="10868700"/>
    <x v="0"/>
    <s v="CONTROL DE PAGOS"/>
    <m/>
    <m/>
  </r>
  <r>
    <x v="3"/>
    <x v="2"/>
    <x v="0"/>
    <x v="0"/>
    <s v="DIRECTOR"/>
    <n v="10868700"/>
    <x v="0"/>
    <s v="CONTROL DE PAGOS"/>
    <m/>
    <m/>
  </r>
  <r>
    <x v="3"/>
    <x v="3"/>
    <x v="0"/>
    <x v="0"/>
    <s v="DIRECTOR"/>
    <n v="10868700"/>
    <x v="0"/>
    <s v="CONTROL DE PAGOS"/>
    <m/>
    <m/>
  </r>
  <r>
    <x v="3"/>
    <x v="0"/>
    <x v="0"/>
    <x v="0"/>
    <s v="INSPECTOR"/>
    <n v="3601566.2399999998"/>
    <x v="0"/>
    <s v="CONTROL DE PAGOS"/>
    <m/>
    <m/>
  </r>
  <r>
    <x v="3"/>
    <x v="1"/>
    <x v="0"/>
    <x v="0"/>
    <s v="INSPECTOR"/>
    <n v="3601566.2399999998"/>
    <x v="0"/>
    <s v="CONTROL DE PAGOS"/>
    <m/>
    <m/>
  </r>
  <r>
    <x v="3"/>
    <x v="2"/>
    <x v="0"/>
    <x v="0"/>
    <s v="INSPECTOR"/>
    <n v="3601566.2399999998"/>
    <x v="0"/>
    <s v="CONTROL DE PAGOS"/>
    <m/>
    <m/>
  </r>
  <r>
    <x v="3"/>
    <x v="3"/>
    <x v="0"/>
    <x v="0"/>
    <s v="INSPECTOR"/>
    <n v="3601566.2399999998"/>
    <x v="0"/>
    <s v="CONTROL DE PAGOS"/>
    <m/>
    <m/>
  </r>
  <r>
    <x v="3"/>
    <x v="0"/>
    <x v="0"/>
    <x v="0"/>
    <s v="PROFESIONAL DE SOPORTE"/>
    <n v="5246958"/>
    <x v="0"/>
    <s v="CONTROL DE PAGOS"/>
    <m/>
    <m/>
  </r>
  <r>
    <x v="3"/>
    <x v="1"/>
    <x v="0"/>
    <x v="0"/>
    <s v="PROFESIONAL DE SOPORTE"/>
    <n v="5246958"/>
    <x v="0"/>
    <s v="CONTROL DE PAGOS"/>
    <m/>
    <m/>
  </r>
  <r>
    <x v="3"/>
    <x v="2"/>
    <x v="0"/>
    <x v="0"/>
    <s v="PROFESIONAL DE SOPORTE"/>
    <n v="5246958"/>
    <x v="0"/>
    <s v="CONTROL DE PAGOS"/>
    <m/>
    <m/>
  </r>
  <r>
    <x v="3"/>
    <x v="3"/>
    <x v="0"/>
    <x v="0"/>
    <s v="PROFESIONAL DE SOPORTE"/>
    <n v="5246958"/>
    <x v="0"/>
    <s v="CONTROL DE PAGOS"/>
    <m/>
    <m/>
  </r>
  <r>
    <x v="3"/>
    <x v="0"/>
    <x v="0"/>
    <x v="0"/>
    <s v="RESIDENTE ADMINISTRATIVO"/>
    <n v="4544697"/>
    <x v="0"/>
    <s v="CONTROL DE PAGOS"/>
    <m/>
    <m/>
  </r>
  <r>
    <x v="3"/>
    <x v="1"/>
    <x v="0"/>
    <x v="0"/>
    <s v="RESIDENTE ADMINISTRATIVO"/>
    <n v="4544697"/>
    <x v="0"/>
    <s v="CONTROL DE PAGOS"/>
    <m/>
    <m/>
  </r>
  <r>
    <x v="3"/>
    <x v="2"/>
    <x v="0"/>
    <x v="0"/>
    <s v="RESIDENTE ADMINISTRATIVO"/>
    <n v="4544697"/>
    <x v="0"/>
    <s v="CONTROL DE PAGOS"/>
    <m/>
    <m/>
  </r>
  <r>
    <x v="3"/>
    <x v="3"/>
    <x v="0"/>
    <x v="0"/>
    <s v="RESIDENTE ADMINISTRATIVO"/>
    <n v="4544697"/>
    <x v="0"/>
    <s v="CONTROL DE PAGOS"/>
    <m/>
    <m/>
  </r>
  <r>
    <x v="3"/>
    <x v="0"/>
    <x v="0"/>
    <x v="0"/>
    <s v="RESIDENTE DE ESTRUCTURA"/>
    <n v="7308264"/>
    <x v="0"/>
    <s v="CONTROL DE PAGOS"/>
    <m/>
    <m/>
  </r>
  <r>
    <x v="3"/>
    <x v="1"/>
    <x v="0"/>
    <x v="0"/>
    <s v="RESIDENTE DE ESTRUCTURA"/>
    <n v="7308264"/>
    <x v="0"/>
    <s v="CONTROL DE PAGOS"/>
    <m/>
    <m/>
  </r>
  <r>
    <x v="3"/>
    <x v="2"/>
    <x v="0"/>
    <x v="0"/>
    <s v="RESIDENTE DE ESTRUCTURA"/>
    <n v="7308264"/>
    <x v="0"/>
    <s v="CONTROL DE PAGOS"/>
    <m/>
    <m/>
  </r>
  <r>
    <x v="3"/>
    <x v="3"/>
    <x v="0"/>
    <x v="0"/>
    <s v="RESIDENTE DE ESTRUCTURA"/>
    <n v="7308264"/>
    <x v="0"/>
    <s v="CONTROL DE PAGOS"/>
    <m/>
    <m/>
  </r>
  <r>
    <x v="3"/>
    <x v="0"/>
    <x v="0"/>
    <x v="0"/>
    <s v="RESIDENTE SISO"/>
    <n v="3989386.5"/>
    <x v="0"/>
    <s v="CONTROL DE PAGOS"/>
    <m/>
    <m/>
  </r>
  <r>
    <x v="3"/>
    <x v="1"/>
    <x v="0"/>
    <x v="0"/>
    <s v="RESIDENTE SISO"/>
    <n v="3989386.5"/>
    <x v="0"/>
    <s v="CONTROL DE PAGOS"/>
    <m/>
    <m/>
  </r>
  <r>
    <x v="3"/>
    <x v="2"/>
    <x v="0"/>
    <x v="0"/>
    <s v="RESIDENTE SISO"/>
    <n v="3989386.5"/>
    <x v="0"/>
    <s v="CONTROL DE PAGOS"/>
    <m/>
    <m/>
  </r>
  <r>
    <x v="4"/>
    <x v="0"/>
    <x v="0"/>
    <x v="0"/>
    <s v="DIRECTOR"/>
    <n v="9724050.0000000019"/>
    <x v="0"/>
    <s v="CONTRACTUAL"/>
    <m/>
    <m/>
  </r>
  <r>
    <x v="4"/>
    <x v="1"/>
    <x v="0"/>
    <x v="0"/>
    <s v="DIRECTOR"/>
    <n v="9724050.0000000019"/>
    <x v="0"/>
    <s v="CONTRACTUAL"/>
    <m/>
    <m/>
  </r>
  <r>
    <x v="4"/>
    <x v="2"/>
    <x v="0"/>
    <x v="0"/>
    <s v="DIRECTOR"/>
    <n v="9724050.0000000019"/>
    <x v="0"/>
    <s v="CONTRACTUAL"/>
    <m/>
    <m/>
  </r>
  <r>
    <x v="4"/>
    <x v="3"/>
    <x v="0"/>
    <x v="0"/>
    <s v="DIRECTOR"/>
    <n v="9724050.0000000019"/>
    <x v="0"/>
    <s v="CONTRACTUAL"/>
    <m/>
    <m/>
  </r>
  <r>
    <x v="4"/>
    <x v="4"/>
    <x v="0"/>
    <x v="0"/>
    <s v="DIRECTOR"/>
    <n v="9724050.0000000019"/>
    <x v="0"/>
    <s v="CONTRACTUAL"/>
    <m/>
    <m/>
  </r>
  <r>
    <x v="4"/>
    <x v="5"/>
    <x v="0"/>
    <x v="0"/>
    <s v="DIRECTOR"/>
    <n v="9724050.0000000019"/>
    <x v="0"/>
    <s v="CONTRACTUAL"/>
    <m/>
    <m/>
  </r>
  <r>
    <x v="4"/>
    <x v="6"/>
    <x v="0"/>
    <x v="0"/>
    <s v="DIRECTOR"/>
    <n v="9724050.0000000019"/>
    <x v="0"/>
    <s v="CONTRACTUAL"/>
    <m/>
    <m/>
  </r>
  <r>
    <x v="4"/>
    <x v="7"/>
    <x v="0"/>
    <x v="0"/>
    <s v="DIRECTOR"/>
    <n v="9724050.0000000019"/>
    <x v="0"/>
    <s v="CONTRACTUAL"/>
    <m/>
    <m/>
  </r>
  <r>
    <x v="4"/>
    <x v="8"/>
    <x v="0"/>
    <x v="0"/>
    <s v="DIRECTOR"/>
    <n v="9724050.0000000019"/>
    <x v="0"/>
    <s v="CONTRACTUAL"/>
    <m/>
    <m/>
  </r>
  <r>
    <x v="4"/>
    <x v="9"/>
    <x v="0"/>
    <x v="0"/>
    <s v="DIRECTOR"/>
    <n v="9724050.0000000019"/>
    <x v="0"/>
    <s v="CONTRACTUAL"/>
    <m/>
    <m/>
  </r>
  <r>
    <x v="4"/>
    <x v="10"/>
    <x v="0"/>
    <x v="0"/>
    <s v="DIRECTOR"/>
    <n v="9724050.0000000019"/>
    <x v="0"/>
    <s v="CONTRACTUAL"/>
    <m/>
    <m/>
  </r>
  <r>
    <x v="4"/>
    <x v="0"/>
    <x v="0"/>
    <x v="0"/>
    <s v="INSPECTOR DE INSTALACIONES"/>
    <n v="3533997.5999999996"/>
    <x v="0"/>
    <s v="CONTRACTUAL"/>
    <m/>
    <m/>
  </r>
  <r>
    <x v="4"/>
    <x v="1"/>
    <x v="0"/>
    <x v="0"/>
    <s v="INSPECTOR DE INSTALACIONES"/>
    <n v="3533997.5999999996"/>
    <x v="0"/>
    <s v="CONTRACTUAL"/>
    <m/>
    <m/>
  </r>
  <r>
    <x v="4"/>
    <x v="2"/>
    <x v="0"/>
    <x v="0"/>
    <s v="INSPECTOR DE INSTALACIONES"/>
    <n v="3533997.5999999996"/>
    <x v="0"/>
    <s v="CONTRACTUAL"/>
    <m/>
    <m/>
  </r>
  <r>
    <x v="4"/>
    <x v="3"/>
    <x v="0"/>
    <x v="0"/>
    <s v="INSPECTOR DE INSTALACIONES"/>
    <n v="3533997.5999999996"/>
    <x v="0"/>
    <s v="CONTRACTUAL"/>
    <m/>
    <m/>
  </r>
  <r>
    <x v="4"/>
    <x v="4"/>
    <x v="0"/>
    <x v="0"/>
    <s v="INSPECTOR DE INSTALACIONES"/>
    <n v="3533997.5999999996"/>
    <x v="0"/>
    <s v="CONTRACTUAL"/>
    <m/>
    <m/>
  </r>
  <r>
    <x v="4"/>
    <x v="5"/>
    <x v="0"/>
    <x v="0"/>
    <s v="INSPECTOR DE INSTALACIONES"/>
    <n v="3533997.5999999996"/>
    <x v="0"/>
    <s v="CONTRACTUAL"/>
    <m/>
    <m/>
  </r>
  <r>
    <x v="4"/>
    <x v="6"/>
    <x v="0"/>
    <x v="0"/>
    <s v="INSPECTOR DE INSTALACIONES"/>
    <n v="3533997.5999999996"/>
    <x v="0"/>
    <s v="CONTRACTUAL"/>
    <m/>
    <m/>
  </r>
  <r>
    <x v="4"/>
    <x v="7"/>
    <x v="0"/>
    <x v="0"/>
    <s v="INSPECTOR DE INSTALACIONES"/>
    <n v="3533997.5999999996"/>
    <x v="0"/>
    <s v="CONTRACTUAL"/>
    <m/>
    <m/>
  </r>
  <r>
    <x v="4"/>
    <x v="8"/>
    <x v="0"/>
    <x v="0"/>
    <s v="INSPECTOR DE INSTALACIONES"/>
    <n v="3533997.5999999996"/>
    <x v="0"/>
    <s v="CONTRACTUAL"/>
    <m/>
    <m/>
  </r>
  <r>
    <x v="4"/>
    <x v="9"/>
    <x v="0"/>
    <x v="0"/>
    <s v="INSPECTOR DE INSTALACIONES"/>
    <n v="3533997.5999999996"/>
    <x v="0"/>
    <s v="CONTRACTUAL"/>
    <m/>
    <m/>
  </r>
  <r>
    <x v="4"/>
    <x v="10"/>
    <x v="0"/>
    <x v="0"/>
    <s v="INSPECTOR DE INSTALACIONES"/>
    <n v="3533997.5999999996"/>
    <x v="0"/>
    <s v="CONTRACTUAL"/>
    <m/>
    <m/>
  </r>
  <r>
    <x v="4"/>
    <x v="0"/>
    <x v="0"/>
    <x v="0"/>
    <s v="INSPECTOR GENERAL"/>
    <n v="3902122.35"/>
    <x v="0"/>
    <s v="CONTRACTUAL"/>
    <m/>
    <m/>
  </r>
  <r>
    <x v="4"/>
    <x v="1"/>
    <x v="0"/>
    <x v="0"/>
    <s v="INSPECTOR GENERAL"/>
    <n v="3902122.35"/>
    <x v="0"/>
    <s v="CONTRACTUAL"/>
    <m/>
    <m/>
  </r>
  <r>
    <x v="4"/>
    <x v="2"/>
    <x v="0"/>
    <x v="0"/>
    <s v="INSPECTOR GENERAL"/>
    <n v="3902122.35"/>
    <x v="0"/>
    <s v="CONTRACTUAL"/>
    <m/>
    <m/>
  </r>
  <r>
    <x v="4"/>
    <x v="3"/>
    <x v="0"/>
    <x v="0"/>
    <s v="INSPECTOR GENERAL"/>
    <n v="3902122.35"/>
    <x v="0"/>
    <s v="CONTRACTUAL"/>
    <m/>
    <m/>
  </r>
  <r>
    <x v="4"/>
    <x v="4"/>
    <x v="0"/>
    <x v="0"/>
    <s v="INSPECTOR GENERAL"/>
    <n v="3902122.35"/>
    <x v="0"/>
    <s v="CONTRACTUAL"/>
    <m/>
    <m/>
  </r>
  <r>
    <x v="4"/>
    <x v="5"/>
    <x v="0"/>
    <x v="0"/>
    <s v="INSPECTOR GENERAL"/>
    <n v="3902122.35"/>
    <x v="0"/>
    <s v="CONTRACTUAL"/>
    <m/>
    <m/>
  </r>
  <r>
    <x v="4"/>
    <x v="6"/>
    <x v="0"/>
    <x v="0"/>
    <s v="INSPECTOR GENERAL"/>
    <n v="3902122.35"/>
    <x v="0"/>
    <s v="CONTRACTUAL"/>
    <m/>
    <m/>
  </r>
  <r>
    <x v="4"/>
    <x v="7"/>
    <x v="0"/>
    <x v="0"/>
    <s v="INSPECTOR GENERAL"/>
    <n v="3902122.35"/>
    <x v="0"/>
    <s v="CONTRACTUAL"/>
    <m/>
    <m/>
  </r>
  <r>
    <x v="4"/>
    <x v="0"/>
    <x v="0"/>
    <x v="0"/>
    <s v="RESIDENTE ADMINISTRATIVO"/>
    <n v="3993806.2500000005"/>
    <x v="0"/>
    <s v="CONTRACTUAL"/>
    <m/>
    <m/>
  </r>
  <r>
    <x v="4"/>
    <x v="1"/>
    <x v="0"/>
    <x v="0"/>
    <s v="RESIDENTE ADMINISTRATIVO"/>
    <n v="3993806.2500000005"/>
    <x v="0"/>
    <s v="CONTRACTUAL"/>
    <m/>
    <m/>
  </r>
  <r>
    <x v="4"/>
    <x v="2"/>
    <x v="0"/>
    <x v="0"/>
    <s v="RESIDENTE ADMINISTRATIVO"/>
    <n v="3993806.2500000005"/>
    <x v="0"/>
    <s v="CONTRACTUAL"/>
    <m/>
    <m/>
  </r>
  <r>
    <x v="4"/>
    <x v="3"/>
    <x v="0"/>
    <x v="0"/>
    <s v="RESIDENTE ADMINISTRATIVO"/>
    <n v="3993806.2500000005"/>
    <x v="0"/>
    <s v="CONTRACTUAL"/>
    <m/>
    <m/>
  </r>
  <r>
    <x v="4"/>
    <x v="4"/>
    <x v="0"/>
    <x v="0"/>
    <s v="RESIDENTE ADMINISTRATIVO"/>
    <n v="3993806.2500000005"/>
    <x v="0"/>
    <s v="CONTRACTUAL"/>
    <m/>
    <m/>
  </r>
  <r>
    <x v="4"/>
    <x v="5"/>
    <x v="0"/>
    <x v="0"/>
    <s v="RESIDENTE ADMINISTRATIVO"/>
    <n v="3993806.2500000005"/>
    <x v="0"/>
    <s v="CONTRACTUAL"/>
    <m/>
    <m/>
  </r>
  <r>
    <x v="4"/>
    <x v="6"/>
    <x v="0"/>
    <x v="0"/>
    <s v="RESIDENTE ADMINISTRATIVO"/>
    <n v="3993806.2500000005"/>
    <x v="0"/>
    <s v="CONTRACTUAL"/>
    <m/>
    <m/>
  </r>
  <r>
    <x v="4"/>
    <x v="7"/>
    <x v="0"/>
    <x v="0"/>
    <s v="RESIDENTE ADMINISTRATIVO"/>
    <n v="3993806.2500000005"/>
    <x v="0"/>
    <s v="CONTRACTUAL"/>
    <m/>
    <m/>
  </r>
  <r>
    <x v="5"/>
    <x v="0"/>
    <x v="0"/>
    <x v="0"/>
    <s v="COORDINADOR"/>
    <n v="4388324.8500000006"/>
    <x v="0"/>
    <s v="CONTRACTUAL"/>
    <m/>
    <m/>
  </r>
  <r>
    <x v="5"/>
    <x v="1"/>
    <x v="0"/>
    <x v="0"/>
    <s v="COORDINADOR"/>
    <n v="4388324.8500000006"/>
    <x v="0"/>
    <s v="CONTRACTUAL"/>
    <m/>
    <m/>
  </r>
  <r>
    <x v="5"/>
    <x v="2"/>
    <x v="0"/>
    <x v="0"/>
    <s v="COORDINADOR"/>
    <n v="4388324.8500000006"/>
    <x v="0"/>
    <s v="CONTRACTUAL"/>
    <m/>
    <m/>
  </r>
  <r>
    <x v="5"/>
    <x v="3"/>
    <x v="0"/>
    <x v="0"/>
    <s v="COORDINADOR"/>
    <n v="4388324.8500000006"/>
    <x v="0"/>
    <s v="CONTRACTUAL"/>
    <m/>
    <m/>
  </r>
  <r>
    <x v="5"/>
    <x v="4"/>
    <x v="0"/>
    <x v="0"/>
    <s v="COORDINADOR"/>
    <n v="4388324.8500000006"/>
    <x v="0"/>
    <s v="CONTRACTUAL"/>
    <m/>
    <m/>
  </r>
  <r>
    <x v="5"/>
    <x v="0"/>
    <x v="0"/>
    <x v="0"/>
    <s v="DIRECTOR"/>
    <n v="8682187.5000000019"/>
    <x v="0"/>
    <s v="CONTRACTUAL"/>
    <m/>
    <m/>
  </r>
  <r>
    <x v="5"/>
    <x v="1"/>
    <x v="0"/>
    <x v="0"/>
    <s v="DIRECTOR"/>
    <n v="8682187.5000000019"/>
    <x v="0"/>
    <s v="CONTRACTUAL"/>
    <m/>
    <m/>
  </r>
  <r>
    <x v="5"/>
    <x v="2"/>
    <x v="0"/>
    <x v="0"/>
    <s v="DIRECTOR"/>
    <n v="8682187.5000000019"/>
    <x v="0"/>
    <s v="CONTRACTUAL"/>
    <m/>
    <m/>
  </r>
  <r>
    <x v="5"/>
    <x v="3"/>
    <x v="0"/>
    <x v="0"/>
    <s v="DIRECTOR"/>
    <n v="8682187.5000000019"/>
    <x v="0"/>
    <s v="CONTRACTUAL"/>
    <m/>
    <m/>
  </r>
  <r>
    <x v="5"/>
    <x v="4"/>
    <x v="0"/>
    <x v="0"/>
    <s v="DIRECTOR"/>
    <n v="8682187.5000000019"/>
    <x v="0"/>
    <s v="CONTRACTUAL"/>
    <m/>
    <m/>
  </r>
  <r>
    <x v="5"/>
    <x v="0"/>
    <x v="0"/>
    <x v="0"/>
    <s v="INSPECTOR"/>
    <n v="3865309.875"/>
    <x v="0"/>
    <s v="CONTRACTUAL"/>
    <m/>
    <m/>
  </r>
  <r>
    <x v="5"/>
    <x v="1"/>
    <x v="0"/>
    <x v="0"/>
    <s v="INSPECTOR"/>
    <n v="3865309.875"/>
    <x v="0"/>
    <s v="CONTRACTUAL"/>
    <m/>
    <m/>
  </r>
  <r>
    <x v="5"/>
    <x v="2"/>
    <x v="0"/>
    <x v="0"/>
    <s v="INSPECTOR"/>
    <n v="3865309.875"/>
    <x v="0"/>
    <s v="CONTRACTUAL"/>
    <m/>
    <m/>
  </r>
  <r>
    <x v="5"/>
    <x v="3"/>
    <x v="0"/>
    <x v="0"/>
    <s v="INSPECTOR"/>
    <n v="3865309.875"/>
    <x v="0"/>
    <s v="CONTRACTUAL"/>
    <m/>
    <m/>
  </r>
  <r>
    <x v="5"/>
    <x v="4"/>
    <x v="0"/>
    <x v="0"/>
    <s v="INSPECTOR"/>
    <n v="3865309.875"/>
    <x v="0"/>
    <s v="CONTRACTUAL"/>
    <m/>
    <m/>
  </r>
  <r>
    <x v="5"/>
    <x v="0"/>
    <x v="0"/>
    <x v="0"/>
    <s v="INSPECTOR DE ACABADOS"/>
    <n v="3497185.125"/>
    <x v="0"/>
    <s v="CONTRACTUAL"/>
    <m/>
    <m/>
  </r>
  <r>
    <x v="5"/>
    <x v="1"/>
    <x v="0"/>
    <x v="0"/>
    <s v="INSPECTOR DE ACABADOS"/>
    <n v="3497185.125"/>
    <x v="0"/>
    <s v="CONTRACTUAL"/>
    <m/>
    <m/>
  </r>
  <r>
    <x v="5"/>
    <x v="2"/>
    <x v="0"/>
    <x v="0"/>
    <s v="INSPECTOR DE ACABADOS"/>
    <n v="3497185.125"/>
    <x v="0"/>
    <s v="CONTRACTUAL"/>
    <m/>
    <m/>
  </r>
  <r>
    <x v="5"/>
    <x v="3"/>
    <x v="0"/>
    <x v="0"/>
    <s v="INSPECTOR DE ACABADOS"/>
    <n v="3497185.125"/>
    <x v="0"/>
    <s v="CONTRACTUAL"/>
    <m/>
    <m/>
  </r>
  <r>
    <x v="5"/>
    <x v="4"/>
    <x v="0"/>
    <x v="0"/>
    <s v="INSPECTOR DE ACABADOS"/>
    <n v="3497185.125"/>
    <x v="0"/>
    <s v="CONTRACTUAL"/>
    <m/>
    <m/>
  </r>
  <r>
    <x v="5"/>
    <x v="5"/>
    <x v="0"/>
    <x v="0"/>
    <s v="INSPECTOR DE ACABADOS"/>
    <n v="3497185.125"/>
    <x v="0"/>
    <s v="CONTRACTUAL"/>
    <m/>
    <m/>
  </r>
  <r>
    <x v="5"/>
    <x v="6"/>
    <x v="0"/>
    <x v="0"/>
    <s v="INSPECTOR DE ACABADOS"/>
    <n v="3497185.125"/>
    <x v="0"/>
    <s v="CONTRACTUAL"/>
    <m/>
    <m/>
  </r>
  <r>
    <x v="5"/>
    <x v="7"/>
    <x v="0"/>
    <x v="0"/>
    <s v="INSPECTOR DE ACABADOS"/>
    <n v="3497185.125"/>
    <x v="0"/>
    <s v="CONTRACTUAL"/>
    <m/>
    <m/>
  </r>
  <r>
    <x v="5"/>
    <x v="8"/>
    <x v="0"/>
    <x v="0"/>
    <s v="INSPECTOR DE ACABADOS"/>
    <n v="3497185.125"/>
    <x v="0"/>
    <s v="CONTRACTUAL"/>
    <m/>
    <m/>
  </r>
  <r>
    <x v="5"/>
    <x v="9"/>
    <x v="0"/>
    <x v="0"/>
    <s v="INSPECTOR DE ACABADOS"/>
    <n v="3497185.125"/>
    <x v="0"/>
    <s v="CONTRACTUAL"/>
    <m/>
    <m/>
  </r>
  <r>
    <x v="5"/>
    <x v="10"/>
    <x v="0"/>
    <x v="0"/>
    <s v="INSPECTOR DE ACABADOS"/>
    <n v="3497185.125"/>
    <x v="0"/>
    <s v="CONTRACTUAL"/>
    <m/>
    <m/>
  </r>
  <r>
    <x v="5"/>
    <x v="11"/>
    <x v="0"/>
    <x v="0"/>
    <s v="INSPECTOR DE ACABADOS"/>
    <n v="3497185.125"/>
    <x v="0"/>
    <s v="CONTRACTUAL"/>
    <m/>
    <m/>
  </r>
  <r>
    <x v="5"/>
    <x v="12"/>
    <x v="0"/>
    <x v="0"/>
    <s v="INSPECTOR DE ACABADOS"/>
    <n v="3497185.125"/>
    <x v="0"/>
    <s v="CONTRACTUAL"/>
    <m/>
    <m/>
  </r>
  <r>
    <x v="5"/>
    <x v="0"/>
    <x v="0"/>
    <x v="0"/>
    <s v="RESIDENTE ADMINISTRATIVO"/>
    <n v="3646518.7500000005"/>
    <x v="0"/>
    <s v="CONTRACTUAL"/>
    <m/>
    <m/>
  </r>
  <r>
    <x v="6"/>
    <x v="0"/>
    <x v="0"/>
    <x v="0"/>
    <s v="RESIDENTE TECNICO"/>
    <n v="8365287.65625"/>
    <x v="0"/>
    <s v="CONTRACTUAL"/>
    <m/>
    <m/>
  </r>
  <r>
    <x v="6"/>
    <x v="1"/>
    <x v="0"/>
    <x v="0"/>
    <s v="RESIDENTE TECNICO"/>
    <n v="8365287.65625"/>
    <x v="0"/>
    <s v="CONTRACTUAL"/>
    <m/>
    <m/>
  </r>
  <r>
    <x v="7"/>
    <x v="0"/>
    <x v="0"/>
    <x v="0"/>
    <s v="COORDINADOR"/>
    <n v="3839596.7085000006"/>
    <x v="0"/>
    <s v="ECONÓMICA"/>
    <m/>
    <m/>
  </r>
  <r>
    <x v="7"/>
    <x v="1"/>
    <x v="0"/>
    <x v="0"/>
    <s v="COORDINADOR"/>
    <n v="3839596.7085000006"/>
    <x v="0"/>
    <s v="ECONÓMICA"/>
    <m/>
    <m/>
  </r>
  <r>
    <x v="7"/>
    <x v="2"/>
    <x v="0"/>
    <x v="0"/>
    <s v="COORDINADOR"/>
    <n v="3839596.7085000006"/>
    <x v="0"/>
    <s v="ECONÓMICA"/>
    <m/>
    <m/>
  </r>
  <r>
    <x v="7"/>
    <x v="3"/>
    <x v="0"/>
    <x v="0"/>
    <s v="COORDINADOR"/>
    <n v="3839596.7085000006"/>
    <x v="0"/>
    <s v="ECONÓMICA"/>
    <m/>
    <m/>
  </r>
  <r>
    <x v="7"/>
    <x v="4"/>
    <x v="0"/>
    <x v="0"/>
    <s v="COORDINADOR"/>
    <n v="3839596.7085000006"/>
    <x v="0"/>
    <s v="ECONÓMICA"/>
    <m/>
    <m/>
  </r>
  <r>
    <x v="7"/>
    <x v="5"/>
    <x v="0"/>
    <x v="0"/>
    <s v="COORDINADOR"/>
    <n v="3839596.7085000006"/>
    <x v="0"/>
    <s v="ECONÓMICA"/>
    <m/>
    <m/>
  </r>
  <r>
    <x v="7"/>
    <x v="6"/>
    <x v="0"/>
    <x v="0"/>
    <s v="COORDINADOR"/>
    <n v="3839596.7085000006"/>
    <x v="0"/>
    <s v="ECONÓMICA"/>
    <m/>
    <m/>
  </r>
  <r>
    <x v="7"/>
    <x v="7"/>
    <x v="0"/>
    <x v="0"/>
    <s v="COORDINADOR"/>
    <n v="3839596.7085000006"/>
    <x v="0"/>
    <s v="ECONÓMICA"/>
    <m/>
    <m/>
  </r>
  <r>
    <x v="7"/>
    <x v="8"/>
    <x v="0"/>
    <x v="0"/>
    <s v="COORDINADOR"/>
    <n v="3839596.7085000006"/>
    <x v="0"/>
    <s v="ECONÓMICA"/>
    <m/>
    <m/>
  </r>
  <r>
    <x v="7"/>
    <x v="9"/>
    <x v="0"/>
    <x v="0"/>
    <s v="COORDINADOR"/>
    <n v="3839596.7085000006"/>
    <x v="0"/>
    <s v="ECONÓMICA"/>
    <m/>
    <m/>
  </r>
  <r>
    <x v="7"/>
    <x v="10"/>
    <x v="0"/>
    <x v="0"/>
    <s v="COORDINADOR"/>
    <n v="3839596.7085000006"/>
    <x v="0"/>
    <s v="ECONÓMICA"/>
    <m/>
    <m/>
  </r>
  <r>
    <x v="7"/>
    <x v="11"/>
    <x v="0"/>
    <x v="0"/>
    <s v="COORDINADOR"/>
    <n v="3839596.7085000006"/>
    <x v="0"/>
    <s v="ECONÓMICA"/>
    <m/>
    <m/>
  </r>
  <r>
    <x v="7"/>
    <x v="0"/>
    <x v="0"/>
    <x v="0"/>
    <s v="DIRECTOR"/>
    <n v="12599152.25625"/>
    <x v="0"/>
    <s v="ECONÓMICA"/>
    <m/>
    <m/>
  </r>
  <r>
    <x v="7"/>
    <x v="1"/>
    <x v="0"/>
    <x v="0"/>
    <s v="DIRECTOR"/>
    <n v="12599152.25625"/>
    <x v="0"/>
    <s v="ECONÓMICA"/>
    <m/>
    <m/>
  </r>
  <r>
    <x v="7"/>
    <x v="2"/>
    <x v="0"/>
    <x v="0"/>
    <s v="DIRECTOR"/>
    <n v="12599152.25625"/>
    <x v="0"/>
    <s v="ECONÓMICA"/>
    <m/>
    <m/>
  </r>
  <r>
    <x v="7"/>
    <x v="3"/>
    <x v="0"/>
    <x v="0"/>
    <s v="DIRECTOR"/>
    <n v="12599152.25625"/>
    <x v="0"/>
    <s v="ECONÓMICA"/>
    <m/>
    <m/>
  </r>
  <r>
    <x v="7"/>
    <x v="4"/>
    <x v="0"/>
    <x v="0"/>
    <s v="DIRECTOR"/>
    <n v="12599152.25625"/>
    <x v="0"/>
    <s v="ECONÓMICA"/>
    <m/>
    <m/>
  </r>
  <r>
    <x v="7"/>
    <x v="5"/>
    <x v="0"/>
    <x v="0"/>
    <s v="DIRECTOR"/>
    <n v="12599152.25625"/>
    <x v="0"/>
    <s v="ECONÓMICA"/>
    <m/>
    <m/>
  </r>
  <r>
    <x v="7"/>
    <x v="6"/>
    <x v="0"/>
    <x v="0"/>
    <s v="DIRECTOR"/>
    <n v="12599152.25625"/>
    <x v="0"/>
    <s v="ECONÓMICA"/>
    <m/>
    <m/>
  </r>
  <r>
    <x v="7"/>
    <x v="7"/>
    <x v="0"/>
    <x v="0"/>
    <s v="DIRECTOR"/>
    <n v="12599152.25625"/>
    <x v="0"/>
    <s v="ECONÓMICA"/>
    <m/>
    <m/>
  </r>
  <r>
    <x v="7"/>
    <x v="8"/>
    <x v="0"/>
    <x v="0"/>
    <s v="DIRECTOR"/>
    <n v="12599152.25625"/>
    <x v="0"/>
    <s v="ECONÓMICA"/>
    <m/>
    <m/>
  </r>
  <r>
    <x v="7"/>
    <x v="9"/>
    <x v="0"/>
    <x v="0"/>
    <s v="DIRECTOR"/>
    <n v="12599152.25625"/>
    <x v="0"/>
    <s v="ECONÓMICA"/>
    <m/>
    <m/>
  </r>
  <r>
    <x v="7"/>
    <x v="10"/>
    <x v="0"/>
    <x v="0"/>
    <s v="DIRECTOR"/>
    <n v="12599152.25625"/>
    <x v="0"/>
    <s v="ECONÓMICA"/>
    <m/>
    <m/>
  </r>
  <r>
    <x v="7"/>
    <x v="11"/>
    <x v="0"/>
    <x v="0"/>
    <s v="DIRECTOR"/>
    <n v="12599152.25625"/>
    <x v="0"/>
    <s v="ECONÓMICA"/>
    <m/>
    <m/>
  </r>
  <r>
    <x v="7"/>
    <x v="0"/>
    <x v="0"/>
    <x v="0"/>
    <s v="PROFESIONAL COORDINACION DE DISEÑOS"/>
    <n v="7005285"/>
    <x v="0"/>
    <s v="ECONÓMICA"/>
    <m/>
    <m/>
  </r>
  <r>
    <x v="7"/>
    <x v="1"/>
    <x v="0"/>
    <x v="0"/>
    <s v="PROFESIONAL COORDINACION DE DISEÑOS"/>
    <n v="7005285"/>
    <x v="0"/>
    <s v="ECONÓMICA"/>
    <m/>
    <m/>
  </r>
  <r>
    <x v="7"/>
    <x v="2"/>
    <x v="0"/>
    <x v="0"/>
    <s v="PROFESIONAL COORDINACION DE DISEÑOS"/>
    <n v="7005285"/>
    <x v="0"/>
    <s v="ECONÓMICA"/>
    <m/>
    <m/>
  </r>
  <r>
    <x v="7"/>
    <x v="3"/>
    <x v="0"/>
    <x v="0"/>
    <s v="PROFESIONAL COORDINACION DE DISEÑOS"/>
    <n v="7005285"/>
    <x v="0"/>
    <s v="ECONÓMICA"/>
    <m/>
    <m/>
  </r>
  <r>
    <x v="7"/>
    <x v="4"/>
    <x v="0"/>
    <x v="0"/>
    <s v="PROFESIONAL COORDINACION DE DISEÑOS"/>
    <n v="7005285"/>
    <x v="0"/>
    <s v="ECONÓMICA"/>
    <m/>
    <m/>
  </r>
  <r>
    <x v="7"/>
    <x v="5"/>
    <x v="0"/>
    <x v="0"/>
    <s v="PROFESIONAL COORDINACION DE DISEÑOS"/>
    <n v="7005285"/>
    <x v="0"/>
    <s v="ECONÓMICA"/>
    <m/>
    <m/>
  </r>
  <r>
    <x v="7"/>
    <x v="6"/>
    <x v="0"/>
    <x v="0"/>
    <s v="PROFESIONAL COORDINACION DE DISEÑOS"/>
    <n v="7005285"/>
    <x v="0"/>
    <s v="ECONÓMICA"/>
    <m/>
    <m/>
  </r>
  <r>
    <x v="7"/>
    <x v="7"/>
    <x v="0"/>
    <x v="0"/>
    <s v="PROFESIONAL COORDINACION DE DISEÑOS"/>
    <n v="7005285"/>
    <x v="0"/>
    <s v="ECONÓMICA"/>
    <m/>
    <m/>
  </r>
  <r>
    <x v="7"/>
    <x v="8"/>
    <x v="0"/>
    <x v="0"/>
    <s v="PROFESIONAL COORDINACION DE DISEÑOS"/>
    <n v="7005285"/>
    <x v="0"/>
    <s v="ECONÓMICA"/>
    <m/>
    <m/>
  </r>
  <r>
    <x v="7"/>
    <x v="9"/>
    <x v="0"/>
    <x v="0"/>
    <s v="PROFESIONAL COORDINACION DE DISEÑOS"/>
    <n v="7005285"/>
    <x v="0"/>
    <s v="ECONÓMICA"/>
    <m/>
    <m/>
  </r>
  <r>
    <x v="7"/>
    <x v="10"/>
    <x v="0"/>
    <x v="0"/>
    <s v="PROFESIONAL COORDINACION DE DISEÑOS"/>
    <n v="7005285"/>
    <x v="0"/>
    <s v="ECONÓMICA"/>
    <m/>
    <m/>
  </r>
  <r>
    <x v="7"/>
    <x v="11"/>
    <x v="0"/>
    <x v="0"/>
    <s v="PROFESIONAL COORDINACION DE DISEÑOS"/>
    <n v="7005285"/>
    <x v="0"/>
    <s v="ECONÓMICA"/>
    <m/>
    <m/>
  </r>
  <r>
    <x v="8"/>
    <x v="0"/>
    <x v="0"/>
    <x v="0"/>
    <s v="COORDINADOR"/>
    <n v="2727772.2"/>
    <x v="0"/>
    <s v="CONTRACTUAL"/>
    <m/>
    <m/>
  </r>
  <r>
    <x v="8"/>
    <x v="0"/>
    <x v="0"/>
    <x v="0"/>
    <s v="DIRECTOR ENVIGADO"/>
    <n v="8520078"/>
    <x v="0"/>
    <s v="CONTRACTUAL"/>
    <m/>
    <m/>
  </r>
  <r>
    <x v="8"/>
    <x v="0"/>
    <x v="0"/>
    <x v="0"/>
    <s v="DIRECTOR TUNJA"/>
    <n v="8520078"/>
    <x v="0"/>
    <s v="CONTRACTUAL"/>
    <m/>
    <m/>
  </r>
  <r>
    <x v="8"/>
    <x v="0"/>
    <x v="0"/>
    <x v="0"/>
    <s v="INSPECTOR ENVIGADO"/>
    <n v="4462096.5"/>
    <x v="0"/>
    <s v="CONTRACTUAL"/>
    <m/>
    <m/>
  </r>
  <r>
    <x v="8"/>
    <x v="0"/>
    <x v="0"/>
    <x v="0"/>
    <s v="RESIDENTE ADMINISTRATIVO"/>
    <n v="3872763"/>
    <x v="0"/>
    <s v="CONTRACTUAL"/>
    <m/>
    <m/>
  </r>
  <r>
    <x v="9"/>
    <x v="0"/>
    <x v="0"/>
    <x v="0"/>
    <s v="DIRECTOR"/>
    <n v="11721250.800000001"/>
    <x v="0"/>
    <s v="CONTRACTUAL"/>
    <m/>
    <m/>
  </r>
  <r>
    <x v="9"/>
    <x v="1"/>
    <x v="0"/>
    <x v="0"/>
    <s v="DIRECTOR"/>
    <n v="11721250.800000001"/>
    <x v="0"/>
    <s v="CONTRACTUAL"/>
    <m/>
    <m/>
  </r>
  <r>
    <x v="9"/>
    <x v="2"/>
    <x v="0"/>
    <x v="0"/>
    <s v="DIRECTOR"/>
    <n v="11721250.800000001"/>
    <x v="0"/>
    <s v="CONTRACTUAL"/>
    <m/>
    <m/>
  </r>
  <r>
    <x v="9"/>
    <x v="3"/>
    <x v="0"/>
    <x v="0"/>
    <s v="DIRECTOR"/>
    <n v="11721250.800000001"/>
    <x v="0"/>
    <s v="CONTRACTUAL"/>
    <m/>
    <m/>
  </r>
  <r>
    <x v="9"/>
    <x v="4"/>
    <x v="0"/>
    <x v="0"/>
    <s v="DIRECTOR"/>
    <n v="11721250.800000001"/>
    <x v="0"/>
    <s v="CONTRACTUAL"/>
    <m/>
    <m/>
  </r>
  <r>
    <x v="9"/>
    <x v="5"/>
    <x v="0"/>
    <x v="0"/>
    <s v="DIRECTOR"/>
    <n v="11721250.800000001"/>
    <x v="0"/>
    <s v="CONTRACTUAL"/>
    <m/>
    <m/>
  </r>
  <r>
    <x v="9"/>
    <x v="6"/>
    <x v="0"/>
    <x v="0"/>
    <s v="DIRECTOR"/>
    <n v="11721250.800000001"/>
    <x v="0"/>
    <s v="CONTRACTUAL"/>
    <m/>
    <m/>
  </r>
  <r>
    <x v="9"/>
    <x v="7"/>
    <x v="0"/>
    <x v="0"/>
    <s v="DIRECTOR"/>
    <n v="11721250.800000001"/>
    <x v="0"/>
    <s v="CONTRACTUAL"/>
    <m/>
    <m/>
  </r>
  <r>
    <x v="9"/>
    <x v="0"/>
    <x v="0"/>
    <x v="0"/>
    <s v="INSPECTOR"/>
    <n v="3810634.5847499999"/>
    <x v="0"/>
    <s v="CONTRACTUAL"/>
    <m/>
    <m/>
  </r>
  <r>
    <x v="9"/>
    <x v="1"/>
    <x v="0"/>
    <x v="0"/>
    <s v="INSPECTOR"/>
    <n v="3810634.5847499999"/>
    <x v="0"/>
    <s v="CONTRACTUAL"/>
    <m/>
    <m/>
  </r>
  <r>
    <x v="9"/>
    <x v="2"/>
    <x v="0"/>
    <x v="0"/>
    <s v="INSPECTOR"/>
    <n v="3810634.5847499999"/>
    <x v="0"/>
    <s v="CONTRACTUAL"/>
    <m/>
    <m/>
  </r>
  <r>
    <x v="9"/>
    <x v="3"/>
    <x v="0"/>
    <x v="0"/>
    <s v="INSPECTOR"/>
    <n v="3810634.5847499999"/>
    <x v="0"/>
    <s v="CONTRACTUAL"/>
    <m/>
    <m/>
  </r>
  <r>
    <x v="9"/>
    <x v="4"/>
    <x v="0"/>
    <x v="0"/>
    <s v="INSPECTOR"/>
    <n v="3810634.5847499999"/>
    <x v="0"/>
    <s v="CONTRACTUAL"/>
    <m/>
    <m/>
  </r>
  <r>
    <x v="9"/>
    <x v="5"/>
    <x v="0"/>
    <x v="0"/>
    <s v="INSPECTOR"/>
    <n v="3810634.5847499999"/>
    <x v="0"/>
    <s v="CONTRACTUAL"/>
    <m/>
    <m/>
  </r>
  <r>
    <x v="9"/>
    <x v="6"/>
    <x v="0"/>
    <x v="0"/>
    <s v="INSPECTOR"/>
    <n v="3810634.5847499999"/>
    <x v="0"/>
    <s v="CONTRACTUAL"/>
    <m/>
    <m/>
  </r>
  <r>
    <x v="9"/>
    <x v="0"/>
    <x v="0"/>
    <x v="0"/>
    <s v="RESIDENTE ADMINISTRATIVO"/>
    <n v="5301459.45"/>
    <x v="0"/>
    <s v="CONTRACTUAL"/>
    <m/>
    <m/>
  </r>
  <r>
    <x v="9"/>
    <x v="1"/>
    <x v="0"/>
    <x v="0"/>
    <s v="RESIDENTE ADMINISTRATIVO"/>
    <n v="5301459.45"/>
    <x v="0"/>
    <s v="CONTRACTUAL"/>
    <m/>
    <m/>
  </r>
  <r>
    <x v="9"/>
    <x v="2"/>
    <x v="0"/>
    <x v="0"/>
    <s v="RESIDENTE ADMINISTRATIVO"/>
    <n v="5301459.45"/>
    <x v="0"/>
    <s v="CONTRACTUAL"/>
    <m/>
    <m/>
  </r>
  <r>
    <x v="9"/>
    <x v="3"/>
    <x v="0"/>
    <x v="0"/>
    <s v="RESIDENTE ADMINISTRATIVO"/>
    <n v="5301459.45"/>
    <x v="0"/>
    <s v="CONTRACTUAL"/>
    <m/>
    <m/>
  </r>
  <r>
    <x v="9"/>
    <x v="4"/>
    <x v="0"/>
    <x v="0"/>
    <s v="RESIDENTE ADMINISTRATIVO"/>
    <n v="5301459.45"/>
    <x v="0"/>
    <s v="CONTRACTUAL"/>
    <m/>
    <m/>
  </r>
  <r>
    <x v="9"/>
    <x v="5"/>
    <x v="0"/>
    <x v="0"/>
    <s v="RESIDENTE ADMINISTRATIVO"/>
    <n v="5301459.45"/>
    <x v="0"/>
    <s v="CONTRACTUAL"/>
    <m/>
    <m/>
  </r>
  <r>
    <x v="9"/>
    <x v="6"/>
    <x v="0"/>
    <x v="0"/>
    <s v="RESIDENTE ADMINISTRATIVO"/>
    <n v="5301459.45"/>
    <x v="0"/>
    <s v="CONTRACTUAL"/>
    <m/>
    <m/>
  </r>
  <r>
    <x v="9"/>
    <x v="7"/>
    <x v="0"/>
    <x v="0"/>
    <s v="RESIDENTE ADMINISTRATIVO"/>
    <n v="5301459.45"/>
    <x v="0"/>
    <s v="CONTRACTUAL"/>
    <m/>
    <m/>
  </r>
  <r>
    <x v="9"/>
    <x v="0"/>
    <x v="0"/>
    <x v="0"/>
    <s v="RESIDENTE SISO"/>
    <n v="4777683.75"/>
    <x v="0"/>
    <s v="CONTRACTUAL"/>
    <m/>
    <m/>
  </r>
  <r>
    <x v="9"/>
    <x v="1"/>
    <x v="0"/>
    <x v="0"/>
    <s v="RESIDENTE SISO"/>
    <n v="4777683.75"/>
    <x v="0"/>
    <s v="CONTRACTUAL"/>
    <m/>
    <m/>
  </r>
  <r>
    <x v="9"/>
    <x v="2"/>
    <x v="0"/>
    <x v="0"/>
    <s v="RESIDENTE SISO"/>
    <n v="4777683.75"/>
    <x v="0"/>
    <s v="CONTRACTUAL"/>
    <m/>
    <m/>
  </r>
  <r>
    <x v="9"/>
    <x v="3"/>
    <x v="0"/>
    <x v="0"/>
    <s v="RESIDENTE SISO"/>
    <n v="4777683.75"/>
    <x v="0"/>
    <s v="CONTRACTUAL"/>
    <m/>
    <m/>
  </r>
  <r>
    <x v="9"/>
    <x v="4"/>
    <x v="0"/>
    <x v="0"/>
    <s v="RESIDENTE SISO"/>
    <n v="4777683.75"/>
    <x v="0"/>
    <s v="CONTRACTUAL"/>
    <m/>
    <m/>
  </r>
  <r>
    <x v="9"/>
    <x v="5"/>
    <x v="0"/>
    <x v="0"/>
    <s v="RESIDENTE SISO"/>
    <n v="4777683.75"/>
    <x v="0"/>
    <s v="CONTRACTUAL"/>
    <m/>
    <m/>
  </r>
  <r>
    <x v="9"/>
    <x v="6"/>
    <x v="0"/>
    <x v="0"/>
    <s v="RESIDENTE SISO"/>
    <n v="4777683.75"/>
    <x v="0"/>
    <s v="CONTRACTUAL"/>
    <m/>
    <m/>
  </r>
  <r>
    <x v="9"/>
    <x v="0"/>
    <x v="0"/>
    <x v="0"/>
    <s v="RESIDENTE TECNICO"/>
    <n v="7255001.25"/>
    <x v="0"/>
    <s v="CONTRACTUAL"/>
    <m/>
    <m/>
  </r>
  <r>
    <x v="9"/>
    <x v="1"/>
    <x v="0"/>
    <x v="0"/>
    <s v="RESIDENTE TECNICO"/>
    <n v="7255001.25"/>
    <x v="0"/>
    <s v="CONTRACTUAL"/>
    <m/>
    <m/>
  </r>
  <r>
    <x v="9"/>
    <x v="2"/>
    <x v="0"/>
    <x v="0"/>
    <s v="RESIDENTE TECNICO"/>
    <n v="7255001.25"/>
    <x v="0"/>
    <s v="CONTRACTUAL"/>
    <m/>
    <m/>
  </r>
  <r>
    <x v="9"/>
    <x v="3"/>
    <x v="0"/>
    <x v="0"/>
    <s v="RESIDENTE TECNICO"/>
    <n v="7255001.25"/>
    <x v="0"/>
    <s v="CONTRACTUAL"/>
    <m/>
    <m/>
  </r>
  <r>
    <x v="9"/>
    <x v="4"/>
    <x v="0"/>
    <x v="0"/>
    <s v="RESIDENTE TECNICO"/>
    <n v="7255001.25"/>
    <x v="0"/>
    <s v="CONTRACTUAL"/>
    <m/>
    <m/>
  </r>
  <r>
    <x v="9"/>
    <x v="5"/>
    <x v="0"/>
    <x v="0"/>
    <s v="RESIDENTE TECNICO"/>
    <n v="7255001.25"/>
    <x v="0"/>
    <s v="CONTRACTUAL"/>
    <m/>
    <m/>
  </r>
  <r>
    <x v="9"/>
    <x v="6"/>
    <x v="0"/>
    <x v="0"/>
    <s v="RESIDENTE TECNICO"/>
    <n v="7255001.25"/>
    <x v="0"/>
    <s v="CONTRACTUAL"/>
    <m/>
    <m/>
  </r>
  <r>
    <x v="9"/>
    <x v="7"/>
    <x v="0"/>
    <x v="0"/>
    <s v="RESIDENTE TECNICO"/>
    <n v="7255001.25"/>
    <x v="0"/>
    <s v="CONTRACTUAL"/>
    <m/>
    <m/>
  </r>
  <r>
    <x v="9"/>
    <x v="8"/>
    <x v="0"/>
    <x v="0"/>
    <s v="RESIDENTE TECNICO"/>
    <n v="7255001.25"/>
    <x v="0"/>
    <s v="CONTRACTUAL"/>
    <m/>
    <m/>
  </r>
  <r>
    <x v="9"/>
    <x v="9"/>
    <x v="0"/>
    <x v="0"/>
    <s v="RESIDENTE TECNICO"/>
    <n v="7255001.25"/>
    <x v="0"/>
    <s v="CONTRACTUAL"/>
    <m/>
    <m/>
  </r>
  <r>
    <x v="9"/>
    <x v="10"/>
    <x v="0"/>
    <x v="0"/>
    <s v="RESIDENTE TECNICO"/>
    <n v="7255001.25"/>
    <x v="0"/>
    <s v="CONTRACTUAL"/>
    <m/>
    <m/>
  </r>
  <r>
    <x v="9"/>
    <x v="11"/>
    <x v="0"/>
    <x v="0"/>
    <s v="RESIDENTE TECNICO"/>
    <n v="7255001.25"/>
    <x v="0"/>
    <s v="CONTRACTUAL"/>
    <m/>
    <m/>
  </r>
  <r>
    <x v="10"/>
    <x v="0"/>
    <x v="0"/>
    <x v="0"/>
    <s v="COORDINADOR"/>
    <n v="4704455.7"/>
    <x v="0"/>
    <s v="CONTRACTUAL"/>
    <m/>
    <m/>
  </r>
  <r>
    <x v="10"/>
    <x v="1"/>
    <x v="0"/>
    <x v="0"/>
    <s v="COORDINADOR"/>
    <n v="4704455.7"/>
    <x v="0"/>
    <s v="CONTRACTUAL"/>
    <m/>
    <m/>
  </r>
  <r>
    <x v="10"/>
    <x v="2"/>
    <x v="0"/>
    <x v="0"/>
    <s v="COORDINADOR"/>
    <n v="4704455.7"/>
    <x v="0"/>
    <s v="CONTRACTUAL"/>
    <m/>
    <m/>
  </r>
  <r>
    <x v="10"/>
    <x v="3"/>
    <x v="0"/>
    <x v="0"/>
    <s v="COORDINADOR"/>
    <n v="4704455.7"/>
    <x v="0"/>
    <s v="CONTRACTUAL"/>
    <m/>
    <m/>
  </r>
  <r>
    <x v="10"/>
    <x v="4"/>
    <x v="0"/>
    <x v="0"/>
    <s v="COORDINADOR"/>
    <n v="4704455.7"/>
    <x v="0"/>
    <s v="CONTRACTUAL"/>
    <m/>
    <m/>
  </r>
  <r>
    <x v="10"/>
    <x v="5"/>
    <x v="0"/>
    <x v="0"/>
    <s v="COORDINADOR"/>
    <n v="4704455.7"/>
    <x v="0"/>
    <s v="CONTRACTUAL"/>
    <m/>
    <m/>
  </r>
  <r>
    <x v="10"/>
    <x v="6"/>
    <x v="0"/>
    <x v="0"/>
    <s v="COORDINADOR"/>
    <n v="4704455.7"/>
    <x v="0"/>
    <s v="CONTRACTUAL"/>
    <m/>
    <m/>
  </r>
  <r>
    <x v="10"/>
    <x v="7"/>
    <x v="0"/>
    <x v="0"/>
    <s v="COORDINADOR"/>
    <n v="4704455.7"/>
    <x v="0"/>
    <s v="CONTRACTUAL"/>
    <m/>
    <m/>
  </r>
  <r>
    <x v="10"/>
    <x v="8"/>
    <x v="0"/>
    <x v="0"/>
    <s v="COORDINADOR"/>
    <n v="4704455.7"/>
    <x v="0"/>
    <s v="CONTRACTUAL"/>
    <m/>
    <m/>
  </r>
  <r>
    <x v="10"/>
    <x v="9"/>
    <x v="0"/>
    <x v="0"/>
    <s v="COORDINADOR"/>
    <n v="4704455.7"/>
    <x v="0"/>
    <s v="CONTRACTUAL"/>
    <m/>
    <m/>
  </r>
  <r>
    <x v="10"/>
    <x v="10"/>
    <x v="0"/>
    <x v="0"/>
    <s v="COORDINADOR"/>
    <n v="4704455.7"/>
    <x v="0"/>
    <s v="CONTRACTUAL"/>
    <m/>
    <m/>
  </r>
  <r>
    <x v="10"/>
    <x v="11"/>
    <x v="0"/>
    <x v="0"/>
    <s v="COORDINADOR"/>
    <n v="4704455.7"/>
    <x v="0"/>
    <s v="CONTRACTUAL"/>
    <m/>
    <m/>
  </r>
  <r>
    <x v="10"/>
    <x v="0"/>
    <x v="0"/>
    <x v="0"/>
    <s v="DIRECTOR"/>
    <n v="8351437.5"/>
    <x v="0"/>
    <s v="CONTRACTUAL"/>
    <m/>
    <m/>
  </r>
  <r>
    <x v="10"/>
    <x v="1"/>
    <x v="0"/>
    <x v="0"/>
    <s v="DIRECTOR"/>
    <n v="8351437.5"/>
    <x v="0"/>
    <s v="CONTRACTUAL"/>
    <m/>
    <m/>
  </r>
  <r>
    <x v="10"/>
    <x v="2"/>
    <x v="0"/>
    <x v="0"/>
    <s v="DIRECTOR"/>
    <n v="8351437.5"/>
    <x v="0"/>
    <s v="CONTRACTUAL"/>
    <m/>
    <m/>
  </r>
  <r>
    <x v="10"/>
    <x v="3"/>
    <x v="0"/>
    <x v="0"/>
    <s v="DIRECTOR"/>
    <n v="8351437.5"/>
    <x v="0"/>
    <s v="CONTRACTUAL"/>
    <m/>
    <m/>
  </r>
  <r>
    <x v="10"/>
    <x v="4"/>
    <x v="0"/>
    <x v="0"/>
    <s v="DIRECTOR"/>
    <n v="8351437.5"/>
    <x v="0"/>
    <s v="CONTRACTUAL"/>
    <m/>
    <m/>
  </r>
  <r>
    <x v="10"/>
    <x v="5"/>
    <x v="0"/>
    <x v="0"/>
    <s v="DIRECTOR"/>
    <n v="8351437.5"/>
    <x v="0"/>
    <s v="CONTRACTUAL"/>
    <m/>
    <m/>
  </r>
  <r>
    <x v="10"/>
    <x v="6"/>
    <x v="0"/>
    <x v="0"/>
    <s v="DIRECTOR"/>
    <n v="8351437.5"/>
    <x v="0"/>
    <s v="CONTRACTUAL"/>
    <m/>
    <m/>
  </r>
  <r>
    <x v="10"/>
    <x v="7"/>
    <x v="0"/>
    <x v="0"/>
    <s v="DIRECTOR"/>
    <n v="8351437.5"/>
    <x v="0"/>
    <s v="CONTRACTUAL"/>
    <m/>
    <m/>
  </r>
  <r>
    <x v="10"/>
    <x v="8"/>
    <x v="0"/>
    <x v="0"/>
    <s v="DIRECTOR"/>
    <n v="8351437.5"/>
    <x v="0"/>
    <s v="CONTRACTUAL"/>
    <m/>
    <m/>
  </r>
  <r>
    <x v="10"/>
    <x v="9"/>
    <x v="0"/>
    <x v="0"/>
    <s v="DIRECTOR"/>
    <n v="8351437.5"/>
    <x v="0"/>
    <s v="CONTRACTUAL"/>
    <m/>
    <m/>
  </r>
  <r>
    <x v="10"/>
    <x v="10"/>
    <x v="0"/>
    <x v="0"/>
    <s v="DIRECTOR"/>
    <n v="8351437.5"/>
    <x v="0"/>
    <s v="CONTRACTUAL"/>
    <m/>
    <m/>
  </r>
  <r>
    <x v="10"/>
    <x v="11"/>
    <x v="0"/>
    <x v="0"/>
    <s v="DIRECTOR"/>
    <n v="8351437.5"/>
    <x v="0"/>
    <s v="CONTRACTUAL"/>
    <m/>
    <m/>
  </r>
  <r>
    <x v="10"/>
    <x v="0"/>
    <x v="0"/>
    <x v="0"/>
    <s v="ESPECIALISTA INSTALACIONES"/>
    <n v="2356593.75"/>
    <x v="0"/>
    <s v="CONTRACTUAL"/>
    <m/>
    <m/>
  </r>
  <r>
    <x v="10"/>
    <x v="1"/>
    <x v="0"/>
    <x v="0"/>
    <s v="ESPECIALISTA INSTALACIONES"/>
    <n v="2356593.75"/>
    <x v="0"/>
    <s v="CONTRACTUAL"/>
    <m/>
    <m/>
  </r>
  <r>
    <x v="10"/>
    <x v="2"/>
    <x v="0"/>
    <x v="0"/>
    <s v="ESPECIALISTA INSTALACIONES"/>
    <n v="2356593.75"/>
    <x v="0"/>
    <s v="CONTRACTUAL"/>
    <m/>
    <m/>
  </r>
  <r>
    <x v="10"/>
    <x v="3"/>
    <x v="0"/>
    <x v="0"/>
    <s v="ESPECIALISTA INSTALACIONES"/>
    <n v="2356593.75"/>
    <x v="0"/>
    <s v="CONTRACTUAL"/>
    <m/>
    <m/>
  </r>
  <r>
    <x v="10"/>
    <x v="4"/>
    <x v="0"/>
    <x v="0"/>
    <s v="ESPECIALISTA INSTALACIONES"/>
    <n v="2356593.75"/>
    <x v="0"/>
    <s v="CONTRACTUAL"/>
    <m/>
    <m/>
  </r>
  <r>
    <x v="10"/>
    <x v="5"/>
    <x v="0"/>
    <x v="0"/>
    <s v="ESPECIALISTA INSTALACIONES"/>
    <n v="2356593.75"/>
    <x v="0"/>
    <s v="CONTRACTUAL"/>
    <m/>
    <m/>
  </r>
  <r>
    <x v="10"/>
    <x v="0"/>
    <x v="0"/>
    <x v="0"/>
    <s v="INSPECTOR"/>
    <n v="3786425.9999999995"/>
    <x v="0"/>
    <s v="CONTRACTUAL"/>
    <m/>
    <m/>
  </r>
  <r>
    <x v="10"/>
    <x v="1"/>
    <x v="0"/>
    <x v="0"/>
    <s v="INSPECTOR"/>
    <n v="3786425.9999999995"/>
    <x v="0"/>
    <s v="CONTRACTUAL"/>
    <m/>
    <m/>
  </r>
  <r>
    <x v="10"/>
    <x v="2"/>
    <x v="0"/>
    <x v="0"/>
    <s v="INSPECTOR"/>
    <n v="3786425.9999999995"/>
    <x v="0"/>
    <s v="CONTRACTUAL"/>
    <m/>
    <m/>
  </r>
  <r>
    <x v="10"/>
    <x v="3"/>
    <x v="0"/>
    <x v="0"/>
    <s v="INSPECTOR"/>
    <n v="3786425.9999999995"/>
    <x v="0"/>
    <s v="CONTRACTUAL"/>
    <m/>
    <m/>
  </r>
  <r>
    <x v="10"/>
    <x v="4"/>
    <x v="0"/>
    <x v="0"/>
    <s v="INSPECTOR"/>
    <n v="3786425.9999999995"/>
    <x v="0"/>
    <s v="CONTRACTUAL"/>
    <m/>
    <m/>
  </r>
  <r>
    <x v="10"/>
    <x v="5"/>
    <x v="0"/>
    <x v="0"/>
    <s v="INSPECTOR"/>
    <n v="3786425.9999999995"/>
    <x v="0"/>
    <s v="CONTRACTUAL"/>
    <m/>
    <m/>
  </r>
  <r>
    <x v="10"/>
    <x v="6"/>
    <x v="0"/>
    <x v="0"/>
    <s v="INSPECTOR"/>
    <n v="3786425.9999999995"/>
    <x v="0"/>
    <s v="CONTRACTUAL"/>
    <m/>
    <m/>
  </r>
  <r>
    <x v="10"/>
    <x v="7"/>
    <x v="0"/>
    <x v="0"/>
    <s v="INSPECTOR"/>
    <n v="3786425.9999999995"/>
    <x v="0"/>
    <s v="CONTRACTUAL"/>
    <m/>
    <m/>
  </r>
  <r>
    <x v="10"/>
    <x v="8"/>
    <x v="0"/>
    <x v="0"/>
    <s v="INSPECTOR"/>
    <n v="3786425.9999999995"/>
    <x v="0"/>
    <s v="CONTRACTUAL"/>
    <m/>
    <m/>
  </r>
  <r>
    <x v="10"/>
    <x v="9"/>
    <x v="0"/>
    <x v="0"/>
    <s v="INSPECTOR"/>
    <n v="3786425.9999999995"/>
    <x v="0"/>
    <s v="CONTRACTUAL"/>
    <m/>
    <m/>
  </r>
  <r>
    <x v="10"/>
    <x v="10"/>
    <x v="0"/>
    <x v="0"/>
    <s v="INSPECTOR"/>
    <n v="3786425.9999999995"/>
    <x v="0"/>
    <s v="CONTRACTUAL"/>
    <m/>
    <m/>
  </r>
  <r>
    <x v="10"/>
    <x v="0"/>
    <x v="0"/>
    <x v="0"/>
    <s v="RESIDENTE ADMINISTRATIVO"/>
    <n v="3853237.5"/>
    <x v="0"/>
    <s v="CONTRACTUAL"/>
    <m/>
    <m/>
  </r>
  <r>
    <x v="10"/>
    <x v="1"/>
    <x v="0"/>
    <x v="0"/>
    <s v="RESIDENTE ADMINISTRATIVO"/>
    <n v="3853237.5"/>
    <x v="0"/>
    <s v="CONTRACTUAL"/>
    <m/>
    <m/>
  </r>
  <r>
    <x v="10"/>
    <x v="2"/>
    <x v="0"/>
    <x v="0"/>
    <s v="RESIDENTE ADMINISTRATIVO"/>
    <n v="3853237.5"/>
    <x v="0"/>
    <s v="CONTRACTUAL"/>
    <m/>
    <m/>
  </r>
  <r>
    <x v="10"/>
    <x v="3"/>
    <x v="0"/>
    <x v="0"/>
    <s v="RESIDENTE ADMINISTRATIVO"/>
    <n v="3853237.5"/>
    <x v="0"/>
    <s v="CONTRACTUAL"/>
    <m/>
    <m/>
  </r>
  <r>
    <x v="10"/>
    <x v="4"/>
    <x v="0"/>
    <x v="0"/>
    <s v="RESIDENTE ADMINISTRATIVO"/>
    <n v="3853237.5"/>
    <x v="0"/>
    <s v="CONTRACTUAL"/>
    <m/>
    <m/>
  </r>
  <r>
    <x v="10"/>
    <x v="5"/>
    <x v="0"/>
    <x v="0"/>
    <s v="RESIDENTE ADMINISTRATIVO"/>
    <n v="3853237.5"/>
    <x v="0"/>
    <s v="CONTRACTUAL"/>
    <m/>
    <m/>
  </r>
  <r>
    <x v="10"/>
    <x v="6"/>
    <x v="0"/>
    <x v="0"/>
    <s v="RESIDENTE ADMINISTRATIVO"/>
    <n v="3853237.5"/>
    <x v="0"/>
    <s v="CONTRACTUAL"/>
    <m/>
    <m/>
  </r>
  <r>
    <x v="10"/>
    <x v="7"/>
    <x v="0"/>
    <x v="0"/>
    <s v="RESIDENTE ADMINISTRATIVO"/>
    <n v="3853237.5"/>
    <x v="0"/>
    <s v="CONTRACTUAL"/>
    <m/>
    <m/>
  </r>
  <r>
    <x v="10"/>
    <x v="8"/>
    <x v="0"/>
    <x v="0"/>
    <s v="RESIDENTE ADMINISTRATIVO"/>
    <n v="3853237.5"/>
    <x v="0"/>
    <s v="CONTRACTUAL"/>
    <m/>
    <m/>
  </r>
  <r>
    <x v="10"/>
    <x v="9"/>
    <x v="0"/>
    <x v="0"/>
    <s v="RESIDENTE ADMINISTRATIVO"/>
    <n v="3853237.5"/>
    <x v="0"/>
    <s v="CONTRACTUAL"/>
    <m/>
    <m/>
  </r>
  <r>
    <x v="10"/>
    <x v="10"/>
    <x v="0"/>
    <x v="0"/>
    <s v="RESIDENTE ADMINISTRATIVO"/>
    <n v="3853237.5"/>
    <x v="0"/>
    <s v="CONTRACTUAL"/>
    <m/>
    <m/>
  </r>
  <r>
    <x v="10"/>
    <x v="11"/>
    <x v="0"/>
    <x v="0"/>
    <s v="RESIDENTE ADMINISTRATIVO"/>
    <n v="3853237.5"/>
    <x v="0"/>
    <s v="CONTRACTUAL"/>
    <m/>
    <m/>
  </r>
  <r>
    <x v="11"/>
    <x v="0"/>
    <x v="0"/>
    <x v="0"/>
    <s v="COORDINADOR"/>
    <n v="3811675.6440000003"/>
    <x v="0"/>
    <s v="CONTRACTUAL"/>
    <m/>
    <m/>
  </r>
  <r>
    <x v="11"/>
    <x v="1"/>
    <x v="0"/>
    <x v="0"/>
    <s v="COORDINADOR"/>
    <n v="3811675.6440000003"/>
    <x v="0"/>
    <s v="CONTRACTUAL"/>
    <m/>
    <m/>
  </r>
  <r>
    <x v="11"/>
    <x v="2"/>
    <x v="0"/>
    <x v="0"/>
    <s v="COORDINADOR"/>
    <n v="3811675.6440000003"/>
    <x v="0"/>
    <s v="CONTRACTUAL"/>
    <m/>
    <m/>
  </r>
  <r>
    <x v="11"/>
    <x v="3"/>
    <x v="0"/>
    <x v="0"/>
    <s v="COORDINADOR"/>
    <n v="3811675.6440000003"/>
    <x v="0"/>
    <s v="CONTRACTUAL"/>
    <m/>
    <m/>
  </r>
  <r>
    <x v="11"/>
    <x v="4"/>
    <x v="0"/>
    <x v="0"/>
    <s v="COORDINADOR"/>
    <n v="3811675.6440000003"/>
    <x v="0"/>
    <s v="CONTRACTUAL"/>
    <m/>
    <m/>
  </r>
  <r>
    <x v="11"/>
    <x v="5"/>
    <x v="0"/>
    <x v="0"/>
    <s v="COORDINADOR"/>
    <n v="3811675.6440000003"/>
    <x v="0"/>
    <s v="CONTRACTUAL"/>
    <m/>
    <m/>
  </r>
  <r>
    <x v="11"/>
    <x v="6"/>
    <x v="0"/>
    <x v="0"/>
    <s v="COORDINADOR"/>
    <n v="3811675.6440000003"/>
    <x v="0"/>
    <s v="CONTRACTUAL"/>
    <m/>
    <m/>
  </r>
  <r>
    <x v="11"/>
    <x v="7"/>
    <x v="0"/>
    <x v="0"/>
    <s v="COORDINADOR"/>
    <n v="3811675.6440000003"/>
    <x v="0"/>
    <s v="CONTRACTUAL"/>
    <m/>
    <m/>
  </r>
  <r>
    <x v="11"/>
    <x v="8"/>
    <x v="0"/>
    <x v="0"/>
    <s v="COORDINADOR"/>
    <n v="3811675.6440000003"/>
    <x v="0"/>
    <s v="CONTRACTUAL"/>
    <m/>
    <m/>
  </r>
  <r>
    <x v="11"/>
    <x v="9"/>
    <x v="0"/>
    <x v="0"/>
    <s v="COORDINADOR"/>
    <n v="3811675.6440000003"/>
    <x v="0"/>
    <s v="CONTRACTUAL"/>
    <m/>
    <m/>
  </r>
  <r>
    <x v="11"/>
    <x v="10"/>
    <x v="0"/>
    <x v="0"/>
    <s v="COORDINADOR"/>
    <n v="3811675.6440000003"/>
    <x v="0"/>
    <s v="CONTRACTUAL"/>
    <m/>
    <m/>
  </r>
  <r>
    <x v="11"/>
    <x v="11"/>
    <x v="0"/>
    <x v="0"/>
    <s v="COORDINADOR"/>
    <n v="3811675.6440000003"/>
    <x v="0"/>
    <s v="CONTRACTUAL"/>
    <m/>
    <m/>
  </r>
  <r>
    <x v="11"/>
    <x v="12"/>
    <x v="0"/>
    <x v="0"/>
    <s v="COORDINADOR"/>
    <n v="3811675.6440000003"/>
    <x v="0"/>
    <s v="CONTRACTUAL"/>
    <m/>
    <m/>
  </r>
  <r>
    <x v="11"/>
    <x v="13"/>
    <x v="0"/>
    <x v="0"/>
    <s v="COORDINADOR"/>
    <n v="3811675.6440000003"/>
    <x v="0"/>
    <s v="CONTRACTUAL"/>
    <m/>
    <m/>
  </r>
  <r>
    <x v="11"/>
    <x v="14"/>
    <x v="0"/>
    <x v="0"/>
    <s v="COORDINADOR"/>
    <n v="3811675.6440000003"/>
    <x v="0"/>
    <s v="CONTRACTUAL"/>
    <m/>
    <m/>
  </r>
  <r>
    <x v="11"/>
    <x v="15"/>
    <x v="0"/>
    <x v="0"/>
    <s v="COORDINADOR"/>
    <n v="3811675.6440000003"/>
    <x v="0"/>
    <s v="CONTRACTUAL"/>
    <m/>
    <m/>
  </r>
  <r>
    <x v="11"/>
    <x v="16"/>
    <x v="0"/>
    <x v="0"/>
    <s v="COORDINADOR"/>
    <n v="3811675.6440000003"/>
    <x v="0"/>
    <s v="CONTRACTUAL"/>
    <m/>
    <m/>
  </r>
  <r>
    <x v="11"/>
    <x v="17"/>
    <x v="0"/>
    <x v="0"/>
    <s v="COORDINADOR"/>
    <n v="3811675.6440000003"/>
    <x v="0"/>
    <s v="CONTRACTUAL"/>
    <m/>
    <m/>
  </r>
  <r>
    <x v="11"/>
    <x v="0"/>
    <x v="0"/>
    <x v="0"/>
    <s v="COORDINADOR BIM"/>
    <n v="7505662.5"/>
    <x v="0"/>
    <s v="CONTRACTUAL"/>
    <m/>
    <m/>
  </r>
  <r>
    <x v="11"/>
    <x v="1"/>
    <x v="0"/>
    <x v="0"/>
    <s v="COORDINADOR BIM"/>
    <n v="7505662.5"/>
    <x v="0"/>
    <s v="CONTRACTUAL"/>
    <m/>
    <m/>
  </r>
  <r>
    <x v="11"/>
    <x v="2"/>
    <x v="0"/>
    <x v="0"/>
    <s v="COORDINADOR BIM"/>
    <n v="7505662.5"/>
    <x v="0"/>
    <s v="CONTRACTUAL"/>
    <m/>
    <m/>
  </r>
  <r>
    <x v="11"/>
    <x v="3"/>
    <x v="0"/>
    <x v="0"/>
    <s v="COORDINADOR BIM"/>
    <n v="7505662.5"/>
    <x v="0"/>
    <s v="CONTRACTUAL"/>
    <m/>
    <m/>
  </r>
  <r>
    <x v="11"/>
    <x v="4"/>
    <x v="0"/>
    <x v="0"/>
    <s v="COORDINADOR BIM"/>
    <n v="7505662.5"/>
    <x v="0"/>
    <s v="CONTRACTUAL"/>
    <m/>
    <m/>
  </r>
  <r>
    <x v="11"/>
    <x v="5"/>
    <x v="0"/>
    <x v="0"/>
    <s v="COORDINADOR BIM"/>
    <n v="7505662.5"/>
    <x v="0"/>
    <s v="CONTRACTUAL"/>
    <m/>
    <m/>
  </r>
  <r>
    <x v="11"/>
    <x v="6"/>
    <x v="0"/>
    <x v="0"/>
    <s v="COORDINADOR BIM"/>
    <n v="7505662.5"/>
    <x v="0"/>
    <s v="CONTRACTUAL"/>
    <m/>
    <m/>
  </r>
  <r>
    <x v="11"/>
    <x v="7"/>
    <x v="0"/>
    <x v="0"/>
    <s v="COORDINADOR BIM"/>
    <n v="7505662.5"/>
    <x v="0"/>
    <s v="CONTRACTUAL"/>
    <m/>
    <m/>
  </r>
  <r>
    <x v="11"/>
    <x v="8"/>
    <x v="0"/>
    <x v="0"/>
    <s v="COORDINADOR BIM"/>
    <n v="7505662.5"/>
    <x v="0"/>
    <s v="CONTRACTUAL"/>
    <m/>
    <m/>
  </r>
  <r>
    <x v="11"/>
    <x v="9"/>
    <x v="0"/>
    <x v="0"/>
    <s v="COORDINADOR BIM"/>
    <n v="7505662.5"/>
    <x v="0"/>
    <s v="CONTRACTUAL"/>
    <m/>
    <m/>
  </r>
  <r>
    <x v="11"/>
    <x v="10"/>
    <x v="0"/>
    <x v="0"/>
    <s v="COORDINADOR BIM"/>
    <n v="7505662.5"/>
    <x v="0"/>
    <s v="CONTRACTUAL"/>
    <m/>
    <m/>
  </r>
  <r>
    <x v="11"/>
    <x v="11"/>
    <x v="0"/>
    <x v="0"/>
    <s v="COORDINADOR BIM"/>
    <n v="7505662.5"/>
    <x v="0"/>
    <s v="CONTRACTUAL"/>
    <m/>
    <m/>
  </r>
  <r>
    <x v="11"/>
    <x v="12"/>
    <x v="0"/>
    <x v="0"/>
    <s v="COORDINADOR BIM"/>
    <n v="7505662.5"/>
    <x v="0"/>
    <s v="CONTRACTUAL"/>
    <m/>
    <m/>
  </r>
  <r>
    <x v="11"/>
    <x v="13"/>
    <x v="0"/>
    <x v="0"/>
    <s v="COORDINADOR BIM"/>
    <n v="7505662.5"/>
    <x v="0"/>
    <s v="CONTRACTUAL"/>
    <m/>
    <m/>
  </r>
  <r>
    <x v="11"/>
    <x v="14"/>
    <x v="0"/>
    <x v="0"/>
    <s v="COORDINADOR BIM"/>
    <n v="7505662.5"/>
    <x v="0"/>
    <s v="CONTRACTUAL"/>
    <m/>
    <m/>
  </r>
  <r>
    <x v="11"/>
    <x v="15"/>
    <x v="0"/>
    <x v="0"/>
    <s v="COORDINADOR BIM"/>
    <n v="7505662.5"/>
    <x v="0"/>
    <s v="CONTRACTUAL"/>
    <m/>
    <m/>
  </r>
  <r>
    <x v="11"/>
    <x v="16"/>
    <x v="0"/>
    <x v="0"/>
    <s v="COORDINADOR BIM"/>
    <n v="7505662.5"/>
    <x v="0"/>
    <s v="CONTRACTUAL"/>
    <m/>
    <m/>
  </r>
  <r>
    <x v="11"/>
    <x v="0"/>
    <x v="0"/>
    <x v="0"/>
    <s v="DIRECTOR"/>
    <n v="17112910.5"/>
    <x v="0"/>
    <s v="CONTRACTUAL"/>
    <m/>
    <m/>
  </r>
  <r>
    <x v="11"/>
    <x v="1"/>
    <x v="0"/>
    <x v="0"/>
    <s v="DIRECTOR"/>
    <n v="17112910.5"/>
    <x v="0"/>
    <s v="CONTRACTUAL"/>
    <m/>
    <m/>
  </r>
  <r>
    <x v="11"/>
    <x v="2"/>
    <x v="0"/>
    <x v="0"/>
    <s v="DIRECTOR"/>
    <n v="17112910.5"/>
    <x v="0"/>
    <s v="CONTRACTUAL"/>
    <m/>
    <m/>
  </r>
  <r>
    <x v="11"/>
    <x v="3"/>
    <x v="0"/>
    <x v="0"/>
    <s v="DIRECTOR"/>
    <n v="17112910.5"/>
    <x v="0"/>
    <s v="CONTRACTUAL"/>
    <m/>
    <m/>
  </r>
  <r>
    <x v="11"/>
    <x v="4"/>
    <x v="0"/>
    <x v="0"/>
    <s v="DIRECTOR"/>
    <n v="17112910.5"/>
    <x v="0"/>
    <s v="CONTRACTUAL"/>
    <m/>
    <m/>
  </r>
  <r>
    <x v="11"/>
    <x v="5"/>
    <x v="0"/>
    <x v="0"/>
    <s v="DIRECTOR"/>
    <n v="17112910.5"/>
    <x v="0"/>
    <s v="CONTRACTUAL"/>
    <m/>
    <m/>
  </r>
  <r>
    <x v="11"/>
    <x v="6"/>
    <x v="0"/>
    <x v="0"/>
    <s v="DIRECTOR"/>
    <n v="17112910.5"/>
    <x v="0"/>
    <s v="CONTRACTUAL"/>
    <m/>
    <m/>
  </r>
  <r>
    <x v="11"/>
    <x v="7"/>
    <x v="0"/>
    <x v="0"/>
    <s v="DIRECTOR"/>
    <n v="17112910.5"/>
    <x v="0"/>
    <s v="CONTRACTUAL"/>
    <m/>
    <m/>
  </r>
  <r>
    <x v="11"/>
    <x v="8"/>
    <x v="0"/>
    <x v="0"/>
    <s v="DIRECTOR"/>
    <n v="17112910.5"/>
    <x v="0"/>
    <s v="CONTRACTUAL"/>
    <m/>
    <m/>
  </r>
  <r>
    <x v="11"/>
    <x v="9"/>
    <x v="0"/>
    <x v="0"/>
    <s v="DIRECTOR"/>
    <n v="17112910.5"/>
    <x v="0"/>
    <s v="CONTRACTUAL"/>
    <m/>
    <m/>
  </r>
  <r>
    <x v="11"/>
    <x v="10"/>
    <x v="0"/>
    <x v="0"/>
    <s v="DIRECTOR"/>
    <n v="17112910.5"/>
    <x v="0"/>
    <s v="CONTRACTUAL"/>
    <m/>
    <m/>
  </r>
  <r>
    <x v="11"/>
    <x v="11"/>
    <x v="0"/>
    <x v="0"/>
    <s v="DIRECTOR"/>
    <n v="17112910.5"/>
    <x v="0"/>
    <s v="CONTRACTUAL"/>
    <m/>
    <m/>
  </r>
  <r>
    <x v="11"/>
    <x v="12"/>
    <x v="0"/>
    <x v="0"/>
    <s v="DIRECTOR"/>
    <n v="17112910.5"/>
    <x v="0"/>
    <s v="CONTRACTUAL"/>
    <m/>
    <m/>
  </r>
  <r>
    <x v="11"/>
    <x v="13"/>
    <x v="0"/>
    <x v="0"/>
    <s v="DIRECTOR"/>
    <n v="17112910.5"/>
    <x v="0"/>
    <s v="CONTRACTUAL"/>
    <m/>
    <m/>
  </r>
  <r>
    <x v="11"/>
    <x v="14"/>
    <x v="0"/>
    <x v="0"/>
    <s v="DIRECTOR"/>
    <n v="17112910.5"/>
    <x v="0"/>
    <s v="CONTRACTUAL"/>
    <m/>
    <m/>
  </r>
  <r>
    <x v="11"/>
    <x v="15"/>
    <x v="0"/>
    <x v="0"/>
    <s v="DIRECTOR"/>
    <n v="17112910.5"/>
    <x v="0"/>
    <s v="CONTRACTUAL"/>
    <m/>
    <m/>
  </r>
  <r>
    <x v="11"/>
    <x v="16"/>
    <x v="0"/>
    <x v="0"/>
    <s v="DIRECTOR"/>
    <n v="17112910.5"/>
    <x v="0"/>
    <s v="CONTRACTUAL"/>
    <m/>
    <m/>
  </r>
  <r>
    <x v="11"/>
    <x v="17"/>
    <x v="0"/>
    <x v="0"/>
    <s v="DIRECTOR"/>
    <n v="17112910.5"/>
    <x v="0"/>
    <s v="CONTRACTUAL"/>
    <m/>
    <m/>
  </r>
  <r>
    <x v="11"/>
    <x v="0"/>
    <x v="0"/>
    <x v="0"/>
    <s v="INSPECTOR SISOMA"/>
    <n v="5821058.25"/>
    <x v="0"/>
    <s v="CONTRACTUAL"/>
    <m/>
    <m/>
  </r>
  <r>
    <x v="11"/>
    <x v="1"/>
    <x v="0"/>
    <x v="0"/>
    <s v="INSPECTOR SISOMA"/>
    <n v="5821058.25"/>
    <x v="0"/>
    <s v="CONTRACTUAL"/>
    <m/>
    <m/>
  </r>
  <r>
    <x v="11"/>
    <x v="2"/>
    <x v="0"/>
    <x v="0"/>
    <s v="INSPECTOR SISOMA"/>
    <n v="5821058.25"/>
    <x v="0"/>
    <s v="CONTRACTUAL"/>
    <m/>
    <m/>
  </r>
  <r>
    <x v="11"/>
    <x v="3"/>
    <x v="0"/>
    <x v="0"/>
    <s v="INSPECTOR SISOMA"/>
    <n v="5821058.25"/>
    <x v="0"/>
    <s v="CONTRACTUAL"/>
    <m/>
    <m/>
  </r>
  <r>
    <x v="11"/>
    <x v="4"/>
    <x v="0"/>
    <x v="0"/>
    <s v="INSPECTOR SISOMA"/>
    <n v="5821058.25"/>
    <x v="0"/>
    <s v="CONTRACTUAL"/>
    <m/>
    <m/>
  </r>
  <r>
    <x v="11"/>
    <x v="5"/>
    <x v="0"/>
    <x v="0"/>
    <s v="INSPECTOR SISOMA"/>
    <n v="5821058.25"/>
    <x v="0"/>
    <s v="CONTRACTUAL"/>
    <m/>
    <m/>
  </r>
  <r>
    <x v="11"/>
    <x v="6"/>
    <x v="0"/>
    <x v="0"/>
    <s v="INSPECTOR SISOMA"/>
    <n v="5821058.25"/>
    <x v="0"/>
    <s v="CONTRACTUAL"/>
    <m/>
    <m/>
  </r>
  <r>
    <x v="11"/>
    <x v="7"/>
    <x v="0"/>
    <x v="0"/>
    <s v="INSPECTOR SISOMA"/>
    <n v="5821058.25"/>
    <x v="0"/>
    <s v="CONTRACTUAL"/>
    <m/>
    <m/>
  </r>
  <r>
    <x v="11"/>
    <x v="8"/>
    <x v="0"/>
    <x v="0"/>
    <s v="INSPECTOR SISOMA"/>
    <n v="5821058.25"/>
    <x v="0"/>
    <s v="CONTRACTUAL"/>
    <m/>
    <m/>
  </r>
  <r>
    <x v="11"/>
    <x v="9"/>
    <x v="0"/>
    <x v="0"/>
    <s v="INSPECTOR SISOMA"/>
    <n v="5821058.25"/>
    <x v="0"/>
    <s v="CONTRACTUAL"/>
    <m/>
    <m/>
  </r>
  <r>
    <x v="11"/>
    <x v="10"/>
    <x v="0"/>
    <x v="0"/>
    <s v="INSPECTOR SISOMA"/>
    <n v="5821058.25"/>
    <x v="0"/>
    <s v="CONTRACTUAL"/>
    <m/>
    <m/>
  </r>
  <r>
    <x v="11"/>
    <x v="11"/>
    <x v="0"/>
    <x v="0"/>
    <s v="INSPECTOR SISOMA"/>
    <n v="5821058.25"/>
    <x v="0"/>
    <s v="CONTRACTUAL"/>
    <m/>
    <m/>
  </r>
  <r>
    <x v="11"/>
    <x v="0"/>
    <x v="0"/>
    <x v="0"/>
    <s v="INSPECTOR DE INTERVENTORIA 1"/>
    <n v="4154801.1749999998"/>
    <x v="0"/>
    <s v="CONTRACTUAL"/>
    <m/>
    <m/>
  </r>
  <r>
    <x v="11"/>
    <x v="1"/>
    <x v="0"/>
    <x v="0"/>
    <s v="INSPECTOR DE INTERVENTORIA 1"/>
    <n v="4154801.1749999998"/>
    <x v="0"/>
    <s v="CONTRACTUAL"/>
    <m/>
    <m/>
  </r>
  <r>
    <x v="11"/>
    <x v="2"/>
    <x v="0"/>
    <x v="0"/>
    <s v="INSPECTOR DE INTERVENTORIA 1"/>
    <n v="4154801.1749999998"/>
    <x v="0"/>
    <s v="CONTRACTUAL"/>
    <m/>
    <m/>
  </r>
  <r>
    <x v="11"/>
    <x v="3"/>
    <x v="0"/>
    <x v="0"/>
    <s v="INSPECTOR DE INTERVENTORIA 1"/>
    <n v="4154801.1749999998"/>
    <x v="0"/>
    <s v="CONTRACTUAL"/>
    <m/>
    <m/>
  </r>
  <r>
    <x v="11"/>
    <x v="4"/>
    <x v="0"/>
    <x v="0"/>
    <s v="INSPECTOR DE INTERVENTORIA 1"/>
    <n v="4154801.1749999998"/>
    <x v="0"/>
    <s v="CONTRACTUAL"/>
    <m/>
    <m/>
  </r>
  <r>
    <x v="11"/>
    <x v="5"/>
    <x v="0"/>
    <x v="0"/>
    <s v="INSPECTOR DE INTERVENTORIA 1"/>
    <n v="4154801.1749999998"/>
    <x v="0"/>
    <s v="CONTRACTUAL"/>
    <m/>
    <m/>
  </r>
  <r>
    <x v="11"/>
    <x v="6"/>
    <x v="0"/>
    <x v="0"/>
    <s v="INSPECTOR DE INTERVENTORIA 1"/>
    <n v="4154801.1749999998"/>
    <x v="0"/>
    <s v="CONTRACTUAL"/>
    <m/>
    <m/>
  </r>
  <r>
    <x v="11"/>
    <x v="7"/>
    <x v="0"/>
    <x v="0"/>
    <s v="INSPECTOR DE INTERVENTORIA 1"/>
    <n v="4154801.1749999998"/>
    <x v="0"/>
    <s v="CONTRACTUAL"/>
    <m/>
    <m/>
  </r>
  <r>
    <x v="11"/>
    <x v="8"/>
    <x v="0"/>
    <x v="0"/>
    <s v="INSPECTOR DE INTERVENTORIA 1"/>
    <n v="4154801.1749999998"/>
    <x v="0"/>
    <s v="CONTRACTUAL"/>
    <m/>
    <m/>
  </r>
  <r>
    <x v="11"/>
    <x v="9"/>
    <x v="0"/>
    <x v="0"/>
    <s v="INSPECTOR DE INTERVENTORIA 1"/>
    <n v="4154801.1749999998"/>
    <x v="0"/>
    <s v="CONTRACTUAL"/>
    <m/>
    <m/>
  </r>
  <r>
    <x v="11"/>
    <x v="10"/>
    <x v="0"/>
    <x v="0"/>
    <s v="INSPECTOR DE INTERVENTORIA 1"/>
    <n v="4154801.1749999998"/>
    <x v="0"/>
    <s v="CONTRACTUAL"/>
    <m/>
    <m/>
  </r>
  <r>
    <x v="11"/>
    <x v="11"/>
    <x v="0"/>
    <x v="0"/>
    <s v="INSPECTOR DE INTERVENTORIA 1"/>
    <n v="4154801.1749999998"/>
    <x v="0"/>
    <s v="CONTRACTUAL"/>
    <m/>
    <m/>
  </r>
  <r>
    <x v="11"/>
    <x v="12"/>
    <x v="0"/>
    <x v="0"/>
    <s v="INSPECTOR DE INTERVENTORIA 1"/>
    <n v="4154801.1749999998"/>
    <x v="0"/>
    <s v="CONTRACTUAL"/>
    <m/>
    <m/>
  </r>
  <r>
    <x v="11"/>
    <x v="13"/>
    <x v="0"/>
    <x v="0"/>
    <s v="INSPECTOR DE INTERVENTORIA 1"/>
    <n v="4154801.1749999998"/>
    <x v="0"/>
    <s v="CONTRACTUAL"/>
    <m/>
    <m/>
  </r>
  <r>
    <x v="11"/>
    <x v="0"/>
    <x v="0"/>
    <x v="0"/>
    <s v="AUXILIAR ADMINISTRATIVO"/>
    <n v="1667925"/>
    <x v="0"/>
    <s v="CONTRACTUAL"/>
    <m/>
    <m/>
  </r>
  <r>
    <x v="11"/>
    <x v="1"/>
    <x v="0"/>
    <x v="0"/>
    <s v="AUXILIAR ADMINISTRATIVO"/>
    <n v="1667925"/>
    <x v="0"/>
    <s v="CONTRACTUAL"/>
    <m/>
    <m/>
  </r>
  <r>
    <x v="11"/>
    <x v="2"/>
    <x v="0"/>
    <x v="0"/>
    <s v="AUXILIAR ADMINISTRATIVO"/>
    <n v="1667925"/>
    <x v="0"/>
    <s v="CONTRACTUAL"/>
    <m/>
    <m/>
  </r>
  <r>
    <x v="11"/>
    <x v="3"/>
    <x v="0"/>
    <x v="0"/>
    <s v="AUXILIAR ADMINISTRATIVO"/>
    <n v="1667925"/>
    <x v="0"/>
    <s v="CONTRACTUAL"/>
    <m/>
    <m/>
  </r>
  <r>
    <x v="11"/>
    <x v="4"/>
    <x v="0"/>
    <x v="0"/>
    <s v="AUXILIAR ADMINISTRATIVO"/>
    <n v="1667925"/>
    <x v="0"/>
    <s v="CONTRACTUAL"/>
    <m/>
    <m/>
  </r>
  <r>
    <x v="11"/>
    <x v="5"/>
    <x v="0"/>
    <x v="0"/>
    <s v="AUXILIAR ADMINISTRATIVO"/>
    <n v="1667925"/>
    <x v="0"/>
    <s v="CONTRACTUAL"/>
    <m/>
    <m/>
  </r>
  <r>
    <x v="11"/>
    <x v="6"/>
    <x v="0"/>
    <x v="0"/>
    <s v="AUXILIAR ADMINISTRATIVO"/>
    <n v="1667925"/>
    <x v="0"/>
    <s v="CONTRACTUAL"/>
    <m/>
    <m/>
  </r>
  <r>
    <x v="11"/>
    <x v="7"/>
    <x v="0"/>
    <x v="0"/>
    <s v="AUXILIAR ADMINISTRATIVO"/>
    <n v="1667925"/>
    <x v="0"/>
    <s v="CONTRACTUAL"/>
    <m/>
    <m/>
  </r>
  <r>
    <x v="11"/>
    <x v="8"/>
    <x v="0"/>
    <x v="0"/>
    <s v="AUXILIAR ADMINISTRATIVO"/>
    <n v="1667925"/>
    <x v="0"/>
    <s v="CONTRACTUAL"/>
    <m/>
    <m/>
  </r>
  <r>
    <x v="11"/>
    <x v="9"/>
    <x v="0"/>
    <x v="0"/>
    <s v="AUXILIAR ADMINISTRATIVO"/>
    <n v="1667925"/>
    <x v="0"/>
    <s v="CONTRACTUAL"/>
    <m/>
    <m/>
  </r>
  <r>
    <x v="11"/>
    <x v="10"/>
    <x v="0"/>
    <x v="0"/>
    <s v="AUXILIAR ADMINISTRATIVO"/>
    <n v="1667925"/>
    <x v="0"/>
    <s v="CONTRACTUAL"/>
    <m/>
    <m/>
  </r>
  <r>
    <x v="11"/>
    <x v="11"/>
    <x v="0"/>
    <x v="0"/>
    <s v="AUXILIAR ADMINISTRATIVO"/>
    <n v="1667925"/>
    <x v="0"/>
    <s v="CONTRACTUAL"/>
    <m/>
    <m/>
  </r>
  <r>
    <x v="11"/>
    <x v="12"/>
    <x v="0"/>
    <x v="0"/>
    <s v="AUXILIAR ADMINISTRATIVO"/>
    <n v="1667925"/>
    <x v="0"/>
    <s v="CONTRACTUAL"/>
    <m/>
    <m/>
  </r>
  <r>
    <x v="11"/>
    <x v="13"/>
    <x v="0"/>
    <x v="0"/>
    <s v="AUXILIAR ADMINISTRATIVO"/>
    <n v="1667925"/>
    <x v="0"/>
    <s v="CONTRACTUAL"/>
    <m/>
    <m/>
  </r>
  <r>
    <x v="11"/>
    <x v="14"/>
    <x v="0"/>
    <x v="0"/>
    <s v="AUXILIAR ADMINISTRATIVO"/>
    <n v="1667925"/>
    <x v="0"/>
    <s v="CONTRACTUAL"/>
    <m/>
    <m/>
  </r>
  <r>
    <x v="11"/>
    <x v="15"/>
    <x v="0"/>
    <x v="0"/>
    <s v="AUXILIAR ADMINISTRATIVO"/>
    <n v="1667925"/>
    <x v="0"/>
    <s v="CONTRACTUAL"/>
    <m/>
    <m/>
  </r>
  <r>
    <x v="11"/>
    <x v="0"/>
    <x v="0"/>
    <x v="0"/>
    <s v="RESIDENTE ADMINISTRATIVO"/>
    <n v="3886265.25"/>
    <x v="0"/>
    <s v="CONTRACTUAL"/>
    <m/>
    <m/>
  </r>
  <r>
    <x v="11"/>
    <x v="1"/>
    <x v="0"/>
    <x v="0"/>
    <s v="RESIDENTE ADMINISTRATIVO"/>
    <n v="3886265.25"/>
    <x v="0"/>
    <s v="CONTRACTUAL"/>
    <m/>
    <m/>
  </r>
  <r>
    <x v="11"/>
    <x v="2"/>
    <x v="0"/>
    <x v="0"/>
    <s v="RESIDENTE ADMINISTRATIVO"/>
    <n v="3886265.25"/>
    <x v="0"/>
    <s v="CONTRACTUAL"/>
    <m/>
    <m/>
  </r>
  <r>
    <x v="11"/>
    <x v="3"/>
    <x v="0"/>
    <x v="0"/>
    <s v="RESIDENTE ADMINISTRATIVO"/>
    <n v="3886265.25"/>
    <x v="0"/>
    <s v="CONTRACTUAL"/>
    <m/>
    <m/>
  </r>
  <r>
    <x v="11"/>
    <x v="4"/>
    <x v="0"/>
    <x v="0"/>
    <s v="RESIDENTE ADMINISTRATIVO"/>
    <n v="3886265.25"/>
    <x v="0"/>
    <s v="CONTRACTUAL"/>
    <m/>
    <m/>
  </r>
  <r>
    <x v="11"/>
    <x v="5"/>
    <x v="0"/>
    <x v="0"/>
    <s v="RESIDENTE ADMINISTRATIVO"/>
    <n v="3886265.25"/>
    <x v="0"/>
    <s v="CONTRACTUAL"/>
    <m/>
    <m/>
  </r>
  <r>
    <x v="11"/>
    <x v="6"/>
    <x v="0"/>
    <x v="0"/>
    <s v="RESIDENTE ADMINISTRATIVO"/>
    <n v="3886265.25"/>
    <x v="0"/>
    <s v="CONTRACTUAL"/>
    <m/>
    <m/>
  </r>
  <r>
    <x v="11"/>
    <x v="7"/>
    <x v="0"/>
    <x v="0"/>
    <s v="RESIDENTE ADMINISTRATIVO"/>
    <n v="3886265.25"/>
    <x v="0"/>
    <s v="CONTRACTUAL"/>
    <m/>
    <m/>
  </r>
  <r>
    <x v="11"/>
    <x v="8"/>
    <x v="0"/>
    <x v="0"/>
    <s v="RESIDENTE ADMINISTRATIVO"/>
    <n v="3886265.25"/>
    <x v="0"/>
    <s v="CONTRACTUAL"/>
    <m/>
    <m/>
  </r>
  <r>
    <x v="11"/>
    <x v="9"/>
    <x v="0"/>
    <x v="0"/>
    <s v="RESIDENTE ADMINISTRATIVO"/>
    <n v="3886265.25"/>
    <x v="0"/>
    <s v="CONTRACTUAL"/>
    <m/>
    <m/>
  </r>
  <r>
    <x v="11"/>
    <x v="10"/>
    <x v="0"/>
    <x v="0"/>
    <s v="RESIDENTE ADMINISTRATIVO"/>
    <n v="3886265.25"/>
    <x v="0"/>
    <s v="CONTRACTUAL"/>
    <m/>
    <m/>
  </r>
  <r>
    <x v="11"/>
    <x v="11"/>
    <x v="0"/>
    <x v="0"/>
    <s v="RESIDENTE ADMINISTRATIVO"/>
    <n v="3886265.25"/>
    <x v="0"/>
    <s v="CONTRACTUAL"/>
    <m/>
    <m/>
  </r>
  <r>
    <x v="11"/>
    <x v="12"/>
    <x v="0"/>
    <x v="0"/>
    <s v="RESIDENTE ADMINISTRATIVO"/>
    <n v="3886265.25"/>
    <x v="0"/>
    <s v="CONTRACTUAL"/>
    <m/>
    <m/>
  </r>
  <r>
    <x v="11"/>
    <x v="13"/>
    <x v="0"/>
    <x v="0"/>
    <s v="RESIDENTE ADMINISTRATIVO"/>
    <n v="3886265.25"/>
    <x v="0"/>
    <s v="CONTRACTUAL"/>
    <m/>
    <m/>
  </r>
  <r>
    <x v="11"/>
    <x v="14"/>
    <x v="0"/>
    <x v="0"/>
    <s v="RESIDENTE ADMINISTRATIVO"/>
    <n v="3886265.25"/>
    <x v="0"/>
    <s v="CONTRACTUAL"/>
    <m/>
    <m/>
  </r>
  <r>
    <x v="11"/>
    <x v="15"/>
    <x v="0"/>
    <x v="0"/>
    <s v="RESIDENTE ADMINISTRATIVO"/>
    <n v="3886265.25"/>
    <x v="0"/>
    <s v="CONTRACTUAL"/>
    <m/>
    <m/>
  </r>
  <r>
    <x v="11"/>
    <x v="16"/>
    <x v="0"/>
    <x v="0"/>
    <s v="RESIDENTE ADMINISTRATIVO"/>
    <n v="3886265.25"/>
    <x v="0"/>
    <s v="CONTRACTUAL"/>
    <m/>
    <m/>
  </r>
  <r>
    <x v="11"/>
    <x v="17"/>
    <x v="0"/>
    <x v="0"/>
    <s v="RESIDENTE ADMINISTRATIVO"/>
    <n v="3886265.25"/>
    <x v="0"/>
    <s v="CONTRACTUAL"/>
    <m/>
    <m/>
  </r>
  <r>
    <x v="11"/>
    <x v="0"/>
    <x v="0"/>
    <x v="0"/>
    <s v="RESIDENTE DE INTERVENTORIA"/>
    <n v="6004530"/>
    <x v="0"/>
    <s v="CONTRACTUAL"/>
    <m/>
    <m/>
  </r>
  <r>
    <x v="11"/>
    <x v="1"/>
    <x v="0"/>
    <x v="0"/>
    <s v="RESIDENTE DE INTERVENTORIA"/>
    <n v="6004530"/>
    <x v="0"/>
    <s v="CONTRACTUAL"/>
    <m/>
    <m/>
  </r>
  <r>
    <x v="11"/>
    <x v="2"/>
    <x v="0"/>
    <x v="0"/>
    <s v="RESIDENTE DE INTERVENTORIA"/>
    <n v="6004530"/>
    <x v="0"/>
    <s v="CONTRACTUAL"/>
    <m/>
    <m/>
  </r>
  <r>
    <x v="11"/>
    <x v="3"/>
    <x v="0"/>
    <x v="0"/>
    <s v="RESIDENTE DE INTERVENTORIA"/>
    <n v="6004530"/>
    <x v="0"/>
    <s v="CONTRACTUAL"/>
    <m/>
    <m/>
  </r>
  <r>
    <x v="11"/>
    <x v="4"/>
    <x v="0"/>
    <x v="0"/>
    <s v="RESIDENTE DE INTERVENTORIA"/>
    <n v="6004530"/>
    <x v="0"/>
    <s v="CONTRACTUAL"/>
    <m/>
    <m/>
  </r>
  <r>
    <x v="11"/>
    <x v="5"/>
    <x v="0"/>
    <x v="0"/>
    <s v="RESIDENTE DE INTERVENTORIA"/>
    <n v="6004530"/>
    <x v="0"/>
    <s v="CONTRACTUAL"/>
    <m/>
    <m/>
  </r>
  <r>
    <x v="11"/>
    <x v="6"/>
    <x v="0"/>
    <x v="0"/>
    <s v="RESIDENTE DE INTERVENTORIA"/>
    <n v="6004530"/>
    <x v="0"/>
    <s v="CONTRACTUAL"/>
    <m/>
    <m/>
  </r>
  <r>
    <x v="11"/>
    <x v="7"/>
    <x v="0"/>
    <x v="0"/>
    <s v="RESIDENTE DE INTERVENTORIA"/>
    <n v="6004530"/>
    <x v="0"/>
    <s v="CONTRACTUAL"/>
    <m/>
    <m/>
  </r>
  <r>
    <x v="11"/>
    <x v="8"/>
    <x v="0"/>
    <x v="0"/>
    <s v="RESIDENTE DE INTERVENTORIA"/>
    <n v="6004530"/>
    <x v="0"/>
    <s v="CONTRACTUAL"/>
    <m/>
    <m/>
  </r>
  <r>
    <x v="11"/>
    <x v="9"/>
    <x v="0"/>
    <x v="0"/>
    <s v="RESIDENTE DE INTERVENTORIA"/>
    <n v="6004530"/>
    <x v="0"/>
    <s v="CONTRACTUAL"/>
    <m/>
    <m/>
  </r>
  <r>
    <x v="11"/>
    <x v="10"/>
    <x v="0"/>
    <x v="0"/>
    <s v="RESIDENTE DE INTERVENTORIA"/>
    <n v="6004530"/>
    <x v="0"/>
    <s v="CONTRACTUAL"/>
    <m/>
    <m/>
  </r>
  <r>
    <x v="11"/>
    <x v="11"/>
    <x v="0"/>
    <x v="0"/>
    <s v="RESIDENTE DE INTERVENTORIA"/>
    <n v="6004530"/>
    <x v="0"/>
    <s v="CONTRACTUAL"/>
    <m/>
    <m/>
  </r>
  <r>
    <x v="11"/>
    <x v="12"/>
    <x v="0"/>
    <x v="0"/>
    <s v="RESIDENTE DE INTERVENTORIA"/>
    <n v="6004530"/>
    <x v="0"/>
    <s v="CONTRACTUAL"/>
    <m/>
    <m/>
  </r>
  <r>
    <x v="11"/>
    <x v="13"/>
    <x v="0"/>
    <x v="0"/>
    <s v="RESIDENTE DE INTERVENTORIA"/>
    <n v="6004530"/>
    <x v="0"/>
    <s v="CONTRACTUAL"/>
    <m/>
    <m/>
  </r>
  <r>
    <x v="11"/>
    <x v="14"/>
    <x v="0"/>
    <x v="0"/>
    <s v="RESIDENTE DE INTERVENTORIA"/>
    <n v="6004530"/>
    <x v="0"/>
    <s v="CONTRACTUAL"/>
    <m/>
    <m/>
  </r>
  <r>
    <x v="12"/>
    <x v="0"/>
    <x v="0"/>
    <x v="0"/>
    <s v="AUXILIAR DE INGENIERIA "/>
    <n v="1289925"/>
    <x v="0"/>
    <s v="CONTRACTUAL"/>
    <m/>
    <m/>
  </r>
  <r>
    <x v="12"/>
    <x v="1"/>
    <x v="0"/>
    <x v="0"/>
    <s v="AUXILIAR DE INGENIERIA "/>
    <n v="1289925"/>
    <x v="0"/>
    <s v="CONTRACTUAL"/>
    <m/>
    <m/>
  </r>
  <r>
    <x v="12"/>
    <x v="2"/>
    <x v="0"/>
    <x v="0"/>
    <s v="AUXILIAR DE INGENIERIA "/>
    <n v="1289925"/>
    <x v="0"/>
    <s v="CONTRACTUAL"/>
    <m/>
    <m/>
  </r>
  <r>
    <x v="12"/>
    <x v="0"/>
    <x v="0"/>
    <x v="0"/>
    <s v="DIRECTOR DE INTERVENTORIA"/>
    <n v="1129511.25"/>
    <x v="0"/>
    <s v="CONTRACTUAL"/>
    <m/>
    <m/>
  </r>
  <r>
    <x v="12"/>
    <x v="1"/>
    <x v="0"/>
    <x v="0"/>
    <s v="DIRECTOR DE INTERVENTORIA"/>
    <n v="1129511.25"/>
    <x v="0"/>
    <s v="CONTRACTUAL"/>
    <m/>
    <m/>
  </r>
  <r>
    <x v="12"/>
    <x v="2"/>
    <x v="0"/>
    <x v="0"/>
    <s v="DIRECTOR DE INTERVENTORIA"/>
    <n v="1129511.25"/>
    <x v="0"/>
    <s v="CONTRACTUAL"/>
    <m/>
    <m/>
  </r>
  <r>
    <x v="12"/>
    <x v="0"/>
    <x v="0"/>
    <x v="0"/>
    <s v="RESIDENTE"/>
    <n v="7607250"/>
    <x v="0"/>
    <s v="CONTRACTUAL"/>
    <m/>
    <m/>
  </r>
  <r>
    <x v="12"/>
    <x v="1"/>
    <x v="0"/>
    <x v="0"/>
    <s v="RESIDENTE"/>
    <n v="7607250"/>
    <x v="0"/>
    <s v="CONTRACTUAL"/>
    <m/>
    <m/>
  </r>
  <r>
    <x v="12"/>
    <x v="2"/>
    <x v="0"/>
    <x v="0"/>
    <s v="RESIDENTE"/>
    <n v="7607250"/>
    <x v="0"/>
    <s v="CONTRACTUAL"/>
    <m/>
    <m/>
  </r>
  <r>
    <x v="13"/>
    <x v="0"/>
    <x v="0"/>
    <x v="0"/>
    <s v="ANTROPOLOGO"/>
    <n v="3780000"/>
    <x v="0"/>
    <s v="CONTRACTUAL SIN LEGALIZACIÓN"/>
    <m/>
    <m/>
  </r>
  <r>
    <x v="13"/>
    <x v="1"/>
    <x v="0"/>
    <x v="0"/>
    <s v="ANTROPOLOGO"/>
    <n v="3780000"/>
    <x v="0"/>
    <s v="CONTRACTUAL SIN LEGALIZACIÓN"/>
    <m/>
    <m/>
  </r>
  <r>
    <x v="13"/>
    <x v="2"/>
    <x v="0"/>
    <x v="0"/>
    <s v="ANTROPOLOGO"/>
    <n v="3780000"/>
    <x v="0"/>
    <s v="CONTRACTUAL SIN LEGALIZACIÓN"/>
    <m/>
    <m/>
  </r>
  <r>
    <x v="13"/>
    <x v="0"/>
    <x v="0"/>
    <x v="0"/>
    <s v="ARQUIRECTO DISEÑADOR CON ESP EN URBANISMO"/>
    <n v="5868450"/>
    <x v="0"/>
    <s v="CONTRACTUAL SIN LEGALIZACIÓN"/>
    <m/>
    <m/>
  </r>
  <r>
    <x v="13"/>
    <x v="1"/>
    <x v="0"/>
    <x v="0"/>
    <s v="ARQUIRECTO DISEÑADOR CON ESP EN URBANISMO"/>
    <n v="5868450"/>
    <x v="0"/>
    <s v="CONTRACTUAL SIN LEGALIZACIÓN"/>
    <m/>
    <m/>
  </r>
  <r>
    <x v="13"/>
    <x v="2"/>
    <x v="0"/>
    <x v="0"/>
    <s v="ARQUIRECTO DISEÑADOR CON ESP EN URBANISMO"/>
    <n v="5868450"/>
    <x v="0"/>
    <s v="CONTRACTUAL SIN LEGALIZACIÓN"/>
    <m/>
    <m/>
  </r>
  <r>
    <x v="13"/>
    <x v="2"/>
    <x v="0"/>
    <x v="0"/>
    <s v="BIOLOGO"/>
    <n v="1535625"/>
    <x v="0"/>
    <s v="CONTRACTUAL SIN LEGALIZACIÓN"/>
    <m/>
    <m/>
  </r>
  <r>
    <x v="13"/>
    <x v="0"/>
    <x v="0"/>
    <x v="0"/>
    <s v="DIRECTOR DE INTERVENTORIA"/>
    <n v="19561500"/>
    <x v="0"/>
    <s v="CONTRACTUAL SIN LEGALIZACIÓN"/>
    <m/>
    <m/>
  </r>
  <r>
    <x v="13"/>
    <x v="1"/>
    <x v="0"/>
    <x v="0"/>
    <s v="DIRECTOR DE INTERVENTORIA"/>
    <n v="19561500"/>
    <x v="0"/>
    <s v="CONTRACTUAL SIN LEGALIZACIÓN"/>
    <m/>
    <m/>
  </r>
  <r>
    <x v="13"/>
    <x v="0"/>
    <x v="0"/>
    <x v="0"/>
    <s v="ESPECIALISTA CATASTRAL"/>
    <n v="2835913.5"/>
    <x v="0"/>
    <s v="CONTRACTUAL SIN LEGALIZACIÓN"/>
    <m/>
    <m/>
  </r>
  <r>
    <x v="13"/>
    <x v="1"/>
    <x v="0"/>
    <x v="0"/>
    <s v="ESPECIALISTA CATASTRAL"/>
    <n v="2835913.5"/>
    <x v="0"/>
    <s v="CONTRACTUAL SIN LEGALIZACIÓN"/>
    <m/>
    <m/>
  </r>
  <r>
    <x v="13"/>
    <x v="0"/>
    <x v="0"/>
    <x v="0"/>
    <s v="ESPECIALISTA DISEÑO GEOMETRICO"/>
    <n v="5868450"/>
    <x v="0"/>
    <s v="CONTRACTUAL SIN LEGALIZACIÓN"/>
    <m/>
    <m/>
  </r>
  <r>
    <x v="13"/>
    <x v="1"/>
    <x v="0"/>
    <x v="0"/>
    <s v="ESPECIALISTA DISEÑO GEOMETRICO"/>
    <n v="5868450"/>
    <x v="0"/>
    <s v="CONTRACTUAL SIN LEGALIZACIÓN"/>
    <m/>
    <m/>
  </r>
  <r>
    <x v="13"/>
    <x v="2"/>
    <x v="0"/>
    <x v="0"/>
    <s v="ESPECIALISTA DISEÑO GEOMETRICO"/>
    <n v="5868450"/>
    <x v="0"/>
    <s v="CONTRACTUAL SIN LEGALIZACIÓN"/>
    <m/>
    <m/>
  </r>
  <r>
    <x v="13"/>
    <x v="0"/>
    <x v="0"/>
    <x v="0"/>
    <s v="ESPECIALISTA ELECTRICO"/>
    <n v="2531377.8000000003"/>
    <x v="0"/>
    <s v="CONTRACTUAL SIN LEGALIZACIÓN"/>
    <m/>
    <m/>
  </r>
  <r>
    <x v="13"/>
    <x v="1"/>
    <x v="0"/>
    <x v="0"/>
    <s v="ESPECIALISTA ELECTRICO"/>
    <n v="2531377.8000000003"/>
    <x v="0"/>
    <s v="CONTRACTUAL SIN LEGALIZACIÓN"/>
    <m/>
    <m/>
  </r>
  <r>
    <x v="13"/>
    <x v="2"/>
    <x v="0"/>
    <x v="0"/>
    <s v="ESPECIALISTA ELECTRICO"/>
    <n v="2531377.8000000003"/>
    <x v="0"/>
    <s v="CONTRACTUAL SIN LEGALIZACIÓN"/>
    <m/>
    <m/>
  </r>
  <r>
    <x v="13"/>
    <x v="0"/>
    <x v="0"/>
    <x v="0"/>
    <s v="ESPECIALISTA EN PAVIMENTOS"/>
    <n v="3780000"/>
    <x v="0"/>
    <s v="CONTRACTUAL SIN LEGALIZACIÓN"/>
    <m/>
    <m/>
  </r>
  <r>
    <x v="13"/>
    <x v="1"/>
    <x v="0"/>
    <x v="0"/>
    <s v="ESPECIALISTA EN PAVIMENTOS"/>
    <n v="3780000"/>
    <x v="0"/>
    <s v="CONTRACTUAL SIN LEGALIZACIÓN"/>
    <m/>
    <m/>
  </r>
  <r>
    <x v="13"/>
    <x v="2"/>
    <x v="0"/>
    <x v="0"/>
    <s v="ESPECIALISTA EN PAVIMENTOS"/>
    <n v="3780000"/>
    <x v="0"/>
    <s v="CONTRACTUAL SIN LEGALIZACIÓN"/>
    <m/>
    <m/>
  </r>
  <r>
    <x v="13"/>
    <x v="0"/>
    <x v="0"/>
    <x v="0"/>
    <s v="ESPECIALISTA EN SEGURIDAD Y SALUD EN EL TRABAJO"/>
    <n v="2173500"/>
    <x v="0"/>
    <s v="CONTRACTUAL SIN LEGALIZACIÓN"/>
    <m/>
    <m/>
  </r>
  <r>
    <x v="13"/>
    <x v="1"/>
    <x v="0"/>
    <x v="0"/>
    <s v="ESPECIALISTA EN SEGURIDAD Y SALUD EN EL TRABAJO"/>
    <n v="2173500"/>
    <x v="0"/>
    <s v="CONTRACTUAL SIN LEGALIZACIÓN"/>
    <m/>
    <m/>
  </r>
  <r>
    <x v="13"/>
    <x v="2"/>
    <x v="0"/>
    <x v="0"/>
    <s v="ESPECIALISTA EN SEGURIDAD Y SALUD EN EL TRABAJO"/>
    <n v="2173500"/>
    <x v="0"/>
    <s v="CONTRACTUAL SIN LEGALIZACIÓN"/>
    <m/>
    <m/>
  </r>
  <r>
    <x v="13"/>
    <x v="0"/>
    <x v="0"/>
    <x v="0"/>
    <s v="ESPECIALISTA EN TRANSITO"/>
    <n v="5460525"/>
    <x v="0"/>
    <s v="CONTRACTUAL SIN LEGALIZACIÓN"/>
    <m/>
    <m/>
  </r>
  <r>
    <x v="13"/>
    <x v="1"/>
    <x v="0"/>
    <x v="0"/>
    <s v="ESPECIALISTA EN TRANSITO"/>
    <n v="5460525"/>
    <x v="0"/>
    <s v="CONTRACTUAL SIN LEGALIZACIÓN"/>
    <m/>
    <m/>
  </r>
  <r>
    <x v="13"/>
    <x v="2"/>
    <x v="0"/>
    <x v="0"/>
    <s v="ESPECIALISTA EN TRANSITO"/>
    <n v="5460525"/>
    <x v="0"/>
    <s v="CONTRACTUAL SIN LEGALIZACIÓN"/>
    <m/>
    <m/>
  </r>
  <r>
    <x v="13"/>
    <x v="0"/>
    <x v="0"/>
    <x v="0"/>
    <s v="ESPECIALISTA ESTRUCTURAL"/>
    <n v="3213000"/>
    <x v="0"/>
    <s v="CONTRACTUAL SIN LEGALIZACIÓN"/>
    <m/>
    <m/>
  </r>
  <r>
    <x v="13"/>
    <x v="1"/>
    <x v="0"/>
    <x v="0"/>
    <s v="ESPECIALISTA ESTRUCTURAL"/>
    <n v="3213000"/>
    <x v="0"/>
    <s v="CONTRACTUAL SIN LEGALIZACIÓN"/>
    <m/>
    <m/>
  </r>
  <r>
    <x v="13"/>
    <x v="2"/>
    <x v="0"/>
    <x v="0"/>
    <s v="ESPECIALISTA ESTRUCTURAL"/>
    <n v="3213000"/>
    <x v="0"/>
    <s v="CONTRACTUAL SIN LEGALIZACIÓN"/>
    <m/>
    <m/>
  </r>
  <r>
    <x v="13"/>
    <x v="0"/>
    <x v="0"/>
    <x v="0"/>
    <s v="ESPECIALISTA FORESTAL"/>
    <n v="2173500"/>
    <x v="0"/>
    <s v="CONTRACTUAL SIN LEGALIZACIÓN"/>
    <m/>
    <m/>
  </r>
  <r>
    <x v="13"/>
    <x v="1"/>
    <x v="0"/>
    <x v="0"/>
    <s v="ESPECIALISTA FORESTAL"/>
    <n v="2173500"/>
    <x v="0"/>
    <s v="CONTRACTUAL SIN LEGALIZACIÓN"/>
    <m/>
    <m/>
  </r>
  <r>
    <x v="13"/>
    <x v="2"/>
    <x v="0"/>
    <x v="0"/>
    <s v="ESPECIALISTA FORESTAL"/>
    <n v="2173500"/>
    <x v="0"/>
    <s v="CONTRACTUAL SIN LEGALIZACIÓN"/>
    <m/>
    <m/>
  </r>
  <r>
    <x v="13"/>
    <x v="0"/>
    <x v="0"/>
    <x v="0"/>
    <s v="ESPECIALISTA GEOTECNIA"/>
    <n v="3780000"/>
    <x v="0"/>
    <s v="CONTRACTUAL SIN LEGALIZACIÓN"/>
    <m/>
    <m/>
  </r>
  <r>
    <x v="13"/>
    <x v="1"/>
    <x v="0"/>
    <x v="0"/>
    <s v="ESPECIALISTA GEOTECNIA"/>
    <n v="3780000"/>
    <x v="0"/>
    <s v="CONTRACTUAL SIN LEGALIZACIÓN"/>
    <m/>
    <m/>
  </r>
  <r>
    <x v="13"/>
    <x v="2"/>
    <x v="0"/>
    <x v="0"/>
    <s v="ESPECIALISTA GEOTECNIA"/>
    <n v="3780000"/>
    <x v="0"/>
    <s v="CONTRACTUAL SIN LEGALIZACIÓN"/>
    <m/>
    <m/>
  </r>
  <r>
    <x v="13"/>
    <x v="0"/>
    <x v="0"/>
    <x v="0"/>
    <s v="ESPECIALISTA HDROSANITARIO"/>
    <n v="1890000"/>
    <x v="0"/>
    <s v="CONTRACTUAL SIN LEGALIZACIÓN"/>
    <m/>
    <m/>
  </r>
  <r>
    <x v="13"/>
    <x v="1"/>
    <x v="0"/>
    <x v="0"/>
    <s v="ESPECIALISTA HDROSANITARIO"/>
    <n v="1890000"/>
    <x v="0"/>
    <s v="CONTRACTUAL SIN LEGALIZACIÓN"/>
    <m/>
    <m/>
  </r>
  <r>
    <x v="13"/>
    <x v="2"/>
    <x v="0"/>
    <x v="0"/>
    <s v="ESPECIALISTA HDROSANITARIO"/>
    <n v="1890000"/>
    <x v="0"/>
    <s v="CONTRACTUAL SIN LEGALIZACIÓN"/>
    <m/>
    <m/>
  </r>
  <r>
    <x v="13"/>
    <x v="0"/>
    <x v="0"/>
    <x v="0"/>
    <s v="INGENIERO CATASTRAL"/>
    <n v="1265688.9000000001"/>
    <x v="0"/>
    <s v="CONTRACTUAL SIN LEGALIZACIÓN"/>
    <m/>
    <m/>
  </r>
  <r>
    <x v="13"/>
    <x v="1"/>
    <x v="0"/>
    <x v="0"/>
    <s v="INGENIERO CATASTRAL"/>
    <n v="1265688.9000000001"/>
    <x v="0"/>
    <s v="CONTRACTUAL SIN LEGALIZACIÓN"/>
    <m/>
    <m/>
  </r>
  <r>
    <x v="13"/>
    <x v="2"/>
    <x v="0"/>
    <x v="0"/>
    <s v="INGENIERO CATASTRAL"/>
    <n v="1265688.9000000001"/>
    <x v="0"/>
    <s v="CONTRACTUAL SIN LEGALIZACIÓN"/>
    <m/>
    <m/>
  </r>
  <r>
    <x v="13"/>
    <x v="0"/>
    <x v="0"/>
    <x v="0"/>
    <s v="PROFESIONAL DE APOYO ARQUITECTO"/>
    <n v="5827500"/>
    <x v="0"/>
    <s v="CONTRACTUAL SIN LEGALIZACIÓN"/>
    <m/>
    <m/>
  </r>
  <r>
    <x v="13"/>
    <x v="1"/>
    <x v="0"/>
    <x v="0"/>
    <s v="PROFESIONAL DE APOYO ARQUITECTO"/>
    <n v="5827500"/>
    <x v="0"/>
    <s v="CONTRACTUAL SIN LEGALIZACIÓN"/>
    <m/>
    <m/>
  </r>
  <r>
    <x v="13"/>
    <x v="2"/>
    <x v="0"/>
    <x v="0"/>
    <s v="PROFESIONAL DE APOYO ARQUITECTO"/>
    <n v="5827500"/>
    <x v="0"/>
    <s v="CONTRACTUAL SIN LEGALIZACIÓN"/>
    <m/>
    <m/>
  </r>
  <r>
    <x v="13"/>
    <x v="0"/>
    <x v="0"/>
    <x v="0"/>
    <s v="PROFESIONAL SOCIAL"/>
    <n v="5118750"/>
    <x v="0"/>
    <s v="CONTRACTUAL SIN LEGALIZACIÓN"/>
    <m/>
    <m/>
  </r>
  <r>
    <x v="13"/>
    <x v="1"/>
    <x v="0"/>
    <x v="0"/>
    <s v="PROFESIONAL SOCIAL"/>
    <n v="5118750"/>
    <x v="0"/>
    <s v="CONTRACTUAL SIN LEGALIZACIÓN"/>
    <m/>
    <m/>
  </r>
  <r>
    <x v="13"/>
    <x v="0"/>
    <x v="0"/>
    <x v="0"/>
    <s v="RESIDENTE AMBIENTAL"/>
    <n v="7245000"/>
    <x v="0"/>
    <s v="CONTRACTUAL SIN LEGALIZACIÓN"/>
    <m/>
    <m/>
  </r>
  <r>
    <x v="13"/>
    <x v="1"/>
    <x v="0"/>
    <x v="0"/>
    <s v="RESIDENTE AMBIENTAL"/>
    <n v="7245000"/>
    <x v="0"/>
    <s v="CONTRACTUAL SIN LEGALIZACIÓN"/>
    <m/>
    <m/>
  </r>
  <r>
    <x v="13"/>
    <x v="0"/>
    <x v="0"/>
    <x v="0"/>
    <s v="RESIDENTE TRANSITO Y TRANSPORTE"/>
    <n v="5118750"/>
    <x v="0"/>
    <s v="CONTRACTUAL SIN LEGALIZACIÓN"/>
    <m/>
    <m/>
  </r>
  <r>
    <x v="13"/>
    <x v="1"/>
    <x v="0"/>
    <x v="0"/>
    <s v="RESIDENTE TRANSITO Y TRANSPORTE"/>
    <n v="5118750"/>
    <x v="0"/>
    <s v="CONTRACTUAL SIN LEGALIZACIÓN"/>
    <m/>
    <m/>
  </r>
  <r>
    <x v="14"/>
    <x v="0"/>
    <x v="0"/>
    <x v="0"/>
    <s v="DIRECTOR"/>
    <n v="9910003.9500000011"/>
    <x v="0"/>
    <s v="ECONÓMICA"/>
    <m/>
    <m/>
  </r>
  <r>
    <x v="14"/>
    <x v="1"/>
    <x v="0"/>
    <x v="0"/>
    <s v="DIRECTOR"/>
    <n v="9910003.9500000011"/>
    <x v="0"/>
    <s v="ECONÓMICA"/>
    <m/>
    <m/>
  </r>
  <r>
    <x v="14"/>
    <x v="2"/>
    <x v="0"/>
    <x v="0"/>
    <s v="DIRECTOR"/>
    <n v="9910003.9500000011"/>
    <x v="0"/>
    <s v="ECONÓMICA"/>
    <m/>
    <m/>
  </r>
  <r>
    <x v="14"/>
    <x v="3"/>
    <x v="0"/>
    <x v="0"/>
    <s v="DIRECTOR"/>
    <n v="9910003.9500000011"/>
    <x v="0"/>
    <s v="ECONÓMICA"/>
    <m/>
    <m/>
  </r>
  <r>
    <x v="14"/>
    <x v="4"/>
    <x v="0"/>
    <x v="0"/>
    <s v="DIRECTOR"/>
    <n v="9910003.9500000011"/>
    <x v="0"/>
    <s v="ECONÓMICA"/>
    <m/>
    <m/>
  </r>
  <r>
    <x v="14"/>
    <x v="5"/>
    <x v="0"/>
    <x v="0"/>
    <s v="DIRECTOR"/>
    <n v="9910003.9500000011"/>
    <x v="0"/>
    <s v="ECONÓMICA"/>
    <m/>
    <m/>
  </r>
  <r>
    <x v="14"/>
    <x v="6"/>
    <x v="0"/>
    <x v="0"/>
    <s v="DIRECTOR"/>
    <n v="9910003.9500000011"/>
    <x v="0"/>
    <s v="ECONÓMICA"/>
    <m/>
    <m/>
  </r>
  <r>
    <x v="14"/>
    <x v="7"/>
    <x v="0"/>
    <x v="0"/>
    <s v="DIRECTOR"/>
    <n v="9910003.9500000011"/>
    <x v="0"/>
    <s v="ECONÓMICA"/>
    <m/>
    <m/>
  </r>
  <r>
    <x v="14"/>
    <x v="8"/>
    <x v="0"/>
    <x v="0"/>
    <s v="DIRECTOR"/>
    <n v="9910003.9500000011"/>
    <x v="0"/>
    <s v="ECONÓMICA"/>
    <m/>
    <m/>
  </r>
  <r>
    <x v="14"/>
    <x v="9"/>
    <x v="0"/>
    <x v="0"/>
    <s v="DIRECTOR"/>
    <n v="9910003.9500000011"/>
    <x v="0"/>
    <s v="ECONÓMICA"/>
    <m/>
    <m/>
  </r>
  <r>
    <x v="14"/>
    <x v="10"/>
    <x v="0"/>
    <x v="0"/>
    <s v="DIRECTOR"/>
    <n v="9910003.9500000011"/>
    <x v="0"/>
    <s v="ECONÓMICA"/>
    <m/>
    <m/>
  </r>
  <r>
    <x v="14"/>
    <x v="11"/>
    <x v="0"/>
    <x v="0"/>
    <s v="DIRECTOR"/>
    <n v="9910003.9500000011"/>
    <x v="0"/>
    <s v="ECONÓMICA"/>
    <m/>
    <m/>
  </r>
  <r>
    <x v="14"/>
    <x v="12"/>
    <x v="0"/>
    <x v="0"/>
    <s v="DIRECTOR"/>
    <n v="9910003.9500000011"/>
    <x v="0"/>
    <s v="ECONÓMICA"/>
    <m/>
    <m/>
  </r>
  <r>
    <x v="14"/>
    <x v="13"/>
    <x v="0"/>
    <x v="0"/>
    <s v="DIRECTOR"/>
    <n v="9910003.9500000011"/>
    <x v="0"/>
    <s v="ECONÓMICA"/>
    <m/>
    <m/>
  </r>
  <r>
    <x v="14"/>
    <x v="14"/>
    <x v="0"/>
    <x v="0"/>
    <s v="DIRECTOR"/>
    <n v="9910003.9500000011"/>
    <x v="0"/>
    <s v="ECONÓMICA"/>
    <m/>
    <m/>
  </r>
  <r>
    <x v="14"/>
    <x v="15"/>
    <x v="0"/>
    <x v="0"/>
    <s v="DIRECTOR"/>
    <n v="9910003.9500000011"/>
    <x v="0"/>
    <s v="ECONÓMICA"/>
    <m/>
    <m/>
  </r>
  <r>
    <x v="14"/>
    <x v="16"/>
    <x v="0"/>
    <x v="0"/>
    <s v="DIRECTOR"/>
    <n v="9910003.9500000011"/>
    <x v="0"/>
    <s v="ECONÓMICA"/>
    <m/>
    <m/>
  </r>
  <r>
    <x v="14"/>
    <x v="17"/>
    <x v="0"/>
    <x v="0"/>
    <s v="DIRECTOR"/>
    <n v="9910003.9500000011"/>
    <x v="0"/>
    <s v="ECONÓMICA"/>
    <m/>
    <m/>
  </r>
  <r>
    <x v="14"/>
    <x v="18"/>
    <x v="0"/>
    <x v="0"/>
    <s v="DIRECTOR"/>
    <n v="9910003.9500000011"/>
    <x v="0"/>
    <s v="ECONÓMICA"/>
    <m/>
    <m/>
  </r>
  <r>
    <x v="14"/>
    <x v="19"/>
    <x v="0"/>
    <x v="0"/>
    <s v="DIRECTOR"/>
    <n v="9910003.9500000011"/>
    <x v="0"/>
    <s v="ECONÓMICA"/>
    <m/>
    <m/>
  </r>
  <r>
    <x v="14"/>
    <x v="20"/>
    <x v="0"/>
    <x v="0"/>
    <s v="DIRECTOR"/>
    <n v="9910003.9500000011"/>
    <x v="0"/>
    <s v="ECONÓMICA"/>
    <m/>
    <m/>
  </r>
  <r>
    <x v="14"/>
    <x v="21"/>
    <x v="0"/>
    <x v="0"/>
    <s v="DIRECTOR"/>
    <n v="9910003.9500000011"/>
    <x v="0"/>
    <s v="ECONÓMICA"/>
    <m/>
    <m/>
  </r>
  <r>
    <x v="14"/>
    <x v="22"/>
    <x v="0"/>
    <x v="0"/>
    <s v="DIRECTOR"/>
    <n v="9910003.9500000011"/>
    <x v="0"/>
    <s v="ECONÓMICA"/>
    <m/>
    <m/>
  </r>
  <r>
    <x v="14"/>
    <x v="23"/>
    <x v="0"/>
    <x v="0"/>
    <s v="DIRECTOR"/>
    <n v="9910003.9500000011"/>
    <x v="0"/>
    <s v="ECONÓMICA"/>
    <m/>
    <m/>
  </r>
  <r>
    <x v="14"/>
    <x v="24"/>
    <x v="0"/>
    <x v="0"/>
    <s v="DIRECTOR"/>
    <n v="9910003.9500000011"/>
    <x v="0"/>
    <s v="ECONÓMICA"/>
    <m/>
    <m/>
  </r>
  <r>
    <x v="14"/>
    <x v="25"/>
    <x v="0"/>
    <x v="0"/>
    <s v="DIRECTOR"/>
    <n v="9910003.9500000011"/>
    <x v="0"/>
    <s v="ECONÓMICA"/>
    <m/>
    <m/>
  </r>
  <r>
    <x v="14"/>
    <x v="0"/>
    <x v="0"/>
    <x v="0"/>
    <s v="INSPECTOR EN OBRA"/>
    <n v="5019615.5309999995"/>
    <x v="0"/>
    <s v="ECONÓMICA"/>
    <m/>
    <m/>
  </r>
  <r>
    <x v="14"/>
    <x v="1"/>
    <x v="0"/>
    <x v="0"/>
    <s v="INSPECTOR EN OBRA"/>
    <n v="5019615.5309999995"/>
    <x v="0"/>
    <s v="ECONÓMICA"/>
    <m/>
    <m/>
  </r>
  <r>
    <x v="14"/>
    <x v="2"/>
    <x v="0"/>
    <x v="0"/>
    <s v="INSPECTOR EN OBRA"/>
    <n v="5019615.5309999995"/>
    <x v="0"/>
    <s v="ECONÓMICA"/>
    <m/>
    <m/>
  </r>
  <r>
    <x v="14"/>
    <x v="3"/>
    <x v="0"/>
    <x v="0"/>
    <s v="INSPECTOR EN OBRA"/>
    <n v="5019615.5309999995"/>
    <x v="0"/>
    <s v="ECONÓMICA"/>
    <m/>
    <m/>
  </r>
  <r>
    <x v="14"/>
    <x v="4"/>
    <x v="0"/>
    <x v="0"/>
    <s v="INSPECTOR EN OBRA"/>
    <n v="5019615.5309999995"/>
    <x v="0"/>
    <s v="ECONÓMICA"/>
    <m/>
    <m/>
  </r>
  <r>
    <x v="14"/>
    <x v="5"/>
    <x v="0"/>
    <x v="0"/>
    <s v="INSPECTOR EN OBRA"/>
    <n v="5019615.5309999995"/>
    <x v="0"/>
    <s v="ECONÓMICA"/>
    <m/>
    <m/>
  </r>
  <r>
    <x v="14"/>
    <x v="6"/>
    <x v="0"/>
    <x v="0"/>
    <s v="INSPECTOR EN OBRA"/>
    <n v="5019615.5309999995"/>
    <x v="0"/>
    <s v="ECONÓMICA"/>
    <m/>
    <m/>
  </r>
  <r>
    <x v="14"/>
    <x v="7"/>
    <x v="0"/>
    <x v="0"/>
    <s v="INSPECTOR EN OBRA"/>
    <n v="5019615.5309999995"/>
    <x v="0"/>
    <s v="ECONÓMICA"/>
    <m/>
    <m/>
  </r>
  <r>
    <x v="14"/>
    <x v="8"/>
    <x v="0"/>
    <x v="0"/>
    <s v="INSPECTOR EN OBRA"/>
    <n v="5019615.5309999995"/>
    <x v="0"/>
    <s v="ECONÓMICA"/>
    <m/>
    <m/>
  </r>
  <r>
    <x v="14"/>
    <x v="9"/>
    <x v="0"/>
    <x v="0"/>
    <s v="INSPECTOR EN OBRA"/>
    <n v="5019615.5309999995"/>
    <x v="0"/>
    <s v="ECONÓMICA"/>
    <m/>
    <m/>
  </r>
  <r>
    <x v="14"/>
    <x v="10"/>
    <x v="0"/>
    <x v="0"/>
    <s v="INSPECTOR EN OBRA"/>
    <n v="5019615.5309999995"/>
    <x v="0"/>
    <s v="ECONÓMICA"/>
    <m/>
    <m/>
  </r>
  <r>
    <x v="14"/>
    <x v="11"/>
    <x v="0"/>
    <x v="0"/>
    <s v="INSPECTOR EN OBRA"/>
    <n v="5019615.5309999995"/>
    <x v="0"/>
    <s v="ECONÓMICA"/>
    <m/>
    <m/>
  </r>
  <r>
    <x v="14"/>
    <x v="12"/>
    <x v="0"/>
    <x v="0"/>
    <s v="INSPECTOR EN OBRA"/>
    <n v="5019615.5309999995"/>
    <x v="0"/>
    <s v="ECONÓMICA"/>
    <m/>
    <m/>
  </r>
  <r>
    <x v="14"/>
    <x v="13"/>
    <x v="0"/>
    <x v="0"/>
    <s v="INSPECTOR EN OBRA"/>
    <n v="5019615.5309999995"/>
    <x v="0"/>
    <s v="ECONÓMICA"/>
    <m/>
    <m/>
  </r>
  <r>
    <x v="14"/>
    <x v="14"/>
    <x v="0"/>
    <x v="0"/>
    <s v="INSPECTOR EN OBRA"/>
    <n v="5019615.5309999995"/>
    <x v="0"/>
    <s v="ECONÓMICA"/>
    <m/>
    <m/>
  </r>
  <r>
    <x v="14"/>
    <x v="15"/>
    <x v="0"/>
    <x v="0"/>
    <s v="INSPECTOR EN OBRA"/>
    <n v="5019615.5309999995"/>
    <x v="0"/>
    <s v="ECONÓMICA"/>
    <m/>
    <m/>
  </r>
  <r>
    <x v="14"/>
    <x v="16"/>
    <x v="0"/>
    <x v="0"/>
    <s v="INSPECTOR EN OBRA"/>
    <n v="5019615.5309999995"/>
    <x v="0"/>
    <s v="ECONÓMICA"/>
    <m/>
    <m/>
  </r>
  <r>
    <x v="14"/>
    <x v="17"/>
    <x v="0"/>
    <x v="0"/>
    <s v="INSPECTOR EN OBRA"/>
    <n v="5019615.5309999995"/>
    <x v="0"/>
    <s v="ECONÓMICA"/>
    <m/>
    <m/>
  </r>
  <r>
    <x v="14"/>
    <x v="18"/>
    <x v="0"/>
    <x v="0"/>
    <s v="INSPECTOR EN OBRA"/>
    <n v="5019615.5309999995"/>
    <x v="0"/>
    <s v="ECONÓMICA"/>
    <m/>
    <m/>
  </r>
  <r>
    <x v="14"/>
    <x v="19"/>
    <x v="0"/>
    <x v="0"/>
    <s v="INSPECTOR EN OBRA"/>
    <n v="5019615.5309999995"/>
    <x v="0"/>
    <s v="ECONÓMICA"/>
    <m/>
    <m/>
  </r>
  <r>
    <x v="14"/>
    <x v="20"/>
    <x v="0"/>
    <x v="0"/>
    <s v="INSPECTOR EN OBRA"/>
    <n v="5019615.5309999995"/>
    <x v="0"/>
    <s v="ECONÓMICA"/>
    <m/>
    <m/>
  </r>
  <r>
    <x v="14"/>
    <x v="21"/>
    <x v="0"/>
    <x v="0"/>
    <s v="INSPECTOR EN OBRA"/>
    <n v="5019615.5309999995"/>
    <x v="0"/>
    <s v="ECONÓMICA"/>
    <m/>
    <m/>
  </r>
  <r>
    <x v="14"/>
    <x v="22"/>
    <x v="0"/>
    <x v="0"/>
    <s v="INSPECTOR EN OBRA"/>
    <n v="5019615.5309999995"/>
    <x v="0"/>
    <s v="ECONÓMICA"/>
    <m/>
    <m/>
  </r>
  <r>
    <x v="14"/>
    <x v="23"/>
    <x v="0"/>
    <x v="0"/>
    <s v="INSPECTOR EN OBRA"/>
    <n v="5019615.5309999995"/>
    <x v="0"/>
    <s v="ECONÓMICA"/>
    <m/>
    <m/>
  </r>
  <r>
    <x v="14"/>
    <x v="24"/>
    <x v="0"/>
    <x v="0"/>
    <s v="INSPECTOR EN OBRA"/>
    <n v="5019615.5309999995"/>
    <x v="0"/>
    <s v="ECONÓMICA"/>
    <m/>
    <m/>
  </r>
  <r>
    <x v="14"/>
    <x v="0"/>
    <x v="0"/>
    <x v="0"/>
    <s v="INSPECTOR DE ACABADOS"/>
    <n v="4260730.9499999993"/>
    <x v="0"/>
    <s v="ECONÓMICA"/>
    <m/>
    <m/>
  </r>
  <r>
    <x v="14"/>
    <x v="1"/>
    <x v="0"/>
    <x v="0"/>
    <s v="INSPECTOR DE ACABADOS"/>
    <n v="4260730.9499999993"/>
    <x v="0"/>
    <s v="ECONÓMICA"/>
    <m/>
    <m/>
  </r>
  <r>
    <x v="14"/>
    <x v="2"/>
    <x v="0"/>
    <x v="0"/>
    <s v="INSPECTOR DE ACABADOS"/>
    <n v="4260730.9499999993"/>
    <x v="0"/>
    <s v="ECONÓMICA"/>
    <m/>
    <m/>
  </r>
  <r>
    <x v="14"/>
    <x v="3"/>
    <x v="0"/>
    <x v="0"/>
    <s v="INSPECTOR DE ACABADOS"/>
    <n v="4260730.9499999993"/>
    <x v="0"/>
    <s v="ECONÓMICA"/>
    <m/>
    <m/>
  </r>
  <r>
    <x v="14"/>
    <x v="4"/>
    <x v="0"/>
    <x v="0"/>
    <s v="INSPECTOR DE ACABADOS"/>
    <n v="4260730.9499999993"/>
    <x v="0"/>
    <s v="ECONÓMICA"/>
    <m/>
    <m/>
  </r>
  <r>
    <x v="14"/>
    <x v="5"/>
    <x v="0"/>
    <x v="0"/>
    <s v="INSPECTOR DE ACABADOS"/>
    <n v="4260730.9499999993"/>
    <x v="0"/>
    <s v="ECONÓMICA"/>
    <m/>
    <m/>
  </r>
  <r>
    <x v="14"/>
    <x v="6"/>
    <x v="0"/>
    <x v="0"/>
    <s v="INSPECTOR DE ACABADOS"/>
    <n v="4260730.9499999993"/>
    <x v="0"/>
    <s v="ECONÓMICA"/>
    <m/>
    <m/>
  </r>
  <r>
    <x v="14"/>
    <x v="7"/>
    <x v="0"/>
    <x v="0"/>
    <s v="INSPECTOR DE ACABADOS"/>
    <n v="4260730.9499999993"/>
    <x v="0"/>
    <s v="ECONÓMICA"/>
    <m/>
    <m/>
  </r>
  <r>
    <x v="14"/>
    <x v="0"/>
    <x v="0"/>
    <x v="0"/>
    <s v="INSPECTOR DE REDES"/>
    <n v="3984270.0974999997"/>
    <x v="0"/>
    <s v="ECONÓMICA"/>
    <m/>
    <m/>
  </r>
  <r>
    <x v="14"/>
    <x v="0"/>
    <x v="0"/>
    <x v="0"/>
    <s v="RESIDENTE ADMINISTRATIVO"/>
    <n v="4205787.0750000002"/>
    <x v="0"/>
    <s v="ECONÓMICA"/>
    <m/>
    <m/>
  </r>
  <r>
    <x v="14"/>
    <x v="1"/>
    <x v="0"/>
    <x v="0"/>
    <s v="RESIDENTE ADMINISTRATIVO"/>
    <n v="4205787.0750000002"/>
    <x v="0"/>
    <s v="ECONÓMICA"/>
    <m/>
    <m/>
  </r>
  <r>
    <x v="14"/>
    <x v="2"/>
    <x v="0"/>
    <x v="0"/>
    <s v="RESIDENTE ADMINISTRATIVO"/>
    <n v="4205787.0750000002"/>
    <x v="0"/>
    <s v="ECONÓMICA"/>
    <m/>
    <m/>
  </r>
  <r>
    <x v="14"/>
    <x v="3"/>
    <x v="0"/>
    <x v="0"/>
    <s v="RESIDENTE ADMINISTRATIVO"/>
    <n v="4205787.0750000002"/>
    <x v="0"/>
    <s v="ECONÓMICA"/>
    <m/>
    <m/>
  </r>
  <r>
    <x v="14"/>
    <x v="4"/>
    <x v="0"/>
    <x v="0"/>
    <s v="RESIDENTE ADMINISTRATIVO"/>
    <n v="4205787.0750000002"/>
    <x v="0"/>
    <s v="ECONÓMICA"/>
    <m/>
    <m/>
  </r>
  <r>
    <x v="14"/>
    <x v="5"/>
    <x v="0"/>
    <x v="0"/>
    <s v="RESIDENTE ADMINISTRATIVO"/>
    <n v="4205787.0750000002"/>
    <x v="0"/>
    <s v="ECONÓMICA"/>
    <m/>
    <m/>
  </r>
  <r>
    <x v="14"/>
    <x v="6"/>
    <x v="0"/>
    <x v="0"/>
    <s v="RESIDENTE ADMINISTRATIVO"/>
    <n v="4205787.0750000002"/>
    <x v="0"/>
    <s v="ECONÓMICA"/>
    <m/>
    <m/>
  </r>
  <r>
    <x v="14"/>
    <x v="7"/>
    <x v="0"/>
    <x v="0"/>
    <s v="RESIDENTE ADMINISTRATIVO"/>
    <n v="4205787.0750000002"/>
    <x v="0"/>
    <s v="ECONÓMICA"/>
    <m/>
    <m/>
  </r>
  <r>
    <x v="14"/>
    <x v="8"/>
    <x v="0"/>
    <x v="0"/>
    <s v="RESIDENTE ADMINISTRATIVO"/>
    <n v="4205787.0750000002"/>
    <x v="0"/>
    <s v="ECONÓMICA"/>
    <m/>
    <m/>
  </r>
  <r>
    <x v="14"/>
    <x v="9"/>
    <x v="0"/>
    <x v="0"/>
    <s v="RESIDENTE ADMINISTRATIVO"/>
    <n v="4205787.0750000002"/>
    <x v="0"/>
    <s v="ECONÓMICA"/>
    <m/>
    <m/>
  </r>
  <r>
    <x v="14"/>
    <x v="10"/>
    <x v="0"/>
    <x v="0"/>
    <s v="RESIDENTE ADMINISTRATIVO"/>
    <n v="4205787.0750000002"/>
    <x v="0"/>
    <s v="ECONÓMICA"/>
    <m/>
    <m/>
  </r>
  <r>
    <x v="14"/>
    <x v="11"/>
    <x v="0"/>
    <x v="0"/>
    <s v="RESIDENTE ADMINISTRATIVO"/>
    <n v="4205787.0750000002"/>
    <x v="0"/>
    <s v="ECONÓMICA"/>
    <m/>
    <m/>
  </r>
  <r>
    <x v="14"/>
    <x v="12"/>
    <x v="0"/>
    <x v="0"/>
    <s v="RESIDENTE ADMINISTRATIVO"/>
    <n v="4205787.0750000002"/>
    <x v="0"/>
    <s v="ECONÓMICA"/>
    <m/>
    <m/>
  </r>
  <r>
    <x v="14"/>
    <x v="13"/>
    <x v="0"/>
    <x v="0"/>
    <s v="RESIDENTE ADMINISTRATIVO"/>
    <n v="4205787.0750000002"/>
    <x v="0"/>
    <s v="ECONÓMICA"/>
    <m/>
    <m/>
  </r>
  <r>
    <x v="14"/>
    <x v="14"/>
    <x v="0"/>
    <x v="0"/>
    <s v="RESIDENTE ADMINISTRATIVO"/>
    <n v="4205787.0750000002"/>
    <x v="0"/>
    <s v="ECONÓMICA"/>
    <m/>
    <m/>
  </r>
  <r>
    <x v="14"/>
    <x v="15"/>
    <x v="0"/>
    <x v="0"/>
    <s v="RESIDENTE ADMINISTRATIVO"/>
    <n v="4205787.0750000002"/>
    <x v="0"/>
    <s v="ECONÓMICA"/>
    <m/>
    <m/>
  </r>
  <r>
    <x v="14"/>
    <x v="16"/>
    <x v="0"/>
    <x v="0"/>
    <s v="RESIDENTE ADMINISTRATIVO"/>
    <n v="4205787.0750000002"/>
    <x v="0"/>
    <s v="ECONÓMICA"/>
    <m/>
    <m/>
  </r>
  <r>
    <x v="14"/>
    <x v="17"/>
    <x v="0"/>
    <x v="0"/>
    <s v="RESIDENTE ADMINISTRATIVO"/>
    <n v="4205787.0750000002"/>
    <x v="0"/>
    <s v="ECONÓMICA"/>
    <m/>
    <m/>
  </r>
  <r>
    <x v="14"/>
    <x v="18"/>
    <x v="0"/>
    <x v="0"/>
    <s v="RESIDENTE ADMINISTRATIVO"/>
    <n v="4205787.0750000002"/>
    <x v="0"/>
    <s v="ECONÓMICA"/>
    <m/>
    <m/>
  </r>
  <r>
    <x v="14"/>
    <x v="19"/>
    <x v="0"/>
    <x v="0"/>
    <s v="RESIDENTE ADMINISTRATIVO"/>
    <n v="4205787.0750000002"/>
    <x v="0"/>
    <s v="ECONÓMICA"/>
    <m/>
    <m/>
  </r>
  <r>
    <x v="14"/>
    <x v="20"/>
    <x v="0"/>
    <x v="0"/>
    <s v="RESIDENTE ADMINISTRATIVO"/>
    <n v="4205787.0750000002"/>
    <x v="0"/>
    <s v="ECONÓMICA"/>
    <m/>
    <m/>
  </r>
  <r>
    <x v="14"/>
    <x v="21"/>
    <x v="0"/>
    <x v="0"/>
    <s v="RESIDENTE ADMINISTRATIVO"/>
    <n v="4205787.0750000002"/>
    <x v="0"/>
    <s v="ECONÓMICA"/>
    <m/>
    <m/>
  </r>
  <r>
    <x v="14"/>
    <x v="22"/>
    <x v="0"/>
    <x v="0"/>
    <s v="RESIDENTE ADMINISTRATIVO"/>
    <n v="4205787.0750000002"/>
    <x v="0"/>
    <s v="ECONÓMICA"/>
    <m/>
    <m/>
  </r>
  <r>
    <x v="14"/>
    <x v="23"/>
    <x v="0"/>
    <x v="0"/>
    <s v="RESIDENTE ADMINISTRATIVO"/>
    <n v="4205787.0750000002"/>
    <x v="0"/>
    <s v="ECONÓMICA"/>
    <m/>
    <m/>
  </r>
  <r>
    <x v="14"/>
    <x v="24"/>
    <x v="0"/>
    <x v="0"/>
    <s v="RESIDENTE ADMINISTRATIVO"/>
    <n v="4205787.0750000002"/>
    <x v="0"/>
    <s v="ECONÓMICA"/>
    <m/>
    <m/>
  </r>
  <r>
    <x v="14"/>
    <x v="3"/>
    <x v="0"/>
    <x v="0"/>
    <s v="RESIDENTE TECNICO"/>
    <n v="6444668.4750000006"/>
    <x v="0"/>
    <s v="ECONÓMICA"/>
    <m/>
    <m/>
  </r>
  <r>
    <x v="14"/>
    <x v="4"/>
    <x v="0"/>
    <x v="0"/>
    <s v="RESIDENTE TECNICO"/>
    <n v="6444668.4750000006"/>
    <x v="0"/>
    <s v="ECONÓMICA"/>
    <m/>
    <m/>
  </r>
  <r>
    <x v="14"/>
    <x v="5"/>
    <x v="0"/>
    <x v="0"/>
    <s v="RESIDENTE TECNICO"/>
    <n v="6444668.4750000006"/>
    <x v="0"/>
    <s v="ECONÓMICA"/>
    <m/>
    <m/>
  </r>
  <r>
    <x v="14"/>
    <x v="6"/>
    <x v="0"/>
    <x v="0"/>
    <s v="RESIDENTE TECNICO"/>
    <n v="6444668.4750000006"/>
    <x v="0"/>
    <s v="ECONÓMICA"/>
    <m/>
    <m/>
  </r>
  <r>
    <x v="14"/>
    <x v="7"/>
    <x v="0"/>
    <x v="0"/>
    <s v="RESIDENTE TECNICO"/>
    <n v="6444668.4750000006"/>
    <x v="0"/>
    <s v="ECONÓMICA"/>
    <m/>
    <m/>
  </r>
  <r>
    <x v="14"/>
    <x v="8"/>
    <x v="0"/>
    <x v="0"/>
    <s v="RESIDENTE TECNICO"/>
    <n v="6444668.4750000006"/>
    <x v="0"/>
    <s v="ECONÓMICA"/>
    <m/>
    <m/>
  </r>
  <r>
    <x v="14"/>
    <x v="9"/>
    <x v="0"/>
    <x v="0"/>
    <s v="RESIDENTE TECNICO"/>
    <n v="6444668.4750000006"/>
    <x v="0"/>
    <s v="ECONÓMICA"/>
    <m/>
    <m/>
  </r>
  <r>
    <x v="14"/>
    <x v="10"/>
    <x v="0"/>
    <x v="0"/>
    <s v="RESIDENTE TECNICO"/>
    <n v="6444668.4750000006"/>
    <x v="0"/>
    <s v="ECONÓMICA"/>
    <m/>
    <m/>
  </r>
  <r>
    <x v="14"/>
    <x v="11"/>
    <x v="0"/>
    <x v="0"/>
    <s v="RESIDENTE TECNICO"/>
    <n v="6444668.4750000006"/>
    <x v="0"/>
    <s v="ECONÓMICA"/>
    <m/>
    <m/>
  </r>
  <r>
    <x v="14"/>
    <x v="12"/>
    <x v="0"/>
    <x v="0"/>
    <s v="RESIDENTE TECNICO"/>
    <n v="6444668.4750000006"/>
    <x v="0"/>
    <s v="ECONÓMICA"/>
    <m/>
    <m/>
  </r>
  <r>
    <x v="14"/>
    <x v="13"/>
    <x v="0"/>
    <x v="0"/>
    <s v="RESIDENTE TECNICO"/>
    <n v="6444668.4750000006"/>
    <x v="0"/>
    <s v="ECONÓMICA"/>
    <m/>
    <m/>
  </r>
  <r>
    <x v="14"/>
    <x v="14"/>
    <x v="0"/>
    <x v="0"/>
    <s v="RESIDENTE TECNICO"/>
    <n v="6444668.4750000006"/>
    <x v="0"/>
    <s v="ECONÓMICA"/>
    <m/>
    <m/>
  </r>
  <r>
    <x v="14"/>
    <x v="15"/>
    <x v="0"/>
    <x v="0"/>
    <s v="RESIDENTE TECNICO"/>
    <n v="6444668.4750000006"/>
    <x v="0"/>
    <s v="ECONÓMICA"/>
    <m/>
    <m/>
  </r>
  <r>
    <x v="14"/>
    <x v="16"/>
    <x v="0"/>
    <x v="0"/>
    <s v="RESIDENTE TECNICO"/>
    <n v="6444668.4750000006"/>
    <x v="0"/>
    <s v="ECONÓMICA"/>
    <m/>
    <m/>
  </r>
  <r>
    <x v="14"/>
    <x v="17"/>
    <x v="0"/>
    <x v="0"/>
    <s v="RESIDENTE TECNICO"/>
    <n v="6444668.4750000006"/>
    <x v="0"/>
    <s v="ECONÓMICA"/>
    <m/>
    <m/>
  </r>
  <r>
    <x v="14"/>
    <x v="18"/>
    <x v="0"/>
    <x v="0"/>
    <s v="RESIDENTE TECNICO"/>
    <n v="6444668.4750000006"/>
    <x v="0"/>
    <s v="ECONÓMICA"/>
    <m/>
    <m/>
  </r>
  <r>
    <x v="14"/>
    <x v="19"/>
    <x v="0"/>
    <x v="0"/>
    <s v="RESIDENTE TECNICO"/>
    <n v="6444668.4750000006"/>
    <x v="0"/>
    <s v="ECONÓMICA"/>
    <m/>
    <m/>
  </r>
  <r>
    <x v="14"/>
    <x v="20"/>
    <x v="0"/>
    <x v="0"/>
    <s v="RESIDENTE TECNICO"/>
    <n v="6444668.4750000006"/>
    <x v="0"/>
    <s v="ECONÓMICA"/>
    <m/>
    <m/>
  </r>
  <r>
    <x v="14"/>
    <x v="21"/>
    <x v="0"/>
    <x v="0"/>
    <s v="RESIDENTE TECNICO"/>
    <n v="6444668.4750000006"/>
    <x v="0"/>
    <s v="ECONÓMICA"/>
    <m/>
    <m/>
  </r>
  <r>
    <x v="14"/>
    <x v="22"/>
    <x v="0"/>
    <x v="0"/>
    <s v="RESIDENTE TECNICO"/>
    <n v="6444668.4750000006"/>
    <x v="0"/>
    <s v="ECONÓMICA"/>
    <m/>
    <m/>
  </r>
  <r>
    <x v="14"/>
    <x v="23"/>
    <x v="0"/>
    <x v="0"/>
    <s v="RESIDENTE TECNICO"/>
    <n v="6444668.4750000006"/>
    <x v="0"/>
    <s v="ECONÓMICA"/>
    <m/>
    <m/>
  </r>
  <r>
    <x v="14"/>
    <x v="24"/>
    <x v="0"/>
    <x v="0"/>
    <s v="RESIDENTE TECNICO"/>
    <n v="6444668.4750000006"/>
    <x v="0"/>
    <s v="ECONÓMICA"/>
    <m/>
    <m/>
  </r>
  <r>
    <x v="15"/>
    <x v="0"/>
    <x v="0"/>
    <x v="0"/>
    <s v="COORDINADOR"/>
    <n v="1905120.0000000002"/>
    <x v="0"/>
    <s v="CONTRACTUAL"/>
    <m/>
    <m/>
  </r>
  <r>
    <x v="15"/>
    <x v="1"/>
    <x v="0"/>
    <x v="0"/>
    <s v="COORDINADOR"/>
    <n v="1905120.0000000002"/>
    <x v="0"/>
    <s v="CONTRACTUAL"/>
    <m/>
    <m/>
  </r>
  <r>
    <x v="15"/>
    <x v="2"/>
    <x v="0"/>
    <x v="0"/>
    <s v="COORDINADOR"/>
    <n v="1905120.0000000002"/>
    <x v="0"/>
    <s v="CONTRACTUAL"/>
    <m/>
    <m/>
  </r>
  <r>
    <x v="15"/>
    <x v="3"/>
    <x v="0"/>
    <x v="0"/>
    <s v="COORDINADOR"/>
    <n v="1905120.0000000002"/>
    <x v="0"/>
    <s v="CONTRACTUAL"/>
    <m/>
    <m/>
  </r>
  <r>
    <x v="15"/>
    <x v="4"/>
    <x v="0"/>
    <x v="0"/>
    <s v="COORDINADOR"/>
    <n v="1905120.0000000002"/>
    <x v="0"/>
    <s v="CONTRACTUAL"/>
    <m/>
    <m/>
  </r>
  <r>
    <x v="15"/>
    <x v="5"/>
    <x v="0"/>
    <x v="0"/>
    <s v="COORDINADOR"/>
    <n v="1905120.0000000002"/>
    <x v="0"/>
    <s v="CONTRACTUAL"/>
    <m/>
    <m/>
  </r>
  <r>
    <x v="15"/>
    <x v="6"/>
    <x v="0"/>
    <x v="0"/>
    <s v="COORDINADOR"/>
    <n v="1905120.0000000002"/>
    <x v="0"/>
    <s v="CONTRACTUAL"/>
    <m/>
    <m/>
  </r>
  <r>
    <x v="15"/>
    <x v="7"/>
    <x v="0"/>
    <x v="0"/>
    <s v="COORDINADOR"/>
    <n v="1905120.0000000002"/>
    <x v="0"/>
    <s v="CONTRACTUAL"/>
    <m/>
    <m/>
  </r>
  <r>
    <x v="15"/>
    <x v="8"/>
    <x v="0"/>
    <x v="0"/>
    <s v="COORDINADOR"/>
    <n v="1905120.0000000002"/>
    <x v="0"/>
    <s v="CONTRACTUAL"/>
    <m/>
    <m/>
  </r>
  <r>
    <x v="15"/>
    <x v="9"/>
    <x v="0"/>
    <x v="0"/>
    <s v="COORDINADOR"/>
    <n v="1905120.0000000002"/>
    <x v="0"/>
    <s v="CONTRACTUAL"/>
    <m/>
    <m/>
  </r>
  <r>
    <x v="15"/>
    <x v="10"/>
    <x v="0"/>
    <x v="0"/>
    <s v="COORDINADOR"/>
    <n v="1905120.0000000002"/>
    <x v="0"/>
    <s v="CONTRACTUAL"/>
    <m/>
    <m/>
  </r>
  <r>
    <x v="15"/>
    <x v="11"/>
    <x v="0"/>
    <x v="0"/>
    <s v="COORDINADOR"/>
    <n v="1905120.0000000002"/>
    <x v="0"/>
    <s v="CONTRACTUAL"/>
    <m/>
    <m/>
  </r>
  <r>
    <x v="15"/>
    <x v="12"/>
    <x v="0"/>
    <x v="0"/>
    <s v="COORDINADOR"/>
    <n v="1905120.0000000002"/>
    <x v="0"/>
    <s v="CONTRACTUAL"/>
    <m/>
    <m/>
  </r>
  <r>
    <x v="15"/>
    <x v="13"/>
    <x v="0"/>
    <x v="0"/>
    <s v="COORDINADOR"/>
    <n v="1905120.0000000002"/>
    <x v="0"/>
    <s v="CONTRACTUAL"/>
    <m/>
    <m/>
  </r>
  <r>
    <x v="15"/>
    <x v="14"/>
    <x v="0"/>
    <x v="0"/>
    <s v="COORDINADOR"/>
    <n v="1905120.0000000002"/>
    <x v="0"/>
    <s v="CONTRACTUAL"/>
    <m/>
    <m/>
  </r>
  <r>
    <x v="15"/>
    <x v="15"/>
    <x v="0"/>
    <x v="0"/>
    <s v="COORDINADOR"/>
    <n v="1905120.0000000002"/>
    <x v="0"/>
    <s v="CONTRACTUAL"/>
    <m/>
    <m/>
  </r>
  <r>
    <x v="15"/>
    <x v="16"/>
    <x v="0"/>
    <x v="0"/>
    <s v="COORDINADOR"/>
    <n v="1905120.0000000002"/>
    <x v="0"/>
    <s v="CONTRACTUAL"/>
    <m/>
    <m/>
  </r>
  <r>
    <x v="15"/>
    <x v="17"/>
    <x v="0"/>
    <x v="0"/>
    <s v="COORDINADOR"/>
    <n v="1905120.0000000002"/>
    <x v="0"/>
    <s v="CONTRACTUAL"/>
    <m/>
    <m/>
  </r>
  <r>
    <x v="15"/>
    <x v="18"/>
    <x v="0"/>
    <x v="0"/>
    <s v="COORDINADOR"/>
    <n v="1905120.0000000002"/>
    <x v="0"/>
    <s v="CONTRACTUAL"/>
    <m/>
    <m/>
  </r>
  <r>
    <x v="15"/>
    <x v="19"/>
    <x v="0"/>
    <x v="0"/>
    <s v="COORDINADOR"/>
    <n v="1905120.0000000002"/>
    <x v="0"/>
    <s v="CONTRACTUAL"/>
    <m/>
    <m/>
  </r>
  <r>
    <x v="15"/>
    <x v="20"/>
    <x v="0"/>
    <x v="0"/>
    <s v="COORDINADOR"/>
    <n v="1905120.0000000002"/>
    <x v="0"/>
    <s v="CONTRACTUAL"/>
    <m/>
    <m/>
  </r>
  <r>
    <x v="15"/>
    <x v="21"/>
    <x v="0"/>
    <x v="0"/>
    <s v="COORDINADOR"/>
    <n v="1905120.0000000002"/>
    <x v="0"/>
    <s v="CONTRACTUAL"/>
    <m/>
    <m/>
  </r>
  <r>
    <x v="15"/>
    <x v="22"/>
    <x v="0"/>
    <x v="0"/>
    <s v="COORDINADOR"/>
    <n v="1905120.0000000002"/>
    <x v="0"/>
    <s v="CONTRACTUAL"/>
    <m/>
    <m/>
  </r>
  <r>
    <x v="15"/>
    <x v="23"/>
    <x v="0"/>
    <x v="0"/>
    <s v="COORDINADOR"/>
    <n v="1905120.0000000002"/>
    <x v="0"/>
    <s v="CONTRACTUAL"/>
    <m/>
    <m/>
  </r>
  <r>
    <x v="15"/>
    <x v="24"/>
    <x v="0"/>
    <x v="0"/>
    <s v="COORDINADOR"/>
    <n v="1905120.0000000002"/>
    <x v="0"/>
    <s v="CONTRACTUAL"/>
    <m/>
    <m/>
  </r>
  <r>
    <x v="15"/>
    <x v="25"/>
    <x v="0"/>
    <x v="0"/>
    <s v="COORDINADOR"/>
    <n v="1905120.0000000002"/>
    <x v="0"/>
    <s v="CONTRACTUAL"/>
    <m/>
    <m/>
  </r>
  <r>
    <x v="15"/>
    <x v="26"/>
    <x v="0"/>
    <x v="0"/>
    <s v="COORDINADOR"/>
    <n v="1905120.0000000002"/>
    <x v="0"/>
    <s v="CONTRACTUAL"/>
    <m/>
    <m/>
  </r>
  <r>
    <x v="15"/>
    <x v="27"/>
    <x v="0"/>
    <x v="0"/>
    <s v="COORDINADOR"/>
    <n v="1905120.0000000002"/>
    <x v="0"/>
    <s v="CONTRACTUAL"/>
    <m/>
    <m/>
  </r>
  <r>
    <x v="15"/>
    <x v="19"/>
    <x v="0"/>
    <x v="0"/>
    <s v="INSPECTOR DE ACABADOS"/>
    <n v="3923324.9999999995"/>
    <x v="0"/>
    <s v="CONTRACTUAL"/>
    <m/>
    <m/>
  </r>
  <r>
    <x v="15"/>
    <x v="20"/>
    <x v="0"/>
    <x v="0"/>
    <s v="INSPECTOR DE ACABADOS"/>
    <n v="3923324.9999999995"/>
    <x v="0"/>
    <s v="CONTRACTUAL"/>
    <m/>
    <m/>
  </r>
  <r>
    <x v="15"/>
    <x v="21"/>
    <x v="0"/>
    <x v="0"/>
    <s v="INSPECTOR DE ACABADOS"/>
    <n v="3923324.9999999995"/>
    <x v="0"/>
    <s v="CONTRACTUAL"/>
    <m/>
    <m/>
  </r>
  <r>
    <x v="15"/>
    <x v="22"/>
    <x v="0"/>
    <x v="0"/>
    <s v="INSPECTOR DE ACABADOS"/>
    <n v="3923324.9999999995"/>
    <x v="0"/>
    <s v="CONTRACTUAL"/>
    <m/>
    <m/>
  </r>
  <r>
    <x v="15"/>
    <x v="23"/>
    <x v="0"/>
    <x v="0"/>
    <s v="INSPECTOR DE ACABADOS"/>
    <n v="3923324.9999999995"/>
    <x v="0"/>
    <s v="CONTRACTUAL"/>
    <m/>
    <m/>
  </r>
  <r>
    <x v="15"/>
    <x v="24"/>
    <x v="0"/>
    <x v="0"/>
    <s v="INSPECTOR DE ACABADOS"/>
    <n v="3923324.9999999995"/>
    <x v="0"/>
    <s v="CONTRACTUAL"/>
    <m/>
    <m/>
  </r>
  <r>
    <x v="15"/>
    <x v="25"/>
    <x v="0"/>
    <x v="0"/>
    <s v="INSPECTOR DE ACABADOS"/>
    <n v="3923324.9999999995"/>
    <x v="0"/>
    <s v="CONTRACTUAL"/>
    <m/>
    <m/>
  </r>
  <r>
    <x v="15"/>
    <x v="26"/>
    <x v="0"/>
    <x v="0"/>
    <s v="INSPECTOR DE ACABADOS"/>
    <n v="3923324.9999999995"/>
    <x v="0"/>
    <s v="CONTRACTUAL"/>
    <m/>
    <m/>
  </r>
  <r>
    <x v="15"/>
    <x v="27"/>
    <x v="0"/>
    <x v="0"/>
    <s v="INSPECTOR DE ACABADOS"/>
    <n v="3923324.9999999995"/>
    <x v="0"/>
    <s v="CONTRACTUAL"/>
    <m/>
    <m/>
  </r>
  <r>
    <x v="15"/>
    <x v="28"/>
    <x v="0"/>
    <x v="0"/>
    <s v="INSPECTOR DE ACABADOS"/>
    <n v="3923324.9999999995"/>
    <x v="0"/>
    <s v="CONTRACTUAL"/>
    <m/>
    <m/>
  </r>
  <r>
    <x v="15"/>
    <x v="29"/>
    <x v="0"/>
    <x v="0"/>
    <s v="INSPECTOR DE ACABADOS"/>
    <n v="3923324.9999999995"/>
    <x v="0"/>
    <s v="CONTRACTUAL"/>
    <m/>
    <m/>
  </r>
  <r>
    <x v="15"/>
    <x v="30"/>
    <x v="0"/>
    <x v="0"/>
    <s v="INSPECTOR DE ACABADOS"/>
    <n v="3923324.9999999995"/>
    <x v="0"/>
    <s v="CONTRACTUAL"/>
    <m/>
    <m/>
  </r>
  <r>
    <x v="15"/>
    <x v="0"/>
    <x v="0"/>
    <x v="0"/>
    <s v="INSPECTOR EN OBRA"/>
    <n v="4758075"/>
    <x v="0"/>
    <s v="CONTRACTUAL"/>
    <m/>
    <m/>
  </r>
  <r>
    <x v="15"/>
    <x v="1"/>
    <x v="0"/>
    <x v="0"/>
    <s v="INSPECTOR EN OBRA"/>
    <n v="4758075"/>
    <x v="0"/>
    <s v="CONTRACTUAL"/>
    <m/>
    <m/>
  </r>
  <r>
    <x v="15"/>
    <x v="2"/>
    <x v="0"/>
    <x v="0"/>
    <s v="INSPECTOR EN OBRA"/>
    <n v="4758075"/>
    <x v="0"/>
    <s v="CONTRACTUAL"/>
    <m/>
    <m/>
  </r>
  <r>
    <x v="15"/>
    <x v="3"/>
    <x v="0"/>
    <x v="0"/>
    <s v="INSPECTOR EN OBRA"/>
    <n v="4758075"/>
    <x v="0"/>
    <s v="CONTRACTUAL"/>
    <m/>
    <m/>
  </r>
  <r>
    <x v="15"/>
    <x v="4"/>
    <x v="0"/>
    <x v="0"/>
    <s v="INSPECTOR EN OBRA"/>
    <n v="4758075"/>
    <x v="0"/>
    <s v="CONTRACTUAL"/>
    <m/>
    <m/>
  </r>
  <r>
    <x v="15"/>
    <x v="5"/>
    <x v="0"/>
    <x v="0"/>
    <s v="INSPECTOR EN OBRA"/>
    <n v="4758075"/>
    <x v="0"/>
    <s v="CONTRACTUAL"/>
    <m/>
    <m/>
  </r>
  <r>
    <x v="15"/>
    <x v="6"/>
    <x v="0"/>
    <x v="0"/>
    <s v="INSPECTOR EN OBRA"/>
    <n v="4758075"/>
    <x v="0"/>
    <s v="CONTRACTUAL"/>
    <m/>
    <m/>
  </r>
  <r>
    <x v="15"/>
    <x v="7"/>
    <x v="0"/>
    <x v="0"/>
    <s v="INSPECTOR EN OBRA"/>
    <n v="4758075"/>
    <x v="0"/>
    <s v="CONTRACTUAL"/>
    <m/>
    <m/>
  </r>
  <r>
    <x v="15"/>
    <x v="8"/>
    <x v="0"/>
    <x v="0"/>
    <s v="INSPECTOR EN OBRA"/>
    <n v="4758075"/>
    <x v="0"/>
    <s v="CONTRACTUAL"/>
    <m/>
    <m/>
  </r>
  <r>
    <x v="15"/>
    <x v="9"/>
    <x v="0"/>
    <x v="0"/>
    <s v="INSPECTOR EN OBRA"/>
    <n v="4758075"/>
    <x v="0"/>
    <s v="CONTRACTUAL"/>
    <m/>
    <m/>
  </r>
  <r>
    <x v="15"/>
    <x v="10"/>
    <x v="0"/>
    <x v="0"/>
    <s v="INSPECTOR EN OBRA"/>
    <n v="4758075"/>
    <x v="0"/>
    <s v="CONTRACTUAL"/>
    <m/>
    <m/>
  </r>
  <r>
    <x v="15"/>
    <x v="11"/>
    <x v="0"/>
    <x v="0"/>
    <s v="INSPECTOR EN OBRA"/>
    <n v="4758075"/>
    <x v="0"/>
    <s v="CONTRACTUAL"/>
    <m/>
    <m/>
  </r>
  <r>
    <x v="15"/>
    <x v="12"/>
    <x v="0"/>
    <x v="0"/>
    <s v="INSPECTOR EN OBRA"/>
    <n v="4758075"/>
    <x v="0"/>
    <s v="CONTRACTUAL"/>
    <m/>
    <m/>
  </r>
  <r>
    <x v="15"/>
    <x v="13"/>
    <x v="0"/>
    <x v="0"/>
    <s v="INSPECTOR EN OBRA"/>
    <n v="4758075"/>
    <x v="0"/>
    <s v="CONTRACTUAL"/>
    <m/>
    <m/>
  </r>
  <r>
    <x v="15"/>
    <x v="14"/>
    <x v="0"/>
    <x v="0"/>
    <s v="INSPECTOR EN OBRA"/>
    <n v="4758075"/>
    <x v="0"/>
    <s v="CONTRACTUAL"/>
    <m/>
    <m/>
  </r>
  <r>
    <x v="15"/>
    <x v="15"/>
    <x v="0"/>
    <x v="0"/>
    <s v="INSPECTOR EN OBRA"/>
    <n v="4758075"/>
    <x v="0"/>
    <s v="CONTRACTUAL"/>
    <m/>
    <m/>
  </r>
  <r>
    <x v="15"/>
    <x v="16"/>
    <x v="0"/>
    <x v="0"/>
    <s v="INSPECTOR EN OBRA"/>
    <n v="4758075"/>
    <x v="0"/>
    <s v="CONTRACTUAL"/>
    <m/>
    <m/>
  </r>
  <r>
    <x v="15"/>
    <x v="17"/>
    <x v="0"/>
    <x v="0"/>
    <s v="INSPECTOR EN OBRA"/>
    <n v="4758075"/>
    <x v="0"/>
    <s v="CONTRACTUAL"/>
    <m/>
    <m/>
  </r>
  <r>
    <x v="15"/>
    <x v="18"/>
    <x v="0"/>
    <x v="0"/>
    <s v="INSPECTOR EN OBRA"/>
    <n v="4758075"/>
    <x v="0"/>
    <s v="CONTRACTUAL"/>
    <m/>
    <m/>
  </r>
  <r>
    <x v="15"/>
    <x v="19"/>
    <x v="0"/>
    <x v="0"/>
    <s v="INSPECTOR EN OBRA"/>
    <n v="4758075"/>
    <x v="0"/>
    <s v="CONTRACTUAL"/>
    <m/>
    <m/>
  </r>
  <r>
    <x v="15"/>
    <x v="20"/>
    <x v="0"/>
    <x v="0"/>
    <s v="INSPECTOR EN OBRA"/>
    <n v="4758075"/>
    <x v="0"/>
    <s v="CONTRACTUAL"/>
    <m/>
    <m/>
  </r>
  <r>
    <x v="15"/>
    <x v="21"/>
    <x v="0"/>
    <x v="0"/>
    <s v="INSPECTOR EN OBRA"/>
    <n v="4758075"/>
    <x v="0"/>
    <s v="CONTRACTUAL"/>
    <m/>
    <m/>
  </r>
  <r>
    <x v="15"/>
    <x v="22"/>
    <x v="0"/>
    <x v="0"/>
    <s v="INSPECTOR EN OBRA"/>
    <n v="4758075"/>
    <x v="0"/>
    <s v="CONTRACTUAL"/>
    <m/>
    <m/>
  </r>
  <r>
    <x v="15"/>
    <x v="23"/>
    <x v="0"/>
    <x v="0"/>
    <s v="INSPECTOR EN OBRA"/>
    <n v="4758075"/>
    <x v="0"/>
    <s v="CONTRACTUAL"/>
    <m/>
    <m/>
  </r>
  <r>
    <x v="15"/>
    <x v="24"/>
    <x v="0"/>
    <x v="0"/>
    <s v="INSPECTOR EN OBRA"/>
    <n v="4758075"/>
    <x v="0"/>
    <s v="CONTRACTUAL"/>
    <m/>
    <m/>
  </r>
  <r>
    <x v="15"/>
    <x v="25"/>
    <x v="0"/>
    <x v="0"/>
    <s v="INSPECTOR EN OBRA"/>
    <n v="4758075"/>
    <x v="0"/>
    <s v="CONTRACTUAL"/>
    <m/>
    <m/>
  </r>
  <r>
    <x v="15"/>
    <x v="26"/>
    <x v="0"/>
    <x v="0"/>
    <s v="INSPECTOR EN OBRA"/>
    <n v="4758075"/>
    <x v="0"/>
    <s v="CONTRACTUAL"/>
    <m/>
    <m/>
  </r>
  <r>
    <x v="15"/>
    <x v="0"/>
    <x v="0"/>
    <x v="0"/>
    <s v="RESIDENTE TECNICO"/>
    <n v="5985000"/>
    <x v="0"/>
    <s v="CONTRACTUAL"/>
    <m/>
    <m/>
  </r>
  <r>
    <x v="15"/>
    <x v="1"/>
    <x v="0"/>
    <x v="0"/>
    <s v="RESIDENTE TECNICO"/>
    <n v="5985000"/>
    <x v="0"/>
    <s v="CONTRACTUAL"/>
    <m/>
    <m/>
  </r>
  <r>
    <x v="15"/>
    <x v="2"/>
    <x v="0"/>
    <x v="0"/>
    <s v="RESIDENTE TECNICO"/>
    <n v="5985000"/>
    <x v="0"/>
    <s v="CONTRACTUAL"/>
    <m/>
    <m/>
  </r>
  <r>
    <x v="15"/>
    <x v="3"/>
    <x v="0"/>
    <x v="0"/>
    <s v="RESIDENTE TECNICO"/>
    <n v="5985000"/>
    <x v="0"/>
    <s v="CONTRACTUAL"/>
    <m/>
    <m/>
  </r>
  <r>
    <x v="15"/>
    <x v="4"/>
    <x v="0"/>
    <x v="0"/>
    <s v="RESIDENTE TECNICO"/>
    <n v="5985000"/>
    <x v="0"/>
    <s v="CONTRACTUAL"/>
    <m/>
    <m/>
  </r>
  <r>
    <x v="15"/>
    <x v="5"/>
    <x v="0"/>
    <x v="0"/>
    <s v="RESIDENTE TECNICO"/>
    <n v="5985000"/>
    <x v="0"/>
    <s v="CONTRACTUAL"/>
    <m/>
    <m/>
  </r>
  <r>
    <x v="15"/>
    <x v="6"/>
    <x v="0"/>
    <x v="0"/>
    <s v="RESIDENTE TECNICO"/>
    <n v="5985000"/>
    <x v="0"/>
    <s v="CONTRACTUAL"/>
    <m/>
    <m/>
  </r>
  <r>
    <x v="15"/>
    <x v="7"/>
    <x v="0"/>
    <x v="0"/>
    <s v="RESIDENTE TECNICO"/>
    <n v="5985000"/>
    <x v="0"/>
    <s v="CONTRACTUAL"/>
    <m/>
    <m/>
  </r>
  <r>
    <x v="15"/>
    <x v="8"/>
    <x v="0"/>
    <x v="0"/>
    <s v="RESIDENTE TECNICO"/>
    <n v="5985000"/>
    <x v="0"/>
    <s v="CONTRACTUAL"/>
    <m/>
    <m/>
  </r>
  <r>
    <x v="15"/>
    <x v="9"/>
    <x v="0"/>
    <x v="0"/>
    <s v="RESIDENTE TECNICO"/>
    <n v="5985000"/>
    <x v="0"/>
    <s v="CONTRACTUAL"/>
    <m/>
    <m/>
  </r>
  <r>
    <x v="15"/>
    <x v="10"/>
    <x v="0"/>
    <x v="0"/>
    <s v="RESIDENTE TECNICO"/>
    <n v="5985000"/>
    <x v="0"/>
    <s v="CONTRACTUAL"/>
    <m/>
    <m/>
  </r>
  <r>
    <x v="15"/>
    <x v="11"/>
    <x v="0"/>
    <x v="0"/>
    <s v="RESIDENTE TECNICO"/>
    <n v="5985000"/>
    <x v="0"/>
    <s v="CONTRACTUAL"/>
    <m/>
    <m/>
  </r>
  <r>
    <x v="15"/>
    <x v="12"/>
    <x v="0"/>
    <x v="0"/>
    <s v="RESIDENTE TECNICO"/>
    <n v="5985000"/>
    <x v="0"/>
    <s v="CONTRACTUAL"/>
    <m/>
    <m/>
  </r>
  <r>
    <x v="15"/>
    <x v="13"/>
    <x v="0"/>
    <x v="0"/>
    <s v="RESIDENTE TECNICO"/>
    <n v="5985000"/>
    <x v="0"/>
    <s v="CONTRACTUAL"/>
    <m/>
    <m/>
  </r>
  <r>
    <x v="15"/>
    <x v="14"/>
    <x v="0"/>
    <x v="0"/>
    <s v="RESIDENTE TECNICO"/>
    <n v="5985000"/>
    <x v="0"/>
    <s v="CONTRACTUAL"/>
    <m/>
    <m/>
  </r>
  <r>
    <x v="15"/>
    <x v="15"/>
    <x v="0"/>
    <x v="0"/>
    <s v="RESIDENTE TECNICO"/>
    <n v="5985000"/>
    <x v="0"/>
    <s v="CONTRACTUAL"/>
    <m/>
    <m/>
  </r>
  <r>
    <x v="15"/>
    <x v="16"/>
    <x v="0"/>
    <x v="0"/>
    <s v="RESIDENTE TECNICO"/>
    <n v="5985000"/>
    <x v="0"/>
    <s v="CONTRACTUAL"/>
    <m/>
    <m/>
  </r>
  <r>
    <x v="15"/>
    <x v="17"/>
    <x v="0"/>
    <x v="0"/>
    <s v="RESIDENTE TECNICO"/>
    <n v="5985000"/>
    <x v="0"/>
    <s v="CONTRACTUAL"/>
    <m/>
    <m/>
  </r>
  <r>
    <x v="15"/>
    <x v="18"/>
    <x v="0"/>
    <x v="0"/>
    <s v="RESIDENTE TECNICO"/>
    <n v="5985000"/>
    <x v="0"/>
    <s v="CONTRACTUAL"/>
    <m/>
    <m/>
  </r>
  <r>
    <x v="15"/>
    <x v="19"/>
    <x v="0"/>
    <x v="0"/>
    <s v="RESIDENTE TECNICO"/>
    <n v="5985000"/>
    <x v="0"/>
    <s v="CONTRACTUAL"/>
    <m/>
    <m/>
  </r>
  <r>
    <x v="15"/>
    <x v="20"/>
    <x v="0"/>
    <x v="0"/>
    <s v="RESIDENTE TECNICO"/>
    <n v="5985000"/>
    <x v="0"/>
    <s v="CONTRACTUAL"/>
    <m/>
    <m/>
  </r>
  <r>
    <x v="15"/>
    <x v="21"/>
    <x v="0"/>
    <x v="0"/>
    <s v="RESIDENTE TECNICO"/>
    <n v="5985000"/>
    <x v="0"/>
    <s v="CONTRACTUAL"/>
    <m/>
    <m/>
  </r>
  <r>
    <x v="15"/>
    <x v="22"/>
    <x v="0"/>
    <x v="0"/>
    <s v="RESIDENTE TECNICO"/>
    <n v="5985000"/>
    <x v="0"/>
    <s v="CONTRACTUAL"/>
    <m/>
    <m/>
  </r>
  <r>
    <x v="15"/>
    <x v="23"/>
    <x v="0"/>
    <x v="0"/>
    <s v="RESIDENTE TECNICO"/>
    <n v="5985000"/>
    <x v="0"/>
    <s v="CONTRACTUAL"/>
    <m/>
    <m/>
  </r>
  <r>
    <x v="15"/>
    <x v="24"/>
    <x v="0"/>
    <x v="0"/>
    <s v="RESIDENTE TECNICO"/>
    <n v="5985000"/>
    <x v="0"/>
    <s v="CONTRACTUAL"/>
    <m/>
    <m/>
  </r>
  <r>
    <x v="15"/>
    <x v="25"/>
    <x v="0"/>
    <x v="0"/>
    <s v="RESIDENTE TECNICO"/>
    <n v="5985000"/>
    <x v="0"/>
    <s v="CONTRACTUAL"/>
    <m/>
    <m/>
  </r>
  <r>
    <x v="15"/>
    <x v="26"/>
    <x v="0"/>
    <x v="0"/>
    <s v="RESIDENTE TECNICO"/>
    <n v="5985000"/>
    <x v="0"/>
    <s v="CONTRACTUAL"/>
    <m/>
    <m/>
  </r>
  <r>
    <x v="15"/>
    <x v="27"/>
    <x v="0"/>
    <x v="0"/>
    <s v="RESIDENTE TECNICO"/>
    <n v="5985000"/>
    <x v="0"/>
    <s v="CONTRACTUAL"/>
    <m/>
    <m/>
  </r>
  <r>
    <x v="16"/>
    <x v="0"/>
    <x v="0"/>
    <x v="0"/>
    <s v="PROFESIONAL SISO"/>
    <n v="5768028"/>
    <x v="0"/>
    <s v="CONTRACTUAL"/>
    <m/>
    <m/>
  </r>
  <r>
    <x v="16"/>
    <x v="1"/>
    <x v="0"/>
    <x v="0"/>
    <s v="PROFESIONAL SISO"/>
    <n v="5768028"/>
    <x v="0"/>
    <s v="CONTRACTUAL"/>
    <m/>
    <m/>
  </r>
  <r>
    <x v="16"/>
    <x v="2"/>
    <x v="0"/>
    <x v="0"/>
    <s v="PROFESIONAL SISO"/>
    <n v="5768028"/>
    <x v="0"/>
    <s v="CONTRACTUAL"/>
    <m/>
    <m/>
  </r>
  <r>
    <x v="16"/>
    <x v="3"/>
    <x v="0"/>
    <x v="0"/>
    <s v="PROFESIONAL SISO"/>
    <n v="5768028"/>
    <x v="0"/>
    <s v="CONTRACTUAL"/>
    <m/>
    <m/>
  </r>
  <r>
    <x v="16"/>
    <x v="4"/>
    <x v="0"/>
    <x v="0"/>
    <s v="PROFESIONAL SISO"/>
    <n v="5768028"/>
    <x v="0"/>
    <s v="CONTRACTUAL"/>
    <m/>
    <m/>
  </r>
  <r>
    <x v="16"/>
    <x v="5"/>
    <x v="0"/>
    <x v="0"/>
    <s v="PROFESIONAL SISO"/>
    <n v="5768028"/>
    <x v="0"/>
    <s v="CONTRACTUAL"/>
    <m/>
    <m/>
  </r>
  <r>
    <x v="16"/>
    <x v="6"/>
    <x v="0"/>
    <x v="0"/>
    <s v="PROFESIONAL SISO"/>
    <n v="5768028"/>
    <x v="0"/>
    <s v="CONTRACTUAL"/>
    <m/>
    <m/>
  </r>
  <r>
    <x v="16"/>
    <x v="7"/>
    <x v="0"/>
    <x v="0"/>
    <s v="PROFESIONAL SISO"/>
    <n v="5768028"/>
    <x v="0"/>
    <s v="CONTRACTUAL"/>
    <m/>
    <m/>
  </r>
  <r>
    <x v="16"/>
    <x v="8"/>
    <x v="0"/>
    <x v="0"/>
    <s v="PROFESIONAL SISO"/>
    <n v="5768028"/>
    <x v="0"/>
    <s v="CONTRACTUAL"/>
    <m/>
    <m/>
  </r>
  <r>
    <x v="16"/>
    <x v="9"/>
    <x v="0"/>
    <x v="0"/>
    <s v="PROFESIONAL SISO"/>
    <n v="5768028"/>
    <x v="0"/>
    <s v="CONTRACTUAL"/>
    <m/>
    <m/>
  </r>
  <r>
    <x v="16"/>
    <x v="10"/>
    <x v="0"/>
    <x v="0"/>
    <s v="PROFESIONAL SISO"/>
    <n v="5768028"/>
    <x v="0"/>
    <s v="CONTRACTUAL"/>
    <m/>
    <m/>
  </r>
  <r>
    <x v="16"/>
    <x v="11"/>
    <x v="0"/>
    <x v="0"/>
    <s v="PROFESIONAL SISO"/>
    <n v="5768028"/>
    <x v="0"/>
    <s v="CONTRACTUAL"/>
    <m/>
    <m/>
  </r>
  <r>
    <x v="16"/>
    <x v="12"/>
    <x v="0"/>
    <x v="0"/>
    <s v="PROFESIONAL SISO"/>
    <n v="5768028"/>
    <x v="0"/>
    <s v="CONTRACTUAL"/>
    <m/>
    <m/>
  </r>
  <r>
    <x v="16"/>
    <x v="13"/>
    <x v="0"/>
    <x v="0"/>
    <s v="PROFESIONAL SISO"/>
    <n v="5768028"/>
    <x v="0"/>
    <s v="CONTRACTUAL"/>
    <m/>
    <m/>
  </r>
  <r>
    <x v="16"/>
    <x v="14"/>
    <x v="0"/>
    <x v="0"/>
    <s v="PROFESIONAL SISO"/>
    <n v="5768028"/>
    <x v="0"/>
    <s v="CONTRACTUAL"/>
    <m/>
    <m/>
  </r>
  <r>
    <x v="16"/>
    <x v="15"/>
    <x v="0"/>
    <x v="0"/>
    <s v="PROFESIONAL SISO"/>
    <n v="5768028"/>
    <x v="0"/>
    <s v="CONTRACTUAL"/>
    <m/>
    <m/>
  </r>
  <r>
    <x v="16"/>
    <x v="16"/>
    <x v="0"/>
    <x v="0"/>
    <s v="PROFESIONAL SISO"/>
    <n v="5768028"/>
    <x v="0"/>
    <s v="CONTRACTUAL"/>
    <m/>
    <m/>
  </r>
  <r>
    <x v="16"/>
    <x v="17"/>
    <x v="0"/>
    <x v="0"/>
    <s v="PROFESIONAL SISO"/>
    <n v="5768028"/>
    <x v="0"/>
    <s v="CONTRACTUAL"/>
    <m/>
    <m/>
  </r>
  <r>
    <x v="16"/>
    <x v="18"/>
    <x v="0"/>
    <x v="0"/>
    <s v="PROFESIONAL SISO"/>
    <n v="5768028"/>
    <x v="0"/>
    <s v="CONTRACTUAL"/>
    <m/>
    <m/>
  </r>
  <r>
    <x v="16"/>
    <x v="19"/>
    <x v="0"/>
    <x v="0"/>
    <s v="PROFESIONAL SISO"/>
    <n v="5768028"/>
    <x v="0"/>
    <s v="CONTRACTUAL"/>
    <m/>
    <m/>
  </r>
  <r>
    <x v="16"/>
    <x v="20"/>
    <x v="0"/>
    <x v="0"/>
    <s v="PROFESIONAL SISO"/>
    <n v="5768028"/>
    <x v="0"/>
    <s v="CONTRACTUAL"/>
    <m/>
    <m/>
  </r>
  <r>
    <x v="16"/>
    <x v="21"/>
    <x v="0"/>
    <x v="0"/>
    <s v="PROFESIONAL SISO"/>
    <n v="5768028"/>
    <x v="0"/>
    <s v="CONTRACTUAL"/>
    <m/>
    <m/>
  </r>
  <r>
    <x v="16"/>
    <x v="22"/>
    <x v="0"/>
    <x v="0"/>
    <s v="PROFESIONAL SISO"/>
    <n v="5768028"/>
    <x v="0"/>
    <s v="CONTRACTUAL"/>
    <m/>
    <m/>
  </r>
  <r>
    <x v="16"/>
    <x v="0"/>
    <x v="0"/>
    <x v="0"/>
    <s v="PROFESIONAL SISO"/>
    <n v="5853202.4250000007"/>
    <x v="0"/>
    <s v="CONTRACTUAL"/>
    <m/>
    <m/>
  </r>
  <r>
    <x v="16"/>
    <x v="1"/>
    <x v="0"/>
    <x v="0"/>
    <s v="PROFESIONAL SISO"/>
    <n v="5853202.4250000007"/>
    <x v="0"/>
    <s v="CONTRACTUAL"/>
    <m/>
    <m/>
  </r>
  <r>
    <x v="16"/>
    <x v="2"/>
    <x v="0"/>
    <x v="0"/>
    <s v="PROFESIONAL SISO"/>
    <n v="5853202.4250000007"/>
    <x v="0"/>
    <s v="CONTRACTUAL"/>
    <m/>
    <m/>
  </r>
  <r>
    <x v="16"/>
    <x v="3"/>
    <x v="0"/>
    <x v="0"/>
    <s v="PROFESIONAL SISO"/>
    <n v="5853202.4250000007"/>
    <x v="0"/>
    <s v="CONTRACTUAL"/>
    <m/>
    <m/>
  </r>
  <r>
    <x v="16"/>
    <x v="4"/>
    <x v="0"/>
    <x v="0"/>
    <s v="PROFESIONAL SISO"/>
    <n v="5853202.4250000007"/>
    <x v="0"/>
    <s v="CONTRACTUAL"/>
    <m/>
    <m/>
  </r>
  <r>
    <x v="16"/>
    <x v="5"/>
    <x v="0"/>
    <x v="0"/>
    <s v="PROFESIONAL SISO"/>
    <n v="5853202.4250000007"/>
    <x v="0"/>
    <s v="CONTRACTUAL"/>
    <m/>
    <m/>
  </r>
  <r>
    <x v="16"/>
    <x v="6"/>
    <x v="0"/>
    <x v="0"/>
    <s v="PROFESIONAL SISO"/>
    <n v="5853202.4250000007"/>
    <x v="0"/>
    <s v="CONTRACTUAL"/>
    <m/>
    <m/>
  </r>
  <r>
    <x v="16"/>
    <x v="7"/>
    <x v="0"/>
    <x v="0"/>
    <s v="PROFESIONAL SISO"/>
    <n v="5853202.4250000007"/>
    <x v="0"/>
    <s v="CONTRACTUAL"/>
    <m/>
    <m/>
  </r>
  <r>
    <x v="16"/>
    <x v="8"/>
    <x v="0"/>
    <x v="0"/>
    <s v="PROFESIONAL SISO"/>
    <n v="5853202.4250000007"/>
    <x v="0"/>
    <s v="CONTRACTUAL"/>
    <m/>
    <m/>
  </r>
  <r>
    <x v="16"/>
    <x v="9"/>
    <x v="0"/>
    <x v="0"/>
    <s v="PROFESIONAL SISO"/>
    <n v="5853202.4250000007"/>
    <x v="0"/>
    <s v="CONTRACTUAL"/>
    <m/>
    <m/>
  </r>
  <r>
    <x v="16"/>
    <x v="10"/>
    <x v="0"/>
    <x v="0"/>
    <s v="PROFESIONAL SISO"/>
    <n v="5853202.4250000007"/>
    <x v="0"/>
    <s v="CONTRACTUAL"/>
    <m/>
    <m/>
  </r>
  <r>
    <x v="16"/>
    <x v="11"/>
    <x v="0"/>
    <x v="0"/>
    <s v="PROFESIONAL SISO"/>
    <n v="5853202.4250000007"/>
    <x v="0"/>
    <s v="CONTRACTUAL"/>
    <m/>
    <m/>
  </r>
  <r>
    <x v="16"/>
    <x v="12"/>
    <x v="0"/>
    <x v="0"/>
    <s v="PROFESIONAL SISO"/>
    <n v="5853202.4250000007"/>
    <x v="0"/>
    <s v="CONTRACTUAL"/>
    <m/>
    <m/>
  </r>
  <r>
    <x v="16"/>
    <x v="13"/>
    <x v="0"/>
    <x v="0"/>
    <s v="PROFESIONAL SISO"/>
    <n v="5853202.4250000007"/>
    <x v="0"/>
    <s v="CONTRACTUAL"/>
    <m/>
    <m/>
  </r>
  <r>
    <x v="16"/>
    <x v="14"/>
    <x v="0"/>
    <x v="0"/>
    <s v="PROFESIONAL SISO"/>
    <n v="5853202.4250000007"/>
    <x v="0"/>
    <s v="CONTRACTUAL"/>
    <m/>
    <m/>
  </r>
  <r>
    <x v="16"/>
    <x v="15"/>
    <x v="0"/>
    <x v="0"/>
    <s v="PROFESIONAL SISO"/>
    <n v="5853202.4250000007"/>
    <x v="0"/>
    <s v="CONTRACTUAL"/>
    <m/>
    <m/>
  </r>
  <r>
    <x v="16"/>
    <x v="16"/>
    <x v="0"/>
    <x v="0"/>
    <s v="PROFESIONAL SISO"/>
    <n v="5853202.4250000007"/>
    <x v="0"/>
    <s v="CONTRACTUAL"/>
    <m/>
    <m/>
  </r>
  <r>
    <x v="16"/>
    <x v="0"/>
    <x v="0"/>
    <x v="0"/>
    <s v="DIRECTOR"/>
    <n v="11280052.350000001"/>
    <x v="0"/>
    <s v="CONTRACTUAL"/>
    <m/>
    <m/>
  </r>
  <r>
    <x v="16"/>
    <x v="1"/>
    <x v="0"/>
    <x v="0"/>
    <s v="DIRECTOR"/>
    <n v="11280052.350000001"/>
    <x v="0"/>
    <s v="CONTRACTUAL"/>
    <m/>
    <m/>
  </r>
  <r>
    <x v="16"/>
    <x v="2"/>
    <x v="0"/>
    <x v="0"/>
    <s v="DIRECTOR"/>
    <n v="11280052.350000001"/>
    <x v="0"/>
    <s v="CONTRACTUAL"/>
    <m/>
    <m/>
  </r>
  <r>
    <x v="16"/>
    <x v="3"/>
    <x v="0"/>
    <x v="0"/>
    <s v="DIRECTOR"/>
    <n v="11280052.350000001"/>
    <x v="0"/>
    <s v="CONTRACTUAL"/>
    <m/>
    <m/>
  </r>
  <r>
    <x v="16"/>
    <x v="4"/>
    <x v="0"/>
    <x v="0"/>
    <s v="DIRECTOR"/>
    <n v="11280052.350000001"/>
    <x v="0"/>
    <s v="CONTRACTUAL"/>
    <m/>
    <m/>
  </r>
  <r>
    <x v="16"/>
    <x v="5"/>
    <x v="0"/>
    <x v="0"/>
    <s v="DIRECTOR"/>
    <n v="11280052.350000001"/>
    <x v="0"/>
    <s v="CONTRACTUAL"/>
    <m/>
    <m/>
  </r>
  <r>
    <x v="16"/>
    <x v="6"/>
    <x v="0"/>
    <x v="0"/>
    <s v="DIRECTOR"/>
    <n v="11280052.350000001"/>
    <x v="0"/>
    <s v="CONTRACTUAL"/>
    <m/>
    <m/>
  </r>
  <r>
    <x v="16"/>
    <x v="7"/>
    <x v="0"/>
    <x v="0"/>
    <s v="DIRECTOR"/>
    <n v="11280052.350000001"/>
    <x v="0"/>
    <s v="CONTRACTUAL"/>
    <m/>
    <m/>
  </r>
  <r>
    <x v="16"/>
    <x v="8"/>
    <x v="0"/>
    <x v="0"/>
    <s v="DIRECTOR"/>
    <n v="11280052.350000001"/>
    <x v="0"/>
    <s v="CONTRACTUAL"/>
    <m/>
    <m/>
  </r>
  <r>
    <x v="16"/>
    <x v="9"/>
    <x v="0"/>
    <x v="0"/>
    <s v="DIRECTOR"/>
    <n v="11280052.350000001"/>
    <x v="0"/>
    <s v="CONTRACTUAL"/>
    <m/>
    <m/>
  </r>
  <r>
    <x v="16"/>
    <x v="10"/>
    <x v="0"/>
    <x v="0"/>
    <s v="DIRECTOR"/>
    <n v="11280052.350000001"/>
    <x v="0"/>
    <s v="CONTRACTUAL"/>
    <m/>
    <m/>
  </r>
  <r>
    <x v="16"/>
    <x v="11"/>
    <x v="0"/>
    <x v="0"/>
    <s v="DIRECTOR"/>
    <n v="11280052.350000001"/>
    <x v="0"/>
    <s v="CONTRACTUAL"/>
    <m/>
    <m/>
  </r>
  <r>
    <x v="16"/>
    <x v="12"/>
    <x v="0"/>
    <x v="0"/>
    <s v="DIRECTOR"/>
    <n v="11280052.350000001"/>
    <x v="0"/>
    <s v="CONTRACTUAL"/>
    <m/>
    <m/>
  </r>
  <r>
    <x v="16"/>
    <x v="13"/>
    <x v="0"/>
    <x v="0"/>
    <s v="DIRECTOR"/>
    <n v="11280052.350000001"/>
    <x v="0"/>
    <s v="CONTRACTUAL"/>
    <m/>
    <m/>
  </r>
  <r>
    <x v="16"/>
    <x v="14"/>
    <x v="0"/>
    <x v="0"/>
    <s v="DIRECTOR"/>
    <n v="11280052.350000001"/>
    <x v="0"/>
    <s v="CONTRACTUAL"/>
    <m/>
    <m/>
  </r>
  <r>
    <x v="16"/>
    <x v="15"/>
    <x v="0"/>
    <x v="0"/>
    <s v="DIRECTOR"/>
    <n v="11280052.350000001"/>
    <x v="0"/>
    <s v="CONTRACTUAL"/>
    <m/>
    <m/>
  </r>
  <r>
    <x v="16"/>
    <x v="16"/>
    <x v="0"/>
    <x v="0"/>
    <s v="DIRECTOR"/>
    <n v="11280052.350000001"/>
    <x v="0"/>
    <s v="CONTRACTUAL"/>
    <m/>
    <m/>
  </r>
  <r>
    <x v="16"/>
    <x v="17"/>
    <x v="0"/>
    <x v="0"/>
    <s v="DIRECTOR"/>
    <n v="11280052.350000001"/>
    <x v="0"/>
    <s v="CONTRACTUAL"/>
    <m/>
    <m/>
  </r>
  <r>
    <x v="16"/>
    <x v="18"/>
    <x v="0"/>
    <x v="0"/>
    <s v="DIRECTOR"/>
    <n v="11280052.350000001"/>
    <x v="0"/>
    <s v="CONTRACTUAL"/>
    <m/>
    <m/>
  </r>
  <r>
    <x v="16"/>
    <x v="19"/>
    <x v="0"/>
    <x v="0"/>
    <s v="DIRECTOR"/>
    <n v="11280052.350000001"/>
    <x v="0"/>
    <s v="CONTRACTUAL"/>
    <m/>
    <m/>
  </r>
  <r>
    <x v="16"/>
    <x v="20"/>
    <x v="0"/>
    <x v="0"/>
    <s v="DIRECTOR"/>
    <n v="11280052.350000001"/>
    <x v="0"/>
    <s v="CONTRACTUAL"/>
    <m/>
    <m/>
  </r>
  <r>
    <x v="16"/>
    <x v="0"/>
    <x v="0"/>
    <x v="0"/>
    <s v="INSPECTOR DE OBRA CIVIL FRENTE 1"/>
    <n v="4765579.4024999999"/>
    <x v="0"/>
    <s v="CONTRACTUAL"/>
    <m/>
    <m/>
  </r>
  <r>
    <x v="16"/>
    <x v="1"/>
    <x v="0"/>
    <x v="0"/>
    <s v="INSPECTOR DE OBRA CIVIL FRENTE 1"/>
    <n v="4765579.4024999999"/>
    <x v="0"/>
    <s v="CONTRACTUAL"/>
    <m/>
    <m/>
  </r>
  <r>
    <x v="16"/>
    <x v="2"/>
    <x v="0"/>
    <x v="0"/>
    <s v="INSPECTOR DE OBRA CIVIL FRENTE 1"/>
    <n v="4765579.4024999999"/>
    <x v="0"/>
    <s v="CONTRACTUAL"/>
    <m/>
    <m/>
  </r>
  <r>
    <x v="16"/>
    <x v="3"/>
    <x v="0"/>
    <x v="0"/>
    <s v="INSPECTOR DE OBRA CIVIL FRENTE 1"/>
    <n v="4765579.4024999999"/>
    <x v="0"/>
    <s v="CONTRACTUAL"/>
    <m/>
    <m/>
  </r>
  <r>
    <x v="16"/>
    <x v="4"/>
    <x v="0"/>
    <x v="0"/>
    <s v="INSPECTOR DE OBRA CIVIL FRENTE 1"/>
    <n v="4765579.4024999999"/>
    <x v="0"/>
    <s v="CONTRACTUAL"/>
    <m/>
    <m/>
  </r>
  <r>
    <x v="16"/>
    <x v="5"/>
    <x v="0"/>
    <x v="0"/>
    <s v="INSPECTOR DE OBRA CIVIL FRENTE 1"/>
    <n v="4765579.4024999999"/>
    <x v="0"/>
    <s v="CONTRACTUAL"/>
    <m/>
    <m/>
  </r>
  <r>
    <x v="16"/>
    <x v="6"/>
    <x v="0"/>
    <x v="0"/>
    <s v="INSPECTOR DE OBRA CIVIL FRENTE 1"/>
    <n v="4765579.4024999999"/>
    <x v="0"/>
    <s v="CONTRACTUAL"/>
    <m/>
    <m/>
  </r>
  <r>
    <x v="16"/>
    <x v="7"/>
    <x v="0"/>
    <x v="0"/>
    <s v="INSPECTOR DE OBRA CIVIL FRENTE 1"/>
    <n v="4765579.4024999999"/>
    <x v="0"/>
    <s v="CONTRACTUAL"/>
    <m/>
    <m/>
  </r>
  <r>
    <x v="16"/>
    <x v="8"/>
    <x v="0"/>
    <x v="0"/>
    <s v="INSPECTOR DE OBRA CIVIL FRENTE 1"/>
    <n v="4765579.4024999999"/>
    <x v="0"/>
    <s v="CONTRACTUAL"/>
    <m/>
    <m/>
  </r>
  <r>
    <x v="16"/>
    <x v="9"/>
    <x v="0"/>
    <x v="0"/>
    <s v="INSPECTOR DE OBRA CIVIL FRENTE 1"/>
    <n v="4765579.4024999999"/>
    <x v="0"/>
    <s v="CONTRACTUAL"/>
    <m/>
    <m/>
  </r>
  <r>
    <x v="16"/>
    <x v="10"/>
    <x v="0"/>
    <x v="0"/>
    <s v="INSPECTOR DE OBRA CIVIL FRENTE 1"/>
    <n v="4765579.4024999999"/>
    <x v="0"/>
    <s v="CONTRACTUAL"/>
    <m/>
    <m/>
  </r>
  <r>
    <x v="16"/>
    <x v="11"/>
    <x v="0"/>
    <x v="0"/>
    <s v="INSPECTOR DE OBRA CIVIL FRENTE 1"/>
    <n v="4765579.4024999999"/>
    <x v="0"/>
    <s v="CONTRACTUAL"/>
    <m/>
    <m/>
  </r>
  <r>
    <x v="16"/>
    <x v="12"/>
    <x v="0"/>
    <x v="0"/>
    <s v="INSPECTOR DE OBRA CIVIL FRENTE 1"/>
    <n v="4765579.4024999999"/>
    <x v="0"/>
    <s v="CONTRACTUAL"/>
    <m/>
    <m/>
  </r>
  <r>
    <x v="16"/>
    <x v="13"/>
    <x v="0"/>
    <x v="0"/>
    <s v="INSPECTOR DE OBRA CIVIL FRENTE 1"/>
    <n v="4765579.4024999999"/>
    <x v="0"/>
    <s v="CONTRACTUAL"/>
    <m/>
    <m/>
  </r>
  <r>
    <x v="16"/>
    <x v="14"/>
    <x v="0"/>
    <x v="0"/>
    <s v="INSPECTOR DE OBRA CIVIL FRENTE 1"/>
    <n v="4765579.4024999999"/>
    <x v="0"/>
    <s v="CONTRACTUAL"/>
    <m/>
    <m/>
  </r>
  <r>
    <x v="16"/>
    <x v="15"/>
    <x v="0"/>
    <x v="0"/>
    <s v="INSPECTOR DE OBRA CIVIL FRENTE 1"/>
    <n v="4765579.4024999999"/>
    <x v="0"/>
    <s v="CONTRACTUAL"/>
    <m/>
    <m/>
  </r>
  <r>
    <x v="16"/>
    <x v="16"/>
    <x v="0"/>
    <x v="0"/>
    <s v="INSPECTOR DE OBRA CIVIL FRENTE 1"/>
    <n v="4765579.4024999999"/>
    <x v="0"/>
    <s v="CONTRACTUAL"/>
    <m/>
    <m/>
  </r>
  <r>
    <x v="16"/>
    <x v="17"/>
    <x v="0"/>
    <x v="0"/>
    <s v="INSPECTOR DE OBRA CIVIL FRENTE 1"/>
    <n v="4765579.4024999999"/>
    <x v="0"/>
    <s v="CONTRACTUAL"/>
    <m/>
    <m/>
  </r>
  <r>
    <x v="16"/>
    <x v="18"/>
    <x v="0"/>
    <x v="0"/>
    <s v="INSPECTOR DE OBRA CIVIL FRENTE 1"/>
    <n v="4765579.4024999999"/>
    <x v="0"/>
    <s v="CONTRACTUAL"/>
    <m/>
    <m/>
  </r>
  <r>
    <x v="16"/>
    <x v="19"/>
    <x v="0"/>
    <x v="0"/>
    <s v="INSPECTOR DE OBRA CIVIL FRENTE 1"/>
    <n v="4765579.4024999999"/>
    <x v="0"/>
    <s v="CONTRACTUAL"/>
    <m/>
    <m/>
  </r>
  <r>
    <x v="16"/>
    <x v="20"/>
    <x v="0"/>
    <x v="0"/>
    <s v="INSPECTOR DE OBRA CIVIL FRENTE 1"/>
    <n v="4765579.4024999999"/>
    <x v="0"/>
    <s v="CONTRACTUAL"/>
    <m/>
    <m/>
  </r>
  <r>
    <x v="16"/>
    <x v="21"/>
    <x v="0"/>
    <x v="0"/>
    <s v="INSPECTOR DE OBRA CIVIL FRENTE 1"/>
    <n v="4765579.4024999999"/>
    <x v="0"/>
    <s v="CONTRACTUAL"/>
    <m/>
    <m/>
  </r>
  <r>
    <x v="16"/>
    <x v="22"/>
    <x v="0"/>
    <x v="0"/>
    <s v="INSPECTOR DE OBRA CIVIL FRENTE 1"/>
    <n v="4765579.4024999999"/>
    <x v="0"/>
    <s v="CONTRACTUAL"/>
    <m/>
    <m/>
  </r>
  <r>
    <x v="16"/>
    <x v="0"/>
    <x v="0"/>
    <x v="0"/>
    <s v="INSPECTOR DE OBRA CIVIL FRENTE 1"/>
    <n v="6204394.5704999994"/>
    <x v="0"/>
    <s v="CONTRACTUAL"/>
    <m/>
    <m/>
  </r>
  <r>
    <x v="16"/>
    <x v="1"/>
    <x v="0"/>
    <x v="0"/>
    <s v="INSPECTOR DE OBRA CIVIL FRENTE 1"/>
    <n v="6204394.5704999994"/>
    <x v="0"/>
    <s v="CONTRACTUAL"/>
    <m/>
    <m/>
  </r>
  <r>
    <x v="16"/>
    <x v="2"/>
    <x v="0"/>
    <x v="0"/>
    <s v="INSPECTOR DE OBRA CIVIL FRENTE 1"/>
    <n v="6204394.5704999994"/>
    <x v="0"/>
    <s v="CONTRACTUAL"/>
    <m/>
    <m/>
  </r>
  <r>
    <x v="16"/>
    <x v="3"/>
    <x v="0"/>
    <x v="0"/>
    <s v="INSPECTOR DE OBRA CIVIL FRENTE 1"/>
    <n v="6204394.5704999994"/>
    <x v="0"/>
    <s v="CONTRACTUAL"/>
    <m/>
    <m/>
  </r>
  <r>
    <x v="16"/>
    <x v="4"/>
    <x v="0"/>
    <x v="0"/>
    <s v="INSPECTOR DE OBRA CIVIL FRENTE 1"/>
    <n v="6204394.5704999994"/>
    <x v="0"/>
    <s v="CONTRACTUAL"/>
    <m/>
    <m/>
  </r>
  <r>
    <x v="16"/>
    <x v="5"/>
    <x v="0"/>
    <x v="0"/>
    <s v="INSPECTOR DE OBRA CIVIL FRENTE 1"/>
    <n v="6204394.5704999994"/>
    <x v="0"/>
    <s v="CONTRACTUAL"/>
    <m/>
    <m/>
  </r>
  <r>
    <x v="16"/>
    <x v="6"/>
    <x v="0"/>
    <x v="0"/>
    <s v="INSPECTOR DE OBRA CIVIL FRENTE 1"/>
    <n v="6204394.5704999994"/>
    <x v="0"/>
    <s v="CONTRACTUAL"/>
    <m/>
    <m/>
  </r>
  <r>
    <x v="16"/>
    <x v="7"/>
    <x v="0"/>
    <x v="0"/>
    <s v="INSPECTOR DE OBRA CIVIL FRENTE 1"/>
    <n v="6204394.5704999994"/>
    <x v="0"/>
    <s v="CONTRACTUAL"/>
    <m/>
    <m/>
  </r>
  <r>
    <x v="16"/>
    <x v="8"/>
    <x v="0"/>
    <x v="0"/>
    <s v="INSPECTOR DE OBRA CIVIL FRENTE 1"/>
    <n v="6204394.5704999994"/>
    <x v="0"/>
    <s v="CONTRACTUAL"/>
    <m/>
    <m/>
  </r>
  <r>
    <x v="16"/>
    <x v="9"/>
    <x v="0"/>
    <x v="0"/>
    <s v="INSPECTOR DE OBRA CIVIL FRENTE 1"/>
    <n v="6204394.5704999994"/>
    <x v="0"/>
    <s v="CONTRACTUAL"/>
    <m/>
    <m/>
  </r>
  <r>
    <x v="16"/>
    <x v="10"/>
    <x v="0"/>
    <x v="0"/>
    <s v="INSPECTOR DE OBRA CIVIL FRENTE 1"/>
    <n v="6204394.5704999994"/>
    <x v="0"/>
    <s v="CONTRACTUAL"/>
    <m/>
    <m/>
  </r>
  <r>
    <x v="16"/>
    <x v="11"/>
    <x v="0"/>
    <x v="0"/>
    <s v="INSPECTOR DE OBRA CIVIL FRENTE 1"/>
    <n v="6204394.5704999994"/>
    <x v="0"/>
    <s v="CONTRACTUAL"/>
    <m/>
    <m/>
  </r>
  <r>
    <x v="16"/>
    <x v="12"/>
    <x v="0"/>
    <x v="0"/>
    <s v="INSPECTOR DE OBRA CIVIL FRENTE 1"/>
    <n v="6204394.5704999994"/>
    <x v="0"/>
    <s v="CONTRACTUAL"/>
    <m/>
    <m/>
  </r>
  <r>
    <x v="16"/>
    <x v="13"/>
    <x v="0"/>
    <x v="0"/>
    <s v="INSPECTOR DE OBRA CIVIL FRENTE 1"/>
    <n v="6204394.5704999994"/>
    <x v="0"/>
    <s v="CONTRACTUAL"/>
    <m/>
    <m/>
  </r>
  <r>
    <x v="16"/>
    <x v="14"/>
    <x v="0"/>
    <x v="0"/>
    <s v="INSPECTOR DE OBRA CIVIL FRENTE 1"/>
    <n v="6204394.5704999994"/>
    <x v="0"/>
    <s v="CONTRACTUAL"/>
    <m/>
    <m/>
  </r>
  <r>
    <x v="16"/>
    <x v="15"/>
    <x v="0"/>
    <x v="0"/>
    <s v="INSPECTOR DE OBRA CIVIL FRENTE 1"/>
    <n v="6204394.5704999994"/>
    <x v="0"/>
    <s v="CONTRACTUAL"/>
    <m/>
    <m/>
  </r>
  <r>
    <x v="16"/>
    <x v="16"/>
    <x v="0"/>
    <x v="0"/>
    <s v="INSPECTOR DE OBRA CIVIL FRENTE 1"/>
    <n v="6204394.5704999994"/>
    <x v="0"/>
    <s v="CONTRACTUAL"/>
    <m/>
    <m/>
  </r>
  <r>
    <x v="16"/>
    <x v="0"/>
    <x v="0"/>
    <x v="0"/>
    <s v="INSPECTOR DE OBRA CIVIL FRENTE 2"/>
    <n v="4314814.4024999999"/>
    <x v="0"/>
    <s v="CONTRACTUAL"/>
    <m/>
    <m/>
  </r>
  <r>
    <x v="16"/>
    <x v="1"/>
    <x v="0"/>
    <x v="0"/>
    <s v="INSPECTOR DE OBRA CIVIL FRENTE 2"/>
    <n v="4314814.4024999999"/>
    <x v="0"/>
    <s v="CONTRACTUAL"/>
    <m/>
    <m/>
  </r>
  <r>
    <x v="16"/>
    <x v="2"/>
    <x v="0"/>
    <x v="0"/>
    <s v="INSPECTOR DE OBRA CIVIL FRENTE 2"/>
    <n v="4314814.4024999999"/>
    <x v="0"/>
    <s v="CONTRACTUAL"/>
    <m/>
    <m/>
  </r>
  <r>
    <x v="16"/>
    <x v="3"/>
    <x v="0"/>
    <x v="0"/>
    <s v="INSPECTOR DE OBRA CIVIL FRENTE 2"/>
    <n v="4314814.4024999999"/>
    <x v="0"/>
    <s v="CONTRACTUAL"/>
    <m/>
    <m/>
  </r>
  <r>
    <x v="16"/>
    <x v="4"/>
    <x v="0"/>
    <x v="0"/>
    <s v="INSPECTOR DE OBRA CIVIL FRENTE 2"/>
    <n v="4314814.4024999999"/>
    <x v="0"/>
    <s v="CONTRACTUAL"/>
    <m/>
    <m/>
  </r>
  <r>
    <x v="16"/>
    <x v="5"/>
    <x v="0"/>
    <x v="0"/>
    <s v="INSPECTOR DE OBRA CIVIL FRENTE 2"/>
    <n v="4314814.4024999999"/>
    <x v="0"/>
    <s v="CONTRACTUAL"/>
    <m/>
    <m/>
  </r>
  <r>
    <x v="16"/>
    <x v="6"/>
    <x v="0"/>
    <x v="0"/>
    <s v="INSPECTOR DE OBRA CIVIL FRENTE 2"/>
    <n v="4314814.4024999999"/>
    <x v="0"/>
    <s v="CONTRACTUAL"/>
    <m/>
    <m/>
  </r>
  <r>
    <x v="16"/>
    <x v="7"/>
    <x v="0"/>
    <x v="0"/>
    <s v="INSPECTOR DE OBRA CIVIL FRENTE 2"/>
    <n v="4314814.4024999999"/>
    <x v="0"/>
    <s v="CONTRACTUAL"/>
    <m/>
    <m/>
  </r>
  <r>
    <x v="16"/>
    <x v="8"/>
    <x v="0"/>
    <x v="0"/>
    <s v="INSPECTOR DE OBRA CIVIL FRENTE 2"/>
    <n v="4314814.4024999999"/>
    <x v="0"/>
    <s v="CONTRACTUAL"/>
    <m/>
    <m/>
  </r>
  <r>
    <x v="16"/>
    <x v="9"/>
    <x v="0"/>
    <x v="0"/>
    <s v="INSPECTOR DE OBRA CIVIL FRENTE 2"/>
    <n v="4314814.4024999999"/>
    <x v="0"/>
    <s v="CONTRACTUAL"/>
    <m/>
    <m/>
  </r>
  <r>
    <x v="16"/>
    <x v="10"/>
    <x v="0"/>
    <x v="0"/>
    <s v="INSPECTOR DE OBRA CIVIL FRENTE 2"/>
    <n v="4314814.4024999999"/>
    <x v="0"/>
    <s v="CONTRACTUAL"/>
    <m/>
    <m/>
  </r>
  <r>
    <x v="16"/>
    <x v="11"/>
    <x v="0"/>
    <x v="0"/>
    <s v="INSPECTOR DE OBRA CIVIL FRENTE 2"/>
    <n v="4314814.4024999999"/>
    <x v="0"/>
    <s v="CONTRACTUAL"/>
    <m/>
    <m/>
  </r>
  <r>
    <x v="16"/>
    <x v="12"/>
    <x v="0"/>
    <x v="0"/>
    <s v="INSPECTOR DE OBRA CIVIL FRENTE 2"/>
    <n v="4314814.4024999999"/>
    <x v="0"/>
    <s v="CONTRACTUAL"/>
    <m/>
    <m/>
  </r>
  <r>
    <x v="16"/>
    <x v="13"/>
    <x v="0"/>
    <x v="0"/>
    <s v="INSPECTOR DE OBRA CIVIL FRENTE 2"/>
    <n v="4314814.4024999999"/>
    <x v="0"/>
    <s v="CONTRACTUAL"/>
    <m/>
    <m/>
  </r>
  <r>
    <x v="16"/>
    <x v="14"/>
    <x v="0"/>
    <x v="0"/>
    <s v="INSPECTOR DE OBRA CIVIL FRENTE 2"/>
    <n v="4314814.4024999999"/>
    <x v="0"/>
    <s v="CONTRACTUAL"/>
    <m/>
    <m/>
  </r>
  <r>
    <x v="16"/>
    <x v="15"/>
    <x v="0"/>
    <x v="0"/>
    <s v="INSPECTOR DE OBRA CIVIL FRENTE 2"/>
    <n v="4314814.4024999999"/>
    <x v="0"/>
    <s v="CONTRACTUAL"/>
    <m/>
    <m/>
  </r>
  <r>
    <x v="16"/>
    <x v="16"/>
    <x v="0"/>
    <x v="0"/>
    <s v="INSPECTOR DE OBRA CIVIL FRENTE 2"/>
    <n v="4314814.4024999999"/>
    <x v="0"/>
    <s v="CONTRACTUAL"/>
    <m/>
    <m/>
  </r>
  <r>
    <x v="16"/>
    <x v="17"/>
    <x v="0"/>
    <x v="0"/>
    <s v="INSPECTOR DE OBRA CIVIL FRENTE 2"/>
    <n v="4314814.4024999999"/>
    <x v="0"/>
    <s v="CONTRACTUAL"/>
    <m/>
    <m/>
  </r>
  <r>
    <x v="16"/>
    <x v="18"/>
    <x v="0"/>
    <x v="0"/>
    <s v="INSPECTOR DE OBRA CIVIL FRENTE 2"/>
    <n v="4314814.4024999999"/>
    <x v="0"/>
    <s v="CONTRACTUAL"/>
    <m/>
    <m/>
  </r>
  <r>
    <x v="16"/>
    <x v="19"/>
    <x v="0"/>
    <x v="0"/>
    <s v="INSPECTOR DE OBRA CIVIL FRENTE 2"/>
    <n v="4314814.4024999999"/>
    <x v="0"/>
    <s v="CONTRACTUAL"/>
    <m/>
    <m/>
  </r>
  <r>
    <x v="16"/>
    <x v="20"/>
    <x v="0"/>
    <x v="0"/>
    <s v="INSPECTOR DE OBRA CIVIL FRENTE 2"/>
    <n v="4314814.4024999999"/>
    <x v="0"/>
    <s v="CONTRACTUAL"/>
    <m/>
    <m/>
  </r>
  <r>
    <x v="16"/>
    <x v="21"/>
    <x v="0"/>
    <x v="0"/>
    <s v="INSPECTOR DE OBRA CIVIL FRENTE 2"/>
    <n v="4314814.4024999999"/>
    <x v="0"/>
    <s v="CONTRACTUAL"/>
    <m/>
    <m/>
  </r>
  <r>
    <x v="16"/>
    <x v="22"/>
    <x v="0"/>
    <x v="0"/>
    <s v="INSPECTOR DE OBRA CIVIL FRENTE 2"/>
    <n v="4314814.4024999999"/>
    <x v="0"/>
    <s v="CONTRACTUAL"/>
    <m/>
    <m/>
  </r>
  <r>
    <x v="16"/>
    <x v="0"/>
    <x v="0"/>
    <x v="0"/>
    <s v="INSPECTOR DE OBRA CIVIL FRENTE 2"/>
    <n v="4363154.7749999994"/>
    <x v="0"/>
    <s v="CONTRACTUAL"/>
    <m/>
    <m/>
  </r>
  <r>
    <x v="16"/>
    <x v="1"/>
    <x v="0"/>
    <x v="0"/>
    <s v="INSPECTOR DE OBRA CIVIL FRENTE 2"/>
    <n v="4363154.7749999994"/>
    <x v="0"/>
    <s v="CONTRACTUAL"/>
    <m/>
    <m/>
  </r>
  <r>
    <x v="16"/>
    <x v="2"/>
    <x v="0"/>
    <x v="0"/>
    <s v="INSPECTOR DE OBRA CIVIL FRENTE 2"/>
    <n v="4363154.7749999994"/>
    <x v="0"/>
    <s v="CONTRACTUAL"/>
    <m/>
    <m/>
  </r>
  <r>
    <x v="16"/>
    <x v="3"/>
    <x v="0"/>
    <x v="0"/>
    <s v="INSPECTOR DE OBRA CIVIL FRENTE 2"/>
    <n v="4363154.7749999994"/>
    <x v="0"/>
    <s v="CONTRACTUAL"/>
    <m/>
    <m/>
  </r>
  <r>
    <x v="16"/>
    <x v="4"/>
    <x v="0"/>
    <x v="0"/>
    <s v="INSPECTOR DE OBRA CIVIL FRENTE 2"/>
    <n v="4363154.7749999994"/>
    <x v="0"/>
    <s v="CONTRACTUAL"/>
    <m/>
    <m/>
  </r>
  <r>
    <x v="16"/>
    <x v="5"/>
    <x v="0"/>
    <x v="0"/>
    <s v="INSPECTOR DE OBRA CIVIL FRENTE 2"/>
    <n v="4363154.7749999994"/>
    <x v="0"/>
    <s v="CONTRACTUAL"/>
    <m/>
    <m/>
  </r>
  <r>
    <x v="16"/>
    <x v="6"/>
    <x v="0"/>
    <x v="0"/>
    <s v="INSPECTOR DE OBRA CIVIL FRENTE 2"/>
    <n v="4363154.7749999994"/>
    <x v="0"/>
    <s v="CONTRACTUAL"/>
    <m/>
    <m/>
  </r>
  <r>
    <x v="16"/>
    <x v="7"/>
    <x v="0"/>
    <x v="0"/>
    <s v="INSPECTOR DE OBRA CIVIL FRENTE 2"/>
    <n v="4363154.7749999994"/>
    <x v="0"/>
    <s v="CONTRACTUAL"/>
    <m/>
    <m/>
  </r>
  <r>
    <x v="16"/>
    <x v="8"/>
    <x v="0"/>
    <x v="0"/>
    <s v="INSPECTOR DE OBRA CIVIL FRENTE 2"/>
    <n v="4363154.7749999994"/>
    <x v="0"/>
    <s v="CONTRACTUAL"/>
    <m/>
    <m/>
  </r>
  <r>
    <x v="16"/>
    <x v="9"/>
    <x v="0"/>
    <x v="0"/>
    <s v="INSPECTOR DE OBRA CIVIL FRENTE 2"/>
    <n v="4363154.7749999994"/>
    <x v="0"/>
    <s v="CONTRACTUAL"/>
    <m/>
    <m/>
  </r>
  <r>
    <x v="16"/>
    <x v="10"/>
    <x v="0"/>
    <x v="0"/>
    <s v="INSPECTOR DE OBRA CIVIL FRENTE 2"/>
    <n v="4363154.7749999994"/>
    <x v="0"/>
    <s v="CONTRACTUAL"/>
    <m/>
    <m/>
  </r>
  <r>
    <x v="16"/>
    <x v="11"/>
    <x v="0"/>
    <x v="0"/>
    <s v="INSPECTOR DE OBRA CIVIL FRENTE 2"/>
    <n v="4363154.7749999994"/>
    <x v="0"/>
    <s v="CONTRACTUAL"/>
    <m/>
    <m/>
  </r>
  <r>
    <x v="16"/>
    <x v="0"/>
    <x v="0"/>
    <x v="0"/>
    <s v="PROFESIONAL DE CONTRATACIONES"/>
    <n v="5731070.625"/>
    <x v="0"/>
    <s v="CONTRACTUAL"/>
    <m/>
    <m/>
  </r>
  <r>
    <x v="16"/>
    <x v="1"/>
    <x v="0"/>
    <x v="0"/>
    <s v="PROFESIONAL DE CONTRATACIONES"/>
    <n v="5731070.625"/>
    <x v="0"/>
    <s v="CONTRACTUAL"/>
    <m/>
    <m/>
  </r>
  <r>
    <x v="16"/>
    <x v="2"/>
    <x v="0"/>
    <x v="0"/>
    <s v="PROFESIONAL DE CONTRATACIONES"/>
    <n v="5731070.625"/>
    <x v="0"/>
    <s v="CONTRACTUAL"/>
    <m/>
    <m/>
  </r>
  <r>
    <x v="16"/>
    <x v="3"/>
    <x v="0"/>
    <x v="0"/>
    <s v="PROFESIONAL DE CONTRATACIONES"/>
    <n v="5731070.625"/>
    <x v="0"/>
    <s v="CONTRACTUAL"/>
    <m/>
    <m/>
  </r>
  <r>
    <x v="16"/>
    <x v="4"/>
    <x v="0"/>
    <x v="0"/>
    <s v="PROFESIONAL DE CONTRATACIONES"/>
    <n v="5731070.625"/>
    <x v="0"/>
    <s v="CONTRACTUAL"/>
    <m/>
    <m/>
  </r>
  <r>
    <x v="16"/>
    <x v="5"/>
    <x v="0"/>
    <x v="0"/>
    <s v="PROFESIONAL DE CONTRATACIONES"/>
    <n v="5731070.625"/>
    <x v="0"/>
    <s v="CONTRACTUAL"/>
    <m/>
    <m/>
  </r>
  <r>
    <x v="16"/>
    <x v="6"/>
    <x v="0"/>
    <x v="0"/>
    <s v="PROFESIONAL DE CONTRATACIONES"/>
    <n v="5731070.625"/>
    <x v="0"/>
    <s v="CONTRACTUAL"/>
    <m/>
    <m/>
  </r>
  <r>
    <x v="16"/>
    <x v="7"/>
    <x v="0"/>
    <x v="0"/>
    <s v="PROFESIONAL DE CONTRATACIONES"/>
    <n v="5731070.625"/>
    <x v="0"/>
    <s v="CONTRACTUAL"/>
    <m/>
    <m/>
  </r>
  <r>
    <x v="16"/>
    <x v="8"/>
    <x v="0"/>
    <x v="0"/>
    <s v="PROFESIONAL DE CONTRATACIONES"/>
    <n v="5731070.625"/>
    <x v="0"/>
    <s v="CONTRACTUAL"/>
    <m/>
    <m/>
  </r>
  <r>
    <x v="16"/>
    <x v="9"/>
    <x v="0"/>
    <x v="0"/>
    <s v="PROFESIONAL DE CONTRATACIONES"/>
    <n v="5731070.625"/>
    <x v="0"/>
    <s v="CONTRACTUAL"/>
    <m/>
    <m/>
  </r>
  <r>
    <x v="16"/>
    <x v="10"/>
    <x v="0"/>
    <x v="0"/>
    <s v="PROFESIONAL DE CONTRATACIONES"/>
    <n v="5731070.625"/>
    <x v="0"/>
    <s v="CONTRACTUAL"/>
    <m/>
    <m/>
  </r>
  <r>
    <x v="16"/>
    <x v="11"/>
    <x v="0"/>
    <x v="0"/>
    <s v="PROFESIONAL DE CONTRATACIONES"/>
    <n v="5731070.625"/>
    <x v="0"/>
    <s v="CONTRACTUAL"/>
    <m/>
    <m/>
  </r>
  <r>
    <x v="16"/>
    <x v="12"/>
    <x v="0"/>
    <x v="0"/>
    <s v="PROFESIONAL DE CONTRATACIONES"/>
    <n v="5731070.625"/>
    <x v="0"/>
    <s v="CONTRACTUAL"/>
    <m/>
    <m/>
  </r>
  <r>
    <x v="16"/>
    <x v="13"/>
    <x v="0"/>
    <x v="0"/>
    <s v="PROFESIONAL DE CONTRATACIONES"/>
    <n v="5731070.625"/>
    <x v="0"/>
    <s v="CONTRACTUAL"/>
    <m/>
    <m/>
  </r>
  <r>
    <x v="16"/>
    <x v="14"/>
    <x v="0"/>
    <x v="0"/>
    <s v="PROFESIONAL DE CONTRATACIONES"/>
    <n v="5731070.625"/>
    <x v="0"/>
    <s v="CONTRACTUAL"/>
    <m/>
    <m/>
  </r>
  <r>
    <x v="16"/>
    <x v="15"/>
    <x v="0"/>
    <x v="0"/>
    <s v="PROFESIONAL DE CONTRATACIONES"/>
    <n v="5731070.625"/>
    <x v="0"/>
    <s v="CONTRACTUAL"/>
    <m/>
    <m/>
  </r>
  <r>
    <x v="16"/>
    <x v="16"/>
    <x v="0"/>
    <x v="0"/>
    <s v="PROFESIONAL DE CONTRATACIONES"/>
    <n v="5731070.625"/>
    <x v="0"/>
    <s v="CONTRACTUAL"/>
    <m/>
    <m/>
  </r>
  <r>
    <x v="16"/>
    <x v="17"/>
    <x v="0"/>
    <x v="0"/>
    <s v="PROFESIONAL DE CONTRATACIONES"/>
    <n v="5731070.625"/>
    <x v="0"/>
    <s v="CONTRACTUAL"/>
    <m/>
    <m/>
  </r>
  <r>
    <x v="16"/>
    <x v="18"/>
    <x v="0"/>
    <x v="0"/>
    <s v="PROFESIONAL DE CONTRATACIONES"/>
    <n v="5731070.625"/>
    <x v="0"/>
    <s v="CONTRACTUAL"/>
    <m/>
    <m/>
  </r>
  <r>
    <x v="16"/>
    <x v="0"/>
    <x v="0"/>
    <x v="0"/>
    <s v="RESIDENTE DE COSTOS Y PRESUPUESTOS"/>
    <n v="5735067.9750000006"/>
    <x v="0"/>
    <s v="CONTRACTUAL"/>
    <m/>
    <m/>
  </r>
  <r>
    <x v="16"/>
    <x v="1"/>
    <x v="0"/>
    <x v="0"/>
    <s v="RESIDENTE DE COSTOS Y PRESUPUESTOS"/>
    <n v="5735067.9750000006"/>
    <x v="0"/>
    <s v="CONTRACTUAL"/>
    <m/>
    <m/>
  </r>
  <r>
    <x v="16"/>
    <x v="2"/>
    <x v="0"/>
    <x v="0"/>
    <s v="RESIDENTE DE COSTOS Y PRESUPUESTOS"/>
    <n v="5735067.9750000006"/>
    <x v="0"/>
    <s v="CONTRACTUAL"/>
    <m/>
    <m/>
  </r>
  <r>
    <x v="16"/>
    <x v="3"/>
    <x v="0"/>
    <x v="0"/>
    <s v="RESIDENTE DE COSTOS Y PRESUPUESTOS"/>
    <n v="5735067.9750000006"/>
    <x v="0"/>
    <s v="CONTRACTUAL"/>
    <m/>
    <m/>
  </r>
  <r>
    <x v="16"/>
    <x v="4"/>
    <x v="0"/>
    <x v="0"/>
    <s v="RESIDENTE DE COSTOS Y PRESUPUESTOS"/>
    <n v="5735067.9750000006"/>
    <x v="0"/>
    <s v="CONTRACTUAL"/>
    <m/>
    <m/>
  </r>
  <r>
    <x v="16"/>
    <x v="5"/>
    <x v="0"/>
    <x v="0"/>
    <s v="RESIDENTE DE COSTOS Y PRESUPUESTOS"/>
    <n v="5735067.9750000006"/>
    <x v="0"/>
    <s v="CONTRACTUAL"/>
    <m/>
    <m/>
  </r>
  <r>
    <x v="16"/>
    <x v="6"/>
    <x v="0"/>
    <x v="0"/>
    <s v="RESIDENTE DE COSTOS Y PRESUPUESTOS"/>
    <n v="5735067.9750000006"/>
    <x v="0"/>
    <s v="CONTRACTUAL"/>
    <m/>
    <m/>
  </r>
  <r>
    <x v="16"/>
    <x v="7"/>
    <x v="0"/>
    <x v="0"/>
    <s v="RESIDENTE DE COSTOS Y PRESUPUESTOS"/>
    <n v="5735067.9750000006"/>
    <x v="0"/>
    <s v="CONTRACTUAL"/>
    <m/>
    <m/>
  </r>
  <r>
    <x v="16"/>
    <x v="8"/>
    <x v="0"/>
    <x v="0"/>
    <s v="RESIDENTE DE COSTOS Y PRESUPUESTOS"/>
    <n v="5735067.9750000006"/>
    <x v="0"/>
    <s v="CONTRACTUAL"/>
    <m/>
    <m/>
  </r>
  <r>
    <x v="16"/>
    <x v="9"/>
    <x v="0"/>
    <x v="0"/>
    <s v="RESIDENTE DE COSTOS Y PRESUPUESTOS"/>
    <n v="5735067.9750000006"/>
    <x v="0"/>
    <s v="CONTRACTUAL"/>
    <m/>
    <m/>
  </r>
  <r>
    <x v="16"/>
    <x v="10"/>
    <x v="0"/>
    <x v="0"/>
    <s v="RESIDENTE DE COSTOS Y PRESUPUESTOS"/>
    <n v="5735067.9750000006"/>
    <x v="0"/>
    <s v="CONTRACTUAL"/>
    <m/>
    <m/>
  </r>
  <r>
    <x v="16"/>
    <x v="11"/>
    <x v="0"/>
    <x v="0"/>
    <s v="RESIDENTE DE COSTOS Y PRESUPUESTOS"/>
    <n v="5735067.9750000006"/>
    <x v="0"/>
    <s v="CONTRACTUAL"/>
    <m/>
    <m/>
  </r>
  <r>
    <x v="16"/>
    <x v="12"/>
    <x v="0"/>
    <x v="0"/>
    <s v="RESIDENTE DE COSTOS Y PRESUPUESTOS"/>
    <n v="5735067.9750000006"/>
    <x v="0"/>
    <s v="CONTRACTUAL"/>
    <m/>
    <m/>
  </r>
  <r>
    <x v="16"/>
    <x v="13"/>
    <x v="0"/>
    <x v="0"/>
    <s v="RESIDENTE DE COSTOS Y PRESUPUESTOS"/>
    <n v="5735067.9750000006"/>
    <x v="0"/>
    <s v="CONTRACTUAL"/>
    <m/>
    <m/>
  </r>
  <r>
    <x v="16"/>
    <x v="14"/>
    <x v="0"/>
    <x v="0"/>
    <s v="RESIDENTE DE COSTOS Y PRESUPUESTOS"/>
    <n v="5735067.9750000006"/>
    <x v="0"/>
    <s v="CONTRACTUAL"/>
    <m/>
    <m/>
  </r>
  <r>
    <x v="16"/>
    <x v="15"/>
    <x v="0"/>
    <x v="0"/>
    <s v="RESIDENTE DE COSTOS Y PRESUPUESTOS"/>
    <n v="5735067.9750000006"/>
    <x v="0"/>
    <s v="CONTRACTUAL"/>
    <m/>
    <m/>
  </r>
  <r>
    <x v="16"/>
    <x v="16"/>
    <x v="0"/>
    <x v="0"/>
    <s v="RESIDENTE DE COSTOS Y PRESUPUESTOS"/>
    <n v="5735067.9750000006"/>
    <x v="0"/>
    <s v="CONTRACTUAL"/>
    <m/>
    <m/>
  </r>
  <r>
    <x v="16"/>
    <x v="17"/>
    <x v="0"/>
    <x v="0"/>
    <s v="RESIDENTE DE COSTOS Y PRESUPUESTOS"/>
    <n v="5735067.9750000006"/>
    <x v="0"/>
    <s v="CONTRACTUAL"/>
    <m/>
    <m/>
  </r>
  <r>
    <x v="16"/>
    <x v="18"/>
    <x v="0"/>
    <x v="0"/>
    <s v="RESIDENTE DE COSTOS Y PRESUPUESTOS"/>
    <n v="5735067.9750000006"/>
    <x v="0"/>
    <s v="CONTRACTUAL"/>
    <m/>
    <m/>
  </r>
  <r>
    <x v="16"/>
    <x v="19"/>
    <x v="0"/>
    <x v="0"/>
    <s v="RESIDENTE DE COSTOS Y PRESUPUESTOS"/>
    <n v="5735067.9750000006"/>
    <x v="0"/>
    <s v="CONTRACTUAL"/>
    <m/>
    <m/>
  </r>
  <r>
    <x v="16"/>
    <x v="20"/>
    <x v="0"/>
    <x v="0"/>
    <s v="RESIDENTE DE COSTOS Y PRESUPUESTOS"/>
    <n v="5735067.9750000006"/>
    <x v="0"/>
    <s v="CONTRACTUAL"/>
    <m/>
    <m/>
  </r>
  <r>
    <x v="16"/>
    <x v="21"/>
    <x v="0"/>
    <x v="0"/>
    <s v="RESIDENTE DE COSTOS Y PRESUPUESTOS"/>
    <n v="5735067.9750000006"/>
    <x v="0"/>
    <s v="CONTRACTUAL"/>
    <m/>
    <m/>
  </r>
  <r>
    <x v="16"/>
    <x v="22"/>
    <x v="0"/>
    <x v="0"/>
    <s v="RESIDENTE DE COSTOS Y PRESUPUESTOS"/>
    <n v="5735067.9750000006"/>
    <x v="0"/>
    <s v="CONTRACTUAL"/>
    <m/>
    <m/>
  </r>
  <r>
    <x v="16"/>
    <x v="0"/>
    <x v="0"/>
    <x v="0"/>
    <s v="RESIDENTE ADMINISTRATIVO"/>
    <n v="5532675.75"/>
    <x v="0"/>
    <s v="CONTRACTUAL"/>
    <m/>
    <m/>
  </r>
  <r>
    <x v="16"/>
    <x v="1"/>
    <x v="0"/>
    <x v="0"/>
    <s v="RESIDENTE ADMINISTRATIVO"/>
    <n v="5532675.75"/>
    <x v="0"/>
    <s v="CONTRACTUAL"/>
    <m/>
    <m/>
  </r>
  <r>
    <x v="16"/>
    <x v="2"/>
    <x v="0"/>
    <x v="0"/>
    <s v="RESIDENTE ADMINISTRATIVO"/>
    <n v="5532675.75"/>
    <x v="0"/>
    <s v="CONTRACTUAL"/>
    <m/>
    <m/>
  </r>
  <r>
    <x v="16"/>
    <x v="3"/>
    <x v="0"/>
    <x v="0"/>
    <s v="RESIDENTE ADMINISTRATIVO"/>
    <n v="5532675.75"/>
    <x v="0"/>
    <s v="CONTRACTUAL"/>
    <m/>
    <m/>
  </r>
  <r>
    <x v="16"/>
    <x v="4"/>
    <x v="0"/>
    <x v="0"/>
    <s v="RESIDENTE ADMINISTRATIVO"/>
    <n v="5532675.75"/>
    <x v="0"/>
    <s v="CONTRACTUAL"/>
    <m/>
    <m/>
  </r>
  <r>
    <x v="16"/>
    <x v="5"/>
    <x v="0"/>
    <x v="0"/>
    <s v="RESIDENTE ADMINISTRATIVO"/>
    <n v="5532675.75"/>
    <x v="0"/>
    <s v="CONTRACTUAL"/>
    <m/>
    <m/>
  </r>
  <r>
    <x v="16"/>
    <x v="6"/>
    <x v="0"/>
    <x v="0"/>
    <s v="RESIDENTE ADMINISTRATIVO"/>
    <n v="5532675.75"/>
    <x v="0"/>
    <s v="CONTRACTUAL"/>
    <m/>
    <m/>
  </r>
  <r>
    <x v="16"/>
    <x v="7"/>
    <x v="0"/>
    <x v="0"/>
    <s v="RESIDENTE ADMINISTRATIVO"/>
    <n v="5532675.75"/>
    <x v="0"/>
    <s v="CONTRACTUAL"/>
    <m/>
    <m/>
  </r>
  <r>
    <x v="16"/>
    <x v="8"/>
    <x v="0"/>
    <x v="0"/>
    <s v="RESIDENTE ADMINISTRATIVO"/>
    <n v="5532675.75"/>
    <x v="0"/>
    <s v="CONTRACTUAL"/>
    <m/>
    <m/>
  </r>
  <r>
    <x v="16"/>
    <x v="9"/>
    <x v="0"/>
    <x v="0"/>
    <s v="RESIDENTE ADMINISTRATIVO"/>
    <n v="5532675.75"/>
    <x v="0"/>
    <s v="CONTRACTUAL"/>
    <m/>
    <m/>
  </r>
  <r>
    <x v="16"/>
    <x v="10"/>
    <x v="0"/>
    <x v="0"/>
    <s v="RESIDENTE ADMINISTRATIVO"/>
    <n v="5532675.75"/>
    <x v="0"/>
    <s v="CONTRACTUAL"/>
    <m/>
    <m/>
  </r>
  <r>
    <x v="16"/>
    <x v="11"/>
    <x v="0"/>
    <x v="0"/>
    <s v="RESIDENTE ADMINISTRATIVO"/>
    <n v="5532675.75"/>
    <x v="0"/>
    <s v="CONTRACTUAL"/>
    <m/>
    <m/>
  </r>
  <r>
    <x v="16"/>
    <x v="12"/>
    <x v="0"/>
    <x v="0"/>
    <s v="RESIDENTE ADMINISTRATIVO"/>
    <n v="5532675.75"/>
    <x v="0"/>
    <s v="CONTRACTUAL"/>
    <m/>
    <m/>
  </r>
  <r>
    <x v="16"/>
    <x v="13"/>
    <x v="0"/>
    <x v="0"/>
    <s v="RESIDENTE ADMINISTRATIVO"/>
    <n v="5532675.75"/>
    <x v="0"/>
    <s v="CONTRACTUAL"/>
    <m/>
    <m/>
  </r>
  <r>
    <x v="16"/>
    <x v="14"/>
    <x v="0"/>
    <x v="0"/>
    <s v="RESIDENTE ADMINISTRATIVO"/>
    <n v="5532675.75"/>
    <x v="0"/>
    <s v="CONTRACTUAL"/>
    <m/>
    <m/>
  </r>
  <r>
    <x v="16"/>
    <x v="15"/>
    <x v="0"/>
    <x v="0"/>
    <s v="RESIDENTE ADMINISTRATIVO"/>
    <n v="5532675.75"/>
    <x v="0"/>
    <s v="CONTRACTUAL"/>
    <m/>
    <m/>
  </r>
  <r>
    <x v="16"/>
    <x v="16"/>
    <x v="0"/>
    <x v="0"/>
    <s v="RESIDENTE ADMINISTRATIVO"/>
    <n v="5532675.75"/>
    <x v="0"/>
    <s v="CONTRACTUAL"/>
    <m/>
    <m/>
  </r>
  <r>
    <x v="16"/>
    <x v="17"/>
    <x v="0"/>
    <x v="0"/>
    <s v="RESIDENTE ADMINISTRATIVO"/>
    <n v="5532675.75"/>
    <x v="0"/>
    <s v="CONTRACTUAL"/>
    <m/>
    <m/>
  </r>
  <r>
    <x v="16"/>
    <x v="18"/>
    <x v="0"/>
    <x v="0"/>
    <s v="RESIDENTE ADMINISTRATIVO"/>
    <n v="5532675.75"/>
    <x v="0"/>
    <s v="CONTRACTUAL"/>
    <m/>
    <m/>
  </r>
  <r>
    <x v="16"/>
    <x v="19"/>
    <x v="0"/>
    <x v="0"/>
    <s v="RESIDENTE ADMINISTRATIVO"/>
    <n v="5532675.75"/>
    <x v="0"/>
    <s v="CONTRACTUAL"/>
    <m/>
    <m/>
  </r>
  <r>
    <x v="16"/>
    <x v="20"/>
    <x v="0"/>
    <x v="0"/>
    <s v="RESIDENTE ADMINISTRATIVO"/>
    <n v="5532675.75"/>
    <x v="0"/>
    <s v="CONTRACTUAL"/>
    <m/>
    <m/>
  </r>
  <r>
    <x v="16"/>
    <x v="21"/>
    <x v="0"/>
    <x v="0"/>
    <s v="RESIDENTE ADMINISTRATIVO"/>
    <n v="5532675.75"/>
    <x v="0"/>
    <s v="CONTRACTUAL"/>
    <m/>
    <m/>
  </r>
  <r>
    <x v="16"/>
    <x v="22"/>
    <x v="0"/>
    <x v="0"/>
    <s v="RESIDENTE ADMINISTRATIVO"/>
    <n v="5532675.75"/>
    <x v="0"/>
    <s v="CONTRACTUAL"/>
    <m/>
    <m/>
  </r>
  <r>
    <x v="16"/>
    <x v="23"/>
    <x v="0"/>
    <x v="0"/>
    <s v="RESIDENTE ADMINISTRATIVO"/>
    <n v="5532675.75"/>
    <x v="0"/>
    <s v="CONTRACTUAL"/>
    <m/>
    <m/>
  </r>
  <r>
    <x v="16"/>
    <x v="0"/>
    <x v="0"/>
    <x v="0"/>
    <s v="RESIDENTE DE OBRA"/>
    <n v="6478130.9250000007"/>
    <x v="0"/>
    <s v="CONTRACTUAL"/>
    <m/>
    <m/>
  </r>
  <r>
    <x v="16"/>
    <x v="1"/>
    <x v="0"/>
    <x v="0"/>
    <s v="RESIDENTE DE OBRA"/>
    <n v="6478130.9250000007"/>
    <x v="0"/>
    <s v="CONTRACTUAL"/>
    <m/>
    <m/>
  </r>
  <r>
    <x v="16"/>
    <x v="2"/>
    <x v="0"/>
    <x v="0"/>
    <s v="RESIDENTE DE OBRA"/>
    <n v="6478130.9250000007"/>
    <x v="0"/>
    <s v="CONTRACTUAL"/>
    <m/>
    <m/>
  </r>
  <r>
    <x v="16"/>
    <x v="3"/>
    <x v="0"/>
    <x v="0"/>
    <s v="RESIDENTE DE OBRA"/>
    <n v="6478130.9250000007"/>
    <x v="0"/>
    <s v="CONTRACTUAL"/>
    <m/>
    <m/>
  </r>
  <r>
    <x v="16"/>
    <x v="4"/>
    <x v="0"/>
    <x v="0"/>
    <s v="RESIDENTE DE OBRA"/>
    <n v="6478130.9250000007"/>
    <x v="0"/>
    <s v="CONTRACTUAL"/>
    <m/>
    <m/>
  </r>
  <r>
    <x v="16"/>
    <x v="5"/>
    <x v="0"/>
    <x v="0"/>
    <s v="RESIDENTE DE OBRA"/>
    <n v="6478130.9250000007"/>
    <x v="0"/>
    <s v="CONTRACTUAL"/>
    <m/>
    <m/>
  </r>
  <r>
    <x v="16"/>
    <x v="6"/>
    <x v="0"/>
    <x v="0"/>
    <s v="RESIDENTE DE OBRA"/>
    <n v="6478130.9250000007"/>
    <x v="0"/>
    <s v="CONTRACTUAL"/>
    <m/>
    <m/>
  </r>
  <r>
    <x v="16"/>
    <x v="7"/>
    <x v="0"/>
    <x v="0"/>
    <s v="RESIDENTE DE OBRA"/>
    <n v="6478130.9250000007"/>
    <x v="0"/>
    <s v="CONTRACTUAL"/>
    <m/>
    <m/>
  </r>
  <r>
    <x v="16"/>
    <x v="8"/>
    <x v="0"/>
    <x v="0"/>
    <s v="RESIDENTE DE OBRA"/>
    <n v="6478130.9250000007"/>
    <x v="0"/>
    <s v="CONTRACTUAL"/>
    <m/>
    <m/>
  </r>
  <r>
    <x v="16"/>
    <x v="9"/>
    <x v="0"/>
    <x v="0"/>
    <s v="RESIDENTE DE OBRA"/>
    <n v="6478130.9250000007"/>
    <x v="0"/>
    <s v="CONTRACTUAL"/>
    <m/>
    <m/>
  </r>
  <r>
    <x v="16"/>
    <x v="10"/>
    <x v="0"/>
    <x v="0"/>
    <s v="RESIDENTE DE OBRA"/>
    <n v="6478130.9250000007"/>
    <x v="0"/>
    <s v="CONTRACTUAL"/>
    <m/>
    <m/>
  </r>
  <r>
    <x v="16"/>
    <x v="11"/>
    <x v="0"/>
    <x v="0"/>
    <s v="RESIDENTE DE OBRA"/>
    <n v="6478130.9250000007"/>
    <x v="0"/>
    <s v="CONTRACTUAL"/>
    <m/>
    <m/>
  </r>
  <r>
    <x v="16"/>
    <x v="12"/>
    <x v="0"/>
    <x v="0"/>
    <s v="RESIDENTE DE OBRA"/>
    <n v="6478130.9250000007"/>
    <x v="0"/>
    <s v="CONTRACTUAL"/>
    <m/>
    <m/>
  </r>
  <r>
    <x v="16"/>
    <x v="13"/>
    <x v="0"/>
    <x v="0"/>
    <s v="RESIDENTE DE OBRA"/>
    <n v="6478130.9250000007"/>
    <x v="0"/>
    <s v="CONTRACTUAL"/>
    <m/>
    <m/>
  </r>
  <r>
    <x v="16"/>
    <x v="14"/>
    <x v="0"/>
    <x v="0"/>
    <s v="RESIDENTE DE OBRA"/>
    <n v="6478130.9250000007"/>
    <x v="0"/>
    <s v="CONTRACTUAL"/>
    <m/>
    <m/>
  </r>
  <r>
    <x v="16"/>
    <x v="15"/>
    <x v="0"/>
    <x v="0"/>
    <s v="RESIDENTE DE OBRA"/>
    <n v="6478130.9250000007"/>
    <x v="0"/>
    <s v="CONTRACTUAL"/>
    <m/>
    <m/>
  </r>
  <r>
    <x v="16"/>
    <x v="16"/>
    <x v="0"/>
    <x v="0"/>
    <s v="RESIDENTE DE OBRA"/>
    <n v="6478130.9250000007"/>
    <x v="0"/>
    <s v="CONTRACTUAL"/>
    <m/>
    <m/>
  </r>
  <r>
    <x v="16"/>
    <x v="17"/>
    <x v="0"/>
    <x v="0"/>
    <s v="RESIDENTE DE OBRA"/>
    <n v="6478130.9250000007"/>
    <x v="0"/>
    <s v="CONTRACTUAL"/>
    <m/>
    <m/>
  </r>
  <r>
    <x v="16"/>
    <x v="18"/>
    <x v="0"/>
    <x v="0"/>
    <s v="RESIDENTE DE OBRA"/>
    <n v="6478130.9250000007"/>
    <x v="0"/>
    <s v="CONTRACTUAL"/>
    <m/>
    <m/>
  </r>
  <r>
    <x v="16"/>
    <x v="19"/>
    <x v="0"/>
    <x v="0"/>
    <s v="RESIDENTE DE OBRA"/>
    <n v="6478130.9250000007"/>
    <x v="0"/>
    <s v="CONTRACTUAL"/>
    <m/>
    <m/>
  </r>
  <r>
    <x v="16"/>
    <x v="20"/>
    <x v="0"/>
    <x v="0"/>
    <s v="RESIDENTE DE OBRA"/>
    <n v="6478130.9250000007"/>
    <x v="0"/>
    <s v="CONTRACTUAL"/>
    <m/>
    <m/>
  </r>
  <r>
    <x v="16"/>
    <x v="21"/>
    <x v="0"/>
    <x v="0"/>
    <s v="RESIDENTE DE OBRA"/>
    <n v="6478130.9250000007"/>
    <x v="0"/>
    <s v="CONTRACTUAL"/>
    <m/>
    <m/>
  </r>
  <r>
    <x v="16"/>
    <x v="22"/>
    <x v="0"/>
    <x v="0"/>
    <s v="RESIDENTE DE OBRA"/>
    <n v="6478130.9250000007"/>
    <x v="0"/>
    <s v="CONTRACTUAL"/>
    <m/>
    <m/>
  </r>
  <r>
    <x v="16"/>
    <x v="0"/>
    <x v="0"/>
    <x v="0"/>
    <s v="RESIDENTE DE OBRA"/>
    <n v="6478130.9250000007"/>
    <x v="0"/>
    <s v="CONTRACTUAL"/>
    <m/>
    <m/>
  </r>
  <r>
    <x v="16"/>
    <x v="1"/>
    <x v="0"/>
    <x v="0"/>
    <s v="RESIDENTE DE OBRA"/>
    <n v="6478130.9250000007"/>
    <x v="0"/>
    <s v="CONTRACTUAL"/>
    <m/>
    <m/>
  </r>
  <r>
    <x v="16"/>
    <x v="2"/>
    <x v="0"/>
    <x v="0"/>
    <s v="RESIDENTE DE OBRA"/>
    <n v="6478130.9250000007"/>
    <x v="0"/>
    <s v="CONTRACTUAL"/>
    <m/>
    <m/>
  </r>
  <r>
    <x v="16"/>
    <x v="3"/>
    <x v="0"/>
    <x v="0"/>
    <s v="RESIDENTE DE OBRA"/>
    <n v="6478130.9250000007"/>
    <x v="0"/>
    <s v="CONTRACTUAL"/>
    <m/>
    <m/>
  </r>
  <r>
    <x v="16"/>
    <x v="4"/>
    <x v="0"/>
    <x v="0"/>
    <s v="RESIDENTE DE OBRA"/>
    <n v="6478130.9250000007"/>
    <x v="0"/>
    <s v="CONTRACTUAL"/>
    <m/>
    <m/>
  </r>
  <r>
    <x v="16"/>
    <x v="5"/>
    <x v="0"/>
    <x v="0"/>
    <s v="RESIDENTE DE OBRA"/>
    <n v="6478130.9250000007"/>
    <x v="0"/>
    <s v="CONTRACTUAL"/>
    <m/>
    <m/>
  </r>
  <r>
    <x v="16"/>
    <x v="6"/>
    <x v="0"/>
    <x v="0"/>
    <s v="RESIDENTE DE OBRA"/>
    <n v="6478130.9250000007"/>
    <x v="0"/>
    <s v="CONTRACTUAL"/>
    <m/>
    <m/>
  </r>
  <r>
    <x v="16"/>
    <x v="7"/>
    <x v="0"/>
    <x v="0"/>
    <s v="RESIDENTE DE OBRA"/>
    <n v="6478130.9250000007"/>
    <x v="0"/>
    <s v="CONTRACTUAL"/>
    <m/>
    <m/>
  </r>
  <r>
    <x v="16"/>
    <x v="8"/>
    <x v="0"/>
    <x v="0"/>
    <s v="RESIDENTE DE OBRA"/>
    <n v="6478130.9250000007"/>
    <x v="0"/>
    <s v="CONTRACTUAL"/>
    <m/>
    <m/>
  </r>
  <r>
    <x v="16"/>
    <x v="9"/>
    <x v="0"/>
    <x v="0"/>
    <s v="RESIDENTE DE OBRA"/>
    <n v="6478130.9250000007"/>
    <x v="0"/>
    <s v="CONTRACTUAL"/>
    <m/>
    <m/>
  </r>
  <r>
    <x v="16"/>
    <x v="10"/>
    <x v="0"/>
    <x v="0"/>
    <s v="RESIDENTE DE OBRA"/>
    <n v="6478130.9250000007"/>
    <x v="0"/>
    <s v="CONTRACTUAL"/>
    <m/>
    <m/>
  </r>
  <r>
    <x v="16"/>
    <x v="11"/>
    <x v="0"/>
    <x v="0"/>
    <s v="RESIDENTE DE OBRA"/>
    <n v="6478130.9250000007"/>
    <x v="0"/>
    <s v="CONTRACTUAL"/>
    <m/>
    <m/>
  </r>
  <r>
    <x v="16"/>
    <x v="12"/>
    <x v="0"/>
    <x v="0"/>
    <s v="RESIDENTE DE OBRA"/>
    <n v="6478130.9250000007"/>
    <x v="0"/>
    <s v="CONTRACTUAL"/>
    <m/>
    <m/>
  </r>
  <r>
    <x v="16"/>
    <x v="13"/>
    <x v="0"/>
    <x v="0"/>
    <s v="RESIDENTE DE OBRA"/>
    <n v="6478130.9250000007"/>
    <x v="0"/>
    <s v="CONTRACTUAL"/>
    <m/>
    <m/>
  </r>
  <r>
    <x v="16"/>
    <x v="14"/>
    <x v="0"/>
    <x v="0"/>
    <s v="RESIDENTE DE OBRA"/>
    <n v="6478130.9250000007"/>
    <x v="0"/>
    <s v="CONTRACTUAL"/>
    <m/>
    <m/>
  </r>
  <r>
    <x v="16"/>
    <x v="15"/>
    <x v="0"/>
    <x v="0"/>
    <s v="RESIDENTE DE OBRA"/>
    <n v="6478130.9250000007"/>
    <x v="0"/>
    <s v="CONTRACTUAL"/>
    <m/>
    <m/>
  </r>
  <r>
    <x v="16"/>
    <x v="16"/>
    <x v="0"/>
    <x v="0"/>
    <s v="RESIDENTE DE OBRA"/>
    <n v="6478130.9250000007"/>
    <x v="0"/>
    <s v="CONTRACTUAL"/>
    <m/>
    <m/>
  </r>
  <r>
    <x v="16"/>
    <x v="17"/>
    <x v="0"/>
    <x v="0"/>
    <s v="RESIDENTE DE OBRA"/>
    <n v="6478130.9250000007"/>
    <x v="0"/>
    <s v="CONTRACTUAL"/>
    <m/>
    <m/>
  </r>
  <r>
    <x v="16"/>
    <x v="18"/>
    <x v="0"/>
    <x v="0"/>
    <s v="RESIDENTE DE OBRA"/>
    <n v="6478130.9250000007"/>
    <x v="0"/>
    <s v="CONTRACTUAL"/>
    <m/>
    <m/>
  </r>
  <r>
    <x v="16"/>
    <x v="19"/>
    <x v="0"/>
    <x v="0"/>
    <s v="RESIDENTE DE OBRA"/>
    <n v="6478130.9250000007"/>
    <x v="0"/>
    <s v="CONTRACTUAL"/>
    <m/>
    <m/>
  </r>
  <r>
    <x v="16"/>
    <x v="20"/>
    <x v="0"/>
    <x v="0"/>
    <s v="RESIDENTE DE OBRA"/>
    <n v="6478130.9250000007"/>
    <x v="0"/>
    <s v="CONTRACTUAL"/>
    <m/>
    <m/>
  </r>
  <r>
    <x v="16"/>
    <x v="21"/>
    <x v="0"/>
    <x v="0"/>
    <s v="RESIDENTE DE OBRA"/>
    <n v="6478130.9250000007"/>
    <x v="0"/>
    <s v="CONTRACTUAL"/>
    <m/>
    <m/>
  </r>
  <r>
    <x v="16"/>
    <x v="22"/>
    <x v="0"/>
    <x v="0"/>
    <s v="RESIDENTE DE OBRA"/>
    <n v="6478130.9250000007"/>
    <x v="0"/>
    <s v="CONTRACTUAL"/>
    <m/>
    <m/>
  </r>
  <r>
    <x v="17"/>
    <x v="0"/>
    <x v="0"/>
    <x v="0"/>
    <s v="COORDINADOR"/>
    <n v="2806650"/>
    <x v="0"/>
    <s v="CONTRACTUAL"/>
    <m/>
    <m/>
  </r>
  <r>
    <x v="17"/>
    <x v="1"/>
    <x v="0"/>
    <x v="0"/>
    <s v="COORDINADOR"/>
    <n v="2806650"/>
    <x v="0"/>
    <s v="CONTRACTUAL"/>
    <m/>
    <m/>
  </r>
  <r>
    <x v="17"/>
    <x v="2"/>
    <x v="0"/>
    <x v="0"/>
    <s v="COORDINADOR"/>
    <n v="2806650"/>
    <x v="0"/>
    <s v="CONTRACTUAL"/>
    <m/>
    <m/>
  </r>
  <r>
    <x v="17"/>
    <x v="3"/>
    <x v="0"/>
    <x v="0"/>
    <s v="COORDINADOR"/>
    <n v="2806650"/>
    <x v="0"/>
    <s v="CONTRACTUAL"/>
    <m/>
    <m/>
  </r>
  <r>
    <x v="17"/>
    <x v="4"/>
    <x v="0"/>
    <x v="0"/>
    <s v="COORDINADOR"/>
    <n v="2806650"/>
    <x v="0"/>
    <s v="CONTRACTUAL"/>
    <m/>
    <m/>
  </r>
  <r>
    <x v="17"/>
    <x v="5"/>
    <x v="0"/>
    <x v="0"/>
    <s v="COORDINADOR"/>
    <n v="2806650"/>
    <x v="0"/>
    <s v="CONTRACTUAL"/>
    <m/>
    <m/>
  </r>
  <r>
    <x v="17"/>
    <x v="6"/>
    <x v="0"/>
    <x v="0"/>
    <s v="COORDINADOR"/>
    <n v="2806650"/>
    <x v="0"/>
    <s v="CONTRACTUAL"/>
    <m/>
    <m/>
  </r>
  <r>
    <x v="17"/>
    <x v="7"/>
    <x v="0"/>
    <x v="0"/>
    <s v="COORDINADOR"/>
    <n v="2806650"/>
    <x v="0"/>
    <s v="CONTRACTUAL"/>
    <m/>
    <m/>
  </r>
  <r>
    <x v="17"/>
    <x v="8"/>
    <x v="0"/>
    <x v="0"/>
    <s v="COORDINADOR"/>
    <n v="2806650"/>
    <x v="0"/>
    <s v="CONTRACTUAL"/>
    <m/>
    <m/>
  </r>
  <r>
    <x v="17"/>
    <x v="9"/>
    <x v="0"/>
    <x v="0"/>
    <s v="COORDINADOR"/>
    <n v="2806650"/>
    <x v="0"/>
    <s v="CONTRACTUAL"/>
    <m/>
    <m/>
  </r>
  <r>
    <x v="17"/>
    <x v="10"/>
    <x v="0"/>
    <x v="0"/>
    <s v="COORDINADOR"/>
    <n v="2806650"/>
    <x v="0"/>
    <s v="CONTRACTUAL"/>
    <m/>
    <m/>
  </r>
  <r>
    <x v="17"/>
    <x v="0"/>
    <x v="0"/>
    <x v="0"/>
    <s v="RESIDENTE TECNICO"/>
    <n v="5355000"/>
    <x v="0"/>
    <s v="CONTRACTUAL"/>
    <m/>
    <m/>
  </r>
  <r>
    <x v="17"/>
    <x v="1"/>
    <x v="0"/>
    <x v="0"/>
    <s v="RESIDENTE TECNICO"/>
    <n v="5355000"/>
    <x v="0"/>
    <s v="CONTRACTUAL"/>
    <m/>
    <m/>
  </r>
  <r>
    <x v="17"/>
    <x v="2"/>
    <x v="0"/>
    <x v="0"/>
    <s v="RESIDENTE TECNICO"/>
    <n v="5355000"/>
    <x v="0"/>
    <s v="CONTRACTUAL"/>
    <m/>
    <m/>
  </r>
  <r>
    <x v="17"/>
    <x v="3"/>
    <x v="0"/>
    <x v="0"/>
    <s v="RESIDENTE TECNICO"/>
    <n v="5355000"/>
    <x v="0"/>
    <s v="CONTRACTUAL"/>
    <m/>
    <m/>
  </r>
  <r>
    <x v="17"/>
    <x v="4"/>
    <x v="0"/>
    <x v="0"/>
    <s v="RESIDENTE TECNICO"/>
    <n v="5355000"/>
    <x v="0"/>
    <s v="CONTRACTUAL"/>
    <m/>
    <m/>
  </r>
  <r>
    <x v="17"/>
    <x v="5"/>
    <x v="0"/>
    <x v="0"/>
    <s v="RESIDENTE TECNICO"/>
    <n v="5355000"/>
    <x v="0"/>
    <s v="CONTRACTUAL"/>
    <m/>
    <m/>
  </r>
  <r>
    <x v="17"/>
    <x v="6"/>
    <x v="0"/>
    <x v="0"/>
    <s v="RESIDENTE TECNICO"/>
    <n v="5355000"/>
    <x v="0"/>
    <s v="CONTRACTUAL"/>
    <m/>
    <m/>
  </r>
  <r>
    <x v="17"/>
    <x v="7"/>
    <x v="0"/>
    <x v="0"/>
    <s v="RESIDENTE TECNICO"/>
    <n v="5355000"/>
    <x v="0"/>
    <s v="CONTRACTUAL"/>
    <m/>
    <m/>
  </r>
  <r>
    <x v="17"/>
    <x v="8"/>
    <x v="0"/>
    <x v="0"/>
    <s v="RESIDENTE TECNICO"/>
    <n v="5355000"/>
    <x v="0"/>
    <s v="CONTRACTUAL"/>
    <m/>
    <m/>
  </r>
  <r>
    <x v="17"/>
    <x v="9"/>
    <x v="0"/>
    <x v="0"/>
    <s v="RESIDENTE TECNICO"/>
    <n v="5355000"/>
    <x v="0"/>
    <s v="CONTRACTUAL"/>
    <m/>
    <m/>
  </r>
  <r>
    <x v="17"/>
    <x v="10"/>
    <x v="0"/>
    <x v="0"/>
    <s v="RESIDENTE TECNICO"/>
    <n v="5355000"/>
    <x v="0"/>
    <s v="CONTRACTUAL"/>
    <m/>
    <m/>
  </r>
  <r>
    <x v="17"/>
    <x v="0"/>
    <x v="0"/>
    <x v="0"/>
    <s v="INSPECTOR"/>
    <n v="4123664.9999999995"/>
    <x v="0"/>
    <s v="CONTRACTUAL"/>
    <m/>
    <m/>
  </r>
  <r>
    <x v="17"/>
    <x v="1"/>
    <x v="0"/>
    <x v="0"/>
    <s v="INSPECTOR"/>
    <n v="4123664.9999999995"/>
    <x v="0"/>
    <s v="CONTRACTUAL"/>
    <m/>
    <m/>
  </r>
  <r>
    <x v="17"/>
    <x v="2"/>
    <x v="0"/>
    <x v="0"/>
    <s v="INSPECTOR"/>
    <n v="4123664.9999999995"/>
    <x v="0"/>
    <s v="CONTRACTUAL"/>
    <m/>
    <m/>
  </r>
  <r>
    <x v="17"/>
    <x v="3"/>
    <x v="0"/>
    <x v="0"/>
    <s v="INSPECTOR"/>
    <n v="4123664.9999999995"/>
    <x v="0"/>
    <s v="CONTRACTUAL"/>
    <m/>
    <m/>
  </r>
  <r>
    <x v="17"/>
    <x v="4"/>
    <x v="0"/>
    <x v="0"/>
    <s v="INSPECTOR"/>
    <n v="4123664.9999999995"/>
    <x v="0"/>
    <s v="CONTRACTUAL"/>
    <m/>
    <m/>
  </r>
  <r>
    <x v="17"/>
    <x v="5"/>
    <x v="0"/>
    <x v="0"/>
    <s v="INSPECTOR"/>
    <n v="4123664.9999999995"/>
    <x v="0"/>
    <s v="CONTRACTUAL"/>
    <m/>
    <m/>
  </r>
  <r>
    <x v="17"/>
    <x v="6"/>
    <x v="0"/>
    <x v="0"/>
    <s v="INSPECTOR"/>
    <n v="4123664.9999999995"/>
    <x v="0"/>
    <s v="CONTRACTUAL"/>
    <m/>
    <m/>
  </r>
  <r>
    <x v="17"/>
    <x v="7"/>
    <x v="0"/>
    <x v="0"/>
    <s v="INSPECTOR"/>
    <n v="4123664.9999999995"/>
    <x v="0"/>
    <s v="CONTRACTUAL"/>
    <m/>
    <m/>
  </r>
  <r>
    <x v="17"/>
    <x v="0"/>
    <x v="0"/>
    <x v="0"/>
    <s v="INSPECTOR ADICIONAL"/>
    <n v="4123666.6694999998"/>
    <x v="0"/>
    <s v="CONTRACTUAL"/>
    <m/>
    <m/>
  </r>
  <r>
    <x v="17"/>
    <x v="1"/>
    <x v="0"/>
    <x v="0"/>
    <s v="INSPECTOR ADICIONAL"/>
    <n v="4123666.6694999998"/>
    <x v="0"/>
    <s v="CONTRACTUAL"/>
    <m/>
    <m/>
  </r>
  <r>
    <x v="18"/>
    <x v="0"/>
    <x v="0"/>
    <x v="0"/>
    <s v="DIRECTOR INTERVENTORIA"/>
    <n v="10415999.475"/>
    <x v="0"/>
    <s v="CONTRACTUAL"/>
    <m/>
    <m/>
  </r>
  <r>
    <x v="18"/>
    <x v="1"/>
    <x v="0"/>
    <x v="0"/>
    <s v="DIRECTOR INTERVENTORIA"/>
    <n v="10415999.475"/>
    <x v="0"/>
    <s v="CONTRACTUAL"/>
    <m/>
    <m/>
  </r>
  <r>
    <x v="18"/>
    <x v="2"/>
    <x v="0"/>
    <x v="0"/>
    <s v="DIRECTOR INTERVENTORIA"/>
    <n v="10415999.475"/>
    <x v="0"/>
    <s v="CONTRACTUAL"/>
    <m/>
    <m/>
  </r>
  <r>
    <x v="18"/>
    <x v="3"/>
    <x v="0"/>
    <x v="0"/>
    <s v="DIRECTOR INTERVENTORIA"/>
    <n v="10415999.475"/>
    <x v="0"/>
    <s v="CONTRACTUAL"/>
    <m/>
    <m/>
  </r>
  <r>
    <x v="18"/>
    <x v="4"/>
    <x v="0"/>
    <x v="0"/>
    <s v="DIRECTOR INTERVENTORIA"/>
    <n v="10415999.475"/>
    <x v="0"/>
    <s v="CONTRACTUAL"/>
    <m/>
    <m/>
  </r>
  <r>
    <x v="18"/>
    <x v="5"/>
    <x v="0"/>
    <x v="0"/>
    <s v="DIRECTOR INTERVENTORIA"/>
    <n v="10415999.475"/>
    <x v="0"/>
    <s v="CONTRACTUAL"/>
    <m/>
    <m/>
  </r>
  <r>
    <x v="18"/>
    <x v="6"/>
    <x v="0"/>
    <x v="0"/>
    <s v="DIRECTOR INTERVENTORIA"/>
    <n v="10415999.475"/>
    <x v="0"/>
    <s v="CONTRACTUAL"/>
    <m/>
    <m/>
  </r>
  <r>
    <x v="18"/>
    <x v="7"/>
    <x v="0"/>
    <x v="0"/>
    <s v="DIRECTOR INTERVENTORIA"/>
    <n v="10415999.475"/>
    <x v="0"/>
    <s v="CONTRACTUAL"/>
    <m/>
    <m/>
  </r>
  <r>
    <x v="18"/>
    <x v="8"/>
    <x v="0"/>
    <x v="0"/>
    <s v="DIRECTOR INTERVENTORIA"/>
    <n v="10415999.475"/>
    <x v="0"/>
    <s v="CONTRACTUAL"/>
    <m/>
    <m/>
  </r>
  <r>
    <x v="18"/>
    <x v="9"/>
    <x v="0"/>
    <x v="0"/>
    <s v="DIRECTOR INTERVENTORIA"/>
    <n v="10415999.475"/>
    <x v="0"/>
    <s v="CONTRACTUAL"/>
    <m/>
    <m/>
  </r>
  <r>
    <x v="18"/>
    <x v="0"/>
    <x v="0"/>
    <x v="0"/>
    <s v="RESIDENTE INSTALACIONES"/>
    <n v="7207200"/>
    <x v="0"/>
    <s v="CONTRACTUAL"/>
    <m/>
    <m/>
  </r>
  <r>
    <x v="18"/>
    <x v="1"/>
    <x v="0"/>
    <x v="0"/>
    <s v="RESIDENTE INSTALACIONES"/>
    <n v="7207200"/>
    <x v="0"/>
    <s v="CONTRACTUAL"/>
    <m/>
    <m/>
  </r>
  <r>
    <x v="18"/>
    <x v="2"/>
    <x v="0"/>
    <x v="0"/>
    <s v="RESIDENTE INSTALACIONES"/>
    <n v="7207200"/>
    <x v="0"/>
    <s v="CONTRACTUAL"/>
    <m/>
    <m/>
  </r>
  <r>
    <x v="18"/>
    <x v="3"/>
    <x v="0"/>
    <x v="0"/>
    <s v="RESIDENTE INSTALACIONES"/>
    <n v="7207200"/>
    <x v="0"/>
    <s v="CONTRACTUAL"/>
    <m/>
    <m/>
  </r>
  <r>
    <x v="18"/>
    <x v="4"/>
    <x v="0"/>
    <x v="0"/>
    <s v="RESIDENTE INSTALACIONES"/>
    <n v="7207200"/>
    <x v="0"/>
    <s v="CONTRACTUAL"/>
    <m/>
    <m/>
  </r>
  <r>
    <x v="18"/>
    <x v="5"/>
    <x v="0"/>
    <x v="0"/>
    <s v="RESIDENTE INSTALACIONES"/>
    <n v="7207200"/>
    <x v="0"/>
    <s v="CONTRACTUAL"/>
    <m/>
    <m/>
  </r>
  <r>
    <x v="18"/>
    <x v="6"/>
    <x v="0"/>
    <x v="0"/>
    <s v="RESIDENTE INSTALACIONES"/>
    <n v="7207200"/>
    <x v="0"/>
    <s v="CONTRACTUAL"/>
    <m/>
    <m/>
  </r>
  <r>
    <x v="18"/>
    <x v="7"/>
    <x v="0"/>
    <x v="0"/>
    <s v="RESIDENTE INSTALACIONES"/>
    <n v="7207200"/>
    <x v="0"/>
    <s v="CONTRACTUAL"/>
    <m/>
    <m/>
  </r>
  <r>
    <x v="18"/>
    <x v="0"/>
    <x v="0"/>
    <x v="0"/>
    <s v="RESIDENTE SISOMA"/>
    <n v="4866750"/>
    <x v="0"/>
    <s v="CONTRACTUAL"/>
    <m/>
    <m/>
  </r>
  <r>
    <x v="18"/>
    <x v="1"/>
    <x v="0"/>
    <x v="0"/>
    <s v="RESIDENTE SISOMA"/>
    <n v="4866750"/>
    <x v="0"/>
    <s v="CONTRACTUAL"/>
    <m/>
    <m/>
  </r>
  <r>
    <x v="18"/>
    <x v="2"/>
    <x v="0"/>
    <x v="0"/>
    <s v="RESIDENTE SISOMA"/>
    <n v="4866750"/>
    <x v="0"/>
    <s v="CONTRACTUAL"/>
    <m/>
    <m/>
  </r>
  <r>
    <x v="18"/>
    <x v="3"/>
    <x v="0"/>
    <x v="0"/>
    <s v="RESIDENTE SISOMA"/>
    <n v="4866750"/>
    <x v="0"/>
    <s v="CONTRACTUAL"/>
    <m/>
    <m/>
  </r>
  <r>
    <x v="18"/>
    <x v="4"/>
    <x v="0"/>
    <x v="0"/>
    <s v="RESIDENTE SISOMA"/>
    <n v="4866750"/>
    <x v="0"/>
    <s v="CONTRACTUAL"/>
    <m/>
    <m/>
  </r>
  <r>
    <x v="18"/>
    <x v="5"/>
    <x v="0"/>
    <x v="0"/>
    <s v="RESIDENTE SISOMA"/>
    <n v="4866750"/>
    <x v="0"/>
    <s v="CONTRACTUAL"/>
    <m/>
    <m/>
  </r>
  <r>
    <x v="18"/>
    <x v="6"/>
    <x v="0"/>
    <x v="0"/>
    <s v="RESIDENTE SISOMA"/>
    <n v="4866750"/>
    <x v="0"/>
    <s v="CONTRACTUAL"/>
    <m/>
    <m/>
  </r>
  <r>
    <x v="18"/>
    <x v="7"/>
    <x v="0"/>
    <x v="0"/>
    <s v="RESIDENTE SISOMA"/>
    <n v="4866750"/>
    <x v="0"/>
    <s v="CONTRACTUAL"/>
    <m/>
    <m/>
  </r>
  <r>
    <x v="18"/>
    <x v="0"/>
    <x v="0"/>
    <x v="0"/>
    <s v="INSPECTOR TECNICO"/>
    <n v="3916091.0564999999"/>
    <x v="0"/>
    <s v="CONTRACTUAL"/>
    <m/>
    <m/>
  </r>
  <r>
    <x v="18"/>
    <x v="1"/>
    <x v="0"/>
    <x v="0"/>
    <s v="INSPECTOR TECNICO"/>
    <n v="3916091.0564999999"/>
    <x v="0"/>
    <s v="CONTRACTUAL"/>
    <m/>
    <m/>
  </r>
  <r>
    <x v="18"/>
    <x v="2"/>
    <x v="0"/>
    <x v="0"/>
    <s v="INSPECTOR TECNICO"/>
    <n v="3916091.0564999999"/>
    <x v="0"/>
    <s v="CONTRACTUAL"/>
    <m/>
    <m/>
  </r>
  <r>
    <x v="18"/>
    <x v="3"/>
    <x v="0"/>
    <x v="0"/>
    <s v="INSPECTOR TECNICO"/>
    <n v="3916091.0564999999"/>
    <x v="0"/>
    <s v="CONTRACTUAL"/>
    <m/>
    <m/>
  </r>
  <r>
    <x v="18"/>
    <x v="4"/>
    <x v="0"/>
    <x v="0"/>
    <s v="INSPECTOR TECNICO"/>
    <n v="3916091.0564999999"/>
    <x v="0"/>
    <s v="CONTRACTUAL"/>
    <m/>
    <m/>
  </r>
  <r>
    <x v="18"/>
    <x v="5"/>
    <x v="0"/>
    <x v="0"/>
    <s v="INSPECTOR TECNICO"/>
    <n v="3916091.0564999999"/>
    <x v="0"/>
    <s v="CONTRACTUAL"/>
    <m/>
    <m/>
  </r>
  <r>
    <x v="18"/>
    <x v="6"/>
    <x v="0"/>
    <x v="0"/>
    <s v="INSPECTOR TECNICO"/>
    <n v="3916091.0564999999"/>
    <x v="0"/>
    <s v="CONTRACTUAL"/>
    <m/>
    <m/>
  </r>
  <r>
    <x v="18"/>
    <x v="7"/>
    <x v="0"/>
    <x v="0"/>
    <s v="INSPECTOR TECNICO"/>
    <n v="3916091.0564999999"/>
    <x v="0"/>
    <s v="CONTRACTUAL"/>
    <m/>
    <m/>
  </r>
  <r>
    <x v="18"/>
    <x v="8"/>
    <x v="0"/>
    <x v="0"/>
    <s v="INSPECTOR TECNICO"/>
    <n v="3916091.0564999999"/>
    <x v="0"/>
    <s v="CONTRACTUAL"/>
    <m/>
    <m/>
  </r>
  <r>
    <x v="18"/>
    <x v="9"/>
    <x v="0"/>
    <x v="0"/>
    <s v="INSPECTOR TECNICO"/>
    <n v="3916091.0564999999"/>
    <x v="0"/>
    <s v="CONTRACTUAL"/>
    <m/>
    <m/>
  </r>
  <r>
    <x v="16"/>
    <x v="0"/>
    <x v="0"/>
    <x v="0"/>
    <s v="COORDINADOR"/>
    <n v="6263286.4602000006"/>
    <x v="0"/>
    <s v="CONTRACTUAL"/>
    <m/>
    <m/>
  </r>
  <r>
    <x v="16"/>
    <x v="1"/>
    <x v="0"/>
    <x v="0"/>
    <s v="COORDINADOR"/>
    <n v="6263286.4602000006"/>
    <x v="0"/>
    <s v="CONTRACTUAL"/>
    <m/>
    <m/>
  </r>
  <r>
    <x v="16"/>
    <x v="2"/>
    <x v="0"/>
    <x v="0"/>
    <s v="COORDINADOR"/>
    <n v="6263286.4602000006"/>
    <x v="0"/>
    <s v="CONTRACTUAL"/>
    <m/>
    <m/>
  </r>
  <r>
    <x v="16"/>
    <x v="3"/>
    <x v="0"/>
    <x v="0"/>
    <s v="COORDINADOR"/>
    <n v="6263286.4602000006"/>
    <x v="0"/>
    <s v="CONTRACTUAL"/>
    <m/>
    <m/>
  </r>
  <r>
    <x v="16"/>
    <x v="4"/>
    <x v="0"/>
    <x v="0"/>
    <s v="COORDINADOR"/>
    <n v="6263286.4602000006"/>
    <x v="0"/>
    <s v="CONTRACTUAL"/>
    <m/>
    <m/>
  </r>
  <r>
    <x v="16"/>
    <x v="5"/>
    <x v="0"/>
    <x v="0"/>
    <s v="COORDINADOR"/>
    <n v="6263286.4602000006"/>
    <x v="0"/>
    <s v="CONTRACTUAL"/>
    <m/>
    <m/>
  </r>
  <r>
    <x v="16"/>
    <x v="6"/>
    <x v="0"/>
    <x v="0"/>
    <s v="COORDINADOR"/>
    <n v="6263286.4602000006"/>
    <x v="0"/>
    <s v="CONTRACTUAL"/>
    <m/>
    <m/>
  </r>
  <r>
    <x v="16"/>
    <x v="7"/>
    <x v="0"/>
    <x v="0"/>
    <s v="COORDINADOR"/>
    <n v="6263286.4602000006"/>
    <x v="0"/>
    <s v="CONTRACTUAL"/>
    <m/>
    <m/>
  </r>
  <r>
    <x v="16"/>
    <x v="8"/>
    <x v="0"/>
    <x v="0"/>
    <s v="COORDINADOR"/>
    <n v="6263286.4602000006"/>
    <x v="0"/>
    <s v="CONTRACTUAL"/>
    <m/>
    <m/>
  </r>
  <r>
    <x v="16"/>
    <x v="9"/>
    <x v="0"/>
    <x v="0"/>
    <s v="COORDINADOR"/>
    <n v="6263286.4602000006"/>
    <x v="0"/>
    <s v="CONTRACTUAL"/>
    <m/>
    <m/>
  </r>
  <r>
    <x v="16"/>
    <x v="10"/>
    <x v="0"/>
    <x v="0"/>
    <s v="COORDINADOR"/>
    <n v="6263286.4602000006"/>
    <x v="0"/>
    <s v="CONTRACTUAL"/>
    <m/>
    <m/>
  </r>
  <r>
    <x v="16"/>
    <x v="11"/>
    <x v="0"/>
    <x v="0"/>
    <s v="COORDINADOR"/>
    <n v="6263286.4602000006"/>
    <x v="0"/>
    <s v="CONTRACTUAL"/>
    <m/>
    <m/>
  </r>
  <r>
    <x v="16"/>
    <x v="12"/>
    <x v="0"/>
    <x v="0"/>
    <s v="COORDINADOR"/>
    <n v="6263286.4602000006"/>
    <x v="0"/>
    <s v="CONTRACTUAL"/>
    <m/>
    <m/>
  </r>
  <r>
    <x v="16"/>
    <x v="13"/>
    <x v="0"/>
    <x v="0"/>
    <s v="COORDINADOR"/>
    <n v="6263286.4602000006"/>
    <x v="0"/>
    <s v="CONTRACTUAL"/>
    <m/>
    <m/>
  </r>
  <r>
    <x v="16"/>
    <x v="14"/>
    <x v="0"/>
    <x v="0"/>
    <s v="COORDINADOR"/>
    <n v="6263286.4602000006"/>
    <x v="0"/>
    <s v="CONTRACTUAL"/>
    <m/>
    <m/>
  </r>
  <r>
    <x v="16"/>
    <x v="15"/>
    <x v="0"/>
    <x v="0"/>
    <s v="COORDINADOR"/>
    <n v="6263286.4602000006"/>
    <x v="0"/>
    <s v="CONTRACTUAL"/>
    <m/>
    <m/>
  </r>
  <r>
    <x v="16"/>
    <x v="16"/>
    <x v="0"/>
    <x v="0"/>
    <s v="COORDINADOR"/>
    <n v="6263286.4602000006"/>
    <x v="0"/>
    <s v="CONTRACTUAL"/>
    <m/>
    <m/>
  </r>
  <r>
    <x v="16"/>
    <x v="17"/>
    <x v="0"/>
    <x v="0"/>
    <s v="COORDINADOR"/>
    <n v="6263286.4602000006"/>
    <x v="0"/>
    <s v="CONTRACTUAL"/>
    <m/>
    <m/>
  </r>
  <r>
    <x v="16"/>
    <x v="18"/>
    <x v="0"/>
    <x v="0"/>
    <s v="COORDINADOR"/>
    <n v="6263286.4602000006"/>
    <x v="0"/>
    <s v="CONTRACTUAL"/>
    <m/>
    <m/>
  </r>
  <r>
    <x v="16"/>
    <x v="19"/>
    <x v="0"/>
    <x v="0"/>
    <s v="COORDINADOR"/>
    <n v="6263286.4602000006"/>
    <x v="0"/>
    <s v="CONTRACTUAL"/>
    <m/>
    <m/>
  </r>
  <r>
    <x v="16"/>
    <x v="0"/>
    <x v="0"/>
    <x v="0"/>
    <s v="CONTADOR"/>
    <n v="4120018.875"/>
    <x v="0"/>
    <s v="CONTRACTUAL"/>
    <m/>
    <m/>
  </r>
  <r>
    <x v="16"/>
    <x v="1"/>
    <x v="0"/>
    <x v="0"/>
    <s v="CONTADOR"/>
    <n v="4120018.875"/>
    <x v="0"/>
    <s v="CONTRACTUAL"/>
    <m/>
    <m/>
  </r>
  <r>
    <x v="16"/>
    <x v="2"/>
    <x v="0"/>
    <x v="0"/>
    <s v="CONTADOR"/>
    <n v="4120018.875"/>
    <x v="0"/>
    <s v="CONTRACTUAL"/>
    <m/>
    <m/>
  </r>
  <r>
    <x v="16"/>
    <x v="3"/>
    <x v="0"/>
    <x v="0"/>
    <s v="CONTADOR"/>
    <n v="4120018.875"/>
    <x v="0"/>
    <s v="CONTRACTUAL"/>
    <m/>
    <m/>
  </r>
  <r>
    <x v="16"/>
    <x v="4"/>
    <x v="0"/>
    <x v="0"/>
    <s v="CONTADOR"/>
    <n v="4120018.875"/>
    <x v="0"/>
    <s v="CONTRACTUAL"/>
    <m/>
    <m/>
  </r>
  <r>
    <x v="16"/>
    <x v="5"/>
    <x v="0"/>
    <x v="0"/>
    <s v="CONTADOR"/>
    <n v="4120018.875"/>
    <x v="0"/>
    <s v="CONTRACTUAL"/>
    <m/>
    <m/>
  </r>
  <r>
    <x v="16"/>
    <x v="6"/>
    <x v="0"/>
    <x v="0"/>
    <s v="CONTADOR"/>
    <n v="4120018.875"/>
    <x v="0"/>
    <s v="CONTRACTUAL"/>
    <m/>
    <m/>
  </r>
  <r>
    <x v="16"/>
    <x v="7"/>
    <x v="0"/>
    <x v="0"/>
    <s v="CONTADOR"/>
    <n v="4120018.875"/>
    <x v="0"/>
    <s v="CONTRACTUAL"/>
    <m/>
    <m/>
  </r>
  <r>
    <x v="16"/>
    <x v="8"/>
    <x v="0"/>
    <x v="0"/>
    <s v="CONTADOR"/>
    <n v="4120018.875"/>
    <x v="0"/>
    <s v="CONTRACTUAL"/>
    <m/>
    <m/>
  </r>
  <r>
    <x v="16"/>
    <x v="9"/>
    <x v="0"/>
    <x v="0"/>
    <s v="CONTADOR"/>
    <n v="4120018.875"/>
    <x v="0"/>
    <s v="CONTRACTUAL"/>
    <m/>
    <m/>
  </r>
  <r>
    <x v="16"/>
    <x v="10"/>
    <x v="0"/>
    <x v="0"/>
    <s v="CONTADOR"/>
    <n v="4120018.875"/>
    <x v="0"/>
    <s v="CONTRACTUAL"/>
    <m/>
    <m/>
  </r>
  <r>
    <x v="16"/>
    <x v="11"/>
    <x v="0"/>
    <x v="0"/>
    <s v="CONTADOR"/>
    <n v="4120018.875"/>
    <x v="0"/>
    <s v="CONTRACTUAL"/>
    <m/>
    <m/>
  </r>
  <r>
    <x v="16"/>
    <x v="12"/>
    <x v="0"/>
    <x v="0"/>
    <s v="CONTADOR"/>
    <n v="4120018.875"/>
    <x v="0"/>
    <s v="CONTRACTUAL"/>
    <m/>
    <m/>
  </r>
  <r>
    <x v="16"/>
    <x v="13"/>
    <x v="0"/>
    <x v="0"/>
    <s v="CONTADOR"/>
    <n v="4120018.875"/>
    <x v="0"/>
    <s v="CONTRACTUAL"/>
    <m/>
    <m/>
  </r>
  <r>
    <x v="16"/>
    <x v="14"/>
    <x v="0"/>
    <x v="0"/>
    <s v="CONTADOR"/>
    <n v="4120018.875"/>
    <x v="0"/>
    <s v="CONTRACTUAL"/>
    <m/>
    <m/>
  </r>
  <r>
    <x v="16"/>
    <x v="15"/>
    <x v="0"/>
    <x v="0"/>
    <s v="CONTADOR"/>
    <n v="4120018.875"/>
    <x v="0"/>
    <s v="CONTRACTUAL"/>
    <m/>
    <m/>
  </r>
  <r>
    <x v="16"/>
    <x v="16"/>
    <x v="0"/>
    <x v="0"/>
    <s v="CONTADOR"/>
    <n v="4120018.875"/>
    <x v="0"/>
    <s v="CONTRACTUAL"/>
    <m/>
    <m/>
  </r>
  <r>
    <x v="16"/>
    <x v="17"/>
    <x v="0"/>
    <x v="0"/>
    <s v="CONTADOR"/>
    <n v="4120018.875"/>
    <x v="0"/>
    <s v="CONTRACTUAL"/>
    <m/>
    <m/>
  </r>
  <r>
    <x v="16"/>
    <x v="18"/>
    <x v="0"/>
    <x v="0"/>
    <s v="CONTADOR"/>
    <n v="4120018.875"/>
    <x v="0"/>
    <s v="CONTRACTUAL"/>
    <m/>
    <m/>
  </r>
  <r>
    <x v="16"/>
    <x v="19"/>
    <x v="0"/>
    <x v="0"/>
    <s v="CONTADOR"/>
    <n v="4120018.875"/>
    <x v="0"/>
    <s v="CONTRACTUAL"/>
    <m/>
    <m/>
  </r>
  <r>
    <x v="16"/>
    <x v="20"/>
    <x v="0"/>
    <x v="0"/>
    <s v="CONTADOR"/>
    <n v="4120018.875"/>
    <x v="0"/>
    <s v="CONTRACTUAL"/>
    <m/>
    <m/>
  </r>
  <r>
    <x v="16"/>
    <x v="21"/>
    <x v="0"/>
    <x v="0"/>
    <s v="CONTADOR"/>
    <n v="4120018.875"/>
    <x v="0"/>
    <s v="CONTRACTUAL"/>
    <m/>
    <m/>
  </r>
  <r>
    <x v="16"/>
    <x v="22"/>
    <x v="0"/>
    <x v="0"/>
    <s v="CONTADOR"/>
    <n v="4120018.875"/>
    <x v="0"/>
    <s v="CONTRACTUAL"/>
    <m/>
    <m/>
  </r>
  <r>
    <x v="19"/>
    <x v="0"/>
    <x v="0"/>
    <x v="0"/>
    <s v="RESIDENTE"/>
    <n v="6549894.2250000006"/>
    <x v="0"/>
    <s v="CONTRACTUAL"/>
    <m/>
    <m/>
  </r>
  <r>
    <x v="19"/>
    <x v="1"/>
    <x v="0"/>
    <x v="0"/>
    <s v="RESIDENTE"/>
    <n v="6549894.2250000006"/>
    <x v="0"/>
    <s v="CONTRACTUAL"/>
    <m/>
    <m/>
  </r>
  <r>
    <x v="19"/>
    <x v="2"/>
    <x v="0"/>
    <x v="0"/>
    <s v="RESIDENTE"/>
    <n v="6549894.2250000006"/>
    <x v="0"/>
    <s v="CONTRACTUAL"/>
    <m/>
    <m/>
  </r>
  <r>
    <x v="19"/>
    <x v="3"/>
    <x v="0"/>
    <x v="0"/>
    <s v="RESIDENTE"/>
    <n v="6549894.2250000006"/>
    <x v="0"/>
    <s v="CONTRACTUAL"/>
    <m/>
    <m/>
  </r>
  <r>
    <x v="19"/>
    <x v="4"/>
    <x v="0"/>
    <x v="0"/>
    <s v="RESIDENTE"/>
    <n v="6549894.2250000006"/>
    <x v="0"/>
    <s v="CONTRACTUAL"/>
    <m/>
    <m/>
  </r>
  <r>
    <x v="19"/>
    <x v="5"/>
    <x v="0"/>
    <x v="0"/>
    <s v="RESIDENTE"/>
    <n v="6549894.2250000006"/>
    <x v="0"/>
    <s v="CONTRACTUAL"/>
    <m/>
    <m/>
  </r>
  <r>
    <x v="19"/>
    <x v="6"/>
    <x v="0"/>
    <x v="0"/>
    <s v="RESIDENTE"/>
    <n v="6549894.2250000006"/>
    <x v="0"/>
    <s v="CONTRACTUAL"/>
    <m/>
    <m/>
  </r>
  <r>
    <x v="19"/>
    <x v="7"/>
    <x v="0"/>
    <x v="0"/>
    <s v="RESIDENTE"/>
    <n v="6549894.2250000006"/>
    <x v="0"/>
    <s v="CONTRACTUAL"/>
    <m/>
    <m/>
  </r>
  <r>
    <x v="19"/>
    <x v="8"/>
    <x v="0"/>
    <x v="0"/>
    <s v="RESIDENTE"/>
    <n v="6549894.2250000006"/>
    <x v="0"/>
    <s v="CONTRACTUAL"/>
    <m/>
    <m/>
  </r>
  <r>
    <x v="19"/>
    <x v="9"/>
    <x v="0"/>
    <x v="0"/>
    <s v="RESIDENTE"/>
    <n v="6549894.2250000006"/>
    <x v="0"/>
    <s v="CONTRACTUAL"/>
    <m/>
    <m/>
  </r>
  <r>
    <x v="19"/>
    <x v="10"/>
    <x v="0"/>
    <x v="0"/>
    <s v="RESIDENTE"/>
    <n v="6549894.2250000006"/>
    <x v="0"/>
    <s v="CONTRACTUAL"/>
    <m/>
    <m/>
  </r>
  <r>
    <x v="19"/>
    <x v="11"/>
    <x v="0"/>
    <x v="0"/>
    <s v="RESIDENTE"/>
    <n v="6549894.2250000006"/>
    <x v="0"/>
    <s v="CONTRACTUAL"/>
    <m/>
    <m/>
  </r>
  <r>
    <x v="19"/>
    <x v="12"/>
    <x v="0"/>
    <x v="0"/>
    <s v="RESIDENTE"/>
    <n v="6549894.2250000006"/>
    <x v="0"/>
    <s v="CONTRACTUAL"/>
    <m/>
    <m/>
  </r>
  <r>
    <x v="19"/>
    <x v="13"/>
    <x v="0"/>
    <x v="0"/>
    <s v="RESIDENTE"/>
    <n v="6549894.2250000006"/>
    <x v="0"/>
    <s v="CONTRACTUAL"/>
    <m/>
    <m/>
  </r>
  <r>
    <x v="19"/>
    <x v="14"/>
    <x v="0"/>
    <x v="0"/>
    <s v="RESIDENTE"/>
    <n v="6549894.2250000006"/>
    <x v="0"/>
    <s v="CONTRACTUAL"/>
    <m/>
    <m/>
  </r>
  <r>
    <x v="19"/>
    <x v="15"/>
    <x v="0"/>
    <x v="0"/>
    <s v="RESIDENTE"/>
    <n v="6549894.2250000006"/>
    <x v="0"/>
    <s v="CONTRACTUAL"/>
    <m/>
    <m/>
  </r>
  <r>
    <x v="19"/>
    <x v="16"/>
    <x v="0"/>
    <x v="0"/>
    <s v="RESIDENTE"/>
    <n v="6549894.2250000006"/>
    <x v="0"/>
    <s v="CONTRACTUAL"/>
    <m/>
    <m/>
  </r>
  <r>
    <x v="19"/>
    <x v="17"/>
    <x v="0"/>
    <x v="0"/>
    <s v="RESIDENTE"/>
    <n v="6549894.2250000006"/>
    <x v="0"/>
    <s v="CONTRACTUAL"/>
    <m/>
    <m/>
  </r>
  <r>
    <x v="19"/>
    <x v="18"/>
    <x v="0"/>
    <x v="0"/>
    <s v="RESIDENTE"/>
    <n v="6549894.2250000006"/>
    <x v="0"/>
    <s v="CONTRACTUAL"/>
    <m/>
    <m/>
  </r>
  <r>
    <x v="19"/>
    <x v="0"/>
    <x v="0"/>
    <x v="0"/>
    <s v="INSPECTOR DE OBRA 1"/>
    <n v="3981406.9049999998"/>
    <x v="0"/>
    <s v="CONTRACTUAL"/>
    <m/>
    <m/>
  </r>
  <r>
    <x v="19"/>
    <x v="1"/>
    <x v="0"/>
    <x v="0"/>
    <s v="INSPECTOR DE OBRA 1"/>
    <n v="3981406.9049999998"/>
    <x v="0"/>
    <s v="CONTRACTUAL"/>
    <m/>
    <m/>
  </r>
  <r>
    <x v="19"/>
    <x v="2"/>
    <x v="0"/>
    <x v="0"/>
    <s v="INSPECTOR DE OBRA 1"/>
    <n v="3981406.9049999998"/>
    <x v="0"/>
    <s v="CONTRACTUAL"/>
    <m/>
    <m/>
  </r>
  <r>
    <x v="19"/>
    <x v="3"/>
    <x v="0"/>
    <x v="0"/>
    <s v="INSPECTOR DE OBRA 1"/>
    <n v="3981406.9049999998"/>
    <x v="0"/>
    <s v="CONTRACTUAL"/>
    <m/>
    <m/>
  </r>
  <r>
    <x v="19"/>
    <x v="4"/>
    <x v="0"/>
    <x v="0"/>
    <s v="INSPECTOR DE OBRA 1"/>
    <n v="3981406.9049999998"/>
    <x v="0"/>
    <s v="CONTRACTUAL"/>
    <m/>
    <m/>
  </r>
  <r>
    <x v="19"/>
    <x v="5"/>
    <x v="0"/>
    <x v="0"/>
    <s v="INSPECTOR DE OBRA 1"/>
    <n v="3981406.9049999998"/>
    <x v="0"/>
    <s v="CONTRACTUAL"/>
    <m/>
    <m/>
  </r>
  <r>
    <x v="19"/>
    <x v="6"/>
    <x v="0"/>
    <x v="0"/>
    <s v="INSPECTOR DE OBRA 1"/>
    <n v="3981406.9049999998"/>
    <x v="0"/>
    <s v="CONTRACTUAL"/>
    <m/>
    <m/>
  </r>
  <r>
    <x v="19"/>
    <x v="7"/>
    <x v="0"/>
    <x v="0"/>
    <s v="INSPECTOR DE OBRA 1"/>
    <n v="3981406.9049999998"/>
    <x v="0"/>
    <s v="CONTRACTUAL"/>
    <m/>
    <m/>
  </r>
  <r>
    <x v="19"/>
    <x v="8"/>
    <x v="0"/>
    <x v="0"/>
    <s v="INSPECTOR DE OBRA 1"/>
    <n v="3981406.9049999998"/>
    <x v="0"/>
    <s v="CONTRACTUAL"/>
    <m/>
    <m/>
  </r>
  <r>
    <x v="19"/>
    <x v="9"/>
    <x v="0"/>
    <x v="0"/>
    <s v="INSPECTOR DE OBRA 1"/>
    <n v="3981406.9049999998"/>
    <x v="0"/>
    <s v="CONTRACTUAL"/>
    <m/>
    <m/>
  </r>
  <r>
    <x v="19"/>
    <x v="10"/>
    <x v="0"/>
    <x v="0"/>
    <s v="INSPECTOR DE OBRA 1"/>
    <n v="3981406.9049999998"/>
    <x v="0"/>
    <s v="CONTRACTUAL"/>
    <m/>
    <m/>
  </r>
  <r>
    <x v="19"/>
    <x v="11"/>
    <x v="0"/>
    <x v="0"/>
    <s v="INSPECTOR DE OBRA 1"/>
    <n v="3981406.9049999998"/>
    <x v="0"/>
    <s v="CONTRACTUAL"/>
    <m/>
    <m/>
  </r>
  <r>
    <x v="19"/>
    <x v="12"/>
    <x v="0"/>
    <x v="0"/>
    <s v="INSPECTOR DE OBRA 1"/>
    <n v="3981406.9049999998"/>
    <x v="0"/>
    <s v="CONTRACTUAL"/>
    <m/>
    <m/>
  </r>
  <r>
    <x v="19"/>
    <x v="13"/>
    <x v="0"/>
    <x v="0"/>
    <s v="INSPECTOR DE OBRA 1"/>
    <n v="3981406.9049999998"/>
    <x v="0"/>
    <s v="CONTRACTUAL"/>
    <m/>
    <m/>
  </r>
  <r>
    <x v="19"/>
    <x v="14"/>
    <x v="0"/>
    <x v="0"/>
    <s v="INSPECTOR DE OBRA 1"/>
    <n v="3981406.9049999998"/>
    <x v="0"/>
    <s v="CONTRACTUAL"/>
    <m/>
    <m/>
  </r>
  <r>
    <x v="19"/>
    <x v="15"/>
    <x v="0"/>
    <x v="0"/>
    <s v="INSPECTOR DE OBRA 1"/>
    <n v="3981406.9049999998"/>
    <x v="0"/>
    <s v="CONTRACTUAL"/>
    <m/>
    <m/>
  </r>
  <r>
    <x v="19"/>
    <x v="16"/>
    <x v="0"/>
    <x v="0"/>
    <s v="INSPECTOR DE OBRA 1"/>
    <n v="3981406.9049999998"/>
    <x v="0"/>
    <s v="CONTRACTUAL"/>
    <m/>
    <m/>
  </r>
  <r>
    <x v="19"/>
    <x v="17"/>
    <x v="0"/>
    <x v="0"/>
    <s v="INSPECTOR DE OBRA 1"/>
    <n v="3981406.9049999998"/>
    <x v="0"/>
    <s v="CONTRACTUAL"/>
    <m/>
    <m/>
  </r>
  <r>
    <x v="19"/>
    <x v="18"/>
    <x v="0"/>
    <x v="0"/>
    <s v="INSPECTOR DE OBRA 1"/>
    <n v="3981406.9049999998"/>
    <x v="0"/>
    <s v="CONTRACTUAL"/>
    <m/>
    <m/>
  </r>
  <r>
    <x v="20"/>
    <x v="0"/>
    <x v="0"/>
    <x v="0"/>
    <s v="COORDINADOR"/>
    <n v="2823017.4132300001"/>
    <x v="0"/>
    <s v="CONTRACTUAL"/>
    <m/>
    <m/>
  </r>
  <r>
    <x v="20"/>
    <x v="1"/>
    <x v="0"/>
    <x v="0"/>
    <s v="COORDINADOR"/>
    <n v="2823017.4132300001"/>
    <x v="0"/>
    <s v="CONTRACTUAL"/>
    <m/>
    <m/>
  </r>
  <r>
    <x v="20"/>
    <x v="2"/>
    <x v="0"/>
    <x v="0"/>
    <s v="COORDINADOR"/>
    <n v="2823017.4132300001"/>
    <x v="0"/>
    <s v="CONTRACTUAL"/>
    <m/>
    <m/>
  </r>
  <r>
    <x v="20"/>
    <x v="3"/>
    <x v="0"/>
    <x v="0"/>
    <s v="COORDINADOR"/>
    <n v="2823017.4132300001"/>
    <x v="0"/>
    <s v="CONTRACTUAL"/>
    <m/>
    <m/>
  </r>
  <r>
    <x v="20"/>
    <x v="0"/>
    <x v="0"/>
    <x v="0"/>
    <s v="RESIDENTE TECNICO"/>
    <n v="6088446"/>
    <x v="0"/>
    <s v="CONTRACTUAL"/>
    <m/>
    <m/>
  </r>
  <r>
    <x v="20"/>
    <x v="1"/>
    <x v="0"/>
    <x v="0"/>
    <s v="RESIDENTE TECNICO"/>
    <n v="6088446"/>
    <x v="0"/>
    <s v="CONTRACTUAL"/>
    <m/>
    <m/>
  </r>
  <r>
    <x v="20"/>
    <x v="2"/>
    <x v="0"/>
    <x v="0"/>
    <s v="RESIDENTE TECNICO"/>
    <n v="6088446"/>
    <x v="0"/>
    <s v="CONTRACTUAL"/>
    <m/>
    <m/>
  </r>
  <r>
    <x v="20"/>
    <x v="3"/>
    <x v="0"/>
    <x v="0"/>
    <s v="RESIDENTE TECNICO"/>
    <n v="6088446"/>
    <x v="0"/>
    <s v="CONTRACTUAL"/>
    <m/>
    <m/>
  </r>
  <r>
    <x v="20"/>
    <x v="4"/>
    <x v="0"/>
    <x v="0"/>
    <s v="RESIDENTE TECNICO"/>
    <n v="6088446"/>
    <x v="0"/>
    <s v="CONTRACTUAL"/>
    <m/>
    <m/>
  </r>
  <r>
    <x v="20"/>
    <x v="5"/>
    <x v="0"/>
    <x v="0"/>
    <s v="RESIDENTE TECNICO"/>
    <n v="6088446"/>
    <x v="0"/>
    <s v="CONTRACTUAL"/>
    <m/>
    <m/>
  </r>
  <r>
    <x v="20"/>
    <x v="0"/>
    <x v="0"/>
    <x v="0"/>
    <s v="AUXILIAR ADMINISTRATIVO"/>
    <n v="3965084.6316681607"/>
    <x v="0"/>
    <s v="CONTRACTUAL"/>
    <m/>
    <m/>
  </r>
  <r>
    <x v="20"/>
    <x v="1"/>
    <x v="0"/>
    <x v="0"/>
    <s v="AUXILIAR ADMINISTRATIVO"/>
    <n v="3965084.6316681607"/>
    <x v="0"/>
    <s v="CONTRACTUAL"/>
    <m/>
    <m/>
  </r>
  <r>
    <x v="20"/>
    <x v="2"/>
    <x v="0"/>
    <x v="0"/>
    <s v="AUXILIAR ADMINISTRATIVO"/>
    <n v="3965084.6316681607"/>
    <x v="0"/>
    <s v="CONTRACTUAL"/>
    <m/>
    <m/>
  </r>
  <r>
    <x v="20"/>
    <x v="3"/>
    <x v="0"/>
    <x v="0"/>
    <s v="AUXILIAR ADMINISTRATIVO"/>
    <n v="3965084.6316681607"/>
    <x v="0"/>
    <s v="CONTRACTUAL"/>
    <m/>
    <m/>
  </r>
  <r>
    <x v="20"/>
    <x v="4"/>
    <x v="0"/>
    <x v="0"/>
    <s v="AUXILIAR ADMINISTRATIVO"/>
    <n v="3965084.6316681607"/>
    <x v="0"/>
    <s v="CONTRACTUAL"/>
    <m/>
    <m/>
  </r>
  <r>
    <x v="20"/>
    <x v="0"/>
    <x v="0"/>
    <x v="0"/>
    <s v="INSPECTOR GENERAL"/>
    <n v="3198581.6105249994"/>
    <x v="0"/>
    <s v="CONTRACTUAL"/>
    <m/>
    <m/>
  </r>
  <r>
    <x v="20"/>
    <x v="1"/>
    <x v="0"/>
    <x v="0"/>
    <s v="INSPECTOR GENERAL"/>
    <n v="3198581.6105249994"/>
    <x v="0"/>
    <s v="CONTRACTUAL"/>
    <m/>
    <m/>
  </r>
  <r>
    <x v="20"/>
    <x v="2"/>
    <x v="0"/>
    <x v="0"/>
    <s v="INSPECTOR GENERAL"/>
    <n v="3198581.6105249994"/>
    <x v="0"/>
    <s v="CONTRACTUAL"/>
    <m/>
    <m/>
  </r>
  <r>
    <x v="20"/>
    <x v="3"/>
    <x v="0"/>
    <x v="0"/>
    <s v="INSPECTOR GENERAL"/>
    <n v="3198581.6105249994"/>
    <x v="0"/>
    <s v="CONTRACTUAL"/>
    <m/>
    <m/>
  </r>
  <r>
    <x v="20"/>
    <x v="0"/>
    <x v="0"/>
    <x v="0"/>
    <s v="INSPECTOR GENERAL"/>
    <n v="3427052.1011999999"/>
    <x v="0"/>
    <s v="CONTRACTUAL"/>
    <m/>
    <m/>
  </r>
  <r>
    <x v="20"/>
    <x v="1"/>
    <x v="0"/>
    <x v="0"/>
    <s v="INSPECTOR GENERAL"/>
    <n v="3427052.1011999999"/>
    <x v="0"/>
    <s v="CONTRACTUAL"/>
    <m/>
    <m/>
  </r>
  <r>
    <x v="21"/>
    <x v="0"/>
    <x v="0"/>
    <x v="0"/>
    <s v="DIRECTOR"/>
    <n v="11163096"/>
    <x v="0"/>
    <s v="CONTRACTUAL"/>
    <m/>
    <m/>
  </r>
  <r>
    <x v="21"/>
    <x v="1"/>
    <x v="0"/>
    <x v="0"/>
    <s v="DIRECTOR"/>
    <n v="11163096"/>
    <x v="0"/>
    <s v="CONTRACTUAL"/>
    <m/>
    <m/>
  </r>
  <r>
    <x v="21"/>
    <x v="2"/>
    <x v="0"/>
    <x v="0"/>
    <s v="DIRECTOR"/>
    <n v="11163096"/>
    <x v="0"/>
    <s v="CONTRACTUAL"/>
    <m/>
    <m/>
  </r>
  <r>
    <x v="21"/>
    <x v="3"/>
    <x v="0"/>
    <x v="0"/>
    <s v="DIRECTOR"/>
    <n v="11163096"/>
    <x v="0"/>
    <s v="CONTRACTUAL"/>
    <m/>
    <m/>
  </r>
  <r>
    <x v="21"/>
    <x v="4"/>
    <x v="0"/>
    <x v="0"/>
    <s v="DIRECTOR"/>
    <n v="11163096"/>
    <x v="0"/>
    <s v="CONTRACTUAL"/>
    <m/>
    <m/>
  </r>
  <r>
    <x v="21"/>
    <x v="5"/>
    <x v="0"/>
    <x v="0"/>
    <s v="DIRECTOR"/>
    <n v="11163096"/>
    <x v="0"/>
    <s v="CONTRACTUAL"/>
    <m/>
    <m/>
  </r>
  <r>
    <x v="21"/>
    <x v="6"/>
    <x v="0"/>
    <x v="0"/>
    <s v="DIRECTOR"/>
    <n v="11163096"/>
    <x v="0"/>
    <s v="CONTRACTUAL"/>
    <m/>
    <m/>
  </r>
  <r>
    <x v="21"/>
    <x v="7"/>
    <x v="0"/>
    <x v="0"/>
    <s v="DIRECTOR"/>
    <n v="11163096"/>
    <x v="0"/>
    <s v="CONTRACTUAL"/>
    <m/>
    <m/>
  </r>
  <r>
    <x v="21"/>
    <x v="8"/>
    <x v="0"/>
    <x v="0"/>
    <s v="DIRECTOR"/>
    <n v="11163096"/>
    <x v="0"/>
    <s v="CONTRACTUAL"/>
    <m/>
    <m/>
  </r>
  <r>
    <x v="21"/>
    <x v="9"/>
    <x v="0"/>
    <x v="0"/>
    <s v="DIRECTOR"/>
    <n v="11163096"/>
    <x v="0"/>
    <s v="CONTRACTUAL"/>
    <m/>
    <m/>
  </r>
  <r>
    <x v="21"/>
    <x v="10"/>
    <x v="0"/>
    <x v="0"/>
    <s v="DIRECTOR"/>
    <n v="11163096"/>
    <x v="0"/>
    <s v="CONTRACTUAL"/>
    <m/>
    <m/>
  </r>
  <r>
    <x v="21"/>
    <x v="11"/>
    <x v="0"/>
    <x v="0"/>
    <s v="DIRECTOR"/>
    <n v="11163096"/>
    <x v="0"/>
    <s v="CONTRACTUAL"/>
    <m/>
    <m/>
  </r>
  <r>
    <x v="21"/>
    <x v="12"/>
    <x v="0"/>
    <x v="0"/>
    <s v="DIRECTOR"/>
    <n v="11163096"/>
    <x v="0"/>
    <s v="CONTRACTUAL"/>
    <m/>
    <m/>
  </r>
  <r>
    <x v="21"/>
    <x v="13"/>
    <x v="0"/>
    <x v="0"/>
    <s v="DIRECTOR"/>
    <n v="11163096"/>
    <x v="0"/>
    <s v="CONTRACTUAL"/>
    <m/>
    <m/>
  </r>
  <r>
    <x v="21"/>
    <x v="14"/>
    <x v="0"/>
    <x v="0"/>
    <s v="DIRECTOR"/>
    <n v="11163096"/>
    <x v="0"/>
    <s v="CONTRACTUAL"/>
    <m/>
    <m/>
  </r>
  <r>
    <x v="21"/>
    <x v="0"/>
    <x v="0"/>
    <x v="0"/>
    <s v="RESIDENTE TECNICO DIURNO"/>
    <n v="6909525"/>
    <x v="0"/>
    <s v="CONTRACTUAL"/>
    <m/>
    <m/>
  </r>
  <r>
    <x v="21"/>
    <x v="1"/>
    <x v="0"/>
    <x v="0"/>
    <s v="RESIDENTE TECNICO DIURNO"/>
    <n v="6909525"/>
    <x v="0"/>
    <s v="CONTRACTUAL"/>
    <m/>
    <m/>
  </r>
  <r>
    <x v="21"/>
    <x v="2"/>
    <x v="0"/>
    <x v="0"/>
    <s v="RESIDENTE TECNICO DIURNO"/>
    <n v="6909525"/>
    <x v="0"/>
    <s v="CONTRACTUAL"/>
    <m/>
    <m/>
  </r>
  <r>
    <x v="21"/>
    <x v="3"/>
    <x v="0"/>
    <x v="0"/>
    <s v="RESIDENTE TECNICO DIURNO"/>
    <n v="6909525"/>
    <x v="0"/>
    <s v="CONTRACTUAL"/>
    <m/>
    <m/>
  </r>
  <r>
    <x v="21"/>
    <x v="4"/>
    <x v="0"/>
    <x v="0"/>
    <s v="RESIDENTE TECNICO DIURNO"/>
    <n v="6909525"/>
    <x v="0"/>
    <s v="CONTRACTUAL"/>
    <m/>
    <m/>
  </r>
  <r>
    <x v="21"/>
    <x v="5"/>
    <x v="0"/>
    <x v="0"/>
    <s v="RESIDENTE TECNICO DIURNO"/>
    <n v="6909525"/>
    <x v="0"/>
    <s v="CONTRACTUAL"/>
    <m/>
    <m/>
  </r>
  <r>
    <x v="21"/>
    <x v="6"/>
    <x v="0"/>
    <x v="0"/>
    <s v="RESIDENTE TECNICO DIURNO"/>
    <n v="6909525"/>
    <x v="0"/>
    <s v="CONTRACTUAL"/>
    <m/>
    <m/>
  </r>
  <r>
    <x v="21"/>
    <x v="7"/>
    <x v="0"/>
    <x v="0"/>
    <s v="RESIDENTE TECNICO DIURNO"/>
    <n v="6909525"/>
    <x v="0"/>
    <s v="CONTRACTUAL"/>
    <m/>
    <m/>
  </r>
  <r>
    <x v="21"/>
    <x v="8"/>
    <x v="0"/>
    <x v="0"/>
    <s v="RESIDENTE TECNICO DIURNO"/>
    <n v="6909525"/>
    <x v="0"/>
    <s v="CONTRACTUAL"/>
    <m/>
    <m/>
  </r>
  <r>
    <x v="21"/>
    <x v="9"/>
    <x v="0"/>
    <x v="0"/>
    <s v="RESIDENTE TECNICO DIURNO"/>
    <n v="6909525"/>
    <x v="0"/>
    <s v="CONTRACTUAL"/>
    <m/>
    <m/>
  </r>
  <r>
    <x v="21"/>
    <x v="10"/>
    <x v="0"/>
    <x v="0"/>
    <s v="RESIDENTE TECNICO DIURNO"/>
    <n v="6909525"/>
    <x v="0"/>
    <s v="CONTRACTUAL"/>
    <m/>
    <m/>
  </r>
  <r>
    <x v="21"/>
    <x v="11"/>
    <x v="0"/>
    <x v="0"/>
    <s v="RESIDENTE TECNICO DIURNO"/>
    <n v="6909525"/>
    <x v="0"/>
    <s v="CONTRACTUAL"/>
    <m/>
    <m/>
  </r>
  <r>
    <x v="21"/>
    <x v="0"/>
    <x v="0"/>
    <x v="0"/>
    <s v="RESIDENTE TECNICO DIURNO ADICIONAL"/>
    <n v="6909525"/>
    <x v="0"/>
    <s v="CONTRACTUAL"/>
    <m/>
    <m/>
  </r>
  <r>
    <x v="21"/>
    <x v="1"/>
    <x v="0"/>
    <x v="0"/>
    <s v="RESIDENTE TECNICO DIURNO ADICIONAL"/>
    <n v="6909525"/>
    <x v="0"/>
    <s v="CONTRACTUAL"/>
    <m/>
    <m/>
  </r>
  <r>
    <x v="21"/>
    <x v="2"/>
    <x v="0"/>
    <x v="0"/>
    <s v="RESIDENTE TECNICO DIURNO ADICIONAL"/>
    <n v="6909525"/>
    <x v="0"/>
    <s v="CONTRACTUAL"/>
    <m/>
    <m/>
  </r>
  <r>
    <x v="21"/>
    <x v="3"/>
    <x v="0"/>
    <x v="0"/>
    <s v="RESIDENTE TECNICO DIURNO ADICIONAL"/>
    <n v="6909525"/>
    <x v="0"/>
    <s v="CONTRACTUAL"/>
    <m/>
    <m/>
  </r>
  <r>
    <x v="21"/>
    <x v="4"/>
    <x v="0"/>
    <x v="0"/>
    <s v="RESIDENTE TECNICO DIURNO ADICIONAL"/>
    <n v="6909525"/>
    <x v="0"/>
    <s v="CONTRACTUAL"/>
    <m/>
    <m/>
  </r>
  <r>
    <x v="21"/>
    <x v="5"/>
    <x v="0"/>
    <x v="0"/>
    <s v="RESIDENTE TECNICO DIURNO ADICIONAL"/>
    <n v="6909525"/>
    <x v="0"/>
    <s v="CONTRACTUAL"/>
    <m/>
    <m/>
  </r>
  <r>
    <x v="21"/>
    <x v="6"/>
    <x v="0"/>
    <x v="0"/>
    <s v="RESIDENTE TECNICO DIURNO ADICIONAL"/>
    <n v="6909525"/>
    <x v="0"/>
    <s v="CONTRACTUAL"/>
    <m/>
    <m/>
  </r>
  <r>
    <x v="21"/>
    <x v="7"/>
    <x v="0"/>
    <x v="0"/>
    <s v="RESIDENTE TECNICO DIURNO ADICIONAL"/>
    <n v="6909525"/>
    <x v="0"/>
    <s v="CONTRACTUAL"/>
    <m/>
    <m/>
  </r>
  <r>
    <x v="21"/>
    <x v="8"/>
    <x v="0"/>
    <x v="0"/>
    <s v="RESIDENTE TECNICO DIURNO ADICIONAL"/>
    <n v="6909525"/>
    <x v="0"/>
    <s v="CONTRACTUAL"/>
    <m/>
    <m/>
  </r>
  <r>
    <x v="21"/>
    <x v="9"/>
    <x v="0"/>
    <x v="0"/>
    <s v="RESIDENTE TECNICO DIURNO ADICIONAL"/>
    <n v="6909525"/>
    <x v="0"/>
    <s v="CONTRACTUAL"/>
    <m/>
    <m/>
  </r>
  <r>
    <x v="21"/>
    <x v="0"/>
    <x v="0"/>
    <x v="0"/>
    <s v="RESIDENTE ADMINISTRATIVO"/>
    <n v="5049009"/>
    <x v="0"/>
    <s v="CONTRACTUAL"/>
    <m/>
    <m/>
  </r>
  <r>
    <x v="21"/>
    <x v="1"/>
    <x v="0"/>
    <x v="0"/>
    <s v="RESIDENTE ADMINISTRATIVO"/>
    <n v="5049009"/>
    <x v="0"/>
    <s v="CONTRACTUAL"/>
    <m/>
    <m/>
  </r>
  <r>
    <x v="21"/>
    <x v="2"/>
    <x v="0"/>
    <x v="0"/>
    <s v="RESIDENTE ADMINISTRATIVO"/>
    <n v="5049009"/>
    <x v="0"/>
    <s v="CONTRACTUAL"/>
    <m/>
    <m/>
  </r>
  <r>
    <x v="21"/>
    <x v="3"/>
    <x v="0"/>
    <x v="0"/>
    <s v="RESIDENTE ADMINISTRATIVO"/>
    <n v="5049009"/>
    <x v="0"/>
    <s v="CONTRACTUAL"/>
    <m/>
    <m/>
  </r>
  <r>
    <x v="21"/>
    <x v="4"/>
    <x v="0"/>
    <x v="0"/>
    <s v="RESIDENTE ADMINISTRATIVO"/>
    <n v="5049009"/>
    <x v="0"/>
    <s v="CONTRACTUAL"/>
    <m/>
    <m/>
  </r>
  <r>
    <x v="21"/>
    <x v="5"/>
    <x v="0"/>
    <x v="0"/>
    <s v="RESIDENTE ADMINISTRATIVO"/>
    <n v="5049009"/>
    <x v="0"/>
    <s v="CONTRACTUAL"/>
    <m/>
    <m/>
  </r>
  <r>
    <x v="21"/>
    <x v="6"/>
    <x v="0"/>
    <x v="0"/>
    <s v="RESIDENTE ADMINISTRATIVO"/>
    <n v="5049009"/>
    <x v="0"/>
    <s v="CONTRACTUAL"/>
    <m/>
    <m/>
  </r>
  <r>
    <x v="21"/>
    <x v="7"/>
    <x v="0"/>
    <x v="0"/>
    <s v="RESIDENTE ADMINISTRATIVO"/>
    <n v="5049009"/>
    <x v="0"/>
    <s v="CONTRACTUAL"/>
    <m/>
    <m/>
  </r>
  <r>
    <x v="21"/>
    <x v="8"/>
    <x v="0"/>
    <x v="0"/>
    <s v="RESIDENTE ADMINISTRATIVO"/>
    <n v="5049009"/>
    <x v="0"/>
    <s v="CONTRACTUAL"/>
    <m/>
    <m/>
  </r>
  <r>
    <x v="21"/>
    <x v="9"/>
    <x v="0"/>
    <x v="0"/>
    <s v="RESIDENTE ADMINISTRATIVO"/>
    <n v="5049009"/>
    <x v="0"/>
    <s v="CONTRACTUAL"/>
    <m/>
    <m/>
  </r>
  <r>
    <x v="21"/>
    <x v="10"/>
    <x v="0"/>
    <x v="0"/>
    <s v="RESIDENTE ADMINISTRATIVO"/>
    <n v="5049009"/>
    <x v="0"/>
    <s v="CONTRACTUAL"/>
    <m/>
    <m/>
  </r>
  <r>
    <x v="21"/>
    <x v="11"/>
    <x v="0"/>
    <x v="0"/>
    <s v="RESIDENTE ADMINISTRATIVO"/>
    <n v="5049009"/>
    <x v="0"/>
    <s v="CONTRACTUAL"/>
    <m/>
    <m/>
  </r>
  <r>
    <x v="21"/>
    <x v="12"/>
    <x v="0"/>
    <x v="0"/>
    <s v="RESIDENTE ADMINISTRATIVO"/>
    <n v="5049009"/>
    <x v="0"/>
    <s v="CONTRACTUAL"/>
    <m/>
    <m/>
  </r>
  <r>
    <x v="21"/>
    <x v="13"/>
    <x v="0"/>
    <x v="0"/>
    <s v="RESIDENTE ADMINISTRATIVO"/>
    <n v="5049009"/>
    <x v="0"/>
    <s v="CONTRACTUAL"/>
    <m/>
    <m/>
  </r>
  <r>
    <x v="21"/>
    <x v="14"/>
    <x v="0"/>
    <x v="0"/>
    <s v="RESIDENTE ADMINISTRATIVO"/>
    <n v="5049009"/>
    <x v="0"/>
    <s v="CONTRACTUAL"/>
    <m/>
    <m/>
  </r>
  <r>
    <x v="21"/>
    <x v="0"/>
    <x v="0"/>
    <x v="0"/>
    <s v="RESIDENTE INTERVENTOR HSQE"/>
    <n v="4550175"/>
    <x v="0"/>
    <s v="CONTRACTUAL"/>
    <m/>
    <m/>
  </r>
  <r>
    <x v="21"/>
    <x v="1"/>
    <x v="0"/>
    <x v="0"/>
    <s v="RESIDENTE INTERVENTOR HSQE"/>
    <n v="4550175"/>
    <x v="0"/>
    <s v="CONTRACTUAL"/>
    <m/>
    <m/>
  </r>
  <r>
    <x v="21"/>
    <x v="2"/>
    <x v="0"/>
    <x v="0"/>
    <s v="RESIDENTE INTERVENTOR HSQE"/>
    <n v="4550175"/>
    <x v="0"/>
    <s v="CONTRACTUAL"/>
    <m/>
    <m/>
  </r>
  <r>
    <x v="21"/>
    <x v="3"/>
    <x v="0"/>
    <x v="0"/>
    <s v="RESIDENTE INTERVENTOR HSQE"/>
    <n v="4550175"/>
    <x v="0"/>
    <s v="CONTRACTUAL"/>
    <m/>
    <m/>
  </r>
  <r>
    <x v="21"/>
    <x v="4"/>
    <x v="0"/>
    <x v="0"/>
    <s v="RESIDENTE INTERVENTOR HSQE"/>
    <n v="4550175"/>
    <x v="0"/>
    <s v="CONTRACTUAL"/>
    <m/>
    <m/>
  </r>
  <r>
    <x v="21"/>
    <x v="5"/>
    <x v="0"/>
    <x v="0"/>
    <s v="RESIDENTE INTERVENTOR HSQE"/>
    <n v="4550175"/>
    <x v="0"/>
    <s v="CONTRACTUAL"/>
    <m/>
    <m/>
  </r>
  <r>
    <x v="21"/>
    <x v="6"/>
    <x v="0"/>
    <x v="0"/>
    <s v="RESIDENTE INTERVENTOR HSQE"/>
    <n v="4550175"/>
    <x v="0"/>
    <s v="CONTRACTUAL"/>
    <m/>
    <m/>
  </r>
  <r>
    <x v="21"/>
    <x v="7"/>
    <x v="0"/>
    <x v="0"/>
    <s v="RESIDENTE INTERVENTOR HSQE"/>
    <n v="4550175"/>
    <x v="0"/>
    <s v="CONTRACTUAL"/>
    <m/>
    <m/>
  </r>
  <r>
    <x v="21"/>
    <x v="8"/>
    <x v="0"/>
    <x v="0"/>
    <s v="RESIDENTE INTERVENTOR HSQE"/>
    <n v="4550175"/>
    <x v="0"/>
    <s v="CONTRACTUAL"/>
    <m/>
    <m/>
  </r>
  <r>
    <x v="21"/>
    <x v="9"/>
    <x v="0"/>
    <x v="0"/>
    <s v="RESIDENTE INTERVENTOR HSQE"/>
    <n v="4550175"/>
    <x v="0"/>
    <s v="CONTRACTUAL"/>
    <m/>
    <m/>
  </r>
  <r>
    <x v="21"/>
    <x v="10"/>
    <x v="0"/>
    <x v="0"/>
    <s v="RESIDENTE INTERVENTOR HSQE"/>
    <n v="4550175"/>
    <x v="0"/>
    <s v="CONTRACTUAL"/>
    <m/>
    <m/>
  </r>
  <r>
    <x v="21"/>
    <x v="11"/>
    <x v="0"/>
    <x v="0"/>
    <s v="RESIDENTE INTERVENTOR HSQE"/>
    <n v="4550175"/>
    <x v="0"/>
    <s v="CONTRACTUAL"/>
    <m/>
    <m/>
  </r>
  <r>
    <x v="21"/>
    <x v="12"/>
    <x v="0"/>
    <x v="0"/>
    <s v="RESIDENTE INTERVENTOR HSQE"/>
    <n v="4550175"/>
    <x v="0"/>
    <s v="CONTRACTUAL"/>
    <m/>
    <m/>
  </r>
  <r>
    <x v="21"/>
    <x v="13"/>
    <x v="0"/>
    <x v="0"/>
    <s v="RESIDENTE INTERVENTOR HSQE"/>
    <n v="4550175"/>
    <x v="0"/>
    <s v="CONTRACTUAL"/>
    <m/>
    <m/>
  </r>
  <r>
    <x v="21"/>
    <x v="14"/>
    <x v="0"/>
    <x v="0"/>
    <s v="RESIDENTE INTERVENTOR HSQE"/>
    <n v="4550175"/>
    <x v="0"/>
    <s v="CONTRACTUAL"/>
    <m/>
    <m/>
  </r>
  <r>
    <x v="21"/>
    <x v="0"/>
    <x v="0"/>
    <x v="0"/>
    <s v="RESIDENTE TECNICO NOCTURNO"/>
    <n v="9327858.75"/>
    <x v="0"/>
    <s v="CONTRACTUAL"/>
    <m/>
    <m/>
  </r>
  <r>
    <x v="21"/>
    <x v="1"/>
    <x v="0"/>
    <x v="0"/>
    <s v="RESIDENTE TECNICO NOCTURNO"/>
    <n v="9327858.75"/>
    <x v="0"/>
    <s v="CONTRACTUAL"/>
    <m/>
    <m/>
  </r>
  <r>
    <x v="21"/>
    <x v="2"/>
    <x v="0"/>
    <x v="0"/>
    <s v="RESIDENTE TECNICO NOCTURNO"/>
    <n v="9327858.75"/>
    <x v="0"/>
    <s v="CONTRACTUAL"/>
    <m/>
    <m/>
  </r>
  <r>
    <x v="21"/>
    <x v="3"/>
    <x v="0"/>
    <x v="0"/>
    <s v="RESIDENTE TECNICO NOCTURNO"/>
    <n v="9327858.75"/>
    <x v="0"/>
    <s v="CONTRACTUAL"/>
    <m/>
    <m/>
  </r>
  <r>
    <x v="21"/>
    <x v="4"/>
    <x v="0"/>
    <x v="0"/>
    <s v="RESIDENTE TECNICO NOCTURNO"/>
    <n v="9327858.75"/>
    <x v="0"/>
    <s v="CONTRACTUAL"/>
    <m/>
    <m/>
  </r>
  <r>
    <x v="21"/>
    <x v="5"/>
    <x v="0"/>
    <x v="0"/>
    <s v="RESIDENTE TECNICO NOCTURNO"/>
    <n v="9327858.75"/>
    <x v="0"/>
    <s v="CONTRACTUAL"/>
    <m/>
    <m/>
  </r>
  <r>
    <x v="21"/>
    <x v="6"/>
    <x v="0"/>
    <x v="0"/>
    <s v="RESIDENTE TECNICO NOCTURNO"/>
    <n v="9327858.75"/>
    <x v="0"/>
    <s v="CONTRACTUAL"/>
    <m/>
    <m/>
  </r>
  <r>
    <x v="21"/>
    <x v="7"/>
    <x v="0"/>
    <x v="0"/>
    <s v="RESIDENTE TECNICO NOCTURNO"/>
    <n v="9327858.75"/>
    <x v="0"/>
    <s v="CONTRACTUAL"/>
    <m/>
    <m/>
  </r>
  <r>
    <x v="21"/>
    <x v="0"/>
    <x v="0"/>
    <x v="0"/>
    <s v="RESIDENTE TECNICO NOCTURNO ADICIONAL"/>
    <n v="9327858.75"/>
    <x v="0"/>
    <s v="CONTRACTUAL"/>
    <m/>
    <m/>
  </r>
  <r>
    <x v="21"/>
    <x v="1"/>
    <x v="0"/>
    <x v="0"/>
    <s v="RESIDENTE TECNICO NOCTURNO ADICIONAL"/>
    <n v="9327858.75"/>
    <x v="0"/>
    <s v="CONTRACTUAL"/>
    <m/>
    <m/>
  </r>
  <r>
    <x v="21"/>
    <x v="0"/>
    <x v="0"/>
    <x v="0"/>
    <s v="INSPECTOR DE OBRA NOCTURNO"/>
    <n v="4899387.3232500004"/>
    <x v="0"/>
    <s v="CONTRACTUAL"/>
    <m/>
    <m/>
  </r>
  <r>
    <x v="21"/>
    <x v="1"/>
    <x v="0"/>
    <x v="0"/>
    <s v="INSPECTOR DE OBRA NOCTURNO"/>
    <n v="4899387.3232500004"/>
    <x v="0"/>
    <s v="CONTRACTUAL"/>
    <m/>
    <m/>
  </r>
  <r>
    <x v="21"/>
    <x v="2"/>
    <x v="0"/>
    <x v="0"/>
    <s v="INSPECTOR DE OBRA NOCTURNO"/>
    <n v="4899387.3232500004"/>
    <x v="0"/>
    <s v="CONTRACTUAL"/>
    <m/>
    <m/>
  </r>
  <r>
    <x v="21"/>
    <x v="3"/>
    <x v="0"/>
    <x v="0"/>
    <s v="INSPECTOR DE OBRA NOCTURNO"/>
    <n v="4899387.3232500004"/>
    <x v="0"/>
    <s v="CONTRACTUAL"/>
    <m/>
    <m/>
  </r>
  <r>
    <x v="21"/>
    <x v="4"/>
    <x v="0"/>
    <x v="0"/>
    <s v="INSPECTOR DE OBRA NOCTURNO"/>
    <n v="4899387.3232500004"/>
    <x v="0"/>
    <s v="CONTRACTUAL"/>
    <m/>
    <m/>
  </r>
  <r>
    <x v="21"/>
    <x v="5"/>
    <x v="0"/>
    <x v="0"/>
    <s v="INSPECTOR DE OBRA NOCTURNO"/>
    <n v="4899387.3232500004"/>
    <x v="0"/>
    <s v="CONTRACTUAL"/>
    <m/>
    <m/>
  </r>
  <r>
    <x v="21"/>
    <x v="6"/>
    <x v="0"/>
    <x v="0"/>
    <s v="INSPECTOR DE OBRA NOCTURNO"/>
    <n v="4899387.3232500004"/>
    <x v="0"/>
    <s v="CONTRACTUAL"/>
    <m/>
    <m/>
  </r>
  <r>
    <x v="21"/>
    <x v="7"/>
    <x v="0"/>
    <x v="0"/>
    <s v="INSPECTOR DE OBRA NOCTURNO"/>
    <n v="4899387.3232500004"/>
    <x v="0"/>
    <s v="CONTRACTUAL"/>
    <m/>
    <m/>
  </r>
  <r>
    <x v="21"/>
    <x v="8"/>
    <x v="0"/>
    <x v="0"/>
    <s v="INSPECTOR DE OBRA NOCTURNO"/>
    <n v="4899387.3232500004"/>
    <x v="0"/>
    <s v="CONTRACTUAL"/>
    <m/>
    <m/>
  </r>
  <r>
    <x v="21"/>
    <x v="9"/>
    <x v="0"/>
    <x v="0"/>
    <s v="INSPECTOR DE OBRA NOCTURNO"/>
    <n v="4899387.3232500004"/>
    <x v="0"/>
    <s v="CONTRACTUAL"/>
    <m/>
    <m/>
  </r>
  <r>
    <x v="21"/>
    <x v="10"/>
    <x v="0"/>
    <x v="0"/>
    <s v="INSPECTOR DE OBRA NOCTURNO"/>
    <n v="4899387.3232500004"/>
    <x v="0"/>
    <s v="CONTRACTUAL"/>
    <m/>
    <m/>
  </r>
  <r>
    <x v="21"/>
    <x v="11"/>
    <x v="0"/>
    <x v="0"/>
    <s v="INSPECTOR DE OBRA NOCTURNO"/>
    <n v="4899387.3232500004"/>
    <x v="0"/>
    <s v="CONTRACTUAL"/>
    <m/>
    <m/>
  </r>
  <r>
    <x v="21"/>
    <x v="0"/>
    <x v="0"/>
    <x v="0"/>
    <s v="INSPECTOR DE OBRA NOCTURNO ADICIONAL"/>
    <n v="4899387.3232500004"/>
    <x v="0"/>
    <s v="CONTRACTUAL"/>
    <m/>
    <m/>
  </r>
  <r>
    <x v="21"/>
    <x v="1"/>
    <x v="0"/>
    <x v="0"/>
    <s v="INSPECTOR DE OBRA NOCTURNO ADICIONAL"/>
    <n v="4899387.3232500004"/>
    <x v="0"/>
    <s v="CONTRACTUAL"/>
    <m/>
    <m/>
  </r>
  <r>
    <x v="21"/>
    <x v="2"/>
    <x v="0"/>
    <x v="0"/>
    <s v="INSPECTOR DE OBRA NOCTURNO ADICIONAL"/>
    <n v="4899387.3232500004"/>
    <x v="0"/>
    <s v="CONTRACTUAL"/>
    <m/>
    <m/>
  </r>
  <r>
    <x v="21"/>
    <x v="3"/>
    <x v="0"/>
    <x v="0"/>
    <s v="INSPECTOR DE OBRA NOCTURNO ADICIONAL"/>
    <n v="4899387.3232500004"/>
    <x v="0"/>
    <s v="CONTRACTUAL"/>
    <m/>
    <m/>
  </r>
  <r>
    <x v="21"/>
    <x v="4"/>
    <x v="0"/>
    <x v="0"/>
    <s v="INSPECTOR DE OBRA NOCTURNO ADICIONAL"/>
    <n v="4899387.3232500004"/>
    <x v="0"/>
    <s v="CONTRACTUAL"/>
    <m/>
    <m/>
  </r>
  <r>
    <x v="21"/>
    <x v="5"/>
    <x v="0"/>
    <x v="0"/>
    <s v="INSPECTOR DE OBRA NOCTURNO ADICIONAL"/>
    <n v="4899387.3232500004"/>
    <x v="0"/>
    <s v="CONTRACTUAL"/>
    <m/>
    <m/>
  </r>
  <r>
    <x v="21"/>
    <x v="6"/>
    <x v="0"/>
    <x v="0"/>
    <s v="INSPECTOR DE OBRA NOCTURNO ADICIONAL"/>
    <n v="4899387.3232500004"/>
    <x v="0"/>
    <s v="CONTRACTUAL"/>
    <m/>
    <m/>
  </r>
  <r>
    <x v="21"/>
    <x v="0"/>
    <x v="0"/>
    <x v="0"/>
    <s v="INSPECTOR DE OBRA 1"/>
    <n v="3629175.7949999999"/>
    <x v="0"/>
    <s v="CONTRACTUAL"/>
    <m/>
    <m/>
  </r>
  <r>
    <x v="21"/>
    <x v="1"/>
    <x v="0"/>
    <x v="0"/>
    <s v="INSPECTOR DE OBRA 1"/>
    <n v="3629175.7949999999"/>
    <x v="0"/>
    <s v="CONTRACTUAL"/>
    <m/>
    <m/>
  </r>
  <r>
    <x v="21"/>
    <x v="2"/>
    <x v="0"/>
    <x v="0"/>
    <s v="INSPECTOR DE OBRA 1"/>
    <n v="3629175.7949999999"/>
    <x v="0"/>
    <s v="CONTRACTUAL"/>
    <m/>
    <m/>
  </r>
  <r>
    <x v="21"/>
    <x v="3"/>
    <x v="0"/>
    <x v="0"/>
    <s v="INSPECTOR DE OBRA 1"/>
    <n v="3629175.7949999999"/>
    <x v="0"/>
    <s v="CONTRACTUAL"/>
    <m/>
    <m/>
  </r>
  <r>
    <x v="21"/>
    <x v="4"/>
    <x v="0"/>
    <x v="0"/>
    <s v="INSPECTOR DE OBRA 1"/>
    <n v="3629175.7949999999"/>
    <x v="0"/>
    <s v="CONTRACTUAL"/>
    <m/>
    <m/>
  </r>
  <r>
    <x v="21"/>
    <x v="5"/>
    <x v="0"/>
    <x v="0"/>
    <s v="INSPECTOR DE OBRA 1"/>
    <n v="3629175.7949999999"/>
    <x v="0"/>
    <s v="CONTRACTUAL"/>
    <m/>
    <m/>
  </r>
  <r>
    <x v="21"/>
    <x v="6"/>
    <x v="0"/>
    <x v="0"/>
    <s v="INSPECTOR DE OBRA 1"/>
    <n v="3629175.7949999999"/>
    <x v="0"/>
    <s v="CONTRACTUAL"/>
    <m/>
    <m/>
  </r>
  <r>
    <x v="21"/>
    <x v="7"/>
    <x v="0"/>
    <x v="0"/>
    <s v="INSPECTOR DE OBRA 1"/>
    <n v="3629175.7949999999"/>
    <x v="0"/>
    <s v="CONTRACTUAL"/>
    <m/>
    <m/>
  </r>
  <r>
    <x v="21"/>
    <x v="0"/>
    <x v="0"/>
    <x v="0"/>
    <s v="INSPECTOR DE OBRA 2"/>
    <n v="3690632.1209625001"/>
    <x v="0"/>
    <s v="CONTRACTUAL"/>
    <m/>
    <m/>
  </r>
  <r>
    <x v="21"/>
    <x v="1"/>
    <x v="0"/>
    <x v="0"/>
    <s v="INSPECTOR DE OBRA 2"/>
    <n v="3690632.1209625001"/>
    <x v="0"/>
    <s v="CONTRACTUAL"/>
    <m/>
    <m/>
  </r>
  <r>
    <x v="21"/>
    <x v="2"/>
    <x v="0"/>
    <x v="0"/>
    <s v="INSPECTOR DE OBRA 2"/>
    <n v="3690632.1209625001"/>
    <x v="0"/>
    <s v="CONTRACTUAL"/>
    <m/>
    <m/>
  </r>
  <r>
    <x v="21"/>
    <x v="3"/>
    <x v="0"/>
    <x v="0"/>
    <s v="INSPECTOR DE OBRA 2"/>
    <n v="3690632.1209625001"/>
    <x v="0"/>
    <s v="CONTRACTUAL"/>
    <m/>
    <m/>
  </r>
  <r>
    <x v="21"/>
    <x v="4"/>
    <x v="0"/>
    <x v="0"/>
    <s v="INSPECTOR DE OBRA 2"/>
    <n v="3690632.1209625001"/>
    <x v="0"/>
    <s v="CONTRACTUAL"/>
    <m/>
    <m/>
  </r>
  <r>
    <x v="21"/>
    <x v="5"/>
    <x v="0"/>
    <x v="0"/>
    <s v="INSPECTOR DE OBRA 2"/>
    <n v="3690632.1209625001"/>
    <x v="0"/>
    <s v="CONTRACTUAL"/>
    <m/>
    <m/>
  </r>
  <r>
    <x v="21"/>
    <x v="6"/>
    <x v="0"/>
    <x v="0"/>
    <s v="INSPECTOR DE OBRA 2"/>
    <n v="3690632.1209625001"/>
    <x v="0"/>
    <s v="CONTRACTUAL"/>
    <m/>
    <m/>
  </r>
  <r>
    <x v="21"/>
    <x v="7"/>
    <x v="0"/>
    <x v="0"/>
    <s v="INSPECTOR DE OBRA 2"/>
    <n v="3690632.1209625001"/>
    <x v="0"/>
    <s v="CONTRACTUAL"/>
    <m/>
    <m/>
  </r>
  <r>
    <x v="21"/>
    <x v="8"/>
    <x v="0"/>
    <x v="0"/>
    <s v="INSPECTOR DE OBRA 2"/>
    <n v="3690632.1209625001"/>
    <x v="0"/>
    <s v="CONTRACTUAL"/>
    <m/>
    <m/>
  </r>
  <r>
    <x v="21"/>
    <x v="9"/>
    <x v="0"/>
    <x v="0"/>
    <s v="INSPECTOR DE OBRA 2"/>
    <n v="3690632.1209625001"/>
    <x v="0"/>
    <s v="CONTRACTUAL"/>
    <m/>
    <m/>
  </r>
  <r>
    <x v="21"/>
    <x v="0"/>
    <x v="0"/>
    <x v="0"/>
    <s v="INSPECTOR SISO"/>
    <n v="4935876.75"/>
    <x v="0"/>
    <s v="CONTRACTUAL"/>
    <m/>
    <m/>
  </r>
  <r>
    <x v="21"/>
    <x v="1"/>
    <x v="0"/>
    <x v="0"/>
    <s v="INSPECTOR SISO"/>
    <n v="4935876.75"/>
    <x v="0"/>
    <s v="CONTRACTUAL"/>
    <m/>
    <m/>
  </r>
  <r>
    <x v="21"/>
    <x v="2"/>
    <x v="0"/>
    <x v="0"/>
    <s v="INSPECTOR SISO"/>
    <n v="4935876.75"/>
    <x v="0"/>
    <s v="CONTRACTUAL"/>
    <m/>
    <m/>
  </r>
  <r>
    <x v="21"/>
    <x v="3"/>
    <x v="0"/>
    <x v="0"/>
    <s v="INSPECTOR SISO"/>
    <n v="4935876.75"/>
    <x v="0"/>
    <s v="CONTRACTUAL"/>
    <m/>
    <m/>
  </r>
  <r>
    <x v="21"/>
    <x v="4"/>
    <x v="0"/>
    <x v="0"/>
    <s v="INSPECTOR SISO"/>
    <n v="4935876.75"/>
    <x v="0"/>
    <s v="CONTRACTUAL"/>
    <m/>
    <m/>
  </r>
  <r>
    <x v="21"/>
    <x v="5"/>
    <x v="0"/>
    <x v="0"/>
    <s v="INSPECTOR SISO"/>
    <n v="4935876.75"/>
    <x v="0"/>
    <s v="CONTRACTUAL"/>
    <m/>
    <m/>
  </r>
  <r>
    <x v="21"/>
    <x v="6"/>
    <x v="0"/>
    <x v="0"/>
    <s v="INSPECTOR SISO"/>
    <n v="4935876.75"/>
    <x v="0"/>
    <s v="CONTRACTUAL"/>
    <m/>
    <m/>
  </r>
  <r>
    <x v="21"/>
    <x v="7"/>
    <x v="0"/>
    <x v="0"/>
    <s v="INSPECTOR SISO"/>
    <n v="4935876.75"/>
    <x v="0"/>
    <s v="CONTRACTUAL"/>
    <m/>
    <m/>
  </r>
  <r>
    <x v="14"/>
    <x v="0"/>
    <x v="0"/>
    <x v="0"/>
    <s v="INSPECTOR SISO"/>
    <n v="3771772.7985"/>
    <x v="0"/>
    <s v="ECONÓMICA"/>
    <m/>
    <m/>
  </r>
  <r>
    <x v="14"/>
    <x v="1"/>
    <x v="0"/>
    <x v="0"/>
    <s v="INSPECTOR SISO"/>
    <n v="3771772.7985"/>
    <x v="0"/>
    <s v="ECONÓMICA"/>
    <m/>
    <m/>
  </r>
  <r>
    <x v="14"/>
    <x v="2"/>
    <x v="0"/>
    <x v="0"/>
    <s v="INSPECTOR SISO"/>
    <n v="3771772.7985"/>
    <x v="0"/>
    <s v="ECONÓMICA"/>
    <m/>
    <m/>
  </r>
  <r>
    <x v="14"/>
    <x v="3"/>
    <x v="0"/>
    <x v="0"/>
    <s v="INSPECTOR SISO"/>
    <n v="3771772.7985"/>
    <x v="0"/>
    <s v="ECONÓMICA"/>
    <m/>
    <m/>
  </r>
  <r>
    <x v="14"/>
    <x v="4"/>
    <x v="0"/>
    <x v="0"/>
    <s v="INSPECTOR SISO"/>
    <n v="3771772.7985"/>
    <x v="0"/>
    <s v="ECONÓMICA"/>
    <m/>
    <m/>
  </r>
  <r>
    <x v="14"/>
    <x v="5"/>
    <x v="0"/>
    <x v="0"/>
    <s v="INSPECTOR SISO"/>
    <n v="3771772.7985"/>
    <x v="0"/>
    <s v="ECONÓMICA"/>
    <m/>
    <m/>
  </r>
  <r>
    <x v="14"/>
    <x v="6"/>
    <x v="0"/>
    <x v="0"/>
    <s v="INSPECTOR SISO"/>
    <n v="3771772.7985"/>
    <x v="0"/>
    <s v="ECONÓMICA"/>
    <m/>
    <m/>
  </r>
  <r>
    <x v="14"/>
    <x v="7"/>
    <x v="0"/>
    <x v="0"/>
    <s v="INSPECTOR SISO"/>
    <n v="3771772.7985"/>
    <x v="0"/>
    <s v="ECONÓMICA"/>
    <m/>
    <m/>
  </r>
  <r>
    <x v="14"/>
    <x v="8"/>
    <x v="0"/>
    <x v="0"/>
    <s v="INSPECTOR SISO"/>
    <n v="3771772.7985"/>
    <x v="0"/>
    <s v="ECONÓMICA"/>
    <m/>
    <m/>
  </r>
  <r>
    <x v="14"/>
    <x v="9"/>
    <x v="0"/>
    <x v="0"/>
    <s v="INSPECTOR SISO"/>
    <n v="3771772.7985"/>
    <x v="0"/>
    <s v="ECONÓMICA"/>
    <m/>
    <m/>
  </r>
  <r>
    <x v="14"/>
    <x v="10"/>
    <x v="0"/>
    <x v="0"/>
    <s v="INSPECTOR SISO"/>
    <n v="3771772.7985"/>
    <x v="0"/>
    <s v="ECONÓMICA"/>
    <m/>
    <m/>
  </r>
  <r>
    <x v="14"/>
    <x v="11"/>
    <x v="0"/>
    <x v="0"/>
    <s v="INSPECTOR SISO"/>
    <n v="3771772.7985"/>
    <x v="0"/>
    <s v="ECONÓMICA"/>
    <m/>
    <m/>
  </r>
  <r>
    <x v="14"/>
    <x v="12"/>
    <x v="0"/>
    <x v="0"/>
    <s v="INSPECTOR SISO"/>
    <n v="3771772.7985"/>
    <x v="0"/>
    <s v="ECONÓMICA"/>
    <m/>
    <m/>
  </r>
  <r>
    <x v="14"/>
    <x v="13"/>
    <x v="0"/>
    <x v="0"/>
    <s v="INSPECTOR SISO"/>
    <n v="3771772.7985"/>
    <x v="0"/>
    <s v="ECONÓMICA"/>
    <m/>
    <m/>
  </r>
  <r>
    <x v="14"/>
    <x v="14"/>
    <x v="0"/>
    <x v="0"/>
    <s v="INSPECTOR SISO"/>
    <n v="3771772.7985"/>
    <x v="0"/>
    <s v="ECONÓMICA"/>
    <m/>
    <m/>
  </r>
  <r>
    <x v="14"/>
    <x v="15"/>
    <x v="0"/>
    <x v="0"/>
    <s v="INSPECTOR SISO"/>
    <n v="3771772.7985"/>
    <x v="0"/>
    <s v="ECONÓMICA"/>
    <m/>
    <m/>
  </r>
  <r>
    <x v="14"/>
    <x v="16"/>
    <x v="0"/>
    <x v="0"/>
    <s v="INSPECTOR SISO"/>
    <n v="3771772.7985"/>
    <x v="0"/>
    <s v="ECONÓMICA"/>
    <m/>
    <m/>
  </r>
  <r>
    <x v="14"/>
    <x v="17"/>
    <x v="0"/>
    <x v="0"/>
    <s v="INSPECTOR SISO"/>
    <n v="3771772.7985"/>
    <x v="0"/>
    <s v="ECONÓMICA"/>
    <m/>
    <m/>
  </r>
  <r>
    <x v="14"/>
    <x v="18"/>
    <x v="0"/>
    <x v="0"/>
    <s v="INSPECTOR SISO"/>
    <n v="3771772.7985"/>
    <x v="0"/>
    <s v="ECONÓMICA"/>
    <m/>
    <m/>
  </r>
  <r>
    <x v="14"/>
    <x v="19"/>
    <x v="0"/>
    <x v="0"/>
    <s v="INSPECTOR SISO"/>
    <n v="3771772.7985"/>
    <x v="0"/>
    <s v="ECONÓMICA"/>
    <m/>
    <m/>
  </r>
  <r>
    <x v="14"/>
    <x v="20"/>
    <x v="0"/>
    <x v="0"/>
    <s v="INSPECTOR SISO"/>
    <n v="3771772.7985"/>
    <x v="0"/>
    <s v="ECONÓMICA"/>
    <m/>
    <m/>
  </r>
  <r>
    <x v="14"/>
    <x v="21"/>
    <x v="0"/>
    <x v="0"/>
    <s v="INSPECTOR SISO"/>
    <n v="3771772.7985"/>
    <x v="0"/>
    <s v="ECONÓMICA"/>
    <m/>
    <m/>
  </r>
  <r>
    <x v="14"/>
    <x v="22"/>
    <x v="0"/>
    <x v="0"/>
    <s v="INSPECTOR SISO"/>
    <n v="3771772.7985"/>
    <x v="0"/>
    <s v="ECONÓMICA"/>
    <m/>
    <m/>
  </r>
  <r>
    <x v="14"/>
    <x v="23"/>
    <x v="0"/>
    <x v="0"/>
    <s v="INSPECTOR SISO"/>
    <n v="3771772.7985"/>
    <x v="0"/>
    <s v="ECONÓMICA"/>
    <m/>
    <m/>
  </r>
  <r>
    <x v="14"/>
    <x v="24"/>
    <x v="0"/>
    <x v="0"/>
    <s v="INSPECTOR SISO"/>
    <n v="3771772.7985"/>
    <x v="0"/>
    <s v="ECONÓMICA"/>
    <m/>
    <m/>
  </r>
  <r>
    <x v="11"/>
    <x v="0"/>
    <x v="0"/>
    <x v="0"/>
    <s v="SUPERVISOR TECNICO "/>
    <n v="6004530"/>
    <x v="0"/>
    <s v="CONTRACTUAL"/>
    <m/>
    <m/>
  </r>
  <r>
    <x v="11"/>
    <x v="1"/>
    <x v="0"/>
    <x v="0"/>
    <s v="SUPERVISOR TECNICO "/>
    <n v="6004530"/>
    <x v="0"/>
    <s v="CONTRACTUAL"/>
    <m/>
    <m/>
  </r>
  <r>
    <x v="11"/>
    <x v="2"/>
    <x v="0"/>
    <x v="0"/>
    <s v="SUPERVISOR TECNICO "/>
    <n v="6004530"/>
    <x v="0"/>
    <s v="CONTRACTUAL"/>
    <m/>
    <m/>
  </r>
  <r>
    <x v="11"/>
    <x v="3"/>
    <x v="0"/>
    <x v="0"/>
    <s v="SUPERVISOR TECNICO "/>
    <n v="6004530"/>
    <x v="0"/>
    <s v="CONTRACTUAL"/>
    <m/>
    <m/>
  </r>
  <r>
    <x v="11"/>
    <x v="4"/>
    <x v="0"/>
    <x v="0"/>
    <s v="SUPERVISOR TECNICO "/>
    <n v="6004530"/>
    <x v="0"/>
    <s v="CONTRACTUAL"/>
    <m/>
    <m/>
  </r>
  <r>
    <x v="11"/>
    <x v="5"/>
    <x v="0"/>
    <x v="0"/>
    <s v="SUPERVISOR TECNICO "/>
    <n v="6004530"/>
    <x v="0"/>
    <s v="CONTRACTUAL"/>
    <m/>
    <m/>
  </r>
  <r>
    <x v="11"/>
    <x v="6"/>
    <x v="0"/>
    <x v="0"/>
    <s v="SUPERVISOR TECNICO "/>
    <n v="6004530"/>
    <x v="0"/>
    <s v="CONTRACTUAL"/>
    <m/>
    <m/>
  </r>
  <r>
    <x v="11"/>
    <x v="7"/>
    <x v="0"/>
    <x v="0"/>
    <s v="SUPERVISOR TECNICO "/>
    <n v="6004530"/>
    <x v="0"/>
    <s v="CONTRACTUAL"/>
    <m/>
    <m/>
  </r>
  <r>
    <x v="11"/>
    <x v="8"/>
    <x v="0"/>
    <x v="0"/>
    <s v="SUPERVISOR TECNICO "/>
    <n v="6004530"/>
    <x v="0"/>
    <s v="CONTRACTUAL"/>
    <m/>
    <m/>
  </r>
  <r>
    <x v="11"/>
    <x v="9"/>
    <x v="0"/>
    <x v="0"/>
    <s v="SUPERVISOR TECNICO "/>
    <n v="6004530"/>
    <x v="0"/>
    <s v="CONTRACTUAL"/>
    <m/>
    <m/>
  </r>
  <r>
    <x v="11"/>
    <x v="10"/>
    <x v="0"/>
    <x v="0"/>
    <s v="SUPERVISOR TECNICO "/>
    <n v="6004530"/>
    <x v="0"/>
    <s v="CONTRACTUAL"/>
    <m/>
    <m/>
  </r>
  <r>
    <x v="11"/>
    <x v="11"/>
    <x v="0"/>
    <x v="0"/>
    <s v="SUPERVISOR TECNICO "/>
    <n v="6004530"/>
    <x v="0"/>
    <s v="CONTRACTUAL"/>
    <m/>
    <m/>
  </r>
  <r>
    <x v="11"/>
    <x v="12"/>
    <x v="0"/>
    <x v="0"/>
    <s v="SUPERVISOR TECNICO "/>
    <n v="6004530"/>
    <x v="0"/>
    <s v="CONTRACTUAL"/>
    <m/>
    <m/>
  </r>
  <r>
    <x v="11"/>
    <x v="13"/>
    <x v="0"/>
    <x v="0"/>
    <s v="SUPERVISOR TECNICO "/>
    <n v="6004530"/>
    <x v="0"/>
    <s v="CONTRACTUAL"/>
    <m/>
    <m/>
  </r>
  <r>
    <x v="11"/>
    <x v="14"/>
    <x v="0"/>
    <x v="0"/>
    <s v="SUPERVISOR TECNICO "/>
    <n v="6004530"/>
    <x v="0"/>
    <s v="CONTRACTUAL"/>
    <m/>
    <m/>
  </r>
  <r>
    <x v="10"/>
    <x v="0"/>
    <x v="0"/>
    <x v="0"/>
    <s v="PROFESIONAL CONTRATACIONES"/>
    <n v="380362.5"/>
    <x v="0"/>
    <s v="CONTRACTUAL"/>
    <m/>
    <m/>
  </r>
  <r>
    <x v="10"/>
    <x v="1"/>
    <x v="0"/>
    <x v="0"/>
    <s v="PROFESIONAL CONTRATACIONES"/>
    <n v="380362.5"/>
    <x v="0"/>
    <s v="CONTRACTUAL"/>
    <m/>
    <m/>
  </r>
  <r>
    <x v="10"/>
    <x v="2"/>
    <x v="0"/>
    <x v="0"/>
    <s v="PROFESIONAL CONTRATACIONES"/>
    <n v="380362.5"/>
    <x v="0"/>
    <s v="CONTRACTUAL"/>
    <m/>
    <m/>
  </r>
  <r>
    <x v="10"/>
    <x v="3"/>
    <x v="0"/>
    <x v="0"/>
    <s v="PROFESIONAL CONTRATACIONES"/>
    <n v="380362.5"/>
    <x v="0"/>
    <s v="CONTRACTUAL"/>
    <m/>
    <m/>
  </r>
  <r>
    <x v="10"/>
    <x v="4"/>
    <x v="0"/>
    <x v="0"/>
    <s v="PROFESIONAL CONTRATACIONES"/>
    <n v="380362.5"/>
    <x v="0"/>
    <s v="CONTRACTUAL"/>
    <m/>
    <m/>
  </r>
  <r>
    <x v="10"/>
    <x v="5"/>
    <x v="0"/>
    <x v="0"/>
    <s v="PROFESIONAL CONTRATACIONES"/>
    <n v="380362.5"/>
    <x v="0"/>
    <s v="CONTRACTUAL"/>
    <m/>
    <m/>
  </r>
  <r>
    <x v="10"/>
    <x v="6"/>
    <x v="0"/>
    <x v="0"/>
    <s v="PROFESIONAL CONTRATACIONES"/>
    <n v="380362.5"/>
    <x v="0"/>
    <s v="CONTRACTUAL"/>
    <m/>
    <m/>
  </r>
  <r>
    <x v="10"/>
    <x v="7"/>
    <x v="0"/>
    <x v="0"/>
    <s v="PROFESIONAL CONTRATACIONES"/>
    <n v="380362.5"/>
    <x v="0"/>
    <s v="CONTRACTUAL"/>
    <m/>
    <m/>
  </r>
  <r>
    <x v="22"/>
    <x v="0"/>
    <x v="0"/>
    <x v="0"/>
    <s v="DIRECTOR RESIDENTE"/>
    <n v="7324096.5"/>
    <x v="0"/>
    <s v="CONTRACTUAL"/>
    <m/>
    <m/>
  </r>
  <r>
    <x v="22"/>
    <x v="0"/>
    <x v="0"/>
    <x v="0"/>
    <s v="AUXILIAR ADMINISTRATIVO"/>
    <n v="2504250"/>
    <x v="0"/>
    <s v="CONTRACTUAL"/>
    <m/>
    <m/>
  </r>
  <r>
    <x v="22"/>
    <x v="0"/>
    <x v="0"/>
    <x v="0"/>
    <s v="INSPECTOR SISO"/>
    <n v="4165803.1799999997"/>
    <x v="0"/>
    <s v="CONTRACTUAL"/>
    <m/>
    <m/>
  </r>
  <r>
    <x v="22"/>
    <x v="0"/>
    <x v="0"/>
    <x v="0"/>
    <s v="INSPECTOR"/>
    <n v="4165803.1799999997"/>
    <x v="0"/>
    <s v="CONTRACTUAL"/>
    <m/>
    <m/>
  </r>
  <r>
    <x v="23"/>
    <x v="0"/>
    <x v="0"/>
    <x v="0"/>
    <s v="COORDINADOR"/>
    <n v="6085367.1464827517"/>
    <x v="0"/>
    <s v="CONTRACTUAL"/>
    <m/>
    <m/>
  </r>
  <r>
    <x v="23"/>
    <x v="1"/>
    <x v="0"/>
    <x v="0"/>
    <s v="COORDINADOR"/>
    <n v="6085367.1464827517"/>
    <x v="0"/>
    <s v="CONTRACTUAL"/>
    <m/>
    <m/>
  </r>
  <r>
    <x v="23"/>
    <x v="2"/>
    <x v="0"/>
    <x v="0"/>
    <s v="COORDINADOR"/>
    <n v="6085367.1464827517"/>
    <x v="0"/>
    <s v="CONTRACTUAL"/>
    <m/>
    <m/>
  </r>
  <r>
    <x v="23"/>
    <x v="3"/>
    <x v="0"/>
    <x v="0"/>
    <s v="COORDINADOR"/>
    <n v="6085367.1464827517"/>
    <x v="0"/>
    <s v="CONTRACTUAL"/>
    <m/>
    <m/>
  </r>
  <r>
    <x v="23"/>
    <x v="4"/>
    <x v="0"/>
    <x v="0"/>
    <s v="COORDINADOR"/>
    <n v="6085367.1464827517"/>
    <x v="0"/>
    <s v="CONTRACTUAL"/>
    <m/>
    <m/>
  </r>
  <r>
    <x v="23"/>
    <x v="5"/>
    <x v="0"/>
    <x v="0"/>
    <s v="COORDINADOR"/>
    <n v="6085367.1464827517"/>
    <x v="0"/>
    <s v="CONTRACTUAL"/>
    <m/>
    <m/>
  </r>
  <r>
    <x v="23"/>
    <x v="0"/>
    <x v="0"/>
    <x v="0"/>
    <s v="DIRECTOR"/>
    <n v="11269198.072125001"/>
    <x v="0"/>
    <s v="CONTRACTUAL"/>
    <m/>
    <m/>
  </r>
  <r>
    <x v="23"/>
    <x v="1"/>
    <x v="0"/>
    <x v="0"/>
    <s v="DIRECTOR"/>
    <n v="11269198.072125001"/>
    <x v="0"/>
    <s v="CONTRACTUAL"/>
    <m/>
    <m/>
  </r>
  <r>
    <x v="23"/>
    <x v="2"/>
    <x v="0"/>
    <x v="0"/>
    <s v="DIRECTOR"/>
    <n v="11269198.072125001"/>
    <x v="0"/>
    <s v="CONTRACTUAL"/>
    <m/>
    <m/>
  </r>
  <r>
    <x v="23"/>
    <x v="3"/>
    <x v="0"/>
    <x v="0"/>
    <s v="DIRECTOR"/>
    <n v="11269198.072125001"/>
    <x v="0"/>
    <s v="CONTRACTUAL"/>
    <m/>
    <m/>
  </r>
  <r>
    <x v="23"/>
    <x v="4"/>
    <x v="0"/>
    <x v="0"/>
    <s v="DIRECTOR"/>
    <n v="11269198.072125001"/>
    <x v="0"/>
    <s v="CONTRACTUAL"/>
    <m/>
    <m/>
  </r>
  <r>
    <x v="23"/>
    <x v="5"/>
    <x v="0"/>
    <x v="0"/>
    <s v="DIRECTOR"/>
    <n v="11269198.072125001"/>
    <x v="0"/>
    <s v="CONTRACTUAL"/>
    <m/>
    <m/>
  </r>
  <r>
    <x v="23"/>
    <x v="0"/>
    <x v="0"/>
    <x v="0"/>
    <s v="DIRECTOR CONTRATACIONES"/>
    <n v="960135.74937000009"/>
    <x v="0"/>
    <s v="CONTRACTUAL"/>
    <m/>
    <m/>
  </r>
  <r>
    <x v="23"/>
    <x v="1"/>
    <x v="0"/>
    <x v="0"/>
    <s v="DIRECTOR CONTRATACIONES"/>
    <n v="960135.74937000009"/>
    <x v="0"/>
    <s v="CONTRACTUAL"/>
    <m/>
    <m/>
  </r>
  <r>
    <x v="23"/>
    <x v="2"/>
    <x v="0"/>
    <x v="0"/>
    <s v="DIRECTOR CONTRATACIONES"/>
    <n v="960135.74937000009"/>
    <x v="0"/>
    <s v="CONTRACTUAL"/>
    <m/>
    <m/>
  </r>
  <r>
    <x v="23"/>
    <x v="3"/>
    <x v="0"/>
    <x v="0"/>
    <s v="DIRECTOR CONTRATACIONES"/>
    <n v="960135.74937000009"/>
    <x v="0"/>
    <s v="CONTRACTUAL"/>
    <m/>
    <m/>
  </r>
  <r>
    <x v="23"/>
    <x v="4"/>
    <x v="0"/>
    <x v="0"/>
    <s v="DIRECTOR CONTRATACIONES"/>
    <n v="960135.74937000009"/>
    <x v="0"/>
    <s v="CONTRACTUAL"/>
    <m/>
    <m/>
  </r>
  <r>
    <x v="23"/>
    <x v="5"/>
    <x v="0"/>
    <x v="0"/>
    <s v="DIRECTOR CONTRATACIONES"/>
    <n v="960135.74937000009"/>
    <x v="0"/>
    <s v="CONTRACTUAL"/>
    <m/>
    <m/>
  </r>
  <r>
    <x v="24"/>
    <x v="0"/>
    <x v="0"/>
    <x v="0"/>
    <s v="COORDINADOR"/>
    <n v="3685661.2115662512"/>
    <x v="0"/>
    <s v="ECONÓMICA"/>
    <m/>
    <m/>
  </r>
  <r>
    <x v="24"/>
    <x v="1"/>
    <x v="0"/>
    <x v="0"/>
    <s v="COORDINADOR"/>
    <n v="3685661.2115662512"/>
    <x v="0"/>
    <s v="ECONÓMICA"/>
    <m/>
    <m/>
  </r>
  <r>
    <x v="24"/>
    <x v="2"/>
    <x v="0"/>
    <x v="0"/>
    <s v="COORDINADOR"/>
    <n v="3685661.2115662512"/>
    <x v="0"/>
    <s v="ECONÓMICA"/>
    <m/>
    <m/>
  </r>
  <r>
    <x v="24"/>
    <x v="3"/>
    <x v="0"/>
    <x v="0"/>
    <s v="COORDINADOR"/>
    <n v="3685661.2115662512"/>
    <x v="0"/>
    <s v="ECONÓMICA"/>
    <m/>
    <m/>
  </r>
  <r>
    <x v="24"/>
    <x v="4"/>
    <x v="0"/>
    <x v="0"/>
    <s v="COORDINADOR"/>
    <n v="3685661.2115662512"/>
    <x v="0"/>
    <s v="ECONÓMICA"/>
    <m/>
    <m/>
  </r>
  <r>
    <x v="24"/>
    <x v="5"/>
    <x v="0"/>
    <x v="0"/>
    <s v="COORDINADOR"/>
    <n v="3685661.2115662512"/>
    <x v="0"/>
    <s v="ECONÓMICA"/>
    <m/>
    <m/>
  </r>
  <r>
    <x v="24"/>
    <x v="6"/>
    <x v="0"/>
    <x v="0"/>
    <s v="COORDINADOR"/>
    <n v="3685661.2115662512"/>
    <x v="0"/>
    <s v="ECONÓMICA"/>
    <m/>
    <m/>
  </r>
  <r>
    <x v="24"/>
    <x v="0"/>
    <x v="0"/>
    <x v="0"/>
    <s v="DIRECTOR"/>
    <n v="11787098.370468752"/>
    <x v="0"/>
    <s v="ECONÓMICA"/>
    <m/>
    <m/>
  </r>
  <r>
    <x v="24"/>
    <x v="1"/>
    <x v="0"/>
    <x v="0"/>
    <s v="DIRECTOR"/>
    <n v="11787098.370468752"/>
    <x v="0"/>
    <s v="ECONÓMICA"/>
    <m/>
    <m/>
  </r>
  <r>
    <x v="24"/>
    <x v="2"/>
    <x v="0"/>
    <x v="0"/>
    <s v="DIRECTOR"/>
    <n v="11787098.370468752"/>
    <x v="0"/>
    <s v="ECONÓMICA"/>
    <m/>
    <m/>
  </r>
  <r>
    <x v="24"/>
    <x v="3"/>
    <x v="0"/>
    <x v="0"/>
    <s v="DIRECTOR"/>
    <n v="11787098.370468752"/>
    <x v="0"/>
    <s v="ECONÓMICA"/>
    <m/>
    <m/>
  </r>
  <r>
    <x v="24"/>
    <x v="4"/>
    <x v="0"/>
    <x v="0"/>
    <s v="DIRECTOR"/>
    <n v="11787098.370468752"/>
    <x v="0"/>
    <s v="ECONÓMICA"/>
    <m/>
    <m/>
  </r>
  <r>
    <x v="24"/>
    <x v="5"/>
    <x v="0"/>
    <x v="0"/>
    <s v="DIRECTOR"/>
    <n v="11787098.370468752"/>
    <x v="0"/>
    <s v="ECONÓMICA"/>
    <m/>
    <m/>
  </r>
  <r>
    <x v="24"/>
    <x v="6"/>
    <x v="0"/>
    <x v="0"/>
    <s v="DIRECTOR"/>
    <n v="11787098.370468752"/>
    <x v="0"/>
    <s v="ECONÓMICA"/>
    <m/>
    <m/>
  </r>
  <r>
    <x v="24"/>
    <x v="0"/>
    <x v="0"/>
    <x v="0"/>
    <s v="RESIDENTE DE INSTALACIONES"/>
    <n v="9796099.1329687536"/>
    <x v="0"/>
    <s v="ECONÓMICA"/>
    <m/>
    <m/>
  </r>
  <r>
    <x v="24"/>
    <x v="1"/>
    <x v="0"/>
    <x v="0"/>
    <s v="RESIDENTE DE INSTALACIONES"/>
    <n v="9796099.1329687536"/>
    <x v="0"/>
    <s v="ECONÓMICA"/>
    <m/>
    <m/>
  </r>
  <r>
    <x v="24"/>
    <x v="2"/>
    <x v="0"/>
    <x v="0"/>
    <s v="RESIDENTE DE INSTALACIONES"/>
    <n v="9796099.1329687536"/>
    <x v="0"/>
    <s v="ECONÓMICA"/>
    <m/>
    <m/>
  </r>
  <r>
    <x v="24"/>
    <x v="3"/>
    <x v="0"/>
    <x v="0"/>
    <s v="RESIDENTE DE INSTALACIONES"/>
    <n v="9796099.1329687536"/>
    <x v="0"/>
    <s v="ECONÓMICA"/>
    <m/>
    <m/>
  </r>
  <r>
    <x v="24"/>
    <x v="4"/>
    <x v="0"/>
    <x v="0"/>
    <s v="RESIDENTE DE INSTALACIONES"/>
    <n v="9796099.1329687536"/>
    <x v="0"/>
    <s v="ECONÓMICA"/>
    <m/>
    <m/>
  </r>
  <r>
    <x v="24"/>
    <x v="0"/>
    <x v="0"/>
    <x v="0"/>
    <s v="RESIDENTE COMERCIO"/>
    <n v="8143952.6503125019"/>
    <x v="0"/>
    <s v="ECONÓMICA"/>
    <m/>
    <m/>
  </r>
  <r>
    <x v="24"/>
    <x v="0"/>
    <x v="0"/>
    <x v="0"/>
    <s v="RESIDENTE TORRE 1"/>
    <n v="8143952.6503125019"/>
    <x v="0"/>
    <s v="ECONÓMICA"/>
    <m/>
    <m/>
  </r>
  <r>
    <x v="24"/>
    <x v="1"/>
    <x v="0"/>
    <x v="0"/>
    <s v="RESIDENTE TORRE 1"/>
    <n v="8143952.6503125019"/>
    <x v="0"/>
    <s v="ECONÓMICA"/>
    <m/>
    <m/>
  </r>
  <r>
    <x v="24"/>
    <x v="2"/>
    <x v="0"/>
    <x v="0"/>
    <s v="RESIDENTE TORRE 1"/>
    <n v="8143952.6503125019"/>
    <x v="0"/>
    <s v="ECONÓMICA"/>
    <m/>
    <m/>
  </r>
  <r>
    <x v="24"/>
    <x v="3"/>
    <x v="0"/>
    <x v="0"/>
    <s v="RESIDENTE TORRE 1"/>
    <n v="8143952.6503125019"/>
    <x v="0"/>
    <s v="ECONÓMICA"/>
    <m/>
    <m/>
  </r>
  <r>
    <x v="24"/>
    <x v="4"/>
    <x v="0"/>
    <x v="0"/>
    <s v="RESIDENTE TORRE 1"/>
    <n v="8143952.6503125019"/>
    <x v="0"/>
    <s v="ECONÓMICA"/>
    <m/>
    <m/>
  </r>
  <r>
    <x v="24"/>
    <x v="0"/>
    <x v="0"/>
    <x v="0"/>
    <s v="RESIDENTE RECIBO Y ENTREGAS"/>
    <n v="6891920.4375000019"/>
    <x v="0"/>
    <s v="ECONÓMICA"/>
    <m/>
    <m/>
  </r>
  <r>
    <x v="24"/>
    <x v="1"/>
    <x v="0"/>
    <x v="0"/>
    <s v="RESIDENTE RECIBO Y ENTREGAS"/>
    <n v="6891920.4375000019"/>
    <x v="0"/>
    <s v="ECONÓMICA"/>
    <m/>
    <m/>
  </r>
  <r>
    <x v="24"/>
    <x v="2"/>
    <x v="0"/>
    <x v="0"/>
    <s v="RESIDENTE RECIBO Y ENTREGAS"/>
    <n v="6891920.4375000019"/>
    <x v="0"/>
    <s v="ECONÓMICA"/>
    <m/>
    <m/>
  </r>
  <r>
    <x v="24"/>
    <x v="3"/>
    <x v="0"/>
    <x v="0"/>
    <s v="RESIDENTE RECIBO Y ENTREGAS"/>
    <n v="6891920.4375000019"/>
    <x v="0"/>
    <s v="ECONÓMICA"/>
    <m/>
    <m/>
  </r>
  <r>
    <x v="24"/>
    <x v="4"/>
    <x v="0"/>
    <x v="0"/>
    <s v="RESIDENTE RECIBO Y ENTREGAS"/>
    <n v="6891920.4375000019"/>
    <x v="0"/>
    <s v="ECONÓMICA"/>
    <m/>
    <m/>
  </r>
  <r>
    <x v="24"/>
    <x v="0"/>
    <x v="0"/>
    <x v="0"/>
    <s v="AUXILIAR ADMINISTRATIVO"/>
    <n v="3882448.513125001"/>
    <x v="0"/>
    <s v="ECONÓMICA"/>
    <m/>
    <m/>
  </r>
  <r>
    <x v="24"/>
    <x v="1"/>
    <x v="0"/>
    <x v="0"/>
    <s v="AUXILIAR ADMINISTRATIVO"/>
    <n v="3882448.513125001"/>
    <x v="0"/>
    <s v="ECONÓMICA"/>
    <m/>
    <m/>
  </r>
  <r>
    <x v="24"/>
    <x v="2"/>
    <x v="0"/>
    <x v="0"/>
    <s v="AUXILIAR ADMINISTRATIVO"/>
    <n v="3882448.513125001"/>
    <x v="0"/>
    <s v="ECONÓMICA"/>
    <m/>
    <m/>
  </r>
  <r>
    <x v="24"/>
    <x v="3"/>
    <x v="0"/>
    <x v="0"/>
    <s v="AUXILIAR ADMINISTRATIVO"/>
    <n v="3882448.513125001"/>
    <x v="0"/>
    <s v="ECONÓMICA"/>
    <m/>
    <m/>
  </r>
  <r>
    <x v="24"/>
    <x v="4"/>
    <x v="0"/>
    <x v="0"/>
    <s v="AUXILIAR ADMINISTRATIVO"/>
    <n v="3882448.513125001"/>
    <x v="0"/>
    <s v="ECONÓMICA"/>
    <m/>
    <m/>
  </r>
  <r>
    <x v="24"/>
    <x v="5"/>
    <x v="0"/>
    <x v="0"/>
    <s v="AUXILIAR ADMINISTRATIVO"/>
    <n v="3882448.513125001"/>
    <x v="0"/>
    <s v="ECONÓMICA"/>
    <m/>
    <m/>
  </r>
  <r>
    <x v="24"/>
    <x v="6"/>
    <x v="0"/>
    <x v="0"/>
    <s v="AUXILIAR ADMINISTRATIVO"/>
    <n v="3882448.513125001"/>
    <x v="0"/>
    <s v="ECONÓMICA"/>
    <m/>
    <m/>
  </r>
  <r>
    <x v="24"/>
    <x v="0"/>
    <x v="0"/>
    <x v="0"/>
    <s v="AUXILIAR ADMINISTRATIVO"/>
    <n v="3882448.513125001"/>
    <x v="0"/>
    <s v="ECONÓMICA"/>
    <m/>
    <m/>
  </r>
  <r>
    <x v="24"/>
    <x v="1"/>
    <x v="0"/>
    <x v="0"/>
    <s v="AUXILIAR ADMINISTRATIVO"/>
    <n v="3882448.513125001"/>
    <x v="0"/>
    <s v="ECONÓMICA"/>
    <m/>
    <m/>
  </r>
  <r>
    <x v="24"/>
    <x v="2"/>
    <x v="0"/>
    <x v="0"/>
    <s v="AUXILIAR ADMINISTRATIVO"/>
    <n v="3882448.513125001"/>
    <x v="0"/>
    <s v="ECONÓMICA"/>
    <m/>
    <m/>
  </r>
  <r>
    <x v="24"/>
    <x v="3"/>
    <x v="0"/>
    <x v="0"/>
    <s v="AUXILIAR ADMINISTRATIVO"/>
    <n v="3882448.513125001"/>
    <x v="0"/>
    <s v="ECONÓMICA"/>
    <m/>
    <m/>
  </r>
  <r>
    <x v="24"/>
    <x v="4"/>
    <x v="0"/>
    <x v="0"/>
    <s v="AUXILIAR ADMINISTRATIVO"/>
    <n v="3882448.513125001"/>
    <x v="0"/>
    <s v="ECONÓMICA"/>
    <m/>
    <m/>
  </r>
  <r>
    <x v="24"/>
    <x v="5"/>
    <x v="0"/>
    <x v="0"/>
    <s v="AUXILIAR ADMINISTRATIVO"/>
    <n v="3882448.513125001"/>
    <x v="0"/>
    <s v="ECONÓMICA"/>
    <m/>
    <m/>
  </r>
  <r>
    <x v="24"/>
    <x v="6"/>
    <x v="0"/>
    <x v="0"/>
    <s v="AUXILIAR ADMINISTRATIVO"/>
    <n v="3882448.513125001"/>
    <x v="0"/>
    <s v="ECONÓMICA"/>
    <m/>
    <m/>
  </r>
  <r>
    <x v="24"/>
    <x v="0"/>
    <x v="0"/>
    <x v="0"/>
    <s v="INSPECTOR COMERCIO"/>
    <n v="3802042.7746875011"/>
    <x v="0"/>
    <s v="ECONÓMICA"/>
    <m/>
    <m/>
  </r>
  <r>
    <x v="24"/>
    <x v="0"/>
    <x v="0"/>
    <x v="0"/>
    <s v="INSPECTOR COMERCIO ACABADOS"/>
    <n v="3802042.7746875011"/>
    <x v="0"/>
    <s v="ECONÓMICA"/>
    <m/>
    <m/>
  </r>
  <r>
    <x v="24"/>
    <x v="0"/>
    <x v="0"/>
    <x v="0"/>
    <s v="RESIDENTE VENTANERÍA TORRES"/>
    <n v="6769397.4075000016"/>
    <x v="0"/>
    <s v="ECONÓMICA"/>
    <m/>
    <m/>
  </r>
  <r>
    <x v="24"/>
    <x v="1"/>
    <x v="0"/>
    <x v="0"/>
    <s v="RESIDENTE VENTANERÍA TORRES"/>
    <n v="6769397.4075000016"/>
    <x v="0"/>
    <s v="ECONÓMICA"/>
    <m/>
    <m/>
  </r>
  <r>
    <x v="24"/>
    <x v="2"/>
    <x v="0"/>
    <x v="0"/>
    <s v="RESIDENTE VENTANERÍA TORRES"/>
    <n v="6769397.4075000016"/>
    <x v="0"/>
    <s v="ECONÓMICA"/>
    <m/>
    <m/>
  </r>
  <r>
    <x v="24"/>
    <x v="0"/>
    <x v="0"/>
    <x v="0"/>
    <s v="INSPECTOR TORRE 1"/>
    <n v="3802042.7746875011"/>
    <x v="0"/>
    <s v="ECONÓMICA"/>
    <m/>
    <m/>
  </r>
  <r>
    <x v="24"/>
    <x v="1"/>
    <x v="0"/>
    <x v="0"/>
    <s v="INSPECTOR TORRE 1"/>
    <n v="3802042.7746875011"/>
    <x v="0"/>
    <s v="ECONÓMICA"/>
    <m/>
    <m/>
  </r>
  <r>
    <x v="24"/>
    <x v="2"/>
    <x v="0"/>
    <x v="0"/>
    <s v="INSPECTOR TORRE 1"/>
    <n v="3802042.7746875011"/>
    <x v="0"/>
    <s v="ECONÓMICA"/>
    <m/>
    <m/>
  </r>
  <r>
    <x v="24"/>
    <x v="3"/>
    <x v="0"/>
    <x v="0"/>
    <s v="INSPECTOR TORRE 1"/>
    <n v="3802042.7746875011"/>
    <x v="0"/>
    <s v="ECONÓMICA"/>
    <m/>
    <m/>
  </r>
  <r>
    <x v="24"/>
    <x v="4"/>
    <x v="0"/>
    <x v="0"/>
    <s v="INSPECTOR TORRE 1"/>
    <n v="3802042.7746875011"/>
    <x v="0"/>
    <s v="ECONÓMICA"/>
    <m/>
    <m/>
  </r>
  <r>
    <x v="24"/>
    <x v="0"/>
    <x v="0"/>
    <x v="0"/>
    <s v="INSPECTOR TORRE 1 ACABADOS"/>
    <n v="3802042.7746875011"/>
    <x v="0"/>
    <s v="ECONÓMICA"/>
    <m/>
    <m/>
  </r>
  <r>
    <x v="24"/>
    <x v="1"/>
    <x v="0"/>
    <x v="0"/>
    <s v="INSPECTOR TORRE 1 ACABADOS"/>
    <n v="3802042.7746875011"/>
    <x v="0"/>
    <s v="ECONÓMICA"/>
    <m/>
    <m/>
  </r>
  <r>
    <x v="24"/>
    <x v="2"/>
    <x v="0"/>
    <x v="0"/>
    <s v="INSPECTOR TORRE 1 ACABADOS"/>
    <n v="3802042.7746875011"/>
    <x v="0"/>
    <s v="ECONÓMICA"/>
    <m/>
    <m/>
  </r>
  <r>
    <x v="24"/>
    <x v="3"/>
    <x v="0"/>
    <x v="0"/>
    <s v="INSPECTOR TORRE 1 ACABADOS"/>
    <n v="3802042.7746875011"/>
    <x v="0"/>
    <s v="ECONÓMICA"/>
    <m/>
    <m/>
  </r>
  <r>
    <x v="24"/>
    <x v="4"/>
    <x v="0"/>
    <x v="0"/>
    <s v="INSPECTOR TORRE 1 ACABADOS"/>
    <n v="3802042.7746875011"/>
    <x v="0"/>
    <s v="ECONÓMICA"/>
    <m/>
    <m/>
  </r>
  <r>
    <x v="24"/>
    <x v="0"/>
    <x v="0"/>
    <x v="0"/>
    <s v="RESIDENTE URBANISMO"/>
    <n v="6891920.4375000019"/>
    <x v="0"/>
    <s v="ECONÓMICA"/>
    <m/>
    <m/>
  </r>
  <r>
    <x v="24"/>
    <x v="1"/>
    <x v="0"/>
    <x v="0"/>
    <s v="RESIDENTE URBANISMO"/>
    <n v="6891920.4375000019"/>
    <x v="0"/>
    <s v="ECONÓMICA"/>
    <m/>
    <m/>
  </r>
  <r>
    <x v="24"/>
    <x v="2"/>
    <x v="0"/>
    <x v="0"/>
    <s v="RESIDENTE URBANISMO"/>
    <n v="6891920.4375000019"/>
    <x v="0"/>
    <s v="ECONÓMICA"/>
    <m/>
    <m/>
  </r>
  <r>
    <x v="24"/>
    <x v="3"/>
    <x v="0"/>
    <x v="0"/>
    <s v="RESIDENTE URBANISMO"/>
    <n v="6891920.4375000019"/>
    <x v="0"/>
    <s v="ECONÓMICA"/>
    <m/>
    <m/>
  </r>
  <r>
    <x v="24"/>
    <x v="4"/>
    <x v="0"/>
    <x v="0"/>
    <s v="RESIDENTE URBANISMO"/>
    <n v="6891920.4375000019"/>
    <x v="0"/>
    <s v="ECONÓMICA"/>
    <m/>
    <m/>
  </r>
  <r>
    <x v="24"/>
    <x v="0"/>
    <x v="0"/>
    <x v="0"/>
    <s v="INSPECTOR URBANISMO"/>
    <n v="3802042.7746875011"/>
    <x v="0"/>
    <s v="ECONÓMICA"/>
    <m/>
    <m/>
  </r>
  <r>
    <x v="24"/>
    <x v="1"/>
    <x v="0"/>
    <x v="0"/>
    <s v="INSPECTOR URBANISMO"/>
    <n v="3802042.7746875011"/>
    <x v="0"/>
    <s v="ECONÓMICA"/>
    <m/>
    <m/>
  </r>
  <r>
    <x v="24"/>
    <x v="2"/>
    <x v="0"/>
    <x v="0"/>
    <s v="INSPECTOR URBANISMO"/>
    <n v="3802042.7746875011"/>
    <x v="0"/>
    <s v="ECONÓMICA"/>
    <m/>
    <m/>
  </r>
  <r>
    <x v="24"/>
    <x v="3"/>
    <x v="0"/>
    <x v="0"/>
    <s v="INSPECTOR URBANISMO"/>
    <n v="3802042.7746875011"/>
    <x v="0"/>
    <s v="ECONÓMICA"/>
    <m/>
    <m/>
  </r>
  <r>
    <x v="24"/>
    <x v="4"/>
    <x v="0"/>
    <x v="0"/>
    <s v="INSPECTOR URBANISMO"/>
    <n v="3802042.7746875011"/>
    <x v="0"/>
    <s v="ECONÓMICA"/>
    <m/>
    <m/>
  </r>
  <r>
    <x v="25"/>
    <x v="0"/>
    <x v="0"/>
    <x v="0"/>
    <s v="DIRECTOR INTERNACIONAL SYASA"/>
    <n v="26786251"/>
    <x v="0"/>
    <s v="CONTRACTUAL"/>
    <m/>
    <m/>
  </r>
  <r>
    <x v="25"/>
    <x v="1"/>
    <x v="0"/>
    <x v="0"/>
    <s v="DIRECTOR INTERNACIONAL SYASA"/>
    <n v="26786251"/>
    <x v="0"/>
    <s v="CONTRACTUAL"/>
    <m/>
    <m/>
  </r>
  <r>
    <x v="25"/>
    <x v="2"/>
    <x v="0"/>
    <x v="0"/>
    <s v="DIRECTOR INTERNACIONAL SYASA"/>
    <n v="26786251"/>
    <x v="0"/>
    <s v="CONTRACTUAL"/>
    <m/>
    <m/>
  </r>
  <r>
    <x v="25"/>
    <x v="0"/>
    <x v="0"/>
    <x v="0"/>
    <s v="DIRECTOR LOCAL (DIRECTOR)"/>
    <n v="15218233.5"/>
    <x v="0"/>
    <s v="CONTRACTUAL"/>
    <m/>
    <m/>
  </r>
  <r>
    <x v="25"/>
    <x v="0"/>
    <x v="0"/>
    <x v="0"/>
    <s v="PROFESIONAL DE ESTRUCTURA"/>
    <n v="6015462"/>
    <x v="0"/>
    <s v="CONTRACTUAL"/>
    <m/>
    <m/>
  </r>
  <r>
    <x v="25"/>
    <x v="0"/>
    <x v="0"/>
    <x v="0"/>
    <s v="PROFESIONAL DE CONTROLES SYASA "/>
    <n v="4757001"/>
    <x v="0"/>
    <s v="CONTRACTUAL"/>
    <m/>
    <m/>
  </r>
  <r>
    <x v="25"/>
    <x v="1"/>
    <x v="0"/>
    <x v="0"/>
    <s v="PROFESIONAL DE CONTROLES SYASA "/>
    <n v="4757001"/>
    <x v="0"/>
    <s v="CONTRACTUAL"/>
    <m/>
    <m/>
  </r>
  <r>
    <x v="25"/>
    <x v="2"/>
    <x v="0"/>
    <x v="0"/>
    <s v="PROFESIONAL DE CONTROLES SYASA "/>
    <n v="4757001"/>
    <x v="0"/>
    <s v="CONTRACTUAL"/>
    <m/>
    <m/>
  </r>
  <r>
    <x v="25"/>
    <x v="3"/>
    <x v="0"/>
    <x v="0"/>
    <s v="PROFESIONAL DE CONTROLES SYASA "/>
    <n v="4757001"/>
    <x v="0"/>
    <s v="CONTRACTUAL"/>
    <m/>
    <m/>
  </r>
  <r>
    <x v="25"/>
    <x v="4"/>
    <x v="0"/>
    <x v="0"/>
    <s v="PROFESIONAL DE CONTROLES SYASA "/>
    <n v="4757001"/>
    <x v="0"/>
    <s v="CONTRACTUAL"/>
    <m/>
    <m/>
  </r>
  <r>
    <x v="25"/>
    <x v="5"/>
    <x v="0"/>
    <x v="0"/>
    <s v="PROFESIONAL DE CONTROLES SYASA "/>
    <n v="4757001"/>
    <x v="0"/>
    <s v="CONTRACTUAL"/>
    <m/>
    <m/>
  </r>
  <r>
    <x v="25"/>
    <x v="6"/>
    <x v="0"/>
    <x v="0"/>
    <s v="PROFESIONAL DE CONTROLES SYASA "/>
    <n v="4757001"/>
    <x v="0"/>
    <s v="CONTRACTUAL"/>
    <m/>
    <m/>
  </r>
  <r>
    <x v="25"/>
    <x v="7"/>
    <x v="0"/>
    <x v="0"/>
    <s v="PROFESIONAL DE CONTROLES SYASA "/>
    <n v="4757001"/>
    <x v="0"/>
    <s v="CONTRACTUAL"/>
    <m/>
    <m/>
  </r>
  <r>
    <x v="25"/>
    <x v="8"/>
    <x v="0"/>
    <x v="0"/>
    <s v="PROFESIONAL DE CONTROLES SYASA "/>
    <n v="4757001"/>
    <x v="0"/>
    <s v="CONTRACTUAL"/>
    <m/>
    <m/>
  </r>
  <r>
    <x v="25"/>
    <x v="9"/>
    <x v="0"/>
    <x v="0"/>
    <s v="PROFESIONAL DE CONTROLES SYASA "/>
    <n v="4757001"/>
    <x v="0"/>
    <s v="CONTRACTUAL"/>
    <m/>
    <m/>
  </r>
  <r>
    <x v="25"/>
    <x v="10"/>
    <x v="0"/>
    <x v="0"/>
    <s v="PROFESIONAL DE CONTROLES SYASA "/>
    <n v="4757001"/>
    <x v="0"/>
    <s v="CONTRACTUAL"/>
    <m/>
    <m/>
  </r>
  <r>
    <x v="25"/>
    <x v="11"/>
    <x v="0"/>
    <x v="0"/>
    <s v="PROFESIONAL DE CONTROLES SYASA "/>
    <n v="4757001"/>
    <x v="0"/>
    <s v="CONTRACTUAL"/>
    <m/>
    <m/>
  </r>
  <r>
    <x v="25"/>
    <x v="12"/>
    <x v="0"/>
    <x v="0"/>
    <s v="PROFESIONAL DE CONTROLES SYASA "/>
    <n v="4757001"/>
    <x v="0"/>
    <s v="CONTRACTUAL"/>
    <m/>
    <m/>
  </r>
  <r>
    <x v="25"/>
    <x v="13"/>
    <x v="0"/>
    <x v="0"/>
    <s v="PROFESIONAL DE CONTROLES SYASA "/>
    <n v="4757001"/>
    <x v="0"/>
    <s v="CONTRACTUAL"/>
    <m/>
    <m/>
  </r>
  <r>
    <x v="25"/>
    <x v="14"/>
    <x v="0"/>
    <x v="0"/>
    <s v="PROFESIONAL DE CONTROLES SYASA "/>
    <n v="4757001"/>
    <x v="0"/>
    <s v="CONTRACTUAL"/>
    <m/>
    <m/>
  </r>
  <r>
    <x v="25"/>
    <x v="15"/>
    <x v="0"/>
    <x v="0"/>
    <s v="PROFESIONAL DE CONTROLES SYASA "/>
    <n v="4757001"/>
    <x v="0"/>
    <s v="CONTRACTUAL"/>
    <m/>
    <m/>
  </r>
  <r>
    <x v="25"/>
    <x v="16"/>
    <x v="0"/>
    <x v="0"/>
    <s v="PROFESIONAL DE CONTROLES SYASA "/>
    <n v="4757001"/>
    <x v="0"/>
    <s v="CONTRACTUAL"/>
    <m/>
    <m/>
  </r>
  <r>
    <x v="25"/>
    <x v="17"/>
    <x v="0"/>
    <x v="0"/>
    <s v="PROFESIONAL DE CONTROLES SYASA "/>
    <n v="4757001"/>
    <x v="0"/>
    <s v="CONTRACTUAL"/>
    <m/>
    <m/>
  </r>
  <r>
    <x v="25"/>
    <x v="18"/>
    <x v="0"/>
    <x v="0"/>
    <s v="PROFESIONAL DE CONTROLES SYASA "/>
    <n v="4757001"/>
    <x v="0"/>
    <s v="CONTRACTUAL"/>
    <m/>
    <m/>
  </r>
  <r>
    <x v="25"/>
    <x v="19"/>
    <x v="0"/>
    <x v="0"/>
    <s v="PROFESIONAL DE CONTROLES SYASA "/>
    <n v="4757001"/>
    <x v="0"/>
    <s v="CONTRACTUAL"/>
    <m/>
    <m/>
  </r>
  <r>
    <x v="25"/>
    <x v="20"/>
    <x v="0"/>
    <x v="0"/>
    <s v="PROFESIONAL DE CONTROLES SYASA "/>
    <n v="4757001"/>
    <x v="0"/>
    <s v="CONTRACTUAL"/>
    <m/>
    <m/>
  </r>
  <r>
    <x v="25"/>
    <x v="21"/>
    <x v="0"/>
    <x v="0"/>
    <s v="PROFESIONAL DE CONTROLES SYASA "/>
    <n v="4757001"/>
    <x v="0"/>
    <s v="CONTRACTUAL"/>
    <m/>
    <m/>
  </r>
  <r>
    <x v="25"/>
    <x v="22"/>
    <x v="0"/>
    <x v="0"/>
    <s v="PROFESIONAL DE CONTROLES SYASA "/>
    <n v="4757001"/>
    <x v="0"/>
    <s v="CONTRACTUAL"/>
    <m/>
    <m/>
  </r>
  <r>
    <x v="25"/>
    <x v="23"/>
    <x v="0"/>
    <x v="0"/>
    <s v="PROFESIONAL DE CONTROLES SYASA "/>
    <n v="4757001"/>
    <x v="0"/>
    <s v="CONTRACTUAL"/>
    <m/>
    <m/>
  </r>
  <r>
    <x v="25"/>
    <x v="24"/>
    <x v="0"/>
    <x v="0"/>
    <s v="PROFESIONAL DE CONTROLES SYASA "/>
    <n v="4757001"/>
    <x v="0"/>
    <s v="CONTRACTUAL"/>
    <m/>
    <m/>
  </r>
  <r>
    <x v="25"/>
    <x v="25"/>
    <x v="0"/>
    <x v="0"/>
    <s v="PROFESIONAL DE CONTROLES SYASA "/>
    <n v="4757001"/>
    <x v="0"/>
    <s v="CONTRACTUAL"/>
    <m/>
    <m/>
  </r>
  <r>
    <x v="25"/>
    <x v="26"/>
    <x v="0"/>
    <x v="0"/>
    <s v="PROFESIONAL DE CONTROLES SYASA "/>
    <n v="4757001"/>
    <x v="0"/>
    <s v="CONTRACTUAL"/>
    <m/>
    <m/>
  </r>
  <r>
    <x v="25"/>
    <x v="27"/>
    <x v="0"/>
    <x v="0"/>
    <s v="PROFESIONAL DE CONTROLES SYASA "/>
    <n v="4757001"/>
    <x v="0"/>
    <s v="CONTRACTUAL"/>
    <m/>
    <m/>
  </r>
  <r>
    <x v="25"/>
    <x v="28"/>
    <x v="0"/>
    <x v="0"/>
    <s v="PROFESIONAL DE CONTROLES SYASA "/>
    <n v="4757001"/>
    <x v="0"/>
    <s v="CONTRACTUAL"/>
    <m/>
    <m/>
  </r>
  <r>
    <x v="25"/>
    <x v="29"/>
    <x v="0"/>
    <x v="0"/>
    <s v="PROFESIONAL DE CONTROLES SYASA "/>
    <n v="4757001"/>
    <x v="0"/>
    <s v="CONTRACTUAL"/>
    <m/>
    <m/>
  </r>
  <r>
    <x v="25"/>
    <x v="30"/>
    <x v="0"/>
    <x v="0"/>
    <s v="PROFESIONAL DE CONTROLES SYASA "/>
    <n v="4757001"/>
    <x v="0"/>
    <s v="CONTRACTUAL"/>
    <m/>
    <m/>
  </r>
  <r>
    <x v="25"/>
    <x v="31"/>
    <x v="0"/>
    <x v="0"/>
    <s v="PROFESIONAL DE CONTROLES SYASA "/>
    <n v="4757001"/>
    <x v="0"/>
    <s v="CONTRACTUAL"/>
    <m/>
    <m/>
  </r>
  <r>
    <x v="25"/>
    <x v="32"/>
    <x v="0"/>
    <x v="0"/>
    <s v="PROFESIONAL DE CONTROLES SYASA "/>
    <n v="4757001"/>
    <x v="0"/>
    <s v="CONTRACTUAL"/>
    <m/>
    <m/>
  </r>
  <r>
    <x v="25"/>
    <x v="33"/>
    <x v="0"/>
    <x v="0"/>
    <s v="PROFESIONAL DE CONTROLES SYASA "/>
    <n v="4757001"/>
    <x v="0"/>
    <s v="CONTRACTUAL"/>
    <m/>
    <m/>
  </r>
  <r>
    <x v="25"/>
    <x v="0"/>
    <x v="0"/>
    <x v="0"/>
    <s v="PROFESIONAL DE CONTROLES "/>
    <n v="6199545"/>
    <x v="0"/>
    <s v="CONTRACTUAL"/>
    <m/>
    <m/>
  </r>
  <r>
    <x v="25"/>
    <x v="1"/>
    <x v="0"/>
    <x v="0"/>
    <s v="PROFESIONAL DE CONTROLES "/>
    <n v="6199545"/>
    <x v="0"/>
    <s v="CONTRACTUAL"/>
    <m/>
    <m/>
  </r>
  <r>
    <x v="25"/>
    <x v="2"/>
    <x v="0"/>
    <x v="0"/>
    <s v="PROFESIONAL DE CONTROLES "/>
    <n v="6199545"/>
    <x v="0"/>
    <s v="CONTRACTUAL"/>
    <m/>
    <m/>
  </r>
  <r>
    <x v="25"/>
    <x v="3"/>
    <x v="0"/>
    <x v="0"/>
    <s v="PROFESIONAL DE CONTROLES "/>
    <n v="6199545"/>
    <x v="0"/>
    <s v="CONTRACTUAL"/>
    <m/>
    <m/>
  </r>
  <r>
    <x v="25"/>
    <x v="4"/>
    <x v="0"/>
    <x v="0"/>
    <s v="PROFESIONAL DE CONTROLES "/>
    <n v="6199545"/>
    <x v="0"/>
    <s v="CONTRACTUAL"/>
    <m/>
    <m/>
  </r>
  <r>
    <x v="25"/>
    <x v="5"/>
    <x v="0"/>
    <x v="0"/>
    <s v="PROFESIONAL DE CONTROLES "/>
    <n v="6199545"/>
    <x v="0"/>
    <s v="CONTRACTUAL"/>
    <m/>
    <m/>
  </r>
  <r>
    <x v="25"/>
    <x v="6"/>
    <x v="0"/>
    <x v="0"/>
    <s v="PROFESIONAL DE CONTROLES "/>
    <n v="6199545"/>
    <x v="0"/>
    <s v="CONTRACTUAL"/>
    <m/>
    <m/>
  </r>
  <r>
    <x v="25"/>
    <x v="7"/>
    <x v="0"/>
    <x v="0"/>
    <s v="PROFESIONAL DE CONTROLES "/>
    <n v="6199545"/>
    <x v="0"/>
    <s v="CONTRACTUAL"/>
    <m/>
    <m/>
  </r>
  <r>
    <x v="25"/>
    <x v="8"/>
    <x v="0"/>
    <x v="0"/>
    <s v="PROFESIONAL DE CONTROLES "/>
    <n v="6199545"/>
    <x v="0"/>
    <s v="CONTRACTUAL"/>
    <m/>
    <m/>
  </r>
  <r>
    <x v="25"/>
    <x v="9"/>
    <x v="0"/>
    <x v="0"/>
    <s v="PROFESIONAL DE CONTROLES "/>
    <n v="6199545"/>
    <x v="0"/>
    <s v="CONTRACTUAL"/>
    <m/>
    <m/>
  </r>
  <r>
    <x v="25"/>
    <x v="10"/>
    <x v="0"/>
    <x v="0"/>
    <s v="PROFESIONAL DE CONTROLES "/>
    <n v="6199545"/>
    <x v="0"/>
    <s v="CONTRACTUAL"/>
    <m/>
    <m/>
  </r>
  <r>
    <x v="25"/>
    <x v="11"/>
    <x v="0"/>
    <x v="0"/>
    <s v="PROFESIONAL DE CONTROLES "/>
    <n v="6199545"/>
    <x v="0"/>
    <s v="CONTRACTUAL"/>
    <m/>
    <m/>
  </r>
  <r>
    <x v="25"/>
    <x v="12"/>
    <x v="0"/>
    <x v="0"/>
    <s v="PROFESIONAL DE CONTROLES "/>
    <n v="6199545"/>
    <x v="0"/>
    <s v="CONTRACTUAL"/>
    <m/>
    <m/>
  </r>
  <r>
    <x v="25"/>
    <x v="13"/>
    <x v="0"/>
    <x v="0"/>
    <s v="PROFESIONAL DE CONTROLES "/>
    <n v="6199545"/>
    <x v="0"/>
    <s v="CONTRACTUAL"/>
    <m/>
    <m/>
  </r>
  <r>
    <x v="25"/>
    <x v="14"/>
    <x v="0"/>
    <x v="0"/>
    <s v="PROFESIONAL DE CONTROLES "/>
    <n v="6199545"/>
    <x v="0"/>
    <s v="CONTRACTUAL"/>
    <m/>
    <m/>
  </r>
  <r>
    <x v="25"/>
    <x v="15"/>
    <x v="0"/>
    <x v="0"/>
    <s v="PROFESIONAL DE CONTROLES "/>
    <n v="6199545"/>
    <x v="0"/>
    <s v="CONTRACTUAL"/>
    <m/>
    <m/>
  </r>
  <r>
    <x v="25"/>
    <x v="16"/>
    <x v="0"/>
    <x v="0"/>
    <s v="PROFESIONAL DE CONTROLES "/>
    <n v="6199545"/>
    <x v="0"/>
    <s v="CONTRACTUAL"/>
    <m/>
    <m/>
  </r>
  <r>
    <x v="25"/>
    <x v="17"/>
    <x v="0"/>
    <x v="0"/>
    <s v="PROFESIONAL DE CONTROLES "/>
    <n v="6199545"/>
    <x v="0"/>
    <s v="CONTRACTUAL"/>
    <m/>
    <m/>
  </r>
  <r>
    <x v="25"/>
    <x v="18"/>
    <x v="0"/>
    <x v="0"/>
    <s v="PROFESIONAL DE CONTROLES "/>
    <n v="6199545"/>
    <x v="0"/>
    <s v="CONTRACTUAL"/>
    <m/>
    <m/>
  </r>
  <r>
    <x v="25"/>
    <x v="19"/>
    <x v="0"/>
    <x v="0"/>
    <s v="PROFESIONAL DE CONTROLES "/>
    <n v="6199545"/>
    <x v="0"/>
    <s v="CONTRACTUAL"/>
    <m/>
    <m/>
  </r>
  <r>
    <x v="25"/>
    <x v="20"/>
    <x v="0"/>
    <x v="0"/>
    <s v="PROFESIONAL DE CONTROLES "/>
    <n v="6199545"/>
    <x v="0"/>
    <s v="CONTRACTUAL"/>
    <m/>
    <m/>
  </r>
  <r>
    <x v="25"/>
    <x v="21"/>
    <x v="0"/>
    <x v="0"/>
    <s v="PROFESIONAL DE CONTROLES "/>
    <n v="6199545"/>
    <x v="0"/>
    <s v="CONTRACTUAL"/>
    <m/>
    <m/>
  </r>
  <r>
    <x v="25"/>
    <x v="22"/>
    <x v="0"/>
    <x v="0"/>
    <s v="PROFESIONAL DE CONTROLES "/>
    <n v="6199545"/>
    <x v="0"/>
    <s v="CONTRACTUAL"/>
    <m/>
    <m/>
  </r>
  <r>
    <x v="25"/>
    <x v="23"/>
    <x v="0"/>
    <x v="0"/>
    <s v="PROFESIONAL DE CONTROLES "/>
    <n v="6199545"/>
    <x v="0"/>
    <s v="CONTRACTUAL"/>
    <m/>
    <m/>
  </r>
  <r>
    <x v="25"/>
    <x v="24"/>
    <x v="0"/>
    <x v="0"/>
    <s v="PROFESIONAL DE CONTROLES "/>
    <n v="6199545"/>
    <x v="0"/>
    <s v="CONTRACTUAL"/>
    <m/>
    <m/>
  </r>
  <r>
    <x v="25"/>
    <x v="25"/>
    <x v="0"/>
    <x v="0"/>
    <s v="PROFESIONAL DE CONTROLES "/>
    <n v="6199545"/>
    <x v="0"/>
    <s v="CONTRACTUAL"/>
    <m/>
    <m/>
  </r>
  <r>
    <x v="25"/>
    <x v="26"/>
    <x v="0"/>
    <x v="0"/>
    <s v="PROFESIONAL DE CONTROLES "/>
    <n v="6199545"/>
    <x v="0"/>
    <s v="CONTRACTUAL"/>
    <m/>
    <m/>
  </r>
  <r>
    <x v="25"/>
    <x v="27"/>
    <x v="0"/>
    <x v="0"/>
    <s v="PROFESIONAL DE CONTROLES "/>
    <n v="6199545"/>
    <x v="0"/>
    <s v="CONTRACTUAL"/>
    <m/>
    <m/>
  </r>
  <r>
    <x v="25"/>
    <x v="28"/>
    <x v="0"/>
    <x v="0"/>
    <s v="PROFESIONAL DE CONTROLES "/>
    <n v="6199545"/>
    <x v="0"/>
    <s v="CONTRACTUAL"/>
    <m/>
    <m/>
  </r>
  <r>
    <x v="25"/>
    <x v="29"/>
    <x v="0"/>
    <x v="0"/>
    <s v="PROFESIONAL DE CONTROLES "/>
    <n v="6199545"/>
    <x v="0"/>
    <s v="CONTRACTUAL"/>
    <m/>
    <m/>
  </r>
  <r>
    <x v="25"/>
    <x v="30"/>
    <x v="0"/>
    <x v="0"/>
    <s v="PROFESIONAL DE CONTROLES "/>
    <n v="6199545"/>
    <x v="0"/>
    <s v="CONTRACTUAL"/>
    <m/>
    <m/>
  </r>
  <r>
    <x v="25"/>
    <x v="31"/>
    <x v="0"/>
    <x v="0"/>
    <s v="PROFESIONAL DE CONTROLES "/>
    <n v="6199545"/>
    <x v="0"/>
    <s v="CONTRACTUAL"/>
    <m/>
    <m/>
  </r>
  <r>
    <x v="25"/>
    <x v="32"/>
    <x v="0"/>
    <x v="0"/>
    <s v="PROFESIONAL DE CONTROLES "/>
    <n v="6199545"/>
    <x v="0"/>
    <s v="CONTRACTUAL"/>
    <m/>
    <m/>
  </r>
  <r>
    <x v="25"/>
    <x v="33"/>
    <x v="0"/>
    <x v="0"/>
    <s v="PROFESIONAL DE CONTROLES "/>
    <n v="6199545"/>
    <x v="0"/>
    <s v="CONTRACTUAL"/>
    <m/>
    <m/>
  </r>
  <r>
    <x v="25"/>
    <x v="0"/>
    <x v="0"/>
    <x v="0"/>
    <s v="RESIDENTE MEP 1"/>
    <n v="6239898"/>
    <x v="0"/>
    <s v="CONTRACTUAL"/>
    <m/>
    <m/>
  </r>
  <r>
    <x v="25"/>
    <x v="1"/>
    <x v="0"/>
    <x v="0"/>
    <s v="RESIDENTE MEP 1"/>
    <n v="6239898"/>
    <x v="0"/>
    <s v="CONTRACTUAL"/>
    <m/>
    <m/>
  </r>
  <r>
    <x v="25"/>
    <x v="2"/>
    <x v="0"/>
    <x v="0"/>
    <s v="RESIDENTE MEP 1"/>
    <n v="6239898"/>
    <x v="0"/>
    <s v="CONTRACTUAL"/>
    <m/>
    <m/>
  </r>
  <r>
    <x v="25"/>
    <x v="3"/>
    <x v="0"/>
    <x v="0"/>
    <s v="RESIDENTE MEP 1"/>
    <n v="6239898"/>
    <x v="0"/>
    <s v="CONTRACTUAL"/>
    <m/>
    <m/>
  </r>
  <r>
    <x v="25"/>
    <x v="4"/>
    <x v="0"/>
    <x v="0"/>
    <s v="RESIDENTE MEP 1"/>
    <n v="6239898"/>
    <x v="0"/>
    <s v="CONTRACTUAL"/>
    <m/>
    <m/>
  </r>
  <r>
    <x v="25"/>
    <x v="5"/>
    <x v="0"/>
    <x v="0"/>
    <s v="RESIDENTE MEP 1"/>
    <n v="6239898"/>
    <x v="0"/>
    <s v="CONTRACTUAL"/>
    <m/>
    <m/>
  </r>
  <r>
    <x v="25"/>
    <x v="6"/>
    <x v="0"/>
    <x v="0"/>
    <s v="RESIDENTE MEP 1"/>
    <n v="6239898"/>
    <x v="0"/>
    <s v="CONTRACTUAL"/>
    <m/>
    <m/>
  </r>
  <r>
    <x v="25"/>
    <x v="7"/>
    <x v="0"/>
    <x v="0"/>
    <s v="RESIDENTE MEP 1"/>
    <n v="6239898"/>
    <x v="0"/>
    <s v="CONTRACTUAL"/>
    <m/>
    <m/>
  </r>
  <r>
    <x v="25"/>
    <x v="0"/>
    <x v="0"/>
    <x v="0"/>
    <s v="RESIDENTE MEP 2"/>
    <n v="7453077"/>
    <x v="0"/>
    <s v="CONTRACTUAL"/>
    <m/>
    <m/>
  </r>
  <r>
    <x v="25"/>
    <x v="1"/>
    <x v="0"/>
    <x v="0"/>
    <s v="RESIDENTE MEP 2"/>
    <n v="7453077"/>
    <x v="0"/>
    <s v="CONTRACTUAL"/>
    <m/>
    <m/>
  </r>
  <r>
    <x v="25"/>
    <x v="2"/>
    <x v="0"/>
    <x v="0"/>
    <s v="RESIDENTE MEP 2"/>
    <n v="7453077"/>
    <x v="0"/>
    <s v="CONTRACTUAL"/>
    <m/>
    <m/>
  </r>
  <r>
    <x v="25"/>
    <x v="3"/>
    <x v="0"/>
    <x v="0"/>
    <s v="RESIDENTE MEP 2"/>
    <n v="7453077"/>
    <x v="0"/>
    <s v="CONTRACTUAL"/>
    <m/>
    <m/>
  </r>
  <r>
    <x v="25"/>
    <x v="4"/>
    <x v="0"/>
    <x v="0"/>
    <s v="RESIDENTE MEP 2"/>
    <n v="7453077"/>
    <x v="0"/>
    <s v="CONTRACTUAL"/>
    <m/>
    <m/>
  </r>
  <r>
    <x v="25"/>
    <x v="5"/>
    <x v="0"/>
    <x v="0"/>
    <s v="RESIDENTE MEP 2"/>
    <n v="7453077"/>
    <x v="0"/>
    <s v="CONTRACTUAL"/>
    <m/>
    <m/>
  </r>
  <r>
    <x v="25"/>
    <x v="6"/>
    <x v="0"/>
    <x v="0"/>
    <s v="RESIDENTE MEP 2"/>
    <n v="7453077"/>
    <x v="0"/>
    <s v="CONTRACTUAL"/>
    <m/>
    <m/>
  </r>
  <r>
    <x v="25"/>
    <x v="7"/>
    <x v="0"/>
    <x v="0"/>
    <s v="RESIDENTE MEP 2"/>
    <n v="7453077"/>
    <x v="0"/>
    <s v="CONTRACTUAL"/>
    <m/>
    <m/>
  </r>
  <r>
    <x v="25"/>
    <x v="8"/>
    <x v="0"/>
    <x v="0"/>
    <s v="RESIDENTE MEP 2"/>
    <n v="7453077"/>
    <x v="0"/>
    <s v="CONTRACTUAL"/>
    <m/>
    <m/>
  </r>
  <r>
    <x v="25"/>
    <x v="9"/>
    <x v="0"/>
    <x v="0"/>
    <s v="RESIDENTE MEP 2"/>
    <n v="7453077"/>
    <x v="0"/>
    <s v="CONTRACTUAL"/>
    <m/>
    <m/>
  </r>
  <r>
    <x v="25"/>
    <x v="10"/>
    <x v="0"/>
    <x v="0"/>
    <s v="RESIDENTE MEP 2"/>
    <n v="7453077"/>
    <x v="0"/>
    <s v="CONTRACTUAL"/>
    <m/>
    <m/>
  </r>
  <r>
    <x v="25"/>
    <x v="11"/>
    <x v="0"/>
    <x v="0"/>
    <s v="RESIDENTE MEP 2"/>
    <n v="7453077"/>
    <x v="0"/>
    <s v="CONTRACTUAL"/>
    <m/>
    <m/>
  </r>
  <r>
    <x v="25"/>
    <x v="12"/>
    <x v="0"/>
    <x v="0"/>
    <s v="RESIDENTE MEP 2"/>
    <n v="7453077"/>
    <x v="0"/>
    <s v="CONTRACTUAL"/>
    <m/>
    <m/>
  </r>
  <r>
    <x v="25"/>
    <x v="0"/>
    <x v="0"/>
    <x v="0"/>
    <s v="INSPECTOR GENERAL"/>
    <n v="3580481.2499999995"/>
    <x v="0"/>
    <s v="CONTRACTUAL"/>
    <m/>
    <m/>
  </r>
  <r>
    <x v="25"/>
    <x v="1"/>
    <x v="0"/>
    <x v="0"/>
    <s v="INSPECTOR GENERAL"/>
    <n v="3580481.2499999995"/>
    <x v="0"/>
    <s v="CONTRACTUAL"/>
    <m/>
    <m/>
  </r>
  <r>
    <x v="25"/>
    <x v="0"/>
    <x v="0"/>
    <x v="0"/>
    <s v="INSPECTOR ESTRUCTURA 2"/>
    <n v="3687130.4999999995"/>
    <x v="0"/>
    <s v="CONTRACTUAL"/>
    <m/>
    <m/>
  </r>
  <r>
    <x v="25"/>
    <x v="1"/>
    <x v="0"/>
    <x v="0"/>
    <s v="INSPECTOR ESTRUCTURA 2"/>
    <n v="3687130.4999999995"/>
    <x v="0"/>
    <s v="CONTRACTUAL"/>
    <m/>
    <m/>
  </r>
  <r>
    <x v="25"/>
    <x v="2"/>
    <x v="0"/>
    <x v="0"/>
    <s v="INSPECTOR ESTRUCTURA 2"/>
    <n v="3687130.4999999995"/>
    <x v="0"/>
    <s v="CONTRACTUAL"/>
    <m/>
    <m/>
  </r>
  <r>
    <x v="25"/>
    <x v="3"/>
    <x v="0"/>
    <x v="0"/>
    <s v="INSPECTOR ESTRUCTURA 2"/>
    <n v="3687130.4999999995"/>
    <x v="0"/>
    <s v="CONTRACTUAL"/>
    <m/>
    <m/>
  </r>
  <r>
    <x v="25"/>
    <x v="0"/>
    <x v="0"/>
    <x v="0"/>
    <s v="INSPECTOR INSTALACIONES 1"/>
    <n v="4479713.6999999993"/>
    <x v="0"/>
    <s v="CONTRACTUAL"/>
    <m/>
    <m/>
  </r>
  <r>
    <x v="25"/>
    <x v="1"/>
    <x v="0"/>
    <x v="0"/>
    <s v="INSPECTOR INSTALACIONES 1"/>
    <n v="4479713.6999999993"/>
    <x v="0"/>
    <s v="CONTRACTUAL"/>
    <m/>
    <m/>
  </r>
  <r>
    <x v="25"/>
    <x v="2"/>
    <x v="0"/>
    <x v="0"/>
    <s v="INSPECTOR INSTALACIONES 1"/>
    <n v="4479713.6999999993"/>
    <x v="0"/>
    <s v="CONTRACTUAL"/>
    <m/>
    <m/>
  </r>
  <r>
    <x v="25"/>
    <x v="3"/>
    <x v="0"/>
    <x v="0"/>
    <s v="INSPECTOR INSTALACIONES 1"/>
    <n v="4479713.6999999993"/>
    <x v="0"/>
    <s v="CONTRACTUAL"/>
    <m/>
    <m/>
  </r>
  <r>
    <x v="25"/>
    <x v="4"/>
    <x v="0"/>
    <x v="0"/>
    <s v="INSPECTOR INSTALACIONES 1"/>
    <n v="4479713.6999999993"/>
    <x v="0"/>
    <s v="CONTRACTUAL"/>
    <m/>
    <m/>
  </r>
  <r>
    <x v="25"/>
    <x v="5"/>
    <x v="0"/>
    <x v="0"/>
    <s v="INSPECTOR INSTALACIONES 1"/>
    <n v="4479713.6999999993"/>
    <x v="0"/>
    <s v="CONTRACTUAL"/>
    <m/>
    <m/>
  </r>
  <r>
    <x v="25"/>
    <x v="6"/>
    <x v="0"/>
    <x v="0"/>
    <s v="INSPECTOR INSTALACIONES 1"/>
    <n v="4479713.6999999993"/>
    <x v="0"/>
    <s v="CONTRACTUAL"/>
    <m/>
    <m/>
  </r>
  <r>
    <x v="25"/>
    <x v="7"/>
    <x v="0"/>
    <x v="0"/>
    <s v="INSPECTOR INSTALACIONES 1"/>
    <n v="4479713.6999999993"/>
    <x v="0"/>
    <s v="CONTRACTUAL"/>
    <m/>
    <m/>
  </r>
  <r>
    <x v="25"/>
    <x v="8"/>
    <x v="0"/>
    <x v="0"/>
    <s v="INSPECTOR INSTALACIONES 1"/>
    <n v="4479713.6999999993"/>
    <x v="0"/>
    <s v="CONTRACTUAL"/>
    <m/>
    <m/>
  </r>
  <r>
    <x v="25"/>
    <x v="9"/>
    <x v="0"/>
    <x v="0"/>
    <s v="INSPECTOR INSTALACIONES 1"/>
    <n v="4479713.6999999993"/>
    <x v="0"/>
    <s v="CONTRACTUAL"/>
    <m/>
    <m/>
  </r>
  <r>
    <x v="25"/>
    <x v="0"/>
    <x v="0"/>
    <x v="0"/>
    <s v="INSPECTOR INSTALACIONES 2"/>
    <n v="4487334.5699999994"/>
    <x v="0"/>
    <s v="CONTRACTUAL"/>
    <m/>
    <m/>
  </r>
  <r>
    <x v="25"/>
    <x v="1"/>
    <x v="0"/>
    <x v="0"/>
    <s v="INSPECTOR INSTALACIONES 2"/>
    <n v="4487334.5699999994"/>
    <x v="0"/>
    <s v="CONTRACTUAL"/>
    <m/>
    <m/>
  </r>
  <r>
    <x v="25"/>
    <x v="0"/>
    <x v="0"/>
    <x v="0"/>
    <s v="INSPECTOR DE ACABADOS 1"/>
    <n v="3611462.4"/>
    <x v="0"/>
    <s v="CONTRACTUAL"/>
    <m/>
    <m/>
  </r>
  <r>
    <x v="25"/>
    <x v="1"/>
    <x v="0"/>
    <x v="0"/>
    <s v="INSPECTOR DE ACABADOS 1"/>
    <n v="3611462.4"/>
    <x v="0"/>
    <s v="CONTRACTUAL"/>
    <m/>
    <m/>
  </r>
  <r>
    <x v="25"/>
    <x v="2"/>
    <x v="0"/>
    <x v="0"/>
    <s v="INSPECTOR DE ACABADOS 1"/>
    <n v="3611462.4"/>
    <x v="0"/>
    <s v="CONTRACTUAL"/>
    <m/>
    <m/>
  </r>
  <r>
    <x v="25"/>
    <x v="3"/>
    <x v="0"/>
    <x v="0"/>
    <s v="INSPECTOR DE ACABADOS 1"/>
    <n v="3611462.4"/>
    <x v="0"/>
    <s v="CONTRACTUAL"/>
    <m/>
    <m/>
  </r>
  <r>
    <x v="25"/>
    <x v="0"/>
    <x v="0"/>
    <x v="0"/>
    <s v="INSPECTOR FACHADA"/>
    <n v="3767611.53"/>
    <x v="0"/>
    <s v="CONTRACTUAL"/>
    <m/>
    <m/>
  </r>
  <r>
    <x v="25"/>
    <x v="1"/>
    <x v="0"/>
    <x v="0"/>
    <s v="INSPECTOR FACHADA"/>
    <n v="3767611.53"/>
    <x v="0"/>
    <s v="CONTRACTUAL"/>
    <m/>
    <m/>
  </r>
  <r>
    <x v="25"/>
    <x v="0"/>
    <x v="0"/>
    <x v="0"/>
    <s v="INSPECTOR DE ACABADOS 2"/>
    <n v="3767611.53"/>
    <x v="0"/>
    <s v="CONTRACTUAL"/>
    <m/>
    <m/>
  </r>
  <r>
    <x v="25"/>
    <x v="1"/>
    <x v="0"/>
    <x v="0"/>
    <s v="INSPECTOR DE ACABADOS 2"/>
    <n v="3767611.53"/>
    <x v="0"/>
    <s v="CONTRACTUAL"/>
    <m/>
    <m/>
  </r>
  <r>
    <x v="25"/>
    <x v="2"/>
    <x v="0"/>
    <x v="0"/>
    <s v="INSPECTOR DE ACABADOS 2"/>
    <n v="3767611.53"/>
    <x v="0"/>
    <s v="CONTRACTUAL"/>
    <m/>
    <m/>
  </r>
  <r>
    <x v="25"/>
    <x v="3"/>
    <x v="0"/>
    <x v="0"/>
    <s v="INSPECTOR DE ACABADOS 2"/>
    <n v="3767611.53"/>
    <x v="0"/>
    <s v="CONTRACTUAL"/>
    <m/>
    <m/>
  </r>
  <r>
    <x v="25"/>
    <x v="3"/>
    <x v="0"/>
    <x v="0"/>
    <s v="SOPORTE GERENCIAL PAYC"/>
    <n v="4477341.0150000006"/>
    <x v="0"/>
    <s v="CONTRACTUAL"/>
    <m/>
    <m/>
  </r>
  <r>
    <x v="25"/>
    <x v="4"/>
    <x v="0"/>
    <x v="0"/>
    <s v="SOPORTE GERENCIAL PAYC"/>
    <n v="4477341.0150000006"/>
    <x v="0"/>
    <s v="CONTRACTUAL"/>
    <m/>
    <m/>
  </r>
  <r>
    <x v="25"/>
    <x v="5"/>
    <x v="0"/>
    <x v="0"/>
    <s v="SOPORTE GERENCIAL PAYC"/>
    <n v="4477341.0150000006"/>
    <x v="0"/>
    <s v="CONTRACTUAL"/>
    <m/>
    <m/>
  </r>
  <r>
    <x v="25"/>
    <x v="6"/>
    <x v="0"/>
    <x v="0"/>
    <s v="SOPORTE GERENCIAL PAYC"/>
    <n v="4477341.0150000006"/>
    <x v="0"/>
    <s v="CONTRACTUAL"/>
    <m/>
    <m/>
  </r>
  <r>
    <x v="25"/>
    <x v="7"/>
    <x v="0"/>
    <x v="0"/>
    <s v="SOPORTE GERENCIAL PAYC"/>
    <n v="4477341.0150000006"/>
    <x v="0"/>
    <s v="CONTRACTUAL"/>
    <m/>
    <m/>
  </r>
  <r>
    <x v="25"/>
    <x v="8"/>
    <x v="0"/>
    <x v="0"/>
    <s v="SOPORTE GERENCIAL PAYC"/>
    <n v="4477341.0150000006"/>
    <x v="0"/>
    <s v="CONTRACTUAL"/>
    <m/>
    <m/>
  </r>
  <r>
    <x v="25"/>
    <x v="9"/>
    <x v="0"/>
    <x v="0"/>
    <s v="SOPORTE GERENCIAL PAYC"/>
    <n v="4477341.0150000006"/>
    <x v="0"/>
    <s v="CONTRACTUAL"/>
    <m/>
    <m/>
  </r>
  <r>
    <x v="25"/>
    <x v="3"/>
    <x v="0"/>
    <x v="0"/>
    <s v="SOPORTE GERENCIAL SYASA 1"/>
    <n v="3062689.7"/>
    <x v="0"/>
    <s v="CONTRACTUAL"/>
    <m/>
    <m/>
  </r>
  <r>
    <x v="25"/>
    <x v="4"/>
    <x v="0"/>
    <x v="0"/>
    <s v="SOPORTE GERENCIAL SYASA 1"/>
    <n v="3062689.7"/>
    <x v="0"/>
    <s v="CONTRACTUAL"/>
    <m/>
    <m/>
  </r>
  <r>
    <x v="25"/>
    <x v="5"/>
    <x v="0"/>
    <x v="0"/>
    <s v="SOPORTE GERENCIAL SYASA 1"/>
    <n v="3062689.7"/>
    <x v="0"/>
    <s v="CONTRACTUAL"/>
    <m/>
    <m/>
  </r>
  <r>
    <x v="25"/>
    <x v="6"/>
    <x v="0"/>
    <x v="0"/>
    <s v="SOPORTE GERENCIAL SYASA 1"/>
    <n v="3062689.7"/>
    <x v="0"/>
    <s v="CONTRACTUAL"/>
    <m/>
    <m/>
  </r>
  <r>
    <x v="25"/>
    <x v="7"/>
    <x v="0"/>
    <x v="0"/>
    <s v="SOPORTE GERENCIAL SYASA 1"/>
    <n v="3062689.7"/>
    <x v="0"/>
    <s v="CONTRACTUAL"/>
    <m/>
    <m/>
  </r>
  <r>
    <x v="25"/>
    <x v="8"/>
    <x v="0"/>
    <x v="0"/>
    <s v="SOPORTE GERENCIAL SYASA 1"/>
    <n v="3062689.7"/>
    <x v="0"/>
    <s v="CONTRACTUAL"/>
    <m/>
    <m/>
  </r>
  <r>
    <x v="25"/>
    <x v="9"/>
    <x v="0"/>
    <x v="0"/>
    <s v="SOPORTE GERENCIAL SYASA 1"/>
    <n v="3062689.7"/>
    <x v="0"/>
    <s v="CONTRACTUAL"/>
    <m/>
    <m/>
  </r>
  <r>
    <x v="25"/>
    <x v="3"/>
    <x v="0"/>
    <x v="0"/>
    <s v="SOPORTE GERENCIAL SYASA 2 "/>
    <n v="4854913"/>
    <x v="0"/>
    <s v="CONTRACTUAL"/>
    <m/>
    <m/>
  </r>
  <r>
    <x v="25"/>
    <x v="4"/>
    <x v="0"/>
    <x v="0"/>
    <s v="SOPORTE GERENCIAL SYASA 2 "/>
    <n v="4854913"/>
    <x v="0"/>
    <s v="CONTRACTUAL"/>
    <m/>
    <m/>
  </r>
  <r>
    <x v="25"/>
    <x v="5"/>
    <x v="0"/>
    <x v="0"/>
    <s v="SOPORTE GERENCIAL SYASA 2 "/>
    <n v="4854913"/>
    <x v="0"/>
    <s v="CONTRACTUAL"/>
    <m/>
    <m/>
  </r>
  <r>
    <x v="25"/>
    <x v="6"/>
    <x v="0"/>
    <x v="0"/>
    <s v="SOPORTE GERENCIAL SYASA 2 "/>
    <n v="4854913"/>
    <x v="0"/>
    <s v="CONTRACTUAL"/>
    <m/>
    <m/>
  </r>
  <r>
    <x v="25"/>
    <x v="7"/>
    <x v="0"/>
    <x v="0"/>
    <s v="SOPORTE GERENCIAL SYASA 2 "/>
    <n v="4854913"/>
    <x v="0"/>
    <s v="CONTRACTUAL"/>
    <m/>
    <m/>
  </r>
  <r>
    <x v="25"/>
    <x v="8"/>
    <x v="0"/>
    <x v="0"/>
    <s v="SOPORTE GERENCIAL SYASA 2 "/>
    <n v="4854913"/>
    <x v="0"/>
    <s v="CONTRACTUAL"/>
    <m/>
    <m/>
  </r>
  <r>
    <x v="25"/>
    <x v="9"/>
    <x v="0"/>
    <x v="0"/>
    <s v="SOPORTE GERENCIAL SYASA 2 "/>
    <n v="4854913"/>
    <x v="0"/>
    <s v="CONTRACTUAL"/>
    <m/>
    <m/>
  </r>
  <r>
    <x v="25"/>
    <x v="3"/>
    <x v="0"/>
    <x v="0"/>
    <s v="DIRECTOR INTERNACIONAL SYASA"/>
    <n v="29161467"/>
    <x v="0"/>
    <s v="CONTRACTUAL"/>
    <m/>
    <m/>
  </r>
  <r>
    <x v="25"/>
    <x v="4"/>
    <x v="0"/>
    <x v="0"/>
    <s v="DIRECTOR INTERNACIONAL SYASA"/>
    <n v="29161467"/>
    <x v="0"/>
    <s v="CONTRACTUAL"/>
    <m/>
    <m/>
  </r>
  <r>
    <x v="25"/>
    <x v="5"/>
    <x v="0"/>
    <x v="0"/>
    <s v="DIRECTOR INTERNACIONAL SYASA"/>
    <n v="29161467"/>
    <x v="0"/>
    <s v="CONTRACTUAL"/>
    <m/>
    <m/>
  </r>
  <r>
    <x v="25"/>
    <x v="6"/>
    <x v="0"/>
    <x v="0"/>
    <s v="DIRECTOR INTERNACIONAL SYASA"/>
    <n v="29161467"/>
    <x v="0"/>
    <s v="CONTRACTUAL"/>
    <m/>
    <m/>
  </r>
  <r>
    <x v="25"/>
    <x v="7"/>
    <x v="0"/>
    <x v="0"/>
    <s v="DIRECTOR INTERNACIONAL SYASA"/>
    <n v="29161467"/>
    <x v="0"/>
    <s v="CONTRACTUAL"/>
    <m/>
    <m/>
  </r>
  <r>
    <x v="25"/>
    <x v="8"/>
    <x v="0"/>
    <x v="0"/>
    <s v="DIRECTOR INTERNACIONAL SYASA"/>
    <n v="29161467"/>
    <x v="0"/>
    <s v="CONTRACTUAL"/>
    <m/>
    <m/>
  </r>
  <r>
    <x v="25"/>
    <x v="9"/>
    <x v="0"/>
    <x v="0"/>
    <s v="DIRECTOR INTERNACIONAL SYASA"/>
    <n v="29161467"/>
    <x v="0"/>
    <s v="CONTRACTUAL"/>
    <m/>
    <m/>
  </r>
  <r>
    <x v="25"/>
    <x v="3"/>
    <x v="0"/>
    <x v="0"/>
    <s v="DIRECTOR LOCAL (DIRECTOR)"/>
    <n v="16582744.5"/>
    <x v="0"/>
    <s v="CONTRACTUAL"/>
    <m/>
    <m/>
  </r>
  <r>
    <x v="25"/>
    <x v="4"/>
    <x v="0"/>
    <x v="0"/>
    <s v="DIRECTOR LOCAL (DIRECTOR)"/>
    <n v="16582744.5"/>
    <x v="0"/>
    <s v="CONTRACTUAL"/>
    <m/>
    <m/>
  </r>
  <r>
    <x v="25"/>
    <x v="5"/>
    <x v="0"/>
    <x v="0"/>
    <s v="DIRECTOR LOCAL (DIRECTOR)"/>
    <n v="16582744.5"/>
    <x v="0"/>
    <s v="CONTRACTUAL"/>
    <m/>
    <m/>
  </r>
  <r>
    <x v="25"/>
    <x v="6"/>
    <x v="0"/>
    <x v="0"/>
    <s v="DIRECTOR LOCAL (DIRECTOR)"/>
    <n v="16582744.5"/>
    <x v="0"/>
    <s v="CONTRACTUAL"/>
    <m/>
    <m/>
  </r>
  <r>
    <x v="25"/>
    <x v="7"/>
    <x v="0"/>
    <x v="0"/>
    <s v="DIRECTOR LOCAL (DIRECTOR)"/>
    <n v="16582744.5"/>
    <x v="0"/>
    <s v="CONTRACTUAL"/>
    <m/>
    <m/>
  </r>
  <r>
    <x v="25"/>
    <x v="8"/>
    <x v="0"/>
    <x v="0"/>
    <s v="DIRECTOR LOCAL (DIRECTOR)"/>
    <n v="16582744.5"/>
    <x v="0"/>
    <s v="CONTRACTUAL"/>
    <m/>
    <m/>
  </r>
  <r>
    <x v="25"/>
    <x v="9"/>
    <x v="0"/>
    <x v="0"/>
    <s v="DIRECTOR LOCAL (DIRECTOR)"/>
    <n v="16582744.5"/>
    <x v="0"/>
    <s v="CONTRACTUAL"/>
    <m/>
    <m/>
  </r>
  <r>
    <x v="25"/>
    <x v="3"/>
    <x v="0"/>
    <x v="0"/>
    <s v="PROFESIONAL DE ACABADOS"/>
    <n v="6633097.5"/>
    <x v="0"/>
    <s v="CONTRACTUAL"/>
    <m/>
    <m/>
  </r>
  <r>
    <x v="25"/>
    <x v="4"/>
    <x v="0"/>
    <x v="0"/>
    <s v="PROFESIONAL DE ACABADOS"/>
    <n v="6633097.5"/>
    <x v="0"/>
    <s v="CONTRACTUAL"/>
    <m/>
    <m/>
  </r>
  <r>
    <x v="25"/>
    <x v="5"/>
    <x v="0"/>
    <x v="0"/>
    <s v="PROFESIONAL DE ACABADOS"/>
    <n v="6633097.5"/>
    <x v="0"/>
    <s v="CONTRACTUAL"/>
    <m/>
    <m/>
  </r>
  <r>
    <x v="25"/>
    <x v="6"/>
    <x v="0"/>
    <x v="0"/>
    <s v="PROFESIONAL DE ACABADOS"/>
    <n v="6633097.5"/>
    <x v="0"/>
    <s v="CONTRACTUAL"/>
    <m/>
    <m/>
  </r>
  <r>
    <x v="25"/>
    <x v="7"/>
    <x v="0"/>
    <x v="0"/>
    <s v="PROFESIONAL DE ACABADOS"/>
    <n v="6633097.5"/>
    <x v="0"/>
    <s v="CONTRACTUAL"/>
    <m/>
    <m/>
  </r>
  <r>
    <x v="25"/>
    <x v="3"/>
    <x v="0"/>
    <x v="0"/>
    <s v="PROFESIONAL DE CONTROLES SYASA "/>
    <n v="5088885"/>
    <x v="0"/>
    <s v="CONTRACTUAL"/>
    <m/>
    <m/>
  </r>
  <r>
    <x v="25"/>
    <x v="4"/>
    <x v="0"/>
    <x v="0"/>
    <s v="PROFESIONAL DE CONTROLES SYASA "/>
    <n v="5088885"/>
    <x v="0"/>
    <s v="CONTRACTUAL"/>
    <m/>
    <m/>
  </r>
  <r>
    <x v="25"/>
    <x v="5"/>
    <x v="0"/>
    <x v="0"/>
    <s v="PROFESIONAL DE CONTROLES SYASA "/>
    <n v="5088885"/>
    <x v="0"/>
    <s v="CONTRACTUAL"/>
    <m/>
    <m/>
  </r>
  <r>
    <x v="25"/>
    <x v="6"/>
    <x v="0"/>
    <x v="0"/>
    <s v="PROFESIONAL DE CONTROLES SYASA "/>
    <n v="5088885"/>
    <x v="0"/>
    <s v="CONTRACTUAL"/>
    <m/>
    <m/>
  </r>
  <r>
    <x v="25"/>
    <x v="7"/>
    <x v="0"/>
    <x v="0"/>
    <s v="PROFESIONAL DE CONTROLES SYASA "/>
    <n v="5088885"/>
    <x v="0"/>
    <s v="CONTRACTUAL"/>
    <m/>
    <m/>
  </r>
  <r>
    <x v="25"/>
    <x v="8"/>
    <x v="0"/>
    <x v="0"/>
    <s v="PROFESIONAL DE CONTROLES SYASA "/>
    <n v="5088885"/>
    <x v="0"/>
    <s v="CONTRACTUAL"/>
    <m/>
    <m/>
  </r>
  <r>
    <x v="25"/>
    <x v="9"/>
    <x v="0"/>
    <x v="0"/>
    <s v="PROFESIONAL DE CONTROLES SYASA "/>
    <n v="5088885"/>
    <x v="0"/>
    <s v="CONTRACTUAL"/>
    <m/>
    <m/>
  </r>
  <r>
    <x v="25"/>
    <x v="3"/>
    <x v="0"/>
    <x v="0"/>
    <s v="PROFESIONAL DE CONTROLES "/>
    <n v="6663097.5"/>
    <x v="0"/>
    <s v="CONTRACTUAL"/>
    <m/>
    <m/>
  </r>
  <r>
    <x v="25"/>
    <x v="4"/>
    <x v="0"/>
    <x v="0"/>
    <s v="PROFESIONAL DE CONTROLES "/>
    <n v="6663097.5"/>
    <x v="0"/>
    <s v="CONTRACTUAL"/>
    <m/>
    <m/>
  </r>
  <r>
    <x v="25"/>
    <x v="5"/>
    <x v="0"/>
    <x v="0"/>
    <s v="PROFESIONAL DE CONTROLES "/>
    <n v="6663097.5"/>
    <x v="0"/>
    <s v="CONTRACTUAL"/>
    <m/>
    <m/>
  </r>
  <r>
    <x v="25"/>
    <x v="6"/>
    <x v="0"/>
    <x v="0"/>
    <s v="PROFESIONAL DE CONTROLES "/>
    <n v="6663097.5"/>
    <x v="0"/>
    <s v="CONTRACTUAL"/>
    <m/>
    <m/>
  </r>
  <r>
    <x v="25"/>
    <x v="7"/>
    <x v="0"/>
    <x v="0"/>
    <s v="PROFESIONAL DE CONTROLES "/>
    <n v="6663097.5"/>
    <x v="0"/>
    <s v="CONTRACTUAL"/>
    <m/>
    <m/>
  </r>
  <r>
    <x v="25"/>
    <x v="8"/>
    <x v="0"/>
    <x v="0"/>
    <s v="PROFESIONAL DE CONTROLES "/>
    <n v="6663097.5"/>
    <x v="0"/>
    <s v="CONTRACTUAL"/>
    <m/>
    <m/>
  </r>
  <r>
    <x v="25"/>
    <x v="9"/>
    <x v="0"/>
    <x v="0"/>
    <s v="PROFESIONAL DE CONTROLES "/>
    <n v="6663097.5"/>
    <x v="0"/>
    <s v="CONTRACTUAL"/>
    <m/>
    <m/>
  </r>
  <r>
    <x v="25"/>
    <x v="3"/>
    <x v="0"/>
    <x v="0"/>
    <s v="RESIDENTE MEP 1"/>
    <n v="6663097.5"/>
    <x v="0"/>
    <s v="CONTRACTUAL"/>
    <m/>
    <m/>
  </r>
  <r>
    <x v="25"/>
    <x v="4"/>
    <x v="0"/>
    <x v="0"/>
    <s v="RESIDENTE MEP 1"/>
    <n v="6663097.5"/>
    <x v="0"/>
    <s v="CONTRACTUAL"/>
    <m/>
    <m/>
  </r>
  <r>
    <x v="25"/>
    <x v="5"/>
    <x v="0"/>
    <x v="0"/>
    <s v="RESIDENTE MEP 1"/>
    <n v="6663097.5"/>
    <x v="0"/>
    <s v="CONTRACTUAL"/>
    <m/>
    <m/>
  </r>
  <r>
    <x v="25"/>
    <x v="6"/>
    <x v="0"/>
    <x v="0"/>
    <s v="RESIDENTE MEP 1"/>
    <n v="6663097.5"/>
    <x v="0"/>
    <s v="CONTRACTUAL"/>
    <m/>
    <m/>
  </r>
  <r>
    <x v="25"/>
    <x v="7"/>
    <x v="0"/>
    <x v="0"/>
    <s v="RESIDENTE MEP 1"/>
    <n v="6663097.5"/>
    <x v="0"/>
    <s v="CONTRACTUAL"/>
    <m/>
    <m/>
  </r>
  <r>
    <x v="25"/>
    <x v="8"/>
    <x v="0"/>
    <x v="0"/>
    <s v="RESIDENTE MEP 1"/>
    <n v="6663097.5"/>
    <x v="0"/>
    <s v="CONTRACTUAL"/>
    <m/>
    <m/>
  </r>
  <r>
    <x v="25"/>
    <x v="9"/>
    <x v="0"/>
    <x v="0"/>
    <s v="RESIDENTE MEP 1"/>
    <n v="6663097.5"/>
    <x v="0"/>
    <s v="CONTRACTUAL"/>
    <m/>
    <m/>
  </r>
  <r>
    <x v="25"/>
    <x v="3"/>
    <x v="0"/>
    <x v="0"/>
    <s v="RESIDENTE MEP 2"/>
    <n v="7922866.5"/>
    <x v="0"/>
    <s v="CONTRACTUAL"/>
    <m/>
    <m/>
  </r>
  <r>
    <x v="25"/>
    <x v="4"/>
    <x v="0"/>
    <x v="0"/>
    <s v="RESIDENTE MEP 2"/>
    <n v="7922866.5"/>
    <x v="0"/>
    <s v="CONTRACTUAL"/>
    <m/>
    <m/>
  </r>
  <r>
    <x v="25"/>
    <x v="5"/>
    <x v="0"/>
    <x v="0"/>
    <s v="RESIDENTE MEP 2"/>
    <n v="7922866.5"/>
    <x v="0"/>
    <s v="CONTRACTUAL"/>
    <m/>
    <m/>
  </r>
  <r>
    <x v="25"/>
    <x v="6"/>
    <x v="0"/>
    <x v="0"/>
    <s v="RESIDENTE MEP 2"/>
    <n v="7922866.5"/>
    <x v="0"/>
    <s v="CONTRACTUAL"/>
    <m/>
    <m/>
  </r>
  <r>
    <x v="25"/>
    <x v="7"/>
    <x v="0"/>
    <x v="0"/>
    <s v="RESIDENTE MEP 2"/>
    <n v="7922866.5"/>
    <x v="0"/>
    <s v="CONTRACTUAL"/>
    <m/>
    <m/>
  </r>
  <r>
    <x v="25"/>
    <x v="8"/>
    <x v="0"/>
    <x v="0"/>
    <s v="RESIDENTE MEP 2"/>
    <n v="7922866.5"/>
    <x v="0"/>
    <s v="CONTRACTUAL"/>
    <m/>
    <m/>
  </r>
  <r>
    <x v="25"/>
    <x v="9"/>
    <x v="0"/>
    <x v="0"/>
    <s v="RESIDENTE MEP 2"/>
    <n v="7922866.5"/>
    <x v="0"/>
    <s v="CONTRACTUAL"/>
    <m/>
    <m/>
  </r>
  <r>
    <x v="25"/>
    <x v="3"/>
    <x v="0"/>
    <x v="0"/>
    <s v="RESIDENTE ADMINISTRATIVO 1"/>
    <n v="7896546"/>
    <x v="0"/>
    <s v="CONTRACTUAL"/>
    <m/>
    <m/>
  </r>
  <r>
    <x v="25"/>
    <x v="4"/>
    <x v="0"/>
    <x v="0"/>
    <s v="RESIDENTE ADMINISTRATIVO 1"/>
    <n v="7896546"/>
    <x v="0"/>
    <s v="CONTRACTUAL"/>
    <m/>
    <m/>
  </r>
  <r>
    <x v="25"/>
    <x v="5"/>
    <x v="0"/>
    <x v="0"/>
    <s v="RESIDENTE ADMINISTRATIVO 1"/>
    <n v="7896546"/>
    <x v="0"/>
    <s v="CONTRACTUAL"/>
    <m/>
    <m/>
  </r>
  <r>
    <x v="25"/>
    <x v="6"/>
    <x v="0"/>
    <x v="0"/>
    <s v="RESIDENTE ADMINISTRATIVO 1"/>
    <n v="7896546"/>
    <x v="0"/>
    <s v="CONTRACTUAL"/>
    <m/>
    <m/>
  </r>
  <r>
    <x v="25"/>
    <x v="7"/>
    <x v="0"/>
    <x v="0"/>
    <s v="RESIDENTE ADMINISTRATIVO 1"/>
    <n v="7896546"/>
    <x v="0"/>
    <s v="CONTRACTUAL"/>
    <m/>
    <m/>
  </r>
  <r>
    <x v="25"/>
    <x v="8"/>
    <x v="0"/>
    <x v="0"/>
    <s v="RESIDENTE ADMINISTRATIVO 1"/>
    <n v="7896546"/>
    <x v="0"/>
    <s v="CONTRACTUAL"/>
    <m/>
    <m/>
  </r>
  <r>
    <x v="25"/>
    <x v="9"/>
    <x v="0"/>
    <x v="0"/>
    <s v="RESIDENTE ADMINISTRATIVO 1"/>
    <n v="7896546"/>
    <x v="0"/>
    <s v="CONTRACTUAL"/>
    <m/>
    <m/>
  </r>
  <r>
    <x v="25"/>
    <x v="3"/>
    <x v="0"/>
    <x v="0"/>
    <s v="RESIDENTE ADMINISTRATIVO 2"/>
    <n v="5159076"/>
    <x v="0"/>
    <s v="CONTRACTUAL"/>
    <m/>
    <m/>
  </r>
  <r>
    <x v="25"/>
    <x v="4"/>
    <x v="0"/>
    <x v="0"/>
    <s v="RESIDENTE ADMINISTRATIVO 2"/>
    <n v="5159076"/>
    <x v="0"/>
    <s v="CONTRACTUAL"/>
    <m/>
    <m/>
  </r>
  <r>
    <x v="25"/>
    <x v="5"/>
    <x v="0"/>
    <x v="0"/>
    <s v="RESIDENTE ADMINISTRATIVO 2"/>
    <n v="5159076"/>
    <x v="0"/>
    <s v="CONTRACTUAL"/>
    <m/>
    <m/>
  </r>
  <r>
    <x v="25"/>
    <x v="6"/>
    <x v="0"/>
    <x v="0"/>
    <s v="RESIDENTE ADMINISTRATIVO 2"/>
    <n v="5159076"/>
    <x v="0"/>
    <s v="CONTRACTUAL"/>
    <m/>
    <m/>
  </r>
  <r>
    <x v="25"/>
    <x v="7"/>
    <x v="0"/>
    <x v="0"/>
    <s v="RESIDENTE ADMINISTRATIVO 2"/>
    <n v="5159076"/>
    <x v="0"/>
    <s v="CONTRACTUAL"/>
    <m/>
    <m/>
  </r>
  <r>
    <x v="25"/>
    <x v="8"/>
    <x v="0"/>
    <x v="0"/>
    <s v="RESIDENTE ADMINISTRATIVO 2"/>
    <n v="5159076"/>
    <x v="0"/>
    <s v="CONTRACTUAL"/>
    <m/>
    <m/>
  </r>
  <r>
    <x v="25"/>
    <x v="9"/>
    <x v="0"/>
    <x v="0"/>
    <s v="RESIDENTE ADMINISTRATIVO 2"/>
    <n v="5159076"/>
    <x v="0"/>
    <s v="CONTRACTUAL"/>
    <m/>
    <m/>
  </r>
  <r>
    <x v="25"/>
    <x v="3"/>
    <x v="0"/>
    <x v="0"/>
    <s v="AUXILIAR ADMINISTRATIVO"/>
    <n v="1658274"/>
    <x v="0"/>
    <s v="CONTRACTUAL"/>
    <m/>
    <m/>
  </r>
  <r>
    <x v="25"/>
    <x v="4"/>
    <x v="0"/>
    <x v="0"/>
    <s v="AUXILIAR ADMINISTRATIVO"/>
    <n v="1658274"/>
    <x v="0"/>
    <s v="CONTRACTUAL"/>
    <m/>
    <m/>
  </r>
  <r>
    <x v="25"/>
    <x v="5"/>
    <x v="0"/>
    <x v="0"/>
    <s v="AUXILIAR ADMINISTRATIVO"/>
    <n v="1658274"/>
    <x v="0"/>
    <s v="CONTRACTUAL"/>
    <m/>
    <m/>
  </r>
  <r>
    <x v="25"/>
    <x v="6"/>
    <x v="0"/>
    <x v="0"/>
    <s v="AUXILIAR ADMINISTRATIVO"/>
    <n v="1658274"/>
    <x v="0"/>
    <s v="CONTRACTUAL"/>
    <m/>
    <m/>
  </r>
  <r>
    <x v="25"/>
    <x v="7"/>
    <x v="0"/>
    <x v="0"/>
    <s v="AUXILIAR ADMINISTRATIVO"/>
    <n v="1658274"/>
    <x v="0"/>
    <s v="CONTRACTUAL"/>
    <m/>
    <m/>
  </r>
  <r>
    <x v="25"/>
    <x v="8"/>
    <x v="0"/>
    <x v="0"/>
    <s v="AUXILIAR ADMINISTRATIVO"/>
    <n v="1658274"/>
    <x v="0"/>
    <s v="CONTRACTUAL"/>
    <m/>
    <m/>
  </r>
  <r>
    <x v="25"/>
    <x v="9"/>
    <x v="0"/>
    <x v="0"/>
    <s v="AUXILIAR ADMINISTRATIVO"/>
    <n v="1658274"/>
    <x v="0"/>
    <s v="CONTRACTUAL"/>
    <m/>
    <m/>
  </r>
  <r>
    <x v="25"/>
    <x v="3"/>
    <x v="0"/>
    <x v="0"/>
    <s v="INSPECTOR GENERAL"/>
    <n v="3906157.7699999996"/>
    <x v="0"/>
    <s v="CONTRACTUAL"/>
    <m/>
    <m/>
  </r>
  <r>
    <x v="25"/>
    <x v="4"/>
    <x v="0"/>
    <x v="0"/>
    <s v="INSPECTOR GENERAL"/>
    <n v="3906157.7699999996"/>
    <x v="0"/>
    <s v="CONTRACTUAL"/>
    <m/>
    <m/>
  </r>
  <r>
    <x v="25"/>
    <x v="5"/>
    <x v="0"/>
    <x v="0"/>
    <s v="INSPECTOR GENERAL"/>
    <n v="3906157.7699999996"/>
    <x v="0"/>
    <s v="CONTRACTUAL"/>
    <m/>
    <m/>
  </r>
  <r>
    <x v="25"/>
    <x v="3"/>
    <x v="0"/>
    <x v="0"/>
    <s v="INSPECTOR INSTALACIONES 1"/>
    <n v="4687389.96"/>
    <x v="0"/>
    <s v="CONTRACTUAL"/>
    <m/>
    <m/>
  </r>
  <r>
    <x v="25"/>
    <x v="3"/>
    <x v="0"/>
    <x v="0"/>
    <s v="INSPECTOR FACHADA"/>
    <n v="3906157.7699999996"/>
    <x v="0"/>
    <s v="CONTRACTUAL"/>
    <m/>
    <m/>
  </r>
  <r>
    <x v="25"/>
    <x v="3"/>
    <x v="0"/>
    <x v="0"/>
    <s v="INSPECTOR DE ACABADOS 2"/>
    <n v="3906157.7699999996"/>
    <x v="0"/>
    <s v="CONTRACTUAL"/>
    <m/>
    <m/>
  </r>
  <r>
    <x v="25"/>
    <x v="4"/>
    <x v="0"/>
    <x v="0"/>
    <s v="INSPECTOR DE ACABADOS 2"/>
    <n v="3906157.7699999996"/>
    <x v="0"/>
    <s v="CONTRACTUAL"/>
    <m/>
    <m/>
  </r>
  <r>
    <x v="25"/>
    <x v="5"/>
    <x v="0"/>
    <x v="0"/>
    <s v="INSPECTOR DE ACABADOS 2"/>
    <n v="3906157.7699999996"/>
    <x v="0"/>
    <s v="CONTRACTUAL"/>
    <m/>
    <m/>
  </r>
  <r>
    <x v="25"/>
    <x v="6"/>
    <x v="0"/>
    <x v="0"/>
    <s v="INSPECTOR DE ACABADOS 2"/>
    <n v="3906157.7699999996"/>
    <x v="0"/>
    <s v="CONTRACTUAL"/>
    <m/>
    <m/>
  </r>
  <r>
    <x v="25"/>
    <x v="7"/>
    <x v="0"/>
    <x v="0"/>
    <s v="INSPECTOR DE ACABADOS 2"/>
    <n v="3906157.7699999996"/>
    <x v="0"/>
    <s v="CONTRACTUAL"/>
    <m/>
    <m/>
  </r>
  <r>
    <x v="25"/>
    <x v="8"/>
    <x v="0"/>
    <x v="0"/>
    <s v="INSPECTOR DE ACABADOS 2"/>
    <n v="3906157.7699999996"/>
    <x v="0"/>
    <s v="CONTRACTUAL"/>
    <m/>
    <m/>
  </r>
  <r>
    <x v="25"/>
    <x v="9"/>
    <x v="0"/>
    <x v="0"/>
    <s v="INSPECTOR DE ACABADOS 2"/>
    <n v="3906157.7699999996"/>
    <x v="0"/>
    <s v="CONTRACTUAL"/>
    <m/>
    <m/>
  </r>
  <r>
    <x v="1"/>
    <x v="0"/>
    <x v="0"/>
    <x v="0"/>
    <s v="COORDINADOR"/>
    <n v="3071827.3950000005"/>
    <x v="0"/>
    <s v="ECONÓMICA"/>
    <m/>
    <m/>
  </r>
  <r>
    <x v="1"/>
    <x v="1"/>
    <x v="0"/>
    <x v="0"/>
    <s v="COORDINADOR"/>
    <n v="3071827.3950000005"/>
    <x v="0"/>
    <s v="ECONÓMICA"/>
    <m/>
    <m/>
  </r>
  <r>
    <x v="1"/>
    <x v="2"/>
    <x v="0"/>
    <x v="0"/>
    <s v="COORDINADOR"/>
    <n v="3071827.3950000005"/>
    <x v="0"/>
    <s v="ECONÓMICA"/>
    <m/>
    <m/>
  </r>
  <r>
    <x v="23"/>
    <x v="0"/>
    <x v="0"/>
    <x v="0"/>
    <s v="COORDINADOR"/>
    <n v="5626057.5000000009"/>
    <x v="0"/>
    <s v="CONTRACTUAL"/>
    <m/>
    <m/>
  </r>
  <r>
    <x v="23"/>
    <x v="1"/>
    <x v="0"/>
    <x v="0"/>
    <s v="COORDINADOR"/>
    <n v="5626057.5000000009"/>
    <x v="0"/>
    <s v="CONTRACTUAL"/>
    <m/>
    <m/>
  </r>
  <r>
    <x v="23"/>
    <x v="2"/>
    <x v="0"/>
    <x v="0"/>
    <s v="COORDINADOR"/>
    <n v="5626057.5000000009"/>
    <x v="0"/>
    <s v="CONTRACTUAL"/>
    <m/>
    <m/>
  </r>
  <r>
    <x v="23"/>
    <x v="3"/>
    <x v="0"/>
    <x v="0"/>
    <s v="COORDINADOR"/>
    <n v="5626057.5000000009"/>
    <x v="0"/>
    <s v="CONTRACTUAL"/>
    <m/>
    <m/>
  </r>
  <r>
    <x v="23"/>
    <x v="4"/>
    <x v="0"/>
    <x v="0"/>
    <s v="COORDINADOR"/>
    <n v="5626057.5000000009"/>
    <x v="0"/>
    <s v="CONTRACTUAL"/>
    <m/>
    <m/>
  </r>
  <r>
    <x v="23"/>
    <x v="5"/>
    <x v="0"/>
    <x v="0"/>
    <s v="COORDINADOR"/>
    <n v="5626057.5000000009"/>
    <x v="0"/>
    <s v="CONTRACTUAL"/>
    <m/>
    <m/>
  </r>
  <r>
    <x v="23"/>
    <x v="0"/>
    <x v="0"/>
    <x v="0"/>
    <s v="DIRECTOR 1A"/>
    <n v="10418625.000000002"/>
    <x v="0"/>
    <s v="CONTRACTUAL"/>
    <m/>
    <m/>
  </r>
  <r>
    <x v="23"/>
    <x v="1"/>
    <x v="0"/>
    <x v="0"/>
    <s v="DIRECTOR 1A"/>
    <n v="10418625.000000002"/>
    <x v="0"/>
    <s v="CONTRACTUAL"/>
    <m/>
    <m/>
  </r>
  <r>
    <x v="23"/>
    <x v="2"/>
    <x v="0"/>
    <x v="0"/>
    <s v="DIRECTOR 1A"/>
    <n v="10418625.000000002"/>
    <x v="0"/>
    <s v="CONTRACTUAL"/>
    <m/>
    <m/>
  </r>
  <r>
    <x v="23"/>
    <x v="3"/>
    <x v="0"/>
    <x v="0"/>
    <s v="DIRECTOR 1A"/>
    <n v="10418625.000000002"/>
    <x v="0"/>
    <s v="CONTRACTUAL"/>
    <m/>
    <m/>
  </r>
  <r>
    <x v="23"/>
    <x v="4"/>
    <x v="0"/>
    <x v="0"/>
    <s v="DIRECTOR 1A"/>
    <n v="10418625.000000002"/>
    <x v="0"/>
    <s v="CONTRACTUAL"/>
    <m/>
    <m/>
  </r>
  <r>
    <x v="23"/>
    <x v="5"/>
    <x v="0"/>
    <x v="0"/>
    <s v="DIRECTOR 1A"/>
    <n v="10418625.000000002"/>
    <x v="0"/>
    <s v="CONTRACTUAL"/>
    <m/>
    <m/>
  </r>
  <r>
    <x v="23"/>
    <x v="0"/>
    <x v="0"/>
    <x v="0"/>
    <s v="DIRECTOR DE CONTRATACIONES"/>
    <n v="887666.85000000009"/>
    <x v="0"/>
    <s v="CONTRACTUAL"/>
    <m/>
    <m/>
  </r>
  <r>
    <x v="23"/>
    <x v="1"/>
    <x v="0"/>
    <x v="0"/>
    <s v="DIRECTOR DE CONTRATACIONES"/>
    <n v="887666.85000000009"/>
    <x v="0"/>
    <s v="CONTRACTUAL"/>
    <m/>
    <m/>
  </r>
  <r>
    <x v="23"/>
    <x v="2"/>
    <x v="0"/>
    <x v="0"/>
    <s v="DIRECTOR DE CONTRATACIONES"/>
    <n v="887666.85000000009"/>
    <x v="0"/>
    <s v="CONTRACTUAL"/>
    <m/>
    <m/>
  </r>
  <r>
    <x v="23"/>
    <x v="3"/>
    <x v="0"/>
    <x v="0"/>
    <s v="DIRECTOR DE CONTRATACIONES"/>
    <n v="887666.85000000009"/>
    <x v="0"/>
    <s v="CONTRACTUAL"/>
    <m/>
    <m/>
  </r>
  <r>
    <x v="23"/>
    <x v="4"/>
    <x v="0"/>
    <x v="0"/>
    <s v="DIRECTOR DE CONTRATACIONES"/>
    <n v="887666.85000000009"/>
    <x v="0"/>
    <s v="CONTRACTUAL"/>
    <m/>
    <m/>
  </r>
  <r>
    <x v="23"/>
    <x v="5"/>
    <x v="0"/>
    <x v="0"/>
    <s v="DIRECTOR DE CONTRATACIONES"/>
    <n v="887666.85000000009"/>
    <x v="0"/>
    <s v="CONTRACTUAL"/>
    <m/>
    <m/>
  </r>
  <r>
    <x v="23"/>
    <x v="0"/>
    <x v="0"/>
    <x v="0"/>
    <s v="PROFESIONAL DE CONTRATACIONES"/>
    <n v="4514737.5000000009"/>
    <x v="0"/>
    <s v="CONTRACTUAL"/>
    <m/>
    <m/>
  </r>
  <r>
    <x v="23"/>
    <x v="1"/>
    <x v="0"/>
    <x v="0"/>
    <s v="PROFESIONAL DE CONTRATACIONES"/>
    <n v="4514737.5000000009"/>
    <x v="0"/>
    <s v="CONTRACTUAL"/>
    <m/>
    <m/>
  </r>
  <r>
    <x v="23"/>
    <x v="2"/>
    <x v="0"/>
    <x v="0"/>
    <s v="PROFESIONAL DE CONTRATACIONES"/>
    <n v="4514737.5000000009"/>
    <x v="0"/>
    <s v="CONTRACTUAL"/>
    <m/>
    <m/>
  </r>
  <r>
    <x v="23"/>
    <x v="3"/>
    <x v="0"/>
    <x v="0"/>
    <s v="PROFESIONAL DE CONTRATACIONES"/>
    <n v="4514737.5000000009"/>
    <x v="0"/>
    <s v="CONTRACTUAL"/>
    <m/>
    <m/>
  </r>
  <r>
    <x v="23"/>
    <x v="4"/>
    <x v="0"/>
    <x v="0"/>
    <s v="PROFESIONAL DE CONTRATACIONES"/>
    <n v="4514737.5000000009"/>
    <x v="0"/>
    <s v="CONTRACTUAL"/>
    <m/>
    <m/>
  </r>
  <r>
    <x v="23"/>
    <x v="5"/>
    <x v="0"/>
    <x v="0"/>
    <s v="PROFESIONAL DE CONTRATACIONES"/>
    <n v="4514737.5000000009"/>
    <x v="0"/>
    <s v="CONTRACTUAL"/>
    <m/>
    <m/>
  </r>
  <r>
    <x v="23"/>
    <x v="0"/>
    <x v="0"/>
    <x v="0"/>
    <s v="RESIDENTE DE INSTALACIONES"/>
    <n v="2448376.8750000005"/>
    <x v="0"/>
    <s v="CONTRACTUAL"/>
    <m/>
    <m/>
  </r>
  <r>
    <x v="23"/>
    <x v="1"/>
    <x v="0"/>
    <x v="0"/>
    <s v="RESIDENTE DE INSTALACIONES"/>
    <n v="2448376.8750000005"/>
    <x v="0"/>
    <s v="CONTRACTUAL"/>
    <m/>
    <m/>
  </r>
  <r>
    <x v="23"/>
    <x v="2"/>
    <x v="0"/>
    <x v="0"/>
    <s v="RESIDENTE DE INSTALACIONES"/>
    <n v="2448376.8750000005"/>
    <x v="0"/>
    <s v="CONTRACTUAL"/>
    <m/>
    <m/>
  </r>
  <r>
    <x v="23"/>
    <x v="3"/>
    <x v="0"/>
    <x v="0"/>
    <s v="RESIDENTE DE INSTALACIONES"/>
    <n v="2448376.8750000005"/>
    <x v="0"/>
    <s v="CONTRACTUAL"/>
    <m/>
    <m/>
  </r>
  <r>
    <x v="23"/>
    <x v="4"/>
    <x v="0"/>
    <x v="0"/>
    <s v="RESIDENTE DE INSTALACIONES"/>
    <n v="2448376.8750000005"/>
    <x v="0"/>
    <s v="CONTRACTUAL"/>
    <m/>
    <m/>
  </r>
  <r>
    <x v="23"/>
    <x v="5"/>
    <x v="0"/>
    <x v="0"/>
    <s v="RESIDENTE DE INSTALACIONES"/>
    <n v="2448376.8750000005"/>
    <x v="0"/>
    <s v="CONTRACTUAL"/>
    <m/>
    <m/>
  </r>
  <r>
    <x v="23"/>
    <x v="0"/>
    <x v="0"/>
    <x v="0"/>
    <s v="RESIDENTE ADMINISTRATIVO"/>
    <n v="5903887.5000000009"/>
    <x v="0"/>
    <s v="CONTRACTUAL"/>
    <m/>
    <m/>
  </r>
  <r>
    <x v="23"/>
    <x v="1"/>
    <x v="0"/>
    <x v="0"/>
    <s v="RESIDENTE ADMINISTRATIVO"/>
    <n v="5903887.5000000009"/>
    <x v="0"/>
    <s v="CONTRACTUAL"/>
    <m/>
    <m/>
  </r>
  <r>
    <x v="23"/>
    <x v="2"/>
    <x v="0"/>
    <x v="0"/>
    <s v="RESIDENTE ADMINISTRATIVO"/>
    <n v="5903887.5000000009"/>
    <x v="0"/>
    <s v="CONTRACTUAL"/>
    <m/>
    <m/>
  </r>
  <r>
    <x v="23"/>
    <x v="3"/>
    <x v="0"/>
    <x v="0"/>
    <s v="RESIDENTE ADMINISTRATIVO"/>
    <n v="5903887.5000000009"/>
    <x v="0"/>
    <s v="CONTRACTUAL"/>
    <m/>
    <m/>
  </r>
  <r>
    <x v="23"/>
    <x v="4"/>
    <x v="0"/>
    <x v="0"/>
    <s v="RESIDENTE ADMINISTRATIVO"/>
    <n v="5903887.5000000009"/>
    <x v="0"/>
    <s v="CONTRACTUAL"/>
    <m/>
    <m/>
  </r>
  <r>
    <x v="23"/>
    <x v="5"/>
    <x v="0"/>
    <x v="0"/>
    <s v="RESIDENTE ADMINISTRATIVO"/>
    <n v="5903887.5000000009"/>
    <x v="0"/>
    <s v="CONTRACTUAL"/>
    <m/>
    <m/>
  </r>
  <r>
    <x v="23"/>
    <x v="0"/>
    <x v="0"/>
    <x v="0"/>
    <s v="AUXILIAR ADMINISTRATIVO "/>
    <n v="2604656.2500000005"/>
    <x v="0"/>
    <s v="CONTRACTUAL"/>
    <m/>
    <m/>
  </r>
  <r>
    <x v="23"/>
    <x v="1"/>
    <x v="0"/>
    <x v="0"/>
    <s v="AUXILIAR ADMINISTRATIVO "/>
    <n v="2604656.2500000005"/>
    <x v="0"/>
    <s v="CONTRACTUAL"/>
    <m/>
    <m/>
  </r>
  <r>
    <x v="23"/>
    <x v="2"/>
    <x v="0"/>
    <x v="0"/>
    <s v="AUXILIAR ADMINISTRATIVO "/>
    <n v="2604656.2500000005"/>
    <x v="0"/>
    <s v="CONTRACTUAL"/>
    <m/>
    <m/>
  </r>
  <r>
    <x v="23"/>
    <x v="3"/>
    <x v="0"/>
    <x v="0"/>
    <s v="AUXILIAR ADMINISTRATIVO "/>
    <n v="2604656.2500000005"/>
    <x v="0"/>
    <s v="CONTRACTUAL"/>
    <m/>
    <m/>
  </r>
  <r>
    <x v="23"/>
    <x v="4"/>
    <x v="0"/>
    <x v="0"/>
    <s v="AUXILIAR ADMINISTRATIVO "/>
    <n v="2604656.2500000005"/>
    <x v="0"/>
    <s v="CONTRACTUAL"/>
    <m/>
    <m/>
  </r>
  <r>
    <x v="23"/>
    <x v="5"/>
    <x v="0"/>
    <x v="0"/>
    <s v="AUXILIAR ADMINISTRATIVO "/>
    <n v="2604656.2500000005"/>
    <x v="0"/>
    <s v="CONTRACTUAL"/>
    <m/>
    <m/>
  </r>
  <r>
    <x v="23"/>
    <x v="0"/>
    <x v="0"/>
    <x v="0"/>
    <s v="INSPECTOR GENERAL"/>
    <n v="4049372.25"/>
    <x v="0"/>
    <s v="CONTRACTUAL"/>
    <m/>
    <m/>
  </r>
  <r>
    <x v="23"/>
    <x v="1"/>
    <x v="0"/>
    <x v="0"/>
    <s v="INSPECTOR GENERAL"/>
    <n v="4049372.25"/>
    <x v="0"/>
    <s v="CONTRACTUAL"/>
    <m/>
    <m/>
  </r>
  <r>
    <x v="23"/>
    <x v="2"/>
    <x v="0"/>
    <x v="0"/>
    <s v="INSPECTOR GENERAL"/>
    <n v="4049372.25"/>
    <x v="0"/>
    <s v="CONTRACTUAL"/>
    <m/>
    <m/>
  </r>
  <r>
    <x v="23"/>
    <x v="3"/>
    <x v="0"/>
    <x v="0"/>
    <s v="INSPECTOR GENERAL"/>
    <n v="4049372.25"/>
    <x v="0"/>
    <s v="CONTRACTUAL"/>
    <m/>
    <m/>
  </r>
  <r>
    <x v="23"/>
    <x v="4"/>
    <x v="0"/>
    <x v="0"/>
    <s v="INSPECTOR GENERAL"/>
    <n v="4049372.25"/>
    <x v="0"/>
    <s v="CONTRACTUAL"/>
    <m/>
    <m/>
  </r>
  <r>
    <x v="23"/>
    <x v="5"/>
    <x v="0"/>
    <x v="0"/>
    <s v="INSPECTOR GENERAL"/>
    <n v="4049372.25"/>
    <x v="0"/>
    <s v="CONTRACTUAL"/>
    <m/>
    <m/>
  </r>
  <r>
    <x v="23"/>
    <x v="0"/>
    <x v="0"/>
    <x v="0"/>
    <s v="INSPECTOR ESTRUCTURA"/>
    <n v="3718059.9750000001"/>
    <x v="0"/>
    <s v="CONTRACTUAL"/>
    <m/>
    <m/>
  </r>
  <r>
    <x v="23"/>
    <x v="1"/>
    <x v="0"/>
    <x v="0"/>
    <s v="INSPECTOR ESTRUCTURA"/>
    <n v="3718059.9750000001"/>
    <x v="0"/>
    <s v="CONTRACTUAL"/>
    <m/>
    <m/>
  </r>
  <r>
    <x v="23"/>
    <x v="2"/>
    <x v="0"/>
    <x v="0"/>
    <s v="INSPECTOR ESTRUCTURA"/>
    <n v="3718059.9750000001"/>
    <x v="0"/>
    <s v="CONTRACTUAL"/>
    <m/>
    <m/>
  </r>
  <r>
    <x v="23"/>
    <x v="3"/>
    <x v="0"/>
    <x v="0"/>
    <s v="INSPECTOR ESTRUCTURA"/>
    <n v="3718059.9750000001"/>
    <x v="0"/>
    <s v="CONTRACTUAL"/>
    <m/>
    <m/>
  </r>
  <r>
    <x v="23"/>
    <x v="4"/>
    <x v="0"/>
    <x v="0"/>
    <s v="INSPECTOR ESTRUCTURA"/>
    <n v="3718059.9750000001"/>
    <x v="0"/>
    <s v="CONTRACTUAL"/>
    <m/>
    <m/>
  </r>
  <r>
    <x v="23"/>
    <x v="5"/>
    <x v="0"/>
    <x v="0"/>
    <s v="INSPECTOR ESTRUCTURA"/>
    <n v="3718059.9750000001"/>
    <x v="0"/>
    <s v="CONTRACTUAL"/>
    <m/>
    <m/>
  </r>
  <r>
    <x v="23"/>
    <x v="0"/>
    <x v="0"/>
    <x v="0"/>
    <s v="INSPECTOR ACABADOS"/>
    <n v="3718059.9750000001"/>
    <x v="0"/>
    <s v="CONTRACTUAL"/>
    <m/>
    <m/>
  </r>
  <r>
    <x v="23"/>
    <x v="1"/>
    <x v="0"/>
    <x v="0"/>
    <s v="INSPECTOR ACABADOS"/>
    <n v="3718059.9750000001"/>
    <x v="0"/>
    <s v="CONTRACTUAL"/>
    <m/>
    <m/>
  </r>
  <r>
    <x v="23"/>
    <x v="2"/>
    <x v="0"/>
    <x v="0"/>
    <s v="INSPECTOR ACABADOS"/>
    <n v="3718059.9750000001"/>
    <x v="0"/>
    <s v="CONTRACTUAL"/>
    <m/>
    <m/>
  </r>
  <r>
    <x v="23"/>
    <x v="3"/>
    <x v="0"/>
    <x v="0"/>
    <s v="INSPECTOR ACABADOS"/>
    <n v="3718059.9750000001"/>
    <x v="0"/>
    <s v="CONTRACTUAL"/>
    <m/>
    <m/>
  </r>
  <r>
    <x v="23"/>
    <x v="4"/>
    <x v="0"/>
    <x v="0"/>
    <s v="INSPECTOR ACABADOS"/>
    <n v="3718059.9750000001"/>
    <x v="0"/>
    <s v="CONTRACTUAL"/>
    <m/>
    <m/>
  </r>
  <r>
    <x v="23"/>
    <x v="5"/>
    <x v="0"/>
    <x v="0"/>
    <s v="INSPECTOR ACABADOS"/>
    <n v="3718059.9750000001"/>
    <x v="0"/>
    <s v="CONTRACTUAL"/>
    <m/>
    <m/>
  </r>
  <r>
    <x v="23"/>
    <x v="0"/>
    <x v="0"/>
    <x v="0"/>
    <s v="INSPECTOR INSTALACIONES"/>
    <n v="4049372.25"/>
    <x v="0"/>
    <s v="CONTRACTUAL"/>
    <m/>
    <m/>
  </r>
  <r>
    <x v="23"/>
    <x v="1"/>
    <x v="0"/>
    <x v="0"/>
    <s v="INSPECTOR INSTALACIONES"/>
    <n v="4049372.25"/>
    <x v="0"/>
    <s v="CONTRACTUAL"/>
    <m/>
    <m/>
  </r>
  <r>
    <x v="23"/>
    <x v="2"/>
    <x v="0"/>
    <x v="0"/>
    <s v="INSPECTOR INSTALACIONES"/>
    <n v="4049372.25"/>
    <x v="0"/>
    <s v="CONTRACTUAL"/>
    <m/>
    <m/>
  </r>
  <r>
    <x v="23"/>
    <x v="3"/>
    <x v="0"/>
    <x v="0"/>
    <s v="INSPECTOR INSTALACIONES"/>
    <n v="4049372.25"/>
    <x v="0"/>
    <s v="CONTRACTUAL"/>
    <m/>
    <m/>
  </r>
  <r>
    <x v="23"/>
    <x v="4"/>
    <x v="0"/>
    <x v="0"/>
    <s v="INSPECTOR INSTALACIONES"/>
    <n v="4049372.25"/>
    <x v="0"/>
    <s v="CONTRACTUAL"/>
    <m/>
    <m/>
  </r>
  <r>
    <x v="23"/>
    <x v="5"/>
    <x v="0"/>
    <x v="0"/>
    <s v="INSPECTOR INSTALACIONES"/>
    <n v="4049372.25"/>
    <x v="0"/>
    <s v="CONTRACTUAL"/>
    <m/>
    <m/>
  </r>
  <r>
    <x v="23"/>
    <x v="0"/>
    <x v="0"/>
    <x v="0"/>
    <s v="RESIDENTE PLANEACION - LOGISTICA"/>
    <n v="6221250"/>
    <x v="0"/>
    <s v="CONTRACTUAL"/>
    <m/>
    <m/>
  </r>
  <r>
    <x v="23"/>
    <x v="1"/>
    <x v="0"/>
    <x v="0"/>
    <s v="RESIDENTE PLANEACION - LOGISTICA"/>
    <n v="6221250"/>
    <x v="0"/>
    <s v="CONTRACTUAL"/>
    <m/>
    <m/>
  </r>
  <r>
    <x v="23"/>
    <x v="0"/>
    <x v="0"/>
    <x v="0"/>
    <s v="RESIDENTE TORRE 5"/>
    <n v="6221250"/>
    <x v="0"/>
    <s v="CONTRACTUAL"/>
    <m/>
    <m/>
  </r>
  <r>
    <x v="23"/>
    <x v="1"/>
    <x v="0"/>
    <x v="0"/>
    <s v="RESIDENTE TORRE 5"/>
    <n v="6221250"/>
    <x v="0"/>
    <s v="CONTRACTUAL"/>
    <m/>
    <m/>
  </r>
  <r>
    <x v="23"/>
    <x v="2"/>
    <x v="0"/>
    <x v="0"/>
    <s v="RESIDENTE TORRE 5"/>
    <n v="6221250"/>
    <x v="0"/>
    <s v="CONTRACTUAL"/>
    <m/>
    <m/>
  </r>
  <r>
    <x v="23"/>
    <x v="3"/>
    <x v="0"/>
    <x v="0"/>
    <s v="RESIDENTE TORRE 5"/>
    <n v="6221250"/>
    <x v="0"/>
    <s v="CONTRACTUAL"/>
    <m/>
    <m/>
  </r>
  <r>
    <x v="23"/>
    <x v="0"/>
    <x v="0"/>
    <x v="0"/>
    <s v="RESIDENTE VENTANERIA CARPINTERÍA METÁLICA"/>
    <n v="6221250"/>
    <x v="0"/>
    <s v="CONTRACTUAL"/>
    <m/>
    <m/>
  </r>
  <r>
    <x v="23"/>
    <x v="0"/>
    <x v="0"/>
    <x v="0"/>
    <s v="INSPECTOR PLATAFORMAS"/>
    <n v="4123664.9999999995"/>
    <x v="0"/>
    <s v="CONTRACTUAL"/>
    <m/>
    <m/>
  </r>
  <r>
    <x v="23"/>
    <x v="1"/>
    <x v="0"/>
    <x v="0"/>
    <s v="INSPECTOR PLATAFORMAS"/>
    <n v="4123664.9999999995"/>
    <x v="0"/>
    <s v="CONTRACTUAL"/>
    <m/>
    <m/>
  </r>
  <r>
    <x v="23"/>
    <x v="2"/>
    <x v="0"/>
    <x v="0"/>
    <s v="INSPECTOR PLATAFORMAS"/>
    <n v="4123664.9999999995"/>
    <x v="0"/>
    <s v="CONTRACTUAL"/>
    <m/>
    <m/>
  </r>
  <r>
    <x v="23"/>
    <x v="0"/>
    <x v="0"/>
    <x v="0"/>
    <s v="INSPECTOR INSTALACIONES"/>
    <n v="4123664.9999999995"/>
    <x v="0"/>
    <s v="CONTRACTUAL"/>
    <m/>
    <m/>
  </r>
  <r>
    <x v="23"/>
    <x v="1"/>
    <x v="0"/>
    <x v="0"/>
    <s v="INSPECTOR INSTALACIONES"/>
    <n v="4123664.9999999995"/>
    <x v="0"/>
    <s v="CONTRACTUAL"/>
    <m/>
    <m/>
  </r>
  <r>
    <x v="23"/>
    <x v="2"/>
    <x v="0"/>
    <x v="0"/>
    <s v="INSPECTOR INSTALACIONES"/>
    <n v="4123664.9999999995"/>
    <x v="0"/>
    <s v="CONTRACTUAL"/>
    <m/>
    <m/>
  </r>
  <r>
    <x v="23"/>
    <x v="3"/>
    <x v="0"/>
    <x v="0"/>
    <s v="INSPECTOR INSTALACIONES"/>
    <n v="4123664.9999999995"/>
    <x v="0"/>
    <s v="CONTRACTUAL"/>
    <m/>
    <m/>
  </r>
  <r>
    <x v="26"/>
    <x v="0"/>
    <x v="0"/>
    <x v="0"/>
    <s v="COORDINADOR"/>
    <n v="3572100"/>
    <x v="0"/>
    <s v="ECONÓMICA"/>
    <m/>
    <m/>
  </r>
  <r>
    <x v="26"/>
    <x v="1"/>
    <x v="0"/>
    <x v="0"/>
    <s v="COORDINADOR"/>
    <n v="3572100"/>
    <x v="0"/>
    <s v="ECONÓMICA"/>
    <m/>
    <m/>
  </r>
  <r>
    <x v="26"/>
    <x v="2"/>
    <x v="0"/>
    <x v="0"/>
    <s v="COORDINADOR"/>
    <n v="3572100"/>
    <x v="0"/>
    <s v="ECONÓMICA"/>
    <m/>
    <m/>
  </r>
  <r>
    <x v="26"/>
    <x v="3"/>
    <x v="0"/>
    <x v="0"/>
    <s v="COORDINADOR"/>
    <n v="3572100"/>
    <x v="0"/>
    <s v="ECONÓMICA"/>
    <m/>
    <m/>
  </r>
  <r>
    <x v="26"/>
    <x v="4"/>
    <x v="0"/>
    <x v="0"/>
    <s v="COORDINADOR"/>
    <n v="3572100"/>
    <x v="0"/>
    <s v="ECONÓMICA"/>
    <m/>
    <m/>
  </r>
  <r>
    <x v="26"/>
    <x v="5"/>
    <x v="0"/>
    <x v="0"/>
    <s v="COORDINADOR"/>
    <n v="3572100"/>
    <x v="0"/>
    <s v="ECONÓMICA"/>
    <m/>
    <m/>
  </r>
  <r>
    <x v="26"/>
    <x v="6"/>
    <x v="0"/>
    <x v="0"/>
    <s v="COORDINADOR"/>
    <n v="3572100"/>
    <x v="0"/>
    <s v="ECONÓMICA"/>
    <m/>
    <m/>
  </r>
  <r>
    <x v="26"/>
    <x v="7"/>
    <x v="0"/>
    <x v="0"/>
    <s v="COORDINADOR"/>
    <n v="3572100"/>
    <x v="0"/>
    <s v="ECONÓMICA"/>
    <m/>
    <m/>
  </r>
  <r>
    <x v="26"/>
    <x v="8"/>
    <x v="0"/>
    <x v="0"/>
    <s v="COORDINADOR"/>
    <n v="3572100"/>
    <x v="0"/>
    <s v="ECONÓMICA"/>
    <m/>
    <m/>
  </r>
  <r>
    <x v="26"/>
    <x v="9"/>
    <x v="0"/>
    <x v="0"/>
    <s v="COORDINADOR"/>
    <n v="3572100"/>
    <x v="0"/>
    <s v="ECONÓMICA"/>
    <m/>
    <m/>
  </r>
  <r>
    <x v="26"/>
    <x v="10"/>
    <x v="0"/>
    <x v="0"/>
    <s v="COORDINADOR"/>
    <n v="3572100"/>
    <x v="0"/>
    <s v="ECONÓMICA"/>
    <m/>
    <m/>
  </r>
  <r>
    <x v="26"/>
    <x v="11"/>
    <x v="0"/>
    <x v="0"/>
    <s v="COORDINADOR"/>
    <n v="3572100"/>
    <x v="0"/>
    <s v="ECONÓMICA"/>
    <m/>
    <m/>
  </r>
  <r>
    <x v="26"/>
    <x v="12"/>
    <x v="0"/>
    <x v="0"/>
    <s v="COORDINADOR"/>
    <n v="3572100"/>
    <x v="0"/>
    <s v="ECONÓMICA"/>
    <m/>
    <m/>
  </r>
  <r>
    <x v="26"/>
    <x v="13"/>
    <x v="0"/>
    <x v="0"/>
    <s v="COORDINADOR"/>
    <n v="3572100"/>
    <x v="0"/>
    <s v="ECONÓMICA"/>
    <m/>
    <m/>
  </r>
  <r>
    <x v="26"/>
    <x v="14"/>
    <x v="0"/>
    <x v="0"/>
    <s v="COORDINADOR"/>
    <n v="3572100"/>
    <x v="0"/>
    <s v="ECONÓMICA"/>
    <m/>
    <m/>
  </r>
  <r>
    <x v="26"/>
    <x v="15"/>
    <x v="0"/>
    <x v="0"/>
    <s v="COORDINADOR"/>
    <n v="3572100"/>
    <x v="0"/>
    <s v="ECONÓMICA"/>
    <m/>
    <m/>
  </r>
  <r>
    <x v="26"/>
    <x v="16"/>
    <x v="0"/>
    <x v="0"/>
    <s v="COORDINADOR"/>
    <n v="3572100"/>
    <x v="0"/>
    <s v="ECONÓMICA"/>
    <m/>
    <m/>
  </r>
  <r>
    <x v="26"/>
    <x v="17"/>
    <x v="0"/>
    <x v="0"/>
    <s v="COORDINADOR"/>
    <n v="3572100"/>
    <x v="0"/>
    <s v="ECONÓMICA"/>
    <m/>
    <m/>
  </r>
  <r>
    <x v="26"/>
    <x v="18"/>
    <x v="0"/>
    <x v="0"/>
    <s v="COORDINADOR"/>
    <n v="3572100"/>
    <x v="0"/>
    <s v="ECONÓMICA"/>
    <m/>
    <m/>
  </r>
  <r>
    <x v="26"/>
    <x v="19"/>
    <x v="0"/>
    <x v="0"/>
    <s v="COORDINADOR"/>
    <n v="3572100"/>
    <x v="0"/>
    <s v="ECONÓMICA"/>
    <m/>
    <m/>
  </r>
  <r>
    <x v="26"/>
    <x v="20"/>
    <x v="0"/>
    <x v="0"/>
    <s v="COORDINADOR"/>
    <n v="3572100"/>
    <x v="0"/>
    <s v="ECONÓMICA"/>
    <m/>
    <m/>
  </r>
  <r>
    <x v="26"/>
    <x v="0"/>
    <x v="0"/>
    <x v="0"/>
    <s v="DIRECTOR"/>
    <n v="10087875"/>
    <x v="0"/>
    <s v="ECONÓMICA"/>
    <m/>
    <m/>
  </r>
  <r>
    <x v="26"/>
    <x v="1"/>
    <x v="0"/>
    <x v="0"/>
    <s v="DIRECTOR"/>
    <n v="10087875"/>
    <x v="0"/>
    <s v="ECONÓMICA"/>
    <m/>
    <m/>
  </r>
  <r>
    <x v="26"/>
    <x v="2"/>
    <x v="0"/>
    <x v="0"/>
    <s v="DIRECTOR"/>
    <n v="10087875"/>
    <x v="0"/>
    <s v="ECONÓMICA"/>
    <m/>
    <m/>
  </r>
  <r>
    <x v="26"/>
    <x v="3"/>
    <x v="0"/>
    <x v="0"/>
    <s v="DIRECTOR"/>
    <n v="10087875"/>
    <x v="0"/>
    <s v="ECONÓMICA"/>
    <m/>
    <m/>
  </r>
  <r>
    <x v="26"/>
    <x v="4"/>
    <x v="0"/>
    <x v="0"/>
    <s v="DIRECTOR"/>
    <n v="10087875"/>
    <x v="0"/>
    <s v="ECONÓMICA"/>
    <m/>
    <m/>
  </r>
  <r>
    <x v="26"/>
    <x v="5"/>
    <x v="0"/>
    <x v="0"/>
    <s v="DIRECTOR"/>
    <n v="10087875"/>
    <x v="0"/>
    <s v="ECONÓMICA"/>
    <m/>
    <m/>
  </r>
  <r>
    <x v="26"/>
    <x v="6"/>
    <x v="0"/>
    <x v="0"/>
    <s v="DIRECTOR"/>
    <n v="10087875"/>
    <x v="0"/>
    <s v="ECONÓMICA"/>
    <m/>
    <m/>
  </r>
  <r>
    <x v="26"/>
    <x v="7"/>
    <x v="0"/>
    <x v="0"/>
    <s v="DIRECTOR"/>
    <n v="10087875"/>
    <x v="0"/>
    <s v="ECONÓMICA"/>
    <m/>
    <m/>
  </r>
  <r>
    <x v="26"/>
    <x v="8"/>
    <x v="0"/>
    <x v="0"/>
    <s v="DIRECTOR"/>
    <n v="10087875"/>
    <x v="0"/>
    <s v="ECONÓMICA"/>
    <m/>
    <m/>
  </r>
  <r>
    <x v="26"/>
    <x v="9"/>
    <x v="0"/>
    <x v="0"/>
    <s v="DIRECTOR"/>
    <n v="10087875"/>
    <x v="0"/>
    <s v="ECONÓMICA"/>
    <m/>
    <m/>
  </r>
  <r>
    <x v="26"/>
    <x v="10"/>
    <x v="0"/>
    <x v="0"/>
    <s v="DIRECTOR"/>
    <n v="10087875"/>
    <x v="0"/>
    <s v="ECONÓMICA"/>
    <m/>
    <m/>
  </r>
  <r>
    <x v="26"/>
    <x v="11"/>
    <x v="0"/>
    <x v="0"/>
    <s v="DIRECTOR"/>
    <n v="10087875"/>
    <x v="0"/>
    <s v="ECONÓMICA"/>
    <m/>
    <m/>
  </r>
  <r>
    <x v="26"/>
    <x v="12"/>
    <x v="0"/>
    <x v="0"/>
    <s v="DIRECTOR"/>
    <n v="10087875"/>
    <x v="0"/>
    <s v="ECONÓMICA"/>
    <m/>
    <m/>
  </r>
  <r>
    <x v="26"/>
    <x v="13"/>
    <x v="0"/>
    <x v="0"/>
    <s v="DIRECTOR"/>
    <n v="10087875"/>
    <x v="0"/>
    <s v="ECONÓMICA"/>
    <m/>
    <m/>
  </r>
  <r>
    <x v="26"/>
    <x v="14"/>
    <x v="0"/>
    <x v="0"/>
    <s v="DIRECTOR"/>
    <n v="10087875"/>
    <x v="0"/>
    <s v="ECONÓMICA"/>
    <m/>
    <m/>
  </r>
  <r>
    <x v="26"/>
    <x v="15"/>
    <x v="0"/>
    <x v="0"/>
    <s v="DIRECTOR"/>
    <n v="10087875"/>
    <x v="0"/>
    <s v="ECONÓMICA"/>
    <m/>
    <m/>
  </r>
  <r>
    <x v="26"/>
    <x v="16"/>
    <x v="0"/>
    <x v="0"/>
    <s v="DIRECTOR"/>
    <n v="10087875"/>
    <x v="0"/>
    <s v="ECONÓMICA"/>
    <m/>
    <m/>
  </r>
  <r>
    <x v="26"/>
    <x v="17"/>
    <x v="0"/>
    <x v="0"/>
    <s v="DIRECTOR"/>
    <n v="10087875"/>
    <x v="0"/>
    <s v="ECONÓMICA"/>
    <m/>
    <m/>
  </r>
  <r>
    <x v="26"/>
    <x v="18"/>
    <x v="0"/>
    <x v="0"/>
    <s v="DIRECTOR"/>
    <n v="10087875"/>
    <x v="0"/>
    <s v="ECONÓMICA"/>
    <m/>
    <m/>
  </r>
  <r>
    <x v="26"/>
    <x v="19"/>
    <x v="0"/>
    <x v="0"/>
    <s v="DIRECTOR"/>
    <n v="10087875"/>
    <x v="0"/>
    <s v="ECONÓMICA"/>
    <m/>
    <m/>
  </r>
  <r>
    <x v="26"/>
    <x v="20"/>
    <x v="0"/>
    <x v="0"/>
    <s v="DIRECTOR"/>
    <n v="10087875"/>
    <x v="0"/>
    <s v="ECONÓMICA"/>
    <m/>
    <m/>
  </r>
  <r>
    <x v="26"/>
    <x v="0"/>
    <x v="0"/>
    <x v="0"/>
    <s v="RESIDENTE TÉCNICO"/>
    <n v="7594316.1000000006"/>
    <x v="0"/>
    <s v="ECONÓMICA"/>
    <m/>
    <m/>
  </r>
  <r>
    <x v="26"/>
    <x v="1"/>
    <x v="0"/>
    <x v="0"/>
    <s v="RESIDENTE TÉCNICO"/>
    <n v="7594316.1000000006"/>
    <x v="0"/>
    <s v="ECONÓMICA"/>
    <m/>
    <m/>
  </r>
  <r>
    <x v="26"/>
    <x v="2"/>
    <x v="0"/>
    <x v="0"/>
    <s v="RESIDENTE TÉCNICO"/>
    <n v="7594316.1000000006"/>
    <x v="0"/>
    <s v="ECONÓMICA"/>
    <m/>
    <m/>
  </r>
  <r>
    <x v="26"/>
    <x v="3"/>
    <x v="0"/>
    <x v="0"/>
    <s v="RESIDENTE TÉCNICO"/>
    <n v="7594316.1000000006"/>
    <x v="0"/>
    <s v="ECONÓMICA"/>
    <m/>
    <m/>
  </r>
  <r>
    <x v="26"/>
    <x v="4"/>
    <x v="0"/>
    <x v="0"/>
    <s v="RESIDENTE TÉCNICO"/>
    <n v="7594316.1000000006"/>
    <x v="0"/>
    <s v="ECONÓMICA"/>
    <m/>
    <m/>
  </r>
  <r>
    <x v="26"/>
    <x v="5"/>
    <x v="0"/>
    <x v="0"/>
    <s v="RESIDENTE TÉCNICO"/>
    <n v="7594316.1000000006"/>
    <x v="0"/>
    <s v="ECONÓMICA"/>
    <m/>
    <m/>
  </r>
  <r>
    <x v="26"/>
    <x v="6"/>
    <x v="0"/>
    <x v="0"/>
    <s v="RESIDENTE TÉCNICO"/>
    <n v="7594316.1000000006"/>
    <x v="0"/>
    <s v="ECONÓMICA"/>
    <m/>
    <m/>
  </r>
  <r>
    <x v="26"/>
    <x v="7"/>
    <x v="0"/>
    <x v="0"/>
    <s v="RESIDENTE TÉCNICO"/>
    <n v="7594316.1000000006"/>
    <x v="0"/>
    <s v="ECONÓMICA"/>
    <m/>
    <m/>
  </r>
  <r>
    <x v="26"/>
    <x v="8"/>
    <x v="0"/>
    <x v="0"/>
    <s v="RESIDENTE TÉCNICO"/>
    <n v="7594316.1000000006"/>
    <x v="0"/>
    <s v="ECONÓMICA"/>
    <m/>
    <m/>
  </r>
  <r>
    <x v="26"/>
    <x v="9"/>
    <x v="0"/>
    <x v="0"/>
    <s v="RESIDENTE TÉCNICO"/>
    <n v="7594316.1000000006"/>
    <x v="0"/>
    <s v="ECONÓMICA"/>
    <m/>
    <m/>
  </r>
  <r>
    <x v="26"/>
    <x v="10"/>
    <x v="0"/>
    <x v="0"/>
    <s v="RESIDENTE TÉCNICO"/>
    <n v="7594316.1000000006"/>
    <x v="0"/>
    <s v="ECONÓMICA"/>
    <m/>
    <m/>
  </r>
  <r>
    <x v="26"/>
    <x v="11"/>
    <x v="0"/>
    <x v="0"/>
    <s v="RESIDENTE TÉCNICO"/>
    <n v="7594316.1000000006"/>
    <x v="0"/>
    <s v="ECONÓMICA"/>
    <m/>
    <m/>
  </r>
  <r>
    <x v="26"/>
    <x v="12"/>
    <x v="0"/>
    <x v="0"/>
    <s v="RESIDENTE TÉCNICO"/>
    <n v="7594316.1000000006"/>
    <x v="0"/>
    <s v="ECONÓMICA"/>
    <m/>
    <m/>
  </r>
  <r>
    <x v="26"/>
    <x v="13"/>
    <x v="0"/>
    <x v="0"/>
    <s v="RESIDENTE TÉCNICO"/>
    <n v="7594316.1000000006"/>
    <x v="0"/>
    <s v="ECONÓMICA"/>
    <m/>
    <m/>
  </r>
  <r>
    <x v="26"/>
    <x v="14"/>
    <x v="0"/>
    <x v="0"/>
    <s v="RESIDENTE TÉCNICO"/>
    <n v="7594316.1000000006"/>
    <x v="0"/>
    <s v="ECONÓMICA"/>
    <m/>
    <m/>
  </r>
  <r>
    <x v="26"/>
    <x v="15"/>
    <x v="0"/>
    <x v="0"/>
    <s v="RESIDENTE TÉCNICO"/>
    <n v="7594316.1000000006"/>
    <x v="0"/>
    <s v="ECONÓMICA"/>
    <m/>
    <m/>
  </r>
  <r>
    <x v="26"/>
    <x v="16"/>
    <x v="0"/>
    <x v="0"/>
    <s v="RESIDENTE TÉCNICO"/>
    <n v="7594316.1000000006"/>
    <x v="0"/>
    <s v="ECONÓMICA"/>
    <m/>
    <m/>
  </r>
  <r>
    <x v="26"/>
    <x v="17"/>
    <x v="0"/>
    <x v="0"/>
    <s v="RESIDENTE TÉCNICO"/>
    <n v="7594316.1000000006"/>
    <x v="0"/>
    <s v="ECONÓMICA"/>
    <m/>
    <m/>
  </r>
  <r>
    <x v="26"/>
    <x v="18"/>
    <x v="0"/>
    <x v="0"/>
    <s v="RESIDENTE TÉCNICO"/>
    <n v="7594316.1000000006"/>
    <x v="0"/>
    <s v="ECONÓMICA"/>
    <m/>
    <m/>
  </r>
  <r>
    <x v="26"/>
    <x v="19"/>
    <x v="0"/>
    <x v="0"/>
    <s v="RESIDENTE TÉCNICO"/>
    <n v="7594316.1000000006"/>
    <x v="0"/>
    <s v="ECONÓMICA"/>
    <m/>
    <m/>
  </r>
  <r>
    <x v="26"/>
    <x v="20"/>
    <x v="0"/>
    <x v="0"/>
    <s v="RESIDENTE TÉCNICO"/>
    <n v="7594316.1000000006"/>
    <x v="0"/>
    <s v="ECONÓMICA"/>
    <m/>
    <m/>
  </r>
  <r>
    <x v="26"/>
    <x v="0"/>
    <x v="0"/>
    <x v="0"/>
    <s v="RESIDENTE ADMINISTRATIVO"/>
    <n v="7594316.1000000006"/>
    <x v="0"/>
    <s v="ECONÓMICA"/>
    <m/>
    <m/>
  </r>
  <r>
    <x v="26"/>
    <x v="1"/>
    <x v="0"/>
    <x v="0"/>
    <s v="RESIDENTE ADMINISTRATIVO"/>
    <n v="7594316.1000000006"/>
    <x v="0"/>
    <s v="ECONÓMICA"/>
    <m/>
    <m/>
  </r>
  <r>
    <x v="26"/>
    <x v="2"/>
    <x v="0"/>
    <x v="0"/>
    <s v="RESIDENTE ADMINISTRATIVO"/>
    <n v="7594316.1000000006"/>
    <x v="0"/>
    <s v="ECONÓMICA"/>
    <m/>
    <m/>
  </r>
  <r>
    <x v="26"/>
    <x v="3"/>
    <x v="0"/>
    <x v="0"/>
    <s v="RESIDENTE ADMINISTRATIVO"/>
    <n v="7594316.1000000006"/>
    <x v="0"/>
    <s v="ECONÓMICA"/>
    <m/>
    <m/>
  </r>
  <r>
    <x v="26"/>
    <x v="4"/>
    <x v="0"/>
    <x v="0"/>
    <s v="RESIDENTE ADMINISTRATIVO"/>
    <n v="7594316.1000000006"/>
    <x v="0"/>
    <s v="ECONÓMICA"/>
    <m/>
    <m/>
  </r>
  <r>
    <x v="26"/>
    <x v="5"/>
    <x v="0"/>
    <x v="0"/>
    <s v="RESIDENTE ADMINISTRATIVO"/>
    <n v="7594316.1000000006"/>
    <x v="0"/>
    <s v="ECONÓMICA"/>
    <m/>
    <m/>
  </r>
  <r>
    <x v="26"/>
    <x v="6"/>
    <x v="0"/>
    <x v="0"/>
    <s v="RESIDENTE ADMINISTRATIVO"/>
    <n v="7594316.1000000006"/>
    <x v="0"/>
    <s v="ECONÓMICA"/>
    <m/>
    <m/>
  </r>
  <r>
    <x v="26"/>
    <x v="7"/>
    <x v="0"/>
    <x v="0"/>
    <s v="RESIDENTE ADMINISTRATIVO"/>
    <n v="7594316.1000000006"/>
    <x v="0"/>
    <s v="ECONÓMICA"/>
    <m/>
    <m/>
  </r>
  <r>
    <x v="26"/>
    <x v="8"/>
    <x v="0"/>
    <x v="0"/>
    <s v="RESIDENTE ADMINISTRATIVO"/>
    <n v="7594316.1000000006"/>
    <x v="0"/>
    <s v="ECONÓMICA"/>
    <m/>
    <m/>
  </r>
  <r>
    <x v="26"/>
    <x v="9"/>
    <x v="0"/>
    <x v="0"/>
    <s v="RESIDENTE ADMINISTRATIVO"/>
    <n v="7594316.1000000006"/>
    <x v="0"/>
    <s v="ECONÓMICA"/>
    <m/>
    <m/>
  </r>
  <r>
    <x v="26"/>
    <x v="10"/>
    <x v="0"/>
    <x v="0"/>
    <s v="RESIDENTE ADMINISTRATIVO"/>
    <n v="7594316.1000000006"/>
    <x v="0"/>
    <s v="ECONÓMICA"/>
    <m/>
    <m/>
  </r>
  <r>
    <x v="26"/>
    <x v="11"/>
    <x v="0"/>
    <x v="0"/>
    <s v="RESIDENTE ADMINISTRATIVO"/>
    <n v="7594316.1000000006"/>
    <x v="0"/>
    <s v="ECONÓMICA"/>
    <m/>
    <m/>
  </r>
  <r>
    <x v="26"/>
    <x v="12"/>
    <x v="0"/>
    <x v="0"/>
    <s v="RESIDENTE ADMINISTRATIVO"/>
    <n v="7594316.1000000006"/>
    <x v="0"/>
    <s v="ECONÓMICA"/>
    <m/>
    <m/>
  </r>
  <r>
    <x v="26"/>
    <x v="13"/>
    <x v="0"/>
    <x v="0"/>
    <s v="RESIDENTE ADMINISTRATIVO"/>
    <n v="7594316.1000000006"/>
    <x v="0"/>
    <s v="ECONÓMICA"/>
    <m/>
    <m/>
  </r>
  <r>
    <x v="26"/>
    <x v="14"/>
    <x v="0"/>
    <x v="0"/>
    <s v="RESIDENTE ADMINISTRATIVO"/>
    <n v="7594316.1000000006"/>
    <x v="0"/>
    <s v="ECONÓMICA"/>
    <m/>
    <m/>
  </r>
  <r>
    <x v="26"/>
    <x v="15"/>
    <x v="0"/>
    <x v="0"/>
    <s v="RESIDENTE ADMINISTRATIVO"/>
    <n v="7594316.1000000006"/>
    <x v="0"/>
    <s v="ECONÓMICA"/>
    <m/>
    <m/>
  </r>
  <r>
    <x v="26"/>
    <x v="16"/>
    <x v="0"/>
    <x v="0"/>
    <s v="RESIDENTE ADMINISTRATIVO"/>
    <n v="7594316.1000000006"/>
    <x v="0"/>
    <s v="ECONÓMICA"/>
    <m/>
    <m/>
  </r>
  <r>
    <x v="26"/>
    <x v="17"/>
    <x v="0"/>
    <x v="0"/>
    <s v="RESIDENTE ADMINISTRATIVO"/>
    <n v="7594316.1000000006"/>
    <x v="0"/>
    <s v="ECONÓMICA"/>
    <m/>
    <m/>
  </r>
  <r>
    <x v="26"/>
    <x v="18"/>
    <x v="0"/>
    <x v="0"/>
    <s v="RESIDENTE ADMINISTRATIVO"/>
    <n v="7594316.1000000006"/>
    <x v="0"/>
    <s v="ECONÓMICA"/>
    <m/>
    <m/>
  </r>
  <r>
    <x v="26"/>
    <x v="19"/>
    <x v="0"/>
    <x v="0"/>
    <s v="RESIDENTE ADMINISTRATIVO"/>
    <n v="7594316.1000000006"/>
    <x v="0"/>
    <s v="ECONÓMICA"/>
    <m/>
    <m/>
  </r>
  <r>
    <x v="26"/>
    <x v="20"/>
    <x v="0"/>
    <x v="0"/>
    <s v="RESIDENTE ADMINISTRATIVO"/>
    <n v="7594316.1000000006"/>
    <x v="0"/>
    <s v="ECONÓMICA"/>
    <m/>
    <m/>
  </r>
  <r>
    <x v="26"/>
    <x v="6"/>
    <x v="0"/>
    <x v="0"/>
    <s v="RESIDENTE DE ACABADOS"/>
    <n v="7594316.1000000006"/>
    <x v="0"/>
    <s v="ECONÓMICA"/>
    <m/>
    <m/>
  </r>
  <r>
    <x v="26"/>
    <x v="7"/>
    <x v="0"/>
    <x v="0"/>
    <s v="RESIDENTE DE ACABADOS"/>
    <n v="7594316.1000000006"/>
    <x v="0"/>
    <s v="ECONÓMICA"/>
    <m/>
    <m/>
  </r>
  <r>
    <x v="26"/>
    <x v="8"/>
    <x v="0"/>
    <x v="0"/>
    <s v="RESIDENTE DE ACABADOS"/>
    <n v="7594316.1000000006"/>
    <x v="0"/>
    <s v="ECONÓMICA"/>
    <m/>
    <m/>
  </r>
  <r>
    <x v="26"/>
    <x v="9"/>
    <x v="0"/>
    <x v="0"/>
    <s v="RESIDENTE DE ACABADOS"/>
    <n v="7594316.1000000006"/>
    <x v="0"/>
    <s v="ECONÓMICA"/>
    <m/>
    <m/>
  </r>
  <r>
    <x v="26"/>
    <x v="10"/>
    <x v="0"/>
    <x v="0"/>
    <s v="RESIDENTE DE ACABADOS"/>
    <n v="7594316.1000000006"/>
    <x v="0"/>
    <s v="ECONÓMICA"/>
    <m/>
    <m/>
  </r>
  <r>
    <x v="26"/>
    <x v="11"/>
    <x v="0"/>
    <x v="0"/>
    <s v="RESIDENTE DE ACABADOS"/>
    <n v="7594316.1000000006"/>
    <x v="0"/>
    <s v="ECONÓMICA"/>
    <m/>
    <m/>
  </r>
  <r>
    <x v="26"/>
    <x v="12"/>
    <x v="0"/>
    <x v="0"/>
    <s v="RESIDENTE DE ACABADOS"/>
    <n v="7594316.1000000006"/>
    <x v="0"/>
    <s v="ECONÓMICA"/>
    <m/>
    <m/>
  </r>
  <r>
    <x v="26"/>
    <x v="13"/>
    <x v="0"/>
    <x v="0"/>
    <s v="RESIDENTE DE ACABADOS"/>
    <n v="7594316.1000000006"/>
    <x v="0"/>
    <s v="ECONÓMICA"/>
    <m/>
    <m/>
  </r>
  <r>
    <x v="26"/>
    <x v="14"/>
    <x v="0"/>
    <x v="0"/>
    <s v="RESIDENTE DE ACABADOS"/>
    <n v="7594316.1000000006"/>
    <x v="0"/>
    <s v="ECONÓMICA"/>
    <m/>
    <m/>
  </r>
  <r>
    <x v="26"/>
    <x v="15"/>
    <x v="0"/>
    <x v="0"/>
    <s v="RESIDENTE DE ACABADOS"/>
    <n v="7594316.1000000006"/>
    <x v="0"/>
    <s v="ECONÓMICA"/>
    <m/>
    <m/>
  </r>
  <r>
    <x v="26"/>
    <x v="16"/>
    <x v="0"/>
    <x v="0"/>
    <s v="RESIDENTE DE ACABADOS"/>
    <n v="7594316.1000000006"/>
    <x v="0"/>
    <s v="ECONÓMICA"/>
    <m/>
    <m/>
  </r>
  <r>
    <x v="26"/>
    <x v="17"/>
    <x v="0"/>
    <x v="0"/>
    <s v="RESIDENTE DE ACABADOS"/>
    <n v="7594316.1000000006"/>
    <x v="0"/>
    <s v="ECONÓMICA"/>
    <m/>
    <m/>
  </r>
  <r>
    <x v="26"/>
    <x v="18"/>
    <x v="0"/>
    <x v="0"/>
    <s v="RESIDENTE DE ACABADOS"/>
    <n v="7594316.1000000006"/>
    <x v="0"/>
    <s v="ECONÓMICA"/>
    <m/>
    <m/>
  </r>
  <r>
    <x v="26"/>
    <x v="19"/>
    <x v="0"/>
    <x v="0"/>
    <s v="RESIDENTE DE ACABADOS"/>
    <n v="7594316.1000000006"/>
    <x v="0"/>
    <s v="ECONÓMICA"/>
    <m/>
    <m/>
  </r>
  <r>
    <x v="26"/>
    <x v="20"/>
    <x v="0"/>
    <x v="0"/>
    <s v="RESIDENTE DE ACABADOS"/>
    <n v="7594316.1000000006"/>
    <x v="0"/>
    <s v="ECONÓMICA"/>
    <m/>
    <m/>
  </r>
  <r>
    <x v="26"/>
    <x v="6"/>
    <x v="0"/>
    <x v="0"/>
    <s v="RESIDENTE DE INSTALACIONES"/>
    <n v="7008008.1750000007"/>
    <x v="0"/>
    <s v="ECONÓMICA"/>
    <m/>
    <m/>
  </r>
  <r>
    <x v="26"/>
    <x v="7"/>
    <x v="0"/>
    <x v="0"/>
    <s v="RESIDENTE DE INSTALACIONES"/>
    <n v="7008008.1750000007"/>
    <x v="0"/>
    <s v="ECONÓMICA"/>
    <m/>
    <m/>
  </r>
  <r>
    <x v="26"/>
    <x v="8"/>
    <x v="0"/>
    <x v="0"/>
    <s v="RESIDENTE DE INSTALACIONES"/>
    <n v="7008008.1750000007"/>
    <x v="0"/>
    <s v="ECONÓMICA"/>
    <m/>
    <m/>
  </r>
  <r>
    <x v="26"/>
    <x v="9"/>
    <x v="0"/>
    <x v="0"/>
    <s v="RESIDENTE DE INSTALACIONES"/>
    <n v="7008008.1750000007"/>
    <x v="0"/>
    <s v="ECONÓMICA"/>
    <m/>
    <m/>
  </r>
  <r>
    <x v="26"/>
    <x v="10"/>
    <x v="0"/>
    <x v="0"/>
    <s v="RESIDENTE DE INSTALACIONES"/>
    <n v="7008008.1750000007"/>
    <x v="0"/>
    <s v="ECONÓMICA"/>
    <m/>
    <m/>
  </r>
  <r>
    <x v="26"/>
    <x v="11"/>
    <x v="0"/>
    <x v="0"/>
    <s v="RESIDENTE DE INSTALACIONES"/>
    <n v="7008008.1750000007"/>
    <x v="0"/>
    <s v="ECONÓMICA"/>
    <m/>
    <m/>
  </r>
  <r>
    <x v="26"/>
    <x v="12"/>
    <x v="0"/>
    <x v="0"/>
    <s v="RESIDENTE DE INSTALACIONES"/>
    <n v="7008008.1750000007"/>
    <x v="0"/>
    <s v="ECONÓMICA"/>
    <m/>
    <m/>
  </r>
  <r>
    <x v="26"/>
    <x v="13"/>
    <x v="0"/>
    <x v="0"/>
    <s v="RESIDENTE DE INSTALACIONES"/>
    <n v="7008008.1750000007"/>
    <x v="0"/>
    <s v="ECONÓMICA"/>
    <m/>
    <m/>
  </r>
  <r>
    <x v="26"/>
    <x v="14"/>
    <x v="0"/>
    <x v="0"/>
    <s v="RESIDENTE DE INSTALACIONES"/>
    <n v="7008008.1750000007"/>
    <x v="0"/>
    <s v="ECONÓMICA"/>
    <m/>
    <m/>
  </r>
  <r>
    <x v="26"/>
    <x v="15"/>
    <x v="0"/>
    <x v="0"/>
    <s v="RESIDENTE DE INSTALACIONES"/>
    <n v="7008008.1750000007"/>
    <x v="0"/>
    <s v="ECONÓMICA"/>
    <m/>
    <m/>
  </r>
  <r>
    <x v="26"/>
    <x v="16"/>
    <x v="0"/>
    <x v="0"/>
    <s v="RESIDENTE DE INSTALACIONES"/>
    <n v="7008008.1750000007"/>
    <x v="0"/>
    <s v="ECONÓMICA"/>
    <m/>
    <m/>
  </r>
  <r>
    <x v="26"/>
    <x v="17"/>
    <x v="0"/>
    <x v="0"/>
    <s v="RESIDENTE DE INSTALACIONES"/>
    <n v="7008008.1750000007"/>
    <x v="0"/>
    <s v="ECONÓMICA"/>
    <m/>
    <m/>
  </r>
  <r>
    <x v="26"/>
    <x v="18"/>
    <x v="0"/>
    <x v="0"/>
    <s v="RESIDENTE DE INSTALACIONES"/>
    <n v="7008008.1750000007"/>
    <x v="0"/>
    <s v="ECONÓMICA"/>
    <m/>
    <m/>
  </r>
  <r>
    <x v="26"/>
    <x v="19"/>
    <x v="0"/>
    <x v="0"/>
    <s v="RESIDENTE DE INSTALACIONES"/>
    <n v="7008008.1750000007"/>
    <x v="0"/>
    <s v="ECONÓMICA"/>
    <m/>
    <m/>
  </r>
  <r>
    <x v="26"/>
    <x v="20"/>
    <x v="0"/>
    <x v="0"/>
    <s v="RESIDENTE DE INSTALACIONES"/>
    <n v="7008008.1750000007"/>
    <x v="0"/>
    <s v="ECONÓMICA"/>
    <m/>
    <m/>
  </r>
  <r>
    <x v="26"/>
    <x v="0"/>
    <x v="0"/>
    <x v="0"/>
    <s v="AUXILIAR DE CONTROLES"/>
    <n v="3731425.4250000003"/>
    <x v="0"/>
    <s v="ECONÓMICA"/>
    <m/>
    <m/>
  </r>
  <r>
    <x v="26"/>
    <x v="1"/>
    <x v="0"/>
    <x v="0"/>
    <s v="AUXILIAR DE CONTROLES"/>
    <n v="3731425.4250000003"/>
    <x v="0"/>
    <s v="ECONÓMICA"/>
    <m/>
    <m/>
  </r>
  <r>
    <x v="26"/>
    <x v="2"/>
    <x v="0"/>
    <x v="0"/>
    <s v="AUXILIAR DE CONTROLES"/>
    <n v="3731425.4250000003"/>
    <x v="0"/>
    <s v="ECONÓMICA"/>
    <m/>
    <m/>
  </r>
  <r>
    <x v="26"/>
    <x v="3"/>
    <x v="0"/>
    <x v="0"/>
    <s v="AUXILIAR DE CONTROLES"/>
    <n v="3731425.4250000003"/>
    <x v="0"/>
    <s v="ECONÓMICA"/>
    <m/>
    <m/>
  </r>
  <r>
    <x v="26"/>
    <x v="4"/>
    <x v="0"/>
    <x v="0"/>
    <s v="AUXILIAR DE CONTROLES"/>
    <n v="3731425.4250000003"/>
    <x v="0"/>
    <s v="ECONÓMICA"/>
    <m/>
    <m/>
  </r>
  <r>
    <x v="26"/>
    <x v="5"/>
    <x v="0"/>
    <x v="0"/>
    <s v="AUXILIAR DE CONTROLES"/>
    <n v="3731425.4250000003"/>
    <x v="0"/>
    <s v="ECONÓMICA"/>
    <m/>
    <m/>
  </r>
  <r>
    <x v="26"/>
    <x v="6"/>
    <x v="0"/>
    <x v="0"/>
    <s v="AUXILIAR DE CONTROLES"/>
    <n v="3731425.4250000003"/>
    <x v="0"/>
    <s v="ECONÓMICA"/>
    <m/>
    <m/>
  </r>
  <r>
    <x v="26"/>
    <x v="7"/>
    <x v="0"/>
    <x v="0"/>
    <s v="AUXILIAR DE CONTROLES"/>
    <n v="3731425.4250000003"/>
    <x v="0"/>
    <s v="ECONÓMICA"/>
    <m/>
    <m/>
  </r>
  <r>
    <x v="26"/>
    <x v="8"/>
    <x v="0"/>
    <x v="0"/>
    <s v="AUXILIAR DE CONTROLES"/>
    <n v="3731425.4250000003"/>
    <x v="0"/>
    <s v="ECONÓMICA"/>
    <m/>
    <m/>
  </r>
  <r>
    <x v="26"/>
    <x v="9"/>
    <x v="0"/>
    <x v="0"/>
    <s v="AUXILIAR DE CONTROLES"/>
    <n v="3731425.4250000003"/>
    <x v="0"/>
    <s v="ECONÓMICA"/>
    <m/>
    <m/>
  </r>
  <r>
    <x v="26"/>
    <x v="10"/>
    <x v="0"/>
    <x v="0"/>
    <s v="AUXILIAR DE CONTROLES"/>
    <n v="3731425.4250000003"/>
    <x v="0"/>
    <s v="ECONÓMICA"/>
    <m/>
    <m/>
  </r>
  <r>
    <x v="26"/>
    <x v="11"/>
    <x v="0"/>
    <x v="0"/>
    <s v="AUXILIAR DE CONTROLES"/>
    <n v="3731425.4250000003"/>
    <x v="0"/>
    <s v="ECONÓMICA"/>
    <m/>
    <m/>
  </r>
  <r>
    <x v="26"/>
    <x v="12"/>
    <x v="0"/>
    <x v="0"/>
    <s v="AUXILIAR DE CONTROLES"/>
    <n v="3731425.4250000003"/>
    <x v="0"/>
    <s v="ECONÓMICA"/>
    <m/>
    <m/>
  </r>
  <r>
    <x v="26"/>
    <x v="13"/>
    <x v="0"/>
    <x v="0"/>
    <s v="AUXILIAR DE CONTROLES"/>
    <n v="3731425.4250000003"/>
    <x v="0"/>
    <s v="ECONÓMICA"/>
    <m/>
    <m/>
  </r>
  <r>
    <x v="26"/>
    <x v="14"/>
    <x v="0"/>
    <x v="0"/>
    <s v="AUXILIAR DE CONTROLES"/>
    <n v="3731425.4250000003"/>
    <x v="0"/>
    <s v="ECONÓMICA"/>
    <m/>
    <m/>
  </r>
  <r>
    <x v="26"/>
    <x v="15"/>
    <x v="0"/>
    <x v="0"/>
    <s v="AUXILIAR DE CONTROLES"/>
    <n v="3731425.4250000003"/>
    <x v="0"/>
    <s v="ECONÓMICA"/>
    <m/>
    <m/>
  </r>
  <r>
    <x v="26"/>
    <x v="16"/>
    <x v="0"/>
    <x v="0"/>
    <s v="AUXILIAR DE CONTROLES"/>
    <n v="3731425.4250000003"/>
    <x v="0"/>
    <s v="ECONÓMICA"/>
    <m/>
    <m/>
  </r>
  <r>
    <x v="26"/>
    <x v="17"/>
    <x v="0"/>
    <x v="0"/>
    <s v="AUXILIAR DE CONTROLES"/>
    <n v="3731425.4250000003"/>
    <x v="0"/>
    <s v="ECONÓMICA"/>
    <m/>
    <m/>
  </r>
  <r>
    <x v="26"/>
    <x v="18"/>
    <x v="0"/>
    <x v="0"/>
    <s v="AUXILIAR DE CONTROLES"/>
    <n v="3731425.4250000003"/>
    <x v="0"/>
    <s v="ECONÓMICA"/>
    <m/>
    <m/>
  </r>
  <r>
    <x v="26"/>
    <x v="19"/>
    <x v="0"/>
    <x v="0"/>
    <s v="AUXILIAR DE CONTROLES"/>
    <n v="3731425.4250000003"/>
    <x v="0"/>
    <s v="ECONÓMICA"/>
    <m/>
    <m/>
  </r>
  <r>
    <x v="26"/>
    <x v="20"/>
    <x v="0"/>
    <x v="0"/>
    <s v="AUXILIAR DE CONTROLES"/>
    <n v="3731425.4250000003"/>
    <x v="0"/>
    <s v="ECONÓMICA"/>
    <m/>
    <m/>
  </r>
  <r>
    <x v="26"/>
    <x v="0"/>
    <x v="0"/>
    <x v="0"/>
    <s v="AUXILIAR SISOMA"/>
    <n v="3544014.6"/>
    <x v="0"/>
    <s v="ECONÓMICA"/>
    <m/>
    <m/>
  </r>
  <r>
    <x v="26"/>
    <x v="1"/>
    <x v="0"/>
    <x v="0"/>
    <s v="AUXILIAR SISOMA"/>
    <n v="3544014.6"/>
    <x v="0"/>
    <s v="ECONÓMICA"/>
    <m/>
    <m/>
  </r>
  <r>
    <x v="26"/>
    <x v="2"/>
    <x v="0"/>
    <x v="0"/>
    <s v="AUXILIAR SISOMA"/>
    <n v="3544014.6"/>
    <x v="0"/>
    <s v="ECONÓMICA"/>
    <m/>
    <m/>
  </r>
  <r>
    <x v="26"/>
    <x v="3"/>
    <x v="0"/>
    <x v="0"/>
    <s v="AUXILIAR SISOMA"/>
    <n v="3544014.6"/>
    <x v="0"/>
    <s v="ECONÓMICA"/>
    <m/>
    <m/>
  </r>
  <r>
    <x v="26"/>
    <x v="4"/>
    <x v="0"/>
    <x v="0"/>
    <s v="AUXILIAR SISOMA"/>
    <n v="3544014.6"/>
    <x v="0"/>
    <s v="ECONÓMICA"/>
    <m/>
    <m/>
  </r>
  <r>
    <x v="26"/>
    <x v="5"/>
    <x v="0"/>
    <x v="0"/>
    <s v="AUXILIAR SISOMA"/>
    <n v="3544014.6"/>
    <x v="0"/>
    <s v="ECONÓMICA"/>
    <m/>
    <m/>
  </r>
  <r>
    <x v="26"/>
    <x v="6"/>
    <x v="0"/>
    <x v="0"/>
    <s v="AUXILIAR SISOMA"/>
    <n v="3544014.6"/>
    <x v="0"/>
    <s v="ECONÓMICA"/>
    <m/>
    <m/>
  </r>
  <r>
    <x v="26"/>
    <x v="7"/>
    <x v="0"/>
    <x v="0"/>
    <s v="AUXILIAR SISOMA"/>
    <n v="3544014.6"/>
    <x v="0"/>
    <s v="ECONÓMICA"/>
    <m/>
    <m/>
  </r>
  <r>
    <x v="26"/>
    <x v="8"/>
    <x v="0"/>
    <x v="0"/>
    <s v="AUXILIAR SISOMA"/>
    <n v="3544014.6"/>
    <x v="0"/>
    <s v="ECONÓMICA"/>
    <m/>
    <m/>
  </r>
  <r>
    <x v="26"/>
    <x v="9"/>
    <x v="0"/>
    <x v="0"/>
    <s v="AUXILIAR SISOMA"/>
    <n v="3544014.6"/>
    <x v="0"/>
    <s v="ECONÓMICA"/>
    <m/>
    <m/>
  </r>
  <r>
    <x v="26"/>
    <x v="10"/>
    <x v="0"/>
    <x v="0"/>
    <s v="AUXILIAR SISOMA"/>
    <n v="3544014.6"/>
    <x v="0"/>
    <s v="ECONÓMICA"/>
    <m/>
    <m/>
  </r>
  <r>
    <x v="26"/>
    <x v="11"/>
    <x v="0"/>
    <x v="0"/>
    <s v="AUXILIAR SISOMA"/>
    <n v="3544014.6"/>
    <x v="0"/>
    <s v="ECONÓMICA"/>
    <m/>
    <m/>
  </r>
  <r>
    <x v="26"/>
    <x v="12"/>
    <x v="0"/>
    <x v="0"/>
    <s v="AUXILIAR SISOMA"/>
    <n v="3544014.6"/>
    <x v="0"/>
    <s v="ECONÓMICA"/>
    <m/>
    <m/>
  </r>
  <r>
    <x v="26"/>
    <x v="13"/>
    <x v="0"/>
    <x v="0"/>
    <s v="AUXILIAR SISOMA"/>
    <n v="3544014.6"/>
    <x v="0"/>
    <s v="ECONÓMICA"/>
    <m/>
    <m/>
  </r>
  <r>
    <x v="26"/>
    <x v="14"/>
    <x v="0"/>
    <x v="0"/>
    <s v="AUXILIAR SISOMA"/>
    <n v="3544014.6"/>
    <x v="0"/>
    <s v="ECONÓMICA"/>
    <m/>
    <m/>
  </r>
  <r>
    <x v="26"/>
    <x v="15"/>
    <x v="0"/>
    <x v="0"/>
    <s v="AUXILIAR SISOMA"/>
    <n v="3544014.6"/>
    <x v="0"/>
    <s v="ECONÓMICA"/>
    <m/>
    <m/>
  </r>
  <r>
    <x v="26"/>
    <x v="16"/>
    <x v="0"/>
    <x v="0"/>
    <s v="AUXILIAR SISOMA"/>
    <n v="3544014.6"/>
    <x v="0"/>
    <s v="ECONÓMICA"/>
    <m/>
    <m/>
  </r>
  <r>
    <x v="26"/>
    <x v="17"/>
    <x v="0"/>
    <x v="0"/>
    <s v="AUXILIAR SISOMA"/>
    <n v="3544014.6"/>
    <x v="0"/>
    <s v="ECONÓMICA"/>
    <m/>
    <m/>
  </r>
  <r>
    <x v="26"/>
    <x v="18"/>
    <x v="0"/>
    <x v="0"/>
    <s v="AUXILIAR SISOMA"/>
    <n v="3544014.6"/>
    <x v="0"/>
    <s v="ECONÓMICA"/>
    <m/>
    <m/>
  </r>
  <r>
    <x v="26"/>
    <x v="19"/>
    <x v="0"/>
    <x v="0"/>
    <s v="AUXILIAR SISOMA"/>
    <n v="3544014.6"/>
    <x v="0"/>
    <s v="ECONÓMICA"/>
    <m/>
    <m/>
  </r>
  <r>
    <x v="26"/>
    <x v="20"/>
    <x v="0"/>
    <x v="0"/>
    <s v="AUXILIAR SISOMA"/>
    <n v="3544014.6"/>
    <x v="0"/>
    <s v="ECONÓMICA"/>
    <m/>
    <m/>
  </r>
  <r>
    <x v="26"/>
    <x v="0"/>
    <x v="0"/>
    <x v="0"/>
    <s v="INSPECTOR"/>
    <n v="4829985.3734999998"/>
    <x v="0"/>
    <s v="ECONÓMICA"/>
    <m/>
    <m/>
  </r>
  <r>
    <x v="26"/>
    <x v="1"/>
    <x v="0"/>
    <x v="0"/>
    <s v="INSPECTOR"/>
    <n v="4829985.3734999998"/>
    <x v="0"/>
    <s v="ECONÓMICA"/>
    <m/>
    <m/>
  </r>
  <r>
    <x v="26"/>
    <x v="2"/>
    <x v="0"/>
    <x v="0"/>
    <s v="INSPECTOR"/>
    <n v="4829985.3734999998"/>
    <x v="0"/>
    <s v="ECONÓMICA"/>
    <m/>
    <m/>
  </r>
  <r>
    <x v="26"/>
    <x v="3"/>
    <x v="0"/>
    <x v="0"/>
    <s v="INSPECTOR"/>
    <n v="4829985.3734999998"/>
    <x v="0"/>
    <s v="ECONÓMICA"/>
    <m/>
    <m/>
  </r>
  <r>
    <x v="26"/>
    <x v="4"/>
    <x v="0"/>
    <x v="0"/>
    <s v="INSPECTOR"/>
    <n v="4829985.3734999998"/>
    <x v="0"/>
    <s v="ECONÓMICA"/>
    <m/>
    <m/>
  </r>
  <r>
    <x v="26"/>
    <x v="5"/>
    <x v="0"/>
    <x v="0"/>
    <s v="INSPECTOR"/>
    <n v="4829985.3734999998"/>
    <x v="0"/>
    <s v="ECONÓMICA"/>
    <m/>
    <m/>
  </r>
  <r>
    <x v="26"/>
    <x v="6"/>
    <x v="0"/>
    <x v="0"/>
    <s v="INSPECTOR"/>
    <n v="4829985.3734999998"/>
    <x v="0"/>
    <s v="ECONÓMICA"/>
    <m/>
    <m/>
  </r>
  <r>
    <x v="26"/>
    <x v="7"/>
    <x v="0"/>
    <x v="0"/>
    <s v="INSPECTOR"/>
    <n v="4829985.3734999998"/>
    <x v="0"/>
    <s v="ECONÓMICA"/>
    <m/>
    <m/>
  </r>
  <r>
    <x v="26"/>
    <x v="8"/>
    <x v="0"/>
    <x v="0"/>
    <s v="INSPECTOR"/>
    <n v="4829985.3734999998"/>
    <x v="0"/>
    <s v="ECONÓMICA"/>
    <m/>
    <m/>
  </r>
  <r>
    <x v="26"/>
    <x v="9"/>
    <x v="0"/>
    <x v="0"/>
    <s v="INSPECTOR"/>
    <n v="4829985.3734999998"/>
    <x v="0"/>
    <s v="ECONÓMICA"/>
    <m/>
    <m/>
  </r>
  <r>
    <x v="26"/>
    <x v="10"/>
    <x v="0"/>
    <x v="0"/>
    <s v="INSPECTOR"/>
    <n v="4829985.3734999998"/>
    <x v="0"/>
    <s v="ECONÓMICA"/>
    <m/>
    <m/>
  </r>
  <r>
    <x v="26"/>
    <x v="11"/>
    <x v="0"/>
    <x v="0"/>
    <s v="INSPECTOR"/>
    <n v="4829985.3734999998"/>
    <x v="0"/>
    <s v="ECONÓMICA"/>
    <m/>
    <m/>
  </r>
  <r>
    <x v="26"/>
    <x v="12"/>
    <x v="0"/>
    <x v="0"/>
    <s v="INSPECTOR"/>
    <n v="4829985.3734999998"/>
    <x v="0"/>
    <s v="ECONÓMICA"/>
    <m/>
    <m/>
  </r>
  <r>
    <x v="26"/>
    <x v="13"/>
    <x v="0"/>
    <x v="0"/>
    <s v="INSPECTOR"/>
    <n v="4829985.3734999998"/>
    <x v="0"/>
    <s v="ECONÓMICA"/>
    <m/>
    <m/>
  </r>
  <r>
    <x v="26"/>
    <x v="14"/>
    <x v="0"/>
    <x v="0"/>
    <s v="INSPECTOR"/>
    <n v="4829985.3734999998"/>
    <x v="0"/>
    <s v="ECONÓMICA"/>
    <m/>
    <m/>
  </r>
  <r>
    <x v="26"/>
    <x v="15"/>
    <x v="0"/>
    <x v="0"/>
    <s v="INSPECTOR"/>
    <n v="4829985.3734999998"/>
    <x v="0"/>
    <s v="ECONÓMICA"/>
    <m/>
    <m/>
  </r>
  <r>
    <x v="26"/>
    <x v="16"/>
    <x v="0"/>
    <x v="0"/>
    <s v="INSPECTOR"/>
    <n v="4829985.3734999998"/>
    <x v="0"/>
    <s v="ECONÓMICA"/>
    <m/>
    <m/>
  </r>
  <r>
    <x v="26"/>
    <x v="17"/>
    <x v="0"/>
    <x v="0"/>
    <s v="INSPECTOR"/>
    <n v="4829985.3734999998"/>
    <x v="0"/>
    <s v="ECONÓMICA"/>
    <m/>
    <m/>
  </r>
  <r>
    <x v="26"/>
    <x v="18"/>
    <x v="0"/>
    <x v="0"/>
    <s v="INSPECTOR"/>
    <n v="4829985.3734999998"/>
    <x v="0"/>
    <s v="ECONÓMICA"/>
    <m/>
    <m/>
  </r>
  <r>
    <x v="26"/>
    <x v="19"/>
    <x v="0"/>
    <x v="0"/>
    <s v="INSPECTOR"/>
    <n v="4829985.3734999998"/>
    <x v="0"/>
    <s v="ECONÓMICA"/>
    <m/>
    <m/>
  </r>
  <r>
    <x v="26"/>
    <x v="20"/>
    <x v="0"/>
    <x v="0"/>
    <s v="INSPECTOR"/>
    <n v="4829985.3734999998"/>
    <x v="0"/>
    <s v="ECONÓMICA"/>
    <m/>
    <m/>
  </r>
  <r>
    <x v="26"/>
    <x v="1"/>
    <x v="0"/>
    <x v="0"/>
    <s v="INSPECTOR ACABADOS"/>
    <n v="4829985.3734999998"/>
    <x v="0"/>
    <s v="ECONÓMICA"/>
    <m/>
    <m/>
  </r>
  <r>
    <x v="26"/>
    <x v="2"/>
    <x v="0"/>
    <x v="0"/>
    <s v="INSPECTOR ACABADOS"/>
    <n v="4829985.3734999998"/>
    <x v="0"/>
    <s v="ECONÓMICA"/>
    <m/>
    <m/>
  </r>
  <r>
    <x v="26"/>
    <x v="3"/>
    <x v="0"/>
    <x v="0"/>
    <s v="INSPECTOR ACABADOS"/>
    <n v="4829985.3734999998"/>
    <x v="0"/>
    <s v="ECONÓMICA"/>
    <m/>
    <m/>
  </r>
  <r>
    <x v="26"/>
    <x v="4"/>
    <x v="0"/>
    <x v="0"/>
    <s v="INSPECTOR ACABADOS"/>
    <n v="4829985.3734999998"/>
    <x v="0"/>
    <s v="ECONÓMICA"/>
    <m/>
    <m/>
  </r>
  <r>
    <x v="26"/>
    <x v="5"/>
    <x v="0"/>
    <x v="0"/>
    <s v="INSPECTOR ACABADOS"/>
    <n v="4829985.3734999998"/>
    <x v="0"/>
    <s v="ECONÓMICA"/>
    <m/>
    <m/>
  </r>
  <r>
    <x v="26"/>
    <x v="6"/>
    <x v="0"/>
    <x v="0"/>
    <s v="INSPECTOR ACABADOS"/>
    <n v="4829985.3734999998"/>
    <x v="0"/>
    <s v="ECONÓMICA"/>
    <m/>
    <m/>
  </r>
  <r>
    <x v="26"/>
    <x v="7"/>
    <x v="0"/>
    <x v="0"/>
    <s v="INSPECTOR ACABADOS"/>
    <n v="4829985.3734999998"/>
    <x v="0"/>
    <s v="ECONÓMICA"/>
    <m/>
    <m/>
  </r>
  <r>
    <x v="26"/>
    <x v="8"/>
    <x v="0"/>
    <x v="0"/>
    <s v="INSPECTOR ACABADOS"/>
    <n v="4829985.3734999998"/>
    <x v="0"/>
    <s v="ECONÓMICA"/>
    <m/>
    <m/>
  </r>
  <r>
    <x v="26"/>
    <x v="9"/>
    <x v="0"/>
    <x v="0"/>
    <s v="INSPECTOR ACABADOS"/>
    <n v="4829985.3734999998"/>
    <x v="0"/>
    <s v="ECONÓMICA"/>
    <m/>
    <m/>
  </r>
  <r>
    <x v="26"/>
    <x v="10"/>
    <x v="0"/>
    <x v="0"/>
    <s v="INSPECTOR ACABADOS"/>
    <n v="4829985.3734999998"/>
    <x v="0"/>
    <s v="ECONÓMICA"/>
    <m/>
    <m/>
  </r>
  <r>
    <x v="26"/>
    <x v="11"/>
    <x v="0"/>
    <x v="0"/>
    <s v="INSPECTOR ACABADOS"/>
    <n v="4829985.3734999998"/>
    <x v="0"/>
    <s v="ECONÓMICA"/>
    <m/>
    <m/>
  </r>
  <r>
    <x v="26"/>
    <x v="12"/>
    <x v="0"/>
    <x v="0"/>
    <s v="INSPECTOR ACABADOS"/>
    <n v="4829985.3734999998"/>
    <x v="0"/>
    <s v="ECONÓMICA"/>
    <m/>
    <m/>
  </r>
  <r>
    <x v="26"/>
    <x v="13"/>
    <x v="0"/>
    <x v="0"/>
    <s v="INSPECTOR ACABADOS"/>
    <n v="4829985.3734999998"/>
    <x v="0"/>
    <s v="ECONÓMICA"/>
    <m/>
    <m/>
  </r>
  <r>
    <x v="26"/>
    <x v="14"/>
    <x v="0"/>
    <x v="0"/>
    <s v="INSPECTOR ACABADOS"/>
    <n v="4829985.3734999998"/>
    <x v="0"/>
    <s v="ECONÓMICA"/>
    <m/>
    <m/>
  </r>
  <r>
    <x v="26"/>
    <x v="15"/>
    <x v="0"/>
    <x v="0"/>
    <s v="INSPECTOR ACABADOS"/>
    <n v="4829985.3734999998"/>
    <x v="0"/>
    <s v="ECONÓMICA"/>
    <m/>
    <m/>
  </r>
  <r>
    <x v="26"/>
    <x v="16"/>
    <x v="0"/>
    <x v="0"/>
    <s v="INSPECTOR ACABADOS"/>
    <n v="4829985.3734999998"/>
    <x v="0"/>
    <s v="ECONÓMICA"/>
    <m/>
    <m/>
  </r>
  <r>
    <x v="26"/>
    <x v="17"/>
    <x v="0"/>
    <x v="0"/>
    <s v="INSPECTOR ACABADOS"/>
    <n v="4829985.3734999998"/>
    <x v="0"/>
    <s v="ECONÓMICA"/>
    <m/>
    <m/>
  </r>
  <r>
    <x v="26"/>
    <x v="18"/>
    <x v="0"/>
    <x v="0"/>
    <s v="INSPECTOR ACABADOS"/>
    <n v="4829985.3734999998"/>
    <x v="0"/>
    <s v="ECONÓMICA"/>
    <m/>
    <m/>
  </r>
  <r>
    <x v="26"/>
    <x v="19"/>
    <x v="0"/>
    <x v="0"/>
    <s v="INSPECTOR ACABADOS"/>
    <n v="4829985.3734999998"/>
    <x v="0"/>
    <s v="ECONÓMICA"/>
    <m/>
    <m/>
  </r>
  <r>
    <x v="26"/>
    <x v="20"/>
    <x v="0"/>
    <x v="0"/>
    <s v="INSPECTOR ACABADOS"/>
    <n v="4829985.3734999998"/>
    <x v="0"/>
    <s v="ECONÓMICA"/>
    <m/>
    <m/>
  </r>
  <r>
    <x v="26"/>
    <x v="6"/>
    <x v="0"/>
    <x v="0"/>
    <s v="INSPECTOR INSTALACIONES"/>
    <n v="3613544.2664999994"/>
    <x v="0"/>
    <s v="ECONÓMICA"/>
    <m/>
    <m/>
  </r>
  <r>
    <x v="26"/>
    <x v="7"/>
    <x v="0"/>
    <x v="0"/>
    <s v="INSPECTOR INSTALACIONES"/>
    <n v="3613544.2664999994"/>
    <x v="0"/>
    <s v="ECONÓMICA"/>
    <m/>
    <m/>
  </r>
  <r>
    <x v="26"/>
    <x v="8"/>
    <x v="0"/>
    <x v="0"/>
    <s v="INSPECTOR INSTALACIONES"/>
    <n v="3613544.2664999994"/>
    <x v="0"/>
    <s v="ECONÓMICA"/>
    <m/>
    <m/>
  </r>
  <r>
    <x v="26"/>
    <x v="9"/>
    <x v="0"/>
    <x v="0"/>
    <s v="INSPECTOR INSTALACIONES"/>
    <n v="3613544.2664999994"/>
    <x v="0"/>
    <s v="ECONÓMICA"/>
    <m/>
    <m/>
  </r>
  <r>
    <x v="26"/>
    <x v="10"/>
    <x v="0"/>
    <x v="0"/>
    <s v="INSPECTOR INSTALACIONES"/>
    <n v="3613544.2664999994"/>
    <x v="0"/>
    <s v="ECONÓMICA"/>
    <m/>
    <m/>
  </r>
  <r>
    <x v="26"/>
    <x v="11"/>
    <x v="0"/>
    <x v="0"/>
    <s v="INSPECTOR INSTALACIONES"/>
    <n v="3613544.2664999994"/>
    <x v="0"/>
    <s v="ECONÓMICA"/>
    <m/>
    <m/>
  </r>
  <r>
    <x v="26"/>
    <x v="12"/>
    <x v="0"/>
    <x v="0"/>
    <s v="INSPECTOR INSTALACIONES"/>
    <n v="3613544.2664999994"/>
    <x v="0"/>
    <s v="ECONÓMICA"/>
    <m/>
    <m/>
  </r>
  <r>
    <x v="26"/>
    <x v="13"/>
    <x v="0"/>
    <x v="0"/>
    <s v="INSPECTOR INSTALACIONES"/>
    <n v="3613544.2664999994"/>
    <x v="0"/>
    <s v="ECONÓMICA"/>
    <m/>
    <m/>
  </r>
  <r>
    <x v="26"/>
    <x v="14"/>
    <x v="0"/>
    <x v="0"/>
    <s v="INSPECTOR INSTALACIONES"/>
    <n v="3613544.2664999994"/>
    <x v="0"/>
    <s v="ECONÓMICA"/>
    <m/>
    <m/>
  </r>
  <r>
    <x v="26"/>
    <x v="15"/>
    <x v="0"/>
    <x v="0"/>
    <s v="INSPECTOR INSTALACIONES"/>
    <n v="3613544.2664999994"/>
    <x v="0"/>
    <s v="ECONÓMICA"/>
    <m/>
    <m/>
  </r>
  <r>
    <x v="26"/>
    <x v="16"/>
    <x v="0"/>
    <x v="0"/>
    <s v="INSPECTOR INSTALACIONES"/>
    <n v="3613544.2664999994"/>
    <x v="0"/>
    <s v="ECONÓMICA"/>
    <m/>
    <m/>
  </r>
  <r>
    <x v="26"/>
    <x v="17"/>
    <x v="0"/>
    <x v="0"/>
    <s v="INSPECTOR INSTALACIONES"/>
    <n v="3613544.2664999994"/>
    <x v="0"/>
    <s v="ECONÓMICA"/>
    <m/>
    <m/>
  </r>
  <r>
    <x v="26"/>
    <x v="18"/>
    <x v="0"/>
    <x v="0"/>
    <s v="INSPECTOR INSTALACIONES"/>
    <n v="3613544.2664999994"/>
    <x v="0"/>
    <s v="ECONÓMICA"/>
    <m/>
    <m/>
  </r>
  <r>
    <x v="26"/>
    <x v="19"/>
    <x v="0"/>
    <x v="0"/>
    <s v="INSPECTOR INSTALACIONES"/>
    <n v="3613544.2664999994"/>
    <x v="0"/>
    <s v="ECONÓMICA"/>
    <m/>
    <m/>
  </r>
  <r>
    <x v="26"/>
    <x v="20"/>
    <x v="0"/>
    <x v="0"/>
    <s v="INSPECTOR INSTALACIONES"/>
    <n v="3613544.2664999994"/>
    <x v="0"/>
    <s v="ECONÓMICA"/>
    <m/>
    <m/>
  </r>
  <r>
    <x v="27"/>
    <x v="2"/>
    <x v="0"/>
    <x v="0"/>
    <s v="COORDINADOR"/>
    <n v="3170664"/>
    <x v="0"/>
    <s v="ECONÓMICA"/>
    <m/>
    <m/>
  </r>
  <r>
    <x v="27"/>
    <x v="3"/>
    <x v="0"/>
    <x v="0"/>
    <s v="COORDINADOR"/>
    <n v="3170664"/>
    <x v="0"/>
    <s v="ECONÓMICA"/>
    <m/>
    <m/>
  </r>
  <r>
    <x v="27"/>
    <x v="4"/>
    <x v="0"/>
    <x v="0"/>
    <s v="COORDINADOR"/>
    <n v="3170664"/>
    <x v="0"/>
    <s v="ECONÓMICA"/>
    <m/>
    <m/>
  </r>
  <r>
    <x v="27"/>
    <x v="5"/>
    <x v="0"/>
    <x v="0"/>
    <s v="COORDINADOR"/>
    <n v="3170664"/>
    <x v="0"/>
    <s v="ECONÓMICA"/>
    <m/>
    <m/>
  </r>
  <r>
    <x v="27"/>
    <x v="6"/>
    <x v="0"/>
    <x v="0"/>
    <s v="COORDINADOR"/>
    <n v="3170664"/>
    <x v="0"/>
    <s v="ECONÓMICA"/>
    <m/>
    <m/>
  </r>
  <r>
    <x v="27"/>
    <x v="7"/>
    <x v="0"/>
    <x v="0"/>
    <s v="COORDINADOR"/>
    <n v="3170664"/>
    <x v="0"/>
    <s v="ECONÓMICA"/>
    <m/>
    <m/>
  </r>
  <r>
    <x v="27"/>
    <x v="8"/>
    <x v="0"/>
    <x v="0"/>
    <s v="COORDINADOR"/>
    <n v="3170664"/>
    <x v="0"/>
    <s v="ECONÓMICA"/>
    <m/>
    <m/>
  </r>
  <r>
    <x v="27"/>
    <x v="9"/>
    <x v="0"/>
    <x v="0"/>
    <s v="COORDINADOR"/>
    <n v="3170664"/>
    <x v="0"/>
    <s v="ECONÓMICA"/>
    <m/>
    <m/>
  </r>
  <r>
    <x v="27"/>
    <x v="10"/>
    <x v="0"/>
    <x v="0"/>
    <s v="COORDINADOR"/>
    <n v="3170664"/>
    <x v="0"/>
    <s v="ECONÓMICA"/>
    <m/>
    <m/>
  </r>
  <r>
    <x v="27"/>
    <x v="11"/>
    <x v="0"/>
    <x v="0"/>
    <s v="COORDINADOR"/>
    <n v="3170664"/>
    <x v="0"/>
    <s v="ECONÓMICA"/>
    <m/>
    <m/>
  </r>
  <r>
    <x v="27"/>
    <x v="12"/>
    <x v="0"/>
    <x v="0"/>
    <s v="COORDINADOR"/>
    <n v="3170664"/>
    <x v="0"/>
    <s v="ECONÓMICA"/>
    <m/>
    <m/>
  </r>
  <r>
    <x v="27"/>
    <x v="13"/>
    <x v="0"/>
    <x v="0"/>
    <s v="COORDINADOR"/>
    <n v="3170664"/>
    <x v="0"/>
    <s v="ECONÓMICA"/>
    <m/>
    <m/>
  </r>
  <r>
    <x v="27"/>
    <x v="14"/>
    <x v="0"/>
    <x v="0"/>
    <s v="COORDINADOR"/>
    <n v="3170664"/>
    <x v="0"/>
    <s v="ECONÓMICA"/>
    <m/>
    <m/>
  </r>
  <r>
    <x v="27"/>
    <x v="15"/>
    <x v="0"/>
    <x v="0"/>
    <s v="COORDINADOR"/>
    <n v="3170664"/>
    <x v="0"/>
    <s v="ECONÓMICA"/>
    <m/>
    <m/>
  </r>
  <r>
    <x v="27"/>
    <x v="16"/>
    <x v="0"/>
    <x v="0"/>
    <s v="COORDINADOR"/>
    <n v="3170664"/>
    <x v="0"/>
    <s v="ECONÓMICA"/>
    <m/>
    <m/>
  </r>
  <r>
    <x v="27"/>
    <x v="2"/>
    <x v="0"/>
    <x v="0"/>
    <s v="DIRECTOR"/>
    <n v="8741250"/>
    <x v="0"/>
    <s v="ECONÓMICA"/>
    <m/>
    <m/>
  </r>
  <r>
    <x v="27"/>
    <x v="3"/>
    <x v="0"/>
    <x v="0"/>
    <s v="DIRECTOR"/>
    <n v="8741250"/>
    <x v="0"/>
    <s v="ECONÓMICA"/>
    <m/>
    <m/>
  </r>
  <r>
    <x v="27"/>
    <x v="4"/>
    <x v="0"/>
    <x v="0"/>
    <s v="DIRECTOR"/>
    <n v="8741250"/>
    <x v="0"/>
    <s v="ECONÓMICA"/>
    <m/>
    <m/>
  </r>
  <r>
    <x v="27"/>
    <x v="5"/>
    <x v="0"/>
    <x v="0"/>
    <s v="DIRECTOR"/>
    <n v="8741250"/>
    <x v="0"/>
    <s v="ECONÓMICA"/>
    <m/>
    <m/>
  </r>
  <r>
    <x v="27"/>
    <x v="6"/>
    <x v="0"/>
    <x v="0"/>
    <s v="DIRECTOR"/>
    <n v="8741250"/>
    <x v="0"/>
    <s v="ECONÓMICA"/>
    <m/>
    <m/>
  </r>
  <r>
    <x v="27"/>
    <x v="7"/>
    <x v="0"/>
    <x v="0"/>
    <s v="DIRECTOR"/>
    <n v="8741250"/>
    <x v="0"/>
    <s v="ECONÓMICA"/>
    <m/>
    <m/>
  </r>
  <r>
    <x v="27"/>
    <x v="8"/>
    <x v="0"/>
    <x v="0"/>
    <s v="DIRECTOR"/>
    <n v="8741250"/>
    <x v="0"/>
    <s v="ECONÓMICA"/>
    <m/>
    <m/>
  </r>
  <r>
    <x v="27"/>
    <x v="9"/>
    <x v="0"/>
    <x v="0"/>
    <s v="DIRECTOR"/>
    <n v="8741250"/>
    <x v="0"/>
    <s v="ECONÓMICA"/>
    <m/>
    <m/>
  </r>
  <r>
    <x v="27"/>
    <x v="10"/>
    <x v="0"/>
    <x v="0"/>
    <s v="DIRECTOR"/>
    <n v="8741250"/>
    <x v="0"/>
    <s v="ECONÓMICA"/>
    <m/>
    <m/>
  </r>
  <r>
    <x v="27"/>
    <x v="11"/>
    <x v="0"/>
    <x v="0"/>
    <s v="DIRECTOR"/>
    <n v="8741250"/>
    <x v="0"/>
    <s v="ECONÓMICA"/>
    <m/>
    <m/>
  </r>
  <r>
    <x v="27"/>
    <x v="12"/>
    <x v="0"/>
    <x v="0"/>
    <s v="DIRECTOR"/>
    <n v="8741250"/>
    <x v="0"/>
    <s v="ECONÓMICA"/>
    <m/>
    <m/>
  </r>
  <r>
    <x v="27"/>
    <x v="13"/>
    <x v="0"/>
    <x v="0"/>
    <s v="DIRECTOR"/>
    <n v="8741250"/>
    <x v="0"/>
    <s v="ECONÓMICA"/>
    <m/>
    <m/>
  </r>
  <r>
    <x v="27"/>
    <x v="2"/>
    <x v="0"/>
    <x v="0"/>
    <s v="RESIDENTE ADMINISTRATIVO"/>
    <n v="4725000"/>
    <x v="0"/>
    <s v="ECONÓMICA"/>
    <m/>
    <m/>
  </r>
  <r>
    <x v="27"/>
    <x v="3"/>
    <x v="0"/>
    <x v="0"/>
    <s v="RESIDENTE ADMINISTRATIVO"/>
    <n v="4725000"/>
    <x v="0"/>
    <s v="ECONÓMICA"/>
    <m/>
    <m/>
  </r>
  <r>
    <x v="27"/>
    <x v="4"/>
    <x v="0"/>
    <x v="0"/>
    <s v="RESIDENTE ADMINISTRATIVO"/>
    <n v="4725000"/>
    <x v="0"/>
    <s v="ECONÓMICA"/>
    <m/>
    <m/>
  </r>
  <r>
    <x v="27"/>
    <x v="5"/>
    <x v="0"/>
    <x v="0"/>
    <s v="RESIDENTE ADMINISTRATIVO"/>
    <n v="4725000"/>
    <x v="0"/>
    <s v="ECONÓMICA"/>
    <m/>
    <m/>
  </r>
  <r>
    <x v="27"/>
    <x v="6"/>
    <x v="0"/>
    <x v="0"/>
    <s v="RESIDENTE ADMINISTRATIVO"/>
    <n v="4725000"/>
    <x v="0"/>
    <s v="ECONÓMICA"/>
    <m/>
    <m/>
  </r>
  <r>
    <x v="27"/>
    <x v="7"/>
    <x v="0"/>
    <x v="0"/>
    <s v="RESIDENTE ADMINISTRATIVO"/>
    <n v="4725000"/>
    <x v="0"/>
    <s v="ECONÓMICA"/>
    <m/>
    <m/>
  </r>
  <r>
    <x v="27"/>
    <x v="8"/>
    <x v="0"/>
    <x v="0"/>
    <s v="RESIDENTE ADMINISTRATIVO"/>
    <n v="4725000"/>
    <x v="0"/>
    <s v="ECONÓMICA"/>
    <m/>
    <m/>
  </r>
  <r>
    <x v="27"/>
    <x v="9"/>
    <x v="0"/>
    <x v="0"/>
    <s v="RESIDENTE ADMINISTRATIVO"/>
    <n v="4725000"/>
    <x v="0"/>
    <s v="ECONÓMICA"/>
    <m/>
    <m/>
  </r>
  <r>
    <x v="27"/>
    <x v="10"/>
    <x v="0"/>
    <x v="0"/>
    <s v="RESIDENTE ADMINISTRATIVO"/>
    <n v="4725000"/>
    <x v="0"/>
    <s v="ECONÓMICA"/>
    <m/>
    <m/>
  </r>
  <r>
    <x v="27"/>
    <x v="11"/>
    <x v="0"/>
    <x v="0"/>
    <s v="RESIDENTE ADMINISTRATIVO"/>
    <n v="4725000"/>
    <x v="0"/>
    <s v="ECONÓMICA"/>
    <m/>
    <m/>
  </r>
  <r>
    <x v="27"/>
    <x v="12"/>
    <x v="0"/>
    <x v="0"/>
    <s v="RESIDENTE ADMINISTRATIVO"/>
    <n v="4725000"/>
    <x v="0"/>
    <s v="ECONÓMICA"/>
    <m/>
    <m/>
  </r>
  <r>
    <x v="27"/>
    <x v="13"/>
    <x v="0"/>
    <x v="0"/>
    <s v="RESIDENTE ADMINISTRATIVO"/>
    <n v="4725000"/>
    <x v="0"/>
    <s v="ECONÓMICA"/>
    <m/>
    <m/>
  </r>
  <r>
    <x v="27"/>
    <x v="2"/>
    <x v="0"/>
    <x v="0"/>
    <s v="INSPECTOR"/>
    <n v="4006799.9999999995"/>
    <x v="0"/>
    <s v="ECONÓMICA"/>
    <m/>
    <m/>
  </r>
  <r>
    <x v="27"/>
    <x v="3"/>
    <x v="0"/>
    <x v="0"/>
    <s v="INSPECTOR"/>
    <n v="4006799.9999999995"/>
    <x v="0"/>
    <s v="ECONÓMICA"/>
    <m/>
    <m/>
  </r>
  <r>
    <x v="27"/>
    <x v="4"/>
    <x v="0"/>
    <x v="0"/>
    <s v="INSPECTOR"/>
    <n v="4006799.9999999995"/>
    <x v="0"/>
    <s v="ECONÓMICA"/>
    <m/>
    <m/>
  </r>
  <r>
    <x v="27"/>
    <x v="5"/>
    <x v="0"/>
    <x v="0"/>
    <s v="INSPECTOR"/>
    <n v="4006799.9999999995"/>
    <x v="0"/>
    <s v="ECONÓMICA"/>
    <m/>
    <m/>
  </r>
  <r>
    <x v="27"/>
    <x v="6"/>
    <x v="0"/>
    <x v="0"/>
    <s v="INSPECTOR"/>
    <n v="4006799.9999999995"/>
    <x v="0"/>
    <s v="ECONÓMICA"/>
    <m/>
    <m/>
  </r>
  <r>
    <x v="27"/>
    <x v="7"/>
    <x v="0"/>
    <x v="0"/>
    <s v="INSPECTOR"/>
    <n v="4006799.9999999995"/>
    <x v="0"/>
    <s v="ECONÓMICA"/>
    <m/>
    <m/>
  </r>
  <r>
    <x v="27"/>
    <x v="8"/>
    <x v="0"/>
    <x v="0"/>
    <s v="INSPECTOR"/>
    <n v="4006799.9999999995"/>
    <x v="0"/>
    <s v="ECONÓMICA"/>
    <m/>
    <m/>
  </r>
  <r>
    <x v="27"/>
    <x v="9"/>
    <x v="0"/>
    <x v="0"/>
    <s v="INSPECTOR"/>
    <n v="4006799.9999999995"/>
    <x v="0"/>
    <s v="ECONÓMICA"/>
    <m/>
    <m/>
  </r>
  <r>
    <x v="27"/>
    <x v="10"/>
    <x v="0"/>
    <x v="0"/>
    <s v="INSPECTOR"/>
    <n v="4006799.9999999995"/>
    <x v="0"/>
    <s v="ECONÓMICA"/>
    <m/>
    <m/>
  </r>
  <r>
    <x v="27"/>
    <x v="11"/>
    <x v="0"/>
    <x v="0"/>
    <s v="INSPECTOR"/>
    <n v="4006799.9999999995"/>
    <x v="0"/>
    <s v="ECONÓMICA"/>
    <m/>
    <m/>
  </r>
  <r>
    <x v="27"/>
    <x v="12"/>
    <x v="0"/>
    <x v="0"/>
    <s v="INSPECTOR"/>
    <n v="4006799.9999999995"/>
    <x v="0"/>
    <s v="ECONÓMICA"/>
    <m/>
    <m/>
  </r>
  <r>
    <x v="27"/>
    <x v="2"/>
    <x v="0"/>
    <x v="0"/>
    <s v="PROFESIONAL DE CONTRATACIONES"/>
    <n v="1850625"/>
    <x v="0"/>
    <s v="ECONÓMICA"/>
    <m/>
    <m/>
  </r>
  <r>
    <x v="27"/>
    <x v="3"/>
    <x v="0"/>
    <x v="0"/>
    <s v="PROFESIONAL DE CONTRATACIONES"/>
    <n v="1850625"/>
    <x v="0"/>
    <s v="ECONÓMICA"/>
    <m/>
    <m/>
  </r>
  <r>
    <x v="27"/>
    <x v="4"/>
    <x v="0"/>
    <x v="0"/>
    <s v="PROFESIONAL DE CONTRATACIONES"/>
    <n v="1850625"/>
    <x v="0"/>
    <s v="ECONÓMICA"/>
    <m/>
    <m/>
  </r>
  <r>
    <x v="27"/>
    <x v="5"/>
    <x v="0"/>
    <x v="0"/>
    <s v="PROFESIONAL DE CONTRATACIONES"/>
    <n v="1850625"/>
    <x v="0"/>
    <s v="ECONÓMICA"/>
    <m/>
    <m/>
  </r>
  <r>
    <x v="27"/>
    <x v="2"/>
    <x v="0"/>
    <x v="0"/>
    <s v="PROFESIONAL DE COORDINACION"/>
    <n v="2583000"/>
    <x v="0"/>
    <s v="ECONÓMICA"/>
    <m/>
    <m/>
  </r>
  <r>
    <x v="27"/>
    <x v="3"/>
    <x v="0"/>
    <x v="0"/>
    <s v="PROFESIONAL DE COORDINACION"/>
    <n v="2583000"/>
    <x v="0"/>
    <s v="ECONÓMICA"/>
    <m/>
    <m/>
  </r>
  <r>
    <x v="27"/>
    <x v="4"/>
    <x v="0"/>
    <x v="0"/>
    <s v="PROFESIONAL DE COORDINACION"/>
    <n v="2583000"/>
    <x v="0"/>
    <s v="ECONÓMICA"/>
    <m/>
    <m/>
  </r>
  <r>
    <x v="27"/>
    <x v="5"/>
    <x v="0"/>
    <x v="0"/>
    <s v="PROFESIONAL DE COORDINACION"/>
    <n v="2583000"/>
    <x v="0"/>
    <s v="ECONÓMICA"/>
    <m/>
    <m/>
  </r>
  <r>
    <x v="28"/>
    <x v="1"/>
    <x v="0"/>
    <x v="0"/>
    <s v="DIRECTOR"/>
    <n v="12134941.875"/>
    <x v="0"/>
    <s v="CONTRACTUAL"/>
    <m/>
    <m/>
  </r>
  <r>
    <x v="28"/>
    <x v="2"/>
    <x v="0"/>
    <x v="0"/>
    <s v="DIRECTOR"/>
    <n v="12134941.875"/>
    <x v="0"/>
    <s v="CONTRACTUAL"/>
    <m/>
    <m/>
  </r>
  <r>
    <x v="28"/>
    <x v="3"/>
    <x v="0"/>
    <x v="0"/>
    <s v="DIRECTOR"/>
    <n v="12134941.875"/>
    <x v="0"/>
    <s v="CONTRACTUAL"/>
    <m/>
    <m/>
  </r>
  <r>
    <x v="28"/>
    <x v="4"/>
    <x v="0"/>
    <x v="0"/>
    <s v="DIRECTOR"/>
    <n v="12134941.875"/>
    <x v="0"/>
    <s v="CONTRACTUAL"/>
    <m/>
    <m/>
  </r>
  <r>
    <x v="28"/>
    <x v="5"/>
    <x v="0"/>
    <x v="0"/>
    <s v="DIRECTOR"/>
    <n v="12134941.875"/>
    <x v="0"/>
    <s v="CONTRACTUAL"/>
    <m/>
    <m/>
  </r>
  <r>
    <x v="28"/>
    <x v="6"/>
    <x v="0"/>
    <x v="0"/>
    <s v="DIRECTOR"/>
    <n v="12134941.875"/>
    <x v="0"/>
    <s v="CONTRACTUAL"/>
    <m/>
    <m/>
  </r>
  <r>
    <x v="28"/>
    <x v="7"/>
    <x v="0"/>
    <x v="0"/>
    <s v="DIRECTOR"/>
    <n v="12134941.875"/>
    <x v="0"/>
    <s v="CONTRACTUAL"/>
    <m/>
    <m/>
  </r>
  <r>
    <x v="28"/>
    <x v="8"/>
    <x v="0"/>
    <x v="0"/>
    <s v="DIRECTOR"/>
    <n v="12134941.875"/>
    <x v="0"/>
    <s v="CONTRACTUAL"/>
    <m/>
    <m/>
  </r>
  <r>
    <x v="28"/>
    <x v="9"/>
    <x v="0"/>
    <x v="0"/>
    <s v="DIRECTOR"/>
    <n v="12134941.875"/>
    <x v="0"/>
    <s v="CONTRACTUAL"/>
    <m/>
    <m/>
  </r>
  <r>
    <x v="28"/>
    <x v="10"/>
    <x v="0"/>
    <x v="0"/>
    <s v="DIRECTOR"/>
    <n v="12134941.875"/>
    <x v="0"/>
    <s v="CONTRACTUAL"/>
    <m/>
    <m/>
  </r>
  <r>
    <x v="28"/>
    <x v="11"/>
    <x v="0"/>
    <x v="0"/>
    <s v="DIRECTOR"/>
    <n v="12134941.875"/>
    <x v="0"/>
    <s v="CONTRACTUAL"/>
    <m/>
    <m/>
  </r>
  <r>
    <x v="28"/>
    <x v="12"/>
    <x v="0"/>
    <x v="0"/>
    <s v="DIRECTOR"/>
    <n v="12134941.875"/>
    <x v="0"/>
    <s v="CONTRACTUAL"/>
    <m/>
    <m/>
  </r>
  <r>
    <x v="28"/>
    <x v="13"/>
    <x v="0"/>
    <x v="0"/>
    <s v="DIRECTOR"/>
    <n v="12134941.875"/>
    <x v="0"/>
    <s v="CONTRACTUAL"/>
    <m/>
    <m/>
  </r>
  <r>
    <x v="28"/>
    <x v="14"/>
    <x v="0"/>
    <x v="0"/>
    <s v="DIRECTOR"/>
    <n v="12134941.875"/>
    <x v="0"/>
    <s v="CONTRACTUAL"/>
    <m/>
    <m/>
  </r>
  <r>
    <x v="28"/>
    <x v="15"/>
    <x v="0"/>
    <x v="0"/>
    <s v="DIRECTOR"/>
    <n v="12134941.875"/>
    <x v="0"/>
    <s v="CONTRACTUAL"/>
    <m/>
    <m/>
  </r>
  <r>
    <x v="28"/>
    <x v="16"/>
    <x v="0"/>
    <x v="0"/>
    <s v="DIRECTOR"/>
    <n v="12134941.875"/>
    <x v="0"/>
    <s v="CONTRACTUAL"/>
    <m/>
    <m/>
  </r>
  <r>
    <x v="28"/>
    <x v="17"/>
    <x v="0"/>
    <x v="0"/>
    <s v="DIRECTOR"/>
    <n v="12134941.875"/>
    <x v="0"/>
    <s v="CONTRACTUAL"/>
    <m/>
    <m/>
  </r>
  <r>
    <x v="28"/>
    <x v="1"/>
    <x v="0"/>
    <x v="0"/>
    <s v="RESIDENTE TECNICO"/>
    <n v="7406867.4750000006"/>
    <x v="0"/>
    <s v="CONTRACTUAL"/>
    <m/>
    <m/>
  </r>
  <r>
    <x v="28"/>
    <x v="2"/>
    <x v="0"/>
    <x v="0"/>
    <s v="RESIDENTE TECNICO"/>
    <n v="7406867.4750000006"/>
    <x v="0"/>
    <s v="CONTRACTUAL"/>
    <m/>
    <m/>
  </r>
  <r>
    <x v="28"/>
    <x v="3"/>
    <x v="0"/>
    <x v="0"/>
    <s v="RESIDENTE TECNICO"/>
    <n v="7406867.4750000006"/>
    <x v="0"/>
    <s v="CONTRACTUAL"/>
    <m/>
    <m/>
  </r>
  <r>
    <x v="28"/>
    <x v="4"/>
    <x v="0"/>
    <x v="0"/>
    <s v="RESIDENTE TECNICO"/>
    <n v="7406867.4750000006"/>
    <x v="0"/>
    <s v="CONTRACTUAL"/>
    <m/>
    <m/>
  </r>
  <r>
    <x v="28"/>
    <x v="5"/>
    <x v="0"/>
    <x v="0"/>
    <s v="RESIDENTE TECNICO"/>
    <n v="7406867.4750000006"/>
    <x v="0"/>
    <s v="CONTRACTUAL"/>
    <m/>
    <m/>
  </r>
  <r>
    <x v="28"/>
    <x v="6"/>
    <x v="0"/>
    <x v="0"/>
    <s v="RESIDENTE TECNICO"/>
    <n v="7406867.4750000006"/>
    <x v="0"/>
    <s v="CONTRACTUAL"/>
    <m/>
    <m/>
  </r>
  <r>
    <x v="28"/>
    <x v="7"/>
    <x v="0"/>
    <x v="0"/>
    <s v="RESIDENTE TECNICO"/>
    <n v="7406867.4750000006"/>
    <x v="0"/>
    <s v="CONTRACTUAL"/>
    <m/>
    <m/>
  </r>
  <r>
    <x v="28"/>
    <x v="8"/>
    <x v="0"/>
    <x v="0"/>
    <s v="RESIDENTE TECNICO"/>
    <n v="7406867.4750000006"/>
    <x v="0"/>
    <s v="CONTRACTUAL"/>
    <m/>
    <m/>
  </r>
  <r>
    <x v="28"/>
    <x v="9"/>
    <x v="0"/>
    <x v="0"/>
    <s v="RESIDENTE TECNICO"/>
    <n v="7406867.4750000006"/>
    <x v="0"/>
    <s v="CONTRACTUAL"/>
    <m/>
    <m/>
  </r>
  <r>
    <x v="28"/>
    <x v="10"/>
    <x v="0"/>
    <x v="0"/>
    <s v="RESIDENTE TECNICO"/>
    <n v="7406867.4750000006"/>
    <x v="0"/>
    <s v="CONTRACTUAL"/>
    <m/>
    <m/>
  </r>
  <r>
    <x v="28"/>
    <x v="11"/>
    <x v="0"/>
    <x v="0"/>
    <s v="RESIDENTE TECNICO"/>
    <n v="7406867.4750000006"/>
    <x v="0"/>
    <s v="CONTRACTUAL"/>
    <m/>
    <m/>
  </r>
  <r>
    <x v="28"/>
    <x v="12"/>
    <x v="0"/>
    <x v="0"/>
    <s v="RESIDENTE TECNICO"/>
    <n v="7406867.4750000006"/>
    <x v="0"/>
    <s v="CONTRACTUAL"/>
    <m/>
    <m/>
  </r>
  <r>
    <x v="28"/>
    <x v="13"/>
    <x v="0"/>
    <x v="0"/>
    <s v="RESIDENTE TECNICO"/>
    <n v="7406867.4750000006"/>
    <x v="0"/>
    <s v="CONTRACTUAL"/>
    <m/>
    <m/>
  </r>
  <r>
    <x v="28"/>
    <x v="14"/>
    <x v="0"/>
    <x v="0"/>
    <s v="RESIDENTE TECNICO"/>
    <n v="7406867.4750000006"/>
    <x v="0"/>
    <s v="CONTRACTUAL"/>
    <m/>
    <m/>
  </r>
  <r>
    <x v="28"/>
    <x v="15"/>
    <x v="0"/>
    <x v="0"/>
    <s v="RESIDENTE TECNICO"/>
    <n v="7406867.4750000006"/>
    <x v="0"/>
    <s v="CONTRACTUAL"/>
    <m/>
    <m/>
  </r>
  <r>
    <x v="28"/>
    <x v="16"/>
    <x v="0"/>
    <x v="0"/>
    <s v="RESIDENTE TECNICO"/>
    <n v="7406867.4750000006"/>
    <x v="0"/>
    <s v="CONTRACTUAL"/>
    <m/>
    <m/>
  </r>
  <r>
    <x v="28"/>
    <x v="17"/>
    <x v="0"/>
    <x v="0"/>
    <s v="RESIDENTE TECNICO"/>
    <n v="7406867.4750000006"/>
    <x v="0"/>
    <s v="CONTRACTUAL"/>
    <m/>
    <m/>
  </r>
  <r>
    <x v="28"/>
    <x v="18"/>
    <x v="0"/>
    <x v="0"/>
    <s v="RESIDENTE TECNICO"/>
    <n v="7406867.4750000006"/>
    <x v="0"/>
    <s v="CONTRACTUAL"/>
    <m/>
    <m/>
  </r>
  <r>
    <x v="28"/>
    <x v="19"/>
    <x v="0"/>
    <x v="0"/>
    <s v="RESIDENTE TECNICO"/>
    <n v="7406867.4750000006"/>
    <x v="0"/>
    <s v="CONTRACTUAL"/>
    <m/>
    <m/>
  </r>
  <r>
    <x v="28"/>
    <x v="20"/>
    <x v="0"/>
    <x v="0"/>
    <s v="RESIDENTE TECNICO"/>
    <n v="7406867.4750000006"/>
    <x v="0"/>
    <s v="CONTRACTUAL"/>
    <m/>
    <m/>
  </r>
  <r>
    <x v="28"/>
    <x v="21"/>
    <x v="0"/>
    <x v="0"/>
    <s v="RESIDENTE TECNICO"/>
    <n v="7406867.4750000006"/>
    <x v="0"/>
    <s v="CONTRACTUAL"/>
    <m/>
    <m/>
  </r>
  <r>
    <x v="28"/>
    <x v="22"/>
    <x v="0"/>
    <x v="0"/>
    <s v="RESIDENTE TECNICO"/>
    <n v="7406867.4750000006"/>
    <x v="0"/>
    <s v="CONTRACTUAL"/>
    <m/>
    <m/>
  </r>
  <r>
    <x v="28"/>
    <x v="23"/>
    <x v="0"/>
    <x v="0"/>
    <s v="RESIDENTE TECNICO"/>
    <n v="7406867.4750000006"/>
    <x v="0"/>
    <s v="CONTRACTUAL"/>
    <m/>
    <m/>
  </r>
  <r>
    <x v="28"/>
    <x v="1"/>
    <x v="0"/>
    <x v="0"/>
    <s v="RESIDENTE INSTALACIONES"/>
    <n v="7540019.5500000007"/>
    <x v="0"/>
    <s v="CONTRACTUAL"/>
    <m/>
    <m/>
  </r>
  <r>
    <x v="28"/>
    <x v="2"/>
    <x v="0"/>
    <x v="0"/>
    <s v="RESIDENTE INSTALACIONES"/>
    <n v="7540019.5500000007"/>
    <x v="0"/>
    <s v="CONTRACTUAL"/>
    <m/>
    <m/>
  </r>
  <r>
    <x v="28"/>
    <x v="3"/>
    <x v="0"/>
    <x v="0"/>
    <s v="RESIDENTE INSTALACIONES"/>
    <n v="7540019.5500000007"/>
    <x v="0"/>
    <s v="CONTRACTUAL"/>
    <m/>
    <m/>
  </r>
  <r>
    <x v="28"/>
    <x v="4"/>
    <x v="0"/>
    <x v="0"/>
    <s v="RESIDENTE INSTALACIONES"/>
    <n v="7540019.5500000007"/>
    <x v="0"/>
    <s v="CONTRACTUAL"/>
    <m/>
    <m/>
  </r>
  <r>
    <x v="28"/>
    <x v="5"/>
    <x v="0"/>
    <x v="0"/>
    <s v="RESIDENTE INSTALACIONES"/>
    <n v="7540019.5500000007"/>
    <x v="0"/>
    <s v="CONTRACTUAL"/>
    <m/>
    <m/>
  </r>
  <r>
    <x v="28"/>
    <x v="6"/>
    <x v="0"/>
    <x v="0"/>
    <s v="RESIDENTE INSTALACIONES"/>
    <n v="7540019.5500000007"/>
    <x v="0"/>
    <s v="CONTRACTUAL"/>
    <m/>
    <m/>
  </r>
  <r>
    <x v="28"/>
    <x v="7"/>
    <x v="0"/>
    <x v="0"/>
    <s v="RESIDENTE INSTALACIONES"/>
    <n v="7540019.5500000007"/>
    <x v="0"/>
    <s v="CONTRACTUAL"/>
    <m/>
    <m/>
  </r>
  <r>
    <x v="28"/>
    <x v="8"/>
    <x v="0"/>
    <x v="0"/>
    <s v="RESIDENTE INSTALACIONES"/>
    <n v="7540019.5500000007"/>
    <x v="0"/>
    <s v="CONTRACTUAL"/>
    <m/>
    <m/>
  </r>
  <r>
    <x v="28"/>
    <x v="9"/>
    <x v="0"/>
    <x v="0"/>
    <s v="RESIDENTE INSTALACIONES"/>
    <n v="7540019.5500000007"/>
    <x v="0"/>
    <s v="CONTRACTUAL"/>
    <m/>
    <m/>
  </r>
  <r>
    <x v="28"/>
    <x v="10"/>
    <x v="0"/>
    <x v="0"/>
    <s v="RESIDENTE INSTALACIONES"/>
    <n v="7540019.5500000007"/>
    <x v="0"/>
    <s v="CONTRACTUAL"/>
    <m/>
    <m/>
  </r>
  <r>
    <x v="28"/>
    <x v="11"/>
    <x v="0"/>
    <x v="0"/>
    <s v="RESIDENTE INSTALACIONES"/>
    <n v="7540019.5500000007"/>
    <x v="0"/>
    <s v="CONTRACTUAL"/>
    <m/>
    <m/>
  </r>
  <r>
    <x v="28"/>
    <x v="12"/>
    <x v="0"/>
    <x v="0"/>
    <s v="RESIDENTE INSTALACIONES"/>
    <n v="7540019.5500000007"/>
    <x v="0"/>
    <s v="CONTRACTUAL"/>
    <m/>
    <m/>
  </r>
  <r>
    <x v="28"/>
    <x v="13"/>
    <x v="0"/>
    <x v="0"/>
    <s v="RESIDENTE INSTALACIONES"/>
    <n v="7540019.5500000007"/>
    <x v="0"/>
    <s v="CONTRACTUAL"/>
    <m/>
    <m/>
  </r>
  <r>
    <x v="28"/>
    <x v="14"/>
    <x v="0"/>
    <x v="0"/>
    <s v="RESIDENTE INSTALACIONES"/>
    <n v="7540019.5500000007"/>
    <x v="0"/>
    <s v="CONTRACTUAL"/>
    <m/>
    <m/>
  </r>
  <r>
    <x v="28"/>
    <x v="1"/>
    <x v="0"/>
    <x v="0"/>
    <s v="RESIDENTE ADMINISTRATIVO"/>
    <n v="5488569.4500000002"/>
    <x v="0"/>
    <s v="CONTRACTUAL"/>
    <m/>
    <m/>
  </r>
  <r>
    <x v="28"/>
    <x v="2"/>
    <x v="0"/>
    <x v="0"/>
    <s v="RESIDENTE ADMINISTRATIVO"/>
    <n v="5488569.4500000002"/>
    <x v="0"/>
    <s v="CONTRACTUAL"/>
    <m/>
    <m/>
  </r>
  <r>
    <x v="28"/>
    <x v="3"/>
    <x v="0"/>
    <x v="0"/>
    <s v="RESIDENTE ADMINISTRATIVO"/>
    <n v="5488569.4500000002"/>
    <x v="0"/>
    <s v="CONTRACTUAL"/>
    <m/>
    <m/>
  </r>
  <r>
    <x v="28"/>
    <x v="4"/>
    <x v="0"/>
    <x v="0"/>
    <s v="RESIDENTE ADMINISTRATIVO"/>
    <n v="5488569.4500000002"/>
    <x v="0"/>
    <s v="CONTRACTUAL"/>
    <m/>
    <m/>
  </r>
  <r>
    <x v="28"/>
    <x v="5"/>
    <x v="0"/>
    <x v="0"/>
    <s v="RESIDENTE ADMINISTRATIVO"/>
    <n v="5488569.4500000002"/>
    <x v="0"/>
    <s v="CONTRACTUAL"/>
    <m/>
    <m/>
  </r>
  <r>
    <x v="28"/>
    <x v="6"/>
    <x v="0"/>
    <x v="0"/>
    <s v="RESIDENTE ADMINISTRATIVO"/>
    <n v="5488569.4500000002"/>
    <x v="0"/>
    <s v="CONTRACTUAL"/>
    <m/>
    <m/>
  </r>
  <r>
    <x v="28"/>
    <x v="7"/>
    <x v="0"/>
    <x v="0"/>
    <s v="RESIDENTE ADMINISTRATIVO"/>
    <n v="5488569.4500000002"/>
    <x v="0"/>
    <s v="CONTRACTUAL"/>
    <m/>
    <m/>
  </r>
  <r>
    <x v="28"/>
    <x v="8"/>
    <x v="0"/>
    <x v="0"/>
    <s v="RESIDENTE ADMINISTRATIVO"/>
    <n v="5488569.4500000002"/>
    <x v="0"/>
    <s v="CONTRACTUAL"/>
    <m/>
    <m/>
  </r>
  <r>
    <x v="28"/>
    <x v="9"/>
    <x v="0"/>
    <x v="0"/>
    <s v="RESIDENTE ADMINISTRATIVO"/>
    <n v="5488569.4500000002"/>
    <x v="0"/>
    <s v="CONTRACTUAL"/>
    <m/>
    <m/>
  </r>
  <r>
    <x v="28"/>
    <x v="10"/>
    <x v="0"/>
    <x v="0"/>
    <s v="RESIDENTE ADMINISTRATIVO"/>
    <n v="5488569.4500000002"/>
    <x v="0"/>
    <s v="CONTRACTUAL"/>
    <m/>
    <m/>
  </r>
  <r>
    <x v="28"/>
    <x v="11"/>
    <x v="0"/>
    <x v="0"/>
    <s v="RESIDENTE ADMINISTRATIVO"/>
    <n v="5488569.4500000002"/>
    <x v="0"/>
    <s v="CONTRACTUAL"/>
    <m/>
    <m/>
  </r>
  <r>
    <x v="28"/>
    <x v="12"/>
    <x v="0"/>
    <x v="0"/>
    <s v="RESIDENTE ADMINISTRATIVO"/>
    <n v="5488569.4500000002"/>
    <x v="0"/>
    <s v="CONTRACTUAL"/>
    <m/>
    <m/>
  </r>
  <r>
    <x v="28"/>
    <x v="13"/>
    <x v="0"/>
    <x v="0"/>
    <s v="RESIDENTE ADMINISTRATIVO"/>
    <n v="5488569.4500000002"/>
    <x v="0"/>
    <s v="CONTRACTUAL"/>
    <m/>
    <m/>
  </r>
  <r>
    <x v="28"/>
    <x v="14"/>
    <x v="0"/>
    <x v="0"/>
    <s v="RESIDENTE ADMINISTRATIVO"/>
    <n v="5488569.4500000002"/>
    <x v="0"/>
    <s v="CONTRACTUAL"/>
    <m/>
    <m/>
  </r>
  <r>
    <x v="28"/>
    <x v="15"/>
    <x v="0"/>
    <x v="0"/>
    <s v="RESIDENTE ADMINISTRATIVO"/>
    <n v="5488569.4500000002"/>
    <x v="0"/>
    <s v="CONTRACTUAL"/>
    <m/>
    <m/>
  </r>
  <r>
    <x v="28"/>
    <x v="16"/>
    <x v="0"/>
    <x v="0"/>
    <s v="RESIDENTE ADMINISTRATIVO"/>
    <n v="5488569.4500000002"/>
    <x v="0"/>
    <s v="CONTRACTUAL"/>
    <m/>
    <m/>
  </r>
  <r>
    <x v="28"/>
    <x v="17"/>
    <x v="0"/>
    <x v="0"/>
    <s v="RESIDENTE ADMINISTRATIVO"/>
    <n v="5488569.4500000002"/>
    <x v="0"/>
    <s v="CONTRACTUAL"/>
    <m/>
    <m/>
  </r>
  <r>
    <x v="28"/>
    <x v="1"/>
    <x v="0"/>
    <x v="0"/>
    <s v="RESIDENTE INTERVENTOR HSQE"/>
    <n v="4923668.9249999998"/>
    <x v="0"/>
    <s v="CONTRACTUAL"/>
    <m/>
    <m/>
  </r>
  <r>
    <x v="28"/>
    <x v="2"/>
    <x v="0"/>
    <x v="0"/>
    <s v="RESIDENTE INTERVENTOR HSQE"/>
    <n v="4923668.9249999998"/>
    <x v="0"/>
    <s v="CONTRACTUAL"/>
    <m/>
    <m/>
  </r>
  <r>
    <x v="28"/>
    <x v="3"/>
    <x v="0"/>
    <x v="0"/>
    <s v="RESIDENTE INTERVENTOR HSQE"/>
    <n v="4923668.9249999998"/>
    <x v="0"/>
    <s v="CONTRACTUAL"/>
    <m/>
    <m/>
  </r>
  <r>
    <x v="28"/>
    <x v="4"/>
    <x v="0"/>
    <x v="0"/>
    <s v="RESIDENTE INTERVENTOR HSQE"/>
    <n v="4923668.9249999998"/>
    <x v="0"/>
    <s v="CONTRACTUAL"/>
    <m/>
    <m/>
  </r>
  <r>
    <x v="28"/>
    <x v="5"/>
    <x v="0"/>
    <x v="0"/>
    <s v="RESIDENTE INTERVENTOR HSQE"/>
    <n v="4923668.9249999998"/>
    <x v="0"/>
    <s v="CONTRACTUAL"/>
    <m/>
    <m/>
  </r>
  <r>
    <x v="28"/>
    <x v="6"/>
    <x v="0"/>
    <x v="0"/>
    <s v="RESIDENTE INTERVENTOR HSQE"/>
    <n v="4923668.9249999998"/>
    <x v="0"/>
    <s v="CONTRACTUAL"/>
    <m/>
    <m/>
  </r>
  <r>
    <x v="28"/>
    <x v="7"/>
    <x v="0"/>
    <x v="0"/>
    <s v="RESIDENTE INTERVENTOR HSQE"/>
    <n v="4923668.9249999998"/>
    <x v="0"/>
    <s v="CONTRACTUAL"/>
    <m/>
    <m/>
  </r>
  <r>
    <x v="28"/>
    <x v="8"/>
    <x v="0"/>
    <x v="0"/>
    <s v="RESIDENTE INTERVENTOR HSQE"/>
    <n v="4923668.9249999998"/>
    <x v="0"/>
    <s v="CONTRACTUAL"/>
    <m/>
    <m/>
  </r>
  <r>
    <x v="28"/>
    <x v="9"/>
    <x v="0"/>
    <x v="0"/>
    <s v="RESIDENTE INTERVENTOR HSQE"/>
    <n v="4923668.9249999998"/>
    <x v="0"/>
    <s v="CONTRACTUAL"/>
    <m/>
    <m/>
  </r>
  <r>
    <x v="28"/>
    <x v="10"/>
    <x v="0"/>
    <x v="0"/>
    <s v="RESIDENTE INTERVENTOR HSQE"/>
    <n v="4923668.9249999998"/>
    <x v="0"/>
    <s v="CONTRACTUAL"/>
    <m/>
    <m/>
  </r>
  <r>
    <x v="28"/>
    <x v="11"/>
    <x v="0"/>
    <x v="0"/>
    <s v="RESIDENTE INTERVENTOR HSQE"/>
    <n v="4923668.9249999998"/>
    <x v="0"/>
    <s v="CONTRACTUAL"/>
    <m/>
    <m/>
  </r>
  <r>
    <x v="28"/>
    <x v="12"/>
    <x v="0"/>
    <x v="0"/>
    <s v="RESIDENTE INTERVENTOR HSQE"/>
    <n v="4923668.9249999998"/>
    <x v="0"/>
    <s v="CONTRACTUAL"/>
    <m/>
    <m/>
  </r>
  <r>
    <x v="28"/>
    <x v="13"/>
    <x v="0"/>
    <x v="0"/>
    <s v="RESIDENTE INTERVENTOR HSQE"/>
    <n v="4923668.9249999998"/>
    <x v="0"/>
    <s v="CONTRACTUAL"/>
    <m/>
    <m/>
  </r>
  <r>
    <x v="28"/>
    <x v="14"/>
    <x v="0"/>
    <x v="0"/>
    <s v="RESIDENTE INTERVENTOR HSQE"/>
    <n v="4923668.9249999998"/>
    <x v="0"/>
    <s v="CONTRACTUAL"/>
    <m/>
    <m/>
  </r>
  <r>
    <x v="28"/>
    <x v="15"/>
    <x v="0"/>
    <x v="0"/>
    <s v="RESIDENTE INTERVENTOR HSQE"/>
    <n v="4923668.9249999998"/>
    <x v="0"/>
    <s v="CONTRACTUAL"/>
    <m/>
    <m/>
  </r>
  <r>
    <x v="28"/>
    <x v="16"/>
    <x v="0"/>
    <x v="0"/>
    <s v="RESIDENTE INTERVENTOR HSQE"/>
    <n v="4923668.9249999998"/>
    <x v="0"/>
    <s v="CONTRACTUAL"/>
    <m/>
    <m/>
  </r>
  <r>
    <x v="28"/>
    <x v="17"/>
    <x v="0"/>
    <x v="0"/>
    <s v="RESIDENTE INTERVENTOR HSQE"/>
    <n v="4923668.9249999998"/>
    <x v="0"/>
    <s v="CONTRACTUAL"/>
    <m/>
    <m/>
  </r>
  <r>
    <x v="28"/>
    <x v="18"/>
    <x v="0"/>
    <x v="0"/>
    <s v="RESIDENTE INTERVENTOR HSQE"/>
    <n v="4923668.9249999998"/>
    <x v="0"/>
    <s v="CONTRACTUAL"/>
    <m/>
    <m/>
  </r>
  <r>
    <x v="28"/>
    <x v="1"/>
    <x v="0"/>
    <x v="0"/>
    <s v="AUXILIAR ADMINISTRATIVO"/>
    <n v="3222031.0500000003"/>
    <x v="0"/>
    <s v="CONTRACTUAL"/>
    <m/>
    <m/>
  </r>
  <r>
    <x v="28"/>
    <x v="2"/>
    <x v="0"/>
    <x v="0"/>
    <s v="AUXILIAR ADMINISTRATIVO"/>
    <n v="3222031.0500000003"/>
    <x v="0"/>
    <s v="CONTRACTUAL"/>
    <m/>
    <m/>
  </r>
  <r>
    <x v="28"/>
    <x v="3"/>
    <x v="0"/>
    <x v="0"/>
    <s v="AUXILIAR ADMINISTRATIVO"/>
    <n v="3222031.0500000003"/>
    <x v="0"/>
    <s v="CONTRACTUAL"/>
    <m/>
    <m/>
  </r>
  <r>
    <x v="28"/>
    <x v="4"/>
    <x v="0"/>
    <x v="0"/>
    <s v="AUXILIAR ADMINISTRATIVO"/>
    <n v="3222031.0500000003"/>
    <x v="0"/>
    <s v="CONTRACTUAL"/>
    <m/>
    <m/>
  </r>
  <r>
    <x v="28"/>
    <x v="5"/>
    <x v="0"/>
    <x v="0"/>
    <s v="AUXILIAR ADMINISTRATIVO"/>
    <n v="3222031.0500000003"/>
    <x v="0"/>
    <s v="CONTRACTUAL"/>
    <m/>
    <m/>
  </r>
  <r>
    <x v="28"/>
    <x v="6"/>
    <x v="0"/>
    <x v="0"/>
    <s v="AUXILIAR ADMINISTRATIVO"/>
    <n v="3222031.0500000003"/>
    <x v="0"/>
    <s v="CONTRACTUAL"/>
    <m/>
    <m/>
  </r>
  <r>
    <x v="28"/>
    <x v="7"/>
    <x v="0"/>
    <x v="0"/>
    <s v="AUXILIAR ADMINISTRATIVO"/>
    <n v="3222031.0500000003"/>
    <x v="0"/>
    <s v="CONTRACTUAL"/>
    <m/>
    <m/>
  </r>
  <r>
    <x v="28"/>
    <x v="8"/>
    <x v="0"/>
    <x v="0"/>
    <s v="AUXILIAR ADMINISTRATIVO"/>
    <n v="3222031.0500000003"/>
    <x v="0"/>
    <s v="CONTRACTUAL"/>
    <m/>
    <m/>
  </r>
  <r>
    <x v="28"/>
    <x v="9"/>
    <x v="0"/>
    <x v="0"/>
    <s v="AUXILIAR ADMINISTRATIVO"/>
    <n v="3222031.0500000003"/>
    <x v="0"/>
    <s v="CONTRACTUAL"/>
    <m/>
    <m/>
  </r>
  <r>
    <x v="28"/>
    <x v="10"/>
    <x v="0"/>
    <x v="0"/>
    <s v="AUXILIAR ADMINISTRATIVO"/>
    <n v="3222031.0500000003"/>
    <x v="0"/>
    <s v="CONTRACTUAL"/>
    <m/>
    <m/>
  </r>
  <r>
    <x v="28"/>
    <x v="11"/>
    <x v="0"/>
    <x v="0"/>
    <s v="AUXILIAR ADMINISTRATIVO"/>
    <n v="3222031.0500000003"/>
    <x v="0"/>
    <s v="CONTRACTUAL"/>
    <m/>
    <m/>
  </r>
  <r>
    <x v="28"/>
    <x v="12"/>
    <x v="0"/>
    <x v="0"/>
    <s v="AUXILIAR ADMINISTRATIVO"/>
    <n v="3222031.0500000003"/>
    <x v="0"/>
    <s v="CONTRACTUAL"/>
    <m/>
    <m/>
  </r>
  <r>
    <x v="28"/>
    <x v="13"/>
    <x v="0"/>
    <x v="0"/>
    <s v="AUXILIAR ADMINISTRATIVO"/>
    <n v="3222031.0500000003"/>
    <x v="0"/>
    <s v="CONTRACTUAL"/>
    <m/>
    <m/>
  </r>
  <r>
    <x v="28"/>
    <x v="14"/>
    <x v="0"/>
    <x v="0"/>
    <s v="AUXILIAR ADMINISTRATIVO"/>
    <n v="3222031.0500000003"/>
    <x v="0"/>
    <s v="CONTRACTUAL"/>
    <m/>
    <m/>
  </r>
  <r>
    <x v="28"/>
    <x v="15"/>
    <x v="0"/>
    <x v="0"/>
    <s v="AUXILIAR ADMINISTRATIVO"/>
    <n v="3222031.0500000003"/>
    <x v="0"/>
    <s v="CONTRACTUAL"/>
    <m/>
    <m/>
  </r>
  <r>
    <x v="28"/>
    <x v="16"/>
    <x v="0"/>
    <x v="0"/>
    <s v="AUXILIAR ADMINISTRATIVO"/>
    <n v="3222031.0500000003"/>
    <x v="0"/>
    <s v="CONTRACTUAL"/>
    <m/>
    <m/>
  </r>
  <r>
    <x v="28"/>
    <x v="17"/>
    <x v="0"/>
    <x v="0"/>
    <s v="AUXILIAR ADMINISTRATIVO"/>
    <n v="3222031.0500000003"/>
    <x v="0"/>
    <s v="CONTRACTUAL"/>
    <m/>
    <m/>
  </r>
  <r>
    <x v="28"/>
    <x v="18"/>
    <x v="0"/>
    <x v="0"/>
    <s v="AUXILIAR ADMINISTRATIVO"/>
    <n v="3222031.0500000003"/>
    <x v="0"/>
    <s v="CONTRACTUAL"/>
    <m/>
    <m/>
  </r>
  <r>
    <x v="28"/>
    <x v="19"/>
    <x v="0"/>
    <x v="0"/>
    <s v="AUXILIAR ADMINISTRATIVO"/>
    <n v="3222031.0500000003"/>
    <x v="0"/>
    <s v="CONTRACTUAL"/>
    <m/>
    <m/>
  </r>
  <r>
    <x v="28"/>
    <x v="20"/>
    <x v="0"/>
    <x v="0"/>
    <s v="AUXILIAR ADMINISTRATIVO"/>
    <n v="3222031.0500000003"/>
    <x v="0"/>
    <s v="CONTRACTUAL"/>
    <m/>
    <m/>
  </r>
  <r>
    <x v="28"/>
    <x v="21"/>
    <x v="0"/>
    <x v="0"/>
    <s v="AUXILIAR ADMINISTRATIVO"/>
    <n v="3222031.0500000003"/>
    <x v="0"/>
    <s v="CONTRACTUAL"/>
    <m/>
    <m/>
  </r>
  <r>
    <x v="28"/>
    <x v="22"/>
    <x v="0"/>
    <x v="0"/>
    <s v="AUXILIAR ADMINISTRATIVO"/>
    <n v="3222031.0500000003"/>
    <x v="0"/>
    <s v="CONTRACTUAL"/>
    <m/>
    <m/>
  </r>
  <r>
    <x v="28"/>
    <x v="23"/>
    <x v="0"/>
    <x v="0"/>
    <s v="AUXILIAR ADMINISTRATIVO"/>
    <n v="3222031.0500000003"/>
    <x v="0"/>
    <s v="CONTRACTUAL"/>
    <m/>
    <m/>
  </r>
  <r>
    <x v="28"/>
    <x v="1"/>
    <x v="0"/>
    <x v="0"/>
    <s v="INSPECTOR DE OBRA 1"/>
    <n v="3868248.1949999994"/>
    <x v="0"/>
    <s v="CONTRACTUAL"/>
    <m/>
    <m/>
  </r>
  <r>
    <x v="28"/>
    <x v="2"/>
    <x v="0"/>
    <x v="0"/>
    <s v="INSPECTOR DE OBRA 1"/>
    <n v="3868248.1949999994"/>
    <x v="0"/>
    <s v="CONTRACTUAL"/>
    <m/>
    <m/>
  </r>
  <r>
    <x v="28"/>
    <x v="3"/>
    <x v="0"/>
    <x v="0"/>
    <s v="INSPECTOR DE OBRA 1"/>
    <n v="3868248.1949999994"/>
    <x v="0"/>
    <s v="CONTRACTUAL"/>
    <m/>
    <m/>
  </r>
  <r>
    <x v="28"/>
    <x v="4"/>
    <x v="0"/>
    <x v="0"/>
    <s v="INSPECTOR DE OBRA 1"/>
    <n v="3868248.1949999994"/>
    <x v="0"/>
    <s v="CONTRACTUAL"/>
    <m/>
    <m/>
  </r>
  <r>
    <x v="28"/>
    <x v="5"/>
    <x v="0"/>
    <x v="0"/>
    <s v="INSPECTOR DE OBRA 1"/>
    <n v="3868248.1949999994"/>
    <x v="0"/>
    <s v="CONTRACTUAL"/>
    <m/>
    <m/>
  </r>
  <r>
    <x v="28"/>
    <x v="6"/>
    <x v="0"/>
    <x v="0"/>
    <s v="INSPECTOR DE OBRA 1"/>
    <n v="3868248.1949999994"/>
    <x v="0"/>
    <s v="CONTRACTUAL"/>
    <m/>
    <m/>
  </r>
  <r>
    <x v="28"/>
    <x v="7"/>
    <x v="0"/>
    <x v="0"/>
    <s v="INSPECTOR DE OBRA 1"/>
    <n v="3868248.1949999994"/>
    <x v="0"/>
    <s v="CONTRACTUAL"/>
    <m/>
    <m/>
  </r>
  <r>
    <x v="28"/>
    <x v="8"/>
    <x v="0"/>
    <x v="0"/>
    <s v="INSPECTOR DE OBRA 1"/>
    <n v="3868248.1949999994"/>
    <x v="0"/>
    <s v="CONTRACTUAL"/>
    <m/>
    <m/>
  </r>
  <r>
    <x v="28"/>
    <x v="9"/>
    <x v="0"/>
    <x v="0"/>
    <s v="INSPECTOR DE OBRA 1"/>
    <n v="3868248.1949999994"/>
    <x v="0"/>
    <s v="CONTRACTUAL"/>
    <m/>
    <m/>
  </r>
  <r>
    <x v="28"/>
    <x v="10"/>
    <x v="0"/>
    <x v="0"/>
    <s v="INSPECTOR DE OBRA 1"/>
    <n v="3868248.1949999994"/>
    <x v="0"/>
    <s v="CONTRACTUAL"/>
    <m/>
    <m/>
  </r>
  <r>
    <x v="28"/>
    <x v="11"/>
    <x v="0"/>
    <x v="0"/>
    <s v="INSPECTOR DE OBRA 1"/>
    <n v="3868248.1949999994"/>
    <x v="0"/>
    <s v="CONTRACTUAL"/>
    <m/>
    <m/>
  </r>
  <r>
    <x v="28"/>
    <x v="12"/>
    <x v="0"/>
    <x v="0"/>
    <s v="INSPECTOR DE OBRA 1"/>
    <n v="3868248.1949999994"/>
    <x v="0"/>
    <s v="CONTRACTUAL"/>
    <m/>
    <m/>
  </r>
  <r>
    <x v="28"/>
    <x v="13"/>
    <x v="0"/>
    <x v="0"/>
    <s v="INSPECTOR DE OBRA 1"/>
    <n v="3868248.1949999994"/>
    <x v="0"/>
    <s v="CONTRACTUAL"/>
    <m/>
    <m/>
  </r>
  <r>
    <x v="28"/>
    <x v="14"/>
    <x v="0"/>
    <x v="0"/>
    <s v="INSPECTOR DE OBRA 1"/>
    <n v="3868248.1949999994"/>
    <x v="0"/>
    <s v="CONTRACTUAL"/>
    <m/>
    <m/>
  </r>
  <r>
    <x v="28"/>
    <x v="15"/>
    <x v="0"/>
    <x v="0"/>
    <s v="INSPECTOR DE OBRA 1"/>
    <n v="3868248.1949999994"/>
    <x v="0"/>
    <s v="CONTRACTUAL"/>
    <m/>
    <m/>
  </r>
  <r>
    <x v="28"/>
    <x v="16"/>
    <x v="0"/>
    <x v="0"/>
    <s v="INSPECTOR DE OBRA 1"/>
    <n v="3868248.1949999994"/>
    <x v="0"/>
    <s v="CONTRACTUAL"/>
    <m/>
    <m/>
  </r>
  <r>
    <x v="28"/>
    <x v="17"/>
    <x v="0"/>
    <x v="0"/>
    <s v="INSPECTOR DE OBRA 1"/>
    <n v="3868248.1949999994"/>
    <x v="0"/>
    <s v="CONTRACTUAL"/>
    <m/>
    <m/>
  </r>
  <r>
    <x v="28"/>
    <x v="18"/>
    <x v="0"/>
    <x v="0"/>
    <s v="INSPECTOR DE OBRA 1"/>
    <n v="3868248.1949999994"/>
    <x v="0"/>
    <s v="CONTRACTUAL"/>
    <m/>
    <m/>
  </r>
  <r>
    <x v="28"/>
    <x v="19"/>
    <x v="0"/>
    <x v="0"/>
    <s v="INSPECTOR DE OBRA 1"/>
    <n v="3868248.1949999994"/>
    <x v="0"/>
    <s v="CONTRACTUAL"/>
    <m/>
    <m/>
  </r>
  <r>
    <x v="28"/>
    <x v="20"/>
    <x v="0"/>
    <x v="0"/>
    <s v="INSPECTOR DE OBRA 1"/>
    <n v="3868248.1949999994"/>
    <x v="0"/>
    <s v="CONTRACTUAL"/>
    <m/>
    <m/>
  </r>
  <r>
    <x v="28"/>
    <x v="1"/>
    <x v="0"/>
    <x v="0"/>
    <s v="INSPECTOR DE ACABADOS"/>
    <n v="4001167.1069999998"/>
    <x v="0"/>
    <s v="CONTRACTUAL"/>
    <m/>
    <m/>
  </r>
  <r>
    <x v="28"/>
    <x v="2"/>
    <x v="0"/>
    <x v="0"/>
    <s v="INSPECTOR DE ACABADOS"/>
    <n v="4001167.1069999998"/>
    <x v="0"/>
    <s v="CONTRACTUAL"/>
    <m/>
    <m/>
  </r>
  <r>
    <x v="28"/>
    <x v="3"/>
    <x v="0"/>
    <x v="0"/>
    <s v="INSPECTOR DE ACABADOS"/>
    <n v="4001167.1069999998"/>
    <x v="0"/>
    <s v="CONTRACTUAL"/>
    <m/>
    <m/>
  </r>
  <r>
    <x v="28"/>
    <x v="4"/>
    <x v="0"/>
    <x v="0"/>
    <s v="INSPECTOR DE ACABADOS"/>
    <n v="4001167.1069999998"/>
    <x v="0"/>
    <s v="CONTRACTUAL"/>
    <m/>
    <m/>
  </r>
  <r>
    <x v="28"/>
    <x v="5"/>
    <x v="0"/>
    <x v="0"/>
    <s v="INSPECTOR DE ACABADOS"/>
    <n v="4001167.1069999998"/>
    <x v="0"/>
    <s v="CONTRACTUAL"/>
    <m/>
    <m/>
  </r>
  <r>
    <x v="28"/>
    <x v="6"/>
    <x v="0"/>
    <x v="0"/>
    <s v="INSPECTOR DE ACABADOS"/>
    <n v="4001167.1069999998"/>
    <x v="0"/>
    <s v="CONTRACTUAL"/>
    <m/>
    <m/>
  </r>
  <r>
    <x v="28"/>
    <x v="7"/>
    <x v="0"/>
    <x v="0"/>
    <s v="INSPECTOR DE ACABADOS"/>
    <n v="4001167.1069999998"/>
    <x v="0"/>
    <s v="CONTRACTUAL"/>
    <m/>
    <m/>
  </r>
  <r>
    <x v="28"/>
    <x v="8"/>
    <x v="0"/>
    <x v="0"/>
    <s v="INSPECTOR DE ACABADOS"/>
    <n v="4001167.1069999998"/>
    <x v="0"/>
    <s v="CONTRACTUAL"/>
    <m/>
    <m/>
  </r>
  <r>
    <x v="28"/>
    <x v="9"/>
    <x v="0"/>
    <x v="0"/>
    <s v="INSPECTOR DE ACABADOS"/>
    <n v="4001167.1069999998"/>
    <x v="0"/>
    <s v="CONTRACTUAL"/>
    <m/>
    <m/>
  </r>
  <r>
    <x v="28"/>
    <x v="10"/>
    <x v="0"/>
    <x v="0"/>
    <s v="INSPECTOR DE ACABADOS"/>
    <n v="4001167.1069999998"/>
    <x v="0"/>
    <s v="CONTRACTUAL"/>
    <m/>
    <m/>
  </r>
  <r>
    <x v="29"/>
    <x v="0"/>
    <x v="0"/>
    <x v="0"/>
    <s v="COORDINADOR"/>
    <n v="3230392.9140000003"/>
    <x v="0"/>
    <s v="CONTRACTUAL"/>
    <m/>
    <m/>
  </r>
  <r>
    <x v="29"/>
    <x v="0"/>
    <x v="0"/>
    <x v="0"/>
    <s v="RESIDENTE TECNICO"/>
    <n v="6132105"/>
    <x v="0"/>
    <s v="CONTRACTUAL"/>
    <m/>
    <m/>
  </r>
  <r>
    <x v="29"/>
    <x v="0"/>
    <x v="0"/>
    <x v="0"/>
    <s v="AUXILIAR ADMINISTRATIVO"/>
    <n v="2367673.875"/>
    <x v="0"/>
    <s v="CONTRACTUAL"/>
    <m/>
    <m/>
  </r>
  <r>
    <x v="13"/>
    <x v="0"/>
    <x v="0"/>
    <x v="0"/>
    <s v="DIRECTOR"/>
    <n v="19561500"/>
    <x v="0"/>
    <s v="CONTRACTUAL SIN LEGALIZACIÓN"/>
    <m/>
    <m/>
  </r>
  <r>
    <x v="13"/>
    <x v="1"/>
    <x v="0"/>
    <x v="0"/>
    <s v="DIRECTOR"/>
    <n v="19561500"/>
    <x v="0"/>
    <s v="CONTRACTUAL SIN LEGALIZACIÓN"/>
    <m/>
    <m/>
  </r>
  <r>
    <x v="13"/>
    <x v="2"/>
    <x v="0"/>
    <x v="0"/>
    <s v="DIRECTOR"/>
    <n v="19561500"/>
    <x v="0"/>
    <s v="CONTRACTUAL SIN LEGALIZACIÓN"/>
    <m/>
    <m/>
  </r>
  <r>
    <x v="13"/>
    <x v="3"/>
    <x v="0"/>
    <x v="0"/>
    <s v="DIRECTOR"/>
    <n v="19561500"/>
    <x v="0"/>
    <s v="CONTRACTUAL SIN LEGALIZACIÓN"/>
    <m/>
    <m/>
  </r>
  <r>
    <x v="13"/>
    <x v="0"/>
    <x v="0"/>
    <x v="0"/>
    <s v="ESPECIALISTA AMBIENTAL"/>
    <n v="1449000"/>
    <x v="0"/>
    <s v="CONTRACTUAL SIN LEGALIZACIÓN"/>
    <m/>
    <m/>
  </r>
  <r>
    <x v="13"/>
    <x v="0"/>
    <x v="0"/>
    <x v="0"/>
    <s v="INGENIERO RESIDENTE DE OBRA"/>
    <n v="8437922.3250000011"/>
    <x v="0"/>
    <s v="CONTRACTUAL SIN LEGALIZACIÓN"/>
    <m/>
    <m/>
  </r>
  <r>
    <x v="13"/>
    <x v="1"/>
    <x v="0"/>
    <x v="0"/>
    <s v="INGENIERO RESIDENTE DE OBRA"/>
    <n v="8437922.3250000011"/>
    <x v="0"/>
    <s v="CONTRACTUAL SIN LEGALIZACIÓN"/>
    <m/>
    <m/>
  </r>
  <r>
    <x v="13"/>
    <x v="0"/>
    <x v="0"/>
    <x v="0"/>
    <s v="INSPECTOR SISOMA"/>
    <n v="6177149.9999999991"/>
    <x v="0"/>
    <s v="CONTRACTUAL SIN LEGALIZACIÓN"/>
    <m/>
    <m/>
  </r>
  <r>
    <x v="13"/>
    <x v="1"/>
    <x v="0"/>
    <x v="0"/>
    <s v="INSPECTOR SISOMA"/>
    <n v="6177149.9999999991"/>
    <x v="0"/>
    <s v="CONTRACTUAL SIN LEGALIZACIÓN"/>
    <m/>
    <m/>
  </r>
  <r>
    <x v="30"/>
    <x v="0"/>
    <x v="0"/>
    <x v="0"/>
    <s v="COORDINADOR"/>
    <n v="1956490.2000000004"/>
    <x v="0"/>
    <s v="ECONÓMICA"/>
    <m/>
    <m/>
  </r>
  <r>
    <x v="30"/>
    <x v="1"/>
    <x v="0"/>
    <x v="0"/>
    <s v="COORDINADOR"/>
    <n v="1956490.2000000004"/>
    <x v="0"/>
    <s v="ECONÓMICA"/>
    <m/>
    <m/>
  </r>
  <r>
    <x v="30"/>
    <x v="2"/>
    <x v="0"/>
    <x v="0"/>
    <s v="COORDINADOR"/>
    <n v="1956490.2000000004"/>
    <x v="0"/>
    <s v="ECONÓMICA"/>
    <m/>
    <m/>
  </r>
  <r>
    <x v="30"/>
    <x v="3"/>
    <x v="0"/>
    <x v="0"/>
    <s v="COORDINADOR"/>
    <n v="1956490.2000000004"/>
    <x v="0"/>
    <s v="ECONÓMICA"/>
    <m/>
    <m/>
  </r>
  <r>
    <x v="30"/>
    <x v="4"/>
    <x v="0"/>
    <x v="0"/>
    <s v="COORDINADOR"/>
    <n v="1956490.2000000004"/>
    <x v="0"/>
    <s v="ECONÓMICA"/>
    <m/>
    <m/>
  </r>
  <r>
    <x v="30"/>
    <x v="5"/>
    <x v="0"/>
    <x v="0"/>
    <s v="COORDINADOR"/>
    <n v="1956490.2000000004"/>
    <x v="0"/>
    <s v="ECONÓMICA"/>
    <m/>
    <m/>
  </r>
  <r>
    <x v="30"/>
    <x v="6"/>
    <x v="0"/>
    <x v="0"/>
    <s v="COORDINADOR"/>
    <n v="1956490.2000000004"/>
    <x v="0"/>
    <s v="ECONÓMICA"/>
    <m/>
    <m/>
  </r>
  <r>
    <x v="30"/>
    <x v="7"/>
    <x v="0"/>
    <x v="0"/>
    <s v="COORDINADOR"/>
    <n v="1956490.2000000004"/>
    <x v="0"/>
    <s v="ECONÓMICA"/>
    <m/>
    <m/>
  </r>
  <r>
    <x v="30"/>
    <x v="8"/>
    <x v="0"/>
    <x v="0"/>
    <s v="COORDINADOR"/>
    <n v="1956490.2000000004"/>
    <x v="0"/>
    <s v="ECONÓMICA"/>
    <m/>
    <m/>
  </r>
  <r>
    <x v="30"/>
    <x v="9"/>
    <x v="0"/>
    <x v="0"/>
    <s v="COORDINADOR"/>
    <n v="1956490.2000000004"/>
    <x v="0"/>
    <s v="ECONÓMICA"/>
    <m/>
    <m/>
  </r>
  <r>
    <x v="30"/>
    <x v="10"/>
    <x v="0"/>
    <x v="0"/>
    <s v="COORDINADOR"/>
    <n v="1956490.2000000004"/>
    <x v="0"/>
    <s v="ECONÓMICA"/>
    <m/>
    <m/>
  </r>
  <r>
    <x v="30"/>
    <x v="11"/>
    <x v="0"/>
    <x v="0"/>
    <s v="COORDINADOR"/>
    <n v="1956490.2000000004"/>
    <x v="0"/>
    <s v="ECONÓMICA"/>
    <m/>
    <m/>
  </r>
  <r>
    <x v="30"/>
    <x v="12"/>
    <x v="0"/>
    <x v="0"/>
    <s v="COORDINADOR"/>
    <n v="1956490.2000000004"/>
    <x v="0"/>
    <s v="ECONÓMICA"/>
    <m/>
    <m/>
  </r>
  <r>
    <x v="30"/>
    <x v="13"/>
    <x v="0"/>
    <x v="0"/>
    <s v="COORDINADOR"/>
    <n v="1956490.2000000004"/>
    <x v="0"/>
    <s v="ECONÓMICA"/>
    <m/>
    <m/>
  </r>
  <r>
    <x v="30"/>
    <x v="14"/>
    <x v="0"/>
    <x v="0"/>
    <s v="COORDINADOR"/>
    <n v="1956490.2000000004"/>
    <x v="0"/>
    <s v="ECONÓMICA"/>
    <m/>
    <m/>
  </r>
  <r>
    <x v="30"/>
    <x v="0"/>
    <x v="0"/>
    <x v="0"/>
    <s v="DIRECTOR"/>
    <n v="8716050"/>
    <x v="0"/>
    <s v="ECONÓMICA"/>
    <m/>
    <m/>
  </r>
  <r>
    <x v="30"/>
    <x v="1"/>
    <x v="0"/>
    <x v="0"/>
    <s v="DIRECTOR"/>
    <n v="8716050"/>
    <x v="0"/>
    <s v="ECONÓMICA"/>
    <m/>
    <m/>
  </r>
  <r>
    <x v="30"/>
    <x v="2"/>
    <x v="0"/>
    <x v="0"/>
    <s v="DIRECTOR"/>
    <n v="8716050"/>
    <x v="0"/>
    <s v="ECONÓMICA"/>
    <m/>
    <m/>
  </r>
  <r>
    <x v="30"/>
    <x v="3"/>
    <x v="0"/>
    <x v="0"/>
    <s v="DIRECTOR"/>
    <n v="8716050"/>
    <x v="0"/>
    <s v="ECONÓMICA"/>
    <m/>
    <m/>
  </r>
  <r>
    <x v="30"/>
    <x v="4"/>
    <x v="0"/>
    <x v="0"/>
    <s v="DIRECTOR"/>
    <n v="8716050"/>
    <x v="0"/>
    <s v="ECONÓMICA"/>
    <m/>
    <m/>
  </r>
  <r>
    <x v="30"/>
    <x v="5"/>
    <x v="0"/>
    <x v="0"/>
    <s v="DIRECTOR"/>
    <n v="8716050"/>
    <x v="0"/>
    <s v="ECONÓMICA"/>
    <m/>
    <m/>
  </r>
  <r>
    <x v="30"/>
    <x v="6"/>
    <x v="0"/>
    <x v="0"/>
    <s v="DIRECTOR"/>
    <n v="8716050"/>
    <x v="0"/>
    <s v="ECONÓMICA"/>
    <m/>
    <m/>
  </r>
  <r>
    <x v="30"/>
    <x v="7"/>
    <x v="0"/>
    <x v="0"/>
    <s v="DIRECTOR"/>
    <n v="8716050"/>
    <x v="0"/>
    <s v="ECONÓMICA"/>
    <m/>
    <m/>
  </r>
  <r>
    <x v="30"/>
    <x v="8"/>
    <x v="0"/>
    <x v="0"/>
    <s v="DIRECTOR"/>
    <n v="8716050"/>
    <x v="0"/>
    <s v="ECONÓMICA"/>
    <m/>
    <m/>
  </r>
  <r>
    <x v="30"/>
    <x v="9"/>
    <x v="0"/>
    <x v="0"/>
    <s v="DIRECTOR"/>
    <n v="8716050"/>
    <x v="0"/>
    <s v="ECONÓMICA"/>
    <m/>
    <m/>
  </r>
  <r>
    <x v="30"/>
    <x v="10"/>
    <x v="0"/>
    <x v="0"/>
    <s v="DIRECTOR"/>
    <n v="8716050"/>
    <x v="0"/>
    <s v="ECONÓMICA"/>
    <m/>
    <m/>
  </r>
  <r>
    <x v="30"/>
    <x v="11"/>
    <x v="0"/>
    <x v="0"/>
    <s v="DIRECTOR"/>
    <n v="8716050"/>
    <x v="0"/>
    <s v="ECONÓMICA"/>
    <m/>
    <m/>
  </r>
  <r>
    <x v="30"/>
    <x v="12"/>
    <x v="0"/>
    <x v="0"/>
    <s v="DIRECTOR"/>
    <n v="8716050"/>
    <x v="0"/>
    <s v="ECONÓMICA"/>
    <m/>
    <m/>
  </r>
  <r>
    <x v="30"/>
    <x v="13"/>
    <x v="0"/>
    <x v="0"/>
    <s v="DIRECTOR"/>
    <n v="8716050"/>
    <x v="0"/>
    <s v="ECONÓMICA"/>
    <m/>
    <m/>
  </r>
  <r>
    <x v="30"/>
    <x v="14"/>
    <x v="0"/>
    <x v="0"/>
    <s v="DIRECTOR"/>
    <n v="8716050"/>
    <x v="0"/>
    <s v="ECONÓMICA"/>
    <m/>
    <m/>
  </r>
  <r>
    <x v="30"/>
    <x v="0"/>
    <x v="0"/>
    <x v="0"/>
    <s v="RESIDENTE CIMENTACION Y ESTRUCTURA"/>
    <n v="6150375"/>
    <x v="0"/>
    <s v="ECONÓMICA"/>
    <m/>
    <m/>
  </r>
  <r>
    <x v="30"/>
    <x v="1"/>
    <x v="0"/>
    <x v="0"/>
    <s v="RESIDENTE CIMENTACION Y ESTRUCTURA"/>
    <n v="6150375"/>
    <x v="0"/>
    <s v="ECONÓMICA"/>
    <m/>
    <m/>
  </r>
  <r>
    <x v="30"/>
    <x v="2"/>
    <x v="0"/>
    <x v="0"/>
    <s v="RESIDENTE CIMENTACION Y ESTRUCTURA"/>
    <n v="6150375"/>
    <x v="0"/>
    <s v="ECONÓMICA"/>
    <m/>
    <m/>
  </r>
  <r>
    <x v="30"/>
    <x v="3"/>
    <x v="0"/>
    <x v="0"/>
    <s v="RESIDENTE CIMENTACION Y ESTRUCTURA"/>
    <n v="6150375"/>
    <x v="0"/>
    <s v="ECONÓMICA"/>
    <m/>
    <m/>
  </r>
  <r>
    <x v="30"/>
    <x v="4"/>
    <x v="0"/>
    <x v="0"/>
    <s v="RESIDENTE CIMENTACION Y ESTRUCTURA"/>
    <n v="6150375"/>
    <x v="0"/>
    <s v="ECONÓMICA"/>
    <m/>
    <m/>
  </r>
  <r>
    <x v="30"/>
    <x v="5"/>
    <x v="0"/>
    <x v="0"/>
    <s v="RESIDENTE CIMENTACION Y ESTRUCTURA"/>
    <n v="6150375"/>
    <x v="0"/>
    <s v="ECONÓMICA"/>
    <m/>
    <m/>
  </r>
  <r>
    <x v="30"/>
    <x v="6"/>
    <x v="0"/>
    <x v="0"/>
    <s v="RESIDENTE CIMENTACION Y ESTRUCTURA"/>
    <n v="6150375"/>
    <x v="0"/>
    <s v="ECONÓMICA"/>
    <m/>
    <m/>
  </r>
  <r>
    <x v="30"/>
    <x v="7"/>
    <x v="0"/>
    <x v="0"/>
    <s v="RESIDENTE CIMENTACION Y ESTRUCTURA"/>
    <n v="6150375"/>
    <x v="0"/>
    <s v="ECONÓMICA"/>
    <m/>
    <m/>
  </r>
  <r>
    <x v="30"/>
    <x v="8"/>
    <x v="0"/>
    <x v="0"/>
    <s v="RESIDENTE CIMENTACION Y ESTRUCTURA"/>
    <n v="6150375"/>
    <x v="0"/>
    <s v="ECONÓMICA"/>
    <m/>
    <m/>
  </r>
  <r>
    <x v="30"/>
    <x v="9"/>
    <x v="0"/>
    <x v="0"/>
    <s v="RESIDENTE CIMENTACION Y ESTRUCTURA"/>
    <n v="6150375"/>
    <x v="0"/>
    <s v="ECONÓMICA"/>
    <m/>
    <m/>
  </r>
  <r>
    <x v="30"/>
    <x v="10"/>
    <x v="0"/>
    <x v="0"/>
    <s v="RESIDENTE CIMENTACION Y ESTRUCTURA"/>
    <n v="6150375"/>
    <x v="0"/>
    <s v="ECONÓMICA"/>
    <m/>
    <m/>
  </r>
  <r>
    <x v="30"/>
    <x v="11"/>
    <x v="0"/>
    <x v="0"/>
    <s v="RESIDENTE CIMENTACION Y ESTRUCTURA"/>
    <n v="6150375"/>
    <x v="0"/>
    <s v="ECONÓMICA"/>
    <m/>
    <m/>
  </r>
  <r>
    <x v="30"/>
    <x v="12"/>
    <x v="0"/>
    <x v="0"/>
    <s v="RESIDENTE CIMENTACION Y ESTRUCTURA"/>
    <n v="6150375"/>
    <x v="0"/>
    <s v="ECONÓMICA"/>
    <m/>
    <m/>
  </r>
  <r>
    <x v="30"/>
    <x v="13"/>
    <x v="0"/>
    <x v="0"/>
    <s v="RESIDENTE CIMENTACION Y ESTRUCTURA"/>
    <n v="6150375"/>
    <x v="0"/>
    <s v="ECONÓMICA"/>
    <m/>
    <m/>
  </r>
  <r>
    <x v="30"/>
    <x v="14"/>
    <x v="0"/>
    <x v="0"/>
    <s v="RESIDENTE CIMENTACION Y ESTRUCTURA"/>
    <n v="6150375"/>
    <x v="0"/>
    <s v="ECONÓMICA"/>
    <m/>
    <m/>
  </r>
  <r>
    <x v="30"/>
    <x v="0"/>
    <x v="0"/>
    <x v="0"/>
    <s v="INSPECTOR HSEQ"/>
    <n v="3369208.5"/>
    <x v="0"/>
    <s v="ECONÓMICA"/>
    <m/>
    <m/>
  </r>
  <r>
    <x v="30"/>
    <x v="1"/>
    <x v="0"/>
    <x v="0"/>
    <s v="INSPECTOR HSEQ"/>
    <n v="3369208.5"/>
    <x v="0"/>
    <s v="ECONÓMICA"/>
    <m/>
    <m/>
  </r>
  <r>
    <x v="30"/>
    <x v="2"/>
    <x v="0"/>
    <x v="0"/>
    <s v="INSPECTOR HSEQ"/>
    <n v="3369208.5"/>
    <x v="0"/>
    <s v="ECONÓMICA"/>
    <m/>
    <m/>
  </r>
  <r>
    <x v="30"/>
    <x v="3"/>
    <x v="0"/>
    <x v="0"/>
    <s v="INSPECTOR HSEQ"/>
    <n v="3369208.5"/>
    <x v="0"/>
    <s v="ECONÓMICA"/>
    <m/>
    <m/>
  </r>
  <r>
    <x v="30"/>
    <x v="4"/>
    <x v="0"/>
    <x v="0"/>
    <s v="INSPECTOR HSEQ"/>
    <n v="3369208.5"/>
    <x v="0"/>
    <s v="ECONÓMICA"/>
    <m/>
    <m/>
  </r>
  <r>
    <x v="30"/>
    <x v="5"/>
    <x v="0"/>
    <x v="0"/>
    <s v="INSPECTOR HSEQ"/>
    <n v="3369208.5"/>
    <x v="0"/>
    <s v="ECONÓMICA"/>
    <m/>
    <m/>
  </r>
  <r>
    <x v="30"/>
    <x v="6"/>
    <x v="0"/>
    <x v="0"/>
    <s v="INSPECTOR HSEQ"/>
    <n v="3369208.5"/>
    <x v="0"/>
    <s v="ECONÓMICA"/>
    <m/>
    <m/>
  </r>
  <r>
    <x v="30"/>
    <x v="7"/>
    <x v="0"/>
    <x v="0"/>
    <s v="INSPECTOR HSEQ"/>
    <n v="3369208.5"/>
    <x v="0"/>
    <s v="ECONÓMICA"/>
    <m/>
    <m/>
  </r>
  <r>
    <x v="30"/>
    <x v="8"/>
    <x v="0"/>
    <x v="0"/>
    <s v="INSPECTOR HSEQ"/>
    <n v="3369208.5"/>
    <x v="0"/>
    <s v="ECONÓMICA"/>
    <m/>
    <m/>
  </r>
  <r>
    <x v="30"/>
    <x v="9"/>
    <x v="0"/>
    <x v="0"/>
    <s v="INSPECTOR HSEQ"/>
    <n v="3369208.5"/>
    <x v="0"/>
    <s v="ECONÓMICA"/>
    <m/>
    <m/>
  </r>
  <r>
    <x v="30"/>
    <x v="10"/>
    <x v="0"/>
    <x v="0"/>
    <s v="INSPECTOR HSEQ"/>
    <n v="3369208.5"/>
    <x v="0"/>
    <s v="ECONÓMICA"/>
    <m/>
    <m/>
  </r>
  <r>
    <x v="30"/>
    <x v="11"/>
    <x v="0"/>
    <x v="0"/>
    <s v="INSPECTOR HSEQ"/>
    <n v="3369208.5"/>
    <x v="0"/>
    <s v="ECONÓMICA"/>
    <m/>
    <m/>
  </r>
  <r>
    <x v="30"/>
    <x v="12"/>
    <x v="0"/>
    <x v="0"/>
    <s v="INSPECTOR HSEQ"/>
    <n v="3369208.5"/>
    <x v="0"/>
    <s v="ECONÓMICA"/>
    <m/>
    <m/>
  </r>
  <r>
    <x v="30"/>
    <x v="13"/>
    <x v="0"/>
    <x v="0"/>
    <s v="INSPECTOR HSEQ"/>
    <n v="3369208.5"/>
    <x v="0"/>
    <s v="ECONÓMICA"/>
    <m/>
    <m/>
  </r>
  <r>
    <x v="30"/>
    <x v="14"/>
    <x v="0"/>
    <x v="0"/>
    <s v="INSPECTOR HSEQ"/>
    <n v="3369208.5"/>
    <x v="0"/>
    <s v="ECONÓMICA"/>
    <m/>
    <m/>
  </r>
  <r>
    <x v="30"/>
    <x v="0"/>
    <x v="0"/>
    <x v="0"/>
    <s v="INSPECTOR"/>
    <n v="3571361.01"/>
    <x v="0"/>
    <s v="ECONÓMICA"/>
    <m/>
    <m/>
  </r>
  <r>
    <x v="30"/>
    <x v="1"/>
    <x v="0"/>
    <x v="0"/>
    <s v="INSPECTOR"/>
    <n v="3571361.01"/>
    <x v="0"/>
    <s v="ECONÓMICA"/>
    <m/>
    <m/>
  </r>
  <r>
    <x v="30"/>
    <x v="2"/>
    <x v="0"/>
    <x v="0"/>
    <s v="INSPECTOR"/>
    <n v="3571361.01"/>
    <x v="0"/>
    <s v="ECONÓMICA"/>
    <m/>
    <m/>
  </r>
  <r>
    <x v="30"/>
    <x v="3"/>
    <x v="0"/>
    <x v="0"/>
    <s v="INSPECTOR"/>
    <n v="3571361.01"/>
    <x v="0"/>
    <s v="ECONÓMICA"/>
    <m/>
    <m/>
  </r>
  <r>
    <x v="30"/>
    <x v="4"/>
    <x v="0"/>
    <x v="0"/>
    <s v="INSPECTOR"/>
    <n v="3571361.01"/>
    <x v="0"/>
    <s v="ECONÓMICA"/>
    <m/>
    <m/>
  </r>
  <r>
    <x v="30"/>
    <x v="5"/>
    <x v="0"/>
    <x v="0"/>
    <s v="INSPECTOR"/>
    <n v="3571361.01"/>
    <x v="0"/>
    <s v="ECONÓMICA"/>
    <m/>
    <m/>
  </r>
  <r>
    <x v="30"/>
    <x v="6"/>
    <x v="0"/>
    <x v="0"/>
    <s v="INSPECTOR"/>
    <n v="3571361.01"/>
    <x v="0"/>
    <s v="ECONÓMICA"/>
    <m/>
    <m/>
  </r>
  <r>
    <x v="30"/>
    <x v="7"/>
    <x v="0"/>
    <x v="0"/>
    <s v="INSPECTOR"/>
    <n v="3571361.01"/>
    <x v="0"/>
    <s v="ECONÓMICA"/>
    <m/>
    <m/>
  </r>
  <r>
    <x v="30"/>
    <x v="8"/>
    <x v="0"/>
    <x v="0"/>
    <s v="INSPECTOR"/>
    <n v="3571361.01"/>
    <x v="0"/>
    <s v="ECONÓMICA"/>
    <m/>
    <m/>
  </r>
  <r>
    <x v="30"/>
    <x v="9"/>
    <x v="0"/>
    <x v="0"/>
    <s v="INSPECTOR"/>
    <n v="3571361.01"/>
    <x v="0"/>
    <s v="ECONÓMICA"/>
    <m/>
    <m/>
  </r>
  <r>
    <x v="30"/>
    <x v="10"/>
    <x v="0"/>
    <x v="0"/>
    <s v="INSPECTOR"/>
    <n v="3571361.01"/>
    <x v="0"/>
    <s v="ECONÓMICA"/>
    <m/>
    <m/>
  </r>
  <r>
    <x v="30"/>
    <x v="11"/>
    <x v="0"/>
    <x v="0"/>
    <s v="INSPECTOR"/>
    <n v="3571361.01"/>
    <x v="0"/>
    <s v="ECONÓMICA"/>
    <m/>
    <m/>
  </r>
  <r>
    <x v="30"/>
    <x v="12"/>
    <x v="0"/>
    <x v="0"/>
    <s v="INSPECTOR"/>
    <n v="3571361.01"/>
    <x v="0"/>
    <s v="ECONÓMICA"/>
    <m/>
    <m/>
  </r>
  <r>
    <x v="30"/>
    <x v="13"/>
    <x v="0"/>
    <x v="0"/>
    <s v="INSPECTOR"/>
    <n v="3571361.01"/>
    <x v="0"/>
    <s v="ECONÓMICA"/>
    <m/>
    <m/>
  </r>
  <r>
    <x v="30"/>
    <x v="14"/>
    <x v="0"/>
    <x v="0"/>
    <s v="INSPECTOR"/>
    <n v="3571361.01"/>
    <x v="0"/>
    <s v="ECONÓMICA"/>
    <m/>
    <m/>
  </r>
  <r>
    <x v="31"/>
    <x v="0"/>
    <x v="0"/>
    <x v="0"/>
    <s v="COORDINADOR"/>
    <n v="3868074.0000000005"/>
    <x v="0"/>
    <s v="ECONÓMICA"/>
    <m/>
    <m/>
  </r>
  <r>
    <x v="31"/>
    <x v="1"/>
    <x v="0"/>
    <x v="0"/>
    <s v="COORDINADOR"/>
    <n v="3868074.0000000005"/>
    <x v="0"/>
    <s v="ECONÓMICA"/>
    <m/>
    <m/>
  </r>
  <r>
    <x v="31"/>
    <x v="2"/>
    <x v="0"/>
    <x v="0"/>
    <s v="COORDINADOR"/>
    <n v="3868074.0000000005"/>
    <x v="0"/>
    <s v="ECONÓMICA"/>
    <m/>
    <m/>
  </r>
  <r>
    <x v="31"/>
    <x v="3"/>
    <x v="0"/>
    <x v="0"/>
    <s v="COORDINADOR"/>
    <n v="3868074.0000000005"/>
    <x v="0"/>
    <s v="ECONÓMICA"/>
    <m/>
    <m/>
  </r>
  <r>
    <x v="31"/>
    <x v="4"/>
    <x v="0"/>
    <x v="0"/>
    <s v="COORDINADOR"/>
    <n v="3868074.0000000005"/>
    <x v="0"/>
    <s v="ECONÓMICA"/>
    <m/>
    <m/>
  </r>
  <r>
    <x v="31"/>
    <x v="5"/>
    <x v="0"/>
    <x v="0"/>
    <s v="COORDINADOR"/>
    <n v="3868074.0000000005"/>
    <x v="0"/>
    <s v="ECONÓMICA"/>
    <m/>
    <m/>
  </r>
  <r>
    <x v="31"/>
    <x v="6"/>
    <x v="0"/>
    <x v="0"/>
    <s v="COORDINADOR"/>
    <n v="3868074.0000000005"/>
    <x v="0"/>
    <s v="ECONÓMICA"/>
    <m/>
    <m/>
  </r>
  <r>
    <x v="31"/>
    <x v="7"/>
    <x v="0"/>
    <x v="0"/>
    <s v="COORDINADOR"/>
    <n v="3868074.0000000005"/>
    <x v="0"/>
    <s v="ECONÓMICA"/>
    <m/>
    <m/>
  </r>
  <r>
    <x v="31"/>
    <x v="8"/>
    <x v="0"/>
    <x v="0"/>
    <s v="COORDINADOR"/>
    <n v="3868074.0000000005"/>
    <x v="0"/>
    <s v="ECONÓMICA"/>
    <m/>
    <m/>
  </r>
  <r>
    <x v="31"/>
    <x v="9"/>
    <x v="0"/>
    <x v="0"/>
    <s v="COORDINADOR"/>
    <n v="3868074.0000000005"/>
    <x v="0"/>
    <s v="ECONÓMICA"/>
    <m/>
    <m/>
  </r>
  <r>
    <x v="31"/>
    <x v="10"/>
    <x v="0"/>
    <x v="0"/>
    <s v="COORDINADOR"/>
    <n v="3868074.0000000005"/>
    <x v="0"/>
    <s v="ECONÓMICA"/>
    <m/>
    <m/>
  </r>
  <r>
    <x v="31"/>
    <x v="11"/>
    <x v="0"/>
    <x v="0"/>
    <s v="COORDINADOR"/>
    <n v="3868074.0000000005"/>
    <x v="0"/>
    <s v="ECONÓMICA"/>
    <m/>
    <m/>
  </r>
  <r>
    <x v="31"/>
    <x v="12"/>
    <x v="0"/>
    <x v="0"/>
    <s v="COORDINADOR"/>
    <n v="3868074.0000000005"/>
    <x v="0"/>
    <s v="ECONÓMICA"/>
    <m/>
    <m/>
  </r>
  <r>
    <x v="31"/>
    <x v="13"/>
    <x v="0"/>
    <x v="0"/>
    <s v="COORDINADOR"/>
    <n v="3868074.0000000005"/>
    <x v="0"/>
    <s v="ECONÓMICA"/>
    <m/>
    <m/>
  </r>
  <r>
    <x v="31"/>
    <x v="14"/>
    <x v="0"/>
    <x v="0"/>
    <s v="COORDINADOR"/>
    <n v="3868074.0000000005"/>
    <x v="0"/>
    <s v="ECONÓMICA"/>
    <m/>
    <m/>
  </r>
  <r>
    <x v="31"/>
    <x v="15"/>
    <x v="0"/>
    <x v="0"/>
    <s v="COORDINADOR"/>
    <n v="3868074.0000000005"/>
    <x v="0"/>
    <s v="ECONÓMICA"/>
    <m/>
    <m/>
  </r>
  <r>
    <x v="31"/>
    <x v="16"/>
    <x v="0"/>
    <x v="0"/>
    <s v="COORDINADOR"/>
    <n v="3868074.0000000005"/>
    <x v="0"/>
    <s v="ECONÓMICA"/>
    <m/>
    <m/>
  </r>
  <r>
    <x v="31"/>
    <x v="17"/>
    <x v="0"/>
    <x v="0"/>
    <s v="COORDINADOR"/>
    <n v="3868074.0000000005"/>
    <x v="0"/>
    <s v="ECONÓMICA"/>
    <m/>
    <m/>
  </r>
  <r>
    <x v="31"/>
    <x v="18"/>
    <x v="0"/>
    <x v="0"/>
    <s v="COORDINADOR"/>
    <n v="3868074.0000000005"/>
    <x v="0"/>
    <s v="ECONÓMICA"/>
    <m/>
    <m/>
  </r>
  <r>
    <x v="31"/>
    <x v="19"/>
    <x v="0"/>
    <x v="0"/>
    <s v="COORDINADOR"/>
    <n v="3868074.0000000005"/>
    <x v="0"/>
    <s v="ECONÓMICA"/>
    <m/>
    <m/>
  </r>
  <r>
    <x v="31"/>
    <x v="20"/>
    <x v="0"/>
    <x v="0"/>
    <s v="COORDINADOR"/>
    <n v="3868074.0000000005"/>
    <x v="0"/>
    <s v="ECONÓMICA"/>
    <m/>
    <m/>
  </r>
  <r>
    <x v="31"/>
    <x v="21"/>
    <x v="0"/>
    <x v="0"/>
    <s v="COORDINADOR"/>
    <n v="3868074.0000000005"/>
    <x v="0"/>
    <s v="ECONÓMICA"/>
    <m/>
    <m/>
  </r>
  <r>
    <x v="31"/>
    <x v="22"/>
    <x v="0"/>
    <x v="0"/>
    <s v="COORDINADOR"/>
    <n v="3868074.0000000005"/>
    <x v="0"/>
    <s v="ECONÓMICA"/>
    <m/>
    <m/>
  </r>
  <r>
    <x v="31"/>
    <x v="23"/>
    <x v="0"/>
    <x v="0"/>
    <s v="COORDINADOR"/>
    <n v="3868074.0000000005"/>
    <x v="0"/>
    <s v="ECONÓMICA"/>
    <m/>
    <m/>
  </r>
  <r>
    <x v="31"/>
    <x v="0"/>
    <x v="0"/>
    <x v="0"/>
    <s v="DIRECTOR"/>
    <n v="9450000"/>
    <x v="0"/>
    <s v="ECONÓMICA"/>
    <m/>
    <m/>
  </r>
  <r>
    <x v="31"/>
    <x v="1"/>
    <x v="0"/>
    <x v="0"/>
    <s v="DIRECTOR"/>
    <n v="9450000"/>
    <x v="0"/>
    <s v="ECONÓMICA"/>
    <m/>
    <m/>
  </r>
  <r>
    <x v="31"/>
    <x v="2"/>
    <x v="0"/>
    <x v="0"/>
    <s v="DIRECTOR"/>
    <n v="9450000"/>
    <x v="0"/>
    <s v="ECONÓMICA"/>
    <m/>
    <m/>
  </r>
  <r>
    <x v="31"/>
    <x v="3"/>
    <x v="0"/>
    <x v="0"/>
    <s v="DIRECTOR"/>
    <n v="9450000"/>
    <x v="0"/>
    <s v="ECONÓMICA"/>
    <m/>
    <m/>
  </r>
  <r>
    <x v="31"/>
    <x v="4"/>
    <x v="0"/>
    <x v="0"/>
    <s v="DIRECTOR"/>
    <n v="9450000"/>
    <x v="0"/>
    <s v="ECONÓMICA"/>
    <m/>
    <m/>
  </r>
  <r>
    <x v="31"/>
    <x v="5"/>
    <x v="0"/>
    <x v="0"/>
    <s v="DIRECTOR"/>
    <n v="9450000"/>
    <x v="0"/>
    <s v="ECONÓMICA"/>
    <m/>
    <m/>
  </r>
  <r>
    <x v="31"/>
    <x v="6"/>
    <x v="0"/>
    <x v="0"/>
    <s v="DIRECTOR"/>
    <n v="9450000"/>
    <x v="0"/>
    <s v="ECONÓMICA"/>
    <m/>
    <m/>
  </r>
  <r>
    <x v="31"/>
    <x v="7"/>
    <x v="0"/>
    <x v="0"/>
    <s v="DIRECTOR"/>
    <n v="9450000"/>
    <x v="0"/>
    <s v="ECONÓMICA"/>
    <m/>
    <m/>
  </r>
  <r>
    <x v="31"/>
    <x v="8"/>
    <x v="0"/>
    <x v="0"/>
    <s v="DIRECTOR"/>
    <n v="9450000"/>
    <x v="0"/>
    <s v="ECONÓMICA"/>
    <m/>
    <m/>
  </r>
  <r>
    <x v="31"/>
    <x v="9"/>
    <x v="0"/>
    <x v="0"/>
    <s v="DIRECTOR"/>
    <n v="9450000"/>
    <x v="0"/>
    <s v="ECONÓMICA"/>
    <m/>
    <m/>
  </r>
  <r>
    <x v="31"/>
    <x v="10"/>
    <x v="0"/>
    <x v="0"/>
    <s v="DIRECTOR"/>
    <n v="9450000"/>
    <x v="0"/>
    <s v="ECONÓMICA"/>
    <m/>
    <m/>
  </r>
  <r>
    <x v="31"/>
    <x v="11"/>
    <x v="0"/>
    <x v="0"/>
    <s v="DIRECTOR"/>
    <n v="9450000"/>
    <x v="0"/>
    <s v="ECONÓMICA"/>
    <m/>
    <m/>
  </r>
  <r>
    <x v="31"/>
    <x v="12"/>
    <x v="0"/>
    <x v="0"/>
    <s v="DIRECTOR"/>
    <n v="9450000"/>
    <x v="0"/>
    <s v="ECONÓMICA"/>
    <m/>
    <m/>
  </r>
  <r>
    <x v="31"/>
    <x v="13"/>
    <x v="0"/>
    <x v="0"/>
    <s v="DIRECTOR"/>
    <n v="9450000"/>
    <x v="0"/>
    <s v="ECONÓMICA"/>
    <m/>
    <m/>
  </r>
  <r>
    <x v="31"/>
    <x v="14"/>
    <x v="0"/>
    <x v="0"/>
    <s v="DIRECTOR"/>
    <n v="9450000"/>
    <x v="0"/>
    <s v="ECONÓMICA"/>
    <m/>
    <m/>
  </r>
  <r>
    <x v="31"/>
    <x v="15"/>
    <x v="0"/>
    <x v="0"/>
    <s v="DIRECTOR"/>
    <n v="9450000"/>
    <x v="0"/>
    <s v="ECONÓMICA"/>
    <m/>
    <m/>
  </r>
  <r>
    <x v="31"/>
    <x v="16"/>
    <x v="0"/>
    <x v="0"/>
    <s v="DIRECTOR"/>
    <n v="9450000"/>
    <x v="0"/>
    <s v="ECONÓMICA"/>
    <m/>
    <m/>
  </r>
  <r>
    <x v="31"/>
    <x v="17"/>
    <x v="0"/>
    <x v="0"/>
    <s v="DIRECTOR"/>
    <n v="9450000"/>
    <x v="0"/>
    <s v="ECONÓMICA"/>
    <m/>
    <m/>
  </r>
  <r>
    <x v="31"/>
    <x v="18"/>
    <x v="0"/>
    <x v="0"/>
    <s v="DIRECTOR"/>
    <n v="9450000"/>
    <x v="0"/>
    <s v="ECONÓMICA"/>
    <m/>
    <m/>
  </r>
  <r>
    <x v="31"/>
    <x v="19"/>
    <x v="0"/>
    <x v="0"/>
    <s v="DIRECTOR"/>
    <n v="9450000"/>
    <x v="0"/>
    <s v="ECONÓMICA"/>
    <m/>
    <m/>
  </r>
  <r>
    <x v="31"/>
    <x v="20"/>
    <x v="0"/>
    <x v="0"/>
    <s v="DIRECTOR"/>
    <n v="9450000"/>
    <x v="0"/>
    <s v="ECONÓMICA"/>
    <m/>
    <m/>
  </r>
  <r>
    <x v="31"/>
    <x v="21"/>
    <x v="0"/>
    <x v="0"/>
    <s v="DIRECTOR"/>
    <n v="9450000"/>
    <x v="0"/>
    <s v="ECONÓMICA"/>
    <m/>
    <m/>
  </r>
  <r>
    <x v="31"/>
    <x v="22"/>
    <x v="0"/>
    <x v="0"/>
    <s v="DIRECTOR"/>
    <n v="9450000"/>
    <x v="0"/>
    <s v="ECONÓMICA"/>
    <m/>
    <m/>
  </r>
  <r>
    <x v="31"/>
    <x v="23"/>
    <x v="0"/>
    <x v="0"/>
    <s v="DIRECTOR"/>
    <n v="9450000"/>
    <x v="0"/>
    <s v="ECONÓMICA"/>
    <m/>
    <m/>
  </r>
  <r>
    <x v="31"/>
    <x v="12"/>
    <x v="0"/>
    <x v="0"/>
    <s v="RESIDENTE TECNICO"/>
    <n v="6221250"/>
    <x v="0"/>
    <s v="ECONÓMICA"/>
    <m/>
    <m/>
  </r>
  <r>
    <x v="31"/>
    <x v="13"/>
    <x v="0"/>
    <x v="0"/>
    <s v="RESIDENTE TECNICO"/>
    <n v="6221250"/>
    <x v="0"/>
    <s v="ECONÓMICA"/>
    <m/>
    <m/>
  </r>
  <r>
    <x v="31"/>
    <x v="14"/>
    <x v="0"/>
    <x v="0"/>
    <s v="RESIDENTE TECNICO"/>
    <n v="6221250"/>
    <x v="0"/>
    <s v="ECONÓMICA"/>
    <m/>
    <m/>
  </r>
  <r>
    <x v="31"/>
    <x v="15"/>
    <x v="0"/>
    <x v="0"/>
    <s v="RESIDENTE TECNICO"/>
    <n v="6221250"/>
    <x v="0"/>
    <s v="ECONÓMICA"/>
    <m/>
    <m/>
  </r>
  <r>
    <x v="31"/>
    <x v="16"/>
    <x v="0"/>
    <x v="0"/>
    <s v="RESIDENTE TECNICO"/>
    <n v="6221250"/>
    <x v="0"/>
    <s v="ECONÓMICA"/>
    <m/>
    <m/>
  </r>
  <r>
    <x v="31"/>
    <x v="17"/>
    <x v="0"/>
    <x v="0"/>
    <s v="RESIDENTE TECNICO"/>
    <n v="6221250"/>
    <x v="0"/>
    <s v="ECONÓMICA"/>
    <m/>
    <m/>
  </r>
  <r>
    <x v="31"/>
    <x v="18"/>
    <x v="0"/>
    <x v="0"/>
    <s v="RESIDENTE TECNICO"/>
    <n v="6221250"/>
    <x v="0"/>
    <s v="ECONÓMICA"/>
    <m/>
    <m/>
  </r>
  <r>
    <x v="31"/>
    <x v="19"/>
    <x v="0"/>
    <x v="0"/>
    <s v="RESIDENTE TECNICO"/>
    <n v="6221250"/>
    <x v="0"/>
    <s v="ECONÓMICA"/>
    <m/>
    <m/>
  </r>
  <r>
    <x v="31"/>
    <x v="20"/>
    <x v="0"/>
    <x v="0"/>
    <s v="RESIDENTE TECNICO"/>
    <n v="6221250"/>
    <x v="0"/>
    <s v="ECONÓMICA"/>
    <m/>
    <m/>
  </r>
  <r>
    <x v="31"/>
    <x v="21"/>
    <x v="0"/>
    <x v="0"/>
    <s v="RESIDENTE TECNICO"/>
    <n v="6221250"/>
    <x v="0"/>
    <s v="ECONÓMICA"/>
    <m/>
    <m/>
  </r>
  <r>
    <x v="31"/>
    <x v="12"/>
    <x v="0"/>
    <x v="0"/>
    <s v="RESIDENTE ADMINISTRATIVO"/>
    <n v="4095000"/>
    <x v="0"/>
    <s v="ECONÓMICA"/>
    <m/>
    <m/>
  </r>
  <r>
    <x v="31"/>
    <x v="13"/>
    <x v="0"/>
    <x v="0"/>
    <s v="RESIDENTE ADMINISTRATIVO"/>
    <n v="4095000"/>
    <x v="0"/>
    <s v="ECONÓMICA"/>
    <m/>
    <m/>
  </r>
  <r>
    <x v="31"/>
    <x v="14"/>
    <x v="0"/>
    <x v="0"/>
    <s v="RESIDENTE ADMINISTRATIVO"/>
    <n v="4095000"/>
    <x v="0"/>
    <s v="ECONÓMICA"/>
    <m/>
    <m/>
  </r>
  <r>
    <x v="31"/>
    <x v="15"/>
    <x v="0"/>
    <x v="0"/>
    <s v="RESIDENTE ADMINISTRATIVO"/>
    <n v="4095000"/>
    <x v="0"/>
    <s v="ECONÓMICA"/>
    <m/>
    <m/>
  </r>
  <r>
    <x v="31"/>
    <x v="16"/>
    <x v="0"/>
    <x v="0"/>
    <s v="RESIDENTE ADMINISTRATIVO"/>
    <n v="4095000"/>
    <x v="0"/>
    <s v="ECONÓMICA"/>
    <m/>
    <m/>
  </r>
  <r>
    <x v="31"/>
    <x v="17"/>
    <x v="0"/>
    <x v="0"/>
    <s v="RESIDENTE ADMINISTRATIVO"/>
    <n v="4095000"/>
    <x v="0"/>
    <s v="ECONÓMICA"/>
    <m/>
    <m/>
  </r>
  <r>
    <x v="31"/>
    <x v="18"/>
    <x v="0"/>
    <x v="0"/>
    <s v="RESIDENTE ADMINISTRATIVO"/>
    <n v="4095000"/>
    <x v="0"/>
    <s v="ECONÓMICA"/>
    <m/>
    <m/>
  </r>
  <r>
    <x v="31"/>
    <x v="19"/>
    <x v="0"/>
    <x v="0"/>
    <s v="RESIDENTE ADMINISTRATIVO"/>
    <n v="4095000"/>
    <x v="0"/>
    <s v="ECONÓMICA"/>
    <m/>
    <m/>
  </r>
  <r>
    <x v="31"/>
    <x v="20"/>
    <x v="0"/>
    <x v="0"/>
    <s v="RESIDENTE ADMINISTRATIVO"/>
    <n v="4095000"/>
    <x v="0"/>
    <s v="ECONÓMICA"/>
    <m/>
    <m/>
  </r>
  <r>
    <x v="31"/>
    <x v="21"/>
    <x v="0"/>
    <x v="0"/>
    <s v="RESIDENTE ADMINISTRATIVO"/>
    <n v="4095000"/>
    <x v="0"/>
    <s v="ECONÓMICA"/>
    <m/>
    <m/>
  </r>
  <r>
    <x v="31"/>
    <x v="22"/>
    <x v="0"/>
    <x v="0"/>
    <s v="RESIDENTE ADMINISTRATIVO"/>
    <n v="4095000"/>
    <x v="0"/>
    <s v="ECONÓMICA"/>
    <m/>
    <m/>
  </r>
  <r>
    <x v="31"/>
    <x v="23"/>
    <x v="0"/>
    <x v="0"/>
    <s v="RESIDENTE ADMINISTRATIVO"/>
    <n v="4095000"/>
    <x v="0"/>
    <s v="ECONÓMICA"/>
    <m/>
    <m/>
  </r>
  <r>
    <x v="31"/>
    <x v="1"/>
    <x v="0"/>
    <x v="0"/>
    <s v="INSPECTOR ESTRUCTURA"/>
    <n v="4006799.9999999995"/>
    <x v="0"/>
    <s v="ECONÓMICA"/>
    <m/>
    <m/>
  </r>
  <r>
    <x v="31"/>
    <x v="2"/>
    <x v="0"/>
    <x v="0"/>
    <s v="INSPECTOR ESTRUCTURA"/>
    <n v="4006799.9999999995"/>
    <x v="0"/>
    <s v="ECONÓMICA"/>
    <m/>
    <m/>
  </r>
  <r>
    <x v="31"/>
    <x v="3"/>
    <x v="0"/>
    <x v="0"/>
    <s v="INSPECTOR ESTRUCTURA"/>
    <n v="4006799.9999999995"/>
    <x v="0"/>
    <s v="ECONÓMICA"/>
    <m/>
    <m/>
  </r>
  <r>
    <x v="31"/>
    <x v="4"/>
    <x v="0"/>
    <x v="0"/>
    <s v="INSPECTOR ESTRUCTURA"/>
    <n v="4006799.9999999995"/>
    <x v="0"/>
    <s v="ECONÓMICA"/>
    <m/>
    <m/>
  </r>
  <r>
    <x v="31"/>
    <x v="5"/>
    <x v="0"/>
    <x v="0"/>
    <s v="INSPECTOR ESTRUCTURA"/>
    <n v="4006799.9999999995"/>
    <x v="0"/>
    <s v="ECONÓMICA"/>
    <m/>
    <m/>
  </r>
  <r>
    <x v="31"/>
    <x v="6"/>
    <x v="0"/>
    <x v="0"/>
    <s v="INSPECTOR ESTRUCTURA"/>
    <n v="4006799.9999999995"/>
    <x v="0"/>
    <s v="ECONÓMICA"/>
    <m/>
    <m/>
  </r>
  <r>
    <x v="31"/>
    <x v="7"/>
    <x v="0"/>
    <x v="0"/>
    <s v="INSPECTOR ESTRUCTURA"/>
    <n v="4006799.9999999995"/>
    <x v="0"/>
    <s v="ECONÓMICA"/>
    <m/>
    <m/>
  </r>
  <r>
    <x v="31"/>
    <x v="8"/>
    <x v="0"/>
    <x v="0"/>
    <s v="INSPECTOR ESTRUCTURA"/>
    <n v="4006799.9999999995"/>
    <x v="0"/>
    <s v="ECONÓMICA"/>
    <m/>
    <m/>
  </r>
  <r>
    <x v="31"/>
    <x v="9"/>
    <x v="0"/>
    <x v="0"/>
    <s v="INSPECTOR ESTRUCTURA"/>
    <n v="4006799.9999999995"/>
    <x v="0"/>
    <s v="ECONÓMICA"/>
    <m/>
    <m/>
  </r>
  <r>
    <x v="31"/>
    <x v="10"/>
    <x v="0"/>
    <x v="0"/>
    <s v="INSPECTOR ESTRUCTURA"/>
    <n v="4006799.9999999995"/>
    <x v="0"/>
    <s v="ECONÓMICA"/>
    <m/>
    <m/>
  </r>
  <r>
    <x v="31"/>
    <x v="11"/>
    <x v="0"/>
    <x v="0"/>
    <s v="INSPECTOR ESTRUCTURA"/>
    <n v="4006799.9999999995"/>
    <x v="0"/>
    <s v="ECONÓMICA"/>
    <m/>
    <m/>
  </r>
  <r>
    <x v="31"/>
    <x v="12"/>
    <x v="0"/>
    <x v="0"/>
    <s v="INSPECTOR ESTRUCTURA"/>
    <n v="4006799.9999999995"/>
    <x v="0"/>
    <s v="ECONÓMICA"/>
    <m/>
    <m/>
  </r>
  <r>
    <x v="31"/>
    <x v="13"/>
    <x v="0"/>
    <x v="0"/>
    <s v="INSPECTOR ESTRUCTURA"/>
    <n v="4006799.9999999995"/>
    <x v="0"/>
    <s v="ECONÓMICA"/>
    <m/>
    <m/>
  </r>
  <r>
    <x v="31"/>
    <x v="14"/>
    <x v="0"/>
    <x v="0"/>
    <s v="INSPECTOR ESTRUCTURA"/>
    <n v="4006799.9999999995"/>
    <x v="0"/>
    <s v="ECONÓMICA"/>
    <m/>
    <m/>
  </r>
  <r>
    <x v="31"/>
    <x v="15"/>
    <x v="0"/>
    <x v="0"/>
    <s v="INSPECTOR ESTRUCTURA"/>
    <n v="4006799.9999999995"/>
    <x v="0"/>
    <s v="ECONÓMICA"/>
    <m/>
    <m/>
  </r>
  <r>
    <x v="31"/>
    <x v="16"/>
    <x v="0"/>
    <x v="0"/>
    <s v="INSPECTOR ESTRUCTURA"/>
    <n v="4006799.9999999995"/>
    <x v="0"/>
    <s v="ECONÓMICA"/>
    <m/>
    <m/>
  </r>
  <r>
    <x v="31"/>
    <x v="17"/>
    <x v="0"/>
    <x v="0"/>
    <s v="INSPECTOR ESTRUCTURA"/>
    <n v="4006799.9999999995"/>
    <x v="0"/>
    <s v="ECONÓMICA"/>
    <m/>
    <m/>
  </r>
  <r>
    <x v="31"/>
    <x v="18"/>
    <x v="0"/>
    <x v="0"/>
    <s v="INSPECTOR ESTRUCTURA"/>
    <n v="4006799.9999999995"/>
    <x v="0"/>
    <s v="ECONÓMICA"/>
    <m/>
    <m/>
  </r>
  <r>
    <x v="31"/>
    <x v="19"/>
    <x v="0"/>
    <x v="0"/>
    <s v="INSPECTOR ESTRUCTURA"/>
    <n v="4006799.9999999995"/>
    <x v="0"/>
    <s v="ECONÓMICA"/>
    <m/>
    <m/>
  </r>
  <r>
    <x v="31"/>
    <x v="20"/>
    <x v="0"/>
    <x v="0"/>
    <s v="INSPECTOR ESTRUCTURA"/>
    <n v="4006799.9999999995"/>
    <x v="0"/>
    <s v="ECONÓMICA"/>
    <m/>
    <m/>
  </r>
  <r>
    <x v="31"/>
    <x v="21"/>
    <x v="0"/>
    <x v="0"/>
    <s v="INSPECTOR ESTRUCTURA"/>
    <n v="4006799.9999999995"/>
    <x v="0"/>
    <s v="ECONÓMICA"/>
    <m/>
    <m/>
  </r>
  <r>
    <x v="31"/>
    <x v="12"/>
    <x v="0"/>
    <x v="0"/>
    <s v="INSPECTOR INSTALACIONES"/>
    <n v="4006799.9999999995"/>
    <x v="0"/>
    <s v="ECONÓMICA"/>
    <m/>
    <m/>
  </r>
  <r>
    <x v="31"/>
    <x v="13"/>
    <x v="0"/>
    <x v="0"/>
    <s v="INSPECTOR INSTALACIONES"/>
    <n v="4006799.9999999995"/>
    <x v="0"/>
    <s v="ECONÓMICA"/>
    <m/>
    <m/>
  </r>
  <r>
    <x v="31"/>
    <x v="14"/>
    <x v="0"/>
    <x v="0"/>
    <s v="INSPECTOR INSTALACIONES"/>
    <n v="4006799.9999999995"/>
    <x v="0"/>
    <s v="ECONÓMICA"/>
    <m/>
    <m/>
  </r>
  <r>
    <x v="31"/>
    <x v="15"/>
    <x v="0"/>
    <x v="0"/>
    <s v="INSPECTOR INSTALACIONES"/>
    <n v="4006799.9999999995"/>
    <x v="0"/>
    <s v="ECONÓMICA"/>
    <m/>
    <m/>
  </r>
  <r>
    <x v="31"/>
    <x v="16"/>
    <x v="0"/>
    <x v="0"/>
    <s v="INSPECTOR INSTALACIONES"/>
    <n v="4006799.9999999995"/>
    <x v="0"/>
    <s v="ECONÓMICA"/>
    <m/>
    <m/>
  </r>
  <r>
    <x v="31"/>
    <x v="17"/>
    <x v="0"/>
    <x v="0"/>
    <s v="INSPECTOR INSTALACIONES"/>
    <n v="4006799.9999999995"/>
    <x v="0"/>
    <s v="ECONÓMICA"/>
    <m/>
    <m/>
  </r>
  <r>
    <x v="31"/>
    <x v="18"/>
    <x v="0"/>
    <x v="0"/>
    <s v="INSPECTOR INSTALACIONES"/>
    <n v="4006799.9999999995"/>
    <x v="0"/>
    <s v="ECONÓMICA"/>
    <m/>
    <m/>
  </r>
  <r>
    <x v="31"/>
    <x v="19"/>
    <x v="0"/>
    <x v="0"/>
    <s v="INSPECTOR INSTALACIONES"/>
    <n v="4006799.9999999995"/>
    <x v="0"/>
    <s v="ECONÓMICA"/>
    <m/>
    <m/>
  </r>
  <r>
    <x v="31"/>
    <x v="20"/>
    <x v="0"/>
    <x v="0"/>
    <s v="INSPECTOR INSTALACIONES"/>
    <n v="4006799.9999999995"/>
    <x v="0"/>
    <s v="ECONÓMICA"/>
    <m/>
    <m/>
  </r>
  <r>
    <x v="31"/>
    <x v="21"/>
    <x v="0"/>
    <x v="0"/>
    <s v="INSPECTOR INSTALACIONES"/>
    <n v="4006799.9999999995"/>
    <x v="0"/>
    <s v="ECONÓMICA"/>
    <m/>
    <m/>
  </r>
  <r>
    <x v="32"/>
    <x v="0"/>
    <x v="0"/>
    <x v="0"/>
    <s v="COORDINADOR"/>
    <n v="5898109.7507954882"/>
    <x v="0"/>
    <s v="CONTRACTUAL"/>
    <m/>
    <m/>
  </r>
  <r>
    <x v="32"/>
    <x v="0"/>
    <x v="0"/>
    <x v="0"/>
    <s v="DIRECTOR"/>
    <n v="10573456.644736286"/>
    <x v="0"/>
    <s v="CONTRACTUAL"/>
    <m/>
    <m/>
  </r>
  <r>
    <x v="32"/>
    <x v="1"/>
    <x v="0"/>
    <x v="0"/>
    <s v="DIRECTOR"/>
    <n v="10573456.644736286"/>
    <x v="0"/>
    <s v="CONTRACTUAL"/>
    <m/>
    <m/>
  </r>
  <r>
    <x v="32"/>
    <x v="0"/>
    <x v="0"/>
    <x v="0"/>
    <s v="RESIDENTE TECNICO NOCTURNO"/>
    <n v="8420426.5965553131"/>
    <x v="0"/>
    <s v="CONTRACTUAL"/>
    <m/>
    <m/>
  </r>
  <r>
    <x v="32"/>
    <x v="0"/>
    <x v="0"/>
    <x v="0"/>
    <s v="RESIDENTE TECNICO"/>
    <n v="5968758.5524032004"/>
    <x v="0"/>
    <s v="CONTRACTUAL"/>
    <m/>
    <m/>
  </r>
  <r>
    <x v="32"/>
    <x v="0"/>
    <x v="0"/>
    <x v="0"/>
    <s v="PROFESIONAL DE CONTRATACIONES"/>
    <n v="2694198.4714365834"/>
    <x v="0"/>
    <s v="CONTRACTUAL"/>
    <m/>
    <m/>
  </r>
  <r>
    <x v="32"/>
    <x v="1"/>
    <x v="0"/>
    <x v="0"/>
    <s v="PROFESIONAL DE CONTRATACIONES"/>
    <n v="2694198.4714365834"/>
    <x v="0"/>
    <s v="CONTRACTUAL"/>
    <m/>
    <m/>
  </r>
  <r>
    <x v="33"/>
    <x v="0"/>
    <x v="0"/>
    <x v="0"/>
    <s v="COORDINADOR"/>
    <n v="2992909.5"/>
    <x v="0"/>
    <s v="CONTRACTUAL SIN LEGALIZACIÓN"/>
    <m/>
    <m/>
  </r>
  <r>
    <x v="33"/>
    <x v="1"/>
    <x v="0"/>
    <x v="0"/>
    <s v="COORDINADOR"/>
    <n v="2992909.5"/>
    <x v="0"/>
    <s v="CONTRACTUAL SIN LEGALIZACIÓN"/>
    <m/>
    <m/>
  </r>
  <r>
    <x v="33"/>
    <x v="2"/>
    <x v="0"/>
    <x v="0"/>
    <s v="COORDINADOR"/>
    <n v="2992909.5"/>
    <x v="0"/>
    <s v="CONTRACTUAL SIN LEGALIZACIÓN"/>
    <m/>
    <m/>
  </r>
  <r>
    <x v="33"/>
    <x v="0"/>
    <x v="0"/>
    <x v="0"/>
    <s v="DIRECTOR"/>
    <n v="2835000"/>
    <x v="0"/>
    <s v="CONTRACTUAL SIN LEGALIZACIÓN"/>
    <m/>
    <m/>
  </r>
  <r>
    <x v="33"/>
    <x v="1"/>
    <x v="0"/>
    <x v="0"/>
    <s v="DIRECTOR"/>
    <n v="2835000"/>
    <x v="0"/>
    <s v="CONTRACTUAL SIN LEGALIZACIÓN"/>
    <m/>
    <m/>
  </r>
  <r>
    <x v="33"/>
    <x v="2"/>
    <x v="0"/>
    <x v="0"/>
    <s v="DIRECTOR"/>
    <n v="2835000"/>
    <x v="0"/>
    <s v="CONTRACTUAL SIN LEGALIZACIÓN"/>
    <m/>
    <m/>
  </r>
  <r>
    <x v="33"/>
    <x v="0"/>
    <x v="0"/>
    <x v="0"/>
    <s v="RESIDENTE ADMINISTRATIVO"/>
    <n v="1228500"/>
    <x v="0"/>
    <s v="CONTRACTUAL SIN LEGALIZACIÓN"/>
    <m/>
    <m/>
  </r>
  <r>
    <x v="33"/>
    <x v="1"/>
    <x v="0"/>
    <x v="0"/>
    <s v="RESIDENTE ADMINISTRATIVO"/>
    <n v="1228500"/>
    <x v="0"/>
    <s v="CONTRACTUAL SIN LEGALIZACIÓN"/>
    <m/>
    <m/>
  </r>
  <r>
    <x v="33"/>
    <x v="2"/>
    <x v="0"/>
    <x v="0"/>
    <s v="RESIDENTE ADMINISTRATIVO"/>
    <n v="1228500"/>
    <x v="0"/>
    <s v="CONTRACTUAL SIN LEGALIZACIÓN"/>
    <m/>
    <m/>
  </r>
  <r>
    <x v="33"/>
    <x v="0"/>
    <x v="0"/>
    <x v="0"/>
    <s v="PROFESIONAL CONTRATACIONES"/>
    <n v="1181250"/>
    <x v="0"/>
    <s v="CONTRACTUAL SIN LEGALIZACIÓN"/>
    <m/>
    <m/>
  </r>
  <r>
    <x v="33"/>
    <x v="1"/>
    <x v="0"/>
    <x v="0"/>
    <s v="PROFESIONAL CONTRATACIONES"/>
    <n v="1181250"/>
    <x v="0"/>
    <s v="CONTRACTUAL SIN LEGALIZACIÓN"/>
    <m/>
    <m/>
  </r>
  <r>
    <x v="33"/>
    <x v="2"/>
    <x v="0"/>
    <x v="0"/>
    <s v="PROFESIONAL CONTRATACIONES"/>
    <n v="1181250"/>
    <x v="0"/>
    <s v="CONTRACTUAL SIN LEGALIZACIÓN"/>
    <m/>
    <m/>
  </r>
  <r>
    <x v="33"/>
    <x v="0"/>
    <x v="0"/>
    <x v="0"/>
    <s v="COORDINADOR"/>
    <n v="2494091.25"/>
    <x v="0"/>
    <s v="CONTRACTUAL SIN LEGALIZACIÓN"/>
    <m/>
    <m/>
  </r>
  <r>
    <x v="33"/>
    <x v="1"/>
    <x v="0"/>
    <x v="0"/>
    <s v="COORDINADOR"/>
    <n v="2494091.25"/>
    <x v="0"/>
    <s v="CONTRACTUAL SIN LEGALIZACIÓN"/>
    <m/>
    <m/>
  </r>
  <r>
    <x v="33"/>
    <x v="2"/>
    <x v="0"/>
    <x v="0"/>
    <s v="COORDINADOR"/>
    <n v="2494091.25"/>
    <x v="0"/>
    <s v="CONTRACTUAL SIN LEGALIZACIÓN"/>
    <m/>
    <m/>
  </r>
  <r>
    <x v="33"/>
    <x v="0"/>
    <x v="0"/>
    <x v="0"/>
    <s v="DIRECTOR"/>
    <n v="2362500"/>
    <x v="0"/>
    <s v="CONTRACTUAL SIN LEGALIZACIÓN"/>
    <m/>
    <m/>
  </r>
  <r>
    <x v="33"/>
    <x v="1"/>
    <x v="0"/>
    <x v="0"/>
    <s v="DIRECTOR"/>
    <n v="2362500"/>
    <x v="0"/>
    <s v="CONTRACTUAL SIN LEGALIZACIÓN"/>
    <m/>
    <m/>
  </r>
  <r>
    <x v="33"/>
    <x v="2"/>
    <x v="0"/>
    <x v="0"/>
    <s v="DIRECTOR"/>
    <n v="2362500"/>
    <x v="0"/>
    <s v="CONTRACTUAL SIN LEGALIZACIÓN"/>
    <m/>
    <m/>
  </r>
  <r>
    <x v="33"/>
    <x v="0"/>
    <x v="0"/>
    <x v="0"/>
    <s v="RESIDENTE ADMINISTRATIVO"/>
    <n v="1023750"/>
    <x v="0"/>
    <s v="CONTRACTUAL SIN LEGALIZACIÓN"/>
    <m/>
    <m/>
  </r>
  <r>
    <x v="33"/>
    <x v="1"/>
    <x v="0"/>
    <x v="0"/>
    <s v="RESIDENTE ADMINISTRATIVO"/>
    <n v="1023750"/>
    <x v="0"/>
    <s v="CONTRACTUAL SIN LEGALIZACIÓN"/>
    <m/>
    <m/>
  </r>
  <r>
    <x v="33"/>
    <x v="2"/>
    <x v="0"/>
    <x v="0"/>
    <s v="RESIDENTE ADMINISTRATIVO"/>
    <n v="1023750"/>
    <x v="0"/>
    <s v="CONTRACTUAL SIN LEGALIZACIÓN"/>
    <m/>
    <m/>
  </r>
  <r>
    <x v="33"/>
    <x v="0"/>
    <x v="0"/>
    <x v="0"/>
    <s v="PROFESIONAL DE CONTRATACIONES"/>
    <n v="708750"/>
    <x v="0"/>
    <s v="CONTRACTUAL SIN LEGALIZACIÓN"/>
    <m/>
    <m/>
  </r>
  <r>
    <x v="33"/>
    <x v="1"/>
    <x v="0"/>
    <x v="0"/>
    <s v="PROFESIONAL DE CONTRATACIONES"/>
    <n v="708750"/>
    <x v="0"/>
    <s v="CONTRACTUAL SIN LEGALIZACIÓN"/>
    <m/>
    <m/>
  </r>
  <r>
    <x v="33"/>
    <x v="2"/>
    <x v="0"/>
    <x v="0"/>
    <s v="PROFESIONAL DE CONTRATACIONES"/>
    <n v="708750"/>
    <x v="0"/>
    <s v="CONTRACTUAL SIN LEGALIZACIÓN"/>
    <m/>
    <m/>
  </r>
  <r>
    <x v="33"/>
    <x v="0"/>
    <x v="0"/>
    <x v="0"/>
    <s v="COORDINADOR"/>
    <n v="1496454.75"/>
    <x v="0"/>
    <s v="CONTRACTUAL SIN LEGALIZACIÓN"/>
    <m/>
    <m/>
  </r>
  <r>
    <x v="33"/>
    <x v="1"/>
    <x v="0"/>
    <x v="0"/>
    <s v="COORDINADOR"/>
    <n v="1496454.75"/>
    <x v="0"/>
    <s v="CONTRACTUAL SIN LEGALIZACIÓN"/>
    <m/>
    <m/>
  </r>
  <r>
    <x v="33"/>
    <x v="2"/>
    <x v="0"/>
    <x v="0"/>
    <s v="COORDINADOR"/>
    <n v="1496454.75"/>
    <x v="0"/>
    <s v="CONTRACTUAL SIN LEGALIZACIÓN"/>
    <m/>
    <m/>
  </r>
  <r>
    <x v="33"/>
    <x v="0"/>
    <x v="0"/>
    <x v="0"/>
    <s v="DIRECTOR"/>
    <n v="945000"/>
    <x v="0"/>
    <s v="CONTRACTUAL SIN LEGALIZACIÓN"/>
    <m/>
    <m/>
  </r>
  <r>
    <x v="33"/>
    <x v="1"/>
    <x v="0"/>
    <x v="0"/>
    <s v="DIRECTOR"/>
    <n v="945000"/>
    <x v="0"/>
    <s v="CONTRACTUAL SIN LEGALIZACIÓN"/>
    <m/>
    <m/>
  </r>
  <r>
    <x v="33"/>
    <x v="2"/>
    <x v="0"/>
    <x v="0"/>
    <s v="DIRECTOR"/>
    <n v="945000"/>
    <x v="0"/>
    <s v="CONTRACTUAL SIN LEGALIZACIÓN"/>
    <m/>
    <m/>
  </r>
  <r>
    <x v="33"/>
    <x v="0"/>
    <x v="0"/>
    <x v="0"/>
    <s v="RESIDENTE ADMINISTRATIVO"/>
    <n v="409500"/>
    <x v="0"/>
    <s v="CONTRACTUAL SIN LEGALIZACIÓN"/>
    <m/>
    <m/>
  </r>
  <r>
    <x v="33"/>
    <x v="1"/>
    <x v="0"/>
    <x v="0"/>
    <s v="RESIDENTE ADMINISTRATIVO"/>
    <n v="409500"/>
    <x v="0"/>
    <s v="CONTRACTUAL SIN LEGALIZACIÓN"/>
    <m/>
    <m/>
  </r>
  <r>
    <x v="33"/>
    <x v="2"/>
    <x v="0"/>
    <x v="0"/>
    <s v="RESIDENTE ADMINISTRATIVO"/>
    <n v="409500"/>
    <x v="0"/>
    <s v="CONTRACTUAL SIN LEGALIZACIÓN"/>
    <m/>
    <m/>
  </r>
  <r>
    <x v="33"/>
    <x v="0"/>
    <x v="0"/>
    <x v="0"/>
    <s v="PROFESIONAL ADMINISTRATIVO"/>
    <n v="236250"/>
    <x v="0"/>
    <s v="CONTRACTUAL SIN LEGALIZACIÓN"/>
    <m/>
    <m/>
  </r>
  <r>
    <x v="33"/>
    <x v="1"/>
    <x v="0"/>
    <x v="0"/>
    <s v="PROFESIONAL ADMINISTRATIVO"/>
    <n v="236250"/>
    <x v="0"/>
    <s v="CONTRACTUAL SIN LEGALIZACIÓN"/>
    <m/>
    <m/>
  </r>
  <r>
    <x v="33"/>
    <x v="2"/>
    <x v="0"/>
    <x v="0"/>
    <s v="PROFESIONAL ADMINISTRATIVO"/>
    <n v="236250"/>
    <x v="0"/>
    <s v="CONTRACTUAL SIN LEGALIZACIÓN"/>
    <m/>
    <m/>
  </r>
  <r>
    <x v="33"/>
    <x v="0"/>
    <x v="0"/>
    <x v="0"/>
    <s v="COORDINADOR"/>
    <n v="1496454.75"/>
    <x v="0"/>
    <s v="CONTRACTUAL SIN LEGALIZACIÓN"/>
    <m/>
    <m/>
  </r>
  <r>
    <x v="33"/>
    <x v="1"/>
    <x v="0"/>
    <x v="0"/>
    <s v="COORDINADOR"/>
    <n v="1496454.75"/>
    <x v="0"/>
    <s v="CONTRACTUAL SIN LEGALIZACIÓN"/>
    <m/>
    <m/>
  </r>
  <r>
    <x v="33"/>
    <x v="2"/>
    <x v="0"/>
    <x v="0"/>
    <s v="COORDINADOR"/>
    <n v="1496454.75"/>
    <x v="0"/>
    <s v="CONTRACTUAL SIN LEGALIZACIÓN"/>
    <m/>
    <m/>
  </r>
  <r>
    <x v="33"/>
    <x v="0"/>
    <x v="0"/>
    <x v="0"/>
    <s v="DIRECTOR"/>
    <n v="1890000"/>
    <x v="0"/>
    <s v="CONTRACTUAL SIN LEGALIZACIÓN"/>
    <m/>
    <m/>
  </r>
  <r>
    <x v="33"/>
    <x v="1"/>
    <x v="0"/>
    <x v="0"/>
    <s v="DIRECTOR"/>
    <n v="1890000"/>
    <x v="0"/>
    <s v="CONTRACTUAL SIN LEGALIZACIÓN"/>
    <m/>
    <m/>
  </r>
  <r>
    <x v="33"/>
    <x v="2"/>
    <x v="0"/>
    <x v="0"/>
    <s v="DIRECTOR"/>
    <n v="1890000"/>
    <x v="0"/>
    <s v="CONTRACTUAL SIN LEGALIZACIÓN"/>
    <m/>
    <m/>
  </r>
  <r>
    <x v="33"/>
    <x v="0"/>
    <x v="0"/>
    <x v="0"/>
    <s v="RESIDENTE ADMINISTRATIVO"/>
    <n v="819000"/>
    <x v="0"/>
    <s v="CONTRACTUAL SIN LEGALIZACIÓN"/>
    <m/>
    <m/>
  </r>
  <r>
    <x v="33"/>
    <x v="1"/>
    <x v="0"/>
    <x v="0"/>
    <s v="RESIDENTE ADMINISTRATIVO"/>
    <n v="819000"/>
    <x v="0"/>
    <s v="CONTRACTUAL SIN LEGALIZACIÓN"/>
    <m/>
    <m/>
  </r>
  <r>
    <x v="33"/>
    <x v="2"/>
    <x v="0"/>
    <x v="0"/>
    <s v="RESIDENTE ADMINISTRATIVO"/>
    <n v="819000"/>
    <x v="0"/>
    <s v="CONTRACTUAL SIN LEGALIZACIÓN"/>
    <m/>
    <m/>
  </r>
  <r>
    <x v="33"/>
    <x v="0"/>
    <x v="0"/>
    <x v="0"/>
    <s v="PROFESIONAL PRESUPUESTACION"/>
    <n v="441000"/>
    <x v="0"/>
    <s v="CONTRACTUAL SIN LEGALIZACIÓN"/>
    <m/>
    <m/>
  </r>
  <r>
    <x v="33"/>
    <x v="1"/>
    <x v="0"/>
    <x v="0"/>
    <s v="PROFESIONAL PRESUPUESTACION"/>
    <n v="441000"/>
    <x v="0"/>
    <s v="CONTRACTUAL SIN LEGALIZACIÓN"/>
    <m/>
    <m/>
  </r>
  <r>
    <x v="33"/>
    <x v="2"/>
    <x v="0"/>
    <x v="0"/>
    <s v="PROFESIONAL PRESUPUESTACION"/>
    <n v="441000"/>
    <x v="0"/>
    <s v="CONTRACTUAL SIN LEGALIZACIÓN"/>
    <m/>
    <m/>
  </r>
  <r>
    <x v="33"/>
    <x v="0"/>
    <x v="0"/>
    <x v="0"/>
    <s v="PROFESIONAL DE CONTRATACIONES"/>
    <n v="354375"/>
    <x v="0"/>
    <s v="CONTRACTUAL SIN LEGALIZACIÓN"/>
    <m/>
    <m/>
  </r>
  <r>
    <x v="33"/>
    <x v="1"/>
    <x v="0"/>
    <x v="0"/>
    <s v="PROFESIONAL DE CONTRATACIONES"/>
    <n v="354375"/>
    <x v="0"/>
    <s v="CONTRACTUAL SIN LEGALIZACIÓN"/>
    <m/>
    <m/>
  </r>
  <r>
    <x v="33"/>
    <x v="2"/>
    <x v="0"/>
    <x v="0"/>
    <s v="PROFESIONAL DE CONTRATACIONES"/>
    <n v="354375"/>
    <x v="0"/>
    <s v="CONTRACTUAL SIN LEGALIZACIÓN"/>
    <m/>
    <m/>
  </r>
  <r>
    <x v="33"/>
    <x v="0"/>
    <x v="0"/>
    <x v="0"/>
    <s v="COORDINADOR"/>
    <n v="1496454.75"/>
    <x v="0"/>
    <s v="CONTRACTUAL SIN LEGALIZACIÓN"/>
    <m/>
    <m/>
  </r>
  <r>
    <x v="33"/>
    <x v="1"/>
    <x v="0"/>
    <x v="0"/>
    <s v="COORDINADOR"/>
    <n v="1496454.75"/>
    <x v="0"/>
    <s v="CONTRACTUAL SIN LEGALIZACIÓN"/>
    <m/>
    <m/>
  </r>
  <r>
    <x v="33"/>
    <x v="2"/>
    <x v="0"/>
    <x v="0"/>
    <s v="COORDINADOR"/>
    <n v="1496454.75"/>
    <x v="0"/>
    <s v="CONTRACTUAL SIN LEGALIZACIÓN"/>
    <m/>
    <m/>
  </r>
  <r>
    <x v="33"/>
    <x v="0"/>
    <x v="0"/>
    <x v="0"/>
    <s v="DIRECTOR"/>
    <n v="1417500"/>
    <x v="0"/>
    <s v="CONTRACTUAL SIN LEGALIZACIÓN"/>
    <m/>
    <m/>
  </r>
  <r>
    <x v="33"/>
    <x v="1"/>
    <x v="0"/>
    <x v="0"/>
    <s v="DIRECTOR"/>
    <n v="1417500"/>
    <x v="0"/>
    <s v="CONTRACTUAL SIN LEGALIZACIÓN"/>
    <m/>
    <m/>
  </r>
  <r>
    <x v="33"/>
    <x v="2"/>
    <x v="0"/>
    <x v="0"/>
    <s v="DIRECTOR"/>
    <n v="1417500"/>
    <x v="0"/>
    <s v="CONTRACTUAL SIN LEGALIZACIÓN"/>
    <m/>
    <m/>
  </r>
  <r>
    <x v="33"/>
    <x v="0"/>
    <x v="0"/>
    <x v="0"/>
    <s v="RESIDENTE ADMINISTRATIVO"/>
    <n v="614250"/>
    <x v="0"/>
    <s v="CONTRACTUAL SIN LEGALIZACIÓN"/>
    <m/>
    <m/>
  </r>
  <r>
    <x v="33"/>
    <x v="1"/>
    <x v="0"/>
    <x v="0"/>
    <s v="RESIDENTE ADMINISTRATIVO"/>
    <n v="614250"/>
    <x v="0"/>
    <s v="CONTRACTUAL SIN LEGALIZACIÓN"/>
    <m/>
    <m/>
  </r>
  <r>
    <x v="33"/>
    <x v="2"/>
    <x v="0"/>
    <x v="0"/>
    <s v="RESIDENTE ADMINISTRATIVO"/>
    <n v="614250"/>
    <x v="0"/>
    <s v="CONTRACTUAL SIN LEGALIZACIÓN"/>
    <m/>
    <m/>
  </r>
  <r>
    <x v="34"/>
    <x v="0"/>
    <x v="0"/>
    <x v="0"/>
    <s v="COORDINADOR - SUPERVISOR ESTRUCTURAL"/>
    <n v="1778395.5"/>
    <x v="0"/>
    <s v="ECONÓMICA"/>
    <m/>
    <m/>
  </r>
  <r>
    <x v="34"/>
    <x v="1"/>
    <x v="0"/>
    <x v="0"/>
    <s v="COORDINADOR - SUPERVISOR ESTRUCTURAL"/>
    <n v="1778395.5"/>
    <x v="0"/>
    <s v="ECONÓMICA"/>
    <m/>
    <m/>
  </r>
  <r>
    <x v="34"/>
    <x v="0"/>
    <x v="0"/>
    <x v="0"/>
    <s v="DIRECTOR RESIDENTE"/>
    <n v="7426125"/>
    <x v="0"/>
    <s v="ECONÓMICA"/>
    <m/>
    <m/>
  </r>
  <r>
    <x v="34"/>
    <x v="1"/>
    <x v="0"/>
    <x v="0"/>
    <s v="DIRECTOR RESIDENTE"/>
    <n v="7426125"/>
    <x v="0"/>
    <s v="ECONÓMICA"/>
    <m/>
    <m/>
  </r>
  <r>
    <x v="34"/>
    <x v="0"/>
    <x v="0"/>
    <x v="0"/>
    <s v="ESPECIALISTA MECANICO"/>
    <n v="964096.875"/>
    <x v="0"/>
    <s v="ECONÓMICA"/>
    <m/>
    <m/>
  </r>
  <r>
    <x v="34"/>
    <x v="1"/>
    <x v="0"/>
    <x v="0"/>
    <s v="ESPECIALISTA MECANICO"/>
    <n v="964096.875"/>
    <x v="0"/>
    <s v="ECONÓMICA"/>
    <m/>
    <m/>
  </r>
  <r>
    <x v="34"/>
    <x v="0"/>
    <x v="0"/>
    <x v="0"/>
    <s v="INSPECTOR DE OBRA 1"/>
    <n v="3764722.4999999995"/>
    <x v="0"/>
    <s v="ECONÓMICA"/>
    <m/>
    <m/>
  </r>
  <r>
    <x v="34"/>
    <x v="1"/>
    <x v="0"/>
    <x v="0"/>
    <s v="INSPECTOR DE OBRA 1"/>
    <n v="3764722.4999999995"/>
    <x v="0"/>
    <s v="ECONÓMICA"/>
    <m/>
    <m/>
  </r>
  <r>
    <x v="35"/>
    <x v="1"/>
    <x v="0"/>
    <x v="0"/>
    <s v="COORDINADOR"/>
    <n v="3818881.08"/>
    <x v="0"/>
    <s v="ECONÓMICA"/>
    <m/>
    <m/>
  </r>
  <r>
    <x v="35"/>
    <x v="2"/>
    <x v="0"/>
    <x v="0"/>
    <s v="COORDINADOR"/>
    <n v="3818881.08"/>
    <x v="0"/>
    <s v="ECONÓMICA"/>
    <m/>
    <m/>
  </r>
  <r>
    <x v="35"/>
    <x v="3"/>
    <x v="0"/>
    <x v="0"/>
    <s v="COORDINADOR"/>
    <n v="3818881.08"/>
    <x v="0"/>
    <s v="ECONÓMICA"/>
    <m/>
    <m/>
  </r>
  <r>
    <x v="35"/>
    <x v="4"/>
    <x v="0"/>
    <x v="0"/>
    <s v="COORDINADOR"/>
    <n v="3818881.08"/>
    <x v="0"/>
    <s v="ECONÓMICA"/>
    <m/>
    <m/>
  </r>
  <r>
    <x v="35"/>
    <x v="5"/>
    <x v="0"/>
    <x v="0"/>
    <s v="COORDINADOR"/>
    <n v="3818881.08"/>
    <x v="0"/>
    <s v="ECONÓMICA"/>
    <m/>
    <m/>
  </r>
  <r>
    <x v="35"/>
    <x v="6"/>
    <x v="0"/>
    <x v="0"/>
    <s v="COORDINADOR"/>
    <n v="3818881.08"/>
    <x v="0"/>
    <s v="ECONÓMICA"/>
    <m/>
    <m/>
  </r>
  <r>
    <x v="35"/>
    <x v="7"/>
    <x v="0"/>
    <x v="0"/>
    <s v="COORDINADOR"/>
    <n v="3818881.08"/>
    <x v="0"/>
    <s v="ECONÓMICA"/>
    <m/>
    <m/>
  </r>
  <r>
    <x v="35"/>
    <x v="1"/>
    <x v="0"/>
    <x v="0"/>
    <s v="DIRECTOR RESIDENTE"/>
    <n v="6750000"/>
    <x v="0"/>
    <s v="ECONÓMICA"/>
    <m/>
    <m/>
  </r>
  <r>
    <x v="35"/>
    <x v="2"/>
    <x v="0"/>
    <x v="0"/>
    <s v="DIRECTOR RESIDENTE"/>
    <n v="6750000"/>
    <x v="0"/>
    <s v="ECONÓMICA"/>
    <m/>
    <m/>
  </r>
  <r>
    <x v="35"/>
    <x v="3"/>
    <x v="0"/>
    <x v="0"/>
    <s v="DIRECTOR RESIDENTE"/>
    <n v="6750000"/>
    <x v="0"/>
    <s v="ECONÓMICA"/>
    <m/>
    <m/>
  </r>
  <r>
    <x v="35"/>
    <x v="4"/>
    <x v="0"/>
    <x v="0"/>
    <s v="DIRECTOR RESIDENTE"/>
    <n v="6750000"/>
    <x v="0"/>
    <s v="ECONÓMICA"/>
    <m/>
    <m/>
  </r>
  <r>
    <x v="35"/>
    <x v="5"/>
    <x v="0"/>
    <x v="0"/>
    <s v="DIRECTOR RESIDENTE"/>
    <n v="6750000"/>
    <x v="0"/>
    <s v="ECONÓMICA"/>
    <m/>
    <m/>
  </r>
  <r>
    <x v="35"/>
    <x v="6"/>
    <x v="0"/>
    <x v="0"/>
    <s v="DIRECTOR RESIDENTE"/>
    <n v="6750000"/>
    <x v="0"/>
    <s v="ECONÓMICA"/>
    <m/>
    <m/>
  </r>
  <r>
    <x v="35"/>
    <x v="7"/>
    <x v="0"/>
    <x v="0"/>
    <s v="DIRECTOR RESIDENTE"/>
    <n v="6750000"/>
    <x v="0"/>
    <s v="ECONÓMICA"/>
    <m/>
    <m/>
  </r>
  <r>
    <x v="35"/>
    <x v="1"/>
    <x v="0"/>
    <x v="0"/>
    <s v="PROFESIONAL DE CONTRATACIONES"/>
    <n v="1961638.6500000001"/>
    <x v="0"/>
    <s v="ECONÓMICA"/>
    <m/>
    <m/>
  </r>
  <r>
    <x v="35"/>
    <x v="2"/>
    <x v="0"/>
    <x v="0"/>
    <s v="PROFESIONAL DE CONTRATACIONES"/>
    <n v="1961638.6500000001"/>
    <x v="0"/>
    <s v="ECONÓMICA"/>
    <m/>
    <m/>
  </r>
  <r>
    <x v="35"/>
    <x v="3"/>
    <x v="0"/>
    <x v="0"/>
    <s v="PROFESIONAL DE CONTRATACIONES"/>
    <n v="1961638.6500000001"/>
    <x v="0"/>
    <s v="ECONÓMICA"/>
    <m/>
    <m/>
  </r>
  <r>
    <x v="35"/>
    <x v="4"/>
    <x v="0"/>
    <x v="0"/>
    <s v="PROFESIONAL DE CONTRATACIONES"/>
    <n v="1961638.6500000001"/>
    <x v="0"/>
    <s v="ECONÓMICA"/>
    <m/>
    <m/>
  </r>
  <r>
    <x v="35"/>
    <x v="5"/>
    <x v="0"/>
    <x v="0"/>
    <s v="PROFESIONAL DE CONTRATACIONES"/>
    <n v="1961638.6500000001"/>
    <x v="0"/>
    <s v="ECONÓMICA"/>
    <m/>
    <m/>
  </r>
  <r>
    <x v="35"/>
    <x v="6"/>
    <x v="0"/>
    <x v="0"/>
    <s v="PROFESIONAL DE CONTRATACIONES"/>
    <n v="1961638.6500000001"/>
    <x v="0"/>
    <s v="ECONÓMICA"/>
    <m/>
    <m/>
  </r>
  <r>
    <x v="35"/>
    <x v="7"/>
    <x v="0"/>
    <x v="0"/>
    <s v="PROFESIONAL DE CONTRATACIONES"/>
    <n v="1961638.6500000001"/>
    <x v="0"/>
    <s v="ECONÓMICA"/>
    <m/>
    <m/>
  </r>
  <r>
    <x v="35"/>
    <x v="1"/>
    <x v="0"/>
    <x v="0"/>
    <s v="RESIDENTE ADMINISTRATIVO"/>
    <n v="5271741.5887850448"/>
    <x v="0"/>
    <s v="ECONÓMICA"/>
    <m/>
    <m/>
  </r>
  <r>
    <x v="35"/>
    <x v="2"/>
    <x v="0"/>
    <x v="0"/>
    <s v="RESIDENTE ADMINISTRATIVO"/>
    <n v="5271741.5887850448"/>
    <x v="0"/>
    <s v="ECONÓMICA"/>
    <m/>
    <m/>
  </r>
  <r>
    <x v="35"/>
    <x v="3"/>
    <x v="0"/>
    <x v="0"/>
    <s v="RESIDENTE ADMINISTRATIVO"/>
    <n v="5271741.5887850448"/>
    <x v="0"/>
    <s v="ECONÓMICA"/>
    <m/>
    <m/>
  </r>
  <r>
    <x v="35"/>
    <x v="4"/>
    <x v="0"/>
    <x v="0"/>
    <s v="RESIDENTE ADMINISTRATIVO"/>
    <n v="5271741.5887850448"/>
    <x v="0"/>
    <s v="ECONÓMICA"/>
    <m/>
    <m/>
  </r>
  <r>
    <x v="35"/>
    <x v="5"/>
    <x v="0"/>
    <x v="0"/>
    <s v="RESIDENTE ADMINISTRATIVO"/>
    <n v="5271741.5887850448"/>
    <x v="0"/>
    <s v="ECONÓMICA"/>
    <m/>
    <m/>
  </r>
  <r>
    <x v="35"/>
    <x v="6"/>
    <x v="0"/>
    <x v="0"/>
    <s v="RESIDENTE ADMINISTRATIVO"/>
    <n v="5271741.5887850448"/>
    <x v="0"/>
    <s v="ECONÓMICA"/>
    <m/>
    <m/>
  </r>
  <r>
    <x v="35"/>
    <x v="7"/>
    <x v="0"/>
    <x v="0"/>
    <s v="RESIDENTE ADMINISTRATIVO"/>
    <n v="5271741.5887850448"/>
    <x v="0"/>
    <s v="ECONÓMICA"/>
    <m/>
    <m/>
  </r>
  <r>
    <x v="35"/>
    <x v="1"/>
    <x v="0"/>
    <x v="0"/>
    <s v="INSPECTOR"/>
    <n v="3855251.3759999997"/>
    <x v="0"/>
    <s v="ECONÓMICA"/>
    <m/>
    <m/>
  </r>
  <r>
    <x v="35"/>
    <x v="2"/>
    <x v="0"/>
    <x v="0"/>
    <s v="INSPECTOR"/>
    <n v="3855251.3759999997"/>
    <x v="0"/>
    <s v="ECONÓMICA"/>
    <m/>
    <m/>
  </r>
  <r>
    <x v="35"/>
    <x v="3"/>
    <x v="0"/>
    <x v="0"/>
    <s v="INSPECTOR"/>
    <n v="3855251.3759999997"/>
    <x v="0"/>
    <s v="ECONÓMICA"/>
    <m/>
    <m/>
  </r>
  <r>
    <x v="35"/>
    <x v="4"/>
    <x v="0"/>
    <x v="0"/>
    <s v="INSPECTOR"/>
    <n v="3855251.3759999997"/>
    <x v="0"/>
    <s v="ECONÓMICA"/>
    <m/>
    <m/>
  </r>
  <r>
    <x v="35"/>
    <x v="5"/>
    <x v="0"/>
    <x v="0"/>
    <s v="INSPECTOR"/>
    <n v="3855251.3759999997"/>
    <x v="0"/>
    <s v="ECONÓMICA"/>
    <m/>
    <m/>
  </r>
  <r>
    <x v="35"/>
    <x v="6"/>
    <x v="0"/>
    <x v="0"/>
    <s v="INSPECTOR"/>
    <n v="3855251.3759999997"/>
    <x v="0"/>
    <s v="ECONÓMICA"/>
    <m/>
    <m/>
  </r>
  <r>
    <x v="35"/>
    <x v="7"/>
    <x v="0"/>
    <x v="0"/>
    <s v="INSPECTOR"/>
    <n v="3855251.3759999997"/>
    <x v="0"/>
    <s v="ECONÓMICA"/>
    <m/>
    <m/>
  </r>
  <r>
    <x v="36"/>
    <x v="0"/>
    <x v="0"/>
    <x v="0"/>
    <s v="DIRECTOR GENERAL"/>
    <n v="12913846.050000001"/>
    <x v="0"/>
    <s v="ECONÓMICA"/>
    <m/>
    <m/>
  </r>
  <r>
    <x v="36"/>
    <x v="1"/>
    <x v="0"/>
    <x v="0"/>
    <s v="DIRECTOR GENERAL"/>
    <n v="12913846.050000001"/>
    <x v="0"/>
    <s v="ECONÓMICA"/>
    <m/>
    <m/>
  </r>
  <r>
    <x v="36"/>
    <x v="2"/>
    <x v="0"/>
    <x v="0"/>
    <s v="DIRECTOR GENERAL"/>
    <n v="12913846.050000001"/>
    <x v="0"/>
    <s v="ECONÓMICA"/>
    <m/>
    <m/>
  </r>
  <r>
    <x v="36"/>
    <x v="3"/>
    <x v="0"/>
    <x v="0"/>
    <s v="DIRECTOR GENERAL"/>
    <n v="12913846.050000001"/>
    <x v="0"/>
    <s v="ECONÓMICA"/>
    <m/>
    <m/>
  </r>
  <r>
    <x v="36"/>
    <x v="4"/>
    <x v="0"/>
    <x v="0"/>
    <s v="DIRECTOR GENERAL"/>
    <n v="12913846.050000001"/>
    <x v="0"/>
    <s v="ECONÓMICA"/>
    <m/>
    <m/>
  </r>
  <r>
    <x v="36"/>
    <x v="0"/>
    <x v="0"/>
    <x v="0"/>
    <s v="RESIDENTE TECNICO"/>
    <n v="7300574.4000000004"/>
    <x v="0"/>
    <s v="ECONÓMICA"/>
    <m/>
    <m/>
  </r>
  <r>
    <x v="36"/>
    <x v="1"/>
    <x v="0"/>
    <x v="0"/>
    <s v="RESIDENTE TECNICO"/>
    <n v="7300574.4000000004"/>
    <x v="0"/>
    <s v="ECONÓMICA"/>
    <m/>
    <m/>
  </r>
  <r>
    <x v="36"/>
    <x v="2"/>
    <x v="0"/>
    <x v="0"/>
    <s v="RESIDENTE TECNICO"/>
    <n v="7300574.4000000004"/>
    <x v="0"/>
    <s v="ECONÓMICA"/>
    <m/>
    <m/>
  </r>
  <r>
    <x v="36"/>
    <x v="3"/>
    <x v="0"/>
    <x v="0"/>
    <s v="RESIDENTE TECNICO"/>
    <n v="7300574.4000000004"/>
    <x v="0"/>
    <s v="ECONÓMICA"/>
    <m/>
    <m/>
  </r>
  <r>
    <x v="36"/>
    <x v="4"/>
    <x v="0"/>
    <x v="0"/>
    <s v="RESIDENTE TECNICO"/>
    <n v="7300574.4000000004"/>
    <x v="0"/>
    <s v="ECONÓMICA"/>
    <m/>
    <m/>
  </r>
  <r>
    <x v="36"/>
    <x v="0"/>
    <x v="0"/>
    <x v="0"/>
    <s v="RESIDENTE TECNICO"/>
    <n v="7300574.4000000004"/>
    <x v="0"/>
    <s v="ECONÓMICA"/>
    <m/>
    <m/>
  </r>
  <r>
    <x v="36"/>
    <x v="1"/>
    <x v="0"/>
    <x v="0"/>
    <s v="RESIDENTE TECNICO"/>
    <n v="7300574.4000000004"/>
    <x v="0"/>
    <s v="ECONÓMICA"/>
    <m/>
    <m/>
  </r>
  <r>
    <x v="36"/>
    <x v="2"/>
    <x v="0"/>
    <x v="0"/>
    <s v="RESIDENTE TECNICO"/>
    <n v="7300574.4000000004"/>
    <x v="0"/>
    <s v="ECONÓMICA"/>
    <m/>
    <m/>
  </r>
  <r>
    <x v="36"/>
    <x v="3"/>
    <x v="0"/>
    <x v="0"/>
    <s v="RESIDENTE TECNICO"/>
    <n v="7300574.4000000004"/>
    <x v="0"/>
    <s v="ECONÓMICA"/>
    <m/>
    <m/>
  </r>
  <r>
    <x v="36"/>
    <x v="4"/>
    <x v="0"/>
    <x v="0"/>
    <s v="RESIDENTE TECNICO"/>
    <n v="7300574.4000000004"/>
    <x v="0"/>
    <s v="ECONÓMICA"/>
    <m/>
    <m/>
  </r>
  <r>
    <x v="36"/>
    <x v="0"/>
    <x v="0"/>
    <x v="0"/>
    <s v="RESIDENTE TECNICO"/>
    <n v="7300574.4000000004"/>
    <x v="0"/>
    <s v="ECONÓMICA"/>
    <m/>
    <m/>
  </r>
  <r>
    <x v="36"/>
    <x v="1"/>
    <x v="0"/>
    <x v="0"/>
    <s v="RESIDENTE TECNICO"/>
    <n v="7300574.4000000004"/>
    <x v="0"/>
    <s v="ECONÓMICA"/>
    <m/>
    <m/>
  </r>
  <r>
    <x v="36"/>
    <x v="2"/>
    <x v="0"/>
    <x v="0"/>
    <s v="RESIDENTE TECNICO"/>
    <n v="7300574.4000000004"/>
    <x v="0"/>
    <s v="ECONÓMICA"/>
    <m/>
    <m/>
  </r>
  <r>
    <x v="36"/>
    <x v="3"/>
    <x v="0"/>
    <x v="0"/>
    <s v="RESIDENTE TECNICO"/>
    <n v="7300574.4000000004"/>
    <x v="0"/>
    <s v="ECONÓMICA"/>
    <m/>
    <m/>
  </r>
  <r>
    <x v="36"/>
    <x v="4"/>
    <x v="0"/>
    <x v="0"/>
    <s v="RESIDENTE TECNICO"/>
    <n v="7300574.4000000004"/>
    <x v="0"/>
    <s v="ECONÓMICA"/>
    <m/>
    <m/>
  </r>
  <r>
    <x v="36"/>
    <x v="0"/>
    <x v="0"/>
    <x v="0"/>
    <s v="RESIDENTE ADMINISTRATIVO"/>
    <n v="5214695.8500000006"/>
    <x v="0"/>
    <s v="ECONÓMICA"/>
    <m/>
    <m/>
  </r>
  <r>
    <x v="36"/>
    <x v="1"/>
    <x v="0"/>
    <x v="0"/>
    <s v="RESIDENTE ADMINISTRATIVO"/>
    <n v="5214695.8500000006"/>
    <x v="0"/>
    <s v="ECONÓMICA"/>
    <m/>
    <m/>
  </r>
  <r>
    <x v="36"/>
    <x v="2"/>
    <x v="0"/>
    <x v="0"/>
    <s v="RESIDENTE ADMINISTRATIVO"/>
    <n v="5214695.8500000006"/>
    <x v="0"/>
    <s v="ECONÓMICA"/>
    <m/>
    <m/>
  </r>
  <r>
    <x v="36"/>
    <x v="3"/>
    <x v="0"/>
    <x v="0"/>
    <s v="RESIDENTE ADMINISTRATIVO"/>
    <n v="5214695.8500000006"/>
    <x v="0"/>
    <s v="ECONÓMICA"/>
    <m/>
    <m/>
  </r>
  <r>
    <x v="36"/>
    <x v="4"/>
    <x v="0"/>
    <x v="0"/>
    <s v="RESIDENTE ADMINISTRATIVO"/>
    <n v="5214695.8500000006"/>
    <x v="0"/>
    <s v="ECONÓMICA"/>
    <m/>
    <m/>
  </r>
  <r>
    <x v="36"/>
    <x v="0"/>
    <x v="0"/>
    <x v="0"/>
    <s v="RESIDENTE ADMINISTRATIVO 1"/>
    <n v="5214695.8500000006"/>
    <x v="0"/>
    <s v="ECONÓMICA"/>
    <m/>
    <m/>
  </r>
  <r>
    <x v="36"/>
    <x v="1"/>
    <x v="0"/>
    <x v="0"/>
    <s v="RESIDENTE ADMINISTRATIVO 1"/>
    <n v="5214695.8500000006"/>
    <x v="0"/>
    <s v="ECONÓMICA"/>
    <m/>
    <m/>
  </r>
  <r>
    <x v="36"/>
    <x v="2"/>
    <x v="0"/>
    <x v="0"/>
    <s v="RESIDENTE ADMINISTRATIVO 1"/>
    <n v="5214695.8500000006"/>
    <x v="0"/>
    <s v="ECONÓMICA"/>
    <m/>
    <m/>
  </r>
  <r>
    <x v="36"/>
    <x v="3"/>
    <x v="0"/>
    <x v="0"/>
    <s v="RESIDENTE ADMINISTRATIVO 1"/>
    <n v="5214695.8500000006"/>
    <x v="0"/>
    <s v="ECONÓMICA"/>
    <m/>
    <m/>
  </r>
  <r>
    <x v="36"/>
    <x v="4"/>
    <x v="0"/>
    <x v="0"/>
    <s v="RESIDENTE ADMINISTRATIVO 1"/>
    <n v="5214695.8500000006"/>
    <x v="0"/>
    <s v="ECONÓMICA"/>
    <m/>
    <m/>
  </r>
  <r>
    <x v="36"/>
    <x v="0"/>
    <x v="0"/>
    <x v="0"/>
    <s v="RESIDENTE ADMINISTRATIVO 2"/>
    <n v="5142002.25"/>
    <x v="0"/>
    <s v="ECONÓMICA"/>
    <m/>
    <m/>
  </r>
  <r>
    <x v="36"/>
    <x v="1"/>
    <x v="0"/>
    <x v="0"/>
    <s v="RESIDENTE ADMINISTRATIVO 2"/>
    <n v="5142002.25"/>
    <x v="0"/>
    <s v="ECONÓMICA"/>
    <m/>
    <m/>
  </r>
  <r>
    <x v="36"/>
    <x v="2"/>
    <x v="0"/>
    <x v="0"/>
    <s v="RESIDENTE ADMINISTRATIVO 2"/>
    <n v="5142002.25"/>
    <x v="0"/>
    <s v="ECONÓMICA"/>
    <m/>
    <m/>
  </r>
  <r>
    <x v="36"/>
    <x v="3"/>
    <x v="0"/>
    <x v="0"/>
    <s v="RESIDENTE ADMINISTRATIVO 2"/>
    <n v="5142002.25"/>
    <x v="0"/>
    <s v="ECONÓMICA"/>
    <m/>
    <m/>
  </r>
  <r>
    <x v="36"/>
    <x v="4"/>
    <x v="0"/>
    <x v="0"/>
    <s v="RESIDENTE ADMINISTRATIVO 2"/>
    <n v="5142002.25"/>
    <x v="0"/>
    <s v="ECONÓMICA"/>
    <m/>
    <m/>
  </r>
  <r>
    <x v="36"/>
    <x v="0"/>
    <x v="0"/>
    <x v="0"/>
    <s v="RESIDENTE DE INSTALACIONES"/>
    <n v="9867809.7000000011"/>
    <x v="0"/>
    <s v="ECONÓMICA"/>
    <m/>
    <m/>
  </r>
  <r>
    <x v="36"/>
    <x v="1"/>
    <x v="0"/>
    <x v="0"/>
    <s v="RESIDENTE DE INSTALACIONES"/>
    <n v="9867809.7000000011"/>
    <x v="0"/>
    <s v="ECONÓMICA"/>
    <m/>
    <m/>
  </r>
  <r>
    <x v="36"/>
    <x v="2"/>
    <x v="0"/>
    <x v="0"/>
    <s v="RESIDENTE DE INSTALACIONES"/>
    <n v="9867809.7000000011"/>
    <x v="0"/>
    <s v="ECONÓMICA"/>
    <m/>
    <m/>
  </r>
  <r>
    <x v="36"/>
    <x v="3"/>
    <x v="0"/>
    <x v="0"/>
    <s v="RESIDENTE DE INSTALACIONES"/>
    <n v="9867809.7000000011"/>
    <x v="0"/>
    <s v="ECONÓMICA"/>
    <m/>
    <m/>
  </r>
  <r>
    <x v="36"/>
    <x v="4"/>
    <x v="0"/>
    <x v="0"/>
    <s v="RESIDENTE DE INSTALACIONES"/>
    <n v="9867809.7000000011"/>
    <x v="0"/>
    <s v="ECONÓMICA"/>
    <m/>
    <m/>
  </r>
  <r>
    <x v="36"/>
    <x v="0"/>
    <x v="0"/>
    <x v="0"/>
    <s v="AUXILIAR DE CONTROLES"/>
    <n v="3569121.1500000004"/>
    <x v="0"/>
    <s v="ECONÓMICA"/>
    <m/>
    <m/>
  </r>
  <r>
    <x v="36"/>
    <x v="1"/>
    <x v="0"/>
    <x v="0"/>
    <s v="AUXILIAR DE CONTROLES"/>
    <n v="3569121.1500000004"/>
    <x v="0"/>
    <s v="ECONÓMICA"/>
    <m/>
    <m/>
  </r>
  <r>
    <x v="36"/>
    <x v="2"/>
    <x v="0"/>
    <x v="0"/>
    <s v="AUXILIAR DE CONTROLES"/>
    <n v="3569121.1500000004"/>
    <x v="0"/>
    <s v="ECONÓMICA"/>
    <m/>
    <m/>
  </r>
  <r>
    <x v="36"/>
    <x v="3"/>
    <x v="0"/>
    <x v="0"/>
    <s v="AUXILIAR DE CONTROLES"/>
    <n v="3569121.1500000004"/>
    <x v="0"/>
    <s v="ECONÓMICA"/>
    <m/>
    <m/>
  </r>
  <r>
    <x v="36"/>
    <x v="4"/>
    <x v="0"/>
    <x v="0"/>
    <s v="AUXILIAR DE CONTROLES"/>
    <n v="3569121.1500000004"/>
    <x v="0"/>
    <s v="ECONÓMICA"/>
    <m/>
    <m/>
  </r>
  <r>
    <x v="36"/>
    <x v="0"/>
    <x v="0"/>
    <x v="0"/>
    <s v="INSPECTOR DE OBRA 1"/>
    <n v="4240842.9000000004"/>
    <x v="0"/>
    <s v="ECONÓMICA"/>
    <m/>
    <m/>
  </r>
  <r>
    <x v="36"/>
    <x v="1"/>
    <x v="0"/>
    <x v="0"/>
    <s v="INSPECTOR DE OBRA 1"/>
    <n v="4240842.9000000004"/>
    <x v="0"/>
    <s v="ECONÓMICA"/>
    <m/>
    <m/>
  </r>
  <r>
    <x v="36"/>
    <x v="2"/>
    <x v="0"/>
    <x v="0"/>
    <s v="INSPECTOR DE OBRA 1"/>
    <n v="4240842.9000000004"/>
    <x v="0"/>
    <s v="ECONÓMICA"/>
    <m/>
    <m/>
  </r>
  <r>
    <x v="36"/>
    <x v="3"/>
    <x v="0"/>
    <x v="0"/>
    <s v="INSPECTOR DE OBRA 1"/>
    <n v="4240842.9000000004"/>
    <x v="0"/>
    <s v="ECONÓMICA"/>
    <m/>
    <m/>
  </r>
  <r>
    <x v="36"/>
    <x v="4"/>
    <x v="0"/>
    <x v="0"/>
    <s v="INSPECTOR DE OBRA 1"/>
    <n v="4240842.9000000004"/>
    <x v="0"/>
    <s v="ECONÓMICA"/>
    <m/>
    <m/>
  </r>
  <r>
    <x v="36"/>
    <x v="0"/>
    <x v="0"/>
    <x v="0"/>
    <s v="INSPECTOR ESTRUCTURA"/>
    <n v="3348034.2"/>
    <x v="0"/>
    <s v="ECONÓMICA"/>
    <m/>
    <m/>
  </r>
  <r>
    <x v="36"/>
    <x v="1"/>
    <x v="0"/>
    <x v="0"/>
    <s v="INSPECTOR ESTRUCTURA"/>
    <n v="3348034.2"/>
    <x v="0"/>
    <s v="ECONÓMICA"/>
    <m/>
    <m/>
  </r>
  <r>
    <x v="36"/>
    <x v="2"/>
    <x v="0"/>
    <x v="0"/>
    <s v="INSPECTOR ESTRUCTURA"/>
    <n v="3348034.2"/>
    <x v="0"/>
    <s v="ECONÓMICA"/>
    <m/>
    <m/>
  </r>
  <r>
    <x v="36"/>
    <x v="3"/>
    <x v="0"/>
    <x v="0"/>
    <s v="INSPECTOR ESTRUCTURA"/>
    <n v="3348034.2"/>
    <x v="0"/>
    <s v="ECONÓMICA"/>
    <m/>
    <m/>
  </r>
  <r>
    <x v="36"/>
    <x v="4"/>
    <x v="0"/>
    <x v="0"/>
    <s v="INSPECTOR ESTRUCTURA"/>
    <n v="3348034.2"/>
    <x v="0"/>
    <s v="ECONÓMICA"/>
    <m/>
    <m/>
  </r>
  <r>
    <x v="36"/>
    <x v="0"/>
    <x v="0"/>
    <x v="0"/>
    <s v="INSPECTOR ACABADOS 1"/>
    <n v="3348034.2"/>
    <x v="0"/>
    <s v="ECONÓMICA"/>
    <m/>
    <m/>
  </r>
  <r>
    <x v="36"/>
    <x v="1"/>
    <x v="0"/>
    <x v="0"/>
    <s v="INSPECTOR ACABADOS 1"/>
    <n v="3348034.2"/>
    <x v="0"/>
    <s v="ECONÓMICA"/>
    <m/>
    <m/>
  </r>
  <r>
    <x v="36"/>
    <x v="2"/>
    <x v="0"/>
    <x v="0"/>
    <s v="INSPECTOR ACABADOS 1"/>
    <n v="3348034.2"/>
    <x v="0"/>
    <s v="ECONÓMICA"/>
    <m/>
    <m/>
  </r>
  <r>
    <x v="36"/>
    <x v="3"/>
    <x v="0"/>
    <x v="0"/>
    <s v="INSPECTOR ACABADOS 1"/>
    <n v="3348034.2"/>
    <x v="0"/>
    <s v="ECONÓMICA"/>
    <m/>
    <m/>
  </r>
  <r>
    <x v="36"/>
    <x v="4"/>
    <x v="0"/>
    <x v="0"/>
    <s v="INSPECTOR ACABADOS 1"/>
    <n v="3348034.2"/>
    <x v="0"/>
    <s v="ECONÓMICA"/>
    <m/>
    <m/>
  </r>
  <r>
    <x v="36"/>
    <x v="0"/>
    <x v="0"/>
    <x v="0"/>
    <s v="INSPECTOR ACABADOS 2"/>
    <n v="3348034.2"/>
    <x v="0"/>
    <s v="ECONÓMICA"/>
    <m/>
    <m/>
  </r>
  <r>
    <x v="36"/>
    <x v="1"/>
    <x v="0"/>
    <x v="0"/>
    <s v="INSPECTOR ACABADOS 2"/>
    <n v="3348034.2"/>
    <x v="0"/>
    <s v="ECONÓMICA"/>
    <m/>
    <m/>
  </r>
  <r>
    <x v="36"/>
    <x v="2"/>
    <x v="0"/>
    <x v="0"/>
    <s v="INSPECTOR ACABADOS 2"/>
    <n v="3348034.2"/>
    <x v="0"/>
    <s v="ECONÓMICA"/>
    <m/>
    <m/>
  </r>
  <r>
    <x v="36"/>
    <x v="3"/>
    <x v="0"/>
    <x v="0"/>
    <s v="INSPECTOR ACABADOS 2"/>
    <n v="3348034.2"/>
    <x v="0"/>
    <s v="ECONÓMICA"/>
    <m/>
    <m/>
  </r>
  <r>
    <x v="36"/>
    <x v="4"/>
    <x v="0"/>
    <x v="0"/>
    <s v="INSPECTOR ACABADOS 2"/>
    <n v="3348034.2"/>
    <x v="0"/>
    <s v="ECONÓMICA"/>
    <m/>
    <m/>
  </r>
  <r>
    <x v="36"/>
    <x v="0"/>
    <x v="0"/>
    <x v="0"/>
    <s v="INSPECTOR DE INSTALACIONES"/>
    <n v="3348034.2"/>
    <x v="0"/>
    <s v="ECONÓMICA"/>
    <m/>
    <m/>
  </r>
  <r>
    <x v="36"/>
    <x v="1"/>
    <x v="0"/>
    <x v="0"/>
    <s v="INSPECTOR DE INSTALACIONES"/>
    <n v="3348034.2"/>
    <x v="0"/>
    <s v="ECONÓMICA"/>
    <m/>
    <m/>
  </r>
  <r>
    <x v="36"/>
    <x v="2"/>
    <x v="0"/>
    <x v="0"/>
    <s v="INSPECTOR DE INSTALACIONES"/>
    <n v="3348034.2"/>
    <x v="0"/>
    <s v="ECONÓMICA"/>
    <m/>
    <m/>
  </r>
  <r>
    <x v="36"/>
    <x v="3"/>
    <x v="0"/>
    <x v="0"/>
    <s v="INSPECTOR DE INSTALACIONES"/>
    <n v="3348034.2"/>
    <x v="0"/>
    <s v="ECONÓMICA"/>
    <m/>
    <m/>
  </r>
  <r>
    <x v="36"/>
    <x v="4"/>
    <x v="0"/>
    <x v="0"/>
    <s v="INSPECTOR DE INSTALACIONES"/>
    <n v="3348034.2"/>
    <x v="0"/>
    <s v="ECONÓMICA"/>
    <m/>
    <m/>
  </r>
  <r>
    <x v="36"/>
    <x v="0"/>
    <x v="0"/>
    <x v="0"/>
    <s v="INSPECTOR DE INSTALACIONES 1"/>
    <n v="3348034.2"/>
    <x v="0"/>
    <s v="ECONÓMICA"/>
    <m/>
    <m/>
  </r>
  <r>
    <x v="36"/>
    <x v="1"/>
    <x v="0"/>
    <x v="0"/>
    <s v="INSPECTOR DE INSTALACIONES 1"/>
    <n v="3348034.2"/>
    <x v="0"/>
    <s v="ECONÓMICA"/>
    <m/>
    <m/>
  </r>
  <r>
    <x v="36"/>
    <x v="2"/>
    <x v="0"/>
    <x v="0"/>
    <s v="INSPECTOR DE INSTALACIONES 1"/>
    <n v="3348034.2"/>
    <x v="0"/>
    <s v="ECONÓMICA"/>
    <m/>
    <m/>
  </r>
  <r>
    <x v="36"/>
    <x v="3"/>
    <x v="0"/>
    <x v="0"/>
    <s v="INSPECTOR DE INSTALACIONES 1"/>
    <n v="3348034.2"/>
    <x v="0"/>
    <s v="ECONÓMICA"/>
    <m/>
    <m/>
  </r>
  <r>
    <x v="36"/>
    <x v="4"/>
    <x v="0"/>
    <x v="0"/>
    <s v="INSPECTOR DE INSTALACIONES 1"/>
    <n v="3348034.2"/>
    <x v="0"/>
    <s v="ECONÓMICA"/>
    <m/>
    <m/>
  </r>
  <r>
    <x v="36"/>
    <x v="0"/>
    <x v="0"/>
    <x v="0"/>
    <s v="INSPECTOR DE INSTALACIONES 2"/>
    <n v="3348034.2"/>
    <x v="0"/>
    <s v="ECONÓMICA"/>
    <m/>
    <m/>
  </r>
  <r>
    <x v="36"/>
    <x v="1"/>
    <x v="0"/>
    <x v="0"/>
    <s v="INSPECTOR DE INSTALACIONES 2"/>
    <n v="3348034.2"/>
    <x v="0"/>
    <s v="ECONÓMICA"/>
    <m/>
    <m/>
  </r>
  <r>
    <x v="36"/>
    <x v="2"/>
    <x v="0"/>
    <x v="0"/>
    <s v="INSPECTOR DE INSTALACIONES 2"/>
    <n v="3348034.2"/>
    <x v="0"/>
    <s v="ECONÓMICA"/>
    <m/>
    <m/>
  </r>
  <r>
    <x v="36"/>
    <x v="3"/>
    <x v="0"/>
    <x v="0"/>
    <s v="INSPECTOR DE INSTALACIONES 2"/>
    <n v="3348034.2"/>
    <x v="0"/>
    <s v="ECONÓMICA"/>
    <m/>
    <m/>
  </r>
  <r>
    <x v="36"/>
    <x v="4"/>
    <x v="0"/>
    <x v="0"/>
    <s v="INSPECTOR DE INSTALACIONES 2"/>
    <n v="3348034.2"/>
    <x v="0"/>
    <s v="ECONÓMICA"/>
    <m/>
    <m/>
  </r>
  <r>
    <x v="36"/>
    <x v="0"/>
    <x v="0"/>
    <x v="0"/>
    <s v="DIRECTOR DE INTERVENTORIA"/>
    <n v="1989931.6500000001"/>
    <x v="0"/>
    <s v="ECONÓMICA"/>
    <m/>
    <m/>
  </r>
  <r>
    <x v="36"/>
    <x v="1"/>
    <x v="0"/>
    <x v="0"/>
    <s v="DIRECTOR DE INTERVENTORIA"/>
    <n v="1989931.6500000001"/>
    <x v="0"/>
    <s v="ECONÓMICA"/>
    <m/>
    <m/>
  </r>
  <r>
    <x v="36"/>
    <x v="2"/>
    <x v="0"/>
    <x v="0"/>
    <s v="DIRECTOR DE INTERVENTORIA"/>
    <n v="1989931.6500000001"/>
    <x v="0"/>
    <s v="ECONÓMICA"/>
    <m/>
    <m/>
  </r>
  <r>
    <x v="36"/>
    <x v="3"/>
    <x v="0"/>
    <x v="0"/>
    <s v="DIRECTOR DE INTERVENTORIA"/>
    <n v="1989931.6500000001"/>
    <x v="0"/>
    <s v="ECONÓMICA"/>
    <m/>
    <m/>
  </r>
  <r>
    <x v="36"/>
    <x v="4"/>
    <x v="0"/>
    <x v="0"/>
    <s v="DIRECTOR DE INTERVENTORIA"/>
    <n v="1989931.6500000001"/>
    <x v="0"/>
    <s v="ECONÓMICA"/>
    <m/>
    <m/>
  </r>
  <r>
    <x v="36"/>
    <x v="0"/>
    <x v="0"/>
    <x v="0"/>
    <s v="PROFESIONAL DE CONTRATACIONES"/>
    <n v="6819217.6500000004"/>
    <x v="0"/>
    <s v="ECONÓMICA"/>
    <m/>
    <m/>
  </r>
  <r>
    <x v="36"/>
    <x v="1"/>
    <x v="0"/>
    <x v="0"/>
    <s v="PROFESIONAL DE CONTRATACIONES"/>
    <n v="6819217.6500000004"/>
    <x v="0"/>
    <s v="ECONÓMICA"/>
    <m/>
    <m/>
  </r>
  <r>
    <x v="36"/>
    <x v="2"/>
    <x v="0"/>
    <x v="0"/>
    <s v="PROFESIONAL DE CONTRATACIONES"/>
    <n v="6819217.6500000004"/>
    <x v="0"/>
    <s v="ECONÓMICA"/>
    <m/>
    <m/>
  </r>
  <r>
    <x v="36"/>
    <x v="3"/>
    <x v="0"/>
    <x v="0"/>
    <s v="PROFESIONAL DE CONTRATACIONES"/>
    <n v="6819217.6500000004"/>
    <x v="0"/>
    <s v="ECONÓMICA"/>
    <m/>
    <m/>
  </r>
  <r>
    <x v="36"/>
    <x v="4"/>
    <x v="0"/>
    <x v="0"/>
    <s v="PROFESIONAL DE CONTRATACIONES"/>
    <n v="6819217.6500000004"/>
    <x v="0"/>
    <s v="ECONÓMICA"/>
    <m/>
    <m/>
  </r>
  <r>
    <x v="36"/>
    <x v="0"/>
    <x v="0"/>
    <x v="0"/>
    <s v="RESIDENTE TECNICO"/>
    <n v="9827696.5500000007"/>
    <x v="0"/>
    <s v="ECONÓMICA"/>
    <m/>
    <m/>
  </r>
  <r>
    <x v="36"/>
    <x v="1"/>
    <x v="0"/>
    <x v="0"/>
    <s v="RESIDENTE TECNICO"/>
    <n v="9827696.5500000007"/>
    <x v="0"/>
    <s v="ECONÓMICA"/>
    <m/>
    <m/>
  </r>
  <r>
    <x v="36"/>
    <x v="2"/>
    <x v="0"/>
    <x v="0"/>
    <s v="RESIDENTE TECNICO"/>
    <n v="9827696.5500000007"/>
    <x v="0"/>
    <s v="ECONÓMICA"/>
    <m/>
    <m/>
  </r>
  <r>
    <x v="36"/>
    <x v="3"/>
    <x v="0"/>
    <x v="0"/>
    <s v="RESIDENTE TECNICO"/>
    <n v="9827696.5500000007"/>
    <x v="0"/>
    <s v="ECONÓMICA"/>
    <m/>
    <m/>
  </r>
  <r>
    <x v="36"/>
    <x v="4"/>
    <x v="0"/>
    <x v="0"/>
    <s v="RESIDENTE TECNICO"/>
    <n v="9827696.5500000007"/>
    <x v="0"/>
    <s v="ECONÓMICA"/>
    <m/>
    <m/>
  </r>
  <r>
    <x v="36"/>
    <x v="0"/>
    <x v="0"/>
    <x v="0"/>
    <s v="RESIDENTE COORDINACION DE INSTALACIONES"/>
    <n v="9827696.5500000007"/>
    <x v="0"/>
    <s v="ECONÓMICA"/>
    <m/>
    <m/>
  </r>
  <r>
    <x v="36"/>
    <x v="1"/>
    <x v="0"/>
    <x v="0"/>
    <s v="RESIDENTE COORDINACION DE INSTALACIONES"/>
    <n v="9827696.5500000007"/>
    <x v="0"/>
    <s v="ECONÓMICA"/>
    <m/>
    <m/>
  </r>
  <r>
    <x v="36"/>
    <x v="2"/>
    <x v="0"/>
    <x v="0"/>
    <s v="RESIDENTE COORDINACION DE INSTALACIONES"/>
    <n v="9827696.5500000007"/>
    <x v="0"/>
    <s v="ECONÓMICA"/>
    <m/>
    <m/>
  </r>
  <r>
    <x v="36"/>
    <x v="3"/>
    <x v="0"/>
    <x v="0"/>
    <s v="RESIDENTE COORDINACION DE INSTALACIONES"/>
    <n v="9827696.5500000007"/>
    <x v="0"/>
    <s v="ECONÓMICA"/>
    <m/>
    <m/>
  </r>
  <r>
    <x v="36"/>
    <x v="4"/>
    <x v="0"/>
    <x v="0"/>
    <s v="RESIDENTE COORDINACION DE INSTALACIONES"/>
    <n v="9827696.5500000007"/>
    <x v="0"/>
    <s v="ECONÓMICA"/>
    <m/>
    <m/>
  </r>
  <r>
    <x v="36"/>
    <x v="0"/>
    <x v="0"/>
    <x v="0"/>
    <s v="RESIDENTE COORDINACION DE INSTALACIONES"/>
    <n v="9827696.5500000007"/>
    <x v="0"/>
    <s v="ECONÓMICA"/>
    <m/>
    <m/>
  </r>
  <r>
    <x v="36"/>
    <x v="1"/>
    <x v="0"/>
    <x v="0"/>
    <s v="RESIDENTE COORDINACION DE INSTALACIONES"/>
    <n v="9827696.5500000007"/>
    <x v="0"/>
    <s v="ECONÓMICA"/>
    <m/>
    <m/>
  </r>
  <r>
    <x v="36"/>
    <x v="2"/>
    <x v="0"/>
    <x v="0"/>
    <s v="RESIDENTE COORDINACION DE INSTALACIONES"/>
    <n v="9827696.5500000007"/>
    <x v="0"/>
    <s v="ECONÓMICA"/>
    <m/>
    <m/>
  </r>
  <r>
    <x v="36"/>
    <x v="3"/>
    <x v="0"/>
    <x v="0"/>
    <s v="RESIDENTE COORDINACION DE INSTALACIONES"/>
    <n v="9827696.5500000007"/>
    <x v="0"/>
    <s v="ECONÓMICA"/>
    <m/>
    <m/>
  </r>
  <r>
    <x v="36"/>
    <x v="4"/>
    <x v="0"/>
    <x v="0"/>
    <s v="RESIDENTE COORDINACION DE INSTALACIONES"/>
    <n v="9827696.5500000007"/>
    <x v="0"/>
    <s v="ECONÓMICA"/>
    <m/>
    <m/>
  </r>
  <r>
    <x v="36"/>
    <x v="0"/>
    <x v="0"/>
    <x v="0"/>
    <s v="RESIDENTE COORDINACION OBRA NEGRA"/>
    <n v="7822044.3000000007"/>
    <x v="0"/>
    <s v="ECONÓMICA"/>
    <m/>
    <m/>
  </r>
  <r>
    <x v="36"/>
    <x v="1"/>
    <x v="0"/>
    <x v="0"/>
    <s v="RESIDENTE COORDINACION OBRA NEGRA"/>
    <n v="7822044.3000000007"/>
    <x v="0"/>
    <s v="ECONÓMICA"/>
    <m/>
    <m/>
  </r>
  <r>
    <x v="36"/>
    <x v="2"/>
    <x v="0"/>
    <x v="0"/>
    <s v="RESIDENTE COORDINACION OBRA NEGRA"/>
    <n v="7822044.3000000007"/>
    <x v="0"/>
    <s v="ECONÓMICA"/>
    <m/>
    <m/>
  </r>
  <r>
    <x v="36"/>
    <x v="3"/>
    <x v="0"/>
    <x v="0"/>
    <s v="RESIDENTE COORDINACION OBRA NEGRA"/>
    <n v="7822044.3000000007"/>
    <x v="0"/>
    <s v="ECONÓMICA"/>
    <m/>
    <m/>
  </r>
  <r>
    <x v="36"/>
    <x v="4"/>
    <x v="0"/>
    <x v="0"/>
    <s v="RESIDENTE COORDINACION OBRA NEGRA"/>
    <n v="7822044.3000000007"/>
    <x v="0"/>
    <s v="ECONÓMICA"/>
    <m/>
    <m/>
  </r>
  <r>
    <x v="37"/>
    <x v="2"/>
    <x v="0"/>
    <x v="0"/>
    <s v="COORDINADOR"/>
    <n v="3184375.68"/>
    <x v="0"/>
    <s v="CONTRACTUAL"/>
    <m/>
    <m/>
  </r>
  <r>
    <x v="37"/>
    <x v="3"/>
    <x v="0"/>
    <x v="0"/>
    <s v="COORDINADOR"/>
    <n v="3184375.68"/>
    <x v="0"/>
    <s v="CONTRACTUAL"/>
    <m/>
    <m/>
  </r>
  <r>
    <x v="37"/>
    <x v="4"/>
    <x v="0"/>
    <x v="0"/>
    <s v="COORDINADOR"/>
    <n v="3184375.68"/>
    <x v="0"/>
    <s v="CONTRACTUAL"/>
    <m/>
    <m/>
  </r>
  <r>
    <x v="37"/>
    <x v="5"/>
    <x v="0"/>
    <x v="0"/>
    <s v="COORDINADOR"/>
    <n v="3184375.68"/>
    <x v="0"/>
    <s v="CONTRACTUAL"/>
    <m/>
    <m/>
  </r>
  <r>
    <x v="37"/>
    <x v="6"/>
    <x v="0"/>
    <x v="0"/>
    <s v="COORDINADOR"/>
    <n v="3184375.68"/>
    <x v="0"/>
    <s v="CONTRACTUAL"/>
    <m/>
    <m/>
  </r>
  <r>
    <x v="37"/>
    <x v="7"/>
    <x v="0"/>
    <x v="0"/>
    <s v="COORDINADOR"/>
    <n v="4776563.5200000005"/>
    <x v="0"/>
    <s v="CONTRACTUAL"/>
    <m/>
    <m/>
  </r>
  <r>
    <x v="37"/>
    <x v="8"/>
    <x v="0"/>
    <x v="0"/>
    <s v="COORDINADOR"/>
    <n v="4776563.5200000005"/>
    <x v="0"/>
    <s v="CONTRACTUAL"/>
    <m/>
    <m/>
  </r>
  <r>
    <x v="37"/>
    <x v="9"/>
    <x v="0"/>
    <x v="0"/>
    <s v="COORDINADOR"/>
    <n v="4776563.5200000005"/>
    <x v="0"/>
    <s v="CONTRACTUAL"/>
    <m/>
    <m/>
  </r>
  <r>
    <x v="37"/>
    <x v="10"/>
    <x v="0"/>
    <x v="0"/>
    <s v="COORDINADOR"/>
    <n v="4776563.5200000005"/>
    <x v="0"/>
    <s v="CONTRACTUAL"/>
    <m/>
    <m/>
  </r>
  <r>
    <x v="37"/>
    <x v="11"/>
    <x v="0"/>
    <x v="0"/>
    <s v="COORDINADOR"/>
    <n v="4776563.5200000005"/>
    <x v="0"/>
    <s v="CONTRACTUAL"/>
    <m/>
    <m/>
  </r>
  <r>
    <x v="37"/>
    <x v="12"/>
    <x v="0"/>
    <x v="0"/>
    <s v="COORDINADOR"/>
    <n v="4776563.5200000005"/>
    <x v="0"/>
    <s v="CONTRACTUAL"/>
    <m/>
    <m/>
  </r>
  <r>
    <x v="37"/>
    <x v="13"/>
    <x v="0"/>
    <x v="0"/>
    <s v="COORDINADOR"/>
    <n v="4776563.5200000005"/>
    <x v="0"/>
    <s v="CONTRACTUAL"/>
    <m/>
    <m/>
  </r>
  <r>
    <x v="37"/>
    <x v="14"/>
    <x v="0"/>
    <x v="0"/>
    <s v="COORDINADOR"/>
    <n v="4776563.5200000005"/>
    <x v="0"/>
    <s v="CONTRACTUAL"/>
    <m/>
    <m/>
  </r>
  <r>
    <x v="37"/>
    <x v="15"/>
    <x v="0"/>
    <x v="0"/>
    <s v="COORDINADOR"/>
    <n v="4776563.5200000005"/>
    <x v="0"/>
    <s v="CONTRACTUAL"/>
    <m/>
    <m/>
  </r>
  <r>
    <x v="37"/>
    <x v="16"/>
    <x v="0"/>
    <x v="0"/>
    <s v="COORDINADOR"/>
    <n v="4776563.5200000005"/>
    <x v="0"/>
    <s v="CONTRACTUAL"/>
    <m/>
    <m/>
  </r>
  <r>
    <x v="37"/>
    <x v="17"/>
    <x v="0"/>
    <x v="0"/>
    <s v="COORDINADOR"/>
    <n v="4776563.5200000005"/>
    <x v="0"/>
    <s v="CONTRACTUAL"/>
    <m/>
    <m/>
  </r>
  <r>
    <x v="37"/>
    <x v="18"/>
    <x v="0"/>
    <x v="0"/>
    <s v="COORDINADOR"/>
    <n v="4776563.5200000005"/>
    <x v="0"/>
    <s v="CONTRACTUAL"/>
    <m/>
    <m/>
  </r>
  <r>
    <x v="37"/>
    <x v="19"/>
    <x v="0"/>
    <x v="0"/>
    <s v="COORDINADOR"/>
    <n v="4776563.5200000005"/>
    <x v="0"/>
    <s v="CONTRACTUAL"/>
    <m/>
    <m/>
  </r>
  <r>
    <x v="37"/>
    <x v="20"/>
    <x v="0"/>
    <x v="0"/>
    <s v="COORDINADOR"/>
    <n v="4776563.5200000005"/>
    <x v="0"/>
    <s v="CONTRACTUAL"/>
    <m/>
    <m/>
  </r>
  <r>
    <x v="37"/>
    <x v="21"/>
    <x v="0"/>
    <x v="0"/>
    <s v="COORDINADOR"/>
    <n v="4776563.5200000005"/>
    <x v="0"/>
    <s v="CONTRACTUAL"/>
    <m/>
    <m/>
  </r>
  <r>
    <x v="37"/>
    <x v="22"/>
    <x v="0"/>
    <x v="0"/>
    <s v="COORDINADOR"/>
    <n v="4776563.5200000005"/>
    <x v="0"/>
    <s v="CONTRACTUAL"/>
    <m/>
    <m/>
  </r>
  <r>
    <x v="37"/>
    <x v="23"/>
    <x v="0"/>
    <x v="0"/>
    <s v="COORDINADOR"/>
    <n v="4776563.5200000005"/>
    <x v="0"/>
    <s v="CONTRACTUAL"/>
    <m/>
    <m/>
  </r>
  <r>
    <x v="37"/>
    <x v="24"/>
    <x v="0"/>
    <x v="0"/>
    <s v="COORDINADOR"/>
    <n v="4776563.5200000005"/>
    <x v="0"/>
    <s v="CONTRACTUAL"/>
    <m/>
    <m/>
  </r>
  <r>
    <x v="37"/>
    <x v="25"/>
    <x v="0"/>
    <x v="0"/>
    <s v="COORDINADOR"/>
    <n v="4776563.5200000005"/>
    <x v="0"/>
    <s v="CONTRACTUAL"/>
    <m/>
    <m/>
  </r>
  <r>
    <x v="37"/>
    <x v="26"/>
    <x v="0"/>
    <x v="0"/>
    <s v="COORDINADOR"/>
    <n v="4776563.5200000005"/>
    <x v="0"/>
    <s v="CONTRACTUAL"/>
    <m/>
    <m/>
  </r>
  <r>
    <x v="37"/>
    <x v="2"/>
    <x v="0"/>
    <x v="0"/>
    <s v="DIRECTOR"/>
    <n v="6862500"/>
    <x v="0"/>
    <s v="CONTRACTUAL"/>
    <m/>
    <m/>
  </r>
  <r>
    <x v="37"/>
    <x v="3"/>
    <x v="0"/>
    <x v="0"/>
    <s v="DIRECTOR"/>
    <n v="6862500"/>
    <x v="0"/>
    <s v="CONTRACTUAL"/>
    <m/>
    <m/>
  </r>
  <r>
    <x v="37"/>
    <x v="4"/>
    <x v="0"/>
    <x v="0"/>
    <s v="DIRECTOR"/>
    <n v="6862500"/>
    <x v="0"/>
    <s v="CONTRACTUAL"/>
    <m/>
    <m/>
  </r>
  <r>
    <x v="37"/>
    <x v="5"/>
    <x v="0"/>
    <x v="0"/>
    <s v="DIRECTOR"/>
    <n v="6862500"/>
    <x v="0"/>
    <s v="CONTRACTUAL"/>
    <m/>
    <m/>
  </r>
  <r>
    <x v="37"/>
    <x v="6"/>
    <x v="0"/>
    <x v="0"/>
    <s v="DIRECTOR"/>
    <n v="6862500"/>
    <x v="0"/>
    <s v="CONTRACTUAL"/>
    <m/>
    <m/>
  </r>
  <r>
    <x v="37"/>
    <x v="7"/>
    <x v="0"/>
    <x v="0"/>
    <s v="DIRECTOR"/>
    <n v="9150000"/>
    <x v="0"/>
    <s v="CONTRACTUAL"/>
    <m/>
    <m/>
  </r>
  <r>
    <x v="37"/>
    <x v="8"/>
    <x v="0"/>
    <x v="0"/>
    <s v="DIRECTOR"/>
    <n v="9150000"/>
    <x v="0"/>
    <s v="CONTRACTUAL"/>
    <m/>
    <m/>
  </r>
  <r>
    <x v="37"/>
    <x v="9"/>
    <x v="0"/>
    <x v="0"/>
    <s v="DIRECTOR"/>
    <n v="9150000"/>
    <x v="0"/>
    <s v="CONTRACTUAL"/>
    <m/>
    <m/>
  </r>
  <r>
    <x v="37"/>
    <x v="10"/>
    <x v="0"/>
    <x v="0"/>
    <s v="DIRECTOR"/>
    <n v="9150000"/>
    <x v="0"/>
    <s v="CONTRACTUAL"/>
    <m/>
    <m/>
  </r>
  <r>
    <x v="37"/>
    <x v="11"/>
    <x v="0"/>
    <x v="0"/>
    <s v="DIRECTOR"/>
    <n v="9150000"/>
    <x v="0"/>
    <s v="CONTRACTUAL"/>
    <m/>
    <m/>
  </r>
  <r>
    <x v="37"/>
    <x v="12"/>
    <x v="0"/>
    <x v="0"/>
    <s v="DIRECTOR"/>
    <n v="9150000"/>
    <x v="0"/>
    <s v="CONTRACTUAL"/>
    <m/>
    <m/>
  </r>
  <r>
    <x v="37"/>
    <x v="13"/>
    <x v="0"/>
    <x v="0"/>
    <s v="DIRECTOR"/>
    <n v="9150000"/>
    <x v="0"/>
    <s v="CONTRACTUAL"/>
    <m/>
    <m/>
  </r>
  <r>
    <x v="37"/>
    <x v="14"/>
    <x v="0"/>
    <x v="0"/>
    <s v="DIRECTOR"/>
    <n v="9150000"/>
    <x v="0"/>
    <s v="CONTRACTUAL"/>
    <m/>
    <m/>
  </r>
  <r>
    <x v="37"/>
    <x v="15"/>
    <x v="0"/>
    <x v="0"/>
    <s v="DIRECTOR"/>
    <n v="9150000"/>
    <x v="0"/>
    <s v="CONTRACTUAL"/>
    <m/>
    <m/>
  </r>
  <r>
    <x v="37"/>
    <x v="16"/>
    <x v="0"/>
    <x v="0"/>
    <s v="DIRECTOR"/>
    <n v="9150000"/>
    <x v="0"/>
    <s v="CONTRACTUAL"/>
    <m/>
    <m/>
  </r>
  <r>
    <x v="37"/>
    <x v="17"/>
    <x v="0"/>
    <x v="0"/>
    <s v="DIRECTOR"/>
    <n v="9150000"/>
    <x v="0"/>
    <s v="CONTRACTUAL"/>
    <m/>
    <m/>
  </r>
  <r>
    <x v="37"/>
    <x v="18"/>
    <x v="0"/>
    <x v="0"/>
    <s v="DIRECTOR"/>
    <n v="9150000"/>
    <x v="0"/>
    <s v="CONTRACTUAL"/>
    <m/>
    <m/>
  </r>
  <r>
    <x v="37"/>
    <x v="19"/>
    <x v="0"/>
    <x v="0"/>
    <s v="DIRECTOR"/>
    <n v="9150000"/>
    <x v="0"/>
    <s v="CONTRACTUAL"/>
    <m/>
    <m/>
  </r>
  <r>
    <x v="37"/>
    <x v="20"/>
    <x v="0"/>
    <x v="0"/>
    <s v="DIRECTOR"/>
    <n v="9150000"/>
    <x v="0"/>
    <s v="CONTRACTUAL"/>
    <m/>
    <m/>
  </r>
  <r>
    <x v="37"/>
    <x v="21"/>
    <x v="0"/>
    <x v="0"/>
    <s v="DIRECTOR"/>
    <n v="9150000"/>
    <x v="0"/>
    <s v="CONTRACTUAL"/>
    <m/>
    <m/>
  </r>
  <r>
    <x v="37"/>
    <x v="22"/>
    <x v="0"/>
    <x v="0"/>
    <s v="DIRECTOR"/>
    <n v="9150000"/>
    <x v="0"/>
    <s v="CONTRACTUAL"/>
    <m/>
    <m/>
  </r>
  <r>
    <x v="37"/>
    <x v="23"/>
    <x v="0"/>
    <x v="0"/>
    <s v="DIRECTOR"/>
    <n v="9150000"/>
    <x v="0"/>
    <s v="CONTRACTUAL"/>
    <m/>
    <m/>
  </r>
  <r>
    <x v="37"/>
    <x v="24"/>
    <x v="0"/>
    <x v="0"/>
    <s v="DIRECTOR"/>
    <n v="9150000"/>
    <x v="0"/>
    <s v="CONTRACTUAL"/>
    <m/>
    <m/>
  </r>
  <r>
    <x v="37"/>
    <x v="25"/>
    <x v="0"/>
    <x v="0"/>
    <s v="DIRECTOR"/>
    <n v="9150000"/>
    <x v="0"/>
    <s v="CONTRACTUAL"/>
    <m/>
    <m/>
  </r>
  <r>
    <x v="37"/>
    <x v="26"/>
    <x v="0"/>
    <x v="0"/>
    <s v="DIRECTOR"/>
    <n v="9150000"/>
    <x v="0"/>
    <s v="CONTRACTUAL"/>
    <m/>
    <m/>
  </r>
  <r>
    <x v="37"/>
    <x v="2"/>
    <x v="0"/>
    <x v="0"/>
    <s v="PROFESIONAL DE COORDINACION"/>
    <n v="6000000"/>
    <x v="0"/>
    <s v="CONTRACTUAL"/>
    <m/>
    <m/>
  </r>
  <r>
    <x v="37"/>
    <x v="3"/>
    <x v="0"/>
    <x v="0"/>
    <s v="PROFESIONAL DE COORDINACION"/>
    <n v="6000000"/>
    <x v="0"/>
    <s v="CONTRACTUAL"/>
    <m/>
    <m/>
  </r>
  <r>
    <x v="37"/>
    <x v="4"/>
    <x v="0"/>
    <x v="0"/>
    <s v="PROFESIONAL DE COORDINACION"/>
    <n v="6000000"/>
    <x v="0"/>
    <s v="CONTRACTUAL"/>
    <m/>
    <m/>
  </r>
  <r>
    <x v="37"/>
    <x v="5"/>
    <x v="0"/>
    <x v="0"/>
    <s v="PROFESIONAL DE COORDINACION"/>
    <n v="6000000"/>
    <x v="0"/>
    <s v="CONTRACTUAL"/>
    <m/>
    <m/>
  </r>
  <r>
    <x v="37"/>
    <x v="6"/>
    <x v="0"/>
    <x v="0"/>
    <s v="PROFESIONAL DE COORDINACION"/>
    <n v="6000000"/>
    <x v="0"/>
    <s v="CONTRACTUAL"/>
    <m/>
    <m/>
  </r>
  <r>
    <x v="37"/>
    <x v="7"/>
    <x v="0"/>
    <x v="0"/>
    <s v="PROFESIONAL DE COORDINACION"/>
    <n v="6000000"/>
    <x v="0"/>
    <s v="CONTRACTUAL"/>
    <m/>
    <m/>
  </r>
  <r>
    <x v="37"/>
    <x v="8"/>
    <x v="0"/>
    <x v="0"/>
    <s v="PROFESIONAL DE COORDINACION"/>
    <n v="6000000"/>
    <x v="0"/>
    <s v="CONTRACTUAL"/>
    <m/>
    <m/>
  </r>
  <r>
    <x v="37"/>
    <x v="9"/>
    <x v="0"/>
    <x v="0"/>
    <s v="PROFESIONAL DE COORDINACION"/>
    <n v="6000000"/>
    <x v="0"/>
    <s v="CONTRACTUAL"/>
    <m/>
    <m/>
  </r>
  <r>
    <x v="37"/>
    <x v="10"/>
    <x v="0"/>
    <x v="0"/>
    <s v="PROFESIONAL DE COORDINACION"/>
    <n v="6000000"/>
    <x v="0"/>
    <s v="CONTRACTUAL"/>
    <m/>
    <m/>
  </r>
  <r>
    <x v="37"/>
    <x v="11"/>
    <x v="0"/>
    <x v="0"/>
    <s v="PROFESIONAL DE COORDINACION"/>
    <n v="6000000"/>
    <x v="0"/>
    <s v="CONTRACTUAL"/>
    <m/>
    <m/>
  </r>
  <r>
    <x v="37"/>
    <x v="12"/>
    <x v="0"/>
    <x v="0"/>
    <s v="PROFESIONAL DE COORDINACION"/>
    <n v="6000000"/>
    <x v="0"/>
    <s v="CONTRACTUAL"/>
    <m/>
    <m/>
  </r>
  <r>
    <x v="37"/>
    <x v="13"/>
    <x v="0"/>
    <x v="0"/>
    <s v="PROFESIONAL DE COORDINACION"/>
    <n v="6000000"/>
    <x v="0"/>
    <s v="CONTRACTUAL"/>
    <m/>
    <m/>
  </r>
  <r>
    <x v="37"/>
    <x v="14"/>
    <x v="0"/>
    <x v="0"/>
    <s v="PROFESIONAL DE COORDINACION"/>
    <n v="6000000"/>
    <x v="0"/>
    <s v="CONTRACTUAL"/>
    <m/>
    <m/>
  </r>
  <r>
    <x v="37"/>
    <x v="15"/>
    <x v="0"/>
    <x v="0"/>
    <s v="PROFESIONAL DE COORDINACION"/>
    <n v="6000000"/>
    <x v="0"/>
    <s v="CONTRACTUAL"/>
    <m/>
    <m/>
  </r>
  <r>
    <x v="37"/>
    <x v="2"/>
    <x v="0"/>
    <x v="0"/>
    <s v="RESIDENTE DE INSTALACIONES"/>
    <n v="6000000"/>
    <x v="0"/>
    <s v="CONTRACTUAL"/>
    <m/>
    <m/>
  </r>
  <r>
    <x v="37"/>
    <x v="3"/>
    <x v="0"/>
    <x v="0"/>
    <s v="RESIDENTE DE INSTALACIONES"/>
    <n v="6000000"/>
    <x v="0"/>
    <s v="CONTRACTUAL"/>
    <m/>
    <m/>
  </r>
  <r>
    <x v="37"/>
    <x v="4"/>
    <x v="0"/>
    <x v="0"/>
    <s v="RESIDENTE DE INSTALACIONES"/>
    <n v="6000000"/>
    <x v="0"/>
    <s v="CONTRACTUAL"/>
    <m/>
    <m/>
  </r>
  <r>
    <x v="37"/>
    <x v="5"/>
    <x v="0"/>
    <x v="0"/>
    <s v="RESIDENTE DE INSTALACIONES"/>
    <n v="6000000"/>
    <x v="0"/>
    <s v="CONTRACTUAL"/>
    <m/>
    <m/>
  </r>
  <r>
    <x v="37"/>
    <x v="6"/>
    <x v="0"/>
    <x v="0"/>
    <s v="RESIDENTE DE INSTALACIONES"/>
    <n v="6000000"/>
    <x v="0"/>
    <s v="CONTRACTUAL"/>
    <m/>
    <m/>
  </r>
  <r>
    <x v="37"/>
    <x v="7"/>
    <x v="0"/>
    <x v="0"/>
    <s v="RESIDENTE DE INSTALACIONES"/>
    <n v="6000000"/>
    <x v="0"/>
    <s v="CONTRACTUAL"/>
    <m/>
    <m/>
  </r>
  <r>
    <x v="37"/>
    <x v="8"/>
    <x v="0"/>
    <x v="0"/>
    <s v="RESIDENTE DE INSTALACIONES"/>
    <n v="6000000"/>
    <x v="0"/>
    <s v="CONTRACTUAL"/>
    <m/>
    <m/>
  </r>
  <r>
    <x v="37"/>
    <x v="9"/>
    <x v="0"/>
    <x v="0"/>
    <s v="RESIDENTE DE INSTALACIONES"/>
    <n v="6000000"/>
    <x v="0"/>
    <s v="CONTRACTUAL"/>
    <m/>
    <m/>
  </r>
  <r>
    <x v="37"/>
    <x v="10"/>
    <x v="0"/>
    <x v="0"/>
    <s v="RESIDENTE DE INSTALACIONES"/>
    <n v="6000000"/>
    <x v="0"/>
    <s v="CONTRACTUAL"/>
    <m/>
    <m/>
  </r>
  <r>
    <x v="37"/>
    <x v="11"/>
    <x v="0"/>
    <x v="0"/>
    <s v="RESIDENTE DE INSTALACIONES"/>
    <n v="6000000"/>
    <x v="0"/>
    <s v="CONTRACTUAL"/>
    <m/>
    <m/>
  </r>
  <r>
    <x v="37"/>
    <x v="12"/>
    <x v="0"/>
    <x v="0"/>
    <s v="RESIDENTE DE INSTALACIONES"/>
    <n v="6000000"/>
    <x v="0"/>
    <s v="CONTRACTUAL"/>
    <m/>
    <m/>
  </r>
  <r>
    <x v="37"/>
    <x v="13"/>
    <x v="0"/>
    <x v="0"/>
    <s v="RESIDENTE DE INSTALACIONES"/>
    <n v="6000000"/>
    <x v="0"/>
    <s v="CONTRACTUAL"/>
    <m/>
    <m/>
  </r>
  <r>
    <x v="37"/>
    <x v="2"/>
    <x v="0"/>
    <x v="0"/>
    <s v="RESIDENTE ADMINISTRATIVO"/>
    <n v="3058762.5"/>
    <x v="0"/>
    <s v="CONTRACTUAL"/>
    <m/>
    <m/>
  </r>
  <r>
    <x v="37"/>
    <x v="3"/>
    <x v="0"/>
    <x v="0"/>
    <s v="RESIDENTE ADMINISTRATIVO"/>
    <n v="3058762.5"/>
    <x v="0"/>
    <s v="CONTRACTUAL"/>
    <m/>
    <m/>
  </r>
  <r>
    <x v="37"/>
    <x v="4"/>
    <x v="0"/>
    <x v="0"/>
    <s v="RESIDENTE ADMINISTRATIVO"/>
    <n v="3058762.5"/>
    <x v="0"/>
    <s v="CONTRACTUAL"/>
    <m/>
    <m/>
  </r>
  <r>
    <x v="37"/>
    <x v="2"/>
    <x v="0"/>
    <x v="0"/>
    <s v="RESIDENTE ADMINISTRATIVO"/>
    <n v="4078350"/>
    <x v="0"/>
    <s v="CONTRACTUAL"/>
    <m/>
    <m/>
  </r>
  <r>
    <x v="37"/>
    <x v="3"/>
    <x v="0"/>
    <x v="0"/>
    <s v="RESIDENTE ADMINISTRATIVO"/>
    <n v="4078350"/>
    <x v="0"/>
    <s v="CONTRACTUAL"/>
    <m/>
    <m/>
  </r>
  <r>
    <x v="37"/>
    <x v="4"/>
    <x v="0"/>
    <x v="0"/>
    <s v="RESIDENTE ADMINISTRATIVO"/>
    <n v="4078350"/>
    <x v="0"/>
    <s v="CONTRACTUAL"/>
    <m/>
    <m/>
  </r>
  <r>
    <x v="37"/>
    <x v="5"/>
    <x v="0"/>
    <x v="0"/>
    <s v="RESIDENTE ADMINISTRATIVO"/>
    <n v="4078350"/>
    <x v="0"/>
    <s v="CONTRACTUAL"/>
    <m/>
    <m/>
  </r>
  <r>
    <x v="37"/>
    <x v="6"/>
    <x v="0"/>
    <x v="0"/>
    <s v="RESIDENTE ADMINISTRATIVO"/>
    <n v="4078350"/>
    <x v="0"/>
    <s v="CONTRACTUAL"/>
    <m/>
    <m/>
  </r>
  <r>
    <x v="37"/>
    <x v="7"/>
    <x v="0"/>
    <x v="0"/>
    <s v="RESIDENTE ADMINISTRATIVO"/>
    <n v="4078350"/>
    <x v="0"/>
    <s v="CONTRACTUAL"/>
    <m/>
    <m/>
  </r>
  <r>
    <x v="37"/>
    <x v="8"/>
    <x v="0"/>
    <x v="0"/>
    <s v="RESIDENTE ADMINISTRATIVO"/>
    <n v="4078350"/>
    <x v="0"/>
    <s v="CONTRACTUAL"/>
    <m/>
    <m/>
  </r>
  <r>
    <x v="37"/>
    <x v="9"/>
    <x v="0"/>
    <x v="0"/>
    <s v="RESIDENTE ADMINISTRATIVO"/>
    <n v="4078350"/>
    <x v="0"/>
    <s v="CONTRACTUAL"/>
    <m/>
    <m/>
  </r>
  <r>
    <x v="37"/>
    <x v="10"/>
    <x v="0"/>
    <x v="0"/>
    <s v="RESIDENTE ADMINISTRATIVO"/>
    <n v="4078350"/>
    <x v="0"/>
    <s v="CONTRACTUAL"/>
    <m/>
    <m/>
  </r>
  <r>
    <x v="37"/>
    <x v="11"/>
    <x v="0"/>
    <x v="0"/>
    <s v="RESIDENTE ADMINISTRATIVO"/>
    <n v="4078350"/>
    <x v="0"/>
    <s v="CONTRACTUAL"/>
    <m/>
    <m/>
  </r>
  <r>
    <x v="37"/>
    <x v="12"/>
    <x v="0"/>
    <x v="0"/>
    <s v="RESIDENTE ADMINISTRATIVO"/>
    <n v="4078350"/>
    <x v="0"/>
    <s v="CONTRACTUAL"/>
    <m/>
    <m/>
  </r>
  <r>
    <x v="37"/>
    <x v="13"/>
    <x v="0"/>
    <x v="0"/>
    <s v="RESIDENTE ADMINISTRATIVO"/>
    <n v="4078350"/>
    <x v="0"/>
    <s v="CONTRACTUAL"/>
    <m/>
    <m/>
  </r>
  <r>
    <x v="37"/>
    <x v="14"/>
    <x v="0"/>
    <x v="0"/>
    <s v="RESIDENTE ADMINISTRATIVO"/>
    <n v="4078350"/>
    <x v="0"/>
    <s v="CONTRACTUAL"/>
    <m/>
    <m/>
  </r>
  <r>
    <x v="37"/>
    <x v="15"/>
    <x v="0"/>
    <x v="0"/>
    <s v="RESIDENTE ADMINISTRATIVO"/>
    <n v="4078350"/>
    <x v="0"/>
    <s v="CONTRACTUAL"/>
    <m/>
    <m/>
  </r>
  <r>
    <x v="37"/>
    <x v="16"/>
    <x v="0"/>
    <x v="0"/>
    <s v="RESIDENTE ADMINISTRATIVO"/>
    <n v="4078350"/>
    <x v="0"/>
    <s v="CONTRACTUAL"/>
    <m/>
    <m/>
  </r>
  <r>
    <x v="37"/>
    <x v="17"/>
    <x v="0"/>
    <x v="0"/>
    <s v="RESIDENTE ADMINISTRATIVO"/>
    <n v="4078350"/>
    <x v="0"/>
    <s v="CONTRACTUAL"/>
    <m/>
    <m/>
  </r>
  <r>
    <x v="37"/>
    <x v="18"/>
    <x v="0"/>
    <x v="0"/>
    <s v="RESIDENTE ADMINISTRATIVO"/>
    <n v="4078350"/>
    <x v="0"/>
    <s v="CONTRACTUAL"/>
    <m/>
    <m/>
  </r>
  <r>
    <x v="37"/>
    <x v="19"/>
    <x v="0"/>
    <x v="0"/>
    <s v="RESIDENTE ADMINISTRATIVO"/>
    <n v="4078350"/>
    <x v="0"/>
    <s v="CONTRACTUAL"/>
    <m/>
    <m/>
  </r>
  <r>
    <x v="37"/>
    <x v="20"/>
    <x v="0"/>
    <x v="0"/>
    <s v="RESIDENTE ADMINISTRATIVO"/>
    <n v="4078350"/>
    <x v="0"/>
    <s v="CONTRACTUAL"/>
    <m/>
    <m/>
  </r>
  <r>
    <x v="37"/>
    <x v="21"/>
    <x v="0"/>
    <x v="0"/>
    <s v="RESIDENTE ADMINISTRATIVO"/>
    <n v="4078350"/>
    <x v="0"/>
    <s v="CONTRACTUAL"/>
    <m/>
    <m/>
  </r>
  <r>
    <x v="37"/>
    <x v="2"/>
    <x v="0"/>
    <x v="0"/>
    <s v="PROFESIONAL DE CONTRATACIONES"/>
    <n v="3923277"/>
    <x v="0"/>
    <s v="CONTRACTUAL"/>
    <m/>
    <m/>
  </r>
  <r>
    <x v="37"/>
    <x v="3"/>
    <x v="0"/>
    <x v="0"/>
    <s v="PROFESIONAL DE CONTRATACIONES"/>
    <n v="3923277"/>
    <x v="0"/>
    <s v="CONTRACTUAL"/>
    <m/>
    <m/>
  </r>
  <r>
    <x v="37"/>
    <x v="4"/>
    <x v="0"/>
    <x v="0"/>
    <s v="PROFESIONAL DE CONTRATACIONES"/>
    <n v="3923277"/>
    <x v="0"/>
    <s v="CONTRACTUAL"/>
    <m/>
    <m/>
  </r>
  <r>
    <x v="37"/>
    <x v="5"/>
    <x v="0"/>
    <x v="0"/>
    <s v="PROFESIONAL DE CONTRATACIONES"/>
    <n v="3923277"/>
    <x v="0"/>
    <s v="CONTRACTUAL"/>
    <m/>
    <m/>
  </r>
  <r>
    <x v="37"/>
    <x v="6"/>
    <x v="0"/>
    <x v="0"/>
    <s v="PROFESIONAL DE CONTRATACIONES"/>
    <n v="3923277"/>
    <x v="0"/>
    <s v="CONTRACTUAL"/>
    <m/>
    <m/>
  </r>
  <r>
    <x v="37"/>
    <x v="7"/>
    <x v="0"/>
    <x v="0"/>
    <s v="PROFESIONAL DE CONTRATACIONES"/>
    <n v="3923277"/>
    <x v="0"/>
    <s v="CONTRACTUAL"/>
    <m/>
    <m/>
  </r>
  <r>
    <x v="37"/>
    <x v="8"/>
    <x v="0"/>
    <x v="0"/>
    <s v="PROFESIONAL DE CONTRATACIONES"/>
    <n v="3923277"/>
    <x v="0"/>
    <s v="CONTRACTUAL"/>
    <m/>
    <m/>
  </r>
  <r>
    <x v="37"/>
    <x v="2"/>
    <x v="0"/>
    <x v="0"/>
    <s v="INSPECTOR GENERAL"/>
    <n v="3815999.9999999995"/>
    <x v="0"/>
    <s v="CONTRACTUAL"/>
    <m/>
    <m/>
  </r>
  <r>
    <x v="37"/>
    <x v="3"/>
    <x v="0"/>
    <x v="0"/>
    <s v="INSPECTOR GENERAL"/>
    <n v="3815999.9999999995"/>
    <x v="0"/>
    <s v="CONTRACTUAL"/>
    <m/>
    <m/>
  </r>
  <r>
    <x v="37"/>
    <x v="4"/>
    <x v="0"/>
    <x v="0"/>
    <s v="INSPECTOR GENERAL"/>
    <n v="3815999.9999999995"/>
    <x v="0"/>
    <s v="CONTRACTUAL"/>
    <m/>
    <m/>
  </r>
  <r>
    <x v="37"/>
    <x v="5"/>
    <x v="0"/>
    <x v="0"/>
    <s v="INSPECTOR GENERAL"/>
    <n v="3815999.9999999995"/>
    <x v="0"/>
    <s v="CONTRACTUAL"/>
    <m/>
    <m/>
  </r>
  <r>
    <x v="37"/>
    <x v="6"/>
    <x v="0"/>
    <x v="0"/>
    <s v="INSPECTOR GENERAL"/>
    <n v="3815999.9999999995"/>
    <x v="0"/>
    <s v="CONTRACTUAL"/>
    <m/>
    <m/>
  </r>
  <r>
    <x v="37"/>
    <x v="7"/>
    <x v="0"/>
    <x v="0"/>
    <s v="INSPECTOR GENERAL"/>
    <n v="3815999.9999999995"/>
    <x v="0"/>
    <s v="CONTRACTUAL"/>
    <m/>
    <m/>
  </r>
  <r>
    <x v="37"/>
    <x v="8"/>
    <x v="0"/>
    <x v="0"/>
    <s v="INSPECTOR GENERAL"/>
    <n v="3815999.9999999995"/>
    <x v="0"/>
    <s v="CONTRACTUAL"/>
    <m/>
    <m/>
  </r>
  <r>
    <x v="37"/>
    <x v="9"/>
    <x v="0"/>
    <x v="0"/>
    <s v="INSPECTOR GENERAL"/>
    <n v="3815999.9999999995"/>
    <x v="0"/>
    <s v="CONTRACTUAL"/>
    <m/>
    <m/>
  </r>
  <r>
    <x v="37"/>
    <x v="10"/>
    <x v="0"/>
    <x v="0"/>
    <s v="INSPECTOR GENERAL"/>
    <n v="3815999.9999999995"/>
    <x v="0"/>
    <s v="CONTRACTUAL"/>
    <m/>
    <m/>
  </r>
  <r>
    <x v="37"/>
    <x v="11"/>
    <x v="0"/>
    <x v="0"/>
    <s v="INSPECTOR GENERAL"/>
    <n v="3815999.9999999995"/>
    <x v="0"/>
    <s v="CONTRACTUAL"/>
    <m/>
    <m/>
  </r>
  <r>
    <x v="37"/>
    <x v="12"/>
    <x v="0"/>
    <x v="0"/>
    <s v="INSPECTOR GENERAL"/>
    <n v="3815999.9999999995"/>
    <x v="0"/>
    <s v="CONTRACTUAL"/>
    <m/>
    <m/>
  </r>
  <r>
    <x v="37"/>
    <x v="13"/>
    <x v="0"/>
    <x v="0"/>
    <s v="INSPECTOR GENERAL"/>
    <n v="3815999.9999999995"/>
    <x v="0"/>
    <s v="CONTRACTUAL"/>
    <m/>
    <m/>
  </r>
  <r>
    <x v="37"/>
    <x v="14"/>
    <x v="0"/>
    <x v="0"/>
    <s v="INSPECTOR GENERAL"/>
    <n v="3815999.9999999995"/>
    <x v="0"/>
    <s v="CONTRACTUAL"/>
    <m/>
    <m/>
  </r>
  <r>
    <x v="37"/>
    <x v="15"/>
    <x v="0"/>
    <x v="0"/>
    <s v="INSPECTOR GENERAL"/>
    <n v="3815999.9999999995"/>
    <x v="0"/>
    <s v="CONTRACTUAL"/>
    <m/>
    <m/>
  </r>
  <r>
    <x v="37"/>
    <x v="16"/>
    <x v="0"/>
    <x v="0"/>
    <s v="INSPECTOR GENERAL"/>
    <n v="3815999.9999999995"/>
    <x v="0"/>
    <s v="CONTRACTUAL"/>
    <m/>
    <m/>
  </r>
  <r>
    <x v="37"/>
    <x v="17"/>
    <x v="0"/>
    <x v="0"/>
    <s v="INSPECTOR GENERAL"/>
    <n v="3815999.9999999995"/>
    <x v="0"/>
    <s v="CONTRACTUAL"/>
    <m/>
    <m/>
  </r>
  <r>
    <x v="37"/>
    <x v="18"/>
    <x v="0"/>
    <x v="0"/>
    <s v="INSPECTOR GENERAL"/>
    <n v="3815999.9999999995"/>
    <x v="0"/>
    <s v="CONTRACTUAL"/>
    <m/>
    <m/>
  </r>
  <r>
    <x v="37"/>
    <x v="19"/>
    <x v="0"/>
    <x v="0"/>
    <s v="INSPECTOR GENERAL"/>
    <n v="3815999.9999999995"/>
    <x v="0"/>
    <s v="CONTRACTUAL"/>
    <m/>
    <m/>
  </r>
  <r>
    <x v="37"/>
    <x v="20"/>
    <x v="0"/>
    <x v="0"/>
    <s v="INSPECTOR GENERAL"/>
    <n v="3815999.9999999995"/>
    <x v="0"/>
    <s v="CONTRACTUAL"/>
    <m/>
    <m/>
  </r>
  <r>
    <x v="37"/>
    <x v="21"/>
    <x v="0"/>
    <x v="0"/>
    <s v="INSPECTOR GENERAL"/>
    <n v="3815999.9999999995"/>
    <x v="0"/>
    <s v="CONTRACTUAL"/>
    <m/>
    <m/>
  </r>
  <r>
    <x v="37"/>
    <x v="22"/>
    <x v="0"/>
    <x v="0"/>
    <s v="INSPECTOR GENERAL"/>
    <n v="3815999.9999999995"/>
    <x v="0"/>
    <s v="CONTRACTUAL"/>
    <m/>
    <m/>
  </r>
  <r>
    <x v="37"/>
    <x v="23"/>
    <x v="0"/>
    <x v="0"/>
    <s v="INSPECTOR GENERAL"/>
    <n v="3815999.9999999995"/>
    <x v="0"/>
    <s v="CONTRACTUAL"/>
    <m/>
    <m/>
  </r>
  <r>
    <x v="37"/>
    <x v="24"/>
    <x v="0"/>
    <x v="0"/>
    <s v="INSPECTOR GENERAL"/>
    <n v="3815999.9999999995"/>
    <x v="0"/>
    <s v="CONTRACTUAL"/>
    <m/>
    <m/>
  </r>
  <r>
    <x v="37"/>
    <x v="25"/>
    <x v="0"/>
    <x v="0"/>
    <s v="INSPECTOR GENERAL"/>
    <n v="3815999.9999999995"/>
    <x v="0"/>
    <s v="CONTRACTUAL"/>
    <m/>
    <m/>
  </r>
  <r>
    <x v="38"/>
    <x v="3"/>
    <x v="0"/>
    <x v="0"/>
    <s v="RESIDENTE TECNICO"/>
    <n v="5724000"/>
    <x v="0"/>
    <s v="ECONÓMICA"/>
    <m/>
    <m/>
  </r>
  <r>
    <x v="38"/>
    <x v="3"/>
    <x v="0"/>
    <x v="0"/>
    <s v="RESIDENTE ADMINISTRATIVO"/>
    <n v="5271741"/>
    <x v="0"/>
    <s v="ECONÓMICA"/>
    <m/>
    <m/>
  </r>
  <r>
    <x v="38"/>
    <x v="3"/>
    <x v="0"/>
    <x v="0"/>
    <s v="PROFESIONAL CONTRATACIONES"/>
    <n v="1963650"/>
    <x v="0"/>
    <s v="ECONÓMICA"/>
    <m/>
    <m/>
  </r>
  <r>
    <x v="38"/>
    <x v="3"/>
    <x v="0"/>
    <x v="0"/>
    <s v="COORDINADOR"/>
    <n v="3183727.68"/>
    <x v="0"/>
    <s v="ECONÓMICA"/>
    <m/>
    <m/>
  </r>
  <r>
    <x v="38"/>
    <x v="4"/>
    <x v="0"/>
    <x v="0"/>
    <s v="COORDINADOR"/>
    <n v="3183727.68"/>
    <x v="0"/>
    <s v="ECONÓMICA"/>
    <m/>
    <m/>
  </r>
  <r>
    <x v="38"/>
    <x v="5"/>
    <x v="0"/>
    <x v="0"/>
    <s v="COORDINADOR"/>
    <n v="3183727.68"/>
    <x v="0"/>
    <s v="ECONÓMICA"/>
    <m/>
    <m/>
  </r>
  <r>
    <x v="38"/>
    <x v="6"/>
    <x v="0"/>
    <x v="0"/>
    <s v="COORDINADOR"/>
    <n v="3183727.68"/>
    <x v="0"/>
    <s v="ECONÓMICA"/>
    <m/>
    <m/>
  </r>
  <r>
    <x v="38"/>
    <x v="7"/>
    <x v="0"/>
    <x v="0"/>
    <s v="COORDINADOR"/>
    <n v="3183727.68"/>
    <x v="0"/>
    <s v="ECONÓMICA"/>
    <m/>
    <m/>
  </r>
  <r>
    <x v="38"/>
    <x v="8"/>
    <x v="0"/>
    <x v="0"/>
    <s v="COORDINADOR"/>
    <n v="3183727.68"/>
    <x v="0"/>
    <s v="ECONÓMICA"/>
    <m/>
    <m/>
  </r>
  <r>
    <x v="38"/>
    <x v="9"/>
    <x v="0"/>
    <x v="0"/>
    <s v="COORDINADOR"/>
    <n v="3183727.68"/>
    <x v="0"/>
    <s v="ECONÓMICA"/>
    <m/>
    <m/>
  </r>
  <r>
    <x v="38"/>
    <x v="10"/>
    <x v="0"/>
    <x v="0"/>
    <s v="COORDINADOR"/>
    <n v="3183727.68"/>
    <x v="0"/>
    <s v="ECONÓMICA"/>
    <m/>
    <m/>
  </r>
  <r>
    <x v="38"/>
    <x v="11"/>
    <x v="0"/>
    <x v="0"/>
    <s v="COORDINADOR"/>
    <n v="3183727.68"/>
    <x v="0"/>
    <s v="ECONÓMICA"/>
    <m/>
    <m/>
  </r>
  <r>
    <x v="38"/>
    <x v="12"/>
    <x v="0"/>
    <x v="0"/>
    <s v="COORDINADOR"/>
    <n v="3183727.68"/>
    <x v="0"/>
    <s v="ECONÓMICA"/>
    <m/>
    <m/>
  </r>
  <r>
    <x v="38"/>
    <x v="3"/>
    <x v="0"/>
    <x v="0"/>
    <s v="DIRECTOR RESIDENTE"/>
    <n v="6750000"/>
    <x v="0"/>
    <s v="ECONÓMICA"/>
    <m/>
    <m/>
  </r>
  <r>
    <x v="38"/>
    <x v="4"/>
    <x v="0"/>
    <x v="0"/>
    <s v="DIRECTOR RESIDENTE"/>
    <n v="6750000"/>
    <x v="0"/>
    <s v="ECONÓMICA"/>
    <m/>
    <m/>
  </r>
  <r>
    <x v="38"/>
    <x v="5"/>
    <x v="0"/>
    <x v="0"/>
    <s v="DIRECTOR RESIDENTE"/>
    <n v="6750000"/>
    <x v="0"/>
    <s v="ECONÓMICA"/>
    <m/>
    <m/>
  </r>
  <r>
    <x v="38"/>
    <x v="6"/>
    <x v="0"/>
    <x v="0"/>
    <s v="DIRECTOR RESIDENTE"/>
    <n v="6750000"/>
    <x v="0"/>
    <s v="ECONÓMICA"/>
    <m/>
    <m/>
  </r>
  <r>
    <x v="38"/>
    <x v="7"/>
    <x v="0"/>
    <x v="0"/>
    <s v="DIRECTOR RESIDENTE"/>
    <n v="6750000"/>
    <x v="0"/>
    <s v="ECONÓMICA"/>
    <m/>
    <m/>
  </r>
  <r>
    <x v="38"/>
    <x v="8"/>
    <x v="0"/>
    <x v="0"/>
    <s v="DIRECTOR RESIDENTE"/>
    <n v="6750000"/>
    <x v="0"/>
    <s v="ECONÓMICA"/>
    <m/>
    <m/>
  </r>
  <r>
    <x v="38"/>
    <x v="9"/>
    <x v="0"/>
    <x v="0"/>
    <s v="DIRECTOR RESIDENTE"/>
    <n v="6750000"/>
    <x v="0"/>
    <s v="ECONÓMICA"/>
    <m/>
    <m/>
  </r>
  <r>
    <x v="38"/>
    <x v="10"/>
    <x v="0"/>
    <x v="0"/>
    <s v="DIRECTOR RESIDENTE"/>
    <n v="6750000"/>
    <x v="0"/>
    <s v="ECONÓMICA"/>
    <m/>
    <m/>
  </r>
  <r>
    <x v="38"/>
    <x v="11"/>
    <x v="0"/>
    <x v="0"/>
    <s v="DIRECTOR RESIDENTE"/>
    <n v="6750000"/>
    <x v="0"/>
    <s v="ECONÓMICA"/>
    <m/>
    <m/>
  </r>
  <r>
    <x v="38"/>
    <x v="12"/>
    <x v="0"/>
    <x v="0"/>
    <s v="DIRECTOR RESIDENTE"/>
    <n v="6750000"/>
    <x v="0"/>
    <s v="ECONÓMICA"/>
    <m/>
    <m/>
  </r>
  <r>
    <x v="38"/>
    <x v="3"/>
    <x v="0"/>
    <x v="0"/>
    <s v="PROFESIONAL DE CONTRATACIONES"/>
    <n v="1961638.5"/>
    <x v="0"/>
    <s v="ECONÓMICA"/>
    <m/>
    <m/>
  </r>
  <r>
    <x v="38"/>
    <x v="4"/>
    <x v="0"/>
    <x v="0"/>
    <s v="PROFESIONAL DE CONTRATACIONES"/>
    <n v="1961638.5"/>
    <x v="0"/>
    <s v="ECONÓMICA"/>
    <m/>
    <m/>
  </r>
  <r>
    <x v="38"/>
    <x v="5"/>
    <x v="0"/>
    <x v="0"/>
    <s v="PROFESIONAL DE CONTRATACIONES"/>
    <n v="1961638.5"/>
    <x v="0"/>
    <s v="ECONÓMICA"/>
    <m/>
    <m/>
  </r>
  <r>
    <x v="38"/>
    <x v="6"/>
    <x v="0"/>
    <x v="0"/>
    <s v="PROFESIONAL DE CONTRATACIONES"/>
    <n v="1961638.5"/>
    <x v="0"/>
    <s v="ECONÓMICA"/>
    <m/>
    <m/>
  </r>
  <r>
    <x v="38"/>
    <x v="7"/>
    <x v="0"/>
    <x v="0"/>
    <s v="PROFESIONAL DE CONTRATACIONES"/>
    <n v="1961638.5"/>
    <x v="0"/>
    <s v="ECONÓMICA"/>
    <m/>
    <m/>
  </r>
  <r>
    <x v="38"/>
    <x v="8"/>
    <x v="0"/>
    <x v="0"/>
    <s v="PROFESIONAL DE CONTRATACIONES"/>
    <n v="1961638.5"/>
    <x v="0"/>
    <s v="ECONÓMICA"/>
    <m/>
    <m/>
  </r>
  <r>
    <x v="38"/>
    <x v="9"/>
    <x v="0"/>
    <x v="0"/>
    <s v="PROFESIONAL DE CONTRATACIONES"/>
    <n v="1961638.5"/>
    <x v="0"/>
    <s v="ECONÓMICA"/>
    <m/>
    <m/>
  </r>
  <r>
    <x v="38"/>
    <x v="3"/>
    <x v="0"/>
    <x v="0"/>
    <s v="RESIDENTE ADMINISTRATIVO"/>
    <n v="4078350"/>
    <x v="0"/>
    <s v="ECONÓMICA"/>
    <m/>
    <m/>
  </r>
  <r>
    <x v="38"/>
    <x v="4"/>
    <x v="0"/>
    <x v="0"/>
    <s v="RESIDENTE ADMINISTRATIVO"/>
    <n v="4078350"/>
    <x v="0"/>
    <s v="ECONÓMICA"/>
    <m/>
    <m/>
  </r>
  <r>
    <x v="38"/>
    <x v="5"/>
    <x v="0"/>
    <x v="0"/>
    <s v="RESIDENTE ADMINISTRATIVO"/>
    <n v="4078350"/>
    <x v="0"/>
    <s v="ECONÓMICA"/>
    <m/>
    <m/>
  </r>
  <r>
    <x v="38"/>
    <x v="6"/>
    <x v="0"/>
    <x v="0"/>
    <s v="RESIDENTE ADMINISTRATIVO"/>
    <n v="4078350"/>
    <x v="0"/>
    <s v="ECONÓMICA"/>
    <m/>
    <m/>
  </r>
  <r>
    <x v="38"/>
    <x v="7"/>
    <x v="0"/>
    <x v="0"/>
    <s v="RESIDENTE ADMINISTRATIVO"/>
    <n v="4078350"/>
    <x v="0"/>
    <s v="ECONÓMICA"/>
    <m/>
    <m/>
  </r>
  <r>
    <x v="38"/>
    <x v="8"/>
    <x v="0"/>
    <x v="0"/>
    <s v="RESIDENTE ADMINISTRATIVO"/>
    <n v="4078350"/>
    <x v="0"/>
    <s v="ECONÓMICA"/>
    <m/>
    <m/>
  </r>
  <r>
    <x v="38"/>
    <x v="9"/>
    <x v="0"/>
    <x v="0"/>
    <s v="RESIDENTE ADMINISTRATIVO"/>
    <n v="4078350"/>
    <x v="0"/>
    <s v="ECONÓMICA"/>
    <m/>
    <m/>
  </r>
  <r>
    <x v="38"/>
    <x v="10"/>
    <x v="0"/>
    <x v="0"/>
    <s v="RESIDENTE ADMINISTRATIVO"/>
    <n v="4078350"/>
    <x v="0"/>
    <s v="ECONÓMICA"/>
    <m/>
    <m/>
  </r>
  <r>
    <x v="38"/>
    <x v="11"/>
    <x v="0"/>
    <x v="0"/>
    <s v="RESIDENTE ADMINISTRATIVO"/>
    <n v="4078350"/>
    <x v="0"/>
    <s v="ECONÓMICA"/>
    <m/>
    <m/>
  </r>
  <r>
    <x v="38"/>
    <x v="12"/>
    <x v="0"/>
    <x v="0"/>
    <s v="RESIDENTE ADMINISTRATIVO"/>
    <n v="4078350"/>
    <x v="0"/>
    <s v="ECONÓMICA"/>
    <m/>
    <m/>
  </r>
  <r>
    <x v="38"/>
    <x v="3"/>
    <x v="0"/>
    <x v="0"/>
    <s v="INSPECTOR"/>
    <n v="4626300.8879999993"/>
    <x v="0"/>
    <s v="ECONÓMICA"/>
    <m/>
    <m/>
  </r>
  <r>
    <x v="38"/>
    <x v="4"/>
    <x v="0"/>
    <x v="0"/>
    <s v="INSPECTOR"/>
    <n v="4626300.8879999993"/>
    <x v="0"/>
    <s v="ECONÓMICA"/>
    <m/>
    <m/>
  </r>
  <r>
    <x v="38"/>
    <x v="5"/>
    <x v="0"/>
    <x v="0"/>
    <s v="INSPECTOR"/>
    <n v="4626300.8879999993"/>
    <x v="0"/>
    <s v="ECONÓMICA"/>
    <m/>
    <m/>
  </r>
  <r>
    <x v="38"/>
    <x v="6"/>
    <x v="0"/>
    <x v="0"/>
    <s v="INSPECTOR"/>
    <n v="4626300.8879999993"/>
    <x v="0"/>
    <s v="ECONÓMICA"/>
    <m/>
    <m/>
  </r>
  <r>
    <x v="38"/>
    <x v="7"/>
    <x v="0"/>
    <x v="0"/>
    <s v="INSPECTOR"/>
    <n v="4626300.8879999993"/>
    <x v="0"/>
    <s v="ECONÓMICA"/>
    <m/>
    <m/>
  </r>
  <r>
    <x v="38"/>
    <x v="8"/>
    <x v="0"/>
    <x v="0"/>
    <s v="INSPECTOR"/>
    <n v="4626300.8879999993"/>
    <x v="0"/>
    <s v="ECONÓMICA"/>
    <m/>
    <m/>
  </r>
  <r>
    <x v="38"/>
    <x v="9"/>
    <x v="0"/>
    <x v="0"/>
    <s v="INSPECTOR"/>
    <n v="4626300.8879999993"/>
    <x v="0"/>
    <s v="ECONÓMICA"/>
    <m/>
    <m/>
  </r>
  <r>
    <x v="38"/>
    <x v="10"/>
    <x v="0"/>
    <x v="0"/>
    <s v="INSPECTOR"/>
    <n v="4626300.8879999993"/>
    <x v="0"/>
    <s v="ECONÓMICA"/>
    <m/>
    <m/>
  </r>
  <r>
    <x v="38"/>
    <x v="11"/>
    <x v="0"/>
    <x v="0"/>
    <s v="INSPECTOR"/>
    <n v="4626300.8879999993"/>
    <x v="0"/>
    <s v="ECONÓMICA"/>
    <m/>
    <m/>
  </r>
  <r>
    <x v="38"/>
    <x v="3"/>
    <x v="0"/>
    <x v="0"/>
    <s v="RESIDENTE TECNICO"/>
    <n v="7512750"/>
    <x v="0"/>
    <s v="ECONÓMICA"/>
    <m/>
    <m/>
  </r>
  <r>
    <x v="38"/>
    <x v="4"/>
    <x v="0"/>
    <x v="0"/>
    <s v="RESIDENTE TECNICO"/>
    <n v="7512750"/>
    <x v="0"/>
    <s v="ECONÓMICA"/>
    <m/>
    <m/>
  </r>
  <r>
    <x v="38"/>
    <x v="5"/>
    <x v="0"/>
    <x v="0"/>
    <s v="RESIDENTE TECNICO"/>
    <n v="7512750"/>
    <x v="0"/>
    <s v="ECONÓMICA"/>
    <m/>
    <m/>
  </r>
  <r>
    <x v="38"/>
    <x v="6"/>
    <x v="0"/>
    <x v="0"/>
    <s v="RESIDENTE TECNICO"/>
    <n v="7512750"/>
    <x v="0"/>
    <s v="ECONÓMICA"/>
    <m/>
    <m/>
  </r>
  <r>
    <x v="38"/>
    <x v="3"/>
    <x v="0"/>
    <x v="0"/>
    <s v="INSPECTOR"/>
    <n v="5204588.4989999998"/>
    <x v="0"/>
    <s v="ECONÓMICA"/>
    <m/>
    <m/>
  </r>
  <r>
    <x v="38"/>
    <x v="4"/>
    <x v="0"/>
    <x v="0"/>
    <s v="INSPECTOR"/>
    <n v="5204588.4989999998"/>
    <x v="0"/>
    <s v="ECONÓMICA"/>
    <m/>
    <m/>
  </r>
  <r>
    <x v="38"/>
    <x v="5"/>
    <x v="0"/>
    <x v="0"/>
    <s v="INSPECTOR"/>
    <n v="5204588.4989999998"/>
    <x v="0"/>
    <s v="ECONÓMICA"/>
    <m/>
    <m/>
  </r>
  <r>
    <x v="39"/>
    <x v="3"/>
    <x v="0"/>
    <x v="0"/>
    <s v="COORDINADOR"/>
    <n v="2323944"/>
    <x v="0"/>
    <s v="ECONÓMICA"/>
    <m/>
    <m/>
  </r>
  <r>
    <x v="39"/>
    <x v="4"/>
    <x v="0"/>
    <x v="0"/>
    <s v="COORDINADOR"/>
    <n v="2323944"/>
    <x v="0"/>
    <s v="ECONÓMICA"/>
    <m/>
    <m/>
  </r>
  <r>
    <x v="39"/>
    <x v="5"/>
    <x v="0"/>
    <x v="0"/>
    <s v="COORDINADOR"/>
    <n v="2323944"/>
    <x v="0"/>
    <s v="ECONÓMICA"/>
    <m/>
    <m/>
  </r>
  <r>
    <x v="39"/>
    <x v="6"/>
    <x v="0"/>
    <x v="0"/>
    <s v="COORDINADOR"/>
    <n v="2323944"/>
    <x v="0"/>
    <s v="ECONÓMICA"/>
    <m/>
    <m/>
  </r>
  <r>
    <x v="39"/>
    <x v="7"/>
    <x v="0"/>
    <x v="0"/>
    <s v="COORDINADOR"/>
    <n v="2323944"/>
    <x v="0"/>
    <s v="ECONÓMICA"/>
    <m/>
    <m/>
  </r>
  <r>
    <x v="39"/>
    <x v="8"/>
    <x v="0"/>
    <x v="0"/>
    <s v="COORDINADOR"/>
    <n v="2323944"/>
    <x v="0"/>
    <s v="ECONÓMICA"/>
    <m/>
    <m/>
  </r>
  <r>
    <x v="39"/>
    <x v="9"/>
    <x v="0"/>
    <x v="0"/>
    <s v="COORDINADOR"/>
    <n v="2323944"/>
    <x v="0"/>
    <s v="ECONÓMICA"/>
    <m/>
    <m/>
  </r>
  <r>
    <x v="39"/>
    <x v="10"/>
    <x v="0"/>
    <x v="0"/>
    <s v="COORDINADOR"/>
    <n v="2323944"/>
    <x v="0"/>
    <s v="ECONÓMICA"/>
    <m/>
    <m/>
  </r>
  <r>
    <x v="39"/>
    <x v="11"/>
    <x v="0"/>
    <x v="0"/>
    <s v="COORDINADOR"/>
    <n v="2323944"/>
    <x v="0"/>
    <s v="ECONÓMICA"/>
    <m/>
    <m/>
  </r>
  <r>
    <x v="39"/>
    <x v="12"/>
    <x v="0"/>
    <x v="0"/>
    <s v="COORDINADOR"/>
    <n v="2323944"/>
    <x v="0"/>
    <s v="ECONÓMICA"/>
    <m/>
    <m/>
  </r>
  <r>
    <x v="39"/>
    <x v="13"/>
    <x v="0"/>
    <x v="0"/>
    <s v="COORDINADOR"/>
    <n v="2323944"/>
    <x v="0"/>
    <s v="ECONÓMICA"/>
    <m/>
    <m/>
  </r>
  <r>
    <x v="39"/>
    <x v="14"/>
    <x v="0"/>
    <x v="0"/>
    <s v="COORDINADOR"/>
    <n v="2323944"/>
    <x v="0"/>
    <s v="ECONÓMICA"/>
    <m/>
    <m/>
  </r>
  <r>
    <x v="39"/>
    <x v="15"/>
    <x v="0"/>
    <x v="0"/>
    <s v="COORDINADOR"/>
    <n v="2323944"/>
    <x v="0"/>
    <s v="ECONÓMICA"/>
    <m/>
    <m/>
  </r>
  <r>
    <x v="39"/>
    <x v="3"/>
    <x v="0"/>
    <x v="0"/>
    <s v="COORDINADOR"/>
    <n v="726232.5"/>
    <x v="0"/>
    <s v="ECONÓMICA"/>
    <m/>
    <m/>
  </r>
  <r>
    <x v="39"/>
    <x v="4"/>
    <x v="0"/>
    <x v="0"/>
    <s v="COORDINADOR"/>
    <n v="726232.5"/>
    <x v="0"/>
    <s v="ECONÓMICA"/>
    <m/>
    <m/>
  </r>
  <r>
    <x v="39"/>
    <x v="5"/>
    <x v="0"/>
    <x v="0"/>
    <s v="COORDINADOR"/>
    <n v="726232.5"/>
    <x v="0"/>
    <s v="ECONÓMICA"/>
    <m/>
    <m/>
  </r>
  <r>
    <x v="39"/>
    <x v="6"/>
    <x v="0"/>
    <x v="0"/>
    <s v="COORDINADOR"/>
    <n v="726232.5"/>
    <x v="0"/>
    <s v="ECONÓMICA"/>
    <m/>
    <m/>
  </r>
  <r>
    <x v="39"/>
    <x v="3"/>
    <x v="0"/>
    <x v="0"/>
    <s v="DIRECTOR INTERVENTORIA"/>
    <n v="9883440"/>
    <x v="0"/>
    <s v="ECONÓMICA"/>
    <m/>
    <m/>
  </r>
  <r>
    <x v="39"/>
    <x v="4"/>
    <x v="0"/>
    <x v="0"/>
    <s v="DIRECTOR INTERVENTORIA"/>
    <n v="9883440"/>
    <x v="0"/>
    <s v="ECONÓMICA"/>
    <m/>
    <m/>
  </r>
  <r>
    <x v="39"/>
    <x v="5"/>
    <x v="0"/>
    <x v="0"/>
    <s v="DIRECTOR INTERVENTORIA"/>
    <n v="9883440"/>
    <x v="0"/>
    <s v="ECONÓMICA"/>
    <m/>
    <m/>
  </r>
  <r>
    <x v="39"/>
    <x v="6"/>
    <x v="0"/>
    <x v="0"/>
    <s v="DIRECTOR INTERVENTORIA"/>
    <n v="9883440"/>
    <x v="0"/>
    <s v="ECONÓMICA"/>
    <m/>
    <m/>
  </r>
  <r>
    <x v="39"/>
    <x v="7"/>
    <x v="0"/>
    <x v="0"/>
    <s v="DIRECTOR INTERVENTORIA"/>
    <n v="9883440"/>
    <x v="0"/>
    <s v="ECONÓMICA"/>
    <m/>
    <m/>
  </r>
  <r>
    <x v="39"/>
    <x v="8"/>
    <x v="0"/>
    <x v="0"/>
    <s v="DIRECTOR INTERVENTORIA"/>
    <n v="9883440"/>
    <x v="0"/>
    <s v="ECONÓMICA"/>
    <m/>
    <m/>
  </r>
  <r>
    <x v="39"/>
    <x v="9"/>
    <x v="0"/>
    <x v="0"/>
    <s v="DIRECTOR INTERVENTORIA"/>
    <n v="9883440"/>
    <x v="0"/>
    <s v="ECONÓMICA"/>
    <m/>
    <m/>
  </r>
  <r>
    <x v="39"/>
    <x v="10"/>
    <x v="0"/>
    <x v="0"/>
    <s v="DIRECTOR INTERVENTORIA"/>
    <n v="9883440"/>
    <x v="0"/>
    <s v="ECONÓMICA"/>
    <m/>
    <m/>
  </r>
  <r>
    <x v="39"/>
    <x v="11"/>
    <x v="0"/>
    <x v="0"/>
    <s v="DIRECTOR INTERVENTORIA"/>
    <n v="9883440"/>
    <x v="0"/>
    <s v="ECONÓMICA"/>
    <m/>
    <m/>
  </r>
  <r>
    <x v="39"/>
    <x v="12"/>
    <x v="0"/>
    <x v="0"/>
    <s v="DIRECTOR INTERVENTORIA"/>
    <n v="9883440"/>
    <x v="0"/>
    <s v="ECONÓMICA"/>
    <m/>
    <m/>
  </r>
  <r>
    <x v="39"/>
    <x v="13"/>
    <x v="0"/>
    <x v="0"/>
    <s v="DIRECTOR INTERVENTORIA"/>
    <n v="9883440"/>
    <x v="0"/>
    <s v="ECONÓMICA"/>
    <m/>
    <m/>
  </r>
  <r>
    <x v="39"/>
    <x v="14"/>
    <x v="0"/>
    <x v="0"/>
    <s v="DIRECTOR INTERVENTORIA"/>
    <n v="9883440"/>
    <x v="0"/>
    <s v="ECONÓMICA"/>
    <m/>
    <m/>
  </r>
  <r>
    <x v="39"/>
    <x v="15"/>
    <x v="0"/>
    <x v="0"/>
    <s v="DIRECTOR INTERVENTORIA"/>
    <n v="9883440"/>
    <x v="0"/>
    <s v="ECONÓMICA"/>
    <m/>
    <m/>
  </r>
  <r>
    <x v="39"/>
    <x v="3"/>
    <x v="0"/>
    <x v="0"/>
    <s v="RESIDENTE TECNICO DE INTERVENTORIA"/>
    <n v="5930064"/>
    <x v="0"/>
    <s v="ECONÓMICA"/>
    <m/>
    <m/>
  </r>
  <r>
    <x v="39"/>
    <x v="4"/>
    <x v="0"/>
    <x v="0"/>
    <s v="RESIDENTE TECNICO DE INTERVENTORIA"/>
    <n v="5930064"/>
    <x v="0"/>
    <s v="ECONÓMICA"/>
    <m/>
    <m/>
  </r>
  <r>
    <x v="39"/>
    <x v="5"/>
    <x v="0"/>
    <x v="0"/>
    <s v="RESIDENTE TECNICO DE INTERVENTORIA"/>
    <n v="5930064"/>
    <x v="0"/>
    <s v="ECONÓMICA"/>
    <m/>
    <m/>
  </r>
  <r>
    <x v="39"/>
    <x v="6"/>
    <x v="0"/>
    <x v="0"/>
    <s v="RESIDENTE TECNICO DE INTERVENTORIA"/>
    <n v="5930064"/>
    <x v="0"/>
    <s v="ECONÓMICA"/>
    <m/>
    <m/>
  </r>
  <r>
    <x v="39"/>
    <x v="7"/>
    <x v="0"/>
    <x v="0"/>
    <s v="RESIDENTE TECNICO DE INTERVENTORIA"/>
    <n v="5930064"/>
    <x v="0"/>
    <s v="ECONÓMICA"/>
    <m/>
    <m/>
  </r>
  <r>
    <x v="39"/>
    <x v="8"/>
    <x v="0"/>
    <x v="0"/>
    <s v="RESIDENTE TECNICO DE INTERVENTORIA"/>
    <n v="5930064"/>
    <x v="0"/>
    <s v="ECONÓMICA"/>
    <m/>
    <m/>
  </r>
  <r>
    <x v="39"/>
    <x v="9"/>
    <x v="0"/>
    <x v="0"/>
    <s v="RESIDENTE TECNICO DE INTERVENTORIA"/>
    <n v="5930064"/>
    <x v="0"/>
    <s v="ECONÓMICA"/>
    <m/>
    <m/>
  </r>
  <r>
    <x v="39"/>
    <x v="10"/>
    <x v="0"/>
    <x v="0"/>
    <s v="RESIDENTE TECNICO DE INTERVENTORIA"/>
    <n v="5930064"/>
    <x v="0"/>
    <s v="ECONÓMICA"/>
    <m/>
    <m/>
  </r>
  <r>
    <x v="39"/>
    <x v="11"/>
    <x v="0"/>
    <x v="0"/>
    <s v="RESIDENTE TECNICO DE INTERVENTORIA"/>
    <n v="5930064"/>
    <x v="0"/>
    <s v="ECONÓMICA"/>
    <m/>
    <m/>
  </r>
  <r>
    <x v="39"/>
    <x v="12"/>
    <x v="0"/>
    <x v="0"/>
    <s v="RESIDENTE TECNICO DE INTERVENTORIA"/>
    <n v="5930064"/>
    <x v="0"/>
    <s v="ECONÓMICA"/>
    <m/>
    <m/>
  </r>
  <r>
    <x v="39"/>
    <x v="13"/>
    <x v="0"/>
    <x v="0"/>
    <s v="RESIDENTE TECNICO DE INTERVENTORIA"/>
    <n v="5930064"/>
    <x v="0"/>
    <s v="ECONÓMICA"/>
    <m/>
    <m/>
  </r>
  <r>
    <x v="39"/>
    <x v="14"/>
    <x v="0"/>
    <x v="0"/>
    <s v="RESIDENTE TECNICO DE INTERVENTORIA"/>
    <n v="5930064"/>
    <x v="0"/>
    <s v="ECONÓMICA"/>
    <m/>
    <m/>
  </r>
  <r>
    <x v="39"/>
    <x v="15"/>
    <x v="0"/>
    <x v="0"/>
    <s v="RESIDENTE TECNICO DE INTERVENTORIA"/>
    <n v="5930064"/>
    <x v="0"/>
    <s v="ECONÓMICA"/>
    <m/>
    <m/>
  </r>
  <r>
    <x v="39"/>
    <x v="3"/>
    <x v="0"/>
    <x v="0"/>
    <s v="APOYO SUPERVISOR ESTRUCTURAL"/>
    <n v="3916647"/>
    <x v="0"/>
    <s v="ECONÓMICA"/>
    <m/>
    <m/>
  </r>
  <r>
    <x v="39"/>
    <x v="4"/>
    <x v="0"/>
    <x v="0"/>
    <s v="APOYO SUPERVISOR ESTRUCTURAL"/>
    <n v="3916647"/>
    <x v="0"/>
    <s v="ECONÓMICA"/>
    <m/>
    <m/>
  </r>
  <r>
    <x v="39"/>
    <x v="5"/>
    <x v="0"/>
    <x v="0"/>
    <s v="APOYO SUPERVISOR ESTRUCTURAL"/>
    <n v="3916647"/>
    <x v="0"/>
    <s v="ECONÓMICA"/>
    <m/>
    <m/>
  </r>
  <r>
    <x v="39"/>
    <x v="6"/>
    <x v="0"/>
    <x v="0"/>
    <s v="APOYO SUPERVISOR ESTRUCTURAL"/>
    <n v="3916647"/>
    <x v="0"/>
    <s v="ECONÓMICA"/>
    <m/>
    <m/>
  </r>
  <r>
    <x v="39"/>
    <x v="7"/>
    <x v="0"/>
    <x v="0"/>
    <s v="APOYO SUPERVISOR ESTRUCTURAL"/>
    <n v="3916647"/>
    <x v="0"/>
    <s v="ECONÓMICA"/>
    <m/>
    <m/>
  </r>
  <r>
    <x v="39"/>
    <x v="8"/>
    <x v="0"/>
    <x v="0"/>
    <s v="APOYO SUPERVISOR ESTRUCTURAL"/>
    <n v="3916647"/>
    <x v="0"/>
    <s v="ECONÓMICA"/>
    <m/>
    <m/>
  </r>
  <r>
    <x v="39"/>
    <x v="9"/>
    <x v="0"/>
    <x v="0"/>
    <s v="APOYO SUPERVISOR ESTRUCTURAL"/>
    <n v="3916647"/>
    <x v="0"/>
    <s v="ECONÓMICA"/>
    <m/>
    <m/>
  </r>
  <r>
    <x v="39"/>
    <x v="10"/>
    <x v="0"/>
    <x v="0"/>
    <s v="APOYO SUPERVISOR ESTRUCTURAL"/>
    <n v="3916647"/>
    <x v="0"/>
    <s v="ECONÓMICA"/>
    <m/>
    <m/>
  </r>
  <r>
    <x v="39"/>
    <x v="11"/>
    <x v="0"/>
    <x v="0"/>
    <s v="APOYO SUPERVISOR ESTRUCTURAL"/>
    <n v="3916647"/>
    <x v="0"/>
    <s v="ECONÓMICA"/>
    <m/>
    <m/>
  </r>
  <r>
    <x v="39"/>
    <x v="12"/>
    <x v="0"/>
    <x v="0"/>
    <s v="APOYO SUPERVISOR ESTRUCTURAL"/>
    <n v="3916647"/>
    <x v="0"/>
    <s v="ECONÓMICA"/>
    <m/>
    <m/>
  </r>
  <r>
    <x v="39"/>
    <x v="13"/>
    <x v="0"/>
    <x v="0"/>
    <s v="APOYO SUPERVISOR ESTRUCTURAL"/>
    <n v="3916647"/>
    <x v="0"/>
    <s v="ECONÓMICA"/>
    <m/>
    <m/>
  </r>
  <r>
    <x v="39"/>
    <x v="14"/>
    <x v="0"/>
    <x v="0"/>
    <s v="APOYO SUPERVISOR ESTRUCTURAL"/>
    <n v="3916647"/>
    <x v="0"/>
    <s v="ECONÓMICA"/>
    <m/>
    <m/>
  </r>
  <r>
    <x v="39"/>
    <x v="15"/>
    <x v="0"/>
    <x v="0"/>
    <s v="APOYO SUPERVISOR ESTRUCTURAL"/>
    <n v="3916647"/>
    <x v="0"/>
    <s v="ECONÓMICA"/>
    <m/>
    <m/>
  </r>
  <r>
    <x v="39"/>
    <x v="3"/>
    <x v="0"/>
    <x v="0"/>
    <s v="RESIDENTE TECNICO DE INSTALACIONES"/>
    <n v="7103634.4399999995"/>
    <x v="0"/>
    <s v="ECONÓMICA"/>
    <m/>
    <m/>
  </r>
  <r>
    <x v="39"/>
    <x v="4"/>
    <x v="0"/>
    <x v="0"/>
    <s v="RESIDENTE TECNICO DE INSTALACIONES"/>
    <n v="7103634.4399999995"/>
    <x v="0"/>
    <s v="ECONÓMICA"/>
    <m/>
    <m/>
  </r>
  <r>
    <x v="39"/>
    <x v="5"/>
    <x v="0"/>
    <x v="0"/>
    <s v="RESIDENTE TECNICO DE INSTALACIONES"/>
    <n v="7103634.4399999995"/>
    <x v="0"/>
    <s v="ECONÓMICA"/>
    <m/>
    <m/>
  </r>
  <r>
    <x v="39"/>
    <x v="6"/>
    <x v="0"/>
    <x v="0"/>
    <s v="RESIDENTE TECNICO DE INSTALACIONES"/>
    <n v="7103634.4399999995"/>
    <x v="0"/>
    <s v="ECONÓMICA"/>
    <m/>
    <m/>
  </r>
  <r>
    <x v="39"/>
    <x v="7"/>
    <x v="0"/>
    <x v="0"/>
    <s v="RESIDENTE TECNICO DE INSTALACIONES"/>
    <n v="7103634.4399999995"/>
    <x v="0"/>
    <s v="ECONÓMICA"/>
    <m/>
    <m/>
  </r>
  <r>
    <x v="39"/>
    <x v="8"/>
    <x v="0"/>
    <x v="0"/>
    <s v="RESIDENTE TECNICO DE INSTALACIONES"/>
    <n v="7103634.4399999995"/>
    <x v="0"/>
    <s v="ECONÓMICA"/>
    <m/>
    <m/>
  </r>
  <r>
    <x v="39"/>
    <x v="9"/>
    <x v="0"/>
    <x v="0"/>
    <s v="RESIDENTE TECNICO DE INSTALACIONES"/>
    <n v="7103634.4399999995"/>
    <x v="0"/>
    <s v="ECONÓMICA"/>
    <m/>
    <m/>
  </r>
  <r>
    <x v="39"/>
    <x v="10"/>
    <x v="0"/>
    <x v="0"/>
    <s v="RESIDENTE TECNICO DE INSTALACIONES"/>
    <n v="7103634.4399999995"/>
    <x v="0"/>
    <s v="ECONÓMICA"/>
    <m/>
    <m/>
  </r>
  <r>
    <x v="39"/>
    <x v="11"/>
    <x v="0"/>
    <x v="0"/>
    <s v="RESIDENTE TECNICO DE INSTALACIONES"/>
    <n v="7103634.4399999995"/>
    <x v="0"/>
    <s v="ECONÓMICA"/>
    <m/>
    <m/>
  </r>
  <r>
    <x v="39"/>
    <x v="12"/>
    <x v="0"/>
    <x v="0"/>
    <s v="RESIDENTE TECNICO DE INSTALACIONES"/>
    <n v="7103634.4399999995"/>
    <x v="0"/>
    <s v="ECONÓMICA"/>
    <m/>
    <m/>
  </r>
  <r>
    <x v="39"/>
    <x v="13"/>
    <x v="0"/>
    <x v="0"/>
    <s v="RESIDENTE TECNICO DE INSTALACIONES"/>
    <n v="7103634.4399999995"/>
    <x v="0"/>
    <s v="ECONÓMICA"/>
    <m/>
    <m/>
  </r>
  <r>
    <x v="39"/>
    <x v="14"/>
    <x v="0"/>
    <x v="0"/>
    <s v="RESIDENTE TECNICO DE INSTALACIONES"/>
    <n v="7103634.4399999995"/>
    <x v="0"/>
    <s v="ECONÓMICA"/>
    <m/>
    <m/>
  </r>
  <r>
    <x v="39"/>
    <x v="15"/>
    <x v="0"/>
    <x v="0"/>
    <s v="RESIDENTE TECNICO DE INSTALACIONES"/>
    <n v="7103634.4399999995"/>
    <x v="0"/>
    <s v="ECONÓMICA"/>
    <m/>
    <m/>
  </r>
  <r>
    <x v="39"/>
    <x v="3"/>
    <x v="0"/>
    <x v="0"/>
    <s v="RESIDENTE TECNICO DE INTERVENTORIA"/>
    <n v="5930064"/>
    <x v="0"/>
    <s v="ECONÓMICA"/>
    <m/>
    <m/>
  </r>
  <r>
    <x v="39"/>
    <x v="4"/>
    <x v="0"/>
    <x v="0"/>
    <s v="RESIDENTE TECNICO DE INTERVENTORIA"/>
    <n v="5930064"/>
    <x v="0"/>
    <s v="ECONÓMICA"/>
    <m/>
    <m/>
  </r>
  <r>
    <x v="39"/>
    <x v="5"/>
    <x v="0"/>
    <x v="0"/>
    <s v="RESIDENTE TECNICO DE INTERVENTORIA"/>
    <n v="5930064"/>
    <x v="0"/>
    <s v="ECONÓMICA"/>
    <m/>
    <m/>
  </r>
  <r>
    <x v="39"/>
    <x v="6"/>
    <x v="0"/>
    <x v="0"/>
    <s v="RESIDENTE TECNICO DE INTERVENTORIA"/>
    <n v="5930064"/>
    <x v="0"/>
    <s v="ECONÓMICA"/>
    <m/>
    <m/>
  </r>
  <r>
    <x v="39"/>
    <x v="7"/>
    <x v="0"/>
    <x v="0"/>
    <s v="RESIDENTE TECNICO DE INTERVENTORIA"/>
    <n v="5930064"/>
    <x v="0"/>
    <s v="ECONÓMICA"/>
    <m/>
    <m/>
  </r>
  <r>
    <x v="39"/>
    <x v="8"/>
    <x v="0"/>
    <x v="0"/>
    <s v="RESIDENTE TECNICO DE INTERVENTORIA"/>
    <n v="5930064"/>
    <x v="0"/>
    <s v="ECONÓMICA"/>
    <m/>
    <m/>
  </r>
  <r>
    <x v="39"/>
    <x v="9"/>
    <x v="0"/>
    <x v="0"/>
    <s v="RESIDENTE TECNICO DE INTERVENTORIA"/>
    <n v="5930064"/>
    <x v="0"/>
    <s v="ECONÓMICA"/>
    <m/>
    <m/>
  </r>
  <r>
    <x v="39"/>
    <x v="10"/>
    <x v="0"/>
    <x v="0"/>
    <s v="RESIDENTE TECNICO DE INTERVENTORIA"/>
    <n v="5930064"/>
    <x v="0"/>
    <s v="ECONÓMICA"/>
    <m/>
    <m/>
  </r>
  <r>
    <x v="39"/>
    <x v="11"/>
    <x v="0"/>
    <x v="0"/>
    <s v="RESIDENTE TECNICO DE INTERVENTORIA"/>
    <n v="5930064"/>
    <x v="0"/>
    <s v="ECONÓMICA"/>
    <m/>
    <m/>
  </r>
  <r>
    <x v="39"/>
    <x v="12"/>
    <x v="0"/>
    <x v="0"/>
    <s v="RESIDENTE TECNICO DE INTERVENTORIA"/>
    <n v="5930064"/>
    <x v="0"/>
    <s v="ECONÓMICA"/>
    <m/>
    <m/>
  </r>
  <r>
    <x v="39"/>
    <x v="13"/>
    <x v="0"/>
    <x v="0"/>
    <s v="RESIDENTE TECNICO DE INTERVENTORIA"/>
    <n v="5930064"/>
    <x v="0"/>
    <s v="ECONÓMICA"/>
    <m/>
    <m/>
  </r>
  <r>
    <x v="39"/>
    <x v="14"/>
    <x v="0"/>
    <x v="0"/>
    <s v="RESIDENTE TECNICO DE INTERVENTORIA"/>
    <n v="5930064"/>
    <x v="0"/>
    <s v="ECONÓMICA"/>
    <m/>
    <m/>
  </r>
  <r>
    <x v="39"/>
    <x v="15"/>
    <x v="0"/>
    <x v="0"/>
    <s v="RESIDENTE TECNICO DE INTERVENTORIA"/>
    <n v="5930064"/>
    <x v="0"/>
    <s v="ECONÓMICA"/>
    <m/>
    <m/>
  </r>
  <r>
    <x v="39"/>
    <x v="3"/>
    <x v="0"/>
    <x v="0"/>
    <s v="AUXILIAR ADMINISTRATIVO"/>
    <n v="3847852"/>
    <x v="0"/>
    <s v="ECONÓMICA"/>
    <m/>
    <m/>
  </r>
  <r>
    <x v="39"/>
    <x v="4"/>
    <x v="0"/>
    <x v="0"/>
    <s v="AUXILIAR ADMINISTRATIVO"/>
    <n v="3847852"/>
    <x v="0"/>
    <s v="ECONÓMICA"/>
    <m/>
    <m/>
  </r>
  <r>
    <x v="39"/>
    <x v="5"/>
    <x v="0"/>
    <x v="0"/>
    <s v="AUXILIAR ADMINISTRATIVO"/>
    <n v="3847852"/>
    <x v="0"/>
    <s v="ECONÓMICA"/>
    <m/>
    <m/>
  </r>
  <r>
    <x v="39"/>
    <x v="6"/>
    <x v="0"/>
    <x v="0"/>
    <s v="AUXILIAR ADMINISTRATIVO"/>
    <n v="3847852"/>
    <x v="0"/>
    <s v="ECONÓMICA"/>
    <m/>
    <m/>
  </r>
  <r>
    <x v="39"/>
    <x v="7"/>
    <x v="0"/>
    <x v="0"/>
    <s v="AUXILIAR ADMINISTRATIVO"/>
    <n v="3847852"/>
    <x v="0"/>
    <s v="ECONÓMICA"/>
    <m/>
    <m/>
  </r>
  <r>
    <x v="39"/>
    <x v="8"/>
    <x v="0"/>
    <x v="0"/>
    <s v="AUXILIAR ADMINISTRATIVO"/>
    <n v="3847852"/>
    <x v="0"/>
    <s v="ECONÓMICA"/>
    <m/>
    <m/>
  </r>
  <r>
    <x v="39"/>
    <x v="9"/>
    <x v="0"/>
    <x v="0"/>
    <s v="AUXILIAR ADMINISTRATIVO"/>
    <n v="3847852"/>
    <x v="0"/>
    <s v="ECONÓMICA"/>
    <m/>
    <m/>
  </r>
  <r>
    <x v="39"/>
    <x v="10"/>
    <x v="0"/>
    <x v="0"/>
    <s v="AUXILIAR ADMINISTRATIVO"/>
    <n v="3847852"/>
    <x v="0"/>
    <s v="ECONÓMICA"/>
    <m/>
    <m/>
  </r>
  <r>
    <x v="39"/>
    <x v="11"/>
    <x v="0"/>
    <x v="0"/>
    <s v="AUXILIAR ADMINISTRATIVO"/>
    <n v="3847852"/>
    <x v="0"/>
    <s v="ECONÓMICA"/>
    <m/>
    <m/>
  </r>
  <r>
    <x v="39"/>
    <x v="12"/>
    <x v="0"/>
    <x v="0"/>
    <s v="AUXILIAR ADMINISTRATIVO"/>
    <n v="3847852"/>
    <x v="0"/>
    <s v="ECONÓMICA"/>
    <m/>
    <m/>
  </r>
  <r>
    <x v="39"/>
    <x v="13"/>
    <x v="0"/>
    <x v="0"/>
    <s v="AUXILIAR ADMINISTRATIVO"/>
    <n v="3847852"/>
    <x v="0"/>
    <s v="ECONÓMICA"/>
    <m/>
    <m/>
  </r>
  <r>
    <x v="39"/>
    <x v="14"/>
    <x v="0"/>
    <x v="0"/>
    <s v="AUXILIAR ADMINISTRATIVO"/>
    <n v="3847852"/>
    <x v="0"/>
    <s v="ECONÓMICA"/>
    <m/>
    <m/>
  </r>
  <r>
    <x v="39"/>
    <x v="15"/>
    <x v="0"/>
    <x v="0"/>
    <s v="AUXILIAR ADMINISTRATIVO"/>
    <n v="3847852"/>
    <x v="0"/>
    <s v="ECONÓMICA"/>
    <m/>
    <m/>
  </r>
  <r>
    <x v="39"/>
    <x v="3"/>
    <x v="0"/>
    <x v="0"/>
    <s v="COORDINADOR BIM"/>
    <n v="6012426"/>
    <x v="0"/>
    <s v="ECONÓMICA"/>
    <m/>
    <m/>
  </r>
  <r>
    <x v="39"/>
    <x v="4"/>
    <x v="0"/>
    <x v="0"/>
    <s v="COORDINADOR BIM"/>
    <n v="6012426"/>
    <x v="0"/>
    <s v="ECONÓMICA"/>
    <m/>
    <m/>
  </r>
  <r>
    <x v="39"/>
    <x v="5"/>
    <x v="0"/>
    <x v="0"/>
    <s v="COORDINADOR BIM"/>
    <n v="6012426"/>
    <x v="0"/>
    <s v="ECONÓMICA"/>
    <m/>
    <m/>
  </r>
  <r>
    <x v="39"/>
    <x v="6"/>
    <x v="0"/>
    <x v="0"/>
    <s v="COORDINADOR BIM"/>
    <n v="6012426"/>
    <x v="0"/>
    <s v="ECONÓMICA"/>
    <m/>
    <m/>
  </r>
  <r>
    <x v="39"/>
    <x v="7"/>
    <x v="0"/>
    <x v="0"/>
    <s v="COORDINADOR BIM"/>
    <n v="6012426"/>
    <x v="0"/>
    <s v="ECONÓMICA"/>
    <m/>
    <m/>
  </r>
  <r>
    <x v="39"/>
    <x v="8"/>
    <x v="0"/>
    <x v="0"/>
    <s v="COORDINADOR BIM"/>
    <n v="6012426"/>
    <x v="0"/>
    <s v="ECONÓMICA"/>
    <m/>
    <m/>
  </r>
  <r>
    <x v="39"/>
    <x v="9"/>
    <x v="0"/>
    <x v="0"/>
    <s v="COORDINADOR BIM"/>
    <n v="6012426"/>
    <x v="0"/>
    <s v="ECONÓMICA"/>
    <m/>
    <m/>
  </r>
  <r>
    <x v="39"/>
    <x v="10"/>
    <x v="0"/>
    <x v="0"/>
    <s v="COORDINADOR BIM"/>
    <n v="6012426"/>
    <x v="0"/>
    <s v="ECONÓMICA"/>
    <m/>
    <m/>
  </r>
  <r>
    <x v="39"/>
    <x v="11"/>
    <x v="0"/>
    <x v="0"/>
    <s v="COORDINADOR BIM"/>
    <n v="6012426"/>
    <x v="0"/>
    <s v="ECONÓMICA"/>
    <m/>
    <m/>
  </r>
  <r>
    <x v="39"/>
    <x v="12"/>
    <x v="0"/>
    <x v="0"/>
    <s v="COORDINADOR BIM"/>
    <n v="6012426"/>
    <x v="0"/>
    <s v="ECONÓMICA"/>
    <m/>
    <m/>
  </r>
  <r>
    <x v="39"/>
    <x v="13"/>
    <x v="0"/>
    <x v="0"/>
    <s v="COORDINADOR BIM"/>
    <n v="6012426"/>
    <x v="0"/>
    <s v="ECONÓMICA"/>
    <m/>
    <m/>
  </r>
  <r>
    <x v="39"/>
    <x v="14"/>
    <x v="0"/>
    <x v="0"/>
    <s v="COORDINADOR BIM"/>
    <n v="6012426"/>
    <x v="0"/>
    <s v="ECONÓMICA"/>
    <m/>
    <m/>
  </r>
  <r>
    <x v="39"/>
    <x v="15"/>
    <x v="0"/>
    <x v="0"/>
    <s v="COORDINADOR BIM"/>
    <n v="6012426"/>
    <x v="0"/>
    <s v="ECONÓMICA"/>
    <m/>
    <m/>
  </r>
  <r>
    <x v="39"/>
    <x v="3"/>
    <x v="0"/>
    <x v="0"/>
    <s v="RESIDENTE DE CONTROL DE PRESUPUESTO Y PROGRAMACION"/>
    <n v="4941720"/>
    <x v="0"/>
    <s v="ECONÓMICA"/>
    <m/>
    <m/>
  </r>
  <r>
    <x v="39"/>
    <x v="4"/>
    <x v="0"/>
    <x v="0"/>
    <s v="RESIDENTE DE CONTROL DE PRESUPUESTO Y PROGRAMACION"/>
    <n v="4941720"/>
    <x v="0"/>
    <s v="ECONÓMICA"/>
    <m/>
    <m/>
  </r>
  <r>
    <x v="39"/>
    <x v="5"/>
    <x v="0"/>
    <x v="0"/>
    <s v="RESIDENTE DE CONTROL DE PRESUPUESTO Y PROGRAMACION"/>
    <n v="4941720"/>
    <x v="0"/>
    <s v="ECONÓMICA"/>
    <m/>
    <m/>
  </r>
  <r>
    <x v="39"/>
    <x v="6"/>
    <x v="0"/>
    <x v="0"/>
    <s v="RESIDENTE DE CONTROL DE PRESUPUESTO Y PROGRAMACION"/>
    <n v="4941720"/>
    <x v="0"/>
    <s v="ECONÓMICA"/>
    <m/>
    <m/>
  </r>
  <r>
    <x v="39"/>
    <x v="7"/>
    <x v="0"/>
    <x v="0"/>
    <s v="RESIDENTE DE CONTROL DE PRESUPUESTO Y PROGRAMACION"/>
    <n v="4941720"/>
    <x v="0"/>
    <s v="ECONÓMICA"/>
    <m/>
    <m/>
  </r>
  <r>
    <x v="39"/>
    <x v="8"/>
    <x v="0"/>
    <x v="0"/>
    <s v="RESIDENTE DE CONTROL DE PRESUPUESTO Y PROGRAMACION"/>
    <n v="4941720"/>
    <x v="0"/>
    <s v="ECONÓMICA"/>
    <m/>
    <m/>
  </r>
  <r>
    <x v="39"/>
    <x v="9"/>
    <x v="0"/>
    <x v="0"/>
    <s v="RESIDENTE DE CONTROL DE PRESUPUESTO Y PROGRAMACION"/>
    <n v="4941720"/>
    <x v="0"/>
    <s v="ECONÓMICA"/>
    <m/>
    <m/>
  </r>
  <r>
    <x v="39"/>
    <x v="10"/>
    <x v="0"/>
    <x v="0"/>
    <s v="RESIDENTE DE CONTROL DE PRESUPUESTO Y PROGRAMACION"/>
    <n v="4941720"/>
    <x v="0"/>
    <s v="ECONÓMICA"/>
    <m/>
    <m/>
  </r>
  <r>
    <x v="39"/>
    <x v="11"/>
    <x v="0"/>
    <x v="0"/>
    <s v="RESIDENTE DE CONTROL DE PRESUPUESTO Y PROGRAMACION"/>
    <n v="4941720"/>
    <x v="0"/>
    <s v="ECONÓMICA"/>
    <m/>
    <m/>
  </r>
  <r>
    <x v="39"/>
    <x v="12"/>
    <x v="0"/>
    <x v="0"/>
    <s v="RESIDENTE DE CONTROL DE PRESUPUESTO Y PROGRAMACION"/>
    <n v="4941720"/>
    <x v="0"/>
    <s v="ECONÓMICA"/>
    <m/>
    <m/>
  </r>
  <r>
    <x v="39"/>
    <x v="13"/>
    <x v="0"/>
    <x v="0"/>
    <s v="RESIDENTE DE CONTROL DE PRESUPUESTO Y PROGRAMACION"/>
    <n v="4941720"/>
    <x v="0"/>
    <s v="ECONÓMICA"/>
    <m/>
    <m/>
  </r>
  <r>
    <x v="39"/>
    <x v="14"/>
    <x v="0"/>
    <x v="0"/>
    <s v="RESIDENTE DE CONTROL DE PRESUPUESTO Y PROGRAMACION"/>
    <n v="4941720"/>
    <x v="0"/>
    <s v="ECONÓMICA"/>
    <m/>
    <m/>
  </r>
  <r>
    <x v="39"/>
    <x v="15"/>
    <x v="0"/>
    <x v="0"/>
    <s v="RESIDENTE DE CONTROL DE PRESUPUESTO Y PROGRAMACION"/>
    <n v="4941720"/>
    <x v="0"/>
    <s v="ECONÓMICA"/>
    <m/>
    <m/>
  </r>
  <r>
    <x v="39"/>
    <x v="3"/>
    <x v="0"/>
    <x v="0"/>
    <s v="RESIDENTE SISOMA"/>
    <n v="4612272"/>
    <x v="0"/>
    <s v="ECONÓMICA"/>
    <m/>
    <m/>
  </r>
  <r>
    <x v="39"/>
    <x v="4"/>
    <x v="0"/>
    <x v="0"/>
    <s v="RESIDENTE SISOMA"/>
    <n v="4612272"/>
    <x v="0"/>
    <s v="ECONÓMICA"/>
    <m/>
    <m/>
  </r>
  <r>
    <x v="39"/>
    <x v="5"/>
    <x v="0"/>
    <x v="0"/>
    <s v="RESIDENTE SISOMA"/>
    <n v="4612272"/>
    <x v="0"/>
    <s v="ECONÓMICA"/>
    <m/>
    <m/>
  </r>
  <r>
    <x v="39"/>
    <x v="6"/>
    <x v="0"/>
    <x v="0"/>
    <s v="RESIDENTE SISOMA"/>
    <n v="4612272"/>
    <x v="0"/>
    <s v="ECONÓMICA"/>
    <m/>
    <m/>
  </r>
  <r>
    <x v="39"/>
    <x v="7"/>
    <x v="0"/>
    <x v="0"/>
    <s v="RESIDENTE SISOMA"/>
    <n v="4612272"/>
    <x v="0"/>
    <s v="ECONÓMICA"/>
    <m/>
    <m/>
  </r>
  <r>
    <x v="39"/>
    <x v="8"/>
    <x v="0"/>
    <x v="0"/>
    <s v="RESIDENTE SISOMA"/>
    <n v="4612272"/>
    <x v="0"/>
    <s v="ECONÓMICA"/>
    <m/>
    <m/>
  </r>
  <r>
    <x v="39"/>
    <x v="9"/>
    <x v="0"/>
    <x v="0"/>
    <s v="RESIDENTE SISOMA"/>
    <n v="4612272"/>
    <x v="0"/>
    <s v="ECONÓMICA"/>
    <m/>
    <m/>
  </r>
  <r>
    <x v="39"/>
    <x v="10"/>
    <x v="0"/>
    <x v="0"/>
    <s v="RESIDENTE SISOMA"/>
    <n v="4612272"/>
    <x v="0"/>
    <s v="ECONÓMICA"/>
    <m/>
    <m/>
  </r>
  <r>
    <x v="39"/>
    <x v="11"/>
    <x v="0"/>
    <x v="0"/>
    <s v="RESIDENTE SISOMA"/>
    <n v="4612272"/>
    <x v="0"/>
    <s v="ECONÓMICA"/>
    <m/>
    <m/>
  </r>
  <r>
    <x v="39"/>
    <x v="12"/>
    <x v="0"/>
    <x v="0"/>
    <s v="RESIDENTE SISOMA"/>
    <n v="4612272"/>
    <x v="0"/>
    <s v="ECONÓMICA"/>
    <m/>
    <m/>
  </r>
  <r>
    <x v="39"/>
    <x v="13"/>
    <x v="0"/>
    <x v="0"/>
    <s v="RESIDENTE SISOMA"/>
    <n v="4612272"/>
    <x v="0"/>
    <s v="ECONÓMICA"/>
    <m/>
    <m/>
  </r>
  <r>
    <x v="39"/>
    <x v="14"/>
    <x v="0"/>
    <x v="0"/>
    <s v="RESIDENTE SISOMA"/>
    <n v="4612272"/>
    <x v="0"/>
    <s v="ECONÓMICA"/>
    <m/>
    <m/>
  </r>
  <r>
    <x v="39"/>
    <x v="15"/>
    <x v="0"/>
    <x v="0"/>
    <s v="RESIDENTE SISOMA"/>
    <n v="4612272"/>
    <x v="0"/>
    <s v="ECONÓMICA"/>
    <m/>
    <m/>
  </r>
  <r>
    <x v="39"/>
    <x v="3"/>
    <x v="0"/>
    <x v="0"/>
    <s v="INSPECTOR DE OBRA 1"/>
    <n v="3669727.95"/>
    <x v="0"/>
    <s v="ECONÓMICA"/>
    <m/>
    <m/>
  </r>
  <r>
    <x v="39"/>
    <x v="4"/>
    <x v="0"/>
    <x v="0"/>
    <s v="INSPECTOR DE OBRA 1"/>
    <n v="3669727.95"/>
    <x v="0"/>
    <s v="ECONÓMICA"/>
    <m/>
    <m/>
  </r>
  <r>
    <x v="39"/>
    <x v="5"/>
    <x v="0"/>
    <x v="0"/>
    <s v="INSPECTOR DE OBRA 1"/>
    <n v="3669727.95"/>
    <x v="0"/>
    <s v="ECONÓMICA"/>
    <m/>
    <m/>
  </r>
  <r>
    <x v="39"/>
    <x v="6"/>
    <x v="0"/>
    <x v="0"/>
    <s v="INSPECTOR DE OBRA 1"/>
    <n v="3669727.95"/>
    <x v="0"/>
    <s v="ECONÓMICA"/>
    <m/>
    <m/>
  </r>
  <r>
    <x v="39"/>
    <x v="7"/>
    <x v="0"/>
    <x v="0"/>
    <s v="INSPECTOR DE OBRA 1"/>
    <n v="3669727.95"/>
    <x v="0"/>
    <s v="ECONÓMICA"/>
    <m/>
    <m/>
  </r>
  <r>
    <x v="39"/>
    <x v="8"/>
    <x v="0"/>
    <x v="0"/>
    <s v="INSPECTOR DE OBRA 1"/>
    <n v="3669727.95"/>
    <x v="0"/>
    <s v="ECONÓMICA"/>
    <m/>
    <m/>
  </r>
  <r>
    <x v="39"/>
    <x v="9"/>
    <x v="0"/>
    <x v="0"/>
    <s v="INSPECTOR DE OBRA 1"/>
    <n v="3669727.95"/>
    <x v="0"/>
    <s v="ECONÓMICA"/>
    <m/>
    <m/>
  </r>
  <r>
    <x v="39"/>
    <x v="10"/>
    <x v="0"/>
    <x v="0"/>
    <s v="INSPECTOR DE OBRA 1"/>
    <n v="3669727.95"/>
    <x v="0"/>
    <s v="ECONÓMICA"/>
    <m/>
    <m/>
  </r>
  <r>
    <x v="39"/>
    <x v="11"/>
    <x v="0"/>
    <x v="0"/>
    <s v="INSPECTOR DE OBRA 1"/>
    <n v="3669727.95"/>
    <x v="0"/>
    <s v="ECONÓMICA"/>
    <m/>
    <m/>
  </r>
  <r>
    <x v="39"/>
    <x v="12"/>
    <x v="0"/>
    <x v="0"/>
    <s v="INSPECTOR DE OBRA 1"/>
    <n v="3669727.95"/>
    <x v="0"/>
    <s v="ECONÓMICA"/>
    <m/>
    <m/>
  </r>
  <r>
    <x v="39"/>
    <x v="13"/>
    <x v="0"/>
    <x v="0"/>
    <s v="INSPECTOR DE OBRA 1"/>
    <n v="3669727.95"/>
    <x v="0"/>
    <s v="ECONÓMICA"/>
    <m/>
    <m/>
  </r>
  <r>
    <x v="39"/>
    <x v="14"/>
    <x v="0"/>
    <x v="0"/>
    <s v="INSPECTOR DE OBRA 1"/>
    <n v="3669727.95"/>
    <x v="0"/>
    <s v="ECONÓMICA"/>
    <m/>
    <m/>
  </r>
  <r>
    <x v="39"/>
    <x v="15"/>
    <x v="0"/>
    <x v="0"/>
    <s v="INSPECTOR DE OBRA 1"/>
    <n v="3669727.95"/>
    <x v="0"/>
    <s v="ECONÓMICA"/>
    <m/>
    <m/>
  </r>
  <r>
    <x v="39"/>
    <x v="3"/>
    <x v="0"/>
    <x v="0"/>
    <s v="INSPECTOR DE OBRA 2"/>
    <n v="3678242.4"/>
    <x v="0"/>
    <s v="ECONÓMICA"/>
    <m/>
    <m/>
  </r>
  <r>
    <x v="39"/>
    <x v="4"/>
    <x v="0"/>
    <x v="0"/>
    <s v="INSPECTOR DE OBRA 2"/>
    <n v="3678242.4"/>
    <x v="0"/>
    <s v="ECONÓMICA"/>
    <m/>
    <m/>
  </r>
  <r>
    <x v="39"/>
    <x v="5"/>
    <x v="0"/>
    <x v="0"/>
    <s v="INSPECTOR DE OBRA 2"/>
    <n v="3678242.4"/>
    <x v="0"/>
    <s v="ECONÓMICA"/>
    <m/>
    <m/>
  </r>
  <r>
    <x v="39"/>
    <x v="6"/>
    <x v="0"/>
    <x v="0"/>
    <s v="INSPECTOR DE OBRA 2"/>
    <n v="3678242.4"/>
    <x v="0"/>
    <s v="ECONÓMICA"/>
    <m/>
    <m/>
  </r>
  <r>
    <x v="39"/>
    <x v="7"/>
    <x v="0"/>
    <x v="0"/>
    <s v="INSPECTOR DE OBRA 2"/>
    <n v="3678242.4"/>
    <x v="0"/>
    <s v="ECONÓMICA"/>
    <m/>
    <m/>
  </r>
  <r>
    <x v="39"/>
    <x v="8"/>
    <x v="0"/>
    <x v="0"/>
    <s v="INSPECTOR DE OBRA 2"/>
    <n v="3678242.4"/>
    <x v="0"/>
    <s v="ECONÓMICA"/>
    <m/>
    <m/>
  </r>
  <r>
    <x v="39"/>
    <x v="9"/>
    <x v="0"/>
    <x v="0"/>
    <s v="INSPECTOR DE OBRA 2"/>
    <n v="3678242.4"/>
    <x v="0"/>
    <s v="ECONÓMICA"/>
    <m/>
    <m/>
  </r>
  <r>
    <x v="39"/>
    <x v="10"/>
    <x v="0"/>
    <x v="0"/>
    <s v="INSPECTOR DE OBRA 2"/>
    <n v="3678242.4"/>
    <x v="0"/>
    <s v="ECONÓMICA"/>
    <m/>
    <m/>
  </r>
  <r>
    <x v="39"/>
    <x v="11"/>
    <x v="0"/>
    <x v="0"/>
    <s v="INSPECTOR DE OBRA 2"/>
    <n v="3678242.4"/>
    <x v="0"/>
    <s v="ECONÓMICA"/>
    <m/>
    <m/>
  </r>
  <r>
    <x v="39"/>
    <x v="12"/>
    <x v="0"/>
    <x v="0"/>
    <s v="INSPECTOR DE OBRA 2"/>
    <n v="3678242.4"/>
    <x v="0"/>
    <s v="ECONÓMICA"/>
    <m/>
    <m/>
  </r>
  <r>
    <x v="39"/>
    <x v="13"/>
    <x v="0"/>
    <x v="0"/>
    <s v="INSPECTOR DE OBRA 2"/>
    <n v="3678242.4"/>
    <x v="0"/>
    <s v="ECONÓMICA"/>
    <m/>
    <m/>
  </r>
  <r>
    <x v="39"/>
    <x v="14"/>
    <x v="0"/>
    <x v="0"/>
    <s v="INSPECTOR DE OBRA 2"/>
    <n v="3678242.4"/>
    <x v="0"/>
    <s v="ECONÓMICA"/>
    <m/>
    <m/>
  </r>
  <r>
    <x v="39"/>
    <x v="15"/>
    <x v="0"/>
    <x v="0"/>
    <s v="INSPECTOR DE OBRA 2"/>
    <n v="3678242.4"/>
    <x v="0"/>
    <s v="ECONÓMICA"/>
    <m/>
    <m/>
  </r>
  <r>
    <x v="39"/>
    <x v="3"/>
    <x v="0"/>
    <x v="0"/>
    <s v="INSPECTOR DE OBRA 3"/>
    <n v="3678242.4"/>
    <x v="0"/>
    <s v="ECONÓMICA"/>
    <m/>
    <m/>
  </r>
  <r>
    <x v="39"/>
    <x v="4"/>
    <x v="0"/>
    <x v="0"/>
    <s v="INSPECTOR DE OBRA 3"/>
    <n v="3678242.4"/>
    <x v="0"/>
    <s v="ECONÓMICA"/>
    <m/>
    <m/>
  </r>
  <r>
    <x v="39"/>
    <x v="5"/>
    <x v="0"/>
    <x v="0"/>
    <s v="INSPECTOR DE OBRA 3"/>
    <n v="3678242.4"/>
    <x v="0"/>
    <s v="ECONÓMICA"/>
    <m/>
    <m/>
  </r>
  <r>
    <x v="39"/>
    <x v="6"/>
    <x v="0"/>
    <x v="0"/>
    <s v="INSPECTOR DE OBRA 3"/>
    <n v="3678242.4"/>
    <x v="0"/>
    <s v="ECONÓMICA"/>
    <m/>
    <m/>
  </r>
  <r>
    <x v="39"/>
    <x v="7"/>
    <x v="0"/>
    <x v="0"/>
    <s v="INSPECTOR DE OBRA 3"/>
    <n v="3678242.4"/>
    <x v="0"/>
    <s v="ECONÓMICA"/>
    <m/>
    <m/>
  </r>
  <r>
    <x v="39"/>
    <x v="8"/>
    <x v="0"/>
    <x v="0"/>
    <s v="INSPECTOR DE OBRA 3"/>
    <n v="3678242.4"/>
    <x v="0"/>
    <s v="ECONÓMICA"/>
    <m/>
    <m/>
  </r>
  <r>
    <x v="39"/>
    <x v="9"/>
    <x v="0"/>
    <x v="0"/>
    <s v="INSPECTOR DE OBRA 3"/>
    <n v="3678242.4"/>
    <x v="0"/>
    <s v="ECONÓMICA"/>
    <m/>
    <m/>
  </r>
  <r>
    <x v="39"/>
    <x v="10"/>
    <x v="0"/>
    <x v="0"/>
    <s v="INSPECTOR DE OBRA 3"/>
    <n v="3678242.4"/>
    <x v="0"/>
    <s v="ECONÓMICA"/>
    <m/>
    <m/>
  </r>
  <r>
    <x v="39"/>
    <x v="11"/>
    <x v="0"/>
    <x v="0"/>
    <s v="INSPECTOR DE OBRA 3"/>
    <n v="3678242.4"/>
    <x v="0"/>
    <s v="ECONÓMICA"/>
    <m/>
    <m/>
  </r>
  <r>
    <x v="40"/>
    <x v="5"/>
    <x v="0"/>
    <x v="0"/>
    <s v="HONORARIOS"/>
    <n v="577000000"/>
    <x v="0"/>
    <s v="CONTRACTUAL"/>
    <m/>
    <m/>
  </r>
  <r>
    <x v="0"/>
    <x v="0"/>
    <x v="0"/>
    <x v="0"/>
    <s v="HONORARIOS"/>
    <n v="29400000"/>
    <x v="0"/>
    <s v="ECONÓMICA"/>
    <m/>
    <m/>
  </r>
  <r>
    <x v="0"/>
    <x v="1"/>
    <x v="0"/>
    <x v="0"/>
    <s v="HONORARIOS"/>
    <n v="29400000"/>
    <x v="0"/>
    <s v="ECONÓMICA"/>
    <m/>
    <m/>
  </r>
  <r>
    <x v="0"/>
    <x v="2"/>
    <x v="0"/>
    <x v="0"/>
    <s v="HONORARIOS"/>
    <n v="29400000"/>
    <x v="0"/>
    <s v="ECONÓMICA"/>
    <m/>
    <m/>
  </r>
  <r>
    <x v="0"/>
    <x v="3"/>
    <x v="0"/>
    <x v="0"/>
    <s v="HONORARIOS"/>
    <n v="29400000"/>
    <x v="0"/>
    <s v="ECONÓMICA"/>
    <m/>
    <m/>
  </r>
  <r>
    <x v="0"/>
    <x v="4"/>
    <x v="0"/>
    <x v="0"/>
    <s v="HONORARIOS"/>
    <n v="29400000"/>
    <x v="0"/>
    <s v="ECONÓMICA"/>
    <m/>
    <m/>
  </r>
  <r>
    <x v="0"/>
    <x v="5"/>
    <x v="0"/>
    <x v="0"/>
    <s v="HONORARIOS"/>
    <n v="29400000"/>
    <x v="0"/>
    <s v="ECONÓMICA"/>
    <m/>
    <m/>
  </r>
  <r>
    <x v="0"/>
    <x v="6"/>
    <x v="0"/>
    <x v="0"/>
    <s v="HONORARIOS"/>
    <n v="29400000"/>
    <x v="0"/>
    <s v="ECONÓMICA"/>
    <m/>
    <m/>
  </r>
  <r>
    <x v="0"/>
    <x v="7"/>
    <x v="0"/>
    <x v="0"/>
    <s v="HONORARIOS"/>
    <n v="29400000"/>
    <x v="0"/>
    <s v="ECONÓMICA"/>
    <m/>
    <m/>
  </r>
  <r>
    <x v="0"/>
    <x v="8"/>
    <x v="0"/>
    <x v="0"/>
    <s v="HONORARIOS"/>
    <n v="29400000"/>
    <x v="0"/>
    <s v="ECONÓMICA"/>
    <m/>
    <m/>
  </r>
  <r>
    <x v="0"/>
    <x v="9"/>
    <x v="0"/>
    <x v="0"/>
    <s v="HONORARIOS"/>
    <n v="29400000"/>
    <x v="0"/>
    <s v="ECONÓMICA"/>
    <m/>
    <m/>
  </r>
  <r>
    <x v="0"/>
    <x v="10"/>
    <x v="0"/>
    <x v="0"/>
    <s v="HONORARIOS"/>
    <n v="29400000"/>
    <x v="0"/>
    <s v="ECONÓMICA"/>
    <m/>
    <m/>
  </r>
  <r>
    <x v="0"/>
    <x v="11"/>
    <x v="0"/>
    <x v="0"/>
    <s v="HONORARIOS"/>
    <n v="29400000"/>
    <x v="0"/>
    <s v="ECONÓMICA"/>
    <m/>
    <m/>
  </r>
  <r>
    <x v="0"/>
    <x v="12"/>
    <x v="0"/>
    <x v="0"/>
    <s v="HONORARIOS"/>
    <n v="29400000"/>
    <x v="0"/>
    <s v="ECONÓMICA"/>
    <m/>
    <m/>
  </r>
  <r>
    <x v="0"/>
    <x v="13"/>
    <x v="0"/>
    <x v="0"/>
    <s v="HONORARIOS"/>
    <n v="29400000"/>
    <x v="0"/>
    <s v="ECONÓMICA"/>
    <m/>
    <m/>
  </r>
  <r>
    <x v="2"/>
    <x v="0"/>
    <x v="0"/>
    <x v="0"/>
    <s v="HONORARIOS"/>
    <n v="21263797.894736841"/>
    <x v="0"/>
    <s v="CONTRACTUAL"/>
    <m/>
    <m/>
  </r>
  <r>
    <x v="2"/>
    <x v="1"/>
    <x v="0"/>
    <x v="0"/>
    <s v="HONORARIOS"/>
    <n v="21263797.894736841"/>
    <x v="0"/>
    <s v="CONTRACTUAL"/>
    <m/>
    <m/>
  </r>
  <r>
    <x v="2"/>
    <x v="2"/>
    <x v="0"/>
    <x v="0"/>
    <s v="HONORARIOS"/>
    <n v="21263797.894736841"/>
    <x v="0"/>
    <s v="CONTRACTUAL"/>
    <m/>
    <m/>
  </r>
  <r>
    <x v="2"/>
    <x v="3"/>
    <x v="0"/>
    <x v="0"/>
    <s v="HONORARIOS"/>
    <n v="21263797.894736841"/>
    <x v="0"/>
    <s v="CONTRACTUAL"/>
    <m/>
    <m/>
  </r>
  <r>
    <x v="2"/>
    <x v="4"/>
    <x v="0"/>
    <x v="0"/>
    <s v="HONORARIOS"/>
    <n v="21263797.894736841"/>
    <x v="0"/>
    <s v="CONTRACTUAL"/>
    <m/>
    <m/>
  </r>
  <r>
    <x v="2"/>
    <x v="5"/>
    <x v="0"/>
    <x v="0"/>
    <s v="HONORARIOS"/>
    <n v="21263797.894736841"/>
    <x v="0"/>
    <s v="CONTRACTUAL"/>
    <m/>
    <m/>
  </r>
  <r>
    <x v="4"/>
    <x v="0"/>
    <x v="0"/>
    <x v="0"/>
    <s v="HONORARIOS"/>
    <n v="15665740"/>
    <x v="0"/>
    <s v="CONTRACTUAL"/>
    <m/>
    <m/>
  </r>
  <r>
    <x v="4"/>
    <x v="1"/>
    <x v="0"/>
    <x v="0"/>
    <s v="HONORARIOS"/>
    <n v="15665740"/>
    <x v="0"/>
    <s v="CONTRACTUAL"/>
    <m/>
    <m/>
  </r>
  <r>
    <x v="4"/>
    <x v="2"/>
    <x v="0"/>
    <x v="0"/>
    <s v="HONORARIOS"/>
    <n v="15665740"/>
    <x v="0"/>
    <s v="CONTRACTUAL"/>
    <m/>
    <m/>
  </r>
  <r>
    <x v="4"/>
    <x v="3"/>
    <x v="0"/>
    <x v="0"/>
    <s v="HONORARIOS"/>
    <n v="15665740"/>
    <x v="0"/>
    <s v="CONTRACTUAL"/>
    <m/>
    <m/>
  </r>
  <r>
    <x v="4"/>
    <x v="4"/>
    <x v="0"/>
    <x v="0"/>
    <s v="HONORARIOS"/>
    <n v="15665740"/>
    <x v="0"/>
    <s v="CONTRACTUAL"/>
    <m/>
    <m/>
  </r>
  <r>
    <x v="4"/>
    <x v="5"/>
    <x v="0"/>
    <x v="0"/>
    <s v="HONORARIOS"/>
    <n v="15665740"/>
    <x v="0"/>
    <s v="CONTRACTUAL"/>
    <m/>
    <m/>
  </r>
  <r>
    <x v="4"/>
    <x v="6"/>
    <x v="0"/>
    <x v="0"/>
    <s v="HONORARIOS"/>
    <n v="15665740"/>
    <x v="0"/>
    <s v="CONTRACTUAL"/>
    <m/>
    <m/>
  </r>
  <r>
    <x v="4"/>
    <x v="7"/>
    <x v="0"/>
    <x v="0"/>
    <s v="HONORARIOS"/>
    <n v="15665740"/>
    <x v="0"/>
    <s v="CONTRACTUAL"/>
    <m/>
    <m/>
  </r>
  <r>
    <x v="4"/>
    <x v="8"/>
    <x v="0"/>
    <x v="0"/>
    <s v="HONORARIOS"/>
    <n v="15665740"/>
    <x v="0"/>
    <s v="CONTRACTUAL"/>
    <m/>
    <m/>
  </r>
  <r>
    <x v="41"/>
    <x v="0"/>
    <x v="0"/>
    <x v="0"/>
    <s v="HONORARIOS"/>
    <n v="35458635"/>
    <x v="0"/>
    <s v="CONTRACTUAL"/>
    <m/>
    <m/>
  </r>
  <r>
    <x v="41"/>
    <x v="1"/>
    <x v="0"/>
    <x v="0"/>
    <s v="HONORARIOS"/>
    <n v="35458635"/>
    <x v="0"/>
    <s v="CONTRACTUAL"/>
    <m/>
    <m/>
  </r>
  <r>
    <x v="41"/>
    <x v="2"/>
    <x v="0"/>
    <x v="0"/>
    <s v="HONORARIOS"/>
    <n v="35458635"/>
    <x v="0"/>
    <s v="CONTRACTUAL"/>
    <m/>
    <m/>
  </r>
  <r>
    <x v="41"/>
    <x v="3"/>
    <x v="0"/>
    <x v="0"/>
    <s v="HONORARIOS"/>
    <n v="35458635"/>
    <x v="0"/>
    <s v="CONTRACTUAL"/>
    <m/>
    <m/>
  </r>
  <r>
    <x v="41"/>
    <x v="4"/>
    <x v="0"/>
    <x v="0"/>
    <s v="HONORARIOS"/>
    <n v="35458635"/>
    <x v="0"/>
    <s v="CONTRACTUAL"/>
    <m/>
    <m/>
  </r>
  <r>
    <x v="41"/>
    <x v="5"/>
    <x v="0"/>
    <x v="0"/>
    <s v="HONORARIOS"/>
    <n v="35458635"/>
    <x v="0"/>
    <s v="CONTRACTUAL"/>
    <m/>
    <m/>
  </r>
  <r>
    <x v="41"/>
    <x v="6"/>
    <x v="0"/>
    <x v="0"/>
    <s v="HONORARIOS"/>
    <n v="35458635"/>
    <x v="0"/>
    <s v="CONTRACTUAL"/>
    <m/>
    <m/>
  </r>
  <r>
    <x v="41"/>
    <x v="7"/>
    <x v="0"/>
    <x v="0"/>
    <s v="HONORARIOS"/>
    <n v="35458635"/>
    <x v="0"/>
    <s v="CONTRACTUAL"/>
    <m/>
    <m/>
  </r>
  <r>
    <x v="6"/>
    <x v="0"/>
    <x v="0"/>
    <x v="0"/>
    <s v="HONORARIOS"/>
    <n v="15500000"/>
    <x v="0"/>
    <s v="CONTRACTUAL"/>
    <m/>
    <m/>
  </r>
  <r>
    <x v="6"/>
    <x v="1"/>
    <x v="0"/>
    <x v="0"/>
    <s v="HONORARIOS"/>
    <n v="15500000"/>
    <x v="0"/>
    <s v="CONTRACTUAL"/>
    <m/>
    <m/>
  </r>
  <r>
    <x v="22"/>
    <x v="0"/>
    <x v="0"/>
    <x v="0"/>
    <s v="HONORARIOS"/>
    <n v="10000000"/>
    <x v="0"/>
    <s v="CONTRACTUAL"/>
    <m/>
    <m/>
  </r>
  <r>
    <x v="42"/>
    <x v="0"/>
    <x v="0"/>
    <x v="0"/>
    <s v="HONORARIOS"/>
    <n v="62778573"/>
    <x v="0"/>
    <s v="CONTRACTUAL"/>
    <m/>
    <m/>
  </r>
  <r>
    <x v="42"/>
    <x v="1"/>
    <x v="0"/>
    <x v="0"/>
    <s v="HONORARIOS"/>
    <n v="62778573"/>
    <x v="0"/>
    <s v="CONTRACTUAL"/>
    <m/>
    <m/>
  </r>
  <r>
    <x v="42"/>
    <x v="2"/>
    <x v="0"/>
    <x v="0"/>
    <s v="HONORARIOS"/>
    <n v="62778573"/>
    <x v="0"/>
    <s v="CONTRACTUAL"/>
    <m/>
    <m/>
  </r>
  <r>
    <x v="42"/>
    <x v="3"/>
    <x v="0"/>
    <x v="0"/>
    <s v="HONORARIOS"/>
    <n v="62778573"/>
    <x v="0"/>
    <s v="CONTRACTUAL"/>
    <m/>
    <m/>
  </r>
  <r>
    <x v="42"/>
    <x v="4"/>
    <x v="0"/>
    <x v="0"/>
    <s v="HONORARIOS"/>
    <n v="62778573"/>
    <x v="0"/>
    <s v="CONTRACTUAL"/>
    <m/>
    <m/>
  </r>
  <r>
    <x v="7"/>
    <x v="0"/>
    <x v="0"/>
    <x v="0"/>
    <s v="HONORARIOS"/>
    <n v="16500000"/>
    <x v="0"/>
    <s v="ECONÓMICA"/>
    <m/>
    <m/>
  </r>
  <r>
    <x v="7"/>
    <x v="1"/>
    <x v="0"/>
    <x v="0"/>
    <s v="HONORARIOS"/>
    <n v="16500000"/>
    <x v="0"/>
    <s v="ECONÓMICA"/>
    <m/>
    <m/>
  </r>
  <r>
    <x v="7"/>
    <x v="2"/>
    <x v="0"/>
    <x v="0"/>
    <s v="HONORARIOS"/>
    <n v="16500000"/>
    <x v="0"/>
    <s v="ECONÓMICA"/>
    <m/>
    <m/>
  </r>
  <r>
    <x v="7"/>
    <x v="3"/>
    <x v="0"/>
    <x v="0"/>
    <s v="HONORARIOS"/>
    <n v="16500000"/>
    <x v="0"/>
    <s v="ECONÓMICA"/>
    <m/>
    <m/>
  </r>
  <r>
    <x v="7"/>
    <x v="4"/>
    <x v="0"/>
    <x v="0"/>
    <s v="HONORARIOS"/>
    <n v="16500000"/>
    <x v="0"/>
    <s v="ECONÓMICA"/>
    <m/>
    <m/>
  </r>
  <r>
    <x v="7"/>
    <x v="5"/>
    <x v="0"/>
    <x v="0"/>
    <s v="HONORARIOS"/>
    <n v="16500000"/>
    <x v="0"/>
    <s v="ECONÓMICA"/>
    <m/>
    <m/>
  </r>
  <r>
    <x v="7"/>
    <x v="6"/>
    <x v="0"/>
    <x v="0"/>
    <s v="HONORARIOS"/>
    <n v="16500000"/>
    <x v="0"/>
    <s v="ECONÓMICA"/>
    <m/>
    <m/>
  </r>
  <r>
    <x v="7"/>
    <x v="7"/>
    <x v="0"/>
    <x v="0"/>
    <s v="HONORARIOS"/>
    <n v="16500000"/>
    <x v="0"/>
    <s v="ECONÓMICA"/>
    <m/>
    <m/>
  </r>
  <r>
    <x v="7"/>
    <x v="8"/>
    <x v="0"/>
    <x v="0"/>
    <s v="HONORARIOS"/>
    <n v="16500000"/>
    <x v="0"/>
    <s v="ECONÓMICA"/>
    <m/>
    <m/>
  </r>
  <r>
    <x v="7"/>
    <x v="9"/>
    <x v="0"/>
    <x v="0"/>
    <s v="HONORARIOS"/>
    <n v="16500000"/>
    <x v="0"/>
    <s v="ECONÓMICA"/>
    <m/>
    <m/>
  </r>
  <r>
    <x v="7"/>
    <x v="10"/>
    <x v="0"/>
    <x v="0"/>
    <s v="HONORARIOS"/>
    <n v="16500000"/>
    <x v="0"/>
    <s v="ECONÓMICA"/>
    <m/>
    <m/>
  </r>
  <r>
    <x v="7"/>
    <x v="11"/>
    <x v="0"/>
    <x v="0"/>
    <s v="HONORARIOS"/>
    <n v="16500000"/>
    <x v="0"/>
    <s v="ECONÓMICA"/>
    <m/>
    <m/>
  </r>
  <r>
    <x v="8"/>
    <x v="0"/>
    <x v="0"/>
    <x v="0"/>
    <s v="HONORARIOS"/>
    <n v="15400000"/>
    <x v="0"/>
    <s v="CONTRACTUAL"/>
    <m/>
    <m/>
  </r>
  <r>
    <x v="9"/>
    <x v="0"/>
    <x v="0"/>
    <x v="0"/>
    <s v="HONORARIOS"/>
    <n v="21063300"/>
    <x v="0"/>
    <s v="CONTRACTUAL"/>
    <m/>
    <m/>
  </r>
  <r>
    <x v="9"/>
    <x v="1"/>
    <x v="0"/>
    <x v="0"/>
    <s v="HONORARIOS"/>
    <n v="21063300"/>
    <x v="0"/>
    <s v="CONTRACTUAL"/>
    <m/>
    <m/>
  </r>
  <r>
    <x v="9"/>
    <x v="2"/>
    <x v="0"/>
    <x v="0"/>
    <s v="HONORARIOS"/>
    <n v="21063300"/>
    <x v="0"/>
    <s v="CONTRACTUAL"/>
    <m/>
    <m/>
  </r>
  <r>
    <x v="9"/>
    <x v="3"/>
    <x v="0"/>
    <x v="0"/>
    <s v="HONORARIOS"/>
    <n v="21063300"/>
    <x v="0"/>
    <s v="CONTRACTUAL"/>
    <m/>
    <m/>
  </r>
  <r>
    <x v="9"/>
    <x v="4"/>
    <x v="0"/>
    <x v="0"/>
    <s v="HONORARIOS"/>
    <n v="21063300"/>
    <x v="0"/>
    <s v="CONTRACTUAL"/>
    <m/>
    <m/>
  </r>
  <r>
    <x v="9"/>
    <x v="5"/>
    <x v="0"/>
    <x v="0"/>
    <s v="HONORARIOS"/>
    <n v="21063300"/>
    <x v="0"/>
    <s v="CONTRACTUAL"/>
    <m/>
    <m/>
  </r>
  <r>
    <x v="9"/>
    <x v="6"/>
    <x v="0"/>
    <x v="0"/>
    <s v="HONORARIOS"/>
    <n v="21063300"/>
    <x v="0"/>
    <s v="CONTRACTUAL"/>
    <m/>
    <m/>
  </r>
  <r>
    <x v="9"/>
    <x v="7"/>
    <x v="0"/>
    <x v="0"/>
    <s v="HONORARIOS"/>
    <n v="21063300"/>
    <x v="0"/>
    <s v="CONTRACTUAL"/>
    <m/>
    <m/>
  </r>
  <r>
    <x v="9"/>
    <x v="8"/>
    <x v="0"/>
    <x v="0"/>
    <s v="HONORARIOS"/>
    <n v="21063300"/>
    <x v="0"/>
    <s v="CONTRACTUAL"/>
    <m/>
    <m/>
  </r>
  <r>
    <x v="9"/>
    <x v="9"/>
    <x v="0"/>
    <x v="0"/>
    <s v="HONORARIOS"/>
    <n v="21063300"/>
    <x v="0"/>
    <s v="CONTRACTUAL"/>
    <m/>
    <m/>
  </r>
  <r>
    <x v="9"/>
    <x v="10"/>
    <x v="0"/>
    <x v="0"/>
    <s v="HONORARIOS"/>
    <n v="21063300"/>
    <x v="0"/>
    <s v="CONTRACTUAL"/>
    <m/>
    <m/>
  </r>
  <r>
    <x v="9"/>
    <x v="11"/>
    <x v="0"/>
    <x v="0"/>
    <s v="HONORARIOS"/>
    <n v="21063300"/>
    <x v="0"/>
    <s v="CONTRACTUAL"/>
    <m/>
    <m/>
  </r>
  <r>
    <x v="9"/>
    <x v="12"/>
    <x v="0"/>
    <x v="0"/>
    <s v="HONORARIOS"/>
    <n v="21063300"/>
    <x v="0"/>
    <s v="CONTRACTUAL"/>
    <m/>
    <m/>
  </r>
  <r>
    <x v="9"/>
    <x v="13"/>
    <x v="0"/>
    <x v="0"/>
    <s v="HONORARIOS"/>
    <n v="21063300"/>
    <x v="0"/>
    <s v="CONTRACTUAL"/>
    <m/>
    <m/>
  </r>
  <r>
    <x v="43"/>
    <x v="0"/>
    <x v="0"/>
    <x v="0"/>
    <s v="HONORARIOS"/>
    <n v="29813870"/>
    <x v="0"/>
    <s v="CONTRACTUAL"/>
    <m/>
    <m/>
  </r>
  <r>
    <x v="44"/>
    <x v="0"/>
    <x v="0"/>
    <x v="0"/>
    <s v="HONORARIOS"/>
    <n v="39668026.912500001"/>
    <x v="0"/>
    <s v="CONTRACTUAL"/>
    <m/>
    <m/>
  </r>
  <r>
    <x v="44"/>
    <x v="1"/>
    <x v="0"/>
    <x v="0"/>
    <s v="HONORARIOS"/>
    <n v="39668026.912500001"/>
    <x v="0"/>
    <s v="CONTRACTUAL"/>
    <m/>
    <m/>
  </r>
  <r>
    <x v="44"/>
    <x v="2"/>
    <x v="0"/>
    <x v="0"/>
    <s v="HONORARIOS"/>
    <n v="39668026.912500001"/>
    <x v="0"/>
    <s v="CONTRACTUAL"/>
    <m/>
    <m/>
  </r>
  <r>
    <x v="44"/>
    <x v="3"/>
    <x v="0"/>
    <x v="0"/>
    <s v="HONORARIOS"/>
    <n v="39668026.912500001"/>
    <x v="0"/>
    <s v="CONTRACTUAL"/>
    <m/>
    <m/>
  </r>
  <r>
    <x v="44"/>
    <x v="0"/>
    <x v="0"/>
    <x v="0"/>
    <s v="HONORARIOS"/>
    <n v="86911842.894736797"/>
    <x v="0"/>
    <s v="CONTRACTUAL"/>
    <m/>
    <m/>
  </r>
  <r>
    <x v="44"/>
    <x v="1"/>
    <x v="0"/>
    <x v="0"/>
    <s v="HONORARIOS"/>
    <n v="86911842.894736797"/>
    <x v="0"/>
    <s v="CONTRACTUAL"/>
    <m/>
    <m/>
  </r>
  <r>
    <x v="44"/>
    <x v="2"/>
    <x v="0"/>
    <x v="0"/>
    <s v="HONORARIOS"/>
    <n v="86911842.894736797"/>
    <x v="0"/>
    <s v="CONTRACTUAL"/>
    <m/>
    <m/>
  </r>
  <r>
    <x v="44"/>
    <x v="3"/>
    <x v="0"/>
    <x v="0"/>
    <s v="HONORARIOS"/>
    <n v="86911842.894736797"/>
    <x v="0"/>
    <s v="CONTRACTUAL"/>
    <m/>
    <m/>
  </r>
  <r>
    <x v="10"/>
    <x v="0"/>
    <x v="0"/>
    <x v="0"/>
    <s v="HONORARIOS"/>
    <n v="14500000"/>
    <x v="0"/>
    <s v="CONTRACTUAL"/>
    <m/>
    <m/>
  </r>
  <r>
    <x v="10"/>
    <x v="1"/>
    <x v="0"/>
    <x v="0"/>
    <s v="HONORARIOS"/>
    <n v="14500000"/>
    <x v="0"/>
    <s v="CONTRACTUAL"/>
    <m/>
    <m/>
  </r>
  <r>
    <x v="10"/>
    <x v="2"/>
    <x v="0"/>
    <x v="0"/>
    <s v="HONORARIOS"/>
    <n v="14500000"/>
    <x v="0"/>
    <s v="CONTRACTUAL"/>
    <m/>
    <m/>
  </r>
  <r>
    <x v="10"/>
    <x v="3"/>
    <x v="0"/>
    <x v="0"/>
    <s v="HONORARIOS"/>
    <n v="14500000"/>
    <x v="0"/>
    <s v="CONTRACTUAL"/>
    <m/>
    <m/>
  </r>
  <r>
    <x v="10"/>
    <x v="4"/>
    <x v="0"/>
    <x v="0"/>
    <s v="HONORARIOS"/>
    <n v="14500000"/>
    <x v="0"/>
    <s v="CONTRACTUAL"/>
    <m/>
    <m/>
  </r>
  <r>
    <x v="10"/>
    <x v="5"/>
    <x v="0"/>
    <x v="0"/>
    <s v="HONORARIOS"/>
    <n v="14500000"/>
    <x v="0"/>
    <s v="CONTRACTUAL"/>
    <m/>
    <m/>
  </r>
  <r>
    <x v="10"/>
    <x v="6"/>
    <x v="0"/>
    <x v="0"/>
    <s v="HONORARIOS"/>
    <n v="14500000"/>
    <x v="0"/>
    <s v="CONTRACTUAL"/>
    <m/>
    <m/>
  </r>
  <r>
    <x v="10"/>
    <x v="7"/>
    <x v="0"/>
    <x v="0"/>
    <s v="HONORARIOS"/>
    <n v="14500000"/>
    <x v="0"/>
    <s v="CONTRACTUAL"/>
    <m/>
    <m/>
  </r>
  <r>
    <x v="10"/>
    <x v="8"/>
    <x v="0"/>
    <x v="0"/>
    <s v="HONORARIOS"/>
    <n v="14500000"/>
    <x v="0"/>
    <s v="CONTRACTUAL"/>
    <m/>
    <m/>
  </r>
  <r>
    <x v="10"/>
    <x v="9"/>
    <x v="0"/>
    <x v="0"/>
    <s v="HONORARIOS"/>
    <n v="14500000"/>
    <x v="0"/>
    <s v="CONTRACTUAL"/>
    <m/>
    <m/>
  </r>
  <r>
    <x v="10"/>
    <x v="10"/>
    <x v="0"/>
    <x v="0"/>
    <s v="HONORARIOS"/>
    <n v="14500000"/>
    <x v="0"/>
    <s v="CONTRACTUAL"/>
    <m/>
    <m/>
  </r>
  <r>
    <x v="10"/>
    <x v="11"/>
    <x v="0"/>
    <x v="0"/>
    <s v="HONORARIOS"/>
    <n v="14500000"/>
    <x v="0"/>
    <s v="CONTRACTUAL"/>
    <m/>
    <m/>
  </r>
  <r>
    <x v="11"/>
    <x v="0"/>
    <x v="0"/>
    <x v="0"/>
    <s v="HONORARIOS"/>
    <n v="13393000"/>
    <x v="0"/>
    <s v="CONTRACTUAL"/>
    <m/>
    <m/>
  </r>
  <r>
    <x v="11"/>
    <x v="1"/>
    <x v="0"/>
    <x v="0"/>
    <s v="HONORARIOS"/>
    <n v="13393000"/>
    <x v="0"/>
    <s v="CONTRACTUAL"/>
    <m/>
    <m/>
  </r>
  <r>
    <x v="11"/>
    <x v="2"/>
    <x v="0"/>
    <x v="0"/>
    <s v="HONORARIOS"/>
    <n v="13393000"/>
    <x v="0"/>
    <s v="CONTRACTUAL"/>
    <m/>
    <m/>
  </r>
  <r>
    <x v="11"/>
    <x v="3"/>
    <x v="0"/>
    <x v="0"/>
    <s v="HONORARIOS"/>
    <n v="13393000"/>
    <x v="0"/>
    <s v="CONTRACTUAL"/>
    <m/>
    <m/>
  </r>
  <r>
    <x v="11"/>
    <x v="4"/>
    <x v="0"/>
    <x v="0"/>
    <s v="HONORARIOS"/>
    <n v="13393000"/>
    <x v="0"/>
    <s v="CONTRACTUAL"/>
    <m/>
    <m/>
  </r>
  <r>
    <x v="11"/>
    <x v="5"/>
    <x v="0"/>
    <x v="0"/>
    <s v="HONORARIOS"/>
    <n v="13393000"/>
    <x v="0"/>
    <s v="CONTRACTUAL"/>
    <m/>
    <m/>
  </r>
  <r>
    <x v="11"/>
    <x v="6"/>
    <x v="0"/>
    <x v="0"/>
    <s v="HONORARIOS"/>
    <n v="13393000"/>
    <x v="0"/>
    <s v="CONTRACTUAL"/>
    <m/>
    <m/>
  </r>
  <r>
    <x v="11"/>
    <x v="7"/>
    <x v="0"/>
    <x v="0"/>
    <s v="HONORARIOS"/>
    <n v="13393000"/>
    <x v="0"/>
    <s v="CONTRACTUAL"/>
    <m/>
    <m/>
  </r>
  <r>
    <x v="11"/>
    <x v="8"/>
    <x v="0"/>
    <x v="0"/>
    <s v="HONORARIOS"/>
    <n v="13393000"/>
    <x v="0"/>
    <s v="CONTRACTUAL"/>
    <m/>
    <m/>
  </r>
  <r>
    <x v="11"/>
    <x v="9"/>
    <x v="0"/>
    <x v="0"/>
    <s v="HONORARIOS"/>
    <n v="13393000"/>
    <x v="0"/>
    <s v="CONTRACTUAL"/>
    <m/>
    <m/>
  </r>
  <r>
    <x v="11"/>
    <x v="10"/>
    <x v="0"/>
    <x v="0"/>
    <s v="HONORARIOS"/>
    <n v="13393000"/>
    <x v="0"/>
    <s v="CONTRACTUAL"/>
    <m/>
    <m/>
  </r>
  <r>
    <x v="11"/>
    <x v="11"/>
    <x v="0"/>
    <x v="0"/>
    <s v="HONORARIOS"/>
    <n v="13393000"/>
    <x v="0"/>
    <s v="CONTRACTUAL"/>
    <m/>
    <m/>
  </r>
  <r>
    <x v="11"/>
    <x v="12"/>
    <x v="0"/>
    <x v="0"/>
    <s v="HONORARIOS"/>
    <n v="13393000"/>
    <x v="0"/>
    <s v="CONTRACTUAL"/>
    <m/>
    <m/>
  </r>
  <r>
    <x v="11"/>
    <x v="13"/>
    <x v="0"/>
    <x v="0"/>
    <s v="HONORARIOS"/>
    <n v="13393000"/>
    <x v="0"/>
    <s v="CONTRACTUAL"/>
    <m/>
    <m/>
  </r>
  <r>
    <x v="11"/>
    <x v="14"/>
    <x v="0"/>
    <x v="0"/>
    <s v="HONORARIOS"/>
    <n v="13393000"/>
    <x v="0"/>
    <s v="CONTRACTUAL"/>
    <m/>
    <m/>
  </r>
  <r>
    <x v="11"/>
    <x v="15"/>
    <x v="0"/>
    <x v="0"/>
    <s v="HONORARIOS"/>
    <n v="13393000"/>
    <x v="0"/>
    <s v="CONTRACTUAL"/>
    <m/>
    <m/>
  </r>
  <r>
    <x v="11"/>
    <x v="16"/>
    <x v="0"/>
    <x v="0"/>
    <s v="HONORARIOS"/>
    <n v="13393000"/>
    <x v="0"/>
    <s v="CONTRACTUAL"/>
    <m/>
    <m/>
  </r>
  <r>
    <x v="11"/>
    <x v="17"/>
    <x v="0"/>
    <x v="0"/>
    <s v="HONORARIOS"/>
    <n v="13393000"/>
    <x v="0"/>
    <s v="CONTRACTUAL"/>
    <m/>
    <m/>
  </r>
  <r>
    <x v="11"/>
    <x v="0"/>
    <x v="0"/>
    <x v="0"/>
    <s v="HONORARIOS"/>
    <n v="2337394.9579831935"/>
    <x v="0"/>
    <s v="CONTRACTUAL"/>
    <m/>
    <m/>
  </r>
  <r>
    <x v="11"/>
    <x v="1"/>
    <x v="0"/>
    <x v="0"/>
    <s v="HONORARIOS"/>
    <n v="2337394.9579831935"/>
    <x v="0"/>
    <s v="CONTRACTUAL"/>
    <m/>
    <m/>
  </r>
  <r>
    <x v="11"/>
    <x v="2"/>
    <x v="0"/>
    <x v="0"/>
    <s v="HONORARIOS"/>
    <n v="2337394.9579831935"/>
    <x v="0"/>
    <s v="CONTRACTUAL"/>
    <m/>
    <m/>
  </r>
  <r>
    <x v="11"/>
    <x v="3"/>
    <x v="0"/>
    <x v="0"/>
    <s v="HONORARIOS"/>
    <n v="2337394.9579831935"/>
    <x v="0"/>
    <s v="CONTRACTUAL"/>
    <m/>
    <m/>
  </r>
  <r>
    <x v="11"/>
    <x v="4"/>
    <x v="0"/>
    <x v="0"/>
    <s v="HONORARIOS"/>
    <n v="2337394.9579831935"/>
    <x v="0"/>
    <s v="CONTRACTUAL"/>
    <m/>
    <m/>
  </r>
  <r>
    <x v="11"/>
    <x v="5"/>
    <x v="0"/>
    <x v="0"/>
    <s v="HONORARIOS"/>
    <n v="2337394.9579831935"/>
    <x v="0"/>
    <s v="CONTRACTUAL"/>
    <m/>
    <m/>
  </r>
  <r>
    <x v="11"/>
    <x v="6"/>
    <x v="0"/>
    <x v="0"/>
    <s v="HONORARIOS"/>
    <n v="2337394.9579831935"/>
    <x v="0"/>
    <s v="CONTRACTUAL"/>
    <m/>
    <m/>
  </r>
  <r>
    <x v="11"/>
    <x v="7"/>
    <x v="0"/>
    <x v="0"/>
    <s v="HONORARIOS"/>
    <n v="2337394.9579831935"/>
    <x v="0"/>
    <s v="CONTRACTUAL"/>
    <m/>
    <m/>
  </r>
  <r>
    <x v="11"/>
    <x v="8"/>
    <x v="0"/>
    <x v="0"/>
    <s v="HONORARIOS"/>
    <n v="2337394.9579831935"/>
    <x v="0"/>
    <s v="CONTRACTUAL"/>
    <m/>
    <m/>
  </r>
  <r>
    <x v="11"/>
    <x v="9"/>
    <x v="0"/>
    <x v="0"/>
    <s v="HONORARIOS"/>
    <n v="2337394.9579831935"/>
    <x v="0"/>
    <s v="CONTRACTUAL"/>
    <m/>
    <m/>
  </r>
  <r>
    <x v="11"/>
    <x v="10"/>
    <x v="0"/>
    <x v="0"/>
    <s v="HONORARIOS"/>
    <n v="2337394.9579831935"/>
    <x v="0"/>
    <s v="CONTRACTUAL"/>
    <m/>
    <m/>
  </r>
  <r>
    <x v="11"/>
    <x v="11"/>
    <x v="0"/>
    <x v="0"/>
    <s v="HONORARIOS"/>
    <n v="2337394.9579831935"/>
    <x v="0"/>
    <s v="CONTRACTUAL"/>
    <m/>
    <m/>
  </r>
  <r>
    <x v="11"/>
    <x v="12"/>
    <x v="0"/>
    <x v="0"/>
    <s v="HONORARIOS"/>
    <n v="2337394.9579831935"/>
    <x v="0"/>
    <s v="CONTRACTUAL"/>
    <m/>
    <m/>
  </r>
  <r>
    <x v="11"/>
    <x v="13"/>
    <x v="0"/>
    <x v="0"/>
    <s v="HONORARIOS"/>
    <n v="2337394.9579831935"/>
    <x v="0"/>
    <s v="CONTRACTUAL"/>
    <m/>
    <m/>
  </r>
  <r>
    <x v="11"/>
    <x v="14"/>
    <x v="0"/>
    <x v="0"/>
    <s v="HONORARIOS"/>
    <n v="2337394.9579831935"/>
    <x v="0"/>
    <s v="CONTRACTUAL"/>
    <m/>
    <m/>
  </r>
  <r>
    <x v="11"/>
    <x v="15"/>
    <x v="0"/>
    <x v="0"/>
    <s v="HONORARIOS"/>
    <n v="2337394.9579831935"/>
    <x v="0"/>
    <s v="CONTRACTUAL"/>
    <m/>
    <m/>
  </r>
  <r>
    <x v="11"/>
    <x v="16"/>
    <x v="0"/>
    <x v="0"/>
    <s v="HONORARIOS"/>
    <n v="2337394.9579831935"/>
    <x v="0"/>
    <s v="CONTRACTUAL"/>
    <m/>
    <m/>
  </r>
  <r>
    <x v="11"/>
    <x v="17"/>
    <x v="0"/>
    <x v="0"/>
    <s v="HONORARIOS"/>
    <n v="2337394.9579831935"/>
    <x v="0"/>
    <s v="CONTRACTUAL"/>
    <m/>
    <m/>
  </r>
  <r>
    <x v="12"/>
    <x v="0"/>
    <x v="0"/>
    <x v="0"/>
    <s v="HONORARIOS"/>
    <n v="5797541"/>
    <x v="0"/>
    <s v="CONTRACTUAL"/>
    <m/>
    <m/>
  </r>
  <r>
    <x v="12"/>
    <x v="1"/>
    <x v="0"/>
    <x v="0"/>
    <s v="HONORARIOS"/>
    <n v="5797541"/>
    <x v="0"/>
    <s v="CONTRACTUAL"/>
    <m/>
    <m/>
  </r>
  <r>
    <x v="12"/>
    <x v="2"/>
    <x v="0"/>
    <x v="0"/>
    <s v="HONORARIOS"/>
    <n v="5797541"/>
    <x v="0"/>
    <s v="CONTRACTUAL"/>
    <m/>
    <m/>
  </r>
  <r>
    <x v="14"/>
    <x v="0"/>
    <x v="0"/>
    <x v="0"/>
    <s v="HONORARIOS"/>
    <n v="20000000"/>
    <x v="0"/>
    <s v="ECONÓMICA"/>
    <m/>
    <m/>
  </r>
  <r>
    <x v="14"/>
    <x v="1"/>
    <x v="0"/>
    <x v="0"/>
    <s v="HONORARIOS"/>
    <n v="20000000"/>
    <x v="0"/>
    <s v="ECONÓMICA"/>
    <m/>
    <m/>
  </r>
  <r>
    <x v="14"/>
    <x v="2"/>
    <x v="0"/>
    <x v="0"/>
    <s v="HONORARIOS"/>
    <n v="20000000"/>
    <x v="0"/>
    <s v="ECONÓMICA"/>
    <m/>
    <m/>
  </r>
  <r>
    <x v="14"/>
    <x v="3"/>
    <x v="0"/>
    <x v="0"/>
    <s v="HONORARIOS"/>
    <n v="20000000"/>
    <x v="0"/>
    <s v="ECONÓMICA"/>
    <m/>
    <m/>
  </r>
  <r>
    <x v="14"/>
    <x v="4"/>
    <x v="0"/>
    <x v="0"/>
    <s v="HONORARIOS"/>
    <n v="20000000"/>
    <x v="0"/>
    <s v="ECONÓMICA"/>
    <m/>
    <m/>
  </r>
  <r>
    <x v="14"/>
    <x v="5"/>
    <x v="0"/>
    <x v="0"/>
    <s v="HONORARIOS"/>
    <n v="20000000"/>
    <x v="0"/>
    <s v="ECONÓMICA"/>
    <m/>
    <m/>
  </r>
  <r>
    <x v="14"/>
    <x v="6"/>
    <x v="0"/>
    <x v="0"/>
    <s v="HONORARIOS"/>
    <n v="20000000"/>
    <x v="0"/>
    <s v="ECONÓMICA"/>
    <m/>
    <m/>
  </r>
  <r>
    <x v="14"/>
    <x v="7"/>
    <x v="0"/>
    <x v="0"/>
    <s v="HONORARIOS"/>
    <n v="20000000"/>
    <x v="0"/>
    <s v="ECONÓMICA"/>
    <m/>
    <m/>
  </r>
  <r>
    <x v="14"/>
    <x v="8"/>
    <x v="0"/>
    <x v="0"/>
    <s v="HONORARIOS"/>
    <n v="20000000"/>
    <x v="0"/>
    <s v="ECONÓMICA"/>
    <m/>
    <m/>
  </r>
  <r>
    <x v="14"/>
    <x v="9"/>
    <x v="0"/>
    <x v="0"/>
    <s v="HONORARIOS"/>
    <n v="20000000"/>
    <x v="0"/>
    <s v="ECONÓMICA"/>
    <m/>
    <m/>
  </r>
  <r>
    <x v="14"/>
    <x v="10"/>
    <x v="0"/>
    <x v="0"/>
    <s v="HONORARIOS"/>
    <n v="20000000"/>
    <x v="0"/>
    <s v="ECONÓMICA"/>
    <m/>
    <m/>
  </r>
  <r>
    <x v="14"/>
    <x v="11"/>
    <x v="0"/>
    <x v="0"/>
    <s v="HONORARIOS"/>
    <n v="20000000"/>
    <x v="0"/>
    <s v="ECONÓMICA"/>
    <m/>
    <m/>
  </r>
  <r>
    <x v="14"/>
    <x v="12"/>
    <x v="0"/>
    <x v="0"/>
    <s v="HONORARIOS"/>
    <n v="20000000"/>
    <x v="0"/>
    <s v="ECONÓMICA"/>
    <m/>
    <m/>
  </r>
  <r>
    <x v="14"/>
    <x v="13"/>
    <x v="0"/>
    <x v="0"/>
    <s v="HONORARIOS"/>
    <n v="20000000"/>
    <x v="0"/>
    <s v="ECONÓMICA"/>
    <m/>
    <m/>
  </r>
  <r>
    <x v="14"/>
    <x v="14"/>
    <x v="0"/>
    <x v="0"/>
    <s v="HONORARIOS"/>
    <n v="20000000"/>
    <x v="0"/>
    <s v="ECONÓMICA"/>
    <m/>
    <m/>
  </r>
  <r>
    <x v="14"/>
    <x v="15"/>
    <x v="0"/>
    <x v="0"/>
    <s v="HONORARIOS"/>
    <n v="20000000"/>
    <x v="0"/>
    <s v="ECONÓMICA"/>
    <m/>
    <m/>
  </r>
  <r>
    <x v="14"/>
    <x v="16"/>
    <x v="0"/>
    <x v="0"/>
    <s v="HONORARIOS"/>
    <n v="20000000"/>
    <x v="0"/>
    <s v="ECONÓMICA"/>
    <m/>
    <m/>
  </r>
  <r>
    <x v="14"/>
    <x v="17"/>
    <x v="0"/>
    <x v="0"/>
    <s v="HONORARIOS"/>
    <n v="20000000"/>
    <x v="0"/>
    <s v="ECONÓMICA"/>
    <m/>
    <m/>
  </r>
  <r>
    <x v="14"/>
    <x v="18"/>
    <x v="0"/>
    <x v="0"/>
    <s v="HONORARIOS"/>
    <n v="20000000"/>
    <x v="0"/>
    <s v="ECONÓMICA"/>
    <m/>
    <m/>
  </r>
  <r>
    <x v="14"/>
    <x v="19"/>
    <x v="0"/>
    <x v="0"/>
    <s v="HONORARIOS"/>
    <n v="20000000"/>
    <x v="0"/>
    <s v="ECONÓMICA"/>
    <m/>
    <m/>
  </r>
  <r>
    <x v="14"/>
    <x v="20"/>
    <x v="0"/>
    <x v="0"/>
    <s v="HONORARIOS"/>
    <n v="20000000"/>
    <x v="0"/>
    <s v="ECONÓMICA"/>
    <m/>
    <m/>
  </r>
  <r>
    <x v="14"/>
    <x v="21"/>
    <x v="0"/>
    <x v="0"/>
    <s v="HONORARIOS"/>
    <n v="20000000"/>
    <x v="0"/>
    <s v="ECONÓMICA"/>
    <m/>
    <m/>
  </r>
  <r>
    <x v="14"/>
    <x v="22"/>
    <x v="0"/>
    <x v="0"/>
    <s v="HONORARIOS"/>
    <n v="20000000"/>
    <x v="0"/>
    <s v="ECONÓMICA"/>
    <m/>
    <m/>
  </r>
  <r>
    <x v="14"/>
    <x v="23"/>
    <x v="0"/>
    <x v="0"/>
    <s v="HONORARIOS"/>
    <n v="20000000"/>
    <x v="0"/>
    <s v="ECONÓMICA"/>
    <m/>
    <m/>
  </r>
  <r>
    <x v="14"/>
    <x v="24"/>
    <x v="0"/>
    <x v="0"/>
    <s v="HONORARIOS"/>
    <n v="20000000"/>
    <x v="0"/>
    <s v="ECONÓMICA"/>
    <m/>
    <m/>
  </r>
  <r>
    <x v="45"/>
    <x v="0"/>
    <x v="0"/>
    <x v="0"/>
    <s v="HONORARIOS"/>
    <n v="9800000"/>
    <x v="0"/>
    <s v="CONTRACTUAL"/>
    <m/>
    <m/>
  </r>
  <r>
    <x v="45"/>
    <x v="1"/>
    <x v="0"/>
    <x v="0"/>
    <s v="HONORARIOS"/>
    <n v="9800000"/>
    <x v="0"/>
    <s v="CONTRACTUAL"/>
    <m/>
    <m/>
  </r>
  <r>
    <x v="45"/>
    <x v="2"/>
    <x v="0"/>
    <x v="0"/>
    <s v="HONORARIOS"/>
    <n v="9800000"/>
    <x v="0"/>
    <s v="CONTRACTUAL"/>
    <m/>
    <m/>
  </r>
  <r>
    <x v="45"/>
    <x v="3"/>
    <x v="0"/>
    <x v="0"/>
    <s v="HONORARIOS"/>
    <n v="9800000"/>
    <x v="0"/>
    <s v="CONTRACTUAL"/>
    <m/>
    <m/>
  </r>
  <r>
    <x v="45"/>
    <x v="4"/>
    <x v="0"/>
    <x v="0"/>
    <s v="HONORARIOS"/>
    <n v="9800000"/>
    <x v="0"/>
    <s v="CONTRACTUAL"/>
    <m/>
    <m/>
  </r>
  <r>
    <x v="45"/>
    <x v="5"/>
    <x v="0"/>
    <x v="0"/>
    <s v="HONORARIOS"/>
    <n v="9800000"/>
    <x v="0"/>
    <s v="CONTRACTUAL"/>
    <m/>
    <m/>
  </r>
  <r>
    <x v="45"/>
    <x v="6"/>
    <x v="0"/>
    <x v="0"/>
    <s v="HONORARIOS"/>
    <n v="9800000"/>
    <x v="0"/>
    <s v="CONTRACTUAL"/>
    <m/>
    <m/>
  </r>
  <r>
    <x v="45"/>
    <x v="7"/>
    <x v="0"/>
    <x v="0"/>
    <s v="HONORARIOS"/>
    <n v="9800000"/>
    <x v="0"/>
    <s v="CONTRACTUAL"/>
    <m/>
    <m/>
  </r>
  <r>
    <x v="45"/>
    <x v="8"/>
    <x v="0"/>
    <x v="0"/>
    <s v="HONORARIOS"/>
    <n v="9800000"/>
    <x v="0"/>
    <s v="CONTRACTUAL"/>
    <m/>
    <m/>
  </r>
  <r>
    <x v="15"/>
    <x v="0"/>
    <x v="0"/>
    <x v="0"/>
    <s v="HONORARIOS"/>
    <n v="7700000"/>
    <x v="0"/>
    <s v="CONTRACTUAL"/>
    <m/>
    <m/>
  </r>
  <r>
    <x v="15"/>
    <x v="1"/>
    <x v="0"/>
    <x v="0"/>
    <s v="HONORARIOS"/>
    <n v="7700000"/>
    <x v="0"/>
    <s v="CONTRACTUAL"/>
    <m/>
    <m/>
  </r>
  <r>
    <x v="15"/>
    <x v="2"/>
    <x v="0"/>
    <x v="0"/>
    <s v="HONORARIOS"/>
    <n v="7700000"/>
    <x v="0"/>
    <s v="CONTRACTUAL"/>
    <m/>
    <m/>
  </r>
  <r>
    <x v="15"/>
    <x v="3"/>
    <x v="0"/>
    <x v="0"/>
    <s v="HONORARIOS"/>
    <n v="7700000"/>
    <x v="0"/>
    <s v="CONTRACTUAL"/>
    <m/>
    <m/>
  </r>
  <r>
    <x v="15"/>
    <x v="4"/>
    <x v="0"/>
    <x v="0"/>
    <s v="HONORARIOS"/>
    <n v="7700000"/>
    <x v="0"/>
    <s v="CONTRACTUAL"/>
    <m/>
    <m/>
  </r>
  <r>
    <x v="15"/>
    <x v="5"/>
    <x v="0"/>
    <x v="0"/>
    <s v="HONORARIOS"/>
    <n v="7700000"/>
    <x v="0"/>
    <s v="CONTRACTUAL"/>
    <m/>
    <m/>
  </r>
  <r>
    <x v="15"/>
    <x v="6"/>
    <x v="0"/>
    <x v="0"/>
    <s v="HONORARIOS"/>
    <n v="7700000"/>
    <x v="0"/>
    <s v="CONTRACTUAL"/>
    <m/>
    <m/>
  </r>
  <r>
    <x v="15"/>
    <x v="7"/>
    <x v="0"/>
    <x v="0"/>
    <s v="HONORARIOS"/>
    <n v="7700000"/>
    <x v="0"/>
    <s v="CONTRACTUAL"/>
    <m/>
    <m/>
  </r>
  <r>
    <x v="15"/>
    <x v="8"/>
    <x v="0"/>
    <x v="0"/>
    <s v="HONORARIOS"/>
    <n v="7700000"/>
    <x v="0"/>
    <s v="CONTRACTUAL"/>
    <m/>
    <m/>
  </r>
  <r>
    <x v="15"/>
    <x v="9"/>
    <x v="0"/>
    <x v="0"/>
    <s v="HONORARIOS"/>
    <n v="7700000"/>
    <x v="0"/>
    <s v="CONTRACTUAL"/>
    <m/>
    <m/>
  </r>
  <r>
    <x v="15"/>
    <x v="10"/>
    <x v="0"/>
    <x v="0"/>
    <s v="HONORARIOS"/>
    <n v="7700000"/>
    <x v="0"/>
    <s v="CONTRACTUAL"/>
    <m/>
    <m/>
  </r>
  <r>
    <x v="15"/>
    <x v="11"/>
    <x v="0"/>
    <x v="0"/>
    <s v="HONORARIOS"/>
    <n v="7700000"/>
    <x v="0"/>
    <s v="CONTRACTUAL"/>
    <m/>
    <m/>
  </r>
  <r>
    <x v="15"/>
    <x v="12"/>
    <x v="0"/>
    <x v="0"/>
    <s v="HONORARIOS"/>
    <n v="7700000"/>
    <x v="0"/>
    <s v="CONTRACTUAL"/>
    <m/>
    <m/>
  </r>
  <r>
    <x v="15"/>
    <x v="13"/>
    <x v="0"/>
    <x v="0"/>
    <s v="HONORARIOS"/>
    <n v="7700000"/>
    <x v="0"/>
    <s v="CONTRACTUAL"/>
    <m/>
    <m/>
  </r>
  <r>
    <x v="15"/>
    <x v="14"/>
    <x v="0"/>
    <x v="0"/>
    <s v="HONORARIOS"/>
    <n v="7700000"/>
    <x v="0"/>
    <s v="CONTRACTUAL"/>
    <m/>
    <m/>
  </r>
  <r>
    <x v="15"/>
    <x v="15"/>
    <x v="0"/>
    <x v="0"/>
    <s v="HONORARIOS"/>
    <n v="7700000"/>
    <x v="0"/>
    <s v="CONTRACTUAL"/>
    <m/>
    <m/>
  </r>
  <r>
    <x v="15"/>
    <x v="16"/>
    <x v="0"/>
    <x v="0"/>
    <s v="HONORARIOS"/>
    <n v="7700000"/>
    <x v="0"/>
    <s v="CONTRACTUAL"/>
    <m/>
    <m/>
  </r>
  <r>
    <x v="15"/>
    <x v="17"/>
    <x v="0"/>
    <x v="0"/>
    <s v="HONORARIOS"/>
    <n v="7700000"/>
    <x v="0"/>
    <s v="CONTRACTUAL"/>
    <m/>
    <m/>
  </r>
  <r>
    <x v="15"/>
    <x v="18"/>
    <x v="0"/>
    <x v="0"/>
    <s v="HONORARIOS"/>
    <n v="7700000"/>
    <x v="0"/>
    <s v="CONTRACTUAL"/>
    <m/>
    <m/>
  </r>
  <r>
    <x v="15"/>
    <x v="19"/>
    <x v="0"/>
    <x v="0"/>
    <s v="HONORARIOS"/>
    <n v="7700000"/>
    <x v="0"/>
    <s v="CONTRACTUAL"/>
    <m/>
    <m/>
  </r>
  <r>
    <x v="15"/>
    <x v="20"/>
    <x v="0"/>
    <x v="0"/>
    <s v="HONORARIOS"/>
    <n v="7700000"/>
    <x v="0"/>
    <s v="CONTRACTUAL"/>
    <m/>
    <m/>
  </r>
  <r>
    <x v="15"/>
    <x v="21"/>
    <x v="0"/>
    <x v="0"/>
    <s v="HONORARIOS"/>
    <n v="7700000"/>
    <x v="0"/>
    <s v="CONTRACTUAL"/>
    <m/>
    <m/>
  </r>
  <r>
    <x v="15"/>
    <x v="22"/>
    <x v="0"/>
    <x v="0"/>
    <s v="HONORARIOS"/>
    <n v="7700000"/>
    <x v="0"/>
    <s v="CONTRACTUAL"/>
    <m/>
    <m/>
  </r>
  <r>
    <x v="15"/>
    <x v="23"/>
    <x v="0"/>
    <x v="0"/>
    <s v="HONORARIOS"/>
    <n v="7700000"/>
    <x v="0"/>
    <s v="CONTRACTUAL"/>
    <m/>
    <m/>
  </r>
  <r>
    <x v="15"/>
    <x v="24"/>
    <x v="0"/>
    <x v="0"/>
    <s v="HONORARIOS"/>
    <n v="7700000"/>
    <x v="0"/>
    <s v="CONTRACTUAL"/>
    <m/>
    <m/>
  </r>
  <r>
    <x v="15"/>
    <x v="25"/>
    <x v="0"/>
    <x v="0"/>
    <s v="HONORARIOS"/>
    <n v="7700000"/>
    <x v="0"/>
    <s v="CONTRACTUAL"/>
    <m/>
    <m/>
  </r>
  <r>
    <x v="15"/>
    <x v="26"/>
    <x v="0"/>
    <x v="0"/>
    <s v="HONORARIOS"/>
    <n v="7700000"/>
    <x v="0"/>
    <s v="CONTRACTUAL"/>
    <m/>
    <m/>
  </r>
  <r>
    <x v="15"/>
    <x v="27"/>
    <x v="0"/>
    <x v="0"/>
    <s v="HONORARIOS"/>
    <n v="7700000"/>
    <x v="0"/>
    <s v="CONTRACTUAL"/>
    <m/>
    <m/>
  </r>
  <r>
    <x v="16"/>
    <x v="0"/>
    <x v="0"/>
    <x v="0"/>
    <s v="HONORARIOS"/>
    <n v="64030000"/>
    <x v="0"/>
    <s v="CONTRACTUAL"/>
    <m/>
    <m/>
  </r>
  <r>
    <x v="16"/>
    <x v="1"/>
    <x v="0"/>
    <x v="0"/>
    <s v="HONORARIOS"/>
    <n v="64030000"/>
    <x v="0"/>
    <s v="CONTRACTUAL"/>
    <m/>
    <m/>
  </r>
  <r>
    <x v="16"/>
    <x v="2"/>
    <x v="0"/>
    <x v="0"/>
    <s v="HONORARIOS"/>
    <n v="64030000"/>
    <x v="0"/>
    <s v="CONTRACTUAL"/>
    <m/>
    <m/>
  </r>
  <r>
    <x v="16"/>
    <x v="0"/>
    <x v="0"/>
    <x v="0"/>
    <s v="HONORARIOS"/>
    <n v="48811000"/>
    <x v="0"/>
    <s v="CONTRACTUAL"/>
    <m/>
    <m/>
  </r>
  <r>
    <x v="16"/>
    <x v="1"/>
    <x v="0"/>
    <x v="0"/>
    <s v="HONORARIOS"/>
    <n v="48811000"/>
    <x v="0"/>
    <s v="CONTRACTUAL"/>
    <m/>
    <m/>
  </r>
  <r>
    <x v="16"/>
    <x v="2"/>
    <x v="0"/>
    <x v="0"/>
    <s v="HONORARIOS"/>
    <n v="48811000"/>
    <x v="0"/>
    <s v="CONTRACTUAL"/>
    <m/>
    <m/>
  </r>
  <r>
    <x v="16"/>
    <x v="3"/>
    <x v="0"/>
    <x v="0"/>
    <s v="HONORARIOS"/>
    <n v="48811000"/>
    <x v="0"/>
    <s v="CONTRACTUAL"/>
    <m/>
    <m/>
  </r>
  <r>
    <x v="16"/>
    <x v="4"/>
    <x v="0"/>
    <x v="0"/>
    <s v="HONORARIOS"/>
    <n v="48811000"/>
    <x v="0"/>
    <s v="CONTRACTUAL"/>
    <m/>
    <m/>
  </r>
  <r>
    <x v="16"/>
    <x v="5"/>
    <x v="0"/>
    <x v="0"/>
    <s v="HONORARIOS"/>
    <n v="48811000"/>
    <x v="0"/>
    <s v="CONTRACTUAL"/>
    <m/>
    <m/>
  </r>
  <r>
    <x v="16"/>
    <x v="6"/>
    <x v="0"/>
    <x v="0"/>
    <s v="HONORARIOS"/>
    <n v="48811000"/>
    <x v="0"/>
    <s v="CONTRACTUAL"/>
    <m/>
    <m/>
  </r>
  <r>
    <x v="16"/>
    <x v="7"/>
    <x v="0"/>
    <x v="0"/>
    <s v="HONORARIOS"/>
    <n v="48811000"/>
    <x v="0"/>
    <s v="CONTRACTUAL"/>
    <m/>
    <m/>
  </r>
  <r>
    <x v="16"/>
    <x v="8"/>
    <x v="0"/>
    <x v="0"/>
    <s v="HONORARIOS"/>
    <n v="48811000"/>
    <x v="0"/>
    <s v="CONTRACTUAL"/>
    <m/>
    <m/>
  </r>
  <r>
    <x v="16"/>
    <x v="9"/>
    <x v="0"/>
    <x v="0"/>
    <s v="HONORARIOS"/>
    <n v="48811000"/>
    <x v="0"/>
    <s v="CONTRACTUAL"/>
    <m/>
    <m/>
  </r>
  <r>
    <x v="16"/>
    <x v="10"/>
    <x v="0"/>
    <x v="0"/>
    <s v="HONORARIOS"/>
    <n v="48811000"/>
    <x v="0"/>
    <s v="CONTRACTUAL"/>
    <m/>
    <m/>
  </r>
  <r>
    <x v="16"/>
    <x v="11"/>
    <x v="0"/>
    <x v="0"/>
    <s v="HONORARIOS"/>
    <n v="48811000"/>
    <x v="0"/>
    <s v="CONTRACTUAL"/>
    <m/>
    <m/>
  </r>
  <r>
    <x v="16"/>
    <x v="12"/>
    <x v="0"/>
    <x v="0"/>
    <s v="HONORARIOS"/>
    <n v="48811000"/>
    <x v="0"/>
    <s v="CONTRACTUAL"/>
    <m/>
    <m/>
  </r>
  <r>
    <x v="16"/>
    <x v="13"/>
    <x v="0"/>
    <x v="0"/>
    <s v="HONORARIOS"/>
    <n v="48811000"/>
    <x v="0"/>
    <s v="CONTRACTUAL"/>
    <m/>
    <m/>
  </r>
  <r>
    <x v="16"/>
    <x v="14"/>
    <x v="0"/>
    <x v="0"/>
    <s v="HONORARIOS"/>
    <n v="48811000"/>
    <x v="0"/>
    <s v="CONTRACTUAL"/>
    <m/>
    <m/>
  </r>
  <r>
    <x v="16"/>
    <x v="15"/>
    <x v="0"/>
    <x v="0"/>
    <s v="HONORARIOS"/>
    <n v="48811000"/>
    <x v="0"/>
    <s v="CONTRACTUAL"/>
    <m/>
    <m/>
  </r>
  <r>
    <x v="16"/>
    <x v="16"/>
    <x v="0"/>
    <x v="0"/>
    <s v="HONORARIOS"/>
    <n v="48811000"/>
    <x v="0"/>
    <s v="CONTRACTUAL"/>
    <m/>
    <m/>
  </r>
  <r>
    <x v="16"/>
    <x v="17"/>
    <x v="0"/>
    <x v="0"/>
    <s v="HONORARIOS"/>
    <n v="48811000"/>
    <x v="0"/>
    <s v="CONTRACTUAL"/>
    <m/>
    <m/>
  </r>
  <r>
    <x v="16"/>
    <x v="18"/>
    <x v="0"/>
    <x v="0"/>
    <s v="HONORARIOS"/>
    <n v="48811000"/>
    <x v="0"/>
    <s v="CONTRACTUAL"/>
    <m/>
    <m/>
  </r>
  <r>
    <x v="16"/>
    <x v="19"/>
    <x v="0"/>
    <x v="0"/>
    <s v="HONORARIOS"/>
    <n v="48811000"/>
    <x v="0"/>
    <s v="CONTRACTUAL"/>
    <m/>
    <m/>
  </r>
  <r>
    <x v="16"/>
    <x v="20"/>
    <x v="0"/>
    <x v="0"/>
    <s v="HONORARIOS"/>
    <n v="48811000"/>
    <x v="0"/>
    <s v="CONTRACTUAL"/>
    <m/>
    <m/>
  </r>
  <r>
    <x v="16"/>
    <x v="21"/>
    <x v="0"/>
    <x v="0"/>
    <s v="HONORARIOS"/>
    <n v="48811000"/>
    <x v="0"/>
    <s v="CONTRACTUAL"/>
    <m/>
    <m/>
  </r>
  <r>
    <x v="16"/>
    <x v="22"/>
    <x v="0"/>
    <x v="0"/>
    <s v="HONORARIOS"/>
    <n v="48811000"/>
    <x v="0"/>
    <s v="CONTRACTUAL"/>
    <m/>
    <m/>
  </r>
  <r>
    <x v="16"/>
    <x v="23"/>
    <x v="0"/>
    <x v="0"/>
    <s v="HONORARIOS"/>
    <n v="48811000"/>
    <x v="0"/>
    <s v="CONTRACTUAL"/>
    <m/>
    <m/>
  </r>
  <r>
    <x v="17"/>
    <x v="0"/>
    <x v="0"/>
    <x v="0"/>
    <s v="HONORARIOS"/>
    <n v="6950000"/>
    <x v="0"/>
    <s v="CONTRACTUAL"/>
    <m/>
    <m/>
  </r>
  <r>
    <x v="17"/>
    <x v="1"/>
    <x v="0"/>
    <x v="0"/>
    <s v="HONORARIOS"/>
    <n v="6950000"/>
    <x v="0"/>
    <s v="CONTRACTUAL"/>
    <m/>
    <m/>
  </r>
  <r>
    <x v="17"/>
    <x v="2"/>
    <x v="0"/>
    <x v="0"/>
    <s v="HONORARIOS"/>
    <n v="6950000"/>
    <x v="0"/>
    <s v="CONTRACTUAL"/>
    <m/>
    <m/>
  </r>
  <r>
    <x v="17"/>
    <x v="3"/>
    <x v="0"/>
    <x v="0"/>
    <s v="HONORARIOS"/>
    <n v="6950000"/>
    <x v="0"/>
    <s v="CONTRACTUAL"/>
    <m/>
    <m/>
  </r>
  <r>
    <x v="17"/>
    <x v="4"/>
    <x v="0"/>
    <x v="0"/>
    <s v="HONORARIOS"/>
    <n v="6950000"/>
    <x v="0"/>
    <s v="CONTRACTUAL"/>
    <m/>
    <m/>
  </r>
  <r>
    <x v="17"/>
    <x v="5"/>
    <x v="0"/>
    <x v="0"/>
    <s v="HONORARIOS"/>
    <n v="6950000"/>
    <x v="0"/>
    <s v="CONTRACTUAL"/>
    <m/>
    <m/>
  </r>
  <r>
    <x v="17"/>
    <x v="6"/>
    <x v="0"/>
    <x v="0"/>
    <s v="HONORARIOS"/>
    <n v="6950000"/>
    <x v="0"/>
    <s v="CONTRACTUAL"/>
    <m/>
    <m/>
  </r>
  <r>
    <x v="17"/>
    <x v="7"/>
    <x v="0"/>
    <x v="0"/>
    <s v="HONORARIOS"/>
    <n v="6950000"/>
    <x v="0"/>
    <s v="CONTRACTUAL"/>
    <m/>
    <m/>
  </r>
  <r>
    <x v="17"/>
    <x v="8"/>
    <x v="0"/>
    <x v="0"/>
    <s v="HONORARIOS"/>
    <n v="6950000"/>
    <x v="0"/>
    <s v="CONTRACTUAL"/>
    <m/>
    <m/>
  </r>
  <r>
    <x v="17"/>
    <x v="9"/>
    <x v="0"/>
    <x v="0"/>
    <s v="HONORARIOS"/>
    <n v="6950000"/>
    <x v="0"/>
    <s v="CONTRACTUAL"/>
    <m/>
    <m/>
  </r>
  <r>
    <x v="17"/>
    <x v="10"/>
    <x v="0"/>
    <x v="0"/>
    <s v="HONORARIOS"/>
    <n v="6950000"/>
    <x v="0"/>
    <s v="CONTRACTUAL"/>
    <m/>
    <m/>
  </r>
  <r>
    <x v="17"/>
    <x v="11"/>
    <x v="0"/>
    <x v="0"/>
    <s v="HONORARIOS"/>
    <n v="6950000"/>
    <x v="0"/>
    <s v="CONTRACTUAL"/>
    <m/>
    <m/>
  </r>
  <r>
    <x v="18"/>
    <x v="0"/>
    <x v="0"/>
    <x v="0"/>
    <s v="HONORARIOS"/>
    <n v="19400000"/>
    <x v="0"/>
    <s v="CONTRACTUAL"/>
    <m/>
    <m/>
  </r>
  <r>
    <x v="18"/>
    <x v="1"/>
    <x v="0"/>
    <x v="0"/>
    <s v="HONORARIOS"/>
    <n v="19400000"/>
    <x v="0"/>
    <s v="CONTRACTUAL"/>
    <m/>
    <m/>
  </r>
  <r>
    <x v="18"/>
    <x v="2"/>
    <x v="0"/>
    <x v="0"/>
    <s v="HONORARIOS"/>
    <n v="19400000"/>
    <x v="0"/>
    <s v="CONTRACTUAL"/>
    <m/>
    <m/>
  </r>
  <r>
    <x v="18"/>
    <x v="3"/>
    <x v="0"/>
    <x v="0"/>
    <s v="HONORARIOS"/>
    <n v="19400000"/>
    <x v="0"/>
    <s v="CONTRACTUAL"/>
    <m/>
    <m/>
  </r>
  <r>
    <x v="18"/>
    <x v="4"/>
    <x v="0"/>
    <x v="0"/>
    <s v="HONORARIOS"/>
    <n v="19400000"/>
    <x v="0"/>
    <s v="CONTRACTUAL"/>
    <m/>
    <m/>
  </r>
  <r>
    <x v="18"/>
    <x v="5"/>
    <x v="0"/>
    <x v="0"/>
    <s v="HONORARIOS"/>
    <n v="19400000"/>
    <x v="0"/>
    <s v="CONTRACTUAL"/>
    <m/>
    <m/>
  </r>
  <r>
    <x v="18"/>
    <x v="6"/>
    <x v="0"/>
    <x v="0"/>
    <s v="HONORARIOS"/>
    <n v="19400000"/>
    <x v="0"/>
    <s v="CONTRACTUAL"/>
    <m/>
    <m/>
  </r>
  <r>
    <x v="18"/>
    <x v="7"/>
    <x v="0"/>
    <x v="0"/>
    <s v="HONORARIOS"/>
    <n v="19400000"/>
    <x v="0"/>
    <s v="CONTRACTUAL"/>
    <m/>
    <m/>
  </r>
  <r>
    <x v="18"/>
    <x v="8"/>
    <x v="0"/>
    <x v="0"/>
    <s v="HONORARIOS"/>
    <n v="19400000"/>
    <x v="0"/>
    <s v="CONTRACTUAL"/>
    <m/>
    <m/>
  </r>
  <r>
    <x v="18"/>
    <x v="9"/>
    <x v="0"/>
    <x v="0"/>
    <s v="HONORARIOS"/>
    <n v="19400000"/>
    <x v="0"/>
    <s v="CONTRACTUAL"/>
    <m/>
    <m/>
  </r>
  <r>
    <x v="46"/>
    <x v="0"/>
    <x v="0"/>
    <x v="0"/>
    <s v="HONORARIOS"/>
    <n v="11029019"/>
    <x v="0"/>
    <s v="CONTRACTUAL"/>
    <m/>
    <m/>
  </r>
  <r>
    <x v="46"/>
    <x v="1"/>
    <x v="0"/>
    <x v="0"/>
    <s v="HONORARIOS"/>
    <n v="11029019"/>
    <x v="0"/>
    <s v="CONTRACTUAL"/>
    <m/>
    <m/>
  </r>
  <r>
    <x v="46"/>
    <x v="2"/>
    <x v="0"/>
    <x v="0"/>
    <s v="HONORARIOS"/>
    <n v="11029019"/>
    <x v="0"/>
    <s v="CONTRACTUAL"/>
    <m/>
    <m/>
  </r>
  <r>
    <x v="46"/>
    <x v="3"/>
    <x v="0"/>
    <x v="0"/>
    <s v="HONORARIOS"/>
    <n v="11029019"/>
    <x v="0"/>
    <s v="CONTRACTUAL"/>
    <m/>
    <m/>
  </r>
  <r>
    <x v="46"/>
    <x v="4"/>
    <x v="0"/>
    <x v="0"/>
    <s v="HONORARIOS"/>
    <n v="11029019"/>
    <x v="0"/>
    <s v="CONTRACTUAL"/>
    <m/>
    <m/>
  </r>
  <r>
    <x v="46"/>
    <x v="5"/>
    <x v="0"/>
    <x v="0"/>
    <s v="HONORARIOS"/>
    <n v="11029019"/>
    <x v="0"/>
    <s v="CONTRACTUAL"/>
    <m/>
    <m/>
  </r>
  <r>
    <x v="46"/>
    <x v="6"/>
    <x v="0"/>
    <x v="0"/>
    <s v="HONORARIOS"/>
    <n v="11029019"/>
    <x v="0"/>
    <s v="CONTRACTUAL"/>
    <m/>
    <m/>
  </r>
  <r>
    <x v="46"/>
    <x v="7"/>
    <x v="0"/>
    <x v="0"/>
    <s v="HONORARIOS"/>
    <n v="11029019"/>
    <x v="0"/>
    <s v="CONTRACTUAL"/>
    <m/>
    <m/>
  </r>
  <r>
    <x v="46"/>
    <x v="8"/>
    <x v="0"/>
    <x v="0"/>
    <s v="HONORARIOS"/>
    <n v="11029019"/>
    <x v="0"/>
    <s v="CONTRACTUAL"/>
    <m/>
    <m/>
  </r>
  <r>
    <x v="46"/>
    <x v="9"/>
    <x v="0"/>
    <x v="0"/>
    <s v="HONORARIOS"/>
    <n v="11029019"/>
    <x v="0"/>
    <s v="CONTRACTUAL"/>
    <m/>
    <m/>
  </r>
  <r>
    <x v="46"/>
    <x v="10"/>
    <x v="0"/>
    <x v="0"/>
    <s v="HONORARIOS"/>
    <n v="11029019"/>
    <x v="0"/>
    <s v="CONTRACTUAL"/>
    <m/>
    <m/>
  </r>
  <r>
    <x v="46"/>
    <x v="11"/>
    <x v="0"/>
    <x v="0"/>
    <s v="HONORARIOS"/>
    <n v="11029019"/>
    <x v="0"/>
    <s v="CONTRACTUAL"/>
    <m/>
    <m/>
  </r>
  <r>
    <x v="46"/>
    <x v="12"/>
    <x v="0"/>
    <x v="0"/>
    <s v="HONORARIOS"/>
    <n v="11029019"/>
    <x v="0"/>
    <s v="CONTRACTUAL"/>
    <m/>
    <m/>
  </r>
  <r>
    <x v="46"/>
    <x v="13"/>
    <x v="0"/>
    <x v="0"/>
    <s v="HONORARIOS"/>
    <n v="11029019"/>
    <x v="0"/>
    <s v="CONTRACTUAL"/>
    <m/>
    <m/>
  </r>
  <r>
    <x v="46"/>
    <x v="14"/>
    <x v="0"/>
    <x v="0"/>
    <s v="HONORARIOS"/>
    <n v="11029019"/>
    <x v="0"/>
    <s v="CONTRACTUAL"/>
    <m/>
    <m/>
  </r>
  <r>
    <x v="46"/>
    <x v="15"/>
    <x v="0"/>
    <x v="0"/>
    <s v="HONORARIOS"/>
    <n v="11029019"/>
    <x v="0"/>
    <s v="CONTRACTUAL"/>
    <m/>
    <m/>
  </r>
  <r>
    <x v="46"/>
    <x v="16"/>
    <x v="0"/>
    <x v="0"/>
    <s v="HONORARIOS"/>
    <n v="11029019"/>
    <x v="0"/>
    <s v="CONTRACTUAL"/>
    <m/>
    <m/>
  </r>
  <r>
    <x v="46"/>
    <x v="17"/>
    <x v="0"/>
    <x v="0"/>
    <s v="HONORARIOS"/>
    <n v="11029019"/>
    <x v="0"/>
    <s v="CONTRACTUAL"/>
    <m/>
    <m/>
  </r>
  <r>
    <x v="46"/>
    <x v="18"/>
    <x v="0"/>
    <x v="0"/>
    <s v="HONORARIOS"/>
    <n v="11029019"/>
    <x v="0"/>
    <s v="CONTRACTUAL"/>
    <m/>
    <m/>
  </r>
  <r>
    <x v="46"/>
    <x v="19"/>
    <x v="0"/>
    <x v="0"/>
    <s v="HONORARIOS"/>
    <n v="11029019"/>
    <x v="0"/>
    <s v="CONTRACTUAL"/>
    <m/>
    <m/>
  </r>
  <r>
    <x v="46"/>
    <x v="20"/>
    <x v="0"/>
    <x v="0"/>
    <s v="HONORARIOS"/>
    <n v="11029019"/>
    <x v="0"/>
    <s v="CONTRACTUAL"/>
    <m/>
    <m/>
  </r>
  <r>
    <x v="46"/>
    <x v="21"/>
    <x v="0"/>
    <x v="0"/>
    <s v="HONORARIOS"/>
    <n v="11029019"/>
    <x v="0"/>
    <s v="CONTRACTUAL"/>
    <m/>
    <m/>
  </r>
  <r>
    <x v="46"/>
    <x v="22"/>
    <x v="0"/>
    <x v="0"/>
    <s v="HONORARIOS"/>
    <n v="11029019"/>
    <x v="0"/>
    <s v="CONTRACTUAL"/>
    <m/>
    <m/>
  </r>
  <r>
    <x v="46"/>
    <x v="23"/>
    <x v="0"/>
    <x v="0"/>
    <s v="HONORARIOS"/>
    <n v="11029019"/>
    <x v="0"/>
    <s v="CONTRACTUAL"/>
    <m/>
    <m/>
  </r>
  <r>
    <x v="46"/>
    <x v="24"/>
    <x v="0"/>
    <x v="0"/>
    <s v="HONORARIOS"/>
    <n v="11029019"/>
    <x v="0"/>
    <s v="CONTRACTUAL"/>
    <m/>
    <m/>
  </r>
  <r>
    <x v="46"/>
    <x v="25"/>
    <x v="0"/>
    <x v="0"/>
    <s v="HONORARIOS"/>
    <n v="11029019"/>
    <x v="0"/>
    <s v="CONTRACTUAL"/>
    <m/>
    <m/>
  </r>
  <r>
    <x v="47"/>
    <x v="0"/>
    <x v="0"/>
    <x v="0"/>
    <s v="HONORARIOS"/>
    <n v="10920000"/>
    <x v="0"/>
    <s v="CONTRACTUAL"/>
    <m/>
    <m/>
  </r>
  <r>
    <x v="47"/>
    <x v="1"/>
    <x v="0"/>
    <x v="0"/>
    <s v="HONORARIOS"/>
    <n v="10920000"/>
    <x v="0"/>
    <s v="CONTRACTUAL"/>
    <m/>
    <m/>
  </r>
  <r>
    <x v="47"/>
    <x v="2"/>
    <x v="0"/>
    <x v="0"/>
    <s v="HONORARIOS"/>
    <n v="10920000"/>
    <x v="0"/>
    <s v="CONTRACTUAL"/>
    <m/>
    <m/>
  </r>
  <r>
    <x v="47"/>
    <x v="3"/>
    <x v="0"/>
    <x v="0"/>
    <s v="HONORARIOS"/>
    <n v="10920000"/>
    <x v="0"/>
    <s v="CONTRACTUAL"/>
    <m/>
    <m/>
  </r>
  <r>
    <x v="47"/>
    <x v="4"/>
    <x v="0"/>
    <x v="0"/>
    <s v="HONORARIOS"/>
    <n v="10920000"/>
    <x v="0"/>
    <s v="CONTRACTUAL"/>
    <m/>
    <m/>
  </r>
  <r>
    <x v="47"/>
    <x v="5"/>
    <x v="0"/>
    <x v="0"/>
    <s v="HONORARIOS"/>
    <n v="10920000"/>
    <x v="0"/>
    <s v="CONTRACTUAL"/>
    <m/>
    <m/>
  </r>
  <r>
    <x v="47"/>
    <x v="6"/>
    <x v="0"/>
    <x v="0"/>
    <s v="HONORARIOS"/>
    <n v="10920000"/>
    <x v="0"/>
    <s v="CONTRACTUAL"/>
    <m/>
    <m/>
  </r>
  <r>
    <x v="47"/>
    <x v="7"/>
    <x v="0"/>
    <x v="0"/>
    <s v="HONORARIOS"/>
    <n v="10920000"/>
    <x v="0"/>
    <s v="CONTRACTUAL"/>
    <m/>
    <m/>
  </r>
  <r>
    <x v="47"/>
    <x v="8"/>
    <x v="0"/>
    <x v="0"/>
    <s v="HONORARIOS"/>
    <n v="10920000"/>
    <x v="0"/>
    <s v="CONTRACTUAL"/>
    <m/>
    <m/>
  </r>
  <r>
    <x v="47"/>
    <x v="9"/>
    <x v="0"/>
    <x v="0"/>
    <s v="HONORARIOS"/>
    <n v="10920000"/>
    <x v="0"/>
    <s v="CONTRACTUAL"/>
    <m/>
    <m/>
  </r>
  <r>
    <x v="47"/>
    <x v="10"/>
    <x v="0"/>
    <x v="0"/>
    <s v="HONORARIOS"/>
    <n v="10920000"/>
    <x v="0"/>
    <s v="CONTRACTUAL"/>
    <m/>
    <m/>
  </r>
  <r>
    <x v="47"/>
    <x v="11"/>
    <x v="0"/>
    <x v="0"/>
    <s v="HONORARIOS"/>
    <n v="10920000"/>
    <x v="0"/>
    <s v="CONTRACTUAL"/>
    <m/>
    <m/>
  </r>
  <r>
    <x v="47"/>
    <x v="12"/>
    <x v="0"/>
    <x v="0"/>
    <s v="HONORARIOS"/>
    <n v="10920000"/>
    <x v="0"/>
    <s v="CONTRACTUAL"/>
    <m/>
    <m/>
  </r>
  <r>
    <x v="19"/>
    <x v="0"/>
    <x v="0"/>
    <x v="0"/>
    <s v="HONORARIOS"/>
    <n v="8200000"/>
    <x v="0"/>
    <s v="CONTRACTUAL"/>
    <m/>
    <m/>
  </r>
  <r>
    <x v="19"/>
    <x v="1"/>
    <x v="0"/>
    <x v="0"/>
    <s v="HONORARIOS"/>
    <n v="8200000"/>
    <x v="0"/>
    <s v="CONTRACTUAL"/>
    <m/>
    <m/>
  </r>
  <r>
    <x v="19"/>
    <x v="2"/>
    <x v="0"/>
    <x v="0"/>
    <s v="HONORARIOS"/>
    <n v="8200000"/>
    <x v="0"/>
    <s v="CONTRACTUAL"/>
    <m/>
    <m/>
  </r>
  <r>
    <x v="19"/>
    <x v="3"/>
    <x v="0"/>
    <x v="0"/>
    <s v="HONORARIOS"/>
    <n v="8200000"/>
    <x v="0"/>
    <s v="CONTRACTUAL"/>
    <m/>
    <m/>
  </r>
  <r>
    <x v="19"/>
    <x v="4"/>
    <x v="0"/>
    <x v="0"/>
    <s v="HONORARIOS"/>
    <n v="8200000"/>
    <x v="0"/>
    <s v="CONTRACTUAL"/>
    <m/>
    <m/>
  </r>
  <r>
    <x v="19"/>
    <x v="5"/>
    <x v="0"/>
    <x v="0"/>
    <s v="HONORARIOS"/>
    <n v="8200000"/>
    <x v="0"/>
    <s v="CONTRACTUAL"/>
    <m/>
    <m/>
  </r>
  <r>
    <x v="19"/>
    <x v="6"/>
    <x v="0"/>
    <x v="0"/>
    <s v="HONORARIOS"/>
    <n v="8200000"/>
    <x v="0"/>
    <s v="CONTRACTUAL"/>
    <m/>
    <m/>
  </r>
  <r>
    <x v="19"/>
    <x v="7"/>
    <x v="0"/>
    <x v="0"/>
    <s v="HONORARIOS"/>
    <n v="8200000"/>
    <x v="0"/>
    <s v="CONTRACTUAL"/>
    <m/>
    <m/>
  </r>
  <r>
    <x v="19"/>
    <x v="8"/>
    <x v="0"/>
    <x v="0"/>
    <s v="HONORARIOS"/>
    <n v="8200000"/>
    <x v="0"/>
    <s v="CONTRACTUAL"/>
    <m/>
    <m/>
  </r>
  <r>
    <x v="19"/>
    <x v="9"/>
    <x v="0"/>
    <x v="0"/>
    <s v="HONORARIOS"/>
    <n v="8200000"/>
    <x v="0"/>
    <s v="CONTRACTUAL"/>
    <m/>
    <m/>
  </r>
  <r>
    <x v="19"/>
    <x v="10"/>
    <x v="0"/>
    <x v="0"/>
    <s v="HONORARIOS"/>
    <n v="8200000"/>
    <x v="0"/>
    <s v="CONTRACTUAL"/>
    <m/>
    <m/>
  </r>
  <r>
    <x v="19"/>
    <x v="11"/>
    <x v="0"/>
    <x v="0"/>
    <s v="HONORARIOS"/>
    <n v="8200000"/>
    <x v="0"/>
    <s v="CONTRACTUAL"/>
    <m/>
    <m/>
  </r>
  <r>
    <x v="19"/>
    <x v="12"/>
    <x v="0"/>
    <x v="0"/>
    <s v="HONORARIOS"/>
    <n v="8200000"/>
    <x v="0"/>
    <s v="CONTRACTUAL"/>
    <m/>
    <m/>
  </r>
  <r>
    <x v="19"/>
    <x v="13"/>
    <x v="0"/>
    <x v="0"/>
    <s v="HONORARIOS"/>
    <n v="8200000"/>
    <x v="0"/>
    <s v="CONTRACTUAL"/>
    <m/>
    <m/>
  </r>
  <r>
    <x v="19"/>
    <x v="14"/>
    <x v="0"/>
    <x v="0"/>
    <s v="HONORARIOS"/>
    <n v="8200000"/>
    <x v="0"/>
    <s v="CONTRACTUAL"/>
    <m/>
    <m/>
  </r>
  <r>
    <x v="19"/>
    <x v="15"/>
    <x v="0"/>
    <x v="0"/>
    <s v="HONORARIOS"/>
    <n v="8200000"/>
    <x v="0"/>
    <s v="CONTRACTUAL"/>
    <m/>
    <m/>
  </r>
  <r>
    <x v="19"/>
    <x v="16"/>
    <x v="0"/>
    <x v="0"/>
    <s v="HONORARIOS"/>
    <n v="8200000"/>
    <x v="0"/>
    <s v="CONTRACTUAL"/>
    <m/>
    <m/>
  </r>
  <r>
    <x v="19"/>
    <x v="17"/>
    <x v="0"/>
    <x v="0"/>
    <s v="HONORARIOS"/>
    <n v="8200000"/>
    <x v="0"/>
    <s v="CONTRACTUAL"/>
    <m/>
    <m/>
  </r>
  <r>
    <x v="19"/>
    <x v="18"/>
    <x v="0"/>
    <x v="0"/>
    <s v="HONORARIOS"/>
    <n v="8200000"/>
    <x v="0"/>
    <s v="CONTRACTUAL"/>
    <m/>
    <m/>
  </r>
  <r>
    <x v="20"/>
    <x v="0"/>
    <x v="0"/>
    <x v="0"/>
    <s v="HONORARIOS"/>
    <n v="9080000"/>
    <x v="0"/>
    <s v="CONTRACTUAL"/>
    <m/>
    <m/>
  </r>
  <r>
    <x v="20"/>
    <x v="1"/>
    <x v="0"/>
    <x v="0"/>
    <s v="HONORARIOS"/>
    <n v="9080000"/>
    <x v="0"/>
    <s v="CONTRACTUAL"/>
    <m/>
    <m/>
  </r>
  <r>
    <x v="20"/>
    <x v="2"/>
    <x v="0"/>
    <x v="0"/>
    <s v="HONORARIOS"/>
    <n v="9080000"/>
    <x v="0"/>
    <s v="CONTRACTUAL"/>
    <m/>
    <m/>
  </r>
  <r>
    <x v="20"/>
    <x v="3"/>
    <x v="0"/>
    <x v="0"/>
    <s v="HONORARIOS"/>
    <n v="9080000"/>
    <x v="0"/>
    <s v="CONTRACTUAL"/>
    <m/>
    <m/>
  </r>
  <r>
    <x v="20"/>
    <x v="4"/>
    <x v="0"/>
    <x v="0"/>
    <s v="HONORARIOS"/>
    <n v="9080000"/>
    <x v="0"/>
    <s v="CONTRACTUAL"/>
    <m/>
    <m/>
  </r>
  <r>
    <x v="20"/>
    <x v="5"/>
    <x v="0"/>
    <x v="0"/>
    <s v="HONORARIOS"/>
    <n v="9080000"/>
    <x v="0"/>
    <s v="CONTRACTUAL"/>
    <m/>
    <m/>
  </r>
  <r>
    <x v="21"/>
    <x v="0"/>
    <x v="0"/>
    <x v="0"/>
    <s v="HONORARIOS"/>
    <n v="27800000"/>
    <x v="0"/>
    <s v="CONTRACTUAL"/>
    <m/>
    <m/>
  </r>
  <r>
    <x v="21"/>
    <x v="1"/>
    <x v="0"/>
    <x v="0"/>
    <s v="HONORARIOS"/>
    <n v="27800000"/>
    <x v="0"/>
    <s v="CONTRACTUAL"/>
    <m/>
    <m/>
  </r>
  <r>
    <x v="21"/>
    <x v="2"/>
    <x v="0"/>
    <x v="0"/>
    <s v="HONORARIOS"/>
    <n v="27800000"/>
    <x v="0"/>
    <s v="CONTRACTUAL"/>
    <m/>
    <m/>
  </r>
  <r>
    <x v="21"/>
    <x v="3"/>
    <x v="0"/>
    <x v="0"/>
    <s v="HONORARIOS"/>
    <n v="27800000"/>
    <x v="0"/>
    <s v="CONTRACTUAL"/>
    <m/>
    <m/>
  </r>
  <r>
    <x v="21"/>
    <x v="4"/>
    <x v="0"/>
    <x v="0"/>
    <s v="HONORARIOS"/>
    <n v="27800000"/>
    <x v="0"/>
    <s v="CONTRACTUAL"/>
    <m/>
    <m/>
  </r>
  <r>
    <x v="21"/>
    <x v="5"/>
    <x v="0"/>
    <x v="0"/>
    <s v="HONORARIOS"/>
    <n v="27800000"/>
    <x v="0"/>
    <s v="CONTRACTUAL"/>
    <m/>
    <m/>
  </r>
  <r>
    <x v="21"/>
    <x v="6"/>
    <x v="0"/>
    <x v="0"/>
    <s v="HONORARIOS"/>
    <n v="27800000"/>
    <x v="0"/>
    <s v="CONTRACTUAL"/>
    <m/>
    <m/>
  </r>
  <r>
    <x v="21"/>
    <x v="7"/>
    <x v="0"/>
    <x v="0"/>
    <s v="HONORARIOS"/>
    <n v="27800000"/>
    <x v="0"/>
    <s v="CONTRACTUAL"/>
    <m/>
    <m/>
  </r>
  <r>
    <x v="21"/>
    <x v="8"/>
    <x v="0"/>
    <x v="0"/>
    <s v="HONORARIOS"/>
    <n v="27800000"/>
    <x v="0"/>
    <s v="CONTRACTUAL"/>
    <m/>
    <m/>
  </r>
  <r>
    <x v="21"/>
    <x v="9"/>
    <x v="0"/>
    <x v="0"/>
    <s v="HONORARIOS"/>
    <n v="27800000"/>
    <x v="0"/>
    <s v="CONTRACTUAL"/>
    <m/>
    <m/>
  </r>
  <r>
    <x v="21"/>
    <x v="10"/>
    <x v="0"/>
    <x v="0"/>
    <s v="HONORARIOS"/>
    <n v="27800000"/>
    <x v="0"/>
    <s v="CONTRACTUAL"/>
    <m/>
    <m/>
  </r>
  <r>
    <x v="21"/>
    <x v="11"/>
    <x v="0"/>
    <x v="0"/>
    <s v="HONORARIOS"/>
    <n v="27800000"/>
    <x v="0"/>
    <s v="CONTRACTUAL"/>
    <m/>
    <m/>
  </r>
  <r>
    <x v="21"/>
    <x v="12"/>
    <x v="0"/>
    <x v="0"/>
    <s v="HONORARIOS"/>
    <n v="27800000"/>
    <x v="0"/>
    <s v="CONTRACTUAL"/>
    <m/>
    <m/>
  </r>
  <r>
    <x v="21"/>
    <x v="13"/>
    <x v="0"/>
    <x v="0"/>
    <s v="HONORARIOS"/>
    <n v="27800000"/>
    <x v="0"/>
    <s v="CONTRACTUAL"/>
    <m/>
    <m/>
  </r>
  <r>
    <x v="21"/>
    <x v="14"/>
    <x v="0"/>
    <x v="0"/>
    <s v="HONORARIOS"/>
    <n v="27800000"/>
    <x v="0"/>
    <s v="CONTRACTUAL"/>
    <m/>
    <m/>
  </r>
  <r>
    <x v="44"/>
    <x v="0"/>
    <x v="0"/>
    <x v="0"/>
    <s v="HONORARIOS"/>
    <n v="0"/>
    <x v="0"/>
    <s v="CONTRACTUAL"/>
    <m/>
    <m/>
  </r>
  <r>
    <x v="44"/>
    <x v="1"/>
    <x v="0"/>
    <x v="0"/>
    <s v="HONORARIOS"/>
    <n v="0"/>
    <x v="0"/>
    <s v="CONTRACTUAL"/>
    <m/>
    <m/>
  </r>
  <r>
    <x v="44"/>
    <x v="2"/>
    <x v="0"/>
    <x v="0"/>
    <s v="HONORARIOS"/>
    <n v="0"/>
    <x v="0"/>
    <s v="CONTRACTUAL"/>
    <m/>
    <m/>
  </r>
  <r>
    <x v="44"/>
    <x v="3"/>
    <x v="0"/>
    <x v="0"/>
    <s v="HONORARIOS"/>
    <n v="0"/>
    <x v="0"/>
    <s v="CONTRACTUAL"/>
    <m/>
    <m/>
  </r>
  <r>
    <x v="5"/>
    <x v="0"/>
    <x v="0"/>
    <x v="0"/>
    <s v="HONORARIOS"/>
    <n v="19000000"/>
    <x v="0"/>
    <s v="CONTRACTUAL"/>
    <m/>
    <m/>
  </r>
  <r>
    <x v="5"/>
    <x v="1"/>
    <x v="0"/>
    <x v="0"/>
    <s v="HONORARIOS"/>
    <n v="19000000"/>
    <x v="0"/>
    <s v="CONTRACTUAL"/>
    <m/>
    <m/>
  </r>
  <r>
    <x v="5"/>
    <x v="2"/>
    <x v="0"/>
    <x v="0"/>
    <s v="HONORARIOS"/>
    <n v="19000000"/>
    <x v="0"/>
    <s v="CONTRACTUAL"/>
    <m/>
    <m/>
  </r>
  <r>
    <x v="5"/>
    <x v="3"/>
    <x v="0"/>
    <x v="0"/>
    <s v="HONORARIOS"/>
    <n v="19000000"/>
    <x v="0"/>
    <s v="CONTRACTUAL"/>
    <m/>
    <m/>
  </r>
  <r>
    <x v="5"/>
    <x v="4"/>
    <x v="0"/>
    <x v="0"/>
    <s v="HONORARIOS"/>
    <n v="19000000"/>
    <x v="0"/>
    <s v="CONTRACTUAL"/>
    <m/>
    <m/>
  </r>
  <r>
    <x v="5"/>
    <x v="5"/>
    <x v="0"/>
    <x v="0"/>
    <s v="HONORARIOS"/>
    <n v="19000000"/>
    <x v="0"/>
    <s v="CONTRACTUAL"/>
    <m/>
    <m/>
  </r>
  <r>
    <x v="5"/>
    <x v="6"/>
    <x v="0"/>
    <x v="0"/>
    <s v="HONORARIOS"/>
    <n v="19000000"/>
    <x v="0"/>
    <s v="CONTRACTUAL"/>
    <m/>
    <m/>
  </r>
  <r>
    <x v="5"/>
    <x v="7"/>
    <x v="0"/>
    <x v="0"/>
    <s v="HONORARIOS"/>
    <n v="19000000"/>
    <x v="0"/>
    <s v="CONTRACTUAL"/>
    <m/>
    <m/>
  </r>
  <r>
    <x v="5"/>
    <x v="8"/>
    <x v="0"/>
    <x v="0"/>
    <s v="HONORARIOS"/>
    <n v="19000000"/>
    <x v="0"/>
    <s v="CONTRACTUAL"/>
    <m/>
    <m/>
  </r>
  <r>
    <x v="5"/>
    <x v="9"/>
    <x v="0"/>
    <x v="0"/>
    <s v="HONORARIOS"/>
    <n v="19000000"/>
    <x v="0"/>
    <s v="CONTRACTUAL"/>
    <m/>
    <m/>
  </r>
  <r>
    <x v="5"/>
    <x v="10"/>
    <x v="0"/>
    <x v="0"/>
    <s v="HONORARIOS"/>
    <n v="19000000"/>
    <x v="0"/>
    <s v="CONTRACTUAL"/>
    <m/>
    <m/>
  </r>
  <r>
    <x v="5"/>
    <x v="11"/>
    <x v="0"/>
    <x v="0"/>
    <s v="HONORARIOS"/>
    <n v="19000000"/>
    <x v="0"/>
    <s v="CONTRACTUAL"/>
    <m/>
    <m/>
  </r>
  <r>
    <x v="3"/>
    <x v="0"/>
    <x v="0"/>
    <x v="0"/>
    <s v="HONORARIOS"/>
    <n v="32000000"/>
    <x v="0"/>
    <s v="CONTROL DE PAGOS"/>
    <m/>
    <m/>
  </r>
  <r>
    <x v="24"/>
    <x v="0"/>
    <x v="0"/>
    <x v="0"/>
    <s v="HONORARIOS"/>
    <n v="33000000"/>
    <x v="0"/>
    <s v="ECONÓMICA"/>
    <m/>
    <m/>
  </r>
  <r>
    <x v="24"/>
    <x v="1"/>
    <x v="0"/>
    <x v="0"/>
    <s v="HONORARIOS"/>
    <n v="33000000"/>
    <x v="0"/>
    <s v="ECONÓMICA"/>
    <m/>
    <m/>
  </r>
  <r>
    <x v="24"/>
    <x v="2"/>
    <x v="0"/>
    <x v="0"/>
    <s v="HONORARIOS"/>
    <n v="33000000"/>
    <x v="0"/>
    <s v="ECONÓMICA"/>
    <m/>
    <m/>
  </r>
  <r>
    <x v="24"/>
    <x v="3"/>
    <x v="0"/>
    <x v="0"/>
    <s v="HONORARIOS"/>
    <n v="33000000"/>
    <x v="0"/>
    <s v="ECONÓMICA"/>
    <m/>
    <m/>
  </r>
  <r>
    <x v="24"/>
    <x v="4"/>
    <x v="0"/>
    <x v="0"/>
    <s v="HONORARIOS"/>
    <n v="33000000"/>
    <x v="0"/>
    <s v="ECONÓMICA"/>
    <m/>
    <m/>
  </r>
  <r>
    <x v="24"/>
    <x v="5"/>
    <x v="0"/>
    <x v="0"/>
    <s v="HONORARIOS"/>
    <n v="15000000"/>
    <x v="0"/>
    <s v="ECONÓMICA"/>
    <m/>
    <m/>
  </r>
  <r>
    <x v="24"/>
    <x v="6"/>
    <x v="0"/>
    <x v="0"/>
    <s v="HONORARIOS"/>
    <n v="15000000"/>
    <x v="0"/>
    <s v="ECONÓMICA"/>
    <m/>
    <m/>
  </r>
  <r>
    <x v="25"/>
    <x v="0"/>
    <x v="0"/>
    <x v="0"/>
    <s v="HONORARIOS"/>
    <n v="36049228"/>
    <x v="0"/>
    <s v="CONTRACTUAL"/>
    <m/>
    <m/>
  </r>
  <r>
    <x v="25"/>
    <x v="1"/>
    <x v="0"/>
    <x v="0"/>
    <s v="HONORARIOS"/>
    <n v="36049228"/>
    <x v="0"/>
    <s v="CONTRACTUAL"/>
    <m/>
    <m/>
  </r>
  <r>
    <x v="25"/>
    <x v="2"/>
    <x v="0"/>
    <x v="0"/>
    <s v="HONORARIOS"/>
    <n v="36049228"/>
    <x v="0"/>
    <s v="CONTRACTUAL"/>
    <m/>
    <m/>
  </r>
  <r>
    <x v="25"/>
    <x v="0"/>
    <x v="0"/>
    <x v="0"/>
    <s v="HONORARIOS"/>
    <n v="44700000"/>
    <x v="0"/>
    <s v="CONTRACTUAL"/>
    <m/>
    <m/>
  </r>
  <r>
    <x v="25"/>
    <x v="1"/>
    <x v="0"/>
    <x v="0"/>
    <s v="HONORARIOS"/>
    <n v="44700000"/>
    <x v="0"/>
    <s v="CONTRACTUAL"/>
    <m/>
    <m/>
  </r>
  <r>
    <x v="25"/>
    <x v="2"/>
    <x v="0"/>
    <x v="0"/>
    <s v="HONORARIOS"/>
    <n v="44700000"/>
    <x v="0"/>
    <s v="CONTRACTUAL"/>
    <m/>
    <m/>
  </r>
  <r>
    <x v="25"/>
    <x v="3"/>
    <x v="0"/>
    <x v="0"/>
    <s v="HONORARIOS"/>
    <n v="44700000"/>
    <x v="0"/>
    <s v="CONTRACTUAL"/>
    <m/>
    <m/>
  </r>
  <r>
    <x v="1"/>
    <x v="0"/>
    <x v="0"/>
    <x v="0"/>
    <s v="HONORARIOS"/>
    <n v="20430000"/>
    <x v="0"/>
    <s v="ECONÓMICA"/>
    <m/>
    <m/>
  </r>
  <r>
    <x v="1"/>
    <x v="1"/>
    <x v="0"/>
    <x v="0"/>
    <s v="HONORARIOS"/>
    <n v="20430000"/>
    <x v="0"/>
    <s v="ECONÓMICA"/>
    <m/>
    <m/>
  </r>
  <r>
    <x v="1"/>
    <x v="2"/>
    <x v="0"/>
    <x v="0"/>
    <s v="HONORARIOS"/>
    <n v="20430000"/>
    <x v="0"/>
    <s v="ECONÓMICA"/>
    <m/>
    <m/>
  </r>
  <r>
    <x v="23"/>
    <x v="0"/>
    <x v="0"/>
    <x v="0"/>
    <s v="HONORARIOS"/>
    <n v="48600000"/>
    <x v="0"/>
    <s v="CONTRACTUAL"/>
    <m/>
    <m/>
  </r>
  <r>
    <x v="23"/>
    <x v="1"/>
    <x v="0"/>
    <x v="0"/>
    <s v="HONORARIOS"/>
    <n v="48600000"/>
    <x v="0"/>
    <s v="CONTRACTUAL"/>
    <m/>
    <m/>
  </r>
  <r>
    <x v="23"/>
    <x v="2"/>
    <x v="0"/>
    <x v="0"/>
    <s v="HONORARIOS"/>
    <n v="48600000"/>
    <x v="0"/>
    <s v="CONTRACTUAL"/>
    <m/>
    <m/>
  </r>
  <r>
    <x v="23"/>
    <x v="3"/>
    <x v="0"/>
    <x v="0"/>
    <s v="HONORARIOS"/>
    <n v="48600000"/>
    <x v="0"/>
    <s v="CONTRACTUAL"/>
    <m/>
    <m/>
  </r>
  <r>
    <x v="23"/>
    <x v="4"/>
    <x v="0"/>
    <x v="0"/>
    <s v="HONORARIOS"/>
    <n v="48600000"/>
    <x v="0"/>
    <s v="CONTRACTUAL"/>
    <m/>
    <m/>
  </r>
  <r>
    <x v="23"/>
    <x v="5"/>
    <x v="0"/>
    <x v="0"/>
    <s v="HONORARIOS"/>
    <n v="48600000"/>
    <x v="0"/>
    <s v="CONTRACTUAL"/>
    <m/>
    <m/>
  </r>
  <r>
    <x v="27"/>
    <x v="2"/>
    <x v="0"/>
    <x v="0"/>
    <s v="HONORARIOS"/>
    <n v="6040000"/>
    <x v="0"/>
    <s v="ECONÓMICA"/>
    <m/>
    <m/>
  </r>
  <r>
    <x v="27"/>
    <x v="3"/>
    <x v="0"/>
    <x v="0"/>
    <s v="HONORARIOS"/>
    <n v="6040000"/>
    <x v="0"/>
    <s v="ECONÓMICA"/>
    <m/>
    <m/>
  </r>
  <r>
    <x v="27"/>
    <x v="4"/>
    <x v="0"/>
    <x v="0"/>
    <s v="HONORARIOS"/>
    <n v="6040000"/>
    <x v="0"/>
    <s v="ECONÓMICA"/>
    <m/>
    <m/>
  </r>
  <r>
    <x v="27"/>
    <x v="5"/>
    <x v="0"/>
    <x v="0"/>
    <s v="HONORARIOS"/>
    <n v="6040000"/>
    <x v="0"/>
    <s v="ECONÓMICA"/>
    <m/>
    <m/>
  </r>
  <r>
    <x v="27"/>
    <x v="2"/>
    <x v="0"/>
    <x v="0"/>
    <s v="HONORARIOS"/>
    <n v="19220000"/>
    <x v="0"/>
    <s v="ECONÓMICA"/>
    <m/>
    <m/>
  </r>
  <r>
    <x v="27"/>
    <x v="3"/>
    <x v="0"/>
    <x v="0"/>
    <s v="HONORARIOS"/>
    <n v="19220000"/>
    <x v="0"/>
    <s v="ECONÓMICA"/>
    <m/>
    <m/>
  </r>
  <r>
    <x v="27"/>
    <x v="4"/>
    <x v="0"/>
    <x v="0"/>
    <s v="HONORARIOS"/>
    <n v="19220000"/>
    <x v="0"/>
    <s v="ECONÓMICA"/>
    <m/>
    <m/>
  </r>
  <r>
    <x v="27"/>
    <x v="5"/>
    <x v="0"/>
    <x v="0"/>
    <s v="HONORARIOS"/>
    <n v="19220000"/>
    <x v="0"/>
    <s v="ECONÓMICA"/>
    <m/>
    <m/>
  </r>
  <r>
    <x v="27"/>
    <x v="6"/>
    <x v="0"/>
    <x v="0"/>
    <s v="HONORARIOS"/>
    <n v="19220000"/>
    <x v="0"/>
    <s v="ECONÓMICA"/>
    <m/>
    <m/>
  </r>
  <r>
    <x v="27"/>
    <x v="7"/>
    <x v="0"/>
    <x v="0"/>
    <s v="HONORARIOS"/>
    <n v="19220000"/>
    <x v="0"/>
    <s v="ECONÓMICA"/>
    <m/>
    <m/>
  </r>
  <r>
    <x v="27"/>
    <x v="8"/>
    <x v="0"/>
    <x v="0"/>
    <s v="HONORARIOS"/>
    <n v="19220000"/>
    <x v="0"/>
    <s v="ECONÓMICA"/>
    <m/>
    <m/>
  </r>
  <r>
    <x v="27"/>
    <x v="9"/>
    <x v="0"/>
    <x v="0"/>
    <s v="HONORARIOS"/>
    <n v="19220000"/>
    <x v="0"/>
    <s v="ECONÓMICA"/>
    <m/>
    <m/>
  </r>
  <r>
    <x v="27"/>
    <x v="10"/>
    <x v="0"/>
    <x v="0"/>
    <s v="HONORARIOS"/>
    <n v="19220000"/>
    <x v="0"/>
    <s v="ECONÓMICA"/>
    <m/>
    <m/>
  </r>
  <r>
    <x v="27"/>
    <x v="11"/>
    <x v="0"/>
    <x v="0"/>
    <s v="HONORARIOS"/>
    <n v="19220000"/>
    <x v="0"/>
    <s v="ECONÓMICA"/>
    <m/>
    <m/>
  </r>
  <r>
    <x v="27"/>
    <x v="12"/>
    <x v="0"/>
    <x v="0"/>
    <s v="HONORARIOS"/>
    <n v="19220000"/>
    <x v="0"/>
    <s v="ECONÓMICA"/>
    <m/>
    <m/>
  </r>
  <r>
    <x v="27"/>
    <x v="13"/>
    <x v="0"/>
    <x v="0"/>
    <s v="HONORARIOS"/>
    <n v="19220000"/>
    <x v="0"/>
    <s v="ECONÓMICA"/>
    <m/>
    <m/>
  </r>
  <r>
    <x v="28"/>
    <x v="1"/>
    <x v="0"/>
    <x v="0"/>
    <s v="HONORARIOS"/>
    <n v="23250000"/>
    <x v="0"/>
    <s v="CONTRACTUAL"/>
    <m/>
    <m/>
  </r>
  <r>
    <x v="28"/>
    <x v="2"/>
    <x v="0"/>
    <x v="0"/>
    <s v="HONORARIOS"/>
    <n v="23250000"/>
    <x v="0"/>
    <s v="CONTRACTUAL"/>
    <m/>
    <m/>
  </r>
  <r>
    <x v="28"/>
    <x v="3"/>
    <x v="0"/>
    <x v="0"/>
    <s v="HONORARIOS"/>
    <n v="23250000"/>
    <x v="0"/>
    <s v="CONTRACTUAL"/>
    <m/>
    <m/>
  </r>
  <r>
    <x v="28"/>
    <x v="4"/>
    <x v="0"/>
    <x v="0"/>
    <s v="HONORARIOS"/>
    <n v="23250000"/>
    <x v="0"/>
    <s v="CONTRACTUAL"/>
    <m/>
    <m/>
  </r>
  <r>
    <x v="28"/>
    <x v="5"/>
    <x v="0"/>
    <x v="0"/>
    <s v="HONORARIOS"/>
    <n v="23250000"/>
    <x v="0"/>
    <s v="CONTRACTUAL"/>
    <m/>
    <m/>
  </r>
  <r>
    <x v="28"/>
    <x v="6"/>
    <x v="0"/>
    <x v="0"/>
    <s v="HONORARIOS"/>
    <n v="23250000"/>
    <x v="0"/>
    <s v="CONTRACTUAL"/>
    <m/>
    <m/>
  </r>
  <r>
    <x v="28"/>
    <x v="7"/>
    <x v="0"/>
    <x v="0"/>
    <s v="HONORARIOS"/>
    <n v="23250000"/>
    <x v="0"/>
    <s v="CONTRACTUAL"/>
    <m/>
    <m/>
  </r>
  <r>
    <x v="28"/>
    <x v="8"/>
    <x v="0"/>
    <x v="0"/>
    <s v="HONORARIOS"/>
    <n v="23250000"/>
    <x v="0"/>
    <s v="CONTRACTUAL"/>
    <m/>
    <m/>
  </r>
  <r>
    <x v="28"/>
    <x v="9"/>
    <x v="0"/>
    <x v="0"/>
    <s v="HONORARIOS"/>
    <n v="23250000"/>
    <x v="0"/>
    <s v="CONTRACTUAL"/>
    <m/>
    <m/>
  </r>
  <r>
    <x v="28"/>
    <x v="10"/>
    <x v="0"/>
    <x v="0"/>
    <s v="HONORARIOS"/>
    <n v="23250000"/>
    <x v="0"/>
    <s v="CONTRACTUAL"/>
    <m/>
    <m/>
  </r>
  <r>
    <x v="28"/>
    <x v="11"/>
    <x v="0"/>
    <x v="0"/>
    <s v="HONORARIOS"/>
    <n v="23250000"/>
    <x v="0"/>
    <s v="CONTRACTUAL"/>
    <m/>
    <m/>
  </r>
  <r>
    <x v="28"/>
    <x v="12"/>
    <x v="0"/>
    <x v="0"/>
    <s v="HONORARIOS"/>
    <n v="23250000"/>
    <x v="0"/>
    <s v="CONTRACTUAL"/>
    <m/>
    <m/>
  </r>
  <r>
    <x v="28"/>
    <x v="13"/>
    <x v="0"/>
    <x v="0"/>
    <s v="HONORARIOS"/>
    <n v="23250000"/>
    <x v="0"/>
    <s v="CONTRACTUAL"/>
    <m/>
    <m/>
  </r>
  <r>
    <x v="28"/>
    <x v="14"/>
    <x v="0"/>
    <x v="0"/>
    <s v="HONORARIOS"/>
    <n v="23250000"/>
    <x v="0"/>
    <s v="CONTRACTUAL"/>
    <m/>
    <m/>
  </r>
  <r>
    <x v="28"/>
    <x v="15"/>
    <x v="0"/>
    <x v="0"/>
    <s v="HONORARIOS"/>
    <n v="23250000"/>
    <x v="0"/>
    <s v="CONTRACTUAL"/>
    <m/>
    <m/>
  </r>
  <r>
    <x v="28"/>
    <x v="16"/>
    <x v="0"/>
    <x v="0"/>
    <s v="HONORARIOS"/>
    <n v="23250000"/>
    <x v="0"/>
    <s v="CONTRACTUAL"/>
    <m/>
    <m/>
  </r>
  <r>
    <x v="28"/>
    <x v="17"/>
    <x v="0"/>
    <x v="0"/>
    <s v="HONORARIOS"/>
    <n v="23250000"/>
    <x v="0"/>
    <s v="CONTRACTUAL"/>
    <m/>
    <m/>
  </r>
  <r>
    <x v="28"/>
    <x v="18"/>
    <x v="0"/>
    <x v="0"/>
    <s v="HONORARIOS"/>
    <n v="23250000"/>
    <x v="0"/>
    <s v="CONTRACTUAL"/>
    <m/>
    <m/>
  </r>
  <r>
    <x v="28"/>
    <x v="19"/>
    <x v="0"/>
    <x v="0"/>
    <s v="HONORARIOS"/>
    <n v="23250000"/>
    <x v="0"/>
    <s v="CONTRACTUAL"/>
    <m/>
    <m/>
  </r>
  <r>
    <x v="28"/>
    <x v="20"/>
    <x v="0"/>
    <x v="0"/>
    <s v="HONORARIOS"/>
    <n v="23250000"/>
    <x v="0"/>
    <s v="CONTRACTUAL"/>
    <m/>
    <m/>
  </r>
  <r>
    <x v="28"/>
    <x v="21"/>
    <x v="0"/>
    <x v="0"/>
    <s v="HONORARIOS"/>
    <n v="23250000"/>
    <x v="0"/>
    <s v="CONTRACTUAL"/>
    <m/>
    <m/>
  </r>
  <r>
    <x v="28"/>
    <x v="22"/>
    <x v="0"/>
    <x v="0"/>
    <s v="HONORARIOS"/>
    <n v="23250000"/>
    <x v="0"/>
    <s v="CONTRACTUAL"/>
    <m/>
    <m/>
  </r>
  <r>
    <x v="28"/>
    <x v="23"/>
    <x v="0"/>
    <x v="0"/>
    <s v="HONORARIOS"/>
    <n v="23250000"/>
    <x v="0"/>
    <s v="CONTRACTUAL"/>
    <m/>
    <m/>
  </r>
  <r>
    <x v="48"/>
    <x v="0"/>
    <x v="0"/>
    <x v="0"/>
    <s v="HONORARIOS"/>
    <n v="60561853.894285716"/>
    <x v="0"/>
    <s v="CONTRACTUAL"/>
    <m/>
    <m/>
  </r>
  <r>
    <x v="48"/>
    <x v="1"/>
    <x v="0"/>
    <x v="0"/>
    <s v="HONORARIOS"/>
    <n v="60561853.894285716"/>
    <x v="0"/>
    <s v="CONTRACTUAL"/>
    <m/>
    <m/>
  </r>
  <r>
    <x v="48"/>
    <x v="2"/>
    <x v="0"/>
    <x v="0"/>
    <s v="HONORARIOS"/>
    <n v="60561853.894285716"/>
    <x v="0"/>
    <s v="CONTRACTUAL"/>
    <m/>
    <m/>
  </r>
  <r>
    <x v="48"/>
    <x v="3"/>
    <x v="0"/>
    <x v="0"/>
    <s v="HONORARIOS"/>
    <n v="60561853.894285716"/>
    <x v="0"/>
    <s v="CONTRACTUAL"/>
    <m/>
    <m/>
  </r>
  <r>
    <x v="48"/>
    <x v="4"/>
    <x v="0"/>
    <x v="0"/>
    <s v="HONORARIOS"/>
    <n v="60561853.894285716"/>
    <x v="0"/>
    <s v="CONTRACTUAL"/>
    <m/>
    <m/>
  </r>
  <r>
    <x v="48"/>
    <x v="5"/>
    <x v="0"/>
    <x v="0"/>
    <s v="HONORARIOS"/>
    <n v="60561853.894285716"/>
    <x v="0"/>
    <s v="CONTRACTUAL"/>
    <m/>
    <m/>
  </r>
  <r>
    <x v="48"/>
    <x v="6"/>
    <x v="0"/>
    <x v="0"/>
    <s v="HONORARIOS"/>
    <n v="60561853.894285716"/>
    <x v="0"/>
    <s v="CONTRACTUAL"/>
    <m/>
    <m/>
  </r>
  <r>
    <x v="48"/>
    <x v="7"/>
    <x v="0"/>
    <x v="0"/>
    <s v="HONORARIOS"/>
    <n v="60561853.894285716"/>
    <x v="0"/>
    <s v="CONTRACTUAL"/>
    <m/>
    <m/>
  </r>
  <r>
    <x v="48"/>
    <x v="8"/>
    <x v="0"/>
    <x v="0"/>
    <s v="HONORARIOS"/>
    <n v="60561853.894285716"/>
    <x v="0"/>
    <s v="CONTRACTUAL"/>
    <m/>
    <m/>
  </r>
  <r>
    <x v="48"/>
    <x v="9"/>
    <x v="0"/>
    <x v="0"/>
    <s v="HONORARIOS"/>
    <n v="60561853.894285716"/>
    <x v="0"/>
    <s v="CONTRACTUAL"/>
    <m/>
    <m/>
  </r>
  <r>
    <x v="48"/>
    <x v="10"/>
    <x v="0"/>
    <x v="0"/>
    <s v="HONORARIOS"/>
    <n v="60561853.894285716"/>
    <x v="0"/>
    <s v="CONTRACTUAL"/>
    <m/>
    <m/>
  </r>
  <r>
    <x v="48"/>
    <x v="11"/>
    <x v="0"/>
    <x v="0"/>
    <s v="HONORARIOS"/>
    <n v="60561853.894285716"/>
    <x v="0"/>
    <s v="CONTRACTUAL"/>
    <m/>
    <m/>
  </r>
  <r>
    <x v="49"/>
    <x v="0"/>
    <x v="0"/>
    <x v="0"/>
    <s v="HONORARIOS"/>
    <n v="15250000"/>
    <x v="0"/>
    <s v="VERBAL"/>
    <m/>
    <m/>
  </r>
  <r>
    <x v="49"/>
    <x v="1"/>
    <x v="0"/>
    <x v="0"/>
    <s v="HONORARIOS"/>
    <n v="15250000"/>
    <x v="0"/>
    <s v="VERBAL"/>
    <m/>
    <m/>
  </r>
  <r>
    <x v="49"/>
    <x v="2"/>
    <x v="0"/>
    <x v="0"/>
    <s v="HONORARIOS"/>
    <n v="15250000"/>
    <x v="0"/>
    <s v="VERBAL"/>
    <m/>
    <m/>
  </r>
  <r>
    <x v="49"/>
    <x v="3"/>
    <x v="0"/>
    <x v="0"/>
    <s v="HONORARIOS"/>
    <n v="15250000"/>
    <x v="0"/>
    <s v="VERBAL"/>
    <m/>
    <m/>
  </r>
  <r>
    <x v="49"/>
    <x v="4"/>
    <x v="0"/>
    <x v="0"/>
    <s v="HONORARIOS"/>
    <n v="15250000"/>
    <x v="0"/>
    <s v="VERBAL"/>
    <m/>
    <m/>
  </r>
  <r>
    <x v="49"/>
    <x v="5"/>
    <x v="0"/>
    <x v="0"/>
    <s v="HONORARIOS"/>
    <n v="15250000"/>
    <x v="0"/>
    <s v="VERBAL"/>
    <m/>
    <m/>
  </r>
  <r>
    <x v="49"/>
    <x v="6"/>
    <x v="0"/>
    <x v="0"/>
    <s v="HONORARIOS"/>
    <n v="15250000"/>
    <x v="0"/>
    <s v="VERBAL"/>
    <m/>
    <m/>
  </r>
  <r>
    <x v="49"/>
    <x v="7"/>
    <x v="0"/>
    <x v="0"/>
    <s v="HONORARIOS"/>
    <n v="15250000"/>
    <x v="0"/>
    <s v="VERBAL"/>
    <m/>
    <m/>
  </r>
  <r>
    <x v="49"/>
    <x v="8"/>
    <x v="0"/>
    <x v="0"/>
    <s v="HONORARIOS"/>
    <n v="15250000"/>
    <x v="0"/>
    <s v="VERBAL"/>
    <m/>
    <m/>
  </r>
  <r>
    <x v="49"/>
    <x v="9"/>
    <x v="0"/>
    <x v="0"/>
    <s v="HONORARIOS"/>
    <n v="15250000"/>
    <x v="0"/>
    <s v="VERBAL"/>
    <m/>
    <m/>
  </r>
  <r>
    <x v="49"/>
    <x v="10"/>
    <x v="0"/>
    <x v="0"/>
    <s v="HONORARIOS"/>
    <n v="15250000"/>
    <x v="0"/>
    <s v="VERBAL"/>
    <m/>
    <m/>
  </r>
  <r>
    <x v="49"/>
    <x v="11"/>
    <x v="0"/>
    <x v="0"/>
    <s v="HONORARIOS"/>
    <n v="15250000"/>
    <x v="0"/>
    <s v="VERBAL"/>
    <m/>
    <m/>
  </r>
  <r>
    <x v="50"/>
    <x v="0"/>
    <x v="0"/>
    <x v="0"/>
    <s v="HONORARIOS"/>
    <n v="20341421"/>
    <x v="0"/>
    <s v="ECONÓMICA"/>
    <m/>
    <m/>
  </r>
  <r>
    <x v="50"/>
    <x v="1"/>
    <x v="0"/>
    <x v="0"/>
    <s v="HONORARIOS"/>
    <n v="20341421"/>
    <x v="0"/>
    <s v="ECONÓMICA"/>
    <m/>
    <m/>
  </r>
  <r>
    <x v="50"/>
    <x v="2"/>
    <x v="0"/>
    <x v="0"/>
    <s v="HONORARIOS"/>
    <n v="20341421"/>
    <x v="0"/>
    <s v="ECONÓMICA"/>
    <m/>
    <m/>
  </r>
  <r>
    <x v="29"/>
    <x v="0"/>
    <x v="0"/>
    <x v="0"/>
    <s v="HONORARIOS"/>
    <n v="7100000"/>
    <x v="0"/>
    <s v="CONTRACTUAL"/>
    <m/>
    <m/>
  </r>
  <r>
    <x v="26"/>
    <x v="0"/>
    <x v="0"/>
    <x v="0"/>
    <s v="HONORARIOS"/>
    <n v="15173515.981735155"/>
    <x v="0"/>
    <s v="ECONÓMICA"/>
    <m/>
    <m/>
  </r>
  <r>
    <x v="26"/>
    <x v="1"/>
    <x v="0"/>
    <x v="0"/>
    <s v="HONORARIOS"/>
    <n v="14609589.041095892"/>
    <x v="0"/>
    <s v="ECONÓMICA"/>
    <m/>
    <m/>
  </r>
  <r>
    <x v="26"/>
    <x v="2"/>
    <x v="0"/>
    <x v="0"/>
    <s v="HONORARIOS"/>
    <n v="15203196.347031964"/>
    <x v="0"/>
    <s v="ECONÓMICA"/>
    <m/>
    <m/>
  </r>
  <r>
    <x v="26"/>
    <x v="3"/>
    <x v="0"/>
    <x v="0"/>
    <s v="HONORARIOS"/>
    <n v="18824200.913242016"/>
    <x v="0"/>
    <s v="ECONÓMICA"/>
    <m/>
    <m/>
  </r>
  <r>
    <x v="26"/>
    <x v="4"/>
    <x v="0"/>
    <x v="0"/>
    <s v="HONORARIOS"/>
    <n v="21317351.598173514"/>
    <x v="0"/>
    <s v="ECONÓMICA"/>
    <m/>
    <m/>
  </r>
  <r>
    <x v="26"/>
    <x v="5"/>
    <x v="0"/>
    <x v="0"/>
    <s v="HONORARIOS"/>
    <n v="22860730.593607314"/>
    <x v="0"/>
    <s v="ECONÓMICA"/>
    <m/>
    <m/>
  </r>
  <r>
    <x v="26"/>
    <x v="6"/>
    <x v="0"/>
    <x v="0"/>
    <s v="HONORARIOS"/>
    <n v="21079908.675799087"/>
    <x v="0"/>
    <s v="ECONÓMICA"/>
    <m/>
    <m/>
  </r>
  <r>
    <x v="26"/>
    <x v="7"/>
    <x v="0"/>
    <x v="0"/>
    <s v="HONORARIOS"/>
    <n v="25917808.219178069"/>
    <x v="0"/>
    <s v="ECONÓMICA"/>
    <m/>
    <m/>
  </r>
  <r>
    <x v="26"/>
    <x v="8"/>
    <x v="0"/>
    <x v="0"/>
    <s v="HONORARIOS"/>
    <n v="23216894.977168947"/>
    <x v="0"/>
    <s v="ECONÓMICA"/>
    <m/>
    <m/>
  </r>
  <r>
    <x v="26"/>
    <x v="9"/>
    <x v="0"/>
    <x v="0"/>
    <s v="HONORARIOS"/>
    <n v="24226027.397260282"/>
    <x v="0"/>
    <s v="ECONÓMICA"/>
    <m/>
    <m/>
  </r>
  <r>
    <x v="26"/>
    <x v="10"/>
    <x v="0"/>
    <x v="0"/>
    <s v="HONORARIOS"/>
    <n v="25977168.949771687"/>
    <x v="0"/>
    <s v="ECONÓMICA"/>
    <m/>
    <m/>
  </r>
  <r>
    <x v="26"/>
    <x v="11"/>
    <x v="0"/>
    <x v="0"/>
    <s v="HONORARIOS"/>
    <n v="20456621.00456623"/>
    <x v="0"/>
    <s v="ECONÓMICA"/>
    <m/>
    <m/>
  </r>
  <r>
    <x v="26"/>
    <x v="12"/>
    <x v="0"/>
    <x v="0"/>
    <s v="HONORARIOS"/>
    <n v="20812785.388127822"/>
    <x v="0"/>
    <s v="ECONÓMICA"/>
    <m/>
    <m/>
  </r>
  <r>
    <x v="26"/>
    <x v="13"/>
    <x v="0"/>
    <x v="0"/>
    <s v="HONORARIOS"/>
    <n v="23038812.785388142"/>
    <x v="0"/>
    <s v="ECONÓMICA"/>
    <m/>
    <m/>
  </r>
  <r>
    <x v="26"/>
    <x v="14"/>
    <x v="0"/>
    <x v="0"/>
    <s v="HONORARIOS"/>
    <n v="20219178.082191784"/>
    <x v="0"/>
    <s v="ECONÓMICA"/>
    <m/>
    <m/>
  </r>
  <r>
    <x v="26"/>
    <x v="15"/>
    <x v="0"/>
    <x v="0"/>
    <s v="HONORARIOS"/>
    <n v="22415525.11415524"/>
    <x v="0"/>
    <s v="ECONÓMICA"/>
    <m/>
    <m/>
  </r>
  <r>
    <x v="26"/>
    <x v="16"/>
    <x v="0"/>
    <x v="0"/>
    <s v="HONORARIOS"/>
    <n v="22920091.324200906"/>
    <x v="0"/>
    <s v="ECONÓMICA"/>
    <m/>
    <m/>
  </r>
  <r>
    <x v="26"/>
    <x v="17"/>
    <x v="0"/>
    <x v="0"/>
    <s v="HONORARIOS"/>
    <n v="18468036.529680401"/>
    <x v="0"/>
    <s v="ECONÓMICA"/>
    <m/>
    <m/>
  </r>
  <r>
    <x v="26"/>
    <x v="18"/>
    <x v="0"/>
    <x v="0"/>
    <s v="HONORARIOS"/>
    <n v="17013698.630136952"/>
    <x v="0"/>
    <s v="ECONÓMICA"/>
    <m/>
    <m/>
  </r>
  <r>
    <x v="26"/>
    <x v="19"/>
    <x v="0"/>
    <x v="0"/>
    <s v="HONORARIOS"/>
    <n v="16894977.168949805"/>
    <x v="0"/>
    <s v="ECONÓMICA"/>
    <m/>
    <m/>
  </r>
  <r>
    <x v="26"/>
    <x v="20"/>
    <x v="0"/>
    <x v="0"/>
    <s v="HONORARIOS"/>
    <n v="14609589.041095892"/>
    <x v="0"/>
    <s v="ECONÓMICA"/>
    <m/>
    <m/>
  </r>
  <r>
    <x v="13"/>
    <x v="0"/>
    <x v="0"/>
    <x v="0"/>
    <s v="HONORARIOS"/>
    <n v="29900000"/>
    <x v="0"/>
    <s v="CONTRACTUAL SIN LEGALIZACIÓN"/>
    <m/>
    <m/>
  </r>
  <r>
    <x v="13"/>
    <x v="1"/>
    <x v="0"/>
    <x v="0"/>
    <s v="HONORARIOS"/>
    <n v="29900000"/>
    <x v="0"/>
    <s v="CONTRACTUAL SIN LEGALIZACIÓN"/>
    <m/>
    <m/>
  </r>
  <r>
    <x v="13"/>
    <x v="2"/>
    <x v="0"/>
    <x v="0"/>
    <s v="HONORARIOS"/>
    <n v="29900000"/>
    <x v="0"/>
    <s v="CONTRACTUAL SIN LEGALIZACIÓN"/>
    <m/>
    <m/>
  </r>
  <r>
    <x v="51"/>
    <x v="0"/>
    <x v="0"/>
    <x v="0"/>
    <s v="HONORARIOS"/>
    <n v="118601976.15000001"/>
    <x v="0"/>
    <s v="CONTRACTUAL"/>
    <m/>
    <m/>
  </r>
  <r>
    <x v="51"/>
    <x v="1"/>
    <x v="0"/>
    <x v="0"/>
    <s v="HONORARIOS"/>
    <n v="197669960.25"/>
    <x v="0"/>
    <s v="CONTRACTUAL"/>
    <m/>
    <m/>
  </r>
  <r>
    <x v="51"/>
    <x v="2"/>
    <x v="0"/>
    <x v="0"/>
    <s v="HONORARIOS"/>
    <n v="171313965.55000007"/>
    <x v="0"/>
    <s v="CONTRACTUAL"/>
    <m/>
    <m/>
  </r>
  <r>
    <x v="51"/>
    <x v="3"/>
    <x v="0"/>
    <x v="0"/>
    <s v="HONORARIOS"/>
    <n v="210847957.5999999"/>
    <x v="0"/>
    <s v="CONTRACTUAL"/>
    <m/>
    <m/>
  </r>
  <r>
    <x v="30"/>
    <x v="0"/>
    <x v="0"/>
    <x v="0"/>
    <s v="HONORARIOS"/>
    <n v="14000000"/>
    <x v="0"/>
    <s v="ECONÓMICA"/>
    <m/>
    <m/>
  </r>
  <r>
    <x v="30"/>
    <x v="1"/>
    <x v="0"/>
    <x v="0"/>
    <s v="HONORARIOS"/>
    <n v="14000000"/>
    <x v="0"/>
    <s v="ECONÓMICA"/>
    <m/>
    <m/>
  </r>
  <r>
    <x v="30"/>
    <x v="2"/>
    <x v="0"/>
    <x v="0"/>
    <s v="HONORARIOS"/>
    <n v="14000000"/>
    <x v="0"/>
    <s v="ECONÓMICA"/>
    <m/>
    <m/>
  </r>
  <r>
    <x v="30"/>
    <x v="3"/>
    <x v="0"/>
    <x v="0"/>
    <s v="HONORARIOS"/>
    <n v="14000000"/>
    <x v="0"/>
    <s v="ECONÓMICA"/>
    <m/>
    <m/>
  </r>
  <r>
    <x v="30"/>
    <x v="4"/>
    <x v="0"/>
    <x v="0"/>
    <s v="HONORARIOS"/>
    <n v="14000000"/>
    <x v="0"/>
    <s v="ECONÓMICA"/>
    <m/>
    <m/>
  </r>
  <r>
    <x v="30"/>
    <x v="5"/>
    <x v="0"/>
    <x v="0"/>
    <s v="HONORARIOS"/>
    <n v="14000000"/>
    <x v="0"/>
    <s v="ECONÓMICA"/>
    <m/>
    <m/>
  </r>
  <r>
    <x v="30"/>
    <x v="6"/>
    <x v="0"/>
    <x v="0"/>
    <s v="HONORARIOS"/>
    <n v="14000000"/>
    <x v="0"/>
    <s v="ECONÓMICA"/>
    <m/>
    <m/>
  </r>
  <r>
    <x v="30"/>
    <x v="7"/>
    <x v="0"/>
    <x v="0"/>
    <s v="HONORARIOS"/>
    <n v="14000000"/>
    <x v="0"/>
    <s v="ECONÓMICA"/>
    <m/>
    <m/>
  </r>
  <r>
    <x v="30"/>
    <x v="8"/>
    <x v="0"/>
    <x v="0"/>
    <s v="HONORARIOS"/>
    <n v="14000000"/>
    <x v="0"/>
    <s v="ECONÓMICA"/>
    <m/>
    <m/>
  </r>
  <r>
    <x v="30"/>
    <x v="9"/>
    <x v="0"/>
    <x v="0"/>
    <s v="HONORARIOS"/>
    <n v="14000000"/>
    <x v="0"/>
    <s v="ECONÓMICA"/>
    <m/>
    <m/>
  </r>
  <r>
    <x v="30"/>
    <x v="10"/>
    <x v="0"/>
    <x v="0"/>
    <s v="HONORARIOS"/>
    <n v="14000000"/>
    <x v="0"/>
    <s v="ECONÓMICA"/>
    <m/>
    <m/>
  </r>
  <r>
    <x v="30"/>
    <x v="11"/>
    <x v="0"/>
    <x v="0"/>
    <s v="HONORARIOS"/>
    <n v="14000000"/>
    <x v="0"/>
    <s v="ECONÓMICA"/>
    <m/>
    <m/>
  </r>
  <r>
    <x v="30"/>
    <x v="12"/>
    <x v="0"/>
    <x v="0"/>
    <s v="HONORARIOS"/>
    <n v="14000000"/>
    <x v="0"/>
    <s v="ECONÓMICA"/>
    <m/>
    <m/>
  </r>
  <r>
    <x v="30"/>
    <x v="13"/>
    <x v="0"/>
    <x v="0"/>
    <s v="HONORARIOS"/>
    <n v="14000000"/>
    <x v="0"/>
    <s v="ECONÓMICA"/>
    <m/>
    <m/>
  </r>
  <r>
    <x v="30"/>
    <x v="14"/>
    <x v="0"/>
    <x v="0"/>
    <s v="HONORARIOS"/>
    <n v="14000000"/>
    <x v="0"/>
    <s v="ECONÓMICA"/>
    <m/>
    <m/>
  </r>
  <r>
    <x v="31"/>
    <x v="0"/>
    <x v="0"/>
    <x v="0"/>
    <s v="HONORARIOS"/>
    <n v="12000000"/>
    <x v="0"/>
    <s v="ECONÓMICA"/>
    <m/>
    <m/>
  </r>
  <r>
    <x v="31"/>
    <x v="1"/>
    <x v="0"/>
    <x v="0"/>
    <s v="HONORARIOS"/>
    <n v="12000000"/>
    <x v="0"/>
    <s v="ECONÓMICA"/>
    <m/>
    <m/>
  </r>
  <r>
    <x v="31"/>
    <x v="2"/>
    <x v="0"/>
    <x v="0"/>
    <s v="HONORARIOS"/>
    <n v="12000000"/>
    <x v="0"/>
    <s v="ECONÓMICA"/>
    <m/>
    <m/>
  </r>
  <r>
    <x v="31"/>
    <x v="3"/>
    <x v="0"/>
    <x v="0"/>
    <s v="HONORARIOS"/>
    <n v="12000000"/>
    <x v="0"/>
    <s v="ECONÓMICA"/>
    <m/>
    <m/>
  </r>
  <r>
    <x v="31"/>
    <x v="4"/>
    <x v="0"/>
    <x v="0"/>
    <s v="HONORARIOS"/>
    <n v="12000000"/>
    <x v="0"/>
    <s v="ECONÓMICA"/>
    <m/>
    <m/>
  </r>
  <r>
    <x v="31"/>
    <x v="5"/>
    <x v="0"/>
    <x v="0"/>
    <s v="HONORARIOS"/>
    <n v="12000000"/>
    <x v="0"/>
    <s v="ECONÓMICA"/>
    <m/>
    <m/>
  </r>
  <r>
    <x v="31"/>
    <x v="6"/>
    <x v="0"/>
    <x v="0"/>
    <s v="HONORARIOS"/>
    <n v="12000000"/>
    <x v="0"/>
    <s v="ECONÓMICA"/>
    <m/>
    <m/>
  </r>
  <r>
    <x v="31"/>
    <x v="7"/>
    <x v="0"/>
    <x v="0"/>
    <s v="HONORARIOS"/>
    <n v="12000000"/>
    <x v="0"/>
    <s v="ECONÓMICA"/>
    <m/>
    <m/>
  </r>
  <r>
    <x v="31"/>
    <x v="8"/>
    <x v="0"/>
    <x v="0"/>
    <s v="HONORARIOS"/>
    <n v="12000000"/>
    <x v="0"/>
    <s v="ECONÓMICA"/>
    <m/>
    <m/>
  </r>
  <r>
    <x v="31"/>
    <x v="9"/>
    <x v="0"/>
    <x v="0"/>
    <s v="HONORARIOS"/>
    <n v="12000000"/>
    <x v="0"/>
    <s v="ECONÓMICA"/>
    <m/>
    <m/>
  </r>
  <r>
    <x v="31"/>
    <x v="10"/>
    <x v="0"/>
    <x v="0"/>
    <s v="HONORARIOS"/>
    <n v="12000000"/>
    <x v="0"/>
    <s v="ECONÓMICA"/>
    <m/>
    <m/>
  </r>
  <r>
    <x v="31"/>
    <x v="11"/>
    <x v="0"/>
    <x v="0"/>
    <s v="HONORARIOS"/>
    <n v="12000000"/>
    <x v="0"/>
    <s v="ECONÓMICA"/>
    <m/>
    <m/>
  </r>
  <r>
    <x v="31"/>
    <x v="12"/>
    <x v="0"/>
    <x v="0"/>
    <s v="HONORARIOS"/>
    <n v="12000000"/>
    <x v="0"/>
    <s v="ECONÓMICA"/>
    <m/>
    <m/>
  </r>
  <r>
    <x v="31"/>
    <x v="13"/>
    <x v="0"/>
    <x v="0"/>
    <s v="HONORARIOS"/>
    <n v="12000000"/>
    <x v="0"/>
    <s v="ECONÓMICA"/>
    <m/>
    <m/>
  </r>
  <r>
    <x v="31"/>
    <x v="14"/>
    <x v="0"/>
    <x v="0"/>
    <s v="HONORARIOS"/>
    <n v="12000000"/>
    <x v="0"/>
    <s v="ECONÓMICA"/>
    <m/>
    <m/>
  </r>
  <r>
    <x v="31"/>
    <x v="15"/>
    <x v="0"/>
    <x v="0"/>
    <s v="HONORARIOS"/>
    <n v="12000000"/>
    <x v="0"/>
    <s v="ECONÓMICA"/>
    <m/>
    <m/>
  </r>
  <r>
    <x v="31"/>
    <x v="16"/>
    <x v="0"/>
    <x v="0"/>
    <s v="HONORARIOS"/>
    <n v="12000000"/>
    <x v="0"/>
    <s v="ECONÓMICA"/>
    <m/>
    <m/>
  </r>
  <r>
    <x v="31"/>
    <x v="17"/>
    <x v="0"/>
    <x v="0"/>
    <s v="HONORARIOS"/>
    <n v="12000000"/>
    <x v="0"/>
    <s v="ECONÓMICA"/>
    <m/>
    <m/>
  </r>
  <r>
    <x v="31"/>
    <x v="18"/>
    <x v="0"/>
    <x v="0"/>
    <s v="HONORARIOS"/>
    <n v="12000000"/>
    <x v="0"/>
    <s v="ECONÓMICA"/>
    <m/>
    <m/>
  </r>
  <r>
    <x v="31"/>
    <x v="19"/>
    <x v="0"/>
    <x v="0"/>
    <s v="HONORARIOS"/>
    <n v="12000000"/>
    <x v="0"/>
    <s v="ECONÓMICA"/>
    <m/>
    <m/>
  </r>
  <r>
    <x v="31"/>
    <x v="20"/>
    <x v="0"/>
    <x v="0"/>
    <s v="HONORARIOS"/>
    <n v="12000000"/>
    <x v="0"/>
    <s v="ECONÓMICA"/>
    <m/>
    <m/>
  </r>
  <r>
    <x v="31"/>
    <x v="21"/>
    <x v="0"/>
    <x v="0"/>
    <s v="HONORARIOS"/>
    <n v="12000000"/>
    <x v="0"/>
    <s v="ECONÓMICA"/>
    <m/>
    <m/>
  </r>
  <r>
    <x v="31"/>
    <x v="22"/>
    <x v="0"/>
    <x v="0"/>
    <s v="HONORARIOS"/>
    <n v="12000000"/>
    <x v="0"/>
    <s v="ECONÓMICA"/>
    <m/>
    <m/>
  </r>
  <r>
    <x v="31"/>
    <x v="23"/>
    <x v="0"/>
    <x v="0"/>
    <s v="HONORARIOS"/>
    <n v="12000000"/>
    <x v="0"/>
    <s v="ECONÓMICA"/>
    <m/>
    <m/>
  </r>
  <r>
    <x v="33"/>
    <x v="0"/>
    <x v="0"/>
    <x v="0"/>
    <s v="HONORARIOS"/>
    <n v="7050296.2803877732"/>
    <x v="0"/>
    <s v="CONTRACTUAL SIN LEGALIZACIÓN"/>
    <m/>
    <m/>
  </r>
  <r>
    <x v="33"/>
    <x v="1"/>
    <x v="0"/>
    <x v="0"/>
    <s v="HONORARIOS"/>
    <n v="7050296.2803877732"/>
    <x v="0"/>
    <s v="CONTRACTUAL SIN LEGALIZACIÓN"/>
    <m/>
    <m/>
  </r>
  <r>
    <x v="33"/>
    <x v="2"/>
    <x v="0"/>
    <x v="0"/>
    <s v="HONORARIOS"/>
    <n v="7050296.2803877732"/>
    <x v="0"/>
    <s v="CONTRACTUAL SIN LEGALIZACIÓN"/>
    <m/>
    <m/>
  </r>
  <r>
    <x v="33"/>
    <x v="0"/>
    <x v="0"/>
    <x v="0"/>
    <s v="HONORARIOS"/>
    <n v="5301683.8089733012"/>
    <x v="0"/>
    <s v="CONTRACTUAL SIN LEGALIZACIÓN"/>
    <m/>
    <m/>
  </r>
  <r>
    <x v="33"/>
    <x v="1"/>
    <x v="0"/>
    <x v="0"/>
    <s v="HONORARIOS"/>
    <n v="5301683.8089733012"/>
    <x v="0"/>
    <s v="CONTRACTUAL SIN LEGALIZACIÓN"/>
    <m/>
    <m/>
  </r>
  <r>
    <x v="33"/>
    <x v="2"/>
    <x v="0"/>
    <x v="0"/>
    <s v="HONORARIOS"/>
    <n v="5301683.8089733012"/>
    <x v="0"/>
    <s v="CONTRACTUAL SIN LEGALIZACIÓN"/>
    <m/>
    <m/>
  </r>
  <r>
    <x v="33"/>
    <x v="0"/>
    <x v="0"/>
    <x v="0"/>
    <s v="HONORARIOS"/>
    <n v="7122595.6118260631"/>
    <x v="0"/>
    <s v="CONTRACTUAL SIN LEGALIZACIÓN"/>
    <m/>
    <m/>
  </r>
  <r>
    <x v="33"/>
    <x v="1"/>
    <x v="0"/>
    <x v="0"/>
    <s v="HONORARIOS"/>
    <n v="7122595.6118260631"/>
    <x v="0"/>
    <s v="CONTRACTUAL SIN LEGALIZACIÓN"/>
    <m/>
    <m/>
  </r>
  <r>
    <x v="33"/>
    <x v="2"/>
    <x v="0"/>
    <x v="0"/>
    <s v="HONORARIOS"/>
    <n v="7122595.6118260631"/>
    <x v="0"/>
    <s v="CONTRACTUAL SIN LEGALIZACIÓN"/>
    <m/>
    <m/>
  </r>
  <r>
    <x v="33"/>
    <x v="0"/>
    <x v="0"/>
    <x v="0"/>
    <s v="HONORARIOS"/>
    <n v="2753063.7872998388"/>
    <x v="0"/>
    <s v="CONTRACTUAL SIN LEGALIZACIÓN"/>
    <m/>
    <m/>
  </r>
  <r>
    <x v="33"/>
    <x v="1"/>
    <x v="0"/>
    <x v="0"/>
    <s v="HONORARIOS"/>
    <n v="2753063.7872998388"/>
    <x v="0"/>
    <s v="CONTRACTUAL SIN LEGALIZACIÓN"/>
    <m/>
    <m/>
  </r>
  <r>
    <x v="33"/>
    <x v="2"/>
    <x v="0"/>
    <x v="0"/>
    <s v="HONORARIOS"/>
    <n v="2753063.7872998388"/>
    <x v="0"/>
    <s v="CONTRACTUAL SIN LEGALIZACIÓN"/>
    <m/>
    <m/>
  </r>
  <r>
    <x v="33"/>
    <x v="0"/>
    <x v="0"/>
    <x v="0"/>
    <s v="HONORARIOS"/>
    <n v="4064763.0345789804"/>
    <x v="0"/>
    <s v="CONTRACTUAL SIN LEGALIZACIÓN"/>
    <m/>
    <m/>
  </r>
  <r>
    <x v="33"/>
    <x v="1"/>
    <x v="0"/>
    <x v="0"/>
    <s v="HONORARIOS"/>
    <n v="4064763.0345789804"/>
    <x v="0"/>
    <s v="CONTRACTUAL SIN LEGALIZACIÓN"/>
    <m/>
    <m/>
  </r>
  <r>
    <x v="33"/>
    <x v="2"/>
    <x v="0"/>
    <x v="0"/>
    <s v="HONORARIOS"/>
    <n v="4064763.0345789804"/>
    <x v="0"/>
    <s v="CONTRACTUAL SIN LEGALIZACIÓN"/>
    <m/>
    <m/>
  </r>
  <r>
    <x v="33"/>
    <x v="0"/>
    <x v="0"/>
    <x v="0"/>
    <s v="HONORARIOS"/>
    <n v="3114204.2269340428"/>
    <x v="0"/>
    <s v="CONTRACTUAL SIN LEGALIZACIÓN"/>
    <m/>
    <m/>
  </r>
  <r>
    <x v="33"/>
    <x v="1"/>
    <x v="0"/>
    <x v="0"/>
    <s v="HONORARIOS"/>
    <n v="3114204.2269340428"/>
    <x v="0"/>
    <s v="CONTRACTUAL SIN LEGALIZACIÓN"/>
    <m/>
    <m/>
  </r>
  <r>
    <x v="33"/>
    <x v="2"/>
    <x v="0"/>
    <x v="0"/>
    <s v="HONORARIOS"/>
    <n v="3114204.2269340428"/>
    <x v="0"/>
    <s v="CONTRACTUAL SIN LEGALIZACIÓN"/>
    <m/>
    <m/>
  </r>
  <r>
    <x v="52"/>
    <x v="0"/>
    <x v="0"/>
    <x v="0"/>
    <s v="HONORARIOS"/>
    <n v="12773052.833333334"/>
    <x v="0"/>
    <s v="CONTRACTUAL"/>
    <m/>
    <m/>
  </r>
  <r>
    <x v="52"/>
    <x v="1"/>
    <x v="0"/>
    <x v="0"/>
    <s v="HONORARIOS"/>
    <n v="12773052.833333334"/>
    <x v="0"/>
    <s v="CONTRACTUAL"/>
    <m/>
    <m/>
  </r>
  <r>
    <x v="53"/>
    <x v="0"/>
    <x v="0"/>
    <x v="0"/>
    <s v="HONORARIOS"/>
    <n v="50000000"/>
    <x v="0"/>
    <s v="CONTRACTUAL"/>
    <m/>
    <m/>
  </r>
  <r>
    <x v="53"/>
    <x v="1"/>
    <x v="0"/>
    <x v="0"/>
    <s v="HONORARIOS"/>
    <n v="50000000"/>
    <x v="0"/>
    <s v="CONTRACTUAL"/>
    <m/>
    <m/>
  </r>
  <r>
    <x v="53"/>
    <x v="2"/>
    <x v="0"/>
    <x v="0"/>
    <s v="HONORARIOS"/>
    <n v="50000000"/>
    <x v="0"/>
    <s v="CONTRACTUAL"/>
    <m/>
    <m/>
  </r>
  <r>
    <x v="53"/>
    <x v="3"/>
    <x v="0"/>
    <x v="0"/>
    <s v="HONORARIOS"/>
    <n v="50000000"/>
    <x v="0"/>
    <s v="CONTRACTUAL"/>
    <m/>
    <m/>
  </r>
  <r>
    <x v="53"/>
    <x v="4"/>
    <x v="0"/>
    <x v="0"/>
    <s v="HONORARIOS"/>
    <n v="50000000"/>
    <x v="0"/>
    <s v="CONTRACTUAL"/>
    <m/>
    <m/>
  </r>
  <r>
    <x v="54"/>
    <x v="0"/>
    <x v="0"/>
    <x v="0"/>
    <s v="HONORARIOS"/>
    <n v="48166666.666666664"/>
    <x v="0"/>
    <s v="CONTRACTUAL"/>
    <m/>
    <m/>
  </r>
  <r>
    <x v="54"/>
    <x v="1"/>
    <x v="0"/>
    <x v="0"/>
    <s v="HONORARIOS"/>
    <n v="48166666.666666664"/>
    <x v="0"/>
    <s v="CONTRACTUAL"/>
    <m/>
    <m/>
  </r>
  <r>
    <x v="54"/>
    <x v="2"/>
    <x v="0"/>
    <x v="0"/>
    <s v="HONORARIOS"/>
    <n v="48166666.666666664"/>
    <x v="0"/>
    <s v="CONTRACTUAL"/>
    <m/>
    <m/>
  </r>
  <r>
    <x v="54"/>
    <x v="3"/>
    <x v="0"/>
    <x v="0"/>
    <s v="HONORARIOS"/>
    <n v="48166666.666666664"/>
    <x v="0"/>
    <s v="CONTRACTUAL"/>
    <m/>
    <m/>
  </r>
  <r>
    <x v="54"/>
    <x v="4"/>
    <x v="0"/>
    <x v="0"/>
    <s v="HONORARIOS"/>
    <n v="48166666.666666664"/>
    <x v="0"/>
    <s v="CONTRACTUAL"/>
    <m/>
    <m/>
  </r>
  <r>
    <x v="54"/>
    <x v="5"/>
    <x v="0"/>
    <x v="0"/>
    <s v="HONORARIOS"/>
    <n v="48166666.666666664"/>
    <x v="0"/>
    <s v="CONTRACTUAL"/>
    <m/>
    <m/>
  </r>
  <r>
    <x v="34"/>
    <x v="0"/>
    <x v="0"/>
    <x v="0"/>
    <s v="HONORARIOS"/>
    <n v="10500000"/>
    <x v="0"/>
    <s v="ECONÓMICA"/>
    <m/>
    <m/>
  </r>
  <r>
    <x v="34"/>
    <x v="1"/>
    <x v="0"/>
    <x v="0"/>
    <s v="HONORARIOS"/>
    <n v="10500000"/>
    <x v="0"/>
    <s v="ECONÓMICA"/>
    <m/>
    <m/>
  </r>
  <r>
    <x v="55"/>
    <x v="1"/>
    <x v="0"/>
    <x v="0"/>
    <s v="HONORARIOS"/>
    <n v="9800000"/>
    <x v="0"/>
    <s v="ECONÓMICA"/>
    <m/>
    <m/>
  </r>
  <r>
    <x v="55"/>
    <x v="2"/>
    <x v="0"/>
    <x v="0"/>
    <s v="HONORARIOS"/>
    <n v="9800000"/>
    <x v="0"/>
    <s v="ECONÓMICA"/>
    <m/>
    <m/>
  </r>
  <r>
    <x v="55"/>
    <x v="3"/>
    <x v="0"/>
    <x v="0"/>
    <s v="HONORARIOS"/>
    <n v="9800000"/>
    <x v="0"/>
    <s v="ECONÓMICA"/>
    <m/>
    <m/>
  </r>
  <r>
    <x v="55"/>
    <x v="4"/>
    <x v="0"/>
    <x v="0"/>
    <s v="HONORARIOS"/>
    <n v="9800000"/>
    <x v="0"/>
    <s v="ECONÓMICA"/>
    <m/>
    <m/>
  </r>
  <r>
    <x v="55"/>
    <x v="5"/>
    <x v="0"/>
    <x v="0"/>
    <s v="HONORARIOS"/>
    <n v="9800000"/>
    <x v="0"/>
    <s v="ECONÓMICA"/>
    <m/>
    <m/>
  </r>
  <r>
    <x v="55"/>
    <x v="6"/>
    <x v="0"/>
    <x v="0"/>
    <s v="HONORARIOS"/>
    <n v="9800000"/>
    <x v="0"/>
    <s v="ECONÓMICA"/>
    <m/>
    <m/>
  </r>
  <r>
    <x v="55"/>
    <x v="7"/>
    <x v="0"/>
    <x v="0"/>
    <s v="HONORARIOS"/>
    <n v="9800000"/>
    <x v="0"/>
    <s v="ECONÓMICA"/>
    <m/>
    <m/>
  </r>
  <r>
    <x v="55"/>
    <x v="8"/>
    <x v="0"/>
    <x v="0"/>
    <s v="HONORARIOS"/>
    <n v="9800000"/>
    <x v="0"/>
    <s v="ECONÓMICA"/>
    <m/>
    <m/>
  </r>
  <r>
    <x v="55"/>
    <x v="9"/>
    <x v="0"/>
    <x v="0"/>
    <s v="HONORARIOS"/>
    <n v="9800000"/>
    <x v="0"/>
    <s v="ECONÓMICA"/>
    <m/>
    <m/>
  </r>
  <r>
    <x v="55"/>
    <x v="10"/>
    <x v="0"/>
    <x v="0"/>
    <s v="HONORARIOS"/>
    <n v="9800000"/>
    <x v="0"/>
    <s v="ECONÓMICA"/>
    <m/>
    <m/>
  </r>
  <r>
    <x v="55"/>
    <x v="11"/>
    <x v="0"/>
    <x v="0"/>
    <s v="HONORARIOS"/>
    <n v="9800000"/>
    <x v="0"/>
    <s v="ECONÓMICA"/>
    <m/>
    <m/>
  </r>
  <r>
    <x v="55"/>
    <x v="12"/>
    <x v="0"/>
    <x v="0"/>
    <s v="HONORARIOS"/>
    <n v="9800000"/>
    <x v="0"/>
    <s v="ECONÓMICA"/>
    <m/>
    <m/>
  </r>
  <r>
    <x v="55"/>
    <x v="13"/>
    <x v="0"/>
    <x v="0"/>
    <s v="HONORARIOS"/>
    <n v="9800000"/>
    <x v="0"/>
    <s v="ECONÓMICA"/>
    <m/>
    <m/>
  </r>
  <r>
    <x v="55"/>
    <x v="14"/>
    <x v="0"/>
    <x v="0"/>
    <s v="HONORARIOS"/>
    <n v="9800000"/>
    <x v="0"/>
    <s v="ECONÓMICA"/>
    <m/>
    <m/>
  </r>
  <r>
    <x v="52"/>
    <x v="2"/>
    <x v="0"/>
    <x v="0"/>
    <s v="HONORARIOS"/>
    <n v="12773052.833333334"/>
    <x v="0"/>
    <s v="CONTRACTUAL"/>
    <m/>
    <m/>
  </r>
  <r>
    <x v="52"/>
    <x v="3"/>
    <x v="0"/>
    <x v="0"/>
    <s v="HONORARIOS"/>
    <n v="12773052.833333334"/>
    <x v="0"/>
    <s v="CONTRACTUAL"/>
    <m/>
    <m/>
  </r>
  <r>
    <x v="52"/>
    <x v="4"/>
    <x v="0"/>
    <x v="0"/>
    <s v="HONORARIOS"/>
    <n v="12773052.833333334"/>
    <x v="0"/>
    <s v="CONTRACTUAL"/>
    <m/>
    <m/>
  </r>
  <r>
    <x v="52"/>
    <x v="5"/>
    <x v="0"/>
    <x v="0"/>
    <s v="HONORARIOS"/>
    <n v="12773052.833333334"/>
    <x v="0"/>
    <s v="CONTRACTUAL"/>
    <m/>
    <m/>
  </r>
  <r>
    <x v="52"/>
    <x v="6"/>
    <x v="0"/>
    <x v="0"/>
    <s v="HONORARIOS"/>
    <n v="12773052.833333334"/>
    <x v="0"/>
    <s v="CONTRACTUAL"/>
    <m/>
    <m/>
  </r>
  <r>
    <x v="52"/>
    <x v="7"/>
    <x v="0"/>
    <x v="0"/>
    <s v="HONORARIOS"/>
    <n v="12773052.833333334"/>
    <x v="0"/>
    <s v="CONTRACTUAL"/>
    <m/>
    <m/>
  </r>
  <r>
    <x v="52"/>
    <x v="8"/>
    <x v="0"/>
    <x v="0"/>
    <s v="HONORARIOS"/>
    <n v="12773052.833333334"/>
    <x v="0"/>
    <s v="CONTRACTUAL"/>
    <m/>
    <m/>
  </r>
  <r>
    <x v="52"/>
    <x v="9"/>
    <x v="0"/>
    <x v="0"/>
    <s v="HONORARIOS"/>
    <n v="12773052.833333334"/>
    <x v="0"/>
    <s v="CONTRACTUAL"/>
    <m/>
    <m/>
  </r>
  <r>
    <x v="52"/>
    <x v="10"/>
    <x v="0"/>
    <x v="0"/>
    <s v="HONORARIOS"/>
    <n v="12773052.833333334"/>
    <x v="0"/>
    <s v="CONTRACTUAL"/>
    <m/>
    <m/>
  </r>
  <r>
    <x v="35"/>
    <x v="1"/>
    <x v="0"/>
    <x v="0"/>
    <s v="HONORARIOS"/>
    <n v="22250000"/>
    <x v="0"/>
    <s v="ECONÓMICA"/>
    <m/>
    <m/>
  </r>
  <r>
    <x v="35"/>
    <x v="2"/>
    <x v="0"/>
    <x v="0"/>
    <s v="HONORARIOS"/>
    <n v="22250000"/>
    <x v="0"/>
    <s v="ECONÓMICA"/>
    <m/>
    <m/>
  </r>
  <r>
    <x v="35"/>
    <x v="3"/>
    <x v="0"/>
    <x v="0"/>
    <s v="HONORARIOS"/>
    <n v="22250000"/>
    <x v="0"/>
    <s v="ECONÓMICA"/>
    <m/>
    <m/>
  </r>
  <r>
    <x v="35"/>
    <x v="4"/>
    <x v="0"/>
    <x v="0"/>
    <s v="HONORARIOS"/>
    <n v="22250000"/>
    <x v="0"/>
    <s v="ECONÓMICA"/>
    <m/>
    <m/>
  </r>
  <r>
    <x v="35"/>
    <x v="5"/>
    <x v="0"/>
    <x v="0"/>
    <s v="HONORARIOS"/>
    <n v="22250000"/>
    <x v="0"/>
    <s v="ECONÓMICA"/>
    <m/>
    <m/>
  </r>
  <r>
    <x v="35"/>
    <x v="6"/>
    <x v="0"/>
    <x v="0"/>
    <s v="HONORARIOS"/>
    <n v="22250000"/>
    <x v="0"/>
    <s v="ECONÓMICA"/>
    <m/>
    <m/>
  </r>
  <r>
    <x v="35"/>
    <x v="7"/>
    <x v="0"/>
    <x v="0"/>
    <s v="HONORARIOS"/>
    <n v="22250000"/>
    <x v="0"/>
    <s v="ECONÓMICA"/>
    <m/>
    <m/>
  </r>
  <r>
    <x v="39"/>
    <x v="3"/>
    <x v="0"/>
    <x v="0"/>
    <s v="HONORARIOS"/>
    <n v="17160000"/>
    <x v="0"/>
    <s v="ECONÓMICA"/>
    <m/>
    <m/>
  </r>
  <r>
    <x v="39"/>
    <x v="4"/>
    <x v="0"/>
    <x v="0"/>
    <s v="HONORARIOS"/>
    <n v="17160000"/>
    <x v="0"/>
    <s v="ECONÓMICA"/>
    <m/>
    <m/>
  </r>
  <r>
    <x v="39"/>
    <x v="5"/>
    <x v="0"/>
    <x v="0"/>
    <s v="HONORARIOS"/>
    <n v="17160000"/>
    <x v="0"/>
    <s v="ECONÓMICA"/>
    <m/>
    <m/>
  </r>
  <r>
    <x v="39"/>
    <x v="6"/>
    <x v="0"/>
    <x v="0"/>
    <s v="HONORARIOS"/>
    <n v="17160000"/>
    <x v="0"/>
    <s v="ECONÓMICA"/>
    <m/>
    <m/>
  </r>
  <r>
    <x v="39"/>
    <x v="7"/>
    <x v="0"/>
    <x v="0"/>
    <s v="HONORARIOS"/>
    <n v="17160000"/>
    <x v="0"/>
    <s v="ECONÓMICA"/>
    <m/>
    <m/>
  </r>
  <r>
    <x v="39"/>
    <x v="8"/>
    <x v="0"/>
    <x v="0"/>
    <s v="HONORARIOS"/>
    <n v="17160000"/>
    <x v="0"/>
    <s v="ECONÓMICA"/>
    <m/>
    <m/>
  </r>
  <r>
    <x v="39"/>
    <x v="9"/>
    <x v="0"/>
    <x v="0"/>
    <s v="HONORARIOS"/>
    <n v="17160000"/>
    <x v="0"/>
    <s v="ECONÓMICA"/>
    <m/>
    <m/>
  </r>
  <r>
    <x v="39"/>
    <x v="10"/>
    <x v="0"/>
    <x v="0"/>
    <s v="HONORARIOS"/>
    <n v="17160000"/>
    <x v="0"/>
    <s v="ECONÓMICA"/>
    <m/>
    <m/>
  </r>
  <r>
    <x v="39"/>
    <x v="11"/>
    <x v="0"/>
    <x v="0"/>
    <s v="HONORARIOS"/>
    <n v="17160000"/>
    <x v="0"/>
    <s v="ECONÓMICA"/>
    <m/>
    <m/>
  </r>
  <r>
    <x v="39"/>
    <x v="12"/>
    <x v="0"/>
    <x v="0"/>
    <s v="HONORARIOS"/>
    <n v="17160000"/>
    <x v="0"/>
    <s v="ECONÓMICA"/>
    <m/>
    <m/>
  </r>
  <r>
    <x v="39"/>
    <x v="13"/>
    <x v="0"/>
    <x v="0"/>
    <s v="HONORARIOS"/>
    <n v="17160000"/>
    <x v="0"/>
    <s v="ECONÓMICA"/>
    <m/>
    <m/>
  </r>
  <r>
    <x v="39"/>
    <x v="14"/>
    <x v="0"/>
    <x v="0"/>
    <s v="HONORARIOS"/>
    <n v="17160000"/>
    <x v="0"/>
    <s v="ECONÓMICA"/>
    <m/>
    <m/>
  </r>
  <r>
    <x v="39"/>
    <x v="15"/>
    <x v="0"/>
    <x v="0"/>
    <s v="HONORARIOS"/>
    <n v="17160000"/>
    <x v="0"/>
    <s v="ECONÓMICA"/>
    <m/>
    <m/>
  </r>
  <r>
    <x v="37"/>
    <x v="2"/>
    <x v="0"/>
    <x v="0"/>
    <s v="HONORARIOS"/>
    <n v="26936126"/>
    <x v="0"/>
    <s v="CONTRACTUAL"/>
    <m/>
    <m/>
  </r>
  <r>
    <x v="37"/>
    <x v="3"/>
    <x v="0"/>
    <x v="0"/>
    <s v="HONORARIOS"/>
    <n v="26936126"/>
    <x v="0"/>
    <s v="CONTRACTUAL"/>
    <m/>
    <m/>
  </r>
  <r>
    <x v="37"/>
    <x v="4"/>
    <x v="0"/>
    <x v="0"/>
    <s v="HONORARIOS"/>
    <n v="26936126"/>
    <x v="0"/>
    <s v="CONTRACTUAL"/>
    <m/>
    <m/>
  </r>
  <r>
    <x v="37"/>
    <x v="5"/>
    <x v="0"/>
    <x v="0"/>
    <s v="HONORARIOS"/>
    <n v="26936126"/>
    <x v="0"/>
    <s v="CONTRACTUAL"/>
    <m/>
    <m/>
  </r>
  <r>
    <x v="37"/>
    <x v="6"/>
    <x v="0"/>
    <x v="0"/>
    <s v="HONORARIOS"/>
    <n v="26936126"/>
    <x v="0"/>
    <s v="CONTRACTUAL"/>
    <m/>
    <m/>
  </r>
  <r>
    <x v="37"/>
    <x v="7"/>
    <x v="0"/>
    <x v="0"/>
    <s v="HONORARIOS"/>
    <n v="26936126"/>
    <x v="0"/>
    <s v="CONTRACTUAL"/>
    <m/>
    <m/>
  </r>
  <r>
    <x v="37"/>
    <x v="8"/>
    <x v="0"/>
    <x v="0"/>
    <s v="HONORARIOS"/>
    <n v="26936126"/>
    <x v="0"/>
    <s v="CONTRACTUAL"/>
    <m/>
    <m/>
  </r>
  <r>
    <x v="37"/>
    <x v="9"/>
    <x v="0"/>
    <x v="0"/>
    <s v="HONORARIOS"/>
    <n v="26936126"/>
    <x v="0"/>
    <s v="CONTRACTUAL"/>
    <m/>
    <m/>
  </r>
  <r>
    <x v="37"/>
    <x v="10"/>
    <x v="0"/>
    <x v="0"/>
    <s v="HONORARIOS"/>
    <n v="26936126"/>
    <x v="0"/>
    <s v="CONTRACTUAL"/>
    <m/>
    <m/>
  </r>
  <r>
    <x v="37"/>
    <x v="11"/>
    <x v="0"/>
    <x v="0"/>
    <s v="HONORARIOS"/>
    <n v="26936126"/>
    <x v="0"/>
    <s v="CONTRACTUAL"/>
    <m/>
    <m/>
  </r>
  <r>
    <x v="37"/>
    <x v="12"/>
    <x v="0"/>
    <x v="0"/>
    <s v="HONORARIOS"/>
    <n v="26936126"/>
    <x v="0"/>
    <s v="CONTRACTUAL"/>
    <m/>
    <m/>
  </r>
  <r>
    <x v="37"/>
    <x v="13"/>
    <x v="0"/>
    <x v="0"/>
    <s v="HONORARIOS"/>
    <n v="26936126"/>
    <x v="0"/>
    <s v="CONTRACTUAL"/>
    <m/>
    <m/>
  </r>
  <r>
    <x v="37"/>
    <x v="14"/>
    <x v="0"/>
    <x v="0"/>
    <s v="HONORARIOS"/>
    <n v="26936126"/>
    <x v="0"/>
    <s v="CONTRACTUAL"/>
    <m/>
    <m/>
  </r>
  <r>
    <x v="37"/>
    <x v="15"/>
    <x v="0"/>
    <x v="0"/>
    <s v="HONORARIOS"/>
    <n v="26936126"/>
    <x v="0"/>
    <s v="CONTRACTUAL"/>
    <m/>
    <m/>
  </r>
  <r>
    <x v="37"/>
    <x v="16"/>
    <x v="0"/>
    <x v="0"/>
    <s v="HONORARIOS"/>
    <n v="26936126"/>
    <x v="0"/>
    <s v="CONTRACTUAL"/>
    <m/>
    <m/>
  </r>
  <r>
    <x v="37"/>
    <x v="17"/>
    <x v="0"/>
    <x v="0"/>
    <s v="HONORARIOS"/>
    <n v="26936126"/>
    <x v="0"/>
    <s v="CONTRACTUAL"/>
    <m/>
    <m/>
  </r>
  <r>
    <x v="37"/>
    <x v="18"/>
    <x v="0"/>
    <x v="0"/>
    <s v="HONORARIOS"/>
    <n v="26936126"/>
    <x v="0"/>
    <s v="CONTRACTUAL"/>
    <m/>
    <m/>
  </r>
  <r>
    <x v="37"/>
    <x v="19"/>
    <x v="0"/>
    <x v="0"/>
    <s v="HONORARIOS"/>
    <n v="26936126"/>
    <x v="0"/>
    <s v="CONTRACTUAL"/>
    <m/>
    <m/>
  </r>
  <r>
    <x v="37"/>
    <x v="20"/>
    <x v="0"/>
    <x v="0"/>
    <s v="HONORARIOS"/>
    <n v="26936126"/>
    <x v="0"/>
    <s v="CONTRACTUAL"/>
    <m/>
    <m/>
  </r>
  <r>
    <x v="37"/>
    <x v="21"/>
    <x v="0"/>
    <x v="0"/>
    <s v="HONORARIOS"/>
    <n v="26936126"/>
    <x v="0"/>
    <s v="CONTRACTUAL"/>
    <m/>
    <m/>
  </r>
  <r>
    <x v="37"/>
    <x v="22"/>
    <x v="0"/>
    <x v="0"/>
    <s v="HONORARIOS"/>
    <n v="26936126"/>
    <x v="0"/>
    <s v="CONTRACTUAL"/>
    <m/>
    <m/>
  </r>
  <r>
    <x v="37"/>
    <x v="23"/>
    <x v="0"/>
    <x v="0"/>
    <s v="HONORARIOS"/>
    <n v="26936126"/>
    <x v="0"/>
    <s v="CONTRACTUAL"/>
    <m/>
    <m/>
  </r>
  <r>
    <x v="37"/>
    <x v="24"/>
    <x v="0"/>
    <x v="0"/>
    <s v="HONORARIOS"/>
    <n v="26936126"/>
    <x v="0"/>
    <s v="CONTRACTUAL"/>
    <m/>
    <m/>
  </r>
  <r>
    <x v="37"/>
    <x v="25"/>
    <x v="0"/>
    <x v="0"/>
    <s v="HONORARIOS"/>
    <n v="26936126"/>
    <x v="0"/>
    <s v="CONTRACTUAL"/>
    <m/>
    <m/>
  </r>
  <r>
    <x v="37"/>
    <x v="26"/>
    <x v="0"/>
    <x v="0"/>
    <s v="HONORARIOS"/>
    <n v="26936126"/>
    <x v="0"/>
    <s v="CONTRACTUAL"/>
    <m/>
    <m/>
  </r>
  <r>
    <x v="38"/>
    <x v="3"/>
    <x v="0"/>
    <x v="0"/>
    <s v="HONORARIOS"/>
    <n v="8700000"/>
    <x v="0"/>
    <s v="ECONÓMICA"/>
    <m/>
    <m/>
  </r>
  <r>
    <x v="38"/>
    <x v="3"/>
    <x v="0"/>
    <x v="0"/>
    <s v="HONORARIOS"/>
    <n v="20600000"/>
    <x v="0"/>
    <s v="ECONÓMICA"/>
    <m/>
    <m/>
  </r>
  <r>
    <x v="38"/>
    <x v="4"/>
    <x v="0"/>
    <x v="0"/>
    <s v="HONORARIOS"/>
    <n v="20600000"/>
    <x v="0"/>
    <s v="ECONÓMICA"/>
    <m/>
    <m/>
  </r>
  <r>
    <x v="38"/>
    <x v="5"/>
    <x v="0"/>
    <x v="0"/>
    <s v="HONORARIOS"/>
    <n v="20600000"/>
    <x v="0"/>
    <s v="ECONÓMICA"/>
    <m/>
    <m/>
  </r>
  <r>
    <x v="38"/>
    <x v="6"/>
    <x v="0"/>
    <x v="0"/>
    <s v="HONORARIOS"/>
    <n v="20600000"/>
    <x v="0"/>
    <s v="ECONÓMICA"/>
    <m/>
    <m/>
  </r>
  <r>
    <x v="38"/>
    <x v="7"/>
    <x v="0"/>
    <x v="0"/>
    <s v="HONORARIOS"/>
    <n v="20600000"/>
    <x v="0"/>
    <s v="ECONÓMICA"/>
    <m/>
    <m/>
  </r>
  <r>
    <x v="38"/>
    <x v="8"/>
    <x v="0"/>
    <x v="0"/>
    <s v="HONORARIOS"/>
    <n v="20600000"/>
    <x v="0"/>
    <s v="ECONÓMICA"/>
    <m/>
    <m/>
  </r>
  <r>
    <x v="38"/>
    <x v="9"/>
    <x v="0"/>
    <x v="0"/>
    <s v="HONORARIOS"/>
    <n v="20600000"/>
    <x v="0"/>
    <s v="ECONÓMICA"/>
    <m/>
    <m/>
  </r>
  <r>
    <x v="38"/>
    <x v="10"/>
    <x v="0"/>
    <x v="0"/>
    <s v="HONORARIOS"/>
    <n v="20600000"/>
    <x v="0"/>
    <s v="ECONÓMICA"/>
    <m/>
    <m/>
  </r>
  <r>
    <x v="38"/>
    <x v="11"/>
    <x v="0"/>
    <x v="0"/>
    <s v="HONORARIOS"/>
    <n v="20600000"/>
    <x v="0"/>
    <s v="ECONÓMICA"/>
    <m/>
    <m/>
  </r>
  <r>
    <x v="38"/>
    <x v="12"/>
    <x v="0"/>
    <x v="0"/>
    <s v="HONORARIOS"/>
    <n v="20600000"/>
    <x v="0"/>
    <s v="ECONÓMICA"/>
    <m/>
    <m/>
  </r>
  <r>
    <x v="38"/>
    <x v="3"/>
    <x v="0"/>
    <x v="0"/>
    <s v="HONORARIOS"/>
    <n v="14200000"/>
    <x v="0"/>
    <s v="ECONÓMICA"/>
    <m/>
    <m/>
  </r>
  <r>
    <x v="38"/>
    <x v="4"/>
    <x v="0"/>
    <x v="0"/>
    <s v="HONORARIOS"/>
    <n v="14200000"/>
    <x v="0"/>
    <s v="ECONÓMICA"/>
    <m/>
    <m/>
  </r>
  <r>
    <x v="38"/>
    <x v="5"/>
    <x v="0"/>
    <x v="0"/>
    <s v="HONORARIOS"/>
    <n v="14200000"/>
    <x v="0"/>
    <s v="ECONÓMICA"/>
    <m/>
    <m/>
  </r>
  <r>
    <x v="38"/>
    <x v="6"/>
    <x v="0"/>
    <x v="0"/>
    <s v="HONORARIOS"/>
    <n v="14200000"/>
    <x v="0"/>
    <s v="ECONÓMICA"/>
    <m/>
    <m/>
  </r>
  <r>
    <x v="56"/>
    <x v="3"/>
    <x v="0"/>
    <x v="0"/>
    <s v="HONORARIOS"/>
    <n v="10000000"/>
    <x v="0"/>
    <s v="ECONÓMICA"/>
    <m/>
    <m/>
  </r>
  <r>
    <x v="56"/>
    <x v="4"/>
    <x v="0"/>
    <x v="0"/>
    <s v="HONORARIOS"/>
    <n v="10000000"/>
    <x v="0"/>
    <s v="ECONÓMICA"/>
    <m/>
    <m/>
  </r>
  <r>
    <x v="56"/>
    <x v="5"/>
    <x v="0"/>
    <x v="0"/>
    <s v="HONORARIOS"/>
    <n v="10000000"/>
    <x v="0"/>
    <s v="ECONÓMICA"/>
    <m/>
    <m/>
  </r>
  <r>
    <x v="44"/>
    <x v="1"/>
    <x v="0"/>
    <x v="0"/>
    <s v="HONORARIOS"/>
    <n v="126579869.80723679"/>
    <x v="0"/>
    <s v="CONTRACTUAL"/>
    <s v="SE CORRIGE A MANO - CON EL FIN MANTENER CONSISTENTE LA INFORMACIÓN CON EL PRIMER EJERCICIO"/>
    <m/>
  </r>
  <r>
    <x v="44"/>
    <x v="2"/>
    <x v="0"/>
    <x v="0"/>
    <s v="HONORARIOS"/>
    <n v="126579869.80723679"/>
    <x v="0"/>
    <s v="CONTRACTUAL"/>
    <s v="SE CORRIGE A MANO - CON EL FIN MANTENER CONSISTENTE LA INFORMACIÓN CON EL PRIMER EJERCICIO"/>
    <m/>
  </r>
  <r>
    <x v="6"/>
    <x v="0"/>
    <x v="0"/>
    <x v="0"/>
    <s v="HONORARIOS"/>
    <n v="0"/>
    <x v="0"/>
    <s v="CONTRACTUAL"/>
    <s v="SE CORRIGE A MANO - CON EL FIN MANTENER CONSISTENTE LA INFORMACIÓN CON EL PRIMER EJERCICIO"/>
    <m/>
  </r>
  <r>
    <x v="6"/>
    <x v="0"/>
    <x v="0"/>
    <x v="0"/>
    <s v="INSPECTOR"/>
    <n v="4141403.4374999995"/>
    <x v="0"/>
    <s v="CONTRACTUAL"/>
    <s v="SE CORRIGE A MANO - CON EL FIN MANTENER CONSISTENTE LA INFORMACIÓN CON EL PRIMER EJERCICIO"/>
    <m/>
  </r>
  <r>
    <x v="6"/>
    <x v="0"/>
    <x v="0"/>
    <x v="0"/>
    <s v="RESIDENTE TECNICO"/>
    <n v="0"/>
    <x v="0"/>
    <s v="CONTRACTUAL"/>
    <s v="SE CORRIGE A MANO - CON EL FIN MANTENER CONSISTENTE LA INFORMACIÓN CON EL PRIMER EJERCICIO"/>
    <m/>
  </r>
  <r>
    <x v="6"/>
    <x v="1"/>
    <x v="0"/>
    <x v="0"/>
    <s v="HONORARIOS"/>
    <n v="0"/>
    <x v="0"/>
    <s v="CONTRACTUAL"/>
    <s v="SE CORRIGE A MANO - CON EL FIN MANTENER CONSISTENTE LA INFORMACIÓN CON EL PRIMER EJERCICIO"/>
    <m/>
  </r>
  <r>
    <x v="6"/>
    <x v="1"/>
    <x v="0"/>
    <x v="0"/>
    <s v="INSPECTOR"/>
    <n v="4141403.4374999995"/>
    <x v="0"/>
    <s v="CONTRACTUAL"/>
    <s v="SE CORRIGE A MANO - CON EL FIN MANTENER CONSISTENTE LA INFORMACIÓN CON EL PRIMER EJERCICIO"/>
    <m/>
  </r>
  <r>
    <x v="6"/>
    <x v="1"/>
    <x v="0"/>
    <x v="0"/>
    <s v="RESIDENTE TECNICO"/>
    <n v="0"/>
    <x v="0"/>
    <s v="CONTRACTUAL"/>
    <s v="SE CORRIGE A MANO - CON EL FIN MANTENER CONSISTENTE LA INFORMACIÓN CON EL PRIMER EJERCICIO"/>
    <m/>
  </r>
  <r>
    <x v="6"/>
    <x v="2"/>
    <x v="0"/>
    <x v="0"/>
    <s v="HONORARIOS"/>
    <n v="15500000"/>
    <x v="0"/>
    <s v="CONTRACTUAL"/>
    <s v="SE CORRIGE A MANO - CON EL FIN MANTENER CONSISTENTE LA INFORMACIÓN CON EL PRIMER EJERCICIO"/>
    <m/>
  </r>
  <r>
    <x v="6"/>
    <x v="2"/>
    <x v="0"/>
    <x v="0"/>
    <s v="INSPECTOR"/>
    <n v="4141403.4374999995"/>
    <x v="0"/>
    <s v="CONTRACTUAL"/>
    <s v="SE CORRIGE A MANO - CON EL FIN MANTENER CONSISTENTE LA INFORMACIÓN CON EL PRIMER EJERCICIO"/>
    <m/>
  </r>
  <r>
    <x v="6"/>
    <x v="2"/>
    <x v="0"/>
    <x v="0"/>
    <s v="RESIDENTE TECNICO"/>
    <n v="8365287.65625"/>
    <x v="0"/>
    <s v="CONTRACTUAL"/>
    <s v="SE CORRIGE A MANO - CON EL FIN MANTENER CONSISTENTE LA INFORMACIÓN CON EL PRIMER EJERCICIO"/>
    <m/>
  </r>
  <r>
    <x v="6"/>
    <x v="3"/>
    <x v="0"/>
    <x v="0"/>
    <s v="HONORARIOS"/>
    <n v="15500000"/>
    <x v="0"/>
    <s v="CONTRACTUAL"/>
    <s v="SE CORRIGE A MANO - CON EL FIN MANTENER CONSISTENTE LA INFORMACIÓN CON EL PRIMER EJERCICIO"/>
    <m/>
  </r>
  <r>
    <x v="6"/>
    <x v="3"/>
    <x v="0"/>
    <x v="0"/>
    <s v="INSPECTOR"/>
    <n v="4141403.4374999995"/>
    <x v="0"/>
    <s v="CONTRACTUAL"/>
    <s v="SE CORRIGE A MANO - CON EL FIN MANTENER CONSISTENTE LA INFORMACIÓN CON EL PRIMER EJERCICIO"/>
    <m/>
  </r>
  <r>
    <x v="6"/>
    <x v="3"/>
    <x v="0"/>
    <x v="0"/>
    <s v="RESIDENTE TECNICO"/>
    <n v="8365287.65625"/>
    <x v="0"/>
    <s v="CONTRACTUAL"/>
    <s v="SE CORRIGE A MANO - CON EL FIN MANTENER CONSISTENTE LA INFORMACIÓN CON EL PRIMER EJERCICIO"/>
    <m/>
  </r>
  <r>
    <x v="23"/>
    <x v="0"/>
    <x v="0"/>
    <x v="0"/>
    <s v="AUXILIAR ADMINISTRATIVO "/>
    <n v="0"/>
    <x v="0"/>
    <s v="CONTRACTUAL"/>
    <s v="SE CORRIGE A MANO - CON EL FIN MANTENER CONSISTENTE LA INFORMACIÓN CON EL PRIMER EJERCICIO"/>
    <m/>
  </r>
  <r>
    <x v="23"/>
    <x v="0"/>
    <x v="0"/>
    <x v="0"/>
    <s v="COORDINADOR"/>
    <n v="0"/>
    <x v="0"/>
    <s v="CONTRACTUAL"/>
    <s v="SE CORRIGE A MANO - CON EL FIN MANTENER CONSISTENTE LA INFORMACIÓN CON EL PRIMER EJERCICIO"/>
    <m/>
  </r>
  <r>
    <x v="23"/>
    <x v="0"/>
    <x v="0"/>
    <x v="0"/>
    <s v="DIRECTOR"/>
    <n v="0"/>
    <x v="0"/>
    <s v="CONTRACTUAL"/>
    <s v="SE CORRIGE A MANO - CON EL FIN MANTENER CONSISTENTE LA INFORMACIÓN CON EL PRIMER EJERCICIO"/>
    <m/>
  </r>
  <r>
    <x v="23"/>
    <x v="0"/>
    <x v="0"/>
    <x v="0"/>
    <s v="DIRECTOR 1A"/>
    <n v="0"/>
    <x v="0"/>
    <s v="CONTRACTUAL"/>
    <s v="SE CORRIGE A MANO - CON EL FIN MANTENER CONSISTENTE LA INFORMACIÓN CON EL PRIMER EJERCICIO"/>
    <m/>
  </r>
  <r>
    <x v="23"/>
    <x v="0"/>
    <x v="0"/>
    <x v="0"/>
    <s v="DIRECTOR CONTRATACIONES"/>
    <n v="0"/>
    <x v="0"/>
    <s v="CONTRACTUAL"/>
    <s v="SE CORRIGE A MANO - CON EL FIN MANTENER CONSISTENTE LA INFORMACIÓN CON EL PRIMER EJERCICIO"/>
    <m/>
  </r>
  <r>
    <x v="23"/>
    <x v="0"/>
    <x v="0"/>
    <x v="0"/>
    <s v="DIRECTOR DE CONTRATACIONES"/>
    <n v="0"/>
    <x v="0"/>
    <s v="CONTRACTUAL"/>
    <s v="SE CORRIGE A MANO - CON EL FIN MANTENER CONSISTENTE LA INFORMACIÓN CON EL PRIMER EJERCICIO"/>
    <m/>
  </r>
  <r>
    <x v="23"/>
    <x v="0"/>
    <x v="0"/>
    <x v="0"/>
    <s v="HONORARIOS"/>
    <n v="0"/>
    <x v="0"/>
    <s v="CONTRACTUAL"/>
    <s v="SE CORRIGE A MANO - CON EL FIN MANTENER CONSISTENTE LA INFORMACIÓN CON EL PRIMER EJERCICIO"/>
    <m/>
  </r>
  <r>
    <x v="23"/>
    <x v="0"/>
    <x v="0"/>
    <x v="0"/>
    <s v="INSPECTOR ACABADOS"/>
    <n v="0"/>
    <x v="0"/>
    <s v="CONTRACTUAL"/>
    <s v="SE CORRIGE A MANO - CON EL FIN MANTENER CONSISTENTE LA INFORMACIÓN CON EL PRIMER EJERCICIO"/>
    <m/>
  </r>
  <r>
    <x v="23"/>
    <x v="0"/>
    <x v="0"/>
    <x v="0"/>
    <s v="INSPECTOR ESTRUCTURA"/>
    <n v="0"/>
    <x v="0"/>
    <s v="CONTRACTUAL"/>
    <s v="SE CORRIGE A MANO - CON EL FIN MANTENER CONSISTENTE LA INFORMACIÓN CON EL PRIMER EJERCICIO"/>
    <m/>
  </r>
  <r>
    <x v="23"/>
    <x v="0"/>
    <x v="0"/>
    <x v="0"/>
    <s v="INSPECTOR GENERAL"/>
    <n v="0"/>
    <x v="0"/>
    <s v="CONTRACTUAL"/>
    <s v="SE CORRIGE A MANO - CON EL FIN MANTENER CONSISTENTE LA INFORMACIÓN CON EL PRIMER EJERCICIO"/>
    <m/>
  </r>
  <r>
    <x v="23"/>
    <x v="0"/>
    <x v="0"/>
    <x v="0"/>
    <s v="INSPECTOR INSTALACIONES"/>
    <n v="0"/>
    <x v="0"/>
    <s v="CONTRACTUAL"/>
    <s v="SE CORRIGE A MANO - CON EL FIN MANTENER CONSISTENTE LA INFORMACIÓN CON EL PRIMER EJERCICIO"/>
    <m/>
  </r>
  <r>
    <x v="23"/>
    <x v="0"/>
    <x v="0"/>
    <x v="0"/>
    <s v="INSPECTOR PLATAFORMAS"/>
    <n v="0"/>
    <x v="0"/>
    <s v="CONTRACTUAL"/>
    <s v="SE CORRIGE A MANO - CON EL FIN MANTENER CONSISTENTE LA INFORMACIÓN CON EL PRIMER EJERCICIO"/>
    <m/>
  </r>
  <r>
    <x v="23"/>
    <x v="0"/>
    <x v="0"/>
    <x v="0"/>
    <s v="PROFESIONAL DE CONTRATACIONES"/>
    <n v="0"/>
    <x v="0"/>
    <s v="CONTRACTUAL"/>
    <s v="SE CORRIGE A MANO - CON EL FIN MANTENER CONSISTENTE LA INFORMACIÓN CON EL PRIMER EJERCICIO"/>
    <m/>
  </r>
  <r>
    <x v="23"/>
    <x v="0"/>
    <x v="0"/>
    <x v="0"/>
    <s v="RESIDENTE ADMINISTRATIVO"/>
    <n v="0"/>
    <x v="0"/>
    <s v="CONTRACTUAL"/>
    <s v="SE CORRIGE A MANO - CON EL FIN MANTENER CONSISTENTE LA INFORMACIÓN CON EL PRIMER EJERCICIO"/>
    <m/>
  </r>
  <r>
    <x v="23"/>
    <x v="0"/>
    <x v="0"/>
    <x v="0"/>
    <s v="RESIDENTE DE INSTALACIONES"/>
    <n v="0"/>
    <x v="0"/>
    <s v="CONTRACTUAL"/>
    <s v="SE CORRIGE A MANO - CON EL FIN MANTENER CONSISTENTE LA INFORMACIÓN CON EL PRIMER EJERCICIO"/>
    <m/>
  </r>
  <r>
    <x v="23"/>
    <x v="0"/>
    <x v="0"/>
    <x v="0"/>
    <s v="RESIDENTE PLANEACION - LOGISTICA"/>
    <n v="0"/>
    <x v="0"/>
    <s v="CONTRACTUAL"/>
    <s v="SE CORRIGE A MANO - CON EL FIN MANTENER CONSISTENTE LA INFORMACIÓN CON EL PRIMER EJERCICIO"/>
    <m/>
  </r>
  <r>
    <x v="23"/>
    <x v="0"/>
    <x v="0"/>
    <x v="0"/>
    <s v="RESIDENTE TORRE 5"/>
    <n v="0"/>
    <x v="0"/>
    <s v="CONTRACTUAL"/>
    <s v="SE CORRIGE A MANO - CON EL FIN MANTENER CONSISTENTE LA INFORMACIÓN CON EL PRIMER EJERCICIO"/>
    <m/>
  </r>
  <r>
    <x v="23"/>
    <x v="0"/>
    <x v="0"/>
    <x v="0"/>
    <s v="RESIDENTE VENTANERIA CARPINTERÍA METÁLICA"/>
    <n v="0"/>
    <x v="0"/>
    <s v="CONTRACTUAL"/>
    <s v="SE CORRIGE A MANO - CON EL FIN MANTENER CONSISTENTE LA INFORMACIÓN CON EL PRIMER EJERCICIO"/>
    <m/>
  </r>
  <r>
    <x v="23"/>
    <x v="1"/>
    <x v="0"/>
    <x v="0"/>
    <s v="AUXILIAR ADMINISTRATIVO "/>
    <n v="0"/>
    <x v="0"/>
    <s v="CONTRACTUAL"/>
    <s v="SE CORRIGE A MANO - CON EL FIN MANTENER CONSISTENTE LA INFORMACIÓN CON EL PRIMER EJERCICIO"/>
    <m/>
  </r>
  <r>
    <x v="23"/>
    <x v="1"/>
    <x v="0"/>
    <x v="0"/>
    <s v="COORDINADOR"/>
    <n v="0"/>
    <x v="0"/>
    <s v="CONTRACTUAL"/>
    <s v="SE CORRIGE A MANO - CON EL FIN MANTENER CONSISTENTE LA INFORMACIÓN CON EL PRIMER EJERCICIO"/>
    <m/>
  </r>
  <r>
    <x v="23"/>
    <x v="1"/>
    <x v="0"/>
    <x v="0"/>
    <s v="DIRECTOR"/>
    <n v="0"/>
    <x v="0"/>
    <s v="CONTRACTUAL"/>
    <s v="SE CORRIGE A MANO - CON EL FIN MANTENER CONSISTENTE LA INFORMACIÓN CON EL PRIMER EJERCICIO"/>
    <m/>
  </r>
  <r>
    <x v="23"/>
    <x v="1"/>
    <x v="0"/>
    <x v="0"/>
    <s v="DIRECTOR 1A"/>
    <n v="0"/>
    <x v="0"/>
    <s v="CONTRACTUAL"/>
    <s v="SE CORRIGE A MANO - CON EL FIN MANTENER CONSISTENTE LA INFORMACIÓN CON EL PRIMER EJERCICIO"/>
    <m/>
  </r>
  <r>
    <x v="23"/>
    <x v="1"/>
    <x v="0"/>
    <x v="0"/>
    <s v="DIRECTOR CONTRATACIONES"/>
    <n v="0"/>
    <x v="0"/>
    <s v="CONTRACTUAL"/>
    <s v="SE CORRIGE A MANO - CON EL FIN MANTENER CONSISTENTE LA INFORMACIÓN CON EL PRIMER EJERCICIO"/>
    <m/>
  </r>
  <r>
    <x v="23"/>
    <x v="1"/>
    <x v="0"/>
    <x v="0"/>
    <s v="DIRECTOR DE CONTRATACIONES"/>
    <n v="0"/>
    <x v="0"/>
    <s v="CONTRACTUAL"/>
    <s v="SE CORRIGE A MANO - CON EL FIN MANTENER CONSISTENTE LA INFORMACIÓN CON EL PRIMER EJERCICIO"/>
    <m/>
  </r>
  <r>
    <x v="23"/>
    <x v="1"/>
    <x v="0"/>
    <x v="0"/>
    <s v="HONORARIOS"/>
    <n v="0"/>
    <x v="0"/>
    <s v="CONTRACTUAL"/>
    <s v="SE CORRIGE A MANO - CON EL FIN MANTENER CONSISTENTE LA INFORMACIÓN CON EL PRIMER EJERCICIO"/>
    <m/>
  </r>
  <r>
    <x v="23"/>
    <x v="1"/>
    <x v="0"/>
    <x v="0"/>
    <s v="INSPECTOR ACABADOS"/>
    <n v="0"/>
    <x v="0"/>
    <s v="CONTRACTUAL"/>
    <s v="SE CORRIGE A MANO - CON EL FIN MANTENER CONSISTENTE LA INFORMACIÓN CON EL PRIMER EJERCICIO"/>
    <m/>
  </r>
  <r>
    <x v="23"/>
    <x v="1"/>
    <x v="0"/>
    <x v="0"/>
    <s v="INSPECTOR ESTRUCTURA"/>
    <n v="0"/>
    <x v="0"/>
    <s v="CONTRACTUAL"/>
    <s v="SE CORRIGE A MANO - CON EL FIN MANTENER CONSISTENTE LA INFORMACIÓN CON EL PRIMER EJERCICIO"/>
    <m/>
  </r>
  <r>
    <x v="23"/>
    <x v="1"/>
    <x v="0"/>
    <x v="0"/>
    <s v="INSPECTOR GENERAL"/>
    <n v="0"/>
    <x v="0"/>
    <s v="CONTRACTUAL"/>
    <s v="SE CORRIGE A MANO - CON EL FIN MANTENER CONSISTENTE LA INFORMACIÓN CON EL PRIMER EJERCICIO"/>
    <m/>
  </r>
  <r>
    <x v="23"/>
    <x v="1"/>
    <x v="0"/>
    <x v="0"/>
    <s v="INSPECTOR INSTALACIONES"/>
    <n v="0"/>
    <x v="0"/>
    <s v="CONTRACTUAL"/>
    <s v="SE CORRIGE A MANO - CON EL FIN MANTENER CONSISTENTE LA INFORMACIÓN CON EL PRIMER EJERCICIO"/>
    <m/>
  </r>
  <r>
    <x v="23"/>
    <x v="1"/>
    <x v="0"/>
    <x v="0"/>
    <s v="INSPECTOR PLATAFORMAS"/>
    <n v="0"/>
    <x v="0"/>
    <s v="CONTRACTUAL"/>
    <s v="SE CORRIGE A MANO - CON EL FIN MANTENER CONSISTENTE LA INFORMACIÓN CON EL PRIMER EJERCICIO"/>
    <m/>
  </r>
  <r>
    <x v="23"/>
    <x v="1"/>
    <x v="0"/>
    <x v="0"/>
    <s v="PROFESIONAL DE CONTRATACIONES"/>
    <n v="0"/>
    <x v="0"/>
    <s v="CONTRACTUAL"/>
    <s v="SE CORRIGE A MANO - CON EL FIN MANTENER CONSISTENTE LA INFORMACIÓN CON EL PRIMER EJERCICIO"/>
    <m/>
  </r>
  <r>
    <x v="23"/>
    <x v="1"/>
    <x v="0"/>
    <x v="0"/>
    <s v="RESIDENTE ADMINISTRATIVO"/>
    <n v="0"/>
    <x v="0"/>
    <s v="CONTRACTUAL"/>
    <s v="SE CORRIGE A MANO - CON EL FIN MANTENER CONSISTENTE LA INFORMACIÓN CON EL PRIMER EJERCICIO"/>
    <m/>
  </r>
  <r>
    <x v="23"/>
    <x v="1"/>
    <x v="0"/>
    <x v="0"/>
    <s v="RESIDENTE DE INSTALACIONES"/>
    <n v="0"/>
    <x v="0"/>
    <s v="CONTRACTUAL"/>
    <s v="SE CORRIGE A MANO - CON EL FIN MANTENER CONSISTENTE LA INFORMACIÓN CON EL PRIMER EJERCICIO"/>
    <m/>
  </r>
  <r>
    <x v="23"/>
    <x v="1"/>
    <x v="0"/>
    <x v="0"/>
    <s v="RESIDENTE PLANEACION - LOGISTICA"/>
    <n v="0"/>
    <x v="0"/>
    <s v="CONTRACTUAL"/>
    <s v="SE CORRIGE A MANO - CON EL FIN MANTENER CONSISTENTE LA INFORMACIÓN CON EL PRIMER EJERCICIO"/>
    <m/>
  </r>
  <r>
    <x v="23"/>
    <x v="1"/>
    <x v="0"/>
    <x v="0"/>
    <s v="RESIDENTE TORRE 5"/>
    <n v="0"/>
    <x v="0"/>
    <s v="CONTRACTUAL"/>
    <s v="SE CORRIGE A MANO - CON EL FIN MANTENER CONSISTENTE LA INFORMACIÓN CON EL PRIMER EJERCICIO"/>
    <m/>
  </r>
  <r>
    <x v="23"/>
    <x v="2"/>
    <x v="0"/>
    <x v="0"/>
    <s v="AUXILIAR ADMINISTRATIVO "/>
    <n v="0"/>
    <x v="0"/>
    <s v="CONTRACTUAL"/>
    <s v="SE CORRIGE A MANO - CON EL FIN MANTENER CONSISTENTE LA INFORMACIÓN CON EL PRIMER EJERCICIO"/>
    <m/>
  </r>
  <r>
    <x v="23"/>
    <x v="2"/>
    <x v="0"/>
    <x v="0"/>
    <s v="COORDINADOR"/>
    <n v="0"/>
    <x v="0"/>
    <s v="CONTRACTUAL"/>
    <s v="SE CORRIGE A MANO - CON EL FIN MANTENER CONSISTENTE LA INFORMACIÓN CON EL PRIMER EJERCICIO"/>
    <m/>
  </r>
  <r>
    <x v="23"/>
    <x v="2"/>
    <x v="0"/>
    <x v="0"/>
    <s v="DIRECTOR"/>
    <n v="0"/>
    <x v="0"/>
    <s v="CONTRACTUAL"/>
    <s v="SE CORRIGE A MANO - CON EL FIN MANTENER CONSISTENTE LA INFORMACIÓN CON EL PRIMER EJERCICIO"/>
    <m/>
  </r>
  <r>
    <x v="23"/>
    <x v="2"/>
    <x v="0"/>
    <x v="0"/>
    <s v="DIRECTOR 1A"/>
    <n v="0"/>
    <x v="0"/>
    <s v="CONTRACTUAL"/>
    <s v="SE CORRIGE A MANO - CON EL FIN MANTENER CONSISTENTE LA INFORMACIÓN CON EL PRIMER EJERCICIO"/>
    <m/>
  </r>
  <r>
    <x v="23"/>
    <x v="2"/>
    <x v="0"/>
    <x v="0"/>
    <s v="DIRECTOR CONTRATACIONES"/>
    <n v="0"/>
    <x v="0"/>
    <s v="CONTRACTUAL"/>
    <s v="SE CORRIGE A MANO - CON EL FIN MANTENER CONSISTENTE LA INFORMACIÓN CON EL PRIMER EJERCICIO"/>
    <m/>
  </r>
  <r>
    <x v="23"/>
    <x v="2"/>
    <x v="0"/>
    <x v="0"/>
    <s v="DIRECTOR DE CONTRATACIONES"/>
    <n v="0"/>
    <x v="0"/>
    <s v="CONTRACTUAL"/>
    <s v="SE CORRIGE A MANO - CON EL FIN MANTENER CONSISTENTE LA INFORMACIÓN CON EL PRIMER EJERCICIO"/>
    <m/>
  </r>
  <r>
    <x v="23"/>
    <x v="2"/>
    <x v="0"/>
    <x v="0"/>
    <s v="HONORARIOS"/>
    <n v="0"/>
    <x v="0"/>
    <s v="CONTRACTUAL"/>
    <s v="SE CORRIGE A MANO - CON EL FIN MANTENER CONSISTENTE LA INFORMACIÓN CON EL PRIMER EJERCICIO"/>
    <m/>
  </r>
  <r>
    <x v="23"/>
    <x v="2"/>
    <x v="0"/>
    <x v="0"/>
    <s v="INSPECTOR ACABADOS"/>
    <n v="0"/>
    <x v="0"/>
    <s v="CONTRACTUAL"/>
    <s v="SE CORRIGE A MANO - CON EL FIN MANTENER CONSISTENTE LA INFORMACIÓN CON EL PRIMER EJERCICIO"/>
    <m/>
  </r>
  <r>
    <x v="23"/>
    <x v="2"/>
    <x v="0"/>
    <x v="0"/>
    <s v="INSPECTOR ESTRUCTURA"/>
    <n v="0"/>
    <x v="0"/>
    <s v="CONTRACTUAL"/>
    <s v="SE CORRIGE A MANO - CON EL FIN MANTENER CONSISTENTE LA INFORMACIÓN CON EL PRIMER EJERCICIO"/>
    <m/>
  </r>
  <r>
    <x v="23"/>
    <x v="2"/>
    <x v="0"/>
    <x v="0"/>
    <s v="INSPECTOR GENERAL"/>
    <n v="0"/>
    <x v="0"/>
    <s v="CONTRACTUAL"/>
    <s v="SE CORRIGE A MANO - CON EL FIN MANTENER CONSISTENTE LA INFORMACIÓN CON EL PRIMER EJERCICIO"/>
    <m/>
  </r>
  <r>
    <x v="23"/>
    <x v="2"/>
    <x v="0"/>
    <x v="0"/>
    <s v="INSPECTOR INSTALACIONES"/>
    <n v="0"/>
    <x v="0"/>
    <s v="CONTRACTUAL"/>
    <s v="SE CORRIGE A MANO - CON EL FIN MANTENER CONSISTENTE LA INFORMACIÓN CON EL PRIMER EJERCICIO"/>
    <m/>
  </r>
  <r>
    <x v="23"/>
    <x v="2"/>
    <x v="0"/>
    <x v="0"/>
    <s v="INSPECTOR PLATAFORMAS"/>
    <n v="0"/>
    <x v="0"/>
    <s v="CONTRACTUAL"/>
    <s v="SE CORRIGE A MANO - CON EL FIN MANTENER CONSISTENTE LA INFORMACIÓN CON EL PRIMER EJERCICIO"/>
    <m/>
  </r>
  <r>
    <x v="23"/>
    <x v="2"/>
    <x v="0"/>
    <x v="0"/>
    <s v="PROFESIONAL DE CONTRATACIONES"/>
    <n v="0"/>
    <x v="0"/>
    <s v="CONTRACTUAL"/>
    <s v="SE CORRIGE A MANO - CON EL FIN MANTENER CONSISTENTE LA INFORMACIÓN CON EL PRIMER EJERCICIO"/>
    <m/>
  </r>
  <r>
    <x v="23"/>
    <x v="2"/>
    <x v="0"/>
    <x v="0"/>
    <s v="RESIDENTE ADMINISTRATIVO"/>
    <n v="0"/>
    <x v="0"/>
    <s v="CONTRACTUAL"/>
    <s v="SE CORRIGE A MANO - CON EL FIN MANTENER CONSISTENTE LA INFORMACIÓN CON EL PRIMER EJERCICIO"/>
    <m/>
  </r>
  <r>
    <x v="23"/>
    <x v="2"/>
    <x v="0"/>
    <x v="0"/>
    <s v="RESIDENTE DE INSTALACIONES"/>
    <n v="0"/>
    <x v="0"/>
    <s v="CONTRACTUAL"/>
    <s v="SE CORRIGE A MANO - CON EL FIN MANTENER CONSISTENTE LA INFORMACIÓN CON EL PRIMER EJERCICIO"/>
    <m/>
  </r>
  <r>
    <x v="23"/>
    <x v="2"/>
    <x v="0"/>
    <x v="0"/>
    <s v="RESIDENTE TORRE 5"/>
    <n v="0"/>
    <x v="0"/>
    <s v="CONTRACTUAL"/>
    <s v="SE CORRIGE A MANO - CON EL FIN MANTENER CONSISTENTE LA INFORMACIÓN CON EL PRIMER EJERCICIO"/>
    <m/>
  </r>
  <r>
    <x v="23"/>
    <x v="3"/>
    <x v="0"/>
    <x v="0"/>
    <s v="AUXILIAR ADMINISTRATIVO "/>
    <n v="0"/>
    <x v="0"/>
    <s v="CONTRACTUAL"/>
    <s v="SE CORRIGE A MANO - CON EL FIN MANTENER CONSISTENTE LA INFORMACIÓN CON EL PRIMER EJERCICIO"/>
    <m/>
  </r>
  <r>
    <x v="23"/>
    <x v="3"/>
    <x v="0"/>
    <x v="0"/>
    <s v="COORDINADOR"/>
    <n v="0"/>
    <x v="0"/>
    <s v="CONTRACTUAL"/>
    <s v="SE CORRIGE A MANO - CON EL FIN MANTENER CONSISTENTE LA INFORMACIÓN CON EL PRIMER EJERCICIO"/>
    <m/>
  </r>
  <r>
    <x v="23"/>
    <x v="3"/>
    <x v="0"/>
    <x v="0"/>
    <s v="DIRECTOR"/>
    <n v="0"/>
    <x v="0"/>
    <s v="CONTRACTUAL"/>
    <s v="SE CORRIGE A MANO - CON EL FIN MANTENER CONSISTENTE LA INFORMACIÓN CON EL PRIMER EJERCICIO"/>
    <m/>
  </r>
  <r>
    <x v="23"/>
    <x v="3"/>
    <x v="0"/>
    <x v="0"/>
    <s v="DIRECTOR 1A"/>
    <n v="0"/>
    <x v="0"/>
    <s v="CONTRACTUAL"/>
    <s v="SE CORRIGE A MANO - CON EL FIN MANTENER CONSISTENTE LA INFORMACIÓN CON EL PRIMER EJERCICIO"/>
    <m/>
  </r>
  <r>
    <x v="23"/>
    <x v="3"/>
    <x v="0"/>
    <x v="0"/>
    <s v="DIRECTOR CONTRATACIONES"/>
    <n v="0"/>
    <x v="0"/>
    <s v="CONTRACTUAL"/>
    <s v="SE CORRIGE A MANO - CON EL FIN MANTENER CONSISTENTE LA INFORMACIÓN CON EL PRIMER EJERCICIO"/>
    <m/>
  </r>
  <r>
    <x v="23"/>
    <x v="3"/>
    <x v="0"/>
    <x v="0"/>
    <s v="DIRECTOR DE CONTRATACIONES"/>
    <n v="0"/>
    <x v="0"/>
    <s v="CONTRACTUAL"/>
    <s v="SE CORRIGE A MANO - CON EL FIN MANTENER CONSISTENTE LA INFORMACIÓN CON EL PRIMER EJERCICIO"/>
    <m/>
  </r>
  <r>
    <x v="23"/>
    <x v="3"/>
    <x v="0"/>
    <x v="0"/>
    <s v="HONORARIOS"/>
    <n v="0"/>
    <x v="0"/>
    <s v="CONTRACTUAL"/>
    <s v="SE CORRIGE A MANO - CON EL FIN MANTENER CONSISTENTE LA INFORMACIÓN CON EL PRIMER EJERCICIO"/>
    <m/>
  </r>
  <r>
    <x v="23"/>
    <x v="3"/>
    <x v="0"/>
    <x v="0"/>
    <s v="INSPECTOR ACABADOS"/>
    <n v="0"/>
    <x v="0"/>
    <s v="CONTRACTUAL"/>
    <s v="SE CORRIGE A MANO - CON EL FIN MANTENER CONSISTENTE LA INFORMACIÓN CON EL PRIMER EJERCICIO"/>
    <m/>
  </r>
  <r>
    <x v="23"/>
    <x v="3"/>
    <x v="0"/>
    <x v="0"/>
    <s v="INSPECTOR ESTRUCTURA"/>
    <n v="0"/>
    <x v="0"/>
    <s v="CONTRACTUAL"/>
    <s v="SE CORRIGE A MANO - CON EL FIN MANTENER CONSISTENTE LA INFORMACIÓN CON EL PRIMER EJERCICIO"/>
    <m/>
  </r>
  <r>
    <x v="23"/>
    <x v="3"/>
    <x v="0"/>
    <x v="0"/>
    <s v="INSPECTOR GENERAL"/>
    <n v="0"/>
    <x v="0"/>
    <s v="CONTRACTUAL"/>
    <s v="SE CORRIGE A MANO - CON EL FIN MANTENER CONSISTENTE LA INFORMACIÓN CON EL PRIMER EJERCICIO"/>
    <m/>
  </r>
  <r>
    <x v="23"/>
    <x v="3"/>
    <x v="0"/>
    <x v="0"/>
    <s v="INSPECTOR INSTALACIONES"/>
    <n v="0"/>
    <x v="0"/>
    <s v="CONTRACTUAL"/>
    <s v="SE CORRIGE A MANO - CON EL FIN MANTENER CONSISTENTE LA INFORMACIÓN CON EL PRIMER EJERCICIO"/>
    <m/>
  </r>
  <r>
    <x v="23"/>
    <x v="3"/>
    <x v="0"/>
    <x v="0"/>
    <s v="PROFESIONAL DE CONTRATACIONES"/>
    <n v="0"/>
    <x v="0"/>
    <s v="CONTRACTUAL"/>
    <s v="SE CORRIGE A MANO - CON EL FIN MANTENER CONSISTENTE LA INFORMACIÓN CON EL PRIMER EJERCICIO"/>
    <m/>
  </r>
  <r>
    <x v="23"/>
    <x v="3"/>
    <x v="0"/>
    <x v="0"/>
    <s v="RESIDENTE ADMINISTRATIVO"/>
    <n v="0"/>
    <x v="0"/>
    <s v="CONTRACTUAL"/>
    <s v="SE CORRIGE A MANO - CON EL FIN MANTENER CONSISTENTE LA INFORMACIÓN CON EL PRIMER EJERCICIO"/>
    <m/>
  </r>
  <r>
    <x v="23"/>
    <x v="3"/>
    <x v="0"/>
    <x v="0"/>
    <s v="RESIDENTE DE INSTALACIONES"/>
    <n v="0"/>
    <x v="0"/>
    <s v="CONTRACTUAL"/>
    <s v="SE CORRIGE A MANO - CON EL FIN MANTENER CONSISTENTE LA INFORMACIÓN CON EL PRIMER EJERCICIO"/>
    <m/>
  </r>
  <r>
    <x v="23"/>
    <x v="3"/>
    <x v="0"/>
    <x v="0"/>
    <s v="RESIDENTE TORRE 5"/>
    <n v="0"/>
    <x v="0"/>
    <s v="CONTRACTUAL"/>
    <s v="SE CORRIGE A MANO - CON EL FIN MANTENER CONSISTENTE LA INFORMACIÓN CON EL PRIMER EJERCICIO"/>
    <m/>
  </r>
  <r>
    <x v="23"/>
    <x v="4"/>
    <x v="0"/>
    <x v="0"/>
    <s v="AUXILIAR ADMINISTRATIVO "/>
    <n v="0"/>
    <x v="0"/>
    <s v="CONTRACTUAL"/>
    <s v="SE CORRIGE A MANO - CON EL FIN MANTENER CONSISTENTE LA INFORMACIÓN CON EL PRIMER EJERCICIO"/>
    <m/>
  </r>
  <r>
    <x v="23"/>
    <x v="4"/>
    <x v="0"/>
    <x v="0"/>
    <s v="COORDINADOR"/>
    <n v="0"/>
    <x v="0"/>
    <s v="CONTRACTUAL"/>
    <s v="SE CORRIGE A MANO - CON EL FIN MANTENER CONSISTENTE LA INFORMACIÓN CON EL PRIMER EJERCICIO"/>
    <m/>
  </r>
  <r>
    <x v="23"/>
    <x v="4"/>
    <x v="0"/>
    <x v="0"/>
    <s v="DIRECTOR"/>
    <n v="0"/>
    <x v="0"/>
    <s v="CONTRACTUAL"/>
    <s v="SE CORRIGE A MANO - CON EL FIN MANTENER CONSISTENTE LA INFORMACIÓN CON EL PRIMER EJERCICIO"/>
    <m/>
  </r>
  <r>
    <x v="23"/>
    <x v="4"/>
    <x v="0"/>
    <x v="0"/>
    <s v="DIRECTOR 1A"/>
    <n v="0"/>
    <x v="0"/>
    <s v="CONTRACTUAL"/>
    <s v="SE CORRIGE A MANO - CON EL FIN MANTENER CONSISTENTE LA INFORMACIÓN CON EL PRIMER EJERCICIO"/>
    <m/>
  </r>
  <r>
    <x v="23"/>
    <x v="4"/>
    <x v="0"/>
    <x v="0"/>
    <s v="DIRECTOR CONTRATACIONES"/>
    <n v="0"/>
    <x v="0"/>
    <s v="CONTRACTUAL"/>
    <s v="SE CORRIGE A MANO - CON EL FIN MANTENER CONSISTENTE LA INFORMACIÓN CON EL PRIMER EJERCICIO"/>
    <m/>
  </r>
  <r>
    <x v="23"/>
    <x v="4"/>
    <x v="0"/>
    <x v="0"/>
    <s v="DIRECTOR DE CONTRATACIONES"/>
    <n v="0"/>
    <x v="0"/>
    <s v="CONTRACTUAL"/>
    <s v="SE CORRIGE A MANO - CON EL FIN MANTENER CONSISTENTE LA INFORMACIÓN CON EL PRIMER EJERCICIO"/>
    <m/>
  </r>
  <r>
    <x v="23"/>
    <x v="4"/>
    <x v="0"/>
    <x v="0"/>
    <s v="HONORARIOS"/>
    <n v="0"/>
    <x v="0"/>
    <s v="CONTRACTUAL"/>
    <s v="SE CORRIGE A MANO - CON EL FIN MANTENER CONSISTENTE LA INFORMACIÓN CON EL PRIMER EJERCICIO"/>
    <m/>
  </r>
  <r>
    <x v="23"/>
    <x v="4"/>
    <x v="0"/>
    <x v="0"/>
    <s v="INSPECTOR ACABADOS"/>
    <n v="0"/>
    <x v="0"/>
    <s v="CONTRACTUAL"/>
    <s v="SE CORRIGE A MANO - CON EL FIN MANTENER CONSISTENTE LA INFORMACIÓN CON EL PRIMER EJERCICIO"/>
    <m/>
  </r>
  <r>
    <x v="23"/>
    <x v="4"/>
    <x v="0"/>
    <x v="0"/>
    <s v="INSPECTOR ESTRUCTURA"/>
    <n v="0"/>
    <x v="0"/>
    <s v="CONTRACTUAL"/>
    <s v="SE CORRIGE A MANO - CON EL FIN MANTENER CONSISTENTE LA INFORMACIÓN CON EL PRIMER EJERCICIO"/>
    <m/>
  </r>
  <r>
    <x v="23"/>
    <x v="4"/>
    <x v="0"/>
    <x v="0"/>
    <s v="INSPECTOR GENERAL"/>
    <n v="0"/>
    <x v="0"/>
    <s v="CONTRACTUAL"/>
    <s v="SE CORRIGE A MANO - CON EL FIN MANTENER CONSISTENTE LA INFORMACIÓN CON EL PRIMER EJERCICIO"/>
    <m/>
  </r>
  <r>
    <x v="23"/>
    <x v="4"/>
    <x v="0"/>
    <x v="0"/>
    <s v="INSPECTOR INSTALACIONES"/>
    <n v="4123665"/>
    <x v="0"/>
    <s v="CONTRACTUAL"/>
    <s v="SE CORRIGE A MANO - CON EL FIN MANTENER CONSISTENTE LA INFORMACIÓN CON EL PRIMER EJERCICIO"/>
    <m/>
  </r>
  <r>
    <x v="23"/>
    <x v="4"/>
    <x v="0"/>
    <x v="0"/>
    <s v="PROFESIONAL DE CONTRATACIONES"/>
    <n v="0"/>
    <x v="0"/>
    <s v="CONTRACTUAL"/>
    <s v="SE CORRIGE A MANO - CON EL FIN MANTENER CONSISTENTE LA INFORMACIÓN CON EL PRIMER EJERCICIO"/>
    <m/>
  </r>
  <r>
    <x v="23"/>
    <x v="4"/>
    <x v="0"/>
    <x v="0"/>
    <s v="RESIDENTE ADMINISTRATIVO"/>
    <n v="0"/>
    <x v="0"/>
    <s v="CONTRACTUAL"/>
    <s v="SE CORRIGE A MANO - CON EL FIN MANTENER CONSISTENTE LA INFORMACIÓN CON EL PRIMER EJERCICIO"/>
    <m/>
  </r>
  <r>
    <x v="23"/>
    <x v="4"/>
    <x v="0"/>
    <x v="0"/>
    <s v="RESIDENTE DE INSTALACIONES"/>
    <n v="0"/>
    <x v="0"/>
    <s v="CONTRACTUAL"/>
    <s v="SE CORRIGE A MANO - CON EL FIN MANTENER CONSISTENTE LA INFORMACIÓN CON EL PRIMER EJERCICIO"/>
    <m/>
  </r>
  <r>
    <x v="23"/>
    <x v="4"/>
    <x v="0"/>
    <x v="0"/>
    <s v="RESIDENTE TORRE 5"/>
    <n v="6221250"/>
    <x v="0"/>
    <s v="CONTRACTUAL"/>
    <s v="SE CORRIGE A MANO - CON EL FIN MANTENER CONSISTENTE LA INFORMACIÓN CON EL PRIMER EJERCICIO"/>
    <m/>
  </r>
  <r>
    <x v="23"/>
    <x v="5"/>
    <x v="0"/>
    <x v="0"/>
    <s v="AUXILIAR ADMINISTRATIVO "/>
    <n v="0"/>
    <x v="0"/>
    <s v="CONTRACTUAL"/>
    <s v="SE CORRIGE A MANO - CON EL FIN MANTENER CONSISTENTE LA INFORMACIÓN CON EL PRIMER EJERCICIO"/>
    <m/>
  </r>
  <r>
    <x v="23"/>
    <x v="5"/>
    <x v="0"/>
    <x v="0"/>
    <s v="COORDINADOR"/>
    <n v="0"/>
    <x v="0"/>
    <s v="CONTRACTUAL"/>
    <s v="SE CORRIGE A MANO - CON EL FIN MANTENER CONSISTENTE LA INFORMACIÓN CON EL PRIMER EJERCICIO"/>
    <m/>
  </r>
  <r>
    <x v="23"/>
    <x v="5"/>
    <x v="0"/>
    <x v="0"/>
    <s v="DIRECTOR"/>
    <n v="0"/>
    <x v="0"/>
    <s v="CONTRACTUAL"/>
    <s v="SE CORRIGE A MANO - CON EL FIN MANTENER CONSISTENTE LA INFORMACIÓN CON EL PRIMER EJERCICIO"/>
    <m/>
  </r>
  <r>
    <x v="23"/>
    <x v="5"/>
    <x v="0"/>
    <x v="0"/>
    <s v="DIRECTOR 1A"/>
    <n v="0"/>
    <x v="0"/>
    <s v="CONTRACTUAL"/>
    <s v="SE CORRIGE A MANO - CON EL FIN MANTENER CONSISTENTE LA INFORMACIÓN CON EL PRIMER EJERCICIO"/>
    <m/>
  </r>
  <r>
    <x v="23"/>
    <x v="5"/>
    <x v="0"/>
    <x v="0"/>
    <s v="DIRECTOR CONTRATACIONES"/>
    <n v="0"/>
    <x v="0"/>
    <s v="CONTRACTUAL"/>
    <s v="SE CORRIGE A MANO - CON EL FIN MANTENER CONSISTENTE LA INFORMACIÓN CON EL PRIMER EJERCICIO"/>
    <m/>
  </r>
  <r>
    <x v="23"/>
    <x v="5"/>
    <x v="0"/>
    <x v="0"/>
    <s v="DIRECTOR DE CONTRATACIONES"/>
    <n v="0"/>
    <x v="0"/>
    <s v="CONTRACTUAL"/>
    <s v="SE CORRIGE A MANO - CON EL FIN MANTENER CONSISTENTE LA INFORMACIÓN CON EL PRIMER EJERCICIO"/>
    <m/>
  </r>
  <r>
    <x v="23"/>
    <x v="5"/>
    <x v="0"/>
    <x v="0"/>
    <s v="HONORARIOS"/>
    <n v="0"/>
    <x v="0"/>
    <s v="CONTRACTUAL"/>
    <s v="SE CORRIGE A MANO - CON EL FIN MANTENER CONSISTENTE LA INFORMACIÓN CON EL PRIMER EJERCICIO"/>
    <m/>
  </r>
  <r>
    <x v="23"/>
    <x v="5"/>
    <x v="0"/>
    <x v="0"/>
    <s v="INSPECTOR ACABADOS"/>
    <n v="0"/>
    <x v="0"/>
    <s v="CONTRACTUAL"/>
    <s v="SE CORRIGE A MANO - CON EL FIN MANTENER CONSISTENTE LA INFORMACIÓN CON EL PRIMER EJERCICIO"/>
    <m/>
  </r>
  <r>
    <x v="23"/>
    <x v="5"/>
    <x v="0"/>
    <x v="0"/>
    <s v="INSPECTOR ESTRUCTURA"/>
    <n v="0"/>
    <x v="0"/>
    <s v="CONTRACTUAL"/>
    <s v="SE CORRIGE A MANO - CON EL FIN MANTENER CONSISTENTE LA INFORMACIÓN CON EL PRIMER EJERCICIO"/>
    <m/>
  </r>
  <r>
    <x v="23"/>
    <x v="5"/>
    <x v="0"/>
    <x v="0"/>
    <s v="INSPECTOR GENERAL"/>
    <n v="0"/>
    <x v="0"/>
    <s v="CONTRACTUAL"/>
    <s v="SE CORRIGE A MANO - CON EL FIN MANTENER CONSISTENTE LA INFORMACIÓN CON EL PRIMER EJERCICIO"/>
    <m/>
  </r>
  <r>
    <x v="23"/>
    <x v="5"/>
    <x v="0"/>
    <x v="0"/>
    <s v="INSPECTOR INSTALACIONES"/>
    <n v="4123665"/>
    <x v="0"/>
    <s v="CONTRACTUAL"/>
    <s v="SE CORRIGE A MANO - CON EL FIN MANTENER CONSISTENTE LA INFORMACIÓN CON EL PRIMER EJERCICIO"/>
    <m/>
  </r>
  <r>
    <x v="23"/>
    <x v="5"/>
    <x v="0"/>
    <x v="0"/>
    <s v="PROFESIONAL DE CONTRATACIONES"/>
    <n v="0"/>
    <x v="0"/>
    <s v="CONTRACTUAL"/>
    <s v="SE CORRIGE A MANO - CON EL FIN MANTENER CONSISTENTE LA INFORMACIÓN CON EL PRIMER EJERCICIO"/>
    <m/>
  </r>
  <r>
    <x v="23"/>
    <x v="5"/>
    <x v="0"/>
    <x v="0"/>
    <s v="RESIDENTE ADMINISTRATIVO"/>
    <n v="0"/>
    <x v="0"/>
    <s v="CONTRACTUAL"/>
    <s v="SE CORRIGE A MANO - CON EL FIN MANTENER CONSISTENTE LA INFORMACIÓN CON EL PRIMER EJERCICIO"/>
    <m/>
  </r>
  <r>
    <x v="23"/>
    <x v="5"/>
    <x v="0"/>
    <x v="0"/>
    <s v="RESIDENTE DE INSTALACIONES"/>
    <n v="0"/>
    <x v="0"/>
    <s v="CONTRACTUAL"/>
    <s v="SE CORRIGE A MANO - CON EL FIN MANTENER CONSISTENTE LA INFORMACIÓN CON EL PRIMER EJERCICIO"/>
    <m/>
  </r>
  <r>
    <x v="23"/>
    <x v="5"/>
    <x v="0"/>
    <x v="0"/>
    <s v="RESIDENTE TORRE 5"/>
    <n v="6221250"/>
    <x v="0"/>
    <s v="CONTRACTUAL"/>
    <s v="SE CORRIGE A MANO - CON EL FIN MANTENER CONSISTENTE LA INFORMACIÓN CON EL PRIMER EJERCICIO"/>
    <m/>
  </r>
  <r>
    <x v="23"/>
    <x v="6"/>
    <x v="0"/>
    <x v="0"/>
    <s v="AUXILIAR ADMINISTRATIVO "/>
    <n v="2604656.2500000005"/>
    <x v="0"/>
    <s v="CONTRACTUAL"/>
    <s v="SE CORRIGE A MANO - CON EL FIN MANTENER CONSISTENTE LA INFORMACIÓN CON EL PRIMER EJERCICIO"/>
    <m/>
  </r>
  <r>
    <x v="23"/>
    <x v="6"/>
    <x v="0"/>
    <x v="0"/>
    <s v="COORDINADOR"/>
    <n v="11711424.646482753"/>
    <x v="0"/>
    <s v="CONTRACTUAL"/>
    <s v="SE CORRIGE A MANO - CON EL FIN MANTENER CONSISTENTE LA INFORMACIÓN CON EL PRIMER EJERCICIO"/>
    <m/>
  </r>
  <r>
    <x v="23"/>
    <x v="6"/>
    <x v="0"/>
    <x v="0"/>
    <s v="DIRECTOR"/>
    <n v="11269198.072125001"/>
    <x v="0"/>
    <s v="CONTRACTUAL"/>
    <s v="SE CORRIGE A MANO - CON EL FIN MANTENER CONSISTENTE LA INFORMACIÓN CON EL PRIMER EJERCICIO"/>
    <m/>
  </r>
  <r>
    <x v="23"/>
    <x v="6"/>
    <x v="0"/>
    <x v="0"/>
    <s v="DIRECTOR 1A"/>
    <n v="10418625.000000002"/>
    <x v="0"/>
    <s v="CONTRACTUAL"/>
    <s v="SE CORRIGE A MANO - CON EL FIN MANTENER CONSISTENTE LA INFORMACIÓN CON EL PRIMER EJERCICIO"/>
    <m/>
  </r>
  <r>
    <x v="23"/>
    <x v="6"/>
    <x v="0"/>
    <x v="0"/>
    <s v="DIRECTOR CONTRATACIONES"/>
    <n v="960135.74937000009"/>
    <x v="0"/>
    <s v="CONTRACTUAL"/>
    <s v="SE CORRIGE A MANO - CON EL FIN MANTENER CONSISTENTE LA INFORMACIÓN CON EL PRIMER EJERCICIO"/>
    <m/>
  </r>
  <r>
    <x v="23"/>
    <x v="6"/>
    <x v="0"/>
    <x v="0"/>
    <s v="DIRECTOR DE CONTRATACIONES"/>
    <n v="887666.85000000009"/>
    <x v="0"/>
    <s v="CONTRACTUAL"/>
    <s v="SE CORRIGE A MANO - CON EL FIN MANTENER CONSISTENTE LA INFORMACIÓN CON EL PRIMER EJERCICIO"/>
    <m/>
  </r>
  <r>
    <x v="23"/>
    <x v="6"/>
    <x v="0"/>
    <x v="0"/>
    <s v="HONORARIOS"/>
    <n v="48600000"/>
    <x v="0"/>
    <s v="CONTRACTUAL"/>
    <s v="SE CORRIGE A MANO - CON EL FIN MANTENER CONSISTENTE LA INFORMACIÓN CON EL PRIMER EJERCICIO"/>
    <m/>
  </r>
  <r>
    <x v="23"/>
    <x v="6"/>
    <x v="0"/>
    <x v="0"/>
    <s v="INSPECTOR ACABADOS"/>
    <n v="3718059.9750000001"/>
    <x v="0"/>
    <s v="CONTRACTUAL"/>
    <s v="SE CORRIGE A MANO - CON EL FIN MANTENER CONSISTENTE LA INFORMACIÓN CON EL PRIMER EJERCICIO"/>
    <m/>
  </r>
  <r>
    <x v="23"/>
    <x v="6"/>
    <x v="0"/>
    <x v="0"/>
    <s v="INSPECTOR ESTRUCTURA"/>
    <n v="3718059.9750000001"/>
    <x v="0"/>
    <s v="CONTRACTUAL"/>
    <s v="SE CORRIGE A MANO - CON EL FIN MANTENER CONSISTENTE LA INFORMACIÓN CON EL PRIMER EJERCICIO"/>
    <m/>
  </r>
  <r>
    <x v="23"/>
    <x v="6"/>
    <x v="0"/>
    <x v="0"/>
    <s v="INSPECTOR GENERAL"/>
    <n v="4049372.25"/>
    <x v="0"/>
    <s v="CONTRACTUAL"/>
    <s v="SE CORRIGE A MANO - CON EL FIN MANTENER CONSISTENTE LA INFORMACIÓN CON EL PRIMER EJERCICIO"/>
    <m/>
  </r>
  <r>
    <x v="23"/>
    <x v="6"/>
    <x v="0"/>
    <x v="0"/>
    <s v="INSPECTOR INSTALACIONES"/>
    <n v="8173037.25"/>
    <x v="0"/>
    <s v="CONTRACTUAL"/>
    <s v="SE CORRIGE A MANO - CON EL FIN MANTENER CONSISTENTE LA INFORMACIÓN CON EL PRIMER EJERCICIO"/>
    <m/>
  </r>
  <r>
    <x v="23"/>
    <x v="6"/>
    <x v="0"/>
    <x v="0"/>
    <s v="PROFESIONAL DE CONTRATACIONES"/>
    <n v="4514737.5000000009"/>
    <x v="0"/>
    <s v="CONTRACTUAL"/>
    <s v="SE CORRIGE A MANO - CON EL FIN MANTENER CONSISTENTE LA INFORMACIÓN CON EL PRIMER EJERCICIO"/>
    <m/>
  </r>
  <r>
    <x v="23"/>
    <x v="6"/>
    <x v="0"/>
    <x v="0"/>
    <s v="RESIDENTE ADMINISTRATIVO"/>
    <n v="5903887.5000000009"/>
    <x v="0"/>
    <s v="CONTRACTUAL"/>
    <s v="SE CORRIGE A MANO - CON EL FIN MANTENER CONSISTENTE LA INFORMACIÓN CON EL PRIMER EJERCICIO"/>
    <m/>
  </r>
  <r>
    <x v="23"/>
    <x v="6"/>
    <x v="0"/>
    <x v="0"/>
    <s v="RESIDENTE DE INSTALACIONES"/>
    <n v="2448376.8750000005"/>
    <x v="0"/>
    <s v="CONTRACTUAL"/>
    <s v="SE CORRIGE A MANO - CON EL FIN MANTENER CONSISTENTE LA INFORMACIÓN CON EL PRIMER EJERCICIO"/>
    <m/>
  </r>
  <r>
    <x v="23"/>
    <x v="6"/>
    <x v="0"/>
    <x v="0"/>
    <s v="RESIDENTE TORRE 5"/>
    <n v="6221250"/>
    <x v="0"/>
    <s v="CONTRACTUAL"/>
    <s v="SE CORRIGE A MANO - CON EL FIN MANTENER CONSISTENTE LA INFORMACIÓN CON EL PRIMER EJERCICIO"/>
    <m/>
  </r>
  <r>
    <x v="23"/>
    <x v="7"/>
    <x v="0"/>
    <x v="0"/>
    <s v="AUXILIAR ADMINISTRATIVO "/>
    <n v="2604656.2500000005"/>
    <x v="0"/>
    <s v="CONTRACTUAL"/>
    <s v="SE CORRIGE A MANO - CON EL FIN MANTENER CONSISTENTE LA INFORMACIÓN CON EL PRIMER EJERCICIO"/>
    <m/>
  </r>
  <r>
    <x v="23"/>
    <x v="7"/>
    <x v="0"/>
    <x v="0"/>
    <s v="COORDINADOR"/>
    <n v="11711424.646482753"/>
    <x v="0"/>
    <s v="CONTRACTUAL"/>
    <s v="SE CORRIGE A MANO - CON EL FIN MANTENER CONSISTENTE LA INFORMACIÓN CON EL PRIMER EJERCICIO"/>
    <m/>
  </r>
  <r>
    <x v="23"/>
    <x v="7"/>
    <x v="0"/>
    <x v="0"/>
    <s v="DIRECTOR"/>
    <n v="11269198.072125001"/>
    <x v="0"/>
    <s v="CONTRACTUAL"/>
    <s v="SE CORRIGE A MANO - CON EL FIN MANTENER CONSISTENTE LA INFORMACIÓN CON EL PRIMER EJERCICIO"/>
    <m/>
  </r>
  <r>
    <x v="23"/>
    <x v="7"/>
    <x v="0"/>
    <x v="0"/>
    <s v="DIRECTOR 1A"/>
    <n v="10418625.000000002"/>
    <x v="0"/>
    <s v="CONTRACTUAL"/>
    <s v="SE CORRIGE A MANO - CON EL FIN MANTENER CONSISTENTE LA INFORMACIÓN CON EL PRIMER EJERCICIO"/>
    <m/>
  </r>
  <r>
    <x v="23"/>
    <x v="7"/>
    <x v="0"/>
    <x v="0"/>
    <s v="DIRECTOR CONTRATACIONES"/>
    <n v="960135.74937000009"/>
    <x v="0"/>
    <s v="CONTRACTUAL"/>
    <s v="SE CORRIGE A MANO - CON EL FIN MANTENER CONSISTENTE LA INFORMACIÓN CON EL PRIMER EJERCICIO"/>
    <m/>
  </r>
  <r>
    <x v="23"/>
    <x v="7"/>
    <x v="0"/>
    <x v="0"/>
    <s v="DIRECTOR DE CONTRATACIONES"/>
    <n v="887666.85000000009"/>
    <x v="0"/>
    <s v="CONTRACTUAL"/>
    <s v="SE CORRIGE A MANO - CON EL FIN MANTENER CONSISTENTE LA INFORMACIÓN CON EL PRIMER EJERCICIO"/>
    <m/>
  </r>
  <r>
    <x v="23"/>
    <x v="7"/>
    <x v="0"/>
    <x v="0"/>
    <s v="HONORARIOS"/>
    <n v="48600000"/>
    <x v="0"/>
    <s v="CONTRACTUAL"/>
    <s v="SE CORRIGE A MANO - CON EL FIN MANTENER CONSISTENTE LA INFORMACIÓN CON EL PRIMER EJERCICIO"/>
    <m/>
  </r>
  <r>
    <x v="23"/>
    <x v="7"/>
    <x v="0"/>
    <x v="0"/>
    <s v="INSPECTOR ACABADOS"/>
    <n v="3718059.9750000001"/>
    <x v="0"/>
    <s v="CONTRACTUAL"/>
    <s v="SE CORRIGE A MANO - CON EL FIN MANTENER CONSISTENTE LA INFORMACIÓN CON EL PRIMER EJERCICIO"/>
    <m/>
  </r>
  <r>
    <x v="23"/>
    <x v="7"/>
    <x v="0"/>
    <x v="0"/>
    <s v="INSPECTOR ESTRUCTURA"/>
    <n v="3718059.9750000001"/>
    <x v="0"/>
    <s v="CONTRACTUAL"/>
    <s v="SE CORRIGE A MANO - CON EL FIN MANTENER CONSISTENTE LA INFORMACIÓN CON EL PRIMER EJERCICIO"/>
    <m/>
  </r>
  <r>
    <x v="23"/>
    <x v="7"/>
    <x v="0"/>
    <x v="0"/>
    <s v="INSPECTOR GENERAL"/>
    <n v="4049372.25"/>
    <x v="0"/>
    <s v="CONTRACTUAL"/>
    <s v="SE CORRIGE A MANO - CON EL FIN MANTENER CONSISTENTE LA INFORMACIÓN CON EL PRIMER EJERCICIO"/>
    <m/>
  </r>
  <r>
    <x v="23"/>
    <x v="7"/>
    <x v="0"/>
    <x v="0"/>
    <s v="INSPECTOR INSTALACIONES"/>
    <n v="8173037.25"/>
    <x v="0"/>
    <s v="CONTRACTUAL"/>
    <s v="SE CORRIGE A MANO - CON EL FIN MANTENER CONSISTENTE LA INFORMACIÓN CON EL PRIMER EJERCICIO"/>
    <m/>
  </r>
  <r>
    <x v="23"/>
    <x v="7"/>
    <x v="0"/>
    <x v="0"/>
    <s v="PROFESIONAL DE CONTRATACIONES"/>
    <n v="4514737.5000000009"/>
    <x v="0"/>
    <s v="CONTRACTUAL"/>
    <s v="SE CORRIGE A MANO - CON EL FIN MANTENER CONSISTENTE LA INFORMACIÓN CON EL PRIMER EJERCICIO"/>
    <m/>
  </r>
  <r>
    <x v="23"/>
    <x v="7"/>
    <x v="0"/>
    <x v="0"/>
    <s v="RESIDENTE ADMINISTRATIVO"/>
    <n v="5903887.5000000009"/>
    <x v="0"/>
    <s v="CONTRACTUAL"/>
    <s v="SE CORRIGE A MANO - CON EL FIN MANTENER CONSISTENTE LA INFORMACIÓN CON EL PRIMER EJERCICIO"/>
    <m/>
  </r>
  <r>
    <x v="23"/>
    <x v="7"/>
    <x v="0"/>
    <x v="0"/>
    <s v="RESIDENTE DE INSTALACIONES"/>
    <n v="2448376.8750000005"/>
    <x v="0"/>
    <s v="CONTRACTUAL"/>
    <s v="SE CORRIGE A MANO - CON EL FIN MANTENER CONSISTENTE LA INFORMACIÓN CON EL PRIMER EJERCICIO"/>
    <m/>
  </r>
  <r>
    <x v="23"/>
    <x v="7"/>
    <x v="0"/>
    <x v="0"/>
    <s v="RESIDENTE TORRE 5"/>
    <n v="6221250"/>
    <x v="0"/>
    <s v="CONTRACTUAL"/>
    <s v="SE CORRIGE A MANO - CON EL FIN MANTENER CONSISTENTE LA INFORMACIÓN CON EL PRIMER EJERCICIO"/>
    <m/>
  </r>
  <r>
    <x v="23"/>
    <x v="8"/>
    <x v="0"/>
    <x v="0"/>
    <s v="AUXILIAR ADMINISTRATIVO "/>
    <n v="2604656.2500000005"/>
    <x v="0"/>
    <s v="CONTRACTUAL"/>
    <s v="SE CORRIGE A MANO - CON EL FIN MANTENER CONSISTENTE LA INFORMACIÓN CON EL PRIMER EJERCICIO"/>
    <m/>
  </r>
  <r>
    <x v="23"/>
    <x v="8"/>
    <x v="0"/>
    <x v="0"/>
    <s v="COORDINADOR"/>
    <n v="11711424.646482753"/>
    <x v="0"/>
    <s v="CONTRACTUAL"/>
    <s v="SE CORRIGE A MANO - CON EL FIN MANTENER CONSISTENTE LA INFORMACIÓN CON EL PRIMER EJERCICIO"/>
    <m/>
  </r>
  <r>
    <x v="23"/>
    <x v="8"/>
    <x v="0"/>
    <x v="0"/>
    <s v="DIRECTOR"/>
    <n v="11269198.072125001"/>
    <x v="0"/>
    <s v="CONTRACTUAL"/>
    <s v="SE CORRIGE A MANO - CON EL FIN MANTENER CONSISTENTE LA INFORMACIÓN CON EL PRIMER EJERCICIO"/>
    <m/>
  </r>
  <r>
    <x v="23"/>
    <x v="8"/>
    <x v="0"/>
    <x v="0"/>
    <s v="DIRECTOR 1A"/>
    <n v="10418625.000000002"/>
    <x v="0"/>
    <s v="CONTRACTUAL"/>
    <s v="SE CORRIGE A MANO - CON EL FIN MANTENER CONSISTENTE LA INFORMACIÓN CON EL PRIMER EJERCICIO"/>
    <m/>
  </r>
  <r>
    <x v="23"/>
    <x v="8"/>
    <x v="0"/>
    <x v="0"/>
    <s v="DIRECTOR CONTRATACIONES"/>
    <n v="960135.74937000009"/>
    <x v="0"/>
    <s v="CONTRACTUAL"/>
    <s v="SE CORRIGE A MANO - CON EL FIN MANTENER CONSISTENTE LA INFORMACIÓN CON EL PRIMER EJERCICIO"/>
    <m/>
  </r>
  <r>
    <x v="23"/>
    <x v="8"/>
    <x v="0"/>
    <x v="0"/>
    <s v="DIRECTOR DE CONTRATACIONES"/>
    <n v="887666.85000000009"/>
    <x v="0"/>
    <s v="CONTRACTUAL"/>
    <s v="SE CORRIGE A MANO - CON EL FIN MANTENER CONSISTENTE LA INFORMACIÓN CON EL PRIMER EJERCICIO"/>
    <m/>
  </r>
  <r>
    <x v="23"/>
    <x v="8"/>
    <x v="0"/>
    <x v="0"/>
    <s v="HONORARIOS"/>
    <n v="48600000"/>
    <x v="0"/>
    <s v="CONTRACTUAL"/>
    <s v="SE CORRIGE A MANO - CON EL FIN MANTENER CONSISTENTE LA INFORMACIÓN CON EL PRIMER EJERCICIO"/>
    <m/>
  </r>
  <r>
    <x v="23"/>
    <x v="8"/>
    <x v="0"/>
    <x v="0"/>
    <s v="INSPECTOR ACABADOS"/>
    <n v="3718059.9750000001"/>
    <x v="0"/>
    <s v="CONTRACTUAL"/>
    <s v="SE CORRIGE A MANO - CON EL FIN MANTENER CONSISTENTE LA INFORMACIÓN CON EL PRIMER EJERCICIO"/>
    <m/>
  </r>
  <r>
    <x v="23"/>
    <x v="8"/>
    <x v="0"/>
    <x v="0"/>
    <s v="INSPECTOR ESTRUCTURA"/>
    <n v="3718059.9750000001"/>
    <x v="0"/>
    <s v="CONTRACTUAL"/>
    <s v="SE CORRIGE A MANO - CON EL FIN MANTENER CONSISTENTE LA INFORMACIÓN CON EL PRIMER EJERCICIO"/>
    <m/>
  </r>
  <r>
    <x v="23"/>
    <x v="8"/>
    <x v="0"/>
    <x v="0"/>
    <s v="INSPECTOR GENERAL"/>
    <n v="4049372.25"/>
    <x v="0"/>
    <s v="CONTRACTUAL"/>
    <s v="SE CORRIGE A MANO - CON EL FIN MANTENER CONSISTENTE LA INFORMACIÓN CON EL PRIMER EJERCICIO"/>
    <m/>
  </r>
  <r>
    <x v="23"/>
    <x v="8"/>
    <x v="0"/>
    <x v="0"/>
    <s v="INSPECTOR INSTALACIONES"/>
    <n v="8173037.25"/>
    <x v="0"/>
    <s v="CONTRACTUAL"/>
    <s v="SE CORRIGE A MANO - CON EL FIN MANTENER CONSISTENTE LA INFORMACIÓN CON EL PRIMER EJERCICIO"/>
    <m/>
  </r>
  <r>
    <x v="23"/>
    <x v="8"/>
    <x v="0"/>
    <x v="0"/>
    <s v="PROFESIONAL DE CONTRATACIONES"/>
    <n v="4514737.5000000009"/>
    <x v="0"/>
    <s v="CONTRACTUAL"/>
    <s v="SE CORRIGE A MANO - CON EL FIN MANTENER CONSISTENTE LA INFORMACIÓN CON EL PRIMER EJERCICIO"/>
    <m/>
  </r>
  <r>
    <x v="23"/>
    <x v="8"/>
    <x v="0"/>
    <x v="0"/>
    <s v="RESIDENTE ADMINISTRATIVO"/>
    <n v="5903887.5000000009"/>
    <x v="0"/>
    <s v="CONTRACTUAL"/>
    <s v="SE CORRIGE A MANO - CON EL FIN MANTENER CONSISTENTE LA INFORMACIÓN CON EL PRIMER EJERCICIO"/>
    <m/>
  </r>
  <r>
    <x v="23"/>
    <x v="8"/>
    <x v="0"/>
    <x v="0"/>
    <s v="RESIDENTE DE INSTALACIONES"/>
    <n v="2448376.8750000005"/>
    <x v="0"/>
    <s v="CONTRACTUAL"/>
    <s v="SE CORRIGE A MANO - CON EL FIN MANTENER CONSISTENTE LA INFORMACIÓN CON EL PRIMER EJERCICIO"/>
    <m/>
  </r>
  <r>
    <x v="23"/>
    <x v="8"/>
    <x v="0"/>
    <x v="0"/>
    <s v="RESIDENTE TORRE 5"/>
    <n v="6221250"/>
    <x v="0"/>
    <s v="CONTRACTUAL"/>
    <s v="SE CORRIGE A MANO - CON EL FIN MANTENER CONSISTENTE LA INFORMACIÓN CON EL PRIMER EJERCICIO"/>
    <m/>
  </r>
  <r>
    <x v="23"/>
    <x v="9"/>
    <x v="0"/>
    <x v="0"/>
    <s v="AUXILIAR ADMINISTRATIVO "/>
    <n v="2604656.2500000005"/>
    <x v="0"/>
    <s v="CONTRACTUAL"/>
    <s v="SE CORRIGE A MANO - CON EL FIN MANTENER CONSISTENTE LA INFORMACIÓN CON EL PRIMER EJERCICIO"/>
    <m/>
  </r>
  <r>
    <x v="23"/>
    <x v="9"/>
    <x v="0"/>
    <x v="0"/>
    <s v="COORDINADOR"/>
    <n v="11711424.646482753"/>
    <x v="0"/>
    <s v="CONTRACTUAL"/>
    <s v="SE CORRIGE A MANO - CON EL FIN MANTENER CONSISTENTE LA INFORMACIÓN CON EL PRIMER EJERCICIO"/>
    <m/>
  </r>
  <r>
    <x v="23"/>
    <x v="9"/>
    <x v="0"/>
    <x v="0"/>
    <s v="DIRECTOR"/>
    <n v="11269198.072125001"/>
    <x v="0"/>
    <s v="CONTRACTUAL"/>
    <s v="SE CORRIGE A MANO - CON EL FIN MANTENER CONSISTENTE LA INFORMACIÓN CON EL PRIMER EJERCICIO"/>
    <m/>
  </r>
  <r>
    <x v="23"/>
    <x v="9"/>
    <x v="0"/>
    <x v="0"/>
    <s v="DIRECTOR 1A"/>
    <n v="10418625.000000002"/>
    <x v="0"/>
    <s v="CONTRACTUAL"/>
    <s v="SE CORRIGE A MANO - CON EL FIN MANTENER CONSISTENTE LA INFORMACIÓN CON EL PRIMER EJERCICIO"/>
    <m/>
  </r>
  <r>
    <x v="23"/>
    <x v="9"/>
    <x v="0"/>
    <x v="0"/>
    <s v="DIRECTOR CONTRATACIONES"/>
    <n v="960135.74937000009"/>
    <x v="0"/>
    <s v="CONTRACTUAL"/>
    <s v="SE CORRIGE A MANO - CON EL FIN MANTENER CONSISTENTE LA INFORMACIÓN CON EL PRIMER EJERCICIO"/>
    <m/>
  </r>
  <r>
    <x v="23"/>
    <x v="9"/>
    <x v="0"/>
    <x v="0"/>
    <s v="DIRECTOR DE CONTRATACIONES"/>
    <n v="887666.85000000009"/>
    <x v="0"/>
    <s v="CONTRACTUAL"/>
    <s v="SE CORRIGE A MANO - CON EL FIN MANTENER CONSISTENTE LA INFORMACIÓN CON EL PRIMER EJERCICIO"/>
    <m/>
  </r>
  <r>
    <x v="32"/>
    <x v="2"/>
    <x v="0"/>
    <x v="0"/>
    <s v="PROFESIONAL DE CONTRATACIONES"/>
    <n v="2694198.4714365834"/>
    <x v="1"/>
    <s v="OTRO SÍ"/>
    <m/>
    <m/>
  </r>
  <r>
    <x v="32"/>
    <x v="2"/>
    <x v="0"/>
    <x v="0"/>
    <s v="DIRECTOR"/>
    <n v="10573456.644736286"/>
    <x v="1"/>
    <s v="OTRO SÍ"/>
    <m/>
    <m/>
  </r>
  <r>
    <x v="32"/>
    <x v="3"/>
    <x v="0"/>
    <x v="0"/>
    <s v="PROFESIONAL DE CONTRATACIONES"/>
    <n v="2694198.4714365834"/>
    <x v="1"/>
    <s v="OTRO SÍ"/>
    <m/>
    <m/>
  </r>
  <r>
    <x v="32"/>
    <x v="3"/>
    <x v="0"/>
    <x v="0"/>
    <s v="DIRECTOR"/>
    <n v="10573456.644736286"/>
    <x v="1"/>
    <s v="OTRO SÍ"/>
    <m/>
    <m/>
  </r>
  <r>
    <x v="4"/>
    <x v="11"/>
    <x v="0"/>
    <x v="0"/>
    <s v="INSPECTOR DE INSTALACIONES"/>
    <n v="3533997.5999999996"/>
    <x v="1"/>
    <s v="OTRO SÍ"/>
    <m/>
    <m/>
  </r>
  <r>
    <x v="4"/>
    <x v="11"/>
    <x v="0"/>
    <x v="0"/>
    <s v="DIRECTOR"/>
    <n v="9724050.0000000019"/>
    <x v="1"/>
    <s v="OTRO SÍ"/>
    <m/>
    <m/>
  </r>
  <r>
    <x v="33"/>
    <x v="3"/>
    <x v="0"/>
    <x v="0"/>
    <s v="PROFESIONAL ADMINISTRATIVO"/>
    <n v="236250"/>
    <x v="1"/>
    <s v="OTRO SÍ"/>
    <m/>
    <m/>
  </r>
  <r>
    <x v="33"/>
    <x v="3"/>
    <x v="0"/>
    <x v="0"/>
    <s v="PROFESIONAL PRESUPUESTACION"/>
    <n v="441000"/>
    <x v="1"/>
    <s v="OTRO SÍ"/>
    <m/>
    <m/>
  </r>
  <r>
    <x v="33"/>
    <x v="3"/>
    <x v="0"/>
    <x v="0"/>
    <s v="PROFESIONAL DE CONTRATACIONES"/>
    <n v="1063125"/>
    <x v="1"/>
    <s v="OTRO SÍ"/>
    <m/>
    <m/>
  </r>
  <r>
    <x v="33"/>
    <x v="3"/>
    <x v="0"/>
    <x v="0"/>
    <s v="PROFESIONAL CONTRATACIONES"/>
    <n v="1181250"/>
    <x v="1"/>
    <s v="OTRO SÍ"/>
    <m/>
    <m/>
  </r>
  <r>
    <x v="33"/>
    <x v="3"/>
    <x v="0"/>
    <x v="0"/>
    <s v="RESIDENTE ADMINISTRATIVO"/>
    <n v="4095000"/>
    <x v="1"/>
    <s v="OTRO SÍ"/>
    <m/>
    <m/>
  </r>
  <r>
    <x v="33"/>
    <x v="3"/>
    <x v="0"/>
    <x v="0"/>
    <s v="DIRECTOR"/>
    <n v="9450000"/>
    <x v="1"/>
    <s v="OTRO SÍ"/>
    <m/>
    <m/>
  </r>
  <r>
    <x v="33"/>
    <x v="3"/>
    <x v="0"/>
    <x v="0"/>
    <s v="COORDINADOR"/>
    <n v="9976365"/>
    <x v="1"/>
    <s v="OTRO SÍ"/>
    <m/>
    <m/>
  </r>
  <r>
    <x v="33"/>
    <x v="3"/>
    <x v="0"/>
    <x v="0"/>
    <s v="HONORARIOS"/>
    <n v="29406606.749999996"/>
    <x v="1"/>
    <s v="OTRO SÍ"/>
    <m/>
    <m/>
  </r>
  <r>
    <x v="6"/>
    <x v="2"/>
    <x v="0"/>
    <x v="0"/>
    <s v="HONORARIOS"/>
    <n v="15500000"/>
    <x v="1"/>
    <s v="OTRO SÍ"/>
    <m/>
    <m/>
  </r>
  <r>
    <x v="6"/>
    <x v="3"/>
    <x v="0"/>
    <x v="0"/>
    <s v="HONORARIOS"/>
    <n v="15500000"/>
    <x v="1"/>
    <s v="OTRO SÍ"/>
    <m/>
    <m/>
  </r>
  <r>
    <x v="6"/>
    <x v="4"/>
    <x v="0"/>
    <x v="0"/>
    <s v="HONORARIOS"/>
    <n v="15500000"/>
    <x v="1"/>
    <s v="OTRO SÍ"/>
    <m/>
    <m/>
  </r>
  <r>
    <x v="42"/>
    <x v="5"/>
    <x v="0"/>
    <x v="0"/>
    <s v="HONORARIOS"/>
    <n v="62778573"/>
    <x v="1"/>
    <s v="OTRO SÍ"/>
    <m/>
    <m/>
  </r>
  <r>
    <x v="42"/>
    <x v="6"/>
    <x v="0"/>
    <x v="0"/>
    <s v="HONORARIOS"/>
    <n v="62778573"/>
    <x v="1"/>
    <s v="OTRO SÍ"/>
    <m/>
    <m/>
  </r>
  <r>
    <x v="42"/>
    <x v="7"/>
    <x v="0"/>
    <x v="0"/>
    <s v="HONORARIOS"/>
    <n v="62778573"/>
    <x v="1"/>
    <s v="OTRO SÍ"/>
    <m/>
    <m/>
  </r>
  <r>
    <x v="42"/>
    <x v="8"/>
    <x v="0"/>
    <x v="0"/>
    <s v="HONORARIOS"/>
    <n v="62778573"/>
    <x v="1"/>
    <s v="OTRO SÍ"/>
    <m/>
    <m/>
  </r>
  <r>
    <x v="43"/>
    <x v="1"/>
    <x v="0"/>
    <x v="0"/>
    <s v="HONORARIOS"/>
    <n v="29813870"/>
    <x v="1"/>
    <s v="OTRO SÍ"/>
    <m/>
    <m/>
  </r>
  <r>
    <x v="43"/>
    <x v="2"/>
    <x v="0"/>
    <x v="0"/>
    <s v="HONORARIOS"/>
    <n v="29813870"/>
    <x v="1"/>
    <s v="OTRO SÍ"/>
    <m/>
    <m/>
  </r>
  <r>
    <x v="44"/>
    <x v="4"/>
    <x v="0"/>
    <x v="0"/>
    <s v="HONORARIOS"/>
    <n v="126579869.80723679"/>
    <x v="1"/>
    <s v="OTRO SÍ"/>
    <m/>
    <m/>
  </r>
  <r>
    <x v="57"/>
    <x v="5"/>
    <x v="0"/>
    <x v="0"/>
    <s v="TOTAL"/>
    <n v="69749389"/>
    <x v="2"/>
    <s v="PENDIENTES RECIBIR FASE 2"/>
    <s v="SE MANTIENE IGUAL AL PRIMER EJERCICIO"/>
    <m/>
  </r>
  <r>
    <x v="57"/>
    <x v="3"/>
    <x v="0"/>
    <x v="0"/>
    <s v="TOTAL"/>
    <n v="38577410"/>
    <x v="2"/>
    <s v="PENDIENTES RECIBIR FASE 2"/>
    <s v="SE MANTIENE IGUAL AL PRIMER EJERCICIO"/>
    <m/>
  </r>
  <r>
    <x v="57"/>
    <x v="4"/>
    <x v="0"/>
    <x v="0"/>
    <s v="TOTAL"/>
    <n v="50563879"/>
    <x v="2"/>
    <s v="PENDIENTES RECIBIR FASE 2"/>
    <s v="SE MANTIENE IGUAL AL PRIMER EJERCICIO"/>
    <m/>
  </r>
  <r>
    <x v="57"/>
    <x v="5"/>
    <x v="0"/>
    <x v="0"/>
    <s v="TOTAL"/>
    <n v="36061686"/>
    <x v="2"/>
    <s v="PENDIENTES RECIBIR FASE 2"/>
    <s v="SE MANTIENE IGUAL AL PRIMER EJERCICIO"/>
    <m/>
  </r>
  <r>
    <x v="57"/>
    <x v="3"/>
    <x v="0"/>
    <x v="0"/>
    <s v="TOTAL"/>
    <n v="75354095"/>
    <x v="2"/>
    <s v="PENDIENTES RECIBIR FASE 2"/>
    <s v="SE MANTIENE IGUAL AL PRIMER EJERCICIO"/>
    <m/>
  </r>
  <r>
    <x v="57"/>
    <x v="4"/>
    <x v="0"/>
    <x v="0"/>
    <s v="TOTAL"/>
    <n v="207659962"/>
    <x v="2"/>
    <s v="PENDIENTES RECIBIR FASE 2"/>
    <s v="SE MANTIENE IGUAL AL PRIMER EJERCICIO"/>
    <m/>
  </r>
  <r>
    <x v="57"/>
    <x v="4"/>
    <x v="0"/>
    <x v="0"/>
    <s v="TOTAL"/>
    <n v="69053436"/>
    <x v="2"/>
    <s v="PENDIENTES RECIBIR FASE 2"/>
    <s v="SE MANTIENE IGUAL AL PRIMER EJERCICIO"/>
    <m/>
  </r>
  <r>
    <x v="57"/>
    <x v="4"/>
    <x v="0"/>
    <x v="0"/>
    <s v="TOTAL"/>
    <n v="64848173"/>
    <x v="2"/>
    <s v="PENDIENTES RECIBIR FASE 2"/>
    <s v="SE MANTIENE IGUAL AL PRIMER EJERCICIO"/>
    <m/>
  </r>
  <r>
    <x v="57"/>
    <x v="4"/>
    <x v="0"/>
    <x v="0"/>
    <s v="TOTAL"/>
    <n v="206729818.78999996"/>
    <x v="2"/>
    <s v="PENDIENTES RECIBIR FASE 2"/>
    <s v="SE MANTIENE IGUAL AL PRIMER EJERCICIO"/>
    <m/>
  </r>
  <r>
    <x v="57"/>
    <x v="5"/>
    <x v="0"/>
    <x v="0"/>
    <s v="TOTAL"/>
    <n v="55622612"/>
    <x v="2"/>
    <s v="PENDIENTES RECIBIR FASE 2"/>
    <s v="SE MANTIENE IGUAL AL PRIMER EJERCICIO"/>
    <m/>
  </r>
  <r>
    <x v="57"/>
    <x v="4"/>
    <x v="0"/>
    <x v="0"/>
    <s v="TOTAL"/>
    <n v="37647404"/>
    <x v="2"/>
    <s v="PENDIENTES RECIBIR FASE 2"/>
    <s v="SE MANTIENE IGUAL AL PRIMER EJERCICIO"/>
    <m/>
  </r>
  <r>
    <x v="57"/>
    <x v="4"/>
    <x v="0"/>
    <x v="0"/>
    <s v="TOTAL"/>
    <n v="250132471"/>
    <x v="2"/>
    <s v="PENDIENTES RECIBIR FASE 2"/>
    <s v="SE MANTIENE IGUAL AL PRIMER EJERCICIO"/>
    <m/>
  </r>
  <r>
    <x v="58"/>
    <x v="5"/>
    <x v="1"/>
    <x v="0"/>
    <s v="TOTAL"/>
    <n v="100412415.69184017"/>
    <x v="3"/>
    <s v="VALOR.INICIAL.F1"/>
    <m/>
    <m/>
  </r>
  <r>
    <x v="58"/>
    <x v="6"/>
    <x v="1"/>
    <x v="0"/>
    <s v="TOTAL"/>
    <n v="80851657.317760006"/>
    <x v="3"/>
    <s v="VALOR.INICIAL.F1"/>
    <m/>
    <m/>
  </r>
  <r>
    <x v="58"/>
    <x v="7"/>
    <x v="1"/>
    <x v="0"/>
    <s v="TOTAL"/>
    <n v="90607045.108879998"/>
    <x v="3"/>
    <s v="VALOR.INICIAL.F1"/>
    <m/>
    <m/>
  </r>
  <r>
    <x v="58"/>
    <x v="8"/>
    <x v="1"/>
    <x v="0"/>
    <s v="TOTAL"/>
    <n v="32269325.98776"/>
    <x v="3"/>
    <s v="VALOR.INICIAL.F1"/>
    <m/>
    <m/>
  </r>
  <r>
    <x v="58"/>
    <x v="9"/>
    <x v="1"/>
    <x v="0"/>
    <s v="TOTAL"/>
    <n v="96569065.448880002"/>
    <x v="3"/>
    <s v="VALOR.INICIAL.F1"/>
    <m/>
    <m/>
  </r>
  <r>
    <x v="58"/>
    <x v="10"/>
    <x v="1"/>
    <x v="0"/>
    <s v="TOTAL"/>
    <n v="30889039.550000001"/>
    <x v="3"/>
    <s v="VALOR.INICIAL.F1"/>
    <m/>
    <m/>
  </r>
  <r>
    <x v="58"/>
    <x v="11"/>
    <x v="1"/>
    <x v="0"/>
    <s v="TOTAL"/>
    <n v="31992375.489440002"/>
    <x v="3"/>
    <s v="VALOR.INICIAL.F1"/>
    <m/>
    <m/>
  </r>
  <r>
    <x v="58"/>
    <x v="5"/>
    <x v="1"/>
    <x v="0"/>
    <s v="TOTAL"/>
    <n v="23112411.520000033"/>
    <x v="3"/>
    <s v="PAGO_F2_HITO1"/>
    <m/>
    <m/>
  </r>
  <r>
    <x v="58"/>
    <x v="6"/>
    <x v="1"/>
    <x v="0"/>
    <s v="TOTAL"/>
    <n v="8029539.8339200029"/>
    <x v="3"/>
    <s v="PAGO_F2_HITO1"/>
    <m/>
    <m/>
  </r>
  <r>
    <x v="58"/>
    <x v="7"/>
    <x v="1"/>
    <x v="0"/>
    <s v="TOTAL"/>
    <n v="73411687.785920009"/>
    <x v="3"/>
    <s v="PAGO_F2_HITO1"/>
    <m/>
    <m/>
  </r>
  <r>
    <x v="58"/>
    <x v="8"/>
    <x v="1"/>
    <x v="0"/>
    <s v="TOTAL"/>
    <n v="55864216.662319943"/>
    <x v="3"/>
    <s v="PAGO_F2_HITO1"/>
    <m/>
    <m/>
  </r>
  <r>
    <x v="58"/>
    <x v="9"/>
    <x v="1"/>
    <x v="0"/>
    <s v="TOTAL"/>
    <n v="55777243.928560019"/>
    <x v="3"/>
    <s v="PAGO_F2_HITO1"/>
    <m/>
    <m/>
  </r>
  <r>
    <x v="58"/>
    <x v="10"/>
    <x v="1"/>
    <x v="0"/>
    <s v="TOTAL"/>
    <n v="68993499.74440001"/>
    <x v="3"/>
    <s v="PAGO_F2_HITO1"/>
    <m/>
    <m/>
  </r>
  <r>
    <x v="58"/>
    <x v="11"/>
    <x v="1"/>
    <x v="0"/>
    <s v="TOTAL"/>
    <n v="57631282.712079979"/>
    <x v="3"/>
    <s v="PAGO_F2_HITO1"/>
    <m/>
    <m/>
  </r>
  <r>
    <x v="58"/>
    <x v="5"/>
    <x v="1"/>
    <x v="0"/>
    <s v="TOTAL"/>
    <n v="447823570.12719947"/>
    <x v="3"/>
    <s v="PAGO_F2_HITO2"/>
    <m/>
    <m/>
  </r>
  <r>
    <x v="58"/>
    <x v="6"/>
    <x v="1"/>
    <x v="0"/>
    <s v="TOTAL"/>
    <n v="76256819.746079922"/>
    <x v="3"/>
    <s v="PAGO_F2_HITO2"/>
    <m/>
    <m/>
  </r>
  <r>
    <x v="58"/>
    <x v="7"/>
    <x v="1"/>
    <x v="0"/>
    <s v="TOTAL"/>
    <n v="29703160.83248001"/>
    <x v="3"/>
    <s v="PAGO_F2_HITO2"/>
    <m/>
    <m/>
  </r>
  <r>
    <x v="58"/>
    <x v="8"/>
    <x v="1"/>
    <x v="0"/>
    <s v="TOTAL"/>
    <n v="114226570.25263992"/>
    <x v="3"/>
    <s v="PAGO_F2_HITO2"/>
    <m/>
    <m/>
  </r>
  <r>
    <x v="58"/>
    <x v="9"/>
    <x v="1"/>
    <x v="0"/>
    <s v="TOTAL"/>
    <n v="53879978.335039929"/>
    <x v="3"/>
    <s v="PAGO_F2_HITO2"/>
    <m/>
    <m/>
  </r>
  <r>
    <x v="58"/>
    <x v="10"/>
    <x v="1"/>
    <x v="0"/>
    <s v="TOTAL"/>
    <n v="85239627.54719995"/>
    <x v="3"/>
    <s v="PAGO_F2_HITO2"/>
    <m/>
    <m/>
  </r>
  <r>
    <x v="58"/>
    <x v="11"/>
    <x v="1"/>
    <x v="0"/>
    <s v="TOTAL"/>
    <n v="110595086.29968001"/>
    <x v="3"/>
    <s v="PAGO_F2_HITO2"/>
    <m/>
    <m/>
  </r>
  <r>
    <x v="58"/>
    <x v="5"/>
    <x v="1"/>
    <x v="0"/>
    <s v="TOTAL"/>
    <n v="0"/>
    <x v="3"/>
    <s v="PAGO_F2_HITO3"/>
    <m/>
    <m/>
  </r>
  <r>
    <x v="58"/>
    <x v="6"/>
    <x v="1"/>
    <x v="0"/>
    <s v="TOTAL"/>
    <n v="3962699.4240000038"/>
    <x v="3"/>
    <s v="PAGO_F2_HITO3"/>
    <m/>
    <m/>
  </r>
  <r>
    <x v="58"/>
    <x v="7"/>
    <x v="1"/>
    <x v="0"/>
    <s v="TOTAL"/>
    <n v="8071950.5331200017"/>
    <x v="3"/>
    <s v="PAGO_F2_HITO3"/>
    <m/>
    <m/>
  </r>
  <r>
    <x v="58"/>
    <x v="8"/>
    <x v="1"/>
    <x v="0"/>
    <s v="TOTAL"/>
    <n v="9764388.1836799979"/>
    <x v="3"/>
    <s v="PAGO_F2_HITO3"/>
    <m/>
    <m/>
  </r>
  <r>
    <x v="58"/>
    <x v="9"/>
    <x v="1"/>
    <x v="0"/>
    <s v="TOTAL"/>
    <n v="7394570.1068800036"/>
    <x v="3"/>
    <s v="PAGO_F2_HITO3"/>
    <m/>
    <m/>
  </r>
  <r>
    <x v="58"/>
    <x v="10"/>
    <x v="1"/>
    <x v="0"/>
    <s v="TOTAL"/>
    <n v="8309732.8851200044"/>
    <x v="3"/>
    <s v="PAGO_F2_HITO3"/>
    <m/>
    <m/>
  </r>
  <r>
    <x v="58"/>
    <x v="11"/>
    <x v="1"/>
    <x v="0"/>
    <s v="TOTAL"/>
    <n v="6942135.7465600036"/>
    <x v="3"/>
    <s v="PAGO_F2_HITO3"/>
    <m/>
    <m/>
  </r>
  <r>
    <x v="58"/>
    <x v="5"/>
    <x v="1"/>
    <x v="0"/>
    <s v="TOTAL"/>
    <n v="0"/>
    <x v="3"/>
    <s v="PAGO_F2_HITO4"/>
    <m/>
    <m/>
  </r>
  <r>
    <x v="58"/>
    <x v="6"/>
    <x v="1"/>
    <x v="0"/>
    <s v="TOTAL"/>
    <n v="0"/>
    <x v="3"/>
    <s v="PAGO_F2_HITO4"/>
    <m/>
    <m/>
  </r>
  <r>
    <x v="58"/>
    <x v="7"/>
    <x v="1"/>
    <x v="0"/>
    <s v="TOTAL"/>
    <n v="0"/>
    <x v="3"/>
    <s v="PAGO_F2_HITO4"/>
    <m/>
    <m/>
  </r>
  <r>
    <x v="58"/>
    <x v="8"/>
    <x v="1"/>
    <x v="0"/>
    <s v="TOTAL"/>
    <n v="0"/>
    <x v="3"/>
    <s v="PAGO_F2_HITO4"/>
    <m/>
    <m/>
  </r>
  <r>
    <x v="58"/>
    <x v="9"/>
    <x v="1"/>
    <x v="0"/>
    <s v="TOTAL"/>
    <n v="1981349.7120000003"/>
    <x v="3"/>
    <s v="PAGO_F2_HITO4"/>
    <m/>
    <m/>
  </r>
  <r>
    <x v="58"/>
    <x v="10"/>
    <x v="1"/>
    <x v="0"/>
    <s v="TOTAL"/>
    <n v="5742380.5598399974"/>
    <x v="3"/>
    <s v="PAGO_F2_HITO4"/>
    <m/>
    <m/>
  </r>
  <r>
    <x v="58"/>
    <x v="11"/>
    <x v="1"/>
    <x v="0"/>
    <s v="TOTAL"/>
    <n v="13101075.420640001"/>
    <x v="3"/>
    <s v="PAGO_F2_HITO4"/>
    <m/>
    <m/>
  </r>
  <r>
    <x v="58"/>
    <x v="5"/>
    <x v="1"/>
    <x v="0"/>
    <s v="TOTAL"/>
    <n v="0"/>
    <x v="3"/>
    <s v="PAGO_F2_HITO5"/>
    <m/>
    <m/>
  </r>
  <r>
    <x v="58"/>
    <x v="6"/>
    <x v="1"/>
    <x v="0"/>
    <s v="TOTAL"/>
    <n v="0"/>
    <x v="3"/>
    <s v="PAGO_F2_HITO5"/>
    <m/>
    <m/>
  </r>
  <r>
    <x v="58"/>
    <x v="7"/>
    <x v="1"/>
    <x v="0"/>
    <s v="TOTAL"/>
    <n v="0"/>
    <x v="3"/>
    <s v="PAGO_F2_HITO5"/>
    <m/>
    <m/>
  </r>
  <r>
    <x v="58"/>
    <x v="8"/>
    <x v="1"/>
    <x v="0"/>
    <s v="TOTAL"/>
    <n v="0"/>
    <x v="3"/>
    <s v="PAGO_F2_HITO5"/>
    <m/>
    <m/>
  </r>
  <r>
    <x v="58"/>
    <x v="9"/>
    <x v="1"/>
    <x v="0"/>
    <s v="TOTAL"/>
    <n v="0"/>
    <x v="3"/>
    <s v="PAGO_F2_HITO5"/>
    <m/>
    <m/>
  </r>
  <r>
    <x v="58"/>
    <x v="10"/>
    <x v="1"/>
    <x v="0"/>
    <s v="TOTAL"/>
    <n v="851980.37615999999"/>
    <x v="3"/>
    <s v="PAGO_F2_HITO5"/>
    <m/>
    <m/>
  </r>
  <r>
    <x v="58"/>
    <x v="11"/>
    <x v="1"/>
    <x v="0"/>
    <s v="TOTAL"/>
    <n v="1135973.83488"/>
    <x v="3"/>
    <s v="PAGO_F2_HITO5"/>
    <m/>
    <m/>
  </r>
  <r>
    <x v="58"/>
    <x v="5"/>
    <x v="2"/>
    <x v="0"/>
    <s v="TOTAL"/>
    <n v="100412415.69184017"/>
    <x v="3"/>
    <s v="VALOR.INICIAL.F1"/>
    <m/>
    <m/>
  </r>
  <r>
    <x v="58"/>
    <x v="6"/>
    <x v="2"/>
    <x v="0"/>
    <s v="TOTAL"/>
    <n v="80851657.317760006"/>
    <x v="3"/>
    <s v="VALOR.INICIAL.F1"/>
    <m/>
    <m/>
  </r>
  <r>
    <x v="58"/>
    <x v="7"/>
    <x v="2"/>
    <x v="0"/>
    <s v="TOTAL"/>
    <n v="90607045.108879998"/>
    <x v="3"/>
    <s v="VALOR.INICIAL.F1"/>
    <m/>
    <m/>
  </r>
  <r>
    <x v="58"/>
    <x v="8"/>
    <x v="2"/>
    <x v="0"/>
    <s v="TOTAL"/>
    <n v="32269325.98776"/>
    <x v="3"/>
    <s v="VALOR.INICIAL.F1"/>
    <m/>
    <m/>
  </r>
  <r>
    <x v="58"/>
    <x v="9"/>
    <x v="2"/>
    <x v="0"/>
    <s v="TOTAL"/>
    <n v="96569065.448880002"/>
    <x v="3"/>
    <s v="VALOR.INICIAL.F1"/>
    <m/>
    <m/>
  </r>
  <r>
    <x v="58"/>
    <x v="10"/>
    <x v="2"/>
    <x v="0"/>
    <s v="TOTAL"/>
    <n v="30889039.550000001"/>
    <x v="3"/>
    <s v="VALOR.INICIAL.F1"/>
    <m/>
    <m/>
  </r>
  <r>
    <x v="58"/>
    <x v="11"/>
    <x v="2"/>
    <x v="0"/>
    <s v="TOTAL"/>
    <n v="31992375.489440002"/>
    <x v="3"/>
    <s v="VALOR.INICIAL.F1"/>
    <m/>
    <m/>
  </r>
  <r>
    <x v="58"/>
    <x v="5"/>
    <x v="2"/>
    <x v="0"/>
    <s v="TOTAL"/>
    <n v="23112411.520000033"/>
    <x v="3"/>
    <s v="PAGO_F2_HITO1"/>
    <m/>
    <m/>
  </r>
  <r>
    <x v="58"/>
    <x v="6"/>
    <x v="2"/>
    <x v="0"/>
    <s v="TOTAL"/>
    <n v="8029539.8339200029"/>
    <x v="3"/>
    <s v="PAGO_F2_HITO1"/>
    <m/>
    <m/>
  </r>
  <r>
    <x v="58"/>
    <x v="7"/>
    <x v="2"/>
    <x v="0"/>
    <s v="TOTAL"/>
    <n v="73411687.785920009"/>
    <x v="3"/>
    <s v="PAGO_F2_HITO1"/>
    <m/>
    <m/>
  </r>
  <r>
    <x v="58"/>
    <x v="8"/>
    <x v="2"/>
    <x v="0"/>
    <s v="TOTAL"/>
    <n v="55864216.662319943"/>
    <x v="3"/>
    <s v="PAGO_F2_HITO1"/>
    <m/>
    <m/>
  </r>
  <r>
    <x v="58"/>
    <x v="9"/>
    <x v="2"/>
    <x v="0"/>
    <s v="TOTAL"/>
    <n v="55777243.928560019"/>
    <x v="3"/>
    <s v="PAGO_F2_HITO1"/>
    <m/>
    <m/>
  </r>
  <r>
    <x v="58"/>
    <x v="10"/>
    <x v="2"/>
    <x v="0"/>
    <s v="TOTAL"/>
    <n v="68993499.74440001"/>
    <x v="3"/>
    <s v="PAGO_F2_HITO1"/>
    <m/>
    <m/>
  </r>
  <r>
    <x v="58"/>
    <x v="11"/>
    <x v="2"/>
    <x v="0"/>
    <s v="TOTAL"/>
    <n v="57631282.712079979"/>
    <x v="3"/>
    <s v="PAGO_F2_HITO1"/>
    <m/>
    <m/>
  </r>
  <r>
    <x v="58"/>
    <x v="5"/>
    <x v="2"/>
    <x v="0"/>
    <s v="TOTAL"/>
    <n v="160340221.23119998"/>
    <x v="3"/>
    <s v="PAGO_F2_HITO2"/>
    <m/>
    <m/>
  </r>
  <r>
    <x v="58"/>
    <x v="6"/>
    <x v="2"/>
    <x v="0"/>
    <s v="TOTAL"/>
    <n v="54078546.226079941"/>
    <x v="3"/>
    <s v="PAGO_F2_HITO2"/>
    <m/>
    <m/>
  </r>
  <r>
    <x v="58"/>
    <x v="7"/>
    <x v="2"/>
    <x v="0"/>
    <s v="TOTAL"/>
    <n v="29703160.83248001"/>
    <x v="3"/>
    <s v="PAGO_F2_HITO2"/>
    <m/>
    <m/>
  </r>
  <r>
    <x v="58"/>
    <x v="8"/>
    <x v="2"/>
    <x v="0"/>
    <s v="TOTAL"/>
    <n v="94155827.829599947"/>
    <x v="3"/>
    <s v="PAGO_F2_HITO2"/>
    <m/>
    <m/>
  </r>
  <r>
    <x v="58"/>
    <x v="9"/>
    <x v="2"/>
    <x v="0"/>
    <s v="TOTAL"/>
    <n v="40081342.919199973"/>
    <x v="3"/>
    <s v="PAGO_F2_HITO2"/>
    <m/>
    <m/>
  </r>
  <r>
    <x v="58"/>
    <x v="10"/>
    <x v="2"/>
    <x v="0"/>
    <s v="TOTAL"/>
    <n v="65796095.824879982"/>
    <x v="3"/>
    <s v="PAGO_F2_HITO2"/>
    <m/>
    <m/>
  </r>
  <r>
    <x v="58"/>
    <x v="11"/>
    <x v="2"/>
    <x v="0"/>
    <s v="TOTAL"/>
    <n v="110595086.29968001"/>
    <x v="3"/>
    <s v="PAGO_F2_HITO2"/>
    <m/>
    <m/>
  </r>
  <r>
    <x v="58"/>
    <x v="5"/>
    <x v="2"/>
    <x v="0"/>
    <s v="TOTAL"/>
    <n v="0"/>
    <x v="3"/>
    <s v="PAGO_F2_HITO3"/>
    <m/>
    <m/>
  </r>
  <r>
    <x v="58"/>
    <x v="6"/>
    <x v="2"/>
    <x v="0"/>
    <s v="TOTAL"/>
    <n v="0"/>
    <x v="3"/>
    <s v="PAGO_F2_HITO3"/>
    <m/>
    <m/>
  </r>
  <r>
    <x v="58"/>
    <x v="7"/>
    <x v="2"/>
    <x v="0"/>
    <s v="TOTAL"/>
    <n v="888362.62592000025"/>
    <x v="3"/>
    <s v="PAGO_F2_HITO3"/>
    <m/>
    <m/>
  </r>
  <r>
    <x v="58"/>
    <x v="8"/>
    <x v="2"/>
    <x v="0"/>
    <s v="TOTAL"/>
    <n v="2337796.3840000019"/>
    <x v="3"/>
    <s v="PAGO_F2_HITO3"/>
    <m/>
    <m/>
  </r>
  <r>
    <x v="58"/>
    <x v="9"/>
    <x v="2"/>
    <x v="0"/>
    <s v="TOTAL"/>
    <n v="522998.0294399999"/>
    <x v="3"/>
    <s v="PAGO_F2_HITO3"/>
    <m/>
    <m/>
  </r>
  <r>
    <x v="58"/>
    <x v="10"/>
    <x v="2"/>
    <x v="0"/>
    <s v="TOTAL"/>
    <n v="1007548.8204800002"/>
    <x v="3"/>
    <s v="PAGO_F2_HITO3"/>
    <m/>
    <m/>
  </r>
  <r>
    <x v="58"/>
    <x v="11"/>
    <x v="2"/>
    <x v="0"/>
    <s v="TOTAL"/>
    <n v="1710956.1216000002"/>
    <x v="3"/>
    <s v="PAGO_F2_HITO3"/>
    <m/>
    <m/>
  </r>
  <r>
    <x v="58"/>
    <x v="5"/>
    <x v="2"/>
    <x v="0"/>
    <s v="TOTAL"/>
    <n v="0"/>
    <x v="3"/>
    <s v="PAGO_F2_HITO4"/>
    <m/>
    <m/>
  </r>
  <r>
    <x v="58"/>
    <x v="6"/>
    <x v="2"/>
    <x v="0"/>
    <s v="TOTAL"/>
    <n v="0"/>
    <x v="3"/>
    <s v="PAGO_F2_HITO4"/>
    <m/>
    <m/>
  </r>
  <r>
    <x v="58"/>
    <x v="7"/>
    <x v="2"/>
    <x v="0"/>
    <s v="TOTAL"/>
    <n v="0"/>
    <x v="3"/>
    <s v="PAGO_F2_HITO4"/>
    <m/>
    <m/>
  </r>
  <r>
    <x v="58"/>
    <x v="8"/>
    <x v="2"/>
    <x v="0"/>
    <s v="TOTAL"/>
    <n v="0"/>
    <x v="3"/>
    <s v="PAGO_F2_HITO4"/>
    <m/>
    <m/>
  </r>
  <r>
    <x v="58"/>
    <x v="9"/>
    <x v="2"/>
    <x v="0"/>
    <s v="TOTAL"/>
    <n v="0"/>
    <x v="3"/>
    <s v="PAGO_F2_HITO4"/>
    <m/>
    <m/>
  </r>
  <r>
    <x v="58"/>
    <x v="10"/>
    <x v="2"/>
    <x v="0"/>
    <s v="TOTAL"/>
    <n v="789006.27984000009"/>
    <x v="3"/>
    <s v="PAGO_F2_HITO4"/>
    <m/>
    <m/>
  </r>
  <r>
    <x v="58"/>
    <x v="11"/>
    <x v="2"/>
    <x v="0"/>
    <s v="TOTAL"/>
    <n v="3359850.3675199989"/>
    <x v="3"/>
    <s v="PAGO_F2_HITO4"/>
    <m/>
    <m/>
  </r>
  <r>
    <x v="58"/>
    <x v="0"/>
    <x v="2"/>
    <x v="0"/>
    <s v="TOTAL"/>
    <m/>
    <x v="3"/>
    <s v="PENDIENTES RECIBIR FASE 1"/>
    <m/>
    <m/>
  </r>
  <r>
    <x v="58"/>
    <x v="1"/>
    <x v="2"/>
    <x v="0"/>
    <s v="TOTAL"/>
    <n v="446995.64"/>
    <x v="3"/>
    <s v="PENDIENTES RECIBIR FASE 1"/>
    <m/>
    <m/>
  </r>
  <r>
    <x v="58"/>
    <x v="2"/>
    <x v="2"/>
    <x v="0"/>
    <s v="TOTAL"/>
    <n v="26419973.910000008"/>
    <x v="3"/>
    <s v="PENDIENTES RECIBIR FASE 1"/>
    <m/>
    <m/>
  </r>
  <r>
    <x v="58"/>
    <x v="3"/>
    <x v="2"/>
    <x v="0"/>
    <s v="TOTAL"/>
    <n v="125966721.60000004"/>
    <x v="3"/>
    <s v="PENDIENTES RECIBIR FASE 1"/>
    <m/>
    <m/>
  </r>
  <r>
    <x v="58"/>
    <x v="4"/>
    <x v="2"/>
    <x v="0"/>
    <s v="TOTAL"/>
    <n v="160006208.73000008"/>
    <x v="3"/>
    <s v="PENDIENTES RECIBIR FASE 1"/>
    <m/>
    <m/>
  </r>
  <r>
    <x v="58"/>
    <x v="0"/>
    <x v="2"/>
    <x v="0"/>
    <s v="TOTAL"/>
    <n v="13105734.300000001"/>
    <x v="3"/>
    <s v="PENDIENTES TRÁMITE F1"/>
    <m/>
    <m/>
  </r>
  <r>
    <x v="58"/>
    <x v="1"/>
    <x v="2"/>
    <x v="0"/>
    <s v="TOTAL"/>
    <n v="39244878.899999999"/>
    <x v="3"/>
    <s v="PENDIENTES TRÁMITE F1"/>
    <m/>
    <m/>
  </r>
  <r>
    <x v="58"/>
    <x v="2"/>
    <x v="2"/>
    <x v="0"/>
    <s v="TOTAL"/>
    <m/>
    <x v="3"/>
    <s v="PENDIENTES TRÁMITE F1"/>
    <m/>
    <m/>
  </r>
  <r>
    <x v="58"/>
    <x v="3"/>
    <x v="2"/>
    <x v="0"/>
    <s v="TOTAL"/>
    <n v="50902097.400000006"/>
    <x v="3"/>
    <s v="PENDIENTES TRÁMITE F1"/>
    <m/>
    <m/>
  </r>
  <r>
    <x v="58"/>
    <x v="4"/>
    <x v="2"/>
    <x v="0"/>
    <s v="TOTAL"/>
    <m/>
    <x v="3"/>
    <s v="PENDIENTES TRÁMITE F1"/>
    <m/>
    <m/>
  </r>
  <r>
    <x v="58"/>
    <x v="0"/>
    <x v="2"/>
    <x v="0"/>
    <s v="TOTAL"/>
    <n v="0"/>
    <x v="3"/>
    <s v="RECIBIDOS FASE 2"/>
    <m/>
    <m/>
  </r>
  <r>
    <x v="58"/>
    <x v="1"/>
    <x v="2"/>
    <x v="0"/>
    <s v="TOTAL"/>
    <n v="0"/>
    <x v="3"/>
    <s v="RECIBIDOS FASE 2"/>
    <m/>
    <m/>
  </r>
  <r>
    <x v="58"/>
    <x v="2"/>
    <x v="2"/>
    <x v="0"/>
    <s v="TOTAL"/>
    <n v="0"/>
    <x v="3"/>
    <s v="RECIBIDOS FASE 2"/>
    <m/>
    <m/>
  </r>
  <r>
    <x v="58"/>
    <x v="3"/>
    <x v="2"/>
    <x v="0"/>
    <s v="TOTAL"/>
    <n v="0"/>
    <x v="3"/>
    <s v="RECIBIDOS FASE 2"/>
    <m/>
    <m/>
  </r>
  <r>
    <x v="58"/>
    <x v="4"/>
    <x v="2"/>
    <x v="0"/>
    <s v="TOTAL"/>
    <n v="0"/>
    <x v="3"/>
    <s v="RECIBIDOS FASE 2"/>
    <m/>
    <m/>
  </r>
  <r>
    <x v="58"/>
    <x v="0"/>
    <x v="2"/>
    <x v="0"/>
    <s v="TOTAL"/>
    <n v="0"/>
    <x v="3"/>
    <s v="RECIBIDOS FASE 2"/>
    <m/>
    <m/>
  </r>
  <r>
    <x v="58"/>
    <x v="1"/>
    <x v="2"/>
    <x v="0"/>
    <s v="TOTAL"/>
    <n v="0"/>
    <x v="3"/>
    <s v="RECIBIDOS FASE 2"/>
    <m/>
    <m/>
  </r>
  <r>
    <x v="58"/>
    <x v="2"/>
    <x v="2"/>
    <x v="0"/>
    <s v="TOTAL"/>
    <n v="440227603"/>
    <x v="3"/>
    <s v="RECIBIDOS FASE 2"/>
    <m/>
    <m/>
  </r>
  <r>
    <x v="58"/>
    <x v="3"/>
    <x v="2"/>
    <x v="0"/>
    <s v="TOTAL"/>
    <n v="100817841"/>
    <x v="3"/>
    <s v="RECIBIDOS FASE 2"/>
    <m/>
    <m/>
  </r>
  <r>
    <x v="58"/>
    <x v="4"/>
    <x v="2"/>
    <x v="0"/>
    <s v="TOTAL"/>
    <n v="32080408"/>
    <x v="3"/>
    <s v="RECIBIDOS FASE 2"/>
    <m/>
    <m/>
  </r>
  <r>
    <x v="58"/>
    <x v="0"/>
    <x v="2"/>
    <x v="0"/>
    <s v="TOTAL"/>
    <n v="0"/>
    <x v="3"/>
    <s v="PENDIENTES DE RECIBIR DISEÑOS FASE 2"/>
    <m/>
    <m/>
  </r>
  <r>
    <x v="58"/>
    <x v="1"/>
    <x v="2"/>
    <x v="0"/>
    <s v="TOTAL"/>
    <n v="0"/>
    <x v="3"/>
    <s v="PENDIENTES DE RECIBIR DISEÑOS FASE 2"/>
    <m/>
    <m/>
  </r>
  <r>
    <x v="58"/>
    <x v="2"/>
    <x v="2"/>
    <x v="0"/>
    <s v="TOTAL"/>
    <n v="0"/>
    <x v="3"/>
    <s v="PENDIENTES DE RECIBIR DISEÑOS FASE 2"/>
    <m/>
    <m/>
  </r>
  <r>
    <x v="58"/>
    <x v="3"/>
    <x v="2"/>
    <x v="0"/>
    <s v="TOTAL"/>
    <n v="71323"/>
    <x v="3"/>
    <s v="PENDIENTES DE RECIBIR DISEÑOS FASE 2"/>
    <m/>
    <m/>
  </r>
  <r>
    <x v="58"/>
    <x v="4"/>
    <x v="2"/>
    <x v="0"/>
    <s v="TOTAL"/>
    <n v="1238794"/>
    <x v="3"/>
    <s v="PENDIENTES DE RECIBIR DISEÑOS FASE 2"/>
    <m/>
    <m/>
  </r>
  <r>
    <x v="58"/>
    <x v="0"/>
    <x v="2"/>
    <x v="0"/>
    <s v="TOTAL"/>
    <n v="0"/>
    <x v="3"/>
    <s v="PENDIENTES DE RECIBIR DISEÑOS FASE 2"/>
    <m/>
    <m/>
  </r>
  <r>
    <x v="58"/>
    <x v="1"/>
    <x v="2"/>
    <x v="0"/>
    <s v="TOTAL"/>
    <n v="0"/>
    <x v="3"/>
    <s v="PENDIENTES DE RECIBIR DISEÑOS FASE 2"/>
    <m/>
    <m/>
  </r>
  <r>
    <x v="58"/>
    <x v="2"/>
    <x v="2"/>
    <x v="0"/>
    <s v="TOTAL"/>
    <n v="0"/>
    <x v="3"/>
    <s v="PENDIENTES DE RECIBIR DISEÑOS FASE 2"/>
    <m/>
    <m/>
  </r>
  <r>
    <x v="58"/>
    <x v="3"/>
    <x v="2"/>
    <x v="0"/>
    <s v="TOTAL"/>
    <n v="0"/>
    <x v="3"/>
    <s v="PENDIENTES DE RECIBIR DISEÑOS FASE 2"/>
    <m/>
    <m/>
  </r>
  <r>
    <x v="58"/>
    <x v="4"/>
    <x v="2"/>
    <x v="0"/>
    <s v="TOTAL"/>
    <n v="0"/>
    <x v="3"/>
    <s v="PENDIENTES DE RECIBIR DISEÑOS FASE 2"/>
    <m/>
    <m/>
  </r>
  <r>
    <x v="58"/>
    <x v="0"/>
    <x v="1"/>
    <x v="0"/>
    <s v="TOTAL"/>
    <m/>
    <x v="3"/>
    <s v="PENDIENTES RECIBIR FASE 1"/>
    <m/>
    <m/>
  </r>
  <r>
    <x v="58"/>
    <x v="1"/>
    <x v="1"/>
    <x v="0"/>
    <s v="TOTAL"/>
    <n v="446995.64"/>
    <x v="3"/>
    <s v="PENDIENTES RECIBIR FASE 1"/>
    <m/>
    <m/>
  </r>
  <r>
    <x v="58"/>
    <x v="2"/>
    <x v="1"/>
    <x v="0"/>
    <s v="TOTAL"/>
    <n v="26419973.910000008"/>
    <x v="3"/>
    <s v="PENDIENTES RECIBIR FASE 1"/>
    <m/>
    <m/>
  </r>
  <r>
    <x v="58"/>
    <x v="3"/>
    <x v="1"/>
    <x v="0"/>
    <s v="TOTAL"/>
    <n v="125966721.60000004"/>
    <x v="3"/>
    <s v="PENDIENTES RECIBIR FASE 1"/>
    <m/>
    <m/>
  </r>
  <r>
    <x v="58"/>
    <x v="4"/>
    <x v="1"/>
    <x v="0"/>
    <s v="TOTAL"/>
    <n v="160006208.73000008"/>
    <x v="3"/>
    <s v="PENDIENTES RECIBIR FASE 1"/>
    <m/>
    <m/>
  </r>
  <r>
    <x v="58"/>
    <x v="0"/>
    <x v="1"/>
    <x v="0"/>
    <s v="TOTAL"/>
    <n v="13105734.300000001"/>
    <x v="3"/>
    <s v="PENDIENTES TRÁMITE F1"/>
    <m/>
    <m/>
  </r>
  <r>
    <x v="58"/>
    <x v="1"/>
    <x v="1"/>
    <x v="0"/>
    <s v="TOTAL"/>
    <n v="39244878.899999999"/>
    <x v="3"/>
    <s v="PENDIENTES TRÁMITE F1"/>
    <m/>
    <m/>
  </r>
  <r>
    <x v="58"/>
    <x v="2"/>
    <x v="1"/>
    <x v="0"/>
    <s v="TOTAL"/>
    <m/>
    <x v="3"/>
    <s v="PENDIENTES TRÁMITE F1"/>
    <m/>
    <m/>
  </r>
  <r>
    <x v="58"/>
    <x v="3"/>
    <x v="1"/>
    <x v="0"/>
    <s v="TOTAL"/>
    <n v="50902097.400000006"/>
    <x v="3"/>
    <s v="PENDIENTES TRÁMITE F1"/>
    <m/>
    <m/>
  </r>
  <r>
    <x v="58"/>
    <x v="4"/>
    <x v="1"/>
    <x v="0"/>
    <s v="TOTAL"/>
    <m/>
    <x v="3"/>
    <s v="PENDIENTES TRÁMITE F1"/>
    <m/>
    <m/>
  </r>
  <r>
    <x v="58"/>
    <x v="0"/>
    <x v="1"/>
    <x v="0"/>
    <s v="TOTAL"/>
    <n v="0"/>
    <x v="3"/>
    <s v="RECIBIDOS FASE 2"/>
    <m/>
    <m/>
  </r>
  <r>
    <x v="58"/>
    <x v="1"/>
    <x v="1"/>
    <x v="0"/>
    <s v="TOTAL"/>
    <n v="0"/>
    <x v="3"/>
    <s v="RECIBIDOS FASE 2"/>
    <m/>
    <m/>
  </r>
  <r>
    <x v="58"/>
    <x v="2"/>
    <x v="1"/>
    <x v="0"/>
    <s v="TOTAL"/>
    <n v="0"/>
    <x v="3"/>
    <s v="RECIBIDOS FASE 2"/>
    <m/>
    <m/>
  </r>
  <r>
    <x v="58"/>
    <x v="3"/>
    <x v="1"/>
    <x v="0"/>
    <s v="TOTAL"/>
    <n v="0"/>
    <x v="3"/>
    <s v="RECIBIDOS FASE 2"/>
    <m/>
    <m/>
  </r>
  <r>
    <x v="58"/>
    <x v="4"/>
    <x v="1"/>
    <x v="0"/>
    <s v="TOTAL"/>
    <n v="0"/>
    <x v="3"/>
    <s v="RECIBIDOS FASE 2"/>
    <m/>
    <m/>
  </r>
  <r>
    <x v="58"/>
    <x v="0"/>
    <x v="1"/>
    <x v="0"/>
    <s v="TOTAL"/>
    <n v="0"/>
    <x v="3"/>
    <s v="RECIBIDOS FASE 2"/>
    <m/>
    <m/>
  </r>
  <r>
    <x v="58"/>
    <x v="1"/>
    <x v="1"/>
    <x v="0"/>
    <s v="TOTAL"/>
    <n v="0"/>
    <x v="3"/>
    <s v="RECIBIDOS FASE 2"/>
    <m/>
    <m/>
  </r>
  <r>
    <x v="58"/>
    <x v="2"/>
    <x v="1"/>
    <x v="0"/>
    <s v="TOTAL"/>
    <n v="440227603"/>
    <x v="3"/>
    <s v="RECIBIDOS FASE 2"/>
    <m/>
    <m/>
  </r>
  <r>
    <x v="58"/>
    <x v="3"/>
    <x v="1"/>
    <x v="0"/>
    <s v="TOTAL"/>
    <n v="100817841"/>
    <x v="3"/>
    <s v="RECIBIDOS FASE 2"/>
    <m/>
    <m/>
  </r>
  <r>
    <x v="58"/>
    <x v="4"/>
    <x v="1"/>
    <x v="0"/>
    <s v="TOTAL"/>
    <n v="32080408"/>
    <x v="3"/>
    <s v="RECIBIDOS FASE 2"/>
    <m/>
    <m/>
  </r>
  <r>
    <x v="58"/>
    <x v="0"/>
    <x v="1"/>
    <x v="0"/>
    <s v="TOTAL"/>
    <n v="0"/>
    <x v="3"/>
    <s v="PENDIENTES DE RECIBIR DISEÑOS FASE 2"/>
    <m/>
    <m/>
  </r>
  <r>
    <x v="58"/>
    <x v="1"/>
    <x v="1"/>
    <x v="0"/>
    <s v="TOTAL"/>
    <n v="0"/>
    <x v="3"/>
    <s v="PENDIENTES DE RECIBIR DISEÑOS FASE 2"/>
    <m/>
    <m/>
  </r>
  <r>
    <x v="58"/>
    <x v="2"/>
    <x v="1"/>
    <x v="0"/>
    <s v="TOTAL"/>
    <n v="0"/>
    <x v="3"/>
    <s v="PENDIENTES DE RECIBIR DISEÑOS FASE 2"/>
    <m/>
    <m/>
  </r>
  <r>
    <x v="58"/>
    <x v="3"/>
    <x v="1"/>
    <x v="0"/>
    <s v="TOTAL"/>
    <n v="71323"/>
    <x v="3"/>
    <s v="PENDIENTES DE RECIBIR DISEÑOS FASE 2"/>
    <m/>
    <m/>
  </r>
  <r>
    <x v="58"/>
    <x v="4"/>
    <x v="1"/>
    <x v="0"/>
    <s v="TOTAL"/>
    <n v="1238794"/>
    <x v="3"/>
    <s v="PENDIENTES DE RECIBIR DISEÑOS FASE 2"/>
    <m/>
    <m/>
  </r>
  <r>
    <x v="58"/>
    <x v="0"/>
    <x v="1"/>
    <x v="0"/>
    <s v="TOTAL"/>
    <n v="0"/>
    <x v="3"/>
    <s v="PENDIENTES DE RECIBIR DISEÑOS FASE 2"/>
    <m/>
    <m/>
  </r>
  <r>
    <x v="58"/>
    <x v="1"/>
    <x v="1"/>
    <x v="0"/>
    <s v="TOTAL"/>
    <n v="0"/>
    <x v="3"/>
    <s v="PENDIENTES DE RECIBIR DISEÑOS FASE 2"/>
    <m/>
    <m/>
  </r>
  <r>
    <x v="58"/>
    <x v="2"/>
    <x v="1"/>
    <x v="0"/>
    <s v="TOTAL"/>
    <n v="0"/>
    <x v="3"/>
    <s v="PENDIENTES DE RECIBIR DISEÑOS FASE 2"/>
    <m/>
    <m/>
  </r>
  <r>
    <x v="58"/>
    <x v="3"/>
    <x v="1"/>
    <x v="0"/>
    <s v="TOTAL"/>
    <n v="0"/>
    <x v="3"/>
    <s v="PENDIENTES DE RECIBIR DISEÑOS FASE 2"/>
    <m/>
    <m/>
  </r>
  <r>
    <x v="58"/>
    <x v="4"/>
    <x v="1"/>
    <x v="0"/>
    <s v="TOTAL"/>
    <n v="0"/>
    <x v="3"/>
    <s v="PENDIENTES DE RECIBIR DISEÑOS FASE 2"/>
    <m/>
    <m/>
  </r>
  <r>
    <x v="59"/>
    <x v="0"/>
    <x v="0"/>
    <x v="0"/>
    <s v="TOTAL"/>
    <n v="57276497"/>
    <x v="0"/>
    <s v="CONTRACTUAL"/>
    <s v="SE AGREGA MANUALMENTE"/>
    <m/>
  </r>
  <r>
    <x v="59"/>
    <x v="1"/>
    <x v="0"/>
    <x v="0"/>
    <s v="TOTAL"/>
    <n v="57276497"/>
    <x v="0"/>
    <s v="CONTRACTUAL"/>
    <s v="SE AGREGA MANUALMENTE"/>
    <m/>
  </r>
  <r>
    <x v="59"/>
    <x v="2"/>
    <x v="0"/>
    <x v="0"/>
    <s v="TOTAL"/>
    <n v="57276497"/>
    <x v="0"/>
    <s v="CONTRACTUAL"/>
    <s v="SE AGREGA MANUALMENTE"/>
    <m/>
  </r>
  <r>
    <x v="59"/>
    <x v="3"/>
    <x v="0"/>
    <x v="0"/>
    <s v="TOTAL"/>
    <n v="57276497"/>
    <x v="0"/>
    <s v="CONTRACTUAL"/>
    <s v="SE AGREGA MANUALMENTE"/>
    <m/>
  </r>
  <r>
    <x v="59"/>
    <x v="4"/>
    <x v="0"/>
    <x v="0"/>
    <s v="TOTAL"/>
    <n v="57276497"/>
    <x v="0"/>
    <s v="CONTRACTUAL"/>
    <s v="SE AGREGA MANUALMENTE"/>
    <m/>
  </r>
  <r>
    <x v="59"/>
    <x v="5"/>
    <x v="0"/>
    <x v="0"/>
    <s v="TOTAL"/>
    <n v="57276497"/>
    <x v="0"/>
    <s v="CONTRACTUAL"/>
    <s v="SE AGREGA MANUALMENTE"/>
    <m/>
  </r>
  <r>
    <x v="59"/>
    <x v="6"/>
    <x v="0"/>
    <x v="0"/>
    <s v="TOTAL"/>
    <n v="57276497"/>
    <x v="0"/>
    <s v="CONTRACTUAL"/>
    <s v="SE AGREGA MANUALMENTE"/>
    <m/>
  </r>
  <r>
    <x v="59"/>
    <x v="7"/>
    <x v="0"/>
    <x v="0"/>
    <s v="TOTAL"/>
    <n v="57276497"/>
    <x v="0"/>
    <s v="CONTRACTUAL"/>
    <s v="SE AGREGA MANUALMENTE"/>
    <m/>
  </r>
  <r>
    <x v="59"/>
    <x v="8"/>
    <x v="0"/>
    <x v="0"/>
    <s v="TOTAL"/>
    <n v="57276497"/>
    <x v="0"/>
    <s v="CONTRACTUAL"/>
    <s v="SE AGREGA MANUALMENTE"/>
    <m/>
  </r>
  <r>
    <x v="59"/>
    <x v="9"/>
    <x v="0"/>
    <x v="0"/>
    <s v="TOTAL"/>
    <n v="57276497"/>
    <x v="0"/>
    <s v="CONTRACTUAL"/>
    <s v="SE AGREGA MANUALMENTE"/>
    <m/>
  </r>
  <r>
    <x v="59"/>
    <x v="10"/>
    <x v="0"/>
    <x v="0"/>
    <s v="TOTAL"/>
    <n v="57276497"/>
    <x v="0"/>
    <s v="CONTRACTUAL"/>
    <s v="SE AGREGA MANUALMENTE"/>
    <m/>
  </r>
  <r>
    <x v="59"/>
    <x v="11"/>
    <x v="0"/>
    <x v="0"/>
    <s v="TOTAL"/>
    <n v="57276497"/>
    <x v="0"/>
    <s v="CONTRACTUAL"/>
    <s v="SE AGREGA MANUALMENTE"/>
    <m/>
  </r>
  <r>
    <x v="60"/>
    <x v="0"/>
    <x v="0"/>
    <x v="0"/>
    <s v="TOTAL"/>
    <m/>
    <x v="0"/>
    <s v="CONTRACTUAL"/>
    <s v="SE AGREGA MANUALMENTE"/>
    <m/>
  </r>
  <r>
    <x v="60"/>
    <x v="1"/>
    <x v="0"/>
    <x v="0"/>
    <s v="TOTAL"/>
    <m/>
    <x v="0"/>
    <s v="CONTRACTUAL"/>
    <s v="SE AGREGA MANUALMENTE"/>
    <m/>
  </r>
  <r>
    <x v="60"/>
    <x v="2"/>
    <x v="0"/>
    <x v="0"/>
    <s v="TOTAL"/>
    <m/>
    <x v="0"/>
    <s v="CONTRACTUAL"/>
    <s v="SE AGREGA MANUALMENTE"/>
    <m/>
  </r>
  <r>
    <x v="60"/>
    <x v="3"/>
    <x v="0"/>
    <x v="0"/>
    <s v="TOTAL"/>
    <m/>
    <x v="0"/>
    <s v="CONTRACTUAL"/>
    <s v="SE AGREGA MANUALMENTE"/>
    <m/>
  </r>
  <r>
    <x v="60"/>
    <x v="4"/>
    <x v="0"/>
    <x v="0"/>
    <s v="TOTAL"/>
    <m/>
    <x v="0"/>
    <s v="CONTRACTUAL"/>
    <s v="SE AGREGA MANUALMENTE"/>
    <m/>
  </r>
  <r>
    <x v="60"/>
    <x v="5"/>
    <x v="0"/>
    <x v="0"/>
    <s v="TOTAL"/>
    <m/>
    <x v="0"/>
    <s v="CONTRACTUAL"/>
    <s v="SE AGREGA MANUALMENTE"/>
    <m/>
  </r>
  <r>
    <x v="60"/>
    <x v="6"/>
    <x v="0"/>
    <x v="0"/>
    <s v="TOTAL"/>
    <m/>
    <x v="0"/>
    <s v="CONTRACTUAL"/>
    <s v="SE AGREGA MANUALMENTE"/>
    <m/>
  </r>
  <r>
    <x v="60"/>
    <x v="7"/>
    <x v="0"/>
    <x v="0"/>
    <s v="TOTAL"/>
    <m/>
    <x v="0"/>
    <s v="CONTRACTUAL"/>
    <s v="SE AGREGA MANUALMENTE"/>
    <m/>
  </r>
  <r>
    <x v="60"/>
    <x v="8"/>
    <x v="0"/>
    <x v="0"/>
    <s v="TOTAL"/>
    <m/>
    <x v="0"/>
    <s v="CONTRACTUAL"/>
    <s v="SE AGREGA MANUALMENTE"/>
    <m/>
  </r>
  <r>
    <x v="60"/>
    <x v="9"/>
    <x v="0"/>
    <x v="0"/>
    <s v="TOTAL"/>
    <m/>
    <x v="0"/>
    <s v="CONTRACTUAL"/>
    <s v="SE AGREGA MANUALMENTE"/>
    <m/>
  </r>
  <r>
    <x v="60"/>
    <x v="10"/>
    <x v="0"/>
    <x v="0"/>
    <s v="TOTAL"/>
    <m/>
    <x v="0"/>
    <s v="CONTRACTUAL"/>
    <s v="SE AGREGA MANUALMENTE"/>
    <m/>
  </r>
  <r>
    <x v="60"/>
    <x v="11"/>
    <x v="0"/>
    <x v="0"/>
    <s v="TOTAL"/>
    <m/>
    <x v="0"/>
    <s v="CONTRACTUAL"/>
    <s v="SE AGREGA MANUALMENTE"/>
    <m/>
  </r>
  <r>
    <x v="34"/>
    <x v="2"/>
    <x v="0"/>
    <x v="0"/>
    <s v="COORDINADOR - SUPERVISOR ESTRUCTURAL"/>
    <n v="1778395.5"/>
    <x v="1"/>
    <s v="OTRO SÍ"/>
    <m/>
    <m/>
  </r>
  <r>
    <x v="34"/>
    <x v="3"/>
    <x v="0"/>
    <x v="0"/>
    <s v="COORDINADOR - SUPERVISOR ESTRUCTURAL"/>
    <n v="1778395.5"/>
    <x v="1"/>
    <s v="OTRO SÍ"/>
    <m/>
    <m/>
  </r>
  <r>
    <x v="34"/>
    <x v="4"/>
    <x v="0"/>
    <x v="0"/>
    <s v="COORDINADOR - SUPERVISOR ESTRUCTURAL"/>
    <n v="1778395.5"/>
    <x v="1"/>
    <s v="OTRO SÍ"/>
    <m/>
    <m/>
  </r>
  <r>
    <x v="34"/>
    <x v="5"/>
    <x v="0"/>
    <x v="0"/>
    <s v="COORDINADOR - SUPERVISOR ESTRUCTURAL"/>
    <n v="1778395.5"/>
    <x v="1"/>
    <s v="OTRO SÍ"/>
    <m/>
    <m/>
  </r>
  <r>
    <x v="34"/>
    <x v="2"/>
    <x v="0"/>
    <x v="0"/>
    <s v="DIRECTOR RESIDENTE"/>
    <n v="7426125"/>
    <x v="1"/>
    <s v="OTRO SÍ"/>
    <m/>
    <m/>
  </r>
  <r>
    <x v="34"/>
    <x v="3"/>
    <x v="0"/>
    <x v="0"/>
    <s v="DIRECTOR RESIDENTE"/>
    <n v="7426125"/>
    <x v="1"/>
    <s v="OTRO SÍ"/>
    <m/>
    <m/>
  </r>
  <r>
    <x v="34"/>
    <x v="4"/>
    <x v="0"/>
    <x v="0"/>
    <s v="DIRECTOR RESIDENTE"/>
    <n v="7426125"/>
    <x v="1"/>
    <s v="OTRO SÍ"/>
    <m/>
    <m/>
  </r>
  <r>
    <x v="34"/>
    <x v="5"/>
    <x v="0"/>
    <x v="0"/>
    <s v="DIRECTOR RESIDENTE"/>
    <n v="7426125"/>
    <x v="1"/>
    <s v="OTRO SÍ"/>
    <m/>
    <m/>
  </r>
  <r>
    <x v="34"/>
    <x v="2"/>
    <x v="0"/>
    <x v="0"/>
    <s v="ESPECIALISTA MECANICO"/>
    <n v="964096.875"/>
    <x v="1"/>
    <s v="OTRO SÍ"/>
    <m/>
    <m/>
  </r>
  <r>
    <x v="34"/>
    <x v="2"/>
    <x v="0"/>
    <x v="0"/>
    <s v="INSPECTOR DE OBRA 1"/>
    <n v="3764722.4999999995"/>
    <x v="1"/>
    <s v="OTRO SÍ"/>
    <m/>
    <m/>
  </r>
  <r>
    <x v="34"/>
    <x v="3"/>
    <x v="0"/>
    <x v="0"/>
    <s v="INSPECTOR DE OBRA 1"/>
    <n v="3764722.4999999995"/>
    <x v="1"/>
    <s v="OTRO SÍ"/>
    <m/>
    <m/>
  </r>
  <r>
    <x v="34"/>
    <x v="4"/>
    <x v="0"/>
    <x v="0"/>
    <s v="INSPECTOR DE OBRA 1"/>
    <n v="3764722.4999999995"/>
    <x v="1"/>
    <s v="OTRO SÍ"/>
    <m/>
    <m/>
  </r>
  <r>
    <x v="34"/>
    <x v="5"/>
    <x v="0"/>
    <x v="0"/>
    <s v="INSPECTOR DE OBRA 1"/>
    <n v="3764722.4999999995"/>
    <x v="1"/>
    <s v="OTRO SÍ"/>
    <m/>
    <m/>
  </r>
  <r>
    <x v="34"/>
    <x v="2"/>
    <x v="0"/>
    <x v="0"/>
    <s v="HONORARIOS"/>
    <n v="10500000"/>
    <x v="1"/>
    <s v="OTRO SÍ"/>
    <m/>
    <m/>
  </r>
  <r>
    <x v="34"/>
    <x v="3"/>
    <x v="0"/>
    <x v="0"/>
    <s v="HONORARIOS"/>
    <n v="10500000"/>
    <x v="1"/>
    <s v="OTRO SÍ"/>
    <m/>
    <m/>
  </r>
  <r>
    <x v="34"/>
    <x v="4"/>
    <x v="0"/>
    <x v="0"/>
    <s v="HONORARIOS"/>
    <n v="10500000"/>
    <x v="1"/>
    <s v="OTRO SÍ"/>
    <m/>
    <m/>
  </r>
  <r>
    <x v="34"/>
    <x v="5"/>
    <x v="0"/>
    <x v="0"/>
    <s v="HONORARIOS"/>
    <n v="10500000"/>
    <x v="1"/>
    <s v="OTRO SÍ"/>
    <m/>
    <m/>
  </r>
  <r>
    <x v="60"/>
    <x v="0"/>
    <x v="0"/>
    <x v="1"/>
    <s v="TOTAL"/>
    <n v="0"/>
    <x v="4"/>
    <s v="NUEVOS"/>
    <m/>
    <m/>
  </r>
  <r>
    <x v="60"/>
    <x v="1"/>
    <x v="0"/>
    <x v="1"/>
    <s v="TOTAL"/>
    <n v="65380491.681576155"/>
    <x v="4"/>
    <s v="NUEVOS"/>
    <m/>
    <m/>
  </r>
  <r>
    <x v="60"/>
    <x v="2"/>
    <x v="0"/>
    <x v="1"/>
    <s v="TOTAL"/>
    <n v="237933985.8693701"/>
    <x v="4"/>
    <s v="NUEVOS"/>
    <m/>
    <m/>
  </r>
  <r>
    <x v="60"/>
    <x v="3"/>
    <x v="0"/>
    <x v="1"/>
    <s v="TOTAL"/>
    <n v="450459612.7334311"/>
    <x v="4"/>
    <s v="NUEVOS"/>
    <m/>
    <m/>
  </r>
  <r>
    <x v="60"/>
    <x v="4"/>
    <x v="0"/>
    <x v="1"/>
    <s v="TOTAL"/>
    <n v="668572032.50786221"/>
    <x v="4"/>
    <s v="NUEVOS"/>
    <m/>
    <m/>
  </r>
  <r>
    <x v="60"/>
    <x v="5"/>
    <x v="0"/>
    <x v="1"/>
    <s v="TOTAL"/>
    <n v="866343539.12683725"/>
    <x v="4"/>
    <s v="NUEVOS"/>
    <m/>
    <m/>
  </r>
  <r>
    <x v="60"/>
    <x v="6"/>
    <x v="0"/>
    <x v="1"/>
    <s v="TOTAL"/>
    <n v="1060833240.3960474"/>
    <x v="4"/>
    <s v="NUEVOS"/>
    <m/>
    <m/>
  </r>
  <r>
    <x v="60"/>
    <x v="7"/>
    <x v="0"/>
    <x v="1"/>
    <s v="TOTAL"/>
    <n v="1239967103.8884077"/>
    <x v="4"/>
    <s v="NUEVOS"/>
    <m/>
    <m/>
  </r>
  <r>
    <x v="60"/>
    <x v="8"/>
    <x v="0"/>
    <x v="1"/>
    <s v="TOTAL"/>
    <n v="1421490223.25789"/>
    <x v="4"/>
    <s v="NUEVOS"/>
    <m/>
    <m/>
  </r>
  <r>
    <x v="60"/>
    <x v="9"/>
    <x v="0"/>
    <x v="1"/>
    <s v="TOTAL"/>
    <n v="1570359940.4896142"/>
    <x v="4"/>
    <s v="NUEVOS"/>
    <m/>
    <m/>
  </r>
  <r>
    <x v="60"/>
    <x v="10"/>
    <x v="0"/>
    <x v="1"/>
    <s v="TOTAL"/>
    <n v="1694649963.0432663"/>
    <x v="4"/>
    <s v="NUEVOS"/>
    <m/>
    <m/>
  </r>
  <r>
    <x v="60"/>
    <x v="11"/>
    <x v="0"/>
    <x v="1"/>
    <s v="TOTAL"/>
    <n v="1806617631.1543489"/>
    <x v="4"/>
    <s v="NUEVOS"/>
    <m/>
    <m/>
  </r>
  <r>
    <x v="60"/>
    <x v="0"/>
    <x v="0"/>
    <x v="2"/>
    <s v="TOTAL"/>
    <n v="0"/>
    <x v="4"/>
    <s v="NUEVOS"/>
    <m/>
    <m/>
  </r>
  <r>
    <x v="60"/>
    <x v="1"/>
    <x v="0"/>
    <x v="2"/>
    <s v="TOTAL"/>
    <n v="29723362.07914333"/>
    <x v="4"/>
    <s v="NUEVOS"/>
    <m/>
    <m/>
  </r>
  <r>
    <x v="60"/>
    <x v="2"/>
    <x v="0"/>
    <x v="2"/>
    <s v="TOTAL"/>
    <n v="106493295.64064981"/>
    <x v="4"/>
    <s v="NUEVOS"/>
    <m/>
    <m/>
  </r>
  <r>
    <x v="60"/>
    <x v="3"/>
    <x v="0"/>
    <x v="2"/>
    <s v="TOTAL"/>
    <n v="212154874.02579421"/>
    <x v="4"/>
    <s v="NUEVOS"/>
    <m/>
    <m/>
  </r>
  <r>
    <x v="60"/>
    <x v="4"/>
    <x v="0"/>
    <x v="2"/>
    <s v="TOTAL"/>
    <n v="306283344.13891673"/>
    <x v="4"/>
    <s v="NUEVOS"/>
    <m/>
    <m/>
  </r>
  <r>
    <x v="60"/>
    <x v="5"/>
    <x v="0"/>
    <x v="2"/>
    <s v="TOTAL"/>
    <n v="402829101.16013914"/>
    <x v="4"/>
    <s v="NUEVOS"/>
    <m/>
    <m/>
  </r>
  <r>
    <x v="60"/>
    <x v="6"/>
    <x v="0"/>
    <x v="2"/>
    <s v="TOTAL"/>
    <n v="504540568.92664355"/>
    <x v="4"/>
    <s v="NUEVOS"/>
    <m/>
    <m/>
  </r>
  <r>
    <x v="60"/>
    <x v="7"/>
    <x v="0"/>
    <x v="2"/>
    <s v="TOTAL"/>
    <n v="591722058.84424269"/>
    <x v="4"/>
    <s v="NUEVOS"/>
    <m/>
    <m/>
  </r>
  <r>
    <x v="60"/>
    <x v="8"/>
    <x v="0"/>
    <x v="2"/>
    <s v="TOTAL"/>
    <n v="657023582.20424581"/>
    <x v="4"/>
    <s v="NUEVOS"/>
    <m/>
    <m/>
  </r>
  <r>
    <x v="60"/>
    <x v="9"/>
    <x v="0"/>
    <x v="2"/>
    <s v="TOTAL"/>
    <n v="731693920.82438624"/>
    <x v="4"/>
    <s v="NUEVOS"/>
    <m/>
    <m/>
  </r>
  <r>
    <x v="60"/>
    <x v="10"/>
    <x v="0"/>
    <x v="2"/>
    <s v="TOTAL"/>
    <n v="788166760.38460636"/>
    <x v="4"/>
    <s v="NUEVOS"/>
    <m/>
    <m/>
  </r>
  <r>
    <x v="60"/>
    <x v="11"/>
    <x v="0"/>
    <x v="2"/>
    <s v="TOTAL"/>
    <n v="862325415.31937265"/>
    <x v="4"/>
    <s v="NUEVOS"/>
    <m/>
    <m/>
  </r>
  <r>
    <x v="60"/>
    <x v="0"/>
    <x v="0"/>
    <x v="3"/>
    <s v="TOTAL"/>
    <n v="0"/>
    <x v="4"/>
    <s v="NUEVOS"/>
    <m/>
    <m/>
  </r>
  <r>
    <x v="60"/>
    <x v="1"/>
    <x v="0"/>
    <x v="3"/>
    <s v="TOTAL"/>
    <n v="27644099.01730093"/>
    <x v="4"/>
    <s v="NUEVOS"/>
    <m/>
    <m/>
  </r>
  <r>
    <x v="60"/>
    <x v="2"/>
    <x v="0"/>
    <x v="3"/>
    <s v="TOTAL"/>
    <n v="108434465.15695676"/>
    <x v="4"/>
    <s v="NUEVOS"/>
    <m/>
    <m/>
  </r>
  <r>
    <x v="60"/>
    <x v="3"/>
    <x v="0"/>
    <x v="3"/>
    <s v="TOTAL"/>
    <n v="215040164.92998627"/>
    <x v="4"/>
    <s v="NUEVOS"/>
    <m/>
    <m/>
  </r>
  <r>
    <x v="60"/>
    <x v="4"/>
    <x v="0"/>
    <x v="3"/>
    <s v="TOTAL"/>
    <n v="326103414.20165074"/>
    <x v="4"/>
    <s v="NUEVOS"/>
    <m/>
    <m/>
  </r>
  <r>
    <x v="60"/>
    <x v="5"/>
    <x v="0"/>
    <x v="3"/>
    <s v="TOTAL"/>
    <n v="433658250.30918729"/>
    <x v="4"/>
    <s v="NUEVOS"/>
    <m/>
    <m/>
  </r>
  <r>
    <x v="60"/>
    <x v="6"/>
    <x v="0"/>
    <x v="3"/>
    <s v="TOTAL"/>
    <n v="537306402.27573991"/>
    <x v="4"/>
    <s v="NUEVOS"/>
    <m/>
    <m/>
  </r>
  <r>
    <x v="60"/>
    <x v="7"/>
    <x v="0"/>
    <x v="3"/>
    <s v="TOTAL"/>
    <n v="628784529.53308058"/>
    <x v="4"/>
    <s v="NUEVOS"/>
    <m/>
    <m/>
  </r>
  <r>
    <x v="60"/>
    <x v="8"/>
    <x v="0"/>
    <x v="3"/>
    <s v="TOTAL"/>
    <n v="703478269.58076894"/>
    <x v="4"/>
    <s v="NUEVOS"/>
    <m/>
    <m/>
  </r>
  <r>
    <x v="60"/>
    <x v="9"/>
    <x v="0"/>
    <x v="3"/>
    <s v="TOTAL"/>
    <n v="789708741.5707835"/>
    <x v="4"/>
    <s v="NUEVOS"/>
    <m/>
    <m/>
  </r>
  <r>
    <x v="60"/>
    <x v="10"/>
    <x v="0"/>
    <x v="3"/>
    <s v="TOTAL"/>
    <n v="874060685.94035137"/>
    <x v="4"/>
    <s v="NUEVOS"/>
    <m/>
    <m/>
  </r>
  <r>
    <x v="60"/>
    <x v="11"/>
    <x v="0"/>
    <x v="3"/>
    <s v="TOTAL"/>
    <n v="922424163.38466382"/>
    <x v="4"/>
    <s v="NUEVOS"/>
    <m/>
    <m/>
  </r>
  <r>
    <x v="60"/>
    <x v="0"/>
    <x v="0"/>
    <x v="4"/>
    <s v="TOTAL"/>
    <n v="0"/>
    <x v="4"/>
    <s v="NUEVOS"/>
    <m/>
    <m/>
  </r>
  <r>
    <x v="60"/>
    <x v="1"/>
    <x v="0"/>
    <x v="4"/>
    <s v="TOTAL"/>
    <n v="62946300.296504878"/>
    <x v="4"/>
    <s v="NUEVOS"/>
    <m/>
    <m/>
  </r>
  <r>
    <x v="60"/>
    <x v="2"/>
    <x v="0"/>
    <x v="4"/>
    <s v="TOTAL"/>
    <n v="223471469.45540509"/>
    <x v="4"/>
    <s v="NUEVOS"/>
    <m/>
    <m/>
  </r>
  <r>
    <x v="60"/>
    <x v="3"/>
    <x v="0"/>
    <x v="4"/>
    <s v="TOTAL"/>
    <n v="409758312.58426094"/>
    <x v="4"/>
    <s v="NUEVOS"/>
    <m/>
    <m/>
  </r>
  <r>
    <x v="60"/>
    <x v="4"/>
    <x v="0"/>
    <x v="4"/>
    <s v="TOTAL"/>
    <n v="613286398.99724996"/>
    <x v="4"/>
    <s v="NUEVOS"/>
    <m/>
    <m/>
  </r>
  <r>
    <x v="60"/>
    <x v="5"/>
    <x v="0"/>
    <x v="4"/>
    <s v="TOTAL"/>
    <n v="807344457.87258947"/>
    <x v="4"/>
    <s v="NUEVOS"/>
    <m/>
    <m/>
  </r>
  <r>
    <x v="60"/>
    <x v="6"/>
    <x v="0"/>
    <x v="4"/>
    <s v="TOTAL"/>
    <n v="986433993.63619196"/>
    <x v="4"/>
    <s v="NUEVOS"/>
    <m/>
    <m/>
  </r>
  <r>
    <x v="60"/>
    <x v="7"/>
    <x v="0"/>
    <x v="4"/>
    <s v="TOTAL"/>
    <n v="1136844402.3221123"/>
    <x v="4"/>
    <s v="NUEVOS"/>
    <m/>
    <m/>
  </r>
  <r>
    <x v="60"/>
    <x v="8"/>
    <x v="0"/>
    <x v="4"/>
    <s v="TOTAL"/>
    <n v="1270257037.0897892"/>
    <x v="4"/>
    <s v="NUEVOS"/>
    <m/>
    <m/>
  </r>
  <r>
    <x v="60"/>
    <x v="9"/>
    <x v="0"/>
    <x v="4"/>
    <s v="TOTAL"/>
    <n v="1397969735.6108778"/>
    <x v="4"/>
    <s v="NUEVOS"/>
    <m/>
    <m/>
  </r>
  <r>
    <x v="60"/>
    <x v="10"/>
    <x v="0"/>
    <x v="4"/>
    <s v="TOTAL"/>
    <n v="1518504570.1576886"/>
    <x v="4"/>
    <s v="NUEVOS"/>
    <m/>
    <m/>
  </r>
  <r>
    <x v="60"/>
    <x v="11"/>
    <x v="0"/>
    <x v="4"/>
    <s v="TOTAL"/>
    <n v="1629046331.4775155"/>
    <x v="4"/>
    <s v="NUEVOS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 dinámica2" cacheId="199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>
  <location ref="A5:N13" firstHeaderRow="1" firstDataRow="3" firstDataCol="1" rowPageCount="3" colPageCount="1"/>
  <pivotFields count="13">
    <pivotField axis="axisPage" showAll="0">
      <items count="62">
        <item x="36"/>
        <item x="49"/>
        <item x="40"/>
        <item x="24"/>
        <item x="0"/>
        <item x="1"/>
        <item x="2"/>
        <item x="32"/>
        <item x="25"/>
        <item x="3"/>
        <item x="4"/>
        <item x="5"/>
        <item x="33"/>
        <item x="23"/>
        <item x="26"/>
        <item x="41"/>
        <item x="6"/>
        <item x="22"/>
        <item x="42"/>
        <item x="7"/>
        <item x="8"/>
        <item x="39"/>
        <item x="48"/>
        <item x="9"/>
        <item x="43"/>
        <item x="53"/>
        <item x="44"/>
        <item x="10"/>
        <item x="54"/>
        <item x="50"/>
        <item x="11"/>
        <item x="34"/>
        <item x="12"/>
        <item x="35"/>
        <item x="13"/>
        <item x="52"/>
        <item x="14"/>
        <item x="45"/>
        <item x="51"/>
        <item x="15"/>
        <item x="16"/>
        <item x="55"/>
        <item x="17"/>
        <item x="18"/>
        <item x="21"/>
        <item x="20"/>
        <item x="19"/>
        <item x="46"/>
        <item x="47"/>
        <item x="27"/>
        <item x="31"/>
        <item x="28"/>
        <item x="30"/>
        <item x="29"/>
        <item x="56"/>
        <item x="37"/>
        <item x="38"/>
        <item x="57"/>
        <item x="58"/>
        <item x="60"/>
        <item x="59"/>
        <item t="default"/>
      </items>
    </pivotField>
    <pivotField axis="axisCol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multipleItemSelectionAllowed="1" showAll="0" defaultSubtotal="0">
      <items count="3">
        <item x="2"/>
        <item x="0"/>
        <item h="1" x="1"/>
      </items>
    </pivotField>
    <pivotField axis="axisPage" multipleItemSelectionAllowed="1" showAll="0" defaultSubtotal="0">
      <items count="13">
        <item h="1" x="1"/>
        <item x="2"/>
        <item h="1" x="3"/>
        <item x="0"/>
        <item h="1" x="4"/>
        <item h="1" m="1" x="7"/>
        <item h="1" m="1" x="8"/>
        <item h="1" m="1" x="9"/>
        <item h="1" m="1" x="10"/>
        <item h="1" m="1" x="12"/>
        <item h="1" m="1" x="5"/>
        <item h="1" m="1" x="11"/>
        <item h="1" m="1" x="6"/>
      </items>
    </pivotField>
    <pivotField showAll="0" defaultSubtotal="0"/>
    <pivotField dataField="1" showAll="0" defaultSubtotal="0"/>
    <pivotField axis="axisRow" showAll="0" defaultSubtotal="0">
      <items count="6">
        <item x="0"/>
        <item m="1" x="5"/>
        <item x="2"/>
        <item x="3"/>
        <item x="4"/>
        <item x="1"/>
      </items>
    </pivotField>
    <pivotField showAll="0"/>
    <pivotField showAll="0" defaultSubtotal="0"/>
    <pivotField showAll="0"/>
    <pivotField dragToRow="0" dragToCol="0" dragToPage="0" showAll="0" defaultSubtotal="0"/>
    <pivotField axis="axisCol" showAll="0" defaultSubtotal="0">
      <items count="5">
        <item h="1" x="0"/>
        <item x="1"/>
        <item h="1" x="2"/>
        <item h="1" x="3"/>
        <item h="1" x="4"/>
      </items>
    </pivotField>
    <pivotField dragToRow="0" dragToCol="0" dragToPage="0" showAll="0" defaultSubtotal="0"/>
  </pivotFields>
  <rowFields count="1">
    <field x="6"/>
  </rowFields>
  <rowItems count="6">
    <i>
      <x/>
    </i>
    <i>
      <x v="2"/>
    </i>
    <i>
      <x v="3"/>
    </i>
    <i>
      <x v="4"/>
    </i>
    <i>
      <x v="5"/>
    </i>
    <i t="grand">
      <x/>
    </i>
  </rowItems>
  <colFields count="2">
    <field x="11"/>
    <field x="1"/>
  </colFields>
  <colItems count="13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colItems>
  <pageFields count="3">
    <pageField fld="0" hier="-1"/>
    <pageField fld="2" hier="-1"/>
    <pageField fld="3" hier="-1"/>
  </pageFields>
  <dataFields count="1">
    <dataField name="INGRESO OPERACIONAL" fld="5" baseField="5" baseItem="0" numFmtId="41"/>
  </dataFields>
  <formats count="2">
    <format dxfId="0">
      <pivotArea outline="0" collapsedLevelsAreSubtotals="1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ámica1" cacheId="192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>
  <location ref="A5:N14" firstHeaderRow="1" firstDataRow="3" firstDataCol="1" rowPageCount="3" colPageCount="1"/>
  <pivotFields count="19">
    <pivotField axis="axisPage" showAll="0">
      <items count="62">
        <item x="36"/>
        <item x="49"/>
        <item x="40"/>
        <item x="24"/>
        <item x="0"/>
        <item x="1"/>
        <item x="2"/>
        <item x="32"/>
        <item x="25"/>
        <item x="58"/>
        <item x="3"/>
        <item x="4"/>
        <item x="57"/>
        <item x="5"/>
        <item x="59"/>
        <item x="33"/>
        <item x="23"/>
        <item x="26"/>
        <item x="41"/>
        <item x="6"/>
        <item x="22"/>
        <item x="42"/>
        <item x="7"/>
        <item x="8"/>
        <item x="39"/>
        <item x="48"/>
        <item x="9"/>
        <item x="43"/>
        <item x="53"/>
        <item x="44"/>
        <item x="10"/>
        <item x="54"/>
        <item x="50"/>
        <item x="11"/>
        <item x="34"/>
        <item x="12"/>
        <item x="35"/>
        <item x="13"/>
        <item x="52"/>
        <item x="14"/>
        <item x="45"/>
        <item x="51"/>
        <item x="15"/>
        <item x="16"/>
        <item x="55"/>
        <item x="17"/>
        <item x="18"/>
        <item x="21"/>
        <item x="20"/>
        <item x="19"/>
        <item x="46"/>
        <item x="47"/>
        <item x="27"/>
        <item x="31"/>
        <item x="28"/>
        <item x="30"/>
        <item x="29"/>
        <item x="56"/>
        <item x="37"/>
        <item x="38"/>
        <item x="60"/>
        <item t="default"/>
      </items>
    </pivotField>
    <pivotField axis="axisCol" numFmtId="164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multipleItemSelectionAllowed="1" showAll="0" defaultSubtotal="0">
      <items count="3">
        <item x="1"/>
        <item h="1" x="0"/>
        <item x="2"/>
      </items>
    </pivotField>
    <pivotField axis="axisPage" multipleItemSelectionAllowed="1" showAll="0" defaultSubtotal="0">
      <items count="5">
        <item h="1" x="1"/>
        <item h="1" x="2"/>
        <item h="1" x="3"/>
        <item x="0"/>
        <item x="4"/>
      </items>
    </pivotField>
    <pivotField dataField="1" numFmtId="165" showAll="0" defaultSubtotal="0"/>
    <pivotField numFmtId="2" showAll="0" defaultSubtotal="0"/>
    <pivotField showAll="0" defaultSubtotal="0"/>
    <pivotField dataField="1" numFmtId="165" showAll="0" defaultSubtotal="0"/>
    <pivotField dataField="1" numFmtId="165" showAll="0" defaultSubtotal="0"/>
    <pivotField dataField="1" showAll="0" defaultSubtotal="0"/>
    <pivotField name="EBITDA2" dataField="1" showAll="0" defaultSubtotal="0"/>
    <pivotField dataField="1" numFmtId="178" showAll="0" defaultSubtotal="0"/>
    <pivotField dataField="1"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axis="axisCol" showAll="0" defaultSubtotal="0">
      <items count="5">
        <item h="1" x="0"/>
        <item x="1"/>
        <item h="1" x="2"/>
        <item h="1" x="3"/>
        <item h="1" x="4"/>
      </items>
    </pivotField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7"/>
    <field x="1"/>
  </colFields>
  <colItems count="13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colItems>
  <pageFields count="3">
    <pageField fld="0" hier="-1"/>
    <pageField fld="2" hier="-1"/>
    <pageField fld="3" hier="-1"/>
  </pageFields>
  <dataFields count="7">
    <dataField name="INGRESO OPERACIONAL" fld="4" baseField="1" baseItem="1" numFmtId="41"/>
    <dataField name="COSTO DE VENTA" fld="7" baseField="1" baseItem="2" numFmtId="41"/>
    <dataField name=" UTILIDAD BRUTA" fld="8" baseField="1" baseItem="1" numFmtId="41"/>
    <dataField name="COSTOS Y GASTOS ADMON" fld="9" baseField="1" baseItem="1" numFmtId="41"/>
    <dataField name=" EBITDA" fld="10" baseField="1" baseItem="1" numFmtId="41"/>
    <dataField name="COSTO FINANCIERO" fld="11" baseField="1" baseItem="1" numFmtId="41"/>
    <dataField name=" UTILIDAD ANTES DE IMPUESTOS" fld="12" baseField="1" baseItem="1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18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5" indent="0" outline="1" outlineData="1" multipleFieldFilters="0">
  <location ref="A5:M8" firstHeaderRow="1" firstDataRow="3" firstDataCol="1" rowPageCount="3" colPageCount="1"/>
  <pivotFields count="18">
    <pivotField axis="axisPage" showAll="0">
      <items count="62">
        <item x="36"/>
        <item x="49"/>
        <item x="40"/>
        <item x="24"/>
        <item x="0"/>
        <item x="1"/>
        <item x="2"/>
        <item x="32"/>
        <item x="25"/>
        <item x="58"/>
        <item x="3"/>
        <item x="4"/>
        <item x="57"/>
        <item x="5"/>
        <item x="59"/>
        <item x="33"/>
        <item x="23"/>
        <item x="26"/>
        <item x="41"/>
        <item x="6"/>
        <item x="22"/>
        <item x="42"/>
        <item x="7"/>
        <item x="8"/>
        <item x="39"/>
        <item x="48"/>
        <item x="9"/>
        <item x="43"/>
        <item x="53"/>
        <item x="44"/>
        <item x="10"/>
        <item x="54"/>
        <item x="50"/>
        <item x="11"/>
        <item x="34"/>
        <item x="12"/>
        <item x="35"/>
        <item x="13"/>
        <item x="52"/>
        <item x="14"/>
        <item x="45"/>
        <item x="51"/>
        <item x="15"/>
        <item x="16"/>
        <item x="55"/>
        <item x="17"/>
        <item x="18"/>
        <item x="21"/>
        <item x="20"/>
        <item x="19"/>
        <item x="46"/>
        <item x="47"/>
        <item x="27"/>
        <item x="31"/>
        <item x="28"/>
        <item x="30"/>
        <item x="29"/>
        <item x="56"/>
        <item x="37"/>
        <item x="38"/>
        <item x="60"/>
        <item t="default"/>
      </items>
    </pivotField>
    <pivotField numFmtId="164" showAll="0"/>
    <pivotField axis="axisCol" numFmtId="164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>
      <items count="4">
        <item x="1"/>
        <item h="1" x="0"/>
        <item x="2"/>
        <item t="default"/>
      </items>
    </pivotField>
    <pivotField axis="axisPage" multipleItemSelectionAllowed="1" showAll="0" defaultSubtotal="0">
      <items count="5">
        <item h="1" x="1"/>
        <item h="1" x="2"/>
        <item h="1" x="3"/>
        <item x="0"/>
        <item x="4"/>
      </items>
    </pivotField>
    <pivotField dataField="1" showAll="0"/>
    <pivotField showAll="0"/>
    <pivotField showAll="0"/>
    <pivotField showAll="0"/>
    <pivotField showAll="0"/>
    <pivotField showAll="0"/>
    <pivotField showAll="0" defaultSubtotal="0"/>
    <pivotField numFmtId="178" showAll="0" defaultSubtotal="0"/>
    <pivotField showAll="0" defaultSubtotal="0"/>
    <pivotField showAll="0"/>
    <pivotField showAll="0"/>
    <pivotField showAll="0"/>
    <pivotField axis="axisCol" showAll="0" defaultSubtotal="0">
      <items count="5">
        <item h="1" x="0"/>
        <item x="1"/>
        <item h="1" x="2"/>
        <item h="1" x="3"/>
        <item h="1" x="4"/>
      </items>
    </pivotField>
  </pivotFields>
  <rowItems count="1">
    <i/>
  </rowItems>
  <colFields count="2">
    <field x="17"/>
    <field x="2"/>
  </colFields>
  <colItems count="12"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colItems>
  <pageFields count="3">
    <pageField fld="0" hier="-1"/>
    <pageField fld="3" hier="-1"/>
    <pageField fld="4" hier="-1"/>
  </pageFields>
  <dataFields count="1">
    <dataField name="INGRESO OPERACIONAL" fld="5" baseField="2" baseItem="2" numFmtId="41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3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" sqref="G1"/>
    </sheetView>
  </sheetViews>
  <sheetFormatPr baseColWidth="10" defaultRowHeight="15" x14ac:dyDescent="0.25"/>
  <cols>
    <col min="1" max="1" width="13.85546875" customWidth="1"/>
    <col min="2" max="2" width="17.28515625" customWidth="1"/>
    <col min="3" max="3" width="27" customWidth="1"/>
    <col min="7" max="7" width="10.42578125" bestFit="1" customWidth="1"/>
    <col min="8" max="8" width="22.7109375" bestFit="1" customWidth="1"/>
    <col min="9" max="9" width="12.5703125" bestFit="1" customWidth="1"/>
    <col min="10" max="10" width="11.85546875" bestFit="1" customWidth="1"/>
  </cols>
  <sheetData>
    <row r="1" spans="1:13" x14ac:dyDescent="0.25">
      <c r="A1" s="11" t="s">
        <v>0</v>
      </c>
      <c r="B1" s="11" t="s">
        <v>185</v>
      </c>
      <c r="C1" s="11" t="s">
        <v>186</v>
      </c>
      <c r="G1" t="s">
        <v>1</v>
      </c>
      <c r="H1" t="s">
        <v>210</v>
      </c>
      <c r="K1" t="s">
        <v>218</v>
      </c>
      <c r="L1" t="s">
        <v>208</v>
      </c>
      <c r="M1" t="s">
        <v>209</v>
      </c>
    </row>
    <row r="2" spans="1:13" x14ac:dyDescent="0.25">
      <c r="A2">
        <v>1156</v>
      </c>
      <c r="B2">
        <v>1.1399999999999999</v>
      </c>
      <c r="C2" t="s">
        <v>184</v>
      </c>
      <c r="G2" s="6">
        <v>43466</v>
      </c>
      <c r="H2" s="7">
        <v>-376983693.55231202</v>
      </c>
      <c r="I2" s="7"/>
      <c r="K2" t="s">
        <v>217</v>
      </c>
      <c r="L2" s="19">
        <f>4.48%</f>
        <v>4.4800000000000006E-2</v>
      </c>
      <c r="M2" s="21">
        <f>((1+L2)^(1/12))-1</f>
        <v>3.6588004233741866E-3</v>
      </c>
    </row>
    <row r="3" spans="1:13" x14ac:dyDescent="0.25">
      <c r="A3" s="14">
        <v>1192</v>
      </c>
      <c r="B3">
        <v>1</v>
      </c>
      <c r="C3" t="s">
        <v>184</v>
      </c>
      <c r="D3" t="s">
        <v>191</v>
      </c>
      <c r="G3" s="6">
        <v>43497</v>
      </c>
      <c r="H3" s="7">
        <v>-408027659.28571576</v>
      </c>
      <c r="K3" s="16" t="s">
        <v>204</v>
      </c>
      <c r="L3" s="19">
        <f>4%+4.48%</f>
        <v>8.4800000000000014E-2</v>
      </c>
      <c r="M3" s="21">
        <f>((1+L3)^(1/12))-1</f>
        <v>6.8060262912292835E-3</v>
      </c>
    </row>
    <row r="4" spans="1:13" x14ac:dyDescent="0.25">
      <c r="A4">
        <v>1210</v>
      </c>
      <c r="B4">
        <v>1.17</v>
      </c>
      <c r="C4" t="s">
        <v>184</v>
      </c>
      <c r="G4" s="6">
        <v>43525</v>
      </c>
      <c r="H4" s="7">
        <v>-406546190.42706376</v>
      </c>
      <c r="K4" s="16" t="s">
        <v>205</v>
      </c>
      <c r="L4" s="19">
        <f>5%+4.48%</f>
        <v>9.4800000000000009E-2</v>
      </c>
      <c r="M4" s="21">
        <f>((1+L4)^(1/12))-1</f>
        <v>7.5761967579570655E-3</v>
      </c>
    </row>
    <row r="5" spans="1:13" x14ac:dyDescent="0.25">
      <c r="A5">
        <v>1221</v>
      </c>
      <c r="B5">
        <v>2.37</v>
      </c>
      <c r="C5">
        <v>2.0299999999999998</v>
      </c>
      <c r="G5" s="6">
        <v>43556</v>
      </c>
      <c r="H5" s="7">
        <v>-411081780.85164797</v>
      </c>
    </row>
    <row r="6" spans="1:13" x14ac:dyDescent="0.25">
      <c r="A6">
        <v>1227</v>
      </c>
      <c r="B6">
        <v>0.61</v>
      </c>
      <c r="C6">
        <v>1.84</v>
      </c>
      <c r="G6" s="6">
        <v>43586</v>
      </c>
      <c r="H6" s="7">
        <v>-397279571.94416004</v>
      </c>
    </row>
    <row r="7" spans="1:13" x14ac:dyDescent="0.25">
      <c r="A7">
        <v>1244</v>
      </c>
      <c r="B7">
        <v>0.49</v>
      </c>
      <c r="C7">
        <v>1.85</v>
      </c>
      <c r="G7" s="6">
        <v>43617</v>
      </c>
      <c r="H7" s="7">
        <v>-401744678.70834899</v>
      </c>
    </row>
    <row r="8" spans="1:13" x14ac:dyDescent="0.25">
      <c r="A8">
        <v>1248</v>
      </c>
      <c r="B8">
        <v>2.46</v>
      </c>
      <c r="C8">
        <v>3.15</v>
      </c>
      <c r="G8" s="6">
        <v>43647</v>
      </c>
      <c r="H8" s="7">
        <v>-381214758.44341254</v>
      </c>
    </row>
    <row r="9" spans="1:13" x14ac:dyDescent="0.25">
      <c r="A9">
        <v>1251</v>
      </c>
      <c r="B9">
        <v>1.48</v>
      </c>
      <c r="C9">
        <v>1.82</v>
      </c>
      <c r="G9" s="6">
        <v>43678</v>
      </c>
      <c r="H9" s="7">
        <v>-383222013.06147766</v>
      </c>
    </row>
    <row r="10" spans="1:13" x14ac:dyDescent="0.25">
      <c r="A10">
        <v>1259</v>
      </c>
      <c r="B10">
        <v>80.61</v>
      </c>
      <c r="C10" t="s">
        <v>184</v>
      </c>
      <c r="G10" s="6">
        <v>43709</v>
      </c>
      <c r="H10" s="7">
        <v>-396661918.98799729</v>
      </c>
    </row>
    <row r="11" spans="1:13" x14ac:dyDescent="0.25">
      <c r="A11">
        <v>1277</v>
      </c>
      <c r="B11">
        <v>1.71</v>
      </c>
      <c r="C11" t="s">
        <v>184</v>
      </c>
      <c r="G11" s="6">
        <v>43739</v>
      </c>
      <c r="H11" s="7">
        <v>-399443385.06098026</v>
      </c>
    </row>
    <row r="12" spans="1:13" x14ac:dyDescent="0.25">
      <c r="A12">
        <v>1289</v>
      </c>
      <c r="B12">
        <v>1.67</v>
      </c>
      <c r="C12" t="s">
        <v>184</v>
      </c>
      <c r="G12" s="6">
        <v>43770</v>
      </c>
      <c r="H12" s="7">
        <v>-451014510.97928411</v>
      </c>
    </row>
    <row r="13" spans="1:13" x14ac:dyDescent="0.25">
      <c r="A13">
        <v>1291</v>
      </c>
      <c r="B13">
        <v>2.89</v>
      </c>
      <c r="C13" t="s">
        <v>184</v>
      </c>
      <c r="G13" s="6">
        <v>43800</v>
      </c>
      <c r="H13" s="7">
        <v>-394269676.02520502</v>
      </c>
    </row>
    <row r="14" spans="1:13" x14ac:dyDescent="0.25">
      <c r="A14">
        <v>1330</v>
      </c>
      <c r="B14">
        <v>0.63</v>
      </c>
      <c r="C14">
        <v>2.2599999999999998</v>
      </c>
    </row>
    <row r="15" spans="1:13" x14ac:dyDescent="0.25">
      <c r="A15">
        <v>1343</v>
      </c>
      <c r="B15">
        <v>2.12</v>
      </c>
      <c r="C15">
        <v>3.67</v>
      </c>
    </row>
    <row r="16" spans="1:13" x14ac:dyDescent="0.25">
      <c r="A16">
        <v>1358</v>
      </c>
      <c r="B16">
        <v>1.01</v>
      </c>
      <c r="C16" t="s">
        <v>184</v>
      </c>
    </row>
    <row r="17" spans="1:4" x14ac:dyDescent="0.25">
      <c r="A17">
        <v>1385</v>
      </c>
      <c r="B17">
        <v>1.64</v>
      </c>
      <c r="C17">
        <v>1.98</v>
      </c>
    </row>
    <row r="18" spans="1:4" x14ac:dyDescent="0.25">
      <c r="A18">
        <v>1392</v>
      </c>
      <c r="B18">
        <v>0.71</v>
      </c>
      <c r="C18" t="s">
        <v>184</v>
      </c>
    </row>
    <row r="19" spans="1:4" x14ac:dyDescent="0.25">
      <c r="A19">
        <v>1393</v>
      </c>
      <c r="B19">
        <v>1.42</v>
      </c>
      <c r="C19" t="s">
        <v>184</v>
      </c>
    </row>
    <row r="20" spans="1:4" x14ac:dyDescent="0.25">
      <c r="A20">
        <v>1409</v>
      </c>
      <c r="B20">
        <v>1.96</v>
      </c>
      <c r="C20">
        <v>1.74</v>
      </c>
    </row>
    <row r="21" spans="1:4" x14ac:dyDescent="0.25">
      <c r="A21" s="14">
        <v>1411</v>
      </c>
      <c r="B21" s="12">
        <v>1</v>
      </c>
      <c r="C21" t="s">
        <v>184</v>
      </c>
      <c r="D21" s="12" t="s">
        <v>191</v>
      </c>
    </row>
    <row r="22" spans="1:4" x14ac:dyDescent="0.25">
      <c r="A22">
        <v>1412</v>
      </c>
      <c r="B22">
        <v>1.65</v>
      </c>
      <c r="C22">
        <v>1.65</v>
      </c>
    </row>
    <row r="23" spans="1:4" x14ac:dyDescent="0.25">
      <c r="A23">
        <v>1413</v>
      </c>
      <c r="B23">
        <v>0.88</v>
      </c>
      <c r="C23" t="s">
        <v>184</v>
      </c>
    </row>
    <row r="24" spans="1:4" x14ac:dyDescent="0.25">
      <c r="A24">
        <v>1416</v>
      </c>
      <c r="B24">
        <v>4.45</v>
      </c>
      <c r="C24" t="s">
        <v>184</v>
      </c>
    </row>
    <row r="25" spans="1:4" x14ac:dyDescent="0.25">
      <c r="A25">
        <v>1428</v>
      </c>
      <c r="B25">
        <v>1.17</v>
      </c>
      <c r="C25">
        <v>2.0299999999999998</v>
      </c>
    </row>
    <row r="26" spans="1:4" x14ac:dyDescent="0.25">
      <c r="A26">
        <v>1434</v>
      </c>
      <c r="B26">
        <v>1.35</v>
      </c>
      <c r="C26">
        <v>1.39</v>
      </c>
    </row>
    <row r="27" spans="1:4" x14ac:dyDescent="0.25">
      <c r="A27">
        <v>1438</v>
      </c>
      <c r="B27">
        <v>41.65</v>
      </c>
      <c r="C27" t="s">
        <v>184</v>
      </c>
    </row>
    <row r="28" spans="1:4" x14ac:dyDescent="0.25">
      <c r="A28">
        <v>1439</v>
      </c>
      <c r="B28">
        <v>1.64</v>
      </c>
      <c r="C28">
        <v>1.52</v>
      </c>
    </row>
    <row r="29" spans="1:4" x14ac:dyDescent="0.25">
      <c r="A29">
        <v>1441</v>
      </c>
      <c r="B29">
        <v>1.43</v>
      </c>
      <c r="C29" t="s">
        <v>184</v>
      </c>
    </row>
    <row r="30" spans="1:4" x14ac:dyDescent="0.25">
      <c r="A30" s="14">
        <v>1443</v>
      </c>
      <c r="B30" s="12">
        <v>1</v>
      </c>
      <c r="C30">
        <v>1.55</v>
      </c>
      <c r="D30" s="12" t="s">
        <v>191</v>
      </c>
    </row>
    <row r="31" spans="1:4" x14ac:dyDescent="0.25">
      <c r="A31">
        <v>1444</v>
      </c>
      <c r="B31">
        <v>1.32</v>
      </c>
      <c r="C31">
        <v>1.59</v>
      </c>
    </row>
    <row r="32" spans="1:4" x14ac:dyDescent="0.25">
      <c r="A32">
        <v>1452</v>
      </c>
      <c r="B32">
        <v>1.8</v>
      </c>
      <c r="C32">
        <v>1.49</v>
      </c>
    </row>
    <row r="33" spans="1:3" x14ac:dyDescent="0.25">
      <c r="A33">
        <v>1453</v>
      </c>
      <c r="B33">
        <v>2.0299999999999998</v>
      </c>
      <c r="C33" t="s">
        <v>184</v>
      </c>
    </row>
    <row r="34" spans="1:3" x14ac:dyDescent="0.25">
      <c r="A34">
        <v>1455</v>
      </c>
      <c r="B34">
        <v>1.93</v>
      </c>
      <c r="C34">
        <v>1.51</v>
      </c>
    </row>
    <row r="35" spans="1:3" x14ac:dyDescent="0.25">
      <c r="A35">
        <v>1461</v>
      </c>
      <c r="B35">
        <v>1.32</v>
      </c>
      <c r="C35">
        <v>1.62</v>
      </c>
    </row>
    <row r="36" spans="1:3" x14ac:dyDescent="0.25">
      <c r="A36">
        <v>1464</v>
      </c>
      <c r="B36">
        <v>60.5</v>
      </c>
      <c r="C36">
        <v>2.2200000000000002</v>
      </c>
    </row>
    <row r="37" spans="1:3" x14ac:dyDescent="0.25">
      <c r="A37">
        <v>1468</v>
      </c>
      <c r="B37">
        <v>1.47</v>
      </c>
      <c r="C37">
        <v>1.51</v>
      </c>
    </row>
    <row r="38" spans="1:3" x14ac:dyDescent="0.25">
      <c r="A38">
        <v>1472</v>
      </c>
      <c r="B38">
        <v>0.75</v>
      </c>
      <c r="C38" t="s">
        <v>184</v>
      </c>
    </row>
    <row r="39" spans="1:3" x14ac:dyDescent="0.25">
      <c r="A39">
        <v>1475</v>
      </c>
      <c r="B39">
        <v>1.33</v>
      </c>
      <c r="C39">
        <v>1.7</v>
      </c>
    </row>
    <row r="40" spans="1:3" x14ac:dyDescent="0.25">
      <c r="A40">
        <v>1476</v>
      </c>
      <c r="B40">
        <v>1.1200000000000001</v>
      </c>
      <c r="C40">
        <v>1.76</v>
      </c>
    </row>
    <row r="41" spans="1:3" x14ac:dyDescent="0.25">
      <c r="A41">
        <v>1487</v>
      </c>
      <c r="B41">
        <v>1.2</v>
      </c>
      <c r="C41">
        <v>1.61</v>
      </c>
    </row>
    <row r="42" spans="1:3" x14ac:dyDescent="0.25">
      <c r="A42">
        <v>1494</v>
      </c>
      <c r="B42">
        <v>1.22</v>
      </c>
      <c r="C42">
        <v>1.58</v>
      </c>
    </row>
    <row r="43" spans="1:3" x14ac:dyDescent="0.25">
      <c r="A43">
        <v>1506</v>
      </c>
      <c r="B43">
        <v>1.07</v>
      </c>
      <c r="C43" t="s">
        <v>184</v>
      </c>
    </row>
    <row r="44" spans="1:3" x14ac:dyDescent="0.25">
      <c r="A44">
        <v>1507</v>
      </c>
      <c r="B44">
        <v>1.87</v>
      </c>
      <c r="C44">
        <v>2.7286513186919978</v>
      </c>
    </row>
    <row r="45" spans="1:3" x14ac:dyDescent="0.25">
      <c r="A45">
        <v>1508</v>
      </c>
      <c r="B45">
        <v>0.48</v>
      </c>
      <c r="C45" t="s">
        <v>184</v>
      </c>
    </row>
    <row r="46" spans="1:3" x14ac:dyDescent="0.25">
      <c r="A46">
        <v>1510</v>
      </c>
      <c r="B46">
        <v>1.33</v>
      </c>
      <c r="C46">
        <v>2.14</v>
      </c>
    </row>
    <row r="47" spans="1:3" x14ac:dyDescent="0.25">
      <c r="A47">
        <v>1515</v>
      </c>
      <c r="B47">
        <v>1.67</v>
      </c>
      <c r="C47" t="s">
        <v>184</v>
      </c>
    </row>
    <row r="48" spans="1:3" x14ac:dyDescent="0.25">
      <c r="A48">
        <v>1523</v>
      </c>
      <c r="B48">
        <v>2.36</v>
      </c>
      <c r="C48">
        <v>1.54</v>
      </c>
    </row>
    <row r="49" spans="1:4" x14ac:dyDescent="0.25">
      <c r="A49">
        <v>1524</v>
      </c>
      <c r="B49">
        <v>1.87</v>
      </c>
      <c r="C49">
        <v>1.55</v>
      </c>
    </row>
    <row r="50" spans="1:4" x14ac:dyDescent="0.25">
      <c r="A50">
        <v>1527</v>
      </c>
      <c r="B50">
        <v>0.99</v>
      </c>
      <c r="C50" t="s">
        <v>184</v>
      </c>
    </row>
    <row r="51" spans="1:4" x14ac:dyDescent="0.25">
      <c r="A51">
        <v>1529</v>
      </c>
      <c r="B51">
        <v>9.18</v>
      </c>
      <c r="C51" t="s">
        <v>184</v>
      </c>
    </row>
    <row r="52" spans="1:4" x14ac:dyDescent="0.25">
      <c r="A52">
        <v>1531</v>
      </c>
      <c r="B52">
        <v>1.26</v>
      </c>
      <c r="C52" t="s">
        <v>184</v>
      </c>
    </row>
    <row r="53" spans="1:4" x14ac:dyDescent="0.25">
      <c r="A53">
        <v>1533</v>
      </c>
      <c r="B53">
        <v>0.71</v>
      </c>
      <c r="C53" t="s">
        <v>184</v>
      </c>
    </row>
    <row r="54" spans="1:4" x14ac:dyDescent="0.25">
      <c r="A54">
        <v>1534</v>
      </c>
      <c r="B54">
        <v>4.18</v>
      </c>
      <c r="C54" t="s">
        <v>184</v>
      </c>
    </row>
    <row r="55" spans="1:4" x14ac:dyDescent="0.25">
      <c r="A55" s="14">
        <v>1535</v>
      </c>
      <c r="B55" s="12">
        <v>1</v>
      </c>
      <c r="C55" t="s">
        <v>184</v>
      </c>
      <c r="D55" s="12" t="s">
        <v>191</v>
      </c>
    </row>
    <row r="56" spans="1:4" x14ac:dyDescent="0.25">
      <c r="A56" s="14">
        <v>1536</v>
      </c>
      <c r="B56" s="12">
        <v>1</v>
      </c>
      <c r="C56" t="s">
        <v>184</v>
      </c>
      <c r="D56" s="12" t="s">
        <v>191</v>
      </c>
    </row>
    <row r="57" spans="1:4" x14ac:dyDescent="0.25">
      <c r="A57">
        <v>1537</v>
      </c>
      <c r="B57">
        <v>4.4400000000000004</v>
      </c>
      <c r="C57" t="s">
        <v>184</v>
      </c>
    </row>
    <row r="58" spans="1:4" x14ac:dyDescent="0.25">
      <c r="A58">
        <v>1543</v>
      </c>
      <c r="B58">
        <v>1.93</v>
      </c>
      <c r="C58">
        <v>1.53</v>
      </c>
    </row>
    <row r="59" spans="1:4" x14ac:dyDescent="0.25">
      <c r="A59">
        <v>1547</v>
      </c>
      <c r="B59">
        <v>7.61</v>
      </c>
      <c r="C59" t="s">
        <v>184</v>
      </c>
    </row>
    <row r="60" spans="1:4" x14ac:dyDescent="0.25">
      <c r="A60">
        <v>1553</v>
      </c>
      <c r="B60">
        <v>1.06</v>
      </c>
      <c r="C60">
        <v>1.55</v>
      </c>
    </row>
    <row r="61" spans="1:4" x14ac:dyDescent="0.25">
      <c r="A61">
        <v>1556</v>
      </c>
      <c r="B61">
        <v>3.26</v>
      </c>
      <c r="C61" t="s">
        <v>184</v>
      </c>
    </row>
    <row r="62" spans="1:4" x14ac:dyDescent="0.25">
      <c r="A62">
        <v>1558</v>
      </c>
      <c r="B62">
        <v>2.0099999999999998</v>
      </c>
      <c r="C62">
        <v>1.55</v>
      </c>
    </row>
    <row r="63" spans="1:4" x14ac:dyDescent="0.25">
      <c r="A63">
        <v>1559</v>
      </c>
      <c r="B63">
        <v>12.76</v>
      </c>
      <c r="C63" t="s">
        <v>184</v>
      </c>
    </row>
    <row r="64" spans="1:4" x14ac:dyDescent="0.25">
      <c r="A64">
        <v>1560</v>
      </c>
      <c r="B64">
        <v>1.92</v>
      </c>
      <c r="C64">
        <v>1.56</v>
      </c>
    </row>
    <row r="65" spans="1:4" x14ac:dyDescent="0.25">
      <c r="A65">
        <v>1561</v>
      </c>
      <c r="B65">
        <v>2.16</v>
      </c>
      <c r="C65" t="s">
        <v>184</v>
      </c>
    </row>
    <row r="66" spans="1:4" x14ac:dyDescent="0.25">
      <c r="A66">
        <v>1562</v>
      </c>
      <c r="B66">
        <v>1.47</v>
      </c>
      <c r="C66" t="s">
        <v>184</v>
      </c>
    </row>
    <row r="67" spans="1:4" x14ac:dyDescent="0.25">
      <c r="A67">
        <v>1563</v>
      </c>
      <c r="B67">
        <v>1.21</v>
      </c>
      <c r="C67">
        <v>1.38</v>
      </c>
    </row>
    <row r="68" spans="1:4" x14ac:dyDescent="0.25">
      <c r="A68">
        <v>1565</v>
      </c>
      <c r="B68">
        <v>1.34</v>
      </c>
      <c r="C68">
        <v>1.72</v>
      </c>
    </row>
    <row r="69" spans="1:4" x14ac:dyDescent="0.25">
      <c r="A69">
        <v>1566</v>
      </c>
      <c r="B69">
        <v>1.4</v>
      </c>
      <c r="C69">
        <v>1.51</v>
      </c>
    </row>
    <row r="70" spans="1:4" x14ac:dyDescent="0.25">
      <c r="A70">
        <v>1569</v>
      </c>
      <c r="B70">
        <v>2.2400000000000002</v>
      </c>
      <c r="C70">
        <v>1.6</v>
      </c>
    </row>
    <row r="71" spans="1:4" x14ac:dyDescent="0.25">
      <c r="A71">
        <v>1572</v>
      </c>
      <c r="B71">
        <v>2.39</v>
      </c>
      <c r="C71" t="s">
        <v>184</v>
      </c>
    </row>
    <row r="72" spans="1:4" x14ac:dyDescent="0.25">
      <c r="A72">
        <v>1573</v>
      </c>
      <c r="B72">
        <v>7.58</v>
      </c>
      <c r="C72" t="s">
        <v>184</v>
      </c>
    </row>
    <row r="73" spans="1:4" x14ac:dyDescent="0.25">
      <c r="A73">
        <v>1574</v>
      </c>
      <c r="B73">
        <v>1.29</v>
      </c>
      <c r="C73">
        <v>1.55</v>
      </c>
    </row>
    <row r="74" spans="1:4" x14ac:dyDescent="0.25">
      <c r="A74">
        <v>1577</v>
      </c>
      <c r="B74">
        <v>1.41</v>
      </c>
      <c r="C74">
        <v>1.51</v>
      </c>
    </row>
    <row r="75" spans="1:4" x14ac:dyDescent="0.25">
      <c r="A75">
        <v>1579</v>
      </c>
      <c r="B75">
        <v>1.78</v>
      </c>
      <c r="C75">
        <v>1.6</v>
      </c>
    </row>
    <row r="76" spans="1:4" x14ac:dyDescent="0.25">
      <c r="A76">
        <v>1580</v>
      </c>
      <c r="B76">
        <v>1.74</v>
      </c>
      <c r="C76" t="s">
        <v>184</v>
      </c>
    </row>
    <row r="77" spans="1:4" x14ac:dyDescent="0.25">
      <c r="A77">
        <v>1584</v>
      </c>
      <c r="B77">
        <v>4.16</v>
      </c>
      <c r="C77" t="s">
        <v>184</v>
      </c>
    </row>
    <row r="78" spans="1:4" x14ac:dyDescent="0.25">
      <c r="A78" s="14">
        <v>1587</v>
      </c>
      <c r="B78" s="12">
        <v>1</v>
      </c>
      <c r="C78" t="s">
        <v>184</v>
      </c>
      <c r="D78" s="12" t="s">
        <v>191</v>
      </c>
    </row>
    <row r="79" spans="1:4" x14ac:dyDescent="0.25">
      <c r="A79">
        <v>1588</v>
      </c>
      <c r="B79">
        <v>1.49</v>
      </c>
      <c r="C79">
        <v>1.4779861099802214</v>
      </c>
    </row>
    <row r="80" spans="1:4" x14ac:dyDescent="0.25">
      <c r="A80">
        <v>1589</v>
      </c>
      <c r="B80">
        <v>30.27</v>
      </c>
      <c r="C80">
        <v>1.94</v>
      </c>
    </row>
    <row r="81" spans="1:4" x14ac:dyDescent="0.25">
      <c r="A81">
        <v>1590</v>
      </c>
      <c r="B81">
        <v>2.17</v>
      </c>
      <c r="C81">
        <v>1.94</v>
      </c>
    </row>
    <row r="82" spans="1:4" x14ac:dyDescent="0.25">
      <c r="A82" s="14">
        <v>1593</v>
      </c>
      <c r="B82" s="12">
        <v>1</v>
      </c>
      <c r="C82" t="s">
        <v>184</v>
      </c>
      <c r="D82" s="12" t="s">
        <v>191</v>
      </c>
    </row>
    <row r="83" spans="1:4" x14ac:dyDescent="0.25">
      <c r="A83" s="14">
        <v>1594</v>
      </c>
      <c r="B83" s="12">
        <v>1</v>
      </c>
      <c r="C83" t="s">
        <v>184</v>
      </c>
      <c r="D83" s="12" t="s">
        <v>191</v>
      </c>
    </row>
    <row r="84" spans="1:4" x14ac:dyDescent="0.25">
      <c r="A84">
        <v>1595</v>
      </c>
      <c r="B84">
        <v>1.26</v>
      </c>
      <c r="C84">
        <v>1.82</v>
      </c>
    </row>
    <row r="85" spans="1:4" x14ac:dyDescent="0.25">
      <c r="A85">
        <v>1596</v>
      </c>
      <c r="B85">
        <v>2.4300000000000002</v>
      </c>
      <c r="C85">
        <v>1.92</v>
      </c>
    </row>
    <row r="86" spans="1:4" x14ac:dyDescent="0.25">
      <c r="A86">
        <v>1597</v>
      </c>
      <c r="B86">
        <v>2.68</v>
      </c>
      <c r="C86" t="s">
        <v>184</v>
      </c>
    </row>
    <row r="87" spans="1:4" x14ac:dyDescent="0.25">
      <c r="A87">
        <v>1598</v>
      </c>
      <c r="B87">
        <v>1.41</v>
      </c>
      <c r="C87" t="s">
        <v>184</v>
      </c>
    </row>
    <row r="88" spans="1:4" x14ac:dyDescent="0.25">
      <c r="A88">
        <v>1602</v>
      </c>
      <c r="B88">
        <v>1.53</v>
      </c>
      <c r="C88" t="s">
        <v>184</v>
      </c>
    </row>
    <row r="89" spans="1:4" x14ac:dyDescent="0.25">
      <c r="A89">
        <v>1605</v>
      </c>
      <c r="B89">
        <v>0.51</v>
      </c>
      <c r="C89" t="s">
        <v>184</v>
      </c>
    </row>
    <row r="90" spans="1:4" x14ac:dyDescent="0.25">
      <c r="A90">
        <v>1607</v>
      </c>
      <c r="B90">
        <v>1.94</v>
      </c>
      <c r="C90" t="s">
        <v>184</v>
      </c>
    </row>
    <row r="91" spans="1:4" x14ac:dyDescent="0.25">
      <c r="A91">
        <v>1608</v>
      </c>
      <c r="B91">
        <v>1.75</v>
      </c>
      <c r="C91">
        <v>1.52</v>
      </c>
    </row>
    <row r="92" spans="1:4" x14ac:dyDescent="0.25">
      <c r="A92">
        <v>1611</v>
      </c>
      <c r="B92">
        <v>1.29</v>
      </c>
      <c r="C92" t="s">
        <v>184</v>
      </c>
    </row>
    <row r="93" spans="1:4" x14ac:dyDescent="0.25">
      <c r="A93">
        <v>1614</v>
      </c>
      <c r="B93">
        <v>3.03</v>
      </c>
      <c r="C93" t="s">
        <v>184</v>
      </c>
    </row>
    <row r="94" spans="1:4" x14ac:dyDescent="0.25">
      <c r="A94">
        <v>1615</v>
      </c>
      <c r="B94">
        <v>1.55</v>
      </c>
      <c r="C94" t="s">
        <v>184</v>
      </c>
    </row>
    <row r="95" spans="1:4" x14ac:dyDescent="0.25">
      <c r="A95">
        <v>1616</v>
      </c>
      <c r="B95">
        <v>2.1</v>
      </c>
      <c r="C95" t="s">
        <v>184</v>
      </c>
    </row>
    <row r="96" spans="1:4" x14ac:dyDescent="0.25">
      <c r="A96">
        <v>1617</v>
      </c>
      <c r="B96">
        <v>1.63</v>
      </c>
      <c r="C96" t="s">
        <v>184</v>
      </c>
    </row>
    <row r="97" spans="1:4" x14ac:dyDescent="0.25">
      <c r="A97">
        <v>1618</v>
      </c>
      <c r="B97">
        <v>1.97</v>
      </c>
      <c r="C97" t="s">
        <v>184</v>
      </c>
    </row>
    <row r="98" spans="1:4" x14ac:dyDescent="0.25">
      <c r="A98">
        <v>1619</v>
      </c>
      <c r="B98">
        <v>0.79</v>
      </c>
      <c r="C98" t="s">
        <v>184</v>
      </c>
    </row>
    <row r="99" spans="1:4" x14ac:dyDescent="0.25">
      <c r="A99">
        <v>1620</v>
      </c>
      <c r="B99">
        <v>1.66</v>
      </c>
      <c r="C99" t="s">
        <v>184</v>
      </c>
    </row>
    <row r="100" spans="1:4" x14ac:dyDescent="0.25">
      <c r="A100">
        <v>1621</v>
      </c>
      <c r="B100">
        <v>3.05</v>
      </c>
      <c r="C100" t="s">
        <v>184</v>
      </c>
    </row>
    <row r="101" spans="1:4" x14ac:dyDescent="0.25">
      <c r="A101">
        <v>1622</v>
      </c>
      <c r="B101">
        <v>0.95</v>
      </c>
      <c r="C101">
        <v>1.485755410607478</v>
      </c>
    </row>
    <row r="102" spans="1:4" x14ac:dyDescent="0.25">
      <c r="A102">
        <v>1623</v>
      </c>
      <c r="B102">
        <v>2.35</v>
      </c>
      <c r="C102" t="s">
        <v>184</v>
      </c>
    </row>
    <row r="103" spans="1:4" x14ac:dyDescent="0.25">
      <c r="A103">
        <v>1624</v>
      </c>
      <c r="B103">
        <v>1.79</v>
      </c>
      <c r="C103" t="s">
        <v>184</v>
      </c>
    </row>
    <row r="104" spans="1:4" x14ac:dyDescent="0.25">
      <c r="A104">
        <v>1625</v>
      </c>
      <c r="B104">
        <v>3.16</v>
      </c>
      <c r="C104">
        <v>2.19</v>
      </c>
    </row>
    <row r="105" spans="1:4" x14ac:dyDescent="0.25">
      <c r="A105">
        <v>1626</v>
      </c>
      <c r="B105">
        <v>1</v>
      </c>
      <c r="C105">
        <v>1.86</v>
      </c>
      <c r="D105" t="s">
        <v>191</v>
      </c>
    </row>
    <row r="106" spans="1:4" x14ac:dyDescent="0.25">
      <c r="A106">
        <v>1627</v>
      </c>
      <c r="B106">
        <v>1.99</v>
      </c>
      <c r="C106" t="s">
        <v>184</v>
      </c>
    </row>
    <row r="107" spans="1:4" x14ac:dyDescent="0.25">
      <c r="A107">
        <v>1628</v>
      </c>
      <c r="B107">
        <v>0.41</v>
      </c>
      <c r="C107" t="s">
        <v>184</v>
      </c>
    </row>
    <row r="108" spans="1:4" x14ac:dyDescent="0.25">
      <c r="A108">
        <v>1629</v>
      </c>
      <c r="B108">
        <v>1.82</v>
      </c>
      <c r="C108">
        <v>1.77</v>
      </c>
    </row>
    <row r="109" spans="1:4" x14ac:dyDescent="0.25">
      <c r="A109">
        <v>1631</v>
      </c>
      <c r="B109">
        <v>2.4700000000000002</v>
      </c>
      <c r="C109">
        <v>2.33</v>
      </c>
    </row>
    <row r="110" spans="1:4" x14ac:dyDescent="0.25">
      <c r="A110">
        <v>1632</v>
      </c>
      <c r="B110">
        <v>4.88</v>
      </c>
      <c r="C110">
        <v>1.88</v>
      </c>
    </row>
    <row r="111" spans="1:4" x14ac:dyDescent="0.25">
      <c r="A111">
        <v>1633</v>
      </c>
      <c r="B111">
        <v>1.51</v>
      </c>
      <c r="C111" t="s">
        <v>184</v>
      </c>
    </row>
    <row r="112" spans="1:4" x14ac:dyDescent="0.25">
      <c r="A112">
        <v>1634</v>
      </c>
      <c r="B112">
        <v>1.5</v>
      </c>
      <c r="C112">
        <v>1.58</v>
      </c>
    </row>
    <row r="113" spans="1:3" x14ac:dyDescent="0.25">
      <c r="A113">
        <v>1635</v>
      </c>
      <c r="B113">
        <v>3.47</v>
      </c>
      <c r="C113" t="s">
        <v>184</v>
      </c>
    </row>
    <row r="114" spans="1:3" x14ac:dyDescent="0.25">
      <c r="A114">
        <v>1636</v>
      </c>
      <c r="B114">
        <v>1.21</v>
      </c>
      <c r="C114" t="s">
        <v>184</v>
      </c>
    </row>
    <row r="115" spans="1:3" x14ac:dyDescent="0.25">
      <c r="A115">
        <v>1637</v>
      </c>
      <c r="B115">
        <v>0.63</v>
      </c>
      <c r="C115" t="s">
        <v>184</v>
      </c>
    </row>
    <row r="116" spans="1:3" x14ac:dyDescent="0.25">
      <c r="A116">
        <v>1638</v>
      </c>
      <c r="B116">
        <v>1.22</v>
      </c>
      <c r="C116">
        <v>1.47</v>
      </c>
    </row>
    <row r="117" spans="1:3" x14ac:dyDescent="0.25">
      <c r="A117">
        <v>1639</v>
      </c>
      <c r="B117">
        <v>1.6</v>
      </c>
      <c r="C117">
        <v>1.47</v>
      </c>
    </row>
    <row r="118" spans="1:3" x14ac:dyDescent="0.25">
      <c r="A118">
        <v>1647</v>
      </c>
      <c r="B118">
        <v>3.9</v>
      </c>
      <c r="C118">
        <v>2.2000000000000002</v>
      </c>
    </row>
    <row r="119" spans="1:3" x14ac:dyDescent="0.25">
      <c r="A119">
        <v>1648</v>
      </c>
      <c r="B119">
        <v>3.93</v>
      </c>
      <c r="C119" t="s">
        <v>184</v>
      </c>
    </row>
    <row r="120" spans="1:3" x14ac:dyDescent="0.25">
      <c r="A120">
        <v>1649</v>
      </c>
      <c r="B120">
        <v>5.82</v>
      </c>
      <c r="C120" t="s">
        <v>184</v>
      </c>
    </row>
    <row r="121" spans="1:3" x14ac:dyDescent="0.25">
      <c r="A121">
        <v>1650</v>
      </c>
      <c r="B121">
        <v>2.95</v>
      </c>
      <c r="C121" t="s">
        <v>184</v>
      </c>
    </row>
    <row r="122" spans="1:3" x14ac:dyDescent="0.25">
      <c r="A122">
        <v>1651</v>
      </c>
      <c r="B122">
        <v>104.75</v>
      </c>
      <c r="C122" t="s">
        <v>184</v>
      </c>
    </row>
    <row r="123" spans="1:3" x14ac:dyDescent="0.25">
      <c r="A123">
        <v>1652</v>
      </c>
      <c r="B123">
        <v>5.17</v>
      </c>
      <c r="C123" t="s">
        <v>184</v>
      </c>
    </row>
    <row r="124" spans="1:3" x14ac:dyDescent="0.25">
      <c r="A124">
        <v>1653</v>
      </c>
      <c r="B124">
        <v>10.95</v>
      </c>
      <c r="C124" t="s">
        <v>184</v>
      </c>
    </row>
    <row r="125" spans="1:3" x14ac:dyDescent="0.25">
      <c r="A125">
        <v>1654</v>
      </c>
      <c r="B125">
        <v>1.63</v>
      </c>
      <c r="C125">
        <v>1.5</v>
      </c>
    </row>
    <row r="126" spans="1:3" x14ac:dyDescent="0.25">
      <c r="A126">
        <v>1655</v>
      </c>
      <c r="B126">
        <v>1.99</v>
      </c>
      <c r="C126">
        <v>1.39</v>
      </c>
    </row>
    <row r="127" spans="1:3" x14ac:dyDescent="0.25">
      <c r="A127">
        <v>1656</v>
      </c>
      <c r="B127">
        <v>1.62</v>
      </c>
      <c r="C127">
        <v>1.39</v>
      </c>
    </row>
    <row r="128" spans="1:3" x14ac:dyDescent="0.25">
      <c r="A128">
        <v>1657</v>
      </c>
      <c r="B128">
        <v>5.84</v>
      </c>
      <c r="C128" t="s">
        <v>184</v>
      </c>
    </row>
    <row r="129" spans="1:3" x14ac:dyDescent="0.25">
      <c r="A129">
        <v>1658</v>
      </c>
      <c r="B129">
        <v>24.69</v>
      </c>
      <c r="C129">
        <v>1.51</v>
      </c>
    </row>
    <row r="130" spans="1:3" x14ac:dyDescent="0.25">
      <c r="A130">
        <v>1660</v>
      </c>
      <c r="B130">
        <v>1.81</v>
      </c>
      <c r="C130">
        <v>1.51</v>
      </c>
    </row>
    <row r="131" spans="1:3" x14ac:dyDescent="0.25">
      <c r="A131">
        <v>1663</v>
      </c>
      <c r="B131">
        <v>1.96</v>
      </c>
      <c r="C131">
        <v>1.38</v>
      </c>
    </row>
    <row r="132" spans="1:3" x14ac:dyDescent="0.25">
      <c r="A132">
        <v>1667</v>
      </c>
      <c r="B132">
        <v>0.98</v>
      </c>
      <c r="C132" t="s">
        <v>184</v>
      </c>
    </row>
    <row r="133" spans="1:3" x14ac:dyDescent="0.25">
      <c r="A133">
        <v>1668</v>
      </c>
      <c r="B133">
        <v>1.68</v>
      </c>
      <c r="C133" t="s">
        <v>184</v>
      </c>
    </row>
    <row r="134" spans="1:3" x14ac:dyDescent="0.25">
      <c r="A134">
        <v>1670</v>
      </c>
      <c r="B134">
        <v>2.36</v>
      </c>
      <c r="C134">
        <v>1.6192604501531411</v>
      </c>
    </row>
    <row r="135" spans="1:3" x14ac:dyDescent="0.25">
      <c r="A135">
        <v>1672</v>
      </c>
      <c r="B135">
        <v>2.4300000000000002</v>
      </c>
      <c r="C135" t="s">
        <v>184</v>
      </c>
    </row>
    <row r="136" spans="1:3" x14ac:dyDescent="0.25">
      <c r="A136">
        <v>1674</v>
      </c>
      <c r="B136">
        <v>0.7</v>
      </c>
      <c r="C136">
        <v>4.71</v>
      </c>
    </row>
    <row r="137" spans="1:3" x14ac:dyDescent="0.25">
      <c r="A137">
        <v>1676</v>
      </c>
      <c r="B137">
        <v>1.48</v>
      </c>
      <c r="C137">
        <v>1.37</v>
      </c>
    </row>
    <row r="138" spans="1:3" x14ac:dyDescent="0.25">
      <c r="A138">
        <v>1677</v>
      </c>
      <c r="B138">
        <v>3.32</v>
      </c>
      <c r="C138">
        <v>1.860358303030303</v>
      </c>
    </row>
    <row r="139" spans="1:3" x14ac:dyDescent="0.25">
      <c r="A139">
        <v>1678</v>
      </c>
      <c r="B139">
        <v>2.62</v>
      </c>
      <c r="C139">
        <v>1.66</v>
      </c>
    </row>
    <row r="140" spans="1:3" x14ac:dyDescent="0.25">
      <c r="A140">
        <v>1679</v>
      </c>
      <c r="B140">
        <v>3.81</v>
      </c>
      <c r="C140">
        <v>1.66</v>
      </c>
    </row>
    <row r="141" spans="1:3" x14ac:dyDescent="0.25">
      <c r="A141">
        <v>1680</v>
      </c>
      <c r="B141">
        <v>3.63</v>
      </c>
      <c r="C141">
        <v>1.62</v>
      </c>
    </row>
    <row r="142" spans="1:3" x14ac:dyDescent="0.25">
      <c r="A142">
        <v>1681</v>
      </c>
      <c r="B142">
        <v>1.66</v>
      </c>
      <c r="C142">
        <v>1.51</v>
      </c>
    </row>
    <row r="143" spans="1:3" x14ac:dyDescent="0.25">
      <c r="A143">
        <v>1682</v>
      </c>
      <c r="B143">
        <v>3.4</v>
      </c>
      <c r="C143">
        <v>1.62</v>
      </c>
    </row>
    <row r="144" spans="1:3" x14ac:dyDescent="0.25">
      <c r="A144">
        <v>1683</v>
      </c>
      <c r="B144">
        <v>3.01</v>
      </c>
      <c r="C144">
        <v>1.62</v>
      </c>
    </row>
    <row r="145" spans="1:3" x14ac:dyDescent="0.25">
      <c r="A145">
        <v>1685</v>
      </c>
      <c r="B145">
        <v>1.41</v>
      </c>
      <c r="C145">
        <v>1.51</v>
      </c>
    </row>
    <row r="146" spans="1:3" x14ac:dyDescent="0.25">
      <c r="A146">
        <v>1686</v>
      </c>
      <c r="B146">
        <v>1.72</v>
      </c>
      <c r="C146">
        <v>1.46</v>
      </c>
    </row>
    <row r="147" spans="1:3" x14ac:dyDescent="0.25">
      <c r="A147">
        <v>1687</v>
      </c>
      <c r="B147">
        <v>1.71</v>
      </c>
      <c r="C147">
        <v>1.7</v>
      </c>
    </row>
    <row r="148" spans="1:3" x14ac:dyDescent="0.25">
      <c r="A148">
        <v>1688</v>
      </c>
      <c r="B148">
        <v>110.99</v>
      </c>
      <c r="C148">
        <v>1.55</v>
      </c>
    </row>
    <row r="149" spans="1:3" x14ac:dyDescent="0.25">
      <c r="A149">
        <v>1689</v>
      </c>
      <c r="B149">
        <v>2.11</v>
      </c>
      <c r="C149">
        <v>1.43</v>
      </c>
    </row>
    <row r="150" spans="1:3" x14ac:dyDescent="0.25">
      <c r="A150">
        <v>1690</v>
      </c>
      <c r="B150">
        <v>7.49</v>
      </c>
      <c r="C150">
        <v>1.66</v>
      </c>
    </row>
    <row r="151" spans="1:3" x14ac:dyDescent="0.25">
      <c r="A151">
        <v>1691</v>
      </c>
      <c r="B151">
        <v>2.38</v>
      </c>
      <c r="C151" t="s">
        <v>184</v>
      </c>
    </row>
    <row r="152" spans="1:3" x14ac:dyDescent="0.25">
      <c r="A152">
        <v>1692</v>
      </c>
      <c r="B152">
        <v>10.43</v>
      </c>
      <c r="C152" t="s">
        <v>184</v>
      </c>
    </row>
    <row r="153" spans="1:3" x14ac:dyDescent="0.25">
      <c r="A153">
        <v>1693</v>
      </c>
      <c r="B153">
        <v>1.48</v>
      </c>
      <c r="C153" t="s">
        <v>184</v>
      </c>
    </row>
    <row r="154" spans="1:3" x14ac:dyDescent="0.25">
      <c r="A154">
        <v>1694</v>
      </c>
      <c r="B154">
        <v>2.21</v>
      </c>
      <c r="C154" t="s">
        <v>184</v>
      </c>
    </row>
    <row r="155" spans="1:3" x14ac:dyDescent="0.25">
      <c r="A155">
        <v>1695</v>
      </c>
      <c r="B155">
        <v>1.7</v>
      </c>
      <c r="C155">
        <v>1.45</v>
      </c>
    </row>
    <row r="156" spans="1:3" x14ac:dyDescent="0.25">
      <c r="A156">
        <v>1696</v>
      </c>
      <c r="B156">
        <v>1.29</v>
      </c>
      <c r="C156">
        <v>1.44</v>
      </c>
    </row>
    <row r="157" spans="1:3" x14ac:dyDescent="0.25">
      <c r="A157">
        <v>1698</v>
      </c>
      <c r="B157">
        <v>1.79</v>
      </c>
      <c r="C157">
        <v>2.33</v>
      </c>
    </row>
    <row r="158" spans="1:3" x14ac:dyDescent="0.25">
      <c r="A158">
        <v>1699</v>
      </c>
      <c r="B158">
        <v>3.03</v>
      </c>
      <c r="C158">
        <v>2.33</v>
      </c>
    </row>
    <row r="159" spans="1:3" x14ac:dyDescent="0.25">
      <c r="A159">
        <v>1700</v>
      </c>
      <c r="B159">
        <v>0.75</v>
      </c>
      <c r="C159">
        <v>1.43</v>
      </c>
    </row>
    <row r="160" spans="1:3" x14ac:dyDescent="0.25">
      <c r="A160">
        <v>1701</v>
      </c>
      <c r="B160">
        <v>2.1800000000000002</v>
      </c>
      <c r="C160">
        <v>1.8</v>
      </c>
    </row>
    <row r="161" spans="1:3" x14ac:dyDescent="0.25">
      <c r="A161">
        <v>1702</v>
      </c>
      <c r="B161">
        <v>22.01</v>
      </c>
      <c r="C161">
        <v>1.8</v>
      </c>
    </row>
    <row r="162" spans="1:3" x14ac:dyDescent="0.25">
      <c r="A162">
        <v>1703</v>
      </c>
      <c r="B162">
        <v>0.99</v>
      </c>
      <c r="C162">
        <v>2.0499999999999998</v>
      </c>
    </row>
    <row r="163" spans="1:3" x14ac:dyDescent="0.25">
      <c r="A163">
        <v>1704</v>
      </c>
      <c r="B163">
        <v>2.38</v>
      </c>
      <c r="C163">
        <v>3</v>
      </c>
    </row>
    <row r="164" spans="1:3" x14ac:dyDescent="0.25">
      <c r="A164">
        <v>1705</v>
      </c>
      <c r="B164">
        <v>2.67</v>
      </c>
      <c r="C164">
        <v>1.68</v>
      </c>
    </row>
    <row r="165" spans="1:3" x14ac:dyDescent="0.25">
      <c r="A165">
        <v>1706</v>
      </c>
      <c r="B165">
        <v>0.65</v>
      </c>
      <c r="C165">
        <v>3</v>
      </c>
    </row>
    <row r="166" spans="1:3" x14ac:dyDescent="0.25">
      <c r="A166">
        <v>1707</v>
      </c>
      <c r="B166">
        <v>2.09</v>
      </c>
      <c r="C166">
        <v>3</v>
      </c>
    </row>
    <row r="167" spans="1:3" x14ac:dyDescent="0.25">
      <c r="A167">
        <v>1708</v>
      </c>
      <c r="B167">
        <v>1.32</v>
      </c>
      <c r="C167">
        <v>3</v>
      </c>
    </row>
    <row r="168" spans="1:3" x14ac:dyDescent="0.25">
      <c r="A168">
        <v>1709</v>
      </c>
      <c r="B168">
        <v>0.8</v>
      </c>
      <c r="C168">
        <v>3</v>
      </c>
    </row>
    <row r="169" spans="1:3" x14ac:dyDescent="0.25">
      <c r="A169">
        <v>1710</v>
      </c>
      <c r="B169">
        <v>2.35</v>
      </c>
      <c r="C169">
        <v>3</v>
      </c>
    </row>
    <row r="170" spans="1:3" x14ac:dyDescent="0.25">
      <c r="A170">
        <v>1711</v>
      </c>
      <c r="B170">
        <v>2.4500000000000002</v>
      </c>
      <c r="C170">
        <v>1.8</v>
      </c>
    </row>
    <row r="171" spans="1:3" x14ac:dyDescent="0.25">
      <c r="A171">
        <v>1712</v>
      </c>
      <c r="B171">
        <v>88.93</v>
      </c>
      <c r="C171">
        <v>3</v>
      </c>
    </row>
    <row r="172" spans="1:3" x14ac:dyDescent="0.25">
      <c r="A172">
        <v>1713</v>
      </c>
      <c r="B172">
        <v>2.08</v>
      </c>
      <c r="C172">
        <v>1.641429920708561</v>
      </c>
    </row>
    <row r="173" spans="1:3" x14ac:dyDescent="0.25">
      <c r="A173">
        <v>1714</v>
      </c>
      <c r="B173">
        <v>2.41</v>
      </c>
      <c r="C173">
        <v>1.54</v>
      </c>
    </row>
    <row r="174" spans="1:3" x14ac:dyDescent="0.25">
      <c r="A174">
        <v>1715</v>
      </c>
      <c r="B174">
        <v>1.93</v>
      </c>
      <c r="C174" t="s">
        <v>184</v>
      </c>
    </row>
    <row r="175" spans="1:3" x14ac:dyDescent="0.25">
      <c r="A175">
        <v>1717</v>
      </c>
      <c r="B175">
        <v>1.93</v>
      </c>
      <c r="C175">
        <v>3</v>
      </c>
    </row>
    <row r="176" spans="1:3" x14ac:dyDescent="0.25">
      <c r="A176">
        <v>1719</v>
      </c>
      <c r="B176">
        <v>2.2200000000000002</v>
      </c>
      <c r="C176">
        <v>3</v>
      </c>
    </row>
    <row r="177" spans="1:3" x14ac:dyDescent="0.25">
      <c r="A177">
        <v>1720</v>
      </c>
      <c r="B177">
        <v>1.82</v>
      </c>
      <c r="C177">
        <v>1.5641620269010157</v>
      </c>
    </row>
    <row r="178" spans="1:3" x14ac:dyDescent="0.25">
      <c r="A178">
        <v>1721</v>
      </c>
      <c r="B178">
        <v>1.8</v>
      </c>
      <c r="C178">
        <v>1.69</v>
      </c>
    </row>
    <row r="179" spans="1:3" x14ac:dyDescent="0.25">
      <c r="A179">
        <v>1722</v>
      </c>
      <c r="B179">
        <v>2.42</v>
      </c>
      <c r="C179">
        <v>1.62</v>
      </c>
    </row>
    <row r="180" spans="1:3" x14ac:dyDescent="0.25">
      <c r="A180">
        <v>1723</v>
      </c>
      <c r="B180">
        <v>1.82</v>
      </c>
      <c r="C180">
        <v>2.08</v>
      </c>
    </row>
    <row r="181" spans="1:3" x14ac:dyDescent="0.25">
      <c r="A181">
        <v>1724</v>
      </c>
      <c r="B181">
        <v>2.92</v>
      </c>
      <c r="C181">
        <v>3</v>
      </c>
    </row>
    <row r="182" spans="1:3" x14ac:dyDescent="0.25">
      <c r="A182">
        <v>1725</v>
      </c>
      <c r="B182">
        <v>5.42</v>
      </c>
      <c r="C182" t="s">
        <v>184</v>
      </c>
    </row>
    <row r="183" spans="1:3" x14ac:dyDescent="0.25">
      <c r="A183">
        <v>1726</v>
      </c>
      <c r="B183">
        <v>2.6</v>
      </c>
      <c r="C183">
        <v>3</v>
      </c>
    </row>
    <row r="184" spans="1:3" x14ac:dyDescent="0.25">
      <c r="A184">
        <v>1727</v>
      </c>
      <c r="B184">
        <v>3.02</v>
      </c>
      <c r="C184">
        <v>1.8401413351820142</v>
      </c>
    </row>
    <row r="185" spans="1:3" x14ac:dyDescent="0.25">
      <c r="A185">
        <v>1728</v>
      </c>
      <c r="B185">
        <v>3.77</v>
      </c>
      <c r="C185" t="s">
        <v>184</v>
      </c>
    </row>
    <row r="186" spans="1:3" x14ac:dyDescent="0.25">
      <c r="A186">
        <v>1729</v>
      </c>
      <c r="B186">
        <v>3.85</v>
      </c>
      <c r="C186" t="s">
        <v>184</v>
      </c>
    </row>
    <row r="187" spans="1:3" x14ac:dyDescent="0.25">
      <c r="A187">
        <v>1730</v>
      </c>
      <c r="B187">
        <v>3.86</v>
      </c>
      <c r="C187">
        <v>3</v>
      </c>
    </row>
    <row r="188" spans="1:3" x14ac:dyDescent="0.25">
      <c r="A188">
        <v>1731</v>
      </c>
      <c r="B188">
        <v>3.04</v>
      </c>
      <c r="C188">
        <v>3</v>
      </c>
    </row>
    <row r="189" spans="1:3" x14ac:dyDescent="0.25">
      <c r="A189">
        <v>1732</v>
      </c>
      <c r="B189">
        <v>0.48</v>
      </c>
      <c r="C189" t="s">
        <v>184</v>
      </c>
    </row>
    <row r="190" spans="1:3" x14ac:dyDescent="0.25">
      <c r="A190">
        <v>1733</v>
      </c>
      <c r="B190">
        <v>11.81</v>
      </c>
      <c r="C190">
        <v>2.2000000000000002</v>
      </c>
    </row>
    <row r="191" spans="1:3" x14ac:dyDescent="0.25">
      <c r="A191">
        <v>1734</v>
      </c>
      <c r="B191">
        <v>1.73</v>
      </c>
      <c r="C191">
        <v>1.2795066934970676</v>
      </c>
    </row>
    <row r="192" spans="1:3" x14ac:dyDescent="0.25">
      <c r="A192">
        <v>1735</v>
      </c>
      <c r="B192">
        <v>2.77</v>
      </c>
      <c r="C192">
        <v>3</v>
      </c>
    </row>
    <row r="193" spans="1:4" x14ac:dyDescent="0.25">
      <c r="A193" s="14">
        <v>1736</v>
      </c>
      <c r="B193" s="12">
        <v>1</v>
      </c>
      <c r="C193">
        <v>1.8</v>
      </c>
      <c r="D193" s="12" t="s">
        <v>191</v>
      </c>
    </row>
    <row r="194" spans="1:4" x14ac:dyDescent="0.25">
      <c r="A194">
        <v>1737</v>
      </c>
      <c r="B194">
        <v>6.04</v>
      </c>
      <c r="C194" t="s">
        <v>184</v>
      </c>
    </row>
    <row r="195" spans="1:4" x14ac:dyDescent="0.25">
      <c r="A195">
        <v>1738</v>
      </c>
      <c r="B195">
        <v>3.34</v>
      </c>
      <c r="C195">
        <v>3</v>
      </c>
    </row>
    <row r="196" spans="1:4" x14ac:dyDescent="0.25">
      <c r="A196">
        <v>1739</v>
      </c>
      <c r="B196">
        <v>4.7699999999999996</v>
      </c>
      <c r="C196">
        <v>1.79</v>
      </c>
    </row>
    <row r="197" spans="1:4" x14ac:dyDescent="0.25">
      <c r="A197">
        <v>1740</v>
      </c>
      <c r="B197">
        <v>0.84</v>
      </c>
      <c r="C197">
        <v>3</v>
      </c>
    </row>
    <row r="198" spans="1:4" x14ac:dyDescent="0.25">
      <c r="A198">
        <v>1741</v>
      </c>
      <c r="B198">
        <v>5.47</v>
      </c>
      <c r="C198">
        <v>2.2000000000000002</v>
      </c>
    </row>
    <row r="199" spans="1:4" x14ac:dyDescent="0.25">
      <c r="A199">
        <v>1742</v>
      </c>
      <c r="B199">
        <v>13.68</v>
      </c>
      <c r="C199">
        <v>3</v>
      </c>
    </row>
    <row r="200" spans="1:4" x14ac:dyDescent="0.25">
      <c r="A200">
        <v>1743</v>
      </c>
      <c r="B200">
        <v>1.3</v>
      </c>
      <c r="C200">
        <v>2.99</v>
      </c>
    </row>
    <row r="201" spans="1:4" x14ac:dyDescent="0.25">
      <c r="A201">
        <v>1744</v>
      </c>
      <c r="B201">
        <v>2.2200000000000002</v>
      </c>
      <c r="C201">
        <v>1.57</v>
      </c>
    </row>
    <row r="202" spans="1:4" x14ac:dyDescent="0.25">
      <c r="A202">
        <v>1745</v>
      </c>
      <c r="B202">
        <v>2.59</v>
      </c>
      <c r="C202">
        <v>3</v>
      </c>
    </row>
    <row r="203" spans="1:4" x14ac:dyDescent="0.25">
      <c r="A203">
        <v>1748</v>
      </c>
      <c r="B203">
        <v>1.89</v>
      </c>
      <c r="C203">
        <v>3</v>
      </c>
    </row>
    <row r="204" spans="1:4" x14ac:dyDescent="0.25">
      <c r="A204">
        <v>1749</v>
      </c>
      <c r="B204">
        <v>3.46</v>
      </c>
      <c r="C204">
        <v>3</v>
      </c>
    </row>
    <row r="205" spans="1:4" x14ac:dyDescent="0.25">
      <c r="A205">
        <v>1751</v>
      </c>
      <c r="B205">
        <v>2</v>
      </c>
      <c r="C205">
        <v>1.48</v>
      </c>
    </row>
    <row r="206" spans="1:4" x14ac:dyDescent="0.25">
      <c r="A206">
        <v>1753</v>
      </c>
      <c r="B206">
        <v>2.42</v>
      </c>
      <c r="C206">
        <v>1.72</v>
      </c>
    </row>
    <row r="207" spans="1:4" x14ac:dyDescent="0.25">
      <c r="A207">
        <v>1755</v>
      </c>
      <c r="B207">
        <v>1.44</v>
      </c>
      <c r="C207">
        <v>1.36</v>
      </c>
    </row>
    <row r="208" spans="1:4" x14ac:dyDescent="0.25">
      <c r="A208">
        <v>1756</v>
      </c>
      <c r="B208">
        <v>1.72</v>
      </c>
      <c r="C208">
        <v>1.71</v>
      </c>
    </row>
    <row r="209" spans="1:4" x14ac:dyDescent="0.25">
      <c r="A209">
        <v>1757</v>
      </c>
      <c r="B209">
        <v>3.02</v>
      </c>
      <c r="C209">
        <v>3</v>
      </c>
    </row>
    <row r="210" spans="1:4" x14ac:dyDescent="0.25">
      <c r="A210">
        <v>1758</v>
      </c>
      <c r="B210">
        <v>2.4300000000000002</v>
      </c>
      <c r="C210">
        <v>1.7</v>
      </c>
    </row>
    <row r="211" spans="1:4" x14ac:dyDescent="0.25">
      <c r="A211">
        <v>1759</v>
      </c>
      <c r="B211">
        <v>2.11</v>
      </c>
      <c r="C211">
        <v>1.55</v>
      </c>
    </row>
    <row r="212" spans="1:4" x14ac:dyDescent="0.25">
      <c r="A212">
        <v>1760</v>
      </c>
      <c r="B212">
        <v>1.39</v>
      </c>
      <c r="C212">
        <v>3</v>
      </c>
    </row>
    <row r="213" spans="1:4" x14ac:dyDescent="0.25">
      <c r="A213">
        <v>1762</v>
      </c>
      <c r="B213">
        <v>2.5099999999999998</v>
      </c>
      <c r="C213">
        <v>3</v>
      </c>
    </row>
    <row r="214" spans="1:4" x14ac:dyDescent="0.25">
      <c r="A214">
        <v>1764</v>
      </c>
      <c r="B214">
        <v>1.97</v>
      </c>
      <c r="C214">
        <v>1.6</v>
      </c>
    </row>
    <row r="215" spans="1:4" x14ac:dyDescent="0.25">
      <c r="A215">
        <v>1765</v>
      </c>
      <c r="B215">
        <v>2.2999999999999998</v>
      </c>
      <c r="C215">
        <v>1.6</v>
      </c>
    </row>
    <row r="216" spans="1:4" x14ac:dyDescent="0.25">
      <c r="A216" s="14">
        <v>1766</v>
      </c>
      <c r="B216" s="12">
        <v>1</v>
      </c>
      <c r="C216">
        <v>1.77</v>
      </c>
      <c r="D216" s="12" t="s">
        <v>191</v>
      </c>
    </row>
    <row r="217" spans="1:4" x14ac:dyDescent="0.25">
      <c r="A217">
        <v>1767</v>
      </c>
      <c r="B217">
        <v>3.95</v>
      </c>
      <c r="C217">
        <v>1.58</v>
      </c>
    </row>
    <row r="218" spans="1:4" x14ac:dyDescent="0.25">
      <c r="A218">
        <v>1768</v>
      </c>
      <c r="B218">
        <v>3.05</v>
      </c>
      <c r="C218">
        <v>1.66</v>
      </c>
    </row>
    <row r="219" spans="1:4" x14ac:dyDescent="0.25">
      <c r="A219">
        <v>1769</v>
      </c>
      <c r="B219">
        <v>4.0999999999999996</v>
      </c>
      <c r="C219">
        <v>1.61</v>
      </c>
    </row>
    <row r="220" spans="1:4" x14ac:dyDescent="0.25">
      <c r="A220">
        <v>1770</v>
      </c>
      <c r="B220">
        <v>0.32</v>
      </c>
      <c r="C220">
        <v>3</v>
      </c>
    </row>
    <row r="221" spans="1:4" x14ac:dyDescent="0.25">
      <c r="A221">
        <v>1772</v>
      </c>
      <c r="B221">
        <v>1.66</v>
      </c>
      <c r="C221">
        <v>1.54</v>
      </c>
    </row>
    <row r="222" spans="1:4" x14ac:dyDescent="0.25">
      <c r="A222">
        <v>1773</v>
      </c>
      <c r="B222">
        <v>1.28</v>
      </c>
      <c r="C222" t="s">
        <v>184</v>
      </c>
    </row>
    <row r="223" spans="1:4" x14ac:dyDescent="0.25">
      <c r="A223">
        <v>1774</v>
      </c>
      <c r="B223">
        <v>1.84</v>
      </c>
      <c r="C223">
        <v>3</v>
      </c>
    </row>
    <row r="224" spans="1:4" x14ac:dyDescent="0.25">
      <c r="A224" s="14">
        <v>1775</v>
      </c>
      <c r="B224" s="12">
        <v>1</v>
      </c>
      <c r="C224">
        <v>3</v>
      </c>
      <c r="D224" s="12" t="s">
        <v>191</v>
      </c>
    </row>
    <row r="225" spans="1:3" x14ac:dyDescent="0.25">
      <c r="A225">
        <v>1776</v>
      </c>
      <c r="B225">
        <v>0.99</v>
      </c>
      <c r="C225">
        <v>1.44</v>
      </c>
    </row>
    <row r="226" spans="1:3" x14ac:dyDescent="0.25">
      <c r="A226">
        <v>1777</v>
      </c>
      <c r="B226">
        <v>2.5499999999999998</v>
      </c>
      <c r="C226" t="s">
        <v>184</v>
      </c>
    </row>
    <row r="227" spans="1:3" x14ac:dyDescent="0.25">
      <c r="A227">
        <v>1778</v>
      </c>
      <c r="B227">
        <v>3.33</v>
      </c>
      <c r="C227">
        <v>1.75</v>
      </c>
    </row>
    <row r="228" spans="1:3" x14ac:dyDescent="0.25">
      <c r="A228">
        <v>1780</v>
      </c>
      <c r="B228">
        <v>1.73</v>
      </c>
      <c r="C228">
        <v>1.63</v>
      </c>
    </row>
    <row r="229" spans="1:3" x14ac:dyDescent="0.25">
      <c r="A229">
        <v>1781</v>
      </c>
      <c r="B229">
        <v>2.19</v>
      </c>
      <c r="C229">
        <v>1.53</v>
      </c>
    </row>
    <row r="230" spans="1:3" x14ac:dyDescent="0.25">
      <c r="A230">
        <v>1782</v>
      </c>
      <c r="B230">
        <v>4.05</v>
      </c>
      <c r="C230">
        <v>1.75</v>
      </c>
    </row>
    <row r="231" spans="1:3" x14ac:dyDescent="0.25">
      <c r="A231">
        <v>1783</v>
      </c>
      <c r="B231">
        <v>0.54</v>
      </c>
      <c r="C231">
        <v>1.75</v>
      </c>
    </row>
    <row r="232" spans="1:3" x14ac:dyDescent="0.25">
      <c r="A232">
        <v>1784</v>
      </c>
      <c r="B232">
        <v>3.9</v>
      </c>
      <c r="C232">
        <v>1.75</v>
      </c>
    </row>
    <row r="233" spans="1:3" x14ac:dyDescent="0.25">
      <c r="A233">
        <v>1785</v>
      </c>
      <c r="B233">
        <v>3.84</v>
      </c>
      <c r="C233">
        <v>1.75</v>
      </c>
    </row>
    <row r="234" spans="1:3" x14ac:dyDescent="0.25">
      <c r="A234">
        <v>1786</v>
      </c>
      <c r="B234">
        <v>2.4300000000000002</v>
      </c>
      <c r="C234">
        <v>1.75</v>
      </c>
    </row>
    <row r="235" spans="1:3" x14ac:dyDescent="0.25">
      <c r="A235">
        <v>1787</v>
      </c>
      <c r="B235">
        <v>3.7</v>
      </c>
      <c r="C235">
        <v>1.75</v>
      </c>
    </row>
    <row r="236" spans="1:3" x14ac:dyDescent="0.25">
      <c r="A236">
        <v>1788</v>
      </c>
      <c r="B236">
        <v>6.4</v>
      </c>
      <c r="C236">
        <v>1.76</v>
      </c>
    </row>
    <row r="237" spans="1:3" x14ac:dyDescent="0.25">
      <c r="A237">
        <v>1789</v>
      </c>
      <c r="B237">
        <v>1.45</v>
      </c>
      <c r="C237">
        <v>1.5</v>
      </c>
    </row>
    <row r="238" spans="1:3" x14ac:dyDescent="0.25">
      <c r="A238">
        <v>1791</v>
      </c>
      <c r="B238">
        <v>2.06</v>
      </c>
      <c r="C238">
        <v>1.39</v>
      </c>
    </row>
    <row r="239" spans="1:3" x14ac:dyDescent="0.25">
      <c r="A239">
        <v>1792</v>
      </c>
      <c r="B239">
        <v>1.34</v>
      </c>
      <c r="C239">
        <v>1.65</v>
      </c>
    </row>
    <row r="240" spans="1:3" x14ac:dyDescent="0.25">
      <c r="A240">
        <v>1793</v>
      </c>
      <c r="B240">
        <v>0.9</v>
      </c>
      <c r="C240" t="s">
        <v>184</v>
      </c>
    </row>
    <row r="241" spans="1:3" x14ac:dyDescent="0.25">
      <c r="A241">
        <v>1794</v>
      </c>
      <c r="B241">
        <v>2.42</v>
      </c>
      <c r="C241">
        <v>2.0934840558422132</v>
      </c>
    </row>
    <row r="242" spans="1:3" x14ac:dyDescent="0.25">
      <c r="A242">
        <v>1795</v>
      </c>
      <c r="B242">
        <v>2.88</v>
      </c>
      <c r="C242">
        <v>1.76</v>
      </c>
    </row>
    <row r="243" spans="1:3" x14ac:dyDescent="0.25">
      <c r="A243">
        <v>1796</v>
      </c>
      <c r="B243">
        <v>1.75</v>
      </c>
      <c r="C243">
        <v>1.5</v>
      </c>
    </row>
    <row r="244" spans="1:3" x14ac:dyDescent="0.25">
      <c r="A244">
        <v>1798</v>
      </c>
      <c r="B244">
        <v>1.73</v>
      </c>
      <c r="C244">
        <v>1.55</v>
      </c>
    </row>
    <row r="245" spans="1:3" x14ac:dyDescent="0.25">
      <c r="A245">
        <v>1799</v>
      </c>
      <c r="B245">
        <v>2.0499999999999998</v>
      </c>
      <c r="C245">
        <v>1.49</v>
      </c>
    </row>
    <row r="246" spans="1:3" x14ac:dyDescent="0.25">
      <c r="A246">
        <v>1800</v>
      </c>
      <c r="B246">
        <v>1.72</v>
      </c>
      <c r="C246">
        <v>1.62</v>
      </c>
    </row>
    <row r="247" spans="1:3" x14ac:dyDescent="0.25">
      <c r="A247">
        <v>1801</v>
      </c>
      <c r="B247">
        <v>2.94</v>
      </c>
      <c r="C247" t="s">
        <v>184</v>
      </c>
    </row>
    <row r="248" spans="1:3" x14ac:dyDescent="0.25">
      <c r="A248">
        <v>1802</v>
      </c>
      <c r="B248">
        <v>1.95</v>
      </c>
      <c r="C248">
        <v>1.53</v>
      </c>
    </row>
    <row r="249" spans="1:3" x14ac:dyDescent="0.25">
      <c r="A249">
        <v>1803</v>
      </c>
      <c r="B249">
        <v>2.81</v>
      </c>
      <c r="C249">
        <v>1.55</v>
      </c>
    </row>
    <row r="250" spans="1:3" x14ac:dyDescent="0.25">
      <c r="A250">
        <v>1804</v>
      </c>
      <c r="B250">
        <v>2.27</v>
      </c>
      <c r="C250">
        <v>1.5</v>
      </c>
    </row>
    <row r="251" spans="1:3" x14ac:dyDescent="0.25">
      <c r="A251">
        <v>1805</v>
      </c>
      <c r="B251">
        <v>1.65</v>
      </c>
      <c r="C251">
        <v>1.63</v>
      </c>
    </row>
    <row r="252" spans="1:3" x14ac:dyDescent="0.25">
      <c r="A252">
        <v>1806</v>
      </c>
      <c r="B252">
        <v>2</v>
      </c>
      <c r="C252">
        <v>1.76</v>
      </c>
    </row>
    <row r="253" spans="1:3" x14ac:dyDescent="0.25">
      <c r="A253">
        <v>1808</v>
      </c>
      <c r="B253">
        <v>1.26</v>
      </c>
      <c r="C253" t="s">
        <v>184</v>
      </c>
    </row>
    <row r="254" spans="1:3" x14ac:dyDescent="0.25">
      <c r="A254">
        <v>1810</v>
      </c>
      <c r="B254">
        <v>1.32</v>
      </c>
      <c r="C254">
        <v>1.6</v>
      </c>
    </row>
    <row r="255" spans="1:3" x14ac:dyDescent="0.25">
      <c r="A255">
        <v>1811</v>
      </c>
      <c r="B255">
        <v>2.66</v>
      </c>
      <c r="C255">
        <v>1.58</v>
      </c>
    </row>
    <row r="256" spans="1:3" x14ac:dyDescent="0.25">
      <c r="A256">
        <v>1812</v>
      </c>
      <c r="B256">
        <v>2.37</v>
      </c>
      <c r="C256">
        <v>1.54</v>
      </c>
    </row>
    <row r="257" spans="1:4" x14ac:dyDescent="0.25">
      <c r="A257">
        <v>1813</v>
      </c>
      <c r="B257">
        <v>2.5499999999999998</v>
      </c>
      <c r="C257">
        <v>2.06</v>
      </c>
    </row>
    <row r="258" spans="1:4" x14ac:dyDescent="0.25">
      <c r="A258">
        <v>1814</v>
      </c>
      <c r="B258">
        <v>0.57999999999999996</v>
      </c>
      <c r="C258" t="s">
        <v>184</v>
      </c>
    </row>
    <row r="259" spans="1:4" x14ac:dyDescent="0.25">
      <c r="A259">
        <v>1815</v>
      </c>
      <c r="B259">
        <v>1.71</v>
      </c>
      <c r="C259" t="s">
        <v>184</v>
      </c>
    </row>
    <row r="260" spans="1:4" x14ac:dyDescent="0.25">
      <c r="A260">
        <v>1816</v>
      </c>
      <c r="B260">
        <v>1.7</v>
      </c>
      <c r="C260">
        <v>1.51</v>
      </c>
    </row>
    <row r="261" spans="1:4" x14ac:dyDescent="0.25">
      <c r="A261">
        <v>1818</v>
      </c>
      <c r="B261">
        <v>1.1100000000000001</v>
      </c>
      <c r="C261">
        <v>1.5844558313597989</v>
      </c>
    </row>
    <row r="262" spans="1:4" x14ac:dyDescent="0.25">
      <c r="A262">
        <v>1822</v>
      </c>
      <c r="B262">
        <v>1.95</v>
      </c>
      <c r="C262">
        <v>1.5</v>
      </c>
    </row>
    <row r="263" spans="1:4" x14ac:dyDescent="0.25">
      <c r="A263">
        <v>1824</v>
      </c>
      <c r="B263">
        <v>2.44</v>
      </c>
      <c r="C263">
        <v>1.88</v>
      </c>
    </row>
    <row r="264" spans="1:4" x14ac:dyDescent="0.25">
      <c r="A264">
        <v>1825</v>
      </c>
      <c r="B264">
        <v>1.66</v>
      </c>
      <c r="C264">
        <v>1.49</v>
      </c>
    </row>
    <row r="265" spans="1:4" x14ac:dyDescent="0.25">
      <c r="A265">
        <v>1826</v>
      </c>
      <c r="B265">
        <v>2.62</v>
      </c>
      <c r="C265">
        <v>1.5499999999999998</v>
      </c>
    </row>
    <row r="266" spans="1:4" x14ac:dyDescent="0.25">
      <c r="A266" s="14">
        <v>1827</v>
      </c>
      <c r="B266" s="12">
        <v>1</v>
      </c>
      <c r="C266">
        <v>1.65</v>
      </c>
      <c r="D266" s="12" t="s">
        <v>191</v>
      </c>
    </row>
    <row r="267" spans="1:4" x14ac:dyDescent="0.25">
      <c r="A267">
        <v>1829</v>
      </c>
      <c r="B267">
        <v>1.35</v>
      </c>
      <c r="C267">
        <v>1.51</v>
      </c>
    </row>
    <row r="268" spans="1:4" x14ac:dyDescent="0.25">
      <c r="A268">
        <v>1832</v>
      </c>
      <c r="B268">
        <v>0.54</v>
      </c>
      <c r="C268">
        <v>1.5117</v>
      </c>
    </row>
    <row r="269" spans="1:4" x14ac:dyDescent="0.25">
      <c r="A269">
        <v>1833</v>
      </c>
      <c r="B269">
        <v>3.25</v>
      </c>
      <c r="C269">
        <v>1.85</v>
      </c>
    </row>
    <row r="270" spans="1:4" x14ac:dyDescent="0.25">
      <c r="A270">
        <v>1834</v>
      </c>
      <c r="B270">
        <v>0.95</v>
      </c>
      <c r="C270">
        <v>1.85</v>
      </c>
    </row>
    <row r="271" spans="1:4" x14ac:dyDescent="0.25">
      <c r="A271">
        <v>1835</v>
      </c>
      <c r="B271">
        <v>2.78</v>
      </c>
      <c r="C271">
        <v>1.57</v>
      </c>
    </row>
    <row r="272" spans="1:4" x14ac:dyDescent="0.25">
      <c r="A272">
        <v>1836</v>
      </c>
      <c r="B272">
        <v>1.1299999999999999</v>
      </c>
      <c r="C272">
        <v>1.1399999999999999</v>
      </c>
    </row>
    <row r="273" spans="1:4" x14ac:dyDescent="0.25">
      <c r="A273">
        <v>1837</v>
      </c>
      <c r="B273">
        <v>1.98</v>
      </c>
      <c r="C273">
        <v>1.62</v>
      </c>
    </row>
    <row r="274" spans="1:4" x14ac:dyDescent="0.25">
      <c r="A274">
        <v>1838</v>
      </c>
      <c r="B274">
        <v>1.92</v>
      </c>
      <c r="C274">
        <v>1.5</v>
      </c>
    </row>
    <row r="275" spans="1:4" x14ac:dyDescent="0.25">
      <c r="A275">
        <v>1839</v>
      </c>
      <c r="B275">
        <v>7.19</v>
      </c>
      <c r="C275">
        <v>1.7</v>
      </c>
    </row>
    <row r="276" spans="1:4" x14ac:dyDescent="0.25">
      <c r="A276">
        <v>1841</v>
      </c>
      <c r="B276">
        <v>1.78</v>
      </c>
      <c r="C276">
        <v>1.7</v>
      </c>
    </row>
    <row r="277" spans="1:4" x14ac:dyDescent="0.25">
      <c r="A277">
        <v>1843</v>
      </c>
      <c r="B277">
        <v>1.92</v>
      </c>
      <c r="C277">
        <v>1.7</v>
      </c>
    </row>
    <row r="278" spans="1:4" x14ac:dyDescent="0.25">
      <c r="A278" s="14">
        <v>1845</v>
      </c>
      <c r="B278" s="12">
        <v>1</v>
      </c>
      <c r="C278">
        <v>2.1172236850106416</v>
      </c>
      <c r="D278" s="12" t="s">
        <v>191</v>
      </c>
    </row>
    <row r="279" spans="1:4" x14ac:dyDescent="0.25">
      <c r="A279">
        <v>1846</v>
      </c>
      <c r="B279">
        <v>1.72</v>
      </c>
      <c r="C279">
        <v>1.3433887769614961</v>
      </c>
    </row>
    <row r="280" spans="1:4" x14ac:dyDescent="0.25">
      <c r="A280" s="14">
        <v>1847</v>
      </c>
      <c r="B280" s="12">
        <v>1</v>
      </c>
      <c r="C280" t="s">
        <v>184</v>
      </c>
      <c r="D280" s="12" t="s">
        <v>191</v>
      </c>
    </row>
    <row r="281" spans="1:4" x14ac:dyDescent="0.25">
      <c r="A281">
        <v>1848</v>
      </c>
      <c r="B281">
        <v>2.2999999999999998</v>
      </c>
      <c r="C281">
        <v>1.65</v>
      </c>
    </row>
    <row r="282" spans="1:4" x14ac:dyDescent="0.25">
      <c r="A282">
        <v>1849</v>
      </c>
      <c r="B282">
        <v>1.29</v>
      </c>
      <c r="C282">
        <v>1.98</v>
      </c>
    </row>
    <row r="283" spans="1:4" x14ac:dyDescent="0.25">
      <c r="A283">
        <v>1850</v>
      </c>
      <c r="B283">
        <v>0.85</v>
      </c>
      <c r="C283">
        <v>1.94</v>
      </c>
    </row>
    <row r="284" spans="1:4" x14ac:dyDescent="0.25">
      <c r="A284" s="14">
        <v>1851</v>
      </c>
      <c r="B284" s="12">
        <v>1</v>
      </c>
      <c r="C284" t="s">
        <v>184</v>
      </c>
      <c r="D284" s="12" t="s">
        <v>191</v>
      </c>
    </row>
    <row r="285" spans="1:4" x14ac:dyDescent="0.25">
      <c r="A285">
        <v>1853</v>
      </c>
      <c r="B285">
        <v>6.72</v>
      </c>
      <c r="C285">
        <v>1.55</v>
      </c>
    </row>
    <row r="286" spans="1:4" x14ac:dyDescent="0.25">
      <c r="A286">
        <v>1854</v>
      </c>
      <c r="B286">
        <v>2.14</v>
      </c>
      <c r="C286">
        <v>1.55</v>
      </c>
    </row>
    <row r="287" spans="1:4" x14ac:dyDescent="0.25">
      <c r="A287">
        <v>1855</v>
      </c>
      <c r="B287">
        <v>4.79</v>
      </c>
      <c r="C287">
        <v>3</v>
      </c>
    </row>
    <row r="288" spans="1:4" x14ac:dyDescent="0.25">
      <c r="A288">
        <v>1856</v>
      </c>
      <c r="B288">
        <v>1.69</v>
      </c>
      <c r="C288">
        <v>1.6</v>
      </c>
    </row>
    <row r="289" spans="1:3" x14ac:dyDescent="0.25">
      <c r="A289">
        <v>1857</v>
      </c>
      <c r="B289">
        <v>1.85</v>
      </c>
      <c r="C289">
        <v>1.45</v>
      </c>
    </row>
    <row r="290" spans="1:3" x14ac:dyDescent="0.25">
      <c r="A290">
        <v>1858</v>
      </c>
      <c r="B290">
        <v>0.73</v>
      </c>
      <c r="C290">
        <v>1.5</v>
      </c>
    </row>
    <row r="291" spans="1:3" x14ac:dyDescent="0.25">
      <c r="A291">
        <v>1859</v>
      </c>
      <c r="B291">
        <v>3.36</v>
      </c>
      <c r="C291">
        <v>2</v>
      </c>
    </row>
    <row r="292" spans="1:3" x14ac:dyDescent="0.25">
      <c r="A292">
        <v>1860</v>
      </c>
      <c r="B292">
        <v>1.61</v>
      </c>
      <c r="C292">
        <v>1.5</v>
      </c>
    </row>
    <row r="293" spans="1:3" x14ac:dyDescent="0.25">
      <c r="A293">
        <v>1861</v>
      </c>
      <c r="B293">
        <v>2.2200000000000002</v>
      </c>
      <c r="C293">
        <v>1.8824214440717431</v>
      </c>
    </row>
    <row r="294" spans="1:3" x14ac:dyDescent="0.25">
      <c r="A294">
        <v>1862</v>
      </c>
      <c r="B294">
        <v>2.29</v>
      </c>
      <c r="C294" t="s">
        <v>184</v>
      </c>
    </row>
    <row r="295" spans="1:3" x14ac:dyDescent="0.25">
      <c r="A295">
        <v>1863</v>
      </c>
      <c r="B295">
        <v>0.86</v>
      </c>
      <c r="C295" t="s">
        <v>184</v>
      </c>
    </row>
    <row r="296" spans="1:3" x14ac:dyDescent="0.25">
      <c r="A296">
        <v>1871</v>
      </c>
      <c r="B296">
        <v>1</v>
      </c>
      <c r="C296" t="s">
        <v>184</v>
      </c>
    </row>
    <row r="297" spans="1:3" x14ac:dyDescent="0.25">
      <c r="A297">
        <v>1872</v>
      </c>
      <c r="B297">
        <v>1.6</v>
      </c>
      <c r="C297" t="s">
        <v>184</v>
      </c>
    </row>
    <row r="298" spans="1:3" x14ac:dyDescent="0.25">
      <c r="A298">
        <v>1873</v>
      </c>
      <c r="B298">
        <v>1.83</v>
      </c>
      <c r="C298" t="s">
        <v>184</v>
      </c>
    </row>
    <row r="299" spans="1:3" x14ac:dyDescent="0.25">
      <c r="A299">
        <v>1874</v>
      </c>
      <c r="B299">
        <v>2.48</v>
      </c>
      <c r="C299" t="s">
        <v>184</v>
      </c>
    </row>
    <row r="300" spans="1:3" x14ac:dyDescent="0.25">
      <c r="A300">
        <v>1875</v>
      </c>
      <c r="B300">
        <v>2.0499999999999998</v>
      </c>
      <c r="C300" t="s">
        <v>184</v>
      </c>
    </row>
    <row r="301" spans="1:3" x14ac:dyDescent="0.25">
      <c r="A301">
        <v>1877</v>
      </c>
      <c r="B301">
        <v>1.82</v>
      </c>
      <c r="C301" t="s">
        <v>184</v>
      </c>
    </row>
    <row r="302" spans="1:3" x14ac:dyDescent="0.25">
      <c r="A302">
        <v>1879</v>
      </c>
      <c r="B302">
        <v>1.08</v>
      </c>
      <c r="C302" t="s">
        <v>184</v>
      </c>
    </row>
    <row r="303" spans="1:3" x14ac:dyDescent="0.25">
      <c r="A303">
        <v>1880</v>
      </c>
      <c r="B303">
        <v>2.16</v>
      </c>
      <c r="C303" t="s">
        <v>184</v>
      </c>
    </row>
    <row r="304" spans="1:3" x14ac:dyDescent="0.25">
      <c r="A304">
        <v>1881</v>
      </c>
      <c r="B304">
        <v>1.96</v>
      </c>
      <c r="C304" t="s">
        <v>184</v>
      </c>
    </row>
    <row r="305" spans="1:4" x14ac:dyDescent="0.25">
      <c r="A305">
        <v>1883</v>
      </c>
      <c r="B305">
        <v>5.27</v>
      </c>
      <c r="C305">
        <v>1.78</v>
      </c>
    </row>
    <row r="306" spans="1:4" x14ac:dyDescent="0.25">
      <c r="A306">
        <v>1884</v>
      </c>
      <c r="B306">
        <v>5.0599999999999996</v>
      </c>
      <c r="C306">
        <v>1.78</v>
      </c>
    </row>
    <row r="307" spans="1:4" x14ac:dyDescent="0.25">
      <c r="A307">
        <v>1885</v>
      </c>
      <c r="B307">
        <v>1.57</v>
      </c>
      <c r="C307">
        <v>1.85</v>
      </c>
    </row>
    <row r="308" spans="1:4" x14ac:dyDescent="0.25">
      <c r="A308">
        <v>1887</v>
      </c>
      <c r="B308">
        <v>1.2</v>
      </c>
      <c r="C308">
        <v>3</v>
      </c>
    </row>
    <row r="309" spans="1:4" x14ac:dyDescent="0.25">
      <c r="A309">
        <v>1890</v>
      </c>
      <c r="B309">
        <v>1.1100000000000001</v>
      </c>
      <c r="C309">
        <v>1.43</v>
      </c>
    </row>
    <row r="310" spans="1:4" x14ac:dyDescent="0.25">
      <c r="A310">
        <v>1891</v>
      </c>
      <c r="B310">
        <v>2.79</v>
      </c>
      <c r="C310">
        <v>1.51</v>
      </c>
    </row>
    <row r="311" spans="1:4" x14ac:dyDescent="0.25">
      <c r="A311">
        <v>1893</v>
      </c>
      <c r="B311">
        <v>1.87</v>
      </c>
      <c r="C311">
        <v>1.41</v>
      </c>
    </row>
    <row r="312" spans="1:4" x14ac:dyDescent="0.25">
      <c r="A312">
        <v>1894</v>
      </c>
      <c r="B312">
        <v>118.45</v>
      </c>
      <c r="C312">
        <v>1.72</v>
      </c>
    </row>
    <row r="313" spans="1:4" x14ac:dyDescent="0.25">
      <c r="A313">
        <v>1895</v>
      </c>
      <c r="B313">
        <v>5.94</v>
      </c>
      <c r="C313">
        <v>1.56</v>
      </c>
    </row>
    <row r="314" spans="1:4" x14ac:dyDescent="0.25">
      <c r="A314">
        <v>1899</v>
      </c>
      <c r="B314">
        <v>0.75</v>
      </c>
      <c r="C314">
        <v>1.8</v>
      </c>
    </row>
    <row r="315" spans="1:4" x14ac:dyDescent="0.25">
      <c r="A315">
        <v>1904</v>
      </c>
      <c r="B315">
        <v>2.38</v>
      </c>
      <c r="C315">
        <v>2.1</v>
      </c>
    </row>
    <row r="316" spans="1:4" x14ac:dyDescent="0.25">
      <c r="A316" s="14">
        <v>1888</v>
      </c>
      <c r="B316" s="12">
        <v>1</v>
      </c>
      <c r="D316" s="12" t="s">
        <v>191</v>
      </c>
    </row>
    <row r="317" spans="1:4" x14ac:dyDescent="0.25">
      <c r="A317" s="14">
        <v>1845</v>
      </c>
      <c r="B317" s="12">
        <v>1</v>
      </c>
      <c r="D317" s="12" t="s">
        <v>191</v>
      </c>
    </row>
    <row r="318" spans="1:4" x14ac:dyDescent="0.25">
      <c r="A318" s="14">
        <v>1900</v>
      </c>
      <c r="B318" s="12">
        <v>1</v>
      </c>
      <c r="D318" s="12" t="s">
        <v>191</v>
      </c>
    </row>
    <row r="319" spans="1:4" x14ac:dyDescent="0.25">
      <c r="A319" s="14">
        <v>1790</v>
      </c>
      <c r="B319" s="12">
        <v>1</v>
      </c>
      <c r="D319" s="12" t="s">
        <v>191</v>
      </c>
    </row>
    <row r="320" spans="1:4" x14ac:dyDescent="0.25">
      <c r="A320" s="14">
        <v>1866</v>
      </c>
      <c r="B320" s="12">
        <v>1</v>
      </c>
      <c r="D320" s="12" t="s">
        <v>191</v>
      </c>
    </row>
    <row r="321" spans="1:4" x14ac:dyDescent="0.25">
      <c r="A321" s="14">
        <v>1898</v>
      </c>
      <c r="B321" s="12">
        <v>1</v>
      </c>
      <c r="D321" s="12" t="s">
        <v>191</v>
      </c>
    </row>
    <row r="322" spans="1:4" x14ac:dyDescent="0.25">
      <c r="A322" s="16" t="s">
        <v>157</v>
      </c>
      <c r="B322">
        <v>1.5</v>
      </c>
      <c r="D322" s="16" t="s">
        <v>191</v>
      </c>
    </row>
  </sheetData>
  <autoFilter ref="A1:D321" xr:uid="{00000000-0009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3968"/>
  <sheetViews>
    <sheetView zoomScale="110" zoomScaleNormal="110" workbookViewId="0">
      <pane xSplit="1" ySplit="1" topLeftCell="B3955" activePane="bottomRight" state="frozen"/>
      <selection pane="topRight" activeCell="B1" sqref="B1"/>
      <selection pane="bottomLeft" activeCell="A2" sqref="A2"/>
      <selection pane="bottomRight" sqref="A1:J3968"/>
    </sheetView>
  </sheetViews>
  <sheetFormatPr baseColWidth="10" defaultRowHeight="15" x14ac:dyDescent="0.25"/>
  <cols>
    <col min="1" max="1" width="6.5703125" bestFit="1" customWidth="1"/>
    <col min="2" max="2" width="10.5703125" style="6" bestFit="1" customWidth="1"/>
    <col min="3" max="3" width="13.42578125" customWidth="1"/>
    <col min="4" max="4" width="13.42578125" style="16" customWidth="1"/>
    <col min="5" max="5" width="13.42578125" customWidth="1"/>
    <col min="6" max="6" width="15.7109375" style="7" bestFit="1" customWidth="1"/>
    <col min="7" max="7" width="14" bestFit="1" customWidth="1"/>
    <col min="8" max="8" width="15.85546875" customWidth="1"/>
    <col min="9" max="9" width="13" customWidth="1"/>
    <col min="10" max="10" width="11.140625" bestFit="1" customWidth="1"/>
  </cols>
  <sheetData>
    <row r="1" spans="1:10" ht="60" x14ac:dyDescent="0.25">
      <c r="A1" s="1" t="s">
        <v>0</v>
      </c>
      <c r="B1" s="2" t="s">
        <v>1</v>
      </c>
      <c r="C1" s="1" t="s">
        <v>196</v>
      </c>
      <c r="D1" s="1" t="s">
        <v>224</v>
      </c>
      <c r="E1" s="1" t="s">
        <v>2</v>
      </c>
      <c r="F1" s="3" t="s">
        <v>189</v>
      </c>
      <c r="G1" s="4" t="s">
        <v>3</v>
      </c>
      <c r="H1" s="1" t="s">
        <v>4</v>
      </c>
      <c r="I1" s="1" t="s">
        <v>5</v>
      </c>
      <c r="J1" s="1" t="s">
        <v>6</v>
      </c>
    </row>
    <row r="2" spans="1:10" x14ac:dyDescent="0.25">
      <c r="A2" s="36">
        <v>1580</v>
      </c>
      <c r="B2" s="37">
        <v>43466</v>
      </c>
      <c r="C2" s="36"/>
      <c r="D2" s="36"/>
      <c r="E2" s="36" t="s">
        <v>7</v>
      </c>
      <c r="F2" s="38">
        <v>5273934.6806999994</v>
      </c>
      <c r="G2" s="36" t="s">
        <v>8</v>
      </c>
      <c r="H2" s="36" t="s">
        <v>228</v>
      </c>
      <c r="I2" s="36"/>
      <c r="J2" s="36"/>
    </row>
    <row r="3" spans="1:10" x14ac:dyDescent="0.25">
      <c r="A3" s="36">
        <v>1580</v>
      </c>
      <c r="B3" s="37">
        <v>43497</v>
      </c>
      <c r="C3" s="36"/>
      <c r="D3" s="36"/>
      <c r="E3" s="36" t="s">
        <v>7</v>
      </c>
      <c r="F3" s="38">
        <v>5273934.6806999994</v>
      </c>
      <c r="G3" s="36" t="s">
        <v>8</v>
      </c>
      <c r="H3" s="36" t="s">
        <v>228</v>
      </c>
      <c r="I3" s="36"/>
      <c r="J3" s="36"/>
    </row>
    <row r="4" spans="1:10" x14ac:dyDescent="0.25">
      <c r="A4" s="36">
        <v>1580</v>
      </c>
      <c r="B4" s="37">
        <v>43525</v>
      </c>
      <c r="C4" s="36"/>
      <c r="D4" s="36"/>
      <c r="E4" s="36" t="s">
        <v>7</v>
      </c>
      <c r="F4" s="38">
        <v>5273934.6806999994</v>
      </c>
      <c r="G4" s="36" t="s">
        <v>8</v>
      </c>
      <c r="H4" s="36" t="s">
        <v>228</v>
      </c>
      <c r="I4" s="36"/>
      <c r="J4" s="36"/>
    </row>
    <row r="5" spans="1:10" x14ac:dyDescent="0.25">
      <c r="A5" s="36">
        <v>1580</v>
      </c>
      <c r="B5" s="37">
        <v>43556</v>
      </c>
      <c r="C5" s="36"/>
      <c r="D5" s="36"/>
      <c r="E5" s="36" t="s">
        <v>7</v>
      </c>
      <c r="F5" s="38">
        <v>5273934.6806999994</v>
      </c>
      <c r="G5" s="36" t="s">
        <v>8</v>
      </c>
      <c r="H5" s="36" t="s">
        <v>228</v>
      </c>
      <c r="I5" s="36"/>
      <c r="J5" s="36"/>
    </row>
    <row r="6" spans="1:10" x14ac:dyDescent="0.25">
      <c r="A6" s="36">
        <v>1580</v>
      </c>
      <c r="B6" s="37">
        <v>43586</v>
      </c>
      <c r="C6" s="36"/>
      <c r="D6" s="36"/>
      <c r="E6" s="36" t="s">
        <v>7</v>
      </c>
      <c r="F6" s="38">
        <v>5273934.6806999994</v>
      </c>
      <c r="G6" s="36" t="s">
        <v>8</v>
      </c>
      <c r="H6" s="36" t="s">
        <v>228</v>
      </c>
      <c r="I6" s="36"/>
      <c r="J6" s="36"/>
    </row>
    <row r="7" spans="1:10" x14ac:dyDescent="0.25">
      <c r="A7" s="36">
        <v>1580</v>
      </c>
      <c r="B7" s="37">
        <v>43617</v>
      </c>
      <c r="C7" s="36"/>
      <c r="D7" s="36"/>
      <c r="E7" s="36" t="s">
        <v>7</v>
      </c>
      <c r="F7" s="38">
        <v>5273934.6806999994</v>
      </c>
      <c r="G7" s="36" t="s">
        <v>8</v>
      </c>
      <c r="H7" s="36" t="s">
        <v>228</v>
      </c>
      <c r="I7" s="36"/>
      <c r="J7" s="36"/>
    </row>
    <row r="8" spans="1:10" x14ac:dyDescent="0.25">
      <c r="A8" s="36">
        <v>1580</v>
      </c>
      <c r="B8" s="37">
        <v>43647</v>
      </c>
      <c r="C8" s="36"/>
      <c r="D8" s="36"/>
      <c r="E8" s="36" t="s">
        <v>7</v>
      </c>
      <c r="F8" s="38">
        <v>5273934.6806999994</v>
      </c>
      <c r="G8" s="36" t="s">
        <v>8</v>
      </c>
      <c r="H8" s="36" t="s">
        <v>228</v>
      </c>
      <c r="I8" s="36"/>
      <c r="J8" s="36"/>
    </row>
    <row r="9" spans="1:10" x14ac:dyDescent="0.25">
      <c r="A9" s="36">
        <v>1580</v>
      </c>
      <c r="B9" s="37">
        <v>43678</v>
      </c>
      <c r="C9" s="36"/>
      <c r="D9" s="36"/>
      <c r="E9" s="36" t="s">
        <v>7</v>
      </c>
      <c r="F9" s="38">
        <v>5273934.6806999994</v>
      </c>
      <c r="G9" s="36" t="s">
        <v>8</v>
      </c>
      <c r="H9" s="36" t="s">
        <v>228</v>
      </c>
      <c r="I9" s="36"/>
      <c r="J9" s="36"/>
    </row>
    <row r="10" spans="1:10" x14ac:dyDescent="0.25">
      <c r="A10" s="36">
        <v>1580</v>
      </c>
      <c r="B10" s="37">
        <v>43709</v>
      </c>
      <c r="C10" s="36"/>
      <c r="D10" s="36"/>
      <c r="E10" s="36" t="s">
        <v>7</v>
      </c>
      <c r="F10" s="38">
        <v>5273934.6806999994</v>
      </c>
      <c r="G10" s="36" t="s">
        <v>8</v>
      </c>
      <c r="H10" s="36" t="s">
        <v>228</v>
      </c>
      <c r="I10" s="36"/>
      <c r="J10" s="36"/>
    </row>
    <row r="11" spans="1:10" x14ac:dyDescent="0.25">
      <c r="A11" s="36">
        <v>1580</v>
      </c>
      <c r="B11" s="37">
        <v>43739</v>
      </c>
      <c r="C11" s="36"/>
      <c r="D11" s="36"/>
      <c r="E11" s="36" t="s">
        <v>7</v>
      </c>
      <c r="F11" s="38">
        <v>5273934.6806999994</v>
      </c>
      <c r="G11" s="36" t="s">
        <v>8</v>
      </c>
      <c r="H11" s="36" t="s">
        <v>228</v>
      </c>
      <c r="I11" s="36"/>
      <c r="J11" s="36"/>
    </row>
    <row r="12" spans="1:10" x14ac:dyDescent="0.25">
      <c r="A12" s="36">
        <v>1580</v>
      </c>
      <c r="B12" s="37">
        <v>43770</v>
      </c>
      <c r="C12" s="36"/>
      <c r="D12" s="36"/>
      <c r="E12" s="36" t="s">
        <v>7</v>
      </c>
      <c r="F12" s="38">
        <v>5273934.6806999994</v>
      </c>
      <c r="G12" s="36" t="s">
        <v>8</v>
      </c>
      <c r="H12" s="36" t="s">
        <v>228</v>
      </c>
      <c r="I12" s="36"/>
      <c r="J12" s="36"/>
    </row>
    <row r="13" spans="1:10" x14ac:dyDescent="0.25">
      <c r="A13" s="36">
        <v>1580</v>
      </c>
      <c r="B13" s="37">
        <v>43800</v>
      </c>
      <c r="C13" s="36"/>
      <c r="D13" s="36"/>
      <c r="E13" s="36" t="s">
        <v>7</v>
      </c>
      <c r="F13" s="38">
        <v>5273934.6806999994</v>
      </c>
      <c r="G13" s="36" t="s">
        <v>8</v>
      </c>
      <c r="H13" s="36" t="s">
        <v>228</v>
      </c>
      <c r="I13" s="36"/>
      <c r="J13" s="36"/>
    </row>
    <row r="14" spans="1:10" x14ac:dyDescent="0.25">
      <c r="A14" s="36">
        <v>1580</v>
      </c>
      <c r="B14" s="37">
        <v>43831</v>
      </c>
      <c r="C14" s="36"/>
      <c r="D14" s="36"/>
      <c r="E14" s="36" t="s">
        <v>7</v>
      </c>
      <c r="F14" s="38">
        <v>5273934.6806999994</v>
      </c>
      <c r="G14" s="36" t="s">
        <v>8</v>
      </c>
      <c r="H14" s="36" t="s">
        <v>228</v>
      </c>
      <c r="I14" s="36"/>
      <c r="J14" s="36"/>
    </row>
    <row r="15" spans="1:10" x14ac:dyDescent="0.25">
      <c r="A15" s="36">
        <v>1580</v>
      </c>
      <c r="B15" s="37">
        <v>43862</v>
      </c>
      <c r="C15" s="36"/>
      <c r="D15" s="36"/>
      <c r="E15" s="36" t="s">
        <v>7</v>
      </c>
      <c r="F15" s="38">
        <v>5273934.6806999994</v>
      </c>
      <c r="G15" s="36" t="s">
        <v>8</v>
      </c>
      <c r="H15" s="36" t="s">
        <v>228</v>
      </c>
      <c r="I15" s="36"/>
      <c r="J15" s="36"/>
    </row>
    <row r="16" spans="1:10" x14ac:dyDescent="0.25">
      <c r="A16" s="36">
        <v>1580</v>
      </c>
      <c r="B16" s="37">
        <v>43466</v>
      </c>
      <c r="C16" s="36"/>
      <c r="D16" s="36"/>
      <c r="E16" s="36" t="s">
        <v>9</v>
      </c>
      <c r="F16" s="38">
        <v>7784590.2750000004</v>
      </c>
      <c r="G16" s="36" t="s">
        <v>8</v>
      </c>
      <c r="H16" s="36" t="s">
        <v>228</v>
      </c>
      <c r="I16" s="36"/>
      <c r="J16" s="36"/>
    </row>
    <row r="17" spans="1:10" x14ac:dyDescent="0.25">
      <c r="A17" s="36">
        <v>1580</v>
      </c>
      <c r="B17" s="37">
        <v>43497</v>
      </c>
      <c r="C17" s="36"/>
      <c r="D17" s="36"/>
      <c r="E17" s="36" t="s">
        <v>9</v>
      </c>
      <c r="F17" s="38">
        <v>7784590.2750000004</v>
      </c>
      <c r="G17" s="36" t="s">
        <v>8</v>
      </c>
      <c r="H17" s="36" t="s">
        <v>228</v>
      </c>
      <c r="I17" s="36"/>
      <c r="J17" s="36"/>
    </row>
    <row r="18" spans="1:10" x14ac:dyDescent="0.25">
      <c r="A18" s="36">
        <v>1580</v>
      </c>
      <c r="B18" s="37">
        <v>43525</v>
      </c>
      <c r="C18" s="36"/>
      <c r="D18" s="36"/>
      <c r="E18" s="36" t="s">
        <v>9</v>
      </c>
      <c r="F18" s="38">
        <v>7784590.2750000004</v>
      </c>
      <c r="G18" s="36" t="s">
        <v>8</v>
      </c>
      <c r="H18" s="36" t="s">
        <v>228</v>
      </c>
      <c r="I18" s="36"/>
      <c r="J18" s="36"/>
    </row>
    <row r="19" spans="1:10" x14ac:dyDescent="0.25">
      <c r="A19" s="36">
        <v>1580</v>
      </c>
      <c r="B19" s="37">
        <v>43556</v>
      </c>
      <c r="C19" s="36"/>
      <c r="D19" s="36"/>
      <c r="E19" s="36" t="s">
        <v>9</v>
      </c>
      <c r="F19" s="38">
        <v>7784590.2750000004</v>
      </c>
      <c r="G19" s="36" t="s">
        <v>8</v>
      </c>
      <c r="H19" s="36" t="s">
        <v>228</v>
      </c>
      <c r="I19" s="36"/>
      <c r="J19" s="36"/>
    </row>
    <row r="20" spans="1:10" x14ac:dyDescent="0.25">
      <c r="A20" s="36">
        <v>1580</v>
      </c>
      <c r="B20" s="37">
        <v>43586</v>
      </c>
      <c r="C20" s="36"/>
      <c r="D20" s="36"/>
      <c r="E20" s="36" t="s">
        <v>9</v>
      </c>
      <c r="F20" s="38">
        <v>7784590.2750000004</v>
      </c>
      <c r="G20" s="36" t="s">
        <v>8</v>
      </c>
      <c r="H20" s="36" t="s">
        <v>228</v>
      </c>
      <c r="I20" s="36"/>
      <c r="J20" s="36"/>
    </row>
    <row r="21" spans="1:10" x14ac:dyDescent="0.25">
      <c r="A21" s="36">
        <v>1580</v>
      </c>
      <c r="B21" s="37">
        <v>43617</v>
      </c>
      <c r="C21" s="36"/>
      <c r="D21" s="36"/>
      <c r="E21" s="36" t="s">
        <v>9</v>
      </c>
      <c r="F21" s="38">
        <v>7784590.2750000004</v>
      </c>
      <c r="G21" s="36" t="s">
        <v>8</v>
      </c>
      <c r="H21" s="36" t="s">
        <v>228</v>
      </c>
      <c r="I21" s="36"/>
      <c r="J21" s="36"/>
    </row>
    <row r="22" spans="1:10" x14ac:dyDescent="0.25">
      <c r="A22" s="36">
        <v>1580</v>
      </c>
      <c r="B22" s="37">
        <v>43647</v>
      </c>
      <c r="C22" s="36"/>
      <c r="D22" s="36"/>
      <c r="E22" s="36" t="s">
        <v>9</v>
      </c>
      <c r="F22" s="38">
        <v>7784590.2750000004</v>
      </c>
      <c r="G22" s="36" t="s">
        <v>8</v>
      </c>
      <c r="H22" s="36" t="s">
        <v>228</v>
      </c>
      <c r="I22" s="36"/>
      <c r="J22" s="36"/>
    </row>
    <row r="23" spans="1:10" x14ac:dyDescent="0.25">
      <c r="A23" s="36">
        <v>1580</v>
      </c>
      <c r="B23" s="37">
        <v>43678</v>
      </c>
      <c r="C23" s="36"/>
      <c r="D23" s="36"/>
      <c r="E23" s="36" t="s">
        <v>9</v>
      </c>
      <c r="F23" s="38">
        <v>7784590.2750000004</v>
      </c>
      <c r="G23" s="36" t="s">
        <v>8</v>
      </c>
      <c r="H23" s="36" t="s">
        <v>228</v>
      </c>
      <c r="I23" s="36"/>
      <c r="J23" s="36"/>
    </row>
    <row r="24" spans="1:10" x14ac:dyDescent="0.25">
      <c r="A24" s="36">
        <v>1580</v>
      </c>
      <c r="B24" s="37">
        <v>43709</v>
      </c>
      <c r="C24" s="36"/>
      <c r="D24" s="36"/>
      <c r="E24" s="36" t="s">
        <v>9</v>
      </c>
      <c r="F24" s="38">
        <v>7784590.2750000004</v>
      </c>
      <c r="G24" s="36" t="s">
        <v>8</v>
      </c>
      <c r="H24" s="36" t="s">
        <v>228</v>
      </c>
      <c r="I24" s="36"/>
      <c r="J24" s="36"/>
    </row>
    <row r="25" spans="1:10" x14ac:dyDescent="0.25">
      <c r="A25" s="36">
        <v>1580</v>
      </c>
      <c r="B25" s="37">
        <v>43739</v>
      </c>
      <c r="C25" s="36"/>
      <c r="D25" s="36"/>
      <c r="E25" s="36" t="s">
        <v>9</v>
      </c>
      <c r="F25" s="38">
        <v>7784590.2750000004</v>
      </c>
      <c r="G25" s="36" t="s">
        <v>8</v>
      </c>
      <c r="H25" s="36" t="s">
        <v>228</v>
      </c>
      <c r="I25" s="36"/>
      <c r="J25" s="36"/>
    </row>
    <row r="26" spans="1:10" x14ac:dyDescent="0.25">
      <c r="A26" s="36">
        <v>1580</v>
      </c>
      <c r="B26" s="37">
        <v>43770</v>
      </c>
      <c r="C26" s="36"/>
      <c r="D26" s="36"/>
      <c r="E26" s="36" t="s">
        <v>9</v>
      </c>
      <c r="F26" s="38">
        <v>7784590.2750000004</v>
      </c>
      <c r="G26" s="36" t="s">
        <v>8</v>
      </c>
      <c r="H26" s="36" t="s">
        <v>228</v>
      </c>
      <c r="I26" s="36"/>
      <c r="J26" s="36"/>
    </row>
    <row r="27" spans="1:10" x14ac:dyDescent="0.25">
      <c r="A27" s="36">
        <v>1580</v>
      </c>
      <c r="B27" s="37">
        <v>43800</v>
      </c>
      <c r="C27" s="36"/>
      <c r="D27" s="36"/>
      <c r="E27" s="36" t="s">
        <v>9</v>
      </c>
      <c r="F27" s="38">
        <v>7784590.2750000004</v>
      </c>
      <c r="G27" s="36" t="s">
        <v>8</v>
      </c>
      <c r="H27" s="36" t="s">
        <v>228</v>
      </c>
      <c r="I27" s="36"/>
      <c r="J27" s="36"/>
    </row>
    <row r="28" spans="1:10" x14ac:dyDescent="0.25">
      <c r="A28" s="36">
        <v>1580</v>
      </c>
      <c r="B28" s="37">
        <v>43831</v>
      </c>
      <c r="C28" s="36"/>
      <c r="D28" s="36"/>
      <c r="E28" s="36" t="s">
        <v>9</v>
      </c>
      <c r="F28" s="38">
        <v>7784590.2750000004</v>
      </c>
      <c r="G28" s="36" t="s">
        <v>8</v>
      </c>
      <c r="H28" s="36" t="s">
        <v>228</v>
      </c>
      <c r="I28" s="36"/>
      <c r="J28" s="36"/>
    </row>
    <row r="29" spans="1:10" x14ac:dyDescent="0.25">
      <c r="A29" s="36">
        <v>1580</v>
      </c>
      <c r="B29" s="37">
        <v>43862</v>
      </c>
      <c r="C29" s="36"/>
      <c r="D29" s="36"/>
      <c r="E29" s="36" t="s">
        <v>9</v>
      </c>
      <c r="F29" s="38">
        <v>7784590.2750000004</v>
      </c>
      <c r="G29" s="36" t="s">
        <v>8</v>
      </c>
      <c r="H29" s="36" t="s">
        <v>228</v>
      </c>
      <c r="I29" s="36"/>
      <c r="J29" s="36"/>
    </row>
    <row r="30" spans="1:10" x14ac:dyDescent="0.25">
      <c r="A30" s="36">
        <v>1580</v>
      </c>
      <c r="B30" s="37">
        <v>43466</v>
      </c>
      <c r="C30" s="36"/>
      <c r="D30" s="36"/>
      <c r="E30" s="36" t="s">
        <v>10</v>
      </c>
      <c r="F30" s="38">
        <v>6517329.5250000004</v>
      </c>
      <c r="G30" s="36" t="s">
        <v>8</v>
      </c>
      <c r="H30" s="36" t="s">
        <v>228</v>
      </c>
      <c r="I30" s="36"/>
      <c r="J30" s="36"/>
    </row>
    <row r="31" spans="1:10" x14ac:dyDescent="0.25">
      <c r="A31" s="36">
        <v>1580</v>
      </c>
      <c r="B31" s="37">
        <v>43497</v>
      </c>
      <c r="C31" s="36"/>
      <c r="D31" s="36"/>
      <c r="E31" s="36" t="s">
        <v>10</v>
      </c>
      <c r="F31" s="38">
        <v>6517329.5250000004</v>
      </c>
      <c r="G31" s="36" t="s">
        <v>8</v>
      </c>
      <c r="H31" s="36" t="s">
        <v>228</v>
      </c>
      <c r="I31" s="36"/>
      <c r="J31" s="36"/>
    </row>
    <row r="32" spans="1:10" x14ac:dyDescent="0.25">
      <c r="A32" s="36">
        <v>1580</v>
      </c>
      <c r="B32" s="37">
        <v>43525</v>
      </c>
      <c r="C32" s="36"/>
      <c r="D32" s="36"/>
      <c r="E32" s="36" t="s">
        <v>10</v>
      </c>
      <c r="F32" s="38">
        <v>6517329.5250000004</v>
      </c>
      <c r="G32" s="36" t="s">
        <v>8</v>
      </c>
      <c r="H32" s="36" t="s">
        <v>228</v>
      </c>
      <c r="I32" s="36"/>
      <c r="J32" s="36"/>
    </row>
    <row r="33" spans="1:10" x14ac:dyDescent="0.25">
      <c r="A33" s="36">
        <v>1580</v>
      </c>
      <c r="B33" s="37">
        <v>43556</v>
      </c>
      <c r="C33" s="36"/>
      <c r="D33" s="36"/>
      <c r="E33" s="36" t="s">
        <v>10</v>
      </c>
      <c r="F33" s="38">
        <v>6517329.5250000004</v>
      </c>
      <c r="G33" s="36" t="s">
        <v>8</v>
      </c>
      <c r="H33" s="36" t="s">
        <v>228</v>
      </c>
      <c r="I33" s="36"/>
      <c r="J33" s="36"/>
    </row>
    <row r="34" spans="1:10" x14ac:dyDescent="0.25">
      <c r="A34" s="36">
        <v>1580</v>
      </c>
      <c r="B34" s="37">
        <v>43586</v>
      </c>
      <c r="C34" s="36"/>
      <c r="D34" s="36"/>
      <c r="E34" s="36" t="s">
        <v>10</v>
      </c>
      <c r="F34" s="38">
        <v>6517329.5250000004</v>
      </c>
      <c r="G34" s="36" t="s">
        <v>8</v>
      </c>
      <c r="H34" s="36" t="s">
        <v>228</v>
      </c>
      <c r="I34" s="36"/>
      <c r="J34" s="36"/>
    </row>
    <row r="35" spans="1:10" x14ac:dyDescent="0.25">
      <c r="A35" s="36">
        <v>1580</v>
      </c>
      <c r="B35" s="37">
        <v>43617</v>
      </c>
      <c r="C35" s="36"/>
      <c r="D35" s="36"/>
      <c r="E35" s="36" t="s">
        <v>10</v>
      </c>
      <c r="F35" s="38">
        <v>6517329.5250000004</v>
      </c>
      <c r="G35" s="36" t="s">
        <v>8</v>
      </c>
      <c r="H35" s="36" t="s">
        <v>228</v>
      </c>
      <c r="I35" s="36"/>
      <c r="J35" s="36"/>
    </row>
    <row r="36" spans="1:10" x14ac:dyDescent="0.25">
      <c r="A36" s="36">
        <v>1580</v>
      </c>
      <c r="B36" s="37">
        <v>43647</v>
      </c>
      <c r="C36" s="36"/>
      <c r="D36" s="36"/>
      <c r="E36" s="36" t="s">
        <v>10</v>
      </c>
      <c r="F36" s="38">
        <v>6517329.5250000004</v>
      </c>
      <c r="G36" s="36" t="s">
        <v>8</v>
      </c>
      <c r="H36" s="36" t="s">
        <v>228</v>
      </c>
      <c r="I36" s="36"/>
      <c r="J36" s="36"/>
    </row>
    <row r="37" spans="1:10" x14ac:dyDescent="0.25">
      <c r="A37" s="36">
        <v>1580</v>
      </c>
      <c r="B37" s="37">
        <v>43678</v>
      </c>
      <c r="C37" s="36"/>
      <c r="D37" s="36"/>
      <c r="E37" s="36" t="s">
        <v>10</v>
      </c>
      <c r="F37" s="38">
        <v>6517329.5250000004</v>
      </c>
      <c r="G37" s="36" t="s">
        <v>8</v>
      </c>
      <c r="H37" s="36" t="s">
        <v>228</v>
      </c>
      <c r="I37" s="36"/>
      <c r="J37" s="36"/>
    </row>
    <row r="38" spans="1:10" x14ac:dyDescent="0.25">
      <c r="A38" s="36">
        <v>1580</v>
      </c>
      <c r="B38" s="37">
        <v>43709</v>
      </c>
      <c r="C38" s="36"/>
      <c r="D38" s="36"/>
      <c r="E38" s="36" t="s">
        <v>10</v>
      </c>
      <c r="F38" s="38">
        <v>6517329.5250000004</v>
      </c>
      <c r="G38" s="36" t="s">
        <v>8</v>
      </c>
      <c r="H38" s="36" t="s">
        <v>228</v>
      </c>
      <c r="I38" s="36"/>
      <c r="J38" s="36"/>
    </row>
    <row r="39" spans="1:10" x14ac:dyDescent="0.25">
      <c r="A39" s="36">
        <v>1580</v>
      </c>
      <c r="B39" s="37">
        <v>43739</v>
      </c>
      <c r="C39" s="36"/>
      <c r="D39" s="36"/>
      <c r="E39" s="36" t="s">
        <v>10</v>
      </c>
      <c r="F39" s="38">
        <v>6517329.5250000004</v>
      </c>
      <c r="G39" s="36" t="s">
        <v>8</v>
      </c>
      <c r="H39" s="36" t="s">
        <v>228</v>
      </c>
      <c r="I39" s="36"/>
      <c r="J39" s="36"/>
    </row>
    <row r="40" spans="1:10" x14ac:dyDescent="0.25">
      <c r="A40" s="36">
        <v>1580</v>
      </c>
      <c r="B40" s="37">
        <v>43770</v>
      </c>
      <c r="C40" s="36"/>
      <c r="D40" s="36"/>
      <c r="E40" s="36" t="s">
        <v>10</v>
      </c>
      <c r="F40" s="38">
        <v>6517329.5250000004</v>
      </c>
      <c r="G40" s="36" t="s">
        <v>8</v>
      </c>
      <c r="H40" s="36" t="s">
        <v>228</v>
      </c>
      <c r="I40" s="36"/>
      <c r="J40" s="36"/>
    </row>
    <row r="41" spans="1:10" x14ac:dyDescent="0.25">
      <c r="A41" s="36">
        <v>1580</v>
      </c>
      <c r="B41" s="37">
        <v>43800</v>
      </c>
      <c r="C41" s="36"/>
      <c r="D41" s="36"/>
      <c r="E41" s="36" t="s">
        <v>10</v>
      </c>
      <c r="F41" s="38">
        <v>6517329.5250000004</v>
      </c>
      <c r="G41" s="36" t="s">
        <v>8</v>
      </c>
      <c r="H41" s="36" t="s">
        <v>228</v>
      </c>
      <c r="I41" s="36"/>
      <c r="J41" s="36"/>
    </row>
    <row r="42" spans="1:10" x14ac:dyDescent="0.25">
      <c r="A42" s="36">
        <v>1580</v>
      </c>
      <c r="B42" s="37">
        <v>43831</v>
      </c>
      <c r="C42" s="36"/>
      <c r="D42" s="36"/>
      <c r="E42" s="36" t="s">
        <v>10</v>
      </c>
      <c r="F42" s="38">
        <v>6517329.5250000004</v>
      </c>
      <c r="G42" s="36" t="s">
        <v>8</v>
      </c>
      <c r="H42" s="36" t="s">
        <v>228</v>
      </c>
      <c r="I42" s="36"/>
      <c r="J42" s="36"/>
    </row>
    <row r="43" spans="1:10" x14ac:dyDescent="0.25">
      <c r="A43" s="36">
        <v>1580</v>
      </c>
      <c r="B43" s="37">
        <v>43466</v>
      </c>
      <c r="C43" s="36"/>
      <c r="D43" s="36"/>
      <c r="E43" s="36" t="s">
        <v>11</v>
      </c>
      <c r="F43" s="38">
        <v>7791940.1186286025</v>
      </c>
      <c r="G43" s="36" t="s">
        <v>8</v>
      </c>
      <c r="H43" s="36" t="s">
        <v>228</v>
      </c>
      <c r="I43" s="36"/>
      <c r="J43" s="36"/>
    </row>
    <row r="44" spans="1:10" x14ac:dyDescent="0.25">
      <c r="A44" s="36">
        <v>1580</v>
      </c>
      <c r="B44" s="37">
        <v>43497</v>
      </c>
      <c r="C44" s="36"/>
      <c r="D44" s="36"/>
      <c r="E44" s="36" t="s">
        <v>11</v>
      </c>
      <c r="F44" s="38">
        <v>7791940.1186286025</v>
      </c>
      <c r="G44" s="36" t="s">
        <v>8</v>
      </c>
      <c r="H44" s="36" t="s">
        <v>228</v>
      </c>
      <c r="I44" s="36"/>
      <c r="J44" s="36"/>
    </row>
    <row r="45" spans="1:10" x14ac:dyDescent="0.25">
      <c r="A45" s="36">
        <v>1580</v>
      </c>
      <c r="B45" s="37">
        <v>43525</v>
      </c>
      <c r="C45" s="36"/>
      <c r="D45" s="36"/>
      <c r="E45" s="36" t="s">
        <v>11</v>
      </c>
      <c r="F45" s="38">
        <v>7791940.1186286025</v>
      </c>
      <c r="G45" s="36" t="s">
        <v>8</v>
      </c>
      <c r="H45" s="36" t="s">
        <v>228</v>
      </c>
      <c r="I45" s="36"/>
      <c r="J45" s="36"/>
    </row>
    <row r="46" spans="1:10" x14ac:dyDescent="0.25">
      <c r="A46" s="36">
        <v>1580</v>
      </c>
      <c r="B46" s="37">
        <v>43556</v>
      </c>
      <c r="C46" s="36"/>
      <c r="D46" s="36"/>
      <c r="E46" s="36" t="s">
        <v>11</v>
      </c>
      <c r="F46" s="38">
        <v>7791940.1186286025</v>
      </c>
      <c r="G46" s="36" t="s">
        <v>8</v>
      </c>
      <c r="H46" s="36" t="s">
        <v>228</v>
      </c>
      <c r="I46" s="36"/>
      <c r="J46" s="36"/>
    </row>
    <row r="47" spans="1:10" x14ac:dyDescent="0.25">
      <c r="A47" s="36">
        <v>1580</v>
      </c>
      <c r="B47" s="37">
        <v>43586</v>
      </c>
      <c r="C47" s="36"/>
      <c r="D47" s="36"/>
      <c r="E47" s="36" t="s">
        <v>11</v>
      </c>
      <c r="F47" s="38">
        <v>7791940.1186286025</v>
      </c>
      <c r="G47" s="36" t="s">
        <v>8</v>
      </c>
      <c r="H47" s="36" t="s">
        <v>228</v>
      </c>
      <c r="I47" s="36"/>
      <c r="J47" s="36"/>
    </row>
    <row r="48" spans="1:10" x14ac:dyDescent="0.25">
      <c r="A48" s="36">
        <v>1580</v>
      </c>
      <c r="B48" s="37">
        <v>43617</v>
      </c>
      <c r="C48" s="36"/>
      <c r="D48" s="36"/>
      <c r="E48" s="36" t="s">
        <v>11</v>
      </c>
      <c r="F48" s="38">
        <v>7791940.1186286025</v>
      </c>
      <c r="G48" s="36" t="s">
        <v>8</v>
      </c>
      <c r="H48" s="36" t="s">
        <v>228</v>
      </c>
      <c r="I48" s="36"/>
      <c r="J48" s="36"/>
    </row>
    <row r="49" spans="1:10" x14ac:dyDescent="0.25">
      <c r="A49" s="36">
        <v>1580</v>
      </c>
      <c r="B49" s="37">
        <v>43647</v>
      </c>
      <c r="C49" s="36"/>
      <c r="D49" s="36"/>
      <c r="E49" s="36" t="s">
        <v>11</v>
      </c>
      <c r="F49" s="38">
        <v>7791940.1186286025</v>
      </c>
      <c r="G49" s="36" t="s">
        <v>8</v>
      </c>
      <c r="H49" s="36" t="s">
        <v>228</v>
      </c>
      <c r="I49" s="36"/>
      <c r="J49" s="36"/>
    </row>
    <row r="50" spans="1:10" x14ac:dyDescent="0.25">
      <c r="A50" s="36">
        <v>1580</v>
      </c>
      <c r="B50" s="37">
        <v>43678</v>
      </c>
      <c r="C50" s="36"/>
      <c r="D50" s="36"/>
      <c r="E50" s="36" t="s">
        <v>11</v>
      </c>
      <c r="F50" s="38">
        <v>7791940.1186286025</v>
      </c>
      <c r="G50" s="36" t="s">
        <v>8</v>
      </c>
      <c r="H50" s="36" t="s">
        <v>228</v>
      </c>
      <c r="I50" s="36"/>
      <c r="J50" s="36"/>
    </row>
    <row r="51" spans="1:10" x14ac:dyDescent="0.25">
      <c r="A51" s="36">
        <v>1580</v>
      </c>
      <c r="B51" s="37">
        <v>43709</v>
      </c>
      <c r="C51" s="36"/>
      <c r="D51" s="36"/>
      <c r="E51" s="36" t="s">
        <v>11</v>
      </c>
      <c r="F51" s="38">
        <v>7791940.1186286025</v>
      </c>
      <c r="G51" s="36" t="s">
        <v>8</v>
      </c>
      <c r="H51" s="36" t="s">
        <v>228</v>
      </c>
      <c r="I51" s="36"/>
      <c r="J51" s="36"/>
    </row>
    <row r="52" spans="1:10" x14ac:dyDescent="0.25">
      <c r="A52" s="36">
        <v>1580</v>
      </c>
      <c r="B52" s="37">
        <v>43739</v>
      </c>
      <c r="C52" s="36"/>
      <c r="D52" s="36"/>
      <c r="E52" s="36" t="s">
        <v>11</v>
      </c>
      <c r="F52" s="38">
        <v>7791940.1186286025</v>
      </c>
      <c r="G52" s="36" t="s">
        <v>8</v>
      </c>
      <c r="H52" s="36" t="s">
        <v>228</v>
      </c>
      <c r="I52" s="36"/>
      <c r="J52" s="36"/>
    </row>
    <row r="53" spans="1:10" x14ac:dyDescent="0.25">
      <c r="A53" s="36">
        <v>1580</v>
      </c>
      <c r="B53" s="37">
        <v>43770</v>
      </c>
      <c r="C53" s="36"/>
      <c r="D53" s="36"/>
      <c r="E53" s="36" t="s">
        <v>11</v>
      </c>
      <c r="F53" s="38">
        <v>7791940.1186286025</v>
      </c>
      <c r="G53" s="36" t="s">
        <v>8</v>
      </c>
      <c r="H53" s="36" t="s">
        <v>228</v>
      </c>
      <c r="I53" s="36"/>
      <c r="J53" s="36"/>
    </row>
    <row r="54" spans="1:10" x14ac:dyDescent="0.25">
      <c r="A54" s="36">
        <v>1580</v>
      </c>
      <c r="B54" s="37">
        <v>43800</v>
      </c>
      <c r="C54" s="36"/>
      <c r="D54" s="36"/>
      <c r="E54" s="36" t="s">
        <v>11</v>
      </c>
      <c r="F54" s="38">
        <v>7791940.1186286025</v>
      </c>
      <c r="G54" s="36" t="s">
        <v>8</v>
      </c>
      <c r="H54" s="36" t="s">
        <v>228</v>
      </c>
      <c r="I54" s="36"/>
      <c r="J54" s="36"/>
    </row>
    <row r="55" spans="1:10" x14ac:dyDescent="0.25">
      <c r="A55" s="36">
        <v>1580</v>
      </c>
      <c r="B55" s="37">
        <v>43831</v>
      </c>
      <c r="C55" s="36"/>
      <c r="D55" s="36"/>
      <c r="E55" s="36" t="s">
        <v>11</v>
      </c>
      <c r="F55" s="38">
        <v>7791940.1186286025</v>
      </c>
      <c r="G55" s="36" t="s">
        <v>8</v>
      </c>
      <c r="H55" s="36" t="s">
        <v>228</v>
      </c>
      <c r="I55" s="36"/>
      <c r="J55" s="36"/>
    </row>
    <row r="56" spans="1:10" x14ac:dyDescent="0.25">
      <c r="A56" s="36">
        <v>1580</v>
      </c>
      <c r="B56" s="37">
        <v>43862</v>
      </c>
      <c r="C56" s="36"/>
      <c r="D56" s="36"/>
      <c r="E56" s="36" t="s">
        <v>11</v>
      </c>
      <c r="F56" s="38">
        <v>7791940.1186286025</v>
      </c>
      <c r="G56" s="36" t="s">
        <v>8</v>
      </c>
      <c r="H56" s="36" t="s">
        <v>228</v>
      </c>
      <c r="I56" s="36"/>
      <c r="J56" s="36"/>
    </row>
    <row r="57" spans="1:10" x14ac:dyDescent="0.25">
      <c r="A57" s="36">
        <v>1580</v>
      </c>
      <c r="B57" s="37">
        <v>43466</v>
      </c>
      <c r="C57" s="36"/>
      <c r="D57" s="36"/>
      <c r="E57" s="36" t="s">
        <v>12</v>
      </c>
      <c r="F57" s="38">
        <v>4525924.49505</v>
      </c>
      <c r="G57" s="36" t="s">
        <v>8</v>
      </c>
      <c r="H57" s="36" t="s">
        <v>228</v>
      </c>
      <c r="I57" s="36"/>
      <c r="J57" s="36"/>
    </row>
    <row r="58" spans="1:10" x14ac:dyDescent="0.25">
      <c r="A58" s="36">
        <v>1580</v>
      </c>
      <c r="B58" s="37">
        <v>43497</v>
      </c>
      <c r="C58" s="36"/>
      <c r="D58" s="36"/>
      <c r="E58" s="36" t="s">
        <v>12</v>
      </c>
      <c r="F58" s="38">
        <v>4525924.49505</v>
      </c>
      <c r="G58" s="36" t="s">
        <v>8</v>
      </c>
      <c r="H58" s="36" t="s">
        <v>228</v>
      </c>
      <c r="I58" s="36"/>
      <c r="J58" s="36"/>
    </row>
    <row r="59" spans="1:10" x14ac:dyDescent="0.25">
      <c r="A59" s="36">
        <v>1580</v>
      </c>
      <c r="B59" s="37">
        <v>43525</v>
      </c>
      <c r="C59" s="36"/>
      <c r="D59" s="36"/>
      <c r="E59" s="36" t="s">
        <v>12</v>
      </c>
      <c r="F59" s="38">
        <v>4525924.49505</v>
      </c>
      <c r="G59" s="36" t="s">
        <v>8</v>
      </c>
      <c r="H59" s="36" t="s">
        <v>228</v>
      </c>
      <c r="I59" s="36"/>
      <c r="J59" s="36"/>
    </row>
    <row r="60" spans="1:10" x14ac:dyDescent="0.25">
      <c r="A60" s="36">
        <v>1580</v>
      </c>
      <c r="B60" s="37">
        <v>43556</v>
      </c>
      <c r="C60" s="36"/>
      <c r="D60" s="36"/>
      <c r="E60" s="36" t="s">
        <v>12</v>
      </c>
      <c r="F60" s="38">
        <v>4525924.49505</v>
      </c>
      <c r="G60" s="36" t="s">
        <v>8</v>
      </c>
      <c r="H60" s="36" t="s">
        <v>228</v>
      </c>
      <c r="I60" s="36"/>
      <c r="J60" s="36"/>
    </row>
    <row r="61" spans="1:10" x14ac:dyDescent="0.25">
      <c r="A61" s="36">
        <v>1580</v>
      </c>
      <c r="B61" s="37">
        <v>43586</v>
      </c>
      <c r="C61" s="36"/>
      <c r="D61" s="36"/>
      <c r="E61" s="36" t="s">
        <v>12</v>
      </c>
      <c r="F61" s="38">
        <v>4525924.49505</v>
      </c>
      <c r="G61" s="36" t="s">
        <v>8</v>
      </c>
      <c r="H61" s="36" t="s">
        <v>228</v>
      </c>
      <c r="I61" s="36"/>
      <c r="J61" s="36"/>
    </row>
    <row r="62" spans="1:10" x14ac:dyDescent="0.25">
      <c r="A62" s="36">
        <v>1580</v>
      </c>
      <c r="B62" s="37">
        <v>43617</v>
      </c>
      <c r="C62" s="36"/>
      <c r="D62" s="36"/>
      <c r="E62" s="36" t="s">
        <v>12</v>
      </c>
      <c r="F62" s="38">
        <v>4525924.49505</v>
      </c>
      <c r="G62" s="36" t="s">
        <v>8</v>
      </c>
      <c r="H62" s="36" t="s">
        <v>228</v>
      </c>
      <c r="I62" s="36"/>
      <c r="J62" s="36"/>
    </row>
    <row r="63" spans="1:10" x14ac:dyDescent="0.25">
      <c r="A63" s="36">
        <v>1580</v>
      </c>
      <c r="B63" s="37">
        <v>43647</v>
      </c>
      <c r="C63" s="36"/>
      <c r="D63" s="36"/>
      <c r="E63" s="36" t="s">
        <v>12</v>
      </c>
      <c r="F63" s="38">
        <v>4525924.49505</v>
      </c>
      <c r="G63" s="36" t="s">
        <v>8</v>
      </c>
      <c r="H63" s="36" t="s">
        <v>228</v>
      </c>
      <c r="I63" s="36"/>
      <c r="J63" s="36"/>
    </row>
    <row r="64" spans="1:10" x14ac:dyDescent="0.25">
      <c r="A64" s="36">
        <v>1580</v>
      </c>
      <c r="B64" s="37">
        <v>43678</v>
      </c>
      <c r="C64" s="36"/>
      <c r="D64" s="36"/>
      <c r="E64" s="36" t="s">
        <v>12</v>
      </c>
      <c r="F64" s="38">
        <v>4525924.49505</v>
      </c>
      <c r="G64" s="36" t="s">
        <v>8</v>
      </c>
      <c r="H64" s="36" t="s">
        <v>228</v>
      </c>
      <c r="I64" s="36"/>
      <c r="J64" s="36"/>
    </row>
    <row r="65" spans="1:10" x14ac:dyDescent="0.25">
      <c r="A65" s="36">
        <v>1580</v>
      </c>
      <c r="B65" s="37">
        <v>43709</v>
      </c>
      <c r="C65" s="36"/>
      <c r="D65" s="36"/>
      <c r="E65" s="36" t="s">
        <v>12</v>
      </c>
      <c r="F65" s="38">
        <v>4525924.49505</v>
      </c>
      <c r="G65" s="36" t="s">
        <v>8</v>
      </c>
      <c r="H65" s="36" t="s">
        <v>228</v>
      </c>
      <c r="I65" s="36"/>
      <c r="J65" s="36"/>
    </row>
    <row r="66" spans="1:10" x14ac:dyDescent="0.25">
      <c r="A66" s="36">
        <v>1580</v>
      </c>
      <c r="B66" s="37">
        <v>43739</v>
      </c>
      <c r="C66" s="36"/>
      <c r="D66" s="36"/>
      <c r="E66" s="36" t="s">
        <v>12</v>
      </c>
      <c r="F66" s="38">
        <v>4525924.49505</v>
      </c>
      <c r="G66" s="36" t="s">
        <v>8</v>
      </c>
      <c r="H66" s="36" t="s">
        <v>228</v>
      </c>
      <c r="I66" s="36"/>
      <c r="J66" s="36"/>
    </row>
    <row r="67" spans="1:10" x14ac:dyDescent="0.25">
      <c r="A67" s="36">
        <v>1580</v>
      </c>
      <c r="B67" s="37">
        <v>43770</v>
      </c>
      <c r="C67" s="36"/>
      <c r="D67" s="36"/>
      <c r="E67" s="36" t="s">
        <v>12</v>
      </c>
      <c r="F67" s="38">
        <v>4525924.49505</v>
      </c>
      <c r="G67" s="36" t="s">
        <v>8</v>
      </c>
      <c r="H67" s="36" t="s">
        <v>228</v>
      </c>
      <c r="I67" s="36"/>
      <c r="J67" s="36"/>
    </row>
    <row r="68" spans="1:10" x14ac:dyDescent="0.25">
      <c r="A68" s="36">
        <v>1580</v>
      </c>
      <c r="B68" s="37">
        <v>43800</v>
      </c>
      <c r="C68" s="36"/>
      <c r="D68" s="36"/>
      <c r="E68" s="36" t="s">
        <v>12</v>
      </c>
      <c r="F68" s="38">
        <v>4525924.49505</v>
      </c>
      <c r="G68" s="36" t="s">
        <v>8</v>
      </c>
      <c r="H68" s="36" t="s">
        <v>228</v>
      </c>
      <c r="I68" s="36"/>
      <c r="J68" s="36"/>
    </row>
    <row r="69" spans="1:10" x14ac:dyDescent="0.25">
      <c r="A69" s="36">
        <v>1580</v>
      </c>
      <c r="B69" s="37">
        <v>43831</v>
      </c>
      <c r="C69" s="36"/>
      <c r="D69" s="36"/>
      <c r="E69" s="36" t="s">
        <v>12</v>
      </c>
      <c r="F69" s="38">
        <v>4525924.49505</v>
      </c>
      <c r="G69" s="36" t="s">
        <v>8</v>
      </c>
      <c r="H69" s="36" t="s">
        <v>228</v>
      </c>
      <c r="I69" s="36"/>
      <c r="J69" s="36"/>
    </row>
    <row r="70" spans="1:10" x14ac:dyDescent="0.25">
      <c r="A70" s="36">
        <v>1580</v>
      </c>
      <c r="B70" s="37">
        <v>43862</v>
      </c>
      <c r="C70" s="36"/>
      <c r="D70" s="36"/>
      <c r="E70" s="36" t="s">
        <v>12</v>
      </c>
      <c r="F70" s="38">
        <v>4525924.49505</v>
      </c>
      <c r="G70" s="36" t="s">
        <v>8</v>
      </c>
      <c r="H70" s="36" t="s">
        <v>228</v>
      </c>
      <c r="I70" s="36"/>
      <c r="J70" s="36"/>
    </row>
    <row r="71" spans="1:10" x14ac:dyDescent="0.25">
      <c r="A71" s="36">
        <v>1580</v>
      </c>
      <c r="B71" s="37">
        <v>43466</v>
      </c>
      <c r="C71" s="36"/>
      <c r="D71" s="36"/>
      <c r="E71" s="36" t="s">
        <v>13</v>
      </c>
      <c r="F71" s="38">
        <v>4797479.3643000005</v>
      </c>
      <c r="G71" s="36" t="s">
        <v>8</v>
      </c>
      <c r="H71" s="36" t="s">
        <v>228</v>
      </c>
      <c r="I71" s="36"/>
      <c r="J71" s="36"/>
    </row>
    <row r="72" spans="1:10" x14ac:dyDescent="0.25">
      <c r="A72" s="36">
        <v>1580</v>
      </c>
      <c r="B72" s="37">
        <v>43497</v>
      </c>
      <c r="C72" s="36"/>
      <c r="D72" s="36"/>
      <c r="E72" s="36" t="s">
        <v>13</v>
      </c>
      <c r="F72" s="38">
        <v>4797479.3643000005</v>
      </c>
      <c r="G72" s="36" t="s">
        <v>8</v>
      </c>
      <c r="H72" s="36" t="s">
        <v>228</v>
      </c>
      <c r="I72" s="36"/>
      <c r="J72" s="36"/>
    </row>
    <row r="73" spans="1:10" x14ac:dyDescent="0.25">
      <c r="A73" s="36">
        <v>1580</v>
      </c>
      <c r="B73" s="37">
        <v>43525</v>
      </c>
      <c r="C73" s="36"/>
      <c r="D73" s="36"/>
      <c r="E73" s="36" t="s">
        <v>13</v>
      </c>
      <c r="F73" s="38">
        <v>4797479.3643000005</v>
      </c>
      <c r="G73" s="36" t="s">
        <v>8</v>
      </c>
      <c r="H73" s="36" t="s">
        <v>228</v>
      </c>
      <c r="I73" s="36"/>
      <c r="J73" s="36"/>
    </row>
    <row r="74" spans="1:10" x14ac:dyDescent="0.25">
      <c r="A74" s="36">
        <v>1580</v>
      </c>
      <c r="B74" s="37">
        <v>43556</v>
      </c>
      <c r="C74" s="36"/>
      <c r="D74" s="36"/>
      <c r="E74" s="36" t="s">
        <v>13</v>
      </c>
      <c r="F74" s="38">
        <v>4797479.3643000005</v>
      </c>
      <c r="G74" s="36" t="s">
        <v>8</v>
      </c>
      <c r="H74" s="36" t="s">
        <v>228</v>
      </c>
      <c r="I74" s="36"/>
      <c r="J74" s="36"/>
    </row>
    <row r="75" spans="1:10" x14ac:dyDescent="0.25">
      <c r="A75" s="36">
        <v>1580</v>
      </c>
      <c r="B75" s="37">
        <v>43586</v>
      </c>
      <c r="C75" s="36"/>
      <c r="D75" s="36"/>
      <c r="E75" s="36" t="s">
        <v>13</v>
      </c>
      <c r="F75" s="38">
        <v>4797479.3643000005</v>
      </c>
      <c r="G75" s="36" t="s">
        <v>8</v>
      </c>
      <c r="H75" s="36" t="s">
        <v>228</v>
      </c>
      <c r="I75" s="36"/>
      <c r="J75" s="36"/>
    </row>
    <row r="76" spans="1:10" x14ac:dyDescent="0.25">
      <c r="A76" s="36">
        <v>1580</v>
      </c>
      <c r="B76" s="37">
        <v>43617</v>
      </c>
      <c r="C76" s="36"/>
      <c r="D76" s="36"/>
      <c r="E76" s="36" t="s">
        <v>13</v>
      </c>
      <c r="F76" s="38">
        <v>4797479.3643000005</v>
      </c>
      <c r="G76" s="36" t="s">
        <v>8</v>
      </c>
      <c r="H76" s="36" t="s">
        <v>228</v>
      </c>
      <c r="I76" s="36"/>
      <c r="J76" s="36"/>
    </row>
    <row r="77" spans="1:10" x14ac:dyDescent="0.25">
      <c r="A77" s="36">
        <v>1580</v>
      </c>
      <c r="B77" s="37">
        <v>43647</v>
      </c>
      <c r="C77" s="36"/>
      <c r="D77" s="36"/>
      <c r="E77" s="36" t="s">
        <v>13</v>
      </c>
      <c r="F77" s="38">
        <v>4797479.3643000005</v>
      </c>
      <c r="G77" s="36" t="s">
        <v>8</v>
      </c>
      <c r="H77" s="36" t="s">
        <v>228</v>
      </c>
      <c r="I77" s="36"/>
      <c r="J77" s="36"/>
    </row>
    <row r="78" spans="1:10" x14ac:dyDescent="0.25">
      <c r="A78" s="36">
        <v>1580</v>
      </c>
      <c r="B78" s="37">
        <v>43678</v>
      </c>
      <c r="C78" s="36"/>
      <c r="D78" s="36"/>
      <c r="E78" s="36" t="s">
        <v>13</v>
      </c>
      <c r="F78" s="38">
        <v>4797479.3643000005</v>
      </c>
      <c r="G78" s="36" t="s">
        <v>8</v>
      </c>
      <c r="H78" s="36" t="s">
        <v>228</v>
      </c>
      <c r="I78" s="36"/>
      <c r="J78" s="36"/>
    </row>
    <row r="79" spans="1:10" x14ac:dyDescent="0.25">
      <c r="A79" s="36">
        <v>1580</v>
      </c>
      <c r="B79" s="37">
        <v>43709</v>
      </c>
      <c r="C79" s="36"/>
      <c r="D79" s="36"/>
      <c r="E79" s="36" t="s">
        <v>13</v>
      </c>
      <c r="F79" s="38">
        <v>4797479.3643000005</v>
      </c>
      <c r="G79" s="36" t="s">
        <v>8</v>
      </c>
      <c r="H79" s="36" t="s">
        <v>228</v>
      </c>
      <c r="I79" s="36"/>
      <c r="J79" s="36"/>
    </row>
    <row r="80" spans="1:10" x14ac:dyDescent="0.25">
      <c r="A80" s="36">
        <v>1580</v>
      </c>
      <c r="B80" s="37">
        <v>43466</v>
      </c>
      <c r="C80" s="36"/>
      <c r="D80" s="36"/>
      <c r="E80" s="36" t="s">
        <v>14</v>
      </c>
      <c r="F80" s="38">
        <v>4024174.4865000001</v>
      </c>
      <c r="G80" s="36" t="s">
        <v>8</v>
      </c>
      <c r="H80" s="36" t="s">
        <v>228</v>
      </c>
      <c r="I80" s="36"/>
      <c r="J80" s="36"/>
    </row>
    <row r="81" spans="1:10" x14ac:dyDescent="0.25">
      <c r="A81" s="36">
        <v>1580</v>
      </c>
      <c r="B81" s="37">
        <v>43497</v>
      </c>
      <c r="C81" s="36"/>
      <c r="D81" s="36"/>
      <c r="E81" s="36" t="s">
        <v>14</v>
      </c>
      <c r="F81" s="38">
        <v>4024174.4865000001</v>
      </c>
      <c r="G81" s="36" t="s">
        <v>8</v>
      </c>
      <c r="H81" s="36" t="s">
        <v>228</v>
      </c>
      <c r="I81" s="36"/>
      <c r="J81" s="36"/>
    </row>
    <row r="82" spans="1:10" x14ac:dyDescent="0.25">
      <c r="A82" s="36">
        <v>1580</v>
      </c>
      <c r="B82" s="37">
        <v>43525</v>
      </c>
      <c r="C82" s="36"/>
      <c r="D82" s="36"/>
      <c r="E82" s="36" t="s">
        <v>14</v>
      </c>
      <c r="F82" s="38">
        <v>4024174.4865000001</v>
      </c>
      <c r="G82" s="36" t="s">
        <v>8</v>
      </c>
      <c r="H82" s="36" t="s">
        <v>228</v>
      </c>
      <c r="I82" s="36"/>
      <c r="J82" s="36"/>
    </row>
    <row r="83" spans="1:10" x14ac:dyDescent="0.25">
      <c r="A83" s="36">
        <v>1580</v>
      </c>
      <c r="B83" s="37">
        <v>43556</v>
      </c>
      <c r="C83" s="36"/>
      <c r="D83" s="36"/>
      <c r="E83" s="36" t="s">
        <v>14</v>
      </c>
      <c r="F83" s="38">
        <v>4024174.4865000001</v>
      </c>
      <c r="G83" s="36" t="s">
        <v>8</v>
      </c>
      <c r="H83" s="36" t="s">
        <v>228</v>
      </c>
      <c r="I83" s="36"/>
      <c r="J83" s="36"/>
    </row>
    <row r="84" spans="1:10" x14ac:dyDescent="0.25">
      <c r="A84" s="36">
        <v>1580</v>
      </c>
      <c r="B84" s="37">
        <v>43586</v>
      </c>
      <c r="C84" s="36"/>
      <c r="D84" s="36"/>
      <c r="E84" s="36" t="s">
        <v>14</v>
      </c>
      <c r="F84" s="38">
        <v>4024174.4865000001</v>
      </c>
      <c r="G84" s="36" t="s">
        <v>8</v>
      </c>
      <c r="H84" s="36" t="s">
        <v>228</v>
      </c>
      <c r="I84" s="36"/>
      <c r="J84" s="36"/>
    </row>
    <row r="85" spans="1:10" x14ac:dyDescent="0.25">
      <c r="A85" s="36">
        <v>1580</v>
      </c>
      <c r="B85" s="37">
        <v>43617</v>
      </c>
      <c r="C85" s="36"/>
      <c r="D85" s="36"/>
      <c r="E85" s="36" t="s">
        <v>14</v>
      </c>
      <c r="F85" s="38">
        <v>4024174.4865000001</v>
      </c>
      <c r="G85" s="36" t="s">
        <v>8</v>
      </c>
      <c r="H85" s="36" t="s">
        <v>228</v>
      </c>
      <c r="I85" s="36"/>
      <c r="J85" s="36"/>
    </row>
    <row r="86" spans="1:10" x14ac:dyDescent="0.25">
      <c r="A86" s="36">
        <v>1580</v>
      </c>
      <c r="B86" s="37">
        <v>43647</v>
      </c>
      <c r="C86" s="36"/>
      <c r="D86" s="36"/>
      <c r="E86" s="36" t="s">
        <v>14</v>
      </c>
      <c r="F86" s="38">
        <v>4024174.4865000001</v>
      </c>
      <c r="G86" s="36" t="s">
        <v>8</v>
      </c>
      <c r="H86" s="36" t="s">
        <v>228</v>
      </c>
      <c r="I86" s="36"/>
      <c r="J86" s="36"/>
    </row>
    <row r="87" spans="1:10" x14ac:dyDescent="0.25">
      <c r="A87" s="36">
        <v>1580</v>
      </c>
      <c r="B87" s="37">
        <v>43678</v>
      </c>
      <c r="C87" s="36"/>
      <c r="D87" s="36"/>
      <c r="E87" s="36" t="s">
        <v>14</v>
      </c>
      <c r="F87" s="38">
        <v>4024174.4865000001</v>
      </c>
      <c r="G87" s="36" t="s">
        <v>8</v>
      </c>
      <c r="H87" s="36" t="s">
        <v>228</v>
      </c>
      <c r="I87" s="36"/>
      <c r="J87" s="36"/>
    </row>
    <row r="88" spans="1:10" x14ac:dyDescent="0.25">
      <c r="A88" s="36">
        <v>1580</v>
      </c>
      <c r="B88" s="37">
        <v>43709</v>
      </c>
      <c r="C88" s="36"/>
      <c r="D88" s="36"/>
      <c r="E88" s="36" t="s">
        <v>14</v>
      </c>
      <c r="F88" s="38">
        <v>4024174.4865000001</v>
      </c>
      <c r="G88" s="36" t="s">
        <v>8</v>
      </c>
      <c r="H88" s="36" t="s">
        <v>228</v>
      </c>
      <c r="I88" s="36"/>
      <c r="J88" s="36"/>
    </row>
    <row r="89" spans="1:10" x14ac:dyDescent="0.25">
      <c r="A89" s="36">
        <v>1580</v>
      </c>
      <c r="B89" s="37">
        <v>43739</v>
      </c>
      <c r="C89" s="36"/>
      <c r="D89" s="36"/>
      <c r="E89" s="36" t="s">
        <v>14</v>
      </c>
      <c r="F89" s="38">
        <v>4024174.4865000001</v>
      </c>
      <c r="G89" s="36" t="s">
        <v>8</v>
      </c>
      <c r="H89" s="36" t="s">
        <v>228</v>
      </c>
      <c r="I89" s="36"/>
      <c r="J89" s="36"/>
    </row>
    <row r="90" spans="1:10" x14ac:dyDescent="0.25">
      <c r="A90" s="36">
        <v>1580</v>
      </c>
      <c r="B90" s="37">
        <v>43770</v>
      </c>
      <c r="C90" s="36"/>
      <c r="D90" s="36"/>
      <c r="E90" s="36" t="s">
        <v>14</v>
      </c>
      <c r="F90" s="38">
        <v>4024174.4865000001</v>
      </c>
      <c r="G90" s="36" t="s">
        <v>8</v>
      </c>
      <c r="H90" s="36" t="s">
        <v>228</v>
      </c>
      <c r="I90" s="36"/>
      <c r="J90" s="36"/>
    </row>
    <row r="91" spans="1:10" x14ac:dyDescent="0.25">
      <c r="A91" s="36">
        <v>1580</v>
      </c>
      <c r="B91" s="37">
        <v>43800</v>
      </c>
      <c r="C91" s="36"/>
      <c r="D91" s="36"/>
      <c r="E91" s="36" t="s">
        <v>14</v>
      </c>
      <c r="F91" s="38">
        <v>4024174.4865000001</v>
      </c>
      <c r="G91" s="36" t="s">
        <v>8</v>
      </c>
      <c r="H91" s="36" t="s">
        <v>228</v>
      </c>
      <c r="I91" s="36"/>
      <c r="J91" s="36"/>
    </row>
    <row r="92" spans="1:10" x14ac:dyDescent="0.25">
      <c r="A92" s="36">
        <v>1580</v>
      </c>
      <c r="B92" s="37">
        <v>43831</v>
      </c>
      <c r="C92" s="36"/>
      <c r="D92" s="36"/>
      <c r="E92" s="36" t="s">
        <v>14</v>
      </c>
      <c r="F92" s="38">
        <v>4024174.4865000001</v>
      </c>
      <c r="G92" s="36" t="s">
        <v>8</v>
      </c>
      <c r="H92" s="36" t="s">
        <v>228</v>
      </c>
      <c r="I92" s="36"/>
      <c r="J92" s="36"/>
    </row>
    <row r="93" spans="1:10" x14ac:dyDescent="0.25">
      <c r="A93" s="36">
        <v>1580</v>
      </c>
      <c r="B93" s="37">
        <v>43556</v>
      </c>
      <c r="C93" s="36"/>
      <c r="D93" s="36"/>
      <c r="E93" s="36" t="s">
        <v>15</v>
      </c>
      <c r="F93" s="38">
        <v>3995634.3839999996</v>
      </c>
      <c r="G93" s="36" t="s">
        <v>8</v>
      </c>
      <c r="H93" s="36" t="s">
        <v>228</v>
      </c>
      <c r="I93" s="36"/>
      <c r="J93" s="36"/>
    </row>
    <row r="94" spans="1:10" x14ac:dyDescent="0.25">
      <c r="A94" s="36">
        <v>1580</v>
      </c>
      <c r="B94" s="37">
        <v>43586</v>
      </c>
      <c r="C94" s="36"/>
      <c r="D94" s="36"/>
      <c r="E94" s="36" t="s">
        <v>15</v>
      </c>
      <c r="F94" s="38">
        <v>3995634.3839999996</v>
      </c>
      <c r="G94" s="36" t="s">
        <v>8</v>
      </c>
      <c r="H94" s="36" t="s">
        <v>228</v>
      </c>
      <c r="I94" s="36"/>
      <c r="J94" s="36"/>
    </row>
    <row r="95" spans="1:10" x14ac:dyDescent="0.25">
      <c r="A95" s="36">
        <v>1580</v>
      </c>
      <c r="B95" s="37">
        <v>43617</v>
      </c>
      <c r="C95" s="36"/>
      <c r="D95" s="36"/>
      <c r="E95" s="36" t="s">
        <v>15</v>
      </c>
      <c r="F95" s="38">
        <v>3995634.3839999996</v>
      </c>
      <c r="G95" s="36" t="s">
        <v>8</v>
      </c>
      <c r="H95" s="36" t="s">
        <v>228</v>
      </c>
      <c r="I95" s="36"/>
      <c r="J95" s="36"/>
    </row>
    <row r="96" spans="1:10" x14ac:dyDescent="0.25">
      <c r="A96" s="36">
        <v>1580</v>
      </c>
      <c r="B96" s="37">
        <v>43647</v>
      </c>
      <c r="C96" s="36"/>
      <c r="D96" s="36"/>
      <c r="E96" s="36" t="s">
        <v>15</v>
      </c>
      <c r="F96" s="38">
        <v>3995634.3839999996</v>
      </c>
      <c r="G96" s="36" t="s">
        <v>8</v>
      </c>
      <c r="H96" s="36" t="s">
        <v>228</v>
      </c>
      <c r="I96" s="36"/>
      <c r="J96" s="36"/>
    </row>
    <row r="97" spans="1:10" x14ac:dyDescent="0.25">
      <c r="A97" s="36">
        <v>1580</v>
      </c>
      <c r="B97" s="37">
        <v>43678</v>
      </c>
      <c r="C97" s="36"/>
      <c r="D97" s="36"/>
      <c r="E97" s="36" t="s">
        <v>15</v>
      </c>
      <c r="F97" s="38">
        <v>3995634.3839999996</v>
      </c>
      <c r="G97" s="36" t="s">
        <v>8</v>
      </c>
      <c r="H97" s="36" t="s">
        <v>228</v>
      </c>
      <c r="I97" s="36"/>
      <c r="J97" s="36"/>
    </row>
    <row r="98" spans="1:10" x14ac:dyDescent="0.25">
      <c r="A98" s="36">
        <v>1580</v>
      </c>
      <c r="B98" s="37">
        <v>43709</v>
      </c>
      <c r="C98" s="36"/>
      <c r="D98" s="36"/>
      <c r="E98" s="36" t="s">
        <v>15</v>
      </c>
      <c r="F98" s="38">
        <v>3995634.3839999996</v>
      </c>
      <c r="G98" s="36" t="s">
        <v>8</v>
      </c>
      <c r="H98" s="36" t="s">
        <v>228</v>
      </c>
      <c r="I98" s="36"/>
      <c r="J98" s="36"/>
    </row>
    <row r="99" spans="1:10" x14ac:dyDescent="0.25">
      <c r="A99" s="36">
        <v>1580</v>
      </c>
      <c r="B99" s="37">
        <v>43739</v>
      </c>
      <c r="C99" s="36"/>
      <c r="D99" s="36"/>
      <c r="E99" s="36" t="s">
        <v>15</v>
      </c>
      <c r="F99" s="38">
        <v>3995634.3839999996</v>
      </c>
      <c r="G99" s="36" t="s">
        <v>8</v>
      </c>
      <c r="H99" s="36" t="s">
        <v>228</v>
      </c>
      <c r="I99" s="36"/>
      <c r="J99" s="36"/>
    </row>
    <row r="100" spans="1:10" x14ac:dyDescent="0.25">
      <c r="A100" s="36">
        <v>1580</v>
      </c>
      <c r="B100" s="37">
        <v>43770</v>
      </c>
      <c r="C100" s="36"/>
      <c r="D100" s="36"/>
      <c r="E100" s="36" t="s">
        <v>15</v>
      </c>
      <c r="F100" s="38">
        <v>3995634.3839999996</v>
      </c>
      <c r="G100" s="36" t="s">
        <v>8</v>
      </c>
      <c r="H100" s="36" t="s">
        <v>228</v>
      </c>
      <c r="I100" s="36"/>
      <c r="J100" s="36"/>
    </row>
    <row r="101" spans="1:10" x14ac:dyDescent="0.25">
      <c r="A101" s="36">
        <v>1580</v>
      </c>
      <c r="B101" s="37">
        <v>43800</v>
      </c>
      <c r="C101" s="36"/>
      <c r="D101" s="36"/>
      <c r="E101" s="36" t="s">
        <v>15</v>
      </c>
      <c r="F101" s="38">
        <v>3995634.3839999996</v>
      </c>
      <c r="G101" s="36" t="s">
        <v>8</v>
      </c>
      <c r="H101" s="36" t="s">
        <v>228</v>
      </c>
      <c r="I101" s="36"/>
      <c r="J101" s="36"/>
    </row>
    <row r="102" spans="1:10" x14ac:dyDescent="0.25">
      <c r="A102" s="36">
        <v>1588</v>
      </c>
      <c r="B102" s="37">
        <v>43466</v>
      </c>
      <c r="C102" s="36"/>
      <c r="D102" s="36"/>
      <c r="E102" s="36" t="s">
        <v>9</v>
      </c>
      <c r="F102" s="38">
        <v>10120918.862249998</v>
      </c>
      <c r="G102" s="36" t="s">
        <v>8</v>
      </c>
      <c r="H102" s="36" t="s">
        <v>228</v>
      </c>
      <c r="I102" s="36"/>
      <c r="J102" s="36"/>
    </row>
    <row r="103" spans="1:10" x14ac:dyDescent="0.25">
      <c r="A103" s="36">
        <v>1588</v>
      </c>
      <c r="B103" s="37">
        <v>43497</v>
      </c>
      <c r="C103" s="36"/>
      <c r="D103" s="36"/>
      <c r="E103" s="36" t="s">
        <v>9</v>
      </c>
      <c r="F103" s="38">
        <v>10120918.862249998</v>
      </c>
      <c r="G103" s="36" t="s">
        <v>8</v>
      </c>
      <c r="H103" s="36" t="s">
        <v>228</v>
      </c>
      <c r="I103" s="36"/>
      <c r="J103" s="36"/>
    </row>
    <row r="104" spans="1:10" x14ac:dyDescent="0.25">
      <c r="A104" s="36">
        <v>1588</v>
      </c>
      <c r="B104" s="37">
        <v>43525</v>
      </c>
      <c r="C104" s="36"/>
      <c r="D104" s="36"/>
      <c r="E104" s="36" t="s">
        <v>9</v>
      </c>
      <c r="F104" s="38">
        <v>10120918.862249998</v>
      </c>
      <c r="G104" s="36" t="s">
        <v>8</v>
      </c>
      <c r="H104" s="36" t="s">
        <v>228</v>
      </c>
      <c r="I104" s="36"/>
      <c r="J104" s="36"/>
    </row>
    <row r="105" spans="1:10" x14ac:dyDescent="0.25">
      <c r="A105" s="36">
        <v>1588</v>
      </c>
      <c r="B105" s="37">
        <v>43466</v>
      </c>
      <c r="C105" s="36"/>
      <c r="D105" s="36"/>
      <c r="E105" s="36" t="s">
        <v>16</v>
      </c>
      <c r="F105" s="38">
        <v>3845949.1676549995</v>
      </c>
      <c r="G105" s="36" t="s">
        <v>8</v>
      </c>
      <c r="H105" s="36" t="s">
        <v>228</v>
      </c>
      <c r="I105" s="36"/>
      <c r="J105" s="36"/>
    </row>
    <row r="106" spans="1:10" x14ac:dyDescent="0.25">
      <c r="A106" s="36">
        <v>1588</v>
      </c>
      <c r="B106" s="37">
        <v>43497</v>
      </c>
      <c r="C106" s="36"/>
      <c r="D106" s="36"/>
      <c r="E106" s="36" t="s">
        <v>16</v>
      </c>
      <c r="F106" s="38">
        <v>3845949.1676549995</v>
      </c>
      <c r="G106" s="36" t="s">
        <v>8</v>
      </c>
      <c r="H106" s="36" t="s">
        <v>228</v>
      </c>
      <c r="I106" s="36"/>
      <c r="J106" s="36"/>
    </row>
    <row r="107" spans="1:10" x14ac:dyDescent="0.25">
      <c r="A107" s="36">
        <v>1588</v>
      </c>
      <c r="B107" s="37">
        <v>43525</v>
      </c>
      <c r="C107" s="36"/>
      <c r="D107" s="36"/>
      <c r="E107" s="36" t="s">
        <v>16</v>
      </c>
      <c r="F107" s="38">
        <v>3845949.1676549995</v>
      </c>
      <c r="G107" s="36" t="s">
        <v>8</v>
      </c>
      <c r="H107" s="36" t="s">
        <v>228</v>
      </c>
      <c r="I107" s="36"/>
      <c r="J107" s="36"/>
    </row>
    <row r="108" spans="1:10" x14ac:dyDescent="0.25">
      <c r="A108" s="36">
        <v>1588</v>
      </c>
      <c r="B108" s="37">
        <v>43466</v>
      </c>
      <c r="C108" s="36"/>
      <c r="D108" s="36"/>
      <c r="E108" s="36" t="s">
        <v>17</v>
      </c>
      <c r="F108" s="38">
        <v>3845949.1676549995</v>
      </c>
      <c r="G108" s="36" t="s">
        <v>8</v>
      </c>
      <c r="H108" s="36" t="s">
        <v>228</v>
      </c>
      <c r="I108" s="36"/>
      <c r="J108" s="36"/>
    </row>
    <row r="109" spans="1:10" x14ac:dyDescent="0.25">
      <c r="A109" s="36">
        <v>1588</v>
      </c>
      <c r="B109" s="37">
        <v>43497</v>
      </c>
      <c r="C109" s="36"/>
      <c r="D109" s="36"/>
      <c r="E109" s="36" t="s">
        <v>17</v>
      </c>
      <c r="F109" s="38">
        <v>3845949.1676549995</v>
      </c>
      <c r="G109" s="36" t="s">
        <v>8</v>
      </c>
      <c r="H109" s="36" t="s">
        <v>228</v>
      </c>
      <c r="I109" s="36"/>
      <c r="J109" s="36"/>
    </row>
    <row r="110" spans="1:10" x14ac:dyDescent="0.25">
      <c r="A110" s="36">
        <v>1588</v>
      </c>
      <c r="B110" s="37">
        <v>43525</v>
      </c>
      <c r="C110" s="36"/>
      <c r="D110" s="36"/>
      <c r="E110" s="36" t="s">
        <v>17</v>
      </c>
      <c r="F110" s="38">
        <v>3845949.1676549995</v>
      </c>
      <c r="G110" s="36" t="s">
        <v>8</v>
      </c>
      <c r="H110" s="36" t="s">
        <v>228</v>
      </c>
      <c r="I110" s="36"/>
      <c r="J110" s="36"/>
    </row>
    <row r="111" spans="1:10" x14ac:dyDescent="0.25">
      <c r="A111" s="36">
        <v>1588</v>
      </c>
      <c r="B111" s="37">
        <v>43466</v>
      </c>
      <c r="C111" s="36"/>
      <c r="D111" s="36"/>
      <c r="E111" s="36" t="s">
        <v>18</v>
      </c>
      <c r="F111" s="38">
        <v>4250785.9221449997</v>
      </c>
      <c r="G111" s="36" t="s">
        <v>8</v>
      </c>
      <c r="H111" s="36" t="s">
        <v>228</v>
      </c>
      <c r="I111" s="36"/>
      <c r="J111" s="36"/>
    </row>
    <row r="112" spans="1:10" x14ac:dyDescent="0.25">
      <c r="A112" s="36">
        <v>1588</v>
      </c>
      <c r="B112" s="37">
        <v>43497</v>
      </c>
      <c r="C112" s="36"/>
      <c r="D112" s="36"/>
      <c r="E112" s="36" t="s">
        <v>18</v>
      </c>
      <c r="F112" s="38">
        <v>4250785.9221449997</v>
      </c>
      <c r="G112" s="36" t="s">
        <v>8</v>
      </c>
      <c r="H112" s="36" t="s">
        <v>228</v>
      </c>
      <c r="I112" s="36"/>
      <c r="J112" s="36"/>
    </row>
    <row r="113" spans="1:10" x14ac:dyDescent="0.25">
      <c r="A113" s="36">
        <v>1588</v>
      </c>
      <c r="B113" s="37">
        <v>43525</v>
      </c>
      <c r="C113" s="36"/>
      <c r="D113" s="36"/>
      <c r="E113" s="36" t="s">
        <v>18</v>
      </c>
      <c r="F113" s="38">
        <v>4250785.9221449997</v>
      </c>
      <c r="G113" s="36" t="s">
        <v>8</v>
      </c>
      <c r="H113" s="36" t="s">
        <v>228</v>
      </c>
      <c r="I113" s="36"/>
      <c r="J113" s="36"/>
    </row>
    <row r="114" spans="1:10" x14ac:dyDescent="0.25">
      <c r="A114" s="36">
        <v>1588</v>
      </c>
      <c r="B114" s="37">
        <v>43466</v>
      </c>
      <c r="C114" s="36"/>
      <c r="D114" s="36"/>
      <c r="E114" s="36" t="s">
        <v>19</v>
      </c>
      <c r="F114" s="38">
        <v>3643530.7904099999</v>
      </c>
      <c r="G114" s="36" t="s">
        <v>8</v>
      </c>
      <c r="H114" s="36" t="s">
        <v>228</v>
      </c>
      <c r="I114" s="36"/>
      <c r="J114" s="36"/>
    </row>
    <row r="115" spans="1:10" x14ac:dyDescent="0.25">
      <c r="A115" s="36">
        <v>1588</v>
      </c>
      <c r="B115" s="37">
        <v>43497</v>
      </c>
      <c r="C115" s="36"/>
      <c r="D115" s="36"/>
      <c r="E115" s="36" t="s">
        <v>19</v>
      </c>
      <c r="F115" s="38">
        <v>3643530.7904099999</v>
      </c>
      <c r="G115" s="36" t="s">
        <v>8</v>
      </c>
      <c r="H115" s="36" t="s">
        <v>228</v>
      </c>
      <c r="I115" s="36"/>
      <c r="J115" s="36"/>
    </row>
    <row r="116" spans="1:10" x14ac:dyDescent="0.25">
      <c r="A116" s="36">
        <v>1588</v>
      </c>
      <c r="B116" s="37">
        <v>43525</v>
      </c>
      <c r="C116" s="36"/>
      <c r="D116" s="36"/>
      <c r="E116" s="36" t="s">
        <v>19</v>
      </c>
      <c r="F116" s="38">
        <v>3643530.7904099999</v>
      </c>
      <c r="G116" s="36" t="s">
        <v>8</v>
      </c>
      <c r="H116" s="36" t="s">
        <v>228</v>
      </c>
      <c r="I116" s="36"/>
      <c r="J116" s="36"/>
    </row>
    <row r="117" spans="1:10" x14ac:dyDescent="0.25">
      <c r="A117" s="36">
        <v>1588</v>
      </c>
      <c r="B117" s="37">
        <v>43466</v>
      </c>
      <c r="C117" s="36"/>
      <c r="D117" s="36"/>
      <c r="E117" s="36" t="s">
        <v>20</v>
      </c>
      <c r="F117" s="38">
        <v>4964979.0644999994</v>
      </c>
      <c r="G117" s="36" t="s">
        <v>8</v>
      </c>
      <c r="H117" s="36" t="s">
        <v>228</v>
      </c>
      <c r="I117" s="36"/>
      <c r="J117" s="36"/>
    </row>
    <row r="118" spans="1:10" x14ac:dyDescent="0.25">
      <c r="A118" s="36">
        <v>1588</v>
      </c>
      <c r="B118" s="37">
        <v>43497</v>
      </c>
      <c r="C118" s="36"/>
      <c r="D118" s="36"/>
      <c r="E118" s="36" t="s">
        <v>20</v>
      </c>
      <c r="F118" s="38">
        <v>4964979.0644999994</v>
      </c>
      <c r="G118" s="36" t="s">
        <v>8</v>
      </c>
      <c r="H118" s="36" t="s">
        <v>228</v>
      </c>
      <c r="I118" s="36"/>
      <c r="J118" s="36"/>
    </row>
    <row r="119" spans="1:10" x14ac:dyDescent="0.25">
      <c r="A119" s="36">
        <v>1588</v>
      </c>
      <c r="B119" s="37">
        <v>43525</v>
      </c>
      <c r="C119" s="36"/>
      <c r="D119" s="36"/>
      <c r="E119" s="36" t="s">
        <v>20</v>
      </c>
      <c r="F119" s="38">
        <v>4964979.0644999994</v>
      </c>
      <c r="G119" s="36" t="s">
        <v>8</v>
      </c>
      <c r="H119" s="36" t="s">
        <v>228</v>
      </c>
      <c r="I119" s="36"/>
      <c r="J119" s="36"/>
    </row>
    <row r="120" spans="1:10" x14ac:dyDescent="0.25">
      <c r="A120" s="36">
        <v>1588</v>
      </c>
      <c r="B120" s="37">
        <v>43466</v>
      </c>
      <c r="C120" s="36"/>
      <c r="D120" s="36"/>
      <c r="E120" s="36" t="s">
        <v>11</v>
      </c>
      <c r="F120" s="38">
        <v>8593232.9962500017</v>
      </c>
      <c r="G120" s="36" t="s">
        <v>8</v>
      </c>
      <c r="H120" s="36" t="s">
        <v>228</v>
      </c>
      <c r="I120" s="36"/>
      <c r="J120" s="36"/>
    </row>
    <row r="121" spans="1:10" x14ac:dyDescent="0.25">
      <c r="A121" s="36">
        <v>1588</v>
      </c>
      <c r="B121" s="37">
        <v>43497</v>
      </c>
      <c r="C121" s="36"/>
      <c r="D121" s="36"/>
      <c r="E121" s="36" t="s">
        <v>11</v>
      </c>
      <c r="F121" s="38">
        <v>8593232.9962500017</v>
      </c>
      <c r="G121" s="36" t="s">
        <v>8</v>
      </c>
      <c r="H121" s="36" t="s">
        <v>228</v>
      </c>
      <c r="I121" s="36"/>
      <c r="J121" s="36"/>
    </row>
    <row r="122" spans="1:10" x14ac:dyDescent="0.25">
      <c r="A122" s="36">
        <v>1588</v>
      </c>
      <c r="B122" s="37">
        <v>43525</v>
      </c>
      <c r="C122" s="36"/>
      <c r="D122" s="36"/>
      <c r="E122" s="36" t="s">
        <v>11</v>
      </c>
      <c r="F122" s="38">
        <v>8593232.9962500017</v>
      </c>
      <c r="G122" s="36" t="s">
        <v>8</v>
      </c>
      <c r="H122" s="36" t="s">
        <v>228</v>
      </c>
      <c r="I122" s="36"/>
      <c r="J122" s="36"/>
    </row>
    <row r="123" spans="1:10" x14ac:dyDescent="0.25">
      <c r="A123" s="36">
        <v>1588</v>
      </c>
      <c r="B123" s="37">
        <v>43466</v>
      </c>
      <c r="C123" s="36"/>
      <c r="D123" s="36"/>
      <c r="E123" s="36" t="s">
        <v>21</v>
      </c>
      <c r="F123" s="38">
        <v>6110743.4639999997</v>
      </c>
      <c r="G123" s="36" t="s">
        <v>8</v>
      </c>
      <c r="H123" s="36" t="s">
        <v>228</v>
      </c>
      <c r="I123" s="36"/>
      <c r="J123" s="36"/>
    </row>
    <row r="124" spans="1:10" x14ac:dyDescent="0.25">
      <c r="A124" s="36">
        <v>1588</v>
      </c>
      <c r="B124" s="37">
        <v>43497</v>
      </c>
      <c r="C124" s="36"/>
      <c r="D124" s="36"/>
      <c r="E124" s="36" t="s">
        <v>21</v>
      </c>
      <c r="F124" s="38">
        <v>6110743.4639999997</v>
      </c>
      <c r="G124" s="36" t="s">
        <v>8</v>
      </c>
      <c r="H124" s="36" t="s">
        <v>228</v>
      </c>
      <c r="I124" s="36"/>
      <c r="J124" s="36"/>
    </row>
    <row r="125" spans="1:10" x14ac:dyDescent="0.25">
      <c r="A125" s="36">
        <v>1588</v>
      </c>
      <c r="B125" s="37">
        <v>43525</v>
      </c>
      <c r="C125" s="36"/>
      <c r="D125" s="36"/>
      <c r="E125" s="36" t="s">
        <v>21</v>
      </c>
      <c r="F125" s="38">
        <v>6110743.4639999997</v>
      </c>
      <c r="G125" s="36" t="s">
        <v>8</v>
      </c>
      <c r="H125" s="36" t="s">
        <v>228</v>
      </c>
      <c r="I125" s="36"/>
      <c r="J125" s="36"/>
    </row>
    <row r="126" spans="1:10" x14ac:dyDescent="0.25">
      <c r="A126" s="36">
        <v>1596</v>
      </c>
      <c r="B126" s="37">
        <v>43466</v>
      </c>
      <c r="C126" s="36"/>
      <c r="D126" s="36"/>
      <c r="E126" s="36" t="s">
        <v>7</v>
      </c>
      <c r="F126" s="38">
        <v>2679075</v>
      </c>
      <c r="G126" s="36" t="s">
        <v>8</v>
      </c>
      <c r="H126" s="36" t="s">
        <v>8</v>
      </c>
      <c r="I126" s="36"/>
      <c r="J126" s="36"/>
    </row>
    <row r="127" spans="1:10" x14ac:dyDescent="0.25">
      <c r="A127" s="36">
        <v>1596</v>
      </c>
      <c r="B127" s="37">
        <v>43497</v>
      </c>
      <c r="C127" s="36"/>
      <c r="D127" s="36"/>
      <c r="E127" s="36" t="s">
        <v>7</v>
      </c>
      <c r="F127" s="38">
        <v>2679075</v>
      </c>
      <c r="G127" s="36" t="s">
        <v>8</v>
      </c>
      <c r="H127" s="36" t="s">
        <v>8</v>
      </c>
      <c r="I127" s="36"/>
      <c r="J127" s="36"/>
    </row>
    <row r="128" spans="1:10" x14ac:dyDescent="0.25">
      <c r="A128" s="36">
        <v>1596</v>
      </c>
      <c r="B128" s="37">
        <v>43525</v>
      </c>
      <c r="C128" s="36"/>
      <c r="D128" s="36"/>
      <c r="E128" s="36" t="s">
        <v>7</v>
      </c>
      <c r="F128" s="38">
        <v>2679075</v>
      </c>
      <c r="G128" s="36" t="s">
        <v>8</v>
      </c>
      <c r="H128" s="36" t="s">
        <v>8</v>
      </c>
      <c r="I128" s="36"/>
      <c r="J128" s="36"/>
    </row>
    <row r="129" spans="1:10" x14ac:dyDescent="0.25">
      <c r="A129" s="36">
        <v>1596</v>
      </c>
      <c r="B129" s="37">
        <v>43556</v>
      </c>
      <c r="C129" s="36"/>
      <c r="D129" s="36"/>
      <c r="E129" s="36" t="s">
        <v>7</v>
      </c>
      <c r="F129" s="38">
        <v>2679075</v>
      </c>
      <c r="G129" s="36" t="s">
        <v>8</v>
      </c>
      <c r="H129" s="36" t="s">
        <v>8</v>
      </c>
      <c r="I129" s="36"/>
      <c r="J129" s="36"/>
    </row>
    <row r="130" spans="1:10" x14ac:dyDescent="0.25">
      <c r="A130" s="36">
        <v>1596</v>
      </c>
      <c r="B130" s="37">
        <v>43586</v>
      </c>
      <c r="C130" s="36"/>
      <c r="D130" s="36"/>
      <c r="E130" s="36" t="s">
        <v>7</v>
      </c>
      <c r="F130" s="38">
        <v>2679075</v>
      </c>
      <c r="G130" s="36" t="s">
        <v>8</v>
      </c>
      <c r="H130" s="36" t="s">
        <v>8</v>
      </c>
      <c r="I130" s="36"/>
      <c r="J130" s="36"/>
    </row>
    <row r="131" spans="1:10" x14ac:dyDescent="0.25">
      <c r="A131" s="36">
        <v>1596</v>
      </c>
      <c r="B131" s="37">
        <v>43617</v>
      </c>
      <c r="C131" s="36"/>
      <c r="D131" s="36"/>
      <c r="E131" s="36" t="s">
        <v>7</v>
      </c>
      <c r="F131" s="38">
        <v>2679075</v>
      </c>
      <c r="G131" s="36" t="s">
        <v>8</v>
      </c>
      <c r="H131" s="36" t="s">
        <v>8</v>
      </c>
      <c r="I131" s="36"/>
      <c r="J131" s="36"/>
    </row>
    <row r="132" spans="1:10" x14ac:dyDescent="0.25">
      <c r="A132" s="36">
        <v>1596</v>
      </c>
      <c r="B132" s="37">
        <v>43466</v>
      </c>
      <c r="C132" s="36"/>
      <c r="D132" s="36"/>
      <c r="E132" s="36" t="s">
        <v>9</v>
      </c>
      <c r="F132" s="38">
        <v>9754920</v>
      </c>
      <c r="G132" s="36" t="s">
        <v>8</v>
      </c>
      <c r="H132" s="36" t="s">
        <v>8</v>
      </c>
      <c r="I132" s="36"/>
      <c r="J132" s="36"/>
    </row>
    <row r="133" spans="1:10" x14ac:dyDescent="0.25">
      <c r="A133" s="36">
        <v>1596</v>
      </c>
      <c r="B133" s="37">
        <v>43497</v>
      </c>
      <c r="C133" s="36"/>
      <c r="D133" s="36"/>
      <c r="E133" s="36" t="s">
        <v>9</v>
      </c>
      <c r="F133" s="38">
        <v>9754920</v>
      </c>
      <c r="G133" s="36" t="s">
        <v>8</v>
      </c>
      <c r="H133" s="36" t="s">
        <v>8</v>
      </c>
      <c r="I133" s="36"/>
      <c r="J133" s="36"/>
    </row>
    <row r="134" spans="1:10" x14ac:dyDescent="0.25">
      <c r="A134" s="36">
        <v>1596</v>
      </c>
      <c r="B134" s="37">
        <v>43525</v>
      </c>
      <c r="C134" s="36"/>
      <c r="D134" s="36"/>
      <c r="E134" s="36" t="s">
        <v>9</v>
      </c>
      <c r="F134" s="38">
        <v>9754920</v>
      </c>
      <c r="G134" s="36" t="s">
        <v>8</v>
      </c>
      <c r="H134" s="36" t="s">
        <v>8</v>
      </c>
      <c r="I134" s="36"/>
      <c r="J134" s="36"/>
    </row>
    <row r="135" spans="1:10" x14ac:dyDescent="0.25">
      <c r="A135" s="36">
        <v>1596</v>
      </c>
      <c r="B135" s="37">
        <v>43556</v>
      </c>
      <c r="C135" s="36"/>
      <c r="D135" s="36"/>
      <c r="E135" s="36" t="s">
        <v>9</v>
      </c>
      <c r="F135" s="38">
        <v>9754920</v>
      </c>
      <c r="G135" s="36" t="s">
        <v>8</v>
      </c>
      <c r="H135" s="36" t="s">
        <v>8</v>
      </c>
      <c r="I135" s="36"/>
      <c r="J135" s="36"/>
    </row>
    <row r="136" spans="1:10" x14ac:dyDescent="0.25">
      <c r="A136" s="36">
        <v>1596</v>
      </c>
      <c r="B136" s="37">
        <v>43586</v>
      </c>
      <c r="C136" s="36"/>
      <c r="D136" s="36"/>
      <c r="E136" s="36" t="s">
        <v>9</v>
      </c>
      <c r="F136" s="38">
        <v>9754920</v>
      </c>
      <c r="G136" s="36" t="s">
        <v>8</v>
      </c>
      <c r="H136" s="36" t="s">
        <v>8</v>
      </c>
      <c r="I136" s="36"/>
      <c r="J136" s="36"/>
    </row>
    <row r="137" spans="1:10" x14ac:dyDescent="0.25">
      <c r="A137" s="36">
        <v>1596</v>
      </c>
      <c r="B137" s="37">
        <v>43617</v>
      </c>
      <c r="C137" s="36"/>
      <c r="D137" s="36"/>
      <c r="E137" s="36" t="s">
        <v>9</v>
      </c>
      <c r="F137" s="38">
        <v>9754920</v>
      </c>
      <c r="G137" s="36" t="s">
        <v>8</v>
      </c>
      <c r="H137" s="36" t="s">
        <v>8</v>
      </c>
      <c r="I137" s="36"/>
      <c r="J137" s="36"/>
    </row>
    <row r="138" spans="1:10" x14ac:dyDescent="0.25">
      <c r="A138" s="36">
        <v>1596</v>
      </c>
      <c r="B138" s="37">
        <v>43466</v>
      </c>
      <c r="C138" s="36"/>
      <c r="D138" s="36"/>
      <c r="E138" s="36" t="s">
        <v>22</v>
      </c>
      <c r="F138" s="38">
        <v>4163260.5</v>
      </c>
      <c r="G138" s="36" t="s">
        <v>8</v>
      </c>
      <c r="H138" s="36" t="s">
        <v>8</v>
      </c>
      <c r="I138" s="36"/>
      <c r="J138" s="36"/>
    </row>
    <row r="139" spans="1:10" x14ac:dyDescent="0.25">
      <c r="A139" s="36">
        <v>1596</v>
      </c>
      <c r="B139" s="37">
        <v>43497</v>
      </c>
      <c r="C139" s="36"/>
      <c r="D139" s="36"/>
      <c r="E139" s="36" t="s">
        <v>22</v>
      </c>
      <c r="F139" s="38">
        <v>4163260.5</v>
      </c>
      <c r="G139" s="36" t="s">
        <v>8</v>
      </c>
      <c r="H139" s="36" t="s">
        <v>8</v>
      </c>
      <c r="I139" s="36"/>
      <c r="J139" s="36"/>
    </row>
    <row r="140" spans="1:10" x14ac:dyDescent="0.25">
      <c r="A140" s="36">
        <v>1596</v>
      </c>
      <c r="B140" s="37">
        <v>43525</v>
      </c>
      <c r="C140" s="36"/>
      <c r="D140" s="36"/>
      <c r="E140" s="36" t="s">
        <v>22</v>
      </c>
      <c r="F140" s="38">
        <v>4163260.5</v>
      </c>
      <c r="G140" s="36" t="s">
        <v>8</v>
      </c>
      <c r="H140" s="36" t="s">
        <v>8</v>
      </c>
      <c r="I140" s="36"/>
      <c r="J140" s="36"/>
    </row>
    <row r="141" spans="1:10" x14ac:dyDescent="0.25">
      <c r="A141" s="36">
        <v>1596</v>
      </c>
      <c r="B141" s="37">
        <v>43556</v>
      </c>
      <c r="C141" s="36"/>
      <c r="D141" s="36"/>
      <c r="E141" s="36" t="s">
        <v>22</v>
      </c>
      <c r="F141" s="38">
        <v>4163260.5</v>
      </c>
      <c r="G141" s="36" t="s">
        <v>8</v>
      </c>
      <c r="H141" s="36" t="s">
        <v>8</v>
      </c>
      <c r="I141" s="36"/>
      <c r="J141" s="36"/>
    </row>
    <row r="142" spans="1:10" x14ac:dyDescent="0.25">
      <c r="A142" s="36">
        <v>1596</v>
      </c>
      <c r="B142" s="37">
        <v>43466</v>
      </c>
      <c r="C142" s="36"/>
      <c r="D142" s="36"/>
      <c r="E142" s="36" t="s">
        <v>13</v>
      </c>
      <c r="F142" s="38">
        <v>1950380.3812500001</v>
      </c>
      <c r="G142" s="36" t="s">
        <v>8</v>
      </c>
      <c r="H142" s="36" t="s">
        <v>8</v>
      </c>
      <c r="I142" s="36"/>
      <c r="J142" s="36"/>
    </row>
    <row r="143" spans="1:10" x14ac:dyDescent="0.25">
      <c r="A143" s="36">
        <v>1596</v>
      </c>
      <c r="B143" s="37">
        <v>43497</v>
      </c>
      <c r="C143" s="36"/>
      <c r="D143" s="36"/>
      <c r="E143" s="36" t="s">
        <v>13</v>
      </c>
      <c r="F143" s="38">
        <v>1950380.3812500001</v>
      </c>
      <c r="G143" s="36" t="s">
        <v>8</v>
      </c>
      <c r="H143" s="36" t="s">
        <v>8</v>
      </c>
      <c r="I143" s="36"/>
      <c r="J143" s="36"/>
    </row>
    <row r="144" spans="1:10" x14ac:dyDescent="0.25">
      <c r="A144" s="36">
        <v>1596</v>
      </c>
      <c r="B144" s="37">
        <v>43525</v>
      </c>
      <c r="C144" s="36"/>
      <c r="D144" s="36"/>
      <c r="E144" s="36" t="s">
        <v>13</v>
      </c>
      <c r="F144" s="38">
        <v>1950380.3812500001</v>
      </c>
      <c r="G144" s="36" t="s">
        <v>8</v>
      </c>
      <c r="H144" s="36" t="s">
        <v>8</v>
      </c>
      <c r="I144" s="36"/>
      <c r="J144" s="36"/>
    </row>
    <row r="145" spans="1:10" x14ac:dyDescent="0.25">
      <c r="A145" s="36">
        <v>1596</v>
      </c>
      <c r="B145" s="37">
        <v>43556</v>
      </c>
      <c r="C145" s="36"/>
      <c r="D145" s="36"/>
      <c r="E145" s="36" t="s">
        <v>13</v>
      </c>
      <c r="F145" s="38">
        <v>1950380.3812500001</v>
      </c>
      <c r="G145" s="36" t="s">
        <v>8</v>
      </c>
      <c r="H145" s="36" t="s">
        <v>8</v>
      </c>
      <c r="I145" s="36"/>
      <c r="J145" s="36"/>
    </row>
    <row r="146" spans="1:10" x14ac:dyDescent="0.25">
      <c r="A146" s="36">
        <v>1596</v>
      </c>
      <c r="B146" s="37">
        <v>43466</v>
      </c>
      <c r="C146" s="36"/>
      <c r="D146" s="36"/>
      <c r="E146" s="36" t="s">
        <v>23</v>
      </c>
      <c r="F146" s="38">
        <v>5521981.5</v>
      </c>
      <c r="G146" s="36" t="s">
        <v>8</v>
      </c>
      <c r="H146" s="36" t="s">
        <v>8</v>
      </c>
      <c r="I146" s="36"/>
      <c r="J146" s="36"/>
    </row>
    <row r="147" spans="1:10" x14ac:dyDescent="0.25">
      <c r="A147" s="36">
        <v>1596</v>
      </c>
      <c r="B147" s="37">
        <v>43497</v>
      </c>
      <c r="C147" s="36"/>
      <c r="D147" s="36"/>
      <c r="E147" s="36" t="s">
        <v>23</v>
      </c>
      <c r="F147" s="38">
        <v>5521981.5</v>
      </c>
      <c r="G147" s="36" t="s">
        <v>8</v>
      </c>
      <c r="H147" s="36" t="s">
        <v>8</v>
      </c>
      <c r="I147" s="36"/>
      <c r="J147" s="36"/>
    </row>
    <row r="148" spans="1:10" x14ac:dyDescent="0.25">
      <c r="A148" s="36">
        <v>1596</v>
      </c>
      <c r="B148" s="37">
        <v>43525</v>
      </c>
      <c r="C148" s="36"/>
      <c r="D148" s="36"/>
      <c r="E148" s="36" t="s">
        <v>23</v>
      </c>
      <c r="F148" s="38">
        <v>5521981.5</v>
      </c>
      <c r="G148" s="36" t="s">
        <v>8</v>
      </c>
      <c r="H148" s="36" t="s">
        <v>8</v>
      </c>
      <c r="I148" s="36"/>
      <c r="J148" s="36"/>
    </row>
    <row r="149" spans="1:10" x14ac:dyDescent="0.25">
      <c r="A149" s="36">
        <v>1687</v>
      </c>
      <c r="B149" s="37">
        <v>43466</v>
      </c>
      <c r="C149" s="36"/>
      <c r="D149" s="36"/>
      <c r="E149" s="36" t="s">
        <v>7</v>
      </c>
      <c r="F149" s="38">
        <v>3804794.5320000006</v>
      </c>
      <c r="G149" s="36" t="s">
        <v>8</v>
      </c>
      <c r="H149" s="36" t="s">
        <v>229</v>
      </c>
      <c r="I149" s="36"/>
      <c r="J149" s="36"/>
    </row>
    <row r="150" spans="1:10" x14ac:dyDescent="0.25">
      <c r="A150" s="36">
        <v>1687</v>
      </c>
      <c r="B150" s="37">
        <v>43497</v>
      </c>
      <c r="C150" s="36"/>
      <c r="D150" s="36"/>
      <c r="E150" s="36" t="s">
        <v>7</v>
      </c>
      <c r="F150" s="38">
        <v>3804794.5320000006</v>
      </c>
      <c r="G150" s="36" t="s">
        <v>8</v>
      </c>
      <c r="H150" s="36" t="s">
        <v>229</v>
      </c>
      <c r="I150" s="36"/>
      <c r="J150" s="36"/>
    </row>
    <row r="151" spans="1:10" x14ac:dyDescent="0.25">
      <c r="A151" s="36">
        <v>1687</v>
      </c>
      <c r="B151" s="37">
        <v>43525</v>
      </c>
      <c r="C151" s="36"/>
      <c r="D151" s="36"/>
      <c r="E151" s="36" t="s">
        <v>7</v>
      </c>
      <c r="F151" s="38">
        <v>3804794.5320000006</v>
      </c>
      <c r="G151" s="36" t="s">
        <v>8</v>
      </c>
      <c r="H151" s="36" t="s">
        <v>229</v>
      </c>
      <c r="I151" s="36"/>
      <c r="J151" s="36"/>
    </row>
    <row r="152" spans="1:10" x14ac:dyDescent="0.25">
      <c r="A152" s="36">
        <v>1687</v>
      </c>
      <c r="B152" s="37">
        <v>43556</v>
      </c>
      <c r="C152" s="36"/>
      <c r="D152" s="36"/>
      <c r="E152" s="36" t="s">
        <v>7</v>
      </c>
      <c r="F152" s="38">
        <v>3804794.5320000006</v>
      </c>
      <c r="G152" s="36" t="s">
        <v>8</v>
      </c>
      <c r="H152" s="36" t="s">
        <v>229</v>
      </c>
      <c r="I152" s="36"/>
      <c r="J152" s="36"/>
    </row>
    <row r="153" spans="1:10" x14ac:dyDescent="0.25">
      <c r="A153" s="36">
        <v>1687</v>
      </c>
      <c r="B153" s="37">
        <v>43466</v>
      </c>
      <c r="C153" s="36"/>
      <c r="D153" s="36"/>
      <c r="E153" s="36" t="s">
        <v>9</v>
      </c>
      <c r="F153" s="38">
        <v>10868700</v>
      </c>
      <c r="G153" s="36" t="s">
        <v>8</v>
      </c>
      <c r="H153" s="36" t="s">
        <v>229</v>
      </c>
      <c r="I153" s="36"/>
      <c r="J153" s="36"/>
    </row>
    <row r="154" spans="1:10" x14ac:dyDescent="0.25">
      <c r="A154" s="36">
        <v>1687</v>
      </c>
      <c r="B154" s="37">
        <v>43497</v>
      </c>
      <c r="C154" s="36"/>
      <c r="D154" s="36"/>
      <c r="E154" s="36" t="s">
        <v>9</v>
      </c>
      <c r="F154" s="38">
        <v>10868700</v>
      </c>
      <c r="G154" s="36" t="s">
        <v>8</v>
      </c>
      <c r="H154" s="36" t="s">
        <v>229</v>
      </c>
      <c r="I154" s="36"/>
      <c r="J154" s="36"/>
    </row>
    <row r="155" spans="1:10" x14ac:dyDescent="0.25">
      <c r="A155" s="36">
        <v>1687</v>
      </c>
      <c r="B155" s="37">
        <v>43525</v>
      </c>
      <c r="C155" s="36"/>
      <c r="D155" s="36"/>
      <c r="E155" s="36" t="s">
        <v>9</v>
      </c>
      <c r="F155" s="38">
        <v>10868700</v>
      </c>
      <c r="G155" s="36" t="s">
        <v>8</v>
      </c>
      <c r="H155" s="36" t="s">
        <v>229</v>
      </c>
      <c r="I155" s="36"/>
      <c r="J155" s="36"/>
    </row>
    <row r="156" spans="1:10" x14ac:dyDescent="0.25">
      <c r="A156" s="36">
        <v>1687</v>
      </c>
      <c r="B156" s="37">
        <v>43556</v>
      </c>
      <c r="C156" s="36"/>
      <c r="D156" s="36"/>
      <c r="E156" s="36" t="s">
        <v>9</v>
      </c>
      <c r="F156" s="38">
        <v>10868700</v>
      </c>
      <c r="G156" s="36" t="s">
        <v>8</v>
      </c>
      <c r="H156" s="36" t="s">
        <v>229</v>
      </c>
      <c r="I156" s="36"/>
      <c r="J156" s="36"/>
    </row>
    <row r="157" spans="1:10" x14ac:dyDescent="0.25">
      <c r="A157" s="36">
        <v>1687</v>
      </c>
      <c r="B157" s="37">
        <v>43466</v>
      </c>
      <c r="C157" s="36"/>
      <c r="D157" s="36"/>
      <c r="E157" s="36" t="s">
        <v>22</v>
      </c>
      <c r="F157" s="38">
        <v>3601566.2399999998</v>
      </c>
      <c r="G157" s="36" t="s">
        <v>8</v>
      </c>
      <c r="H157" s="36" t="s">
        <v>229</v>
      </c>
      <c r="I157" s="36"/>
      <c r="J157" s="36"/>
    </row>
    <row r="158" spans="1:10" x14ac:dyDescent="0.25">
      <c r="A158" s="36">
        <v>1687</v>
      </c>
      <c r="B158" s="37">
        <v>43497</v>
      </c>
      <c r="C158" s="36"/>
      <c r="D158" s="36"/>
      <c r="E158" s="36" t="s">
        <v>22</v>
      </c>
      <c r="F158" s="38">
        <v>3601566.2399999998</v>
      </c>
      <c r="G158" s="36" t="s">
        <v>8</v>
      </c>
      <c r="H158" s="36" t="s">
        <v>229</v>
      </c>
      <c r="I158" s="36"/>
      <c r="J158" s="36"/>
    </row>
    <row r="159" spans="1:10" x14ac:dyDescent="0.25">
      <c r="A159" s="36">
        <v>1687</v>
      </c>
      <c r="B159" s="37">
        <v>43525</v>
      </c>
      <c r="C159" s="36"/>
      <c r="D159" s="36"/>
      <c r="E159" s="36" t="s">
        <v>22</v>
      </c>
      <c r="F159" s="38">
        <v>3601566.2399999998</v>
      </c>
      <c r="G159" s="36" t="s">
        <v>8</v>
      </c>
      <c r="H159" s="36" t="s">
        <v>229</v>
      </c>
      <c r="I159" s="36"/>
      <c r="J159" s="36"/>
    </row>
    <row r="160" spans="1:10" x14ac:dyDescent="0.25">
      <c r="A160" s="36">
        <v>1687</v>
      </c>
      <c r="B160" s="37">
        <v>43556</v>
      </c>
      <c r="C160" s="36"/>
      <c r="D160" s="36"/>
      <c r="E160" s="36" t="s">
        <v>22</v>
      </c>
      <c r="F160" s="38">
        <v>3601566.2399999998</v>
      </c>
      <c r="G160" s="36" t="s">
        <v>8</v>
      </c>
      <c r="H160" s="36" t="s">
        <v>229</v>
      </c>
      <c r="I160" s="36"/>
      <c r="J160" s="36"/>
    </row>
    <row r="161" spans="1:10" x14ac:dyDescent="0.25">
      <c r="A161" s="36">
        <v>1687</v>
      </c>
      <c r="B161" s="37">
        <v>43466</v>
      </c>
      <c r="C161" s="36"/>
      <c r="D161" s="36"/>
      <c r="E161" s="36" t="s">
        <v>24</v>
      </c>
      <c r="F161" s="38">
        <v>5246958</v>
      </c>
      <c r="G161" s="36" t="s">
        <v>8</v>
      </c>
      <c r="H161" s="36" t="s">
        <v>229</v>
      </c>
      <c r="I161" s="36"/>
      <c r="J161" s="36"/>
    </row>
    <row r="162" spans="1:10" x14ac:dyDescent="0.25">
      <c r="A162" s="36">
        <v>1687</v>
      </c>
      <c r="B162" s="37">
        <v>43497</v>
      </c>
      <c r="C162" s="36"/>
      <c r="D162" s="36"/>
      <c r="E162" s="36" t="s">
        <v>24</v>
      </c>
      <c r="F162" s="38">
        <v>5246958</v>
      </c>
      <c r="G162" s="36" t="s">
        <v>8</v>
      </c>
      <c r="H162" s="36" t="s">
        <v>229</v>
      </c>
      <c r="I162" s="36"/>
      <c r="J162" s="36"/>
    </row>
    <row r="163" spans="1:10" x14ac:dyDescent="0.25">
      <c r="A163" s="36">
        <v>1687</v>
      </c>
      <c r="B163" s="37">
        <v>43525</v>
      </c>
      <c r="C163" s="36"/>
      <c r="D163" s="36"/>
      <c r="E163" s="36" t="s">
        <v>24</v>
      </c>
      <c r="F163" s="38">
        <v>5246958</v>
      </c>
      <c r="G163" s="36" t="s">
        <v>8</v>
      </c>
      <c r="H163" s="36" t="s">
        <v>229</v>
      </c>
      <c r="I163" s="36"/>
      <c r="J163" s="36"/>
    </row>
    <row r="164" spans="1:10" x14ac:dyDescent="0.25">
      <c r="A164" s="36">
        <v>1687</v>
      </c>
      <c r="B164" s="37">
        <v>43556</v>
      </c>
      <c r="C164" s="36"/>
      <c r="D164" s="36"/>
      <c r="E164" s="36" t="s">
        <v>24</v>
      </c>
      <c r="F164" s="38">
        <v>5246958</v>
      </c>
      <c r="G164" s="36" t="s">
        <v>8</v>
      </c>
      <c r="H164" s="36" t="s">
        <v>229</v>
      </c>
      <c r="I164" s="36"/>
      <c r="J164" s="36"/>
    </row>
    <row r="165" spans="1:10" x14ac:dyDescent="0.25">
      <c r="A165" s="36">
        <v>1687</v>
      </c>
      <c r="B165" s="37">
        <v>43466</v>
      </c>
      <c r="C165" s="36"/>
      <c r="D165" s="36"/>
      <c r="E165" s="36" t="s">
        <v>23</v>
      </c>
      <c r="F165" s="38">
        <v>4544697</v>
      </c>
      <c r="G165" s="36" t="s">
        <v>8</v>
      </c>
      <c r="H165" s="36" t="s">
        <v>229</v>
      </c>
      <c r="I165" s="36"/>
      <c r="J165" s="36"/>
    </row>
    <row r="166" spans="1:10" x14ac:dyDescent="0.25">
      <c r="A166" s="36">
        <v>1687</v>
      </c>
      <c r="B166" s="37">
        <v>43497</v>
      </c>
      <c r="C166" s="36"/>
      <c r="D166" s="36"/>
      <c r="E166" s="36" t="s">
        <v>23</v>
      </c>
      <c r="F166" s="38">
        <v>4544697</v>
      </c>
      <c r="G166" s="36" t="s">
        <v>8</v>
      </c>
      <c r="H166" s="36" t="s">
        <v>229</v>
      </c>
      <c r="I166" s="36"/>
      <c r="J166" s="36"/>
    </row>
    <row r="167" spans="1:10" x14ac:dyDescent="0.25">
      <c r="A167" s="36">
        <v>1687</v>
      </c>
      <c r="B167" s="37">
        <v>43525</v>
      </c>
      <c r="C167" s="36"/>
      <c r="D167" s="36"/>
      <c r="E167" s="36" t="s">
        <v>23</v>
      </c>
      <c r="F167" s="38">
        <v>4544697</v>
      </c>
      <c r="G167" s="36" t="s">
        <v>8</v>
      </c>
      <c r="H167" s="36" t="s">
        <v>229</v>
      </c>
      <c r="I167" s="36"/>
      <c r="J167" s="36"/>
    </row>
    <row r="168" spans="1:10" x14ac:dyDescent="0.25">
      <c r="A168" s="36">
        <v>1687</v>
      </c>
      <c r="B168" s="37">
        <v>43556</v>
      </c>
      <c r="C168" s="36"/>
      <c r="D168" s="36"/>
      <c r="E168" s="36" t="s">
        <v>23</v>
      </c>
      <c r="F168" s="38">
        <v>4544697</v>
      </c>
      <c r="G168" s="36" t="s">
        <v>8</v>
      </c>
      <c r="H168" s="36" t="s">
        <v>229</v>
      </c>
      <c r="I168" s="36"/>
      <c r="J168" s="36"/>
    </row>
    <row r="169" spans="1:10" x14ac:dyDescent="0.25">
      <c r="A169" s="36">
        <v>1687</v>
      </c>
      <c r="B169" s="37">
        <v>43466</v>
      </c>
      <c r="C169" s="36"/>
      <c r="D169" s="36"/>
      <c r="E169" s="36" t="s">
        <v>25</v>
      </c>
      <c r="F169" s="38">
        <v>7308264</v>
      </c>
      <c r="G169" s="36" t="s">
        <v>8</v>
      </c>
      <c r="H169" s="36" t="s">
        <v>229</v>
      </c>
      <c r="I169" s="36"/>
      <c r="J169" s="36"/>
    </row>
    <row r="170" spans="1:10" x14ac:dyDescent="0.25">
      <c r="A170" s="36">
        <v>1687</v>
      </c>
      <c r="B170" s="37">
        <v>43497</v>
      </c>
      <c r="C170" s="36"/>
      <c r="D170" s="36"/>
      <c r="E170" s="36" t="s">
        <v>25</v>
      </c>
      <c r="F170" s="38">
        <v>7308264</v>
      </c>
      <c r="G170" s="36" t="s">
        <v>8</v>
      </c>
      <c r="H170" s="36" t="s">
        <v>229</v>
      </c>
      <c r="I170" s="36"/>
      <c r="J170" s="36"/>
    </row>
    <row r="171" spans="1:10" x14ac:dyDescent="0.25">
      <c r="A171" s="36">
        <v>1687</v>
      </c>
      <c r="B171" s="37">
        <v>43525</v>
      </c>
      <c r="C171" s="36"/>
      <c r="D171" s="36"/>
      <c r="E171" s="36" t="s">
        <v>25</v>
      </c>
      <c r="F171" s="38">
        <v>7308264</v>
      </c>
      <c r="G171" s="36" t="s">
        <v>8</v>
      </c>
      <c r="H171" s="36" t="s">
        <v>229</v>
      </c>
      <c r="I171" s="36"/>
      <c r="J171" s="36"/>
    </row>
    <row r="172" spans="1:10" x14ac:dyDescent="0.25">
      <c r="A172" s="36">
        <v>1687</v>
      </c>
      <c r="B172" s="37">
        <v>43556</v>
      </c>
      <c r="C172" s="36"/>
      <c r="D172" s="36"/>
      <c r="E172" s="36" t="s">
        <v>25</v>
      </c>
      <c r="F172" s="38">
        <v>7308264</v>
      </c>
      <c r="G172" s="36" t="s">
        <v>8</v>
      </c>
      <c r="H172" s="36" t="s">
        <v>229</v>
      </c>
      <c r="I172" s="36"/>
      <c r="J172" s="36"/>
    </row>
    <row r="173" spans="1:10" x14ac:dyDescent="0.25">
      <c r="A173" s="36">
        <v>1687</v>
      </c>
      <c r="B173" s="37">
        <v>43466</v>
      </c>
      <c r="C173" s="36"/>
      <c r="D173" s="36"/>
      <c r="E173" s="36" t="s">
        <v>26</v>
      </c>
      <c r="F173" s="38">
        <v>3989386.5</v>
      </c>
      <c r="G173" s="36" t="s">
        <v>8</v>
      </c>
      <c r="H173" s="36" t="s">
        <v>229</v>
      </c>
      <c r="I173" s="36"/>
      <c r="J173" s="36"/>
    </row>
    <row r="174" spans="1:10" x14ac:dyDescent="0.25">
      <c r="A174" s="36">
        <v>1687</v>
      </c>
      <c r="B174" s="37">
        <v>43497</v>
      </c>
      <c r="C174" s="36"/>
      <c r="D174" s="36"/>
      <c r="E174" s="36" t="s">
        <v>26</v>
      </c>
      <c r="F174" s="38">
        <v>3989386.5</v>
      </c>
      <c r="G174" s="36" t="s">
        <v>8</v>
      </c>
      <c r="H174" s="36" t="s">
        <v>229</v>
      </c>
      <c r="I174" s="36"/>
      <c r="J174" s="36"/>
    </row>
    <row r="175" spans="1:10" x14ac:dyDescent="0.25">
      <c r="A175" s="36">
        <v>1687</v>
      </c>
      <c r="B175" s="37">
        <v>43525</v>
      </c>
      <c r="C175" s="36"/>
      <c r="D175" s="36"/>
      <c r="E175" s="36" t="s">
        <v>26</v>
      </c>
      <c r="F175" s="38">
        <v>3989386.5</v>
      </c>
      <c r="G175" s="36" t="s">
        <v>8</v>
      </c>
      <c r="H175" s="36" t="s">
        <v>229</v>
      </c>
      <c r="I175" s="36"/>
      <c r="J175" s="36"/>
    </row>
    <row r="176" spans="1:10" x14ac:dyDescent="0.25">
      <c r="A176" s="36">
        <v>1689</v>
      </c>
      <c r="B176" s="37">
        <v>43466</v>
      </c>
      <c r="C176" s="36"/>
      <c r="D176" s="36"/>
      <c r="E176" s="36" t="s">
        <v>9</v>
      </c>
      <c r="F176" s="38">
        <v>9724050.0000000019</v>
      </c>
      <c r="G176" s="36" t="s">
        <v>8</v>
      </c>
      <c r="H176" s="36" t="s">
        <v>8</v>
      </c>
      <c r="I176" s="36"/>
      <c r="J176" s="36"/>
    </row>
    <row r="177" spans="1:10" x14ac:dyDescent="0.25">
      <c r="A177" s="36">
        <v>1689</v>
      </c>
      <c r="B177" s="37">
        <v>43497</v>
      </c>
      <c r="C177" s="36"/>
      <c r="D177" s="36"/>
      <c r="E177" s="36" t="s">
        <v>9</v>
      </c>
      <c r="F177" s="38">
        <v>9724050.0000000019</v>
      </c>
      <c r="G177" s="36" t="s">
        <v>8</v>
      </c>
      <c r="H177" s="36" t="s">
        <v>8</v>
      </c>
      <c r="I177" s="36"/>
      <c r="J177" s="36"/>
    </row>
    <row r="178" spans="1:10" x14ac:dyDescent="0.25">
      <c r="A178" s="36">
        <v>1689</v>
      </c>
      <c r="B178" s="37">
        <v>43525</v>
      </c>
      <c r="C178" s="36"/>
      <c r="D178" s="36"/>
      <c r="E178" s="36" t="s">
        <v>9</v>
      </c>
      <c r="F178" s="38">
        <v>9724050.0000000019</v>
      </c>
      <c r="G178" s="36" t="s">
        <v>8</v>
      </c>
      <c r="H178" s="36" t="s">
        <v>8</v>
      </c>
      <c r="I178" s="36"/>
      <c r="J178" s="36"/>
    </row>
    <row r="179" spans="1:10" x14ac:dyDescent="0.25">
      <c r="A179" s="36">
        <v>1689</v>
      </c>
      <c r="B179" s="37">
        <v>43556</v>
      </c>
      <c r="C179" s="36"/>
      <c r="D179" s="36"/>
      <c r="E179" s="36" t="s">
        <v>9</v>
      </c>
      <c r="F179" s="38">
        <v>9724050.0000000019</v>
      </c>
      <c r="G179" s="36" t="s">
        <v>8</v>
      </c>
      <c r="H179" s="36" t="s">
        <v>8</v>
      </c>
      <c r="I179" s="36"/>
      <c r="J179" s="36"/>
    </row>
    <row r="180" spans="1:10" x14ac:dyDescent="0.25">
      <c r="A180" s="36">
        <v>1689</v>
      </c>
      <c r="B180" s="37">
        <v>43586</v>
      </c>
      <c r="C180" s="36"/>
      <c r="D180" s="36"/>
      <c r="E180" s="36" t="s">
        <v>9</v>
      </c>
      <c r="F180" s="38">
        <v>9724050.0000000019</v>
      </c>
      <c r="G180" s="36" t="s">
        <v>8</v>
      </c>
      <c r="H180" s="36" t="s">
        <v>8</v>
      </c>
      <c r="I180" s="36"/>
      <c r="J180" s="36"/>
    </row>
    <row r="181" spans="1:10" x14ac:dyDescent="0.25">
      <c r="A181" s="36">
        <v>1689</v>
      </c>
      <c r="B181" s="37">
        <v>43617</v>
      </c>
      <c r="C181" s="36"/>
      <c r="D181" s="36"/>
      <c r="E181" s="36" t="s">
        <v>9</v>
      </c>
      <c r="F181" s="38">
        <v>9724050.0000000019</v>
      </c>
      <c r="G181" s="36" t="s">
        <v>8</v>
      </c>
      <c r="H181" s="36" t="s">
        <v>8</v>
      </c>
      <c r="I181" s="36"/>
      <c r="J181" s="36"/>
    </row>
    <row r="182" spans="1:10" x14ac:dyDescent="0.25">
      <c r="A182" s="36">
        <v>1689</v>
      </c>
      <c r="B182" s="37">
        <v>43647</v>
      </c>
      <c r="C182" s="36"/>
      <c r="D182" s="36"/>
      <c r="E182" s="36" t="s">
        <v>9</v>
      </c>
      <c r="F182" s="38">
        <v>9724050.0000000019</v>
      </c>
      <c r="G182" s="36" t="s">
        <v>8</v>
      </c>
      <c r="H182" s="36" t="s">
        <v>8</v>
      </c>
      <c r="I182" s="36"/>
      <c r="J182" s="36"/>
    </row>
    <row r="183" spans="1:10" x14ac:dyDescent="0.25">
      <c r="A183" s="36">
        <v>1689</v>
      </c>
      <c r="B183" s="37">
        <v>43678</v>
      </c>
      <c r="C183" s="36"/>
      <c r="D183" s="36"/>
      <c r="E183" s="36" t="s">
        <v>9</v>
      </c>
      <c r="F183" s="38">
        <v>9724050.0000000019</v>
      </c>
      <c r="G183" s="36" t="s">
        <v>8</v>
      </c>
      <c r="H183" s="36" t="s">
        <v>8</v>
      </c>
      <c r="I183" s="36"/>
      <c r="J183" s="36"/>
    </row>
    <row r="184" spans="1:10" x14ac:dyDescent="0.25">
      <c r="A184" s="36">
        <v>1689</v>
      </c>
      <c r="B184" s="37">
        <v>43709</v>
      </c>
      <c r="C184" s="36"/>
      <c r="D184" s="36"/>
      <c r="E184" s="36" t="s">
        <v>9</v>
      </c>
      <c r="F184" s="38">
        <v>9724050.0000000019</v>
      </c>
      <c r="G184" s="36" t="s">
        <v>8</v>
      </c>
      <c r="H184" s="36" t="s">
        <v>8</v>
      </c>
      <c r="I184" s="36"/>
      <c r="J184" s="36"/>
    </row>
    <row r="185" spans="1:10" x14ac:dyDescent="0.25">
      <c r="A185" s="36">
        <v>1689</v>
      </c>
      <c r="B185" s="37">
        <v>43739</v>
      </c>
      <c r="C185" s="36"/>
      <c r="D185" s="36"/>
      <c r="E185" s="36" t="s">
        <v>9</v>
      </c>
      <c r="F185" s="38">
        <v>9724050.0000000019</v>
      </c>
      <c r="G185" s="36" t="s">
        <v>8</v>
      </c>
      <c r="H185" s="36" t="s">
        <v>8</v>
      </c>
      <c r="I185" s="36"/>
      <c r="J185" s="36"/>
    </row>
    <row r="186" spans="1:10" x14ac:dyDescent="0.25">
      <c r="A186" s="36">
        <v>1689</v>
      </c>
      <c r="B186" s="37">
        <v>43770</v>
      </c>
      <c r="C186" s="36"/>
      <c r="D186" s="36"/>
      <c r="E186" s="36" t="s">
        <v>9</v>
      </c>
      <c r="F186" s="38">
        <v>9724050.0000000019</v>
      </c>
      <c r="G186" s="36" t="s">
        <v>8</v>
      </c>
      <c r="H186" s="36" t="s">
        <v>8</v>
      </c>
      <c r="I186" s="36"/>
      <c r="J186" s="36"/>
    </row>
    <row r="187" spans="1:10" x14ac:dyDescent="0.25">
      <c r="A187" s="36">
        <v>1689</v>
      </c>
      <c r="B187" s="37">
        <v>43466</v>
      </c>
      <c r="C187" s="36"/>
      <c r="D187" s="36"/>
      <c r="E187" s="36" t="s">
        <v>140</v>
      </c>
      <c r="F187" s="38">
        <v>3533997.5999999996</v>
      </c>
      <c r="G187" s="36" t="s">
        <v>8</v>
      </c>
      <c r="H187" s="36" t="s">
        <v>8</v>
      </c>
      <c r="I187" s="36"/>
      <c r="J187" s="36"/>
    </row>
    <row r="188" spans="1:10" x14ac:dyDescent="0.25">
      <c r="A188" s="36">
        <v>1689</v>
      </c>
      <c r="B188" s="37">
        <v>43497</v>
      </c>
      <c r="C188" s="36"/>
      <c r="D188" s="36"/>
      <c r="E188" s="36" t="s">
        <v>140</v>
      </c>
      <c r="F188" s="38">
        <v>3533997.5999999996</v>
      </c>
      <c r="G188" s="36" t="s">
        <v>8</v>
      </c>
      <c r="H188" s="36" t="s">
        <v>8</v>
      </c>
      <c r="I188" s="36"/>
      <c r="J188" s="36"/>
    </row>
    <row r="189" spans="1:10" x14ac:dyDescent="0.25">
      <c r="A189" s="36">
        <v>1689</v>
      </c>
      <c r="B189" s="37">
        <v>43525</v>
      </c>
      <c r="C189" s="36"/>
      <c r="D189" s="36"/>
      <c r="E189" s="36" t="s">
        <v>140</v>
      </c>
      <c r="F189" s="38">
        <v>3533997.5999999996</v>
      </c>
      <c r="G189" s="36" t="s">
        <v>8</v>
      </c>
      <c r="H189" s="36" t="s">
        <v>8</v>
      </c>
      <c r="I189" s="36"/>
      <c r="J189" s="36"/>
    </row>
    <row r="190" spans="1:10" x14ac:dyDescent="0.25">
      <c r="A190" s="36">
        <v>1689</v>
      </c>
      <c r="B190" s="37">
        <v>43556</v>
      </c>
      <c r="C190" s="36"/>
      <c r="D190" s="36"/>
      <c r="E190" s="36" t="s">
        <v>140</v>
      </c>
      <c r="F190" s="38">
        <v>3533997.5999999996</v>
      </c>
      <c r="G190" s="36" t="s">
        <v>8</v>
      </c>
      <c r="H190" s="36" t="s">
        <v>8</v>
      </c>
      <c r="I190" s="36"/>
      <c r="J190" s="36"/>
    </row>
    <row r="191" spans="1:10" x14ac:dyDescent="0.25">
      <c r="A191" s="36">
        <v>1689</v>
      </c>
      <c r="B191" s="37">
        <v>43586</v>
      </c>
      <c r="C191" s="36"/>
      <c r="D191" s="36"/>
      <c r="E191" s="36" t="s">
        <v>140</v>
      </c>
      <c r="F191" s="38">
        <v>3533997.5999999996</v>
      </c>
      <c r="G191" s="36" t="s">
        <v>8</v>
      </c>
      <c r="H191" s="36" t="s">
        <v>8</v>
      </c>
      <c r="I191" s="36"/>
      <c r="J191" s="36"/>
    </row>
    <row r="192" spans="1:10" x14ac:dyDescent="0.25">
      <c r="A192" s="36">
        <v>1689</v>
      </c>
      <c r="B192" s="37">
        <v>43617</v>
      </c>
      <c r="C192" s="36"/>
      <c r="D192" s="36"/>
      <c r="E192" s="36" t="s">
        <v>140</v>
      </c>
      <c r="F192" s="38">
        <v>3533997.5999999996</v>
      </c>
      <c r="G192" s="36" t="s">
        <v>8</v>
      </c>
      <c r="H192" s="36" t="s">
        <v>8</v>
      </c>
      <c r="I192" s="36"/>
      <c r="J192" s="36"/>
    </row>
    <row r="193" spans="1:10" x14ac:dyDescent="0.25">
      <c r="A193" s="36">
        <v>1689</v>
      </c>
      <c r="B193" s="37">
        <v>43647</v>
      </c>
      <c r="C193" s="36"/>
      <c r="D193" s="36"/>
      <c r="E193" s="36" t="s">
        <v>140</v>
      </c>
      <c r="F193" s="38">
        <v>3533997.5999999996</v>
      </c>
      <c r="G193" s="36" t="s">
        <v>8</v>
      </c>
      <c r="H193" s="36" t="s">
        <v>8</v>
      </c>
      <c r="I193" s="36"/>
      <c r="J193" s="36"/>
    </row>
    <row r="194" spans="1:10" x14ac:dyDescent="0.25">
      <c r="A194" s="36">
        <v>1689</v>
      </c>
      <c r="B194" s="37">
        <v>43678</v>
      </c>
      <c r="C194" s="36"/>
      <c r="D194" s="36"/>
      <c r="E194" s="36" t="s">
        <v>140</v>
      </c>
      <c r="F194" s="38">
        <v>3533997.5999999996</v>
      </c>
      <c r="G194" s="36" t="s">
        <v>8</v>
      </c>
      <c r="H194" s="36" t="s">
        <v>8</v>
      </c>
      <c r="I194" s="36"/>
      <c r="J194" s="36"/>
    </row>
    <row r="195" spans="1:10" x14ac:dyDescent="0.25">
      <c r="A195" s="36">
        <v>1689</v>
      </c>
      <c r="B195" s="37">
        <v>43709</v>
      </c>
      <c r="C195" s="36"/>
      <c r="D195" s="36"/>
      <c r="E195" s="36" t="s">
        <v>140</v>
      </c>
      <c r="F195" s="38">
        <v>3533997.5999999996</v>
      </c>
      <c r="G195" s="36" t="s">
        <v>8</v>
      </c>
      <c r="H195" s="36" t="s">
        <v>8</v>
      </c>
      <c r="I195" s="36"/>
      <c r="J195" s="36"/>
    </row>
    <row r="196" spans="1:10" x14ac:dyDescent="0.25">
      <c r="A196" s="36">
        <v>1689</v>
      </c>
      <c r="B196" s="37">
        <v>43739</v>
      </c>
      <c r="C196" s="36"/>
      <c r="D196" s="36"/>
      <c r="E196" s="36" t="s">
        <v>140</v>
      </c>
      <c r="F196" s="38">
        <v>3533997.5999999996</v>
      </c>
      <c r="G196" s="36" t="s">
        <v>8</v>
      </c>
      <c r="H196" s="36" t="s">
        <v>8</v>
      </c>
      <c r="I196" s="36"/>
      <c r="J196" s="36"/>
    </row>
    <row r="197" spans="1:10" x14ac:dyDescent="0.25">
      <c r="A197" s="36">
        <v>1689</v>
      </c>
      <c r="B197" s="37">
        <v>43770</v>
      </c>
      <c r="C197" s="36"/>
      <c r="D197" s="36"/>
      <c r="E197" s="36" t="s">
        <v>140</v>
      </c>
      <c r="F197" s="38">
        <v>3533997.5999999996</v>
      </c>
      <c r="G197" s="36" t="s">
        <v>8</v>
      </c>
      <c r="H197" s="36" t="s">
        <v>8</v>
      </c>
      <c r="I197" s="36"/>
      <c r="J197" s="36"/>
    </row>
    <row r="198" spans="1:10" x14ac:dyDescent="0.25">
      <c r="A198" s="36">
        <v>1689</v>
      </c>
      <c r="B198" s="37">
        <v>43466</v>
      </c>
      <c r="C198" s="36"/>
      <c r="D198" s="36"/>
      <c r="E198" s="36" t="s">
        <v>27</v>
      </c>
      <c r="F198" s="38">
        <v>3902122.35</v>
      </c>
      <c r="G198" s="36" t="s">
        <v>8</v>
      </c>
      <c r="H198" s="36" t="s">
        <v>8</v>
      </c>
      <c r="I198" s="36"/>
      <c r="J198" s="36"/>
    </row>
    <row r="199" spans="1:10" x14ac:dyDescent="0.25">
      <c r="A199" s="36">
        <v>1689</v>
      </c>
      <c r="B199" s="37">
        <v>43497</v>
      </c>
      <c r="C199" s="36"/>
      <c r="D199" s="36"/>
      <c r="E199" s="36" t="s">
        <v>27</v>
      </c>
      <c r="F199" s="38">
        <v>3902122.35</v>
      </c>
      <c r="G199" s="36" t="s">
        <v>8</v>
      </c>
      <c r="H199" s="36" t="s">
        <v>8</v>
      </c>
      <c r="I199" s="36"/>
      <c r="J199" s="36"/>
    </row>
    <row r="200" spans="1:10" x14ac:dyDescent="0.25">
      <c r="A200" s="36">
        <v>1689</v>
      </c>
      <c r="B200" s="37">
        <v>43525</v>
      </c>
      <c r="C200" s="36"/>
      <c r="D200" s="36"/>
      <c r="E200" s="36" t="s">
        <v>27</v>
      </c>
      <c r="F200" s="38">
        <v>3902122.35</v>
      </c>
      <c r="G200" s="36" t="s">
        <v>8</v>
      </c>
      <c r="H200" s="36" t="s">
        <v>8</v>
      </c>
      <c r="I200" s="36"/>
      <c r="J200" s="36"/>
    </row>
    <row r="201" spans="1:10" x14ac:dyDescent="0.25">
      <c r="A201" s="36">
        <v>1689</v>
      </c>
      <c r="B201" s="37">
        <v>43556</v>
      </c>
      <c r="C201" s="36"/>
      <c r="D201" s="36"/>
      <c r="E201" s="36" t="s">
        <v>27</v>
      </c>
      <c r="F201" s="38">
        <v>3902122.35</v>
      </c>
      <c r="G201" s="36" t="s">
        <v>8</v>
      </c>
      <c r="H201" s="36" t="s">
        <v>8</v>
      </c>
      <c r="I201" s="36"/>
      <c r="J201" s="36"/>
    </row>
    <row r="202" spans="1:10" x14ac:dyDescent="0.25">
      <c r="A202" s="36">
        <v>1689</v>
      </c>
      <c r="B202" s="37">
        <v>43586</v>
      </c>
      <c r="C202" s="36"/>
      <c r="D202" s="36"/>
      <c r="E202" s="36" t="s">
        <v>27</v>
      </c>
      <c r="F202" s="38">
        <v>3902122.35</v>
      </c>
      <c r="G202" s="36" t="s">
        <v>8</v>
      </c>
      <c r="H202" s="36" t="s">
        <v>8</v>
      </c>
      <c r="I202" s="36"/>
      <c r="J202" s="36"/>
    </row>
    <row r="203" spans="1:10" x14ac:dyDescent="0.25">
      <c r="A203" s="36">
        <v>1689</v>
      </c>
      <c r="B203" s="37">
        <v>43617</v>
      </c>
      <c r="C203" s="36"/>
      <c r="D203" s="36"/>
      <c r="E203" s="36" t="s">
        <v>27</v>
      </c>
      <c r="F203" s="38">
        <v>3902122.35</v>
      </c>
      <c r="G203" s="36" t="s">
        <v>8</v>
      </c>
      <c r="H203" s="36" t="s">
        <v>8</v>
      </c>
      <c r="I203" s="36"/>
      <c r="J203" s="36"/>
    </row>
    <row r="204" spans="1:10" x14ac:dyDescent="0.25">
      <c r="A204" s="36">
        <v>1689</v>
      </c>
      <c r="B204" s="37">
        <v>43647</v>
      </c>
      <c r="C204" s="36"/>
      <c r="D204" s="36"/>
      <c r="E204" s="36" t="s">
        <v>27</v>
      </c>
      <c r="F204" s="38">
        <v>3902122.35</v>
      </c>
      <c r="G204" s="36" t="s">
        <v>8</v>
      </c>
      <c r="H204" s="36" t="s">
        <v>8</v>
      </c>
      <c r="I204" s="36"/>
      <c r="J204" s="36"/>
    </row>
    <row r="205" spans="1:10" x14ac:dyDescent="0.25">
      <c r="A205" s="36">
        <v>1689</v>
      </c>
      <c r="B205" s="37">
        <v>43678</v>
      </c>
      <c r="C205" s="36"/>
      <c r="D205" s="36"/>
      <c r="E205" s="36" t="s">
        <v>27</v>
      </c>
      <c r="F205" s="38">
        <v>3902122.35</v>
      </c>
      <c r="G205" s="36" t="s">
        <v>8</v>
      </c>
      <c r="H205" s="36" t="s">
        <v>8</v>
      </c>
      <c r="I205" s="36"/>
      <c r="J205" s="36"/>
    </row>
    <row r="206" spans="1:10" x14ac:dyDescent="0.25">
      <c r="A206" s="36">
        <v>1689</v>
      </c>
      <c r="B206" s="37">
        <v>43466</v>
      </c>
      <c r="C206" s="36"/>
      <c r="D206" s="36"/>
      <c r="E206" s="36" t="s">
        <v>23</v>
      </c>
      <c r="F206" s="38">
        <v>3993806.2500000005</v>
      </c>
      <c r="G206" s="36" t="s">
        <v>8</v>
      </c>
      <c r="H206" s="36" t="s">
        <v>8</v>
      </c>
      <c r="I206" s="36"/>
      <c r="J206" s="36"/>
    </row>
    <row r="207" spans="1:10" x14ac:dyDescent="0.25">
      <c r="A207" s="36">
        <v>1689</v>
      </c>
      <c r="B207" s="37">
        <v>43497</v>
      </c>
      <c r="C207" s="36"/>
      <c r="D207" s="36"/>
      <c r="E207" s="36" t="s">
        <v>23</v>
      </c>
      <c r="F207" s="38">
        <v>3993806.2500000005</v>
      </c>
      <c r="G207" s="36" t="s">
        <v>8</v>
      </c>
      <c r="H207" s="36" t="s">
        <v>8</v>
      </c>
      <c r="I207" s="36"/>
      <c r="J207" s="36"/>
    </row>
    <row r="208" spans="1:10" x14ac:dyDescent="0.25">
      <c r="A208" s="36">
        <v>1689</v>
      </c>
      <c r="B208" s="37">
        <v>43525</v>
      </c>
      <c r="C208" s="36"/>
      <c r="D208" s="36"/>
      <c r="E208" s="36" t="s">
        <v>23</v>
      </c>
      <c r="F208" s="38">
        <v>3993806.2500000005</v>
      </c>
      <c r="G208" s="36" t="s">
        <v>8</v>
      </c>
      <c r="H208" s="36" t="s">
        <v>8</v>
      </c>
      <c r="I208" s="36"/>
      <c r="J208" s="36"/>
    </row>
    <row r="209" spans="1:10" x14ac:dyDescent="0.25">
      <c r="A209" s="36">
        <v>1689</v>
      </c>
      <c r="B209" s="37">
        <v>43556</v>
      </c>
      <c r="C209" s="36"/>
      <c r="D209" s="36"/>
      <c r="E209" s="36" t="s">
        <v>23</v>
      </c>
      <c r="F209" s="38">
        <v>3993806.2500000005</v>
      </c>
      <c r="G209" s="36" t="s">
        <v>8</v>
      </c>
      <c r="H209" s="36" t="s">
        <v>8</v>
      </c>
      <c r="I209" s="36"/>
      <c r="J209" s="36"/>
    </row>
    <row r="210" spans="1:10" x14ac:dyDescent="0.25">
      <c r="A210" s="36">
        <v>1689</v>
      </c>
      <c r="B210" s="37">
        <v>43586</v>
      </c>
      <c r="C210" s="36"/>
      <c r="D210" s="36"/>
      <c r="E210" s="36" t="s">
        <v>23</v>
      </c>
      <c r="F210" s="38">
        <v>3993806.2500000005</v>
      </c>
      <c r="G210" s="36" t="s">
        <v>8</v>
      </c>
      <c r="H210" s="36" t="s">
        <v>8</v>
      </c>
      <c r="I210" s="36"/>
      <c r="J210" s="36"/>
    </row>
    <row r="211" spans="1:10" x14ac:dyDescent="0.25">
      <c r="A211" s="36">
        <v>1689</v>
      </c>
      <c r="B211" s="37">
        <v>43617</v>
      </c>
      <c r="C211" s="36"/>
      <c r="D211" s="36"/>
      <c r="E211" s="36" t="s">
        <v>23</v>
      </c>
      <c r="F211" s="38">
        <v>3993806.2500000005</v>
      </c>
      <c r="G211" s="36" t="s">
        <v>8</v>
      </c>
      <c r="H211" s="36" t="s">
        <v>8</v>
      </c>
      <c r="I211" s="36"/>
      <c r="J211" s="36"/>
    </row>
    <row r="212" spans="1:10" x14ac:dyDescent="0.25">
      <c r="A212" s="36">
        <v>1689</v>
      </c>
      <c r="B212" s="37">
        <v>43647</v>
      </c>
      <c r="C212" s="36"/>
      <c r="D212" s="36"/>
      <c r="E212" s="36" t="s">
        <v>23</v>
      </c>
      <c r="F212" s="38">
        <v>3993806.2500000005</v>
      </c>
      <c r="G212" s="36" t="s">
        <v>8</v>
      </c>
      <c r="H212" s="36" t="s">
        <v>8</v>
      </c>
      <c r="I212" s="36"/>
      <c r="J212" s="36"/>
    </row>
    <row r="213" spans="1:10" x14ac:dyDescent="0.25">
      <c r="A213" s="36">
        <v>1689</v>
      </c>
      <c r="B213" s="37">
        <v>43678</v>
      </c>
      <c r="C213" s="36"/>
      <c r="D213" s="36"/>
      <c r="E213" s="36" t="s">
        <v>23</v>
      </c>
      <c r="F213" s="38">
        <v>3993806.2500000005</v>
      </c>
      <c r="G213" s="36" t="s">
        <v>8</v>
      </c>
      <c r="H213" s="36" t="s">
        <v>8</v>
      </c>
      <c r="I213" s="36"/>
      <c r="J213" s="36"/>
    </row>
    <row r="214" spans="1:10" x14ac:dyDescent="0.25">
      <c r="A214" s="36">
        <v>1701</v>
      </c>
      <c r="B214" s="37">
        <v>43466</v>
      </c>
      <c r="C214" s="36"/>
      <c r="D214" s="36"/>
      <c r="E214" s="36" t="s">
        <v>7</v>
      </c>
      <c r="F214" s="38">
        <v>4388324.8500000006</v>
      </c>
      <c r="G214" s="36" t="s">
        <v>8</v>
      </c>
      <c r="H214" s="36" t="s">
        <v>8</v>
      </c>
      <c r="I214" s="36"/>
      <c r="J214" s="36"/>
    </row>
    <row r="215" spans="1:10" x14ac:dyDescent="0.25">
      <c r="A215" s="36">
        <v>1701</v>
      </c>
      <c r="B215" s="37">
        <v>43497</v>
      </c>
      <c r="C215" s="36"/>
      <c r="D215" s="36"/>
      <c r="E215" s="36" t="s">
        <v>7</v>
      </c>
      <c r="F215" s="38">
        <v>4388324.8500000006</v>
      </c>
      <c r="G215" s="36" t="s">
        <v>8</v>
      </c>
      <c r="H215" s="36" t="s">
        <v>8</v>
      </c>
      <c r="I215" s="36"/>
      <c r="J215" s="36"/>
    </row>
    <row r="216" spans="1:10" x14ac:dyDescent="0.25">
      <c r="A216" s="36">
        <v>1701</v>
      </c>
      <c r="B216" s="37">
        <v>43525</v>
      </c>
      <c r="C216" s="36"/>
      <c r="D216" s="36"/>
      <c r="E216" s="36" t="s">
        <v>7</v>
      </c>
      <c r="F216" s="38">
        <v>4388324.8500000006</v>
      </c>
      <c r="G216" s="36" t="s">
        <v>8</v>
      </c>
      <c r="H216" s="36" t="s">
        <v>8</v>
      </c>
      <c r="I216" s="36"/>
      <c r="J216" s="36"/>
    </row>
    <row r="217" spans="1:10" x14ac:dyDescent="0.25">
      <c r="A217" s="36">
        <v>1701</v>
      </c>
      <c r="B217" s="37">
        <v>43556</v>
      </c>
      <c r="C217" s="36"/>
      <c r="D217" s="36"/>
      <c r="E217" s="36" t="s">
        <v>7</v>
      </c>
      <c r="F217" s="38">
        <v>4388324.8500000006</v>
      </c>
      <c r="G217" s="36" t="s">
        <v>8</v>
      </c>
      <c r="H217" s="36" t="s">
        <v>8</v>
      </c>
      <c r="I217" s="36"/>
      <c r="J217" s="36"/>
    </row>
    <row r="218" spans="1:10" x14ac:dyDescent="0.25">
      <c r="A218" s="36">
        <v>1701</v>
      </c>
      <c r="B218" s="37">
        <v>43586</v>
      </c>
      <c r="C218" s="36"/>
      <c r="D218" s="36"/>
      <c r="E218" s="36" t="s">
        <v>7</v>
      </c>
      <c r="F218" s="38">
        <v>4388324.8500000006</v>
      </c>
      <c r="G218" s="36" t="s">
        <v>8</v>
      </c>
      <c r="H218" s="36" t="s">
        <v>8</v>
      </c>
      <c r="I218" s="36"/>
      <c r="J218" s="36"/>
    </row>
    <row r="219" spans="1:10" x14ac:dyDescent="0.25">
      <c r="A219" s="36">
        <v>1701</v>
      </c>
      <c r="B219" s="37">
        <v>43466</v>
      </c>
      <c r="C219" s="36"/>
      <c r="D219" s="36"/>
      <c r="E219" s="36" t="s">
        <v>9</v>
      </c>
      <c r="F219" s="38">
        <v>8682187.5000000019</v>
      </c>
      <c r="G219" s="36" t="s">
        <v>8</v>
      </c>
      <c r="H219" s="36" t="s">
        <v>8</v>
      </c>
      <c r="I219" s="36"/>
      <c r="J219" s="36"/>
    </row>
    <row r="220" spans="1:10" x14ac:dyDescent="0.25">
      <c r="A220" s="36">
        <v>1701</v>
      </c>
      <c r="B220" s="37">
        <v>43497</v>
      </c>
      <c r="C220" s="36"/>
      <c r="D220" s="36"/>
      <c r="E220" s="36" t="s">
        <v>9</v>
      </c>
      <c r="F220" s="38">
        <v>8682187.5000000019</v>
      </c>
      <c r="G220" s="36" t="s">
        <v>8</v>
      </c>
      <c r="H220" s="36" t="s">
        <v>8</v>
      </c>
      <c r="I220" s="36"/>
      <c r="J220" s="36"/>
    </row>
    <row r="221" spans="1:10" x14ac:dyDescent="0.25">
      <c r="A221" s="36">
        <v>1701</v>
      </c>
      <c r="B221" s="37">
        <v>43525</v>
      </c>
      <c r="C221" s="36"/>
      <c r="D221" s="36"/>
      <c r="E221" s="36" t="s">
        <v>9</v>
      </c>
      <c r="F221" s="38">
        <v>8682187.5000000019</v>
      </c>
      <c r="G221" s="36" t="s">
        <v>8</v>
      </c>
      <c r="H221" s="36" t="s">
        <v>8</v>
      </c>
      <c r="I221" s="36"/>
      <c r="J221" s="36"/>
    </row>
    <row r="222" spans="1:10" x14ac:dyDescent="0.25">
      <c r="A222" s="36">
        <v>1701</v>
      </c>
      <c r="B222" s="37">
        <v>43556</v>
      </c>
      <c r="C222" s="36"/>
      <c r="D222" s="36"/>
      <c r="E222" s="36" t="s">
        <v>9</v>
      </c>
      <c r="F222" s="38">
        <v>8682187.5000000019</v>
      </c>
      <c r="G222" s="36" t="s">
        <v>8</v>
      </c>
      <c r="H222" s="36" t="s">
        <v>8</v>
      </c>
      <c r="I222" s="36"/>
      <c r="J222" s="36"/>
    </row>
    <row r="223" spans="1:10" x14ac:dyDescent="0.25">
      <c r="A223" s="36">
        <v>1701</v>
      </c>
      <c r="B223" s="37">
        <v>43586</v>
      </c>
      <c r="C223" s="36"/>
      <c r="D223" s="36"/>
      <c r="E223" s="36" t="s">
        <v>9</v>
      </c>
      <c r="F223" s="38">
        <v>8682187.5000000019</v>
      </c>
      <c r="G223" s="36" t="s">
        <v>8</v>
      </c>
      <c r="H223" s="36" t="s">
        <v>8</v>
      </c>
      <c r="I223" s="36"/>
      <c r="J223" s="36"/>
    </row>
    <row r="224" spans="1:10" x14ac:dyDescent="0.25">
      <c r="A224" s="36">
        <v>1701</v>
      </c>
      <c r="B224" s="37">
        <v>43466</v>
      </c>
      <c r="C224" s="36"/>
      <c r="D224" s="36"/>
      <c r="E224" s="36" t="s">
        <v>22</v>
      </c>
      <c r="F224" s="38">
        <v>3865309.875</v>
      </c>
      <c r="G224" s="36" t="s">
        <v>8</v>
      </c>
      <c r="H224" s="36" t="s">
        <v>8</v>
      </c>
      <c r="I224" s="36"/>
      <c r="J224" s="36"/>
    </row>
    <row r="225" spans="1:10" x14ac:dyDescent="0.25">
      <c r="A225" s="36">
        <v>1701</v>
      </c>
      <c r="B225" s="37">
        <v>43497</v>
      </c>
      <c r="C225" s="36"/>
      <c r="D225" s="36"/>
      <c r="E225" s="36" t="s">
        <v>22</v>
      </c>
      <c r="F225" s="38">
        <v>3865309.875</v>
      </c>
      <c r="G225" s="36" t="s">
        <v>8</v>
      </c>
      <c r="H225" s="36" t="s">
        <v>8</v>
      </c>
      <c r="I225" s="36"/>
      <c r="J225" s="36"/>
    </row>
    <row r="226" spans="1:10" x14ac:dyDescent="0.25">
      <c r="A226" s="36">
        <v>1701</v>
      </c>
      <c r="B226" s="37">
        <v>43525</v>
      </c>
      <c r="C226" s="36"/>
      <c r="D226" s="36"/>
      <c r="E226" s="36" t="s">
        <v>22</v>
      </c>
      <c r="F226" s="38">
        <v>3865309.875</v>
      </c>
      <c r="G226" s="36" t="s">
        <v>8</v>
      </c>
      <c r="H226" s="36" t="s">
        <v>8</v>
      </c>
      <c r="I226" s="36"/>
      <c r="J226" s="36"/>
    </row>
    <row r="227" spans="1:10" x14ac:dyDescent="0.25">
      <c r="A227" s="36">
        <v>1701</v>
      </c>
      <c r="B227" s="37">
        <v>43556</v>
      </c>
      <c r="C227" s="36"/>
      <c r="D227" s="36"/>
      <c r="E227" s="36" t="s">
        <v>22</v>
      </c>
      <c r="F227" s="38">
        <v>3865309.875</v>
      </c>
      <c r="G227" s="36" t="s">
        <v>8</v>
      </c>
      <c r="H227" s="36" t="s">
        <v>8</v>
      </c>
      <c r="I227" s="36"/>
      <c r="J227" s="36"/>
    </row>
    <row r="228" spans="1:10" x14ac:dyDescent="0.25">
      <c r="A228" s="36">
        <v>1701</v>
      </c>
      <c r="B228" s="37">
        <v>43586</v>
      </c>
      <c r="C228" s="36"/>
      <c r="D228" s="36"/>
      <c r="E228" s="36" t="s">
        <v>22</v>
      </c>
      <c r="F228" s="38">
        <v>3865309.875</v>
      </c>
      <c r="G228" s="36" t="s">
        <v>8</v>
      </c>
      <c r="H228" s="36" t="s">
        <v>8</v>
      </c>
      <c r="I228" s="36"/>
      <c r="J228" s="36"/>
    </row>
    <row r="229" spans="1:10" x14ac:dyDescent="0.25">
      <c r="A229" s="36">
        <v>1701</v>
      </c>
      <c r="B229" s="37">
        <v>43466</v>
      </c>
      <c r="C229" s="36"/>
      <c r="D229" s="36"/>
      <c r="E229" s="36" t="s">
        <v>28</v>
      </c>
      <c r="F229" s="38">
        <v>3497185.125</v>
      </c>
      <c r="G229" s="36" t="s">
        <v>8</v>
      </c>
      <c r="H229" s="36" t="s">
        <v>8</v>
      </c>
      <c r="I229" s="36"/>
      <c r="J229" s="36"/>
    </row>
    <row r="230" spans="1:10" x14ac:dyDescent="0.25">
      <c r="A230" s="36">
        <v>1701</v>
      </c>
      <c r="B230" s="37">
        <v>43497</v>
      </c>
      <c r="C230" s="36"/>
      <c r="D230" s="36"/>
      <c r="E230" s="36" t="s">
        <v>28</v>
      </c>
      <c r="F230" s="38">
        <v>3497185.125</v>
      </c>
      <c r="G230" s="36" t="s">
        <v>8</v>
      </c>
      <c r="H230" s="36" t="s">
        <v>8</v>
      </c>
      <c r="I230" s="36"/>
      <c r="J230" s="36"/>
    </row>
    <row r="231" spans="1:10" x14ac:dyDescent="0.25">
      <c r="A231" s="36">
        <v>1701</v>
      </c>
      <c r="B231" s="37">
        <v>43525</v>
      </c>
      <c r="C231" s="36"/>
      <c r="D231" s="36"/>
      <c r="E231" s="36" t="s">
        <v>28</v>
      </c>
      <c r="F231" s="38">
        <v>3497185.125</v>
      </c>
      <c r="G231" s="36" t="s">
        <v>8</v>
      </c>
      <c r="H231" s="36" t="s">
        <v>8</v>
      </c>
      <c r="I231" s="36"/>
      <c r="J231" s="36"/>
    </row>
    <row r="232" spans="1:10" x14ac:dyDescent="0.25">
      <c r="A232" s="36">
        <v>1701</v>
      </c>
      <c r="B232" s="37">
        <v>43556</v>
      </c>
      <c r="C232" s="36"/>
      <c r="D232" s="36"/>
      <c r="E232" s="36" t="s">
        <v>28</v>
      </c>
      <c r="F232" s="38">
        <v>3497185.125</v>
      </c>
      <c r="G232" s="36" t="s">
        <v>8</v>
      </c>
      <c r="H232" s="36" t="s">
        <v>8</v>
      </c>
      <c r="I232" s="36"/>
      <c r="J232" s="36"/>
    </row>
    <row r="233" spans="1:10" x14ac:dyDescent="0.25">
      <c r="A233" s="36">
        <v>1701</v>
      </c>
      <c r="B233" s="37">
        <v>43586</v>
      </c>
      <c r="C233" s="36"/>
      <c r="D233" s="36"/>
      <c r="E233" s="36" t="s">
        <v>28</v>
      </c>
      <c r="F233" s="38">
        <v>3497185.125</v>
      </c>
      <c r="G233" s="36" t="s">
        <v>8</v>
      </c>
      <c r="H233" s="36" t="s">
        <v>8</v>
      </c>
      <c r="I233" s="36"/>
      <c r="J233" s="36"/>
    </row>
    <row r="234" spans="1:10" x14ac:dyDescent="0.25">
      <c r="A234" s="36">
        <v>1701</v>
      </c>
      <c r="B234" s="37">
        <v>43617</v>
      </c>
      <c r="C234" s="36"/>
      <c r="D234" s="36"/>
      <c r="E234" s="36" t="s">
        <v>28</v>
      </c>
      <c r="F234" s="38">
        <v>3497185.125</v>
      </c>
      <c r="G234" s="36" t="s">
        <v>8</v>
      </c>
      <c r="H234" s="36" t="s">
        <v>8</v>
      </c>
      <c r="I234" s="36"/>
      <c r="J234" s="36"/>
    </row>
    <row r="235" spans="1:10" x14ac:dyDescent="0.25">
      <c r="A235" s="36">
        <v>1701</v>
      </c>
      <c r="B235" s="37">
        <v>43647</v>
      </c>
      <c r="C235" s="36"/>
      <c r="D235" s="36"/>
      <c r="E235" s="36" t="s">
        <v>28</v>
      </c>
      <c r="F235" s="38">
        <v>3497185.125</v>
      </c>
      <c r="G235" s="36" t="s">
        <v>8</v>
      </c>
      <c r="H235" s="36" t="s">
        <v>8</v>
      </c>
      <c r="I235" s="36"/>
      <c r="J235" s="36"/>
    </row>
    <row r="236" spans="1:10" x14ac:dyDescent="0.25">
      <c r="A236" s="36">
        <v>1701</v>
      </c>
      <c r="B236" s="37">
        <v>43678</v>
      </c>
      <c r="C236" s="36"/>
      <c r="D236" s="36"/>
      <c r="E236" s="36" t="s">
        <v>28</v>
      </c>
      <c r="F236" s="38">
        <v>3497185.125</v>
      </c>
      <c r="G236" s="36" t="s">
        <v>8</v>
      </c>
      <c r="H236" s="36" t="s">
        <v>8</v>
      </c>
      <c r="I236" s="36"/>
      <c r="J236" s="36"/>
    </row>
    <row r="237" spans="1:10" x14ac:dyDescent="0.25">
      <c r="A237" s="36">
        <v>1701</v>
      </c>
      <c r="B237" s="37">
        <v>43709</v>
      </c>
      <c r="C237" s="36"/>
      <c r="D237" s="36"/>
      <c r="E237" s="36" t="s">
        <v>28</v>
      </c>
      <c r="F237" s="38">
        <v>3497185.125</v>
      </c>
      <c r="G237" s="36" t="s">
        <v>8</v>
      </c>
      <c r="H237" s="36" t="s">
        <v>8</v>
      </c>
      <c r="I237" s="36"/>
      <c r="J237" s="36"/>
    </row>
    <row r="238" spans="1:10" x14ac:dyDescent="0.25">
      <c r="A238" s="36">
        <v>1701</v>
      </c>
      <c r="B238" s="37">
        <v>43739</v>
      </c>
      <c r="C238" s="36"/>
      <c r="D238" s="36"/>
      <c r="E238" s="36" t="s">
        <v>28</v>
      </c>
      <c r="F238" s="38">
        <v>3497185.125</v>
      </c>
      <c r="G238" s="36" t="s">
        <v>8</v>
      </c>
      <c r="H238" s="36" t="s">
        <v>8</v>
      </c>
      <c r="I238" s="36"/>
      <c r="J238" s="36"/>
    </row>
    <row r="239" spans="1:10" x14ac:dyDescent="0.25">
      <c r="A239" s="36">
        <v>1701</v>
      </c>
      <c r="B239" s="37">
        <v>43770</v>
      </c>
      <c r="C239" s="36"/>
      <c r="D239" s="36"/>
      <c r="E239" s="36" t="s">
        <v>28</v>
      </c>
      <c r="F239" s="38">
        <v>3497185.125</v>
      </c>
      <c r="G239" s="36" t="s">
        <v>8</v>
      </c>
      <c r="H239" s="36" t="s">
        <v>8</v>
      </c>
      <c r="I239" s="36"/>
      <c r="J239" s="36"/>
    </row>
    <row r="240" spans="1:10" x14ac:dyDescent="0.25">
      <c r="A240" s="36">
        <v>1701</v>
      </c>
      <c r="B240" s="37">
        <v>43800</v>
      </c>
      <c r="C240" s="36"/>
      <c r="D240" s="36"/>
      <c r="E240" s="36" t="s">
        <v>28</v>
      </c>
      <c r="F240" s="38">
        <v>3497185.125</v>
      </c>
      <c r="G240" s="36" t="s">
        <v>8</v>
      </c>
      <c r="H240" s="36" t="s">
        <v>8</v>
      </c>
      <c r="I240" s="36"/>
      <c r="J240" s="36"/>
    </row>
    <row r="241" spans="1:10" x14ac:dyDescent="0.25">
      <c r="A241" s="36">
        <v>1701</v>
      </c>
      <c r="B241" s="37">
        <v>43831</v>
      </c>
      <c r="C241" s="36"/>
      <c r="D241" s="36"/>
      <c r="E241" s="36" t="s">
        <v>28</v>
      </c>
      <c r="F241" s="38">
        <v>3497185.125</v>
      </c>
      <c r="G241" s="36" t="s">
        <v>8</v>
      </c>
      <c r="H241" s="36" t="s">
        <v>8</v>
      </c>
      <c r="I241" s="36"/>
      <c r="J241" s="36"/>
    </row>
    <row r="242" spans="1:10" x14ac:dyDescent="0.25">
      <c r="A242" s="36">
        <v>1701</v>
      </c>
      <c r="B242" s="37">
        <v>43466</v>
      </c>
      <c r="C242" s="36"/>
      <c r="D242" s="36"/>
      <c r="E242" s="36" t="s">
        <v>23</v>
      </c>
      <c r="F242" s="38">
        <v>3646518.7500000005</v>
      </c>
      <c r="G242" s="36" t="s">
        <v>8</v>
      </c>
      <c r="H242" s="36" t="s">
        <v>8</v>
      </c>
      <c r="I242" s="36"/>
      <c r="J242" s="36"/>
    </row>
    <row r="243" spans="1:10" x14ac:dyDescent="0.25">
      <c r="A243" s="36">
        <v>1751</v>
      </c>
      <c r="B243" s="37">
        <v>43466</v>
      </c>
      <c r="C243" s="36"/>
      <c r="D243" s="36"/>
      <c r="E243" s="36" t="s">
        <v>21</v>
      </c>
      <c r="F243" s="38">
        <v>8365287.65625</v>
      </c>
      <c r="G243" s="36" t="s">
        <v>8</v>
      </c>
      <c r="H243" s="36" t="s">
        <v>8</v>
      </c>
      <c r="I243" s="36"/>
      <c r="J243" s="36"/>
    </row>
    <row r="244" spans="1:10" x14ac:dyDescent="0.25">
      <c r="A244" s="36">
        <v>1751</v>
      </c>
      <c r="B244" s="37">
        <v>43497</v>
      </c>
      <c r="C244" s="36"/>
      <c r="D244" s="36"/>
      <c r="E244" s="36" t="s">
        <v>21</v>
      </c>
      <c r="F244" s="38">
        <v>8365287.65625</v>
      </c>
      <c r="G244" s="36" t="s">
        <v>8</v>
      </c>
      <c r="H244" s="36" t="s">
        <v>8</v>
      </c>
      <c r="I244" s="36"/>
      <c r="J244" s="36"/>
    </row>
    <row r="245" spans="1:10" x14ac:dyDescent="0.25">
      <c r="A245" s="36">
        <v>1758</v>
      </c>
      <c r="B245" s="37">
        <v>43466</v>
      </c>
      <c r="C245" s="36"/>
      <c r="D245" s="36"/>
      <c r="E245" s="36" t="s">
        <v>7</v>
      </c>
      <c r="F245" s="38">
        <v>3839596.7085000006</v>
      </c>
      <c r="G245" s="36" t="s">
        <v>8</v>
      </c>
      <c r="H245" s="36" t="s">
        <v>228</v>
      </c>
      <c r="I245" s="36"/>
      <c r="J245" s="36"/>
    </row>
    <row r="246" spans="1:10" x14ac:dyDescent="0.25">
      <c r="A246" s="36">
        <v>1758</v>
      </c>
      <c r="B246" s="37">
        <v>43497</v>
      </c>
      <c r="C246" s="36"/>
      <c r="D246" s="36"/>
      <c r="E246" s="36" t="s">
        <v>7</v>
      </c>
      <c r="F246" s="38">
        <v>3839596.7085000006</v>
      </c>
      <c r="G246" s="36" t="s">
        <v>8</v>
      </c>
      <c r="H246" s="36" t="s">
        <v>228</v>
      </c>
      <c r="I246" s="36"/>
      <c r="J246" s="36"/>
    </row>
    <row r="247" spans="1:10" x14ac:dyDescent="0.25">
      <c r="A247" s="36">
        <v>1758</v>
      </c>
      <c r="B247" s="37">
        <v>43525</v>
      </c>
      <c r="C247" s="36"/>
      <c r="D247" s="36"/>
      <c r="E247" s="36" t="s">
        <v>7</v>
      </c>
      <c r="F247" s="38">
        <v>3839596.7085000006</v>
      </c>
      <c r="G247" s="36" t="s">
        <v>8</v>
      </c>
      <c r="H247" s="36" t="s">
        <v>228</v>
      </c>
      <c r="I247" s="36"/>
      <c r="J247" s="36"/>
    </row>
    <row r="248" spans="1:10" x14ac:dyDescent="0.25">
      <c r="A248" s="36">
        <v>1758</v>
      </c>
      <c r="B248" s="37">
        <v>43556</v>
      </c>
      <c r="C248" s="36"/>
      <c r="D248" s="36"/>
      <c r="E248" s="36" t="s">
        <v>7</v>
      </c>
      <c r="F248" s="38">
        <v>3839596.7085000006</v>
      </c>
      <c r="G248" s="36" t="s">
        <v>8</v>
      </c>
      <c r="H248" s="36" t="s">
        <v>228</v>
      </c>
      <c r="I248" s="36"/>
      <c r="J248" s="36"/>
    </row>
    <row r="249" spans="1:10" x14ac:dyDescent="0.25">
      <c r="A249" s="36">
        <v>1758</v>
      </c>
      <c r="B249" s="37">
        <v>43586</v>
      </c>
      <c r="C249" s="36"/>
      <c r="D249" s="36"/>
      <c r="E249" s="36" t="s">
        <v>7</v>
      </c>
      <c r="F249" s="38">
        <v>3839596.7085000006</v>
      </c>
      <c r="G249" s="36" t="s">
        <v>8</v>
      </c>
      <c r="H249" s="36" t="s">
        <v>228</v>
      </c>
      <c r="I249" s="36"/>
      <c r="J249" s="36"/>
    </row>
    <row r="250" spans="1:10" x14ac:dyDescent="0.25">
      <c r="A250" s="36">
        <v>1758</v>
      </c>
      <c r="B250" s="37">
        <v>43617</v>
      </c>
      <c r="C250" s="36"/>
      <c r="D250" s="36"/>
      <c r="E250" s="36" t="s">
        <v>7</v>
      </c>
      <c r="F250" s="38">
        <v>3839596.7085000006</v>
      </c>
      <c r="G250" s="36" t="s">
        <v>8</v>
      </c>
      <c r="H250" s="36" t="s">
        <v>228</v>
      </c>
      <c r="I250" s="36"/>
      <c r="J250" s="36"/>
    </row>
    <row r="251" spans="1:10" x14ac:dyDescent="0.25">
      <c r="A251" s="36">
        <v>1758</v>
      </c>
      <c r="B251" s="37">
        <v>43647</v>
      </c>
      <c r="C251" s="36"/>
      <c r="D251" s="36"/>
      <c r="E251" s="36" t="s">
        <v>7</v>
      </c>
      <c r="F251" s="38">
        <v>3839596.7085000006</v>
      </c>
      <c r="G251" s="36" t="s">
        <v>8</v>
      </c>
      <c r="H251" s="36" t="s">
        <v>228</v>
      </c>
      <c r="I251" s="36"/>
      <c r="J251" s="36"/>
    </row>
    <row r="252" spans="1:10" x14ac:dyDescent="0.25">
      <c r="A252" s="36">
        <v>1758</v>
      </c>
      <c r="B252" s="37">
        <v>43678</v>
      </c>
      <c r="C252" s="36"/>
      <c r="D252" s="36"/>
      <c r="E252" s="36" t="s">
        <v>7</v>
      </c>
      <c r="F252" s="38">
        <v>3839596.7085000006</v>
      </c>
      <c r="G252" s="36" t="s">
        <v>8</v>
      </c>
      <c r="H252" s="36" t="s">
        <v>228</v>
      </c>
      <c r="I252" s="36"/>
      <c r="J252" s="36"/>
    </row>
    <row r="253" spans="1:10" x14ac:dyDescent="0.25">
      <c r="A253" s="36">
        <v>1758</v>
      </c>
      <c r="B253" s="37">
        <v>43709</v>
      </c>
      <c r="C253" s="36"/>
      <c r="D253" s="36"/>
      <c r="E253" s="36" t="s">
        <v>7</v>
      </c>
      <c r="F253" s="38">
        <v>3839596.7085000006</v>
      </c>
      <c r="G253" s="36" t="s">
        <v>8</v>
      </c>
      <c r="H253" s="36" t="s">
        <v>228</v>
      </c>
      <c r="I253" s="36"/>
      <c r="J253" s="36"/>
    </row>
    <row r="254" spans="1:10" x14ac:dyDescent="0.25">
      <c r="A254" s="36">
        <v>1758</v>
      </c>
      <c r="B254" s="37">
        <v>43739</v>
      </c>
      <c r="C254" s="36"/>
      <c r="D254" s="36"/>
      <c r="E254" s="36" t="s">
        <v>7</v>
      </c>
      <c r="F254" s="38">
        <v>3839596.7085000006</v>
      </c>
      <c r="G254" s="36" t="s">
        <v>8</v>
      </c>
      <c r="H254" s="36" t="s">
        <v>228</v>
      </c>
      <c r="I254" s="36"/>
      <c r="J254" s="36"/>
    </row>
    <row r="255" spans="1:10" x14ac:dyDescent="0.25">
      <c r="A255" s="36">
        <v>1758</v>
      </c>
      <c r="B255" s="37">
        <v>43770</v>
      </c>
      <c r="C255" s="36"/>
      <c r="D255" s="36"/>
      <c r="E255" s="36" t="s">
        <v>7</v>
      </c>
      <c r="F255" s="38">
        <v>3839596.7085000006</v>
      </c>
      <c r="G255" s="36" t="s">
        <v>8</v>
      </c>
      <c r="H255" s="36" t="s">
        <v>228</v>
      </c>
      <c r="I255" s="36"/>
      <c r="J255" s="36"/>
    </row>
    <row r="256" spans="1:10" x14ac:dyDescent="0.25">
      <c r="A256" s="36">
        <v>1758</v>
      </c>
      <c r="B256" s="37">
        <v>43800</v>
      </c>
      <c r="C256" s="36"/>
      <c r="D256" s="36"/>
      <c r="E256" s="36" t="s">
        <v>7</v>
      </c>
      <c r="F256" s="38">
        <v>3839596.7085000006</v>
      </c>
      <c r="G256" s="36" t="s">
        <v>8</v>
      </c>
      <c r="H256" s="36" t="s">
        <v>228</v>
      </c>
      <c r="I256" s="36"/>
      <c r="J256" s="36"/>
    </row>
    <row r="257" spans="1:10" x14ac:dyDescent="0.25">
      <c r="A257" s="36">
        <v>1758</v>
      </c>
      <c r="B257" s="37">
        <v>43466</v>
      </c>
      <c r="C257" s="36"/>
      <c r="D257" s="36"/>
      <c r="E257" s="36" t="s">
        <v>9</v>
      </c>
      <c r="F257" s="38">
        <v>12599152.25625</v>
      </c>
      <c r="G257" s="36" t="s">
        <v>8</v>
      </c>
      <c r="H257" s="36" t="s">
        <v>228</v>
      </c>
      <c r="I257" s="36"/>
      <c r="J257" s="36"/>
    </row>
    <row r="258" spans="1:10" x14ac:dyDescent="0.25">
      <c r="A258" s="36">
        <v>1758</v>
      </c>
      <c r="B258" s="37">
        <v>43497</v>
      </c>
      <c r="C258" s="36"/>
      <c r="D258" s="36"/>
      <c r="E258" s="36" t="s">
        <v>9</v>
      </c>
      <c r="F258" s="38">
        <v>12599152.25625</v>
      </c>
      <c r="G258" s="36" t="s">
        <v>8</v>
      </c>
      <c r="H258" s="36" t="s">
        <v>228</v>
      </c>
      <c r="I258" s="36"/>
      <c r="J258" s="36"/>
    </row>
    <row r="259" spans="1:10" x14ac:dyDescent="0.25">
      <c r="A259" s="36">
        <v>1758</v>
      </c>
      <c r="B259" s="37">
        <v>43525</v>
      </c>
      <c r="C259" s="36"/>
      <c r="D259" s="36"/>
      <c r="E259" s="36" t="s">
        <v>9</v>
      </c>
      <c r="F259" s="38">
        <v>12599152.25625</v>
      </c>
      <c r="G259" s="36" t="s">
        <v>8</v>
      </c>
      <c r="H259" s="36" t="s">
        <v>228</v>
      </c>
      <c r="I259" s="36"/>
      <c r="J259" s="36"/>
    </row>
    <row r="260" spans="1:10" x14ac:dyDescent="0.25">
      <c r="A260" s="36">
        <v>1758</v>
      </c>
      <c r="B260" s="37">
        <v>43556</v>
      </c>
      <c r="C260" s="36"/>
      <c r="D260" s="36"/>
      <c r="E260" s="36" t="s">
        <v>9</v>
      </c>
      <c r="F260" s="38">
        <v>12599152.25625</v>
      </c>
      <c r="G260" s="36" t="s">
        <v>8</v>
      </c>
      <c r="H260" s="36" t="s">
        <v>228</v>
      </c>
      <c r="I260" s="36"/>
      <c r="J260" s="36"/>
    </row>
    <row r="261" spans="1:10" x14ac:dyDescent="0.25">
      <c r="A261" s="36">
        <v>1758</v>
      </c>
      <c r="B261" s="37">
        <v>43586</v>
      </c>
      <c r="C261" s="36"/>
      <c r="D261" s="36"/>
      <c r="E261" s="36" t="s">
        <v>9</v>
      </c>
      <c r="F261" s="38">
        <v>12599152.25625</v>
      </c>
      <c r="G261" s="36" t="s">
        <v>8</v>
      </c>
      <c r="H261" s="36" t="s">
        <v>228</v>
      </c>
      <c r="I261" s="36"/>
      <c r="J261" s="36"/>
    </row>
    <row r="262" spans="1:10" x14ac:dyDescent="0.25">
      <c r="A262" s="36">
        <v>1758</v>
      </c>
      <c r="B262" s="37">
        <v>43617</v>
      </c>
      <c r="C262" s="36"/>
      <c r="D262" s="36"/>
      <c r="E262" s="36" t="s">
        <v>9</v>
      </c>
      <c r="F262" s="38">
        <v>12599152.25625</v>
      </c>
      <c r="G262" s="36" t="s">
        <v>8</v>
      </c>
      <c r="H262" s="36" t="s">
        <v>228</v>
      </c>
      <c r="I262" s="36"/>
      <c r="J262" s="36"/>
    </row>
    <row r="263" spans="1:10" x14ac:dyDescent="0.25">
      <c r="A263" s="36">
        <v>1758</v>
      </c>
      <c r="B263" s="37">
        <v>43647</v>
      </c>
      <c r="C263" s="36"/>
      <c r="D263" s="36"/>
      <c r="E263" s="36" t="s">
        <v>9</v>
      </c>
      <c r="F263" s="38">
        <v>12599152.25625</v>
      </c>
      <c r="G263" s="36" t="s">
        <v>8</v>
      </c>
      <c r="H263" s="36" t="s">
        <v>228</v>
      </c>
      <c r="I263" s="36"/>
      <c r="J263" s="36"/>
    </row>
    <row r="264" spans="1:10" x14ac:dyDescent="0.25">
      <c r="A264" s="36">
        <v>1758</v>
      </c>
      <c r="B264" s="37">
        <v>43678</v>
      </c>
      <c r="C264" s="36"/>
      <c r="D264" s="36"/>
      <c r="E264" s="36" t="s">
        <v>9</v>
      </c>
      <c r="F264" s="38">
        <v>12599152.25625</v>
      </c>
      <c r="G264" s="36" t="s">
        <v>8</v>
      </c>
      <c r="H264" s="36" t="s">
        <v>228</v>
      </c>
      <c r="I264" s="36"/>
      <c r="J264" s="36"/>
    </row>
    <row r="265" spans="1:10" x14ac:dyDescent="0.25">
      <c r="A265" s="36">
        <v>1758</v>
      </c>
      <c r="B265" s="37">
        <v>43709</v>
      </c>
      <c r="C265" s="36"/>
      <c r="D265" s="36"/>
      <c r="E265" s="36" t="s">
        <v>9</v>
      </c>
      <c r="F265" s="38">
        <v>12599152.25625</v>
      </c>
      <c r="G265" s="36" t="s">
        <v>8</v>
      </c>
      <c r="H265" s="36" t="s">
        <v>228</v>
      </c>
      <c r="I265" s="36"/>
      <c r="J265" s="36"/>
    </row>
    <row r="266" spans="1:10" x14ac:dyDescent="0.25">
      <c r="A266" s="36">
        <v>1758</v>
      </c>
      <c r="B266" s="37">
        <v>43739</v>
      </c>
      <c r="C266" s="36"/>
      <c r="D266" s="36"/>
      <c r="E266" s="36" t="s">
        <v>9</v>
      </c>
      <c r="F266" s="38">
        <v>12599152.25625</v>
      </c>
      <c r="G266" s="36" t="s">
        <v>8</v>
      </c>
      <c r="H266" s="36" t="s">
        <v>228</v>
      </c>
      <c r="I266" s="36"/>
      <c r="J266" s="36"/>
    </row>
    <row r="267" spans="1:10" x14ac:dyDescent="0.25">
      <c r="A267" s="36">
        <v>1758</v>
      </c>
      <c r="B267" s="37">
        <v>43770</v>
      </c>
      <c r="C267" s="36"/>
      <c r="D267" s="36"/>
      <c r="E267" s="36" t="s">
        <v>9</v>
      </c>
      <c r="F267" s="38">
        <v>12599152.25625</v>
      </c>
      <c r="G267" s="36" t="s">
        <v>8</v>
      </c>
      <c r="H267" s="36" t="s">
        <v>228</v>
      </c>
      <c r="I267" s="36"/>
      <c r="J267" s="36"/>
    </row>
    <row r="268" spans="1:10" x14ac:dyDescent="0.25">
      <c r="A268" s="36">
        <v>1758</v>
      </c>
      <c r="B268" s="37">
        <v>43800</v>
      </c>
      <c r="C268" s="36"/>
      <c r="D268" s="36"/>
      <c r="E268" s="36" t="s">
        <v>9</v>
      </c>
      <c r="F268" s="38">
        <v>12599152.25625</v>
      </c>
      <c r="G268" s="36" t="s">
        <v>8</v>
      </c>
      <c r="H268" s="36" t="s">
        <v>228</v>
      </c>
      <c r="I268" s="36"/>
      <c r="J268" s="36"/>
    </row>
    <row r="269" spans="1:10" x14ac:dyDescent="0.25">
      <c r="A269" s="36">
        <v>1758</v>
      </c>
      <c r="B269" s="37">
        <v>43466</v>
      </c>
      <c r="C269" s="36"/>
      <c r="D269" s="36"/>
      <c r="E269" s="36" t="s">
        <v>29</v>
      </c>
      <c r="F269" s="38">
        <v>7005285</v>
      </c>
      <c r="G269" s="36" t="s">
        <v>8</v>
      </c>
      <c r="H269" s="36" t="s">
        <v>228</v>
      </c>
      <c r="I269" s="36"/>
      <c r="J269" s="36"/>
    </row>
    <row r="270" spans="1:10" x14ac:dyDescent="0.25">
      <c r="A270" s="36">
        <v>1758</v>
      </c>
      <c r="B270" s="37">
        <v>43497</v>
      </c>
      <c r="C270" s="36"/>
      <c r="D270" s="36"/>
      <c r="E270" s="36" t="s">
        <v>29</v>
      </c>
      <c r="F270" s="38">
        <v>7005285</v>
      </c>
      <c r="G270" s="36" t="s">
        <v>8</v>
      </c>
      <c r="H270" s="36" t="s">
        <v>228</v>
      </c>
      <c r="I270" s="36"/>
      <c r="J270" s="36"/>
    </row>
    <row r="271" spans="1:10" x14ac:dyDescent="0.25">
      <c r="A271" s="36">
        <v>1758</v>
      </c>
      <c r="B271" s="37">
        <v>43525</v>
      </c>
      <c r="C271" s="36"/>
      <c r="D271" s="36"/>
      <c r="E271" s="36" t="s">
        <v>29</v>
      </c>
      <c r="F271" s="38">
        <v>7005285</v>
      </c>
      <c r="G271" s="36" t="s">
        <v>8</v>
      </c>
      <c r="H271" s="36" t="s">
        <v>228</v>
      </c>
      <c r="I271" s="36"/>
      <c r="J271" s="36"/>
    </row>
    <row r="272" spans="1:10" x14ac:dyDescent="0.25">
      <c r="A272" s="36">
        <v>1758</v>
      </c>
      <c r="B272" s="37">
        <v>43556</v>
      </c>
      <c r="C272" s="36"/>
      <c r="D272" s="36"/>
      <c r="E272" s="36" t="s">
        <v>29</v>
      </c>
      <c r="F272" s="38">
        <v>7005285</v>
      </c>
      <c r="G272" s="36" t="s">
        <v>8</v>
      </c>
      <c r="H272" s="36" t="s">
        <v>228</v>
      </c>
      <c r="I272" s="36"/>
      <c r="J272" s="36"/>
    </row>
    <row r="273" spans="1:10" x14ac:dyDescent="0.25">
      <c r="A273" s="36">
        <v>1758</v>
      </c>
      <c r="B273" s="37">
        <v>43586</v>
      </c>
      <c r="C273" s="36"/>
      <c r="D273" s="36"/>
      <c r="E273" s="36" t="s">
        <v>29</v>
      </c>
      <c r="F273" s="38">
        <v>7005285</v>
      </c>
      <c r="G273" s="36" t="s">
        <v>8</v>
      </c>
      <c r="H273" s="36" t="s">
        <v>228</v>
      </c>
      <c r="I273" s="36"/>
      <c r="J273" s="36"/>
    </row>
    <row r="274" spans="1:10" x14ac:dyDescent="0.25">
      <c r="A274" s="36">
        <v>1758</v>
      </c>
      <c r="B274" s="37">
        <v>43617</v>
      </c>
      <c r="C274" s="36"/>
      <c r="D274" s="36"/>
      <c r="E274" s="36" t="s">
        <v>29</v>
      </c>
      <c r="F274" s="38">
        <v>7005285</v>
      </c>
      <c r="G274" s="36" t="s">
        <v>8</v>
      </c>
      <c r="H274" s="36" t="s">
        <v>228</v>
      </c>
      <c r="I274" s="36"/>
      <c r="J274" s="36"/>
    </row>
    <row r="275" spans="1:10" x14ac:dyDescent="0.25">
      <c r="A275" s="36">
        <v>1758</v>
      </c>
      <c r="B275" s="37">
        <v>43647</v>
      </c>
      <c r="C275" s="36"/>
      <c r="D275" s="36"/>
      <c r="E275" s="36" t="s">
        <v>29</v>
      </c>
      <c r="F275" s="38">
        <v>7005285</v>
      </c>
      <c r="G275" s="36" t="s">
        <v>8</v>
      </c>
      <c r="H275" s="36" t="s">
        <v>228</v>
      </c>
      <c r="I275" s="36"/>
      <c r="J275" s="36"/>
    </row>
    <row r="276" spans="1:10" x14ac:dyDescent="0.25">
      <c r="A276" s="36">
        <v>1758</v>
      </c>
      <c r="B276" s="37">
        <v>43678</v>
      </c>
      <c r="C276" s="36"/>
      <c r="D276" s="36"/>
      <c r="E276" s="36" t="s">
        <v>29</v>
      </c>
      <c r="F276" s="38">
        <v>7005285</v>
      </c>
      <c r="G276" s="36" t="s">
        <v>8</v>
      </c>
      <c r="H276" s="36" t="s">
        <v>228</v>
      </c>
      <c r="I276" s="36"/>
      <c r="J276" s="36"/>
    </row>
    <row r="277" spans="1:10" x14ac:dyDescent="0.25">
      <c r="A277" s="36">
        <v>1758</v>
      </c>
      <c r="B277" s="37">
        <v>43709</v>
      </c>
      <c r="C277" s="36"/>
      <c r="D277" s="36"/>
      <c r="E277" s="36" t="s">
        <v>29</v>
      </c>
      <c r="F277" s="38">
        <v>7005285</v>
      </c>
      <c r="G277" s="36" t="s">
        <v>8</v>
      </c>
      <c r="H277" s="36" t="s">
        <v>228</v>
      </c>
      <c r="I277" s="36"/>
      <c r="J277" s="36"/>
    </row>
    <row r="278" spans="1:10" x14ac:dyDescent="0.25">
      <c r="A278" s="36">
        <v>1758</v>
      </c>
      <c r="B278" s="37">
        <v>43739</v>
      </c>
      <c r="C278" s="36"/>
      <c r="D278" s="36"/>
      <c r="E278" s="36" t="s">
        <v>29</v>
      </c>
      <c r="F278" s="38">
        <v>7005285</v>
      </c>
      <c r="G278" s="36" t="s">
        <v>8</v>
      </c>
      <c r="H278" s="36" t="s">
        <v>228</v>
      </c>
      <c r="I278" s="36"/>
      <c r="J278" s="36"/>
    </row>
    <row r="279" spans="1:10" x14ac:dyDescent="0.25">
      <c r="A279" s="36">
        <v>1758</v>
      </c>
      <c r="B279" s="37">
        <v>43770</v>
      </c>
      <c r="C279" s="36"/>
      <c r="D279" s="36"/>
      <c r="E279" s="36" t="s">
        <v>29</v>
      </c>
      <c r="F279" s="38">
        <v>7005285</v>
      </c>
      <c r="G279" s="36" t="s">
        <v>8</v>
      </c>
      <c r="H279" s="36" t="s">
        <v>228</v>
      </c>
      <c r="I279" s="36"/>
      <c r="J279" s="36"/>
    </row>
    <row r="280" spans="1:10" x14ac:dyDescent="0.25">
      <c r="A280" s="36">
        <v>1758</v>
      </c>
      <c r="B280" s="37">
        <v>43800</v>
      </c>
      <c r="C280" s="36"/>
      <c r="D280" s="36"/>
      <c r="E280" s="36" t="s">
        <v>29</v>
      </c>
      <c r="F280" s="38">
        <v>7005285</v>
      </c>
      <c r="G280" s="36" t="s">
        <v>8</v>
      </c>
      <c r="H280" s="36" t="s">
        <v>228</v>
      </c>
      <c r="I280" s="36"/>
      <c r="J280" s="36"/>
    </row>
    <row r="281" spans="1:10" x14ac:dyDescent="0.25">
      <c r="A281" s="36">
        <v>1789</v>
      </c>
      <c r="B281" s="37">
        <v>43466</v>
      </c>
      <c r="C281" s="36"/>
      <c r="D281" s="36"/>
      <c r="E281" s="36" t="s">
        <v>7</v>
      </c>
      <c r="F281" s="38">
        <v>2727772.2</v>
      </c>
      <c r="G281" s="36" t="s">
        <v>8</v>
      </c>
      <c r="H281" s="36" t="s">
        <v>8</v>
      </c>
      <c r="I281" s="36"/>
      <c r="J281" s="36"/>
    </row>
    <row r="282" spans="1:10" x14ac:dyDescent="0.25">
      <c r="A282" s="36">
        <v>1789</v>
      </c>
      <c r="B282" s="37">
        <v>43466</v>
      </c>
      <c r="C282" s="36"/>
      <c r="D282" s="36"/>
      <c r="E282" s="36" t="s">
        <v>30</v>
      </c>
      <c r="F282" s="38">
        <v>8520078</v>
      </c>
      <c r="G282" s="36" t="s">
        <v>8</v>
      </c>
      <c r="H282" s="36" t="s">
        <v>8</v>
      </c>
      <c r="I282" s="36"/>
      <c r="J282" s="36"/>
    </row>
    <row r="283" spans="1:10" x14ac:dyDescent="0.25">
      <c r="A283" s="36">
        <v>1789</v>
      </c>
      <c r="B283" s="37">
        <v>43466</v>
      </c>
      <c r="C283" s="36"/>
      <c r="D283" s="36"/>
      <c r="E283" s="36" t="s">
        <v>31</v>
      </c>
      <c r="F283" s="38">
        <v>8520078</v>
      </c>
      <c r="G283" s="36" t="s">
        <v>8</v>
      </c>
      <c r="H283" s="36" t="s">
        <v>8</v>
      </c>
      <c r="I283" s="36"/>
      <c r="J283" s="36"/>
    </row>
    <row r="284" spans="1:10" x14ac:dyDescent="0.25">
      <c r="A284" s="36">
        <v>1789</v>
      </c>
      <c r="B284" s="37">
        <v>43466</v>
      </c>
      <c r="C284" s="36"/>
      <c r="D284" s="36"/>
      <c r="E284" s="36" t="s">
        <v>32</v>
      </c>
      <c r="F284" s="38">
        <v>4462096.5</v>
      </c>
      <c r="G284" s="36" t="s">
        <v>8</v>
      </c>
      <c r="H284" s="36" t="s">
        <v>8</v>
      </c>
      <c r="I284" s="36"/>
      <c r="J284" s="36"/>
    </row>
    <row r="285" spans="1:10" x14ac:dyDescent="0.25">
      <c r="A285" s="36">
        <v>1789</v>
      </c>
      <c r="B285" s="37">
        <v>43466</v>
      </c>
      <c r="C285" s="36"/>
      <c r="D285" s="36"/>
      <c r="E285" s="36" t="s">
        <v>23</v>
      </c>
      <c r="F285" s="38">
        <v>3872763</v>
      </c>
      <c r="G285" s="36" t="s">
        <v>8</v>
      </c>
      <c r="H285" s="36" t="s">
        <v>8</v>
      </c>
      <c r="I285" s="36"/>
      <c r="J285" s="36"/>
    </row>
    <row r="286" spans="1:10" x14ac:dyDescent="0.25">
      <c r="A286" s="36">
        <v>1802</v>
      </c>
      <c r="B286" s="37">
        <v>43466</v>
      </c>
      <c r="C286" s="36"/>
      <c r="D286" s="36"/>
      <c r="E286" s="36" t="s">
        <v>9</v>
      </c>
      <c r="F286" s="38">
        <v>11721250.800000001</v>
      </c>
      <c r="G286" s="36" t="s">
        <v>8</v>
      </c>
      <c r="H286" s="36" t="s">
        <v>8</v>
      </c>
      <c r="I286" s="36"/>
      <c r="J286" s="36"/>
    </row>
    <row r="287" spans="1:10" x14ac:dyDescent="0.25">
      <c r="A287" s="36">
        <v>1802</v>
      </c>
      <c r="B287" s="37">
        <v>43497</v>
      </c>
      <c r="C287" s="36"/>
      <c r="D287" s="36"/>
      <c r="E287" s="36" t="s">
        <v>9</v>
      </c>
      <c r="F287" s="38">
        <v>11721250.800000001</v>
      </c>
      <c r="G287" s="36" t="s">
        <v>8</v>
      </c>
      <c r="H287" s="36" t="s">
        <v>8</v>
      </c>
      <c r="I287" s="36"/>
      <c r="J287" s="36"/>
    </row>
    <row r="288" spans="1:10" x14ac:dyDescent="0.25">
      <c r="A288" s="36">
        <v>1802</v>
      </c>
      <c r="B288" s="37">
        <v>43525</v>
      </c>
      <c r="C288" s="36"/>
      <c r="D288" s="36"/>
      <c r="E288" s="36" t="s">
        <v>9</v>
      </c>
      <c r="F288" s="38">
        <v>11721250.800000001</v>
      </c>
      <c r="G288" s="36" t="s">
        <v>8</v>
      </c>
      <c r="H288" s="36" t="s">
        <v>8</v>
      </c>
      <c r="I288" s="36"/>
      <c r="J288" s="36"/>
    </row>
    <row r="289" spans="1:10" x14ac:dyDescent="0.25">
      <c r="A289" s="36">
        <v>1802</v>
      </c>
      <c r="B289" s="37">
        <v>43556</v>
      </c>
      <c r="C289" s="36"/>
      <c r="D289" s="36"/>
      <c r="E289" s="36" t="s">
        <v>9</v>
      </c>
      <c r="F289" s="38">
        <v>11721250.800000001</v>
      </c>
      <c r="G289" s="36" t="s">
        <v>8</v>
      </c>
      <c r="H289" s="36" t="s">
        <v>8</v>
      </c>
      <c r="I289" s="36"/>
      <c r="J289" s="36"/>
    </row>
    <row r="290" spans="1:10" x14ac:dyDescent="0.25">
      <c r="A290" s="36">
        <v>1802</v>
      </c>
      <c r="B290" s="37">
        <v>43586</v>
      </c>
      <c r="C290" s="36"/>
      <c r="D290" s="36"/>
      <c r="E290" s="36" t="s">
        <v>9</v>
      </c>
      <c r="F290" s="38">
        <v>11721250.800000001</v>
      </c>
      <c r="G290" s="36" t="s">
        <v>8</v>
      </c>
      <c r="H290" s="36" t="s">
        <v>8</v>
      </c>
      <c r="I290" s="36"/>
      <c r="J290" s="36"/>
    </row>
    <row r="291" spans="1:10" x14ac:dyDescent="0.25">
      <c r="A291" s="36">
        <v>1802</v>
      </c>
      <c r="B291" s="37">
        <v>43617</v>
      </c>
      <c r="C291" s="36"/>
      <c r="D291" s="36"/>
      <c r="E291" s="36" t="s">
        <v>9</v>
      </c>
      <c r="F291" s="38">
        <v>11721250.800000001</v>
      </c>
      <c r="G291" s="36" t="s">
        <v>8</v>
      </c>
      <c r="H291" s="36" t="s">
        <v>8</v>
      </c>
      <c r="I291" s="36"/>
      <c r="J291" s="36"/>
    </row>
    <row r="292" spans="1:10" x14ac:dyDescent="0.25">
      <c r="A292" s="36">
        <v>1802</v>
      </c>
      <c r="B292" s="37">
        <v>43647</v>
      </c>
      <c r="C292" s="36"/>
      <c r="D292" s="36"/>
      <c r="E292" s="36" t="s">
        <v>9</v>
      </c>
      <c r="F292" s="38">
        <v>11721250.800000001</v>
      </c>
      <c r="G292" s="36" t="s">
        <v>8</v>
      </c>
      <c r="H292" s="36" t="s">
        <v>8</v>
      </c>
      <c r="I292" s="36"/>
      <c r="J292" s="36"/>
    </row>
    <row r="293" spans="1:10" x14ac:dyDescent="0.25">
      <c r="A293" s="36">
        <v>1802</v>
      </c>
      <c r="B293" s="37">
        <v>43678</v>
      </c>
      <c r="C293" s="36"/>
      <c r="D293" s="36"/>
      <c r="E293" s="36" t="s">
        <v>9</v>
      </c>
      <c r="F293" s="38">
        <v>11721250.800000001</v>
      </c>
      <c r="G293" s="36" t="s">
        <v>8</v>
      </c>
      <c r="H293" s="36" t="s">
        <v>8</v>
      </c>
      <c r="I293" s="36"/>
      <c r="J293" s="36"/>
    </row>
    <row r="294" spans="1:10" x14ac:dyDescent="0.25">
      <c r="A294" s="36">
        <v>1802</v>
      </c>
      <c r="B294" s="37">
        <v>43466</v>
      </c>
      <c r="C294" s="36"/>
      <c r="D294" s="36"/>
      <c r="E294" s="36" t="s">
        <v>22</v>
      </c>
      <c r="F294" s="38">
        <v>3810634.5847499999</v>
      </c>
      <c r="G294" s="36" t="s">
        <v>8</v>
      </c>
      <c r="H294" s="36" t="s">
        <v>8</v>
      </c>
      <c r="I294" s="36"/>
      <c r="J294" s="36"/>
    </row>
    <row r="295" spans="1:10" x14ac:dyDescent="0.25">
      <c r="A295" s="36">
        <v>1802</v>
      </c>
      <c r="B295" s="37">
        <v>43497</v>
      </c>
      <c r="C295" s="36"/>
      <c r="D295" s="36"/>
      <c r="E295" s="36" t="s">
        <v>22</v>
      </c>
      <c r="F295" s="38">
        <v>3810634.5847499999</v>
      </c>
      <c r="G295" s="36" t="s">
        <v>8</v>
      </c>
      <c r="H295" s="36" t="s">
        <v>8</v>
      </c>
      <c r="I295" s="36"/>
      <c r="J295" s="36"/>
    </row>
    <row r="296" spans="1:10" x14ac:dyDescent="0.25">
      <c r="A296" s="36">
        <v>1802</v>
      </c>
      <c r="B296" s="37">
        <v>43525</v>
      </c>
      <c r="C296" s="36"/>
      <c r="D296" s="36"/>
      <c r="E296" s="36" t="s">
        <v>22</v>
      </c>
      <c r="F296" s="38">
        <v>3810634.5847499999</v>
      </c>
      <c r="G296" s="36" t="s">
        <v>8</v>
      </c>
      <c r="H296" s="36" t="s">
        <v>8</v>
      </c>
      <c r="I296" s="36"/>
      <c r="J296" s="36"/>
    </row>
    <row r="297" spans="1:10" x14ac:dyDescent="0.25">
      <c r="A297" s="36">
        <v>1802</v>
      </c>
      <c r="B297" s="37">
        <v>43556</v>
      </c>
      <c r="C297" s="36"/>
      <c r="D297" s="36"/>
      <c r="E297" s="36" t="s">
        <v>22</v>
      </c>
      <c r="F297" s="38">
        <v>3810634.5847499999</v>
      </c>
      <c r="G297" s="36" t="s">
        <v>8</v>
      </c>
      <c r="H297" s="36" t="s">
        <v>8</v>
      </c>
      <c r="I297" s="36"/>
      <c r="J297" s="36"/>
    </row>
    <row r="298" spans="1:10" x14ac:dyDescent="0.25">
      <c r="A298" s="36">
        <v>1802</v>
      </c>
      <c r="B298" s="37">
        <v>43586</v>
      </c>
      <c r="C298" s="36"/>
      <c r="D298" s="36"/>
      <c r="E298" s="36" t="s">
        <v>22</v>
      </c>
      <c r="F298" s="38">
        <v>3810634.5847499999</v>
      </c>
      <c r="G298" s="36" t="s">
        <v>8</v>
      </c>
      <c r="H298" s="36" t="s">
        <v>8</v>
      </c>
      <c r="I298" s="36"/>
      <c r="J298" s="36"/>
    </row>
    <row r="299" spans="1:10" x14ac:dyDescent="0.25">
      <c r="A299" s="36">
        <v>1802</v>
      </c>
      <c r="B299" s="37">
        <v>43617</v>
      </c>
      <c r="C299" s="36"/>
      <c r="D299" s="36"/>
      <c r="E299" s="36" t="s">
        <v>22</v>
      </c>
      <c r="F299" s="38">
        <v>3810634.5847499999</v>
      </c>
      <c r="G299" s="36" t="s">
        <v>8</v>
      </c>
      <c r="H299" s="36" t="s">
        <v>8</v>
      </c>
      <c r="I299" s="36"/>
      <c r="J299" s="36"/>
    </row>
    <row r="300" spans="1:10" x14ac:dyDescent="0.25">
      <c r="A300" s="36">
        <v>1802</v>
      </c>
      <c r="B300" s="37">
        <v>43647</v>
      </c>
      <c r="C300" s="36"/>
      <c r="D300" s="36"/>
      <c r="E300" s="36" t="s">
        <v>22</v>
      </c>
      <c r="F300" s="38">
        <v>3810634.5847499999</v>
      </c>
      <c r="G300" s="36" t="s">
        <v>8</v>
      </c>
      <c r="H300" s="36" t="s">
        <v>8</v>
      </c>
      <c r="I300" s="36"/>
      <c r="J300" s="36"/>
    </row>
    <row r="301" spans="1:10" x14ac:dyDescent="0.25">
      <c r="A301" s="36">
        <v>1802</v>
      </c>
      <c r="B301" s="37">
        <v>43466</v>
      </c>
      <c r="C301" s="36"/>
      <c r="D301" s="36"/>
      <c r="E301" s="36" t="s">
        <v>23</v>
      </c>
      <c r="F301" s="38">
        <v>5301459.45</v>
      </c>
      <c r="G301" s="36" t="s">
        <v>8</v>
      </c>
      <c r="H301" s="36" t="s">
        <v>8</v>
      </c>
      <c r="I301" s="36"/>
      <c r="J301" s="36"/>
    </row>
    <row r="302" spans="1:10" x14ac:dyDescent="0.25">
      <c r="A302" s="36">
        <v>1802</v>
      </c>
      <c r="B302" s="37">
        <v>43497</v>
      </c>
      <c r="C302" s="36"/>
      <c r="D302" s="36"/>
      <c r="E302" s="36" t="s">
        <v>23</v>
      </c>
      <c r="F302" s="38">
        <v>5301459.45</v>
      </c>
      <c r="G302" s="36" t="s">
        <v>8</v>
      </c>
      <c r="H302" s="36" t="s">
        <v>8</v>
      </c>
      <c r="I302" s="36"/>
      <c r="J302" s="36"/>
    </row>
    <row r="303" spans="1:10" x14ac:dyDescent="0.25">
      <c r="A303" s="36">
        <v>1802</v>
      </c>
      <c r="B303" s="37">
        <v>43525</v>
      </c>
      <c r="C303" s="36"/>
      <c r="D303" s="36"/>
      <c r="E303" s="36" t="s">
        <v>23</v>
      </c>
      <c r="F303" s="38">
        <v>5301459.45</v>
      </c>
      <c r="G303" s="36" t="s">
        <v>8</v>
      </c>
      <c r="H303" s="36" t="s">
        <v>8</v>
      </c>
      <c r="I303" s="36"/>
      <c r="J303" s="36"/>
    </row>
    <row r="304" spans="1:10" x14ac:dyDescent="0.25">
      <c r="A304" s="36">
        <v>1802</v>
      </c>
      <c r="B304" s="37">
        <v>43556</v>
      </c>
      <c r="C304" s="36"/>
      <c r="D304" s="36"/>
      <c r="E304" s="36" t="s">
        <v>23</v>
      </c>
      <c r="F304" s="38">
        <v>5301459.45</v>
      </c>
      <c r="G304" s="36" t="s">
        <v>8</v>
      </c>
      <c r="H304" s="36" t="s">
        <v>8</v>
      </c>
      <c r="I304" s="36"/>
      <c r="J304" s="36"/>
    </row>
    <row r="305" spans="1:10" x14ac:dyDescent="0.25">
      <c r="A305" s="36">
        <v>1802</v>
      </c>
      <c r="B305" s="37">
        <v>43586</v>
      </c>
      <c r="C305" s="36"/>
      <c r="D305" s="36"/>
      <c r="E305" s="36" t="s">
        <v>23</v>
      </c>
      <c r="F305" s="38">
        <v>5301459.45</v>
      </c>
      <c r="G305" s="36" t="s">
        <v>8</v>
      </c>
      <c r="H305" s="36" t="s">
        <v>8</v>
      </c>
      <c r="I305" s="36"/>
      <c r="J305" s="36"/>
    </row>
    <row r="306" spans="1:10" x14ac:dyDescent="0.25">
      <c r="A306" s="36">
        <v>1802</v>
      </c>
      <c r="B306" s="37">
        <v>43617</v>
      </c>
      <c r="C306" s="36"/>
      <c r="D306" s="36"/>
      <c r="E306" s="36" t="s">
        <v>23</v>
      </c>
      <c r="F306" s="38">
        <v>5301459.45</v>
      </c>
      <c r="G306" s="36" t="s">
        <v>8</v>
      </c>
      <c r="H306" s="36" t="s">
        <v>8</v>
      </c>
      <c r="I306" s="36"/>
      <c r="J306" s="36"/>
    </row>
    <row r="307" spans="1:10" x14ac:dyDescent="0.25">
      <c r="A307" s="36">
        <v>1802</v>
      </c>
      <c r="B307" s="37">
        <v>43647</v>
      </c>
      <c r="C307" s="36"/>
      <c r="D307" s="36"/>
      <c r="E307" s="36" t="s">
        <v>23</v>
      </c>
      <c r="F307" s="38">
        <v>5301459.45</v>
      </c>
      <c r="G307" s="36" t="s">
        <v>8</v>
      </c>
      <c r="H307" s="36" t="s">
        <v>8</v>
      </c>
      <c r="I307" s="36"/>
      <c r="J307" s="36"/>
    </row>
    <row r="308" spans="1:10" x14ac:dyDescent="0.25">
      <c r="A308" s="36">
        <v>1802</v>
      </c>
      <c r="B308" s="37">
        <v>43678</v>
      </c>
      <c r="C308" s="36"/>
      <c r="D308" s="36"/>
      <c r="E308" s="36" t="s">
        <v>23</v>
      </c>
      <c r="F308" s="38">
        <v>5301459.45</v>
      </c>
      <c r="G308" s="36" t="s">
        <v>8</v>
      </c>
      <c r="H308" s="36" t="s">
        <v>8</v>
      </c>
      <c r="I308" s="36"/>
      <c r="J308" s="36"/>
    </row>
    <row r="309" spans="1:10" x14ac:dyDescent="0.25">
      <c r="A309" s="36">
        <v>1802</v>
      </c>
      <c r="B309" s="37">
        <v>43466</v>
      </c>
      <c r="C309" s="36"/>
      <c r="D309" s="36"/>
      <c r="E309" s="36" t="s">
        <v>26</v>
      </c>
      <c r="F309" s="38">
        <v>4777683.75</v>
      </c>
      <c r="G309" s="36" t="s">
        <v>8</v>
      </c>
      <c r="H309" s="36" t="s">
        <v>8</v>
      </c>
      <c r="I309" s="36"/>
      <c r="J309" s="36"/>
    </row>
    <row r="310" spans="1:10" x14ac:dyDescent="0.25">
      <c r="A310" s="36">
        <v>1802</v>
      </c>
      <c r="B310" s="37">
        <v>43497</v>
      </c>
      <c r="C310" s="36"/>
      <c r="D310" s="36"/>
      <c r="E310" s="36" t="s">
        <v>26</v>
      </c>
      <c r="F310" s="38">
        <v>4777683.75</v>
      </c>
      <c r="G310" s="36" t="s">
        <v>8</v>
      </c>
      <c r="H310" s="36" t="s">
        <v>8</v>
      </c>
      <c r="I310" s="36"/>
      <c r="J310" s="36"/>
    </row>
    <row r="311" spans="1:10" x14ac:dyDescent="0.25">
      <c r="A311" s="36">
        <v>1802</v>
      </c>
      <c r="B311" s="37">
        <v>43525</v>
      </c>
      <c r="C311" s="36"/>
      <c r="D311" s="36"/>
      <c r="E311" s="36" t="s">
        <v>26</v>
      </c>
      <c r="F311" s="38">
        <v>4777683.75</v>
      </c>
      <c r="G311" s="36" t="s">
        <v>8</v>
      </c>
      <c r="H311" s="36" t="s">
        <v>8</v>
      </c>
      <c r="I311" s="36"/>
      <c r="J311" s="36"/>
    </row>
    <row r="312" spans="1:10" x14ac:dyDescent="0.25">
      <c r="A312" s="36">
        <v>1802</v>
      </c>
      <c r="B312" s="37">
        <v>43556</v>
      </c>
      <c r="C312" s="36"/>
      <c r="D312" s="36"/>
      <c r="E312" s="36" t="s">
        <v>26</v>
      </c>
      <c r="F312" s="38">
        <v>4777683.75</v>
      </c>
      <c r="G312" s="36" t="s">
        <v>8</v>
      </c>
      <c r="H312" s="36" t="s">
        <v>8</v>
      </c>
      <c r="I312" s="36"/>
      <c r="J312" s="36"/>
    </row>
    <row r="313" spans="1:10" x14ac:dyDescent="0.25">
      <c r="A313" s="36">
        <v>1802</v>
      </c>
      <c r="B313" s="37">
        <v>43586</v>
      </c>
      <c r="C313" s="36"/>
      <c r="D313" s="36"/>
      <c r="E313" s="36" t="s">
        <v>26</v>
      </c>
      <c r="F313" s="38">
        <v>4777683.75</v>
      </c>
      <c r="G313" s="36" t="s">
        <v>8</v>
      </c>
      <c r="H313" s="36" t="s">
        <v>8</v>
      </c>
      <c r="I313" s="36"/>
      <c r="J313" s="36"/>
    </row>
    <row r="314" spans="1:10" x14ac:dyDescent="0.25">
      <c r="A314" s="36">
        <v>1802</v>
      </c>
      <c r="B314" s="37">
        <v>43617</v>
      </c>
      <c r="C314" s="36"/>
      <c r="D314" s="36"/>
      <c r="E314" s="36" t="s">
        <v>26</v>
      </c>
      <c r="F314" s="38">
        <v>4777683.75</v>
      </c>
      <c r="G314" s="36" t="s">
        <v>8</v>
      </c>
      <c r="H314" s="36" t="s">
        <v>8</v>
      </c>
      <c r="I314" s="36"/>
      <c r="J314" s="36"/>
    </row>
    <row r="315" spans="1:10" x14ac:dyDescent="0.25">
      <c r="A315" s="36">
        <v>1802</v>
      </c>
      <c r="B315" s="37">
        <v>43647</v>
      </c>
      <c r="C315" s="36"/>
      <c r="D315" s="36"/>
      <c r="E315" s="36" t="s">
        <v>26</v>
      </c>
      <c r="F315" s="38">
        <v>4777683.75</v>
      </c>
      <c r="G315" s="36" t="s">
        <v>8</v>
      </c>
      <c r="H315" s="36" t="s">
        <v>8</v>
      </c>
      <c r="I315" s="36"/>
      <c r="J315" s="36"/>
    </row>
    <row r="316" spans="1:10" x14ac:dyDescent="0.25">
      <c r="A316" s="36">
        <v>1802</v>
      </c>
      <c r="B316" s="37">
        <v>43466</v>
      </c>
      <c r="C316" s="36"/>
      <c r="D316" s="36"/>
      <c r="E316" s="36" t="s">
        <v>21</v>
      </c>
      <c r="F316" s="38">
        <v>7255001.25</v>
      </c>
      <c r="G316" s="36" t="s">
        <v>8</v>
      </c>
      <c r="H316" s="36" t="s">
        <v>8</v>
      </c>
      <c r="I316" s="36"/>
      <c r="J316" s="36"/>
    </row>
    <row r="317" spans="1:10" x14ac:dyDescent="0.25">
      <c r="A317" s="36">
        <v>1802</v>
      </c>
      <c r="B317" s="37">
        <v>43497</v>
      </c>
      <c r="C317" s="36"/>
      <c r="D317" s="36"/>
      <c r="E317" s="36" t="s">
        <v>21</v>
      </c>
      <c r="F317" s="38">
        <v>7255001.25</v>
      </c>
      <c r="G317" s="36" t="s">
        <v>8</v>
      </c>
      <c r="H317" s="36" t="s">
        <v>8</v>
      </c>
      <c r="I317" s="36"/>
      <c r="J317" s="36"/>
    </row>
    <row r="318" spans="1:10" x14ac:dyDescent="0.25">
      <c r="A318" s="36">
        <v>1802</v>
      </c>
      <c r="B318" s="37">
        <v>43525</v>
      </c>
      <c r="C318" s="36"/>
      <c r="D318" s="36"/>
      <c r="E318" s="36" t="s">
        <v>21</v>
      </c>
      <c r="F318" s="38">
        <v>7255001.25</v>
      </c>
      <c r="G318" s="36" t="s">
        <v>8</v>
      </c>
      <c r="H318" s="36" t="s">
        <v>8</v>
      </c>
      <c r="I318" s="36"/>
      <c r="J318" s="36"/>
    </row>
    <row r="319" spans="1:10" x14ac:dyDescent="0.25">
      <c r="A319" s="36">
        <v>1802</v>
      </c>
      <c r="B319" s="37">
        <v>43556</v>
      </c>
      <c r="C319" s="36"/>
      <c r="D319" s="36"/>
      <c r="E319" s="36" t="s">
        <v>21</v>
      </c>
      <c r="F319" s="38">
        <v>7255001.25</v>
      </c>
      <c r="G319" s="36" t="s">
        <v>8</v>
      </c>
      <c r="H319" s="36" t="s">
        <v>8</v>
      </c>
      <c r="I319" s="36"/>
      <c r="J319" s="36"/>
    </row>
    <row r="320" spans="1:10" x14ac:dyDescent="0.25">
      <c r="A320" s="36">
        <v>1802</v>
      </c>
      <c r="B320" s="37">
        <v>43586</v>
      </c>
      <c r="C320" s="36"/>
      <c r="D320" s="36"/>
      <c r="E320" s="36" t="s">
        <v>21</v>
      </c>
      <c r="F320" s="38">
        <v>7255001.25</v>
      </c>
      <c r="G320" s="36" t="s">
        <v>8</v>
      </c>
      <c r="H320" s="36" t="s">
        <v>8</v>
      </c>
      <c r="I320" s="36"/>
      <c r="J320" s="36"/>
    </row>
    <row r="321" spans="1:10" x14ac:dyDescent="0.25">
      <c r="A321" s="36">
        <v>1802</v>
      </c>
      <c r="B321" s="37">
        <v>43617</v>
      </c>
      <c r="C321" s="36"/>
      <c r="D321" s="36"/>
      <c r="E321" s="36" t="s">
        <v>21</v>
      </c>
      <c r="F321" s="38">
        <v>7255001.25</v>
      </c>
      <c r="G321" s="36" t="s">
        <v>8</v>
      </c>
      <c r="H321" s="36" t="s">
        <v>8</v>
      </c>
      <c r="I321" s="36"/>
      <c r="J321" s="36"/>
    </row>
    <row r="322" spans="1:10" x14ac:dyDescent="0.25">
      <c r="A322" s="36">
        <v>1802</v>
      </c>
      <c r="B322" s="37">
        <v>43647</v>
      </c>
      <c r="C322" s="36"/>
      <c r="D322" s="36"/>
      <c r="E322" s="36" t="s">
        <v>21</v>
      </c>
      <c r="F322" s="38">
        <v>7255001.25</v>
      </c>
      <c r="G322" s="36" t="s">
        <v>8</v>
      </c>
      <c r="H322" s="36" t="s">
        <v>8</v>
      </c>
      <c r="I322" s="36"/>
      <c r="J322" s="36"/>
    </row>
    <row r="323" spans="1:10" x14ac:dyDescent="0.25">
      <c r="A323" s="36">
        <v>1802</v>
      </c>
      <c r="B323" s="37">
        <v>43678</v>
      </c>
      <c r="C323" s="36"/>
      <c r="D323" s="36"/>
      <c r="E323" s="36" t="s">
        <v>21</v>
      </c>
      <c r="F323" s="38">
        <v>7255001.25</v>
      </c>
      <c r="G323" s="36" t="s">
        <v>8</v>
      </c>
      <c r="H323" s="36" t="s">
        <v>8</v>
      </c>
      <c r="I323" s="36"/>
      <c r="J323" s="36"/>
    </row>
    <row r="324" spans="1:10" x14ac:dyDescent="0.25">
      <c r="A324" s="36">
        <v>1802</v>
      </c>
      <c r="B324" s="37">
        <v>43709</v>
      </c>
      <c r="C324" s="36"/>
      <c r="D324" s="36"/>
      <c r="E324" s="36" t="s">
        <v>21</v>
      </c>
      <c r="F324" s="38">
        <v>7255001.25</v>
      </c>
      <c r="G324" s="36" t="s">
        <v>8</v>
      </c>
      <c r="H324" s="36" t="s">
        <v>8</v>
      </c>
      <c r="I324" s="36"/>
      <c r="J324" s="36"/>
    </row>
    <row r="325" spans="1:10" x14ac:dyDescent="0.25">
      <c r="A325" s="36">
        <v>1802</v>
      </c>
      <c r="B325" s="37">
        <v>43739</v>
      </c>
      <c r="C325" s="36"/>
      <c r="D325" s="36"/>
      <c r="E325" s="36" t="s">
        <v>21</v>
      </c>
      <c r="F325" s="38">
        <v>7255001.25</v>
      </c>
      <c r="G325" s="36" t="s">
        <v>8</v>
      </c>
      <c r="H325" s="36" t="s">
        <v>8</v>
      </c>
      <c r="I325" s="36"/>
      <c r="J325" s="36"/>
    </row>
    <row r="326" spans="1:10" x14ac:dyDescent="0.25">
      <c r="A326" s="36">
        <v>1802</v>
      </c>
      <c r="B326" s="37">
        <v>43770</v>
      </c>
      <c r="C326" s="36"/>
      <c r="D326" s="36"/>
      <c r="E326" s="36" t="s">
        <v>21</v>
      </c>
      <c r="F326" s="38">
        <v>7255001.25</v>
      </c>
      <c r="G326" s="36" t="s">
        <v>8</v>
      </c>
      <c r="H326" s="36" t="s">
        <v>8</v>
      </c>
      <c r="I326" s="36"/>
      <c r="J326" s="36"/>
    </row>
    <row r="327" spans="1:10" x14ac:dyDescent="0.25">
      <c r="A327" s="36">
        <v>1802</v>
      </c>
      <c r="B327" s="37">
        <v>43800</v>
      </c>
      <c r="C327" s="36"/>
      <c r="D327" s="36"/>
      <c r="E327" s="36" t="s">
        <v>21</v>
      </c>
      <c r="F327" s="38">
        <v>7255001.25</v>
      </c>
      <c r="G327" s="36" t="s">
        <v>8</v>
      </c>
      <c r="H327" s="36" t="s">
        <v>8</v>
      </c>
      <c r="I327" s="36"/>
      <c r="J327" s="36"/>
    </row>
    <row r="328" spans="1:10" x14ac:dyDescent="0.25">
      <c r="A328" s="36">
        <v>1818</v>
      </c>
      <c r="B328" s="37">
        <v>43466</v>
      </c>
      <c r="C328" s="36"/>
      <c r="D328" s="36"/>
      <c r="E328" s="36" t="s">
        <v>7</v>
      </c>
      <c r="F328" s="38">
        <v>4704455.7</v>
      </c>
      <c r="G328" s="36" t="s">
        <v>8</v>
      </c>
      <c r="H328" s="36" t="s">
        <v>8</v>
      </c>
      <c r="I328" s="36"/>
      <c r="J328" s="36"/>
    </row>
    <row r="329" spans="1:10" x14ac:dyDescent="0.25">
      <c r="A329" s="36">
        <v>1818</v>
      </c>
      <c r="B329" s="37">
        <v>43497</v>
      </c>
      <c r="C329" s="36"/>
      <c r="D329" s="36"/>
      <c r="E329" s="36" t="s">
        <v>7</v>
      </c>
      <c r="F329" s="38">
        <v>4704455.7</v>
      </c>
      <c r="G329" s="36" t="s">
        <v>8</v>
      </c>
      <c r="H329" s="36" t="s">
        <v>8</v>
      </c>
      <c r="I329" s="36"/>
      <c r="J329" s="36"/>
    </row>
    <row r="330" spans="1:10" x14ac:dyDescent="0.25">
      <c r="A330" s="36">
        <v>1818</v>
      </c>
      <c r="B330" s="37">
        <v>43525</v>
      </c>
      <c r="C330" s="36"/>
      <c r="D330" s="36"/>
      <c r="E330" s="36" t="s">
        <v>7</v>
      </c>
      <c r="F330" s="38">
        <v>4704455.7</v>
      </c>
      <c r="G330" s="36" t="s">
        <v>8</v>
      </c>
      <c r="H330" s="36" t="s">
        <v>8</v>
      </c>
      <c r="I330" s="36"/>
      <c r="J330" s="36"/>
    </row>
    <row r="331" spans="1:10" x14ac:dyDescent="0.25">
      <c r="A331" s="36">
        <v>1818</v>
      </c>
      <c r="B331" s="37">
        <v>43556</v>
      </c>
      <c r="C331" s="36"/>
      <c r="D331" s="36"/>
      <c r="E331" s="36" t="s">
        <v>7</v>
      </c>
      <c r="F331" s="38">
        <v>4704455.7</v>
      </c>
      <c r="G331" s="36" t="s">
        <v>8</v>
      </c>
      <c r="H331" s="36" t="s">
        <v>8</v>
      </c>
      <c r="I331" s="36"/>
      <c r="J331" s="36"/>
    </row>
    <row r="332" spans="1:10" x14ac:dyDescent="0.25">
      <c r="A332" s="36">
        <v>1818</v>
      </c>
      <c r="B332" s="37">
        <v>43586</v>
      </c>
      <c r="C332" s="36"/>
      <c r="D332" s="36"/>
      <c r="E332" s="36" t="s">
        <v>7</v>
      </c>
      <c r="F332" s="38">
        <v>4704455.7</v>
      </c>
      <c r="G332" s="36" t="s">
        <v>8</v>
      </c>
      <c r="H332" s="36" t="s">
        <v>8</v>
      </c>
      <c r="I332" s="36"/>
      <c r="J332" s="36"/>
    </row>
    <row r="333" spans="1:10" x14ac:dyDescent="0.25">
      <c r="A333" s="36">
        <v>1818</v>
      </c>
      <c r="B333" s="37">
        <v>43617</v>
      </c>
      <c r="C333" s="36"/>
      <c r="D333" s="36"/>
      <c r="E333" s="36" t="s">
        <v>7</v>
      </c>
      <c r="F333" s="38">
        <v>4704455.7</v>
      </c>
      <c r="G333" s="36" t="s">
        <v>8</v>
      </c>
      <c r="H333" s="36" t="s">
        <v>8</v>
      </c>
      <c r="I333" s="36"/>
      <c r="J333" s="36"/>
    </row>
    <row r="334" spans="1:10" x14ac:dyDescent="0.25">
      <c r="A334" s="36">
        <v>1818</v>
      </c>
      <c r="B334" s="37">
        <v>43647</v>
      </c>
      <c r="C334" s="36"/>
      <c r="D334" s="36"/>
      <c r="E334" s="36" t="s">
        <v>7</v>
      </c>
      <c r="F334" s="38">
        <v>4704455.7</v>
      </c>
      <c r="G334" s="36" t="s">
        <v>8</v>
      </c>
      <c r="H334" s="36" t="s">
        <v>8</v>
      </c>
      <c r="I334" s="36"/>
      <c r="J334" s="36"/>
    </row>
    <row r="335" spans="1:10" x14ac:dyDescent="0.25">
      <c r="A335" s="36">
        <v>1818</v>
      </c>
      <c r="B335" s="37">
        <v>43678</v>
      </c>
      <c r="C335" s="36"/>
      <c r="D335" s="36"/>
      <c r="E335" s="36" t="s">
        <v>7</v>
      </c>
      <c r="F335" s="38">
        <v>4704455.7</v>
      </c>
      <c r="G335" s="36" t="s">
        <v>8</v>
      </c>
      <c r="H335" s="36" t="s">
        <v>8</v>
      </c>
      <c r="I335" s="36"/>
      <c r="J335" s="36"/>
    </row>
    <row r="336" spans="1:10" x14ac:dyDescent="0.25">
      <c r="A336" s="36">
        <v>1818</v>
      </c>
      <c r="B336" s="37">
        <v>43709</v>
      </c>
      <c r="C336" s="36"/>
      <c r="D336" s="36"/>
      <c r="E336" s="36" t="s">
        <v>7</v>
      </c>
      <c r="F336" s="38">
        <v>4704455.7</v>
      </c>
      <c r="G336" s="36" t="s">
        <v>8</v>
      </c>
      <c r="H336" s="36" t="s">
        <v>8</v>
      </c>
      <c r="I336" s="36"/>
      <c r="J336" s="36"/>
    </row>
    <row r="337" spans="1:10" x14ac:dyDescent="0.25">
      <c r="A337" s="36">
        <v>1818</v>
      </c>
      <c r="B337" s="37">
        <v>43739</v>
      </c>
      <c r="C337" s="36"/>
      <c r="D337" s="36"/>
      <c r="E337" s="36" t="s">
        <v>7</v>
      </c>
      <c r="F337" s="38">
        <v>4704455.7</v>
      </c>
      <c r="G337" s="36" t="s">
        <v>8</v>
      </c>
      <c r="H337" s="36" t="s">
        <v>8</v>
      </c>
      <c r="I337" s="36"/>
      <c r="J337" s="36"/>
    </row>
    <row r="338" spans="1:10" x14ac:dyDescent="0.25">
      <c r="A338" s="36">
        <v>1818</v>
      </c>
      <c r="B338" s="37">
        <v>43770</v>
      </c>
      <c r="C338" s="36"/>
      <c r="D338" s="36"/>
      <c r="E338" s="36" t="s">
        <v>7</v>
      </c>
      <c r="F338" s="38">
        <v>4704455.7</v>
      </c>
      <c r="G338" s="36" t="s">
        <v>8</v>
      </c>
      <c r="H338" s="36" t="s">
        <v>8</v>
      </c>
      <c r="I338" s="36"/>
      <c r="J338" s="36"/>
    </row>
    <row r="339" spans="1:10" x14ac:dyDescent="0.25">
      <c r="A339" s="36">
        <v>1818</v>
      </c>
      <c r="B339" s="37">
        <v>43800</v>
      </c>
      <c r="C339" s="36"/>
      <c r="D339" s="36"/>
      <c r="E339" s="36" t="s">
        <v>7</v>
      </c>
      <c r="F339" s="38">
        <v>4704455.7</v>
      </c>
      <c r="G339" s="36" t="s">
        <v>8</v>
      </c>
      <c r="H339" s="36" t="s">
        <v>8</v>
      </c>
      <c r="I339" s="36"/>
      <c r="J339" s="36"/>
    </row>
    <row r="340" spans="1:10" x14ac:dyDescent="0.25">
      <c r="A340" s="36">
        <v>1818</v>
      </c>
      <c r="B340" s="37">
        <v>43466</v>
      </c>
      <c r="C340" s="36"/>
      <c r="D340" s="36"/>
      <c r="E340" s="36" t="s">
        <v>9</v>
      </c>
      <c r="F340" s="38">
        <v>8351437.5</v>
      </c>
      <c r="G340" s="36" t="s">
        <v>8</v>
      </c>
      <c r="H340" s="36" t="s">
        <v>8</v>
      </c>
      <c r="I340" s="36"/>
      <c r="J340" s="36"/>
    </row>
    <row r="341" spans="1:10" x14ac:dyDescent="0.25">
      <c r="A341" s="36">
        <v>1818</v>
      </c>
      <c r="B341" s="37">
        <v>43497</v>
      </c>
      <c r="C341" s="36"/>
      <c r="D341" s="36"/>
      <c r="E341" s="36" t="s">
        <v>9</v>
      </c>
      <c r="F341" s="38">
        <v>8351437.5</v>
      </c>
      <c r="G341" s="36" t="s">
        <v>8</v>
      </c>
      <c r="H341" s="36" t="s">
        <v>8</v>
      </c>
      <c r="I341" s="36"/>
      <c r="J341" s="36"/>
    </row>
    <row r="342" spans="1:10" x14ac:dyDescent="0.25">
      <c r="A342" s="36">
        <v>1818</v>
      </c>
      <c r="B342" s="37">
        <v>43525</v>
      </c>
      <c r="C342" s="36"/>
      <c r="D342" s="36"/>
      <c r="E342" s="36" t="s">
        <v>9</v>
      </c>
      <c r="F342" s="38">
        <v>8351437.5</v>
      </c>
      <c r="G342" s="36" t="s">
        <v>8</v>
      </c>
      <c r="H342" s="36" t="s">
        <v>8</v>
      </c>
      <c r="I342" s="36"/>
      <c r="J342" s="36"/>
    </row>
    <row r="343" spans="1:10" x14ac:dyDescent="0.25">
      <c r="A343" s="36">
        <v>1818</v>
      </c>
      <c r="B343" s="37">
        <v>43556</v>
      </c>
      <c r="C343" s="36"/>
      <c r="D343" s="36"/>
      <c r="E343" s="36" t="s">
        <v>9</v>
      </c>
      <c r="F343" s="38">
        <v>8351437.5</v>
      </c>
      <c r="G343" s="36" t="s">
        <v>8</v>
      </c>
      <c r="H343" s="36" t="s">
        <v>8</v>
      </c>
      <c r="I343" s="36"/>
      <c r="J343" s="36"/>
    </row>
    <row r="344" spans="1:10" x14ac:dyDescent="0.25">
      <c r="A344" s="36">
        <v>1818</v>
      </c>
      <c r="B344" s="37">
        <v>43586</v>
      </c>
      <c r="C344" s="36"/>
      <c r="D344" s="36"/>
      <c r="E344" s="36" t="s">
        <v>9</v>
      </c>
      <c r="F344" s="38">
        <v>8351437.5</v>
      </c>
      <c r="G344" s="36" t="s">
        <v>8</v>
      </c>
      <c r="H344" s="36" t="s">
        <v>8</v>
      </c>
      <c r="I344" s="36"/>
      <c r="J344" s="36"/>
    </row>
    <row r="345" spans="1:10" x14ac:dyDescent="0.25">
      <c r="A345" s="36">
        <v>1818</v>
      </c>
      <c r="B345" s="37">
        <v>43617</v>
      </c>
      <c r="C345" s="36"/>
      <c r="D345" s="36"/>
      <c r="E345" s="36" t="s">
        <v>9</v>
      </c>
      <c r="F345" s="38">
        <v>8351437.5</v>
      </c>
      <c r="G345" s="36" t="s">
        <v>8</v>
      </c>
      <c r="H345" s="36" t="s">
        <v>8</v>
      </c>
      <c r="I345" s="36"/>
      <c r="J345" s="36"/>
    </row>
    <row r="346" spans="1:10" x14ac:dyDescent="0.25">
      <c r="A346" s="36">
        <v>1818</v>
      </c>
      <c r="B346" s="37">
        <v>43647</v>
      </c>
      <c r="C346" s="36"/>
      <c r="D346" s="36"/>
      <c r="E346" s="36" t="s">
        <v>9</v>
      </c>
      <c r="F346" s="38">
        <v>8351437.5</v>
      </c>
      <c r="G346" s="36" t="s">
        <v>8</v>
      </c>
      <c r="H346" s="36" t="s">
        <v>8</v>
      </c>
      <c r="I346" s="36"/>
      <c r="J346" s="36"/>
    </row>
    <row r="347" spans="1:10" x14ac:dyDescent="0.25">
      <c r="A347" s="36">
        <v>1818</v>
      </c>
      <c r="B347" s="37">
        <v>43678</v>
      </c>
      <c r="C347" s="36"/>
      <c r="D347" s="36"/>
      <c r="E347" s="36" t="s">
        <v>9</v>
      </c>
      <c r="F347" s="38">
        <v>8351437.5</v>
      </c>
      <c r="G347" s="36" t="s">
        <v>8</v>
      </c>
      <c r="H347" s="36" t="s">
        <v>8</v>
      </c>
      <c r="I347" s="36"/>
      <c r="J347" s="36"/>
    </row>
    <row r="348" spans="1:10" x14ac:dyDescent="0.25">
      <c r="A348" s="36">
        <v>1818</v>
      </c>
      <c r="B348" s="37">
        <v>43709</v>
      </c>
      <c r="C348" s="36"/>
      <c r="D348" s="36"/>
      <c r="E348" s="36" t="s">
        <v>9</v>
      </c>
      <c r="F348" s="38">
        <v>8351437.5</v>
      </c>
      <c r="G348" s="36" t="s">
        <v>8</v>
      </c>
      <c r="H348" s="36" t="s">
        <v>8</v>
      </c>
      <c r="I348" s="36"/>
      <c r="J348" s="36"/>
    </row>
    <row r="349" spans="1:10" x14ac:dyDescent="0.25">
      <c r="A349" s="36">
        <v>1818</v>
      </c>
      <c r="B349" s="37">
        <v>43739</v>
      </c>
      <c r="C349" s="36"/>
      <c r="D349" s="36"/>
      <c r="E349" s="36" t="s">
        <v>9</v>
      </c>
      <c r="F349" s="38">
        <v>8351437.5</v>
      </c>
      <c r="G349" s="36" t="s">
        <v>8</v>
      </c>
      <c r="H349" s="36" t="s">
        <v>8</v>
      </c>
      <c r="I349" s="36"/>
      <c r="J349" s="36"/>
    </row>
    <row r="350" spans="1:10" x14ac:dyDescent="0.25">
      <c r="A350" s="36">
        <v>1818</v>
      </c>
      <c r="B350" s="37">
        <v>43770</v>
      </c>
      <c r="C350" s="36"/>
      <c r="D350" s="36"/>
      <c r="E350" s="36" t="s">
        <v>9</v>
      </c>
      <c r="F350" s="38">
        <v>8351437.5</v>
      </c>
      <c r="G350" s="36" t="s">
        <v>8</v>
      </c>
      <c r="H350" s="36" t="s">
        <v>8</v>
      </c>
      <c r="I350" s="36"/>
      <c r="J350" s="36"/>
    </row>
    <row r="351" spans="1:10" x14ac:dyDescent="0.25">
      <c r="A351" s="36">
        <v>1818</v>
      </c>
      <c r="B351" s="37">
        <v>43800</v>
      </c>
      <c r="C351" s="36"/>
      <c r="D351" s="36"/>
      <c r="E351" s="36" t="s">
        <v>9</v>
      </c>
      <c r="F351" s="38">
        <v>8351437.5</v>
      </c>
      <c r="G351" s="36" t="s">
        <v>8</v>
      </c>
      <c r="H351" s="36" t="s">
        <v>8</v>
      </c>
      <c r="I351" s="36"/>
      <c r="J351" s="36"/>
    </row>
    <row r="352" spans="1:10" x14ac:dyDescent="0.25">
      <c r="A352" s="36">
        <v>1818</v>
      </c>
      <c r="B352" s="37">
        <v>43466</v>
      </c>
      <c r="C352" s="36"/>
      <c r="D352" s="36"/>
      <c r="E352" s="36" t="s">
        <v>33</v>
      </c>
      <c r="F352" s="38">
        <v>2356593.75</v>
      </c>
      <c r="G352" s="36" t="s">
        <v>8</v>
      </c>
      <c r="H352" s="36" t="s">
        <v>8</v>
      </c>
      <c r="I352" s="36"/>
      <c r="J352" s="36"/>
    </row>
    <row r="353" spans="1:10" x14ac:dyDescent="0.25">
      <c r="A353" s="36">
        <v>1818</v>
      </c>
      <c r="B353" s="37">
        <v>43497</v>
      </c>
      <c r="C353" s="36"/>
      <c r="D353" s="36"/>
      <c r="E353" s="36" t="s">
        <v>33</v>
      </c>
      <c r="F353" s="38">
        <v>2356593.75</v>
      </c>
      <c r="G353" s="36" t="s">
        <v>8</v>
      </c>
      <c r="H353" s="36" t="s">
        <v>8</v>
      </c>
      <c r="I353" s="36"/>
      <c r="J353" s="36"/>
    </row>
    <row r="354" spans="1:10" x14ac:dyDescent="0.25">
      <c r="A354" s="36">
        <v>1818</v>
      </c>
      <c r="B354" s="37">
        <v>43525</v>
      </c>
      <c r="C354" s="36"/>
      <c r="D354" s="36"/>
      <c r="E354" s="36" t="s">
        <v>33</v>
      </c>
      <c r="F354" s="38">
        <v>2356593.75</v>
      </c>
      <c r="G354" s="36" t="s">
        <v>8</v>
      </c>
      <c r="H354" s="36" t="s">
        <v>8</v>
      </c>
      <c r="I354" s="36"/>
      <c r="J354" s="36"/>
    </row>
    <row r="355" spans="1:10" x14ac:dyDescent="0.25">
      <c r="A355" s="36">
        <v>1818</v>
      </c>
      <c r="B355" s="37">
        <v>43556</v>
      </c>
      <c r="C355" s="36"/>
      <c r="D355" s="36"/>
      <c r="E355" s="36" t="s">
        <v>33</v>
      </c>
      <c r="F355" s="38">
        <v>2356593.75</v>
      </c>
      <c r="G355" s="36" t="s">
        <v>8</v>
      </c>
      <c r="H355" s="36" t="s">
        <v>8</v>
      </c>
      <c r="I355" s="36"/>
      <c r="J355" s="36"/>
    </row>
    <row r="356" spans="1:10" x14ac:dyDescent="0.25">
      <c r="A356" s="36">
        <v>1818</v>
      </c>
      <c r="B356" s="37">
        <v>43586</v>
      </c>
      <c r="C356" s="36"/>
      <c r="D356" s="36"/>
      <c r="E356" s="36" t="s">
        <v>33</v>
      </c>
      <c r="F356" s="38">
        <v>2356593.75</v>
      </c>
      <c r="G356" s="36" t="s">
        <v>8</v>
      </c>
      <c r="H356" s="36" t="s">
        <v>8</v>
      </c>
      <c r="I356" s="36"/>
      <c r="J356" s="36"/>
    </row>
    <row r="357" spans="1:10" x14ac:dyDescent="0.25">
      <c r="A357" s="36">
        <v>1818</v>
      </c>
      <c r="B357" s="37">
        <v>43617</v>
      </c>
      <c r="C357" s="36"/>
      <c r="D357" s="36"/>
      <c r="E357" s="36" t="s">
        <v>33</v>
      </c>
      <c r="F357" s="38">
        <v>2356593.75</v>
      </c>
      <c r="G357" s="36" t="s">
        <v>8</v>
      </c>
      <c r="H357" s="36" t="s">
        <v>8</v>
      </c>
      <c r="I357" s="36"/>
      <c r="J357" s="36"/>
    </row>
    <row r="358" spans="1:10" x14ac:dyDescent="0.25">
      <c r="A358" s="36">
        <v>1818</v>
      </c>
      <c r="B358" s="37">
        <v>43466</v>
      </c>
      <c r="C358" s="36"/>
      <c r="D358" s="36"/>
      <c r="E358" s="36" t="s">
        <v>22</v>
      </c>
      <c r="F358" s="38">
        <v>3786425.9999999995</v>
      </c>
      <c r="G358" s="36" t="s">
        <v>8</v>
      </c>
      <c r="H358" s="36" t="s">
        <v>8</v>
      </c>
      <c r="I358" s="36"/>
      <c r="J358" s="36"/>
    </row>
    <row r="359" spans="1:10" x14ac:dyDescent="0.25">
      <c r="A359" s="36">
        <v>1818</v>
      </c>
      <c r="B359" s="37">
        <v>43497</v>
      </c>
      <c r="C359" s="36"/>
      <c r="D359" s="36"/>
      <c r="E359" s="36" t="s">
        <v>22</v>
      </c>
      <c r="F359" s="38">
        <v>3786425.9999999995</v>
      </c>
      <c r="G359" s="36" t="s">
        <v>8</v>
      </c>
      <c r="H359" s="36" t="s">
        <v>8</v>
      </c>
      <c r="I359" s="36"/>
      <c r="J359" s="36"/>
    </row>
    <row r="360" spans="1:10" x14ac:dyDescent="0.25">
      <c r="A360" s="36">
        <v>1818</v>
      </c>
      <c r="B360" s="37">
        <v>43525</v>
      </c>
      <c r="C360" s="36"/>
      <c r="D360" s="36"/>
      <c r="E360" s="36" t="s">
        <v>22</v>
      </c>
      <c r="F360" s="38">
        <v>3786425.9999999995</v>
      </c>
      <c r="G360" s="36" t="s">
        <v>8</v>
      </c>
      <c r="H360" s="36" t="s">
        <v>8</v>
      </c>
      <c r="I360" s="36"/>
      <c r="J360" s="36"/>
    </row>
    <row r="361" spans="1:10" x14ac:dyDescent="0.25">
      <c r="A361" s="36">
        <v>1818</v>
      </c>
      <c r="B361" s="37">
        <v>43556</v>
      </c>
      <c r="C361" s="36"/>
      <c r="D361" s="36"/>
      <c r="E361" s="36" t="s">
        <v>22</v>
      </c>
      <c r="F361" s="38">
        <v>3786425.9999999995</v>
      </c>
      <c r="G361" s="36" t="s">
        <v>8</v>
      </c>
      <c r="H361" s="36" t="s">
        <v>8</v>
      </c>
      <c r="I361" s="36"/>
      <c r="J361" s="36"/>
    </row>
    <row r="362" spans="1:10" x14ac:dyDescent="0.25">
      <c r="A362" s="36">
        <v>1818</v>
      </c>
      <c r="B362" s="37">
        <v>43586</v>
      </c>
      <c r="C362" s="36"/>
      <c r="D362" s="36"/>
      <c r="E362" s="36" t="s">
        <v>22</v>
      </c>
      <c r="F362" s="38">
        <v>3786425.9999999995</v>
      </c>
      <c r="G362" s="36" t="s">
        <v>8</v>
      </c>
      <c r="H362" s="36" t="s">
        <v>8</v>
      </c>
      <c r="I362" s="36"/>
      <c r="J362" s="36"/>
    </row>
    <row r="363" spans="1:10" x14ac:dyDescent="0.25">
      <c r="A363" s="36">
        <v>1818</v>
      </c>
      <c r="B363" s="37">
        <v>43617</v>
      </c>
      <c r="C363" s="36"/>
      <c r="D363" s="36"/>
      <c r="E363" s="36" t="s">
        <v>22</v>
      </c>
      <c r="F363" s="38">
        <v>3786425.9999999995</v>
      </c>
      <c r="G363" s="36" t="s">
        <v>8</v>
      </c>
      <c r="H363" s="36" t="s">
        <v>8</v>
      </c>
      <c r="I363" s="36"/>
      <c r="J363" s="36"/>
    </row>
    <row r="364" spans="1:10" x14ac:dyDescent="0.25">
      <c r="A364" s="36">
        <v>1818</v>
      </c>
      <c r="B364" s="37">
        <v>43647</v>
      </c>
      <c r="C364" s="36"/>
      <c r="D364" s="36"/>
      <c r="E364" s="36" t="s">
        <v>22</v>
      </c>
      <c r="F364" s="38">
        <v>3786425.9999999995</v>
      </c>
      <c r="G364" s="36" t="s">
        <v>8</v>
      </c>
      <c r="H364" s="36" t="s">
        <v>8</v>
      </c>
      <c r="I364" s="36"/>
      <c r="J364" s="36"/>
    </row>
    <row r="365" spans="1:10" x14ac:dyDescent="0.25">
      <c r="A365" s="36">
        <v>1818</v>
      </c>
      <c r="B365" s="37">
        <v>43678</v>
      </c>
      <c r="C365" s="36"/>
      <c r="D365" s="36"/>
      <c r="E365" s="36" t="s">
        <v>22</v>
      </c>
      <c r="F365" s="38">
        <v>3786425.9999999995</v>
      </c>
      <c r="G365" s="36" t="s">
        <v>8</v>
      </c>
      <c r="H365" s="36" t="s">
        <v>8</v>
      </c>
      <c r="I365" s="36"/>
      <c r="J365" s="36"/>
    </row>
    <row r="366" spans="1:10" x14ac:dyDescent="0.25">
      <c r="A366" s="36">
        <v>1818</v>
      </c>
      <c r="B366" s="37">
        <v>43709</v>
      </c>
      <c r="C366" s="36"/>
      <c r="D366" s="36"/>
      <c r="E366" s="36" t="s">
        <v>22</v>
      </c>
      <c r="F366" s="38">
        <v>3786425.9999999995</v>
      </c>
      <c r="G366" s="36" t="s">
        <v>8</v>
      </c>
      <c r="H366" s="36" t="s">
        <v>8</v>
      </c>
      <c r="I366" s="36"/>
      <c r="J366" s="36"/>
    </row>
    <row r="367" spans="1:10" x14ac:dyDescent="0.25">
      <c r="A367" s="36">
        <v>1818</v>
      </c>
      <c r="B367" s="37">
        <v>43739</v>
      </c>
      <c r="C367" s="36"/>
      <c r="D367" s="36"/>
      <c r="E367" s="36" t="s">
        <v>22</v>
      </c>
      <c r="F367" s="38">
        <v>3786425.9999999995</v>
      </c>
      <c r="G367" s="36" t="s">
        <v>8</v>
      </c>
      <c r="H367" s="36" t="s">
        <v>8</v>
      </c>
      <c r="I367" s="36"/>
      <c r="J367" s="36"/>
    </row>
    <row r="368" spans="1:10" x14ac:dyDescent="0.25">
      <c r="A368" s="36">
        <v>1818</v>
      </c>
      <c r="B368" s="37">
        <v>43770</v>
      </c>
      <c r="C368" s="36"/>
      <c r="D368" s="36"/>
      <c r="E368" s="36" t="s">
        <v>22</v>
      </c>
      <c r="F368" s="38">
        <v>3786425.9999999995</v>
      </c>
      <c r="G368" s="36" t="s">
        <v>8</v>
      </c>
      <c r="H368" s="36" t="s">
        <v>8</v>
      </c>
      <c r="I368" s="36"/>
      <c r="J368" s="36"/>
    </row>
    <row r="369" spans="1:10" x14ac:dyDescent="0.25">
      <c r="A369" s="36">
        <v>1818</v>
      </c>
      <c r="B369" s="37">
        <v>43466</v>
      </c>
      <c r="C369" s="36"/>
      <c r="D369" s="36"/>
      <c r="E369" s="36" t="s">
        <v>23</v>
      </c>
      <c r="F369" s="38">
        <v>3853237.5</v>
      </c>
      <c r="G369" s="36" t="s">
        <v>8</v>
      </c>
      <c r="H369" s="36" t="s">
        <v>8</v>
      </c>
      <c r="I369" s="36"/>
      <c r="J369" s="36"/>
    </row>
    <row r="370" spans="1:10" x14ac:dyDescent="0.25">
      <c r="A370" s="36">
        <v>1818</v>
      </c>
      <c r="B370" s="37">
        <v>43497</v>
      </c>
      <c r="C370" s="36"/>
      <c r="D370" s="36"/>
      <c r="E370" s="36" t="s">
        <v>23</v>
      </c>
      <c r="F370" s="38">
        <v>3853237.5</v>
      </c>
      <c r="G370" s="36" t="s">
        <v>8</v>
      </c>
      <c r="H370" s="36" t="s">
        <v>8</v>
      </c>
      <c r="I370" s="36"/>
      <c r="J370" s="36"/>
    </row>
    <row r="371" spans="1:10" x14ac:dyDescent="0.25">
      <c r="A371" s="36">
        <v>1818</v>
      </c>
      <c r="B371" s="37">
        <v>43525</v>
      </c>
      <c r="C371" s="36"/>
      <c r="D371" s="36"/>
      <c r="E371" s="36" t="s">
        <v>23</v>
      </c>
      <c r="F371" s="38">
        <v>3853237.5</v>
      </c>
      <c r="G371" s="36" t="s">
        <v>8</v>
      </c>
      <c r="H371" s="36" t="s">
        <v>8</v>
      </c>
      <c r="I371" s="36"/>
      <c r="J371" s="36"/>
    </row>
    <row r="372" spans="1:10" x14ac:dyDescent="0.25">
      <c r="A372" s="36">
        <v>1818</v>
      </c>
      <c r="B372" s="37">
        <v>43556</v>
      </c>
      <c r="C372" s="36"/>
      <c r="D372" s="36"/>
      <c r="E372" s="36" t="s">
        <v>23</v>
      </c>
      <c r="F372" s="38">
        <v>3853237.5</v>
      </c>
      <c r="G372" s="36" t="s">
        <v>8</v>
      </c>
      <c r="H372" s="36" t="s">
        <v>8</v>
      </c>
      <c r="I372" s="36"/>
      <c r="J372" s="36"/>
    </row>
    <row r="373" spans="1:10" x14ac:dyDescent="0.25">
      <c r="A373" s="36">
        <v>1818</v>
      </c>
      <c r="B373" s="37">
        <v>43586</v>
      </c>
      <c r="C373" s="36"/>
      <c r="D373" s="36"/>
      <c r="E373" s="36" t="s">
        <v>23</v>
      </c>
      <c r="F373" s="38">
        <v>3853237.5</v>
      </c>
      <c r="G373" s="36" t="s">
        <v>8</v>
      </c>
      <c r="H373" s="36" t="s">
        <v>8</v>
      </c>
      <c r="I373" s="36"/>
      <c r="J373" s="36"/>
    </row>
    <row r="374" spans="1:10" x14ac:dyDescent="0.25">
      <c r="A374" s="36">
        <v>1818</v>
      </c>
      <c r="B374" s="37">
        <v>43617</v>
      </c>
      <c r="C374" s="36"/>
      <c r="D374" s="36"/>
      <c r="E374" s="36" t="s">
        <v>23</v>
      </c>
      <c r="F374" s="38">
        <v>3853237.5</v>
      </c>
      <c r="G374" s="36" t="s">
        <v>8</v>
      </c>
      <c r="H374" s="36" t="s">
        <v>8</v>
      </c>
      <c r="I374" s="36"/>
      <c r="J374" s="36"/>
    </row>
    <row r="375" spans="1:10" x14ac:dyDescent="0.25">
      <c r="A375" s="36">
        <v>1818</v>
      </c>
      <c r="B375" s="37">
        <v>43647</v>
      </c>
      <c r="C375" s="36"/>
      <c r="D375" s="36"/>
      <c r="E375" s="36" t="s">
        <v>23</v>
      </c>
      <c r="F375" s="38">
        <v>3853237.5</v>
      </c>
      <c r="G375" s="36" t="s">
        <v>8</v>
      </c>
      <c r="H375" s="36" t="s">
        <v>8</v>
      </c>
      <c r="I375" s="36"/>
      <c r="J375" s="36"/>
    </row>
    <row r="376" spans="1:10" x14ac:dyDescent="0.25">
      <c r="A376" s="36">
        <v>1818</v>
      </c>
      <c r="B376" s="37">
        <v>43678</v>
      </c>
      <c r="C376" s="36"/>
      <c r="D376" s="36"/>
      <c r="E376" s="36" t="s">
        <v>23</v>
      </c>
      <c r="F376" s="38">
        <v>3853237.5</v>
      </c>
      <c r="G376" s="36" t="s">
        <v>8</v>
      </c>
      <c r="H376" s="36" t="s">
        <v>8</v>
      </c>
      <c r="I376" s="36"/>
      <c r="J376" s="36"/>
    </row>
    <row r="377" spans="1:10" x14ac:dyDescent="0.25">
      <c r="A377" s="36">
        <v>1818</v>
      </c>
      <c r="B377" s="37">
        <v>43709</v>
      </c>
      <c r="C377" s="36"/>
      <c r="D377" s="36"/>
      <c r="E377" s="36" t="s">
        <v>23</v>
      </c>
      <c r="F377" s="38">
        <v>3853237.5</v>
      </c>
      <c r="G377" s="36" t="s">
        <v>8</v>
      </c>
      <c r="H377" s="36" t="s">
        <v>8</v>
      </c>
      <c r="I377" s="36"/>
      <c r="J377" s="36"/>
    </row>
    <row r="378" spans="1:10" x14ac:dyDescent="0.25">
      <c r="A378" s="36">
        <v>1818</v>
      </c>
      <c r="B378" s="37">
        <v>43739</v>
      </c>
      <c r="C378" s="36"/>
      <c r="D378" s="36"/>
      <c r="E378" s="36" t="s">
        <v>23</v>
      </c>
      <c r="F378" s="38">
        <v>3853237.5</v>
      </c>
      <c r="G378" s="36" t="s">
        <v>8</v>
      </c>
      <c r="H378" s="36" t="s">
        <v>8</v>
      </c>
      <c r="I378" s="36"/>
      <c r="J378" s="36"/>
    </row>
    <row r="379" spans="1:10" x14ac:dyDescent="0.25">
      <c r="A379" s="36">
        <v>1818</v>
      </c>
      <c r="B379" s="37">
        <v>43770</v>
      </c>
      <c r="C379" s="36"/>
      <c r="D379" s="36"/>
      <c r="E379" s="36" t="s">
        <v>23</v>
      </c>
      <c r="F379" s="38">
        <v>3853237.5</v>
      </c>
      <c r="G379" s="36" t="s">
        <v>8</v>
      </c>
      <c r="H379" s="36" t="s">
        <v>8</v>
      </c>
      <c r="I379" s="36"/>
      <c r="J379" s="36"/>
    </row>
    <row r="380" spans="1:10" x14ac:dyDescent="0.25">
      <c r="A380" s="36">
        <v>1818</v>
      </c>
      <c r="B380" s="37">
        <v>43800</v>
      </c>
      <c r="C380" s="36"/>
      <c r="D380" s="36"/>
      <c r="E380" s="36" t="s">
        <v>23</v>
      </c>
      <c r="F380" s="38">
        <v>3853237.5</v>
      </c>
      <c r="G380" s="36" t="s">
        <v>8</v>
      </c>
      <c r="H380" s="36" t="s">
        <v>8</v>
      </c>
      <c r="I380" s="36"/>
      <c r="J380" s="36"/>
    </row>
    <row r="381" spans="1:10" x14ac:dyDescent="0.25">
      <c r="A381" s="36">
        <v>1829</v>
      </c>
      <c r="B381" s="37">
        <v>43466</v>
      </c>
      <c r="C381" s="36"/>
      <c r="D381" s="36"/>
      <c r="E381" s="36" t="s">
        <v>7</v>
      </c>
      <c r="F381" s="38">
        <v>3811675.6440000003</v>
      </c>
      <c r="G381" s="36" t="s">
        <v>8</v>
      </c>
      <c r="H381" s="36" t="s">
        <v>8</v>
      </c>
      <c r="I381" s="36"/>
      <c r="J381" s="36"/>
    </row>
    <row r="382" spans="1:10" x14ac:dyDescent="0.25">
      <c r="A382" s="36">
        <v>1829</v>
      </c>
      <c r="B382" s="37">
        <v>43497</v>
      </c>
      <c r="C382" s="36"/>
      <c r="D382" s="36"/>
      <c r="E382" s="36" t="s">
        <v>7</v>
      </c>
      <c r="F382" s="38">
        <v>3811675.6440000003</v>
      </c>
      <c r="G382" s="36" t="s">
        <v>8</v>
      </c>
      <c r="H382" s="36" t="s">
        <v>8</v>
      </c>
      <c r="I382" s="36"/>
      <c r="J382" s="36"/>
    </row>
    <row r="383" spans="1:10" x14ac:dyDescent="0.25">
      <c r="A383" s="36">
        <v>1829</v>
      </c>
      <c r="B383" s="37">
        <v>43525</v>
      </c>
      <c r="C383" s="36"/>
      <c r="D383" s="36"/>
      <c r="E383" s="36" t="s">
        <v>7</v>
      </c>
      <c r="F383" s="38">
        <v>3811675.6440000003</v>
      </c>
      <c r="G383" s="36" t="s">
        <v>8</v>
      </c>
      <c r="H383" s="36" t="s">
        <v>8</v>
      </c>
      <c r="I383" s="36"/>
      <c r="J383" s="36"/>
    </row>
    <row r="384" spans="1:10" x14ac:dyDescent="0.25">
      <c r="A384" s="36">
        <v>1829</v>
      </c>
      <c r="B384" s="37">
        <v>43556</v>
      </c>
      <c r="C384" s="36"/>
      <c r="D384" s="36"/>
      <c r="E384" s="36" t="s">
        <v>7</v>
      </c>
      <c r="F384" s="38">
        <v>3811675.6440000003</v>
      </c>
      <c r="G384" s="36" t="s">
        <v>8</v>
      </c>
      <c r="H384" s="36" t="s">
        <v>8</v>
      </c>
      <c r="I384" s="36"/>
      <c r="J384" s="36"/>
    </row>
    <row r="385" spans="1:10" x14ac:dyDescent="0.25">
      <c r="A385" s="36">
        <v>1829</v>
      </c>
      <c r="B385" s="37">
        <v>43586</v>
      </c>
      <c r="C385" s="36"/>
      <c r="D385" s="36"/>
      <c r="E385" s="36" t="s">
        <v>7</v>
      </c>
      <c r="F385" s="38">
        <v>3811675.6440000003</v>
      </c>
      <c r="G385" s="36" t="s">
        <v>8</v>
      </c>
      <c r="H385" s="36" t="s">
        <v>8</v>
      </c>
      <c r="I385" s="36"/>
      <c r="J385" s="36"/>
    </row>
    <row r="386" spans="1:10" x14ac:dyDescent="0.25">
      <c r="A386" s="36">
        <v>1829</v>
      </c>
      <c r="B386" s="37">
        <v>43617</v>
      </c>
      <c r="C386" s="36"/>
      <c r="D386" s="36"/>
      <c r="E386" s="36" t="s">
        <v>7</v>
      </c>
      <c r="F386" s="38">
        <v>3811675.6440000003</v>
      </c>
      <c r="G386" s="36" t="s">
        <v>8</v>
      </c>
      <c r="H386" s="36" t="s">
        <v>8</v>
      </c>
      <c r="I386" s="36"/>
      <c r="J386" s="36"/>
    </row>
    <row r="387" spans="1:10" x14ac:dyDescent="0.25">
      <c r="A387" s="36">
        <v>1829</v>
      </c>
      <c r="B387" s="37">
        <v>43647</v>
      </c>
      <c r="C387" s="36"/>
      <c r="D387" s="36"/>
      <c r="E387" s="36" t="s">
        <v>7</v>
      </c>
      <c r="F387" s="38">
        <v>3811675.6440000003</v>
      </c>
      <c r="G387" s="36" t="s">
        <v>8</v>
      </c>
      <c r="H387" s="36" t="s">
        <v>8</v>
      </c>
      <c r="I387" s="36"/>
      <c r="J387" s="36"/>
    </row>
    <row r="388" spans="1:10" x14ac:dyDescent="0.25">
      <c r="A388" s="36">
        <v>1829</v>
      </c>
      <c r="B388" s="37">
        <v>43678</v>
      </c>
      <c r="C388" s="36"/>
      <c r="D388" s="36"/>
      <c r="E388" s="36" t="s">
        <v>7</v>
      </c>
      <c r="F388" s="38">
        <v>3811675.6440000003</v>
      </c>
      <c r="G388" s="36" t="s">
        <v>8</v>
      </c>
      <c r="H388" s="36" t="s">
        <v>8</v>
      </c>
      <c r="I388" s="36"/>
      <c r="J388" s="36"/>
    </row>
    <row r="389" spans="1:10" x14ac:dyDescent="0.25">
      <c r="A389" s="36">
        <v>1829</v>
      </c>
      <c r="B389" s="37">
        <v>43709</v>
      </c>
      <c r="C389" s="36"/>
      <c r="D389" s="36"/>
      <c r="E389" s="36" t="s">
        <v>7</v>
      </c>
      <c r="F389" s="38">
        <v>3811675.6440000003</v>
      </c>
      <c r="G389" s="36" t="s">
        <v>8</v>
      </c>
      <c r="H389" s="36" t="s">
        <v>8</v>
      </c>
      <c r="I389" s="36"/>
      <c r="J389" s="36"/>
    </row>
    <row r="390" spans="1:10" x14ac:dyDescent="0.25">
      <c r="A390" s="36">
        <v>1829</v>
      </c>
      <c r="B390" s="37">
        <v>43739</v>
      </c>
      <c r="C390" s="36"/>
      <c r="D390" s="36"/>
      <c r="E390" s="36" t="s">
        <v>7</v>
      </c>
      <c r="F390" s="38">
        <v>3811675.6440000003</v>
      </c>
      <c r="G390" s="36" t="s">
        <v>8</v>
      </c>
      <c r="H390" s="36" t="s">
        <v>8</v>
      </c>
      <c r="I390" s="36"/>
      <c r="J390" s="36"/>
    </row>
    <row r="391" spans="1:10" x14ac:dyDescent="0.25">
      <c r="A391" s="36">
        <v>1829</v>
      </c>
      <c r="B391" s="37">
        <v>43770</v>
      </c>
      <c r="C391" s="36"/>
      <c r="D391" s="36"/>
      <c r="E391" s="36" t="s">
        <v>7</v>
      </c>
      <c r="F391" s="38">
        <v>3811675.6440000003</v>
      </c>
      <c r="G391" s="36" t="s">
        <v>8</v>
      </c>
      <c r="H391" s="36" t="s">
        <v>8</v>
      </c>
      <c r="I391" s="36"/>
      <c r="J391" s="36"/>
    </row>
    <row r="392" spans="1:10" x14ac:dyDescent="0.25">
      <c r="A392" s="36">
        <v>1829</v>
      </c>
      <c r="B392" s="37">
        <v>43800</v>
      </c>
      <c r="C392" s="36"/>
      <c r="D392" s="36"/>
      <c r="E392" s="36" t="s">
        <v>7</v>
      </c>
      <c r="F392" s="38">
        <v>3811675.6440000003</v>
      </c>
      <c r="G392" s="36" t="s">
        <v>8</v>
      </c>
      <c r="H392" s="36" t="s">
        <v>8</v>
      </c>
      <c r="I392" s="36"/>
      <c r="J392" s="36"/>
    </row>
    <row r="393" spans="1:10" x14ac:dyDescent="0.25">
      <c r="A393" s="36">
        <v>1829</v>
      </c>
      <c r="B393" s="37">
        <v>43831</v>
      </c>
      <c r="C393" s="36"/>
      <c r="D393" s="36"/>
      <c r="E393" s="36" t="s">
        <v>7</v>
      </c>
      <c r="F393" s="38">
        <v>3811675.6440000003</v>
      </c>
      <c r="G393" s="36" t="s">
        <v>8</v>
      </c>
      <c r="H393" s="36" t="s">
        <v>8</v>
      </c>
      <c r="I393" s="36"/>
      <c r="J393" s="36"/>
    </row>
    <row r="394" spans="1:10" x14ac:dyDescent="0.25">
      <c r="A394" s="36">
        <v>1829</v>
      </c>
      <c r="B394" s="37">
        <v>43862</v>
      </c>
      <c r="C394" s="36"/>
      <c r="D394" s="36"/>
      <c r="E394" s="36" t="s">
        <v>7</v>
      </c>
      <c r="F394" s="38">
        <v>3811675.6440000003</v>
      </c>
      <c r="G394" s="36" t="s">
        <v>8</v>
      </c>
      <c r="H394" s="36" t="s">
        <v>8</v>
      </c>
      <c r="I394" s="36"/>
      <c r="J394" s="36"/>
    </row>
    <row r="395" spans="1:10" x14ac:dyDescent="0.25">
      <c r="A395" s="36">
        <v>1829</v>
      </c>
      <c r="B395" s="37">
        <v>43891</v>
      </c>
      <c r="C395" s="36"/>
      <c r="D395" s="36"/>
      <c r="E395" s="36" t="s">
        <v>7</v>
      </c>
      <c r="F395" s="38">
        <v>3811675.6440000003</v>
      </c>
      <c r="G395" s="36" t="s">
        <v>8</v>
      </c>
      <c r="H395" s="36" t="s">
        <v>8</v>
      </c>
      <c r="I395" s="36"/>
      <c r="J395" s="36"/>
    </row>
    <row r="396" spans="1:10" x14ac:dyDescent="0.25">
      <c r="A396" s="36">
        <v>1829</v>
      </c>
      <c r="B396" s="37">
        <v>43922</v>
      </c>
      <c r="C396" s="36"/>
      <c r="D396" s="36"/>
      <c r="E396" s="36" t="s">
        <v>7</v>
      </c>
      <c r="F396" s="38">
        <v>3811675.6440000003</v>
      </c>
      <c r="G396" s="36" t="s">
        <v>8</v>
      </c>
      <c r="H396" s="36" t="s">
        <v>8</v>
      </c>
      <c r="I396" s="36"/>
      <c r="J396" s="36"/>
    </row>
    <row r="397" spans="1:10" x14ac:dyDescent="0.25">
      <c r="A397" s="36">
        <v>1829</v>
      </c>
      <c r="B397" s="37">
        <v>43952</v>
      </c>
      <c r="C397" s="36"/>
      <c r="D397" s="36"/>
      <c r="E397" s="36" t="s">
        <v>7</v>
      </c>
      <c r="F397" s="38">
        <v>3811675.6440000003</v>
      </c>
      <c r="G397" s="36" t="s">
        <v>8</v>
      </c>
      <c r="H397" s="36" t="s">
        <v>8</v>
      </c>
      <c r="I397" s="36"/>
      <c r="J397" s="36"/>
    </row>
    <row r="398" spans="1:10" x14ac:dyDescent="0.25">
      <c r="A398" s="36">
        <v>1829</v>
      </c>
      <c r="B398" s="37">
        <v>43983</v>
      </c>
      <c r="C398" s="36"/>
      <c r="D398" s="36"/>
      <c r="E398" s="36" t="s">
        <v>7</v>
      </c>
      <c r="F398" s="38">
        <v>3811675.6440000003</v>
      </c>
      <c r="G398" s="36" t="s">
        <v>8</v>
      </c>
      <c r="H398" s="36" t="s">
        <v>8</v>
      </c>
      <c r="I398" s="36"/>
      <c r="J398" s="36"/>
    </row>
    <row r="399" spans="1:10" x14ac:dyDescent="0.25">
      <c r="A399" s="36">
        <v>1829</v>
      </c>
      <c r="B399" s="37">
        <v>43466</v>
      </c>
      <c r="C399" s="36"/>
      <c r="D399" s="36"/>
      <c r="E399" s="36" t="s">
        <v>34</v>
      </c>
      <c r="F399" s="38">
        <v>7505662.5</v>
      </c>
      <c r="G399" s="36" t="s">
        <v>8</v>
      </c>
      <c r="H399" s="36" t="s">
        <v>8</v>
      </c>
      <c r="I399" s="36"/>
      <c r="J399" s="36"/>
    </row>
    <row r="400" spans="1:10" x14ac:dyDescent="0.25">
      <c r="A400" s="36">
        <v>1829</v>
      </c>
      <c r="B400" s="37">
        <v>43497</v>
      </c>
      <c r="C400" s="36"/>
      <c r="D400" s="36"/>
      <c r="E400" s="36" t="s">
        <v>34</v>
      </c>
      <c r="F400" s="38">
        <v>7505662.5</v>
      </c>
      <c r="G400" s="36" t="s">
        <v>8</v>
      </c>
      <c r="H400" s="36" t="s">
        <v>8</v>
      </c>
      <c r="I400" s="36"/>
      <c r="J400" s="36"/>
    </row>
    <row r="401" spans="1:10" x14ac:dyDescent="0.25">
      <c r="A401" s="36">
        <v>1829</v>
      </c>
      <c r="B401" s="37">
        <v>43525</v>
      </c>
      <c r="C401" s="36"/>
      <c r="D401" s="36"/>
      <c r="E401" s="36" t="s">
        <v>34</v>
      </c>
      <c r="F401" s="38">
        <v>7505662.5</v>
      </c>
      <c r="G401" s="36" t="s">
        <v>8</v>
      </c>
      <c r="H401" s="36" t="s">
        <v>8</v>
      </c>
      <c r="I401" s="36"/>
      <c r="J401" s="36"/>
    </row>
    <row r="402" spans="1:10" x14ac:dyDescent="0.25">
      <c r="A402" s="36">
        <v>1829</v>
      </c>
      <c r="B402" s="37">
        <v>43556</v>
      </c>
      <c r="C402" s="36"/>
      <c r="D402" s="36"/>
      <c r="E402" s="36" t="s">
        <v>34</v>
      </c>
      <c r="F402" s="38">
        <v>7505662.5</v>
      </c>
      <c r="G402" s="36" t="s">
        <v>8</v>
      </c>
      <c r="H402" s="36" t="s">
        <v>8</v>
      </c>
      <c r="I402" s="36"/>
      <c r="J402" s="36"/>
    </row>
    <row r="403" spans="1:10" x14ac:dyDescent="0.25">
      <c r="A403" s="36">
        <v>1829</v>
      </c>
      <c r="B403" s="37">
        <v>43586</v>
      </c>
      <c r="C403" s="36"/>
      <c r="D403" s="36"/>
      <c r="E403" s="36" t="s">
        <v>34</v>
      </c>
      <c r="F403" s="38">
        <v>7505662.5</v>
      </c>
      <c r="G403" s="36" t="s">
        <v>8</v>
      </c>
      <c r="H403" s="36" t="s">
        <v>8</v>
      </c>
      <c r="I403" s="36"/>
      <c r="J403" s="36"/>
    </row>
    <row r="404" spans="1:10" x14ac:dyDescent="0.25">
      <c r="A404" s="36">
        <v>1829</v>
      </c>
      <c r="B404" s="37">
        <v>43617</v>
      </c>
      <c r="C404" s="36"/>
      <c r="D404" s="36"/>
      <c r="E404" s="36" t="s">
        <v>34</v>
      </c>
      <c r="F404" s="38">
        <v>7505662.5</v>
      </c>
      <c r="G404" s="36" t="s">
        <v>8</v>
      </c>
      <c r="H404" s="36" t="s">
        <v>8</v>
      </c>
      <c r="I404" s="36"/>
      <c r="J404" s="36"/>
    </row>
    <row r="405" spans="1:10" x14ac:dyDescent="0.25">
      <c r="A405" s="36">
        <v>1829</v>
      </c>
      <c r="B405" s="37">
        <v>43647</v>
      </c>
      <c r="C405" s="36"/>
      <c r="D405" s="36"/>
      <c r="E405" s="36" t="s">
        <v>34</v>
      </c>
      <c r="F405" s="38">
        <v>7505662.5</v>
      </c>
      <c r="G405" s="36" t="s">
        <v>8</v>
      </c>
      <c r="H405" s="36" t="s">
        <v>8</v>
      </c>
      <c r="I405" s="36"/>
      <c r="J405" s="36"/>
    </row>
    <row r="406" spans="1:10" x14ac:dyDescent="0.25">
      <c r="A406" s="36">
        <v>1829</v>
      </c>
      <c r="B406" s="37">
        <v>43678</v>
      </c>
      <c r="C406" s="36"/>
      <c r="D406" s="36"/>
      <c r="E406" s="36" t="s">
        <v>34</v>
      </c>
      <c r="F406" s="38">
        <v>7505662.5</v>
      </c>
      <c r="G406" s="36" t="s">
        <v>8</v>
      </c>
      <c r="H406" s="36" t="s">
        <v>8</v>
      </c>
      <c r="I406" s="36"/>
      <c r="J406" s="36"/>
    </row>
    <row r="407" spans="1:10" x14ac:dyDescent="0.25">
      <c r="A407" s="36">
        <v>1829</v>
      </c>
      <c r="B407" s="37">
        <v>43709</v>
      </c>
      <c r="C407" s="36"/>
      <c r="D407" s="36"/>
      <c r="E407" s="36" t="s">
        <v>34</v>
      </c>
      <c r="F407" s="38">
        <v>7505662.5</v>
      </c>
      <c r="G407" s="36" t="s">
        <v>8</v>
      </c>
      <c r="H407" s="36" t="s">
        <v>8</v>
      </c>
      <c r="I407" s="36"/>
      <c r="J407" s="36"/>
    </row>
    <row r="408" spans="1:10" x14ac:dyDescent="0.25">
      <c r="A408" s="36">
        <v>1829</v>
      </c>
      <c r="B408" s="37">
        <v>43739</v>
      </c>
      <c r="C408" s="36"/>
      <c r="D408" s="36"/>
      <c r="E408" s="36" t="s">
        <v>34</v>
      </c>
      <c r="F408" s="38">
        <v>7505662.5</v>
      </c>
      <c r="G408" s="36" t="s">
        <v>8</v>
      </c>
      <c r="H408" s="36" t="s">
        <v>8</v>
      </c>
      <c r="I408" s="36"/>
      <c r="J408" s="36"/>
    </row>
    <row r="409" spans="1:10" x14ac:dyDescent="0.25">
      <c r="A409" s="36">
        <v>1829</v>
      </c>
      <c r="B409" s="37">
        <v>43770</v>
      </c>
      <c r="C409" s="36"/>
      <c r="D409" s="36"/>
      <c r="E409" s="36" t="s">
        <v>34</v>
      </c>
      <c r="F409" s="38">
        <v>7505662.5</v>
      </c>
      <c r="G409" s="36" t="s">
        <v>8</v>
      </c>
      <c r="H409" s="36" t="s">
        <v>8</v>
      </c>
      <c r="I409" s="36"/>
      <c r="J409" s="36"/>
    </row>
    <row r="410" spans="1:10" x14ac:dyDescent="0.25">
      <c r="A410" s="36">
        <v>1829</v>
      </c>
      <c r="B410" s="37">
        <v>43800</v>
      </c>
      <c r="C410" s="36"/>
      <c r="D410" s="36"/>
      <c r="E410" s="36" t="s">
        <v>34</v>
      </c>
      <c r="F410" s="38">
        <v>7505662.5</v>
      </c>
      <c r="G410" s="36" t="s">
        <v>8</v>
      </c>
      <c r="H410" s="36" t="s">
        <v>8</v>
      </c>
      <c r="I410" s="36"/>
      <c r="J410" s="36"/>
    </row>
    <row r="411" spans="1:10" x14ac:dyDescent="0.25">
      <c r="A411" s="36">
        <v>1829</v>
      </c>
      <c r="B411" s="37">
        <v>43831</v>
      </c>
      <c r="C411" s="36"/>
      <c r="D411" s="36"/>
      <c r="E411" s="36" t="s">
        <v>34</v>
      </c>
      <c r="F411" s="38">
        <v>7505662.5</v>
      </c>
      <c r="G411" s="36" t="s">
        <v>8</v>
      </c>
      <c r="H411" s="36" t="s">
        <v>8</v>
      </c>
      <c r="I411" s="36"/>
      <c r="J411" s="36"/>
    </row>
    <row r="412" spans="1:10" x14ac:dyDescent="0.25">
      <c r="A412" s="36">
        <v>1829</v>
      </c>
      <c r="B412" s="37">
        <v>43862</v>
      </c>
      <c r="C412" s="36"/>
      <c r="D412" s="36"/>
      <c r="E412" s="36" t="s">
        <v>34</v>
      </c>
      <c r="F412" s="38">
        <v>7505662.5</v>
      </c>
      <c r="G412" s="36" t="s">
        <v>8</v>
      </c>
      <c r="H412" s="36" t="s">
        <v>8</v>
      </c>
      <c r="I412" s="36"/>
      <c r="J412" s="36"/>
    </row>
    <row r="413" spans="1:10" x14ac:dyDescent="0.25">
      <c r="A413" s="36">
        <v>1829</v>
      </c>
      <c r="B413" s="37">
        <v>43891</v>
      </c>
      <c r="C413" s="36"/>
      <c r="D413" s="36"/>
      <c r="E413" s="36" t="s">
        <v>34</v>
      </c>
      <c r="F413" s="38">
        <v>7505662.5</v>
      </c>
      <c r="G413" s="36" t="s">
        <v>8</v>
      </c>
      <c r="H413" s="36" t="s">
        <v>8</v>
      </c>
      <c r="I413" s="36"/>
      <c r="J413" s="36"/>
    </row>
    <row r="414" spans="1:10" x14ac:dyDescent="0.25">
      <c r="A414" s="36">
        <v>1829</v>
      </c>
      <c r="B414" s="37">
        <v>43922</v>
      </c>
      <c r="C414" s="36"/>
      <c r="D414" s="36"/>
      <c r="E414" s="36" t="s">
        <v>34</v>
      </c>
      <c r="F414" s="38">
        <v>7505662.5</v>
      </c>
      <c r="G414" s="36" t="s">
        <v>8</v>
      </c>
      <c r="H414" s="36" t="s">
        <v>8</v>
      </c>
      <c r="I414" s="36"/>
      <c r="J414" s="36"/>
    </row>
    <row r="415" spans="1:10" x14ac:dyDescent="0.25">
      <c r="A415" s="36">
        <v>1829</v>
      </c>
      <c r="B415" s="37">
        <v>43952</v>
      </c>
      <c r="C415" s="36"/>
      <c r="D415" s="36"/>
      <c r="E415" s="36" t="s">
        <v>34</v>
      </c>
      <c r="F415" s="38">
        <v>7505662.5</v>
      </c>
      <c r="G415" s="36" t="s">
        <v>8</v>
      </c>
      <c r="H415" s="36" t="s">
        <v>8</v>
      </c>
      <c r="I415" s="36"/>
      <c r="J415" s="36"/>
    </row>
    <row r="416" spans="1:10" x14ac:dyDescent="0.25">
      <c r="A416" s="36">
        <v>1829</v>
      </c>
      <c r="B416" s="37">
        <v>43466</v>
      </c>
      <c r="C416" s="36"/>
      <c r="D416" s="36"/>
      <c r="E416" s="36" t="s">
        <v>9</v>
      </c>
      <c r="F416" s="38">
        <v>17112910.5</v>
      </c>
      <c r="G416" s="36" t="s">
        <v>8</v>
      </c>
      <c r="H416" s="36" t="s">
        <v>8</v>
      </c>
      <c r="I416" s="36"/>
      <c r="J416" s="36"/>
    </row>
    <row r="417" spans="1:10" x14ac:dyDescent="0.25">
      <c r="A417" s="36">
        <v>1829</v>
      </c>
      <c r="B417" s="37">
        <v>43497</v>
      </c>
      <c r="C417" s="36"/>
      <c r="D417" s="36"/>
      <c r="E417" s="36" t="s">
        <v>9</v>
      </c>
      <c r="F417" s="38">
        <v>17112910.5</v>
      </c>
      <c r="G417" s="36" t="s">
        <v>8</v>
      </c>
      <c r="H417" s="36" t="s">
        <v>8</v>
      </c>
      <c r="I417" s="36"/>
      <c r="J417" s="36"/>
    </row>
    <row r="418" spans="1:10" x14ac:dyDescent="0.25">
      <c r="A418" s="36">
        <v>1829</v>
      </c>
      <c r="B418" s="37">
        <v>43525</v>
      </c>
      <c r="C418" s="36"/>
      <c r="D418" s="36"/>
      <c r="E418" s="36" t="s">
        <v>9</v>
      </c>
      <c r="F418" s="38">
        <v>17112910.5</v>
      </c>
      <c r="G418" s="36" t="s">
        <v>8</v>
      </c>
      <c r="H418" s="36" t="s">
        <v>8</v>
      </c>
      <c r="I418" s="36"/>
      <c r="J418" s="36"/>
    </row>
    <row r="419" spans="1:10" x14ac:dyDescent="0.25">
      <c r="A419" s="36">
        <v>1829</v>
      </c>
      <c r="B419" s="37">
        <v>43556</v>
      </c>
      <c r="C419" s="36"/>
      <c r="D419" s="36"/>
      <c r="E419" s="36" t="s">
        <v>9</v>
      </c>
      <c r="F419" s="38">
        <v>17112910.5</v>
      </c>
      <c r="G419" s="36" t="s">
        <v>8</v>
      </c>
      <c r="H419" s="36" t="s">
        <v>8</v>
      </c>
      <c r="I419" s="36"/>
      <c r="J419" s="36"/>
    </row>
    <row r="420" spans="1:10" x14ac:dyDescent="0.25">
      <c r="A420" s="36">
        <v>1829</v>
      </c>
      <c r="B420" s="37">
        <v>43586</v>
      </c>
      <c r="C420" s="36"/>
      <c r="D420" s="36"/>
      <c r="E420" s="36" t="s">
        <v>9</v>
      </c>
      <c r="F420" s="38">
        <v>17112910.5</v>
      </c>
      <c r="G420" s="36" t="s">
        <v>8</v>
      </c>
      <c r="H420" s="36" t="s">
        <v>8</v>
      </c>
      <c r="I420" s="36"/>
      <c r="J420" s="36"/>
    </row>
    <row r="421" spans="1:10" x14ac:dyDescent="0.25">
      <c r="A421" s="36">
        <v>1829</v>
      </c>
      <c r="B421" s="37">
        <v>43617</v>
      </c>
      <c r="C421" s="36"/>
      <c r="D421" s="36"/>
      <c r="E421" s="36" t="s">
        <v>9</v>
      </c>
      <c r="F421" s="38">
        <v>17112910.5</v>
      </c>
      <c r="G421" s="36" t="s">
        <v>8</v>
      </c>
      <c r="H421" s="36" t="s">
        <v>8</v>
      </c>
      <c r="I421" s="36"/>
      <c r="J421" s="36"/>
    </row>
    <row r="422" spans="1:10" x14ac:dyDescent="0.25">
      <c r="A422" s="36">
        <v>1829</v>
      </c>
      <c r="B422" s="37">
        <v>43647</v>
      </c>
      <c r="C422" s="36"/>
      <c r="D422" s="36"/>
      <c r="E422" s="36" t="s">
        <v>9</v>
      </c>
      <c r="F422" s="38">
        <v>17112910.5</v>
      </c>
      <c r="G422" s="36" t="s">
        <v>8</v>
      </c>
      <c r="H422" s="36" t="s">
        <v>8</v>
      </c>
      <c r="I422" s="36"/>
      <c r="J422" s="36"/>
    </row>
    <row r="423" spans="1:10" x14ac:dyDescent="0.25">
      <c r="A423" s="36">
        <v>1829</v>
      </c>
      <c r="B423" s="37">
        <v>43678</v>
      </c>
      <c r="C423" s="36"/>
      <c r="D423" s="36"/>
      <c r="E423" s="36" t="s">
        <v>9</v>
      </c>
      <c r="F423" s="38">
        <v>17112910.5</v>
      </c>
      <c r="G423" s="36" t="s">
        <v>8</v>
      </c>
      <c r="H423" s="36" t="s">
        <v>8</v>
      </c>
      <c r="I423" s="36"/>
      <c r="J423" s="36"/>
    </row>
    <row r="424" spans="1:10" x14ac:dyDescent="0.25">
      <c r="A424" s="36">
        <v>1829</v>
      </c>
      <c r="B424" s="37">
        <v>43709</v>
      </c>
      <c r="C424" s="36"/>
      <c r="D424" s="36"/>
      <c r="E424" s="36" t="s">
        <v>9</v>
      </c>
      <c r="F424" s="38">
        <v>17112910.5</v>
      </c>
      <c r="G424" s="36" t="s">
        <v>8</v>
      </c>
      <c r="H424" s="36" t="s">
        <v>8</v>
      </c>
      <c r="I424" s="36"/>
      <c r="J424" s="36"/>
    </row>
    <row r="425" spans="1:10" x14ac:dyDescent="0.25">
      <c r="A425" s="36">
        <v>1829</v>
      </c>
      <c r="B425" s="37">
        <v>43739</v>
      </c>
      <c r="C425" s="36"/>
      <c r="D425" s="36"/>
      <c r="E425" s="36" t="s">
        <v>9</v>
      </c>
      <c r="F425" s="38">
        <v>17112910.5</v>
      </c>
      <c r="G425" s="36" t="s">
        <v>8</v>
      </c>
      <c r="H425" s="36" t="s">
        <v>8</v>
      </c>
      <c r="I425" s="36"/>
      <c r="J425" s="36"/>
    </row>
    <row r="426" spans="1:10" x14ac:dyDescent="0.25">
      <c r="A426" s="36">
        <v>1829</v>
      </c>
      <c r="B426" s="37">
        <v>43770</v>
      </c>
      <c r="C426" s="36"/>
      <c r="D426" s="36"/>
      <c r="E426" s="36" t="s">
        <v>9</v>
      </c>
      <c r="F426" s="38">
        <v>17112910.5</v>
      </c>
      <c r="G426" s="36" t="s">
        <v>8</v>
      </c>
      <c r="H426" s="36" t="s">
        <v>8</v>
      </c>
      <c r="I426" s="36"/>
      <c r="J426" s="36"/>
    </row>
    <row r="427" spans="1:10" x14ac:dyDescent="0.25">
      <c r="A427" s="36">
        <v>1829</v>
      </c>
      <c r="B427" s="37">
        <v>43800</v>
      </c>
      <c r="C427" s="36"/>
      <c r="D427" s="36"/>
      <c r="E427" s="36" t="s">
        <v>9</v>
      </c>
      <c r="F427" s="38">
        <v>17112910.5</v>
      </c>
      <c r="G427" s="36" t="s">
        <v>8</v>
      </c>
      <c r="H427" s="36" t="s">
        <v>8</v>
      </c>
      <c r="I427" s="36"/>
      <c r="J427" s="36"/>
    </row>
    <row r="428" spans="1:10" x14ac:dyDescent="0.25">
      <c r="A428" s="36">
        <v>1829</v>
      </c>
      <c r="B428" s="37">
        <v>43831</v>
      </c>
      <c r="C428" s="36"/>
      <c r="D428" s="36"/>
      <c r="E428" s="36" t="s">
        <v>9</v>
      </c>
      <c r="F428" s="38">
        <v>17112910.5</v>
      </c>
      <c r="G428" s="36" t="s">
        <v>8</v>
      </c>
      <c r="H428" s="36" t="s">
        <v>8</v>
      </c>
      <c r="I428" s="36"/>
      <c r="J428" s="36"/>
    </row>
    <row r="429" spans="1:10" x14ac:dyDescent="0.25">
      <c r="A429" s="36">
        <v>1829</v>
      </c>
      <c r="B429" s="37">
        <v>43862</v>
      </c>
      <c r="C429" s="36"/>
      <c r="D429" s="36"/>
      <c r="E429" s="36" t="s">
        <v>9</v>
      </c>
      <c r="F429" s="38">
        <v>17112910.5</v>
      </c>
      <c r="G429" s="36" t="s">
        <v>8</v>
      </c>
      <c r="H429" s="36" t="s">
        <v>8</v>
      </c>
      <c r="I429" s="36"/>
      <c r="J429" s="36"/>
    </row>
    <row r="430" spans="1:10" x14ac:dyDescent="0.25">
      <c r="A430" s="36">
        <v>1829</v>
      </c>
      <c r="B430" s="37">
        <v>43891</v>
      </c>
      <c r="C430" s="36"/>
      <c r="D430" s="36"/>
      <c r="E430" s="36" t="s">
        <v>9</v>
      </c>
      <c r="F430" s="38">
        <v>17112910.5</v>
      </c>
      <c r="G430" s="36" t="s">
        <v>8</v>
      </c>
      <c r="H430" s="36" t="s">
        <v>8</v>
      </c>
      <c r="I430" s="36"/>
      <c r="J430" s="36"/>
    </row>
    <row r="431" spans="1:10" x14ac:dyDescent="0.25">
      <c r="A431" s="36">
        <v>1829</v>
      </c>
      <c r="B431" s="37">
        <v>43922</v>
      </c>
      <c r="C431" s="36"/>
      <c r="D431" s="36"/>
      <c r="E431" s="36" t="s">
        <v>9</v>
      </c>
      <c r="F431" s="38">
        <v>17112910.5</v>
      </c>
      <c r="G431" s="36" t="s">
        <v>8</v>
      </c>
      <c r="H431" s="36" t="s">
        <v>8</v>
      </c>
      <c r="I431" s="36"/>
      <c r="J431" s="36"/>
    </row>
    <row r="432" spans="1:10" x14ac:dyDescent="0.25">
      <c r="A432" s="36">
        <v>1829</v>
      </c>
      <c r="B432" s="37">
        <v>43952</v>
      </c>
      <c r="C432" s="36"/>
      <c r="D432" s="36"/>
      <c r="E432" s="36" t="s">
        <v>9</v>
      </c>
      <c r="F432" s="38">
        <v>17112910.5</v>
      </c>
      <c r="G432" s="36" t="s">
        <v>8</v>
      </c>
      <c r="H432" s="36" t="s">
        <v>8</v>
      </c>
      <c r="I432" s="36"/>
      <c r="J432" s="36"/>
    </row>
    <row r="433" spans="1:10" x14ac:dyDescent="0.25">
      <c r="A433" s="36">
        <v>1829</v>
      </c>
      <c r="B433" s="37">
        <v>43983</v>
      </c>
      <c r="C433" s="36"/>
      <c r="D433" s="36"/>
      <c r="E433" s="36" t="s">
        <v>9</v>
      </c>
      <c r="F433" s="38">
        <v>17112910.5</v>
      </c>
      <c r="G433" s="36" t="s">
        <v>8</v>
      </c>
      <c r="H433" s="36" t="s">
        <v>8</v>
      </c>
      <c r="I433" s="36"/>
      <c r="J433" s="36"/>
    </row>
    <row r="434" spans="1:10" x14ac:dyDescent="0.25">
      <c r="A434" s="36">
        <v>1829</v>
      </c>
      <c r="B434" s="37">
        <v>43466</v>
      </c>
      <c r="C434" s="36"/>
      <c r="D434" s="36"/>
      <c r="E434" s="36" t="s">
        <v>35</v>
      </c>
      <c r="F434" s="38">
        <v>5821058.25</v>
      </c>
      <c r="G434" s="36" t="s">
        <v>8</v>
      </c>
      <c r="H434" s="36" t="s">
        <v>8</v>
      </c>
      <c r="I434" s="36"/>
      <c r="J434" s="36"/>
    </row>
    <row r="435" spans="1:10" x14ac:dyDescent="0.25">
      <c r="A435" s="36">
        <v>1829</v>
      </c>
      <c r="B435" s="37">
        <v>43497</v>
      </c>
      <c r="C435" s="36"/>
      <c r="D435" s="36"/>
      <c r="E435" s="36" t="s">
        <v>35</v>
      </c>
      <c r="F435" s="38">
        <v>5821058.25</v>
      </c>
      <c r="G435" s="36" t="s">
        <v>8</v>
      </c>
      <c r="H435" s="36" t="s">
        <v>8</v>
      </c>
      <c r="I435" s="36"/>
      <c r="J435" s="36"/>
    </row>
    <row r="436" spans="1:10" x14ac:dyDescent="0.25">
      <c r="A436" s="36">
        <v>1829</v>
      </c>
      <c r="B436" s="37">
        <v>43525</v>
      </c>
      <c r="C436" s="36"/>
      <c r="D436" s="36"/>
      <c r="E436" s="36" t="s">
        <v>35</v>
      </c>
      <c r="F436" s="38">
        <v>5821058.25</v>
      </c>
      <c r="G436" s="36" t="s">
        <v>8</v>
      </c>
      <c r="H436" s="36" t="s">
        <v>8</v>
      </c>
      <c r="I436" s="36"/>
      <c r="J436" s="36"/>
    </row>
    <row r="437" spans="1:10" x14ac:dyDescent="0.25">
      <c r="A437" s="36">
        <v>1829</v>
      </c>
      <c r="B437" s="37">
        <v>43556</v>
      </c>
      <c r="C437" s="36"/>
      <c r="D437" s="36"/>
      <c r="E437" s="36" t="s">
        <v>35</v>
      </c>
      <c r="F437" s="38">
        <v>5821058.25</v>
      </c>
      <c r="G437" s="36" t="s">
        <v>8</v>
      </c>
      <c r="H437" s="36" t="s">
        <v>8</v>
      </c>
      <c r="I437" s="36"/>
      <c r="J437" s="36"/>
    </row>
    <row r="438" spans="1:10" x14ac:dyDescent="0.25">
      <c r="A438" s="36">
        <v>1829</v>
      </c>
      <c r="B438" s="37">
        <v>43586</v>
      </c>
      <c r="C438" s="36"/>
      <c r="D438" s="36"/>
      <c r="E438" s="36" t="s">
        <v>35</v>
      </c>
      <c r="F438" s="38">
        <v>5821058.25</v>
      </c>
      <c r="G438" s="36" t="s">
        <v>8</v>
      </c>
      <c r="H438" s="36" t="s">
        <v>8</v>
      </c>
      <c r="I438" s="36"/>
      <c r="J438" s="36"/>
    </row>
    <row r="439" spans="1:10" x14ac:dyDescent="0.25">
      <c r="A439" s="36">
        <v>1829</v>
      </c>
      <c r="B439" s="37">
        <v>43617</v>
      </c>
      <c r="C439" s="36"/>
      <c r="D439" s="36"/>
      <c r="E439" s="36" t="s">
        <v>35</v>
      </c>
      <c r="F439" s="38">
        <v>5821058.25</v>
      </c>
      <c r="G439" s="36" t="s">
        <v>8</v>
      </c>
      <c r="H439" s="36" t="s">
        <v>8</v>
      </c>
      <c r="I439" s="36"/>
      <c r="J439" s="36"/>
    </row>
    <row r="440" spans="1:10" x14ac:dyDescent="0.25">
      <c r="A440" s="36">
        <v>1829</v>
      </c>
      <c r="B440" s="37">
        <v>43647</v>
      </c>
      <c r="C440" s="36"/>
      <c r="D440" s="36"/>
      <c r="E440" s="36" t="s">
        <v>35</v>
      </c>
      <c r="F440" s="38">
        <v>5821058.25</v>
      </c>
      <c r="G440" s="36" t="s">
        <v>8</v>
      </c>
      <c r="H440" s="36" t="s">
        <v>8</v>
      </c>
      <c r="I440" s="36"/>
      <c r="J440" s="36"/>
    </row>
    <row r="441" spans="1:10" x14ac:dyDescent="0.25">
      <c r="A441" s="36">
        <v>1829</v>
      </c>
      <c r="B441" s="37">
        <v>43678</v>
      </c>
      <c r="C441" s="36"/>
      <c r="D441" s="36"/>
      <c r="E441" s="36" t="s">
        <v>35</v>
      </c>
      <c r="F441" s="38">
        <v>5821058.25</v>
      </c>
      <c r="G441" s="36" t="s">
        <v>8</v>
      </c>
      <c r="H441" s="36" t="s">
        <v>8</v>
      </c>
      <c r="I441" s="36"/>
      <c r="J441" s="36"/>
    </row>
    <row r="442" spans="1:10" x14ac:dyDescent="0.25">
      <c r="A442" s="36">
        <v>1829</v>
      </c>
      <c r="B442" s="37">
        <v>43709</v>
      </c>
      <c r="C442" s="36"/>
      <c r="D442" s="36"/>
      <c r="E442" s="36" t="s">
        <v>35</v>
      </c>
      <c r="F442" s="38">
        <v>5821058.25</v>
      </c>
      <c r="G442" s="36" t="s">
        <v>8</v>
      </c>
      <c r="H442" s="36" t="s">
        <v>8</v>
      </c>
      <c r="I442" s="36"/>
      <c r="J442" s="36"/>
    </row>
    <row r="443" spans="1:10" x14ac:dyDescent="0.25">
      <c r="A443" s="36">
        <v>1829</v>
      </c>
      <c r="B443" s="37">
        <v>43739</v>
      </c>
      <c r="C443" s="36"/>
      <c r="D443" s="36"/>
      <c r="E443" s="36" t="s">
        <v>35</v>
      </c>
      <c r="F443" s="38">
        <v>5821058.25</v>
      </c>
      <c r="G443" s="36" t="s">
        <v>8</v>
      </c>
      <c r="H443" s="36" t="s">
        <v>8</v>
      </c>
      <c r="I443" s="36"/>
      <c r="J443" s="36"/>
    </row>
    <row r="444" spans="1:10" x14ac:dyDescent="0.25">
      <c r="A444" s="36">
        <v>1829</v>
      </c>
      <c r="B444" s="37">
        <v>43770</v>
      </c>
      <c r="C444" s="36"/>
      <c r="D444" s="36"/>
      <c r="E444" s="36" t="s">
        <v>35</v>
      </c>
      <c r="F444" s="38">
        <v>5821058.25</v>
      </c>
      <c r="G444" s="36" t="s">
        <v>8</v>
      </c>
      <c r="H444" s="36" t="s">
        <v>8</v>
      </c>
      <c r="I444" s="36"/>
      <c r="J444" s="36"/>
    </row>
    <row r="445" spans="1:10" x14ac:dyDescent="0.25">
      <c r="A445" s="36">
        <v>1829</v>
      </c>
      <c r="B445" s="37">
        <v>43800</v>
      </c>
      <c r="C445" s="36"/>
      <c r="D445" s="36"/>
      <c r="E445" s="36" t="s">
        <v>35</v>
      </c>
      <c r="F445" s="38">
        <v>5821058.25</v>
      </c>
      <c r="G445" s="36" t="s">
        <v>8</v>
      </c>
      <c r="H445" s="36" t="s">
        <v>8</v>
      </c>
      <c r="I445" s="36"/>
      <c r="J445" s="36"/>
    </row>
    <row r="446" spans="1:10" x14ac:dyDescent="0.25">
      <c r="A446" s="36">
        <v>1829</v>
      </c>
      <c r="B446" s="37">
        <v>43466</v>
      </c>
      <c r="C446" s="36"/>
      <c r="D446" s="36"/>
      <c r="E446" s="36" t="s">
        <v>36</v>
      </c>
      <c r="F446" s="38">
        <v>4154801.1749999998</v>
      </c>
      <c r="G446" s="36" t="s">
        <v>8</v>
      </c>
      <c r="H446" s="36" t="s">
        <v>8</v>
      </c>
      <c r="I446" s="36"/>
      <c r="J446" s="36"/>
    </row>
    <row r="447" spans="1:10" x14ac:dyDescent="0.25">
      <c r="A447" s="36">
        <v>1829</v>
      </c>
      <c r="B447" s="37">
        <v>43497</v>
      </c>
      <c r="C447" s="36"/>
      <c r="D447" s="36"/>
      <c r="E447" s="36" t="s">
        <v>36</v>
      </c>
      <c r="F447" s="38">
        <v>4154801.1749999998</v>
      </c>
      <c r="G447" s="36" t="s">
        <v>8</v>
      </c>
      <c r="H447" s="36" t="s">
        <v>8</v>
      </c>
      <c r="I447" s="36"/>
      <c r="J447" s="36"/>
    </row>
    <row r="448" spans="1:10" x14ac:dyDescent="0.25">
      <c r="A448" s="36">
        <v>1829</v>
      </c>
      <c r="B448" s="37">
        <v>43525</v>
      </c>
      <c r="C448" s="36"/>
      <c r="D448" s="36"/>
      <c r="E448" s="36" t="s">
        <v>36</v>
      </c>
      <c r="F448" s="38">
        <v>4154801.1749999998</v>
      </c>
      <c r="G448" s="36" t="s">
        <v>8</v>
      </c>
      <c r="H448" s="36" t="s">
        <v>8</v>
      </c>
      <c r="I448" s="36"/>
      <c r="J448" s="36"/>
    </row>
    <row r="449" spans="1:10" x14ac:dyDescent="0.25">
      <c r="A449" s="36">
        <v>1829</v>
      </c>
      <c r="B449" s="37">
        <v>43556</v>
      </c>
      <c r="C449" s="36"/>
      <c r="D449" s="36"/>
      <c r="E449" s="36" t="s">
        <v>36</v>
      </c>
      <c r="F449" s="38">
        <v>4154801.1749999998</v>
      </c>
      <c r="G449" s="36" t="s">
        <v>8</v>
      </c>
      <c r="H449" s="36" t="s">
        <v>8</v>
      </c>
      <c r="I449" s="36"/>
      <c r="J449" s="36"/>
    </row>
    <row r="450" spans="1:10" x14ac:dyDescent="0.25">
      <c r="A450" s="36">
        <v>1829</v>
      </c>
      <c r="B450" s="37">
        <v>43586</v>
      </c>
      <c r="C450" s="36"/>
      <c r="D450" s="36"/>
      <c r="E450" s="36" t="s">
        <v>36</v>
      </c>
      <c r="F450" s="38">
        <v>4154801.1749999998</v>
      </c>
      <c r="G450" s="36" t="s">
        <v>8</v>
      </c>
      <c r="H450" s="36" t="s">
        <v>8</v>
      </c>
      <c r="I450" s="36"/>
      <c r="J450" s="36"/>
    </row>
    <row r="451" spans="1:10" x14ac:dyDescent="0.25">
      <c r="A451" s="36">
        <v>1829</v>
      </c>
      <c r="B451" s="37">
        <v>43617</v>
      </c>
      <c r="C451" s="36"/>
      <c r="D451" s="36"/>
      <c r="E451" s="36" t="s">
        <v>36</v>
      </c>
      <c r="F451" s="38">
        <v>4154801.1749999998</v>
      </c>
      <c r="G451" s="36" t="s">
        <v>8</v>
      </c>
      <c r="H451" s="36" t="s">
        <v>8</v>
      </c>
      <c r="I451" s="36"/>
      <c r="J451" s="36"/>
    </row>
    <row r="452" spans="1:10" x14ac:dyDescent="0.25">
      <c r="A452" s="36">
        <v>1829</v>
      </c>
      <c r="B452" s="37">
        <v>43647</v>
      </c>
      <c r="C452" s="36"/>
      <c r="D452" s="36"/>
      <c r="E452" s="36" t="s">
        <v>36</v>
      </c>
      <c r="F452" s="38">
        <v>4154801.1749999998</v>
      </c>
      <c r="G452" s="36" t="s">
        <v>8</v>
      </c>
      <c r="H452" s="36" t="s">
        <v>8</v>
      </c>
      <c r="I452" s="36"/>
      <c r="J452" s="36"/>
    </row>
    <row r="453" spans="1:10" x14ac:dyDescent="0.25">
      <c r="A453" s="36">
        <v>1829</v>
      </c>
      <c r="B453" s="37">
        <v>43678</v>
      </c>
      <c r="C453" s="36"/>
      <c r="D453" s="36"/>
      <c r="E453" s="36" t="s">
        <v>36</v>
      </c>
      <c r="F453" s="38">
        <v>4154801.1749999998</v>
      </c>
      <c r="G453" s="36" t="s">
        <v>8</v>
      </c>
      <c r="H453" s="36" t="s">
        <v>8</v>
      </c>
      <c r="I453" s="36"/>
      <c r="J453" s="36"/>
    </row>
    <row r="454" spans="1:10" x14ac:dyDescent="0.25">
      <c r="A454" s="36">
        <v>1829</v>
      </c>
      <c r="B454" s="37">
        <v>43709</v>
      </c>
      <c r="C454" s="36"/>
      <c r="D454" s="36"/>
      <c r="E454" s="36" t="s">
        <v>36</v>
      </c>
      <c r="F454" s="38">
        <v>4154801.1749999998</v>
      </c>
      <c r="G454" s="36" t="s">
        <v>8</v>
      </c>
      <c r="H454" s="36" t="s">
        <v>8</v>
      </c>
      <c r="I454" s="36"/>
      <c r="J454" s="36"/>
    </row>
    <row r="455" spans="1:10" x14ac:dyDescent="0.25">
      <c r="A455" s="36">
        <v>1829</v>
      </c>
      <c r="B455" s="37">
        <v>43739</v>
      </c>
      <c r="C455" s="36"/>
      <c r="D455" s="36"/>
      <c r="E455" s="36" t="s">
        <v>36</v>
      </c>
      <c r="F455" s="38">
        <v>4154801.1749999998</v>
      </c>
      <c r="G455" s="36" t="s">
        <v>8</v>
      </c>
      <c r="H455" s="36" t="s">
        <v>8</v>
      </c>
      <c r="I455" s="36"/>
      <c r="J455" s="36"/>
    </row>
    <row r="456" spans="1:10" x14ac:dyDescent="0.25">
      <c r="A456" s="36">
        <v>1829</v>
      </c>
      <c r="B456" s="37">
        <v>43770</v>
      </c>
      <c r="C456" s="36"/>
      <c r="D456" s="36"/>
      <c r="E456" s="36" t="s">
        <v>36</v>
      </c>
      <c r="F456" s="38">
        <v>4154801.1749999998</v>
      </c>
      <c r="G456" s="36" t="s">
        <v>8</v>
      </c>
      <c r="H456" s="36" t="s">
        <v>8</v>
      </c>
      <c r="I456" s="36"/>
      <c r="J456" s="36"/>
    </row>
    <row r="457" spans="1:10" x14ac:dyDescent="0.25">
      <c r="A457" s="36">
        <v>1829</v>
      </c>
      <c r="B457" s="37">
        <v>43800</v>
      </c>
      <c r="C457" s="36"/>
      <c r="D457" s="36"/>
      <c r="E457" s="36" t="s">
        <v>36</v>
      </c>
      <c r="F457" s="38">
        <v>4154801.1749999998</v>
      </c>
      <c r="G457" s="36" t="s">
        <v>8</v>
      </c>
      <c r="H457" s="36" t="s">
        <v>8</v>
      </c>
      <c r="I457" s="36"/>
      <c r="J457" s="36"/>
    </row>
    <row r="458" spans="1:10" x14ac:dyDescent="0.25">
      <c r="A458" s="36">
        <v>1829</v>
      </c>
      <c r="B458" s="37">
        <v>43831</v>
      </c>
      <c r="C458" s="36"/>
      <c r="D458" s="36"/>
      <c r="E458" s="36" t="s">
        <v>36</v>
      </c>
      <c r="F458" s="38">
        <v>4154801.1749999998</v>
      </c>
      <c r="G458" s="36" t="s">
        <v>8</v>
      </c>
      <c r="H458" s="36" t="s">
        <v>8</v>
      </c>
      <c r="I458" s="36"/>
      <c r="J458" s="36"/>
    </row>
    <row r="459" spans="1:10" x14ac:dyDescent="0.25">
      <c r="A459" s="36">
        <v>1829</v>
      </c>
      <c r="B459" s="37">
        <v>43862</v>
      </c>
      <c r="C459" s="36"/>
      <c r="D459" s="36"/>
      <c r="E459" s="36" t="s">
        <v>36</v>
      </c>
      <c r="F459" s="38">
        <v>4154801.1749999998</v>
      </c>
      <c r="G459" s="36" t="s">
        <v>8</v>
      </c>
      <c r="H459" s="36" t="s">
        <v>8</v>
      </c>
      <c r="I459" s="36"/>
      <c r="J459" s="36"/>
    </row>
    <row r="460" spans="1:10" x14ac:dyDescent="0.25">
      <c r="A460" s="36">
        <v>1829</v>
      </c>
      <c r="B460" s="37">
        <v>43466</v>
      </c>
      <c r="C460" s="36"/>
      <c r="D460" s="36"/>
      <c r="E460" s="36" t="s">
        <v>37</v>
      </c>
      <c r="F460" s="38">
        <v>1667925</v>
      </c>
      <c r="G460" s="36" t="s">
        <v>8</v>
      </c>
      <c r="H460" s="36" t="s">
        <v>8</v>
      </c>
      <c r="I460" s="36"/>
      <c r="J460" s="36"/>
    </row>
    <row r="461" spans="1:10" x14ac:dyDescent="0.25">
      <c r="A461" s="36">
        <v>1829</v>
      </c>
      <c r="B461" s="37">
        <v>43497</v>
      </c>
      <c r="C461" s="36"/>
      <c r="D461" s="36"/>
      <c r="E461" s="36" t="s">
        <v>37</v>
      </c>
      <c r="F461" s="38">
        <v>1667925</v>
      </c>
      <c r="G461" s="36" t="s">
        <v>8</v>
      </c>
      <c r="H461" s="36" t="s">
        <v>8</v>
      </c>
      <c r="I461" s="36"/>
      <c r="J461" s="36"/>
    </row>
    <row r="462" spans="1:10" x14ac:dyDescent="0.25">
      <c r="A462" s="36">
        <v>1829</v>
      </c>
      <c r="B462" s="37">
        <v>43525</v>
      </c>
      <c r="C462" s="36"/>
      <c r="D462" s="36"/>
      <c r="E462" s="36" t="s">
        <v>37</v>
      </c>
      <c r="F462" s="38">
        <v>1667925</v>
      </c>
      <c r="G462" s="36" t="s">
        <v>8</v>
      </c>
      <c r="H462" s="36" t="s">
        <v>8</v>
      </c>
      <c r="I462" s="36"/>
      <c r="J462" s="36"/>
    </row>
    <row r="463" spans="1:10" x14ac:dyDescent="0.25">
      <c r="A463" s="36">
        <v>1829</v>
      </c>
      <c r="B463" s="37">
        <v>43556</v>
      </c>
      <c r="C463" s="36"/>
      <c r="D463" s="36"/>
      <c r="E463" s="36" t="s">
        <v>37</v>
      </c>
      <c r="F463" s="38">
        <v>1667925</v>
      </c>
      <c r="G463" s="36" t="s">
        <v>8</v>
      </c>
      <c r="H463" s="36" t="s">
        <v>8</v>
      </c>
      <c r="I463" s="36"/>
      <c r="J463" s="36"/>
    </row>
    <row r="464" spans="1:10" x14ac:dyDescent="0.25">
      <c r="A464" s="36">
        <v>1829</v>
      </c>
      <c r="B464" s="37">
        <v>43586</v>
      </c>
      <c r="C464" s="36"/>
      <c r="D464" s="36"/>
      <c r="E464" s="36" t="s">
        <v>37</v>
      </c>
      <c r="F464" s="38">
        <v>1667925</v>
      </c>
      <c r="G464" s="36" t="s">
        <v>8</v>
      </c>
      <c r="H464" s="36" t="s">
        <v>8</v>
      </c>
      <c r="I464" s="36"/>
      <c r="J464" s="36"/>
    </row>
    <row r="465" spans="1:10" x14ac:dyDescent="0.25">
      <c r="A465" s="36">
        <v>1829</v>
      </c>
      <c r="B465" s="37">
        <v>43617</v>
      </c>
      <c r="C465" s="36"/>
      <c r="D465" s="36"/>
      <c r="E465" s="36" t="s">
        <v>37</v>
      </c>
      <c r="F465" s="38">
        <v>1667925</v>
      </c>
      <c r="G465" s="36" t="s">
        <v>8</v>
      </c>
      <c r="H465" s="36" t="s">
        <v>8</v>
      </c>
      <c r="I465" s="36"/>
      <c r="J465" s="36"/>
    </row>
    <row r="466" spans="1:10" x14ac:dyDescent="0.25">
      <c r="A466" s="36">
        <v>1829</v>
      </c>
      <c r="B466" s="37">
        <v>43647</v>
      </c>
      <c r="C466" s="36"/>
      <c r="D466" s="36"/>
      <c r="E466" s="36" t="s">
        <v>37</v>
      </c>
      <c r="F466" s="38">
        <v>1667925</v>
      </c>
      <c r="G466" s="36" t="s">
        <v>8</v>
      </c>
      <c r="H466" s="36" t="s">
        <v>8</v>
      </c>
      <c r="I466" s="36"/>
      <c r="J466" s="36"/>
    </row>
    <row r="467" spans="1:10" x14ac:dyDescent="0.25">
      <c r="A467" s="36">
        <v>1829</v>
      </c>
      <c r="B467" s="37">
        <v>43678</v>
      </c>
      <c r="C467" s="36"/>
      <c r="D467" s="36"/>
      <c r="E467" s="36" t="s">
        <v>37</v>
      </c>
      <c r="F467" s="38">
        <v>1667925</v>
      </c>
      <c r="G467" s="36" t="s">
        <v>8</v>
      </c>
      <c r="H467" s="36" t="s">
        <v>8</v>
      </c>
      <c r="I467" s="36"/>
      <c r="J467" s="36"/>
    </row>
    <row r="468" spans="1:10" x14ac:dyDescent="0.25">
      <c r="A468" s="36">
        <v>1829</v>
      </c>
      <c r="B468" s="37">
        <v>43709</v>
      </c>
      <c r="C468" s="36"/>
      <c r="D468" s="36"/>
      <c r="E468" s="36" t="s">
        <v>37</v>
      </c>
      <c r="F468" s="38">
        <v>1667925</v>
      </c>
      <c r="G468" s="36" t="s">
        <v>8</v>
      </c>
      <c r="H468" s="36" t="s">
        <v>8</v>
      </c>
      <c r="I468" s="36"/>
      <c r="J468" s="36"/>
    </row>
    <row r="469" spans="1:10" x14ac:dyDescent="0.25">
      <c r="A469" s="36">
        <v>1829</v>
      </c>
      <c r="B469" s="37">
        <v>43739</v>
      </c>
      <c r="C469" s="36"/>
      <c r="D469" s="36"/>
      <c r="E469" s="36" t="s">
        <v>37</v>
      </c>
      <c r="F469" s="38">
        <v>1667925</v>
      </c>
      <c r="G469" s="36" t="s">
        <v>8</v>
      </c>
      <c r="H469" s="36" t="s">
        <v>8</v>
      </c>
      <c r="I469" s="36"/>
      <c r="J469" s="36"/>
    </row>
    <row r="470" spans="1:10" x14ac:dyDescent="0.25">
      <c r="A470" s="36">
        <v>1829</v>
      </c>
      <c r="B470" s="37">
        <v>43770</v>
      </c>
      <c r="C470" s="36"/>
      <c r="D470" s="36"/>
      <c r="E470" s="36" t="s">
        <v>37</v>
      </c>
      <c r="F470" s="38">
        <v>1667925</v>
      </c>
      <c r="G470" s="36" t="s">
        <v>8</v>
      </c>
      <c r="H470" s="36" t="s">
        <v>8</v>
      </c>
      <c r="I470" s="36"/>
      <c r="J470" s="36"/>
    </row>
    <row r="471" spans="1:10" x14ac:dyDescent="0.25">
      <c r="A471" s="36">
        <v>1829</v>
      </c>
      <c r="B471" s="37">
        <v>43800</v>
      </c>
      <c r="C471" s="36"/>
      <c r="D471" s="36"/>
      <c r="E471" s="36" t="s">
        <v>37</v>
      </c>
      <c r="F471" s="38">
        <v>1667925</v>
      </c>
      <c r="G471" s="36" t="s">
        <v>8</v>
      </c>
      <c r="H471" s="36" t="s">
        <v>8</v>
      </c>
      <c r="I471" s="36"/>
      <c r="J471" s="36"/>
    </row>
    <row r="472" spans="1:10" x14ac:dyDescent="0.25">
      <c r="A472" s="36">
        <v>1829</v>
      </c>
      <c r="B472" s="37">
        <v>43831</v>
      </c>
      <c r="C472" s="36"/>
      <c r="D472" s="36"/>
      <c r="E472" s="36" t="s">
        <v>37</v>
      </c>
      <c r="F472" s="38">
        <v>1667925</v>
      </c>
      <c r="G472" s="36" t="s">
        <v>8</v>
      </c>
      <c r="H472" s="36" t="s">
        <v>8</v>
      </c>
      <c r="I472" s="36"/>
      <c r="J472" s="36"/>
    </row>
    <row r="473" spans="1:10" x14ac:dyDescent="0.25">
      <c r="A473" s="36">
        <v>1829</v>
      </c>
      <c r="B473" s="37">
        <v>43862</v>
      </c>
      <c r="C473" s="36"/>
      <c r="D473" s="36"/>
      <c r="E473" s="36" t="s">
        <v>37</v>
      </c>
      <c r="F473" s="38">
        <v>1667925</v>
      </c>
      <c r="G473" s="36" t="s">
        <v>8</v>
      </c>
      <c r="H473" s="36" t="s">
        <v>8</v>
      </c>
      <c r="I473" s="36"/>
      <c r="J473" s="36"/>
    </row>
    <row r="474" spans="1:10" x14ac:dyDescent="0.25">
      <c r="A474" s="36">
        <v>1829</v>
      </c>
      <c r="B474" s="37">
        <v>43891</v>
      </c>
      <c r="C474" s="36"/>
      <c r="D474" s="36"/>
      <c r="E474" s="36" t="s">
        <v>37</v>
      </c>
      <c r="F474" s="38">
        <v>1667925</v>
      </c>
      <c r="G474" s="36" t="s">
        <v>8</v>
      </c>
      <c r="H474" s="36" t="s">
        <v>8</v>
      </c>
      <c r="I474" s="36"/>
      <c r="J474" s="36"/>
    </row>
    <row r="475" spans="1:10" x14ac:dyDescent="0.25">
      <c r="A475" s="36">
        <v>1829</v>
      </c>
      <c r="B475" s="37">
        <v>43922</v>
      </c>
      <c r="C475" s="36"/>
      <c r="D475" s="36"/>
      <c r="E475" s="36" t="s">
        <v>37</v>
      </c>
      <c r="F475" s="38">
        <v>1667925</v>
      </c>
      <c r="G475" s="36" t="s">
        <v>8</v>
      </c>
      <c r="H475" s="36" t="s">
        <v>8</v>
      </c>
      <c r="I475" s="36"/>
      <c r="J475" s="36"/>
    </row>
    <row r="476" spans="1:10" x14ac:dyDescent="0.25">
      <c r="A476" s="36">
        <v>1829</v>
      </c>
      <c r="B476" s="37">
        <v>43466</v>
      </c>
      <c r="C476" s="36"/>
      <c r="D476" s="36"/>
      <c r="E476" s="36" t="s">
        <v>23</v>
      </c>
      <c r="F476" s="38">
        <v>3886265.25</v>
      </c>
      <c r="G476" s="36" t="s">
        <v>8</v>
      </c>
      <c r="H476" s="36" t="s">
        <v>8</v>
      </c>
      <c r="I476" s="36"/>
      <c r="J476" s="36"/>
    </row>
    <row r="477" spans="1:10" x14ac:dyDescent="0.25">
      <c r="A477" s="36">
        <v>1829</v>
      </c>
      <c r="B477" s="37">
        <v>43497</v>
      </c>
      <c r="C477" s="36"/>
      <c r="D477" s="36"/>
      <c r="E477" s="36" t="s">
        <v>23</v>
      </c>
      <c r="F477" s="38">
        <v>3886265.25</v>
      </c>
      <c r="G477" s="36" t="s">
        <v>8</v>
      </c>
      <c r="H477" s="36" t="s">
        <v>8</v>
      </c>
      <c r="I477" s="36"/>
      <c r="J477" s="36"/>
    </row>
    <row r="478" spans="1:10" x14ac:dyDescent="0.25">
      <c r="A478" s="36">
        <v>1829</v>
      </c>
      <c r="B478" s="37">
        <v>43525</v>
      </c>
      <c r="C478" s="36"/>
      <c r="D478" s="36"/>
      <c r="E478" s="36" t="s">
        <v>23</v>
      </c>
      <c r="F478" s="38">
        <v>3886265.25</v>
      </c>
      <c r="G478" s="36" t="s">
        <v>8</v>
      </c>
      <c r="H478" s="36" t="s">
        <v>8</v>
      </c>
      <c r="I478" s="36"/>
      <c r="J478" s="36"/>
    </row>
    <row r="479" spans="1:10" x14ac:dyDescent="0.25">
      <c r="A479" s="36">
        <v>1829</v>
      </c>
      <c r="B479" s="37">
        <v>43556</v>
      </c>
      <c r="C479" s="36"/>
      <c r="D479" s="36"/>
      <c r="E479" s="36" t="s">
        <v>23</v>
      </c>
      <c r="F479" s="38">
        <v>3886265.25</v>
      </c>
      <c r="G479" s="36" t="s">
        <v>8</v>
      </c>
      <c r="H479" s="36" t="s">
        <v>8</v>
      </c>
      <c r="I479" s="36"/>
      <c r="J479" s="36"/>
    </row>
    <row r="480" spans="1:10" x14ac:dyDescent="0.25">
      <c r="A480" s="36">
        <v>1829</v>
      </c>
      <c r="B480" s="37">
        <v>43586</v>
      </c>
      <c r="C480" s="36"/>
      <c r="D480" s="36"/>
      <c r="E480" s="36" t="s">
        <v>23</v>
      </c>
      <c r="F480" s="38">
        <v>3886265.25</v>
      </c>
      <c r="G480" s="36" t="s">
        <v>8</v>
      </c>
      <c r="H480" s="36" t="s">
        <v>8</v>
      </c>
      <c r="I480" s="36"/>
      <c r="J480" s="36"/>
    </row>
    <row r="481" spans="1:10" x14ac:dyDescent="0.25">
      <c r="A481" s="36">
        <v>1829</v>
      </c>
      <c r="B481" s="37">
        <v>43617</v>
      </c>
      <c r="C481" s="36"/>
      <c r="D481" s="36"/>
      <c r="E481" s="36" t="s">
        <v>23</v>
      </c>
      <c r="F481" s="38">
        <v>3886265.25</v>
      </c>
      <c r="G481" s="36" t="s">
        <v>8</v>
      </c>
      <c r="H481" s="36" t="s">
        <v>8</v>
      </c>
      <c r="I481" s="36"/>
      <c r="J481" s="36"/>
    </row>
    <row r="482" spans="1:10" x14ac:dyDescent="0.25">
      <c r="A482" s="36">
        <v>1829</v>
      </c>
      <c r="B482" s="37">
        <v>43647</v>
      </c>
      <c r="C482" s="36"/>
      <c r="D482" s="36"/>
      <c r="E482" s="36" t="s">
        <v>23</v>
      </c>
      <c r="F482" s="38">
        <v>3886265.25</v>
      </c>
      <c r="G482" s="36" t="s">
        <v>8</v>
      </c>
      <c r="H482" s="36" t="s">
        <v>8</v>
      </c>
      <c r="I482" s="36"/>
      <c r="J482" s="36"/>
    </row>
    <row r="483" spans="1:10" x14ac:dyDescent="0.25">
      <c r="A483" s="36">
        <v>1829</v>
      </c>
      <c r="B483" s="37">
        <v>43678</v>
      </c>
      <c r="C483" s="36"/>
      <c r="D483" s="36"/>
      <c r="E483" s="36" t="s">
        <v>23</v>
      </c>
      <c r="F483" s="38">
        <v>3886265.25</v>
      </c>
      <c r="G483" s="36" t="s">
        <v>8</v>
      </c>
      <c r="H483" s="36" t="s">
        <v>8</v>
      </c>
      <c r="I483" s="36"/>
      <c r="J483" s="36"/>
    </row>
    <row r="484" spans="1:10" x14ac:dyDescent="0.25">
      <c r="A484" s="36">
        <v>1829</v>
      </c>
      <c r="B484" s="37">
        <v>43709</v>
      </c>
      <c r="C484" s="36"/>
      <c r="D484" s="36"/>
      <c r="E484" s="36" t="s">
        <v>23</v>
      </c>
      <c r="F484" s="38">
        <v>3886265.25</v>
      </c>
      <c r="G484" s="36" t="s">
        <v>8</v>
      </c>
      <c r="H484" s="36" t="s">
        <v>8</v>
      </c>
      <c r="I484" s="36"/>
      <c r="J484" s="36"/>
    </row>
    <row r="485" spans="1:10" x14ac:dyDescent="0.25">
      <c r="A485" s="36">
        <v>1829</v>
      </c>
      <c r="B485" s="37">
        <v>43739</v>
      </c>
      <c r="C485" s="36"/>
      <c r="D485" s="36"/>
      <c r="E485" s="36" t="s">
        <v>23</v>
      </c>
      <c r="F485" s="38">
        <v>3886265.25</v>
      </c>
      <c r="G485" s="36" t="s">
        <v>8</v>
      </c>
      <c r="H485" s="36" t="s">
        <v>8</v>
      </c>
      <c r="I485" s="36"/>
      <c r="J485" s="36"/>
    </row>
    <row r="486" spans="1:10" x14ac:dyDescent="0.25">
      <c r="A486" s="36">
        <v>1829</v>
      </c>
      <c r="B486" s="37">
        <v>43770</v>
      </c>
      <c r="C486" s="36"/>
      <c r="D486" s="36"/>
      <c r="E486" s="36" t="s">
        <v>23</v>
      </c>
      <c r="F486" s="38">
        <v>3886265.25</v>
      </c>
      <c r="G486" s="36" t="s">
        <v>8</v>
      </c>
      <c r="H486" s="36" t="s">
        <v>8</v>
      </c>
      <c r="I486" s="36"/>
      <c r="J486" s="36"/>
    </row>
    <row r="487" spans="1:10" x14ac:dyDescent="0.25">
      <c r="A487" s="36">
        <v>1829</v>
      </c>
      <c r="B487" s="37">
        <v>43800</v>
      </c>
      <c r="C487" s="36"/>
      <c r="D487" s="36"/>
      <c r="E487" s="36" t="s">
        <v>23</v>
      </c>
      <c r="F487" s="38">
        <v>3886265.25</v>
      </c>
      <c r="G487" s="36" t="s">
        <v>8</v>
      </c>
      <c r="H487" s="36" t="s">
        <v>8</v>
      </c>
      <c r="I487" s="36"/>
      <c r="J487" s="36"/>
    </row>
    <row r="488" spans="1:10" x14ac:dyDescent="0.25">
      <c r="A488" s="36">
        <v>1829</v>
      </c>
      <c r="B488" s="37">
        <v>43831</v>
      </c>
      <c r="C488" s="36"/>
      <c r="D488" s="36"/>
      <c r="E488" s="36" t="s">
        <v>23</v>
      </c>
      <c r="F488" s="38">
        <v>3886265.25</v>
      </c>
      <c r="G488" s="36" t="s">
        <v>8</v>
      </c>
      <c r="H488" s="36" t="s">
        <v>8</v>
      </c>
      <c r="I488" s="36"/>
      <c r="J488" s="36"/>
    </row>
    <row r="489" spans="1:10" x14ac:dyDescent="0.25">
      <c r="A489" s="36">
        <v>1829</v>
      </c>
      <c r="B489" s="37">
        <v>43862</v>
      </c>
      <c r="C489" s="36"/>
      <c r="D489" s="36"/>
      <c r="E489" s="36" t="s">
        <v>23</v>
      </c>
      <c r="F489" s="38">
        <v>3886265.25</v>
      </c>
      <c r="G489" s="36" t="s">
        <v>8</v>
      </c>
      <c r="H489" s="36" t="s">
        <v>8</v>
      </c>
      <c r="I489" s="36"/>
      <c r="J489" s="36"/>
    </row>
    <row r="490" spans="1:10" x14ac:dyDescent="0.25">
      <c r="A490" s="36">
        <v>1829</v>
      </c>
      <c r="B490" s="37">
        <v>43891</v>
      </c>
      <c r="C490" s="36"/>
      <c r="D490" s="36"/>
      <c r="E490" s="36" t="s">
        <v>23</v>
      </c>
      <c r="F490" s="38">
        <v>3886265.25</v>
      </c>
      <c r="G490" s="36" t="s">
        <v>8</v>
      </c>
      <c r="H490" s="36" t="s">
        <v>8</v>
      </c>
      <c r="I490" s="36"/>
      <c r="J490" s="36"/>
    </row>
    <row r="491" spans="1:10" x14ac:dyDescent="0.25">
      <c r="A491" s="36">
        <v>1829</v>
      </c>
      <c r="B491" s="37">
        <v>43922</v>
      </c>
      <c r="C491" s="36"/>
      <c r="D491" s="36"/>
      <c r="E491" s="36" t="s">
        <v>23</v>
      </c>
      <c r="F491" s="38">
        <v>3886265.25</v>
      </c>
      <c r="G491" s="36" t="s">
        <v>8</v>
      </c>
      <c r="H491" s="36" t="s">
        <v>8</v>
      </c>
      <c r="I491" s="36"/>
      <c r="J491" s="36"/>
    </row>
    <row r="492" spans="1:10" x14ac:dyDescent="0.25">
      <c r="A492" s="36">
        <v>1829</v>
      </c>
      <c r="B492" s="37">
        <v>43952</v>
      </c>
      <c r="C492" s="36"/>
      <c r="D492" s="36"/>
      <c r="E492" s="36" t="s">
        <v>23</v>
      </c>
      <c r="F492" s="38">
        <v>3886265.25</v>
      </c>
      <c r="G492" s="36" t="s">
        <v>8</v>
      </c>
      <c r="H492" s="36" t="s">
        <v>8</v>
      </c>
      <c r="I492" s="36"/>
      <c r="J492" s="36"/>
    </row>
    <row r="493" spans="1:10" x14ac:dyDescent="0.25">
      <c r="A493" s="36">
        <v>1829</v>
      </c>
      <c r="B493" s="37">
        <v>43983</v>
      </c>
      <c r="C493" s="36"/>
      <c r="D493" s="36"/>
      <c r="E493" s="36" t="s">
        <v>23</v>
      </c>
      <c r="F493" s="38">
        <v>3886265.25</v>
      </c>
      <c r="G493" s="36" t="s">
        <v>8</v>
      </c>
      <c r="H493" s="36" t="s">
        <v>8</v>
      </c>
      <c r="I493" s="36"/>
      <c r="J493" s="36"/>
    </row>
    <row r="494" spans="1:10" x14ac:dyDescent="0.25">
      <c r="A494" s="36">
        <v>1829</v>
      </c>
      <c r="B494" s="37">
        <v>43466</v>
      </c>
      <c r="C494" s="36"/>
      <c r="D494" s="36"/>
      <c r="E494" s="36" t="s">
        <v>38</v>
      </c>
      <c r="F494" s="38">
        <v>6004530</v>
      </c>
      <c r="G494" s="36" t="s">
        <v>8</v>
      </c>
      <c r="H494" s="36" t="s">
        <v>8</v>
      </c>
      <c r="I494" s="36"/>
      <c r="J494" s="36"/>
    </row>
    <row r="495" spans="1:10" x14ac:dyDescent="0.25">
      <c r="A495" s="36">
        <v>1829</v>
      </c>
      <c r="B495" s="37">
        <v>43497</v>
      </c>
      <c r="C495" s="36"/>
      <c r="D495" s="36"/>
      <c r="E495" s="36" t="s">
        <v>38</v>
      </c>
      <c r="F495" s="38">
        <v>6004530</v>
      </c>
      <c r="G495" s="36" t="s">
        <v>8</v>
      </c>
      <c r="H495" s="36" t="s">
        <v>8</v>
      </c>
      <c r="I495" s="36"/>
      <c r="J495" s="36"/>
    </row>
    <row r="496" spans="1:10" x14ac:dyDescent="0.25">
      <c r="A496" s="36">
        <v>1829</v>
      </c>
      <c r="B496" s="37">
        <v>43525</v>
      </c>
      <c r="C496" s="36"/>
      <c r="D496" s="36"/>
      <c r="E496" s="36" t="s">
        <v>38</v>
      </c>
      <c r="F496" s="38">
        <v>6004530</v>
      </c>
      <c r="G496" s="36" t="s">
        <v>8</v>
      </c>
      <c r="H496" s="36" t="s">
        <v>8</v>
      </c>
      <c r="I496" s="36"/>
      <c r="J496" s="36"/>
    </row>
    <row r="497" spans="1:10" x14ac:dyDescent="0.25">
      <c r="A497" s="36">
        <v>1829</v>
      </c>
      <c r="B497" s="37">
        <v>43556</v>
      </c>
      <c r="C497" s="36"/>
      <c r="D497" s="36"/>
      <c r="E497" s="36" t="s">
        <v>38</v>
      </c>
      <c r="F497" s="38">
        <v>6004530</v>
      </c>
      <c r="G497" s="36" t="s">
        <v>8</v>
      </c>
      <c r="H497" s="36" t="s">
        <v>8</v>
      </c>
      <c r="I497" s="36"/>
      <c r="J497" s="36"/>
    </row>
    <row r="498" spans="1:10" x14ac:dyDescent="0.25">
      <c r="A498" s="36">
        <v>1829</v>
      </c>
      <c r="B498" s="37">
        <v>43586</v>
      </c>
      <c r="C498" s="36"/>
      <c r="D498" s="36"/>
      <c r="E498" s="36" t="s">
        <v>38</v>
      </c>
      <c r="F498" s="38">
        <v>6004530</v>
      </c>
      <c r="G498" s="36" t="s">
        <v>8</v>
      </c>
      <c r="H498" s="36" t="s">
        <v>8</v>
      </c>
      <c r="I498" s="36"/>
      <c r="J498" s="36"/>
    </row>
    <row r="499" spans="1:10" x14ac:dyDescent="0.25">
      <c r="A499" s="36">
        <v>1829</v>
      </c>
      <c r="B499" s="37">
        <v>43617</v>
      </c>
      <c r="C499" s="36"/>
      <c r="D499" s="36"/>
      <c r="E499" s="36" t="s">
        <v>38</v>
      </c>
      <c r="F499" s="38">
        <v>6004530</v>
      </c>
      <c r="G499" s="36" t="s">
        <v>8</v>
      </c>
      <c r="H499" s="36" t="s">
        <v>8</v>
      </c>
      <c r="I499" s="36"/>
      <c r="J499" s="36"/>
    </row>
    <row r="500" spans="1:10" x14ac:dyDescent="0.25">
      <c r="A500" s="36">
        <v>1829</v>
      </c>
      <c r="B500" s="37">
        <v>43647</v>
      </c>
      <c r="C500" s="36"/>
      <c r="D500" s="36"/>
      <c r="E500" s="36" t="s">
        <v>38</v>
      </c>
      <c r="F500" s="38">
        <v>6004530</v>
      </c>
      <c r="G500" s="36" t="s">
        <v>8</v>
      </c>
      <c r="H500" s="36" t="s">
        <v>8</v>
      </c>
      <c r="I500" s="36"/>
      <c r="J500" s="36"/>
    </row>
    <row r="501" spans="1:10" x14ac:dyDescent="0.25">
      <c r="A501" s="36">
        <v>1829</v>
      </c>
      <c r="B501" s="37">
        <v>43678</v>
      </c>
      <c r="C501" s="36"/>
      <c r="D501" s="36"/>
      <c r="E501" s="36" t="s">
        <v>38</v>
      </c>
      <c r="F501" s="38">
        <v>6004530</v>
      </c>
      <c r="G501" s="36" t="s">
        <v>8</v>
      </c>
      <c r="H501" s="36" t="s">
        <v>8</v>
      </c>
      <c r="I501" s="36"/>
      <c r="J501" s="36"/>
    </row>
    <row r="502" spans="1:10" x14ac:dyDescent="0.25">
      <c r="A502" s="36">
        <v>1829</v>
      </c>
      <c r="B502" s="37">
        <v>43709</v>
      </c>
      <c r="C502" s="36"/>
      <c r="D502" s="36"/>
      <c r="E502" s="36" t="s">
        <v>38</v>
      </c>
      <c r="F502" s="38">
        <v>6004530</v>
      </c>
      <c r="G502" s="36" t="s">
        <v>8</v>
      </c>
      <c r="H502" s="36" t="s">
        <v>8</v>
      </c>
      <c r="I502" s="36"/>
      <c r="J502" s="36"/>
    </row>
    <row r="503" spans="1:10" x14ac:dyDescent="0.25">
      <c r="A503" s="36">
        <v>1829</v>
      </c>
      <c r="B503" s="37">
        <v>43739</v>
      </c>
      <c r="C503" s="36"/>
      <c r="D503" s="36"/>
      <c r="E503" s="36" t="s">
        <v>38</v>
      </c>
      <c r="F503" s="38">
        <v>6004530</v>
      </c>
      <c r="G503" s="36" t="s">
        <v>8</v>
      </c>
      <c r="H503" s="36" t="s">
        <v>8</v>
      </c>
      <c r="I503" s="36"/>
      <c r="J503" s="36"/>
    </row>
    <row r="504" spans="1:10" x14ac:dyDescent="0.25">
      <c r="A504" s="36">
        <v>1829</v>
      </c>
      <c r="B504" s="37">
        <v>43770</v>
      </c>
      <c r="C504" s="36"/>
      <c r="D504" s="36"/>
      <c r="E504" s="36" t="s">
        <v>38</v>
      </c>
      <c r="F504" s="38">
        <v>6004530</v>
      </c>
      <c r="G504" s="36" t="s">
        <v>8</v>
      </c>
      <c r="H504" s="36" t="s">
        <v>8</v>
      </c>
      <c r="I504" s="36"/>
      <c r="J504" s="36"/>
    </row>
    <row r="505" spans="1:10" x14ac:dyDescent="0.25">
      <c r="A505" s="36">
        <v>1829</v>
      </c>
      <c r="B505" s="37">
        <v>43800</v>
      </c>
      <c r="C505" s="36"/>
      <c r="D505" s="36"/>
      <c r="E505" s="36" t="s">
        <v>38</v>
      </c>
      <c r="F505" s="38">
        <v>6004530</v>
      </c>
      <c r="G505" s="36" t="s">
        <v>8</v>
      </c>
      <c r="H505" s="36" t="s">
        <v>8</v>
      </c>
      <c r="I505" s="36"/>
      <c r="J505" s="36"/>
    </row>
    <row r="506" spans="1:10" x14ac:dyDescent="0.25">
      <c r="A506" s="36">
        <v>1829</v>
      </c>
      <c r="B506" s="37">
        <v>43831</v>
      </c>
      <c r="C506" s="36"/>
      <c r="D506" s="36"/>
      <c r="E506" s="36" t="s">
        <v>38</v>
      </c>
      <c r="F506" s="38">
        <v>6004530</v>
      </c>
      <c r="G506" s="36" t="s">
        <v>8</v>
      </c>
      <c r="H506" s="36" t="s">
        <v>8</v>
      </c>
      <c r="I506" s="36"/>
      <c r="J506" s="36"/>
    </row>
    <row r="507" spans="1:10" x14ac:dyDescent="0.25">
      <c r="A507" s="36">
        <v>1829</v>
      </c>
      <c r="B507" s="37">
        <v>43862</v>
      </c>
      <c r="C507" s="36"/>
      <c r="D507" s="36"/>
      <c r="E507" s="36" t="s">
        <v>38</v>
      </c>
      <c r="F507" s="38">
        <v>6004530</v>
      </c>
      <c r="G507" s="36" t="s">
        <v>8</v>
      </c>
      <c r="H507" s="36" t="s">
        <v>8</v>
      </c>
      <c r="I507" s="36"/>
      <c r="J507" s="36"/>
    </row>
    <row r="508" spans="1:10" x14ac:dyDescent="0.25">
      <c r="A508" s="36">
        <v>1829</v>
      </c>
      <c r="B508" s="37">
        <v>43891</v>
      </c>
      <c r="C508" s="36"/>
      <c r="D508" s="36"/>
      <c r="E508" s="36" t="s">
        <v>38</v>
      </c>
      <c r="F508" s="38">
        <v>6004530</v>
      </c>
      <c r="G508" s="36" t="s">
        <v>8</v>
      </c>
      <c r="H508" s="36" t="s">
        <v>8</v>
      </c>
      <c r="I508" s="36"/>
      <c r="J508" s="36"/>
    </row>
    <row r="509" spans="1:10" x14ac:dyDescent="0.25">
      <c r="A509" s="36">
        <v>1838</v>
      </c>
      <c r="B509" s="37">
        <v>43466</v>
      </c>
      <c r="C509" s="36"/>
      <c r="D509" s="36"/>
      <c r="E509" s="36" t="s">
        <v>39</v>
      </c>
      <c r="F509" s="38">
        <v>1289925</v>
      </c>
      <c r="G509" s="36" t="s">
        <v>8</v>
      </c>
      <c r="H509" s="36" t="s">
        <v>8</v>
      </c>
      <c r="I509" s="36"/>
      <c r="J509" s="36"/>
    </row>
    <row r="510" spans="1:10" x14ac:dyDescent="0.25">
      <c r="A510" s="36">
        <v>1838</v>
      </c>
      <c r="B510" s="37">
        <v>43497</v>
      </c>
      <c r="C510" s="36"/>
      <c r="D510" s="36"/>
      <c r="E510" s="36" t="s">
        <v>39</v>
      </c>
      <c r="F510" s="38">
        <v>1289925</v>
      </c>
      <c r="G510" s="36" t="s">
        <v>8</v>
      </c>
      <c r="H510" s="36" t="s">
        <v>8</v>
      </c>
      <c r="I510" s="36"/>
      <c r="J510" s="36"/>
    </row>
    <row r="511" spans="1:10" x14ac:dyDescent="0.25">
      <c r="A511" s="36">
        <v>1838</v>
      </c>
      <c r="B511" s="37">
        <v>43525</v>
      </c>
      <c r="C511" s="36"/>
      <c r="D511" s="36"/>
      <c r="E511" s="36" t="s">
        <v>39</v>
      </c>
      <c r="F511" s="38">
        <v>1289925</v>
      </c>
      <c r="G511" s="36" t="s">
        <v>8</v>
      </c>
      <c r="H511" s="36" t="s">
        <v>8</v>
      </c>
      <c r="I511" s="36"/>
      <c r="J511" s="36"/>
    </row>
    <row r="512" spans="1:10" x14ac:dyDescent="0.25">
      <c r="A512" s="36">
        <v>1838</v>
      </c>
      <c r="B512" s="37">
        <v>43466</v>
      </c>
      <c r="C512" s="36"/>
      <c r="D512" s="36"/>
      <c r="E512" s="36" t="s">
        <v>40</v>
      </c>
      <c r="F512" s="38">
        <v>1129511.25</v>
      </c>
      <c r="G512" s="36" t="s">
        <v>8</v>
      </c>
      <c r="H512" s="36" t="s">
        <v>8</v>
      </c>
      <c r="I512" s="36"/>
      <c r="J512" s="36"/>
    </row>
    <row r="513" spans="1:10" x14ac:dyDescent="0.25">
      <c r="A513" s="36">
        <v>1838</v>
      </c>
      <c r="B513" s="37">
        <v>43497</v>
      </c>
      <c r="C513" s="36"/>
      <c r="D513" s="36"/>
      <c r="E513" s="36" t="s">
        <v>40</v>
      </c>
      <c r="F513" s="38">
        <v>1129511.25</v>
      </c>
      <c r="G513" s="36" t="s">
        <v>8</v>
      </c>
      <c r="H513" s="36" t="s">
        <v>8</v>
      </c>
      <c r="I513" s="36"/>
      <c r="J513" s="36"/>
    </row>
    <row r="514" spans="1:10" x14ac:dyDescent="0.25">
      <c r="A514" s="36">
        <v>1838</v>
      </c>
      <c r="B514" s="37">
        <v>43525</v>
      </c>
      <c r="C514" s="36"/>
      <c r="D514" s="36"/>
      <c r="E514" s="36" t="s">
        <v>40</v>
      </c>
      <c r="F514" s="38">
        <v>1129511.25</v>
      </c>
      <c r="G514" s="36" t="s">
        <v>8</v>
      </c>
      <c r="H514" s="36" t="s">
        <v>8</v>
      </c>
      <c r="I514" s="36"/>
      <c r="J514" s="36"/>
    </row>
    <row r="515" spans="1:10" x14ac:dyDescent="0.25">
      <c r="A515" s="36">
        <v>1838</v>
      </c>
      <c r="B515" s="37">
        <v>43466</v>
      </c>
      <c r="C515" s="36"/>
      <c r="D515" s="36"/>
      <c r="E515" s="36" t="s">
        <v>41</v>
      </c>
      <c r="F515" s="38">
        <v>7607250</v>
      </c>
      <c r="G515" s="36" t="s">
        <v>8</v>
      </c>
      <c r="H515" s="36" t="s">
        <v>8</v>
      </c>
      <c r="I515" s="36"/>
      <c r="J515" s="36"/>
    </row>
    <row r="516" spans="1:10" x14ac:dyDescent="0.25">
      <c r="A516" s="36">
        <v>1838</v>
      </c>
      <c r="B516" s="37">
        <v>43497</v>
      </c>
      <c r="C516" s="36"/>
      <c r="D516" s="36"/>
      <c r="E516" s="36" t="s">
        <v>41</v>
      </c>
      <c r="F516" s="38">
        <v>7607250</v>
      </c>
      <c r="G516" s="36" t="s">
        <v>8</v>
      </c>
      <c r="H516" s="36" t="s">
        <v>8</v>
      </c>
      <c r="I516" s="36"/>
      <c r="J516" s="36"/>
    </row>
    <row r="517" spans="1:10" x14ac:dyDescent="0.25">
      <c r="A517" s="36">
        <v>1838</v>
      </c>
      <c r="B517" s="37">
        <v>43525</v>
      </c>
      <c r="C517" s="36"/>
      <c r="D517" s="36"/>
      <c r="E517" s="36" t="s">
        <v>41</v>
      </c>
      <c r="F517" s="38">
        <v>7607250</v>
      </c>
      <c r="G517" s="36" t="s">
        <v>8</v>
      </c>
      <c r="H517" s="36" t="s">
        <v>8</v>
      </c>
      <c r="I517" s="36"/>
      <c r="J517" s="36"/>
    </row>
    <row r="518" spans="1:10" x14ac:dyDescent="0.25">
      <c r="A518" s="36">
        <v>1846</v>
      </c>
      <c r="B518" s="37">
        <v>43466</v>
      </c>
      <c r="C518" s="36"/>
      <c r="D518" s="36"/>
      <c r="E518" s="36" t="s">
        <v>42</v>
      </c>
      <c r="F518" s="38">
        <v>3780000</v>
      </c>
      <c r="G518" s="36" t="s">
        <v>8</v>
      </c>
      <c r="H518" s="36" t="s">
        <v>230</v>
      </c>
      <c r="I518" s="36"/>
      <c r="J518" s="36"/>
    </row>
    <row r="519" spans="1:10" x14ac:dyDescent="0.25">
      <c r="A519" s="36">
        <v>1846</v>
      </c>
      <c r="B519" s="37">
        <v>43497</v>
      </c>
      <c r="C519" s="36"/>
      <c r="D519" s="36"/>
      <c r="E519" s="36" t="s">
        <v>42</v>
      </c>
      <c r="F519" s="38">
        <v>3780000</v>
      </c>
      <c r="G519" s="36" t="s">
        <v>8</v>
      </c>
      <c r="H519" s="36" t="s">
        <v>230</v>
      </c>
      <c r="I519" s="36"/>
      <c r="J519" s="36"/>
    </row>
    <row r="520" spans="1:10" x14ac:dyDescent="0.25">
      <c r="A520" s="36">
        <v>1846</v>
      </c>
      <c r="B520" s="37">
        <v>43525</v>
      </c>
      <c r="C520" s="36"/>
      <c r="D520" s="36"/>
      <c r="E520" s="36" t="s">
        <v>42</v>
      </c>
      <c r="F520" s="38">
        <v>3780000</v>
      </c>
      <c r="G520" s="36" t="s">
        <v>8</v>
      </c>
      <c r="H520" s="36" t="s">
        <v>230</v>
      </c>
      <c r="I520" s="36"/>
      <c r="J520" s="36"/>
    </row>
    <row r="521" spans="1:10" x14ac:dyDescent="0.25">
      <c r="A521" s="36">
        <v>1846</v>
      </c>
      <c r="B521" s="37">
        <v>43466</v>
      </c>
      <c r="C521" s="36"/>
      <c r="D521" s="36"/>
      <c r="E521" s="36" t="s">
        <v>43</v>
      </c>
      <c r="F521" s="38">
        <v>5868450</v>
      </c>
      <c r="G521" s="36" t="s">
        <v>8</v>
      </c>
      <c r="H521" s="36" t="s">
        <v>230</v>
      </c>
      <c r="I521" s="36"/>
      <c r="J521" s="36"/>
    </row>
    <row r="522" spans="1:10" x14ac:dyDescent="0.25">
      <c r="A522" s="36">
        <v>1846</v>
      </c>
      <c r="B522" s="37">
        <v>43497</v>
      </c>
      <c r="C522" s="36"/>
      <c r="D522" s="36"/>
      <c r="E522" s="36" t="s">
        <v>43</v>
      </c>
      <c r="F522" s="38">
        <v>5868450</v>
      </c>
      <c r="G522" s="36" t="s">
        <v>8</v>
      </c>
      <c r="H522" s="36" t="s">
        <v>230</v>
      </c>
      <c r="I522" s="36"/>
      <c r="J522" s="36"/>
    </row>
    <row r="523" spans="1:10" x14ac:dyDescent="0.25">
      <c r="A523" s="36">
        <v>1846</v>
      </c>
      <c r="B523" s="37">
        <v>43525</v>
      </c>
      <c r="C523" s="36"/>
      <c r="D523" s="36"/>
      <c r="E523" s="36" t="s">
        <v>43</v>
      </c>
      <c r="F523" s="38">
        <v>5868450</v>
      </c>
      <c r="G523" s="36" t="s">
        <v>8</v>
      </c>
      <c r="H523" s="36" t="s">
        <v>230</v>
      </c>
      <c r="I523" s="36"/>
      <c r="J523" s="36"/>
    </row>
    <row r="524" spans="1:10" x14ac:dyDescent="0.25">
      <c r="A524" s="36">
        <v>1846</v>
      </c>
      <c r="B524" s="37">
        <v>43525</v>
      </c>
      <c r="C524" s="36"/>
      <c r="D524" s="36"/>
      <c r="E524" s="36" t="s">
        <v>44</v>
      </c>
      <c r="F524" s="38">
        <v>1535625</v>
      </c>
      <c r="G524" s="36" t="s">
        <v>8</v>
      </c>
      <c r="H524" s="36" t="s">
        <v>230</v>
      </c>
      <c r="I524" s="36"/>
      <c r="J524" s="36"/>
    </row>
    <row r="525" spans="1:10" x14ac:dyDescent="0.25">
      <c r="A525" s="36">
        <v>1846</v>
      </c>
      <c r="B525" s="37">
        <v>43466</v>
      </c>
      <c r="C525" s="36"/>
      <c r="D525" s="36"/>
      <c r="E525" s="36" t="s">
        <v>40</v>
      </c>
      <c r="F525" s="38">
        <v>19561500</v>
      </c>
      <c r="G525" s="36" t="s">
        <v>8</v>
      </c>
      <c r="H525" s="36" t="s">
        <v>230</v>
      </c>
      <c r="I525" s="36"/>
      <c r="J525" s="36"/>
    </row>
    <row r="526" spans="1:10" x14ac:dyDescent="0.25">
      <c r="A526" s="36">
        <v>1846</v>
      </c>
      <c r="B526" s="37">
        <v>43497</v>
      </c>
      <c r="C526" s="36"/>
      <c r="D526" s="36"/>
      <c r="E526" s="36" t="s">
        <v>40</v>
      </c>
      <c r="F526" s="38">
        <v>19561500</v>
      </c>
      <c r="G526" s="36" t="s">
        <v>8</v>
      </c>
      <c r="H526" s="36" t="s">
        <v>230</v>
      </c>
      <c r="I526" s="36"/>
      <c r="J526" s="36"/>
    </row>
    <row r="527" spans="1:10" x14ac:dyDescent="0.25">
      <c r="A527" s="36">
        <v>1846</v>
      </c>
      <c r="B527" s="37">
        <v>43466</v>
      </c>
      <c r="C527" s="36"/>
      <c r="D527" s="36"/>
      <c r="E527" s="36" t="s">
        <v>45</v>
      </c>
      <c r="F527" s="38">
        <v>2835913.5</v>
      </c>
      <c r="G527" s="36" t="s">
        <v>8</v>
      </c>
      <c r="H527" s="36" t="s">
        <v>230</v>
      </c>
      <c r="I527" s="36"/>
      <c r="J527" s="36"/>
    </row>
    <row r="528" spans="1:10" x14ac:dyDescent="0.25">
      <c r="A528" s="36">
        <v>1846</v>
      </c>
      <c r="B528" s="37">
        <v>43497</v>
      </c>
      <c r="C528" s="36"/>
      <c r="D528" s="36"/>
      <c r="E528" s="36" t="s">
        <v>45</v>
      </c>
      <c r="F528" s="38">
        <v>2835913.5</v>
      </c>
      <c r="G528" s="36" t="s">
        <v>8</v>
      </c>
      <c r="H528" s="36" t="s">
        <v>230</v>
      </c>
      <c r="I528" s="36"/>
      <c r="J528" s="36"/>
    </row>
    <row r="529" spans="1:10" x14ac:dyDescent="0.25">
      <c r="A529" s="36">
        <v>1846</v>
      </c>
      <c r="B529" s="37">
        <v>43466</v>
      </c>
      <c r="C529" s="36"/>
      <c r="D529" s="36"/>
      <c r="E529" s="36" t="s">
        <v>46</v>
      </c>
      <c r="F529" s="38">
        <v>5868450</v>
      </c>
      <c r="G529" s="36" t="s">
        <v>8</v>
      </c>
      <c r="H529" s="36" t="s">
        <v>230</v>
      </c>
      <c r="I529" s="36"/>
      <c r="J529" s="36"/>
    </row>
    <row r="530" spans="1:10" x14ac:dyDescent="0.25">
      <c r="A530" s="36">
        <v>1846</v>
      </c>
      <c r="B530" s="37">
        <v>43497</v>
      </c>
      <c r="C530" s="36"/>
      <c r="D530" s="36"/>
      <c r="E530" s="36" t="s">
        <v>46</v>
      </c>
      <c r="F530" s="38">
        <v>5868450</v>
      </c>
      <c r="G530" s="36" t="s">
        <v>8</v>
      </c>
      <c r="H530" s="36" t="s">
        <v>230</v>
      </c>
      <c r="I530" s="36"/>
      <c r="J530" s="36"/>
    </row>
    <row r="531" spans="1:10" x14ac:dyDescent="0.25">
      <c r="A531" s="36">
        <v>1846</v>
      </c>
      <c r="B531" s="37">
        <v>43525</v>
      </c>
      <c r="C531" s="36"/>
      <c r="D531" s="36"/>
      <c r="E531" s="36" t="s">
        <v>46</v>
      </c>
      <c r="F531" s="38">
        <v>5868450</v>
      </c>
      <c r="G531" s="36" t="s">
        <v>8</v>
      </c>
      <c r="H531" s="36" t="s">
        <v>230</v>
      </c>
      <c r="I531" s="36"/>
      <c r="J531" s="36"/>
    </row>
    <row r="532" spans="1:10" x14ac:dyDescent="0.25">
      <c r="A532" s="36">
        <v>1846</v>
      </c>
      <c r="B532" s="37">
        <v>43466</v>
      </c>
      <c r="C532" s="36"/>
      <c r="D532" s="36"/>
      <c r="E532" s="36" t="s">
        <v>47</v>
      </c>
      <c r="F532" s="38">
        <v>2531377.8000000003</v>
      </c>
      <c r="G532" s="36" t="s">
        <v>8</v>
      </c>
      <c r="H532" s="36" t="s">
        <v>230</v>
      </c>
      <c r="I532" s="36"/>
      <c r="J532" s="36"/>
    </row>
    <row r="533" spans="1:10" x14ac:dyDescent="0.25">
      <c r="A533" s="36">
        <v>1846</v>
      </c>
      <c r="B533" s="37">
        <v>43497</v>
      </c>
      <c r="C533" s="36"/>
      <c r="D533" s="36"/>
      <c r="E533" s="36" t="s">
        <v>47</v>
      </c>
      <c r="F533" s="38">
        <v>2531377.8000000003</v>
      </c>
      <c r="G533" s="36" t="s">
        <v>8</v>
      </c>
      <c r="H533" s="36" t="s">
        <v>230</v>
      </c>
      <c r="I533" s="36"/>
      <c r="J533" s="36"/>
    </row>
    <row r="534" spans="1:10" x14ac:dyDescent="0.25">
      <c r="A534" s="36">
        <v>1846</v>
      </c>
      <c r="B534" s="37">
        <v>43525</v>
      </c>
      <c r="C534" s="36"/>
      <c r="D534" s="36"/>
      <c r="E534" s="36" t="s">
        <v>47</v>
      </c>
      <c r="F534" s="38">
        <v>2531377.8000000003</v>
      </c>
      <c r="G534" s="36" t="s">
        <v>8</v>
      </c>
      <c r="H534" s="36" t="s">
        <v>230</v>
      </c>
      <c r="I534" s="36"/>
      <c r="J534" s="36"/>
    </row>
    <row r="535" spans="1:10" x14ac:dyDescent="0.25">
      <c r="A535" s="36">
        <v>1846</v>
      </c>
      <c r="B535" s="37">
        <v>43466</v>
      </c>
      <c r="C535" s="36"/>
      <c r="D535" s="36"/>
      <c r="E535" s="36" t="s">
        <v>48</v>
      </c>
      <c r="F535" s="38">
        <v>3780000</v>
      </c>
      <c r="G535" s="36" t="s">
        <v>8</v>
      </c>
      <c r="H535" s="36" t="s">
        <v>230</v>
      </c>
      <c r="I535" s="36"/>
      <c r="J535" s="36"/>
    </row>
    <row r="536" spans="1:10" x14ac:dyDescent="0.25">
      <c r="A536" s="36">
        <v>1846</v>
      </c>
      <c r="B536" s="37">
        <v>43497</v>
      </c>
      <c r="C536" s="36"/>
      <c r="D536" s="36"/>
      <c r="E536" s="36" t="s">
        <v>48</v>
      </c>
      <c r="F536" s="38">
        <v>3780000</v>
      </c>
      <c r="G536" s="36" t="s">
        <v>8</v>
      </c>
      <c r="H536" s="36" t="s">
        <v>230</v>
      </c>
      <c r="I536" s="36"/>
      <c r="J536" s="36"/>
    </row>
    <row r="537" spans="1:10" x14ac:dyDescent="0.25">
      <c r="A537" s="36">
        <v>1846</v>
      </c>
      <c r="B537" s="37">
        <v>43525</v>
      </c>
      <c r="C537" s="36"/>
      <c r="D537" s="36"/>
      <c r="E537" s="36" t="s">
        <v>48</v>
      </c>
      <c r="F537" s="38">
        <v>3780000</v>
      </c>
      <c r="G537" s="36" t="s">
        <v>8</v>
      </c>
      <c r="H537" s="36" t="s">
        <v>230</v>
      </c>
      <c r="I537" s="36"/>
      <c r="J537" s="36"/>
    </row>
    <row r="538" spans="1:10" x14ac:dyDescent="0.25">
      <c r="A538" s="36">
        <v>1846</v>
      </c>
      <c r="B538" s="37">
        <v>43466</v>
      </c>
      <c r="C538" s="36"/>
      <c r="D538" s="36"/>
      <c r="E538" s="36" t="s">
        <v>49</v>
      </c>
      <c r="F538" s="38">
        <v>2173500</v>
      </c>
      <c r="G538" s="36" t="s">
        <v>8</v>
      </c>
      <c r="H538" s="36" t="s">
        <v>230</v>
      </c>
      <c r="I538" s="36"/>
      <c r="J538" s="36"/>
    </row>
    <row r="539" spans="1:10" x14ac:dyDescent="0.25">
      <c r="A539" s="36">
        <v>1846</v>
      </c>
      <c r="B539" s="37">
        <v>43497</v>
      </c>
      <c r="C539" s="36"/>
      <c r="D539" s="36"/>
      <c r="E539" s="36" t="s">
        <v>49</v>
      </c>
      <c r="F539" s="38">
        <v>2173500</v>
      </c>
      <c r="G539" s="36" t="s">
        <v>8</v>
      </c>
      <c r="H539" s="36" t="s">
        <v>230</v>
      </c>
      <c r="I539" s="36"/>
      <c r="J539" s="36"/>
    </row>
    <row r="540" spans="1:10" x14ac:dyDescent="0.25">
      <c r="A540" s="36">
        <v>1846</v>
      </c>
      <c r="B540" s="37">
        <v>43525</v>
      </c>
      <c r="C540" s="36"/>
      <c r="D540" s="36"/>
      <c r="E540" s="36" t="s">
        <v>49</v>
      </c>
      <c r="F540" s="38">
        <v>2173500</v>
      </c>
      <c r="G540" s="36" t="s">
        <v>8</v>
      </c>
      <c r="H540" s="36" t="s">
        <v>230</v>
      </c>
      <c r="I540" s="36"/>
      <c r="J540" s="36"/>
    </row>
    <row r="541" spans="1:10" x14ac:dyDescent="0.25">
      <c r="A541" s="36">
        <v>1846</v>
      </c>
      <c r="B541" s="37">
        <v>43466</v>
      </c>
      <c r="C541" s="36"/>
      <c r="D541" s="36"/>
      <c r="E541" s="36" t="s">
        <v>50</v>
      </c>
      <c r="F541" s="38">
        <v>5460525</v>
      </c>
      <c r="G541" s="36" t="s">
        <v>8</v>
      </c>
      <c r="H541" s="36" t="s">
        <v>230</v>
      </c>
      <c r="I541" s="36"/>
      <c r="J541" s="36"/>
    </row>
    <row r="542" spans="1:10" x14ac:dyDescent="0.25">
      <c r="A542" s="36">
        <v>1846</v>
      </c>
      <c r="B542" s="37">
        <v>43497</v>
      </c>
      <c r="C542" s="36"/>
      <c r="D542" s="36"/>
      <c r="E542" s="36" t="s">
        <v>50</v>
      </c>
      <c r="F542" s="38">
        <v>5460525</v>
      </c>
      <c r="G542" s="36" t="s">
        <v>8</v>
      </c>
      <c r="H542" s="36" t="s">
        <v>230</v>
      </c>
      <c r="I542" s="36"/>
      <c r="J542" s="36"/>
    </row>
    <row r="543" spans="1:10" x14ac:dyDescent="0.25">
      <c r="A543" s="36">
        <v>1846</v>
      </c>
      <c r="B543" s="37">
        <v>43525</v>
      </c>
      <c r="C543" s="36"/>
      <c r="D543" s="36"/>
      <c r="E543" s="36" t="s">
        <v>50</v>
      </c>
      <c r="F543" s="38">
        <v>5460525</v>
      </c>
      <c r="G543" s="36" t="s">
        <v>8</v>
      </c>
      <c r="H543" s="36" t="s">
        <v>230</v>
      </c>
      <c r="I543" s="36"/>
      <c r="J543" s="36"/>
    </row>
    <row r="544" spans="1:10" x14ac:dyDescent="0.25">
      <c r="A544" s="36">
        <v>1846</v>
      </c>
      <c r="B544" s="37">
        <v>43466</v>
      </c>
      <c r="C544" s="36"/>
      <c r="D544" s="36"/>
      <c r="E544" s="36" t="s">
        <v>51</v>
      </c>
      <c r="F544" s="38">
        <v>3213000</v>
      </c>
      <c r="G544" s="36" t="s">
        <v>8</v>
      </c>
      <c r="H544" s="36" t="s">
        <v>230</v>
      </c>
      <c r="I544" s="36"/>
      <c r="J544" s="36"/>
    </row>
    <row r="545" spans="1:10" x14ac:dyDescent="0.25">
      <c r="A545" s="36">
        <v>1846</v>
      </c>
      <c r="B545" s="37">
        <v>43497</v>
      </c>
      <c r="C545" s="36"/>
      <c r="D545" s="36"/>
      <c r="E545" s="36" t="s">
        <v>51</v>
      </c>
      <c r="F545" s="38">
        <v>3213000</v>
      </c>
      <c r="G545" s="36" t="s">
        <v>8</v>
      </c>
      <c r="H545" s="36" t="s">
        <v>230</v>
      </c>
      <c r="I545" s="36"/>
      <c r="J545" s="36"/>
    </row>
    <row r="546" spans="1:10" x14ac:dyDescent="0.25">
      <c r="A546" s="36">
        <v>1846</v>
      </c>
      <c r="B546" s="37">
        <v>43525</v>
      </c>
      <c r="C546" s="36"/>
      <c r="D546" s="36"/>
      <c r="E546" s="36" t="s">
        <v>51</v>
      </c>
      <c r="F546" s="38">
        <v>3213000</v>
      </c>
      <c r="G546" s="36" t="s">
        <v>8</v>
      </c>
      <c r="H546" s="36" t="s">
        <v>230</v>
      </c>
      <c r="I546" s="36"/>
      <c r="J546" s="36"/>
    </row>
    <row r="547" spans="1:10" x14ac:dyDescent="0.25">
      <c r="A547" s="36">
        <v>1846</v>
      </c>
      <c r="B547" s="37">
        <v>43466</v>
      </c>
      <c r="C547" s="36"/>
      <c r="D547" s="36"/>
      <c r="E547" s="36" t="s">
        <v>52</v>
      </c>
      <c r="F547" s="38">
        <v>2173500</v>
      </c>
      <c r="G547" s="36" t="s">
        <v>8</v>
      </c>
      <c r="H547" s="36" t="s">
        <v>230</v>
      </c>
      <c r="I547" s="36"/>
      <c r="J547" s="36"/>
    </row>
    <row r="548" spans="1:10" x14ac:dyDescent="0.25">
      <c r="A548" s="36">
        <v>1846</v>
      </c>
      <c r="B548" s="37">
        <v>43497</v>
      </c>
      <c r="C548" s="36"/>
      <c r="D548" s="36"/>
      <c r="E548" s="36" t="s">
        <v>52</v>
      </c>
      <c r="F548" s="38">
        <v>2173500</v>
      </c>
      <c r="G548" s="36" t="s">
        <v>8</v>
      </c>
      <c r="H548" s="36" t="s">
        <v>230</v>
      </c>
      <c r="I548" s="36"/>
      <c r="J548" s="36"/>
    </row>
    <row r="549" spans="1:10" x14ac:dyDescent="0.25">
      <c r="A549" s="36">
        <v>1846</v>
      </c>
      <c r="B549" s="37">
        <v>43525</v>
      </c>
      <c r="C549" s="36"/>
      <c r="D549" s="36"/>
      <c r="E549" s="36" t="s">
        <v>52</v>
      </c>
      <c r="F549" s="38">
        <v>2173500</v>
      </c>
      <c r="G549" s="36" t="s">
        <v>8</v>
      </c>
      <c r="H549" s="36" t="s">
        <v>230</v>
      </c>
      <c r="I549" s="36"/>
      <c r="J549" s="36"/>
    </row>
    <row r="550" spans="1:10" x14ac:dyDescent="0.25">
      <c r="A550" s="36">
        <v>1846</v>
      </c>
      <c r="B550" s="37">
        <v>43466</v>
      </c>
      <c r="C550" s="36"/>
      <c r="D550" s="36"/>
      <c r="E550" s="36" t="s">
        <v>53</v>
      </c>
      <c r="F550" s="38">
        <v>3780000</v>
      </c>
      <c r="G550" s="36" t="s">
        <v>8</v>
      </c>
      <c r="H550" s="36" t="s">
        <v>230</v>
      </c>
      <c r="I550" s="36"/>
      <c r="J550" s="36"/>
    </row>
    <row r="551" spans="1:10" x14ac:dyDescent="0.25">
      <c r="A551" s="36">
        <v>1846</v>
      </c>
      <c r="B551" s="37">
        <v>43497</v>
      </c>
      <c r="C551" s="36"/>
      <c r="D551" s="36"/>
      <c r="E551" s="36" t="s">
        <v>53</v>
      </c>
      <c r="F551" s="38">
        <v>3780000</v>
      </c>
      <c r="G551" s="36" t="s">
        <v>8</v>
      </c>
      <c r="H551" s="36" t="s">
        <v>230</v>
      </c>
      <c r="I551" s="36"/>
      <c r="J551" s="36"/>
    </row>
    <row r="552" spans="1:10" x14ac:dyDescent="0.25">
      <c r="A552" s="36">
        <v>1846</v>
      </c>
      <c r="B552" s="37">
        <v>43525</v>
      </c>
      <c r="C552" s="36"/>
      <c r="D552" s="36"/>
      <c r="E552" s="36" t="s">
        <v>53</v>
      </c>
      <c r="F552" s="38">
        <v>3780000</v>
      </c>
      <c r="G552" s="36" t="s">
        <v>8</v>
      </c>
      <c r="H552" s="36" t="s">
        <v>230</v>
      </c>
      <c r="I552" s="36"/>
      <c r="J552" s="36"/>
    </row>
    <row r="553" spans="1:10" x14ac:dyDescent="0.25">
      <c r="A553" s="36">
        <v>1846</v>
      </c>
      <c r="B553" s="37">
        <v>43466</v>
      </c>
      <c r="C553" s="36"/>
      <c r="D553" s="36"/>
      <c r="E553" s="36" t="s">
        <v>54</v>
      </c>
      <c r="F553" s="38">
        <v>1890000</v>
      </c>
      <c r="G553" s="36" t="s">
        <v>8</v>
      </c>
      <c r="H553" s="36" t="s">
        <v>230</v>
      </c>
      <c r="I553" s="36"/>
      <c r="J553" s="36"/>
    </row>
    <row r="554" spans="1:10" x14ac:dyDescent="0.25">
      <c r="A554" s="36">
        <v>1846</v>
      </c>
      <c r="B554" s="37">
        <v>43497</v>
      </c>
      <c r="C554" s="36"/>
      <c r="D554" s="36"/>
      <c r="E554" s="36" t="s">
        <v>54</v>
      </c>
      <c r="F554" s="38">
        <v>1890000</v>
      </c>
      <c r="G554" s="36" t="s">
        <v>8</v>
      </c>
      <c r="H554" s="36" t="s">
        <v>230</v>
      </c>
      <c r="I554" s="36"/>
      <c r="J554" s="36"/>
    </row>
    <row r="555" spans="1:10" x14ac:dyDescent="0.25">
      <c r="A555" s="36">
        <v>1846</v>
      </c>
      <c r="B555" s="37">
        <v>43525</v>
      </c>
      <c r="C555" s="36"/>
      <c r="D555" s="36"/>
      <c r="E555" s="36" t="s">
        <v>54</v>
      </c>
      <c r="F555" s="38">
        <v>1890000</v>
      </c>
      <c r="G555" s="36" t="s">
        <v>8</v>
      </c>
      <c r="H555" s="36" t="s">
        <v>230</v>
      </c>
      <c r="I555" s="36"/>
      <c r="J555" s="36"/>
    </row>
    <row r="556" spans="1:10" x14ac:dyDescent="0.25">
      <c r="A556" s="36">
        <v>1846</v>
      </c>
      <c r="B556" s="37">
        <v>43466</v>
      </c>
      <c r="C556" s="36"/>
      <c r="D556" s="36"/>
      <c r="E556" s="36" t="s">
        <v>55</v>
      </c>
      <c r="F556" s="38">
        <v>1265688.9000000001</v>
      </c>
      <c r="G556" s="36" t="s">
        <v>8</v>
      </c>
      <c r="H556" s="36" t="s">
        <v>230</v>
      </c>
      <c r="I556" s="36"/>
      <c r="J556" s="36"/>
    </row>
    <row r="557" spans="1:10" x14ac:dyDescent="0.25">
      <c r="A557" s="36">
        <v>1846</v>
      </c>
      <c r="B557" s="37">
        <v>43497</v>
      </c>
      <c r="C557" s="36"/>
      <c r="D557" s="36"/>
      <c r="E557" s="36" t="s">
        <v>55</v>
      </c>
      <c r="F557" s="38">
        <v>1265688.9000000001</v>
      </c>
      <c r="G557" s="36" t="s">
        <v>8</v>
      </c>
      <c r="H557" s="36" t="s">
        <v>230</v>
      </c>
      <c r="I557" s="36"/>
      <c r="J557" s="36"/>
    </row>
    <row r="558" spans="1:10" x14ac:dyDescent="0.25">
      <c r="A558" s="36">
        <v>1846</v>
      </c>
      <c r="B558" s="37">
        <v>43525</v>
      </c>
      <c r="C558" s="36"/>
      <c r="D558" s="36"/>
      <c r="E558" s="36" t="s">
        <v>55</v>
      </c>
      <c r="F558" s="38">
        <v>1265688.9000000001</v>
      </c>
      <c r="G558" s="36" t="s">
        <v>8</v>
      </c>
      <c r="H558" s="36" t="s">
        <v>230</v>
      </c>
      <c r="I558" s="36"/>
      <c r="J558" s="36"/>
    </row>
    <row r="559" spans="1:10" x14ac:dyDescent="0.25">
      <c r="A559" s="36">
        <v>1846</v>
      </c>
      <c r="B559" s="37">
        <v>43466</v>
      </c>
      <c r="C559" s="36"/>
      <c r="D559" s="36"/>
      <c r="E559" s="36" t="s">
        <v>56</v>
      </c>
      <c r="F559" s="38">
        <v>5827500</v>
      </c>
      <c r="G559" s="36" t="s">
        <v>8</v>
      </c>
      <c r="H559" s="36" t="s">
        <v>230</v>
      </c>
      <c r="I559" s="36"/>
      <c r="J559" s="36"/>
    </row>
    <row r="560" spans="1:10" x14ac:dyDescent="0.25">
      <c r="A560" s="36">
        <v>1846</v>
      </c>
      <c r="B560" s="37">
        <v>43497</v>
      </c>
      <c r="C560" s="36"/>
      <c r="D560" s="36"/>
      <c r="E560" s="36" t="s">
        <v>56</v>
      </c>
      <c r="F560" s="38">
        <v>5827500</v>
      </c>
      <c r="G560" s="36" t="s">
        <v>8</v>
      </c>
      <c r="H560" s="36" t="s">
        <v>230</v>
      </c>
      <c r="I560" s="36"/>
      <c r="J560" s="36"/>
    </row>
    <row r="561" spans="1:10" x14ac:dyDescent="0.25">
      <c r="A561" s="36">
        <v>1846</v>
      </c>
      <c r="B561" s="37">
        <v>43525</v>
      </c>
      <c r="C561" s="36"/>
      <c r="D561" s="36"/>
      <c r="E561" s="36" t="s">
        <v>56</v>
      </c>
      <c r="F561" s="38">
        <v>5827500</v>
      </c>
      <c r="G561" s="36" t="s">
        <v>8</v>
      </c>
      <c r="H561" s="36" t="s">
        <v>230</v>
      </c>
      <c r="I561" s="36"/>
      <c r="J561" s="36"/>
    </row>
    <row r="562" spans="1:10" x14ac:dyDescent="0.25">
      <c r="A562" s="36">
        <v>1846</v>
      </c>
      <c r="B562" s="37">
        <v>43466</v>
      </c>
      <c r="C562" s="36"/>
      <c r="D562" s="36"/>
      <c r="E562" s="36" t="s">
        <v>57</v>
      </c>
      <c r="F562" s="38">
        <v>5118750</v>
      </c>
      <c r="G562" s="36" t="s">
        <v>8</v>
      </c>
      <c r="H562" s="36" t="s">
        <v>230</v>
      </c>
      <c r="I562" s="36"/>
      <c r="J562" s="36"/>
    </row>
    <row r="563" spans="1:10" x14ac:dyDescent="0.25">
      <c r="A563" s="36">
        <v>1846</v>
      </c>
      <c r="B563" s="37">
        <v>43497</v>
      </c>
      <c r="C563" s="36"/>
      <c r="D563" s="36"/>
      <c r="E563" s="36" t="s">
        <v>57</v>
      </c>
      <c r="F563" s="38">
        <v>5118750</v>
      </c>
      <c r="G563" s="36" t="s">
        <v>8</v>
      </c>
      <c r="H563" s="36" t="s">
        <v>230</v>
      </c>
      <c r="I563" s="36"/>
      <c r="J563" s="36"/>
    </row>
    <row r="564" spans="1:10" x14ac:dyDescent="0.25">
      <c r="A564" s="36">
        <v>1846</v>
      </c>
      <c r="B564" s="37">
        <v>43466</v>
      </c>
      <c r="C564" s="36"/>
      <c r="D564" s="36"/>
      <c r="E564" s="36" t="s">
        <v>58</v>
      </c>
      <c r="F564" s="38">
        <v>7245000</v>
      </c>
      <c r="G564" s="36" t="s">
        <v>8</v>
      </c>
      <c r="H564" s="36" t="s">
        <v>230</v>
      </c>
      <c r="I564" s="36"/>
      <c r="J564" s="36"/>
    </row>
    <row r="565" spans="1:10" x14ac:dyDescent="0.25">
      <c r="A565" s="36">
        <v>1846</v>
      </c>
      <c r="B565" s="37">
        <v>43497</v>
      </c>
      <c r="C565" s="36"/>
      <c r="D565" s="36"/>
      <c r="E565" s="36" t="s">
        <v>58</v>
      </c>
      <c r="F565" s="38">
        <v>7245000</v>
      </c>
      <c r="G565" s="36" t="s">
        <v>8</v>
      </c>
      <c r="H565" s="36" t="s">
        <v>230</v>
      </c>
      <c r="I565" s="36"/>
      <c r="J565" s="36"/>
    </row>
    <row r="566" spans="1:10" x14ac:dyDescent="0.25">
      <c r="A566" s="36">
        <v>1846</v>
      </c>
      <c r="B566" s="37">
        <v>43466</v>
      </c>
      <c r="C566" s="36"/>
      <c r="D566" s="36"/>
      <c r="E566" s="36" t="s">
        <v>59</v>
      </c>
      <c r="F566" s="38">
        <v>5118750</v>
      </c>
      <c r="G566" s="36" t="s">
        <v>8</v>
      </c>
      <c r="H566" s="36" t="s">
        <v>230</v>
      </c>
      <c r="I566" s="36"/>
      <c r="J566" s="36"/>
    </row>
    <row r="567" spans="1:10" x14ac:dyDescent="0.25">
      <c r="A567" s="36">
        <v>1846</v>
      </c>
      <c r="B567" s="37">
        <v>43497</v>
      </c>
      <c r="C567" s="36"/>
      <c r="D567" s="36"/>
      <c r="E567" s="36" t="s">
        <v>59</v>
      </c>
      <c r="F567" s="38">
        <v>5118750</v>
      </c>
      <c r="G567" s="36" t="s">
        <v>8</v>
      </c>
      <c r="H567" s="36" t="s">
        <v>230</v>
      </c>
      <c r="I567" s="36"/>
      <c r="J567" s="36"/>
    </row>
    <row r="568" spans="1:10" x14ac:dyDescent="0.25">
      <c r="A568" s="36">
        <v>1856</v>
      </c>
      <c r="B568" s="37">
        <v>43466</v>
      </c>
      <c r="C568" s="36"/>
      <c r="D568" s="36"/>
      <c r="E568" s="36" t="s">
        <v>9</v>
      </c>
      <c r="F568" s="38">
        <v>9910003.9500000011</v>
      </c>
      <c r="G568" s="36" t="s">
        <v>8</v>
      </c>
      <c r="H568" s="36" t="s">
        <v>228</v>
      </c>
      <c r="I568" s="36"/>
      <c r="J568" s="36"/>
    </row>
    <row r="569" spans="1:10" x14ac:dyDescent="0.25">
      <c r="A569" s="36">
        <v>1856</v>
      </c>
      <c r="B569" s="37">
        <v>43497</v>
      </c>
      <c r="C569" s="36"/>
      <c r="D569" s="36"/>
      <c r="E569" s="36" t="s">
        <v>9</v>
      </c>
      <c r="F569" s="38">
        <v>9910003.9500000011</v>
      </c>
      <c r="G569" s="36" t="s">
        <v>8</v>
      </c>
      <c r="H569" s="36" t="s">
        <v>228</v>
      </c>
      <c r="I569" s="36"/>
      <c r="J569" s="36"/>
    </row>
    <row r="570" spans="1:10" x14ac:dyDescent="0.25">
      <c r="A570" s="36">
        <v>1856</v>
      </c>
      <c r="B570" s="37">
        <v>43525</v>
      </c>
      <c r="C570" s="36"/>
      <c r="D570" s="36"/>
      <c r="E570" s="36" t="s">
        <v>9</v>
      </c>
      <c r="F570" s="38">
        <v>9910003.9500000011</v>
      </c>
      <c r="G570" s="36" t="s">
        <v>8</v>
      </c>
      <c r="H570" s="36" t="s">
        <v>228</v>
      </c>
      <c r="I570" s="36"/>
      <c r="J570" s="36"/>
    </row>
    <row r="571" spans="1:10" x14ac:dyDescent="0.25">
      <c r="A571" s="36">
        <v>1856</v>
      </c>
      <c r="B571" s="37">
        <v>43556</v>
      </c>
      <c r="C571" s="36"/>
      <c r="D571" s="36"/>
      <c r="E571" s="36" t="s">
        <v>9</v>
      </c>
      <c r="F571" s="38">
        <v>9910003.9500000011</v>
      </c>
      <c r="G571" s="36" t="s">
        <v>8</v>
      </c>
      <c r="H571" s="36" t="s">
        <v>228</v>
      </c>
      <c r="I571" s="36"/>
      <c r="J571" s="36"/>
    </row>
    <row r="572" spans="1:10" x14ac:dyDescent="0.25">
      <c r="A572" s="36">
        <v>1856</v>
      </c>
      <c r="B572" s="37">
        <v>43586</v>
      </c>
      <c r="C572" s="36"/>
      <c r="D572" s="36"/>
      <c r="E572" s="36" t="s">
        <v>9</v>
      </c>
      <c r="F572" s="38">
        <v>9910003.9500000011</v>
      </c>
      <c r="G572" s="36" t="s">
        <v>8</v>
      </c>
      <c r="H572" s="36" t="s">
        <v>228</v>
      </c>
      <c r="I572" s="36"/>
      <c r="J572" s="36"/>
    </row>
    <row r="573" spans="1:10" x14ac:dyDescent="0.25">
      <c r="A573" s="36">
        <v>1856</v>
      </c>
      <c r="B573" s="37">
        <v>43617</v>
      </c>
      <c r="C573" s="36"/>
      <c r="D573" s="36"/>
      <c r="E573" s="36" t="s">
        <v>9</v>
      </c>
      <c r="F573" s="38">
        <v>9910003.9500000011</v>
      </c>
      <c r="G573" s="36" t="s">
        <v>8</v>
      </c>
      <c r="H573" s="36" t="s">
        <v>228</v>
      </c>
      <c r="I573" s="36"/>
      <c r="J573" s="36"/>
    </row>
    <row r="574" spans="1:10" x14ac:dyDescent="0.25">
      <c r="A574" s="36">
        <v>1856</v>
      </c>
      <c r="B574" s="37">
        <v>43647</v>
      </c>
      <c r="C574" s="36"/>
      <c r="D574" s="36"/>
      <c r="E574" s="36" t="s">
        <v>9</v>
      </c>
      <c r="F574" s="38">
        <v>9910003.9500000011</v>
      </c>
      <c r="G574" s="36" t="s">
        <v>8</v>
      </c>
      <c r="H574" s="36" t="s">
        <v>228</v>
      </c>
      <c r="I574" s="36"/>
      <c r="J574" s="36"/>
    </row>
    <row r="575" spans="1:10" x14ac:dyDescent="0.25">
      <c r="A575" s="36">
        <v>1856</v>
      </c>
      <c r="B575" s="37">
        <v>43678</v>
      </c>
      <c r="C575" s="36"/>
      <c r="D575" s="36"/>
      <c r="E575" s="36" t="s">
        <v>9</v>
      </c>
      <c r="F575" s="38">
        <v>9910003.9500000011</v>
      </c>
      <c r="G575" s="36" t="s">
        <v>8</v>
      </c>
      <c r="H575" s="36" t="s">
        <v>228</v>
      </c>
      <c r="I575" s="36"/>
      <c r="J575" s="36"/>
    </row>
    <row r="576" spans="1:10" x14ac:dyDescent="0.25">
      <c r="A576" s="36">
        <v>1856</v>
      </c>
      <c r="B576" s="37">
        <v>43709</v>
      </c>
      <c r="C576" s="36"/>
      <c r="D576" s="36"/>
      <c r="E576" s="36" t="s">
        <v>9</v>
      </c>
      <c r="F576" s="38">
        <v>9910003.9500000011</v>
      </c>
      <c r="G576" s="36" t="s">
        <v>8</v>
      </c>
      <c r="H576" s="36" t="s">
        <v>228</v>
      </c>
      <c r="I576" s="36"/>
      <c r="J576" s="36"/>
    </row>
    <row r="577" spans="1:10" x14ac:dyDescent="0.25">
      <c r="A577" s="36">
        <v>1856</v>
      </c>
      <c r="B577" s="37">
        <v>43739</v>
      </c>
      <c r="C577" s="36"/>
      <c r="D577" s="36"/>
      <c r="E577" s="36" t="s">
        <v>9</v>
      </c>
      <c r="F577" s="38">
        <v>9910003.9500000011</v>
      </c>
      <c r="G577" s="36" t="s">
        <v>8</v>
      </c>
      <c r="H577" s="36" t="s">
        <v>228</v>
      </c>
      <c r="I577" s="36"/>
      <c r="J577" s="36"/>
    </row>
    <row r="578" spans="1:10" x14ac:dyDescent="0.25">
      <c r="A578" s="36">
        <v>1856</v>
      </c>
      <c r="B578" s="37">
        <v>43770</v>
      </c>
      <c r="C578" s="36"/>
      <c r="D578" s="36"/>
      <c r="E578" s="36" t="s">
        <v>9</v>
      </c>
      <c r="F578" s="38">
        <v>9910003.9500000011</v>
      </c>
      <c r="G578" s="36" t="s">
        <v>8</v>
      </c>
      <c r="H578" s="36" t="s">
        <v>228</v>
      </c>
      <c r="I578" s="36"/>
      <c r="J578" s="36"/>
    </row>
    <row r="579" spans="1:10" x14ac:dyDescent="0.25">
      <c r="A579" s="36">
        <v>1856</v>
      </c>
      <c r="B579" s="37">
        <v>43800</v>
      </c>
      <c r="C579" s="36"/>
      <c r="D579" s="36"/>
      <c r="E579" s="36" t="s">
        <v>9</v>
      </c>
      <c r="F579" s="38">
        <v>9910003.9500000011</v>
      </c>
      <c r="G579" s="36" t="s">
        <v>8</v>
      </c>
      <c r="H579" s="36" t="s">
        <v>228</v>
      </c>
      <c r="I579" s="36"/>
      <c r="J579" s="36"/>
    </row>
    <row r="580" spans="1:10" x14ac:dyDescent="0.25">
      <c r="A580" s="36">
        <v>1856</v>
      </c>
      <c r="B580" s="37">
        <v>43831</v>
      </c>
      <c r="C580" s="36"/>
      <c r="D580" s="36"/>
      <c r="E580" s="36" t="s">
        <v>9</v>
      </c>
      <c r="F580" s="38">
        <v>9910003.9500000011</v>
      </c>
      <c r="G580" s="36" t="s">
        <v>8</v>
      </c>
      <c r="H580" s="36" t="s">
        <v>228</v>
      </c>
      <c r="I580" s="36"/>
      <c r="J580" s="36"/>
    </row>
    <row r="581" spans="1:10" x14ac:dyDescent="0.25">
      <c r="A581" s="36">
        <v>1856</v>
      </c>
      <c r="B581" s="37">
        <v>43862</v>
      </c>
      <c r="C581" s="36"/>
      <c r="D581" s="36"/>
      <c r="E581" s="36" t="s">
        <v>9</v>
      </c>
      <c r="F581" s="38">
        <v>9910003.9500000011</v>
      </c>
      <c r="G581" s="36" t="s">
        <v>8</v>
      </c>
      <c r="H581" s="36" t="s">
        <v>228</v>
      </c>
      <c r="I581" s="36"/>
      <c r="J581" s="36"/>
    </row>
    <row r="582" spans="1:10" x14ac:dyDescent="0.25">
      <c r="A582" s="36">
        <v>1856</v>
      </c>
      <c r="B582" s="37">
        <v>43891</v>
      </c>
      <c r="C582" s="36"/>
      <c r="D582" s="36"/>
      <c r="E582" s="36" t="s">
        <v>9</v>
      </c>
      <c r="F582" s="38">
        <v>9910003.9500000011</v>
      </c>
      <c r="G582" s="36" t="s">
        <v>8</v>
      </c>
      <c r="H582" s="36" t="s">
        <v>228</v>
      </c>
      <c r="I582" s="36"/>
      <c r="J582" s="36"/>
    </row>
    <row r="583" spans="1:10" x14ac:dyDescent="0.25">
      <c r="A583" s="36">
        <v>1856</v>
      </c>
      <c r="B583" s="37">
        <v>43922</v>
      </c>
      <c r="C583" s="36"/>
      <c r="D583" s="36"/>
      <c r="E583" s="36" t="s">
        <v>9</v>
      </c>
      <c r="F583" s="38">
        <v>9910003.9500000011</v>
      </c>
      <c r="G583" s="36" t="s">
        <v>8</v>
      </c>
      <c r="H583" s="36" t="s">
        <v>228</v>
      </c>
      <c r="I583" s="36"/>
      <c r="J583" s="36"/>
    </row>
    <row r="584" spans="1:10" x14ac:dyDescent="0.25">
      <c r="A584" s="36">
        <v>1856</v>
      </c>
      <c r="B584" s="37">
        <v>43952</v>
      </c>
      <c r="C584" s="36"/>
      <c r="D584" s="36"/>
      <c r="E584" s="36" t="s">
        <v>9</v>
      </c>
      <c r="F584" s="38">
        <v>9910003.9500000011</v>
      </c>
      <c r="G584" s="36" t="s">
        <v>8</v>
      </c>
      <c r="H584" s="36" t="s">
        <v>228</v>
      </c>
      <c r="I584" s="36"/>
      <c r="J584" s="36"/>
    </row>
    <row r="585" spans="1:10" x14ac:dyDescent="0.25">
      <c r="A585" s="36">
        <v>1856</v>
      </c>
      <c r="B585" s="37">
        <v>43983</v>
      </c>
      <c r="C585" s="36"/>
      <c r="D585" s="36"/>
      <c r="E585" s="36" t="s">
        <v>9</v>
      </c>
      <c r="F585" s="38">
        <v>9910003.9500000011</v>
      </c>
      <c r="G585" s="36" t="s">
        <v>8</v>
      </c>
      <c r="H585" s="36" t="s">
        <v>228</v>
      </c>
      <c r="I585" s="36"/>
      <c r="J585" s="36"/>
    </row>
    <row r="586" spans="1:10" x14ac:dyDescent="0.25">
      <c r="A586" s="36">
        <v>1856</v>
      </c>
      <c r="B586" s="37">
        <v>44013</v>
      </c>
      <c r="C586" s="36"/>
      <c r="D586" s="36"/>
      <c r="E586" s="36" t="s">
        <v>9</v>
      </c>
      <c r="F586" s="38">
        <v>9910003.9500000011</v>
      </c>
      <c r="G586" s="36" t="s">
        <v>8</v>
      </c>
      <c r="H586" s="36" t="s">
        <v>228</v>
      </c>
      <c r="I586" s="36"/>
      <c r="J586" s="36"/>
    </row>
    <row r="587" spans="1:10" x14ac:dyDescent="0.25">
      <c r="A587" s="36">
        <v>1856</v>
      </c>
      <c r="B587" s="37">
        <v>44044</v>
      </c>
      <c r="C587" s="36"/>
      <c r="D587" s="36"/>
      <c r="E587" s="36" t="s">
        <v>9</v>
      </c>
      <c r="F587" s="38">
        <v>9910003.9500000011</v>
      </c>
      <c r="G587" s="36" t="s">
        <v>8</v>
      </c>
      <c r="H587" s="36" t="s">
        <v>228</v>
      </c>
      <c r="I587" s="36"/>
      <c r="J587" s="36"/>
    </row>
    <row r="588" spans="1:10" x14ac:dyDescent="0.25">
      <c r="A588" s="36">
        <v>1856</v>
      </c>
      <c r="B588" s="37">
        <v>44075</v>
      </c>
      <c r="C588" s="36"/>
      <c r="D588" s="36"/>
      <c r="E588" s="36" t="s">
        <v>9</v>
      </c>
      <c r="F588" s="38">
        <v>9910003.9500000011</v>
      </c>
      <c r="G588" s="36" t="s">
        <v>8</v>
      </c>
      <c r="H588" s="36" t="s">
        <v>228</v>
      </c>
      <c r="I588" s="36"/>
      <c r="J588" s="36"/>
    </row>
    <row r="589" spans="1:10" x14ac:dyDescent="0.25">
      <c r="A589" s="36">
        <v>1856</v>
      </c>
      <c r="B589" s="37">
        <v>44105</v>
      </c>
      <c r="C589" s="36"/>
      <c r="D589" s="36"/>
      <c r="E589" s="36" t="s">
        <v>9</v>
      </c>
      <c r="F589" s="38">
        <v>9910003.9500000011</v>
      </c>
      <c r="G589" s="36" t="s">
        <v>8</v>
      </c>
      <c r="H589" s="36" t="s">
        <v>228</v>
      </c>
      <c r="I589" s="36"/>
      <c r="J589" s="36"/>
    </row>
    <row r="590" spans="1:10" x14ac:dyDescent="0.25">
      <c r="A590" s="36">
        <v>1856</v>
      </c>
      <c r="B590" s="37">
        <v>44136</v>
      </c>
      <c r="C590" s="36"/>
      <c r="D590" s="36"/>
      <c r="E590" s="36" t="s">
        <v>9</v>
      </c>
      <c r="F590" s="38">
        <v>9910003.9500000011</v>
      </c>
      <c r="G590" s="36" t="s">
        <v>8</v>
      </c>
      <c r="H590" s="36" t="s">
        <v>228</v>
      </c>
      <c r="I590" s="36"/>
      <c r="J590" s="36"/>
    </row>
    <row r="591" spans="1:10" x14ac:dyDescent="0.25">
      <c r="A591" s="36">
        <v>1856</v>
      </c>
      <c r="B591" s="37">
        <v>44166</v>
      </c>
      <c r="C591" s="36"/>
      <c r="D591" s="36"/>
      <c r="E591" s="36" t="s">
        <v>9</v>
      </c>
      <c r="F591" s="38">
        <v>9910003.9500000011</v>
      </c>
      <c r="G591" s="36" t="s">
        <v>8</v>
      </c>
      <c r="H591" s="36" t="s">
        <v>228</v>
      </c>
      <c r="I591" s="36"/>
      <c r="J591" s="36"/>
    </row>
    <row r="592" spans="1:10" x14ac:dyDescent="0.25">
      <c r="A592" s="36">
        <v>1856</v>
      </c>
      <c r="B592" s="37">
        <v>44197</v>
      </c>
      <c r="C592" s="36"/>
      <c r="D592" s="36"/>
      <c r="E592" s="36" t="s">
        <v>9</v>
      </c>
      <c r="F592" s="38">
        <v>9910003.9500000011</v>
      </c>
      <c r="G592" s="36" t="s">
        <v>8</v>
      </c>
      <c r="H592" s="36" t="s">
        <v>228</v>
      </c>
      <c r="I592" s="36"/>
      <c r="J592" s="36"/>
    </row>
    <row r="593" spans="1:10" x14ac:dyDescent="0.25">
      <c r="A593" s="36">
        <v>1856</v>
      </c>
      <c r="B593" s="37">
        <v>44228</v>
      </c>
      <c r="C593" s="36"/>
      <c r="D593" s="36"/>
      <c r="E593" s="36" t="s">
        <v>9</v>
      </c>
      <c r="F593" s="38">
        <v>9910003.9500000011</v>
      </c>
      <c r="G593" s="36" t="s">
        <v>8</v>
      </c>
      <c r="H593" s="36" t="s">
        <v>228</v>
      </c>
      <c r="I593" s="36"/>
      <c r="J593" s="36"/>
    </row>
    <row r="594" spans="1:10" x14ac:dyDescent="0.25">
      <c r="A594" s="36">
        <v>1856</v>
      </c>
      <c r="B594" s="37">
        <v>43466</v>
      </c>
      <c r="C594" s="36"/>
      <c r="D594" s="36"/>
      <c r="E594" s="36" t="s">
        <v>60</v>
      </c>
      <c r="F594" s="38">
        <v>5019615.5309999995</v>
      </c>
      <c r="G594" s="36" t="s">
        <v>8</v>
      </c>
      <c r="H594" s="36" t="s">
        <v>228</v>
      </c>
      <c r="I594" s="36"/>
      <c r="J594" s="36"/>
    </row>
    <row r="595" spans="1:10" x14ac:dyDescent="0.25">
      <c r="A595" s="36">
        <v>1856</v>
      </c>
      <c r="B595" s="37">
        <v>43497</v>
      </c>
      <c r="C595" s="36"/>
      <c r="D595" s="36"/>
      <c r="E595" s="36" t="s">
        <v>60</v>
      </c>
      <c r="F595" s="38">
        <v>5019615.5309999995</v>
      </c>
      <c r="G595" s="36" t="s">
        <v>8</v>
      </c>
      <c r="H595" s="36" t="s">
        <v>228</v>
      </c>
      <c r="I595" s="36"/>
      <c r="J595" s="36"/>
    </row>
    <row r="596" spans="1:10" x14ac:dyDescent="0.25">
      <c r="A596" s="36">
        <v>1856</v>
      </c>
      <c r="B596" s="37">
        <v>43525</v>
      </c>
      <c r="C596" s="36"/>
      <c r="D596" s="36"/>
      <c r="E596" s="36" t="s">
        <v>60</v>
      </c>
      <c r="F596" s="38">
        <v>5019615.5309999995</v>
      </c>
      <c r="G596" s="36" t="s">
        <v>8</v>
      </c>
      <c r="H596" s="36" t="s">
        <v>228</v>
      </c>
      <c r="I596" s="36"/>
      <c r="J596" s="36"/>
    </row>
    <row r="597" spans="1:10" x14ac:dyDescent="0.25">
      <c r="A597" s="36">
        <v>1856</v>
      </c>
      <c r="B597" s="37">
        <v>43556</v>
      </c>
      <c r="C597" s="36"/>
      <c r="D597" s="36"/>
      <c r="E597" s="36" t="s">
        <v>60</v>
      </c>
      <c r="F597" s="38">
        <v>5019615.5309999995</v>
      </c>
      <c r="G597" s="36" t="s">
        <v>8</v>
      </c>
      <c r="H597" s="36" t="s">
        <v>228</v>
      </c>
      <c r="I597" s="36"/>
      <c r="J597" s="36"/>
    </row>
    <row r="598" spans="1:10" x14ac:dyDescent="0.25">
      <c r="A598" s="36">
        <v>1856</v>
      </c>
      <c r="B598" s="37">
        <v>43586</v>
      </c>
      <c r="C598" s="36"/>
      <c r="D598" s="36"/>
      <c r="E598" s="36" t="s">
        <v>60</v>
      </c>
      <c r="F598" s="38">
        <v>5019615.5309999995</v>
      </c>
      <c r="G598" s="36" t="s">
        <v>8</v>
      </c>
      <c r="H598" s="36" t="s">
        <v>228</v>
      </c>
      <c r="I598" s="36"/>
      <c r="J598" s="36"/>
    </row>
    <row r="599" spans="1:10" x14ac:dyDescent="0.25">
      <c r="A599" s="36">
        <v>1856</v>
      </c>
      <c r="B599" s="37">
        <v>43617</v>
      </c>
      <c r="C599" s="36"/>
      <c r="D599" s="36"/>
      <c r="E599" s="36" t="s">
        <v>60</v>
      </c>
      <c r="F599" s="38">
        <v>5019615.5309999995</v>
      </c>
      <c r="G599" s="36" t="s">
        <v>8</v>
      </c>
      <c r="H599" s="36" t="s">
        <v>228</v>
      </c>
      <c r="I599" s="36"/>
      <c r="J599" s="36"/>
    </row>
    <row r="600" spans="1:10" x14ac:dyDescent="0.25">
      <c r="A600" s="36">
        <v>1856</v>
      </c>
      <c r="B600" s="37">
        <v>43647</v>
      </c>
      <c r="C600" s="36"/>
      <c r="D600" s="36"/>
      <c r="E600" s="36" t="s">
        <v>60</v>
      </c>
      <c r="F600" s="38">
        <v>5019615.5309999995</v>
      </c>
      <c r="G600" s="36" t="s">
        <v>8</v>
      </c>
      <c r="H600" s="36" t="s">
        <v>228</v>
      </c>
      <c r="I600" s="36"/>
      <c r="J600" s="36"/>
    </row>
    <row r="601" spans="1:10" x14ac:dyDescent="0.25">
      <c r="A601" s="36">
        <v>1856</v>
      </c>
      <c r="B601" s="37">
        <v>43678</v>
      </c>
      <c r="C601" s="36"/>
      <c r="D601" s="36"/>
      <c r="E601" s="36" t="s">
        <v>60</v>
      </c>
      <c r="F601" s="38">
        <v>5019615.5309999995</v>
      </c>
      <c r="G601" s="36" t="s">
        <v>8</v>
      </c>
      <c r="H601" s="36" t="s">
        <v>228</v>
      </c>
      <c r="I601" s="36"/>
      <c r="J601" s="36"/>
    </row>
    <row r="602" spans="1:10" x14ac:dyDescent="0.25">
      <c r="A602" s="36">
        <v>1856</v>
      </c>
      <c r="B602" s="37">
        <v>43709</v>
      </c>
      <c r="C602" s="36"/>
      <c r="D602" s="36"/>
      <c r="E602" s="36" t="s">
        <v>60</v>
      </c>
      <c r="F602" s="38">
        <v>5019615.5309999995</v>
      </c>
      <c r="G602" s="36" t="s">
        <v>8</v>
      </c>
      <c r="H602" s="36" t="s">
        <v>228</v>
      </c>
      <c r="I602" s="36"/>
      <c r="J602" s="36"/>
    </row>
    <row r="603" spans="1:10" x14ac:dyDescent="0.25">
      <c r="A603" s="36">
        <v>1856</v>
      </c>
      <c r="B603" s="37">
        <v>43739</v>
      </c>
      <c r="C603" s="36"/>
      <c r="D603" s="36"/>
      <c r="E603" s="36" t="s">
        <v>60</v>
      </c>
      <c r="F603" s="38">
        <v>5019615.5309999995</v>
      </c>
      <c r="G603" s="36" t="s">
        <v>8</v>
      </c>
      <c r="H603" s="36" t="s">
        <v>228</v>
      </c>
      <c r="I603" s="36"/>
      <c r="J603" s="36"/>
    </row>
    <row r="604" spans="1:10" x14ac:dyDescent="0.25">
      <c r="A604" s="36">
        <v>1856</v>
      </c>
      <c r="B604" s="37">
        <v>43770</v>
      </c>
      <c r="C604" s="36"/>
      <c r="D604" s="36"/>
      <c r="E604" s="36" t="s">
        <v>60</v>
      </c>
      <c r="F604" s="38">
        <v>5019615.5309999995</v>
      </c>
      <c r="G604" s="36" t="s">
        <v>8</v>
      </c>
      <c r="H604" s="36" t="s">
        <v>228</v>
      </c>
      <c r="I604" s="36"/>
      <c r="J604" s="36"/>
    </row>
    <row r="605" spans="1:10" x14ac:dyDescent="0.25">
      <c r="A605" s="36">
        <v>1856</v>
      </c>
      <c r="B605" s="37">
        <v>43800</v>
      </c>
      <c r="C605" s="36"/>
      <c r="D605" s="36"/>
      <c r="E605" s="36" t="s">
        <v>60</v>
      </c>
      <c r="F605" s="38">
        <v>5019615.5309999995</v>
      </c>
      <c r="G605" s="36" t="s">
        <v>8</v>
      </c>
      <c r="H605" s="36" t="s">
        <v>228</v>
      </c>
      <c r="I605" s="36"/>
      <c r="J605" s="36"/>
    </row>
    <row r="606" spans="1:10" x14ac:dyDescent="0.25">
      <c r="A606" s="36">
        <v>1856</v>
      </c>
      <c r="B606" s="37">
        <v>43831</v>
      </c>
      <c r="C606" s="36"/>
      <c r="D606" s="36"/>
      <c r="E606" s="36" t="s">
        <v>60</v>
      </c>
      <c r="F606" s="38">
        <v>5019615.5309999995</v>
      </c>
      <c r="G606" s="36" t="s">
        <v>8</v>
      </c>
      <c r="H606" s="36" t="s">
        <v>228</v>
      </c>
      <c r="I606" s="36"/>
      <c r="J606" s="36"/>
    </row>
    <row r="607" spans="1:10" x14ac:dyDescent="0.25">
      <c r="A607" s="36">
        <v>1856</v>
      </c>
      <c r="B607" s="37">
        <v>43862</v>
      </c>
      <c r="C607" s="36"/>
      <c r="D607" s="36"/>
      <c r="E607" s="36" t="s">
        <v>60</v>
      </c>
      <c r="F607" s="38">
        <v>5019615.5309999995</v>
      </c>
      <c r="G607" s="36" t="s">
        <v>8</v>
      </c>
      <c r="H607" s="36" t="s">
        <v>228</v>
      </c>
      <c r="I607" s="36"/>
      <c r="J607" s="36"/>
    </row>
    <row r="608" spans="1:10" x14ac:dyDescent="0.25">
      <c r="A608" s="36">
        <v>1856</v>
      </c>
      <c r="B608" s="37">
        <v>43891</v>
      </c>
      <c r="C608" s="36"/>
      <c r="D608" s="36"/>
      <c r="E608" s="36" t="s">
        <v>60</v>
      </c>
      <c r="F608" s="38">
        <v>5019615.5309999995</v>
      </c>
      <c r="G608" s="36" t="s">
        <v>8</v>
      </c>
      <c r="H608" s="36" t="s">
        <v>228</v>
      </c>
      <c r="I608" s="36"/>
      <c r="J608" s="36"/>
    </row>
    <row r="609" spans="1:10" x14ac:dyDescent="0.25">
      <c r="A609" s="36">
        <v>1856</v>
      </c>
      <c r="B609" s="37">
        <v>43922</v>
      </c>
      <c r="C609" s="36"/>
      <c r="D609" s="36"/>
      <c r="E609" s="36" t="s">
        <v>60</v>
      </c>
      <c r="F609" s="38">
        <v>5019615.5309999995</v>
      </c>
      <c r="G609" s="36" t="s">
        <v>8</v>
      </c>
      <c r="H609" s="36" t="s">
        <v>228</v>
      </c>
      <c r="I609" s="36"/>
      <c r="J609" s="36"/>
    </row>
    <row r="610" spans="1:10" x14ac:dyDescent="0.25">
      <c r="A610" s="36">
        <v>1856</v>
      </c>
      <c r="B610" s="37">
        <v>43952</v>
      </c>
      <c r="C610" s="36"/>
      <c r="D610" s="36"/>
      <c r="E610" s="36" t="s">
        <v>60</v>
      </c>
      <c r="F610" s="38">
        <v>5019615.5309999995</v>
      </c>
      <c r="G610" s="36" t="s">
        <v>8</v>
      </c>
      <c r="H610" s="36" t="s">
        <v>228</v>
      </c>
      <c r="I610" s="36"/>
      <c r="J610" s="36"/>
    </row>
    <row r="611" spans="1:10" x14ac:dyDescent="0.25">
      <c r="A611" s="36">
        <v>1856</v>
      </c>
      <c r="B611" s="37">
        <v>43983</v>
      </c>
      <c r="C611" s="36"/>
      <c r="D611" s="36"/>
      <c r="E611" s="36" t="s">
        <v>60</v>
      </c>
      <c r="F611" s="38">
        <v>5019615.5309999995</v>
      </c>
      <c r="G611" s="36" t="s">
        <v>8</v>
      </c>
      <c r="H611" s="36" t="s">
        <v>228</v>
      </c>
      <c r="I611" s="36"/>
      <c r="J611" s="36"/>
    </row>
    <row r="612" spans="1:10" x14ac:dyDescent="0.25">
      <c r="A612" s="36">
        <v>1856</v>
      </c>
      <c r="B612" s="37">
        <v>44013</v>
      </c>
      <c r="C612" s="36"/>
      <c r="D612" s="36"/>
      <c r="E612" s="36" t="s">
        <v>60</v>
      </c>
      <c r="F612" s="38">
        <v>5019615.5309999995</v>
      </c>
      <c r="G612" s="36" t="s">
        <v>8</v>
      </c>
      <c r="H612" s="36" t="s">
        <v>228</v>
      </c>
      <c r="I612" s="36"/>
      <c r="J612" s="36"/>
    </row>
    <row r="613" spans="1:10" x14ac:dyDescent="0.25">
      <c r="A613" s="36">
        <v>1856</v>
      </c>
      <c r="B613" s="37">
        <v>44044</v>
      </c>
      <c r="C613" s="36"/>
      <c r="D613" s="36"/>
      <c r="E613" s="36" t="s">
        <v>60</v>
      </c>
      <c r="F613" s="38">
        <v>5019615.5309999995</v>
      </c>
      <c r="G613" s="36" t="s">
        <v>8</v>
      </c>
      <c r="H613" s="36" t="s">
        <v>228</v>
      </c>
      <c r="I613" s="36"/>
      <c r="J613" s="36"/>
    </row>
    <row r="614" spans="1:10" x14ac:dyDescent="0.25">
      <c r="A614" s="36">
        <v>1856</v>
      </c>
      <c r="B614" s="37">
        <v>44075</v>
      </c>
      <c r="C614" s="36"/>
      <c r="D614" s="36"/>
      <c r="E614" s="36" t="s">
        <v>60</v>
      </c>
      <c r="F614" s="38">
        <v>5019615.5309999995</v>
      </c>
      <c r="G614" s="36" t="s">
        <v>8</v>
      </c>
      <c r="H614" s="36" t="s">
        <v>228</v>
      </c>
      <c r="I614" s="36"/>
      <c r="J614" s="36"/>
    </row>
    <row r="615" spans="1:10" x14ac:dyDescent="0.25">
      <c r="A615" s="36">
        <v>1856</v>
      </c>
      <c r="B615" s="37">
        <v>44105</v>
      </c>
      <c r="C615" s="36"/>
      <c r="D615" s="36"/>
      <c r="E615" s="36" t="s">
        <v>60</v>
      </c>
      <c r="F615" s="38">
        <v>5019615.5309999995</v>
      </c>
      <c r="G615" s="36" t="s">
        <v>8</v>
      </c>
      <c r="H615" s="36" t="s">
        <v>228</v>
      </c>
      <c r="I615" s="36"/>
      <c r="J615" s="36"/>
    </row>
    <row r="616" spans="1:10" x14ac:dyDescent="0.25">
      <c r="A616" s="36">
        <v>1856</v>
      </c>
      <c r="B616" s="37">
        <v>44136</v>
      </c>
      <c r="C616" s="36"/>
      <c r="D616" s="36"/>
      <c r="E616" s="36" t="s">
        <v>60</v>
      </c>
      <c r="F616" s="38">
        <v>5019615.5309999995</v>
      </c>
      <c r="G616" s="36" t="s">
        <v>8</v>
      </c>
      <c r="H616" s="36" t="s">
        <v>228</v>
      </c>
      <c r="I616" s="36"/>
      <c r="J616" s="36"/>
    </row>
    <row r="617" spans="1:10" x14ac:dyDescent="0.25">
      <c r="A617" s="36">
        <v>1856</v>
      </c>
      <c r="B617" s="37">
        <v>44166</v>
      </c>
      <c r="C617" s="36"/>
      <c r="D617" s="36"/>
      <c r="E617" s="36" t="s">
        <v>60</v>
      </c>
      <c r="F617" s="38">
        <v>5019615.5309999995</v>
      </c>
      <c r="G617" s="36" t="s">
        <v>8</v>
      </c>
      <c r="H617" s="36" t="s">
        <v>228</v>
      </c>
      <c r="I617" s="36"/>
      <c r="J617" s="36"/>
    </row>
    <row r="618" spans="1:10" x14ac:dyDescent="0.25">
      <c r="A618" s="36">
        <v>1856</v>
      </c>
      <c r="B618" s="37">
        <v>44197</v>
      </c>
      <c r="C618" s="36"/>
      <c r="D618" s="36"/>
      <c r="E618" s="36" t="s">
        <v>60</v>
      </c>
      <c r="F618" s="38">
        <v>5019615.5309999995</v>
      </c>
      <c r="G618" s="36" t="s">
        <v>8</v>
      </c>
      <c r="H618" s="36" t="s">
        <v>228</v>
      </c>
      <c r="I618" s="36"/>
      <c r="J618" s="36"/>
    </row>
    <row r="619" spans="1:10" x14ac:dyDescent="0.25">
      <c r="A619" s="36">
        <v>1856</v>
      </c>
      <c r="B619" s="37">
        <v>43466</v>
      </c>
      <c r="C619" s="36"/>
      <c r="D619" s="36"/>
      <c r="E619" s="36" t="s">
        <v>28</v>
      </c>
      <c r="F619" s="38">
        <v>4260730.9499999993</v>
      </c>
      <c r="G619" s="36" t="s">
        <v>8</v>
      </c>
      <c r="H619" s="36" t="s">
        <v>228</v>
      </c>
      <c r="I619" s="36"/>
      <c r="J619" s="36"/>
    </row>
    <row r="620" spans="1:10" x14ac:dyDescent="0.25">
      <c r="A620" s="36">
        <v>1856</v>
      </c>
      <c r="B620" s="37">
        <v>43497</v>
      </c>
      <c r="C620" s="36"/>
      <c r="D620" s="36"/>
      <c r="E620" s="36" t="s">
        <v>28</v>
      </c>
      <c r="F620" s="38">
        <v>4260730.9499999993</v>
      </c>
      <c r="G620" s="36" t="s">
        <v>8</v>
      </c>
      <c r="H620" s="36" t="s">
        <v>228</v>
      </c>
      <c r="I620" s="36"/>
      <c r="J620" s="36"/>
    </row>
    <row r="621" spans="1:10" x14ac:dyDescent="0.25">
      <c r="A621" s="36">
        <v>1856</v>
      </c>
      <c r="B621" s="37">
        <v>43525</v>
      </c>
      <c r="C621" s="36"/>
      <c r="D621" s="36"/>
      <c r="E621" s="36" t="s">
        <v>28</v>
      </c>
      <c r="F621" s="38">
        <v>4260730.9499999993</v>
      </c>
      <c r="G621" s="36" t="s">
        <v>8</v>
      </c>
      <c r="H621" s="36" t="s">
        <v>228</v>
      </c>
      <c r="I621" s="36"/>
      <c r="J621" s="36"/>
    </row>
    <row r="622" spans="1:10" x14ac:dyDescent="0.25">
      <c r="A622" s="36">
        <v>1856</v>
      </c>
      <c r="B622" s="37">
        <v>43556</v>
      </c>
      <c r="C622" s="36"/>
      <c r="D622" s="36"/>
      <c r="E622" s="36" t="s">
        <v>28</v>
      </c>
      <c r="F622" s="38">
        <v>4260730.9499999993</v>
      </c>
      <c r="G622" s="36" t="s">
        <v>8</v>
      </c>
      <c r="H622" s="36" t="s">
        <v>228</v>
      </c>
      <c r="I622" s="36"/>
      <c r="J622" s="36"/>
    </row>
    <row r="623" spans="1:10" x14ac:dyDescent="0.25">
      <c r="A623" s="36">
        <v>1856</v>
      </c>
      <c r="B623" s="37">
        <v>43586</v>
      </c>
      <c r="C623" s="36"/>
      <c r="D623" s="36"/>
      <c r="E623" s="36" t="s">
        <v>28</v>
      </c>
      <c r="F623" s="38">
        <v>4260730.9499999993</v>
      </c>
      <c r="G623" s="36" t="s">
        <v>8</v>
      </c>
      <c r="H623" s="36" t="s">
        <v>228</v>
      </c>
      <c r="I623" s="36"/>
      <c r="J623" s="36"/>
    </row>
    <row r="624" spans="1:10" x14ac:dyDescent="0.25">
      <c r="A624" s="36">
        <v>1856</v>
      </c>
      <c r="B624" s="37">
        <v>43617</v>
      </c>
      <c r="C624" s="36"/>
      <c r="D624" s="36"/>
      <c r="E624" s="36" t="s">
        <v>28</v>
      </c>
      <c r="F624" s="38">
        <v>4260730.9499999993</v>
      </c>
      <c r="G624" s="36" t="s">
        <v>8</v>
      </c>
      <c r="H624" s="36" t="s">
        <v>228</v>
      </c>
      <c r="I624" s="36"/>
      <c r="J624" s="36"/>
    </row>
    <row r="625" spans="1:10" x14ac:dyDescent="0.25">
      <c r="A625" s="36">
        <v>1856</v>
      </c>
      <c r="B625" s="37">
        <v>43647</v>
      </c>
      <c r="C625" s="36"/>
      <c r="D625" s="36"/>
      <c r="E625" s="36" t="s">
        <v>28</v>
      </c>
      <c r="F625" s="38">
        <v>4260730.9499999993</v>
      </c>
      <c r="G625" s="36" t="s">
        <v>8</v>
      </c>
      <c r="H625" s="36" t="s">
        <v>228</v>
      </c>
      <c r="I625" s="36"/>
      <c r="J625" s="36"/>
    </row>
    <row r="626" spans="1:10" x14ac:dyDescent="0.25">
      <c r="A626" s="36">
        <v>1856</v>
      </c>
      <c r="B626" s="37">
        <v>43678</v>
      </c>
      <c r="C626" s="36"/>
      <c r="D626" s="36"/>
      <c r="E626" s="36" t="s">
        <v>28</v>
      </c>
      <c r="F626" s="38">
        <v>4260730.9499999993</v>
      </c>
      <c r="G626" s="36" t="s">
        <v>8</v>
      </c>
      <c r="H626" s="36" t="s">
        <v>228</v>
      </c>
      <c r="I626" s="36"/>
      <c r="J626" s="36"/>
    </row>
    <row r="627" spans="1:10" x14ac:dyDescent="0.25">
      <c r="A627" s="36">
        <v>1856</v>
      </c>
      <c r="B627" s="37">
        <v>43466</v>
      </c>
      <c r="C627" s="36"/>
      <c r="D627" s="36"/>
      <c r="E627" s="36" t="s">
        <v>61</v>
      </c>
      <c r="F627" s="38">
        <v>3984270.0974999997</v>
      </c>
      <c r="G627" s="36" t="s">
        <v>8</v>
      </c>
      <c r="H627" s="36" t="s">
        <v>228</v>
      </c>
      <c r="I627" s="36"/>
      <c r="J627" s="36"/>
    </row>
    <row r="628" spans="1:10" x14ac:dyDescent="0.25">
      <c r="A628" s="36">
        <v>1856</v>
      </c>
      <c r="B628" s="37">
        <v>43466</v>
      </c>
      <c r="C628" s="36"/>
      <c r="D628" s="36"/>
      <c r="E628" s="36" t="s">
        <v>23</v>
      </c>
      <c r="F628" s="38">
        <v>4205787.0750000002</v>
      </c>
      <c r="G628" s="36" t="s">
        <v>8</v>
      </c>
      <c r="H628" s="36" t="s">
        <v>228</v>
      </c>
      <c r="I628" s="36"/>
      <c r="J628" s="36"/>
    </row>
    <row r="629" spans="1:10" x14ac:dyDescent="0.25">
      <c r="A629" s="36">
        <v>1856</v>
      </c>
      <c r="B629" s="37">
        <v>43497</v>
      </c>
      <c r="C629" s="36"/>
      <c r="D629" s="36"/>
      <c r="E629" s="36" t="s">
        <v>23</v>
      </c>
      <c r="F629" s="38">
        <v>4205787.0750000002</v>
      </c>
      <c r="G629" s="36" t="s">
        <v>8</v>
      </c>
      <c r="H629" s="36" t="s">
        <v>228</v>
      </c>
      <c r="I629" s="36"/>
      <c r="J629" s="36"/>
    </row>
    <row r="630" spans="1:10" x14ac:dyDescent="0.25">
      <c r="A630" s="36">
        <v>1856</v>
      </c>
      <c r="B630" s="37">
        <v>43525</v>
      </c>
      <c r="C630" s="36"/>
      <c r="D630" s="36"/>
      <c r="E630" s="36" t="s">
        <v>23</v>
      </c>
      <c r="F630" s="38">
        <v>4205787.0750000002</v>
      </c>
      <c r="G630" s="36" t="s">
        <v>8</v>
      </c>
      <c r="H630" s="36" t="s">
        <v>228</v>
      </c>
      <c r="I630" s="36"/>
      <c r="J630" s="36"/>
    </row>
    <row r="631" spans="1:10" x14ac:dyDescent="0.25">
      <c r="A631" s="36">
        <v>1856</v>
      </c>
      <c r="B631" s="37">
        <v>43556</v>
      </c>
      <c r="C631" s="36"/>
      <c r="D631" s="36"/>
      <c r="E631" s="36" t="s">
        <v>23</v>
      </c>
      <c r="F631" s="38">
        <v>4205787.0750000002</v>
      </c>
      <c r="G631" s="36" t="s">
        <v>8</v>
      </c>
      <c r="H631" s="36" t="s">
        <v>228</v>
      </c>
      <c r="I631" s="36"/>
      <c r="J631" s="36"/>
    </row>
    <row r="632" spans="1:10" x14ac:dyDescent="0.25">
      <c r="A632" s="36">
        <v>1856</v>
      </c>
      <c r="B632" s="37">
        <v>43586</v>
      </c>
      <c r="C632" s="36"/>
      <c r="D632" s="36"/>
      <c r="E632" s="36" t="s">
        <v>23</v>
      </c>
      <c r="F632" s="38">
        <v>4205787.0750000002</v>
      </c>
      <c r="G632" s="36" t="s">
        <v>8</v>
      </c>
      <c r="H632" s="36" t="s">
        <v>228</v>
      </c>
      <c r="I632" s="36"/>
      <c r="J632" s="36"/>
    </row>
    <row r="633" spans="1:10" x14ac:dyDescent="0.25">
      <c r="A633" s="36">
        <v>1856</v>
      </c>
      <c r="B633" s="37">
        <v>43617</v>
      </c>
      <c r="C633" s="36"/>
      <c r="D633" s="36"/>
      <c r="E633" s="36" t="s">
        <v>23</v>
      </c>
      <c r="F633" s="38">
        <v>4205787.0750000002</v>
      </c>
      <c r="G633" s="36" t="s">
        <v>8</v>
      </c>
      <c r="H633" s="36" t="s">
        <v>228</v>
      </c>
      <c r="I633" s="36"/>
      <c r="J633" s="36"/>
    </row>
    <row r="634" spans="1:10" x14ac:dyDescent="0.25">
      <c r="A634" s="36">
        <v>1856</v>
      </c>
      <c r="B634" s="37">
        <v>43647</v>
      </c>
      <c r="C634" s="36"/>
      <c r="D634" s="36"/>
      <c r="E634" s="36" t="s">
        <v>23</v>
      </c>
      <c r="F634" s="38">
        <v>4205787.0750000002</v>
      </c>
      <c r="G634" s="36" t="s">
        <v>8</v>
      </c>
      <c r="H634" s="36" t="s">
        <v>228</v>
      </c>
      <c r="I634" s="36"/>
      <c r="J634" s="36"/>
    </row>
    <row r="635" spans="1:10" x14ac:dyDescent="0.25">
      <c r="A635" s="36">
        <v>1856</v>
      </c>
      <c r="B635" s="37">
        <v>43678</v>
      </c>
      <c r="C635" s="36"/>
      <c r="D635" s="36"/>
      <c r="E635" s="36" t="s">
        <v>23</v>
      </c>
      <c r="F635" s="38">
        <v>4205787.0750000002</v>
      </c>
      <c r="G635" s="36" t="s">
        <v>8</v>
      </c>
      <c r="H635" s="36" t="s">
        <v>228</v>
      </c>
      <c r="I635" s="36"/>
      <c r="J635" s="36"/>
    </row>
    <row r="636" spans="1:10" x14ac:dyDescent="0.25">
      <c r="A636" s="36">
        <v>1856</v>
      </c>
      <c r="B636" s="37">
        <v>43709</v>
      </c>
      <c r="C636" s="36"/>
      <c r="D636" s="36"/>
      <c r="E636" s="36" t="s">
        <v>23</v>
      </c>
      <c r="F636" s="38">
        <v>4205787.0750000002</v>
      </c>
      <c r="G636" s="36" t="s">
        <v>8</v>
      </c>
      <c r="H636" s="36" t="s">
        <v>228</v>
      </c>
      <c r="I636" s="36"/>
      <c r="J636" s="36"/>
    </row>
    <row r="637" spans="1:10" x14ac:dyDescent="0.25">
      <c r="A637" s="36">
        <v>1856</v>
      </c>
      <c r="B637" s="37">
        <v>43739</v>
      </c>
      <c r="C637" s="36"/>
      <c r="D637" s="36"/>
      <c r="E637" s="36" t="s">
        <v>23</v>
      </c>
      <c r="F637" s="38">
        <v>4205787.0750000002</v>
      </c>
      <c r="G637" s="36" t="s">
        <v>8</v>
      </c>
      <c r="H637" s="36" t="s">
        <v>228</v>
      </c>
      <c r="I637" s="36"/>
      <c r="J637" s="36"/>
    </row>
    <row r="638" spans="1:10" x14ac:dyDescent="0.25">
      <c r="A638" s="36">
        <v>1856</v>
      </c>
      <c r="B638" s="37">
        <v>43770</v>
      </c>
      <c r="C638" s="36"/>
      <c r="D638" s="36"/>
      <c r="E638" s="36" t="s">
        <v>23</v>
      </c>
      <c r="F638" s="38">
        <v>4205787.0750000002</v>
      </c>
      <c r="G638" s="36" t="s">
        <v>8</v>
      </c>
      <c r="H638" s="36" t="s">
        <v>228</v>
      </c>
      <c r="I638" s="36"/>
      <c r="J638" s="36"/>
    </row>
    <row r="639" spans="1:10" x14ac:dyDescent="0.25">
      <c r="A639" s="36">
        <v>1856</v>
      </c>
      <c r="B639" s="37">
        <v>43800</v>
      </c>
      <c r="C639" s="36"/>
      <c r="D639" s="36"/>
      <c r="E639" s="36" t="s">
        <v>23</v>
      </c>
      <c r="F639" s="38">
        <v>4205787.0750000002</v>
      </c>
      <c r="G639" s="36" t="s">
        <v>8</v>
      </c>
      <c r="H639" s="36" t="s">
        <v>228</v>
      </c>
      <c r="I639" s="36"/>
      <c r="J639" s="36"/>
    </row>
    <row r="640" spans="1:10" x14ac:dyDescent="0.25">
      <c r="A640" s="36">
        <v>1856</v>
      </c>
      <c r="B640" s="37">
        <v>43831</v>
      </c>
      <c r="C640" s="36"/>
      <c r="D640" s="36"/>
      <c r="E640" s="36" t="s">
        <v>23</v>
      </c>
      <c r="F640" s="38">
        <v>4205787.0750000002</v>
      </c>
      <c r="G640" s="36" t="s">
        <v>8</v>
      </c>
      <c r="H640" s="36" t="s">
        <v>228</v>
      </c>
      <c r="I640" s="36"/>
      <c r="J640" s="36"/>
    </row>
    <row r="641" spans="1:10" x14ac:dyDescent="0.25">
      <c r="A641" s="36">
        <v>1856</v>
      </c>
      <c r="B641" s="37">
        <v>43862</v>
      </c>
      <c r="C641" s="36"/>
      <c r="D641" s="36"/>
      <c r="E641" s="36" t="s">
        <v>23</v>
      </c>
      <c r="F641" s="38">
        <v>4205787.0750000002</v>
      </c>
      <c r="G641" s="36" t="s">
        <v>8</v>
      </c>
      <c r="H641" s="36" t="s">
        <v>228</v>
      </c>
      <c r="I641" s="36"/>
      <c r="J641" s="36"/>
    </row>
    <row r="642" spans="1:10" x14ac:dyDescent="0.25">
      <c r="A642" s="36">
        <v>1856</v>
      </c>
      <c r="B642" s="37">
        <v>43891</v>
      </c>
      <c r="C642" s="36"/>
      <c r="D642" s="36"/>
      <c r="E642" s="36" t="s">
        <v>23</v>
      </c>
      <c r="F642" s="38">
        <v>4205787.0750000002</v>
      </c>
      <c r="G642" s="36" t="s">
        <v>8</v>
      </c>
      <c r="H642" s="36" t="s">
        <v>228</v>
      </c>
      <c r="I642" s="36"/>
      <c r="J642" s="36"/>
    </row>
    <row r="643" spans="1:10" x14ac:dyDescent="0.25">
      <c r="A643" s="36">
        <v>1856</v>
      </c>
      <c r="B643" s="37">
        <v>43922</v>
      </c>
      <c r="C643" s="36"/>
      <c r="D643" s="36"/>
      <c r="E643" s="36" t="s">
        <v>23</v>
      </c>
      <c r="F643" s="38">
        <v>4205787.0750000002</v>
      </c>
      <c r="G643" s="36" t="s">
        <v>8</v>
      </c>
      <c r="H643" s="36" t="s">
        <v>228</v>
      </c>
      <c r="I643" s="36"/>
      <c r="J643" s="36"/>
    </row>
    <row r="644" spans="1:10" x14ac:dyDescent="0.25">
      <c r="A644" s="36">
        <v>1856</v>
      </c>
      <c r="B644" s="37">
        <v>43952</v>
      </c>
      <c r="C644" s="36"/>
      <c r="D644" s="36"/>
      <c r="E644" s="36" t="s">
        <v>23</v>
      </c>
      <c r="F644" s="38">
        <v>4205787.0750000002</v>
      </c>
      <c r="G644" s="36" t="s">
        <v>8</v>
      </c>
      <c r="H644" s="36" t="s">
        <v>228</v>
      </c>
      <c r="I644" s="36"/>
      <c r="J644" s="36"/>
    </row>
    <row r="645" spans="1:10" x14ac:dyDescent="0.25">
      <c r="A645" s="36">
        <v>1856</v>
      </c>
      <c r="B645" s="37">
        <v>43983</v>
      </c>
      <c r="C645" s="36"/>
      <c r="D645" s="36"/>
      <c r="E645" s="36" t="s">
        <v>23</v>
      </c>
      <c r="F645" s="38">
        <v>4205787.0750000002</v>
      </c>
      <c r="G645" s="36" t="s">
        <v>8</v>
      </c>
      <c r="H645" s="36" t="s">
        <v>228</v>
      </c>
      <c r="I645" s="36"/>
      <c r="J645" s="36"/>
    </row>
    <row r="646" spans="1:10" x14ac:dyDescent="0.25">
      <c r="A646" s="36">
        <v>1856</v>
      </c>
      <c r="B646" s="37">
        <v>44013</v>
      </c>
      <c r="C646" s="36"/>
      <c r="D646" s="36"/>
      <c r="E646" s="36" t="s">
        <v>23</v>
      </c>
      <c r="F646" s="38">
        <v>4205787.0750000002</v>
      </c>
      <c r="G646" s="36" t="s">
        <v>8</v>
      </c>
      <c r="H646" s="36" t="s">
        <v>228</v>
      </c>
      <c r="I646" s="36"/>
      <c r="J646" s="36"/>
    </row>
    <row r="647" spans="1:10" x14ac:dyDescent="0.25">
      <c r="A647" s="36">
        <v>1856</v>
      </c>
      <c r="B647" s="37">
        <v>44044</v>
      </c>
      <c r="C647" s="36"/>
      <c r="D647" s="36"/>
      <c r="E647" s="36" t="s">
        <v>23</v>
      </c>
      <c r="F647" s="38">
        <v>4205787.0750000002</v>
      </c>
      <c r="G647" s="36" t="s">
        <v>8</v>
      </c>
      <c r="H647" s="36" t="s">
        <v>228</v>
      </c>
      <c r="I647" s="36"/>
      <c r="J647" s="36"/>
    </row>
    <row r="648" spans="1:10" x14ac:dyDescent="0.25">
      <c r="A648" s="36">
        <v>1856</v>
      </c>
      <c r="B648" s="37">
        <v>44075</v>
      </c>
      <c r="C648" s="36"/>
      <c r="D648" s="36"/>
      <c r="E648" s="36" t="s">
        <v>23</v>
      </c>
      <c r="F648" s="38">
        <v>4205787.0750000002</v>
      </c>
      <c r="G648" s="36" t="s">
        <v>8</v>
      </c>
      <c r="H648" s="36" t="s">
        <v>228</v>
      </c>
      <c r="I648" s="36"/>
      <c r="J648" s="36"/>
    </row>
    <row r="649" spans="1:10" x14ac:dyDescent="0.25">
      <c r="A649" s="36">
        <v>1856</v>
      </c>
      <c r="B649" s="37">
        <v>44105</v>
      </c>
      <c r="C649" s="36"/>
      <c r="D649" s="36"/>
      <c r="E649" s="36" t="s">
        <v>23</v>
      </c>
      <c r="F649" s="38">
        <v>4205787.0750000002</v>
      </c>
      <c r="G649" s="36" t="s">
        <v>8</v>
      </c>
      <c r="H649" s="36" t="s">
        <v>228</v>
      </c>
      <c r="I649" s="36"/>
      <c r="J649" s="36"/>
    </row>
    <row r="650" spans="1:10" x14ac:dyDescent="0.25">
      <c r="A650" s="36">
        <v>1856</v>
      </c>
      <c r="B650" s="37">
        <v>44136</v>
      </c>
      <c r="C650" s="36"/>
      <c r="D650" s="36"/>
      <c r="E650" s="36" t="s">
        <v>23</v>
      </c>
      <c r="F650" s="38">
        <v>4205787.0750000002</v>
      </c>
      <c r="G650" s="36" t="s">
        <v>8</v>
      </c>
      <c r="H650" s="36" t="s">
        <v>228</v>
      </c>
      <c r="I650" s="36"/>
      <c r="J650" s="36"/>
    </row>
    <row r="651" spans="1:10" x14ac:dyDescent="0.25">
      <c r="A651" s="36">
        <v>1856</v>
      </c>
      <c r="B651" s="37">
        <v>44166</v>
      </c>
      <c r="C651" s="36"/>
      <c r="D651" s="36"/>
      <c r="E651" s="36" t="s">
        <v>23</v>
      </c>
      <c r="F651" s="38">
        <v>4205787.0750000002</v>
      </c>
      <c r="G651" s="36" t="s">
        <v>8</v>
      </c>
      <c r="H651" s="36" t="s">
        <v>228</v>
      </c>
      <c r="I651" s="36"/>
      <c r="J651" s="36"/>
    </row>
    <row r="652" spans="1:10" x14ac:dyDescent="0.25">
      <c r="A652" s="36">
        <v>1856</v>
      </c>
      <c r="B652" s="37">
        <v>44197</v>
      </c>
      <c r="C652" s="36"/>
      <c r="D652" s="36"/>
      <c r="E652" s="36" t="s">
        <v>23</v>
      </c>
      <c r="F652" s="38">
        <v>4205787.0750000002</v>
      </c>
      <c r="G652" s="36" t="s">
        <v>8</v>
      </c>
      <c r="H652" s="36" t="s">
        <v>228</v>
      </c>
      <c r="I652" s="36"/>
      <c r="J652" s="36"/>
    </row>
    <row r="653" spans="1:10" x14ac:dyDescent="0.25">
      <c r="A653" s="36">
        <v>1856</v>
      </c>
      <c r="B653" s="37">
        <v>43556</v>
      </c>
      <c r="C653" s="36"/>
      <c r="D653" s="36"/>
      <c r="E653" s="36" t="s">
        <v>21</v>
      </c>
      <c r="F653" s="38">
        <v>6444668.4750000006</v>
      </c>
      <c r="G653" s="36" t="s">
        <v>8</v>
      </c>
      <c r="H653" s="36" t="s">
        <v>228</v>
      </c>
      <c r="I653" s="36"/>
      <c r="J653" s="36"/>
    </row>
    <row r="654" spans="1:10" x14ac:dyDescent="0.25">
      <c r="A654" s="36">
        <v>1856</v>
      </c>
      <c r="B654" s="37">
        <v>43586</v>
      </c>
      <c r="C654" s="36"/>
      <c r="D654" s="36"/>
      <c r="E654" s="36" t="s">
        <v>21</v>
      </c>
      <c r="F654" s="38">
        <v>6444668.4750000006</v>
      </c>
      <c r="G654" s="36" t="s">
        <v>8</v>
      </c>
      <c r="H654" s="36" t="s">
        <v>228</v>
      </c>
      <c r="I654" s="36"/>
      <c r="J654" s="36"/>
    </row>
    <row r="655" spans="1:10" x14ac:dyDescent="0.25">
      <c r="A655" s="36">
        <v>1856</v>
      </c>
      <c r="B655" s="37">
        <v>43617</v>
      </c>
      <c r="C655" s="36"/>
      <c r="D655" s="36"/>
      <c r="E655" s="36" t="s">
        <v>21</v>
      </c>
      <c r="F655" s="38">
        <v>6444668.4750000006</v>
      </c>
      <c r="G655" s="36" t="s">
        <v>8</v>
      </c>
      <c r="H655" s="36" t="s">
        <v>228</v>
      </c>
      <c r="I655" s="36"/>
      <c r="J655" s="36"/>
    </row>
    <row r="656" spans="1:10" x14ac:dyDescent="0.25">
      <c r="A656" s="36">
        <v>1856</v>
      </c>
      <c r="B656" s="37">
        <v>43647</v>
      </c>
      <c r="C656" s="36"/>
      <c r="D656" s="36"/>
      <c r="E656" s="36" t="s">
        <v>21</v>
      </c>
      <c r="F656" s="38">
        <v>6444668.4750000006</v>
      </c>
      <c r="G656" s="36" t="s">
        <v>8</v>
      </c>
      <c r="H656" s="36" t="s">
        <v>228</v>
      </c>
      <c r="I656" s="36"/>
      <c r="J656" s="36"/>
    </row>
    <row r="657" spans="1:10" x14ac:dyDescent="0.25">
      <c r="A657" s="36">
        <v>1856</v>
      </c>
      <c r="B657" s="37">
        <v>43678</v>
      </c>
      <c r="C657" s="36"/>
      <c r="D657" s="36"/>
      <c r="E657" s="36" t="s">
        <v>21</v>
      </c>
      <c r="F657" s="38">
        <v>6444668.4750000006</v>
      </c>
      <c r="G657" s="36" t="s">
        <v>8</v>
      </c>
      <c r="H657" s="36" t="s">
        <v>228</v>
      </c>
      <c r="I657" s="36"/>
      <c r="J657" s="36"/>
    </row>
    <row r="658" spans="1:10" x14ac:dyDescent="0.25">
      <c r="A658" s="36">
        <v>1856</v>
      </c>
      <c r="B658" s="37">
        <v>43709</v>
      </c>
      <c r="C658" s="36"/>
      <c r="D658" s="36"/>
      <c r="E658" s="36" t="s">
        <v>21</v>
      </c>
      <c r="F658" s="38">
        <v>6444668.4750000006</v>
      </c>
      <c r="G658" s="36" t="s">
        <v>8</v>
      </c>
      <c r="H658" s="36" t="s">
        <v>228</v>
      </c>
      <c r="I658" s="36"/>
      <c r="J658" s="36"/>
    </row>
    <row r="659" spans="1:10" x14ac:dyDescent="0.25">
      <c r="A659" s="36">
        <v>1856</v>
      </c>
      <c r="B659" s="37">
        <v>43739</v>
      </c>
      <c r="C659" s="36"/>
      <c r="D659" s="36"/>
      <c r="E659" s="36" t="s">
        <v>21</v>
      </c>
      <c r="F659" s="38">
        <v>6444668.4750000006</v>
      </c>
      <c r="G659" s="36" t="s">
        <v>8</v>
      </c>
      <c r="H659" s="36" t="s">
        <v>228</v>
      </c>
      <c r="I659" s="36"/>
      <c r="J659" s="36"/>
    </row>
    <row r="660" spans="1:10" x14ac:dyDescent="0.25">
      <c r="A660" s="36">
        <v>1856</v>
      </c>
      <c r="B660" s="37">
        <v>43770</v>
      </c>
      <c r="C660" s="36"/>
      <c r="D660" s="36"/>
      <c r="E660" s="36" t="s">
        <v>21</v>
      </c>
      <c r="F660" s="38">
        <v>6444668.4750000006</v>
      </c>
      <c r="G660" s="36" t="s">
        <v>8</v>
      </c>
      <c r="H660" s="36" t="s">
        <v>228</v>
      </c>
      <c r="I660" s="36"/>
      <c r="J660" s="36"/>
    </row>
    <row r="661" spans="1:10" x14ac:dyDescent="0.25">
      <c r="A661" s="36">
        <v>1856</v>
      </c>
      <c r="B661" s="37">
        <v>43800</v>
      </c>
      <c r="C661" s="36"/>
      <c r="D661" s="36"/>
      <c r="E661" s="36" t="s">
        <v>21</v>
      </c>
      <c r="F661" s="38">
        <v>6444668.4750000006</v>
      </c>
      <c r="G661" s="36" t="s">
        <v>8</v>
      </c>
      <c r="H661" s="36" t="s">
        <v>228</v>
      </c>
      <c r="I661" s="36"/>
      <c r="J661" s="36"/>
    </row>
    <row r="662" spans="1:10" x14ac:dyDescent="0.25">
      <c r="A662" s="36">
        <v>1856</v>
      </c>
      <c r="B662" s="37">
        <v>43831</v>
      </c>
      <c r="C662" s="36"/>
      <c r="D662" s="36"/>
      <c r="E662" s="36" t="s">
        <v>21</v>
      </c>
      <c r="F662" s="38">
        <v>6444668.4750000006</v>
      </c>
      <c r="G662" s="36" t="s">
        <v>8</v>
      </c>
      <c r="H662" s="36" t="s">
        <v>228</v>
      </c>
      <c r="I662" s="36"/>
      <c r="J662" s="36"/>
    </row>
    <row r="663" spans="1:10" x14ac:dyDescent="0.25">
      <c r="A663" s="36">
        <v>1856</v>
      </c>
      <c r="B663" s="37">
        <v>43862</v>
      </c>
      <c r="C663" s="36"/>
      <c r="D663" s="36"/>
      <c r="E663" s="36" t="s">
        <v>21</v>
      </c>
      <c r="F663" s="38">
        <v>6444668.4750000006</v>
      </c>
      <c r="G663" s="36" t="s">
        <v>8</v>
      </c>
      <c r="H663" s="36" t="s">
        <v>228</v>
      </c>
      <c r="I663" s="36"/>
      <c r="J663" s="36"/>
    </row>
    <row r="664" spans="1:10" x14ac:dyDescent="0.25">
      <c r="A664" s="36">
        <v>1856</v>
      </c>
      <c r="B664" s="37">
        <v>43891</v>
      </c>
      <c r="C664" s="36"/>
      <c r="D664" s="36"/>
      <c r="E664" s="36" t="s">
        <v>21</v>
      </c>
      <c r="F664" s="38">
        <v>6444668.4750000006</v>
      </c>
      <c r="G664" s="36" t="s">
        <v>8</v>
      </c>
      <c r="H664" s="36" t="s">
        <v>228</v>
      </c>
      <c r="I664" s="36"/>
      <c r="J664" s="36"/>
    </row>
    <row r="665" spans="1:10" x14ac:dyDescent="0.25">
      <c r="A665" s="36">
        <v>1856</v>
      </c>
      <c r="B665" s="37">
        <v>43922</v>
      </c>
      <c r="C665" s="36"/>
      <c r="D665" s="36"/>
      <c r="E665" s="36" t="s">
        <v>21</v>
      </c>
      <c r="F665" s="38">
        <v>6444668.4750000006</v>
      </c>
      <c r="G665" s="36" t="s">
        <v>8</v>
      </c>
      <c r="H665" s="36" t="s">
        <v>228</v>
      </c>
      <c r="I665" s="36"/>
      <c r="J665" s="36"/>
    </row>
    <row r="666" spans="1:10" x14ac:dyDescent="0.25">
      <c r="A666" s="36">
        <v>1856</v>
      </c>
      <c r="B666" s="37">
        <v>43952</v>
      </c>
      <c r="C666" s="36"/>
      <c r="D666" s="36"/>
      <c r="E666" s="36" t="s">
        <v>21</v>
      </c>
      <c r="F666" s="38">
        <v>6444668.4750000006</v>
      </c>
      <c r="G666" s="36" t="s">
        <v>8</v>
      </c>
      <c r="H666" s="36" t="s">
        <v>228</v>
      </c>
      <c r="I666" s="36"/>
      <c r="J666" s="36"/>
    </row>
    <row r="667" spans="1:10" x14ac:dyDescent="0.25">
      <c r="A667" s="36">
        <v>1856</v>
      </c>
      <c r="B667" s="37">
        <v>43983</v>
      </c>
      <c r="C667" s="36"/>
      <c r="D667" s="36"/>
      <c r="E667" s="36" t="s">
        <v>21</v>
      </c>
      <c r="F667" s="38">
        <v>6444668.4750000006</v>
      </c>
      <c r="G667" s="36" t="s">
        <v>8</v>
      </c>
      <c r="H667" s="36" t="s">
        <v>228</v>
      </c>
      <c r="I667" s="36"/>
      <c r="J667" s="36"/>
    </row>
    <row r="668" spans="1:10" x14ac:dyDescent="0.25">
      <c r="A668" s="36">
        <v>1856</v>
      </c>
      <c r="B668" s="37">
        <v>44013</v>
      </c>
      <c r="C668" s="36"/>
      <c r="D668" s="36"/>
      <c r="E668" s="36" t="s">
        <v>21</v>
      </c>
      <c r="F668" s="38">
        <v>6444668.4750000006</v>
      </c>
      <c r="G668" s="36" t="s">
        <v>8</v>
      </c>
      <c r="H668" s="36" t="s">
        <v>228</v>
      </c>
      <c r="I668" s="36"/>
      <c r="J668" s="36"/>
    </row>
    <row r="669" spans="1:10" x14ac:dyDescent="0.25">
      <c r="A669" s="36">
        <v>1856</v>
      </c>
      <c r="B669" s="37">
        <v>44044</v>
      </c>
      <c r="C669" s="36"/>
      <c r="D669" s="36"/>
      <c r="E669" s="36" t="s">
        <v>21</v>
      </c>
      <c r="F669" s="38">
        <v>6444668.4750000006</v>
      </c>
      <c r="G669" s="36" t="s">
        <v>8</v>
      </c>
      <c r="H669" s="36" t="s">
        <v>228</v>
      </c>
      <c r="I669" s="36"/>
      <c r="J669" s="36"/>
    </row>
    <row r="670" spans="1:10" x14ac:dyDescent="0.25">
      <c r="A670" s="36">
        <v>1856</v>
      </c>
      <c r="B670" s="37">
        <v>44075</v>
      </c>
      <c r="C670" s="36"/>
      <c r="D670" s="36"/>
      <c r="E670" s="36" t="s">
        <v>21</v>
      </c>
      <c r="F670" s="38">
        <v>6444668.4750000006</v>
      </c>
      <c r="G670" s="36" t="s">
        <v>8</v>
      </c>
      <c r="H670" s="36" t="s">
        <v>228</v>
      </c>
      <c r="I670" s="36"/>
      <c r="J670" s="36"/>
    </row>
    <row r="671" spans="1:10" x14ac:dyDescent="0.25">
      <c r="A671" s="36">
        <v>1856</v>
      </c>
      <c r="B671" s="37">
        <v>44105</v>
      </c>
      <c r="C671" s="36"/>
      <c r="D671" s="36"/>
      <c r="E671" s="36" t="s">
        <v>21</v>
      </c>
      <c r="F671" s="38">
        <v>6444668.4750000006</v>
      </c>
      <c r="G671" s="36" t="s">
        <v>8</v>
      </c>
      <c r="H671" s="36" t="s">
        <v>228</v>
      </c>
      <c r="I671" s="36"/>
      <c r="J671" s="36"/>
    </row>
    <row r="672" spans="1:10" x14ac:dyDescent="0.25">
      <c r="A672" s="36">
        <v>1856</v>
      </c>
      <c r="B672" s="37">
        <v>44136</v>
      </c>
      <c r="C672" s="36"/>
      <c r="D672" s="36"/>
      <c r="E672" s="36" t="s">
        <v>21</v>
      </c>
      <c r="F672" s="38">
        <v>6444668.4750000006</v>
      </c>
      <c r="G672" s="36" t="s">
        <v>8</v>
      </c>
      <c r="H672" s="36" t="s">
        <v>228</v>
      </c>
      <c r="I672" s="36"/>
      <c r="J672" s="36"/>
    </row>
    <row r="673" spans="1:10" x14ac:dyDescent="0.25">
      <c r="A673" s="36">
        <v>1856</v>
      </c>
      <c r="B673" s="37">
        <v>44166</v>
      </c>
      <c r="C673" s="36"/>
      <c r="D673" s="36"/>
      <c r="E673" s="36" t="s">
        <v>21</v>
      </c>
      <c r="F673" s="38">
        <v>6444668.4750000006</v>
      </c>
      <c r="G673" s="36" t="s">
        <v>8</v>
      </c>
      <c r="H673" s="36" t="s">
        <v>228</v>
      </c>
      <c r="I673" s="36"/>
      <c r="J673" s="36"/>
    </row>
    <row r="674" spans="1:10" x14ac:dyDescent="0.25">
      <c r="A674" s="36">
        <v>1856</v>
      </c>
      <c r="B674" s="37">
        <v>44197</v>
      </c>
      <c r="C674" s="36"/>
      <c r="D674" s="36"/>
      <c r="E674" s="36" t="s">
        <v>21</v>
      </c>
      <c r="F674" s="38">
        <v>6444668.4750000006</v>
      </c>
      <c r="G674" s="36" t="s">
        <v>8</v>
      </c>
      <c r="H674" s="36" t="s">
        <v>228</v>
      </c>
      <c r="I674" s="36"/>
      <c r="J674" s="36"/>
    </row>
    <row r="675" spans="1:10" x14ac:dyDescent="0.25">
      <c r="A675" s="36">
        <v>1860</v>
      </c>
      <c r="B675" s="37">
        <v>43466</v>
      </c>
      <c r="C675" s="36"/>
      <c r="D675" s="36"/>
      <c r="E675" s="36" t="s">
        <v>7</v>
      </c>
      <c r="F675" s="38">
        <v>1905120.0000000002</v>
      </c>
      <c r="G675" s="36" t="s">
        <v>8</v>
      </c>
      <c r="H675" s="36" t="s">
        <v>8</v>
      </c>
      <c r="I675" s="36"/>
      <c r="J675" s="36"/>
    </row>
    <row r="676" spans="1:10" x14ac:dyDescent="0.25">
      <c r="A676" s="36">
        <v>1860</v>
      </c>
      <c r="B676" s="37">
        <v>43497</v>
      </c>
      <c r="C676" s="36"/>
      <c r="D676" s="36"/>
      <c r="E676" s="36" t="s">
        <v>7</v>
      </c>
      <c r="F676" s="38">
        <v>1905120.0000000002</v>
      </c>
      <c r="G676" s="36" t="s">
        <v>8</v>
      </c>
      <c r="H676" s="36" t="s">
        <v>8</v>
      </c>
      <c r="I676" s="36"/>
      <c r="J676" s="36"/>
    </row>
    <row r="677" spans="1:10" x14ac:dyDescent="0.25">
      <c r="A677" s="36">
        <v>1860</v>
      </c>
      <c r="B677" s="37">
        <v>43525</v>
      </c>
      <c r="C677" s="36"/>
      <c r="D677" s="36"/>
      <c r="E677" s="36" t="s">
        <v>7</v>
      </c>
      <c r="F677" s="38">
        <v>1905120.0000000002</v>
      </c>
      <c r="G677" s="36" t="s">
        <v>8</v>
      </c>
      <c r="H677" s="36" t="s">
        <v>8</v>
      </c>
      <c r="I677" s="36"/>
      <c r="J677" s="36"/>
    </row>
    <row r="678" spans="1:10" x14ac:dyDescent="0.25">
      <c r="A678" s="36">
        <v>1860</v>
      </c>
      <c r="B678" s="37">
        <v>43556</v>
      </c>
      <c r="C678" s="36"/>
      <c r="D678" s="36"/>
      <c r="E678" s="36" t="s">
        <v>7</v>
      </c>
      <c r="F678" s="38">
        <v>1905120.0000000002</v>
      </c>
      <c r="G678" s="36" t="s">
        <v>8</v>
      </c>
      <c r="H678" s="36" t="s">
        <v>8</v>
      </c>
      <c r="I678" s="36"/>
      <c r="J678" s="36"/>
    </row>
    <row r="679" spans="1:10" x14ac:dyDescent="0.25">
      <c r="A679" s="36">
        <v>1860</v>
      </c>
      <c r="B679" s="37">
        <v>43586</v>
      </c>
      <c r="C679" s="36"/>
      <c r="D679" s="36"/>
      <c r="E679" s="36" t="s">
        <v>7</v>
      </c>
      <c r="F679" s="38">
        <v>1905120.0000000002</v>
      </c>
      <c r="G679" s="36" t="s">
        <v>8</v>
      </c>
      <c r="H679" s="36" t="s">
        <v>8</v>
      </c>
      <c r="I679" s="36"/>
      <c r="J679" s="36"/>
    </row>
    <row r="680" spans="1:10" x14ac:dyDescent="0.25">
      <c r="A680" s="36">
        <v>1860</v>
      </c>
      <c r="B680" s="37">
        <v>43617</v>
      </c>
      <c r="C680" s="36"/>
      <c r="D680" s="36"/>
      <c r="E680" s="36" t="s">
        <v>7</v>
      </c>
      <c r="F680" s="38">
        <v>1905120.0000000002</v>
      </c>
      <c r="G680" s="36" t="s">
        <v>8</v>
      </c>
      <c r="H680" s="36" t="s">
        <v>8</v>
      </c>
      <c r="I680" s="36"/>
      <c r="J680" s="36"/>
    </row>
    <row r="681" spans="1:10" x14ac:dyDescent="0.25">
      <c r="A681" s="36">
        <v>1860</v>
      </c>
      <c r="B681" s="37">
        <v>43647</v>
      </c>
      <c r="C681" s="36"/>
      <c r="D681" s="36"/>
      <c r="E681" s="36" t="s">
        <v>7</v>
      </c>
      <c r="F681" s="38">
        <v>1905120.0000000002</v>
      </c>
      <c r="G681" s="36" t="s">
        <v>8</v>
      </c>
      <c r="H681" s="36" t="s">
        <v>8</v>
      </c>
      <c r="I681" s="36"/>
      <c r="J681" s="36"/>
    </row>
    <row r="682" spans="1:10" x14ac:dyDescent="0.25">
      <c r="A682" s="36">
        <v>1860</v>
      </c>
      <c r="B682" s="37">
        <v>43678</v>
      </c>
      <c r="C682" s="36"/>
      <c r="D682" s="36"/>
      <c r="E682" s="36" t="s">
        <v>7</v>
      </c>
      <c r="F682" s="38">
        <v>1905120.0000000002</v>
      </c>
      <c r="G682" s="36" t="s">
        <v>8</v>
      </c>
      <c r="H682" s="36" t="s">
        <v>8</v>
      </c>
      <c r="I682" s="36"/>
      <c r="J682" s="36"/>
    </row>
    <row r="683" spans="1:10" x14ac:dyDescent="0.25">
      <c r="A683" s="36">
        <v>1860</v>
      </c>
      <c r="B683" s="37">
        <v>43709</v>
      </c>
      <c r="C683" s="36"/>
      <c r="D683" s="36"/>
      <c r="E683" s="36" t="s">
        <v>7</v>
      </c>
      <c r="F683" s="38">
        <v>1905120.0000000002</v>
      </c>
      <c r="G683" s="36" t="s">
        <v>8</v>
      </c>
      <c r="H683" s="36" t="s">
        <v>8</v>
      </c>
      <c r="I683" s="36"/>
      <c r="J683" s="36"/>
    </row>
    <row r="684" spans="1:10" x14ac:dyDescent="0.25">
      <c r="A684" s="36">
        <v>1860</v>
      </c>
      <c r="B684" s="37">
        <v>43739</v>
      </c>
      <c r="C684" s="36"/>
      <c r="D684" s="36"/>
      <c r="E684" s="36" t="s">
        <v>7</v>
      </c>
      <c r="F684" s="38">
        <v>1905120.0000000002</v>
      </c>
      <c r="G684" s="36" t="s">
        <v>8</v>
      </c>
      <c r="H684" s="36" t="s">
        <v>8</v>
      </c>
      <c r="I684" s="36"/>
      <c r="J684" s="36"/>
    </row>
    <row r="685" spans="1:10" x14ac:dyDescent="0.25">
      <c r="A685" s="36">
        <v>1860</v>
      </c>
      <c r="B685" s="37">
        <v>43770</v>
      </c>
      <c r="C685" s="36"/>
      <c r="D685" s="36"/>
      <c r="E685" s="36" t="s">
        <v>7</v>
      </c>
      <c r="F685" s="38">
        <v>1905120.0000000002</v>
      </c>
      <c r="G685" s="36" t="s">
        <v>8</v>
      </c>
      <c r="H685" s="36" t="s">
        <v>8</v>
      </c>
      <c r="I685" s="36"/>
      <c r="J685" s="36"/>
    </row>
    <row r="686" spans="1:10" x14ac:dyDescent="0.25">
      <c r="A686" s="36">
        <v>1860</v>
      </c>
      <c r="B686" s="37">
        <v>43800</v>
      </c>
      <c r="C686" s="36"/>
      <c r="D686" s="36"/>
      <c r="E686" s="36" t="s">
        <v>7</v>
      </c>
      <c r="F686" s="38">
        <v>1905120.0000000002</v>
      </c>
      <c r="G686" s="36" t="s">
        <v>8</v>
      </c>
      <c r="H686" s="36" t="s">
        <v>8</v>
      </c>
      <c r="I686" s="36"/>
      <c r="J686" s="36"/>
    </row>
    <row r="687" spans="1:10" x14ac:dyDescent="0.25">
      <c r="A687" s="36">
        <v>1860</v>
      </c>
      <c r="B687" s="37">
        <v>43831</v>
      </c>
      <c r="C687" s="36"/>
      <c r="D687" s="36"/>
      <c r="E687" s="36" t="s">
        <v>7</v>
      </c>
      <c r="F687" s="38">
        <v>1905120.0000000002</v>
      </c>
      <c r="G687" s="36" t="s">
        <v>8</v>
      </c>
      <c r="H687" s="36" t="s">
        <v>8</v>
      </c>
      <c r="I687" s="36"/>
      <c r="J687" s="36"/>
    </row>
    <row r="688" spans="1:10" x14ac:dyDescent="0.25">
      <c r="A688" s="36">
        <v>1860</v>
      </c>
      <c r="B688" s="37">
        <v>43862</v>
      </c>
      <c r="C688" s="36"/>
      <c r="D688" s="36"/>
      <c r="E688" s="36" t="s">
        <v>7</v>
      </c>
      <c r="F688" s="38">
        <v>1905120.0000000002</v>
      </c>
      <c r="G688" s="36" t="s">
        <v>8</v>
      </c>
      <c r="H688" s="36" t="s">
        <v>8</v>
      </c>
      <c r="I688" s="36"/>
      <c r="J688" s="36"/>
    </row>
    <row r="689" spans="1:10" x14ac:dyDescent="0.25">
      <c r="A689" s="36">
        <v>1860</v>
      </c>
      <c r="B689" s="37">
        <v>43891</v>
      </c>
      <c r="C689" s="36"/>
      <c r="D689" s="36"/>
      <c r="E689" s="36" t="s">
        <v>7</v>
      </c>
      <c r="F689" s="38">
        <v>1905120.0000000002</v>
      </c>
      <c r="G689" s="36" t="s">
        <v>8</v>
      </c>
      <c r="H689" s="36" t="s">
        <v>8</v>
      </c>
      <c r="I689" s="36"/>
      <c r="J689" s="36"/>
    </row>
    <row r="690" spans="1:10" x14ac:dyDescent="0.25">
      <c r="A690" s="36">
        <v>1860</v>
      </c>
      <c r="B690" s="37">
        <v>43922</v>
      </c>
      <c r="C690" s="36"/>
      <c r="D690" s="36"/>
      <c r="E690" s="36" t="s">
        <v>7</v>
      </c>
      <c r="F690" s="38">
        <v>1905120.0000000002</v>
      </c>
      <c r="G690" s="36" t="s">
        <v>8</v>
      </c>
      <c r="H690" s="36" t="s">
        <v>8</v>
      </c>
      <c r="I690" s="36"/>
      <c r="J690" s="36"/>
    </row>
    <row r="691" spans="1:10" x14ac:dyDescent="0.25">
      <c r="A691" s="36">
        <v>1860</v>
      </c>
      <c r="B691" s="37">
        <v>43952</v>
      </c>
      <c r="C691" s="36"/>
      <c r="D691" s="36"/>
      <c r="E691" s="36" t="s">
        <v>7</v>
      </c>
      <c r="F691" s="38">
        <v>1905120.0000000002</v>
      </c>
      <c r="G691" s="36" t="s">
        <v>8</v>
      </c>
      <c r="H691" s="36" t="s">
        <v>8</v>
      </c>
      <c r="I691" s="36"/>
      <c r="J691" s="36"/>
    </row>
    <row r="692" spans="1:10" x14ac:dyDescent="0.25">
      <c r="A692" s="36">
        <v>1860</v>
      </c>
      <c r="B692" s="37">
        <v>43983</v>
      </c>
      <c r="C692" s="36"/>
      <c r="D692" s="36"/>
      <c r="E692" s="36" t="s">
        <v>7</v>
      </c>
      <c r="F692" s="38">
        <v>1905120.0000000002</v>
      </c>
      <c r="G692" s="36" t="s">
        <v>8</v>
      </c>
      <c r="H692" s="36" t="s">
        <v>8</v>
      </c>
      <c r="I692" s="36"/>
      <c r="J692" s="36"/>
    </row>
    <row r="693" spans="1:10" x14ac:dyDescent="0.25">
      <c r="A693" s="36">
        <v>1860</v>
      </c>
      <c r="B693" s="37">
        <v>44013</v>
      </c>
      <c r="C693" s="36"/>
      <c r="D693" s="36"/>
      <c r="E693" s="36" t="s">
        <v>7</v>
      </c>
      <c r="F693" s="38">
        <v>1905120.0000000002</v>
      </c>
      <c r="G693" s="36" t="s">
        <v>8</v>
      </c>
      <c r="H693" s="36" t="s">
        <v>8</v>
      </c>
      <c r="I693" s="36"/>
      <c r="J693" s="36"/>
    </row>
    <row r="694" spans="1:10" x14ac:dyDescent="0.25">
      <c r="A694" s="36">
        <v>1860</v>
      </c>
      <c r="B694" s="37">
        <v>44044</v>
      </c>
      <c r="C694" s="36"/>
      <c r="D694" s="36"/>
      <c r="E694" s="36" t="s">
        <v>7</v>
      </c>
      <c r="F694" s="38">
        <v>1905120.0000000002</v>
      </c>
      <c r="G694" s="36" t="s">
        <v>8</v>
      </c>
      <c r="H694" s="36" t="s">
        <v>8</v>
      </c>
      <c r="I694" s="36"/>
      <c r="J694" s="36"/>
    </row>
    <row r="695" spans="1:10" x14ac:dyDescent="0.25">
      <c r="A695" s="36">
        <v>1860</v>
      </c>
      <c r="B695" s="37">
        <v>44075</v>
      </c>
      <c r="C695" s="36"/>
      <c r="D695" s="36"/>
      <c r="E695" s="36" t="s">
        <v>7</v>
      </c>
      <c r="F695" s="38">
        <v>1905120.0000000002</v>
      </c>
      <c r="G695" s="36" t="s">
        <v>8</v>
      </c>
      <c r="H695" s="36" t="s">
        <v>8</v>
      </c>
      <c r="I695" s="36"/>
      <c r="J695" s="36"/>
    </row>
    <row r="696" spans="1:10" x14ac:dyDescent="0.25">
      <c r="A696" s="36">
        <v>1860</v>
      </c>
      <c r="B696" s="37">
        <v>44105</v>
      </c>
      <c r="C696" s="36"/>
      <c r="D696" s="36"/>
      <c r="E696" s="36" t="s">
        <v>7</v>
      </c>
      <c r="F696" s="38">
        <v>1905120.0000000002</v>
      </c>
      <c r="G696" s="36" t="s">
        <v>8</v>
      </c>
      <c r="H696" s="36" t="s">
        <v>8</v>
      </c>
      <c r="I696" s="36"/>
      <c r="J696" s="36"/>
    </row>
    <row r="697" spans="1:10" x14ac:dyDescent="0.25">
      <c r="A697" s="36">
        <v>1860</v>
      </c>
      <c r="B697" s="37">
        <v>44136</v>
      </c>
      <c r="C697" s="36"/>
      <c r="D697" s="36"/>
      <c r="E697" s="36" t="s">
        <v>7</v>
      </c>
      <c r="F697" s="38">
        <v>1905120.0000000002</v>
      </c>
      <c r="G697" s="36" t="s">
        <v>8</v>
      </c>
      <c r="H697" s="36" t="s">
        <v>8</v>
      </c>
      <c r="I697" s="36"/>
      <c r="J697" s="36"/>
    </row>
    <row r="698" spans="1:10" x14ac:dyDescent="0.25">
      <c r="A698" s="36">
        <v>1860</v>
      </c>
      <c r="B698" s="37">
        <v>44166</v>
      </c>
      <c r="C698" s="36"/>
      <c r="D698" s="36"/>
      <c r="E698" s="36" t="s">
        <v>7</v>
      </c>
      <c r="F698" s="38">
        <v>1905120.0000000002</v>
      </c>
      <c r="G698" s="36" t="s">
        <v>8</v>
      </c>
      <c r="H698" s="36" t="s">
        <v>8</v>
      </c>
      <c r="I698" s="36"/>
      <c r="J698" s="36"/>
    </row>
    <row r="699" spans="1:10" x14ac:dyDescent="0.25">
      <c r="A699" s="36">
        <v>1860</v>
      </c>
      <c r="B699" s="37">
        <v>44197</v>
      </c>
      <c r="C699" s="36"/>
      <c r="D699" s="36"/>
      <c r="E699" s="36" t="s">
        <v>7</v>
      </c>
      <c r="F699" s="38">
        <v>1905120.0000000002</v>
      </c>
      <c r="G699" s="36" t="s">
        <v>8</v>
      </c>
      <c r="H699" s="36" t="s">
        <v>8</v>
      </c>
      <c r="I699" s="36"/>
      <c r="J699" s="36"/>
    </row>
    <row r="700" spans="1:10" x14ac:dyDescent="0.25">
      <c r="A700" s="36">
        <v>1860</v>
      </c>
      <c r="B700" s="37">
        <v>44228</v>
      </c>
      <c r="C700" s="36"/>
      <c r="D700" s="36"/>
      <c r="E700" s="36" t="s">
        <v>7</v>
      </c>
      <c r="F700" s="38">
        <v>1905120.0000000002</v>
      </c>
      <c r="G700" s="36" t="s">
        <v>8</v>
      </c>
      <c r="H700" s="36" t="s">
        <v>8</v>
      </c>
      <c r="I700" s="36"/>
      <c r="J700" s="36"/>
    </row>
    <row r="701" spans="1:10" x14ac:dyDescent="0.25">
      <c r="A701" s="36">
        <v>1860</v>
      </c>
      <c r="B701" s="37">
        <v>44256</v>
      </c>
      <c r="C701" s="36"/>
      <c r="D701" s="36"/>
      <c r="E701" s="36" t="s">
        <v>7</v>
      </c>
      <c r="F701" s="38">
        <v>1905120.0000000002</v>
      </c>
      <c r="G701" s="36" t="s">
        <v>8</v>
      </c>
      <c r="H701" s="36" t="s">
        <v>8</v>
      </c>
      <c r="I701" s="36"/>
      <c r="J701" s="36"/>
    </row>
    <row r="702" spans="1:10" x14ac:dyDescent="0.25">
      <c r="A702" s="36">
        <v>1860</v>
      </c>
      <c r="B702" s="37">
        <v>44287</v>
      </c>
      <c r="C702" s="36"/>
      <c r="D702" s="36"/>
      <c r="E702" s="36" t="s">
        <v>7</v>
      </c>
      <c r="F702" s="38">
        <v>1905120.0000000002</v>
      </c>
      <c r="G702" s="36" t="s">
        <v>8</v>
      </c>
      <c r="H702" s="36" t="s">
        <v>8</v>
      </c>
      <c r="I702" s="36"/>
      <c r="J702" s="36"/>
    </row>
    <row r="703" spans="1:10" x14ac:dyDescent="0.25">
      <c r="A703" s="36">
        <v>1860</v>
      </c>
      <c r="B703" s="37">
        <v>44044</v>
      </c>
      <c r="C703" s="36"/>
      <c r="D703" s="36"/>
      <c r="E703" s="36" t="s">
        <v>28</v>
      </c>
      <c r="F703" s="38">
        <v>3923324.9999999995</v>
      </c>
      <c r="G703" s="36" t="s">
        <v>8</v>
      </c>
      <c r="H703" s="36" t="s">
        <v>8</v>
      </c>
      <c r="I703" s="36"/>
      <c r="J703" s="36"/>
    </row>
    <row r="704" spans="1:10" x14ac:dyDescent="0.25">
      <c r="A704" s="36">
        <v>1860</v>
      </c>
      <c r="B704" s="37">
        <v>44075</v>
      </c>
      <c r="C704" s="36"/>
      <c r="D704" s="36"/>
      <c r="E704" s="36" t="s">
        <v>28</v>
      </c>
      <c r="F704" s="38">
        <v>3923324.9999999995</v>
      </c>
      <c r="G704" s="36" t="s">
        <v>8</v>
      </c>
      <c r="H704" s="36" t="s">
        <v>8</v>
      </c>
      <c r="I704" s="36"/>
      <c r="J704" s="36"/>
    </row>
    <row r="705" spans="1:10" x14ac:dyDescent="0.25">
      <c r="A705" s="36">
        <v>1860</v>
      </c>
      <c r="B705" s="37">
        <v>44105</v>
      </c>
      <c r="C705" s="36"/>
      <c r="D705" s="36"/>
      <c r="E705" s="36" t="s">
        <v>28</v>
      </c>
      <c r="F705" s="38">
        <v>3923324.9999999995</v>
      </c>
      <c r="G705" s="36" t="s">
        <v>8</v>
      </c>
      <c r="H705" s="36" t="s">
        <v>8</v>
      </c>
      <c r="I705" s="36"/>
      <c r="J705" s="36"/>
    </row>
    <row r="706" spans="1:10" x14ac:dyDescent="0.25">
      <c r="A706" s="36">
        <v>1860</v>
      </c>
      <c r="B706" s="37">
        <v>44136</v>
      </c>
      <c r="C706" s="36"/>
      <c r="D706" s="36"/>
      <c r="E706" s="36" t="s">
        <v>28</v>
      </c>
      <c r="F706" s="38">
        <v>3923324.9999999995</v>
      </c>
      <c r="G706" s="36" t="s">
        <v>8</v>
      </c>
      <c r="H706" s="36" t="s">
        <v>8</v>
      </c>
      <c r="I706" s="36"/>
      <c r="J706" s="36"/>
    </row>
    <row r="707" spans="1:10" x14ac:dyDescent="0.25">
      <c r="A707" s="36">
        <v>1860</v>
      </c>
      <c r="B707" s="37">
        <v>44166</v>
      </c>
      <c r="C707" s="36"/>
      <c r="D707" s="36"/>
      <c r="E707" s="36" t="s">
        <v>28</v>
      </c>
      <c r="F707" s="38">
        <v>3923324.9999999995</v>
      </c>
      <c r="G707" s="36" t="s">
        <v>8</v>
      </c>
      <c r="H707" s="36" t="s">
        <v>8</v>
      </c>
      <c r="I707" s="36"/>
      <c r="J707" s="36"/>
    </row>
    <row r="708" spans="1:10" x14ac:dyDescent="0.25">
      <c r="A708" s="36">
        <v>1860</v>
      </c>
      <c r="B708" s="37">
        <v>44197</v>
      </c>
      <c r="C708" s="36"/>
      <c r="D708" s="36"/>
      <c r="E708" s="36" t="s">
        <v>28</v>
      </c>
      <c r="F708" s="38">
        <v>3923324.9999999995</v>
      </c>
      <c r="G708" s="36" t="s">
        <v>8</v>
      </c>
      <c r="H708" s="36" t="s">
        <v>8</v>
      </c>
      <c r="I708" s="36"/>
      <c r="J708" s="36"/>
    </row>
    <row r="709" spans="1:10" x14ac:dyDescent="0.25">
      <c r="A709" s="36">
        <v>1860</v>
      </c>
      <c r="B709" s="37">
        <v>44228</v>
      </c>
      <c r="C709" s="36"/>
      <c r="D709" s="36"/>
      <c r="E709" s="36" t="s">
        <v>28</v>
      </c>
      <c r="F709" s="38">
        <v>3923324.9999999995</v>
      </c>
      <c r="G709" s="36" t="s">
        <v>8</v>
      </c>
      <c r="H709" s="36" t="s">
        <v>8</v>
      </c>
      <c r="I709" s="36"/>
      <c r="J709" s="36"/>
    </row>
    <row r="710" spans="1:10" x14ac:dyDescent="0.25">
      <c r="A710" s="36">
        <v>1860</v>
      </c>
      <c r="B710" s="37">
        <v>44256</v>
      </c>
      <c r="C710" s="36"/>
      <c r="D710" s="36"/>
      <c r="E710" s="36" t="s">
        <v>28</v>
      </c>
      <c r="F710" s="38">
        <v>3923324.9999999995</v>
      </c>
      <c r="G710" s="36" t="s">
        <v>8</v>
      </c>
      <c r="H710" s="36" t="s">
        <v>8</v>
      </c>
      <c r="I710" s="36"/>
      <c r="J710" s="36"/>
    </row>
    <row r="711" spans="1:10" x14ac:dyDescent="0.25">
      <c r="A711" s="36">
        <v>1860</v>
      </c>
      <c r="B711" s="37">
        <v>44287</v>
      </c>
      <c r="C711" s="36"/>
      <c r="D711" s="36"/>
      <c r="E711" s="36" t="s">
        <v>28</v>
      </c>
      <c r="F711" s="38">
        <v>3923324.9999999995</v>
      </c>
      <c r="G711" s="36" t="s">
        <v>8</v>
      </c>
      <c r="H711" s="36" t="s">
        <v>8</v>
      </c>
      <c r="I711" s="36"/>
      <c r="J711" s="36"/>
    </row>
    <row r="712" spans="1:10" x14ac:dyDescent="0.25">
      <c r="A712" s="36">
        <v>1860</v>
      </c>
      <c r="B712" s="37">
        <v>44317</v>
      </c>
      <c r="C712" s="36"/>
      <c r="D712" s="36"/>
      <c r="E712" s="36" t="s">
        <v>28</v>
      </c>
      <c r="F712" s="38">
        <v>3923324.9999999995</v>
      </c>
      <c r="G712" s="36" t="s">
        <v>8</v>
      </c>
      <c r="H712" s="36" t="s">
        <v>8</v>
      </c>
      <c r="I712" s="36"/>
      <c r="J712" s="36"/>
    </row>
    <row r="713" spans="1:10" x14ac:dyDescent="0.25">
      <c r="A713" s="36">
        <v>1860</v>
      </c>
      <c r="B713" s="37">
        <v>44348</v>
      </c>
      <c r="C713" s="36"/>
      <c r="D713" s="36"/>
      <c r="E713" s="36" t="s">
        <v>28</v>
      </c>
      <c r="F713" s="38">
        <v>3923324.9999999995</v>
      </c>
      <c r="G713" s="36" t="s">
        <v>8</v>
      </c>
      <c r="H713" s="36" t="s">
        <v>8</v>
      </c>
      <c r="I713" s="36"/>
      <c r="J713" s="36"/>
    </row>
    <row r="714" spans="1:10" x14ac:dyDescent="0.25">
      <c r="A714" s="36">
        <v>1860</v>
      </c>
      <c r="B714" s="37">
        <v>44378</v>
      </c>
      <c r="C714" s="36"/>
      <c r="D714" s="36"/>
      <c r="E714" s="36" t="s">
        <v>28</v>
      </c>
      <c r="F714" s="38">
        <v>3923324.9999999995</v>
      </c>
      <c r="G714" s="36" t="s">
        <v>8</v>
      </c>
      <c r="H714" s="36" t="s">
        <v>8</v>
      </c>
      <c r="I714" s="36"/>
      <c r="J714" s="36"/>
    </row>
    <row r="715" spans="1:10" x14ac:dyDescent="0.25">
      <c r="A715" s="36">
        <v>1860</v>
      </c>
      <c r="B715" s="37">
        <v>43466</v>
      </c>
      <c r="C715" s="36"/>
      <c r="D715" s="36"/>
      <c r="E715" s="36" t="s">
        <v>60</v>
      </c>
      <c r="F715" s="38">
        <v>4758075</v>
      </c>
      <c r="G715" s="36" t="s">
        <v>8</v>
      </c>
      <c r="H715" s="36" t="s">
        <v>8</v>
      </c>
      <c r="I715" s="36"/>
      <c r="J715" s="36"/>
    </row>
    <row r="716" spans="1:10" x14ac:dyDescent="0.25">
      <c r="A716" s="36">
        <v>1860</v>
      </c>
      <c r="B716" s="37">
        <v>43497</v>
      </c>
      <c r="C716" s="36"/>
      <c r="D716" s="36"/>
      <c r="E716" s="36" t="s">
        <v>60</v>
      </c>
      <c r="F716" s="38">
        <v>4758075</v>
      </c>
      <c r="G716" s="36" t="s">
        <v>8</v>
      </c>
      <c r="H716" s="36" t="s">
        <v>8</v>
      </c>
      <c r="I716" s="36"/>
      <c r="J716" s="36"/>
    </row>
    <row r="717" spans="1:10" x14ac:dyDescent="0.25">
      <c r="A717" s="36">
        <v>1860</v>
      </c>
      <c r="B717" s="37">
        <v>43525</v>
      </c>
      <c r="C717" s="36"/>
      <c r="D717" s="36"/>
      <c r="E717" s="36" t="s">
        <v>60</v>
      </c>
      <c r="F717" s="38">
        <v>4758075</v>
      </c>
      <c r="G717" s="36" t="s">
        <v>8</v>
      </c>
      <c r="H717" s="36" t="s">
        <v>8</v>
      </c>
      <c r="I717" s="36"/>
      <c r="J717" s="36"/>
    </row>
    <row r="718" spans="1:10" x14ac:dyDescent="0.25">
      <c r="A718" s="36">
        <v>1860</v>
      </c>
      <c r="B718" s="37">
        <v>43556</v>
      </c>
      <c r="C718" s="36"/>
      <c r="D718" s="36"/>
      <c r="E718" s="36" t="s">
        <v>60</v>
      </c>
      <c r="F718" s="38">
        <v>4758075</v>
      </c>
      <c r="G718" s="36" t="s">
        <v>8</v>
      </c>
      <c r="H718" s="36" t="s">
        <v>8</v>
      </c>
      <c r="I718" s="36"/>
      <c r="J718" s="36"/>
    </row>
    <row r="719" spans="1:10" x14ac:dyDescent="0.25">
      <c r="A719" s="36">
        <v>1860</v>
      </c>
      <c r="B719" s="37">
        <v>43586</v>
      </c>
      <c r="C719" s="36"/>
      <c r="D719" s="36"/>
      <c r="E719" s="36" t="s">
        <v>60</v>
      </c>
      <c r="F719" s="38">
        <v>4758075</v>
      </c>
      <c r="G719" s="36" t="s">
        <v>8</v>
      </c>
      <c r="H719" s="36" t="s">
        <v>8</v>
      </c>
      <c r="I719" s="36"/>
      <c r="J719" s="36"/>
    </row>
    <row r="720" spans="1:10" x14ac:dyDescent="0.25">
      <c r="A720" s="36">
        <v>1860</v>
      </c>
      <c r="B720" s="37">
        <v>43617</v>
      </c>
      <c r="C720" s="36"/>
      <c r="D720" s="36"/>
      <c r="E720" s="36" t="s">
        <v>60</v>
      </c>
      <c r="F720" s="38">
        <v>4758075</v>
      </c>
      <c r="G720" s="36" t="s">
        <v>8</v>
      </c>
      <c r="H720" s="36" t="s">
        <v>8</v>
      </c>
      <c r="I720" s="36"/>
      <c r="J720" s="36"/>
    </row>
    <row r="721" spans="1:10" x14ac:dyDescent="0.25">
      <c r="A721" s="36">
        <v>1860</v>
      </c>
      <c r="B721" s="37">
        <v>43647</v>
      </c>
      <c r="C721" s="36"/>
      <c r="D721" s="36"/>
      <c r="E721" s="36" t="s">
        <v>60</v>
      </c>
      <c r="F721" s="38">
        <v>4758075</v>
      </c>
      <c r="G721" s="36" t="s">
        <v>8</v>
      </c>
      <c r="H721" s="36" t="s">
        <v>8</v>
      </c>
      <c r="I721" s="36"/>
      <c r="J721" s="36"/>
    </row>
    <row r="722" spans="1:10" x14ac:dyDescent="0.25">
      <c r="A722" s="36">
        <v>1860</v>
      </c>
      <c r="B722" s="37">
        <v>43678</v>
      </c>
      <c r="C722" s="36"/>
      <c r="D722" s="36"/>
      <c r="E722" s="36" t="s">
        <v>60</v>
      </c>
      <c r="F722" s="38">
        <v>4758075</v>
      </c>
      <c r="G722" s="36" t="s">
        <v>8</v>
      </c>
      <c r="H722" s="36" t="s">
        <v>8</v>
      </c>
      <c r="I722" s="36"/>
      <c r="J722" s="36"/>
    </row>
    <row r="723" spans="1:10" x14ac:dyDescent="0.25">
      <c r="A723" s="36">
        <v>1860</v>
      </c>
      <c r="B723" s="37">
        <v>43709</v>
      </c>
      <c r="C723" s="36"/>
      <c r="D723" s="36"/>
      <c r="E723" s="36" t="s">
        <v>60</v>
      </c>
      <c r="F723" s="38">
        <v>4758075</v>
      </c>
      <c r="G723" s="36" t="s">
        <v>8</v>
      </c>
      <c r="H723" s="36" t="s">
        <v>8</v>
      </c>
      <c r="I723" s="36"/>
      <c r="J723" s="36"/>
    </row>
    <row r="724" spans="1:10" x14ac:dyDescent="0.25">
      <c r="A724" s="36">
        <v>1860</v>
      </c>
      <c r="B724" s="37">
        <v>43739</v>
      </c>
      <c r="C724" s="36"/>
      <c r="D724" s="36"/>
      <c r="E724" s="36" t="s">
        <v>60</v>
      </c>
      <c r="F724" s="38">
        <v>4758075</v>
      </c>
      <c r="G724" s="36" t="s">
        <v>8</v>
      </c>
      <c r="H724" s="36" t="s">
        <v>8</v>
      </c>
      <c r="I724" s="36"/>
      <c r="J724" s="36"/>
    </row>
    <row r="725" spans="1:10" x14ac:dyDescent="0.25">
      <c r="A725" s="36">
        <v>1860</v>
      </c>
      <c r="B725" s="37">
        <v>43770</v>
      </c>
      <c r="C725" s="36"/>
      <c r="D725" s="36"/>
      <c r="E725" s="36" t="s">
        <v>60</v>
      </c>
      <c r="F725" s="38">
        <v>4758075</v>
      </c>
      <c r="G725" s="36" t="s">
        <v>8</v>
      </c>
      <c r="H725" s="36" t="s">
        <v>8</v>
      </c>
      <c r="I725" s="36"/>
      <c r="J725" s="36"/>
    </row>
    <row r="726" spans="1:10" x14ac:dyDescent="0.25">
      <c r="A726" s="36">
        <v>1860</v>
      </c>
      <c r="B726" s="37">
        <v>43800</v>
      </c>
      <c r="C726" s="36"/>
      <c r="D726" s="36"/>
      <c r="E726" s="36" t="s">
        <v>60</v>
      </c>
      <c r="F726" s="38">
        <v>4758075</v>
      </c>
      <c r="G726" s="36" t="s">
        <v>8</v>
      </c>
      <c r="H726" s="36" t="s">
        <v>8</v>
      </c>
      <c r="I726" s="36"/>
      <c r="J726" s="36"/>
    </row>
    <row r="727" spans="1:10" x14ac:dyDescent="0.25">
      <c r="A727" s="36">
        <v>1860</v>
      </c>
      <c r="B727" s="37">
        <v>43831</v>
      </c>
      <c r="C727" s="36"/>
      <c r="D727" s="36"/>
      <c r="E727" s="36" t="s">
        <v>60</v>
      </c>
      <c r="F727" s="38">
        <v>4758075</v>
      </c>
      <c r="G727" s="36" t="s">
        <v>8</v>
      </c>
      <c r="H727" s="36" t="s">
        <v>8</v>
      </c>
      <c r="I727" s="36"/>
      <c r="J727" s="36"/>
    </row>
    <row r="728" spans="1:10" x14ac:dyDescent="0.25">
      <c r="A728" s="36">
        <v>1860</v>
      </c>
      <c r="B728" s="37">
        <v>43862</v>
      </c>
      <c r="C728" s="36"/>
      <c r="D728" s="36"/>
      <c r="E728" s="36" t="s">
        <v>60</v>
      </c>
      <c r="F728" s="38">
        <v>4758075</v>
      </c>
      <c r="G728" s="36" t="s">
        <v>8</v>
      </c>
      <c r="H728" s="36" t="s">
        <v>8</v>
      </c>
      <c r="I728" s="36"/>
      <c r="J728" s="36"/>
    </row>
    <row r="729" spans="1:10" x14ac:dyDescent="0.25">
      <c r="A729" s="36">
        <v>1860</v>
      </c>
      <c r="B729" s="37">
        <v>43891</v>
      </c>
      <c r="C729" s="36"/>
      <c r="D729" s="36"/>
      <c r="E729" s="36" t="s">
        <v>60</v>
      </c>
      <c r="F729" s="38">
        <v>4758075</v>
      </c>
      <c r="G729" s="36" t="s">
        <v>8</v>
      </c>
      <c r="H729" s="36" t="s">
        <v>8</v>
      </c>
      <c r="I729" s="36"/>
      <c r="J729" s="36"/>
    </row>
    <row r="730" spans="1:10" x14ac:dyDescent="0.25">
      <c r="A730" s="36">
        <v>1860</v>
      </c>
      <c r="B730" s="37">
        <v>43922</v>
      </c>
      <c r="C730" s="36"/>
      <c r="D730" s="36"/>
      <c r="E730" s="36" t="s">
        <v>60</v>
      </c>
      <c r="F730" s="38">
        <v>4758075</v>
      </c>
      <c r="G730" s="36" t="s">
        <v>8</v>
      </c>
      <c r="H730" s="36" t="s">
        <v>8</v>
      </c>
      <c r="I730" s="36"/>
      <c r="J730" s="36"/>
    </row>
    <row r="731" spans="1:10" x14ac:dyDescent="0.25">
      <c r="A731" s="36">
        <v>1860</v>
      </c>
      <c r="B731" s="37">
        <v>43952</v>
      </c>
      <c r="C731" s="36"/>
      <c r="D731" s="36"/>
      <c r="E731" s="36" t="s">
        <v>60</v>
      </c>
      <c r="F731" s="38">
        <v>4758075</v>
      </c>
      <c r="G731" s="36" t="s">
        <v>8</v>
      </c>
      <c r="H731" s="36" t="s">
        <v>8</v>
      </c>
      <c r="I731" s="36"/>
      <c r="J731" s="36"/>
    </row>
    <row r="732" spans="1:10" x14ac:dyDescent="0.25">
      <c r="A732" s="36">
        <v>1860</v>
      </c>
      <c r="B732" s="37">
        <v>43983</v>
      </c>
      <c r="C732" s="36"/>
      <c r="D732" s="36"/>
      <c r="E732" s="36" t="s">
        <v>60</v>
      </c>
      <c r="F732" s="38">
        <v>4758075</v>
      </c>
      <c r="G732" s="36" t="s">
        <v>8</v>
      </c>
      <c r="H732" s="36" t="s">
        <v>8</v>
      </c>
      <c r="I732" s="36"/>
      <c r="J732" s="36"/>
    </row>
    <row r="733" spans="1:10" x14ac:dyDescent="0.25">
      <c r="A733" s="36">
        <v>1860</v>
      </c>
      <c r="B733" s="37">
        <v>44013</v>
      </c>
      <c r="C733" s="36"/>
      <c r="D733" s="36"/>
      <c r="E733" s="36" t="s">
        <v>60</v>
      </c>
      <c r="F733" s="38">
        <v>4758075</v>
      </c>
      <c r="G733" s="36" t="s">
        <v>8</v>
      </c>
      <c r="H733" s="36" t="s">
        <v>8</v>
      </c>
      <c r="I733" s="36"/>
      <c r="J733" s="36"/>
    </row>
    <row r="734" spans="1:10" x14ac:dyDescent="0.25">
      <c r="A734" s="36">
        <v>1860</v>
      </c>
      <c r="B734" s="37">
        <v>44044</v>
      </c>
      <c r="C734" s="36"/>
      <c r="D734" s="36"/>
      <c r="E734" s="36" t="s">
        <v>60</v>
      </c>
      <c r="F734" s="38">
        <v>4758075</v>
      </c>
      <c r="G734" s="36" t="s">
        <v>8</v>
      </c>
      <c r="H734" s="36" t="s">
        <v>8</v>
      </c>
      <c r="I734" s="36"/>
      <c r="J734" s="36"/>
    </row>
    <row r="735" spans="1:10" x14ac:dyDescent="0.25">
      <c r="A735" s="36">
        <v>1860</v>
      </c>
      <c r="B735" s="37">
        <v>44075</v>
      </c>
      <c r="C735" s="36"/>
      <c r="D735" s="36"/>
      <c r="E735" s="36" t="s">
        <v>60</v>
      </c>
      <c r="F735" s="38">
        <v>4758075</v>
      </c>
      <c r="G735" s="36" t="s">
        <v>8</v>
      </c>
      <c r="H735" s="36" t="s">
        <v>8</v>
      </c>
      <c r="I735" s="36"/>
      <c r="J735" s="36"/>
    </row>
    <row r="736" spans="1:10" x14ac:dyDescent="0.25">
      <c r="A736" s="36">
        <v>1860</v>
      </c>
      <c r="B736" s="37">
        <v>44105</v>
      </c>
      <c r="C736" s="36"/>
      <c r="D736" s="36"/>
      <c r="E736" s="36" t="s">
        <v>60</v>
      </c>
      <c r="F736" s="38">
        <v>4758075</v>
      </c>
      <c r="G736" s="36" t="s">
        <v>8</v>
      </c>
      <c r="H736" s="36" t="s">
        <v>8</v>
      </c>
      <c r="I736" s="36"/>
      <c r="J736" s="36"/>
    </row>
    <row r="737" spans="1:10" x14ac:dyDescent="0.25">
      <c r="A737" s="36">
        <v>1860</v>
      </c>
      <c r="B737" s="37">
        <v>44136</v>
      </c>
      <c r="C737" s="36"/>
      <c r="D737" s="36"/>
      <c r="E737" s="36" t="s">
        <v>60</v>
      </c>
      <c r="F737" s="38">
        <v>4758075</v>
      </c>
      <c r="G737" s="36" t="s">
        <v>8</v>
      </c>
      <c r="H737" s="36" t="s">
        <v>8</v>
      </c>
      <c r="I737" s="36"/>
      <c r="J737" s="36"/>
    </row>
    <row r="738" spans="1:10" x14ac:dyDescent="0.25">
      <c r="A738" s="36">
        <v>1860</v>
      </c>
      <c r="B738" s="37">
        <v>44166</v>
      </c>
      <c r="C738" s="36"/>
      <c r="D738" s="36"/>
      <c r="E738" s="36" t="s">
        <v>60</v>
      </c>
      <c r="F738" s="38">
        <v>4758075</v>
      </c>
      <c r="G738" s="36" t="s">
        <v>8</v>
      </c>
      <c r="H738" s="36" t="s">
        <v>8</v>
      </c>
      <c r="I738" s="36"/>
      <c r="J738" s="36"/>
    </row>
    <row r="739" spans="1:10" x14ac:dyDescent="0.25">
      <c r="A739" s="36">
        <v>1860</v>
      </c>
      <c r="B739" s="37">
        <v>44197</v>
      </c>
      <c r="C739" s="36"/>
      <c r="D739" s="36"/>
      <c r="E739" s="36" t="s">
        <v>60</v>
      </c>
      <c r="F739" s="38">
        <v>4758075</v>
      </c>
      <c r="G739" s="36" t="s">
        <v>8</v>
      </c>
      <c r="H739" s="36" t="s">
        <v>8</v>
      </c>
      <c r="I739" s="36"/>
      <c r="J739" s="36"/>
    </row>
    <row r="740" spans="1:10" x14ac:dyDescent="0.25">
      <c r="A740" s="36">
        <v>1860</v>
      </c>
      <c r="B740" s="37">
        <v>44228</v>
      </c>
      <c r="C740" s="36"/>
      <c r="D740" s="36"/>
      <c r="E740" s="36" t="s">
        <v>60</v>
      </c>
      <c r="F740" s="38">
        <v>4758075</v>
      </c>
      <c r="G740" s="36" t="s">
        <v>8</v>
      </c>
      <c r="H740" s="36" t="s">
        <v>8</v>
      </c>
      <c r="I740" s="36"/>
      <c r="J740" s="36"/>
    </row>
    <row r="741" spans="1:10" x14ac:dyDescent="0.25">
      <c r="A741" s="36">
        <v>1860</v>
      </c>
      <c r="B741" s="37">
        <v>44256</v>
      </c>
      <c r="C741" s="36"/>
      <c r="D741" s="36"/>
      <c r="E741" s="36" t="s">
        <v>60</v>
      </c>
      <c r="F741" s="38">
        <v>4758075</v>
      </c>
      <c r="G741" s="36" t="s">
        <v>8</v>
      </c>
      <c r="H741" s="36" t="s">
        <v>8</v>
      </c>
      <c r="I741" s="36"/>
      <c r="J741" s="36"/>
    </row>
    <row r="742" spans="1:10" x14ac:dyDescent="0.25">
      <c r="A742" s="36">
        <v>1860</v>
      </c>
      <c r="B742" s="37">
        <v>43466</v>
      </c>
      <c r="C742" s="36"/>
      <c r="D742" s="36"/>
      <c r="E742" s="36" t="s">
        <v>21</v>
      </c>
      <c r="F742" s="38">
        <v>5985000</v>
      </c>
      <c r="G742" s="36" t="s">
        <v>8</v>
      </c>
      <c r="H742" s="36" t="s">
        <v>8</v>
      </c>
      <c r="I742" s="36"/>
      <c r="J742" s="36"/>
    </row>
    <row r="743" spans="1:10" x14ac:dyDescent="0.25">
      <c r="A743" s="36">
        <v>1860</v>
      </c>
      <c r="B743" s="37">
        <v>43497</v>
      </c>
      <c r="C743" s="36"/>
      <c r="D743" s="36"/>
      <c r="E743" s="36" t="s">
        <v>21</v>
      </c>
      <c r="F743" s="38">
        <v>5985000</v>
      </c>
      <c r="G743" s="36" t="s">
        <v>8</v>
      </c>
      <c r="H743" s="36" t="s">
        <v>8</v>
      </c>
      <c r="I743" s="36"/>
      <c r="J743" s="36"/>
    </row>
    <row r="744" spans="1:10" x14ac:dyDescent="0.25">
      <c r="A744" s="36">
        <v>1860</v>
      </c>
      <c r="B744" s="37">
        <v>43525</v>
      </c>
      <c r="C744" s="36"/>
      <c r="D744" s="36"/>
      <c r="E744" s="36" t="s">
        <v>21</v>
      </c>
      <c r="F744" s="38">
        <v>5985000</v>
      </c>
      <c r="G744" s="36" t="s">
        <v>8</v>
      </c>
      <c r="H744" s="36" t="s">
        <v>8</v>
      </c>
      <c r="I744" s="36"/>
      <c r="J744" s="36"/>
    </row>
    <row r="745" spans="1:10" x14ac:dyDescent="0.25">
      <c r="A745" s="36">
        <v>1860</v>
      </c>
      <c r="B745" s="37">
        <v>43556</v>
      </c>
      <c r="C745" s="36"/>
      <c r="D745" s="36"/>
      <c r="E745" s="36" t="s">
        <v>21</v>
      </c>
      <c r="F745" s="38">
        <v>5985000</v>
      </c>
      <c r="G745" s="36" t="s">
        <v>8</v>
      </c>
      <c r="H745" s="36" t="s">
        <v>8</v>
      </c>
      <c r="I745" s="36"/>
      <c r="J745" s="36"/>
    </row>
    <row r="746" spans="1:10" x14ac:dyDescent="0.25">
      <c r="A746" s="36">
        <v>1860</v>
      </c>
      <c r="B746" s="37">
        <v>43586</v>
      </c>
      <c r="C746" s="36"/>
      <c r="D746" s="36"/>
      <c r="E746" s="36" t="s">
        <v>21</v>
      </c>
      <c r="F746" s="38">
        <v>5985000</v>
      </c>
      <c r="G746" s="36" t="s">
        <v>8</v>
      </c>
      <c r="H746" s="36" t="s">
        <v>8</v>
      </c>
      <c r="I746" s="36"/>
      <c r="J746" s="36"/>
    </row>
    <row r="747" spans="1:10" x14ac:dyDescent="0.25">
      <c r="A747" s="36">
        <v>1860</v>
      </c>
      <c r="B747" s="37">
        <v>43617</v>
      </c>
      <c r="C747" s="36"/>
      <c r="D747" s="36"/>
      <c r="E747" s="36" t="s">
        <v>21</v>
      </c>
      <c r="F747" s="38">
        <v>5985000</v>
      </c>
      <c r="G747" s="36" t="s">
        <v>8</v>
      </c>
      <c r="H747" s="36" t="s">
        <v>8</v>
      </c>
      <c r="I747" s="36"/>
      <c r="J747" s="36"/>
    </row>
    <row r="748" spans="1:10" x14ac:dyDescent="0.25">
      <c r="A748" s="36">
        <v>1860</v>
      </c>
      <c r="B748" s="37">
        <v>43647</v>
      </c>
      <c r="C748" s="36"/>
      <c r="D748" s="36"/>
      <c r="E748" s="36" t="s">
        <v>21</v>
      </c>
      <c r="F748" s="38">
        <v>5985000</v>
      </c>
      <c r="G748" s="36" t="s">
        <v>8</v>
      </c>
      <c r="H748" s="36" t="s">
        <v>8</v>
      </c>
      <c r="I748" s="36"/>
      <c r="J748" s="36"/>
    </row>
    <row r="749" spans="1:10" x14ac:dyDescent="0.25">
      <c r="A749" s="36">
        <v>1860</v>
      </c>
      <c r="B749" s="37">
        <v>43678</v>
      </c>
      <c r="C749" s="36"/>
      <c r="D749" s="36"/>
      <c r="E749" s="36" t="s">
        <v>21</v>
      </c>
      <c r="F749" s="38">
        <v>5985000</v>
      </c>
      <c r="G749" s="36" t="s">
        <v>8</v>
      </c>
      <c r="H749" s="36" t="s">
        <v>8</v>
      </c>
      <c r="I749" s="36"/>
      <c r="J749" s="36"/>
    </row>
    <row r="750" spans="1:10" x14ac:dyDescent="0.25">
      <c r="A750" s="36">
        <v>1860</v>
      </c>
      <c r="B750" s="37">
        <v>43709</v>
      </c>
      <c r="C750" s="36"/>
      <c r="D750" s="36"/>
      <c r="E750" s="36" t="s">
        <v>21</v>
      </c>
      <c r="F750" s="38">
        <v>5985000</v>
      </c>
      <c r="G750" s="36" t="s">
        <v>8</v>
      </c>
      <c r="H750" s="36" t="s">
        <v>8</v>
      </c>
      <c r="I750" s="36"/>
      <c r="J750" s="36"/>
    </row>
    <row r="751" spans="1:10" x14ac:dyDescent="0.25">
      <c r="A751" s="36">
        <v>1860</v>
      </c>
      <c r="B751" s="37">
        <v>43739</v>
      </c>
      <c r="C751" s="36"/>
      <c r="D751" s="36"/>
      <c r="E751" s="36" t="s">
        <v>21</v>
      </c>
      <c r="F751" s="38">
        <v>5985000</v>
      </c>
      <c r="G751" s="36" t="s">
        <v>8</v>
      </c>
      <c r="H751" s="36" t="s">
        <v>8</v>
      </c>
      <c r="I751" s="36"/>
      <c r="J751" s="36"/>
    </row>
    <row r="752" spans="1:10" x14ac:dyDescent="0.25">
      <c r="A752" s="36">
        <v>1860</v>
      </c>
      <c r="B752" s="37">
        <v>43770</v>
      </c>
      <c r="C752" s="36"/>
      <c r="D752" s="36"/>
      <c r="E752" s="36" t="s">
        <v>21</v>
      </c>
      <c r="F752" s="38">
        <v>5985000</v>
      </c>
      <c r="G752" s="36" t="s">
        <v>8</v>
      </c>
      <c r="H752" s="36" t="s">
        <v>8</v>
      </c>
      <c r="I752" s="36"/>
      <c r="J752" s="36"/>
    </row>
    <row r="753" spans="1:10" x14ac:dyDescent="0.25">
      <c r="A753" s="36">
        <v>1860</v>
      </c>
      <c r="B753" s="37">
        <v>43800</v>
      </c>
      <c r="C753" s="36"/>
      <c r="D753" s="36"/>
      <c r="E753" s="36" t="s">
        <v>21</v>
      </c>
      <c r="F753" s="38">
        <v>5985000</v>
      </c>
      <c r="G753" s="36" t="s">
        <v>8</v>
      </c>
      <c r="H753" s="36" t="s">
        <v>8</v>
      </c>
      <c r="I753" s="36"/>
      <c r="J753" s="36"/>
    </row>
    <row r="754" spans="1:10" x14ac:dyDescent="0.25">
      <c r="A754" s="36">
        <v>1860</v>
      </c>
      <c r="B754" s="37">
        <v>43831</v>
      </c>
      <c r="C754" s="36"/>
      <c r="D754" s="36"/>
      <c r="E754" s="36" t="s">
        <v>21</v>
      </c>
      <c r="F754" s="38">
        <v>5985000</v>
      </c>
      <c r="G754" s="36" t="s">
        <v>8</v>
      </c>
      <c r="H754" s="36" t="s">
        <v>8</v>
      </c>
      <c r="I754" s="36"/>
      <c r="J754" s="36"/>
    </row>
    <row r="755" spans="1:10" x14ac:dyDescent="0.25">
      <c r="A755" s="36">
        <v>1860</v>
      </c>
      <c r="B755" s="37">
        <v>43862</v>
      </c>
      <c r="C755" s="36"/>
      <c r="D755" s="36"/>
      <c r="E755" s="36" t="s">
        <v>21</v>
      </c>
      <c r="F755" s="38">
        <v>5985000</v>
      </c>
      <c r="G755" s="36" t="s">
        <v>8</v>
      </c>
      <c r="H755" s="36" t="s">
        <v>8</v>
      </c>
      <c r="I755" s="36"/>
      <c r="J755" s="36"/>
    </row>
    <row r="756" spans="1:10" x14ac:dyDescent="0.25">
      <c r="A756" s="36">
        <v>1860</v>
      </c>
      <c r="B756" s="37">
        <v>43891</v>
      </c>
      <c r="C756" s="36"/>
      <c r="D756" s="36"/>
      <c r="E756" s="36" t="s">
        <v>21</v>
      </c>
      <c r="F756" s="38">
        <v>5985000</v>
      </c>
      <c r="G756" s="36" t="s">
        <v>8</v>
      </c>
      <c r="H756" s="36" t="s">
        <v>8</v>
      </c>
      <c r="I756" s="36"/>
      <c r="J756" s="36"/>
    </row>
    <row r="757" spans="1:10" x14ac:dyDescent="0.25">
      <c r="A757" s="36">
        <v>1860</v>
      </c>
      <c r="B757" s="37">
        <v>43922</v>
      </c>
      <c r="C757" s="36"/>
      <c r="D757" s="36"/>
      <c r="E757" s="36" t="s">
        <v>21</v>
      </c>
      <c r="F757" s="38">
        <v>5985000</v>
      </c>
      <c r="G757" s="36" t="s">
        <v>8</v>
      </c>
      <c r="H757" s="36" t="s">
        <v>8</v>
      </c>
      <c r="I757" s="36"/>
      <c r="J757" s="36"/>
    </row>
    <row r="758" spans="1:10" x14ac:dyDescent="0.25">
      <c r="A758" s="36">
        <v>1860</v>
      </c>
      <c r="B758" s="37">
        <v>43952</v>
      </c>
      <c r="C758" s="36"/>
      <c r="D758" s="36"/>
      <c r="E758" s="36" t="s">
        <v>21</v>
      </c>
      <c r="F758" s="38">
        <v>5985000</v>
      </c>
      <c r="G758" s="36" t="s">
        <v>8</v>
      </c>
      <c r="H758" s="36" t="s">
        <v>8</v>
      </c>
      <c r="I758" s="36"/>
      <c r="J758" s="36"/>
    </row>
    <row r="759" spans="1:10" x14ac:dyDescent="0.25">
      <c r="A759" s="36">
        <v>1860</v>
      </c>
      <c r="B759" s="37">
        <v>43983</v>
      </c>
      <c r="C759" s="36"/>
      <c r="D759" s="36"/>
      <c r="E759" s="36" t="s">
        <v>21</v>
      </c>
      <c r="F759" s="38">
        <v>5985000</v>
      </c>
      <c r="G759" s="36" t="s">
        <v>8</v>
      </c>
      <c r="H759" s="36" t="s">
        <v>8</v>
      </c>
      <c r="I759" s="36"/>
      <c r="J759" s="36"/>
    </row>
    <row r="760" spans="1:10" x14ac:dyDescent="0.25">
      <c r="A760" s="36">
        <v>1860</v>
      </c>
      <c r="B760" s="37">
        <v>44013</v>
      </c>
      <c r="C760" s="36"/>
      <c r="D760" s="36"/>
      <c r="E760" s="36" t="s">
        <v>21</v>
      </c>
      <c r="F760" s="38">
        <v>5985000</v>
      </c>
      <c r="G760" s="36" t="s">
        <v>8</v>
      </c>
      <c r="H760" s="36" t="s">
        <v>8</v>
      </c>
      <c r="I760" s="36"/>
      <c r="J760" s="36"/>
    </row>
    <row r="761" spans="1:10" x14ac:dyDescent="0.25">
      <c r="A761" s="36">
        <v>1860</v>
      </c>
      <c r="B761" s="37">
        <v>44044</v>
      </c>
      <c r="C761" s="36"/>
      <c r="D761" s="36"/>
      <c r="E761" s="36" t="s">
        <v>21</v>
      </c>
      <c r="F761" s="38">
        <v>5985000</v>
      </c>
      <c r="G761" s="36" t="s">
        <v>8</v>
      </c>
      <c r="H761" s="36" t="s">
        <v>8</v>
      </c>
      <c r="I761" s="36"/>
      <c r="J761" s="36"/>
    </row>
    <row r="762" spans="1:10" x14ac:dyDescent="0.25">
      <c r="A762" s="36">
        <v>1860</v>
      </c>
      <c r="B762" s="37">
        <v>44075</v>
      </c>
      <c r="C762" s="36"/>
      <c r="D762" s="36"/>
      <c r="E762" s="36" t="s">
        <v>21</v>
      </c>
      <c r="F762" s="38">
        <v>5985000</v>
      </c>
      <c r="G762" s="36" t="s">
        <v>8</v>
      </c>
      <c r="H762" s="36" t="s">
        <v>8</v>
      </c>
      <c r="I762" s="36"/>
      <c r="J762" s="36"/>
    </row>
    <row r="763" spans="1:10" x14ac:dyDescent="0.25">
      <c r="A763" s="36">
        <v>1860</v>
      </c>
      <c r="B763" s="37">
        <v>44105</v>
      </c>
      <c r="C763" s="36"/>
      <c r="D763" s="36"/>
      <c r="E763" s="36" t="s">
        <v>21</v>
      </c>
      <c r="F763" s="38">
        <v>5985000</v>
      </c>
      <c r="G763" s="36" t="s">
        <v>8</v>
      </c>
      <c r="H763" s="36" t="s">
        <v>8</v>
      </c>
      <c r="I763" s="36"/>
      <c r="J763" s="36"/>
    </row>
    <row r="764" spans="1:10" x14ac:dyDescent="0.25">
      <c r="A764" s="36">
        <v>1860</v>
      </c>
      <c r="B764" s="37">
        <v>44136</v>
      </c>
      <c r="C764" s="36"/>
      <c r="D764" s="36"/>
      <c r="E764" s="36" t="s">
        <v>21</v>
      </c>
      <c r="F764" s="38">
        <v>5985000</v>
      </c>
      <c r="G764" s="36" t="s">
        <v>8</v>
      </c>
      <c r="H764" s="36" t="s">
        <v>8</v>
      </c>
      <c r="I764" s="36"/>
      <c r="J764" s="36"/>
    </row>
    <row r="765" spans="1:10" x14ac:dyDescent="0.25">
      <c r="A765" s="36">
        <v>1860</v>
      </c>
      <c r="B765" s="37">
        <v>44166</v>
      </c>
      <c r="C765" s="36"/>
      <c r="D765" s="36"/>
      <c r="E765" s="36" t="s">
        <v>21</v>
      </c>
      <c r="F765" s="38">
        <v>5985000</v>
      </c>
      <c r="G765" s="36" t="s">
        <v>8</v>
      </c>
      <c r="H765" s="36" t="s">
        <v>8</v>
      </c>
      <c r="I765" s="36"/>
      <c r="J765" s="36"/>
    </row>
    <row r="766" spans="1:10" x14ac:dyDescent="0.25">
      <c r="A766" s="36">
        <v>1860</v>
      </c>
      <c r="B766" s="37">
        <v>44197</v>
      </c>
      <c r="C766" s="36"/>
      <c r="D766" s="36"/>
      <c r="E766" s="36" t="s">
        <v>21</v>
      </c>
      <c r="F766" s="38">
        <v>5985000</v>
      </c>
      <c r="G766" s="36" t="s">
        <v>8</v>
      </c>
      <c r="H766" s="36" t="s">
        <v>8</v>
      </c>
      <c r="I766" s="36"/>
      <c r="J766" s="36"/>
    </row>
    <row r="767" spans="1:10" x14ac:dyDescent="0.25">
      <c r="A767" s="36">
        <v>1860</v>
      </c>
      <c r="B767" s="37">
        <v>44228</v>
      </c>
      <c r="C767" s="36"/>
      <c r="D767" s="36"/>
      <c r="E767" s="36" t="s">
        <v>21</v>
      </c>
      <c r="F767" s="38">
        <v>5985000</v>
      </c>
      <c r="G767" s="36" t="s">
        <v>8</v>
      </c>
      <c r="H767" s="36" t="s">
        <v>8</v>
      </c>
      <c r="I767" s="36"/>
      <c r="J767" s="36"/>
    </row>
    <row r="768" spans="1:10" x14ac:dyDescent="0.25">
      <c r="A768" s="36">
        <v>1860</v>
      </c>
      <c r="B768" s="37">
        <v>44256</v>
      </c>
      <c r="C768" s="36"/>
      <c r="D768" s="36"/>
      <c r="E768" s="36" t="s">
        <v>21</v>
      </c>
      <c r="F768" s="38">
        <v>5985000</v>
      </c>
      <c r="G768" s="36" t="s">
        <v>8</v>
      </c>
      <c r="H768" s="36" t="s">
        <v>8</v>
      </c>
      <c r="I768" s="36"/>
      <c r="J768" s="36"/>
    </row>
    <row r="769" spans="1:10" x14ac:dyDescent="0.25">
      <c r="A769" s="36">
        <v>1860</v>
      </c>
      <c r="B769" s="37">
        <v>44287</v>
      </c>
      <c r="C769" s="36"/>
      <c r="D769" s="36"/>
      <c r="E769" s="36" t="s">
        <v>21</v>
      </c>
      <c r="F769" s="38">
        <v>5985000</v>
      </c>
      <c r="G769" s="36" t="s">
        <v>8</v>
      </c>
      <c r="H769" s="36" t="s">
        <v>8</v>
      </c>
      <c r="I769" s="36"/>
      <c r="J769" s="36"/>
    </row>
    <row r="770" spans="1:10" x14ac:dyDescent="0.25">
      <c r="A770" s="36">
        <v>1861</v>
      </c>
      <c r="B770" s="37">
        <v>43466</v>
      </c>
      <c r="C770" s="36"/>
      <c r="D770" s="36"/>
      <c r="E770" s="36" t="s">
        <v>62</v>
      </c>
      <c r="F770" s="38">
        <v>5768028</v>
      </c>
      <c r="G770" s="36" t="s">
        <v>8</v>
      </c>
      <c r="H770" s="36" t="s">
        <v>8</v>
      </c>
      <c r="I770" s="36"/>
      <c r="J770" s="36"/>
    </row>
    <row r="771" spans="1:10" x14ac:dyDescent="0.25">
      <c r="A771" s="36">
        <v>1861</v>
      </c>
      <c r="B771" s="37">
        <v>43497</v>
      </c>
      <c r="C771" s="36"/>
      <c r="D771" s="36"/>
      <c r="E771" s="36" t="s">
        <v>62</v>
      </c>
      <c r="F771" s="38">
        <v>5768028</v>
      </c>
      <c r="G771" s="36" t="s">
        <v>8</v>
      </c>
      <c r="H771" s="36" t="s">
        <v>8</v>
      </c>
      <c r="I771" s="36"/>
      <c r="J771" s="36"/>
    </row>
    <row r="772" spans="1:10" x14ac:dyDescent="0.25">
      <c r="A772" s="36">
        <v>1861</v>
      </c>
      <c r="B772" s="37">
        <v>43525</v>
      </c>
      <c r="C772" s="36"/>
      <c r="D772" s="36"/>
      <c r="E772" s="36" t="s">
        <v>62</v>
      </c>
      <c r="F772" s="38">
        <v>5768028</v>
      </c>
      <c r="G772" s="36" t="s">
        <v>8</v>
      </c>
      <c r="H772" s="36" t="s">
        <v>8</v>
      </c>
      <c r="I772" s="36"/>
      <c r="J772" s="36"/>
    </row>
    <row r="773" spans="1:10" x14ac:dyDescent="0.25">
      <c r="A773" s="36">
        <v>1861</v>
      </c>
      <c r="B773" s="37">
        <v>43556</v>
      </c>
      <c r="C773" s="36"/>
      <c r="D773" s="36"/>
      <c r="E773" s="36" t="s">
        <v>62</v>
      </c>
      <c r="F773" s="38">
        <v>5768028</v>
      </c>
      <c r="G773" s="36" t="s">
        <v>8</v>
      </c>
      <c r="H773" s="36" t="s">
        <v>8</v>
      </c>
      <c r="I773" s="36"/>
      <c r="J773" s="36"/>
    </row>
    <row r="774" spans="1:10" x14ac:dyDescent="0.25">
      <c r="A774" s="36">
        <v>1861</v>
      </c>
      <c r="B774" s="37">
        <v>43586</v>
      </c>
      <c r="C774" s="36"/>
      <c r="D774" s="36"/>
      <c r="E774" s="36" t="s">
        <v>62</v>
      </c>
      <c r="F774" s="38">
        <v>5768028</v>
      </c>
      <c r="G774" s="36" t="s">
        <v>8</v>
      </c>
      <c r="H774" s="36" t="s">
        <v>8</v>
      </c>
      <c r="I774" s="36"/>
      <c r="J774" s="36"/>
    </row>
    <row r="775" spans="1:10" x14ac:dyDescent="0.25">
      <c r="A775" s="36">
        <v>1861</v>
      </c>
      <c r="B775" s="37">
        <v>43617</v>
      </c>
      <c r="C775" s="36"/>
      <c r="D775" s="36"/>
      <c r="E775" s="36" t="s">
        <v>62</v>
      </c>
      <c r="F775" s="38">
        <v>5768028</v>
      </c>
      <c r="G775" s="36" t="s">
        <v>8</v>
      </c>
      <c r="H775" s="36" t="s">
        <v>8</v>
      </c>
      <c r="I775" s="36"/>
      <c r="J775" s="36"/>
    </row>
    <row r="776" spans="1:10" x14ac:dyDescent="0.25">
      <c r="A776" s="36">
        <v>1861</v>
      </c>
      <c r="B776" s="37">
        <v>43647</v>
      </c>
      <c r="C776" s="36"/>
      <c r="D776" s="36"/>
      <c r="E776" s="36" t="s">
        <v>62</v>
      </c>
      <c r="F776" s="38">
        <v>5768028</v>
      </c>
      <c r="G776" s="36" t="s">
        <v>8</v>
      </c>
      <c r="H776" s="36" t="s">
        <v>8</v>
      </c>
      <c r="I776" s="36"/>
      <c r="J776" s="36"/>
    </row>
    <row r="777" spans="1:10" x14ac:dyDescent="0.25">
      <c r="A777" s="36">
        <v>1861</v>
      </c>
      <c r="B777" s="37">
        <v>43678</v>
      </c>
      <c r="C777" s="36"/>
      <c r="D777" s="36"/>
      <c r="E777" s="36" t="s">
        <v>62</v>
      </c>
      <c r="F777" s="38">
        <v>5768028</v>
      </c>
      <c r="G777" s="36" t="s">
        <v>8</v>
      </c>
      <c r="H777" s="36" t="s">
        <v>8</v>
      </c>
      <c r="I777" s="36"/>
      <c r="J777" s="36"/>
    </row>
    <row r="778" spans="1:10" x14ac:dyDescent="0.25">
      <c r="A778" s="36">
        <v>1861</v>
      </c>
      <c r="B778" s="37">
        <v>43709</v>
      </c>
      <c r="C778" s="36"/>
      <c r="D778" s="36"/>
      <c r="E778" s="36" t="s">
        <v>62</v>
      </c>
      <c r="F778" s="38">
        <v>5768028</v>
      </c>
      <c r="G778" s="36" t="s">
        <v>8</v>
      </c>
      <c r="H778" s="36" t="s">
        <v>8</v>
      </c>
      <c r="I778" s="36"/>
      <c r="J778" s="36"/>
    </row>
    <row r="779" spans="1:10" x14ac:dyDescent="0.25">
      <c r="A779" s="36">
        <v>1861</v>
      </c>
      <c r="B779" s="37">
        <v>43739</v>
      </c>
      <c r="C779" s="36"/>
      <c r="D779" s="36"/>
      <c r="E779" s="36" t="s">
        <v>62</v>
      </c>
      <c r="F779" s="38">
        <v>5768028</v>
      </c>
      <c r="G779" s="36" t="s">
        <v>8</v>
      </c>
      <c r="H779" s="36" t="s">
        <v>8</v>
      </c>
      <c r="I779" s="36"/>
      <c r="J779" s="36"/>
    </row>
    <row r="780" spans="1:10" x14ac:dyDescent="0.25">
      <c r="A780" s="36">
        <v>1861</v>
      </c>
      <c r="B780" s="37">
        <v>43770</v>
      </c>
      <c r="C780" s="36"/>
      <c r="D780" s="36"/>
      <c r="E780" s="36" t="s">
        <v>62</v>
      </c>
      <c r="F780" s="38">
        <v>5768028</v>
      </c>
      <c r="G780" s="36" t="s">
        <v>8</v>
      </c>
      <c r="H780" s="36" t="s">
        <v>8</v>
      </c>
      <c r="I780" s="36"/>
      <c r="J780" s="36"/>
    </row>
    <row r="781" spans="1:10" x14ac:dyDescent="0.25">
      <c r="A781" s="36">
        <v>1861</v>
      </c>
      <c r="B781" s="37">
        <v>43800</v>
      </c>
      <c r="C781" s="36"/>
      <c r="D781" s="36"/>
      <c r="E781" s="36" t="s">
        <v>62</v>
      </c>
      <c r="F781" s="38">
        <v>5768028</v>
      </c>
      <c r="G781" s="36" t="s">
        <v>8</v>
      </c>
      <c r="H781" s="36" t="s">
        <v>8</v>
      </c>
      <c r="I781" s="36"/>
      <c r="J781" s="36"/>
    </row>
    <row r="782" spans="1:10" x14ac:dyDescent="0.25">
      <c r="A782" s="36">
        <v>1861</v>
      </c>
      <c r="B782" s="37">
        <v>43831</v>
      </c>
      <c r="C782" s="36"/>
      <c r="D782" s="36"/>
      <c r="E782" s="36" t="s">
        <v>62</v>
      </c>
      <c r="F782" s="38">
        <v>5768028</v>
      </c>
      <c r="G782" s="36" t="s">
        <v>8</v>
      </c>
      <c r="H782" s="36" t="s">
        <v>8</v>
      </c>
      <c r="I782" s="36"/>
      <c r="J782" s="36"/>
    </row>
    <row r="783" spans="1:10" x14ac:dyDescent="0.25">
      <c r="A783" s="36">
        <v>1861</v>
      </c>
      <c r="B783" s="37">
        <v>43862</v>
      </c>
      <c r="C783" s="36"/>
      <c r="D783" s="36"/>
      <c r="E783" s="36" t="s">
        <v>62</v>
      </c>
      <c r="F783" s="38">
        <v>5768028</v>
      </c>
      <c r="G783" s="36" t="s">
        <v>8</v>
      </c>
      <c r="H783" s="36" t="s">
        <v>8</v>
      </c>
      <c r="I783" s="36"/>
      <c r="J783" s="36"/>
    </row>
    <row r="784" spans="1:10" x14ac:dyDescent="0.25">
      <c r="A784" s="36">
        <v>1861</v>
      </c>
      <c r="B784" s="37">
        <v>43891</v>
      </c>
      <c r="C784" s="36"/>
      <c r="D784" s="36"/>
      <c r="E784" s="36" t="s">
        <v>62</v>
      </c>
      <c r="F784" s="38">
        <v>5768028</v>
      </c>
      <c r="G784" s="36" t="s">
        <v>8</v>
      </c>
      <c r="H784" s="36" t="s">
        <v>8</v>
      </c>
      <c r="I784" s="36"/>
      <c r="J784" s="36"/>
    </row>
    <row r="785" spans="1:10" x14ac:dyDescent="0.25">
      <c r="A785" s="36">
        <v>1861</v>
      </c>
      <c r="B785" s="37">
        <v>43922</v>
      </c>
      <c r="C785" s="36"/>
      <c r="D785" s="36"/>
      <c r="E785" s="36" t="s">
        <v>62</v>
      </c>
      <c r="F785" s="38">
        <v>5768028</v>
      </c>
      <c r="G785" s="36" t="s">
        <v>8</v>
      </c>
      <c r="H785" s="36" t="s">
        <v>8</v>
      </c>
      <c r="I785" s="36"/>
      <c r="J785" s="36"/>
    </row>
    <row r="786" spans="1:10" x14ac:dyDescent="0.25">
      <c r="A786" s="36">
        <v>1861</v>
      </c>
      <c r="B786" s="37">
        <v>43952</v>
      </c>
      <c r="C786" s="36"/>
      <c r="D786" s="36"/>
      <c r="E786" s="36" t="s">
        <v>62</v>
      </c>
      <c r="F786" s="38">
        <v>5768028</v>
      </c>
      <c r="G786" s="36" t="s">
        <v>8</v>
      </c>
      <c r="H786" s="36" t="s">
        <v>8</v>
      </c>
      <c r="I786" s="36"/>
      <c r="J786" s="36"/>
    </row>
    <row r="787" spans="1:10" x14ac:dyDescent="0.25">
      <c r="A787" s="36">
        <v>1861</v>
      </c>
      <c r="B787" s="37">
        <v>43983</v>
      </c>
      <c r="C787" s="36"/>
      <c r="D787" s="36"/>
      <c r="E787" s="36" t="s">
        <v>62</v>
      </c>
      <c r="F787" s="38">
        <v>5768028</v>
      </c>
      <c r="G787" s="36" t="s">
        <v>8</v>
      </c>
      <c r="H787" s="36" t="s">
        <v>8</v>
      </c>
      <c r="I787" s="36"/>
      <c r="J787" s="36"/>
    </row>
    <row r="788" spans="1:10" x14ac:dyDescent="0.25">
      <c r="A788" s="36">
        <v>1861</v>
      </c>
      <c r="B788" s="37">
        <v>44013</v>
      </c>
      <c r="C788" s="36"/>
      <c r="D788" s="36"/>
      <c r="E788" s="36" t="s">
        <v>62</v>
      </c>
      <c r="F788" s="38">
        <v>5768028</v>
      </c>
      <c r="G788" s="36" t="s">
        <v>8</v>
      </c>
      <c r="H788" s="36" t="s">
        <v>8</v>
      </c>
      <c r="I788" s="36"/>
      <c r="J788" s="36"/>
    </row>
    <row r="789" spans="1:10" x14ac:dyDescent="0.25">
      <c r="A789" s="36">
        <v>1861</v>
      </c>
      <c r="B789" s="37">
        <v>44044</v>
      </c>
      <c r="C789" s="36"/>
      <c r="D789" s="36"/>
      <c r="E789" s="36" t="s">
        <v>62</v>
      </c>
      <c r="F789" s="38">
        <v>5768028</v>
      </c>
      <c r="G789" s="36" t="s">
        <v>8</v>
      </c>
      <c r="H789" s="36" t="s">
        <v>8</v>
      </c>
      <c r="I789" s="36"/>
      <c r="J789" s="36"/>
    </row>
    <row r="790" spans="1:10" x14ac:dyDescent="0.25">
      <c r="A790" s="36">
        <v>1861</v>
      </c>
      <c r="B790" s="37">
        <v>44075</v>
      </c>
      <c r="C790" s="36"/>
      <c r="D790" s="36"/>
      <c r="E790" s="36" t="s">
        <v>62</v>
      </c>
      <c r="F790" s="38">
        <v>5768028</v>
      </c>
      <c r="G790" s="36" t="s">
        <v>8</v>
      </c>
      <c r="H790" s="36" t="s">
        <v>8</v>
      </c>
      <c r="I790" s="36"/>
      <c r="J790" s="36"/>
    </row>
    <row r="791" spans="1:10" x14ac:dyDescent="0.25">
      <c r="A791" s="36">
        <v>1861</v>
      </c>
      <c r="B791" s="37">
        <v>44105</v>
      </c>
      <c r="C791" s="36"/>
      <c r="D791" s="36"/>
      <c r="E791" s="36" t="s">
        <v>62</v>
      </c>
      <c r="F791" s="38">
        <v>5768028</v>
      </c>
      <c r="G791" s="36" t="s">
        <v>8</v>
      </c>
      <c r="H791" s="36" t="s">
        <v>8</v>
      </c>
      <c r="I791" s="36"/>
      <c r="J791" s="36"/>
    </row>
    <row r="792" spans="1:10" x14ac:dyDescent="0.25">
      <c r="A792" s="36">
        <v>1861</v>
      </c>
      <c r="B792" s="37">
        <v>44136</v>
      </c>
      <c r="C792" s="36"/>
      <c r="D792" s="36"/>
      <c r="E792" s="36" t="s">
        <v>62</v>
      </c>
      <c r="F792" s="38">
        <v>5768028</v>
      </c>
      <c r="G792" s="36" t="s">
        <v>8</v>
      </c>
      <c r="H792" s="36" t="s">
        <v>8</v>
      </c>
      <c r="I792" s="36"/>
      <c r="J792" s="36"/>
    </row>
    <row r="793" spans="1:10" x14ac:dyDescent="0.25">
      <c r="A793" s="36">
        <v>1861</v>
      </c>
      <c r="B793" s="37">
        <v>43466</v>
      </c>
      <c r="C793" s="36"/>
      <c r="D793" s="36"/>
      <c r="E793" s="36" t="s">
        <v>62</v>
      </c>
      <c r="F793" s="38">
        <v>5853202.4250000007</v>
      </c>
      <c r="G793" s="36" t="s">
        <v>8</v>
      </c>
      <c r="H793" s="36" t="s">
        <v>8</v>
      </c>
      <c r="I793" s="36"/>
      <c r="J793" s="36"/>
    </row>
    <row r="794" spans="1:10" x14ac:dyDescent="0.25">
      <c r="A794" s="36">
        <v>1861</v>
      </c>
      <c r="B794" s="37">
        <v>43497</v>
      </c>
      <c r="C794" s="36"/>
      <c r="D794" s="36"/>
      <c r="E794" s="36" t="s">
        <v>62</v>
      </c>
      <c r="F794" s="38">
        <v>5853202.4250000007</v>
      </c>
      <c r="G794" s="36" t="s">
        <v>8</v>
      </c>
      <c r="H794" s="36" t="s">
        <v>8</v>
      </c>
      <c r="I794" s="36"/>
      <c r="J794" s="36"/>
    </row>
    <row r="795" spans="1:10" x14ac:dyDescent="0.25">
      <c r="A795" s="36">
        <v>1861</v>
      </c>
      <c r="B795" s="37">
        <v>43525</v>
      </c>
      <c r="C795" s="36"/>
      <c r="D795" s="36"/>
      <c r="E795" s="36" t="s">
        <v>62</v>
      </c>
      <c r="F795" s="38">
        <v>5853202.4250000007</v>
      </c>
      <c r="G795" s="36" t="s">
        <v>8</v>
      </c>
      <c r="H795" s="36" t="s">
        <v>8</v>
      </c>
      <c r="I795" s="36"/>
      <c r="J795" s="36"/>
    </row>
    <row r="796" spans="1:10" x14ac:dyDescent="0.25">
      <c r="A796" s="36">
        <v>1861</v>
      </c>
      <c r="B796" s="37">
        <v>43556</v>
      </c>
      <c r="C796" s="36"/>
      <c r="D796" s="36"/>
      <c r="E796" s="36" t="s">
        <v>62</v>
      </c>
      <c r="F796" s="38">
        <v>5853202.4250000007</v>
      </c>
      <c r="G796" s="36" t="s">
        <v>8</v>
      </c>
      <c r="H796" s="36" t="s">
        <v>8</v>
      </c>
      <c r="I796" s="36"/>
      <c r="J796" s="36"/>
    </row>
    <row r="797" spans="1:10" x14ac:dyDescent="0.25">
      <c r="A797" s="36">
        <v>1861</v>
      </c>
      <c r="B797" s="37">
        <v>43586</v>
      </c>
      <c r="C797" s="36"/>
      <c r="D797" s="36"/>
      <c r="E797" s="36" t="s">
        <v>62</v>
      </c>
      <c r="F797" s="38">
        <v>5853202.4250000007</v>
      </c>
      <c r="G797" s="36" t="s">
        <v>8</v>
      </c>
      <c r="H797" s="36" t="s">
        <v>8</v>
      </c>
      <c r="I797" s="36"/>
      <c r="J797" s="36"/>
    </row>
    <row r="798" spans="1:10" x14ac:dyDescent="0.25">
      <c r="A798" s="36">
        <v>1861</v>
      </c>
      <c r="B798" s="37">
        <v>43617</v>
      </c>
      <c r="C798" s="36"/>
      <c r="D798" s="36"/>
      <c r="E798" s="36" t="s">
        <v>62</v>
      </c>
      <c r="F798" s="38">
        <v>5853202.4250000007</v>
      </c>
      <c r="G798" s="36" t="s">
        <v>8</v>
      </c>
      <c r="H798" s="36" t="s">
        <v>8</v>
      </c>
      <c r="I798" s="36"/>
      <c r="J798" s="36"/>
    </row>
    <row r="799" spans="1:10" x14ac:dyDescent="0.25">
      <c r="A799" s="36">
        <v>1861</v>
      </c>
      <c r="B799" s="37">
        <v>43647</v>
      </c>
      <c r="C799" s="36"/>
      <c r="D799" s="36"/>
      <c r="E799" s="36" t="s">
        <v>62</v>
      </c>
      <c r="F799" s="38">
        <v>5853202.4250000007</v>
      </c>
      <c r="G799" s="36" t="s">
        <v>8</v>
      </c>
      <c r="H799" s="36" t="s">
        <v>8</v>
      </c>
      <c r="I799" s="36"/>
      <c r="J799" s="36"/>
    </row>
    <row r="800" spans="1:10" x14ac:dyDescent="0.25">
      <c r="A800" s="36">
        <v>1861</v>
      </c>
      <c r="B800" s="37">
        <v>43678</v>
      </c>
      <c r="C800" s="36"/>
      <c r="D800" s="36"/>
      <c r="E800" s="36" t="s">
        <v>62</v>
      </c>
      <c r="F800" s="38">
        <v>5853202.4250000007</v>
      </c>
      <c r="G800" s="36" t="s">
        <v>8</v>
      </c>
      <c r="H800" s="36" t="s">
        <v>8</v>
      </c>
      <c r="I800" s="36"/>
      <c r="J800" s="36"/>
    </row>
    <row r="801" spans="1:10" x14ac:dyDescent="0.25">
      <c r="A801" s="36">
        <v>1861</v>
      </c>
      <c r="B801" s="37">
        <v>43709</v>
      </c>
      <c r="C801" s="36"/>
      <c r="D801" s="36"/>
      <c r="E801" s="36" t="s">
        <v>62</v>
      </c>
      <c r="F801" s="38">
        <v>5853202.4250000007</v>
      </c>
      <c r="G801" s="36" t="s">
        <v>8</v>
      </c>
      <c r="H801" s="36" t="s">
        <v>8</v>
      </c>
      <c r="I801" s="36"/>
      <c r="J801" s="36"/>
    </row>
    <row r="802" spans="1:10" x14ac:dyDescent="0.25">
      <c r="A802" s="36">
        <v>1861</v>
      </c>
      <c r="B802" s="37">
        <v>43739</v>
      </c>
      <c r="C802" s="36"/>
      <c r="D802" s="36"/>
      <c r="E802" s="36" t="s">
        <v>62</v>
      </c>
      <c r="F802" s="38">
        <v>5853202.4250000007</v>
      </c>
      <c r="G802" s="36" t="s">
        <v>8</v>
      </c>
      <c r="H802" s="36" t="s">
        <v>8</v>
      </c>
      <c r="I802" s="36"/>
      <c r="J802" s="36"/>
    </row>
    <row r="803" spans="1:10" x14ac:dyDescent="0.25">
      <c r="A803" s="36">
        <v>1861</v>
      </c>
      <c r="B803" s="37">
        <v>43770</v>
      </c>
      <c r="C803" s="36"/>
      <c r="D803" s="36"/>
      <c r="E803" s="36" t="s">
        <v>62</v>
      </c>
      <c r="F803" s="38">
        <v>5853202.4250000007</v>
      </c>
      <c r="G803" s="36" t="s">
        <v>8</v>
      </c>
      <c r="H803" s="36" t="s">
        <v>8</v>
      </c>
      <c r="I803" s="36"/>
      <c r="J803" s="36"/>
    </row>
    <row r="804" spans="1:10" x14ac:dyDescent="0.25">
      <c r="A804" s="36">
        <v>1861</v>
      </c>
      <c r="B804" s="37">
        <v>43800</v>
      </c>
      <c r="C804" s="36"/>
      <c r="D804" s="36"/>
      <c r="E804" s="36" t="s">
        <v>62</v>
      </c>
      <c r="F804" s="38">
        <v>5853202.4250000007</v>
      </c>
      <c r="G804" s="36" t="s">
        <v>8</v>
      </c>
      <c r="H804" s="36" t="s">
        <v>8</v>
      </c>
      <c r="I804" s="36"/>
      <c r="J804" s="36"/>
    </row>
    <row r="805" spans="1:10" x14ac:dyDescent="0.25">
      <c r="A805" s="36">
        <v>1861</v>
      </c>
      <c r="B805" s="37">
        <v>43831</v>
      </c>
      <c r="C805" s="36"/>
      <c r="D805" s="36"/>
      <c r="E805" s="36" t="s">
        <v>62</v>
      </c>
      <c r="F805" s="38">
        <v>5853202.4250000007</v>
      </c>
      <c r="G805" s="36" t="s">
        <v>8</v>
      </c>
      <c r="H805" s="36" t="s">
        <v>8</v>
      </c>
      <c r="I805" s="36"/>
      <c r="J805" s="36"/>
    </row>
    <row r="806" spans="1:10" x14ac:dyDescent="0.25">
      <c r="A806" s="36">
        <v>1861</v>
      </c>
      <c r="B806" s="37">
        <v>43862</v>
      </c>
      <c r="C806" s="36"/>
      <c r="D806" s="36"/>
      <c r="E806" s="36" t="s">
        <v>62</v>
      </c>
      <c r="F806" s="38">
        <v>5853202.4250000007</v>
      </c>
      <c r="G806" s="36" t="s">
        <v>8</v>
      </c>
      <c r="H806" s="36" t="s">
        <v>8</v>
      </c>
      <c r="I806" s="36"/>
      <c r="J806" s="36"/>
    </row>
    <row r="807" spans="1:10" x14ac:dyDescent="0.25">
      <c r="A807" s="36">
        <v>1861</v>
      </c>
      <c r="B807" s="37">
        <v>43891</v>
      </c>
      <c r="C807" s="36"/>
      <c r="D807" s="36"/>
      <c r="E807" s="36" t="s">
        <v>62</v>
      </c>
      <c r="F807" s="38">
        <v>5853202.4250000007</v>
      </c>
      <c r="G807" s="36" t="s">
        <v>8</v>
      </c>
      <c r="H807" s="36" t="s">
        <v>8</v>
      </c>
      <c r="I807" s="36"/>
      <c r="J807" s="36"/>
    </row>
    <row r="808" spans="1:10" x14ac:dyDescent="0.25">
      <c r="A808" s="36">
        <v>1861</v>
      </c>
      <c r="B808" s="37">
        <v>43922</v>
      </c>
      <c r="C808" s="36"/>
      <c r="D808" s="36"/>
      <c r="E808" s="36" t="s">
        <v>62</v>
      </c>
      <c r="F808" s="38">
        <v>5853202.4250000007</v>
      </c>
      <c r="G808" s="36" t="s">
        <v>8</v>
      </c>
      <c r="H808" s="36" t="s">
        <v>8</v>
      </c>
      <c r="I808" s="36"/>
      <c r="J808" s="36"/>
    </row>
    <row r="809" spans="1:10" x14ac:dyDescent="0.25">
      <c r="A809" s="36">
        <v>1861</v>
      </c>
      <c r="B809" s="37">
        <v>43952</v>
      </c>
      <c r="C809" s="36"/>
      <c r="D809" s="36"/>
      <c r="E809" s="36" t="s">
        <v>62</v>
      </c>
      <c r="F809" s="38">
        <v>5853202.4250000007</v>
      </c>
      <c r="G809" s="36" t="s">
        <v>8</v>
      </c>
      <c r="H809" s="36" t="s">
        <v>8</v>
      </c>
      <c r="I809" s="36"/>
      <c r="J809" s="36"/>
    </row>
    <row r="810" spans="1:10" x14ac:dyDescent="0.25">
      <c r="A810" s="36">
        <v>1861</v>
      </c>
      <c r="B810" s="37">
        <v>43466</v>
      </c>
      <c r="C810" s="36"/>
      <c r="D810" s="36"/>
      <c r="E810" s="36" t="s">
        <v>9</v>
      </c>
      <c r="F810" s="38">
        <v>11280052.350000001</v>
      </c>
      <c r="G810" s="36" t="s">
        <v>8</v>
      </c>
      <c r="H810" s="36" t="s">
        <v>8</v>
      </c>
      <c r="I810" s="36"/>
      <c r="J810" s="36"/>
    </row>
    <row r="811" spans="1:10" x14ac:dyDescent="0.25">
      <c r="A811" s="36">
        <v>1861</v>
      </c>
      <c r="B811" s="37">
        <v>43497</v>
      </c>
      <c r="C811" s="36"/>
      <c r="D811" s="36"/>
      <c r="E811" s="36" t="s">
        <v>9</v>
      </c>
      <c r="F811" s="38">
        <v>11280052.350000001</v>
      </c>
      <c r="G811" s="36" t="s">
        <v>8</v>
      </c>
      <c r="H811" s="36" t="s">
        <v>8</v>
      </c>
      <c r="I811" s="36"/>
      <c r="J811" s="36"/>
    </row>
    <row r="812" spans="1:10" x14ac:dyDescent="0.25">
      <c r="A812" s="36">
        <v>1861</v>
      </c>
      <c r="B812" s="37">
        <v>43525</v>
      </c>
      <c r="C812" s="36"/>
      <c r="D812" s="36"/>
      <c r="E812" s="36" t="s">
        <v>9</v>
      </c>
      <c r="F812" s="38">
        <v>11280052.350000001</v>
      </c>
      <c r="G812" s="36" t="s">
        <v>8</v>
      </c>
      <c r="H812" s="36" t="s">
        <v>8</v>
      </c>
      <c r="I812" s="36"/>
      <c r="J812" s="36"/>
    </row>
    <row r="813" spans="1:10" x14ac:dyDescent="0.25">
      <c r="A813" s="36">
        <v>1861</v>
      </c>
      <c r="B813" s="37">
        <v>43556</v>
      </c>
      <c r="C813" s="36"/>
      <c r="D813" s="36"/>
      <c r="E813" s="36" t="s">
        <v>9</v>
      </c>
      <c r="F813" s="38">
        <v>11280052.350000001</v>
      </c>
      <c r="G813" s="36" t="s">
        <v>8</v>
      </c>
      <c r="H813" s="36" t="s">
        <v>8</v>
      </c>
      <c r="I813" s="36"/>
      <c r="J813" s="36"/>
    </row>
    <row r="814" spans="1:10" x14ac:dyDescent="0.25">
      <c r="A814" s="36">
        <v>1861</v>
      </c>
      <c r="B814" s="37">
        <v>43586</v>
      </c>
      <c r="C814" s="36"/>
      <c r="D814" s="36"/>
      <c r="E814" s="36" t="s">
        <v>9</v>
      </c>
      <c r="F814" s="38">
        <v>11280052.350000001</v>
      </c>
      <c r="G814" s="36" t="s">
        <v>8</v>
      </c>
      <c r="H814" s="36" t="s">
        <v>8</v>
      </c>
      <c r="I814" s="36"/>
      <c r="J814" s="36"/>
    </row>
    <row r="815" spans="1:10" x14ac:dyDescent="0.25">
      <c r="A815" s="36">
        <v>1861</v>
      </c>
      <c r="B815" s="37">
        <v>43617</v>
      </c>
      <c r="C815" s="36"/>
      <c r="D815" s="36"/>
      <c r="E815" s="36" t="s">
        <v>9</v>
      </c>
      <c r="F815" s="38">
        <v>11280052.350000001</v>
      </c>
      <c r="G815" s="36" t="s">
        <v>8</v>
      </c>
      <c r="H815" s="36" t="s">
        <v>8</v>
      </c>
      <c r="I815" s="36"/>
      <c r="J815" s="36"/>
    </row>
    <row r="816" spans="1:10" x14ac:dyDescent="0.25">
      <c r="A816" s="36">
        <v>1861</v>
      </c>
      <c r="B816" s="37">
        <v>43647</v>
      </c>
      <c r="C816" s="36"/>
      <c r="D816" s="36"/>
      <c r="E816" s="36" t="s">
        <v>9</v>
      </c>
      <c r="F816" s="38">
        <v>11280052.350000001</v>
      </c>
      <c r="G816" s="36" t="s">
        <v>8</v>
      </c>
      <c r="H816" s="36" t="s">
        <v>8</v>
      </c>
      <c r="I816" s="36"/>
      <c r="J816" s="36"/>
    </row>
    <row r="817" spans="1:10" x14ac:dyDescent="0.25">
      <c r="A817" s="36">
        <v>1861</v>
      </c>
      <c r="B817" s="37">
        <v>43678</v>
      </c>
      <c r="C817" s="36"/>
      <c r="D817" s="36"/>
      <c r="E817" s="36" t="s">
        <v>9</v>
      </c>
      <c r="F817" s="38">
        <v>11280052.350000001</v>
      </c>
      <c r="G817" s="36" t="s">
        <v>8</v>
      </c>
      <c r="H817" s="36" t="s">
        <v>8</v>
      </c>
      <c r="I817" s="36"/>
      <c r="J817" s="36"/>
    </row>
    <row r="818" spans="1:10" x14ac:dyDescent="0.25">
      <c r="A818" s="36">
        <v>1861</v>
      </c>
      <c r="B818" s="37">
        <v>43709</v>
      </c>
      <c r="C818" s="36"/>
      <c r="D818" s="36"/>
      <c r="E818" s="36" t="s">
        <v>9</v>
      </c>
      <c r="F818" s="38">
        <v>11280052.350000001</v>
      </c>
      <c r="G818" s="36" t="s">
        <v>8</v>
      </c>
      <c r="H818" s="36" t="s">
        <v>8</v>
      </c>
      <c r="I818" s="36"/>
      <c r="J818" s="36"/>
    </row>
    <row r="819" spans="1:10" x14ac:dyDescent="0.25">
      <c r="A819" s="36">
        <v>1861</v>
      </c>
      <c r="B819" s="37">
        <v>43739</v>
      </c>
      <c r="C819" s="36"/>
      <c r="D819" s="36"/>
      <c r="E819" s="36" t="s">
        <v>9</v>
      </c>
      <c r="F819" s="38">
        <v>11280052.350000001</v>
      </c>
      <c r="G819" s="36" t="s">
        <v>8</v>
      </c>
      <c r="H819" s="36" t="s">
        <v>8</v>
      </c>
      <c r="I819" s="36"/>
      <c r="J819" s="36"/>
    </row>
    <row r="820" spans="1:10" x14ac:dyDescent="0.25">
      <c r="A820" s="36">
        <v>1861</v>
      </c>
      <c r="B820" s="37">
        <v>43770</v>
      </c>
      <c r="C820" s="36"/>
      <c r="D820" s="36"/>
      <c r="E820" s="36" t="s">
        <v>9</v>
      </c>
      <c r="F820" s="38">
        <v>11280052.350000001</v>
      </c>
      <c r="G820" s="36" t="s">
        <v>8</v>
      </c>
      <c r="H820" s="36" t="s">
        <v>8</v>
      </c>
      <c r="I820" s="36"/>
      <c r="J820" s="36"/>
    </row>
    <row r="821" spans="1:10" x14ac:dyDescent="0.25">
      <c r="A821" s="36">
        <v>1861</v>
      </c>
      <c r="B821" s="37">
        <v>43800</v>
      </c>
      <c r="C821" s="36"/>
      <c r="D821" s="36"/>
      <c r="E821" s="36" t="s">
        <v>9</v>
      </c>
      <c r="F821" s="38">
        <v>11280052.350000001</v>
      </c>
      <c r="G821" s="36" t="s">
        <v>8</v>
      </c>
      <c r="H821" s="36" t="s">
        <v>8</v>
      </c>
      <c r="I821" s="36"/>
      <c r="J821" s="36"/>
    </row>
    <row r="822" spans="1:10" x14ac:dyDescent="0.25">
      <c r="A822" s="36">
        <v>1861</v>
      </c>
      <c r="B822" s="37">
        <v>43831</v>
      </c>
      <c r="C822" s="36"/>
      <c r="D822" s="36"/>
      <c r="E822" s="36" t="s">
        <v>9</v>
      </c>
      <c r="F822" s="38">
        <v>11280052.350000001</v>
      </c>
      <c r="G822" s="36" t="s">
        <v>8</v>
      </c>
      <c r="H822" s="36" t="s">
        <v>8</v>
      </c>
      <c r="I822" s="36"/>
      <c r="J822" s="36"/>
    </row>
    <row r="823" spans="1:10" x14ac:dyDescent="0.25">
      <c r="A823" s="36">
        <v>1861</v>
      </c>
      <c r="B823" s="37">
        <v>43862</v>
      </c>
      <c r="C823" s="36"/>
      <c r="D823" s="36"/>
      <c r="E823" s="36" t="s">
        <v>9</v>
      </c>
      <c r="F823" s="38">
        <v>11280052.350000001</v>
      </c>
      <c r="G823" s="36" t="s">
        <v>8</v>
      </c>
      <c r="H823" s="36" t="s">
        <v>8</v>
      </c>
      <c r="I823" s="36"/>
      <c r="J823" s="36"/>
    </row>
    <row r="824" spans="1:10" x14ac:dyDescent="0.25">
      <c r="A824" s="36">
        <v>1861</v>
      </c>
      <c r="B824" s="37">
        <v>43891</v>
      </c>
      <c r="C824" s="36"/>
      <c r="D824" s="36"/>
      <c r="E824" s="36" t="s">
        <v>9</v>
      </c>
      <c r="F824" s="38">
        <v>11280052.350000001</v>
      </c>
      <c r="G824" s="36" t="s">
        <v>8</v>
      </c>
      <c r="H824" s="36" t="s">
        <v>8</v>
      </c>
      <c r="I824" s="36"/>
      <c r="J824" s="36"/>
    </row>
    <row r="825" spans="1:10" x14ac:dyDescent="0.25">
      <c r="A825" s="36">
        <v>1861</v>
      </c>
      <c r="B825" s="37">
        <v>43922</v>
      </c>
      <c r="C825" s="36"/>
      <c r="D825" s="36"/>
      <c r="E825" s="36" t="s">
        <v>9</v>
      </c>
      <c r="F825" s="38">
        <v>11280052.350000001</v>
      </c>
      <c r="G825" s="36" t="s">
        <v>8</v>
      </c>
      <c r="H825" s="36" t="s">
        <v>8</v>
      </c>
      <c r="I825" s="36"/>
      <c r="J825" s="36"/>
    </row>
    <row r="826" spans="1:10" x14ac:dyDescent="0.25">
      <c r="A826" s="36">
        <v>1861</v>
      </c>
      <c r="B826" s="37">
        <v>43952</v>
      </c>
      <c r="C826" s="36"/>
      <c r="D826" s="36"/>
      <c r="E826" s="36" t="s">
        <v>9</v>
      </c>
      <c r="F826" s="38">
        <v>11280052.350000001</v>
      </c>
      <c r="G826" s="36" t="s">
        <v>8</v>
      </c>
      <c r="H826" s="36" t="s">
        <v>8</v>
      </c>
      <c r="I826" s="36"/>
      <c r="J826" s="36"/>
    </row>
    <row r="827" spans="1:10" x14ac:dyDescent="0.25">
      <c r="A827" s="36">
        <v>1861</v>
      </c>
      <c r="B827" s="37">
        <v>43983</v>
      </c>
      <c r="C827" s="36"/>
      <c r="D827" s="36"/>
      <c r="E827" s="36" t="s">
        <v>9</v>
      </c>
      <c r="F827" s="38">
        <v>11280052.350000001</v>
      </c>
      <c r="G827" s="36" t="s">
        <v>8</v>
      </c>
      <c r="H827" s="36" t="s">
        <v>8</v>
      </c>
      <c r="I827" s="36"/>
      <c r="J827" s="36"/>
    </row>
    <row r="828" spans="1:10" x14ac:dyDescent="0.25">
      <c r="A828" s="36">
        <v>1861</v>
      </c>
      <c r="B828" s="37">
        <v>44013</v>
      </c>
      <c r="C828" s="36"/>
      <c r="D828" s="36"/>
      <c r="E828" s="36" t="s">
        <v>9</v>
      </c>
      <c r="F828" s="38">
        <v>11280052.350000001</v>
      </c>
      <c r="G828" s="36" t="s">
        <v>8</v>
      </c>
      <c r="H828" s="36" t="s">
        <v>8</v>
      </c>
      <c r="I828" s="36"/>
      <c r="J828" s="36"/>
    </row>
    <row r="829" spans="1:10" x14ac:dyDescent="0.25">
      <c r="A829" s="36">
        <v>1861</v>
      </c>
      <c r="B829" s="37">
        <v>44044</v>
      </c>
      <c r="C829" s="36"/>
      <c r="D829" s="36"/>
      <c r="E829" s="36" t="s">
        <v>9</v>
      </c>
      <c r="F829" s="38">
        <v>11280052.350000001</v>
      </c>
      <c r="G829" s="36" t="s">
        <v>8</v>
      </c>
      <c r="H829" s="36" t="s">
        <v>8</v>
      </c>
      <c r="I829" s="36"/>
      <c r="J829" s="36"/>
    </row>
    <row r="830" spans="1:10" x14ac:dyDescent="0.25">
      <c r="A830" s="36">
        <v>1861</v>
      </c>
      <c r="B830" s="37">
        <v>44075</v>
      </c>
      <c r="C830" s="36"/>
      <c r="D830" s="36"/>
      <c r="E830" s="36" t="s">
        <v>9</v>
      </c>
      <c r="F830" s="38">
        <v>11280052.350000001</v>
      </c>
      <c r="G830" s="36" t="s">
        <v>8</v>
      </c>
      <c r="H830" s="36" t="s">
        <v>8</v>
      </c>
      <c r="I830" s="36"/>
      <c r="J830" s="36"/>
    </row>
    <row r="831" spans="1:10" x14ac:dyDescent="0.25">
      <c r="A831" s="36">
        <v>1861</v>
      </c>
      <c r="B831" s="37">
        <v>43466</v>
      </c>
      <c r="C831" s="36"/>
      <c r="D831" s="36"/>
      <c r="E831" s="36" t="s">
        <v>63</v>
      </c>
      <c r="F831" s="38">
        <v>4765579.4024999999</v>
      </c>
      <c r="G831" s="36" t="s">
        <v>8</v>
      </c>
      <c r="H831" s="36" t="s">
        <v>8</v>
      </c>
      <c r="I831" s="36"/>
      <c r="J831" s="36"/>
    </row>
    <row r="832" spans="1:10" x14ac:dyDescent="0.25">
      <c r="A832" s="36">
        <v>1861</v>
      </c>
      <c r="B832" s="37">
        <v>43497</v>
      </c>
      <c r="C832" s="36"/>
      <c r="D832" s="36"/>
      <c r="E832" s="36" t="s">
        <v>63</v>
      </c>
      <c r="F832" s="38">
        <v>4765579.4024999999</v>
      </c>
      <c r="G832" s="36" t="s">
        <v>8</v>
      </c>
      <c r="H832" s="36" t="s">
        <v>8</v>
      </c>
      <c r="I832" s="36"/>
      <c r="J832" s="36"/>
    </row>
    <row r="833" spans="1:10" x14ac:dyDescent="0.25">
      <c r="A833" s="36">
        <v>1861</v>
      </c>
      <c r="B833" s="37">
        <v>43525</v>
      </c>
      <c r="C833" s="36"/>
      <c r="D833" s="36"/>
      <c r="E833" s="36" t="s">
        <v>63</v>
      </c>
      <c r="F833" s="38">
        <v>4765579.4024999999</v>
      </c>
      <c r="G833" s="36" t="s">
        <v>8</v>
      </c>
      <c r="H833" s="36" t="s">
        <v>8</v>
      </c>
      <c r="I833" s="36"/>
      <c r="J833" s="36"/>
    </row>
    <row r="834" spans="1:10" x14ac:dyDescent="0.25">
      <c r="A834" s="36">
        <v>1861</v>
      </c>
      <c r="B834" s="37">
        <v>43556</v>
      </c>
      <c r="C834" s="36"/>
      <c r="D834" s="36"/>
      <c r="E834" s="36" t="s">
        <v>63</v>
      </c>
      <c r="F834" s="38">
        <v>4765579.4024999999</v>
      </c>
      <c r="G834" s="36" t="s">
        <v>8</v>
      </c>
      <c r="H834" s="36" t="s">
        <v>8</v>
      </c>
      <c r="I834" s="36"/>
      <c r="J834" s="36"/>
    </row>
    <row r="835" spans="1:10" x14ac:dyDescent="0.25">
      <c r="A835" s="36">
        <v>1861</v>
      </c>
      <c r="B835" s="37">
        <v>43586</v>
      </c>
      <c r="C835" s="36"/>
      <c r="D835" s="36"/>
      <c r="E835" s="36" t="s">
        <v>63</v>
      </c>
      <c r="F835" s="38">
        <v>4765579.4024999999</v>
      </c>
      <c r="G835" s="36" t="s">
        <v>8</v>
      </c>
      <c r="H835" s="36" t="s">
        <v>8</v>
      </c>
      <c r="I835" s="36"/>
      <c r="J835" s="36"/>
    </row>
    <row r="836" spans="1:10" x14ac:dyDescent="0.25">
      <c r="A836" s="36">
        <v>1861</v>
      </c>
      <c r="B836" s="37">
        <v>43617</v>
      </c>
      <c r="C836" s="36"/>
      <c r="D836" s="36"/>
      <c r="E836" s="36" t="s">
        <v>63</v>
      </c>
      <c r="F836" s="38">
        <v>4765579.4024999999</v>
      </c>
      <c r="G836" s="36" t="s">
        <v>8</v>
      </c>
      <c r="H836" s="36" t="s">
        <v>8</v>
      </c>
      <c r="I836" s="36"/>
      <c r="J836" s="36"/>
    </row>
    <row r="837" spans="1:10" x14ac:dyDescent="0.25">
      <c r="A837" s="36">
        <v>1861</v>
      </c>
      <c r="B837" s="37">
        <v>43647</v>
      </c>
      <c r="C837" s="36"/>
      <c r="D837" s="36"/>
      <c r="E837" s="36" t="s">
        <v>63</v>
      </c>
      <c r="F837" s="38">
        <v>4765579.4024999999</v>
      </c>
      <c r="G837" s="36" t="s">
        <v>8</v>
      </c>
      <c r="H837" s="36" t="s">
        <v>8</v>
      </c>
      <c r="I837" s="36"/>
      <c r="J837" s="36"/>
    </row>
    <row r="838" spans="1:10" x14ac:dyDescent="0.25">
      <c r="A838" s="36">
        <v>1861</v>
      </c>
      <c r="B838" s="37">
        <v>43678</v>
      </c>
      <c r="C838" s="36"/>
      <c r="D838" s="36"/>
      <c r="E838" s="36" t="s">
        <v>63</v>
      </c>
      <c r="F838" s="38">
        <v>4765579.4024999999</v>
      </c>
      <c r="G838" s="36" t="s">
        <v>8</v>
      </c>
      <c r="H838" s="36" t="s">
        <v>8</v>
      </c>
      <c r="I838" s="36"/>
      <c r="J838" s="36"/>
    </row>
    <row r="839" spans="1:10" x14ac:dyDescent="0.25">
      <c r="A839" s="36">
        <v>1861</v>
      </c>
      <c r="B839" s="37">
        <v>43709</v>
      </c>
      <c r="C839" s="36"/>
      <c r="D839" s="36"/>
      <c r="E839" s="36" t="s">
        <v>63</v>
      </c>
      <c r="F839" s="38">
        <v>4765579.4024999999</v>
      </c>
      <c r="G839" s="36" t="s">
        <v>8</v>
      </c>
      <c r="H839" s="36" t="s">
        <v>8</v>
      </c>
      <c r="I839" s="36"/>
      <c r="J839" s="36"/>
    </row>
    <row r="840" spans="1:10" x14ac:dyDescent="0.25">
      <c r="A840" s="36">
        <v>1861</v>
      </c>
      <c r="B840" s="37">
        <v>43739</v>
      </c>
      <c r="C840" s="36"/>
      <c r="D840" s="36"/>
      <c r="E840" s="36" t="s">
        <v>63</v>
      </c>
      <c r="F840" s="38">
        <v>4765579.4024999999</v>
      </c>
      <c r="G840" s="36" t="s">
        <v>8</v>
      </c>
      <c r="H840" s="36" t="s">
        <v>8</v>
      </c>
      <c r="I840" s="36"/>
      <c r="J840" s="36"/>
    </row>
    <row r="841" spans="1:10" x14ac:dyDescent="0.25">
      <c r="A841" s="36">
        <v>1861</v>
      </c>
      <c r="B841" s="37">
        <v>43770</v>
      </c>
      <c r="C841" s="36"/>
      <c r="D841" s="36"/>
      <c r="E841" s="36" t="s">
        <v>63</v>
      </c>
      <c r="F841" s="38">
        <v>4765579.4024999999</v>
      </c>
      <c r="G841" s="36" t="s">
        <v>8</v>
      </c>
      <c r="H841" s="36" t="s">
        <v>8</v>
      </c>
      <c r="I841" s="36"/>
      <c r="J841" s="36"/>
    </row>
    <row r="842" spans="1:10" x14ac:dyDescent="0.25">
      <c r="A842" s="36">
        <v>1861</v>
      </c>
      <c r="B842" s="37">
        <v>43800</v>
      </c>
      <c r="C842" s="36"/>
      <c r="D842" s="36"/>
      <c r="E842" s="36" t="s">
        <v>63</v>
      </c>
      <c r="F842" s="38">
        <v>4765579.4024999999</v>
      </c>
      <c r="G842" s="36" t="s">
        <v>8</v>
      </c>
      <c r="H842" s="36" t="s">
        <v>8</v>
      </c>
      <c r="I842" s="36"/>
      <c r="J842" s="36"/>
    </row>
    <row r="843" spans="1:10" x14ac:dyDescent="0.25">
      <c r="A843" s="36">
        <v>1861</v>
      </c>
      <c r="B843" s="37">
        <v>43831</v>
      </c>
      <c r="C843" s="36"/>
      <c r="D843" s="36"/>
      <c r="E843" s="36" t="s">
        <v>63</v>
      </c>
      <c r="F843" s="38">
        <v>4765579.4024999999</v>
      </c>
      <c r="G843" s="36" t="s">
        <v>8</v>
      </c>
      <c r="H843" s="36" t="s">
        <v>8</v>
      </c>
      <c r="I843" s="36"/>
      <c r="J843" s="36"/>
    </row>
    <row r="844" spans="1:10" x14ac:dyDescent="0.25">
      <c r="A844" s="36">
        <v>1861</v>
      </c>
      <c r="B844" s="37">
        <v>43862</v>
      </c>
      <c r="C844" s="36"/>
      <c r="D844" s="36"/>
      <c r="E844" s="36" t="s">
        <v>63</v>
      </c>
      <c r="F844" s="38">
        <v>4765579.4024999999</v>
      </c>
      <c r="G844" s="36" t="s">
        <v>8</v>
      </c>
      <c r="H844" s="36" t="s">
        <v>8</v>
      </c>
      <c r="I844" s="36"/>
      <c r="J844" s="36"/>
    </row>
    <row r="845" spans="1:10" x14ac:dyDescent="0.25">
      <c r="A845" s="36">
        <v>1861</v>
      </c>
      <c r="B845" s="37">
        <v>43891</v>
      </c>
      <c r="C845" s="36"/>
      <c r="D845" s="36"/>
      <c r="E845" s="36" t="s">
        <v>63</v>
      </c>
      <c r="F845" s="38">
        <v>4765579.4024999999</v>
      </c>
      <c r="G845" s="36" t="s">
        <v>8</v>
      </c>
      <c r="H845" s="36" t="s">
        <v>8</v>
      </c>
      <c r="I845" s="36"/>
      <c r="J845" s="36"/>
    </row>
    <row r="846" spans="1:10" x14ac:dyDescent="0.25">
      <c r="A846" s="36">
        <v>1861</v>
      </c>
      <c r="B846" s="37">
        <v>43922</v>
      </c>
      <c r="C846" s="36"/>
      <c r="D846" s="36"/>
      <c r="E846" s="36" t="s">
        <v>63</v>
      </c>
      <c r="F846" s="38">
        <v>4765579.4024999999</v>
      </c>
      <c r="G846" s="36" t="s">
        <v>8</v>
      </c>
      <c r="H846" s="36" t="s">
        <v>8</v>
      </c>
      <c r="I846" s="36"/>
      <c r="J846" s="36"/>
    </row>
    <row r="847" spans="1:10" x14ac:dyDescent="0.25">
      <c r="A847" s="36">
        <v>1861</v>
      </c>
      <c r="B847" s="37">
        <v>43952</v>
      </c>
      <c r="C847" s="36"/>
      <c r="D847" s="36"/>
      <c r="E847" s="36" t="s">
        <v>63</v>
      </c>
      <c r="F847" s="38">
        <v>4765579.4024999999</v>
      </c>
      <c r="G847" s="36" t="s">
        <v>8</v>
      </c>
      <c r="H847" s="36" t="s">
        <v>8</v>
      </c>
      <c r="I847" s="36"/>
      <c r="J847" s="36"/>
    </row>
    <row r="848" spans="1:10" x14ac:dyDescent="0.25">
      <c r="A848" s="36">
        <v>1861</v>
      </c>
      <c r="B848" s="37">
        <v>43983</v>
      </c>
      <c r="C848" s="36"/>
      <c r="D848" s="36"/>
      <c r="E848" s="36" t="s">
        <v>63</v>
      </c>
      <c r="F848" s="38">
        <v>4765579.4024999999</v>
      </c>
      <c r="G848" s="36" t="s">
        <v>8</v>
      </c>
      <c r="H848" s="36" t="s">
        <v>8</v>
      </c>
      <c r="I848" s="36"/>
      <c r="J848" s="36"/>
    </row>
    <row r="849" spans="1:10" x14ac:dyDescent="0.25">
      <c r="A849" s="36">
        <v>1861</v>
      </c>
      <c r="B849" s="37">
        <v>44013</v>
      </c>
      <c r="C849" s="36"/>
      <c r="D849" s="36"/>
      <c r="E849" s="36" t="s">
        <v>63</v>
      </c>
      <c r="F849" s="38">
        <v>4765579.4024999999</v>
      </c>
      <c r="G849" s="36" t="s">
        <v>8</v>
      </c>
      <c r="H849" s="36" t="s">
        <v>8</v>
      </c>
      <c r="I849" s="36"/>
      <c r="J849" s="36"/>
    </row>
    <row r="850" spans="1:10" x14ac:dyDescent="0.25">
      <c r="A850" s="36">
        <v>1861</v>
      </c>
      <c r="B850" s="37">
        <v>44044</v>
      </c>
      <c r="C850" s="36"/>
      <c r="D850" s="36"/>
      <c r="E850" s="36" t="s">
        <v>63</v>
      </c>
      <c r="F850" s="38">
        <v>4765579.4024999999</v>
      </c>
      <c r="G850" s="36" t="s">
        <v>8</v>
      </c>
      <c r="H850" s="36" t="s">
        <v>8</v>
      </c>
      <c r="I850" s="36"/>
      <c r="J850" s="36"/>
    </row>
    <row r="851" spans="1:10" x14ac:dyDescent="0.25">
      <c r="A851" s="36">
        <v>1861</v>
      </c>
      <c r="B851" s="37">
        <v>44075</v>
      </c>
      <c r="C851" s="36"/>
      <c r="D851" s="36"/>
      <c r="E851" s="36" t="s">
        <v>63</v>
      </c>
      <c r="F851" s="38">
        <v>4765579.4024999999</v>
      </c>
      <c r="G851" s="36" t="s">
        <v>8</v>
      </c>
      <c r="H851" s="36" t="s">
        <v>8</v>
      </c>
      <c r="I851" s="36"/>
      <c r="J851" s="36"/>
    </row>
    <row r="852" spans="1:10" x14ac:dyDescent="0.25">
      <c r="A852" s="36">
        <v>1861</v>
      </c>
      <c r="B852" s="37">
        <v>44105</v>
      </c>
      <c r="C852" s="36"/>
      <c r="D852" s="36"/>
      <c r="E852" s="36" t="s">
        <v>63</v>
      </c>
      <c r="F852" s="38">
        <v>4765579.4024999999</v>
      </c>
      <c r="G852" s="36" t="s">
        <v>8</v>
      </c>
      <c r="H852" s="36" t="s">
        <v>8</v>
      </c>
      <c r="I852" s="36"/>
      <c r="J852" s="36"/>
    </row>
    <row r="853" spans="1:10" x14ac:dyDescent="0.25">
      <c r="A853" s="36">
        <v>1861</v>
      </c>
      <c r="B853" s="37">
        <v>44136</v>
      </c>
      <c r="C853" s="36"/>
      <c r="D853" s="36"/>
      <c r="E853" s="36" t="s">
        <v>63</v>
      </c>
      <c r="F853" s="38">
        <v>4765579.4024999999</v>
      </c>
      <c r="G853" s="36" t="s">
        <v>8</v>
      </c>
      <c r="H853" s="36" t="s">
        <v>8</v>
      </c>
      <c r="I853" s="36"/>
      <c r="J853" s="36"/>
    </row>
    <row r="854" spans="1:10" x14ac:dyDescent="0.25">
      <c r="A854" s="36">
        <v>1861</v>
      </c>
      <c r="B854" s="37">
        <v>43466</v>
      </c>
      <c r="C854" s="36"/>
      <c r="D854" s="36"/>
      <c r="E854" s="36" t="s">
        <v>63</v>
      </c>
      <c r="F854" s="38">
        <v>6204394.5704999994</v>
      </c>
      <c r="G854" s="36" t="s">
        <v>8</v>
      </c>
      <c r="H854" s="36" t="s">
        <v>8</v>
      </c>
      <c r="I854" s="36"/>
      <c r="J854" s="36"/>
    </row>
    <row r="855" spans="1:10" x14ac:dyDescent="0.25">
      <c r="A855" s="36">
        <v>1861</v>
      </c>
      <c r="B855" s="37">
        <v>43497</v>
      </c>
      <c r="C855" s="36"/>
      <c r="D855" s="36"/>
      <c r="E855" s="36" t="s">
        <v>63</v>
      </c>
      <c r="F855" s="38">
        <v>6204394.5704999994</v>
      </c>
      <c r="G855" s="36" t="s">
        <v>8</v>
      </c>
      <c r="H855" s="36" t="s">
        <v>8</v>
      </c>
      <c r="I855" s="36"/>
      <c r="J855" s="36"/>
    </row>
    <row r="856" spans="1:10" x14ac:dyDescent="0.25">
      <c r="A856" s="36">
        <v>1861</v>
      </c>
      <c r="B856" s="37">
        <v>43525</v>
      </c>
      <c r="C856" s="36"/>
      <c r="D856" s="36"/>
      <c r="E856" s="36" t="s">
        <v>63</v>
      </c>
      <c r="F856" s="38">
        <v>6204394.5704999994</v>
      </c>
      <c r="G856" s="36" t="s">
        <v>8</v>
      </c>
      <c r="H856" s="36" t="s">
        <v>8</v>
      </c>
      <c r="I856" s="36"/>
      <c r="J856" s="36"/>
    </row>
    <row r="857" spans="1:10" x14ac:dyDescent="0.25">
      <c r="A857" s="36">
        <v>1861</v>
      </c>
      <c r="B857" s="37">
        <v>43556</v>
      </c>
      <c r="C857" s="36"/>
      <c r="D857" s="36"/>
      <c r="E857" s="36" t="s">
        <v>63</v>
      </c>
      <c r="F857" s="38">
        <v>6204394.5704999994</v>
      </c>
      <c r="G857" s="36" t="s">
        <v>8</v>
      </c>
      <c r="H857" s="36" t="s">
        <v>8</v>
      </c>
      <c r="I857" s="36"/>
      <c r="J857" s="36"/>
    </row>
    <row r="858" spans="1:10" x14ac:dyDescent="0.25">
      <c r="A858" s="36">
        <v>1861</v>
      </c>
      <c r="B858" s="37">
        <v>43586</v>
      </c>
      <c r="C858" s="36"/>
      <c r="D858" s="36"/>
      <c r="E858" s="36" t="s">
        <v>63</v>
      </c>
      <c r="F858" s="38">
        <v>6204394.5704999994</v>
      </c>
      <c r="G858" s="36" t="s">
        <v>8</v>
      </c>
      <c r="H858" s="36" t="s">
        <v>8</v>
      </c>
      <c r="I858" s="36"/>
      <c r="J858" s="36"/>
    </row>
    <row r="859" spans="1:10" x14ac:dyDescent="0.25">
      <c r="A859" s="36">
        <v>1861</v>
      </c>
      <c r="B859" s="37">
        <v>43617</v>
      </c>
      <c r="C859" s="36"/>
      <c r="D859" s="36"/>
      <c r="E859" s="36" t="s">
        <v>63</v>
      </c>
      <c r="F859" s="38">
        <v>6204394.5704999994</v>
      </c>
      <c r="G859" s="36" t="s">
        <v>8</v>
      </c>
      <c r="H859" s="36" t="s">
        <v>8</v>
      </c>
      <c r="I859" s="36"/>
      <c r="J859" s="36"/>
    </row>
    <row r="860" spans="1:10" x14ac:dyDescent="0.25">
      <c r="A860" s="36">
        <v>1861</v>
      </c>
      <c r="B860" s="37">
        <v>43647</v>
      </c>
      <c r="C860" s="36"/>
      <c r="D860" s="36"/>
      <c r="E860" s="36" t="s">
        <v>63</v>
      </c>
      <c r="F860" s="38">
        <v>6204394.5704999994</v>
      </c>
      <c r="G860" s="36" t="s">
        <v>8</v>
      </c>
      <c r="H860" s="36" t="s">
        <v>8</v>
      </c>
      <c r="I860" s="36"/>
      <c r="J860" s="36"/>
    </row>
    <row r="861" spans="1:10" x14ac:dyDescent="0.25">
      <c r="A861" s="36">
        <v>1861</v>
      </c>
      <c r="B861" s="37">
        <v>43678</v>
      </c>
      <c r="C861" s="36"/>
      <c r="D861" s="36"/>
      <c r="E861" s="36" t="s">
        <v>63</v>
      </c>
      <c r="F861" s="38">
        <v>6204394.5704999994</v>
      </c>
      <c r="G861" s="36" t="s">
        <v>8</v>
      </c>
      <c r="H861" s="36" t="s">
        <v>8</v>
      </c>
      <c r="I861" s="36"/>
      <c r="J861" s="36"/>
    </row>
    <row r="862" spans="1:10" x14ac:dyDescent="0.25">
      <c r="A862" s="36">
        <v>1861</v>
      </c>
      <c r="B862" s="37">
        <v>43709</v>
      </c>
      <c r="C862" s="36"/>
      <c r="D862" s="36"/>
      <c r="E862" s="36" t="s">
        <v>63</v>
      </c>
      <c r="F862" s="38">
        <v>6204394.5704999994</v>
      </c>
      <c r="G862" s="36" t="s">
        <v>8</v>
      </c>
      <c r="H862" s="36" t="s">
        <v>8</v>
      </c>
      <c r="I862" s="36"/>
      <c r="J862" s="36"/>
    </row>
    <row r="863" spans="1:10" x14ac:dyDescent="0.25">
      <c r="A863" s="36">
        <v>1861</v>
      </c>
      <c r="B863" s="37">
        <v>43739</v>
      </c>
      <c r="C863" s="36"/>
      <c r="D863" s="36"/>
      <c r="E863" s="36" t="s">
        <v>63</v>
      </c>
      <c r="F863" s="38">
        <v>6204394.5704999994</v>
      </c>
      <c r="G863" s="36" t="s">
        <v>8</v>
      </c>
      <c r="H863" s="36" t="s">
        <v>8</v>
      </c>
      <c r="I863" s="36"/>
      <c r="J863" s="36"/>
    </row>
    <row r="864" spans="1:10" x14ac:dyDescent="0.25">
      <c r="A864" s="36">
        <v>1861</v>
      </c>
      <c r="B864" s="37">
        <v>43770</v>
      </c>
      <c r="C864" s="36"/>
      <c r="D864" s="36"/>
      <c r="E864" s="36" t="s">
        <v>63</v>
      </c>
      <c r="F864" s="38">
        <v>6204394.5704999994</v>
      </c>
      <c r="G864" s="36" t="s">
        <v>8</v>
      </c>
      <c r="H864" s="36" t="s">
        <v>8</v>
      </c>
      <c r="I864" s="36"/>
      <c r="J864" s="36"/>
    </row>
    <row r="865" spans="1:10" x14ac:dyDescent="0.25">
      <c r="A865" s="36">
        <v>1861</v>
      </c>
      <c r="B865" s="37">
        <v>43800</v>
      </c>
      <c r="C865" s="36"/>
      <c r="D865" s="36"/>
      <c r="E865" s="36" t="s">
        <v>63</v>
      </c>
      <c r="F865" s="38">
        <v>6204394.5704999994</v>
      </c>
      <c r="G865" s="36" t="s">
        <v>8</v>
      </c>
      <c r="H865" s="36" t="s">
        <v>8</v>
      </c>
      <c r="I865" s="36"/>
      <c r="J865" s="36"/>
    </row>
    <row r="866" spans="1:10" x14ac:dyDescent="0.25">
      <c r="A866" s="36">
        <v>1861</v>
      </c>
      <c r="B866" s="37">
        <v>43831</v>
      </c>
      <c r="C866" s="36"/>
      <c r="D866" s="36"/>
      <c r="E866" s="36" t="s">
        <v>63</v>
      </c>
      <c r="F866" s="38">
        <v>6204394.5704999994</v>
      </c>
      <c r="G866" s="36" t="s">
        <v>8</v>
      </c>
      <c r="H866" s="36" t="s">
        <v>8</v>
      </c>
      <c r="I866" s="36"/>
      <c r="J866" s="36"/>
    </row>
    <row r="867" spans="1:10" x14ac:dyDescent="0.25">
      <c r="A867" s="36">
        <v>1861</v>
      </c>
      <c r="B867" s="37">
        <v>43862</v>
      </c>
      <c r="C867" s="36"/>
      <c r="D867" s="36"/>
      <c r="E867" s="36" t="s">
        <v>63</v>
      </c>
      <c r="F867" s="38">
        <v>6204394.5704999994</v>
      </c>
      <c r="G867" s="36" t="s">
        <v>8</v>
      </c>
      <c r="H867" s="36" t="s">
        <v>8</v>
      </c>
      <c r="I867" s="36"/>
      <c r="J867" s="36"/>
    </row>
    <row r="868" spans="1:10" x14ac:dyDescent="0.25">
      <c r="A868" s="36">
        <v>1861</v>
      </c>
      <c r="B868" s="37">
        <v>43891</v>
      </c>
      <c r="C868" s="36"/>
      <c r="D868" s="36"/>
      <c r="E868" s="36" t="s">
        <v>63</v>
      </c>
      <c r="F868" s="38">
        <v>6204394.5704999994</v>
      </c>
      <c r="G868" s="36" t="s">
        <v>8</v>
      </c>
      <c r="H868" s="36" t="s">
        <v>8</v>
      </c>
      <c r="I868" s="36"/>
      <c r="J868" s="36"/>
    </row>
    <row r="869" spans="1:10" x14ac:dyDescent="0.25">
      <c r="A869" s="36">
        <v>1861</v>
      </c>
      <c r="B869" s="37">
        <v>43922</v>
      </c>
      <c r="C869" s="36"/>
      <c r="D869" s="36"/>
      <c r="E869" s="36" t="s">
        <v>63</v>
      </c>
      <c r="F869" s="38">
        <v>6204394.5704999994</v>
      </c>
      <c r="G869" s="36" t="s">
        <v>8</v>
      </c>
      <c r="H869" s="36" t="s">
        <v>8</v>
      </c>
      <c r="I869" s="36"/>
      <c r="J869" s="36"/>
    </row>
    <row r="870" spans="1:10" x14ac:dyDescent="0.25">
      <c r="A870" s="36">
        <v>1861</v>
      </c>
      <c r="B870" s="37">
        <v>43952</v>
      </c>
      <c r="C870" s="36"/>
      <c r="D870" s="36"/>
      <c r="E870" s="36" t="s">
        <v>63</v>
      </c>
      <c r="F870" s="38">
        <v>6204394.5704999994</v>
      </c>
      <c r="G870" s="36" t="s">
        <v>8</v>
      </c>
      <c r="H870" s="36" t="s">
        <v>8</v>
      </c>
      <c r="I870" s="36"/>
      <c r="J870" s="36"/>
    </row>
    <row r="871" spans="1:10" x14ac:dyDescent="0.25">
      <c r="A871" s="36">
        <v>1861</v>
      </c>
      <c r="B871" s="37">
        <v>43466</v>
      </c>
      <c r="C871" s="36"/>
      <c r="D871" s="36"/>
      <c r="E871" s="36" t="s">
        <v>64</v>
      </c>
      <c r="F871" s="38">
        <v>4314814.4024999999</v>
      </c>
      <c r="G871" s="36" t="s">
        <v>8</v>
      </c>
      <c r="H871" s="36" t="s">
        <v>8</v>
      </c>
      <c r="I871" s="36"/>
      <c r="J871" s="36"/>
    </row>
    <row r="872" spans="1:10" x14ac:dyDescent="0.25">
      <c r="A872" s="36">
        <v>1861</v>
      </c>
      <c r="B872" s="37">
        <v>43497</v>
      </c>
      <c r="C872" s="36"/>
      <c r="D872" s="36"/>
      <c r="E872" s="36" t="s">
        <v>64</v>
      </c>
      <c r="F872" s="38">
        <v>4314814.4024999999</v>
      </c>
      <c r="G872" s="36" t="s">
        <v>8</v>
      </c>
      <c r="H872" s="36" t="s">
        <v>8</v>
      </c>
      <c r="I872" s="36"/>
      <c r="J872" s="36"/>
    </row>
    <row r="873" spans="1:10" x14ac:dyDescent="0.25">
      <c r="A873" s="36">
        <v>1861</v>
      </c>
      <c r="B873" s="37">
        <v>43525</v>
      </c>
      <c r="C873" s="36"/>
      <c r="D873" s="36"/>
      <c r="E873" s="36" t="s">
        <v>64</v>
      </c>
      <c r="F873" s="38">
        <v>4314814.4024999999</v>
      </c>
      <c r="G873" s="36" t="s">
        <v>8</v>
      </c>
      <c r="H873" s="36" t="s">
        <v>8</v>
      </c>
      <c r="I873" s="36"/>
      <c r="J873" s="36"/>
    </row>
    <row r="874" spans="1:10" x14ac:dyDescent="0.25">
      <c r="A874" s="36">
        <v>1861</v>
      </c>
      <c r="B874" s="37">
        <v>43556</v>
      </c>
      <c r="C874" s="36"/>
      <c r="D874" s="36"/>
      <c r="E874" s="36" t="s">
        <v>64</v>
      </c>
      <c r="F874" s="38">
        <v>4314814.4024999999</v>
      </c>
      <c r="G874" s="36" t="s">
        <v>8</v>
      </c>
      <c r="H874" s="36" t="s">
        <v>8</v>
      </c>
      <c r="I874" s="36"/>
      <c r="J874" s="36"/>
    </row>
    <row r="875" spans="1:10" x14ac:dyDescent="0.25">
      <c r="A875" s="36">
        <v>1861</v>
      </c>
      <c r="B875" s="37">
        <v>43586</v>
      </c>
      <c r="C875" s="36"/>
      <c r="D875" s="36"/>
      <c r="E875" s="36" t="s">
        <v>64</v>
      </c>
      <c r="F875" s="38">
        <v>4314814.4024999999</v>
      </c>
      <c r="G875" s="36" t="s">
        <v>8</v>
      </c>
      <c r="H875" s="36" t="s">
        <v>8</v>
      </c>
      <c r="I875" s="36"/>
      <c r="J875" s="36"/>
    </row>
    <row r="876" spans="1:10" x14ac:dyDescent="0.25">
      <c r="A876" s="36">
        <v>1861</v>
      </c>
      <c r="B876" s="37">
        <v>43617</v>
      </c>
      <c r="C876" s="36"/>
      <c r="D876" s="36"/>
      <c r="E876" s="36" t="s">
        <v>64</v>
      </c>
      <c r="F876" s="38">
        <v>4314814.4024999999</v>
      </c>
      <c r="G876" s="36" t="s">
        <v>8</v>
      </c>
      <c r="H876" s="36" t="s">
        <v>8</v>
      </c>
      <c r="I876" s="36"/>
      <c r="J876" s="36"/>
    </row>
    <row r="877" spans="1:10" x14ac:dyDescent="0.25">
      <c r="A877" s="36">
        <v>1861</v>
      </c>
      <c r="B877" s="37">
        <v>43647</v>
      </c>
      <c r="C877" s="36"/>
      <c r="D877" s="36"/>
      <c r="E877" s="36" t="s">
        <v>64</v>
      </c>
      <c r="F877" s="38">
        <v>4314814.4024999999</v>
      </c>
      <c r="G877" s="36" t="s">
        <v>8</v>
      </c>
      <c r="H877" s="36" t="s">
        <v>8</v>
      </c>
      <c r="I877" s="36"/>
      <c r="J877" s="36"/>
    </row>
    <row r="878" spans="1:10" x14ac:dyDescent="0.25">
      <c r="A878" s="36">
        <v>1861</v>
      </c>
      <c r="B878" s="37">
        <v>43678</v>
      </c>
      <c r="C878" s="36"/>
      <c r="D878" s="36"/>
      <c r="E878" s="36" t="s">
        <v>64</v>
      </c>
      <c r="F878" s="38">
        <v>4314814.4024999999</v>
      </c>
      <c r="G878" s="36" t="s">
        <v>8</v>
      </c>
      <c r="H878" s="36" t="s">
        <v>8</v>
      </c>
      <c r="I878" s="36"/>
      <c r="J878" s="36"/>
    </row>
    <row r="879" spans="1:10" x14ac:dyDescent="0.25">
      <c r="A879" s="36">
        <v>1861</v>
      </c>
      <c r="B879" s="37">
        <v>43709</v>
      </c>
      <c r="C879" s="36"/>
      <c r="D879" s="36"/>
      <c r="E879" s="36" t="s">
        <v>64</v>
      </c>
      <c r="F879" s="38">
        <v>4314814.4024999999</v>
      </c>
      <c r="G879" s="36" t="s">
        <v>8</v>
      </c>
      <c r="H879" s="36" t="s">
        <v>8</v>
      </c>
      <c r="I879" s="36"/>
      <c r="J879" s="36"/>
    </row>
    <row r="880" spans="1:10" x14ac:dyDescent="0.25">
      <c r="A880" s="36">
        <v>1861</v>
      </c>
      <c r="B880" s="37">
        <v>43739</v>
      </c>
      <c r="C880" s="36"/>
      <c r="D880" s="36"/>
      <c r="E880" s="36" t="s">
        <v>64</v>
      </c>
      <c r="F880" s="38">
        <v>4314814.4024999999</v>
      </c>
      <c r="G880" s="36" t="s">
        <v>8</v>
      </c>
      <c r="H880" s="36" t="s">
        <v>8</v>
      </c>
      <c r="I880" s="36"/>
      <c r="J880" s="36"/>
    </row>
    <row r="881" spans="1:10" x14ac:dyDescent="0.25">
      <c r="A881" s="36">
        <v>1861</v>
      </c>
      <c r="B881" s="37">
        <v>43770</v>
      </c>
      <c r="C881" s="36"/>
      <c r="D881" s="36"/>
      <c r="E881" s="36" t="s">
        <v>64</v>
      </c>
      <c r="F881" s="38">
        <v>4314814.4024999999</v>
      </c>
      <c r="G881" s="36" t="s">
        <v>8</v>
      </c>
      <c r="H881" s="36" t="s">
        <v>8</v>
      </c>
      <c r="I881" s="36"/>
      <c r="J881" s="36"/>
    </row>
    <row r="882" spans="1:10" x14ac:dyDescent="0.25">
      <c r="A882" s="36">
        <v>1861</v>
      </c>
      <c r="B882" s="37">
        <v>43800</v>
      </c>
      <c r="C882" s="36"/>
      <c r="D882" s="36"/>
      <c r="E882" s="36" t="s">
        <v>64</v>
      </c>
      <c r="F882" s="38">
        <v>4314814.4024999999</v>
      </c>
      <c r="G882" s="36" t="s">
        <v>8</v>
      </c>
      <c r="H882" s="36" t="s">
        <v>8</v>
      </c>
      <c r="I882" s="36"/>
      <c r="J882" s="36"/>
    </row>
    <row r="883" spans="1:10" x14ac:dyDescent="0.25">
      <c r="A883" s="36">
        <v>1861</v>
      </c>
      <c r="B883" s="37">
        <v>43831</v>
      </c>
      <c r="C883" s="36"/>
      <c r="D883" s="36"/>
      <c r="E883" s="36" t="s">
        <v>64</v>
      </c>
      <c r="F883" s="38">
        <v>4314814.4024999999</v>
      </c>
      <c r="G883" s="36" t="s">
        <v>8</v>
      </c>
      <c r="H883" s="36" t="s">
        <v>8</v>
      </c>
      <c r="I883" s="36"/>
      <c r="J883" s="36"/>
    </row>
    <row r="884" spans="1:10" x14ac:dyDescent="0.25">
      <c r="A884" s="36">
        <v>1861</v>
      </c>
      <c r="B884" s="37">
        <v>43862</v>
      </c>
      <c r="C884" s="36"/>
      <c r="D884" s="36"/>
      <c r="E884" s="36" t="s">
        <v>64</v>
      </c>
      <c r="F884" s="38">
        <v>4314814.4024999999</v>
      </c>
      <c r="G884" s="36" t="s">
        <v>8</v>
      </c>
      <c r="H884" s="36" t="s">
        <v>8</v>
      </c>
      <c r="I884" s="36"/>
      <c r="J884" s="36"/>
    </row>
    <row r="885" spans="1:10" x14ac:dyDescent="0.25">
      <c r="A885" s="36">
        <v>1861</v>
      </c>
      <c r="B885" s="37">
        <v>43891</v>
      </c>
      <c r="C885" s="36"/>
      <c r="D885" s="36"/>
      <c r="E885" s="36" t="s">
        <v>64</v>
      </c>
      <c r="F885" s="38">
        <v>4314814.4024999999</v>
      </c>
      <c r="G885" s="36" t="s">
        <v>8</v>
      </c>
      <c r="H885" s="36" t="s">
        <v>8</v>
      </c>
      <c r="I885" s="36"/>
      <c r="J885" s="36"/>
    </row>
    <row r="886" spans="1:10" x14ac:dyDescent="0.25">
      <c r="A886" s="36">
        <v>1861</v>
      </c>
      <c r="B886" s="37">
        <v>43922</v>
      </c>
      <c r="C886" s="36"/>
      <c r="D886" s="36"/>
      <c r="E886" s="36" t="s">
        <v>64</v>
      </c>
      <c r="F886" s="38">
        <v>4314814.4024999999</v>
      </c>
      <c r="G886" s="36" t="s">
        <v>8</v>
      </c>
      <c r="H886" s="36" t="s">
        <v>8</v>
      </c>
      <c r="I886" s="36"/>
      <c r="J886" s="36"/>
    </row>
    <row r="887" spans="1:10" x14ac:dyDescent="0.25">
      <c r="A887" s="36">
        <v>1861</v>
      </c>
      <c r="B887" s="37">
        <v>43952</v>
      </c>
      <c r="C887" s="36"/>
      <c r="D887" s="36"/>
      <c r="E887" s="36" t="s">
        <v>64</v>
      </c>
      <c r="F887" s="38">
        <v>4314814.4024999999</v>
      </c>
      <c r="G887" s="36" t="s">
        <v>8</v>
      </c>
      <c r="H887" s="36" t="s">
        <v>8</v>
      </c>
      <c r="I887" s="36"/>
      <c r="J887" s="36"/>
    </row>
    <row r="888" spans="1:10" x14ac:dyDescent="0.25">
      <c r="A888" s="36">
        <v>1861</v>
      </c>
      <c r="B888" s="37">
        <v>43983</v>
      </c>
      <c r="C888" s="36"/>
      <c r="D888" s="36"/>
      <c r="E888" s="36" t="s">
        <v>64</v>
      </c>
      <c r="F888" s="38">
        <v>4314814.4024999999</v>
      </c>
      <c r="G888" s="36" t="s">
        <v>8</v>
      </c>
      <c r="H888" s="36" t="s">
        <v>8</v>
      </c>
      <c r="I888" s="36"/>
      <c r="J888" s="36"/>
    </row>
    <row r="889" spans="1:10" x14ac:dyDescent="0.25">
      <c r="A889" s="36">
        <v>1861</v>
      </c>
      <c r="B889" s="37">
        <v>44013</v>
      </c>
      <c r="C889" s="36"/>
      <c r="D889" s="36"/>
      <c r="E889" s="36" t="s">
        <v>64</v>
      </c>
      <c r="F889" s="38">
        <v>4314814.4024999999</v>
      </c>
      <c r="G889" s="36" t="s">
        <v>8</v>
      </c>
      <c r="H889" s="36" t="s">
        <v>8</v>
      </c>
      <c r="I889" s="36"/>
      <c r="J889" s="36"/>
    </row>
    <row r="890" spans="1:10" x14ac:dyDescent="0.25">
      <c r="A890" s="36">
        <v>1861</v>
      </c>
      <c r="B890" s="37">
        <v>44044</v>
      </c>
      <c r="C890" s="36"/>
      <c r="D890" s="36"/>
      <c r="E890" s="36" t="s">
        <v>64</v>
      </c>
      <c r="F890" s="38">
        <v>4314814.4024999999</v>
      </c>
      <c r="G890" s="36" t="s">
        <v>8</v>
      </c>
      <c r="H890" s="36" t="s">
        <v>8</v>
      </c>
      <c r="I890" s="36"/>
      <c r="J890" s="36"/>
    </row>
    <row r="891" spans="1:10" x14ac:dyDescent="0.25">
      <c r="A891" s="36">
        <v>1861</v>
      </c>
      <c r="B891" s="37">
        <v>44075</v>
      </c>
      <c r="C891" s="36"/>
      <c r="D891" s="36"/>
      <c r="E891" s="36" t="s">
        <v>64</v>
      </c>
      <c r="F891" s="38">
        <v>4314814.4024999999</v>
      </c>
      <c r="G891" s="36" t="s">
        <v>8</v>
      </c>
      <c r="H891" s="36" t="s">
        <v>8</v>
      </c>
      <c r="I891" s="36"/>
      <c r="J891" s="36"/>
    </row>
    <row r="892" spans="1:10" x14ac:dyDescent="0.25">
      <c r="A892" s="36">
        <v>1861</v>
      </c>
      <c r="B892" s="37">
        <v>44105</v>
      </c>
      <c r="C892" s="36"/>
      <c r="D892" s="36"/>
      <c r="E892" s="36" t="s">
        <v>64</v>
      </c>
      <c r="F892" s="38">
        <v>4314814.4024999999</v>
      </c>
      <c r="G892" s="36" t="s">
        <v>8</v>
      </c>
      <c r="H892" s="36" t="s">
        <v>8</v>
      </c>
      <c r="I892" s="36"/>
      <c r="J892" s="36"/>
    </row>
    <row r="893" spans="1:10" x14ac:dyDescent="0.25">
      <c r="A893" s="36">
        <v>1861</v>
      </c>
      <c r="B893" s="37">
        <v>44136</v>
      </c>
      <c r="C893" s="36"/>
      <c r="D893" s="36"/>
      <c r="E893" s="36" t="s">
        <v>64</v>
      </c>
      <c r="F893" s="38">
        <v>4314814.4024999999</v>
      </c>
      <c r="G893" s="36" t="s">
        <v>8</v>
      </c>
      <c r="H893" s="36" t="s">
        <v>8</v>
      </c>
      <c r="I893" s="36"/>
      <c r="J893" s="36"/>
    </row>
    <row r="894" spans="1:10" x14ac:dyDescent="0.25">
      <c r="A894" s="36">
        <v>1861</v>
      </c>
      <c r="B894" s="37">
        <v>43466</v>
      </c>
      <c r="C894" s="36"/>
      <c r="D894" s="36"/>
      <c r="E894" s="36" t="s">
        <v>64</v>
      </c>
      <c r="F894" s="38">
        <v>4363154.7749999994</v>
      </c>
      <c r="G894" s="36" t="s">
        <v>8</v>
      </c>
      <c r="H894" s="36" t="s">
        <v>8</v>
      </c>
      <c r="I894" s="36"/>
      <c r="J894" s="36"/>
    </row>
    <row r="895" spans="1:10" x14ac:dyDescent="0.25">
      <c r="A895" s="36">
        <v>1861</v>
      </c>
      <c r="B895" s="37">
        <v>43497</v>
      </c>
      <c r="C895" s="36"/>
      <c r="D895" s="36"/>
      <c r="E895" s="36" t="s">
        <v>64</v>
      </c>
      <c r="F895" s="38">
        <v>4363154.7749999994</v>
      </c>
      <c r="G895" s="36" t="s">
        <v>8</v>
      </c>
      <c r="H895" s="36" t="s">
        <v>8</v>
      </c>
      <c r="I895" s="36"/>
      <c r="J895" s="36"/>
    </row>
    <row r="896" spans="1:10" x14ac:dyDescent="0.25">
      <c r="A896" s="36">
        <v>1861</v>
      </c>
      <c r="B896" s="37">
        <v>43525</v>
      </c>
      <c r="C896" s="36"/>
      <c r="D896" s="36"/>
      <c r="E896" s="36" t="s">
        <v>64</v>
      </c>
      <c r="F896" s="38">
        <v>4363154.7749999994</v>
      </c>
      <c r="G896" s="36" t="s">
        <v>8</v>
      </c>
      <c r="H896" s="36" t="s">
        <v>8</v>
      </c>
      <c r="I896" s="36"/>
      <c r="J896" s="36"/>
    </row>
    <row r="897" spans="1:10" x14ac:dyDescent="0.25">
      <c r="A897" s="36">
        <v>1861</v>
      </c>
      <c r="B897" s="37">
        <v>43556</v>
      </c>
      <c r="C897" s="36"/>
      <c r="D897" s="36"/>
      <c r="E897" s="36" t="s">
        <v>64</v>
      </c>
      <c r="F897" s="38">
        <v>4363154.7749999994</v>
      </c>
      <c r="G897" s="36" t="s">
        <v>8</v>
      </c>
      <c r="H897" s="36" t="s">
        <v>8</v>
      </c>
      <c r="I897" s="36"/>
      <c r="J897" s="36"/>
    </row>
    <row r="898" spans="1:10" x14ac:dyDescent="0.25">
      <c r="A898" s="36">
        <v>1861</v>
      </c>
      <c r="B898" s="37">
        <v>43586</v>
      </c>
      <c r="C898" s="36"/>
      <c r="D898" s="36"/>
      <c r="E898" s="36" t="s">
        <v>64</v>
      </c>
      <c r="F898" s="38">
        <v>4363154.7749999994</v>
      </c>
      <c r="G898" s="36" t="s">
        <v>8</v>
      </c>
      <c r="H898" s="36" t="s">
        <v>8</v>
      </c>
      <c r="I898" s="36"/>
      <c r="J898" s="36"/>
    </row>
    <row r="899" spans="1:10" x14ac:dyDescent="0.25">
      <c r="A899" s="36">
        <v>1861</v>
      </c>
      <c r="B899" s="37">
        <v>43617</v>
      </c>
      <c r="C899" s="36"/>
      <c r="D899" s="36"/>
      <c r="E899" s="36" t="s">
        <v>64</v>
      </c>
      <c r="F899" s="38">
        <v>4363154.7749999994</v>
      </c>
      <c r="G899" s="36" t="s">
        <v>8</v>
      </c>
      <c r="H899" s="36" t="s">
        <v>8</v>
      </c>
      <c r="I899" s="36"/>
      <c r="J899" s="36"/>
    </row>
    <row r="900" spans="1:10" x14ac:dyDescent="0.25">
      <c r="A900" s="36">
        <v>1861</v>
      </c>
      <c r="B900" s="37">
        <v>43647</v>
      </c>
      <c r="C900" s="36"/>
      <c r="D900" s="36"/>
      <c r="E900" s="36" t="s">
        <v>64</v>
      </c>
      <c r="F900" s="38">
        <v>4363154.7749999994</v>
      </c>
      <c r="G900" s="36" t="s">
        <v>8</v>
      </c>
      <c r="H900" s="36" t="s">
        <v>8</v>
      </c>
      <c r="I900" s="36"/>
      <c r="J900" s="36"/>
    </row>
    <row r="901" spans="1:10" x14ac:dyDescent="0.25">
      <c r="A901" s="36">
        <v>1861</v>
      </c>
      <c r="B901" s="37">
        <v>43678</v>
      </c>
      <c r="C901" s="36"/>
      <c r="D901" s="36"/>
      <c r="E901" s="36" t="s">
        <v>64</v>
      </c>
      <c r="F901" s="38">
        <v>4363154.7749999994</v>
      </c>
      <c r="G901" s="36" t="s">
        <v>8</v>
      </c>
      <c r="H901" s="36" t="s">
        <v>8</v>
      </c>
      <c r="I901" s="36"/>
      <c r="J901" s="36"/>
    </row>
    <row r="902" spans="1:10" x14ac:dyDescent="0.25">
      <c r="A902" s="36">
        <v>1861</v>
      </c>
      <c r="B902" s="37">
        <v>43709</v>
      </c>
      <c r="C902" s="36"/>
      <c r="D902" s="36"/>
      <c r="E902" s="36" t="s">
        <v>64</v>
      </c>
      <c r="F902" s="38">
        <v>4363154.7749999994</v>
      </c>
      <c r="G902" s="36" t="s">
        <v>8</v>
      </c>
      <c r="H902" s="36" t="s">
        <v>8</v>
      </c>
      <c r="I902" s="36"/>
      <c r="J902" s="36"/>
    </row>
    <row r="903" spans="1:10" x14ac:dyDescent="0.25">
      <c r="A903" s="36">
        <v>1861</v>
      </c>
      <c r="B903" s="37">
        <v>43739</v>
      </c>
      <c r="C903" s="36"/>
      <c r="D903" s="36"/>
      <c r="E903" s="36" t="s">
        <v>64</v>
      </c>
      <c r="F903" s="38">
        <v>4363154.7749999994</v>
      </c>
      <c r="G903" s="36" t="s">
        <v>8</v>
      </c>
      <c r="H903" s="36" t="s">
        <v>8</v>
      </c>
      <c r="I903" s="36"/>
      <c r="J903" s="36"/>
    </row>
    <row r="904" spans="1:10" x14ac:dyDescent="0.25">
      <c r="A904" s="36">
        <v>1861</v>
      </c>
      <c r="B904" s="37">
        <v>43770</v>
      </c>
      <c r="C904" s="36"/>
      <c r="D904" s="36"/>
      <c r="E904" s="36" t="s">
        <v>64</v>
      </c>
      <c r="F904" s="38">
        <v>4363154.7749999994</v>
      </c>
      <c r="G904" s="36" t="s">
        <v>8</v>
      </c>
      <c r="H904" s="36" t="s">
        <v>8</v>
      </c>
      <c r="I904" s="36"/>
      <c r="J904" s="36"/>
    </row>
    <row r="905" spans="1:10" x14ac:dyDescent="0.25">
      <c r="A905" s="36">
        <v>1861</v>
      </c>
      <c r="B905" s="37">
        <v>43800</v>
      </c>
      <c r="C905" s="36"/>
      <c r="D905" s="36"/>
      <c r="E905" s="36" t="s">
        <v>64</v>
      </c>
      <c r="F905" s="38">
        <v>4363154.7749999994</v>
      </c>
      <c r="G905" s="36" t="s">
        <v>8</v>
      </c>
      <c r="H905" s="36" t="s">
        <v>8</v>
      </c>
      <c r="I905" s="36"/>
      <c r="J905" s="36"/>
    </row>
    <row r="906" spans="1:10" x14ac:dyDescent="0.25">
      <c r="A906" s="36">
        <v>1861</v>
      </c>
      <c r="B906" s="37">
        <v>43466</v>
      </c>
      <c r="C906" s="36"/>
      <c r="D906" s="36"/>
      <c r="E906" s="36" t="s">
        <v>65</v>
      </c>
      <c r="F906" s="38">
        <v>5731070.625</v>
      </c>
      <c r="G906" s="36" t="s">
        <v>8</v>
      </c>
      <c r="H906" s="36" t="s">
        <v>8</v>
      </c>
      <c r="I906" s="36"/>
      <c r="J906" s="36"/>
    </row>
    <row r="907" spans="1:10" x14ac:dyDescent="0.25">
      <c r="A907" s="36">
        <v>1861</v>
      </c>
      <c r="B907" s="37">
        <v>43497</v>
      </c>
      <c r="C907" s="36"/>
      <c r="D907" s="36"/>
      <c r="E907" s="36" t="s">
        <v>65</v>
      </c>
      <c r="F907" s="38">
        <v>5731070.625</v>
      </c>
      <c r="G907" s="36" t="s">
        <v>8</v>
      </c>
      <c r="H907" s="36" t="s">
        <v>8</v>
      </c>
      <c r="I907" s="36"/>
      <c r="J907" s="36"/>
    </row>
    <row r="908" spans="1:10" x14ac:dyDescent="0.25">
      <c r="A908" s="36">
        <v>1861</v>
      </c>
      <c r="B908" s="37">
        <v>43525</v>
      </c>
      <c r="C908" s="36"/>
      <c r="D908" s="36"/>
      <c r="E908" s="36" t="s">
        <v>65</v>
      </c>
      <c r="F908" s="38">
        <v>5731070.625</v>
      </c>
      <c r="G908" s="36" t="s">
        <v>8</v>
      </c>
      <c r="H908" s="36" t="s">
        <v>8</v>
      </c>
      <c r="I908" s="36"/>
      <c r="J908" s="36"/>
    </row>
    <row r="909" spans="1:10" x14ac:dyDescent="0.25">
      <c r="A909" s="36">
        <v>1861</v>
      </c>
      <c r="B909" s="37">
        <v>43556</v>
      </c>
      <c r="C909" s="36"/>
      <c r="D909" s="36"/>
      <c r="E909" s="36" t="s">
        <v>65</v>
      </c>
      <c r="F909" s="38">
        <v>5731070.625</v>
      </c>
      <c r="G909" s="36" t="s">
        <v>8</v>
      </c>
      <c r="H909" s="36" t="s">
        <v>8</v>
      </c>
      <c r="I909" s="36"/>
      <c r="J909" s="36"/>
    </row>
    <row r="910" spans="1:10" x14ac:dyDescent="0.25">
      <c r="A910" s="36">
        <v>1861</v>
      </c>
      <c r="B910" s="37">
        <v>43586</v>
      </c>
      <c r="C910" s="36"/>
      <c r="D910" s="36"/>
      <c r="E910" s="36" t="s">
        <v>65</v>
      </c>
      <c r="F910" s="38">
        <v>5731070.625</v>
      </c>
      <c r="G910" s="36" t="s">
        <v>8</v>
      </c>
      <c r="H910" s="36" t="s">
        <v>8</v>
      </c>
      <c r="I910" s="36"/>
      <c r="J910" s="36"/>
    </row>
    <row r="911" spans="1:10" x14ac:dyDescent="0.25">
      <c r="A911" s="36">
        <v>1861</v>
      </c>
      <c r="B911" s="37">
        <v>43617</v>
      </c>
      <c r="C911" s="36"/>
      <c r="D911" s="36"/>
      <c r="E911" s="36" t="s">
        <v>65</v>
      </c>
      <c r="F911" s="38">
        <v>5731070.625</v>
      </c>
      <c r="G911" s="36" t="s">
        <v>8</v>
      </c>
      <c r="H911" s="36" t="s">
        <v>8</v>
      </c>
      <c r="I911" s="36"/>
      <c r="J911" s="36"/>
    </row>
    <row r="912" spans="1:10" x14ac:dyDescent="0.25">
      <c r="A912" s="36">
        <v>1861</v>
      </c>
      <c r="B912" s="37">
        <v>43647</v>
      </c>
      <c r="C912" s="36"/>
      <c r="D912" s="36"/>
      <c r="E912" s="36" t="s">
        <v>65</v>
      </c>
      <c r="F912" s="38">
        <v>5731070.625</v>
      </c>
      <c r="G912" s="36" t="s">
        <v>8</v>
      </c>
      <c r="H912" s="36" t="s">
        <v>8</v>
      </c>
      <c r="I912" s="36"/>
      <c r="J912" s="36"/>
    </row>
    <row r="913" spans="1:10" x14ac:dyDescent="0.25">
      <c r="A913" s="36">
        <v>1861</v>
      </c>
      <c r="B913" s="37">
        <v>43678</v>
      </c>
      <c r="C913" s="36"/>
      <c r="D913" s="36"/>
      <c r="E913" s="36" t="s">
        <v>65</v>
      </c>
      <c r="F913" s="38">
        <v>5731070.625</v>
      </c>
      <c r="G913" s="36" t="s">
        <v>8</v>
      </c>
      <c r="H913" s="36" t="s">
        <v>8</v>
      </c>
      <c r="I913" s="36"/>
      <c r="J913" s="36"/>
    </row>
    <row r="914" spans="1:10" x14ac:dyDescent="0.25">
      <c r="A914" s="36">
        <v>1861</v>
      </c>
      <c r="B914" s="37">
        <v>43709</v>
      </c>
      <c r="C914" s="36"/>
      <c r="D914" s="36"/>
      <c r="E914" s="36" t="s">
        <v>65</v>
      </c>
      <c r="F914" s="38">
        <v>5731070.625</v>
      </c>
      <c r="G914" s="36" t="s">
        <v>8</v>
      </c>
      <c r="H914" s="36" t="s">
        <v>8</v>
      </c>
      <c r="I914" s="36"/>
      <c r="J914" s="36"/>
    </row>
    <row r="915" spans="1:10" x14ac:dyDescent="0.25">
      <c r="A915" s="36">
        <v>1861</v>
      </c>
      <c r="B915" s="37">
        <v>43739</v>
      </c>
      <c r="C915" s="36"/>
      <c r="D915" s="36"/>
      <c r="E915" s="36" t="s">
        <v>65</v>
      </c>
      <c r="F915" s="38">
        <v>5731070.625</v>
      </c>
      <c r="G915" s="36" t="s">
        <v>8</v>
      </c>
      <c r="H915" s="36" t="s">
        <v>8</v>
      </c>
      <c r="I915" s="36"/>
      <c r="J915" s="36"/>
    </row>
    <row r="916" spans="1:10" x14ac:dyDescent="0.25">
      <c r="A916" s="36">
        <v>1861</v>
      </c>
      <c r="B916" s="37">
        <v>43770</v>
      </c>
      <c r="C916" s="36"/>
      <c r="D916" s="36"/>
      <c r="E916" s="36" t="s">
        <v>65</v>
      </c>
      <c r="F916" s="38">
        <v>5731070.625</v>
      </c>
      <c r="G916" s="36" t="s">
        <v>8</v>
      </c>
      <c r="H916" s="36" t="s">
        <v>8</v>
      </c>
      <c r="I916" s="36"/>
      <c r="J916" s="36"/>
    </row>
    <row r="917" spans="1:10" x14ac:dyDescent="0.25">
      <c r="A917" s="36">
        <v>1861</v>
      </c>
      <c r="B917" s="37">
        <v>43800</v>
      </c>
      <c r="C917" s="36"/>
      <c r="D917" s="36"/>
      <c r="E917" s="36" t="s">
        <v>65</v>
      </c>
      <c r="F917" s="38">
        <v>5731070.625</v>
      </c>
      <c r="G917" s="36" t="s">
        <v>8</v>
      </c>
      <c r="H917" s="36" t="s">
        <v>8</v>
      </c>
      <c r="I917" s="36"/>
      <c r="J917" s="36"/>
    </row>
    <row r="918" spans="1:10" x14ac:dyDescent="0.25">
      <c r="A918" s="36">
        <v>1861</v>
      </c>
      <c r="B918" s="37">
        <v>43831</v>
      </c>
      <c r="C918" s="36"/>
      <c r="D918" s="36"/>
      <c r="E918" s="36" t="s">
        <v>65</v>
      </c>
      <c r="F918" s="38">
        <v>5731070.625</v>
      </c>
      <c r="G918" s="36" t="s">
        <v>8</v>
      </c>
      <c r="H918" s="36" t="s">
        <v>8</v>
      </c>
      <c r="I918" s="36"/>
      <c r="J918" s="36"/>
    </row>
    <row r="919" spans="1:10" x14ac:dyDescent="0.25">
      <c r="A919" s="36">
        <v>1861</v>
      </c>
      <c r="B919" s="37">
        <v>43862</v>
      </c>
      <c r="C919" s="36"/>
      <c r="D919" s="36"/>
      <c r="E919" s="36" t="s">
        <v>65</v>
      </c>
      <c r="F919" s="38">
        <v>5731070.625</v>
      </c>
      <c r="G919" s="36" t="s">
        <v>8</v>
      </c>
      <c r="H919" s="36" t="s">
        <v>8</v>
      </c>
      <c r="I919" s="36"/>
      <c r="J919" s="36"/>
    </row>
    <row r="920" spans="1:10" x14ac:dyDescent="0.25">
      <c r="A920" s="36">
        <v>1861</v>
      </c>
      <c r="B920" s="37">
        <v>43891</v>
      </c>
      <c r="C920" s="36"/>
      <c r="D920" s="36"/>
      <c r="E920" s="36" t="s">
        <v>65</v>
      </c>
      <c r="F920" s="38">
        <v>5731070.625</v>
      </c>
      <c r="G920" s="36" t="s">
        <v>8</v>
      </c>
      <c r="H920" s="36" t="s">
        <v>8</v>
      </c>
      <c r="I920" s="36"/>
      <c r="J920" s="36"/>
    </row>
    <row r="921" spans="1:10" x14ac:dyDescent="0.25">
      <c r="A921" s="36">
        <v>1861</v>
      </c>
      <c r="B921" s="37">
        <v>43922</v>
      </c>
      <c r="C921" s="36"/>
      <c r="D921" s="36"/>
      <c r="E921" s="36" t="s">
        <v>65</v>
      </c>
      <c r="F921" s="38">
        <v>5731070.625</v>
      </c>
      <c r="G921" s="36" t="s">
        <v>8</v>
      </c>
      <c r="H921" s="36" t="s">
        <v>8</v>
      </c>
      <c r="I921" s="36"/>
      <c r="J921" s="36"/>
    </row>
    <row r="922" spans="1:10" x14ac:dyDescent="0.25">
      <c r="A922" s="36">
        <v>1861</v>
      </c>
      <c r="B922" s="37">
        <v>43952</v>
      </c>
      <c r="C922" s="36"/>
      <c r="D922" s="36"/>
      <c r="E922" s="36" t="s">
        <v>65</v>
      </c>
      <c r="F922" s="38">
        <v>5731070.625</v>
      </c>
      <c r="G922" s="36" t="s">
        <v>8</v>
      </c>
      <c r="H922" s="36" t="s">
        <v>8</v>
      </c>
      <c r="I922" s="36"/>
      <c r="J922" s="36"/>
    </row>
    <row r="923" spans="1:10" x14ac:dyDescent="0.25">
      <c r="A923" s="36">
        <v>1861</v>
      </c>
      <c r="B923" s="37">
        <v>43983</v>
      </c>
      <c r="C923" s="36"/>
      <c r="D923" s="36"/>
      <c r="E923" s="36" t="s">
        <v>65</v>
      </c>
      <c r="F923" s="38">
        <v>5731070.625</v>
      </c>
      <c r="G923" s="36" t="s">
        <v>8</v>
      </c>
      <c r="H923" s="36" t="s">
        <v>8</v>
      </c>
      <c r="I923" s="36"/>
      <c r="J923" s="36"/>
    </row>
    <row r="924" spans="1:10" x14ac:dyDescent="0.25">
      <c r="A924" s="36">
        <v>1861</v>
      </c>
      <c r="B924" s="37">
        <v>44013</v>
      </c>
      <c r="C924" s="36"/>
      <c r="D924" s="36"/>
      <c r="E924" s="36" t="s">
        <v>65</v>
      </c>
      <c r="F924" s="38">
        <v>5731070.625</v>
      </c>
      <c r="G924" s="36" t="s">
        <v>8</v>
      </c>
      <c r="H924" s="36" t="s">
        <v>8</v>
      </c>
      <c r="I924" s="36"/>
      <c r="J924" s="36"/>
    </row>
    <row r="925" spans="1:10" x14ac:dyDescent="0.25">
      <c r="A925" s="36">
        <v>1861</v>
      </c>
      <c r="B925" s="37">
        <v>43466</v>
      </c>
      <c r="C925" s="36"/>
      <c r="D925" s="36"/>
      <c r="E925" s="36" t="s">
        <v>66</v>
      </c>
      <c r="F925" s="38">
        <v>5735067.9750000006</v>
      </c>
      <c r="G925" s="36" t="s">
        <v>8</v>
      </c>
      <c r="H925" s="36" t="s">
        <v>8</v>
      </c>
      <c r="I925" s="36"/>
      <c r="J925" s="36"/>
    </row>
    <row r="926" spans="1:10" x14ac:dyDescent="0.25">
      <c r="A926" s="36">
        <v>1861</v>
      </c>
      <c r="B926" s="37">
        <v>43497</v>
      </c>
      <c r="C926" s="36"/>
      <c r="D926" s="36"/>
      <c r="E926" s="36" t="s">
        <v>66</v>
      </c>
      <c r="F926" s="38">
        <v>5735067.9750000006</v>
      </c>
      <c r="G926" s="36" t="s">
        <v>8</v>
      </c>
      <c r="H926" s="36" t="s">
        <v>8</v>
      </c>
      <c r="I926" s="36"/>
      <c r="J926" s="36"/>
    </row>
    <row r="927" spans="1:10" x14ac:dyDescent="0.25">
      <c r="A927" s="36">
        <v>1861</v>
      </c>
      <c r="B927" s="37">
        <v>43525</v>
      </c>
      <c r="C927" s="36"/>
      <c r="D927" s="36"/>
      <c r="E927" s="36" t="s">
        <v>66</v>
      </c>
      <c r="F927" s="38">
        <v>5735067.9750000006</v>
      </c>
      <c r="G927" s="36" t="s">
        <v>8</v>
      </c>
      <c r="H927" s="36" t="s">
        <v>8</v>
      </c>
      <c r="I927" s="36"/>
      <c r="J927" s="36"/>
    </row>
    <row r="928" spans="1:10" x14ac:dyDescent="0.25">
      <c r="A928" s="36">
        <v>1861</v>
      </c>
      <c r="B928" s="37">
        <v>43556</v>
      </c>
      <c r="C928" s="36"/>
      <c r="D928" s="36"/>
      <c r="E928" s="36" t="s">
        <v>66</v>
      </c>
      <c r="F928" s="38">
        <v>5735067.9750000006</v>
      </c>
      <c r="G928" s="36" t="s">
        <v>8</v>
      </c>
      <c r="H928" s="36" t="s">
        <v>8</v>
      </c>
      <c r="I928" s="36"/>
      <c r="J928" s="36"/>
    </row>
    <row r="929" spans="1:10" x14ac:dyDescent="0.25">
      <c r="A929" s="36">
        <v>1861</v>
      </c>
      <c r="B929" s="37">
        <v>43586</v>
      </c>
      <c r="C929" s="36"/>
      <c r="D929" s="36"/>
      <c r="E929" s="36" t="s">
        <v>66</v>
      </c>
      <c r="F929" s="38">
        <v>5735067.9750000006</v>
      </c>
      <c r="G929" s="36" t="s">
        <v>8</v>
      </c>
      <c r="H929" s="36" t="s">
        <v>8</v>
      </c>
      <c r="I929" s="36"/>
      <c r="J929" s="36"/>
    </row>
    <row r="930" spans="1:10" x14ac:dyDescent="0.25">
      <c r="A930" s="36">
        <v>1861</v>
      </c>
      <c r="B930" s="37">
        <v>43617</v>
      </c>
      <c r="C930" s="36"/>
      <c r="D930" s="36"/>
      <c r="E930" s="36" t="s">
        <v>66</v>
      </c>
      <c r="F930" s="38">
        <v>5735067.9750000006</v>
      </c>
      <c r="G930" s="36" t="s">
        <v>8</v>
      </c>
      <c r="H930" s="36" t="s">
        <v>8</v>
      </c>
      <c r="I930" s="36"/>
      <c r="J930" s="36"/>
    </row>
    <row r="931" spans="1:10" x14ac:dyDescent="0.25">
      <c r="A931" s="36">
        <v>1861</v>
      </c>
      <c r="B931" s="37">
        <v>43647</v>
      </c>
      <c r="C931" s="36"/>
      <c r="D931" s="36"/>
      <c r="E931" s="36" t="s">
        <v>66</v>
      </c>
      <c r="F931" s="38">
        <v>5735067.9750000006</v>
      </c>
      <c r="G931" s="36" t="s">
        <v>8</v>
      </c>
      <c r="H931" s="36" t="s">
        <v>8</v>
      </c>
      <c r="I931" s="36"/>
      <c r="J931" s="36"/>
    </row>
    <row r="932" spans="1:10" x14ac:dyDescent="0.25">
      <c r="A932" s="36">
        <v>1861</v>
      </c>
      <c r="B932" s="37">
        <v>43678</v>
      </c>
      <c r="C932" s="36"/>
      <c r="D932" s="36"/>
      <c r="E932" s="36" t="s">
        <v>66</v>
      </c>
      <c r="F932" s="38">
        <v>5735067.9750000006</v>
      </c>
      <c r="G932" s="36" t="s">
        <v>8</v>
      </c>
      <c r="H932" s="36" t="s">
        <v>8</v>
      </c>
      <c r="I932" s="36"/>
      <c r="J932" s="36"/>
    </row>
    <row r="933" spans="1:10" x14ac:dyDescent="0.25">
      <c r="A933" s="36">
        <v>1861</v>
      </c>
      <c r="B933" s="37">
        <v>43709</v>
      </c>
      <c r="C933" s="36"/>
      <c r="D933" s="36"/>
      <c r="E933" s="36" t="s">
        <v>66</v>
      </c>
      <c r="F933" s="38">
        <v>5735067.9750000006</v>
      </c>
      <c r="G933" s="36" t="s">
        <v>8</v>
      </c>
      <c r="H933" s="36" t="s">
        <v>8</v>
      </c>
      <c r="I933" s="36"/>
      <c r="J933" s="36"/>
    </row>
    <row r="934" spans="1:10" x14ac:dyDescent="0.25">
      <c r="A934" s="36">
        <v>1861</v>
      </c>
      <c r="B934" s="37">
        <v>43739</v>
      </c>
      <c r="C934" s="36"/>
      <c r="D934" s="36"/>
      <c r="E934" s="36" t="s">
        <v>66</v>
      </c>
      <c r="F934" s="38">
        <v>5735067.9750000006</v>
      </c>
      <c r="G934" s="36" t="s">
        <v>8</v>
      </c>
      <c r="H934" s="36" t="s">
        <v>8</v>
      </c>
      <c r="I934" s="36"/>
      <c r="J934" s="36"/>
    </row>
    <row r="935" spans="1:10" x14ac:dyDescent="0.25">
      <c r="A935" s="36">
        <v>1861</v>
      </c>
      <c r="B935" s="37">
        <v>43770</v>
      </c>
      <c r="C935" s="36"/>
      <c r="D935" s="36"/>
      <c r="E935" s="36" t="s">
        <v>66</v>
      </c>
      <c r="F935" s="38">
        <v>5735067.9750000006</v>
      </c>
      <c r="G935" s="36" t="s">
        <v>8</v>
      </c>
      <c r="H935" s="36" t="s">
        <v>8</v>
      </c>
      <c r="I935" s="36"/>
      <c r="J935" s="36"/>
    </row>
    <row r="936" spans="1:10" x14ac:dyDescent="0.25">
      <c r="A936" s="36">
        <v>1861</v>
      </c>
      <c r="B936" s="37">
        <v>43800</v>
      </c>
      <c r="C936" s="36"/>
      <c r="D936" s="36"/>
      <c r="E936" s="36" t="s">
        <v>66</v>
      </c>
      <c r="F936" s="38">
        <v>5735067.9750000006</v>
      </c>
      <c r="G936" s="36" t="s">
        <v>8</v>
      </c>
      <c r="H936" s="36" t="s">
        <v>8</v>
      </c>
      <c r="I936" s="36"/>
      <c r="J936" s="36"/>
    </row>
    <row r="937" spans="1:10" x14ac:dyDescent="0.25">
      <c r="A937" s="36">
        <v>1861</v>
      </c>
      <c r="B937" s="37">
        <v>43831</v>
      </c>
      <c r="C937" s="36"/>
      <c r="D937" s="36"/>
      <c r="E937" s="36" t="s">
        <v>66</v>
      </c>
      <c r="F937" s="38">
        <v>5735067.9750000006</v>
      </c>
      <c r="G937" s="36" t="s">
        <v>8</v>
      </c>
      <c r="H937" s="36" t="s">
        <v>8</v>
      </c>
      <c r="I937" s="36"/>
      <c r="J937" s="36"/>
    </row>
    <row r="938" spans="1:10" x14ac:dyDescent="0.25">
      <c r="A938" s="36">
        <v>1861</v>
      </c>
      <c r="B938" s="37">
        <v>43862</v>
      </c>
      <c r="C938" s="36"/>
      <c r="D938" s="36"/>
      <c r="E938" s="36" t="s">
        <v>66</v>
      </c>
      <c r="F938" s="38">
        <v>5735067.9750000006</v>
      </c>
      <c r="G938" s="36" t="s">
        <v>8</v>
      </c>
      <c r="H938" s="36" t="s">
        <v>8</v>
      </c>
      <c r="I938" s="36"/>
      <c r="J938" s="36"/>
    </row>
    <row r="939" spans="1:10" x14ac:dyDescent="0.25">
      <c r="A939" s="36">
        <v>1861</v>
      </c>
      <c r="B939" s="37">
        <v>43891</v>
      </c>
      <c r="C939" s="36"/>
      <c r="D939" s="36"/>
      <c r="E939" s="36" t="s">
        <v>66</v>
      </c>
      <c r="F939" s="38">
        <v>5735067.9750000006</v>
      </c>
      <c r="G939" s="36" t="s">
        <v>8</v>
      </c>
      <c r="H939" s="36" t="s">
        <v>8</v>
      </c>
      <c r="I939" s="36"/>
      <c r="J939" s="36"/>
    </row>
    <row r="940" spans="1:10" x14ac:dyDescent="0.25">
      <c r="A940" s="36">
        <v>1861</v>
      </c>
      <c r="B940" s="37">
        <v>43922</v>
      </c>
      <c r="C940" s="36"/>
      <c r="D940" s="36"/>
      <c r="E940" s="36" t="s">
        <v>66</v>
      </c>
      <c r="F940" s="38">
        <v>5735067.9750000006</v>
      </c>
      <c r="G940" s="36" t="s">
        <v>8</v>
      </c>
      <c r="H940" s="36" t="s">
        <v>8</v>
      </c>
      <c r="I940" s="36"/>
      <c r="J940" s="36"/>
    </row>
    <row r="941" spans="1:10" x14ac:dyDescent="0.25">
      <c r="A941" s="36">
        <v>1861</v>
      </c>
      <c r="B941" s="37">
        <v>43952</v>
      </c>
      <c r="C941" s="36"/>
      <c r="D941" s="36"/>
      <c r="E941" s="36" t="s">
        <v>66</v>
      </c>
      <c r="F941" s="38">
        <v>5735067.9750000006</v>
      </c>
      <c r="G941" s="36" t="s">
        <v>8</v>
      </c>
      <c r="H941" s="36" t="s">
        <v>8</v>
      </c>
      <c r="I941" s="36"/>
      <c r="J941" s="36"/>
    </row>
    <row r="942" spans="1:10" x14ac:dyDescent="0.25">
      <c r="A942" s="36">
        <v>1861</v>
      </c>
      <c r="B942" s="37">
        <v>43983</v>
      </c>
      <c r="C942" s="36"/>
      <c r="D942" s="36"/>
      <c r="E942" s="36" t="s">
        <v>66</v>
      </c>
      <c r="F942" s="38">
        <v>5735067.9750000006</v>
      </c>
      <c r="G942" s="36" t="s">
        <v>8</v>
      </c>
      <c r="H942" s="36" t="s">
        <v>8</v>
      </c>
      <c r="I942" s="36"/>
      <c r="J942" s="36"/>
    </row>
    <row r="943" spans="1:10" x14ac:dyDescent="0.25">
      <c r="A943" s="36">
        <v>1861</v>
      </c>
      <c r="B943" s="37">
        <v>44013</v>
      </c>
      <c r="C943" s="36"/>
      <c r="D943" s="36"/>
      <c r="E943" s="36" t="s">
        <v>66</v>
      </c>
      <c r="F943" s="38">
        <v>5735067.9750000006</v>
      </c>
      <c r="G943" s="36" t="s">
        <v>8</v>
      </c>
      <c r="H943" s="36" t="s">
        <v>8</v>
      </c>
      <c r="I943" s="36"/>
      <c r="J943" s="36"/>
    </row>
    <row r="944" spans="1:10" x14ac:dyDescent="0.25">
      <c r="A944" s="36">
        <v>1861</v>
      </c>
      <c r="B944" s="37">
        <v>44044</v>
      </c>
      <c r="C944" s="36"/>
      <c r="D944" s="36"/>
      <c r="E944" s="36" t="s">
        <v>66</v>
      </c>
      <c r="F944" s="38">
        <v>5735067.9750000006</v>
      </c>
      <c r="G944" s="36" t="s">
        <v>8</v>
      </c>
      <c r="H944" s="36" t="s">
        <v>8</v>
      </c>
      <c r="I944" s="36"/>
      <c r="J944" s="36"/>
    </row>
    <row r="945" spans="1:10" x14ac:dyDescent="0.25">
      <c r="A945" s="36">
        <v>1861</v>
      </c>
      <c r="B945" s="37">
        <v>44075</v>
      </c>
      <c r="C945" s="36"/>
      <c r="D945" s="36"/>
      <c r="E945" s="36" t="s">
        <v>66</v>
      </c>
      <c r="F945" s="38">
        <v>5735067.9750000006</v>
      </c>
      <c r="G945" s="36" t="s">
        <v>8</v>
      </c>
      <c r="H945" s="36" t="s">
        <v>8</v>
      </c>
      <c r="I945" s="36"/>
      <c r="J945" s="36"/>
    </row>
    <row r="946" spans="1:10" x14ac:dyDescent="0.25">
      <c r="A946" s="36">
        <v>1861</v>
      </c>
      <c r="B946" s="37">
        <v>44105</v>
      </c>
      <c r="C946" s="36"/>
      <c r="D946" s="36"/>
      <c r="E946" s="36" t="s">
        <v>66</v>
      </c>
      <c r="F946" s="38">
        <v>5735067.9750000006</v>
      </c>
      <c r="G946" s="36" t="s">
        <v>8</v>
      </c>
      <c r="H946" s="36" t="s">
        <v>8</v>
      </c>
      <c r="I946" s="36"/>
      <c r="J946" s="36"/>
    </row>
    <row r="947" spans="1:10" x14ac:dyDescent="0.25">
      <c r="A947" s="36">
        <v>1861</v>
      </c>
      <c r="B947" s="37">
        <v>44136</v>
      </c>
      <c r="C947" s="36"/>
      <c r="D947" s="36"/>
      <c r="E947" s="36" t="s">
        <v>66</v>
      </c>
      <c r="F947" s="38">
        <v>5735067.9750000006</v>
      </c>
      <c r="G947" s="36" t="s">
        <v>8</v>
      </c>
      <c r="H947" s="36" t="s">
        <v>8</v>
      </c>
      <c r="I947" s="36"/>
      <c r="J947" s="36"/>
    </row>
    <row r="948" spans="1:10" x14ac:dyDescent="0.25">
      <c r="A948" s="36">
        <v>1861</v>
      </c>
      <c r="B948" s="37">
        <v>43466</v>
      </c>
      <c r="C948" s="36"/>
      <c r="D948" s="36"/>
      <c r="E948" s="36" t="s">
        <v>23</v>
      </c>
      <c r="F948" s="38">
        <v>5532675.75</v>
      </c>
      <c r="G948" s="36" t="s">
        <v>8</v>
      </c>
      <c r="H948" s="36" t="s">
        <v>8</v>
      </c>
      <c r="I948" s="36"/>
      <c r="J948" s="36"/>
    </row>
    <row r="949" spans="1:10" x14ac:dyDescent="0.25">
      <c r="A949" s="36">
        <v>1861</v>
      </c>
      <c r="B949" s="37">
        <v>43497</v>
      </c>
      <c r="C949" s="36"/>
      <c r="D949" s="36"/>
      <c r="E949" s="36" t="s">
        <v>23</v>
      </c>
      <c r="F949" s="38">
        <v>5532675.75</v>
      </c>
      <c r="G949" s="36" t="s">
        <v>8</v>
      </c>
      <c r="H949" s="36" t="s">
        <v>8</v>
      </c>
      <c r="I949" s="36"/>
      <c r="J949" s="36"/>
    </row>
    <row r="950" spans="1:10" x14ac:dyDescent="0.25">
      <c r="A950" s="36">
        <v>1861</v>
      </c>
      <c r="B950" s="37">
        <v>43525</v>
      </c>
      <c r="C950" s="36"/>
      <c r="D950" s="36"/>
      <c r="E950" s="36" t="s">
        <v>23</v>
      </c>
      <c r="F950" s="38">
        <v>5532675.75</v>
      </c>
      <c r="G950" s="36" t="s">
        <v>8</v>
      </c>
      <c r="H950" s="36" t="s">
        <v>8</v>
      </c>
      <c r="I950" s="36"/>
      <c r="J950" s="36"/>
    </row>
    <row r="951" spans="1:10" x14ac:dyDescent="0.25">
      <c r="A951" s="36">
        <v>1861</v>
      </c>
      <c r="B951" s="37">
        <v>43556</v>
      </c>
      <c r="C951" s="36"/>
      <c r="D951" s="36"/>
      <c r="E951" s="36" t="s">
        <v>23</v>
      </c>
      <c r="F951" s="38">
        <v>5532675.75</v>
      </c>
      <c r="G951" s="36" t="s">
        <v>8</v>
      </c>
      <c r="H951" s="36" t="s">
        <v>8</v>
      </c>
      <c r="I951" s="36"/>
      <c r="J951" s="36"/>
    </row>
    <row r="952" spans="1:10" x14ac:dyDescent="0.25">
      <c r="A952" s="36">
        <v>1861</v>
      </c>
      <c r="B952" s="37">
        <v>43586</v>
      </c>
      <c r="C952" s="36"/>
      <c r="D952" s="36"/>
      <c r="E952" s="36" t="s">
        <v>23</v>
      </c>
      <c r="F952" s="38">
        <v>5532675.75</v>
      </c>
      <c r="G952" s="36" t="s">
        <v>8</v>
      </c>
      <c r="H952" s="36" t="s">
        <v>8</v>
      </c>
      <c r="I952" s="36"/>
      <c r="J952" s="36"/>
    </row>
    <row r="953" spans="1:10" x14ac:dyDescent="0.25">
      <c r="A953" s="36">
        <v>1861</v>
      </c>
      <c r="B953" s="37">
        <v>43617</v>
      </c>
      <c r="C953" s="36"/>
      <c r="D953" s="36"/>
      <c r="E953" s="36" t="s">
        <v>23</v>
      </c>
      <c r="F953" s="38">
        <v>5532675.75</v>
      </c>
      <c r="G953" s="36" t="s">
        <v>8</v>
      </c>
      <c r="H953" s="36" t="s">
        <v>8</v>
      </c>
      <c r="I953" s="36"/>
      <c r="J953" s="36"/>
    </row>
    <row r="954" spans="1:10" x14ac:dyDescent="0.25">
      <c r="A954" s="36">
        <v>1861</v>
      </c>
      <c r="B954" s="37">
        <v>43647</v>
      </c>
      <c r="C954" s="36"/>
      <c r="D954" s="36"/>
      <c r="E954" s="36" t="s">
        <v>23</v>
      </c>
      <c r="F954" s="38">
        <v>5532675.75</v>
      </c>
      <c r="G954" s="36" t="s">
        <v>8</v>
      </c>
      <c r="H954" s="36" t="s">
        <v>8</v>
      </c>
      <c r="I954" s="36"/>
      <c r="J954" s="36"/>
    </row>
    <row r="955" spans="1:10" x14ac:dyDescent="0.25">
      <c r="A955" s="36">
        <v>1861</v>
      </c>
      <c r="B955" s="37">
        <v>43678</v>
      </c>
      <c r="C955" s="36"/>
      <c r="D955" s="36"/>
      <c r="E955" s="36" t="s">
        <v>23</v>
      </c>
      <c r="F955" s="38">
        <v>5532675.75</v>
      </c>
      <c r="G955" s="36" t="s">
        <v>8</v>
      </c>
      <c r="H955" s="36" t="s">
        <v>8</v>
      </c>
      <c r="I955" s="36"/>
      <c r="J955" s="36"/>
    </row>
    <row r="956" spans="1:10" x14ac:dyDescent="0.25">
      <c r="A956" s="36">
        <v>1861</v>
      </c>
      <c r="B956" s="37">
        <v>43709</v>
      </c>
      <c r="C956" s="36"/>
      <c r="D956" s="36"/>
      <c r="E956" s="36" t="s">
        <v>23</v>
      </c>
      <c r="F956" s="38">
        <v>5532675.75</v>
      </c>
      <c r="G956" s="36" t="s">
        <v>8</v>
      </c>
      <c r="H956" s="36" t="s">
        <v>8</v>
      </c>
      <c r="I956" s="36"/>
      <c r="J956" s="36"/>
    </row>
    <row r="957" spans="1:10" x14ac:dyDescent="0.25">
      <c r="A957" s="36">
        <v>1861</v>
      </c>
      <c r="B957" s="37">
        <v>43739</v>
      </c>
      <c r="C957" s="36"/>
      <c r="D957" s="36"/>
      <c r="E957" s="36" t="s">
        <v>23</v>
      </c>
      <c r="F957" s="38">
        <v>5532675.75</v>
      </c>
      <c r="G957" s="36" t="s">
        <v>8</v>
      </c>
      <c r="H957" s="36" t="s">
        <v>8</v>
      </c>
      <c r="I957" s="36"/>
      <c r="J957" s="36"/>
    </row>
    <row r="958" spans="1:10" x14ac:dyDescent="0.25">
      <c r="A958" s="36">
        <v>1861</v>
      </c>
      <c r="B958" s="37">
        <v>43770</v>
      </c>
      <c r="C958" s="36"/>
      <c r="D958" s="36"/>
      <c r="E958" s="36" t="s">
        <v>23</v>
      </c>
      <c r="F958" s="38">
        <v>5532675.75</v>
      </c>
      <c r="G958" s="36" t="s">
        <v>8</v>
      </c>
      <c r="H958" s="36" t="s">
        <v>8</v>
      </c>
      <c r="I958" s="36"/>
      <c r="J958" s="36"/>
    </row>
    <row r="959" spans="1:10" x14ac:dyDescent="0.25">
      <c r="A959" s="36">
        <v>1861</v>
      </c>
      <c r="B959" s="37">
        <v>43800</v>
      </c>
      <c r="C959" s="36"/>
      <c r="D959" s="36"/>
      <c r="E959" s="36" t="s">
        <v>23</v>
      </c>
      <c r="F959" s="38">
        <v>5532675.75</v>
      </c>
      <c r="G959" s="36" t="s">
        <v>8</v>
      </c>
      <c r="H959" s="36" t="s">
        <v>8</v>
      </c>
      <c r="I959" s="36"/>
      <c r="J959" s="36"/>
    </row>
    <row r="960" spans="1:10" x14ac:dyDescent="0.25">
      <c r="A960" s="36">
        <v>1861</v>
      </c>
      <c r="B960" s="37">
        <v>43831</v>
      </c>
      <c r="C960" s="36"/>
      <c r="D960" s="36"/>
      <c r="E960" s="36" t="s">
        <v>23</v>
      </c>
      <c r="F960" s="38">
        <v>5532675.75</v>
      </c>
      <c r="G960" s="36" t="s">
        <v>8</v>
      </c>
      <c r="H960" s="36" t="s">
        <v>8</v>
      </c>
      <c r="I960" s="36"/>
      <c r="J960" s="36"/>
    </row>
    <row r="961" spans="1:10" x14ac:dyDescent="0.25">
      <c r="A961" s="36">
        <v>1861</v>
      </c>
      <c r="B961" s="37">
        <v>43862</v>
      </c>
      <c r="C961" s="36"/>
      <c r="D961" s="36"/>
      <c r="E961" s="36" t="s">
        <v>23</v>
      </c>
      <c r="F961" s="38">
        <v>5532675.75</v>
      </c>
      <c r="G961" s="36" t="s">
        <v>8</v>
      </c>
      <c r="H961" s="36" t="s">
        <v>8</v>
      </c>
      <c r="I961" s="36"/>
      <c r="J961" s="36"/>
    </row>
    <row r="962" spans="1:10" x14ac:dyDescent="0.25">
      <c r="A962" s="36">
        <v>1861</v>
      </c>
      <c r="B962" s="37">
        <v>43891</v>
      </c>
      <c r="C962" s="36"/>
      <c r="D962" s="36"/>
      <c r="E962" s="36" t="s">
        <v>23</v>
      </c>
      <c r="F962" s="38">
        <v>5532675.75</v>
      </c>
      <c r="G962" s="36" t="s">
        <v>8</v>
      </c>
      <c r="H962" s="36" t="s">
        <v>8</v>
      </c>
      <c r="I962" s="36"/>
      <c r="J962" s="36"/>
    </row>
    <row r="963" spans="1:10" x14ac:dyDescent="0.25">
      <c r="A963" s="36">
        <v>1861</v>
      </c>
      <c r="B963" s="37">
        <v>43922</v>
      </c>
      <c r="C963" s="36"/>
      <c r="D963" s="36"/>
      <c r="E963" s="36" t="s">
        <v>23</v>
      </c>
      <c r="F963" s="38">
        <v>5532675.75</v>
      </c>
      <c r="G963" s="36" t="s">
        <v>8</v>
      </c>
      <c r="H963" s="36" t="s">
        <v>8</v>
      </c>
      <c r="I963" s="36"/>
      <c r="J963" s="36"/>
    </row>
    <row r="964" spans="1:10" x14ac:dyDescent="0.25">
      <c r="A964" s="36">
        <v>1861</v>
      </c>
      <c r="B964" s="37">
        <v>43952</v>
      </c>
      <c r="C964" s="36"/>
      <c r="D964" s="36"/>
      <c r="E964" s="36" t="s">
        <v>23</v>
      </c>
      <c r="F964" s="38">
        <v>5532675.75</v>
      </c>
      <c r="G964" s="36" t="s">
        <v>8</v>
      </c>
      <c r="H964" s="36" t="s">
        <v>8</v>
      </c>
      <c r="I964" s="36"/>
      <c r="J964" s="36"/>
    </row>
    <row r="965" spans="1:10" x14ac:dyDescent="0.25">
      <c r="A965" s="36">
        <v>1861</v>
      </c>
      <c r="B965" s="37">
        <v>43983</v>
      </c>
      <c r="C965" s="36"/>
      <c r="D965" s="36"/>
      <c r="E965" s="36" t="s">
        <v>23</v>
      </c>
      <c r="F965" s="38">
        <v>5532675.75</v>
      </c>
      <c r="G965" s="36" t="s">
        <v>8</v>
      </c>
      <c r="H965" s="36" t="s">
        <v>8</v>
      </c>
      <c r="I965" s="36"/>
      <c r="J965" s="36"/>
    </row>
    <row r="966" spans="1:10" x14ac:dyDescent="0.25">
      <c r="A966" s="36">
        <v>1861</v>
      </c>
      <c r="B966" s="37">
        <v>44013</v>
      </c>
      <c r="C966" s="36"/>
      <c r="D966" s="36"/>
      <c r="E966" s="36" t="s">
        <v>23</v>
      </c>
      <c r="F966" s="38">
        <v>5532675.75</v>
      </c>
      <c r="G966" s="36" t="s">
        <v>8</v>
      </c>
      <c r="H966" s="36" t="s">
        <v>8</v>
      </c>
      <c r="I966" s="36"/>
      <c r="J966" s="36"/>
    </row>
    <row r="967" spans="1:10" x14ac:dyDescent="0.25">
      <c r="A967" s="36">
        <v>1861</v>
      </c>
      <c r="B967" s="37">
        <v>44044</v>
      </c>
      <c r="C967" s="36"/>
      <c r="D967" s="36"/>
      <c r="E967" s="36" t="s">
        <v>23</v>
      </c>
      <c r="F967" s="38">
        <v>5532675.75</v>
      </c>
      <c r="G967" s="36" t="s">
        <v>8</v>
      </c>
      <c r="H967" s="36" t="s">
        <v>8</v>
      </c>
      <c r="I967" s="36"/>
      <c r="J967" s="36"/>
    </row>
    <row r="968" spans="1:10" x14ac:dyDescent="0.25">
      <c r="A968" s="36">
        <v>1861</v>
      </c>
      <c r="B968" s="37">
        <v>44075</v>
      </c>
      <c r="C968" s="36"/>
      <c r="D968" s="36"/>
      <c r="E968" s="36" t="s">
        <v>23</v>
      </c>
      <c r="F968" s="38">
        <v>5532675.75</v>
      </c>
      <c r="G968" s="36" t="s">
        <v>8</v>
      </c>
      <c r="H968" s="36" t="s">
        <v>8</v>
      </c>
      <c r="I968" s="36"/>
      <c r="J968" s="36"/>
    </row>
    <row r="969" spans="1:10" x14ac:dyDescent="0.25">
      <c r="A969" s="36">
        <v>1861</v>
      </c>
      <c r="B969" s="37">
        <v>44105</v>
      </c>
      <c r="C969" s="36"/>
      <c r="D969" s="36"/>
      <c r="E969" s="36" t="s">
        <v>23</v>
      </c>
      <c r="F969" s="38">
        <v>5532675.75</v>
      </c>
      <c r="G969" s="36" t="s">
        <v>8</v>
      </c>
      <c r="H969" s="36" t="s">
        <v>8</v>
      </c>
      <c r="I969" s="36"/>
      <c r="J969" s="36"/>
    </row>
    <row r="970" spans="1:10" x14ac:dyDescent="0.25">
      <c r="A970" s="36">
        <v>1861</v>
      </c>
      <c r="B970" s="37">
        <v>44136</v>
      </c>
      <c r="C970" s="36"/>
      <c r="D970" s="36"/>
      <c r="E970" s="36" t="s">
        <v>23</v>
      </c>
      <c r="F970" s="38">
        <v>5532675.75</v>
      </c>
      <c r="G970" s="36" t="s">
        <v>8</v>
      </c>
      <c r="H970" s="36" t="s">
        <v>8</v>
      </c>
      <c r="I970" s="36"/>
      <c r="J970" s="36"/>
    </row>
    <row r="971" spans="1:10" x14ac:dyDescent="0.25">
      <c r="A971" s="36">
        <v>1861</v>
      </c>
      <c r="B971" s="37">
        <v>44166</v>
      </c>
      <c r="C971" s="36"/>
      <c r="D971" s="36"/>
      <c r="E971" s="36" t="s">
        <v>23</v>
      </c>
      <c r="F971" s="38">
        <v>5532675.75</v>
      </c>
      <c r="G971" s="36" t="s">
        <v>8</v>
      </c>
      <c r="H971" s="36" t="s">
        <v>8</v>
      </c>
      <c r="I971" s="36"/>
      <c r="J971" s="36"/>
    </row>
    <row r="972" spans="1:10" x14ac:dyDescent="0.25">
      <c r="A972" s="36">
        <v>1861</v>
      </c>
      <c r="B972" s="37">
        <v>43466</v>
      </c>
      <c r="C972" s="36"/>
      <c r="D972" s="36"/>
      <c r="E972" s="36" t="s">
        <v>67</v>
      </c>
      <c r="F972" s="38">
        <v>6478130.9250000007</v>
      </c>
      <c r="G972" s="36" t="s">
        <v>8</v>
      </c>
      <c r="H972" s="36" t="s">
        <v>8</v>
      </c>
      <c r="I972" s="36"/>
      <c r="J972" s="36"/>
    </row>
    <row r="973" spans="1:10" x14ac:dyDescent="0.25">
      <c r="A973" s="36">
        <v>1861</v>
      </c>
      <c r="B973" s="37">
        <v>43497</v>
      </c>
      <c r="C973" s="36"/>
      <c r="D973" s="36"/>
      <c r="E973" s="36" t="s">
        <v>67</v>
      </c>
      <c r="F973" s="38">
        <v>6478130.9250000007</v>
      </c>
      <c r="G973" s="36" t="s">
        <v>8</v>
      </c>
      <c r="H973" s="36" t="s">
        <v>8</v>
      </c>
      <c r="I973" s="36"/>
      <c r="J973" s="36"/>
    </row>
    <row r="974" spans="1:10" x14ac:dyDescent="0.25">
      <c r="A974" s="36">
        <v>1861</v>
      </c>
      <c r="B974" s="37">
        <v>43525</v>
      </c>
      <c r="C974" s="36"/>
      <c r="D974" s="36"/>
      <c r="E974" s="36" t="s">
        <v>67</v>
      </c>
      <c r="F974" s="38">
        <v>6478130.9250000007</v>
      </c>
      <c r="G974" s="36" t="s">
        <v>8</v>
      </c>
      <c r="H974" s="36" t="s">
        <v>8</v>
      </c>
      <c r="I974" s="36"/>
      <c r="J974" s="36"/>
    </row>
    <row r="975" spans="1:10" x14ac:dyDescent="0.25">
      <c r="A975" s="36">
        <v>1861</v>
      </c>
      <c r="B975" s="37">
        <v>43556</v>
      </c>
      <c r="C975" s="36"/>
      <c r="D975" s="36"/>
      <c r="E975" s="36" t="s">
        <v>67</v>
      </c>
      <c r="F975" s="38">
        <v>6478130.9250000007</v>
      </c>
      <c r="G975" s="36" t="s">
        <v>8</v>
      </c>
      <c r="H975" s="36" t="s">
        <v>8</v>
      </c>
      <c r="I975" s="36"/>
      <c r="J975" s="36"/>
    </row>
    <row r="976" spans="1:10" x14ac:dyDescent="0.25">
      <c r="A976" s="36">
        <v>1861</v>
      </c>
      <c r="B976" s="37">
        <v>43586</v>
      </c>
      <c r="C976" s="36"/>
      <c r="D976" s="36"/>
      <c r="E976" s="36" t="s">
        <v>67</v>
      </c>
      <c r="F976" s="38">
        <v>6478130.9250000007</v>
      </c>
      <c r="G976" s="36" t="s">
        <v>8</v>
      </c>
      <c r="H976" s="36" t="s">
        <v>8</v>
      </c>
      <c r="I976" s="36"/>
      <c r="J976" s="36"/>
    </row>
    <row r="977" spans="1:10" x14ac:dyDescent="0.25">
      <c r="A977" s="36">
        <v>1861</v>
      </c>
      <c r="B977" s="37">
        <v>43617</v>
      </c>
      <c r="C977" s="36"/>
      <c r="D977" s="36"/>
      <c r="E977" s="36" t="s">
        <v>67</v>
      </c>
      <c r="F977" s="38">
        <v>6478130.9250000007</v>
      </c>
      <c r="G977" s="36" t="s">
        <v>8</v>
      </c>
      <c r="H977" s="36" t="s">
        <v>8</v>
      </c>
      <c r="I977" s="36"/>
      <c r="J977" s="36"/>
    </row>
    <row r="978" spans="1:10" x14ac:dyDescent="0.25">
      <c r="A978" s="36">
        <v>1861</v>
      </c>
      <c r="B978" s="37">
        <v>43647</v>
      </c>
      <c r="C978" s="36"/>
      <c r="D978" s="36"/>
      <c r="E978" s="36" t="s">
        <v>67</v>
      </c>
      <c r="F978" s="38">
        <v>6478130.9250000007</v>
      </c>
      <c r="G978" s="36" t="s">
        <v>8</v>
      </c>
      <c r="H978" s="36" t="s">
        <v>8</v>
      </c>
      <c r="I978" s="36"/>
      <c r="J978" s="36"/>
    </row>
    <row r="979" spans="1:10" x14ac:dyDescent="0.25">
      <c r="A979" s="36">
        <v>1861</v>
      </c>
      <c r="B979" s="37">
        <v>43678</v>
      </c>
      <c r="C979" s="36"/>
      <c r="D979" s="36"/>
      <c r="E979" s="36" t="s">
        <v>67</v>
      </c>
      <c r="F979" s="38">
        <v>6478130.9250000007</v>
      </c>
      <c r="G979" s="36" t="s">
        <v>8</v>
      </c>
      <c r="H979" s="36" t="s">
        <v>8</v>
      </c>
      <c r="I979" s="36"/>
      <c r="J979" s="36"/>
    </row>
    <row r="980" spans="1:10" x14ac:dyDescent="0.25">
      <c r="A980" s="36">
        <v>1861</v>
      </c>
      <c r="B980" s="37">
        <v>43709</v>
      </c>
      <c r="C980" s="36"/>
      <c r="D980" s="36"/>
      <c r="E980" s="36" t="s">
        <v>67</v>
      </c>
      <c r="F980" s="38">
        <v>6478130.9250000007</v>
      </c>
      <c r="G980" s="36" t="s">
        <v>8</v>
      </c>
      <c r="H980" s="36" t="s">
        <v>8</v>
      </c>
      <c r="I980" s="36"/>
      <c r="J980" s="36"/>
    </row>
    <row r="981" spans="1:10" x14ac:dyDescent="0.25">
      <c r="A981" s="36">
        <v>1861</v>
      </c>
      <c r="B981" s="37">
        <v>43739</v>
      </c>
      <c r="C981" s="36"/>
      <c r="D981" s="36"/>
      <c r="E981" s="36" t="s">
        <v>67</v>
      </c>
      <c r="F981" s="38">
        <v>6478130.9250000007</v>
      </c>
      <c r="G981" s="36" t="s">
        <v>8</v>
      </c>
      <c r="H981" s="36" t="s">
        <v>8</v>
      </c>
      <c r="I981" s="36"/>
      <c r="J981" s="36"/>
    </row>
    <row r="982" spans="1:10" x14ac:dyDescent="0.25">
      <c r="A982" s="36">
        <v>1861</v>
      </c>
      <c r="B982" s="37">
        <v>43770</v>
      </c>
      <c r="C982" s="36"/>
      <c r="D982" s="36"/>
      <c r="E982" s="36" t="s">
        <v>67</v>
      </c>
      <c r="F982" s="38">
        <v>6478130.9250000007</v>
      </c>
      <c r="G982" s="36" t="s">
        <v>8</v>
      </c>
      <c r="H982" s="36" t="s">
        <v>8</v>
      </c>
      <c r="I982" s="36"/>
      <c r="J982" s="36"/>
    </row>
    <row r="983" spans="1:10" x14ac:dyDescent="0.25">
      <c r="A983" s="36">
        <v>1861</v>
      </c>
      <c r="B983" s="37">
        <v>43800</v>
      </c>
      <c r="C983" s="36"/>
      <c r="D983" s="36"/>
      <c r="E983" s="36" t="s">
        <v>67</v>
      </c>
      <c r="F983" s="38">
        <v>6478130.9250000007</v>
      </c>
      <c r="G983" s="36" t="s">
        <v>8</v>
      </c>
      <c r="H983" s="36" t="s">
        <v>8</v>
      </c>
      <c r="I983" s="36"/>
      <c r="J983" s="36"/>
    </row>
    <row r="984" spans="1:10" x14ac:dyDescent="0.25">
      <c r="A984" s="36">
        <v>1861</v>
      </c>
      <c r="B984" s="37">
        <v>43831</v>
      </c>
      <c r="C984" s="36"/>
      <c r="D984" s="36"/>
      <c r="E984" s="36" t="s">
        <v>67</v>
      </c>
      <c r="F984" s="38">
        <v>6478130.9250000007</v>
      </c>
      <c r="G984" s="36" t="s">
        <v>8</v>
      </c>
      <c r="H984" s="36" t="s">
        <v>8</v>
      </c>
      <c r="I984" s="36"/>
      <c r="J984" s="36"/>
    </row>
    <row r="985" spans="1:10" x14ac:dyDescent="0.25">
      <c r="A985" s="36">
        <v>1861</v>
      </c>
      <c r="B985" s="37">
        <v>43862</v>
      </c>
      <c r="C985" s="36"/>
      <c r="D985" s="36"/>
      <c r="E985" s="36" t="s">
        <v>67</v>
      </c>
      <c r="F985" s="38">
        <v>6478130.9250000007</v>
      </c>
      <c r="G985" s="36" t="s">
        <v>8</v>
      </c>
      <c r="H985" s="36" t="s">
        <v>8</v>
      </c>
      <c r="I985" s="36"/>
      <c r="J985" s="36"/>
    </row>
    <row r="986" spans="1:10" x14ac:dyDescent="0.25">
      <c r="A986" s="36">
        <v>1861</v>
      </c>
      <c r="B986" s="37">
        <v>43891</v>
      </c>
      <c r="C986" s="36"/>
      <c r="D986" s="36"/>
      <c r="E986" s="36" t="s">
        <v>67</v>
      </c>
      <c r="F986" s="38">
        <v>6478130.9250000007</v>
      </c>
      <c r="G986" s="36" t="s">
        <v>8</v>
      </c>
      <c r="H986" s="36" t="s">
        <v>8</v>
      </c>
      <c r="I986" s="36"/>
      <c r="J986" s="36"/>
    </row>
    <row r="987" spans="1:10" x14ac:dyDescent="0.25">
      <c r="A987" s="36">
        <v>1861</v>
      </c>
      <c r="B987" s="37">
        <v>43922</v>
      </c>
      <c r="C987" s="36"/>
      <c r="D987" s="36"/>
      <c r="E987" s="36" t="s">
        <v>67</v>
      </c>
      <c r="F987" s="38">
        <v>6478130.9250000007</v>
      </c>
      <c r="G987" s="36" t="s">
        <v>8</v>
      </c>
      <c r="H987" s="36" t="s">
        <v>8</v>
      </c>
      <c r="I987" s="36"/>
      <c r="J987" s="36"/>
    </row>
    <row r="988" spans="1:10" x14ac:dyDescent="0.25">
      <c r="A988" s="36">
        <v>1861</v>
      </c>
      <c r="B988" s="37">
        <v>43952</v>
      </c>
      <c r="C988" s="36"/>
      <c r="D988" s="36"/>
      <c r="E988" s="36" t="s">
        <v>67</v>
      </c>
      <c r="F988" s="38">
        <v>6478130.9250000007</v>
      </c>
      <c r="G988" s="36" t="s">
        <v>8</v>
      </c>
      <c r="H988" s="36" t="s">
        <v>8</v>
      </c>
      <c r="I988" s="36"/>
      <c r="J988" s="36"/>
    </row>
    <row r="989" spans="1:10" x14ac:dyDescent="0.25">
      <c r="A989" s="36">
        <v>1861</v>
      </c>
      <c r="B989" s="37">
        <v>43983</v>
      </c>
      <c r="C989" s="36"/>
      <c r="D989" s="36"/>
      <c r="E989" s="36" t="s">
        <v>67</v>
      </c>
      <c r="F989" s="38">
        <v>6478130.9250000007</v>
      </c>
      <c r="G989" s="36" t="s">
        <v>8</v>
      </c>
      <c r="H989" s="36" t="s">
        <v>8</v>
      </c>
      <c r="I989" s="36"/>
      <c r="J989" s="36"/>
    </row>
    <row r="990" spans="1:10" x14ac:dyDescent="0.25">
      <c r="A990" s="36">
        <v>1861</v>
      </c>
      <c r="B990" s="37">
        <v>44013</v>
      </c>
      <c r="C990" s="36"/>
      <c r="D990" s="36"/>
      <c r="E990" s="36" t="s">
        <v>67</v>
      </c>
      <c r="F990" s="38">
        <v>6478130.9250000007</v>
      </c>
      <c r="G990" s="36" t="s">
        <v>8</v>
      </c>
      <c r="H990" s="36" t="s">
        <v>8</v>
      </c>
      <c r="I990" s="36"/>
      <c r="J990" s="36"/>
    </row>
    <row r="991" spans="1:10" x14ac:dyDescent="0.25">
      <c r="A991" s="36">
        <v>1861</v>
      </c>
      <c r="B991" s="37">
        <v>44044</v>
      </c>
      <c r="C991" s="36"/>
      <c r="D991" s="36"/>
      <c r="E991" s="36" t="s">
        <v>67</v>
      </c>
      <c r="F991" s="38">
        <v>6478130.9250000007</v>
      </c>
      <c r="G991" s="36" t="s">
        <v>8</v>
      </c>
      <c r="H991" s="36" t="s">
        <v>8</v>
      </c>
      <c r="I991" s="36"/>
      <c r="J991" s="36"/>
    </row>
    <row r="992" spans="1:10" x14ac:dyDescent="0.25">
      <c r="A992" s="36">
        <v>1861</v>
      </c>
      <c r="B992" s="37">
        <v>44075</v>
      </c>
      <c r="C992" s="36"/>
      <c r="D992" s="36"/>
      <c r="E992" s="36" t="s">
        <v>67</v>
      </c>
      <c r="F992" s="38">
        <v>6478130.9250000007</v>
      </c>
      <c r="G992" s="36" t="s">
        <v>8</v>
      </c>
      <c r="H992" s="36" t="s">
        <v>8</v>
      </c>
      <c r="I992" s="36"/>
      <c r="J992" s="36"/>
    </row>
    <row r="993" spans="1:10" x14ac:dyDescent="0.25">
      <c r="A993" s="36">
        <v>1861</v>
      </c>
      <c r="B993" s="37">
        <v>44105</v>
      </c>
      <c r="C993" s="36"/>
      <c r="D993" s="36"/>
      <c r="E993" s="36" t="s">
        <v>67</v>
      </c>
      <c r="F993" s="38">
        <v>6478130.9250000007</v>
      </c>
      <c r="G993" s="36" t="s">
        <v>8</v>
      </c>
      <c r="H993" s="36" t="s">
        <v>8</v>
      </c>
      <c r="I993" s="36"/>
      <c r="J993" s="36"/>
    </row>
    <row r="994" spans="1:10" x14ac:dyDescent="0.25">
      <c r="A994" s="36">
        <v>1861</v>
      </c>
      <c r="B994" s="37">
        <v>44136</v>
      </c>
      <c r="C994" s="36"/>
      <c r="D994" s="36"/>
      <c r="E994" s="36" t="s">
        <v>67</v>
      </c>
      <c r="F994" s="38">
        <v>6478130.9250000007</v>
      </c>
      <c r="G994" s="36" t="s">
        <v>8</v>
      </c>
      <c r="H994" s="36" t="s">
        <v>8</v>
      </c>
      <c r="I994" s="36"/>
      <c r="J994" s="36"/>
    </row>
    <row r="995" spans="1:10" x14ac:dyDescent="0.25">
      <c r="A995" s="36">
        <v>1861</v>
      </c>
      <c r="B995" s="37">
        <v>43466</v>
      </c>
      <c r="C995" s="36"/>
      <c r="D995" s="36"/>
      <c r="E995" s="36" t="s">
        <v>67</v>
      </c>
      <c r="F995" s="38">
        <v>6478130.9250000007</v>
      </c>
      <c r="G995" s="36" t="s">
        <v>8</v>
      </c>
      <c r="H995" s="36" t="s">
        <v>8</v>
      </c>
      <c r="I995" s="36"/>
      <c r="J995" s="36"/>
    </row>
    <row r="996" spans="1:10" x14ac:dyDescent="0.25">
      <c r="A996" s="36">
        <v>1861</v>
      </c>
      <c r="B996" s="37">
        <v>43497</v>
      </c>
      <c r="C996" s="36"/>
      <c r="D996" s="36"/>
      <c r="E996" s="36" t="s">
        <v>67</v>
      </c>
      <c r="F996" s="38">
        <v>6478130.9250000007</v>
      </c>
      <c r="G996" s="36" t="s">
        <v>8</v>
      </c>
      <c r="H996" s="36" t="s">
        <v>8</v>
      </c>
      <c r="I996" s="36"/>
      <c r="J996" s="36"/>
    </row>
    <row r="997" spans="1:10" x14ac:dyDescent="0.25">
      <c r="A997" s="36">
        <v>1861</v>
      </c>
      <c r="B997" s="37">
        <v>43525</v>
      </c>
      <c r="C997" s="36"/>
      <c r="D997" s="36"/>
      <c r="E997" s="36" t="s">
        <v>67</v>
      </c>
      <c r="F997" s="38">
        <v>6478130.9250000007</v>
      </c>
      <c r="G997" s="36" t="s">
        <v>8</v>
      </c>
      <c r="H997" s="36" t="s">
        <v>8</v>
      </c>
      <c r="I997" s="36"/>
      <c r="J997" s="36"/>
    </row>
    <row r="998" spans="1:10" x14ac:dyDescent="0.25">
      <c r="A998" s="36">
        <v>1861</v>
      </c>
      <c r="B998" s="37">
        <v>43556</v>
      </c>
      <c r="C998" s="36"/>
      <c r="D998" s="36"/>
      <c r="E998" s="36" t="s">
        <v>67</v>
      </c>
      <c r="F998" s="38">
        <v>6478130.9250000007</v>
      </c>
      <c r="G998" s="36" t="s">
        <v>8</v>
      </c>
      <c r="H998" s="36" t="s">
        <v>8</v>
      </c>
      <c r="I998" s="36"/>
      <c r="J998" s="36"/>
    </row>
    <row r="999" spans="1:10" x14ac:dyDescent="0.25">
      <c r="A999" s="36">
        <v>1861</v>
      </c>
      <c r="B999" s="37">
        <v>43586</v>
      </c>
      <c r="C999" s="36"/>
      <c r="D999" s="36"/>
      <c r="E999" s="36" t="s">
        <v>67</v>
      </c>
      <c r="F999" s="38">
        <v>6478130.9250000007</v>
      </c>
      <c r="G999" s="36" t="s">
        <v>8</v>
      </c>
      <c r="H999" s="36" t="s">
        <v>8</v>
      </c>
      <c r="I999" s="36"/>
      <c r="J999" s="36"/>
    </row>
    <row r="1000" spans="1:10" x14ac:dyDescent="0.25">
      <c r="A1000" s="36">
        <v>1861</v>
      </c>
      <c r="B1000" s="37">
        <v>43617</v>
      </c>
      <c r="C1000" s="36"/>
      <c r="D1000" s="36"/>
      <c r="E1000" s="36" t="s">
        <v>67</v>
      </c>
      <c r="F1000" s="38">
        <v>6478130.9250000007</v>
      </c>
      <c r="G1000" s="36" t="s">
        <v>8</v>
      </c>
      <c r="H1000" s="36" t="s">
        <v>8</v>
      </c>
      <c r="I1000" s="36"/>
      <c r="J1000" s="36"/>
    </row>
    <row r="1001" spans="1:10" x14ac:dyDescent="0.25">
      <c r="A1001" s="36">
        <v>1861</v>
      </c>
      <c r="B1001" s="37">
        <v>43647</v>
      </c>
      <c r="C1001" s="36"/>
      <c r="D1001" s="36"/>
      <c r="E1001" s="36" t="s">
        <v>67</v>
      </c>
      <c r="F1001" s="38">
        <v>6478130.9250000007</v>
      </c>
      <c r="G1001" s="36" t="s">
        <v>8</v>
      </c>
      <c r="H1001" s="36" t="s">
        <v>8</v>
      </c>
      <c r="I1001" s="36"/>
      <c r="J1001" s="36"/>
    </row>
    <row r="1002" spans="1:10" x14ac:dyDescent="0.25">
      <c r="A1002" s="36">
        <v>1861</v>
      </c>
      <c r="B1002" s="37">
        <v>43678</v>
      </c>
      <c r="C1002" s="36"/>
      <c r="D1002" s="36"/>
      <c r="E1002" s="36" t="s">
        <v>67</v>
      </c>
      <c r="F1002" s="38">
        <v>6478130.9250000007</v>
      </c>
      <c r="G1002" s="36" t="s">
        <v>8</v>
      </c>
      <c r="H1002" s="36" t="s">
        <v>8</v>
      </c>
      <c r="I1002" s="36"/>
      <c r="J1002" s="36"/>
    </row>
    <row r="1003" spans="1:10" x14ac:dyDescent="0.25">
      <c r="A1003" s="36">
        <v>1861</v>
      </c>
      <c r="B1003" s="37">
        <v>43709</v>
      </c>
      <c r="C1003" s="36"/>
      <c r="D1003" s="36"/>
      <c r="E1003" s="36" t="s">
        <v>67</v>
      </c>
      <c r="F1003" s="38">
        <v>6478130.9250000007</v>
      </c>
      <c r="G1003" s="36" t="s">
        <v>8</v>
      </c>
      <c r="H1003" s="36" t="s">
        <v>8</v>
      </c>
      <c r="I1003" s="36"/>
      <c r="J1003" s="36"/>
    </row>
    <row r="1004" spans="1:10" x14ac:dyDescent="0.25">
      <c r="A1004" s="36">
        <v>1861</v>
      </c>
      <c r="B1004" s="37">
        <v>43739</v>
      </c>
      <c r="C1004" s="36"/>
      <c r="D1004" s="36"/>
      <c r="E1004" s="36" t="s">
        <v>67</v>
      </c>
      <c r="F1004" s="38">
        <v>6478130.9250000007</v>
      </c>
      <c r="G1004" s="36" t="s">
        <v>8</v>
      </c>
      <c r="H1004" s="36" t="s">
        <v>8</v>
      </c>
      <c r="I1004" s="36"/>
      <c r="J1004" s="36"/>
    </row>
    <row r="1005" spans="1:10" x14ac:dyDescent="0.25">
      <c r="A1005" s="36">
        <v>1861</v>
      </c>
      <c r="B1005" s="37">
        <v>43770</v>
      </c>
      <c r="C1005" s="36"/>
      <c r="D1005" s="36"/>
      <c r="E1005" s="36" t="s">
        <v>67</v>
      </c>
      <c r="F1005" s="38">
        <v>6478130.9250000007</v>
      </c>
      <c r="G1005" s="36" t="s">
        <v>8</v>
      </c>
      <c r="H1005" s="36" t="s">
        <v>8</v>
      </c>
      <c r="I1005" s="36"/>
      <c r="J1005" s="36"/>
    </row>
    <row r="1006" spans="1:10" x14ac:dyDescent="0.25">
      <c r="A1006" s="36">
        <v>1861</v>
      </c>
      <c r="B1006" s="37">
        <v>43800</v>
      </c>
      <c r="C1006" s="36"/>
      <c r="D1006" s="36"/>
      <c r="E1006" s="36" t="s">
        <v>67</v>
      </c>
      <c r="F1006" s="38">
        <v>6478130.9250000007</v>
      </c>
      <c r="G1006" s="36" t="s">
        <v>8</v>
      </c>
      <c r="H1006" s="36" t="s">
        <v>8</v>
      </c>
      <c r="I1006" s="36"/>
      <c r="J1006" s="36"/>
    </row>
    <row r="1007" spans="1:10" x14ac:dyDescent="0.25">
      <c r="A1007" s="36">
        <v>1861</v>
      </c>
      <c r="B1007" s="37">
        <v>43831</v>
      </c>
      <c r="C1007" s="36"/>
      <c r="D1007" s="36"/>
      <c r="E1007" s="36" t="s">
        <v>67</v>
      </c>
      <c r="F1007" s="38">
        <v>6478130.9250000007</v>
      </c>
      <c r="G1007" s="36" t="s">
        <v>8</v>
      </c>
      <c r="H1007" s="36" t="s">
        <v>8</v>
      </c>
      <c r="I1007" s="36"/>
      <c r="J1007" s="36"/>
    </row>
    <row r="1008" spans="1:10" x14ac:dyDescent="0.25">
      <c r="A1008" s="36">
        <v>1861</v>
      </c>
      <c r="B1008" s="37">
        <v>43862</v>
      </c>
      <c r="C1008" s="36"/>
      <c r="D1008" s="36"/>
      <c r="E1008" s="36" t="s">
        <v>67</v>
      </c>
      <c r="F1008" s="38">
        <v>6478130.9250000007</v>
      </c>
      <c r="G1008" s="36" t="s">
        <v>8</v>
      </c>
      <c r="H1008" s="36" t="s">
        <v>8</v>
      </c>
      <c r="I1008" s="36"/>
      <c r="J1008" s="36"/>
    </row>
    <row r="1009" spans="1:10" x14ac:dyDescent="0.25">
      <c r="A1009" s="36">
        <v>1861</v>
      </c>
      <c r="B1009" s="37">
        <v>43891</v>
      </c>
      <c r="C1009" s="36"/>
      <c r="D1009" s="36"/>
      <c r="E1009" s="36" t="s">
        <v>67</v>
      </c>
      <c r="F1009" s="38">
        <v>6478130.9250000007</v>
      </c>
      <c r="G1009" s="36" t="s">
        <v>8</v>
      </c>
      <c r="H1009" s="36" t="s">
        <v>8</v>
      </c>
      <c r="I1009" s="36"/>
      <c r="J1009" s="36"/>
    </row>
    <row r="1010" spans="1:10" x14ac:dyDescent="0.25">
      <c r="A1010" s="36">
        <v>1861</v>
      </c>
      <c r="B1010" s="37">
        <v>43922</v>
      </c>
      <c r="C1010" s="36"/>
      <c r="D1010" s="36"/>
      <c r="E1010" s="36" t="s">
        <v>67</v>
      </c>
      <c r="F1010" s="38">
        <v>6478130.9250000007</v>
      </c>
      <c r="G1010" s="36" t="s">
        <v>8</v>
      </c>
      <c r="H1010" s="36" t="s">
        <v>8</v>
      </c>
      <c r="I1010" s="36"/>
      <c r="J1010" s="36"/>
    </row>
    <row r="1011" spans="1:10" x14ac:dyDescent="0.25">
      <c r="A1011" s="36">
        <v>1861</v>
      </c>
      <c r="B1011" s="37">
        <v>43952</v>
      </c>
      <c r="C1011" s="36"/>
      <c r="D1011" s="36"/>
      <c r="E1011" s="36" t="s">
        <v>67</v>
      </c>
      <c r="F1011" s="38">
        <v>6478130.9250000007</v>
      </c>
      <c r="G1011" s="36" t="s">
        <v>8</v>
      </c>
      <c r="H1011" s="36" t="s">
        <v>8</v>
      </c>
      <c r="I1011" s="36"/>
      <c r="J1011" s="36"/>
    </row>
    <row r="1012" spans="1:10" x14ac:dyDescent="0.25">
      <c r="A1012" s="36">
        <v>1861</v>
      </c>
      <c r="B1012" s="37">
        <v>43983</v>
      </c>
      <c r="C1012" s="36"/>
      <c r="D1012" s="36"/>
      <c r="E1012" s="36" t="s">
        <v>67</v>
      </c>
      <c r="F1012" s="38">
        <v>6478130.9250000007</v>
      </c>
      <c r="G1012" s="36" t="s">
        <v>8</v>
      </c>
      <c r="H1012" s="36" t="s">
        <v>8</v>
      </c>
      <c r="I1012" s="36"/>
      <c r="J1012" s="36"/>
    </row>
    <row r="1013" spans="1:10" x14ac:dyDescent="0.25">
      <c r="A1013" s="36">
        <v>1861</v>
      </c>
      <c r="B1013" s="37">
        <v>44013</v>
      </c>
      <c r="C1013" s="36"/>
      <c r="D1013" s="36"/>
      <c r="E1013" s="36" t="s">
        <v>67</v>
      </c>
      <c r="F1013" s="38">
        <v>6478130.9250000007</v>
      </c>
      <c r="G1013" s="36" t="s">
        <v>8</v>
      </c>
      <c r="H1013" s="36" t="s">
        <v>8</v>
      </c>
      <c r="I1013" s="36"/>
      <c r="J1013" s="36"/>
    </row>
    <row r="1014" spans="1:10" x14ac:dyDescent="0.25">
      <c r="A1014" s="36">
        <v>1861</v>
      </c>
      <c r="B1014" s="37">
        <v>44044</v>
      </c>
      <c r="C1014" s="36"/>
      <c r="D1014" s="36"/>
      <c r="E1014" s="36" t="s">
        <v>67</v>
      </c>
      <c r="F1014" s="38">
        <v>6478130.9250000007</v>
      </c>
      <c r="G1014" s="36" t="s">
        <v>8</v>
      </c>
      <c r="H1014" s="36" t="s">
        <v>8</v>
      </c>
      <c r="I1014" s="36"/>
      <c r="J1014" s="36"/>
    </row>
    <row r="1015" spans="1:10" x14ac:dyDescent="0.25">
      <c r="A1015" s="36">
        <v>1861</v>
      </c>
      <c r="B1015" s="37">
        <v>44075</v>
      </c>
      <c r="C1015" s="36"/>
      <c r="D1015" s="36"/>
      <c r="E1015" s="36" t="s">
        <v>67</v>
      </c>
      <c r="F1015" s="38">
        <v>6478130.9250000007</v>
      </c>
      <c r="G1015" s="36" t="s">
        <v>8</v>
      </c>
      <c r="H1015" s="36" t="s">
        <v>8</v>
      </c>
      <c r="I1015" s="36"/>
      <c r="J1015" s="36"/>
    </row>
    <row r="1016" spans="1:10" x14ac:dyDescent="0.25">
      <c r="A1016" s="36">
        <v>1861</v>
      </c>
      <c r="B1016" s="37">
        <v>44105</v>
      </c>
      <c r="C1016" s="36"/>
      <c r="D1016" s="36"/>
      <c r="E1016" s="36" t="s">
        <v>67</v>
      </c>
      <c r="F1016" s="38">
        <v>6478130.9250000007</v>
      </c>
      <c r="G1016" s="36" t="s">
        <v>8</v>
      </c>
      <c r="H1016" s="36" t="s">
        <v>8</v>
      </c>
      <c r="I1016" s="36"/>
      <c r="J1016" s="36"/>
    </row>
    <row r="1017" spans="1:10" x14ac:dyDescent="0.25">
      <c r="A1017" s="36">
        <v>1861</v>
      </c>
      <c r="B1017" s="37">
        <v>44136</v>
      </c>
      <c r="C1017" s="36"/>
      <c r="D1017" s="36"/>
      <c r="E1017" s="36" t="s">
        <v>67</v>
      </c>
      <c r="F1017" s="38">
        <v>6478130.9250000007</v>
      </c>
      <c r="G1017" s="36" t="s">
        <v>8</v>
      </c>
      <c r="H1017" s="36" t="s">
        <v>8</v>
      </c>
      <c r="I1017" s="36"/>
      <c r="J1017" s="36"/>
    </row>
    <row r="1018" spans="1:10" x14ac:dyDescent="0.25">
      <c r="A1018" s="36">
        <v>1873</v>
      </c>
      <c r="B1018" s="37">
        <v>43466</v>
      </c>
      <c r="C1018" s="36"/>
      <c r="D1018" s="36"/>
      <c r="E1018" s="36" t="s">
        <v>7</v>
      </c>
      <c r="F1018" s="38">
        <v>2806650</v>
      </c>
      <c r="G1018" s="36" t="s">
        <v>8</v>
      </c>
      <c r="H1018" s="36" t="s">
        <v>8</v>
      </c>
      <c r="I1018" s="36"/>
      <c r="J1018" s="36"/>
    </row>
    <row r="1019" spans="1:10" x14ac:dyDescent="0.25">
      <c r="A1019" s="36">
        <v>1873</v>
      </c>
      <c r="B1019" s="37">
        <v>43497</v>
      </c>
      <c r="C1019" s="36"/>
      <c r="D1019" s="36"/>
      <c r="E1019" s="36" t="s">
        <v>7</v>
      </c>
      <c r="F1019" s="38">
        <v>2806650</v>
      </c>
      <c r="G1019" s="36" t="s">
        <v>8</v>
      </c>
      <c r="H1019" s="36" t="s">
        <v>8</v>
      </c>
      <c r="I1019" s="36"/>
      <c r="J1019" s="36"/>
    </row>
    <row r="1020" spans="1:10" x14ac:dyDescent="0.25">
      <c r="A1020" s="36">
        <v>1873</v>
      </c>
      <c r="B1020" s="37">
        <v>43525</v>
      </c>
      <c r="C1020" s="36"/>
      <c r="D1020" s="36"/>
      <c r="E1020" s="36" t="s">
        <v>7</v>
      </c>
      <c r="F1020" s="38">
        <v>2806650</v>
      </c>
      <c r="G1020" s="36" t="s">
        <v>8</v>
      </c>
      <c r="H1020" s="36" t="s">
        <v>8</v>
      </c>
      <c r="I1020" s="36"/>
      <c r="J1020" s="36"/>
    </row>
    <row r="1021" spans="1:10" x14ac:dyDescent="0.25">
      <c r="A1021" s="36">
        <v>1873</v>
      </c>
      <c r="B1021" s="37">
        <v>43556</v>
      </c>
      <c r="C1021" s="36"/>
      <c r="D1021" s="36"/>
      <c r="E1021" s="36" t="s">
        <v>7</v>
      </c>
      <c r="F1021" s="38">
        <v>2806650</v>
      </c>
      <c r="G1021" s="36" t="s">
        <v>8</v>
      </c>
      <c r="H1021" s="36" t="s">
        <v>8</v>
      </c>
      <c r="I1021" s="36"/>
      <c r="J1021" s="36"/>
    </row>
    <row r="1022" spans="1:10" x14ac:dyDescent="0.25">
      <c r="A1022" s="36">
        <v>1873</v>
      </c>
      <c r="B1022" s="37">
        <v>43586</v>
      </c>
      <c r="C1022" s="36"/>
      <c r="D1022" s="36"/>
      <c r="E1022" s="36" t="s">
        <v>7</v>
      </c>
      <c r="F1022" s="38">
        <v>2806650</v>
      </c>
      <c r="G1022" s="36" t="s">
        <v>8</v>
      </c>
      <c r="H1022" s="36" t="s">
        <v>8</v>
      </c>
      <c r="I1022" s="36"/>
      <c r="J1022" s="36"/>
    </row>
    <row r="1023" spans="1:10" x14ac:dyDescent="0.25">
      <c r="A1023" s="36">
        <v>1873</v>
      </c>
      <c r="B1023" s="37">
        <v>43617</v>
      </c>
      <c r="C1023" s="36"/>
      <c r="D1023" s="36"/>
      <c r="E1023" s="36" t="s">
        <v>7</v>
      </c>
      <c r="F1023" s="38">
        <v>2806650</v>
      </c>
      <c r="G1023" s="36" t="s">
        <v>8</v>
      </c>
      <c r="H1023" s="36" t="s">
        <v>8</v>
      </c>
      <c r="I1023" s="36"/>
      <c r="J1023" s="36"/>
    </row>
    <row r="1024" spans="1:10" x14ac:dyDescent="0.25">
      <c r="A1024" s="36">
        <v>1873</v>
      </c>
      <c r="B1024" s="37">
        <v>43647</v>
      </c>
      <c r="C1024" s="36"/>
      <c r="D1024" s="36"/>
      <c r="E1024" s="36" t="s">
        <v>7</v>
      </c>
      <c r="F1024" s="38">
        <v>2806650</v>
      </c>
      <c r="G1024" s="36" t="s">
        <v>8</v>
      </c>
      <c r="H1024" s="36" t="s">
        <v>8</v>
      </c>
      <c r="I1024" s="36"/>
      <c r="J1024" s="36"/>
    </row>
    <row r="1025" spans="1:10" x14ac:dyDescent="0.25">
      <c r="A1025" s="36">
        <v>1873</v>
      </c>
      <c r="B1025" s="37">
        <v>43678</v>
      </c>
      <c r="C1025" s="36"/>
      <c r="D1025" s="36"/>
      <c r="E1025" s="36" t="s">
        <v>7</v>
      </c>
      <c r="F1025" s="38">
        <v>2806650</v>
      </c>
      <c r="G1025" s="36" t="s">
        <v>8</v>
      </c>
      <c r="H1025" s="36" t="s">
        <v>8</v>
      </c>
      <c r="I1025" s="36"/>
      <c r="J1025" s="36"/>
    </row>
    <row r="1026" spans="1:10" x14ac:dyDescent="0.25">
      <c r="A1026" s="36">
        <v>1873</v>
      </c>
      <c r="B1026" s="37">
        <v>43709</v>
      </c>
      <c r="C1026" s="36"/>
      <c r="D1026" s="36"/>
      <c r="E1026" s="36" t="s">
        <v>7</v>
      </c>
      <c r="F1026" s="38">
        <v>2806650</v>
      </c>
      <c r="G1026" s="36" t="s">
        <v>8</v>
      </c>
      <c r="H1026" s="36" t="s">
        <v>8</v>
      </c>
      <c r="I1026" s="36"/>
      <c r="J1026" s="36"/>
    </row>
    <row r="1027" spans="1:10" x14ac:dyDescent="0.25">
      <c r="A1027" s="36">
        <v>1873</v>
      </c>
      <c r="B1027" s="37">
        <v>43739</v>
      </c>
      <c r="C1027" s="36"/>
      <c r="D1027" s="36"/>
      <c r="E1027" s="36" t="s">
        <v>7</v>
      </c>
      <c r="F1027" s="38">
        <v>2806650</v>
      </c>
      <c r="G1027" s="36" t="s">
        <v>8</v>
      </c>
      <c r="H1027" s="36" t="s">
        <v>8</v>
      </c>
      <c r="I1027" s="36"/>
      <c r="J1027" s="36"/>
    </row>
    <row r="1028" spans="1:10" x14ac:dyDescent="0.25">
      <c r="A1028" s="36">
        <v>1873</v>
      </c>
      <c r="B1028" s="37">
        <v>43770</v>
      </c>
      <c r="C1028" s="36"/>
      <c r="D1028" s="36"/>
      <c r="E1028" s="36" t="s">
        <v>7</v>
      </c>
      <c r="F1028" s="38">
        <v>2806650</v>
      </c>
      <c r="G1028" s="36" t="s">
        <v>8</v>
      </c>
      <c r="H1028" s="36" t="s">
        <v>8</v>
      </c>
      <c r="I1028" s="36"/>
      <c r="J1028" s="36"/>
    </row>
    <row r="1029" spans="1:10" x14ac:dyDescent="0.25">
      <c r="A1029" s="36">
        <v>1873</v>
      </c>
      <c r="B1029" s="37">
        <v>43466</v>
      </c>
      <c r="C1029" s="36"/>
      <c r="D1029" s="36"/>
      <c r="E1029" s="36" t="s">
        <v>21</v>
      </c>
      <c r="F1029" s="38">
        <v>5355000</v>
      </c>
      <c r="G1029" s="36" t="s">
        <v>8</v>
      </c>
      <c r="H1029" s="36" t="s">
        <v>8</v>
      </c>
      <c r="I1029" s="36"/>
      <c r="J1029" s="36"/>
    </row>
    <row r="1030" spans="1:10" x14ac:dyDescent="0.25">
      <c r="A1030" s="36">
        <v>1873</v>
      </c>
      <c r="B1030" s="37">
        <v>43497</v>
      </c>
      <c r="C1030" s="36"/>
      <c r="D1030" s="36"/>
      <c r="E1030" s="36" t="s">
        <v>21</v>
      </c>
      <c r="F1030" s="38">
        <v>5355000</v>
      </c>
      <c r="G1030" s="36" t="s">
        <v>8</v>
      </c>
      <c r="H1030" s="36" t="s">
        <v>8</v>
      </c>
      <c r="I1030" s="36"/>
      <c r="J1030" s="36"/>
    </row>
    <row r="1031" spans="1:10" x14ac:dyDescent="0.25">
      <c r="A1031" s="36">
        <v>1873</v>
      </c>
      <c r="B1031" s="37">
        <v>43525</v>
      </c>
      <c r="C1031" s="36"/>
      <c r="D1031" s="36"/>
      <c r="E1031" s="36" t="s">
        <v>21</v>
      </c>
      <c r="F1031" s="38">
        <v>5355000</v>
      </c>
      <c r="G1031" s="36" t="s">
        <v>8</v>
      </c>
      <c r="H1031" s="36" t="s">
        <v>8</v>
      </c>
      <c r="I1031" s="36"/>
      <c r="J1031" s="36"/>
    </row>
    <row r="1032" spans="1:10" x14ac:dyDescent="0.25">
      <c r="A1032" s="36">
        <v>1873</v>
      </c>
      <c r="B1032" s="37">
        <v>43556</v>
      </c>
      <c r="C1032" s="36"/>
      <c r="D1032" s="36"/>
      <c r="E1032" s="36" t="s">
        <v>21</v>
      </c>
      <c r="F1032" s="38">
        <v>5355000</v>
      </c>
      <c r="G1032" s="36" t="s">
        <v>8</v>
      </c>
      <c r="H1032" s="36" t="s">
        <v>8</v>
      </c>
      <c r="I1032" s="36"/>
      <c r="J1032" s="36"/>
    </row>
    <row r="1033" spans="1:10" x14ac:dyDescent="0.25">
      <c r="A1033" s="36">
        <v>1873</v>
      </c>
      <c r="B1033" s="37">
        <v>43586</v>
      </c>
      <c r="C1033" s="36"/>
      <c r="D1033" s="36"/>
      <c r="E1033" s="36" t="s">
        <v>21</v>
      </c>
      <c r="F1033" s="38">
        <v>5355000</v>
      </c>
      <c r="G1033" s="36" t="s">
        <v>8</v>
      </c>
      <c r="H1033" s="36" t="s">
        <v>8</v>
      </c>
      <c r="I1033" s="36"/>
      <c r="J1033" s="36"/>
    </row>
    <row r="1034" spans="1:10" x14ac:dyDescent="0.25">
      <c r="A1034" s="36">
        <v>1873</v>
      </c>
      <c r="B1034" s="37">
        <v>43617</v>
      </c>
      <c r="C1034" s="36"/>
      <c r="D1034" s="36"/>
      <c r="E1034" s="36" t="s">
        <v>21</v>
      </c>
      <c r="F1034" s="38">
        <v>5355000</v>
      </c>
      <c r="G1034" s="36" t="s">
        <v>8</v>
      </c>
      <c r="H1034" s="36" t="s">
        <v>8</v>
      </c>
      <c r="I1034" s="36"/>
      <c r="J1034" s="36"/>
    </row>
    <row r="1035" spans="1:10" x14ac:dyDescent="0.25">
      <c r="A1035" s="36">
        <v>1873</v>
      </c>
      <c r="B1035" s="37">
        <v>43647</v>
      </c>
      <c r="C1035" s="36"/>
      <c r="D1035" s="36"/>
      <c r="E1035" s="36" t="s">
        <v>21</v>
      </c>
      <c r="F1035" s="38">
        <v>5355000</v>
      </c>
      <c r="G1035" s="36" t="s">
        <v>8</v>
      </c>
      <c r="H1035" s="36" t="s">
        <v>8</v>
      </c>
      <c r="I1035" s="36"/>
      <c r="J1035" s="36"/>
    </row>
    <row r="1036" spans="1:10" x14ac:dyDescent="0.25">
      <c r="A1036" s="36">
        <v>1873</v>
      </c>
      <c r="B1036" s="37">
        <v>43678</v>
      </c>
      <c r="C1036" s="36"/>
      <c r="D1036" s="36"/>
      <c r="E1036" s="36" t="s">
        <v>21</v>
      </c>
      <c r="F1036" s="38">
        <v>5355000</v>
      </c>
      <c r="G1036" s="36" t="s">
        <v>8</v>
      </c>
      <c r="H1036" s="36" t="s">
        <v>8</v>
      </c>
      <c r="I1036" s="36"/>
      <c r="J1036" s="36"/>
    </row>
    <row r="1037" spans="1:10" x14ac:dyDescent="0.25">
      <c r="A1037" s="36">
        <v>1873</v>
      </c>
      <c r="B1037" s="37">
        <v>43709</v>
      </c>
      <c r="C1037" s="36"/>
      <c r="D1037" s="36"/>
      <c r="E1037" s="36" t="s">
        <v>21</v>
      </c>
      <c r="F1037" s="38">
        <v>5355000</v>
      </c>
      <c r="G1037" s="36" t="s">
        <v>8</v>
      </c>
      <c r="H1037" s="36" t="s">
        <v>8</v>
      </c>
      <c r="I1037" s="36"/>
      <c r="J1037" s="36"/>
    </row>
    <row r="1038" spans="1:10" x14ac:dyDescent="0.25">
      <c r="A1038" s="36">
        <v>1873</v>
      </c>
      <c r="B1038" s="37">
        <v>43739</v>
      </c>
      <c r="C1038" s="36"/>
      <c r="D1038" s="36"/>
      <c r="E1038" s="36" t="s">
        <v>21</v>
      </c>
      <c r="F1038" s="38">
        <v>5355000</v>
      </c>
      <c r="G1038" s="36" t="s">
        <v>8</v>
      </c>
      <c r="H1038" s="36" t="s">
        <v>8</v>
      </c>
      <c r="I1038" s="36"/>
      <c r="J1038" s="36"/>
    </row>
    <row r="1039" spans="1:10" x14ac:dyDescent="0.25">
      <c r="A1039" s="36">
        <v>1873</v>
      </c>
      <c r="B1039" s="37">
        <v>43770</v>
      </c>
      <c r="C1039" s="36"/>
      <c r="D1039" s="36"/>
      <c r="E1039" s="36" t="s">
        <v>21</v>
      </c>
      <c r="F1039" s="38">
        <v>5355000</v>
      </c>
      <c r="G1039" s="36" t="s">
        <v>8</v>
      </c>
      <c r="H1039" s="36" t="s">
        <v>8</v>
      </c>
      <c r="I1039" s="36"/>
      <c r="J1039" s="36"/>
    </row>
    <row r="1040" spans="1:10" x14ac:dyDescent="0.25">
      <c r="A1040" s="36">
        <v>1873</v>
      </c>
      <c r="B1040" s="37">
        <v>43466</v>
      </c>
      <c r="C1040" s="36"/>
      <c r="D1040" s="36"/>
      <c r="E1040" s="36" t="s">
        <v>22</v>
      </c>
      <c r="F1040" s="38">
        <v>4123664.9999999995</v>
      </c>
      <c r="G1040" s="36" t="s">
        <v>8</v>
      </c>
      <c r="H1040" s="36" t="s">
        <v>8</v>
      </c>
      <c r="I1040" s="36"/>
      <c r="J1040" s="36"/>
    </row>
    <row r="1041" spans="1:10" x14ac:dyDescent="0.25">
      <c r="A1041" s="36">
        <v>1873</v>
      </c>
      <c r="B1041" s="37">
        <v>43497</v>
      </c>
      <c r="C1041" s="36"/>
      <c r="D1041" s="36"/>
      <c r="E1041" s="36" t="s">
        <v>22</v>
      </c>
      <c r="F1041" s="38">
        <v>4123664.9999999995</v>
      </c>
      <c r="G1041" s="36" t="s">
        <v>8</v>
      </c>
      <c r="H1041" s="36" t="s">
        <v>8</v>
      </c>
      <c r="I1041" s="36"/>
      <c r="J1041" s="36"/>
    </row>
    <row r="1042" spans="1:10" x14ac:dyDescent="0.25">
      <c r="A1042" s="36">
        <v>1873</v>
      </c>
      <c r="B1042" s="37">
        <v>43525</v>
      </c>
      <c r="C1042" s="36"/>
      <c r="D1042" s="36"/>
      <c r="E1042" s="36" t="s">
        <v>22</v>
      </c>
      <c r="F1042" s="38">
        <v>4123664.9999999995</v>
      </c>
      <c r="G1042" s="36" t="s">
        <v>8</v>
      </c>
      <c r="H1042" s="36" t="s">
        <v>8</v>
      </c>
      <c r="I1042" s="36"/>
      <c r="J1042" s="36"/>
    </row>
    <row r="1043" spans="1:10" x14ac:dyDescent="0.25">
      <c r="A1043" s="36">
        <v>1873</v>
      </c>
      <c r="B1043" s="37">
        <v>43556</v>
      </c>
      <c r="C1043" s="36"/>
      <c r="D1043" s="36"/>
      <c r="E1043" s="36" t="s">
        <v>22</v>
      </c>
      <c r="F1043" s="38">
        <v>4123664.9999999995</v>
      </c>
      <c r="G1043" s="36" t="s">
        <v>8</v>
      </c>
      <c r="H1043" s="36" t="s">
        <v>8</v>
      </c>
      <c r="I1043" s="36"/>
      <c r="J1043" s="36"/>
    </row>
    <row r="1044" spans="1:10" x14ac:dyDescent="0.25">
      <c r="A1044" s="36">
        <v>1873</v>
      </c>
      <c r="B1044" s="37">
        <v>43586</v>
      </c>
      <c r="C1044" s="36"/>
      <c r="D1044" s="36"/>
      <c r="E1044" s="36" t="s">
        <v>22</v>
      </c>
      <c r="F1044" s="38">
        <v>4123664.9999999995</v>
      </c>
      <c r="G1044" s="36" t="s">
        <v>8</v>
      </c>
      <c r="H1044" s="36" t="s">
        <v>8</v>
      </c>
      <c r="I1044" s="36"/>
      <c r="J1044" s="36"/>
    </row>
    <row r="1045" spans="1:10" x14ac:dyDescent="0.25">
      <c r="A1045" s="36">
        <v>1873</v>
      </c>
      <c r="B1045" s="37">
        <v>43617</v>
      </c>
      <c r="C1045" s="36"/>
      <c r="D1045" s="36"/>
      <c r="E1045" s="36" t="s">
        <v>22</v>
      </c>
      <c r="F1045" s="38">
        <v>4123664.9999999995</v>
      </c>
      <c r="G1045" s="36" t="s">
        <v>8</v>
      </c>
      <c r="H1045" s="36" t="s">
        <v>8</v>
      </c>
      <c r="I1045" s="36"/>
      <c r="J1045" s="36"/>
    </row>
    <row r="1046" spans="1:10" x14ac:dyDescent="0.25">
      <c r="A1046" s="36">
        <v>1873</v>
      </c>
      <c r="B1046" s="37">
        <v>43647</v>
      </c>
      <c r="C1046" s="36"/>
      <c r="D1046" s="36"/>
      <c r="E1046" s="36" t="s">
        <v>22</v>
      </c>
      <c r="F1046" s="38">
        <v>4123664.9999999995</v>
      </c>
      <c r="G1046" s="36" t="s">
        <v>8</v>
      </c>
      <c r="H1046" s="36" t="s">
        <v>8</v>
      </c>
      <c r="I1046" s="36"/>
      <c r="J1046" s="36"/>
    </row>
    <row r="1047" spans="1:10" x14ac:dyDescent="0.25">
      <c r="A1047" s="36">
        <v>1873</v>
      </c>
      <c r="B1047" s="37">
        <v>43678</v>
      </c>
      <c r="C1047" s="36"/>
      <c r="D1047" s="36"/>
      <c r="E1047" s="36" t="s">
        <v>22</v>
      </c>
      <c r="F1047" s="38">
        <v>4123664.9999999995</v>
      </c>
      <c r="G1047" s="36" t="s">
        <v>8</v>
      </c>
      <c r="H1047" s="36" t="s">
        <v>8</v>
      </c>
      <c r="I1047" s="36"/>
      <c r="J1047" s="36"/>
    </row>
    <row r="1048" spans="1:10" x14ac:dyDescent="0.25">
      <c r="A1048" s="36">
        <v>1873</v>
      </c>
      <c r="B1048" s="37">
        <v>43466</v>
      </c>
      <c r="C1048" s="36"/>
      <c r="D1048" s="36"/>
      <c r="E1048" s="36" t="s">
        <v>68</v>
      </c>
      <c r="F1048" s="38">
        <v>4123666.6694999998</v>
      </c>
      <c r="G1048" s="36" t="s">
        <v>8</v>
      </c>
      <c r="H1048" s="36" t="s">
        <v>8</v>
      </c>
      <c r="I1048" s="36"/>
      <c r="J1048" s="36"/>
    </row>
    <row r="1049" spans="1:10" x14ac:dyDescent="0.25">
      <c r="A1049" s="36">
        <v>1873</v>
      </c>
      <c r="B1049" s="37">
        <v>43497</v>
      </c>
      <c r="C1049" s="36"/>
      <c r="D1049" s="36"/>
      <c r="E1049" s="36" t="s">
        <v>68</v>
      </c>
      <c r="F1049" s="38">
        <v>4123666.6694999998</v>
      </c>
      <c r="G1049" s="36" t="s">
        <v>8</v>
      </c>
      <c r="H1049" s="36" t="s">
        <v>8</v>
      </c>
      <c r="I1049" s="36"/>
      <c r="J1049" s="36"/>
    </row>
    <row r="1050" spans="1:10" x14ac:dyDescent="0.25">
      <c r="A1050" s="36">
        <v>1874</v>
      </c>
      <c r="B1050" s="37">
        <v>43466</v>
      </c>
      <c r="C1050" s="36"/>
      <c r="D1050" s="36"/>
      <c r="E1050" s="36" t="s">
        <v>69</v>
      </c>
      <c r="F1050" s="38">
        <v>10415999.475</v>
      </c>
      <c r="G1050" s="36" t="s">
        <v>8</v>
      </c>
      <c r="H1050" s="36" t="s">
        <v>8</v>
      </c>
      <c r="I1050" s="36"/>
      <c r="J1050" s="36"/>
    </row>
    <row r="1051" spans="1:10" x14ac:dyDescent="0.25">
      <c r="A1051" s="36">
        <v>1874</v>
      </c>
      <c r="B1051" s="37">
        <v>43497</v>
      </c>
      <c r="C1051" s="36"/>
      <c r="D1051" s="36"/>
      <c r="E1051" s="36" t="s">
        <v>69</v>
      </c>
      <c r="F1051" s="38">
        <v>10415999.475</v>
      </c>
      <c r="G1051" s="36" t="s">
        <v>8</v>
      </c>
      <c r="H1051" s="36" t="s">
        <v>8</v>
      </c>
      <c r="I1051" s="36"/>
      <c r="J1051" s="36"/>
    </row>
    <row r="1052" spans="1:10" x14ac:dyDescent="0.25">
      <c r="A1052" s="36">
        <v>1874</v>
      </c>
      <c r="B1052" s="37">
        <v>43525</v>
      </c>
      <c r="C1052" s="36"/>
      <c r="D1052" s="36"/>
      <c r="E1052" s="36" t="s">
        <v>69</v>
      </c>
      <c r="F1052" s="38">
        <v>10415999.475</v>
      </c>
      <c r="G1052" s="36" t="s">
        <v>8</v>
      </c>
      <c r="H1052" s="36" t="s">
        <v>8</v>
      </c>
      <c r="I1052" s="36"/>
      <c r="J1052" s="36"/>
    </row>
    <row r="1053" spans="1:10" x14ac:dyDescent="0.25">
      <c r="A1053" s="36">
        <v>1874</v>
      </c>
      <c r="B1053" s="37">
        <v>43556</v>
      </c>
      <c r="C1053" s="36"/>
      <c r="D1053" s="36"/>
      <c r="E1053" s="36" t="s">
        <v>69</v>
      </c>
      <c r="F1053" s="38">
        <v>10415999.475</v>
      </c>
      <c r="G1053" s="36" t="s">
        <v>8</v>
      </c>
      <c r="H1053" s="36" t="s">
        <v>8</v>
      </c>
      <c r="I1053" s="36"/>
      <c r="J1053" s="36"/>
    </row>
    <row r="1054" spans="1:10" x14ac:dyDescent="0.25">
      <c r="A1054" s="36">
        <v>1874</v>
      </c>
      <c r="B1054" s="37">
        <v>43586</v>
      </c>
      <c r="C1054" s="36"/>
      <c r="D1054" s="36"/>
      <c r="E1054" s="36" t="s">
        <v>69</v>
      </c>
      <c r="F1054" s="38">
        <v>10415999.475</v>
      </c>
      <c r="G1054" s="36" t="s">
        <v>8</v>
      </c>
      <c r="H1054" s="36" t="s">
        <v>8</v>
      </c>
      <c r="I1054" s="36"/>
      <c r="J1054" s="36"/>
    </row>
    <row r="1055" spans="1:10" x14ac:dyDescent="0.25">
      <c r="A1055" s="36">
        <v>1874</v>
      </c>
      <c r="B1055" s="37">
        <v>43617</v>
      </c>
      <c r="C1055" s="36"/>
      <c r="D1055" s="36"/>
      <c r="E1055" s="36" t="s">
        <v>69</v>
      </c>
      <c r="F1055" s="38">
        <v>10415999.475</v>
      </c>
      <c r="G1055" s="36" t="s">
        <v>8</v>
      </c>
      <c r="H1055" s="36" t="s">
        <v>8</v>
      </c>
      <c r="I1055" s="36"/>
      <c r="J1055" s="36"/>
    </row>
    <row r="1056" spans="1:10" x14ac:dyDescent="0.25">
      <c r="A1056" s="36">
        <v>1874</v>
      </c>
      <c r="B1056" s="37">
        <v>43647</v>
      </c>
      <c r="C1056" s="36"/>
      <c r="D1056" s="36"/>
      <c r="E1056" s="36" t="s">
        <v>69</v>
      </c>
      <c r="F1056" s="38">
        <v>10415999.475</v>
      </c>
      <c r="G1056" s="36" t="s">
        <v>8</v>
      </c>
      <c r="H1056" s="36" t="s">
        <v>8</v>
      </c>
      <c r="I1056" s="36"/>
      <c r="J1056" s="36"/>
    </row>
    <row r="1057" spans="1:10" x14ac:dyDescent="0.25">
      <c r="A1057" s="36">
        <v>1874</v>
      </c>
      <c r="B1057" s="37">
        <v>43678</v>
      </c>
      <c r="C1057" s="36"/>
      <c r="D1057" s="36"/>
      <c r="E1057" s="36" t="s">
        <v>69</v>
      </c>
      <c r="F1057" s="38">
        <v>10415999.475</v>
      </c>
      <c r="G1057" s="36" t="s">
        <v>8</v>
      </c>
      <c r="H1057" s="36" t="s">
        <v>8</v>
      </c>
      <c r="I1057" s="36"/>
      <c r="J1057" s="36"/>
    </row>
    <row r="1058" spans="1:10" x14ac:dyDescent="0.25">
      <c r="A1058" s="36">
        <v>1874</v>
      </c>
      <c r="B1058" s="37">
        <v>43709</v>
      </c>
      <c r="C1058" s="36"/>
      <c r="D1058" s="36"/>
      <c r="E1058" s="36" t="s">
        <v>69</v>
      </c>
      <c r="F1058" s="38">
        <v>10415999.475</v>
      </c>
      <c r="G1058" s="36" t="s">
        <v>8</v>
      </c>
      <c r="H1058" s="36" t="s">
        <v>8</v>
      </c>
      <c r="I1058" s="36"/>
      <c r="J1058" s="36"/>
    </row>
    <row r="1059" spans="1:10" x14ac:dyDescent="0.25">
      <c r="A1059" s="36">
        <v>1874</v>
      </c>
      <c r="B1059" s="37">
        <v>43739</v>
      </c>
      <c r="C1059" s="36"/>
      <c r="D1059" s="36"/>
      <c r="E1059" s="36" t="s">
        <v>69</v>
      </c>
      <c r="F1059" s="38">
        <v>10415999.475</v>
      </c>
      <c r="G1059" s="36" t="s">
        <v>8</v>
      </c>
      <c r="H1059" s="36" t="s">
        <v>8</v>
      </c>
      <c r="I1059" s="36"/>
      <c r="J1059" s="36"/>
    </row>
    <row r="1060" spans="1:10" x14ac:dyDescent="0.25">
      <c r="A1060" s="36">
        <v>1874</v>
      </c>
      <c r="B1060" s="37">
        <v>43466</v>
      </c>
      <c r="C1060" s="36"/>
      <c r="D1060" s="36"/>
      <c r="E1060" s="36" t="s">
        <v>70</v>
      </c>
      <c r="F1060" s="38">
        <v>7207200</v>
      </c>
      <c r="G1060" s="36" t="s">
        <v>8</v>
      </c>
      <c r="H1060" s="36" t="s">
        <v>8</v>
      </c>
      <c r="I1060" s="36"/>
      <c r="J1060" s="36"/>
    </row>
    <row r="1061" spans="1:10" x14ac:dyDescent="0.25">
      <c r="A1061" s="36">
        <v>1874</v>
      </c>
      <c r="B1061" s="37">
        <v>43497</v>
      </c>
      <c r="C1061" s="36"/>
      <c r="D1061" s="36"/>
      <c r="E1061" s="36" t="s">
        <v>70</v>
      </c>
      <c r="F1061" s="38">
        <v>7207200</v>
      </c>
      <c r="G1061" s="36" t="s">
        <v>8</v>
      </c>
      <c r="H1061" s="36" t="s">
        <v>8</v>
      </c>
      <c r="I1061" s="36"/>
      <c r="J1061" s="36"/>
    </row>
    <row r="1062" spans="1:10" x14ac:dyDescent="0.25">
      <c r="A1062" s="36">
        <v>1874</v>
      </c>
      <c r="B1062" s="37">
        <v>43525</v>
      </c>
      <c r="C1062" s="36"/>
      <c r="D1062" s="36"/>
      <c r="E1062" s="36" t="s">
        <v>70</v>
      </c>
      <c r="F1062" s="38">
        <v>7207200</v>
      </c>
      <c r="G1062" s="36" t="s">
        <v>8</v>
      </c>
      <c r="H1062" s="36" t="s">
        <v>8</v>
      </c>
      <c r="I1062" s="36"/>
      <c r="J1062" s="36"/>
    </row>
    <row r="1063" spans="1:10" x14ac:dyDescent="0.25">
      <c r="A1063" s="36">
        <v>1874</v>
      </c>
      <c r="B1063" s="37">
        <v>43556</v>
      </c>
      <c r="C1063" s="36"/>
      <c r="D1063" s="36"/>
      <c r="E1063" s="36" t="s">
        <v>70</v>
      </c>
      <c r="F1063" s="38">
        <v>7207200</v>
      </c>
      <c r="G1063" s="36" t="s">
        <v>8</v>
      </c>
      <c r="H1063" s="36" t="s">
        <v>8</v>
      </c>
      <c r="I1063" s="36"/>
      <c r="J1063" s="36"/>
    </row>
    <row r="1064" spans="1:10" x14ac:dyDescent="0.25">
      <c r="A1064" s="36">
        <v>1874</v>
      </c>
      <c r="B1064" s="37">
        <v>43586</v>
      </c>
      <c r="C1064" s="36"/>
      <c r="D1064" s="36"/>
      <c r="E1064" s="36" t="s">
        <v>70</v>
      </c>
      <c r="F1064" s="38">
        <v>7207200</v>
      </c>
      <c r="G1064" s="36" t="s">
        <v>8</v>
      </c>
      <c r="H1064" s="36" t="s">
        <v>8</v>
      </c>
      <c r="I1064" s="36"/>
      <c r="J1064" s="36"/>
    </row>
    <row r="1065" spans="1:10" x14ac:dyDescent="0.25">
      <c r="A1065" s="36">
        <v>1874</v>
      </c>
      <c r="B1065" s="37">
        <v>43617</v>
      </c>
      <c r="C1065" s="36"/>
      <c r="D1065" s="36"/>
      <c r="E1065" s="36" t="s">
        <v>70</v>
      </c>
      <c r="F1065" s="38">
        <v>7207200</v>
      </c>
      <c r="G1065" s="36" t="s">
        <v>8</v>
      </c>
      <c r="H1065" s="36" t="s">
        <v>8</v>
      </c>
      <c r="I1065" s="36"/>
      <c r="J1065" s="36"/>
    </row>
    <row r="1066" spans="1:10" x14ac:dyDescent="0.25">
      <c r="A1066" s="36">
        <v>1874</v>
      </c>
      <c r="B1066" s="37">
        <v>43647</v>
      </c>
      <c r="C1066" s="36"/>
      <c r="D1066" s="36"/>
      <c r="E1066" s="36" t="s">
        <v>70</v>
      </c>
      <c r="F1066" s="38">
        <v>7207200</v>
      </c>
      <c r="G1066" s="36" t="s">
        <v>8</v>
      </c>
      <c r="H1066" s="36" t="s">
        <v>8</v>
      </c>
      <c r="I1066" s="36"/>
      <c r="J1066" s="36"/>
    </row>
    <row r="1067" spans="1:10" x14ac:dyDescent="0.25">
      <c r="A1067" s="36">
        <v>1874</v>
      </c>
      <c r="B1067" s="37">
        <v>43678</v>
      </c>
      <c r="C1067" s="36"/>
      <c r="D1067" s="36"/>
      <c r="E1067" s="36" t="s">
        <v>70</v>
      </c>
      <c r="F1067" s="38">
        <v>7207200</v>
      </c>
      <c r="G1067" s="36" t="s">
        <v>8</v>
      </c>
      <c r="H1067" s="36" t="s">
        <v>8</v>
      </c>
      <c r="I1067" s="36"/>
      <c r="J1067" s="36"/>
    </row>
    <row r="1068" spans="1:10" x14ac:dyDescent="0.25">
      <c r="A1068" s="36">
        <v>1874</v>
      </c>
      <c r="B1068" s="37">
        <v>43466</v>
      </c>
      <c r="C1068" s="36"/>
      <c r="D1068" s="36"/>
      <c r="E1068" s="36" t="s">
        <v>71</v>
      </c>
      <c r="F1068" s="38">
        <v>4866750</v>
      </c>
      <c r="G1068" s="36" t="s">
        <v>8</v>
      </c>
      <c r="H1068" s="36" t="s">
        <v>8</v>
      </c>
      <c r="I1068" s="36"/>
      <c r="J1068" s="36"/>
    </row>
    <row r="1069" spans="1:10" x14ac:dyDescent="0.25">
      <c r="A1069" s="36">
        <v>1874</v>
      </c>
      <c r="B1069" s="37">
        <v>43497</v>
      </c>
      <c r="C1069" s="36"/>
      <c r="D1069" s="36"/>
      <c r="E1069" s="36" t="s">
        <v>71</v>
      </c>
      <c r="F1069" s="38">
        <v>4866750</v>
      </c>
      <c r="G1069" s="36" t="s">
        <v>8</v>
      </c>
      <c r="H1069" s="36" t="s">
        <v>8</v>
      </c>
      <c r="I1069" s="36"/>
      <c r="J1069" s="36"/>
    </row>
    <row r="1070" spans="1:10" x14ac:dyDescent="0.25">
      <c r="A1070" s="36">
        <v>1874</v>
      </c>
      <c r="B1070" s="37">
        <v>43525</v>
      </c>
      <c r="C1070" s="36"/>
      <c r="D1070" s="36"/>
      <c r="E1070" s="36" t="s">
        <v>71</v>
      </c>
      <c r="F1070" s="38">
        <v>4866750</v>
      </c>
      <c r="G1070" s="36" t="s">
        <v>8</v>
      </c>
      <c r="H1070" s="36" t="s">
        <v>8</v>
      </c>
      <c r="I1070" s="36"/>
      <c r="J1070" s="36"/>
    </row>
    <row r="1071" spans="1:10" x14ac:dyDescent="0.25">
      <c r="A1071" s="36">
        <v>1874</v>
      </c>
      <c r="B1071" s="37">
        <v>43556</v>
      </c>
      <c r="C1071" s="36"/>
      <c r="D1071" s="36"/>
      <c r="E1071" s="36" t="s">
        <v>71</v>
      </c>
      <c r="F1071" s="38">
        <v>4866750</v>
      </c>
      <c r="G1071" s="36" t="s">
        <v>8</v>
      </c>
      <c r="H1071" s="36" t="s">
        <v>8</v>
      </c>
      <c r="I1071" s="36"/>
      <c r="J1071" s="36"/>
    </row>
    <row r="1072" spans="1:10" x14ac:dyDescent="0.25">
      <c r="A1072" s="36">
        <v>1874</v>
      </c>
      <c r="B1072" s="37">
        <v>43586</v>
      </c>
      <c r="C1072" s="36"/>
      <c r="D1072" s="36"/>
      <c r="E1072" s="36" t="s">
        <v>71</v>
      </c>
      <c r="F1072" s="38">
        <v>4866750</v>
      </c>
      <c r="G1072" s="36" t="s">
        <v>8</v>
      </c>
      <c r="H1072" s="36" t="s">
        <v>8</v>
      </c>
      <c r="I1072" s="36"/>
      <c r="J1072" s="36"/>
    </row>
    <row r="1073" spans="1:10" x14ac:dyDescent="0.25">
      <c r="A1073" s="36">
        <v>1874</v>
      </c>
      <c r="B1073" s="37">
        <v>43617</v>
      </c>
      <c r="C1073" s="36"/>
      <c r="D1073" s="36"/>
      <c r="E1073" s="36" t="s">
        <v>71</v>
      </c>
      <c r="F1073" s="38">
        <v>4866750</v>
      </c>
      <c r="G1073" s="36" t="s">
        <v>8</v>
      </c>
      <c r="H1073" s="36" t="s">
        <v>8</v>
      </c>
      <c r="I1073" s="36"/>
      <c r="J1073" s="36"/>
    </row>
    <row r="1074" spans="1:10" x14ac:dyDescent="0.25">
      <c r="A1074" s="36">
        <v>1874</v>
      </c>
      <c r="B1074" s="37">
        <v>43647</v>
      </c>
      <c r="C1074" s="36"/>
      <c r="D1074" s="36"/>
      <c r="E1074" s="36" t="s">
        <v>71</v>
      </c>
      <c r="F1074" s="38">
        <v>4866750</v>
      </c>
      <c r="G1074" s="36" t="s">
        <v>8</v>
      </c>
      <c r="H1074" s="36" t="s">
        <v>8</v>
      </c>
      <c r="I1074" s="36"/>
      <c r="J1074" s="36"/>
    </row>
    <row r="1075" spans="1:10" x14ac:dyDescent="0.25">
      <c r="A1075" s="36">
        <v>1874</v>
      </c>
      <c r="B1075" s="37">
        <v>43678</v>
      </c>
      <c r="C1075" s="36"/>
      <c r="D1075" s="36"/>
      <c r="E1075" s="36" t="s">
        <v>71</v>
      </c>
      <c r="F1075" s="38">
        <v>4866750</v>
      </c>
      <c r="G1075" s="36" t="s">
        <v>8</v>
      </c>
      <c r="H1075" s="36" t="s">
        <v>8</v>
      </c>
      <c r="I1075" s="36"/>
      <c r="J1075" s="36"/>
    </row>
    <row r="1076" spans="1:10" x14ac:dyDescent="0.25">
      <c r="A1076" s="36">
        <v>1874</v>
      </c>
      <c r="B1076" s="37">
        <v>43466</v>
      </c>
      <c r="C1076" s="36"/>
      <c r="D1076" s="36"/>
      <c r="E1076" s="36" t="s">
        <v>72</v>
      </c>
      <c r="F1076" s="38">
        <v>3916091.0564999999</v>
      </c>
      <c r="G1076" s="36" t="s">
        <v>8</v>
      </c>
      <c r="H1076" s="36" t="s">
        <v>8</v>
      </c>
      <c r="I1076" s="36"/>
      <c r="J1076" s="36"/>
    </row>
    <row r="1077" spans="1:10" x14ac:dyDescent="0.25">
      <c r="A1077" s="36">
        <v>1874</v>
      </c>
      <c r="B1077" s="37">
        <v>43497</v>
      </c>
      <c r="C1077" s="36"/>
      <c r="D1077" s="36"/>
      <c r="E1077" s="36" t="s">
        <v>72</v>
      </c>
      <c r="F1077" s="38">
        <v>3916091.0564999999</v>
      </c>
      <c r="G1077" s="36" t="s">
        <v>8</v>
      </c>
      <c r="H1077" s="36" t="s">
        <v>8</v>
      </c>
      <c r="I1077" s="36"/>
      <c r="J1077" s="36"/>
    </row>
    <row r="1078" spans="1:10" x14ac:dyDescent="0.25">
      <c r="A1078" s="36">
        <v>1874</v>
      </c>
      <c r="B1078" s="37">
        <v>43525</v>
      </c>
      <c r="C1078" s="36"/>
      <c r="D1078" s="36"/>
      <c r="E1078" s="36" t="s">
        <v>72</v>
      </c>
      <c r="F1078" s="38">
        <v>3916091.0564999999</v>
      </c>
      <c r="G1078" s="36" t="s">
        <v>8</v>
      </c>
      <c r="H1078" s="36" t="s">
        <v>8</v>
      </c>
      <c r="I1078" s="36"/>
      <c r="J1078" s="36"/>
    </row>
    <row r="1079" spans="1:10" x14ac:dyDescent="0.25">
      <c r="A1079" s="36">
        <v>1874</v>
      </c>
      <c r="B1079" s="37">
        <v>43556</v>
      </c>
      <c r="C1079" s="36"/>
      <c r="D1079" s="36"/>
      <c r="E1079" s="36" t="s">
        <v>72</v>
      </c>
      <c r="F1079" s="38">
        <v>3916091.0564999999</v>
      </c>
      <c r="G1079" s="36" t="s">
        <v>8</v>
      </c>
      <c r="H1079" s="36" t="s">
        <v>8</v>
      </c>
      <c r="I1079" s="36"/>
      <c r="J1079" s="36"/>
    </row>
    <row r="1080" spans="1:10" x14ac:dyDescent="0.25">
      <c r="A1080" s="36">
        <v>1874</v>
      </c>
      <c r="B1080" s="37">
        <v>43586</v>
      </c>
      <c r="C1080" s="36"/>
      <c r="D1080" s="36"/>
      <c r="E1080" s="36" t="s">
        <v>72</v>
      </c>
      <c r="F1080" s="38">
        <v>3916091.0564999999</v>
      </c>
      <c r="G1080" s="36" t="s">
        <v>8</v>
      </c>
      <c r="H1080" s="36" t="s">
        <v>8</v>
      </c>
      <c r="I1080" s="36"/>
      <c r="J1080" s="36"/>
    </row>
    <row r="1081" spans="1:10" x14ac:dyDescent="0.25">
      <c r="A1081" s="36">
        <v>1874</v>
      </c>
      <c r="B1081" s="37">
        <v>43617</v>
      </c>
      <c r="C1081" s="36"/>
      <c r="D1081" s="36"/>
      <c r="E1081" s="36" t="s">
        <v>72</v>
      </c>
      <c r="F1081" s="38">
        <v>3916091.0564999999</v>
      </c>
      <c r="G1081" s="36" t="s">
        <v>8</v>
      </c>
      <c r="H1081" s="36" t="s">
        <v>8</v>
      </c>
      <c r="I1081" s="36"/>
      <c r="J1081" s="36"/>
    </row>
    <row r="1082" spans="1:10" x14ac:dyDescent="0.25">
      <c r="A1082" s="36">
        <v>1874</v>
      </c>
      <c r="B1082" s="37">
        <v>43647</v>
      </c>
      <c r="C1082" s="36"/>
      <c r="D1082" s="36"/>
      <c r="E1082" s="36" t="s">
        <v>72</v>
      </c>
      <c r="F1082" s="38">
        <v>3916091.0564999999</v>
      </c>
      <c r="G1082" s="36" t="s">
        <v>8</v>
      </c>
      <c r="H1082" s="36" t="s">
        <v>8</v>
      </c>
      <c r="I1082" s="36"/>
      <c r="J1082" s="36"/>
    </row>
    <row r="1083" spans="1:10" x14ac:dyDescent="0.25">
      <c r="A1083" s="36">
        <v>1874</v>
      </c>
      <c r="B1083" s="37">
        <v>43678</v>
      </c>
      <c r="C1083" s="36"/>
      <c r="D1083" s="36"/>
      <c r="E1083" s="36" t="s">
        <v>72</v>
      </c>
      <c r="F1083" s="38">
        <v>3916091.0564999999</v>
      </c>
      <c r="G1083" s="36" t="s">
        <v>8</v>
      </c>
      <c r="H1083" s="36" t="s">
        <v>8</v>
      </c>
      <c r="I1083" s="36"/>
      <c r="J1083" s="36"/>
    </row>
    <row r="1084" spans="1:10" x14ac:dyDescent="0.25">
      <c r="A1084" s="36">
        <v>1874</v>
      </c>
      <c r="B1084" s="37">
        <v>43709</v>
      </c>
      <c r="C1084" s="36"/>
      <c r="D1084" s="36"/>
      <c r="E1084" s="36" t="s">
        <v>72</v>
      </c>
      <c r="F1084" s="38">
        <v>3916091.0564999999</v>
      </c>
      <c r="G1084" s="36" t="s">
        <v>8</v>
      </c>
      <c r="H1084" s="36" t="s">
        <v>8</v>
      </c>
      <c r="I1084" s="36"/>
      <c r="J1084" s="36"/>
    </row>
    <row r="1085" spans="1:10" x14ac:dyDescent="0.25">
      <c r="A1085" s="36">
        <v>1874</v>
      </c>
      <c r="B1085" s="37">
        <v>43739</v>
      </c>
      <c r="C1085" s="36"/>
      <c r="D1085" s="36"/>
      <c r="E1085" s="36" t="s">
        <v>72</v>
      </c>
      <c r="F1085" s="38">
        <v>3916091.0564999999</v>
      </c>
      <c r="G1085" s="36" t="s">
        <v>8</v>
      </c>
      <c r="H1085" s="36" t="s">
        <v>8</v>
      </c>
      <c r="I1085" s="36"/>
      <c r="J1085" s="36"/>
    </row>
    <row r="1086" spans="1:10" x14ac:dyDescent="0.25">
      <c r="A1086" s="36">
        <v>1861</v>
      </c>
      <c r="B1086" s="37">
        <v>43466</v>
      </c>
      <c r="C1086" s="36"/>
      <c r="D1086" s="36"/>
      <c r="E1086" s="36" t="s">
        <v>7</v>
      </c>
      <c r="F1086" s="38">
        <v>6263286.4602000006</v>
      </c>
      <c r="G1086" s="36" t="s">
        <v>8</v>
      </c>
      <c r="H1086" s="36" t="s">
        <v>8</v>
      </c>
      <c r="I1086" s="36"/>
      <c r="J1086" s="36"/>
    </row>
    <row r="1087" spans="1:10" x14ac:dyDescent="0.25">
      <c r="A1087" s="36">
        <v>1861</v>
      </c>
      <c r="B1087" s="37">
        <v>43497</v>
      </c>
      <c r="C1087" s="36"/>
      <c r="D1087" s="36"/>
      <c r="E1087" s="36" t="s">
        <v>7</v>
      </c>
      <c r="F1087" s="38">
        <v>6263286.4602000006</v>
      </c>
      <c r="G1087" s="36" t="s">
        <v>8</v>
      </c>
      <c r="H1087" s="36" t="s">
        <v>8</v>
      </c>
      <c r="I1087" s="36"/>
      <c r="J1087" s="36"/>
    </row>
    <row r="1088" spans="1:10" x14ac:dyDescent="0.25">
      <c r="A1088" s="36">
        <v>1861</v>
      </c>
      <c r="B1088" s="37">
        <v>43525</v>
      </c>
      <c r="C1088" s="36"/>
      <c r="D1088" s="36"/>
      <c r="E1088" s="36" t="s">
        <v>7</v>
      </c>
      <c r="F1088" s="38">
        <v>6263286.4602000006</v>
      </c>
      <c r="G1088" s="36" t="s">
        <v>8</v>
      </c>
      <c r="H1088" s="36" t="s">
        <v>8</v>
      </c>
      <c r="I1088" s="36"/>
      <c r="J1088" s="36"/>
    </row>
    <row r="1089" spans="1:10" x14ac:dyDescent="0.25">
      <c r="A1089" s="36">
        <v>1861</v>
      </c>
      <c r="B1089" s="37">
        <v>43556</v>
      </c>
      <c r="C1089" s="36"/>
      <c r="D1089" s="36"/>
      <c r="E1089" s="36" t="s">
        <v>7</v>
      </c>
      <c r="F1089" s="38">
        <v>6263286.4602000006</v>
      </c>
      <c r="G1089" s="36" t="s">
        <v>8</v>
      </c>
      <c r="H1089" s="36" t="s">
        <v>8</v>
      </c>
      <c r="I1089" s="36"/>
      <c r="J1089" s="36"/>
    </row>
    <row r="1090" spans="1:10" x14ac:dyDescent="0.25">
      <c r="A1090" s="36">
        <v>1861</v>
      </c>
      <c r="B1090" s="37">
        <v>43586</v>
      </c>
      <c r="C1090" s="36"/>
      <c r="D1090" s="36"/>
      <c r="E1090" s="36" t="s">
        <v>7</v>
      </c>
      <c r="F1090" s="38">
        <v>6263286.4602000006</v>
      </c>
      <c r="G1090" s="36" t="s">
        <v>8</v>
      </c>
      <c r="H1090" s="36" t="s">
        <v>8</v>
      </c>
      <c r="I1090" s="36"/>
      <c r="J1090" s="36"/>
    </row>
    <row r="1091" spans="1:10" x14ac:dyDescent="0.25">
      <c r="A1091" s="36">
        <v>1861</v>
      </c>
      <c r="B1091" s="37">
        <v>43617</v>
      </c>
      <c r="C1091" s="36"/>
      <c r="D1091" s="36"/>
      <c r="E1091" s="36" t="s">
        <v>7</v>
      </c>
      <c r="F1091" s="38">
        <v>6263286.4602000006</v>
      </c>
      <c r="G1091" s="36" t="s">
        <v>8</v>
      </c>
      <c r="H1091" s="36" t="s">
        <v>8</v>
      </c>
      <c r="I1091" s="36"/>
      <c r="J1091" s="36"/>
    </row>
    <row r="1092" spans="1:10" x14ac:dyDescent="0.25">
      <c r="A1092" s="36">
        <v>1861</v>
      </c>
      <c r="B1092" s="37">
        <v>43647</v>
      </c>
      <c r="C1092" s="36"/>
      <c r="D1092" s="36"/>
      <c r="E1092" s="36" t="s">
        <v>7</v>
      </c>
      <c r="F1092" s="38">
        <v>6263286.4602000006</v>
      </c>
      <c r="G1092" s="36" t="s">
        <v>8</v>
      </c>
      <c r="H1092" s="36" t="s">
        <v>8</v>
      </c>
      <c r="I1092" s="36"/>
      <c r="J1092" s="36"/>
    </row>
    <row r="1093" spans="1:10" x14ac:dyDescent="0.25">
      <c r="A1093" s="36">
        <v>1861</v>
      </c>
      <c r="B1093" s="37">
        <v>43678</v>
      </c>
      <c r="C1093" s="36"/>
      <c r="D1093" s="36"/>
      <c r="E1093" s="36" t="s">
        <v>7</v>
      </c>
      <c r="F1093" s="38">
        <v>6263286.4602000006</v>
      </c>
      <c r="G1093" s="36" t="s">
        <v>8</v>
      </c>
      <c r="H1093" s="36" t="s">
        <v>8</v>
      </c>
      <c r="I1093" s="36"/>
      <c r="J1093" s="36"/>
    </row>
    <row r="1094" spans="1:10" x14ac:dyDescent="0.25">
      <c r="A1094" s="36">
        <v>1861</v>
      </c>
      <c r="B1094" s="37">
        <v>43709</v>
      </c>
      <c r="C1094" s="36"/>
      <c r="D1094" s="36"/>
      <c r="E1094" s="36" t="s">
        <v>7</v>
      </c>
      <c r="F1094" s="38">
        <v>6263286.4602000006</v>
      </c>
      <c r="G1094" s="36" t="s">
        <v>8</v>
      </c>
      <c r="H1094" s="36" t="s">
        <v>8</v>
      </c>
      <c r="I1094" s="36"/>
      <c r="J1094" s="36"/>
    </row>
    <row r="1095" spans="1:10" x14ac:dyDescent="0.25">
      <c r="A1095" s="36">
        <v>1861</v>
      </c>
      <c r="B1095" s="37">
        <v>43739</v>
      </c>
      <c r="C1095" s="36"/>
      <c r="D1095" s="36"/>
      <c r="E1095" s="36" t="s">
        <v>7</v>
      </c>
      <c r="F1095" s="38">
        <v>6263286.4602000006</v>
      </c>
      <c r="G1095" s="36" t="s">
        <v>8</v>
      </c>
      <c r="H1095" s="36" t="s">
        <v>8</v>
      </c>
      <c r="I1095" s="36"/>
      <c r="J1095" s="36"/>
    </row>
    <row r="1096" spans="1:10" x14ac:dyDescent="0.25">
      <c r="A1096" s="36">
        <v>1861</v>
      </c>
      <c r="B1096" s="37">
        <v>43770</v>
      </c>
      <c r="C1096" s="36"/>
      <c r="D1096" s="36"/>
      <c r="E1096" s="36" t="s">
        <v>7</v>
      </c>
      <c r="F1096" s="38">
        <v>6263286.4602000006</v>
      </c>
      <c r="G1096" s="36" t="s">
        <v>8</v>
      </c>
      <c r="H1096" s="36" t="s">
        <v>8</v>
      </c>
      <c r="I1096" s="36"/>
      <c r="J1096" s="36"/>
    </row>
    <row r="1097" spans="1:10" x14ac:dyDescent="0.25">
      <c r="A1097" s="36">
        <v>1861</v>
      </c>
      <c r="B1097" s="37">
        <v>43800</v>
      </c>
      <c r="C1097" s="36"/>
      <c r="D1097" s="36"/>
      <c r="E1097" s="36" t="s">
        <v>7</v>
      </c>
      <c r="F1097" s="38">
        <v>6263286.4602000006</v>
      </c>
      <c r="G1097" s="36" t="s">
        <v>8</v>
      </c>
      <c r="H1097" s="36" t="s">
        <v>8</v>
      </c>
      <c r="I1097" s="36"/>
      <c r="J1097" s="36"/>
    </row>
    <row r="1098" spans="1:10" x14ac:dyDescent="0.25">
      <c r="A1098" s="36">
        <v>1861</v>
      </c>
      <c r="B1098" s="37">
        <v>43831</v>
      </c>
      <c r="C1098" s="36"/>
      <c r="D1098" s="36"/>
      <c r="E1098" s="36" t="s">
        <v>7</v>
      </c>
      <c r="F1098" s="38">
        <v>6263286.4602000006</v>
      </c>
      <c r="G1098" s="36" t="s">
        <v>8</v>
      </c>
      <c r="H1098" s="36" t="s">
        <v>8</v>
      </c>
      <c r="I1098" s="36"/>
      <c r="J1098" s="36"/>
    </row>
    <row r="1099" spans="1:10" x14ac:dyDescent="0.25">
      <c r="A1099" s="36">
        <v>1861</v>
      </c>
      <c r="B1099" s="37">
        <v>43862</v>
      </c>
      <c r="C1099" s="36"/>
      <c r="D1099" s="36"/>
      <c r="E1099" s="36" t="s">
        <v>7</v>
      </c>
      <c r="F1099" s="38">
        <v>6263286.4602000006</v>
      </c>
      <c r="G1099" s="36" t="s">
        <v>8</v>
      </c>
      <c r="H1099" s="36" t="s">
        <v>8</v>
      </c>
      <c r="I1099" s="36"/>
      <c r="J1099" s="36"/>
    </row>
    <row r="1100" spans="1:10" x14ac:dyDescent="0.25">
      <c r="A1100" s="36">
        <v>1861</v>
      </c>
      <c r="B1100" s="37">
        <v>43891</v>
      </c>
      <c r="C1100" s="36"/>
      <c r="D1100" s="36"/>
      <c r="E1100" s="36" t="s">
        <v>7</v>
      </c>
      <c r="F1100" s="38">
        <v>6263286.4602000006</v>
      </c>
      <c r="G1100" s="36" t="s">
        <v>8</v>
      </c>
      <c r="H1100" s="36" t="s">
        <v>8</v>
      </c>
      <c r="I1100" s="36"/>
      <c r="J1100" s="36"/>
    </row>
    <row r="1101" spans="1:10" x14ac:dyDescent="0.25">
      <c r="A1101" s="36">
        <v>1861</v>
      </c>
      <c r="B1101" s="37">
        <v>43922</v>
      </c>
      <c r="C1101" s="36"/>
      <c r="D1101" s="36"/>
      <c r="E1101" s="36" t="s">
        <v>7</v>
      </c>
      <c r="F1101" s="38">
        <v>6263286.4602000006</v>
      </c>
      <c r="G1101" s="36" t="s">
        <v>8</v>
      </c>
      <c r="H1101" s="36" t="s">
        <v>8</v>
      </c>
      <c r="I1101" s="36"/>
      <c r="J1101" s="36"/>
    </row>
    <row r="1102" spans="1:10" x14ac:dyDescent="0.25">
      <c r="A1102" s="36">
        <v>1861</v>
      </c>
      <c r="B1102" s="37">
        <v>43952</v>
      </c>
      <c r="C1102" s="36"/>
      <c r="D1102" s="36"/>
      <c r="E1102" s="36" t="s">
        <v>7</v>
      </c>
      <c r="F1102" s="38">
        <v>6263286.4602000006</v>
      </c>
      <c r="G1102" s="36" t="s">
        <v>8</v>
      </c>
      <c r="H1102" s="36" t="s">
        <v>8</v>
      </c>
      <c r="I1102" s="36"/>
      <c r="J1102" s="36"/>
    </row>
    <row r="1103" spans="1:10" x14ac:dyDescent="0.25">
      <c r="A1103" s="36">
        <v>1861</v>
      </c>
      <c r="B1103" s="37">
        <v>43983</v>
      </c>
      <c r="C1103" s="36"/>
      <c r="D1103" s="36"/>
      <c r="E1103" s="36" t="s">
        <v>7</v>
      </c>
      <c r="F1103" s="38">
        <v>6263286.4602000006</v>
      </c>
      <c r="G1103" s="36" t="s">
        <v>8</v>
      </c>
      <c r="H1103" s="36" t="s">
        <v>8</v>
      </c>
      <c r="I1103" s="36"/>
      <c r="J1103" s="36"/>
    </row>
    <row r="1104" spans="1:10" x14ac:dyDescent="0.25">
      <c r="A1104" s="36">
        <v>1861</v>
      </c>
      <c r="B1104" s="37">
        <v>44013</v>
      </c>
      <c r="C1104" s="36"/>
      <c r="D1104" s="36"/>
      <c r="E1104" s="36" t="s">
        <v>7</v>
      </c>
      <c r="F1104" s="38">
        <v>6263286.4602000006</v>
      </c>
      <c r="G1104" s="36" t="s">
        <v>8</v>
      </c>
      <c r="H1104" s="36" t="s">
        <v>8</v>
      </c>
      <c r="I1104" s="36"/>
      <c r="J1104" s="36"/>
    </row>
    <row r="1105" spans="1:10" x14ac:dyDescent="0.25">
      <c r="A1105" s="36">
        <v>1861</v>
      </c>
      <c r="B1105" s="37">
        <v>44044</v>
      </c>
      <c r="C1105" s="36"/>
      <c r="D1105" s="36"/>
      <c r="E1105" s="36" t="s">
        <v>7</v>
      </c>
      <c r="F1105" s="38">
        <v>6263286.4602000006</v>
      </c>
      <c r="G1105" s="36" t="s">
        <v>8</v>
      </c>
      <c r="H1105" s="36" t="s">
        <v>8</v>
      </c>
      <c r="I1105" s="36"/>
      <c r="J1105" s="36"/>
    </row>
    <row r="1106" spans="1:10" x14ac:dyDescent="0.25">
      <c r="A1106" s="36">
        <v>1861</v>
      </c>
      <c r="B1106" s="37">
        <v>43466</v>
      </c>
      <c r="C1106" s="36"/>
      <c r="D1106" s="36"/>
      <c r="E1106" s="36" t="s">
        <v>73</v>
      </c>
      <c r="F1106" s="38">
        <v>4120018.875</v>
      </c>
      <c r="G1106" s="36" t="s">
        <v>8</v>
      </c>
      <c r="H1106" s="36" t="s">
        <v>8</v>
      </c>
      <c r="I1106" s="36"/>
      <c r="J1106" s="36"/>
    </row>
    <row r="1107" spans="1:10" x14ac:dyDescent="0.25">
      <c r="A1107" s="36">
        <v>1861</v>
      </c>
      <c r="B1107" s="37">
        <v>43497</v>
      </c>
      <c r="C1107" s="36"/>
      <c r="D1107" s="36"/>
      <c r="E1107" s="36" t="s">
        <v>73</v>
      </c>
      <c r="F1107" s="38">
        <v>4120018.875</v>
      </c>
      <c r="G1107" s="36" t="s">
        <v>8</v>
      </c>
      <c r="H1107" s="36" t="s">
        <v>8</v>
      </c>
      <c r="I1107" s="36"/>
      <c r="J1107" s="36"/>
    </row>
    <row r="1108" spans="1:10" x14ac:dyDescent="0.25">
      <c r="A1108" s="36">
        <v>1861</v>
      </c>
      <c r="B1108" s="37">
        <v>43525</v>
      </c>
      <c r="C1108" s="36"/>
      <c r="D1108" s="36"/>
      <c r="E1108" s="36" t="s">
        <v>73</v>
      </c>
      <c r="F1108" s="38">
        <v>4120018.875</v>
      </c>
      <c r="G1108" s="36" t="s">
        <v>8</v>
      </c>
      <c r="H1108" s="36" t="s">
        <v>8</v>
      </c>
      <c r="I1108" s="36"/>
      <c r="J1108" s="36"/>
    </row>
    <row r="1109" spans="1:10" x14ac:dyDescent="0.25">
      <c r="A1109" s="36">
        <v>1861</v>
      </c>
      <c r="B1109" s="37">
        <v>43556</v>
      </c>
      <c r="C1109" s="36"/>
      <c r="D1109" s="36"/>
      <c r="E1109" s="36" t="s">
        <v>73</v>
      </c>
      <c r="F1109" s="38">
        <v>4120018.875</v>
      </c>
      <c r="G1109" s="36" t="s">
        <v>8</v>
      </c>
      <c r="H1109" s="36" t="s">
        <v>8</v>
      </c>
      <c r="I1109" s="36"/>
      <c r="J1109" s="36"/>
    </row>
    <row r="1110" spans="1:10" x14ac:dyDescent="0.25">
      <c r="A1110" s="36">
        <v>1861</v>
      </c>
      <c r="B1110" s="37">
        <v>43586</v>
      </c>
      <c r="C1110" s="36"/>
      <c r="D1110" s="36"/>
      <c r="E1110" s="36" t="s">
        <v>73</v>
      </c>
      <c r="F1110" s="38">
        <v>4120018.875</v>
      </c>
      <c r="G1110" s="36" t="s">
        <v>8</v>
      </c>
      <c r="H1110" s="36" t="s">
        <v>8</v>
      </c>
      <c r="I1110" s="36"/>
      <c r="J1110" s="36"/>
    </row>
    <row r="1111" spans="1:10" x14ac:dyDescent="0.25">
      <c r="A1111" s="36">
        <v>1861</v>
      </c>
      <c r="B1111" s="37">
        <v>43617</v>
      </c>
      <c r="C1111" s="36"/>
      <c r="D1111" s="36"/>
      <c r="E1111" s="36" t="s">
        <v>73</v>
      </c>
      <c r="F1111" s="38">
        <v>4120018.875</v>
      </c>
      <c r="G1111" s="36" t="s">
        <v>8</v>
      </c>
      <c r="H1111" s="36" t="s">
        <v>8</v>
      </c>
      <c r="I1111" s="36"/>
      <c r="J1111" s="36"/>
    </row>
    <row r="1112" spans="1:10" x14ac:dyDescent="0.25">
      <c r="A1112" s="36">
        <v>1861</v>
      </c>
      <c r="B1112" s="37">
        <v>43647</v>
      </c>
      <c r="C1112" s="36"/>
      <c r="D1112" s="36"/>
      <c r="E1112" s="36" t="s">
        <v>73</v>
      </c>
      <c r="F1112" s="38">
        <v>4120018.875</v>
      </c>
      <c r="G1112" s="36" t="s">
        <v>8</v>
      </c>
      <c r="H1112" s="36" t="s">
        <v>8</v>
      </c>
      <c r="I1112" s="36"/>
      <c r="J1112" s="36"/>
    </row>
    <row r="1113" spans="1:10" x14ac:dyDescent="0.25">
      <c r="A1113" s="36">
        <v>1861</v>
      </c>
      <c r="B1113" s="37">
        <v>43678</v>
      </c>
      <c r="C1113" s="36"/>
      <c r="D1113" s="36"/>
      <c r="E1113" s="36" t="s">
        <v>73</v>
      </c>
      <c r="F1113" s="38">
        <v>4120018.875</v>
      </c>
      <c r="G1113" s="36" t="s">
        <v>8</v>
      </c>
      <c r="H1113" s="36" t="s">
        <v>8</v>
      </c>
      <c r="I1113" s="36"/>
      <c r="J1113" s="36"/>
    </row>
    <row r="1114" spans="1:10" x14ac:dyDescent="0.25">
      <c r="A1114" s="36">
        <v>1861</v>
      </c>
      <c r="B1114" s="37">
        <v>43709</v>
      </c>
      <c r="C1114" s="36"/>
      <c r="D1114" s="36"/>
      <c r="E1114" s="36" t="s">
        <v>73</v>
      </c>
      <c r="F1114" s="38">
        <v>4120018.875</v>
      </c>
      <c r="G1114" s="36" t="s">
        <v>8</v>
      </c>
      <c r="H1114" s="36" t="s">
        <v>8</v>
      </c>
      <c r="I1114" s="36"/>
      <c r="J1114" s="36"/>
    </row>
    <row r="1115" spans="1:10" x14ac:dyDescent="0.25">
      <c r="A1115" s="36">
        <v>1861</v>
      </c>
      <c r="B1115" s="37">
        <v>43739</v>
      </c>
      <c r="C1115" s="36"/>
      <c r="D1115" s="36"/>
      <c r="E1115" s="36" t="s">
        <v>73</v>
      </c>
      <c r="F1115" s="38">
        <v>4120018.875</v>
      </c>
      <c r="G1115" s="36" t="s">
        <v>8</v>
      </c>
      <c r="H1115" s="36" t="s">
        <v>8</v>
      </c>
      <c r="I1115" s="36"/>
      <c r="J1115" s="36"/>
    </row>
    <row r="1116" spans="1:10" x14ac:dyDescent="0.25">
      <c r="A1116" s="36">
        <v>1861</v>
      </c>
      <c r="B1116" s="37">
        <v>43770</v>
      </c>
      <c r="C1116" s="36"/>
      <c r="D1116" s="36"/>
      <c r="E1116" s="36" t="s">
        <v>73</v>
      </c>
      <c r="F1116" s="38">
        <v>4120018.875</v>
      </c>
      <c r="G1116" s="36" t="s">
        <v>8</v>
      </c>
      <c r="H1116" s="36" t="s">
        <v>8</v>
      </c>
      <c r="I1116" s="36"/>
      <c r="J1116" s="36"/>
    </row>
    <row r="1117" spans="1:10" x14ac:dyDescent="0.25">
      <c r="A1117" s="36">
        <v>1861</v>
      </c>
      <c r="B1117" s="37">
        <v>43800</v>
      </c>
      <c r="C1117" s="36"/>
      <c r="D1117" s="36"/>
      <c r="E1117" s="36" t="s">
        <v>73</v>
      </c>
      <c r="F1117" s="38">
        <v>4120018.875</v>
      </c>
      <c r="G1117" s="36" t="s">
        <v>8</v>
      </c>
      <c r="H1117" s="36" t="s">
        <v>8</v>
      </c>
      <c r="I1117" s="36"/>
      <c r="J1117" s="36"/>
    </row>
    <row r="1118" spans="1:10" x14ac:dyDescent="0.25">
      <c r="A1118" s="36">
        <v>1861</v>
      </c>
      <c r="B1118" s="37">
        <v>43831</v>
      </c>
      <c r="C1118" s="36"/>
      <c r="D1118" s="36"/>
      <c r="E1118" s="36" t="s">
        <v>73</v>
      </c>
      <c r="F1118" s="38">
        <v>4120018.875</v>
      </c>
      <c r="G1118" s="36" t="s">
        <v>8</v>
      </c>
      <c r="H1118" s="36" t="s">
        <v>8</v>
      </c>
      <c r="I1118" s="36"/>
      <c r="J1118" s="36"/>
    </row>
    <row r="1119" spans="1:10" x14ac:dyDescent="0.25">
      <c r="A1119" s="36">
        <v>1861</v>
      </c>
      <c r="B1119" s="37">
        <v>43862</v>
      </c>
      <c r="C1119" s="36"/>
      <c r="D1119" s="36"/>
      <c r="E1119" s="36" t="s">
        <v>73</v>
      </c>
      <c r="F1119" s="38">
        <v>4120018.875</v>
      </c>
      <c r="G1119" s="36" t="s">
        <v>8</v>
      </c>
      <c r="H1119" s="36" t="s">
        <v>8</v>
      </c>
      <c r="I1119" s="36"/>
      <c r="J1119" s="36"/>
    </row>
    <row r="1120" spans="1:10" x14ac:dyDescent="0.25">
      <c r="A1120" s="36">
        <v>1861</v>
      </c>
      <c r="B1120" s="37">
        <v>43891</v>
      </c>
      <c r="C1120" s="36"/>
      <c r="D1120" s="36"/>
      <c r="E1120" s="36" t="s">
        <v>73</v>
      </c>
      <c r="F1120" s="38">
        <v>4120018.875</v>
      </c>
      <c r="G1120" s="36" t="s">
        <v>8</v>
      </c>
      <c r="H1120" s="36" t="s">
        <v>8</v>
      </c>
      <c r="I1120" s="36"/>
      <c r="J1120" s="36"/>
    </row>
    <row r="1121" spans="1:10" x14ac:dyDescent="0.25">
      <c r="A1121" s="36">
        <v>1861</v>
      </c>
      <c r="B1121" s="37">
        <v>43922</v>
      </c>
      <c r="C1121" s="36"/>
      <c r="D1121" s="36"/>
      <c r="E1121" s="36" t="s">
        <v>73</v>
      </c>
      <c r="F1121" s="38">
        <v>4120018.875</v>
      </c>
      <c r="G1121" s="36" t="s">
        <v>8</v>
      </c>
      <c r="H1121" s="36" t="s">
        <v>8</v>
      </c>
      <c r="I1121" s="36"/>
      <c r="J1121" s="36"/>
    </row>
    <row r="1122" spans="1:10" x14ac:dyDescent="0.25">
      <c r="A1122" s="36">
        <v>1861</v>
      </c>
      <c r="B1122" s="37">
        <v>43952</v>
      </c>
      <c r="C1122" s="36"/>
      <c r="D1122" s="36"/>
      <c r="E1122" s="36" t="s">
        <v>73</v>
      </c>
      <c r="F1122" s="38">
        <v>4120018.875</v>
      </c>
      <c r="G1122" s="36" t="s">
        <v>8</v>
      </c>
      <c r="H1122" s="36" t="s">
        <v>8</v>
      </c>
      <c r="I1122" s="36"/>
      <c r="J1122" s="36"/>
    </row>
    <row r="1123" spans="1:10" x14ac:dyDescent="0.25">
      <c r="A1123" s="36">
        <v>1861</v>
      </c>
      <c r="B1123" s="37">
        <v>43983</v>
      </c>
      <c r="C1123" s="36"/>
      <c r="D1123" s="36"/>
      <c r="E1123" s="36" t="s">
        <v>73</v>
      </c>
      <c r="F1123" s="38">
        <v>4120018.875</v>
      </c>
      <c r="G1123" s="36" t="s">
        <v>8</v>
      </c>
      <c r="H1123" s="36" t="s">
        <v>8</v>
      </c>
      <c r="I1123" s="36"/>
      <c r="J1123" s="36"/>
    </row>
    <row r="1124" spans="1:10" x14ac:dyDescent="0.25">
      <c r="A1124" s="36">
        <v>1861</v>
      </c>
      <c r="B1124" s="37">
        <v>44013</v>
      </c>
      <c r="C1124" s="36"/>
      <c r="D1124" s="36"/>
      <c r="E1124" s="36" t="s">
        <v>73</v>
      </c>
      <c r="F1124" s="38">
        <v>4120018.875</v>
      </c>
      <c r="G1124" s="36" t="s">
        <v>8</v>
      </c>
      <c r="H1124" s="36" t="s">
        <v>8</v>
      </c>
      <c r="I1124" s="36"/>
      <c r="J1124" s="36"/>
    </row>
    <row r="1125" spans="1:10" x14ac:dyDescent="0.25">
      <c r="A1125" s="36">
        <v>1861</v>
      </c>
      <c r="B1125" s="37">
        <v>44044</v>
      </c>
      <c r="C1125" s="36"/>
      <c r="D1125" s="36"/>
      <c r="E1125" s="36" t="s">
        <v>73</v>
      </c>
      <c r="F1125" s="38">
        <v>4120018.875</v>
      </c>
      <c r="G1125" s="36" t="s">
        <v>8</v>
      </c>
      <c r="H1125" s="36" t="s">
        <v>8</v>
      </c>
      <c r="I1125" s="36"/>
      <c r="J1125" s="36"/>
    </row>
    <row r="1126" spans="1:10" x14ac:dyDescent="0.25">
      <c r="A1126" s="36">
        <v>1861</v>
      </c>
      <c r="B1126" s="37">
        <v>44075</v>
      </c>
      <c r="C1126" s="36"/>
      <c r="D1126" s="36"/>
      <c r="E1126" s="36" t="s">
        <v>73</v>
      </c>
      <c r="F1126" s="38">
        <v>4120018.875</v>
      </c>
      <c r="G1126" s="36" t="s">
        <v>8</v>
      </c>
      <c r="H1126" s="36" t="s">
        <v>8</v>
      </c>
      <c r="I1126" s="36"/>
      <c r="J1126" s="36"/>
    </row>
    <row r="1127" spans="1:10" x14ac:dyDescent="0.25">
      <c r="A1127" s="36">
        <v>1861</v>
      </c>
      <c r="B1127" s="37">
        <v>44105</v>
      </c>
      <c r="C1127" s="36"/>
      <c r="D1127" s="36"/>
      <c r="E1127" s="36" t="s">
        <v>73</v>
      </c>
      <c r="F1127" s="38">
        <v>4120018.875</v>
      </c>
      <c r="G1127" s="36" t="s">
        <v>8</v>
      </c>
      <c r="H1127" s="36" t="s">
        <v>8</v>
      </c>
      <c r="I1127" s="36"/>
      <c r="J1127" s="36"/>
    </row>
    <row r="1128" spans="1:10" x14ac:dyDescent="0.25">
      <c r="A1128" s="36">
        <v>1861</v>
      </c>
      <c r="B1128" s="37">
        <v>44136</v>
      </c>
      <c r="C1128" s="36"/>
      <c r="D1128" s="36"/>
      <c r="E1128" s="36" t="s">
        <v>73</v>
      </c>
      <c r="F1128" s="38">
        <v>4120018.875</v>
      </c>
      <c r="G1128" s="36" t="s">
        <v>8</v>
      </c>
      <c r="H1128" s="36" t="s">
        <v>8</v>
      </c>
      <c r="I1128" s="36"/>
      <c r="J1128" s="36"/>
    </row>
    <row r="1129" spans="1:10" x14ac:dyDescent="0.25">
      <c r="A1129" s="36">
        <v>1881</v>
      </c>
      <c r="B1129" s="37">
        <v>43466</v>
      </c>
      <c r="C1129" s="36"/>
      <c r="D1129" s="36"/>
      <c r="E1129" s="36" t="s">
        <v>41</v>
      </c>
      <c r="F1129" s="38">
        <v>6549894.2250000006</v>
      </c>
      <c r="G1129" s="36" t="s">
        <v>8</v>
      </c>
      <c r="H1129" s="36" t="s">
        <v>8</v>
      </c>
      <c r="I1129" s="36"/>
      <c r="J1129" s="36"/>
    </row>
    <row r="1130" spans="1:10" x14ac:dyDescent="0.25">
      <c r="A1130" s="36">
        <v>1881</v>
      </c>
      <c r="B1130" s="37">
        <v>43497</v>
      </c>
      <c r="C1130" s="36"/>
      <c r="D1130" s="36"/>
      <c r="E1130" s="36" t="s">
        <v>41</v>
      </c>
      <c r="F1130" s="38">
        <v>6549894.2250000006</v>
      </c>
      <c r="G1130" s="36" t="s">
        <v>8</v>
      </c>
      <c r="H1130" s="36" t="s">
        <v>8</v>
      </c>
      <c r="I1130" s="36"/>
      <c r="J1130" s="36"/>
    </row>
    <row r="1131" spans="1:10" x14ac:dyDescent="0.25">
      <c r="A1131" s="36">
        <v>1881</v>
      </c>
      <c r="B1131" s="37">
        <v>43525</v>
      </c>
      <c r="C1131" s="36"/>
      <c r="D1131" s="36"/>
      <c r="E1131" s="36" t="s">
        <v>41</v>
      </c>
      <c r="F1131" s="38">
        <v>6549894.2250000006</v>
      </c>
      <c r="G1131" s="36" t="s">
        <v>8</v>
      </c>
      <c r="H1131" s="36" t="s">
        <v>8</v>
      </c>
      <c r="I1131" s="36"/>
      <c r="J1131" s="36"/>
    </row>
    <row r="1132" spans="1:10" x14ac:dyDescent="0.25">
      <c r="A1132" s="36">
        <v>1881</v>
      </c>
      <c r="B1132" s="37">
        <v>43556</v>
      </c>
      <c r="C1132" s="36"/>
      <c r="D1132" s="36"/>
      <c r="E1132" s="36" t="s">
        <v>41</v>
      </c>
      <c r="F1132" s="38">
        <v>6549894.2250000006</v>
      </c>
      <c r="G1132" s="36" t="s">
        <v>8</v>
      </c>
      <c r="H1132" s="36" t="s">
        <v>8</v>
      </c>
      <c r="I1132" s="36"/>
      <c r="J1132" s="36"/>
    </row>
    <row r="1133" spans="1:10" x14ac:dyDescent="0.25">
      <c r="A1133" s="36">
        <v>1881</v>
      </c>
      <c r="B1133" s="37">
        <v>43586</v>
      </c>
      <c r="C1133" s="36"/>
      <c r="D1133" s="36"/>
      <c r="E1133" s="36" t="s">
        <v>41</v>
      </c>
      <c r="F1133" s="38">
        <v>6549894.2250000006</v>
      </c>
      <c r="G1133" s="36" t="s">
        <v>8</v>
      </c>
      <c r="H1133" s="36" t="s">
        <v>8</v>
      </c>
      <c r="I1133" s="36"/>
      <c r="J1133" s="36"/>
    </row>
    <row r="1134" spans="1:10" x14ac:dyDescent="0.25">
      <c r="A1134" s="36">
        <v>1881</v>
      </c>
      <c r="B1134" s="37">
        <v>43617</v>
      </c>
      <c r="C1134" s="36"/>
      <c r="D1134" s="36"/>
      <c r="E1134" s="36" t="s">
        <v>41</v>
      </c>
      <c r="F1134" s="38">
        <v>6549894.2250000006</v>
      </c>
      <c r="G1134" s="36" t="s">
        <v>8</v>
      </c>
      <c r="H1134" s="36" t="s">
        <v>8</v>
      </c>
      <c r="I1134" s="36"/>
      <c r="J1134" s="36"/>
    </row>
    <row r="1135" spans="1:10" x14ac:dyDescent="0.25">
      <c r="A1135" s="36">
        <v>1881</v>
      </c>
      <c r="B1135" s="37">
        <v>43647</v>
      </c>
      <c r="C1135" s="36"/>
      <c r="D1135" s="36"/>
      <c r="E1135" s="36" t="s">
        <v>41</v>
      </c>
      <c r="F1135" s="38">
        <v>6549894.2250000006</v>
      </c>
      <c r="G1135" s="36" t="s">
        <v>8</v>
      </c>
      <c r="H1135" s="36" t="s">
        <v>8</v>
      </c>
      <c r="I1135" s="36"/>
      <c r="J1135" s="36"/>
    </row>
    <row r="1136" spans="1:10" x14ac:dyDescent="0.25">
      <c r="A1136" s="36">
        <v>1881</v>
      </c>
      <c r="B1136" s="37">
        <v>43678</v>
      </c>
      <c r="C1136" s="36"/>
      <c r="D1136" s="36"/>
      <c r="E1136" s="36" t="s">
        <v>41</v>
      </c>
      <c r="F1136" s="38">
        <v>6549894.2250000006</v>
      </c>
      <c r="G1136" s="36" t="s">
        <v>8</v>
      </c>
      <c r="H1136" s="36" t="s">
        <v>8</v>
      </c>
      <c r="I1136" s="36"/>
      <c r="J1136" s="36"/>
    </row>
    <row r="1137" spans="1:10" x14ac:dyDescent="0.25">
      <c r="A1137" s="36">
        <v>1881</v>
      </c>
      <c r="B1137" s="37">
        <v>43709</v>
      </c>
      <c r="C1137" s="36"/>
      <c r="D1137" s="36"/>
      <c r="E1137" s="36" t="s">
        <v>41</v>
      </c>
      <c r="F1137" s="38">
        <v>6549894.2250000006</v>
      </c>
      <c r="G1137" s="36" t="s">
        <v>8</v>
      </c>
      <c r="H1137" s="36" t="s">
        <v>8</v>
      </c>
      <c r="I1137" s="36"/>
      <c r="J1137" s="36"/>
    </row>
    <row r="1138" spans="1:10" x14ac:dyDescent="0.25">
      <c r="A1138" s="36">
        <v>1881</v>
      </c>
      <c r="B1138" s="37">
        <v>43739</v>
      </c>
      <c r="C1138" s="36"/>
      <c r="D1138" s="36"/>
      <c r="E1138" s="36" t="s">
        <v>41</v>
      </c>
      <c r="F1138" s="38">
        <v>6549894.2250000006</v>
      </c>
      <c r="G1138" s="36" t="s">
        <v>8</v>
      </c>
      <c r="H1138" s="36" t="s">
        <v>8</v>
      </c>
      <c r="I1138" s="36"/>
      <c r="J1138" s="36"/>
    </row>
    <row r="1139" spans="1:10" x14ac:dyDescent="0.25">
      <c r="A1139" s="36">
        <v>1881</v>
      </c>
      <c r="B1139" s="37">
        <v>43770</v>
      </c>
      <c r="C1139" s="36"/>
      <c r="D1139" s="36"/>
      <c r="E1139" s="36" t="s">
        <v>41</v>
      </c>
      <c r="F1139" s="38">
        <v>6549894.2250000006</v>
      </c>
      <c r="G1139" s="36" t="s">
        <v>8</v>
      </c>
      <c r="H1139" s="36" t="s">
        <v>8</v>
      </c>
      <c r="I1139" s="36"/>
      <c r="J1139" s="36"/>
    </row>
    <row r="1140" spans="1:10" x14ac:dyDescent="0.25">
      <c r="A1140" s="36">
        <v>1881</v>
      </c>
      <c r="B1140" s="37">
        <v>43800</v>
      </c>
      <c r="C1140" s="36"/>
      <c r="D1140" s="36"/>
      <c r="E1140" s="36" t="s">
        <v>41</v>
      </c>
      <c r="F1140" s="38">
        <v>6549894.2250000006</v>
      </c>
      <c r="G1140" s="36" t="s">
        <v>8</v>
      </c>
      <c r="H1140" s="36" t="s">
        <v>8</v>
      </c>
      <c r="I1140" s="36"/>
      <c r="J1140" s="36"/>
    </row>
    <row r="1141" spans="1:10" x14ac:dyDescent="0.25">
      <c r="A1141" s="36">
        <v>1881</v>
      </c>
      <c r="B1141" s="37">
        <v>43831</v>
      </c>
      <c r="C1141" s="36"/>
      <c r="D1141" s="36"/>
      <c r="E1141" s="36" t="s">
        <v>41</v>
      </c>
      <c r="F1141" s="38">
        <v>6549894.2250000006</v>
      </c>
      <c r="G1141" s="36" t="s">
        <v>8</v>
      </c>
      <c r="H1141" s="36" t="s">
        <v>8</v>
      </c>
      <c r="I1141" s="36"/>
      <c r="J1141" s="36"/>
    </row>
    <row r="1142" spans="1:10" x14ac:dyDescent="0.25">
      <c r="A1142" s="36">
        <v>1881</v>
      </c>
      <c r="B1142" s="37">
        <v>43862</v>
      </c>
      <c r="C1142" s="36"/>
      <c r="D1142" s="36"/>
      <c r="E1142" s="36" t="s">
        <v>41</v>
      </c>
      <c r="F1142" s="38">
        <v>6549894.2250000006</v>
      </c>
      <c r="G1142" s="36" t="s">
        <v>8</v>
      </c>
      <c r="H1142" s="36" t="s">
        <v>8</v>
      </c>
      <c r="I1142" s="36"/>
      <c r="J1142" s="36"/>
    </row>
    <row r="1143" spans="1:10" x14ac:dyDescent="0.25">
      <c r="A1143" s="36">
        <v>1881</v>
      </c>
      <c r="B1143" s="37">
        <v>43891</v>
      </c>
      <c r="C1143" s="36"/>
      <c r="D1143" s="36"/>
      <c r="E1143" s="36" t="s">
        <v>41</v>
      </c>
      <c r="F1143" s="38">
        <v>6549894.2250000006</v>
      </c>
      <c r="G1143" s="36" t="s">
        <v>8</v>
      </c>
      <c r="H1143" s="36" t="s">
        <v>8</v>
      </c>
      <c r="I1143" s="36"/>
      <c r="J1143" s="36"/>
    </row>
    <row r="1144" spans="1:10" x14ac:dyDescent="0.25">
      <c r="A1144" s="36">
        <v>1881</v>
      </c>
      <c r="B1144" s="37">
        <v>43922</v>
      </c>
      <c r="C1144" s="36"/>
      <c r="D1144" s="36"/>
      <c r="E1144" s="36" t="s">
        <v>41</v>
      </c>
      <c r="F1144" s="38">
        <v>6549894.2250000006</v>
      </c>
      <c r="G1144" s="36" t="s">
        <v>8</v>
      </c>
      <c r="H1144" s="36" t="s">
        <v>8</v>
      </c>
      <c r="I1144" s="36"/>
      <c r="J1144" s="36"/>
    </row>
    <row r="1145" spans="1:10" x14ac:dyDescent="0.25">
      <c r="A1145" s="36">
        <v>1881</v>
      </c>
      <c r="B1145" s="37">
        <v>43952</v>
      </c>
      <c r="C1145" s="36"/>
      <c r="D1145" s="36"/>
      <c r="E1145" s="36" t="s">
        <v>41</v>
      </c>
      <c r="F1145" s="38">
        <v>6549894.2250000006</v>
      </c>
      <c r="G1145" s="36" t="s">
        <v>8</v>
      </c>
      <c r="H1145" s="36" t="s">
        <v>8</v>
      </c>
      <c r="I1145" s="36"/>
      <c r="J1145" s="36"/>
    </row>
    <row r="1146" spans="1:10" x14ac:dyDescent="0.25">
      <c r="A1146" s="36">
        <v>1881</v>
      </c>
      <c r="B1146" s="37">
        <v>43983</v>
      </c>
      <c r="C1146" s="36"/>
      <c r="D1146" s="36"/>
      <c r="E1146" s="36" t="s">
        <v>41</v>
      </c>
      <c r="F1146" s="38">
        <v>6549894.2250000006</v>
      </c>
      <c r="G1146" s="36" t="s">
        <v>8</v>
      </c>
      <c r="H1146" s="36" t="s">
        <v>8</v>
      </c>
      <c r="I1146" s="36"/>
      <c r="J1146" s="36"/>
    </row>
    <row r="1147" spans="1:10" x14ac:dyDescent="0.25">
      <c r="A1147" s="36">
        <v>1881</v>
      </c>
      <c r="B1147" s="37">
        <v>44013</v>
      </c>
      <c r="C1147" s="36"/>
      <c r="D1147" s="36"/>
      <c r="E1147" s="36" t="s">
        <v>41</v>
      </c>
      <c r="F1147" s="38">
        <v>6549894.2250000006</v>
      </c>
      <c r="G1147" s="36" t="s">
        <v>8</v>
      </c>
      <c r="H1147" s="36" t="s">
        <v>8</v>
      </c>
      <c r="I1147" s="36"/>
      <c r="J1147" s="36"/>
    </row>
    <row r="1148" spans="1:10" x14ac:dyDescent="0.25">
      <c r="A1148" s="36">
        <v>1881</v>
      </c>
      <c r="B1148" s="37">
        <v>43466</v>
      </c>
      <c r="C1148" s="36"/>
      <c r="D1148" s="36"/>
      <c r="E1148" s="36" t="s">
        <v>74</v>
      </c>
      <c r="F1148" s="38">
        <v>3981406.9049999998</v>
      </c>
      <c r="G1148" s="36" t="s">
        <v>8</v>
      </c>
      <c r="H1148" s="36" t="s">
        <v>8</v>
      </c>
      <c r="I1148" s="36"/>
      <c r="J1148" s="36"/>
    </row>
    <row r="1149" spans="1:10" x14ac:dyDescent="0.25">
      <c r="A1149" s="36">
        <v>1881</v>
      </c>
      <c r="B1149" s="37">
        <v>43497</v>
      </c>
      <c r="C1149" s="36"/>
      <c r="D1149" s="36"/>
      <c r="E1149" s="36" t="s">
        <v>74</v>
      </c>
      <c r="F1149" s="38">
        <v>3981406.9049999998</v>
      </c>
      <c r="G1149" s="36" t="s">
        <v>8</v>
      </c>
      <c r="H1149" s="36" t="s">
        <v>8</v>
      </c>
      <c r="I1149" s="36"/>
      <c r="J1149" s="36"/>
    </row>
    <row r="1150" spans="1:10" x14ac:dyDescent="0.25">
      <c r="A1150" s="36">
        <v>1881</v>
      </c>
      <c r="B1150" s="37">
        <v>43525</v>
      </c>
      <c r="C1150" s="36"/>
      <c r="D1150" s="36"/>
      <c r="E1150" s="36" t="s">
        <v>74</v>
      </c>
      <c r="F1150" s="38">
        <v>3981406.9049999998</v>
      </c>
      <c r="G1150" s="36" t="s">
        <v>8</v>
      </c>
      <c r="H1150" s="36" t="s">
        <v>8</v>
      </c>
      <c r="I1150" s="36"/>
      <c r="J1150" s="36"/>
    </row>
    <row r="1151" spans="1:10" x14ac:dyDescent="0.25">
      <c r="A1151" s="36">
        <v>1881</v>
      </c>
      <c r="B1151" s="37">
        <v>43556</v>
      </c>
      <c r="C1151" s="36"/>
      <c r="D1151" s="36"/>
      <c r="E1151" s="36" t="s">
        <v>74</v>
      </c>
      <c r="F1151" s="38">
        <v>3981406.9049999998</v>
      </c>
      <c r="G1151" s="36" t="s">
        <v>8</v>
      </c>
      <c r="H1151" s="36" t="s">
        <v>8</v>
      </c>
      <c r="I1151" s="36"/>
      <c r="J1151" s="36"/>
    </row>
    <row r="1152" spans="1:10" x14ac:dyDescent="0.25">
      <c r="A1152" s="36">
        <v>1881</v>
      </c>
      <c r="B1152" s="37">
        <v>43586</v>
      </c>
      <c r="C1152" s="36"/>
      <c r="D1152" s="36"/>
      <c r="E1152" s="36" t="s">
        <v>74</v>
      </c>
      <c r="F1152" s="38">
        <v>3981406.9049999998</v>
      </c>
      <c r="G1152" s="36" t="s">
        <v>8</v>
      </c>
      <c r="H1152" s="36" t="s">
        <v>8</v>
      </c>
      <c r="I1152" s="36"/>
      <c r="J1152" s="36"/>
    </row>
    <row r="1153" spans="1:10" x14ac:dyDescent="0.25">
      <c r="A1153" s="36">
        <v>1881</v>
      </c>
      <c r="B1153" s="37">
        <v>43617</v>
      </c>
      <c r="C1153" s="36"/>
      <c r="D1153" s="36"/>
      <c r="E1153" s="36" t="s">
        <v>74</v>
      </c>
      <c r="F1153" s="38">
        <v>3981406.9049999998</v>
      </c>
      <c r="G1153" s="36" t="s">
        <v>8</v>
      </c>
      <c r="H1153" s="36" t="s">
        <v>8</v>
      </c>
      <c r="I1153" s="36"/>
      <c r="J1153" s="36"/>
    </row>
    <row r="1154" spans="1:10" x14ac:dyDescent="0.25">
      <c r="A1154" s="36">
        <v>1881</v>
      </c>
      <c r="B1154" s="37">
        <v>43647</v>
      </c>
      <c r="C1154" s="36"/>
      <c r="D1154" s="36"/>
      <c r="E1154" s="36" t="s">
        <v>74</v>
      </c>
      <c r="F1154" s="38">
        <v>3981406.9049999998</v>
      </c>
      <c r="G1154" s="36" t="s">
        <v>8</v>
      </c>
      <c r="H1154" s="36" t="s">
        <v>8</v>
      </c>
      <c r="I1154" s="36"/>
      <c r="J1154" s="36"/>
    </row>
    <row r="1155" spans="1:10" x14ac:dyDescent="0.25">
      <c r="A1155" s="36">
        <v>1881</v>
      </c>
      <c r="B1155" s="37">
        <v>43678</v>
      </c>
      <c r="C1155" s="36"/>
      <c r="D1155" s="36"/>
      <c r="E1155" s="36" t="s">
        <v>74</v>
      </c>
      <c r="F1155" s="38">
        <v>3981406.9049999998</v>
      </c>
      <c r="G1155" s="36" t="s">
        <v>8</v>
      </c>
      <c r="H1155" s="36" t="s">
        <v>8</v>
      </c>
      <c r="I1155" s="36"/>
      <c r="J1155" s="36"/>
    </row>
    <row r="1156" spans="1:10" x14ac:dyDescent="0.25">
      <c r="A1156" s="36">
        <v>1881</v>
      </c>
      <c r="B1156" s="37">
        <v>43709</v>
      </c>
      <c r="C1156" s="36"/>
      <c r="D1156" s="36"/>
      <c r="E1156" s="36" t="s">
        <v>74</v>
      </c>
      <c r="F1156" s="38">
        <v>3981406.9049999998</v>
      </c>
      <c r="G1156" s="36" t="s">
        <v>8</v>
      </c>
      <c r="H1156" s="36" t="s">
        <v>8</v>
      </c>
      <c r="I1156" s="36"/>
      <c r="J1156" s="36"/>
    </row>
    <row r="1157" spans="1:10" x14ac:dyDescent="0.25">
      <c r="A1157" s="36">
        <v>1881</v>
      </c>
      <c r="B1157" s="37">
        <v>43739</v>
      </c>
      <c r="C1157" s="36"/>
      <c r="D1157" s="36"/>
      <c r="E1157" s="36" t="s">
        <v>74</v>
      </c>
      <c r="F1157" s="38">
        <v>3981406.9049999998</v>
      </c>
      <c r="G1157" s="36" t="s">
        <v>8</v>
      </c>
      <c r="H1157" s="36" t="s">
        <v>8</v>
      </c>
      <c r="I1157" s="36"/>
      <c r="J1157" s="36"/>
    </row>
    <row r="1158" spans="1:10" x14ac:dyDescent="0.25">
      <c r="A1158" s="36">
        <v>1881</v>
      </c>
      <c r="B1158" s="37">
        <v>43770</v>
      </c>
      <c r="C1158" s="36"/>
      <c r="D1158" s="36"/>
      <c r="E1158" s="36" t="s">
        <v>74</v>
      </c>
      <c r="F1158" s="38">
        <v>3981406.9049999998</v>
      </c>
      <c r="G1158" s="36" t="s">
        <v>8</v>
      </c>
      <c r="H1158" s="36" t="s">
        <v>8</v>
      </c>
      <c r="I1158" s="36"/>
      <c r="J1158" s="36"/>
    </row>
    <row r="1159" spans="1:10" x14ac:dyDescent="0.25">
      <c r="A1159" s="36">
        <v>1881</v>
      </c>
      <c r="B1159" s="37">
        <v>43800</v>
      </c>
      <c r="C1159" s="36"/>
      <c r="D1159" s="36"/>
      <c r="E1159" s="36" t="s">
        <v>74</v>
      </c>
      <c r="F1159" s="38">
        <v>3981406.9049999998</v>
      </c>
      <c r="G1159" s="36" t="s">
        <v>8</v>
      </c>
      <c r="H1159" s="36" t="s">
        <v>8</v>
      </c>
      <c r="I1159" s="36"/>
      <c r="J1159" s="36"/>
    </row>
    <row r="1160" spans="1:10" x14ac:dyDescent="0.25">
      <c r="A1160" s="36">
        <v>1881</v>
      </c>
      <c r="B1160" s="37">
        <v>43831</v>
      </c>
      <c r="C1160" s="36"/>
      <c r="D1160" s="36"/>
      <c r="E1160" s="36" t="s">
        <v>74</v>
      </c>
      <c r="F1160" s="38">
        <v>3981406.9049999998</v>
      </c>
      <c r="G1160" s="36" t="s">
        <v>8</v>
      </c>
      <c r="H1160" s="36" t="s">
        <v>8</v>
      </c>
      <c r="I1160" s="36"/>
      <c r="J1160" s="36"/>
    </row>
    <row r="1161" spans="1:10" x14ac:dyDescent="0.25">
      <c r="A1161" s="36">
        <v>1881</v>
      </c>
      <c r="B1161" s="37">
        <v>43862</v>
      </c>
      <c r="C1161" s="36"/>
      <c r="D1161" s="36"/>
      <c r="E1161" s="36" t="s">
        <v>74</v>
      </c>
      <c r="F1161" s="38">
        <v>3981406.9049999998</v>
      </c>
      <c r="G1161" s="36" t="s">
        <v>8</v>
      </c>
      <c r="H1161" s="36" t="s">
        <v>8</v>
      </c>
      <c r="I1161" s="36"/>
      <c r="J1161" s="36"/>
    </row>
    <row r="1162" spans="1:10" x14ac:dyDescent="0.25">
      <c r="A1162" s="36">
        <v>1881</v>
      </c>
      <c r="B1162" s="37">
        <v>43891</v>
      </c>
      <c r="C1162" s="36"/>
      <c r="D1162" s="36"/>
      <c r="E1162" s="36" t="s">
        <v>74</v>
      </c>
      <c r="F1162" s="38">
        <v>3981406.9049999998</v>
      </c>
      <c r="G1162" s="36" t="s">
        <v>8</v>
      </c>
      <c r="H1162" s="36" t="s">
        <v>8</v>
      </c>
      <c r="I1162" s="36"/>
      <c r="J1162" s="36"/>
    </row>
    <row r="1163" spans="1:10" x14ac:dyDescent="0.25">
      <c r="A1163" s="36">
        <v>1881</v>
      </c>
      <c r="B1163" s="37">
        <v>43922</v>
      </c>
      <c r="C1163" s="36"/>
      <c r="D1163" s="36"/>
      <c r="E1163" s="36" t="s">
        <v>74</v>
      </c>
      <c r="F1163" s="38">
        <v>3981406.9049999998</v>
      </c>
      <c r="G1163" s="36" t="s">
        <v>8</v>
      </c>
      <c r="H1163" s="36" t="s">
        <v>8</v>
      </c>
      <c r="I1163" s="36"/>
      <c r="J1163" s="36"/>
    </row>
    <row r="1164" spans="1:10" x14ac:dyDescent="0.25">
      <c r="A1164" s="36">
        <v>1881</v>
      </c>
      <c r="B1164" s="37">
        <v>43952</v>
      </c>
      <c r="C1164" s="36"/>
      <c r="D1164" s="36"/>
      <c r="E1164" s="36" t="s">
        <v>74</v>
      </c>
      <c r="F1164" s="38">
        <v>3981406.9049999998</v>
      </c>
      <c r="G1164" s="36" t="s">
        <v>8</v>
      </c>
      <c r="H1164" s="36" t="s">
        <v>8</v>
      </c>
      <c r="I1164" s="36"/>
      <c r="J1164" s="36"/>
    </row>
    <row r="1165" spans="1:10" x14ac:dyDescent="0.25">
      <c r="A1165" s="36">
        <v>1881</v>
      </c>
      <c r="B1165" s="37">
        <v>43983</v>
      </c>
      <c r="C1165" s="36"/>
      <c r="D1165" s="36"/>
      <c r="E1165" s="36" t="s">
        <v>74</v>
      </c>
      <c r="F1165" s="38">
        <v>3981406.9049999998</v>
      </c>
      <c r="G1165" s="36" t="s">
        <v>8</v>
      </c>
      <c r="H1165" s="36" t="s">
        <v>8</v>
      </c>
      <c r="I1165" s="36"/>
      <c r="J1165" s="36"/>
    </row>
    <row r="1166" spans="1:10" x14ac:dyDescent="0.25">
      <c r="A1166" s="36">
        <v>1881</v>
      </c>
      <c r="B1166" s="37">
        <v>44013</v>
      </c>
      <c r="C1166" s="36"/>
      <c r="D1166" s="36"/>
      <c r="E1166" s="36" t="s">
        <v>74</v>
      </c>
      <c r="F1166" s="38">
        <v>3981406.9049999998</v>
      </c>
      <c r="G1166" s="36" t="s">
        <v>8</v>
      </c>
      <c r="H1166" s="36" t="s">
        <v>8</v>
      </c>
      <c r="I1166" s="36"/>
      <c r="J1166" s="36"/>
    </row>
    <row r="1167" spans="1:10" x14ac:dyDescent="0.25">
      <c r="A1167" s="36">
        <v>1880</v>
      </c>
      <c r="B1167" s="37">
        <v>43466</v>
      </c>
      <c r="C1167" s="36"/>
      <c r="D1167" s="36"/>
      <c r="E1167" s="36" t="s">
        <v>7</v>
      </c>
      <c r="F1167" s="38">
        <v>2823017.4132300001</v>
      </c>
      <c r="G1167" s="36" t="s">
        <v>8</v>
      </c>
      <c r="H1167" s="36" t="s">
        <v>8</v>
      </c>
      <c r="I1167" s="36"/>
      <c r="J1167" s="36"/>
    </row>
    <row r="1168" spans="1:10" x14ac:dyDescent="0.25">
      <c r="A1168" s="36">
        <v>1880</v>
      </c>
      <c r="B1168" s="37">
        <v>43497</v>
      </c>
      <c r="C1168" s="36"/>
      <c r="D1168" s="36"/>
      <c r="E1168" s="36" t="s">
        <v>7</v>
      </c>
      <c r="F1168" s="38">
        <v>2823017.4132300001</v>
      </c>
      <c r="G1168" s="36" t="s">
        <v>8</v>
      </c>
      <c r="H1168" s="36" t="s">
        <v>8</v>
      </c>
      <c r="I1168" s="36"/>
      <c r="J1168" s="36"/>
    </row>
    <row r="1169" spans="1:10" x14ac:dyDescent="0.25">
      <c r="A1169" s="36">
        <v>1880</v>
      </c>
      <c r="B1169" s="37">
        <v>43525</v>
      </c>
      <c r="C1169" s="36"/>
      <c r="D1169" s="36"/>
      <c r="E1169" s="36" t="s">
        <v>7</v>
      </c>
      <c r="F1169" s="38">
        <v>2823017.4132300001</v>
      </c>
      <c r="G1169" s="36" t="s">
        <v>8</v>
      </c>
      <c r="H1169" s="36" t="s">
        <v>8</v>
      </c>
      <c r="I1169" s="36"/>
      <c r="J1169" s="36"/>
    </row>
    <row r="1170" spans="1:10" x14ac:dyDescent="0.25">
      <c r="A1170" s="36">
        <v>1880</v>
      </c>
      <c r="B1170" s="37">
        <v>43556</v>
      </c>
      <c r="C1170" s="36"/>
      <c r="D1170" s="36"/>
      <c r="E1170" s="36" t="s">
        <v>7</v>
      </c>
      <c r="F1170" s="38">
        <v>2823017.4132300001</v>
      </c>
      <c r="G1170" s="36" t="s">
        <v>8</v>
      </c>
      <c r="H1170" s="36" t="s">
        <v>8</v>
      </c>
      <c r="I1170" s="36"/>
      <c r="J1170" s="36"/>
    </row>
    <row r="1171" spans="1:10" x14ac:dyDescent="0.25">
      <c r="A1171" s="36">
        <v>1880</v>
      </c>
      <c r="B1171" s="37">
        <v>43466</v>
      </c>
      <c r="C1171" s="36"/>
      <c r="D1171" s="36"/>
      <c r="E1171" s="36" t="s">
        <v>21</v>
      </c>
      <c r="F1171" s="38">
        <v>6088446</v>
      </c>
      <c r="G1171" s="36" t="s">
        <v>8</v>
      </c>
      <c r="H1171" s="36" t="s">
        <v>8</v>
      </c>
      <c r="I1171" s="36"/>
      <c r="J1171" s="36"/>
    </row>
    <row r="1172" spans="1:10" x14ac:dyDescent="0.25">
      <c r="A1172" s="36">
        <v>1880</v>
      </c>
      <c r="B1172" s="37">
        <v>43497</v>
      </c>
      <c r="C1172" s="36"/>
      <c r="D1172" s="36"/>
      <c r="E1172" s="36" t="s">
        <v>21</v>
      </c>
      <c r="F1172" s="38">
        <v>6088446</v>
      </c>
      <c r="G1172" s="36" t="s">
        <v>8</v>
      </c>
      <c r="H1172" s="36" t="s">
        <v>8</v>
      </c>
      <c r="I1172" s="36"/>
      <c r="J1172" s="36"/>
    </row>
    <row r="1173" spans="1:10" x14ac:dyDescent="0.25">
      <c r="A1173" s="36">
        <v>1880</v>
      </c>
      <c r="B1173" s="37">
        <v>43525</v>
      </c>
      <c r="C1173" s="36"/>
      <c r="D1173" s="36"/>
      <c r="E1173" s="36" t="s">
        <v>21</v>
      </c>
      <c r="F1173" s="38">
        <v>6088446</v>
      </c>
      <c r="G1173" s="36" t="s">
        <v>8</v>
      </c>
      <c r="H1173" s="36" t="s">
        <v>8</v>
      </c>
      <c r="I1173" s="36"/>
      <c r="J1173" s="36"/>
    </row>
    <row r="1174" spans="1:10" x14ac:dyDescent="0.25">
      <c r="A1174" s="36">
        <v>1880</v>
      </c>
      <c r="B1174" s="37">
        <v>43556</v>
      </c>
      <c r="C1174" s="36"/>
      <c r="D1174" s="36"/>
      <c r="E1174" s="36" t="s">
        <v>21</v>
      </c>
      <c r="F1174" s="38">
        <v>6088446</v>
      </c>
      <c r="G1174" s="36" t="s">
        <v>8</v>
      </c>
      <c r="H1174" s="36" t="s">
        <v>8</v>
      </c>
      <c r="I1174" s="36"/>
      <c r="J1174" s="36"/>
    </row>
    <row r="1175" spans="1:10" x14ac:dyDescent="0.25">
      <c r="A1175" s="36">
        <v>1880</v>
      </c>
      <c r="B1175" s="37">
        <v>43586</v>
      </c>
      <c r="C1175" s="36"/>
      <c r="D1175" s="36"/>
      <c r="E1175" s="36" t="s">
        <v>21</v>
      </c>
      <c r="F1175" s="38">
        <v>6088446</v>
      </c>
      <c r="G1175" s="36" t="s">
        <v>8</v>
      </c>
      <c r="H1175" s="36" t="s">
        <v>8</v>
      </c>
      <c r="I1175" s="36"/>
      <c r="J1175" s="36"/>
    </row>
    <row r="1176" spans="1:10" x14ac:dyDescent="0.25">
      <c r="A1176" s="36">
        <v>1880</v>
      </c>
      <c r="B1176" s="37">
        <v>43617</v>
      </c>
      <c r="C1176" s="36"/>
      <c r="D1176" s="36"/>
      <c r="E1176" s="36" t="s">
        <v>21</v>
      </c>
      <c r="F1176" s="38">
        <v>6088446</v>
      </c>
      <c r="G1176" s="36" t="s">
        <v>8</v>
      </c>
      <c r="H1176" s="36" t="s">
        <v>8</v>
      </c>
      <c r="I1176" s="36"/>
      <c r="J1176" s="36"/>
    </row>
    <row r="1177" spans="1:10" x14ac:dyDescent="0.25">
      <c r="A1177" s="36">
        <v>1880</v>
      </c>
      <c r="B1177" s="37">
        <v>43466</v>
      </c>
      <c r="C1177" s="36"/>
      <c r="D1177" s="36"/>
      <c r="E1177" s="36" t="s">
        <v>37</v>
      </c>
      <c r="F1177" s="38">
        <v>3965084.6316681607</v>
      </c>
      <c r="G1177" s="36" t="s">
        <v>8</v>
      </c>
      <c r="H1177" s="36" t="s">
        <v>8</v>
      </c>
      <c r="I1177" s="36"/>
      <c r="J1177" s="36"/>
    </row>
    <row r="1178" spans="1:10" x14ac:dyDescent="0.25">
      <c r="A1178" s="36">
        <v>1880</v>
      </c>
      <c r="B1178" s="37">
        <v>43497</v>
      </c>
      <c r="C1178" s="36"/>
      <c r="D1178" s="36"/>
      <c r="E1178" s="36" t="s">
        <v>37</v>
      </c>
      <c r="F1178" s="38">
        <v>3965084.6316681607</v>
      </c>
      <c r="G1178" s="36" t="s">
        <v>8</v>
      </c>
      <c r="H1178" s="36" t="s">
        <v>8</v>
      </c>
      <c r="I1178" s="36"/>
      <c r="J1178" s="36"/>
    </row>
    <row r="1179" spans="1:10" x14ac:dyDescent="0.25">
      <c r="A1179" s="36">
        <v>1880</v>
      </c>
      <c r="B1179" s="37">
        <v>43525</v>
      </c>
      <c r="C1179" s="36"/>
      <c r="D1179" s="36"/>
      <c r="E1179" s="36" t="s">
        <v>37</v>
      </c>
      <c r="F1179" s="38">
        <v>3965084.6316681607</v>
      </c>
      <c r="G1179" s="36" t="s">
        <v>8</v>
      </c>
      <c r="H1179" s="36" t="s">
        <v>8</v>
      </c>
      <c r="I1179" s="36"/>
      <c r="J1179" s="36"/>
    </row>
    <row r="1180" spans="1:10" x14ac:dyDescent="0.25">
      <c r="A1180" s="36">
        <v>1880</v>
      </c>
      <c r="B1180" s="37">
        <v>43556</v>
      </c>
      <c r="C1180" s="36"/>
      <c r="D1180" s="36"/>
      <c r="E1180" s="36" t="s">
        <v>37</v>
      </c>
      <c r="F1180" s="38">
        <v>3965084.6316681607</v>
      </c>
      <c r="G1180" s="36" t="s">
        <v>8</v>
      </c>
      <c r="H1180" s="36" t="s">
        <v>8</v>
      </c>
      <c r="I1180" s="36"/>
      <c r="J1180" s="36"/>
    </row>
    <row r="1181" spans="1:10" x14ac:dyDescent="0.25">
      <c r="A1181" s="36">
        <v>1880</v>
      </c>
      <c r="B1181" s="37">
        <v>43586</v>
      </c>
      <c r="C1181" s="36"/>
      <c r="D1181" s="36"/>
      <c r="E1181" s="36" t="s">
        <v>37</v>
      </c>
      <c r="F1181" s="38">
        <v>3965084.6316681607</v>
      </c>
      <c r="G1181" s="36" t="s">
        <v>8</v>
      </c>
      <c r="H1181" s="36" t="s">
        <v>8</v>
      </c>
      <c r="I1181" s="36"/>
      <c r="J1181" s="36"/>
    </row>
    <row r="1182" spans="1:10" x14ac:dyDescent="0.25">
      <c r="A1182" s="36">
        <v>1880</v>
      </c>
      <c r="B1182" s="37">
        <v>43466</v>
      </c>
      <c r="C1182" s="36"/>
      <c r="D1182" s="36"/>
      <c r="E1182" s="36" t="s">
        <v>27</v>
      </c>
      <c r="F1182" s="38">
        <v>3198581.6105249994</v>
      </c>
      <c r="G1182" s="36" t="s">
        <v>8</v>
      </c>
      <c r="H1182" s="36" t="s">
        <v>8</v>
      </c>
      <c r="I1182" s="36"/>
      <c r="J1182" s="36"/>
    </row>
    <row r="1183" spans="1:10" x14ac:dyDescent="0.25">
      <c r="A1183" s="36">
        <v>1880</v>
      </c>
      <c r="B1183" s="37">
        <v>43497</v>
      </c>
      <c r="C1183" s="36"/>
      <c r="D1183" s="36"/>
      <c r="E1183" s="36" t="s">
        <v>27</v>
      </c>
      <c r="F1183" s="38">
        <v>3198581.6105249994</v>
      </c>
      <c r="G1183" s="36" t="s">
        <v>8</v>
      </c>
      <c r="H1183" s="36" t="s">
        <v>8</v>
      </c>
      <c r="I1183" s="36"/>
      <c r="J1183" s="36"/>
    </row>
    <row r="1184" spans="1:10" x14ac:dyDescent="0.25">
      <c r="A1184" s="36">
        <v>1880</v>
      </c>
      <c r="B1184" s="37">
        <v>43525</v>
      </c>
      <c r="C1184" s="36"/>
      <c r="D1184" s="36"/>
      <c r="E1184" s="36" t="s">
        <v>27</v>
      </c>
      <c r="F1184" s="38">
        <v>3198581.6105249994</v>
      </c>
      <c r="G1184" s="36" t="s">
        <v>8</v>
      </c>
      <c r="H1184" s="36" t="s">
        <v>8</v>
      </c>
      <c r="I1184" s="36"/>
      <c r="J1184" s="36"/>
    </row>
    <row r="1185" spans="1:10" x14ac:dyDescent="0.25">
      <c r="A1185" s="36">
        <v>1880</v>
      </c>
      <c r="B1185" s="37">
        <v>43556</v>
      </c>
      <c r="C1185" s="36"/>
      <c r="D1185" s="36"/>
      <c r="E1185" s="36" t="s">
        <v>27</v>
      </c>
      <c r="F1185" s="38">
        <v>3198581.6105249994</v>
      </c>
      <c r="G1185" s="36" t="s">
        <v>8</v>
      </c>
      <c r="H1185" s="36" t="s">
        <v>8</v>
      </c>
      <c r="I1185" s="36"/>
      <c r="J1185" s="36"/>
    </row>
    <row r="1186" spans="1:10" x14ac:dyDescent="0.25">
      <c r="A1186" s="36">
        <v>1880</v>
      </c>
      <c r="B1186" s="37">
        <v>43466</v>
      </c>
      <c r="C1186" s="36"/>
      <c r="D1186" s="36"/>
      <c r="E1186" s="36" t="s">
        <v>27</v>
      </c>
      <c r="F1186" s="38">
        <v>3427052.1011999999</v>
      </c>
      <c r="G1186" s="36" t="s">
        <v>8</v>
      </c>
      <c r="H1186" s="36" t="s">
        <v>8</v>
      </c>
      <c r="I1186" s="36"/>
      <c r="J1186" s="36"/>
    </row>
    <row r="1187" spans="1:10" x14ac:dyDescent="0.25">
      <c r="A1187" s="36">
        <v>1880</v>
      </c>
      <c r="B1187" s="37">
        <v>43497</v>
      </c>
      <c r="C1187" s="36"/>
      <c r="D1187" s="36"/>
      <c r="E1187" s="36" t="s">
        <v>27</v>
      </c>
      <c r="F1187" s="38">
        <v>3427052.1011999999</v>
      </c>
      <c r="G1187" s="36" t="s">
        <v>8</v>
      </c>
      <c r="H1187" s="36" t="s">
        <v>8</v>
      </c>
      <c r="I1187" s="36"/>
      <c r="J1187" s="36"/>
    </row>
    <row r="1188" spans="1:10" x14ac:dyDescent="0.25">
      <c r="A1188" s="36">
        <v>1877</v>
      </c>
      <c r="B1188" s="37">
        <v>43466</v>
      </c>
      <c r="C1188" s="36"/>
      <c r="D1188" s="36"/>
      <c r="E1188" s="36" t="s">
        <v>9</v>
      </c>
      <c r="F1188" s="38">
        <v>11163096</v>
      </c>
      <c r="G1188" s="36" t="s">
        <v>8</v>
      </c>
      <c r="H1188" s="36" t="s">
        <v>8</v>
      </c>
      <c r="I1188" s="36"/>
      <c r="J1188" s="36"/>
    </row>
    <row r="1189" spans="1:10" x14ac:dyDescent="0.25">
      <c r="A1189" s="36">
        <v>1877</v>
      </c>
      <c r="B1189" s="37">
        <v>43497</v>
      </c>
      <c r="C1189" s="36"/>
      <c r="D1189" s="36"/>
      <c r="E1189" s="36" t="s">
        <v>9</v>
      </c>
      <c r="F1189" s="38">
        <v>11163096</v>
      </c>
      <c r="G1189" s="36" t="s">
        <v>8</v>
      </c>
      <c r="H1189" s="36" t="s">
        <v>8</v>
      </c>
      <c r="I1189" s="36"/>
      <c r="J1189" s="36"/>
    </row>
    <row r="1190" spans="1:10" x14ac:dyDescent="0.25">
      <c r="A1190" s="36">
        <v>1877</v>
      </c>
      <c r="B1190" s="37">
        <v>43525</v>
      </c>
      <c r="C1190" s="36"/>
      <c r="D1190" s="36"/>
      <c r="E1190" s="36" t="s">
        <v>9</v>
      </c>
      <c r="F1190" s="38">
        <v>11163096</v>
      </c>
      <c r="G1190" s="36" t="s">
        <v>8</v>
      </c>
      <c r="H1190" s="36" t="s">
        <v>8</v>
      </c>
      <c r="I1190" s="36"/>
      <c r="J1190" s="36"/>
    </row>
    <row r="1191" spans="1:10" x14ac:dyDescent="0.25">
      <c r="A1191" s="36">
        <v>1877</v>
      </c>
      <c r="B1191" s="37">
        <v>43556</v>
      </c>
      <c r="C1191" s="36"/>
      <c r="D1191" s="36"/>
      <c r="E1191" s="36" t="s">
        <v>9</v>
      </c>
      <c r="F1191" s="38">
        <v>11163096</v>
      </c>
      <c r="G1191" s="36" t="s">
        <v>8</v>
      </c>
      <c r="H1191" s="36" t="s">
        <v>8</v>
      </c>
      <c r="I1191" s="36"/>
      <c r="J1191" s="36"/>
    </row>
    <row r="1192" spans="1:10" x14ac:dyDescent="0.25">
      <c r="A1192" s="36">
        <v>1877</v>
      </c>
      <c r="B1192" s="37">
        <v>43586</v>
      </c>
      <c r="C1192" s="36"/>
      <c r="D1192" s="36"/>
      <c r="E1192" s="36" t="s">
        <v>9</v>
      </c>
      <c r="F1192" s="38">
        <v>11163096</v>
      </c>
      <c r="G1192" s="36" t="s">
        <v>8</v>
      </c>
      <c r="H1192" s="36" t="s">
        <v>8</v>
      </c>
      <c r="I1192" s="36"/>
      <c r="J1192" s="36"/>
    </row>
    <row r="1193" spans="1:10" x14ac:dyDescent="0.25">
      <c r="A1193" s="36">
        <v>1877</v>
      </c>
      <c r="B1193" s="37">
        <v>43617</v>
      </c>
      <c r="C1193" s="36"/>
      <c r="D1193" s="36"/>
      <c r="E1193" s="36" t="s">
        <v>9</v>
      </c>
      <c r="F1193" s="38">
        <v>11163096</v>
      </c>
      <c r="G1193" s="36" t="s">
        <v>8</v>
      </c>
      <c r="H1193" s="36" t="s">
        <v>8</v>
      </c>
      <c r="I1193" s="36"/>
      <c r="J1193" s="36"/>
    </row>
    <row r="1194" spans="1:10" x14ac:dyDescent="0.25">
      <c r="A1194" s="36">
        <v>1877</v>
      </c>
      <c r="B1194" s="37">
        <v>43647</v>
      </c>
      <c r="C1194" s="36"/>
      <c r="D1194" s="36"/>
      <c r="E1194" s="36" t="s">
        <v>9</v>
      </c>
      <c r="F1194" s="38">
        <v>11163096</v>
      </c>
      <c r="G1194" s="36" t="s">
        <v>8</v>
      </c>
      <c r="H1194" s="36" t="s">
        <v>8</v>
      </c>
      <c r="I1194" s="36"/>
      <c r="J1194" s="36"/>
    </row>
    <row r="1195" spans="1:10" x14ac:dyDescent="0.25">
      <c r="A1195" s="36">
        <v>1877</v>
      </c>
      <c r="B1195" s="37">
        <v>43678</v>
      </c>
      <c r="C1195" s="36"/>
      <c r="D1195" s="36"/>
      <c r="E1195" s="36" t="s">
        <v>9</v>
      </c>
      <c r="F1195" s="38">
        <v>11163096</v>
      </c>
      <c r="G1195" s="36" t="s">
        <v>8</v>
      </c>
      <c r="H1195" s="36" t="s">
        <v>8</v>
      </c>
      <c r="I1195" s="36"/>
      <c r="J1195" s="36"/>
    </row>
    <row r="1196" spans="1:10" x14ac:dyDescent="0.25">
      <c r="A1196" s="36">
        <v>1877</v>
      </c>
      <c r="B1196" s="37">
        <v>43709</v>
      </c>
      <c r="C1196" s="36"/>
      <c r="D1196" s="36"/>
      <c r="E1196" s="36" t="s">
        <v>9</v>
      </c>
      <c r="F1196" s="38">
        <v>11163096</v>
      </c>
      <c r="G1196" s="36" t="s">
        <v>8</v>
      </c>
      <c r="H1196" s="36" t="s">
        <v>8</v>
      </c>
      <c r="I1196" s="36"/>
      <c r="J1196" s="36"/>
    </row>
    <row r="1197" spans="1:10" x14ac:dyDescent="0.25">
      <c r="A1197" s="36">
        <v>1877</v>
      </c>
      <c r="B1197" s="37">
        <v>43739</v>
      </c>
      <c r="C1197" s="36"/>
      <c r="D1197" s="36"/>
      <c r="E1197" s="36" t="s">
        <v>9</v>
      </c>
      <c r="F1197" s="38">
        <v>11163096</v>
      </c>
      <c r="G1197" s="36" t="s">
        <v>8</v>
      </c>
      <c r="H1197" s="36" t="s">
        <v>8</v>
      </c>
      <c r="I1197" s="36"/>
      <c r="J1197" s="36"/>
    </row>
    <row r="1198" spans="1:10" x14ac:dyDescent="0.25">
      <c r="A1198" s="36">
        <v>1877</v>
      </c>
      <c r="B1198" s="37">
        <v>43770</v>
      </c>
      <c r="C1198" s="36"/>
      <c r="D1198" s="36"/>
      <c r="E1198" s="36" t="s">
        <v>9</v>
      </c>
      <c r="F1198" s="38">
        <v>11163096</v>
      </c>
      <c r="G1198" s="36" t="s">
        <v>8</v>
      </c>
      <c r="H1198" s="36" t="s">
        <v>8</v>
      </c>
      <c r="I1198" s="36"/>
      <c r="J1198" s="36"/>
    </row>
    <row r="1199" spans="1:10" x14ac:dyDescent="0.25">
      <c r="A1199" s="36">
        <v>1877</v>
      </c>
      <c r="B1199" s="37">
        <v>43800</v>
      </c>
      <c r="C1199" s="36"/>
      <c r="D1199" s="36"/>
      <c r="E1199" s="36" t="s">
        <v>9</v>
      </c>
      <c r="F1199" s="38">
        <v>11163096</v>
      </c>
      <c r="G1199" s="36" t="s">
        <v>8</v>
      </c>
      <c r="H1199" s="36" t="s">
        <v>8</v>
      </c>
      <c r="I1199" s="36"/>
      <c r="J1199" s="36"/>
    </row>
    <row r="1200" spans="1:10" x14ac:dyDescent="0.25">
      <c r="A1200" s="36">
        <v>1877</v>
      </c>
      <c r="B1200" s="37">
        <v>43831</v>
      </c>
      <c r="C1200" s="36"/>
      <c r="D1200" s="36"/>
      <c r="E1200" s="36" t="s">
        <v>9</v>
      </c>
      <c r="F1200" s="38">
        <v>11163096</v>
      </c>
      <c r="G1200" s="36" t="s">
        <v>8</v>
      </c>
      <c r="H1200" s="36" t="s">
        <v>8</v>
      </c>
      <c r="I1200" s="36"/>
      <c r="J1200" s="36"/>
    </row>
    <row r="1201" spans="1:10" x14ac:dyDescent="0.25">
      <c r="A1201" s="36">
        <v>1877</v>
      </c>
      <c r="B1201" s="37">
        <v>43862</v>
      </c>
      <c r="C1201" s="36"/>
      <c r="D1201" s="36"/>
      <c r="E1201" s="36" t="s">
        <v>9</v>
      </c>
      <c r="F1201" s="38">
        <v>11163096</v>
      </c>
      <c r="G1201" s="36" t="s">
        <v>8</v>
      </c>
      <c r="H1201" s="36" t="s">
        <v>8</v>
      </c>
      <c r="I1201" s="36"/>
      <c r="J1201" s="36"/>
    </row>
    <row r="1202" spans="1:10" x14ac:dyDescent="0.25">
      <c r="A1202" s="36">
        <v>1877</v>
      </c>
      <c r="B1202" s="37">
        <v>43891</v>
      </c>
      <c r="C1202" s="36"/>
      <c r="D1202" s="36"/>
      <c r="E1202" s="36" t="s">
        <v>9</v>
      </c>
      <c r="F1202" s="38">
        <v>11163096</v>
      </c>
      <c r="G1202" s="36" t="s">
        <v>8</v>
      </c>
      <c r="H1202" s="36" t="s">
        <v>8</v>
      </c>
      <c r="I1202" s="36"/>
      <c r="J1202" s="36"/>
    </row>
    <row r="1203" spans="1:10" x14ac:dyDescent="0.25">
      <c r="A1203" s="36">
        <v>1877</v>
      </c>
      <c r="B1203" s="37">
        <v>43466</v>
      </c>
      <c r="C1203" s="36"/>
      <c r="D1203" s="36"/>
      <c r="E1203" s="36" t="s">
        <v>75</v>
      </c>
      <c r="F1203" s="38">
        <v>6909525</v>
      </c>
      <c r="G1203" s="36" t="s">
        <v>8</v>
      </c>
      <c r="H1203" s="36" t="s">
        <v>8</v>
      </c>
      <c r="I1203" s="36"/>
      <c r="J1203" s="36"/>
    </row>
    <row r="1204" spans="1:10" x14ac:dyDescent="0.25">
      <c r="A1204" s="36">
        <v>1877</v>
      </c>
      <c r="B1204" s="37">
        <v>43497</v>
      </c>
      <c r="C1204" s="36"/>
      <c r="D1204" s="36"/>
      <c r="E1204" s="36" t="s">
        <v>75</v>
      </c>
      <c r="F1204" s="38">
        <v>6909525</v>
      </c>
      <c r="G1204" s="36" t="s">
        <v>8</v>
      </c>
      <c r="H1204" s="36" t="s">
        <v>8</v>
      </c>
      <c r="I1204" s="36"/>
      <c r="J1204" s="36"/>
    </row>
    <row r="1205" spans="1:10" x14ac:dyDescent="0.25">
      <c r="A1205" s="36">
        <v>1877</v>
      </c>
      <c r="B1205" s="37">
        <v>43525</v>
      </c>
      <c r="C1205" s="36"/>
      <c r="D1205" s="36"/>
      <c r="E1205" s="36" t="s">
        <v>75</v>
      </c>
      <c r="F1205" s="38">
        <v>6909525</v>
      </c>
      <c r="G1205" s="36" t="s">
        <v>8</v>
      </c>
      <c r="H1205" s="36" t="s">
        <v>8</v>
      </c>
      <c r="I1205" s="36"/>
      <c r="J1205" s="36"/>
    </row>
    <row r="1206" spans="1:10" x14ac:dyDescent="0.25">
      <c r="A1206" s="36">
        <v>1877</v>
      </c>
      <c r="B1206" s="37">
        <v>43556</v>
      </c>
      <c r="C1206" s="36"/>
      <c r="D1206" s="36"/>
      <c r="E1206" s="36" t="s">
        <v>75</v>
      </c>
      <c r="F1206" s="38">
        <v>6909525</v>
      </c>
      <c r="G1206" s="36" t="s">
        <v>8</v>
      </c>
      <c r="H1206" s="36" t="s">
        <v>8</v>
      </c>
      <c r="I1206" s="36"/>
      <c r="J1206" s="36"/>
    </row>
    <row r="1207" spans="1:10" x14ac:dyDescent="0.25">
      <c r="A1207" s="36">
        <v>1877</v>
      </c>
      <c r="B1207" s="37">
        <v>43586</v>
      </c>
      <c r="C1207" s="36"/>
      <c r="D1207" s="36"/>
      <c r="E1207" s="36" t="s">
        <v>75</v>
      </c>
      <c r="F1207" s="38">
        <v>6909525</v>
      </c>
      <c r="G1207" s="36" t="s">
        <v>8</v>
      </c>
      <c r="H1207" s="36" t="s">
        <v>8</v>
      </c>
      <c r="I1207" s="36"/>
      <c r="J1207" s="36"/>
    </row>
    <row r="1208" spans="1:10" x14ac:dyDescent="0.25">
      <c r="A1208" s="36">
        <v>1877</v>
      </c>
      <c r="B1208" s="37">
        <v>43617</v>
      </c>
      <c r="C1208" s="36"/>
      <c r="D1208" s="36"/>
      <c r="E1208" s="36" t="s">
        <v>75</v>
      </c>
      <c r="F1208" s="38">
        <v>6909525</v>
      </c>
      <c r="G1208" s="36" t="s">
        <v>8</v>
      </c>
      <c r="H1208" s="36" t="s">
        <v>8</v>
      </c>
      <c r="I1208" s="36"/>
      <c r="J1208" s="36"/>
    </row>
    <row r="1209" spans="1:10" x14ac:dyDescent="0.25">
      <c r="A1209" s="36">
        <v>1877</v>
      </c>
      <c r="B1209" s="37">
        <v>43647</v>
      </c>
      <c r="C1209" s="36"/>
      <c r="D1209" s="36"/>
      <c r="E1209" s="36" t="s">
        <v>75</v>
      </c>
      <c r="F1209" s="38">
        <v>6909525</v>
      </c>
      <c r="G1209" s="36" t="s">
        <v>8</v>
      </c>
      <c r="H1209" s="36" t="s">
        <v>8</v>
      </c>
      <c r="I1209" s="36"/>
      <c r="J1209" s="36"/>
    </row>
    <row r="1210" spans="1:10" x14ac:dyDescent="0.25">
      <c r="A1210" s="36">
        <v>1877</v>
      </c>
      <c r="B1210" s="37">
        <v>43678</v>
      </c>
      <c r="C1210" s="36"/>
      <c r="D1210" s="36"/>
      <c r="E1210" s="36" t="s">
        <v>75</v>
      </c>
      <c r="F1210" s="38">
        <v>6909525</v>
      </c>
      <c r="G1210" s="36" t="s">
        <v>8</v>
      </c>
      <c r="H1210" s="36" t="s">
        <v>8</v>
      </c>
      <c r="I1210" s="36"/>
      <c r="J1210" s="36"/>
    </row>
    <row r="1211" spans="1:10" x14ac:dyDescent="0.25">
      <c r="A1211" s="36">
        <v>1877</v>
      </c>
      <c r="B1211" s="37">
        <v>43709</v>
      </c>
      <c r="C1211" s="36"/>
      <c r="D1211" s="36"/>
      <c r="E1211" s="36" t="s">
        <v>75</v>
      </c>
      <c r="F1211" s="38">
        <v>6909525</v>
      </c>
      <c r="G1211" s="36" t="s">
        <v>8</v>
      </c>
      <c r="H1211" s="36" t="s">
        <v>8</v>
      </c>
      <c r="I1211" s="36"/>
      <c r="J1211" s="36"/>
    </row>
    <row r="1212" spans="1:10" x14ac:dyDescent="0.25">
      <c r="A1212" s="36">
        <v>1877</v>
      </c>
      <c r="B1212" s="37">
        <v>43739</v>
      </c>
      <c r="C1212" s="36"/>
      <c r="D1212" s="36"/>
      <c r="E1212" s="36" t="s">
        <v>75</v>
      </c>
      <c r="F1212" s="38">
        <v>6909525</v>
      </c>
      <c r="G1212" s="36" t="s">
        <v>8</v>
      </c>
      <c r="H1212" s="36" t="s">
        <v>8</v>
      </c>
      <c r="I1212" s="36"/>
      <c r="J1212" s="36"/>
    </row>
    <row r="1213" spans="1:10" x14ac:dyDescent="0.25">
      <c r="A1213" s="36">
        <v>1877</v>
      </c>
      <c r="B1213" s="37">
        <v>43770</v>
      </c>
      <c r="C1213" s="36"/>
      <c r="D1213" s="36"/>
      <c r="E1213" s="36" t="s">
        <v>75</v>
      </c>
      <c r="F1213" s="38">
        <v>6909525</v>
      </c>
      <c r="G1213" s="36" t="s">
        <v>8</v>
      </c>
      <c r="H1213" s="36" t="s">
        <v>8</v>
      </c>
      <c r="I1213" s="36"/>
      <c r="J1213" s="36"/>
    </row>
    <row r="1214" spans="1:10" x14ac:dyDescent="0.25">
      <c r="A1214" s="36">
        <v>1877</v>
      </c>
      <c r="B1214" s="37">
        <v>43800</v>
      </c>
      <c r="C1214" s="36"/>
      <c r="D1214" s="36"/>
      <c r="E1214" s="36" t="s">
        <v>75</v>
      </c>
      <c r="F1214" s="38">
        <v>6909525</v>
      </c>
      <c r="G1214" s="36" t="s">
        <v>8</v>
      </c>
      <c r="H1214" s="36" t="s">
        <v>8</v>
      </c>
      <c r="I1214" s="36"/>
      <c r="J1214" s="36"/>
    </row>
    <row r="1215" spans="1:10" x14ac:dyDescent="0.25">
      <c r="A1215" s="36">
        <v>1877</v>
      </c>
      <c r="B1215" s="37">
        <v>43466</v>
      </c>
      <c r="C1215" s="36"/>
      <c r="D1215" s="36"/>
      <c r="E1215" s="36" t="s">
        <v>76</v>
      </c>
      <c r="F1215" s="38">
        <v>6909525</v>
      </c>
      <c r="G1215" s="36" t="s">
        <v>8</v>
      </c>
      <c r="H1215" s="36" t="s">
        <v>8</v>
      </c>
      <c r="I1215" s="36"/>
      <c r="J1215" s="36"/>
    </row>
    <row r="1216" spans="1:10" x14ac:dyDescent="0.25">
      <c r="A1216" s="36">
        <v>1877</v>
      </c>
      <c r="B1216" s="37">
        <v>43497</v>
      </c>
      <c r="C1216" s="36"/>
      <c r="D1216" s="36"/>
      <c r="E1216" s="36" t="s">
        <v>76</v>
      </c>
      <c r="F1216" s="38">
        <v>6909525</v>
      </c>
      <c r="G1216" s="36" t="s">
        <v>8</v>
      </c>
      <c r="H1216" s="36" t="s">
        <v>8</v>
      </c>
      <c r="I1216" s="36"/>
      <c r="J1216" s="36"/>
    </row>
    <row r="1217" spans="1:10" x14ac:dyDescent="0.25">
      <c r="A1217" s="36">
        <v>1877</v>
      </c>
      <c r="B1217" s="37">
        <v>43525</v>
      </c>
      <c r="C1217" s="36"/>
      <c r="D1217" s="36"/>
      <c r="E1217" s="36" t="s">
        <v>76</v>
      </c>
      <c r="F1217" s="38">
        <v>6909525</v>
      </c>
      <c r="G1217" s="36" t="s">
        <v>8</v>
      </c>
      <c r="H1217" s="36" t="s">
        <v>8</v>
      </c>
      <c r="I1217" s="36"/>
      <c r="J1217" s="36"/>
    </row>
    <row r="1218" spans="1:10" x14ac:dyDescent="0.25">
      <c r="A1218" s="36">
        <v>1877</v>
      </c>
      <c r="B1218" s="37">
        <v>43556</v>
      </c>
      <c r="C1218" s="36"/>
      <c r="D1218" s="36"/>
      <c r="E1218" s="36" t="s">
        <v>76</v>
      </c>
      <c r="F1218" s="38">
        <v>6909525</v>
      </c>
      <c r="G1218" s="36" t="s">
        <v>8</v>
      </c>
      <c r="H1218" s="36" t="s">
        <v>8</v>
      </c>
      <c r="I1218" s="36"/>
      <c r="J1218" s="36"/>
    </row>
    <row r="1219" spans="1:10" x14ac:dyDescent="0.25">
      <c r="A1219" s="36">
        <v>1877</v>
      </c>
      <c r="B1219" s="37">
        <v>43586</v>
      </c>
      <c r="C1219" s="36"/>
      <c r="D1219" s="36"/>
      <c r="E1219" s="36" t="s">
        <v>76</v>
      </c>
      <c r="F1219" s="38">
        <v>6909525</v>
      </c>
      <c r="G1219" s="36" t="s">
        <v>8</v>
      </c>
      <c r="H1219" s="36" t="s">
        <v>8</v>
      </c>
      <c r="I1219" s="36"/>
      <c r="J1219" s="36"/>
    </row>
    <row r="1220" spans="1:10" x14ac:dyDescent="0.25">
      <c r="A1220" s="36">
        <v>1877</v>
      </c>
      <c r="B1220" s="37">
        <v>43617</v>
      </c>
      <c r="C1220" s="36"/>
      <c r="D1220" s="36"/>
      <c r="E1220" s="36" t="s">
        <v>76</v>
      </c>
      <c r="F1220" s="38">
        <v>6909525</v>
      </c>
      <c r="G1220" s="36" t="s">
        <v>8</v>
      </c>
      <c r="H1220" s="36" t="s">
        <v>8</v>
      </c>
      <c r="I1220" s="36"/>
      <c r="J1220" s="36"/>
    </row>
    <row r="1221" spans="1:10" x14ac:dyDescent="0.25">
      <c r="A1221" s="36">
        <v>1877</v>
      </c>
      <c r="B1221" s="37">
        <v>43647</v>
      </c>
      <c r="C1221" s="36"/>
      <c r="D1221" s="36"/>
      <c r="E1221" s="36" t="s">
        <v>76</v>
      </c>
      <c r="F1221" s="38">
        <v>6909525</v>
      </c>
      <c r="G1221" s="36" t="s">
        <v>8</v>
      </c>
      <c r="H1221" s="36" t="s">
        <v>8</v>
      </c>
      <c r="I1221" s="36"/>
      <c r="J1221" s="36"/>
    </row>
    <row r="1222" spans="1:10" x14ac:dyDescent="0.25">
      <c r="A1222" s="36">
        <v>1877</v>
      </c>
      <c r="B1222" s="37">
        <v>43678</v>
      </c>
      <c r="C1222" s="36"/>
      <c r="D1222" s="36"/>
      <c r="E1222" s="36" t="s">
        <v>76</v>
      </c>
      <c r="F1222" s="38">
        <v>6909525</v>
      </c>
      <c r="G1222" s="36" t="s">
        <v>8</v>
      </c>
      <c r="H1222" s="36" t="s">
        <v>8</v>
      </c>
      <c r="I1222" s="36"/>
      <c r="J1222" s="36"/>
    </row>
    <row r="1223" spans="1:10" x14ac:dyDescent="0.25">
      <c r="A1223" s="36">
        <v>1877</v>
      </c>
      <c r="B1223" s="37">
        <v>43709</v>
      </c>
      <c r="C1223" s="36"/>
      <c r="D1223" s="36"/>
      <c r="E1223" s="36" t="s">
        <v>76</v>
      </c>
      <c r="F1223" s="38">
        <v>6909525</v>
      </c>
      <c r="G1223" s="36" t="s">
        <v>8</v>
      </c>
      <c r="H1223" s="36" t="s">
        <v>8</v>
      </c>
      <c r="I1223" s="36"/>
      <c r="J1223" s="36"/>
    </row>
    <row r="1224" spans="1:10" x14ac:dyDescent="0.25">
      <c r="A1224" s="36">
        <v>1877</v>
      </c>
      <c r="B1224" s="37">
        <v>43739</v>
      </c>
      <c r="C1224" s="36"/>
      <c r="D1224" s="36"/>
      <c r="E1224" s="36" t="s">
        <v>76</v>
      </c>
      <c r="F1224" s="38">
        <v>6909525</v>
      </c>
      <c r="G1224" s="36" t="s">
        <v>8</v>
      </c>
      <c r="H1224" s="36" t="s">
        <v>8</v>
      </c>
      <c r="I1224" s="36"/>
      <c r="J1224" s="36"/>
    </row>
    <row r="1225" spans="1:10" x14ac:dyDescent="0.25">
      <c r="A1225" s="36">
        <v>1877</v>
      </c>
      <c r="B1225" s="37">
        <v>43466</v>
      </c>
      <c r="C1225" s="36"/>
      <c r="D1225" s="36"/>
      <c r="E1225" s="36" t="s">
        <v>23</v>
      </c>
      <c r="F1225" s="38">
        <v>5049009</v>
      </c>
      <c r="G1225" s="36" t="s">
        <v>8</v>
      </c>
      <c r="H1225" s="36" t="s">
        <v>8</v>
      </c>
      <c r="I1225" s="36"/>
      <c r="J1225" s="36"/>
    </row>
    <row r="1226" spans="1:10" x14ac:dyDescent="0.25">
      <c r="A1226" s="36">
        <v>1877</v>
      </c>
      <c r="B1226" s="37">
        <v>43497</v>
      </c>
      <c r="C1226" s="36"/>
      <c r="D1226" s="36"/>
      <c r="E1226" s="36" t="s">
        <v>23</v>
      </c>
      <c r="F1226" s="38">
        <v>5049009</v>
      </c>
      <c r="G1226" s="36" t="s">
        <v>8</v>
      </c>
      <c r="H1226" s="36" t="s">
        <v>8</v>
      </c>
      <c r="I1226" s="36"/>
      <c r="J1226" s="36"/>
    </row>
    <row r="1227" spans="1:10" x14ac:dyDescent="0.25">
      <c r="A1227" s="36">
        <v>1877</v>
      </c>
      <c r="B1227" s="37">
        <v>43525</v>
      </c>
      <c r="C1227" s="36"/>
      <c r="D1227" s="36"/>
      <c r="E1227" s="36" t="s">
        <v>23</v>
      </c>
      <c r="F1227" s="38">
        <v>5049009</v>
      </c>
      <c r="G1227" s="36" t="s">
        <v>8</v>
      </c>
      <c r="H1227" s="36" t="s">
        <v>8</v>
      </c>
      <c r="I1227" s="36"/>
      <c r="J1227" s="36"/>
    </row>
    <row r="1228" spans="1:10" x14ac:dyDescent="0.25">
      <c r="A1228" s="36">
        <v>1877</v>
      </c>
      <c r="B1228" s="37">
        <v>43556</v>
      </c>
      <c r="C1228" s="36"/>
      <c r="D1228" s="36"/>
      <c r="E1228" s="36" t="s">
        <v>23</v>
      </c>
      <c r="F1228" s="38">
        <v>5049009</v>
      </c>
      <c r="G1228" s="36" t="s">
        <v>8</v>
      </c>
      <c r="H1228" s="36" t="s">
        <v>8</v>
      </c>
      <c r="I1228" s="36"/>
      <c r="J1228" s="36"/>
    </row>
    <row r="1229" spans="1:10" x14ac:dyDescent="0.25">
      <c r="A1229" s="36">
        <v>1877</v>
      </c>
      <c r="B1229" s="37">
        <v>43586</v>
      </c>
      <c r="C1229" s="36"/>
      <c r="D1229" s="36"/>
      <c r="E1229" s="36" t="s">
        <v>23</v>
      </c>
      <c r="F1229" s="38">
        <v>5049009</v>
      </c>
      <c r="G1229" s="36" t="s">
        <v>8</v>
      </c>
      <c r="H1229" s="36" t="s">
        <v>8</v>
      </c>
      <c r="I1229" s="36"/>
      <c r="J1229" s="36"/>
    </row>
    <row r="1230" spans="1:10" x14ac:dyDescent="0.25">
      <c r="A1230" s="36">
        <v>1877</v>
      </c>
      <c r="B1230" s="37">
        <v>43617</v>
      </c>
      <c r="C1230" s="36"/>
      <c r="D1230" s="36"/>
      <c r="E1230" s="36" t="s">
        <v>23</v>
      </c>
      <c r="F1230" s="38">
        <v>5049009</v>
      </c>
      <c r="G1230" s="36" t="s">
        <v>8</v>
      </c>
      <c r="H1230" s="36" t="s">
        <v>8</v>
      </c>
      <c r="I1230" s="36"/>
      <c r="J1230" s="36"/>
    </row>
    <row r="1231" spans="1:10" x14ac:dyDescent="0.25">
      <c r="A1231" s="36">
        <v>1877</v>
      </c>
      <c r="B1231" s="37">
        <v>43647</v>
      </c>
      <c r="C1231" s="36"/>
      <c r="D1231" s="36"/>
      <c r="E1231" s="36" t="s">
        <v>23</v>
      </c>
      <c r="F1231" s="38">
        <v>5049009</v>
      </c>
      <c r="G1231" s="36" t="s">
        <v>8</v>
      </c>
      <c r="H1231" s="36" t="s">
        <v>8</v>
      </c>
      <c r="I1231" s="36"/>
      <c r="J1231" s="36"/>
    </row>
    <row r="1232" spans="1:10" x14ac:dyDescent="0.25">
      <c r="A1232" s="36">
        <v>1877</v>
      </c>
      <c r="B1232" s="37">
        <v>43678</v>
      </c>
      <c r="C1232" s="36"/>
      <c r="D1232" s="36"/>
      <c r="E1232" s="36" t="s">
        <v>23</v>
      </c>
      <c r="F1232" s="38">
        <v>5049009</v>
      </c>
      <c r="G1232" s="36" t="s">
        <v>8</v>
      </c>
      <c r="H1232" s="36" t="s">
        <v>8</v>
      </c>
      <c r="I1232" s="36"/>
      <c r="J1232" s="36"/>
    </row>
    <row r="1233" spans="1:10" x14ac:dyDescent="0.25">
      <c r="A1233" s="36">
        <v>1877</v>
      </c>
      <c r="B1233" s="37">
        <v>43709</v>
      </c>
      <c r="C1233" s="36"/>
      <c r="D1233" s="36"/>
      <c r="E1233" s="36" t="s">
        <v>23</v>
      </c>
      <c r="F1233" s="38">
        <v>5049009</v>
      </c>
      <c r="G1233" s="36" t="s">
        <v>8</v>
      </c>
      <c r="H1233" s="36" t="s">
        <v>8</v>
      </c>
      <c r="I1233" s="36"/>
      <c r="J1233" s="36"/>
    </row>
    <row r="1234" spans="1:10" x14ac:dyDescent="0.25">
      <c r="A1234" s="36">
        <v>1877</v>
      </c>
      <c r="B1234" s="37">
        <v>43739</v>
      </c>
      <c r="C1234" s="36"/>
      <c r="D1234" s="36"/>
      <c r="E1234" s="36" t="s">
        <v>23</v>
      </c>
      <c r="F1234" s="38">
        <v>5049009</v>
      </c>
      <c r="G1234" s="36" t="s">
        <v>8</v>
      </c>
      <c r="H1234" s="36" t="s">
        <v>8</v>
      </c>
      <c r="I1234" s="36"/>
      <c r="J1234" s="36"/>
    </row>
    <row r="1235" spans="1:10" x14ac:dyDescent="0.25">
      <c r="A1235" s="36">
        <v>1877</v>
      </c>
      <c r="B1235" s="37">
        <v>43770</v>
      </c>
      <c r="C1235" s="36"/>
      <c r="D1235" s="36"/>
      <c r="E1235" s="36" t="s">
        <v>23</v>
      </c>
      <c r="F1235" s="38">
        <v>5049009</v>
      </c>
      <c r="G1235" s="36" t="s">
        <v>8</v>
      </c>
      <c r="H1235" s="36" t="s">
        <v>8</v>
      </c>
      <c r="I1235" s="36"/>
      <c r="J1235" s="36"/>
    </row>
    <row r="1236" spans="1:10" x14ac:dyDescent="0.25">
      <c r="A1236" s="36">
        <v>1877</v>
      </c>
      <c r="B1236" s="37">
        <v>43800</v>
      </c>
      <c r="C1236" s="36"/>
      <c r="D1236" s="36"/>
      <c r="E1236" s="36" t="s">
        <v>23</v>
      </c>
      <c r="F1236" s="38">
        <v>5049009</v>
      </c>
      <c r="G1236" s="36" t="s">
        <v>8</v>
      </c>
      <c r="H1236" s="36" t="s">
        <v>8</v>
      </c>
      <c r="I1236" s="36"/>
      <c r="J1236" s="36"/>
    </row>
    <row r="1237" spans="1:10" x14ac:dyDescent="0.25">
      <c r="A1237" s="36">
        <v>1877</v>
      </c>
      <c r="B1237" s="37">
        <v>43831</v>
      </c>
      <c r="C1237" s="36"/>
      <c r="D1237" s="36"/>
      <c r="E1237" s="36" t="s">
        <v>23</v>
      </c>
      <c r="F1237" s="38">
        <v>5049009</v>
      </c>
      <c r="G1237" s="36" t="s">
        <v>8</v>
      </c>
      <c r="H1237" s="36" t="s">
        <v>8</v>
      </c>
      <c r="I1237" s="36"/>
      <c r="J1237" s="36"/>
    </row>
    <row r="1238" spans="1:10" x14ac:dyDescent="0.25">
      <c r="A1238" s="36">
        <v>1877</v>
      </c>
      <c r="B1238" s="37">
        <v>43862</v>
      </c>
      <c r="C1238" s="36"/>
      <c r="D1238" s="36"/>
      <c r="E1238" s="36" t="s">
        <v>23</v>
      </c>
      <c r="F1238" s="38">
        <v>5049009</v>
      </c>
      <c r="G1238" s="36" t="s">
        <v>8</v>
      </c>
      <c r="H1238" s="36" t="s">
        <v>8</v>
      </c>
      <c r="I1238" s="36"/>
      <c r="J1238" s="36"/>
    </row>
    <row r="1239" spans="1:10" x14ac:dyDescent="0.25">
      <c r="A1239" s="36">
        <v>1877</v>
      </c>
      <c r="B1239" s="37">
        <v>43891</v>
      </c>
      <c r="C1239" s="36"/>
      <c r="D1239" s="36"/>
      <c r="E1239" s="36" t="s">
        <v>23</v>
      </c>
      <c r="F1239" s="38">
        <v>5049009</v>
      </c>
      <c r="G1239" s="36" t="s">
        <v>8</v>
      </c>
      <c r="H1239" s="36" t="s">
        <v>8</v>
      </c>
      <c r="I1239" s="36"/>
      <c r="J1239" s="36"/>
    </row>
    <row r="1240" spans="1:10" x14ac:dyDescent="0.25">
      <c r="A1240" s="36">
        <v>1877</v>
      </c>
      <c r="B1240" s="37">
        <v>43466</v>
      </c>
      <c r="C1240" s="36"/>
      <c r="D1240" s="36"/>
      <c r="E1240" s="36" t="s">
        <v>77</v>
      </c>
      <c r="F1240" s="38">
        <v>4550175</v>
      </c>
      <c r="G1240" s="36" t="s">
        <v>8</v>
      </c>
      <c r="H1240" s="36" t="s">
        <v>8</v>
      </c>
      <c r="I1240" s="36"/>
      <c r="J1240" s="36"/>
    </row>
    <row r="1241" spans="1:10" x14ac:dyDescent="0.25">
      <c r="A1241" s="36">
        <v>1877</v>
      </c>
      <c r="B1241" s="37">
        <v>43497</v>
      </c>
      <c r="C1241" s="36"/>
      <c r="D1241" s="36"/>
      <c r="E1241" s="36" t="s">
        <v>77</v>
      </c>
      <c r="F1241" s="38">
        <v>4550175</v>
      </c>
      <c r="G1241" s="36" t="s">
        <v>8</v>
      </c>
      <c r="H1241" s="36" t="s">
        <v>8</v>
      </c>
      <c r="I1241" s="36"/>
      <c r="J1241" s="36"/>
    </row>
    <row r="1242" spans="1:10" x14ac:dyDescent="0.25">
      <c r="A1242" s="36">
        <v>1877</v>
      </c>
      <c r="B1242" s="37">
        <v>43525</v>
      </c>
      <c r="C1242" s="36"/>
      <c r="D1242" s="36"/>
      <c r="E1242" s="36" t="s">
        <v>77</v>
      </c>
      <c r="F1242" s="38">
        <v>4550175</v>
      </c>
      <c r="G1242" s="36" t="s">
        <v>8</v>
      </c>
      <c r="H1242" s="36" t="s">
        <v>8</v>
      </c>
      <c r="I1242" s="36"/>
      <c r="J1242" s="36"/>
    </row>
    <row r="1243" spans="1:10" x14ac:dyDescent="0.25">
      <c r="A1243" s="36">
        <v>1877</v>
      </c>
      <c r="B1243" s="37">
        <v>43556</v>
      </c>
      <c r="C1243" s="36"/>
      <c r="D1243" s="36"/>
      <c r="E1243" s="36" t="s">
        <v>77</v>
      </c>
      <c r="F1243" s="38">
        <v>4550175</v>
      </c>
      <c r="G1243" s="36" t="s">
        <v>8</v>
      </c>
      <c r="H1243" s="36" t="s">
        <v>8</v>
      </c>
      <c r="I1243" s="36"/>
      <c r="J1243" s="36"/>
    </row>
    <row r="1244" spans="1:10" x14ac:dyDescent="0.25">
      <c r="A1244" s="36">
        <v>1877</v>
      </c>
      <c r="B1244" s="37">
        <v>43586</v>
      </c>
      <c r="C1244" s="36"/>
      <c r="D1244" s="36"/>
      <c r="E1244" s="36" t="s">
        <v>77</v>
      </c>
      <c r="F1244" s="38">
        <v>4550175</v>
      </c>
      <c r="G1244" s="36" t="s">
        <v>8</v>
      </c>
      <c r="H1244" s="36" t="s">
        <v>8</v>
      </c>
      <c r="I1244" s="36"/>
      <c r="J1244" s="36"/>
    </row>
    <row r="1245" spans="1:10" x14ac:dyDescent="0.25">
      <c r="A1245" s="36">
        <v>1877</v>
      </c>
      <c r="B1245" s="37">
        <v>43617</v>
      </c>
      <c r="C1245" s="36"/>
      <c r="D1245" s="36"/>
      <c r="E1245" s="36" t="s">
        <v>77</v>
      </c>
      <c r="F1245" s="38">
        <v>4550175</v>
      </c>
      <c r="G1245" s="36" t="s">
        <v>8</v>
      </c>
      <c r="H1245" s="36" t="s">
        <v>8</v>
      </c>
      <c r="I1245" s="36"/>
      <c r="J1245" s="36"/>
    </row>
    <row r="1246" spans="1:10" x14ac:dyDescent="0.25">
      <c r="A1246" s="36">
        <v>1877</v>
      </c>
      <c r="B1246" s="37">
        <v>43647</v>
      </c>
      <c r="C1246" s="36"/>
      <c r="D1246" s="36"/>
      <c r="E1246" s="36" t="s">
        <v>77</v>
      </c>
      <c r="F1246" s="38">
        <v>4550175</v>
      </c>
      <c r="G1246" s="36" t="s">
        <v>8</v>
      </c>
      <c r="H1246" s="36" t="s">
        <v>8</v>
      </c>
      <c r="I1246" s="36"/>
      <c r="J1246" s="36"/>
    </row>
    <row r="1247" spans="1:10" x14ac:dyDescent="0.25">
      <c r="A1247" s="36">
        <v>1877</v>
      </c>
      <c r="B1247" s="37">
        <v>43678</v>
      </c>
      <c r="C1247" s="36"/>
      <c r="D1247" s="36"/>
      <c r="E1247" s="36" t="s">
        <v>77</v>
      </c>
      <c r="F1247" s="38">
        <v>4550175</v>
      </c>
      <c r="G1247" s="36" t="s">
        <v>8</v>
      </c>
      <c r="H1247" s="36" t="s">
        <v>8</v>
      </c>
      <c r="I1247" s="36"/>
      <c r="J1247" s="36"/>
    </row>
    <row r="1248" spans="1:10" x14ac:dyDescent="0.25">
      <c r="A1248" s="36">
        <v>1877</v>
      </c>
      <c r="B1248" s="37">
        <v>43709</v>
      </c>
      <c r="C1248" s="36"/>
      <c r="D1248" s="36"/>
      <c r="E1248" s="36" t="s">
        <v>77</v>
      </c>
      <c r="F1248" s="38">
        <v>4550175</v>
      </c>
      <c r="G1248" s="36" t="s">
        <v>8</v>
      </c>
      <c r="H1248" s="36" t="s">
        <v>8</v>
      </c>
      <c r="I1248" s="36"/>
      <c r="J1248" s="36"/>
    </row>
    <row r="1249" spans="1:10" x14ac:dyDescent="0.25">
      <c r="A1249" s="36">
        <v>1877</v>
      </c>
      <c r="B1249" s="37">
        <v>43739</v>
      </c>
      <c r="C1249" s="36"/>
      <c r="D1249" s="36"/>
      <c r="E1249" s="36" t="s">
        <v>77</v>
      </c>
      <c r="F1249" s="38">
        <v>4550175</v>
      </c>
      <c r="G1249" s="36" t="s">
        <v>8</v>
      </c>
      <c r="H1249" s="36" t="s">
        <v>8</v>
      </c>
      <c r="I1249" s="36"/>
      <c r="J1249" s="36"/>
    </row>
    <row r="1250" spans="1:10" x14ac:dyDescent="0.25">
      <c r="A1250" s="36">
        <v>1877</v>
      </c>
      <c r="B1250" s="37">
        <v>43770</v>
      </c>
      <c r="C1250" s="36"/>
      <c r="D1250" s="36"/>
      <c r="E1250" s="36" t="s">
        <v>77</v>
      </c>
      <c r="F1250" s="38">
        <v>4550175</v>
      </c>
      <c r="G1250" s="36" t="s">
        <v>8</v>
      </c>
      <c r="H1250" s="36" t="s">
        <v>8</v>
      </c>
      <c r="I1250" s="36"/>
      <c r="J1250" s="36"/>
    </row>
    <row r="1251" spans="1:10" x14ac:dyDescent="0.25">
      <c r="A1251" s="36">
        <v>1877</v>
      </c>
      <c r="B1251" s="37">
        <v>43800</v>
      </c>
      <c r="C1251" s="36"/>
      <c r="D1251" s="36"/>
      <c r="E1251" s="36" t="s">
        <v>77</v>
      </c>
      <c r="F1251" s="38">
        <v>4550175</v>
      </c>
      <c r="G1251" s="36" t="s">
        <v>8</v>
      </c>
      <c r="H1251" s="36" t="s">
        <v>8</v>
      </c>
      <c r="I1251" s="36"/>
      <c r="J1251" s="36"/>
    </row>
    <row r="1252" spans="1:10" x14ac:dyDescent="0.25">
      <c r="A1252" s="36">
        <v>1877</v>
      </c>
      <c r="B1252" s="37">
        <v>43831</v>
      </c>
      <c r="C1252" s="36"/>
      <c r="D1252" s="36"/>
      <c r="E1252" s="36" t="s">
        <v>77</v>
      </c>
      <c r="F1252" s="38">
        <v>4550175</v>
      </c>
      <c r="G1252" s="36" t="s">
        <v>8</v>
      </c>
      <c r="H1252" s="36" t="s">
        <v>8</v>
      </c>
      <c r="I1252" s="36"/>
      <c r="J1252" s="36"/>
    </row>
    <row r="1253" spans="1:10" x14ac:dyDescent="0.25">
      <c r="A1253" s="36">
        <v>1877</v>
      </c>
      <c r="B1253" s="37">
        <v>43862</v>
      </c>
      <c r="C1253" s="36"/>
      <c r="D1253" s="36"/>
      <c r="E1253" s="36" t="s">
        <v>77</v>
      </c>
      <c r="F1253" s="38">
        <v>4550175</v>
      </c>
      <c r="G1253" s="36" t="s">
        <v>8</v>
      </c>
      <c r="H1253" s="36" t="s">
        <v>8</v>
      </c>
      <c r="I1253" s="36"/>
      <c r="J1253" s="36"/>
    </row>
    <row r="1254" spans="1:10" x14ac:dyDescent="0.25">
      <c r="A1254" s="36">
        <v>1877</v>
      </c>
      <c r="B1254" s="37">
        <v>43891</v>
      </c>
      <c r="C1254" s="36"/>
      <c r="D1254" s="36"/>
      <c r="E1254" s="36" t="s">
        <v>77</v>
      </c>
      <c r="F1254" s="38">
        <v>4550175</v>
      </c>
      <c r="G1254" s="36" t="s">
        <v>8</v>
      </c>
      <c r="H1254" s="36" t="s">
        <v>8</v>
      </c>
      <c r="I1254" s="36"/>
      <c r="J1254" s="36"/>
    </row>
    <row r="1255" spans="1:10" x14ac:dyDescent="0.25">
      <c r="A1255" s="36">
        <v>1877</v>
      </c>
      <c r="B1255" s="37">
        <v>43466</v>
      </c>
      <c r="C1255" s="36"/>
      <c r="D1255" s="36"/>
      <c r="E1255" s="36" t="s">
        <v>78</v>
      </c>
      <c r="F1255" s="38">
        <v>9327858.75</v>
      </c>
      <c r="G1255" s="36" t="s">
        <v>8</v>
      </c>
      <c r="H1255" s="36" t="s">
        <v>8</v>
      </c>
      <c r="I1255" s="36"/>
      <c r="J1255" s="36"/>
    </row>
    <row r="1256" spans="1:10" x14ac:dyDescent="0.25">
      <c r="A1256" s="36">
        <v>1877</v>
      </c>
      <c r="B1256" s="37">
        <v>43497</v>
      </c>
      <c r="C1256" s="36"/>
      <c r="D1256" s="36"/>
      <c r="E1256" s="36" t="s">
        <v>78</v>
      </c>
      <c r="F1256" s="38">
        <v>9327858.75</v>
      </c>
      <c r="G1256" s="36" t="s">
        <v>8</v>
      </c>
      <c r="H1256" s="36" t="s">
        <v>8</v>
      </c>
      <c r="I1256" s="36"/>
      <c r="J1256" s="36"/>
    </row>
    <row r="1257" spans="1:10" x14ac:dyDescent="0.25">
      <c r="A1257" s="36">
        <v>1877</v>
      </c>
      <c r="B1257" s="37">
        <v>43525</v>
      </c>
      <c r="C1257" s="36"/>
      <c r="D1257" s="36"/>
      <c r="E1257" s="36" t="s">
        <v>78</v>
      </c>
      <c r="F1257" s="38">
        <v>9327858.75</v>
      </c>
      <c r="G1257" s="36" t="s">
        <v>8</v>
      </c>
      <c r="H1257" s="36" t="s">
        <v>8</v>
      </c>
      <c r="I1257" s="36"/>
      <c r="J1257" s="36"/>
    </row>
    <row r="1258" spans="1:10" x14ac:dyDescent="0.25">
      <c r="A1258" s="36">
        <v>1877</v>
      </c>
      <c r="B1258" s="37">
        <v>43556</v>
      </c>
      <c r="C1258" s="36"/>
      <c r="D1258" s="36"/>
      <c r="E1258" s="36" t="s">
        <v>78</v>
      </c>
      <c r="F1258" s="38">
        <v>9327858.75</v>
      </c>
      <c r="G1258" s="36" t="s">
        <v>8</v>
      </c>
      <c r="H1258" s="36" t="s">
        <v>8</v>
      </c>
      <c r="I1258" s="36"/>
      <c r="J1258" s="36"/>
    </row>
    <row r="1259" spans="1:10" x14ac:dyDescent="0.25">
      <c r="A1259" s="36">
        <v>1877</v>
      </c>
      <c r="B1259" s="37">
        <v>43586</v>
      </c>
      <c r="C1259" s="36"/>
      <c r="D1259" s="36"/>
      <c r="E1259" s="36" t="s">
        <v>78</v>
      </c>
      <c r="F1259" s="38">
        <v>9327858.75</v>
      </c>
      <c r="G1259" s="36" t="s">
        <v>8</v>
      </c>
      <c r="H1259" s="36" t="s">
        <v>8</v>
      </c>
      <c r="I1259" s="36"/>
      <c r="J1259" s="36"/>
    </row>
    <row r="1260" spans="1:10" x14ac:dyDescent="0.25">
      <c r="A1260" s="36">
        <v>1877</v>
      </c>
      <c r="B1260" s="37">
        <v>43617</v>
      </c>
      <c r="C1260" s="36"/>
      <c r="D1260" s="36"/>
      <c r="E1260" s="36" t="s">
        <v>78</v>
      </c>
      <c r="F1260" s="38">
        <v>9327858.75</v>
      </c>
      <c r="G1260" s="36" t="s">
        <v>8</v>
      </c>
      <c r="H1260" s="36" t="s">
        <v>8</v>
      </c>
      <c r="I1260" s="36"/>
      <c r="J1260" s="36"/>
    </row>
    <row r="1261" spans="1:10" x14ac:dyDescent="0.25">
      <c r="A1261" s="36">
        <v>1877</v>
      </c>
      <c r="B1261" s="37">
        <v>43647</v>
      </c>
      <c r="C1261" s="36"/>
      <c r="D1261" s="36"/>
      <c r="E1261" s="36" t="s">
        <v>78</v>
      </c>
      <c r="F1261" s="38">
        <v>9327858.75</v>
      </c>
      <c r="G1261" s="36" t="s">
        <v>8</v>
      </c>
      <c r="H1261" s="36" t="s">
        <v>8</v>
      </c>
      <c r="I1261" s="36"/>
      <c r="J1261" s="36"/>
    </row>
    <row r="1262" spans="1:10" x14ac:dyDescent="0.25">
      <c r="A1262" s="36">
        <v>1877</v>
      </c>
      <c r="B1262" s="37">
        <v>43678</v>
      </c>
      <c r="C1262" s="36"/>
      <c r="D1262" s="36"/>
      <c r="E1262" s="36" t="s">
        <v>78</v>
      </c>
      <c r="F1262" s="38">
        <v>9327858.75</v>
      </c>
      <c r="G1262" s="36" t="s">
        <v>8</v>
      </c>
      <c r="H1262" s="36" t="s">
        <v>8</v>
      </c>
      <c r="I1262" s="36"/>
      <c r="J1262" s="36"/>
    </row>
    <row r="1263" spans="1:10" x14ac:dyDescent="0.25">
      <c r="A1263" s="36">
        <v>1877</v>
      </c>
      <c r="B1263" s="37">
        <v>43466</v>
      </c>
      <c r="C1263" s="36"/>
      <c r="D1263" s="36"/>
      <c r="E1263" s="36" t="s">
        <v>79</v>
      </c>
      <c r="F1263" s="38">
        <v>9327858.75</v>
      </c>
      <c r="G1263" s="36" t="s">
        <v>8</v>
      </c>
      <c r="H1263" s="36" t="s">
        <v>8</v>
      </c>
      <c r="I1263" s="36"/>
      <c r="J1263" s="36"/>
    </row>
    <row r="1264" spans="1:10" x14ac:dyDescent="0.25">
      <c r="A1264" s="36">
        <v>1877</v>
      </c>
      <c r="B1264" s="37">
        <v>43497</v>
      </c>
      <c r="C1264" s="36"/>
      <c r="D1264" s="36"/>
      <c r="E1264" s="36" t="s">
        <v>79</v>
      </c>
      <c r="F1264" s="38">
        <v>9327858.75</v>
      </c>
      <c r="G1264" s="36" t="s">
        <v>8</v>
      </c>
      <c r="H1264" s="36" t="s">
        <v>8</v>
      </c>
      <c r="I1264" s="36"/>
      <c r="J1264" s="36"/>
    </row>
    <row r="1265" spans="1:10" x14ac:dyDescent="0.25">
      <c r="A1265" s="36">
        <v>1877</v>
      </c>
      <c r="B1265" s="37">
        <v>43466</v>
      </c>
      <c r="C1265" s="36"/>
      <c r="D1265" s="36"/>
      <c r="E1265" s="36" t="s">
        <v>80</v>
      </c>
      <c r="F1265" s="38">
        <v>4899387.3232500004</v>
      </c>
      <c r="G1265" s="36" t="s">
        <v>8</v>
      </c>
      <c r="H1265" s="36" t="s">
        <v>8</v>
      </c>
      <c r="I1265" s="36"/>
      <c r="J1265" s="36"/>
    </row>
    <row r="1266" spans="1:10" x14ac:dyDescent="0.25">
      <c r="A1266" s="36">
        <v>1877</v>
      </c>
      <c r="B1266" s="37">
        <v>43497</v>
      </c>
      <c r="C1266" s="36"/>
      <c r="D1266" s="36"/>
      <c r="E1266" s="36" t="s">
        <v>80</v>
      </c>
      <c r="F1266" s="38">
        <v>4899387.3232500004</v>
      </c>
      <c r="G1266" s="36" t="s">
        <v>8</v>
      </c>
      <c r="H1266" s="36" t="s">
        <v>8</v>
      </c>
      <c r="I1266" s="36"/>
      <c r="J1266" s="36"/>
    </row>
    <row r="1267" spans="1:10" x14ac:dyDescent="0.25">
      <c r="A1267" s="36">
        <v>1877</v>
      </c>
      <c r="B1267" s="37">
        <v>43525</v>
      </c>
      <c r="C1267" s="36"/>
      <c r="D1267" s="36"/>
      <c r="E1267" s="36" t="s">
        <v>80</v>
      </c>
      <c r="F1267" s="38">
        <v>4899387.3232500004</v>
      </c>
      <c r="G1267" s="36" t="s">
        <v>8</v>
      </c>
      <c r="H1267" s="36" t="s">
        <v>8</v>
      </c>
      <c r="I1267" s="36"/>
      <c r="J1267" s="36"/>
    </row>
    <row r="1268" spans="1:10" x14ac:dyDescent="0.25">
      <c r="A1268" s="36">
        <v>1877</v>
      </c>
      <c r="B1268" s="37">
        <v>43556</v>
      </c>
      <c r="C1268" s="36"/>
      <c r="D1268" s="36"/>
      <c r="E1268" s="36" t="s">
        <v>80</v>
      </c>
      <c r="F1268" s="38">
        <v>4899387.3232500004</v>
      </c>
      <c r="G1268" s="36" t="s">
        <v>8</v>
      </c>
      <c r="H1268" s="36" t="s">
        <v>8</v>
      </c>
      <c r="I1268" s="36"/>
      <c r="J1268" s="36"/>
    </row>
    <row r="1269" spans="1:10" x14ac:dyDescent="0.25">
      <c r="A1269" s="36">
        <v>1877</v>
      </c>
      <c r="B1269" s="37">
        <v>43586</v>
      </c>
      <c r="C1269" s="36"/>
      <c r="D1269" s="36"/>
      <c r="E1269" s="36" t="s">
        <v>80</v>
      </c>
      <c r="F1269" s="38">
        <v>4899387.3232500004</v>
      </c>
      <c r="G1269" s="36" t="s">
        <v>8</v>
      </c>
      <c r="H1269" s="36" t="s">
        <v>8</v>
      </c>
      <c r="I1269" s="36"/>
      <c r="J1269" s="36"/>
    </row>
    <row r="1270" spans="1:10" x14ac:dyDescent="0.25">
      <c r="A1270" s="36">
        <v>1877</v>
      </c>
      <c r="B1270" s="37">
        <v>43617</v>
      </c>
      <c r="C1270" s="36"/>
      <c r="D1270" s="36"/>
      <c r="E1270" s="36" t="s">
        <v>80</v>
      </c>
      <c r="F1270" s="38">
        <v>4899387.3232500004</v>
      </c>
      <c r="G1270" s="36" t="s">
        <v>8</v>
      </c>
      <c r="H1270" s="36" t="s">
        <v>8</v>
      </c>
      <c r="I1270" s="36"/>
      <c r="J1270" s="36"/>
    </row>
    <row r="1271" spans="1:10" x14ac:dyDescent="0.25">
      <c r="A1271" s="36">
        <v>1877</v>
      </c>
      <c r="B1271" s="37">
        <v>43647</v>
      </c>
      <c r="C1271" s="36"/>
      <c r="D1271" s="36"/>
      <c r="E1271" s="36" t="s">
        <v>80</v>
      </c>
      <c r="F1271" s="38">
        <v>4899387.3232500004</v>
      </c>
      <c r="G1271" s="36" t="s">
        <v>8</v>
      </c>
      <c r="H1271" s="36" t="s">
        <v>8</v>
      </c>
      <c r="I1271" s="36"/>
      <c r="J1271" s="36"/>
    </row>
    <row r="1272" spans="1:10" x14ac:dyDescent="0.25">
      <c r="A1272" s="36">
        <v>1877</v>
      </c>
      <c r="B1272" s="37">
        <v>43678</v>
      </c>
      <c r="C1272" s="36"/>
      <c r="D1272" s="36"/>
      <c r="E1272" s="36" t="s">
        <v>80</v>
      </c>
      <c r="F1272" s="38">
        <v>4899387.3232500004</v>
      </c>
      <c r="G1272" s="36" t="s">
        <v>8</v>
      </c>
      <c r="H1272" s="36" t="s">
        <v>8</v>
      </c>
      <c r="I1272" s="36"/>
      <c r="J1272" s="36"/>
    </row>
    <row r="1273" spans="1:10" x14ac:dyDescent="0.25">
      <c r="A1273" s="36">
        <v>1877</v>
      </c>
      <c r="B1273" s="37">
        <v>43709</v>
      </c>
      <c r="C1273" s="36"/>
      <c r="D1273" s="36"/>
      <c r="E1273" s="36" t="s">
        <v>80</v>
      </c>
      <c r="F1273" s="38">
        <v>4899387.3232500004</v>
      </c>
      <c r="G1273" s="36" t="s">
        <v>8</v>
      </c>
      <c r="H1273" s="36" t="s">
        <v>8</v>
      </c>
      <c r="I1273" s="36"/>
      <c r="J1273" s="36"/>
    </row>
    <row r="1274" spans="1:10" x14ac:dyDescent="0.25">
      <c r="A1274" s="36">
        <v>1877</v>
      </c>
      <c r="B1274" s="37">
        <v>43739</v>
      </c>
      <c r="C1274" s="36"/>
      <c r="D1274" s="36"/>
      <c r="E1274" s="36" t="s">
        <v>80</v>
      </c>
      <c r="F1274" s="38">
        <v>4899387.3232500004</v>
      </c>
      <c r="G1274" s="36" t="s">
        <v>8</v>
      </c>
      <c r="H1274" s="36" t="s">
        <v>8</v>
      </c>
      <c r="I1274" s="36"/>
      <c r="J1274" s="36"/>
    </row>
    <row r="1275" spans="1:10" x14ac:dyDescent="0.25">
      <c r="A1275" s="36">
        <v>1877</v>
      </c>
      <c r="B1275" s="37">
        <v>43770</v>
      </c>
      <c r="C1275" s="36"/>
      <c r="D1275" s="36"/>
      <c r="E1275" s="36" t="s">
        <v>80</v>
      </c>
      <c r="F1275" s="38">
        <v>4899387.3232500004</v>
      </c>
      <c r="G1275" s="36" t="s">
        <v>8</v>
      </c>
      <c r="H1275" s="36" t="s">
        <v>8</v>
      </c>
      <c r="I1275" s="36"/>
      <c r="J1275" s="36"/>
    </row>
    <row r="1276" spans="1:10" x14ac:dyDescent="0.25">
      <c r="A1276" s="36">
        <v>1877</v>
      </c>
      <c r="B1276" s="37">
        <v>43800</v>
      </c>
      <c r="C1276" s="36"/>
      <c r="D1276" s="36"/>
      <c r="E1276" s="36" t="s">
        <v>80</v>
      </c>
      <c r="F1276" s="38">
        <v>4899387.3232500004</v>
      </c>
      <c r="G1276" s="36" t="s">
        <v>8</v>
      </c>
      <c r="H1276" s="36" t="s">
        <v>8</v>
      </c>
      <c r="I1276" s="36"/>
      <c r="J1276" s="36"/>
    </row>
    <row r="1277" spans="1:10" x14ac:dyDescent="0.25">
      <c r="A1277" s="36">
        <v>1877</v>
      </c>
      <c r="B1277" s="37">
        <v>43466</v>
      </c>
      <c r="C1277" s="36"/>
      <c r="D1277" s="36"/>
      <c r="E1277" s="36" t="s">
        <v>81</v>
      </c>
      <c r="F1277" s="38">
        <v>4899387.3232500004</v>
      </c>
      <c r="G1277" s="36" t="s">
        <v>8</v>
      </c>
      <c r="H1277" s="36" t="s">
        <v>8</v>
      </c>
      <c r="I1277" s="36"/>
      <c r="J1277" s="36"/>
    </row>
    <row r="1278" spans="1:10" x14ac:dyDescent="0.25">
      <c r="A1278" s="36">
        <v>1877</v>
      </c>
      <c r="B1278" s="37">
        <v>43497</v>
      </c>
      <c r="C1278" s="36"/>
      <c r="D1278" s="36"/>
      <c r="E1278" s="36" t="s">
        <v>81</v>
      </c>
      <c r="F1278" s="38">
        <v>4899387.3232500004</v>
      </c>
      <c r="G1278" s="36" t="s">
        <v>8</v>
      </c>
      <c r="H1278" s="36" t="s">
        <v>8</v>
      </c>
      <c r="I1278" s="36"/>
      <c r="J1278" s="36"/>
    </row>
    <row r="1279" spans="1:10" x14ac:dyDescent="0.25">
      <c r="A1279" s="36">
        <v>1877</v>
      </c>
      <c r="B1279" s="37">
        <v>43525</v>
      </c>
      <c r="C1279" s="36"/>
      <c r="D1279" s="36"/>
      <c r="E1279" s="36" t="s">
        <v>81</v>
      </c>
      <c r="F1279" s="38">
        <v>4899387.3232500004</v>
      </c>
      <c r="G1279" s="36" t="s">
        <v>8</v>
      </c>
      <c r="H1279" s="36" t="s">
        <v>8</v>
      </c>
      <c r="I1279" s="36"/>
      <c r="J1279" s="36"/>
    </row>
    <row r="1280" spans="1:10" x14ac:dyDescent="0.25">
      <c r="A1280" s="36">
        <v>1877</v>
      </c>
      <c r="B1280" s="37">
        <v>43556</v>
      </c>
      <c r="C1280" s="36"/>
      <c r="D1280" s="36"/>
      <c r="E1280" s="36" t="s">
        <v>81</v>
      </c>
      <c r="F1280" s="38">
        <v>4899387.3232500004</v>
      </c>
      <c r="G1280" s="36" t="s">
        <v>8</v>
      </c>
      <c r="H1280" s="36" t="s">
        <v>8</v>
      </c>
      <c r="I1280" s="36"/>
      <c r="J1280" s="36"/>
    </row>
    <row r="1281" spans="1:10" x14ac:dyDescent="0.25">
      <c r="A1281" s="36">
        <v>1877</v>
      </c>
      <c r="B1281" s="37">
        <v>43586</v>
      </c>
      <c r="C1281" s="36"/>
      <c r="D1281" s="36"/>
      <c r="E1281" s="36" t="s">
        <v>81</v>
      </c>
      <c r="F1281" s="38">
        <v>4899387.3232500004</v>
      </c>
      <c r="G1281" s="36" t="s">
        <v>8</v>
      </c>
      <c r="H1281" s="36" t="s">
        <v>8</v>
      </c>
      <c r="I1281" s="36"/>
      <c r="J1281" s="36"/>
    </row>
    <row r="1282" spans="1:10" x14ac:dyDescent="0.25">
      <c r="A1282" s="36">
        <v>1877</v>
      </c>
      <c r="B1282" s="37">
        <v>43617</v>
      </c>
      <c r="C1282" s="36"/>
      <c r="D1282" s="36"/>
      <c r="E1282" s="36" t="s">
        <v>81</v>
      </c>
      <c r="F1282" s="38">
        <v>4899387.3232500004</v>
      </c>
      <c r="G1282" s="36" t="s">
        <v>8</v>
      </c>
      <c r="H1282" s="36" t="s">
        <v>8</v>
      </c>
      <c r="I1282" s="36"/>
      <c r="J1282" s="36"/>
    </row>
    <row r="1283" spans="1:10" x14ac:dyDescent="0.25">
      <c r="A1283" s="36">
        <v>1877</v>
      </c>
      <c r="B1283" s="37">
        <v>43647</v>
      </c>
      <c r="C1283" s="36"/>
      <c r="D1283" s="36"/>
      <c r="E1283" s="36" t="s">
        <v>81</v>
      </c>
      <c r="F1283" s="38">
        <v>4899387.3232500004</v>
      </c>
      <c r="G1283" s="36" t="s">
        <v>8</v>
      </c>
      <c r="H1283" s="36" t="s">
        <v>8</v>
      </c>
      <c r="I1283" s="36"/>
      <c r="J1283" s="36"/>
    </row>
    <row r="1284" spans="1:10" x14ac:dyDescent="0.25">
      <c r="A1284" s="36">
        <v>1877</v>
      </c>
      <c r="B1284" s="37">
        <v>43466</v>
      </c>
      <c r="C1284" s="36"/>
      <c r="D1284" s="36"/>
      <c r="E1284" s="36" t="s">
        <v>74</v>
      </c>
      <c r="F1284" s="38">
        <v>3629175.7949999999</v>
      </c>
      <c r="G1284" s="36" t="s">
        <v>8</v>
      </c>
      <c r="H1284" s="36" t="s">
        <v>8</v>
      </c>
      <c r="I1284" s="36"/>
      <c r="J1284" s="36"/>
    </row>
    <row r="1285" spans="1:10" x14ac:dyDescent="0.25">
      <c r="A1285" s="36">
        <v>1877</v>
      </c>
      <c r="B1285" s="37">
        <v>43497</v>
      </c>
      <c r="C1285" s="36"/>
      <c r="D1285" s="36"/>
      <c r="E1285" s="36" t="s">
        <v>74</v>
      </c>
      <c r="F1285" s="38">
        <v>3629175.7949999999</v>
      </c>
      <c r="G1285" s="36" t="s">
        <v>8</v>
      </c>
      <c r="H1285" s="36" t="s">
        <v>8</v>
      </c>
      <c r="I1285" s="36"/>
      <c r="J1285" s="36"/>
    </row>
    <row r="1286" spans="1:10" x14ac:dyDescent="0.25">
      <c r="A1286" s="36">
        <v>1877</v>
      </c>
      <c r="B1286" s="37">
        <v>43525</v>
      </c>
      <c r="C1286" s="36"/>
      <c r="D1286" s="36"/>
      <c r="E1286" s="36" t="s">
        <v>74</v>
      </c>
      <c r="F1286" s="38">
        <v>3629175.7949999999</v>
      </c>
      <c r="G1286" s="36" t="s">
        <v>8</v>
      </c>
      <c r="H1286" s="36" t="s">
        <v>8</v>
      </c>
      <c r="I1286" s="36"/>
      <c r="J1286" s="36"/>
    </row>
    <row r="1287" spans="1:10" x14ac:dyDescent="0.25">
      <c r="A1287" s="36">
        <v>1877</v>
      </c>
      <c r="B1287" s="37">
        <v>43556</v>
      </c>
      <c r="C1287" s="36"/>
      <c r="D1287" s="36"/>
      <c r="E1287" s="36" t="s">
        <v>74</v>
      </c>
      <c r="F1287" s="38">
        <v>3629175.7949999999</v>
      </c>
      <c r="G1287" s="36" t="s">
        <v>8</v>
      </c>
      <c r="H1287" s="36" t="s">
        <v>8</v>
      </c>
      <c r="I1287" s="36"/>
      <c r="J1287" s="36"/>
    </row>
    <row r="1288" spans="1:10" x14ac:dyDescent="0.25">
      <c r="A1288" s="36">
        <v>1877</v>
      </c>
      <c r="B1288" s="37">
        <v>43586</v>
      </c>
      <c r="C1288" s="36"/>
      <c r="D1288" s="36"/>
      <c r="E1288" s="36" t="s">
        <v>74</v>
      </c>
      <c r="F1288" s="38">
        <v>3629175.7949999999</v>
      </c>
      <c r="G1288" s="36" t="s">
        <v>8</v>
      </c>
      <c r="H1288" s="36" t="s">
        <v>8</v>
      </c>
      <c r="I1288" s="36"/>
      <c r="J1288" s="36"/>
    </row>
    <row r="1289" spans="1:10" x14ac:dyDescent="0.25">
      <c r="A1289" s="36">
        <v>1877</v>
      </c>
      <c r="B1289" s="37">
        <v>43617</v>
      </c>
      <c r="C1289" s="36"/>
      <c r="D1289" s="36"/>
      <c r="E1289" s="36" t="s">
        <v>74</v>
      </c>
      <c r="F1289" s="38">
        <v>3629175.7949999999</v>
      </c>
      <c r="G1289" s="36" t="s">
        <v>8</v>
      </c>
      <c r="H1289" s="36" t="s">
        <v>8</v>
      </c>
      <c r="I1289" s="36"/>
      <c r="J1289" s="36"/>
    </row>
    <row r="1290" spans="1:10" x14ac:dyDescent="0.25">
      <c r="A1290" s="36">
        <v>1877</v>
      </c>
      <c r="B1290" s="37">
        <v>43647</v>
      </c>
      <c r="C1290" s="36"/>
      <c r="D1290" s="36"/>
      <c r="E1290" s="36" t="s">
        <v>74</v>
      </c>
      <c r="F1290" s="38">
        <v>3629175.7949999999</v>
      </c>
      <c r="G1290" s="36" t="s">
        <v>8</v>
      </c>
      <c r="H1290" s="36" t="s">
        <v>8</v>
      </c>
      <c r="I1290" s="36"/>
      <c r="J1290" s="36"/>
    </row>
    <row r="1291" spans="1:10" x14ac:dyDescent="0.25">
      <c r="A1291" s="36">
        <v>1877</v>
      </c>
      <c r="B1291" s="37">
        <v>43678</v>
      </c>
      <c r="C1291" s="36"/>
      <c r="D1291" s="36"/>
      <c r="E1291" s="36" t="s">
        <v>74</v>
      </c>
      <c r="F1291" s="38">
        <v>3629175.7949999999</v>
      </c>
      <c r="G1291" s="36" t="s">
        <v>8</v>
      </c>
      <c r="H1291" s="36" t="s">
        <v>8</v>
      </c>
      <c r="I1291" s="36"/>
      <c r="J1291" s="36"/>
    </row>
    <row r="1292" spans="1:10" x14ac:dyDescent="0.25">
      <c r="A1292" s="36">
        <v>1877</v>
      </c>
      <c r="B1292" s="37">
        <v>43466</v>
      </c>
      <c r="C1292" s="36"/>
      <c r="D1292" s="36"/>
      <c r="E1292" s="36" t="s">
        <v>82</v>
      </c>
      <c r="F1292" s="38">
        <v>3690632.1209625001</v>
      </c>
      <c r="G1292" s="36" t="s">
        <v>8</v>
      </c>
      <c r="H1292" s="36" t="s">
        <v>8</v>
      </c>
      <c r="I1292" s="36"/>
      <c r="J1292" s="36"/>
    </row>
    <row r="1293" spans="1:10" x14ac:dyDescent="0.25">
      <c r="A1293" s="36">
        <v>1877</v>
      </c>
      <c r="B1293" s="37">
        <v>43497</v>
      </c>
      <c r="C1293" s="36"/>
      <c r="D1293" s="36"/>
      <c r="E1293" s="36" t="s">
        <v>82</v>
      </c>
      <c r="F1293" s="38">
        <v>3690632.1209625001</v>
      </c>
      <c r="G1293" s="36" t="s">
        <v>8</v>
      </c>
      <c r="H1293" s="36" t="s">
        <v>8</v>
      </c>
      <c r="I1293" s="36"/>
      <c r="J1293" s="36"/>
    </row>
    <row r="1294" spans="1:10" x14ac:dyDescent="0.25">
      <c r="A1294" s="36">
        <v>1877</v>
      </c>
      <c r="B1294" s="37">
        <v>43525</v>
      </c>
      <c r="C1294" s="36"/>
      <c r="D1294" s="36"/>
      <c r="E1294" s="36" t="s">
        <v>82</v>
      </c>
      <c r="F1294" s="38">
        <v>3690632.1209625001</v>
      </c>
      <c r="G1294" s="36" t="s">
        <v>8</v>
      </c>
      <c r="H1294" s="36" t="s">
        <v>8</v>
      </c>
      <c r="I1294" s="36"/>
      <c r="J1294" s="36"/>
    </row>
    <row r="1295" spans="1:10" x14ac:dyDescent="0.25">
      <c r="A1295" s="36">
        <v>1877</v>
      </c>
      <c r="B1295" s="37">
        <v>43556</v>
      </c>
      <c r="C1295" s="36"/>
      <c r="D1295" s="36"/>
      <c r="E1295" s="36" t="s">
        <v>82</v>
      </c>
      <c r="F1295" s="38">
        <v>3690632.1209625001</v>
      </c>
      <c r="G1295" s="36" t="s">
        <v>8</v>
      </c>
      <c r="H1295" s="36" t="s">
        <v>8</v>
      </c>
      <c r="I1295" s="36"/>
      <c r="J1295" s="36"/>
    </row>
    <row r="1296" spans="1:10" x14ac:dyDescent="0.25">
      <c r="A1296" s="36">
        <v>1877</v>
      </c>
      <c r="B1296" s="37">
        <v>43586</v>
      </c>
      <c r="C1296" s="36"/>
      <c r="D1296" s="36"/>
      <c r="E1296" s="36" t="s">
        <v>82</v>
      </c>
      <c r="F1296" s="38">
        <v>3690632.1209625001</v>
      </c>
      <c r="G1296" s="36" t="s">
        <v>8</v>
      </c>
      <c r="H1296" s="36" t="s">
        <v>8</v>
      </c>
      <c r="I1296" s="36"/>
      <c r="J1296" s="36"/>
    </row>
    <row r="1297" spans="1:10" x14ac:dyDescent="0.25">
      <c r="A1297" s="36">
        <v>1877</v>
      </c>
      <c r="B1297" s="37">
        <v>43617</v>
      </c>
      <c r="C1297" s="36"/>
      <c r="D1297" s="36"/>
      <c r="E1297" s="36" t="s">
        <v>82</v>
      </c>
      <c r="F1297" s="38">
        <v>3690632.1209625001</v>
      </c>
      <c r="G1297" s="36" t="s">
        <v>8</v>
      </c>
      <c r="H1297" s="36" t="s">
        <v>8</v>
      </c>
      <c r="I1297" s="36"/>
      <c r="J1297" s="36"/>
    </row>
    <row r="1298" spans="1:10" x14ac:dyDescent="0.25">
      <c r="A1298" s="36">
        <v>1877</v>
      </c>
      <c r="B1298" s="37">
        <v>43647</v>
      </c>
      <c r="C1298" s="36"/>
      <c r="D1298" s="36"/>
      <c r="E1298" s="36" t="s">
        <v>82</v>
      </c>
      <c r="F1298" s="38">
        <v>3690632.1209625001</v>
      </c>
      <c r="G1298" s="36" t="s">
        <v>8</v>
      </c>
      <c r="H1298" s="36" t="s">
        <v>8</v>
      </c>
      <c r="I1298" s="36"/>
      <c r="J1298" s="36"/>
    </row>
    <row r="1299" spans="1:10" x14ac:dyDescent="0.25">
      <c r="A1299" s="36">
        <v>1877</v>
      </c>
      <c r="B1299" s="37">
        <v>43678</v>
      </c>
      <c r="C1299" s="36"/>
      <c r="D1299" s="36"/>
      <c r="E1299" s="36" t="s">
        <v>82</v>
      </c>
      <c r="F1299" s="38">
        <v>3690632.1209625001</v>
      </c>
      <c r="G1299" s="36" t="s">
        <v>8</v>
      </c>
      <c r="H1299" s="36" t="s">
        <v>8</v>
      </c>
      <c r="I1299" s="36"/>
      <c r="J1299" s="36"/>
    </row>
    <row r="1300" spans="1:10" x14ac:dyDescent="0.25">
      <c r="A1300" s="36">
        <v>1877</v>
      </c>
      <c r="B1300" s="37">
        <v>43709</v>
      </c>
      <c r="C1300" s="36"/>
      <c r="D1300" s="36"/>
      <c r="E1300" s="36" t="s">
        <v>82</v>
      </c>
      <c r="F1300" s="38">
        <v>3690632.1209625001</v>
      </c>
      <c r="G1300" s="36" t="s">
        <v>8</v>
      </c>
      <c r="H1300" s="36" t="s">
        <v>8</v>
      </c>
      <c r="I1300" s="36"/>
      <c r="J1300" s="36"/>
    </row>
    <row r="1301" spans="1:10" x14ac:dyDescent="0.25">
      <c r="A1301" s="36">
        <v>1877</v>
      </c>
      <c r="B1301" s="37">
        <v>43739</v>
      </c>
      <c r="C1301" s="36"/>
      <c r="D1301" s="36"/>
      <c r="E1301" s="36" t="s">
        <v>82</v>
      </c>
      <c r="F1301" s="38">
        <v>3690632.1209625001</v>
      </c>
      <c r="G1301" s="36" t="s">
        <v>8</v>
      </c>
      <c r="H1301" s="36" t="s">
        <v>8</v>
      </c>
      <c r="I1301" s="36"/>
      <c r="J1301" s="36"/>
    </row>
    <row r="1302" spans="1:10" x14ac:dyDescent="0.25">
      <c r="A1302" s="36">
        <v>1877</v>
      </c>
      <c r="B1302" s="37">
        <v>43466</v>
      </c>
      <c r="C1302" s="36"/>
      <c r="D1302" s="36"/>
      <c r="E1302" s="36" t="s">
        <v>19</v>
      </c>
      <c r="F1302" s="38">
        <v>4935876.75</v>
      </c>
      <c r="G1302" s="36" t="s">
        <v>8</v>
      </c>
      <c r="H1302" s="36" t="s">
        <v>8</v>
      </c>
      <c r="I1302" s="36"/>
      <c r="J1302" s="36"/>
    </row>
    <row r="1303" spans="1:10" x14ac:dyDescent="0.25">
      <c r="A1303" s="36">
        <v>1877</v>
      </c>
      <c r="B1303" s="37">
        <v>43497</v>
      </c>
      <c r="C1303" s="36"/>
      <c r="D1303" s="36"/>
      <c r="E1303" s="36" t="s">
        <v>19</v>
      </c>
      <c r="F1303" s="38">
        <v>4935876.75</v>
      </c>
      <c r="G1303" s="36" t="s">
        <v>8</v>
      </c>
      <c r="H1303" s="36" t="s">
        <v>8</v>
      </c>
      <c r="I1303" s="36"/>
      <c r="J1303" s="36"/>
    </row>
    <row r="1304" spans="1:10" x14ac:dyDescent="0.25">
      <c r="A1304" s="36">
        <v>1877</v>
      </c>
      <c r="B1304" s="37">
        <v>43525</v>
      </c>
      <c r="C1304" s="36"/>
      <c r="D1304" s="36"/>
      <c r="E1304" s="36" t="s">
        <v>19</v>
      </c>
      <c r="F1304" s="38">
        <v>4935876.75</v>
      </c>
      <c r="G1304" s="36" t="s">
        <v>8</v>
      </c>
      <c r="H1304" s="36" t="s">
        <v>8</v>
      </c>
      <c r="I1304" s="36"/>
      <c r="J1304" s="36"/>
    </row>
    <row r="1305" spans="1:10" x14ac:dyDescent="0.25">
      <c r="A1305" s="36">
        <v>1877</v>
      </c>
      <c r="B1305" s="37">
        <v>43556</v>
      </c>
      <c r="C1305" s="36"/>
      <c r="D1305" s="36"/>
      <c r="E1305" s="36" t="s">
        <v>19</v>
      </c>
      <c r="F1305" s="38">
        <v>4935876.75</v>
      </c>
      <c r="G1305" s="36" t="s">
        <v>8</v>
      </c>
      <c r="H1305" s="36" t="s">
        <v>8</v>
      </c>
      <c r="I1305" s="36"/>
      <c r="J1305" s="36"/>
    </row>
    <row r="1306" spans="1:10" x14ac:dyDescent="0.25">
      <c r="A1306" s="36">
        <v>1877</v>
      </c>
      <c r="B1306" s="37">
        <v>43586</v>
      </c>
      <c r="C1306" s="36"/>
      <c r="D1306" s="36"/>
      <c r="E1306" s="36" t="s">
        <v>19</v>
      </c>
      <c r="F1306" s="38">
        <v>4935876.75</v>
      </c>
      <c r="G1306" s="36" t="s">
        <v>8</v>
      </c>
      <c r="H1306" s="36" t="s">
        <v>8</v>
      </c>
      <c r="I1306" s="36"/>
      <c r="J1306" s="36"/>
    </row>
    <row r="1307" spans="1:10" x14ac:dyDescent="0.25">
      <c r="A1307" s="36">
        <v>1877</v>
      </c>
      <c r="B1307" s="37">
        <v>43617</v>
      </c>
      <c r="C1307" s="36"/>
      <c r="D1307" s="36"/>
      <c r="E1307" s="36" t="s">
        <v>19</v>
      </c>
      <c r="F1307" s="38">
        <v>4935876.75</v>
      </c>
      <c r="G1307" s="36" t="s">
        <v>8</v>
      </c>
      <c r="H1307" s="36" t="s">
        <v>8</v>
      </c>
      <c r="I1307" s="36"/>
      <c r="J1307" s="36"/>
    </row>
    <row r="1308" spans="1:10" x14ac:dyDescent="0.25">
      <c r="A1308" s="36">
        <v>1877</v>
      </c>
      <c r="B1308" s="37">
        <v>43647</v>
      </c>
      <c r="C1308" s="36"/>
      <c r="D1308" s="36"/>
      <c r="E1308" s="36" t="s">
        <v>19</v>
      </c>
      <c r="F1308" s="38">
        <v>4935876.75</v>
      </c>
      <c r="G1308" s="36" t="s">
        <v>8</v>
      </c>
      <c r="H1308" s="36" t="s">
        <v>8</v>
      </c>
      <c r="I1308" s="36"/>
      <c r="J1308" s="36"/>
    </row>
    <row r="1309" spans="1:10" x14ac:dyDescent="0.25">
      <c r="A1309" s="36">
        <v>1877</v>
      </c>
      <c r="B1309" s="37">
        <v>43678</v>
      </c>
      <c r="C1309" s="36"/>
      <c r="D1309" s="36"/>
      <c r="E1309" s="36" t="s">
        <v>19</v>
      </c>
      <c r="F1309" s="38">
        <v>4935876.75</v>
      </c>
      <c r="G1309" s="36" t="s">
        <v>8</v>
      </c>
      <c r="H1309" s="36" t="s">
        <v>8</v>
      </c>
      <c r="I1309" s="36"/>
      <c r="J1309" s="36"/>
    </row>
    <row r="1310" spans="1:10" x14ac:dyDescent="0.25">
      <c r="A1310" s="36">
        <v>1856</v>
      </c>
      <c r="B1310" s="37">
        <v>43466</v>
      </c>
      <c r="C1310" s="36"/>
      <c r="D1310" s="36"/>
      <c r="E1310" s="36" t="s">
        <v>19</v>
      </c>
      <c r="F1310" s="38">
        <v>3771772.7985</v>
      </c>
      <c r="G1310" s="36" t="s">
        <v>8</v>
      </c>
      <c r="H1310" s="36" t="s">
        <v>228</v>
      </c>
      <c r="I1310" s="36"/>
      <c r="J1310" s="36"/>
    </row>
    <row r="1311" spans="1:10" x14ac:dyDescent="0.25">
      <c r="A1311" s="36">
        <v>1856</v>
      </c>
      <c r="B1311" s="37">
        <v>43497</v>
      </c>
      <c r="C1311" s="36"/>
      <c r="D1311" s="36"/>
      <c r="E1311" s="36" t="s">
        <v>19</v>
      </c>
      <c r="F1311" s="38">
        <v>3771772.7985</v>
      </c>
      <c r="G1311" s="36" t="s">
        <v>8</v>
      </c>
      <c r="H1311" s="36" t="s">
        <v>228</v>
      </c>
      <c r="I1311" s="36"/>
      <c r="J1311" s="36"/>
    </row>
    <row r="1312" spans="1:10" x14ac:dyDescent="0.25">
      <c r="A1312" s="36">
        <v>1856</v>
      </c>
      <c r="B1312" s="37">
        <v>43525</v>
      </c>
      <c r="C1312" s="36"/>
      <c r="D1312" s="36"/>
      <c r="E1312" s="36" t="s">
        <v>19</v>
      </c>
      <c r="F1312" s="38">
        <v>3771772.7985</v>
      </c>
      <c r="G1312" s="36" t="s">
        <v>8</v>
      </c>
      <c r="H1312" s="36" t="s">
        <v>228</v>
      </c>
      <c r="I1312" s="36"/>
      <c r="J1312" s="36"/>
    </row>
    <row r="1313" spans="1:10" x14ac:dyDescent="0.25">
      <c r="A1313" s="36">
        <v>1856</v>
      </c>
      <c r="B1313" s="37">
        <v>43556</v>
      </c>
      <c r="C1313" s="36"/>
      <c r="D1313" s="36"/>
      <c r="E1313" s="36" t="s">
        <v>19</v>
      </c>
      <c r="F1313" s="38">
        <v>3771772.7985</v>
      </c>
      <c r="G1313" s="36" t="s">
        <v>8</v>
      </c>
      <c r="H1313" s="36" t="s">
        <v>228</v>
      </c>
      <c r="I1313" s="36"/>
      <c r="J1313" s="36"/>
    </row>
    <row r="1314" spans="1:10" x14ac:dyDescent="0.25">
      <c r="A1314" s="36">
        <v>1856</v>
      </c>
      <c r="B1314" s="37">
        <v>43586</v>
      </c>
      <c r="C1314" s="36"/>
      <c r="D1314" s="36"/>
      <c r="E1314" s="36" t="s">
        <v>19</v>
      </c>
      <c r="F1314" s="38">
        <v>3771772.7985</v>
      </c>
      <c r="G1314" s="36" t="s">
        <v>8</v>
      </c>
      <c r="H1314" s="36" t="s">
        <v>228</v>
      </c>
      <c r="I1314" s="36"/>
      <c r="J1314" s="36"/>
    </row>
    <row r="1315" spans="1:10" x14ac:dyDescent="0.25">
      <c r="A1315" s="36">
        <v>1856</v>
      </c>
      <c r="B1315" s="37">
        <v>43617</v>
      </c>
      <c r="C1315" s="36"/>
      <c r="D1315" s="36"/>
      <c r="E1315" s="36" t="s">
        <v>19</v>
      </c>
      <c r="F1315" s="38">
        <v>3771772.7985</v>
      </c>
      <c r="G1315" s="36" t="s">
        <v>8</v>
      </c>
      <c r="H1315" s="36" t="s">
        <v>228</v>
      </c>
      <c r="I1315" s="36"/>
      <c r="J1315" s="36"/>
    </row>
    <row r="1316" spans="1:10" x14ac:dyDescent="0.25">
      <c r="A1316" s="36">
        <v>1856</v>
      </c>
      <c r="B1316" s="37">
        <v>43647</v>
      </c>
      <c r="C1316" s="36"/>
      <c r="D1316" s="36"/>
      <c r="E1316" s="36" t="s">
        <v>19</v>
      </c>
      <c r="F1316" s="38">
        <v>3771772.7985</v>
      </c>
      <c r="G1316" s="36" t="s">
        <v>8</v>
      </c>
      <c r="H1316" s="36" t="s">
        <v>228</v>
      </c>
      <c r="I1316" s="36"/>
      <c r="J1316" s="36"/>
    </row>
    <row r="1317" spans="1:10" x14ac:dyDescent="0.25">
      <c r="A1317" s="36">
        <v>1856</v>
      </c>
      <c r="B1317" s="37">
        <v>43678</v>
      </c>
      <c r="C1317" s="36"/>
      <c r="D1317" s="36"/>
      <c r="E1317" s="36" t="s">
        <v>19</v>
      </c>
      <c r="F1317" s="38">
        <v>3771772.7985</v>
      </c>
      <c r="G1317" s="36" t="s">
        <v>8</v>
      </c>
      <c r="H1317" s="36" t="s">
        <v>228</v>
      </c>
      <c r="I1317" s="36"/>
      <c r="J1317" s="36"/>
    </row>
    <row r="1318" spans="1:10" x14ac:dyDescent="0.25">
      <c r="A1318" s="36">
        <v>1856</v>
      </c>
      <c r="B1318" s="37">
        <v>43709</v>
      </c>
      <c r="C1318" s="36"/>
      <c r="D1318" s="36"/>
      <c r="E1318" s="36" t="s">
        <v>19</v>
      </c>
      <c r="F1318" s="38">
        <v>3771772.7985</v>
      </c>
      <c r="G1318" s="36" t="s">
        <v>8</v>
      </c>
      <c r="H1318" s="36" t="s">
        <v>228</v>
      </c>
      <c r="I1318" s="36"/>
      <c r="J1318" s="36"/>
    </row>
    <row r="1319" spans="1:10" x14ac:dyDescent="0.25">
      <c r="A1319" s="36">
        <v>1856</v>
      </c>
      <c r="B1319" s="37">
        <v>43739</v>
      </c>
      <c r="C1319" s="36"/>
      <c r="D1319" s="36"/>
      <c r="E1319" s="36" t="s">
        <v>19</v>
      </c>
      <c r="F1319" s="38">
        <v>3771772.7985</v>
      </c>
      <c r="G1319" s="36" t="s">
        <v>8</v>
      </c>
      <c r="H1319" s="36" t="s">
        <v>228</v>
      </c>
      <c r="I1319" s="36"/>
      <c r="J1319" s="36"/>
    </row>
    <row r="1320" spans="1:10" x14ac:dyDescent="0.25">
      <c r="A1320" s="36">
        <v>1856</v>
      </c>
      <c r="B1320" s="37">
        <v>43770</v>
      </c>
      <c r="C1320" s="36"/>
      <c r="D1320" s="36"/>
      <c r="E1320" s="36" t="s">
        <v>19</v>
      </c>
      <c r="F1320" s="38">
        <v>3771772.7985</v>
      </c>
      <c r="G1320" s="36" t="s">
        <v>8</v>
      </c>
      <c r="H1320" s="36" t="s">
        <v>228</v>
      </c>
      <c r="I1320" s="36"/>
      <c r="J1320" s="36"/>
    </row>
    <row r="1321" spans="1:10" x14ac:dyDescent="0.25">
      <c r="A1321" s="36">
        <v>1856</v>
      </c>
      <c r="B1321" s="37">
        <v>43800</v>
      </c>
      <c r="C1321" s="36"/>
      <c r="D1321" s="36"/>
      <c r="E1321" s="36" t="s">
        <v>19</v>
      </c>
      <c r="F1321" s="38">
        <v>3771772.7985</v>
      </c>
      <c r="G1321" s="36" t="s">
        <v>8</v>
      </c>
      <c r="H1321" s="36" t="s">
        <v>228</v>
      </c>
      <c r="I1321" s="36"/>
      <c r="J1321" s="36"/>
    </row>
    <row r="1322" spans="1:10" x14ac:dyDescent="0.25">
      <c r="A1322" s="36">
        <v>1856</v>
      </c>
      <c r="B1322" s="37">
        <v>43831</v>
      </c>
      <c r="C1322" s="36"/>
      <c r="D1322" s="36"/>
      <c r="E1322" s="36" t="s">
        <v>19</v>
      </c>
      <c r="F1322" s="38">
        <v>3771772.7985</v>
      </c>
      <c r="G1322" s="36" t="s">
        <v>8</v>
      </c>
      <c r="H1322" s="36" t="s">
        <v>228</v>
      </c>
      <c r="I1322" s="36"/>
      <c r="J1322" s="36"/>
    </row>
    <row r="1323" spans="1:10" x14ac:dyDescent="0.25">
      <c r="A1323" s="36">
        <v>1856</v>
      </c>
      <c r="B1323" s="37">
        <v>43862</v>
      </c>
      <c r="C1323" s="36"/>
      <c r="D1323" s="36"/>
      <c r="E1323" s="36" t="s">
        <v>19</v>
      </c>
      <c r="F1323" s="38">
        <v>3771772.7985</v>
      </c>
      <c r="G1323" s="36" t="s">
        <v>8</v>
      </c>
      <c r="H1323" s="36" t="s">
        <v>228</v>
      </c>
      <c r="I1323" s="36"/>
      <c r="J1323" s="36"/>
    </row>
    <row r="1324" spans="1:10" x14ac:dyDescent="0.25">
      <c r="A1324" s="36">
        <v>1856</v>
      </c>
      <c r="B1324" s="37">
        <v>43891</v>
      </c>
      <c r="C1324" s="36"/>
      <c r="D1324" s="36"/>
      <c r="E1324" s="36" t="s">
        <v>19</v>
      </c>
      <c r="F1324" s="38">
        <v>3771772.7985</v>
      </c>
      <c r="G1324" s="36" t="s">
        <v>8</v>
      </c>
      <c r="H1324" s="36" t="s">
        <v>228</v>
      </c>
      <c r="I1324" s="36"/>
      <c r="J1324" s="36"/>
    </row>
    <row r="1325" spans="1:10" x14ac:dyDescent="0.25">
      <c r="A1325" s="36">
        <v>1856</v>
      </c>
      <c r="B1325" s="37">
        <v>43922</v>
      </c>
      <c r="C1325" s="36"/>
      <c r="D1325" s="36"/>
      <c r="E1325" s="36" t="s">
        <v>19</v>
      </c>
      <c r="F1325" s="38">
        <v>3771772.7985</v>
      </c>
      <c r="G1325" s="36" t="s">
        <v>8</v>
      </c>
      <c r="H1325" s="36" t="s">
        <v>228</v>
      </c>
      <c r="I1325" s="36"/>
      <c r="J1325" s="36"/>
    </row>
    <row r="1326" spans="1:10" x14ac:dyDescent="0.25">
      <c r="A1326" s="36">
        <v>1856</v>
      </c>
      <c r="B1326" s="37">
        <v>43952</v>
      </c>
      <c r="C1326" s="36"/>
      <c r="D1326" s="36"/>
      <c r="E1326" s="36" t="s">
        <v>19</v>
      </c>
      <c r="F1326" s="38">
        <v>3771772.7985</v>
      </c>
      <c r="G1326" s="36" t="s">
        <v>8</v>
      </c>
      <c r="H1326" s="36" t="s">
        <v>228</v>
      </c>
      <c r="I1326" s="36"/>
      <c r="J1326" s="36"/>
    </row>
    <row r="1327" spans="1:10" x14ac:dyDescent="0.25">
      <c r="A1327" s="36">
        <v>1856</v>
      </c>
      <c r="B1327" s="37">
        <v>43983</v>
      </c>
      <c r="C1327" s="36"/>
      <c r="D1327" s="36"/>
      <c r="E1327" s="36" t="s">
        <v>19</v>
      </c>
      <c r="F1327" s="38">
        <v>3771772.7985</v>
      </c>
      <c r="G1327" s="36" t="s">
        <v>8</v>
      </c>
      <c r="H1327" s="36" t="s">
        <v>228</v>
      </c>
      <c r="I1327" s="36"/>
      <c r="J1327" s="36"/>
    </row>
    <row r="1328" spans="1:10" x14ac:dyDescent="0.25">
      <c r="A1328" s="36">
        <v>1856</v>
      </c>
      <c r="B1328" s="37">
        <v>44013</v>
      </c>
      <c r="C1328" s="36"/>
      <c r="D1328" s="36"/>
      <c r="E1328" s="36" t="s">
        <v>19</v>
      </c>
      <c r="F1328" s="38">
        <v>3771772.7985</v>
      </c>
      <c r="G1328" s="36" t="s">
        <v>8</v>
      </c>
      <c r="H1328" s="36" t="s">
        <v>228</v>
      </c>
      <c r="I1328" s="36"/>
      <c r="J1328" s="36"/>
    </row>
    <row r="1329" spans="1:10" x14ac:dyDescent="0.25">
      <c r="A1329" s="36">
        <v>1856</v>
      </c>
      <c r="B1329" s="37">
        <v>44044</v>
      </c>
      <c r="C1329" s="36"/>
      <c r="D1329" s="36"/>
      <c r="E1329" s="36" t="s">
        <v>19</v>
      </c>
      <c r="F1329" s="38">
        <v>3771772.7985</v>
      </c>
      <c r="G1329" s="36" t="s">
        <v>8</v>
      </c>
      <c r="H1329" s="36" t="s">
        <v>228</v>
      </c>
      <c r="I1329" s="36"/>
      <c r="J1329" s="36"/>
    </row>
    <row r="1330" spans="1:10" x14ac:dyDescent="0.25">
      <c r="A1330" s="36">
        <v>1856</v>
      </c>
      <c r="B1330" s="37">
        <v>44075</v>
      </c>
      <c r="C1330" s="36"/>
      <c r="D1330" s="36"/>
      <c r="E1330" s="36" t="s">
        <v>19</v>
      </c>
      <c r="F1330" s="38">
        <v>3771772.7985</v>
      </c>
      <c r="G1330" s="36" t="s">
        <v>8</v>
      </c>
      <c r="H1330" s="36" t="s">
        <v>228</v>
      </c>
      <c r="I1330" s="36"/>
      <c r="J1330" s="36"/>
    </row>
    <row r="1331" spans="1:10" x14ac:dyDescent="0.25">
      <c r="A1331" s="36">
        <v>1856</v>
      </c>
      <c r="B1331" s="37">
        <v>44105</v>
      </c>
      <c r="C1331" s="36"/>
      <c r="D1331" s="36"/>
      <c r="E1331" s="36" t="s">
        <v>19</v>
      </c>
      <c r="F1331" s="38">
        <v>3771772.7985</v>
      </c>
      <c r="G1331" s="36" t="s">
        <v>8</v>
      </c>
      <c r="H1331" s="36" t="s">
        <v>228</v>
      </c>
      <c r="I1331" s="36"/>
      <c r="J1331" s="36"/>
    </row>
    <row r="1332" spans="1:10" x14ac:dyDescent="0.25">
      <c r="A1332" s="36">
        <v>1856</v>
      </c>
      <c r="B1332" s="37">
        <v>44136</v>
      </c>
      <c r="C1332" s="36"/>
      <c r="D1332" s="36"/>
      <c r="E1332" s="36" t="s">
        <v>19</v>
      </c>
      <c r="F1332" s="38">
        <v>3771772.7985</v>
      </c>
      <c r="G1332" s="36" t="s">
        <v>8</v>
      </c>
      <c r="H1332" s="36" t="s">
        <v>228</v>
      </c>
      <c r="I1332" s="36"/>
      <c r="J1332" s="36"/>
    </row>
    <row r="1333" spans="1:10" x14ac:dyDescent="0.25">
      <c r="A1333" s="36">
        <v>1856</v>
      </c>
      <c r="B1333" s="37">
        <v>44166</v>
      </c>
      <c r="C1333" s="36"/>
      <c r="D1333" s="36"/>
      <c r="E1333" s="36" t="s">
        <v>19</v>
      </c>
      <c r="F1333" s="38">
        <v>3771772.7985</v>
      </c>
      <c r="G1333" s="36" t="s">
        <v>8</v>
      </c>
      <c r="H1333" s="36" t="s">
        <v>228</v>
      </c>
      <c r="I1333" s="36"/>
      <c r="J1333" s="36"/>
    </row>
    <row r="1334" spans="1:10" x14ac:dyDescent="0.25">
      <c r="A1334" s="36">
        <v>1856</v>
      </c>
      <c r="B1334" s="37">
        <v>44197</v>
      </c>
      <c r="C1334" s="36"/>
      <c r="D1334" s="36"/>
      <c r="E1334" s="36" t="s">
        <v>19</v>
      </c>
      <c r="F1334" s="38">
        <v>3771772.7985</v>
      </c>
      <c r="G1334" s="36" t="s">
        <v>8</v>
      </c>
      <c r="H1334" s="36" t="s">
        <v>228</v>
      </c>
      <c r="I1334" s="36"/>
      <c r="J1334" s="36"/>
    </row>
    <row r="1335" spans="1:10" x14ac:dyDescent="0.25">
      <c r="A1335" s="36">
        <v>1829</v>
      </c>
      <c r="B1335" s="37">
        <v>43466</v>
      </c>
      <c r="C1335" s="36"/>
      <c r="D1335" s="36"/>
      <c r="E1335" s="36" t="s">
        <v>83</v>
      </c>
      <c r="F1335" s="38">
        <v>6004530</v>
      </c>
      <c r="G1335" s="36" t="s">
        <v>8</v>
      </c>
      <c r="H1335" s="36" t="s">
        <v>8</v>
      </c>
      <c r="I1335" s="36"/>
      <c r="J1335" s="36"/>
    </row>
    <row r="1336" spans="1:10" x14ac:dyDescent="0.25">
      <c r="A1336" s="36">
        <v>1829</v>
      </c>
      <c r="B1336" s="37">
        <v>43497</v>
      </c>
      <c r="C1336" s="36"/>
      <c r="D1336" s="36"/>
      <c r="E1336" s="36" t="s">
        <v>83</v>
      </c>
      <c r="F1336" s="38">
        <v>6004530</v>
      </c>
      <c r="G1336" s="36" t="s">
        <v>8</v>
      </c>
      <c r="H1336" s="36" t="s">
        <v>8</v>
      </c>
      <c r="I1336" s="36"/>
      <c r="J1336" s="36"/>
    </row>
    <row r="1337" spans="1:10" x14ac:dyDescent="0.25">
      <c r="A1337" s="36">
        <v>1829</v>
      </c>
      <c r="B1337" s="37">
        <v>43525</v>
      </c>
      <c r="C1337" s="36"/>
      <c r="D1337" s="36"/>
      <c r="E1337" s="36" t="s">
        <v>83</v>
      </c>
      <c r="F1337" s="38">
        <v>6004530</v>
      </c>
      <c r="G1337" s="36" t="s">
        <v>8</v>
      </c>
      <c r="H1337" s="36" t="s">
        <v>8</v>
      </c>
      <c r="I1337" s="36"/>
      <c r="J1337" s="36"/>
    </row>
    <row r="1338" spans="1:10" x14ac:dyDescent="0.25">
      <c r="A1338" s="36">
        <v>1829</v>
      </c>
      <c r="B1338" s="37">
        <v>43556</v>
      </c>
      <c r="C1338" s="36"/>
      <c r="D1338" s="36"/>
      <c r="E1338" s="36" t="s">
        <v>83</v>
      </c>
      <c r="F1338" s="38">
        <v>6004530</v>
      </c>
      <c r="G1338" s="36" t="s">
        <v>8</v>
      </c>
      <c r="H1338" s="36" t="s">
        <v>8</v>
      </c>
      <c r="I1338" s="36"/>
      <c r="J1338" s="36"/>
    </row>
    <row r="1339" spans="1:10" x14ac:dyDescent="0.25">
      <c r="A1339" s="36">
        <v>1829</v>
      </c>
      <c r="B1339" s="37">
        <v>43586</v>
      </c>
      <c r="C1339" s="36"/>
      <c r="D1339" s="36"/>
      <c r="E1339" s="36" t="s">
        <v>83</v>
      </c>
      <c r="F1339" s="38">
        <v>6004530</v>
      </c>
      <c r="G1339" s="36" t="s">
        <v>8</v>
      </c>
      <c r="H1339" s="36" t="s">
        <v>8</v>
      </c>
      <c r="I1339" s="36"/>
      <c r="J1339" s="36"/>
    </row>
    <row r="1340" spans="1:10" x14ac:dyDescent="0.25">
      <c r="A1340" s="36">
        <v>1829</v>
      </c>
      <c r="B1340" s="37">
        <v>43617</v>
      </c>
      <c r="C1340" s="36"/>
      <c r="D1340" s="36"/>
      <c r="E1340" s="36" t="s">
        <v>83</v>
      </c>
      <c r="F1340" s="38">
        <v>6004530</v>
      </c>
      <c r="G1340" s="36" t="s">
        <v>8</v>
      </c>
      <c r="H1340" s="36" t="s">
        <v>8</v>
      </c>
      <c r="I1340" s="36"/>
      <c r="J1340" s="36"/>
    </row>
    <row r="1341" spans="1:10" x14ac:dyDescent="0.25">
      <c r="A1341" s="36">
        <v>1829</v>
      </c>
      <c r="B1341" s="37">
        <v>43647</v>
      </c>
      <c r="C1341" s="36"/>
      <c r="D1341" s="36"/>
      <c r="E1341" s="36" t="s">
        <v>83</v>
      </c>
      <c r="F1341" s="38">
        <v>6004530</v>
      </c>
      <c r="G1341" s="36" t="s">
        <v>8</v>
      </c>
      <c r="H1341" s="36" t="s">
        <v>8</v>
      </c>
      <c r="I1341" s="36"/>
      <c r="J1341" s="36"/>
    </row>
    <row r="1342" spans="1:10" x14ac:dyDescent="0.25">
      <c r="A1342" s="36">
        <v>1829</v>
      </c>
      <c r="B1342" s="37">
        <v>43678</v>
      </c>
      <c r="C1342" s="36"/>
      <c r="D1342" s="36"/>
      <c r="E1342" s="36" t="s">
        <v>83</v>
      </c>
      <c r="F1342" s="38">
        <v>6004530</v>
      </c>
      <c r="G1342" s="36" t="s">
        <v>8</v>
      </c>
      <c r="H1342" s="36" t="s">
        <v>8</v>
      </c>
      <c r="I1342" s="36"/>
      <c r="J1342" s="36"/>
    </row>
    <row r="1343" spans="1:10" x14ac:dyDescent="0.25">
      <c r="A1343" s="36">
        <v>1829</v>
      </c>
      <c r="B1343" s="37">
        <v>43709</v>
      </c>
      <c r="C1343" s="36"/>
      <c r="D1343" s="36"/>
      <c r="E1343" s="36" t="s">
        <v>83</v>
      </c>
      <c r="F1343" s="38">
        <v>6004530</v>
      </c>
      <c r="G1343" s="36" t="s">
        <v>8</v>
      </c>
      <c r="H1343" s="36" t="s">
        <v>8</v>
      </c>
      <c r="I1343" s="36"/>
      <c r="J1343" s="36"/>
    </row>
    <row r="1344" spans="1:10" x14ac:dyDescent="0.25">
      <c r="A1344" s="36">
        <v>1829</v>
      </c>
      <c r="B1344" s="37">
        <v>43739</v>
      </c>
      <c r="C1344" s="36"/>
      <c r="D1344" s="36"/>
      <c r="E1344" s="36" t="s">
        <v>83</v>
      </c>
      <c r="F1344" s="38">
        <v>6004530</v>
      </c>
      <c r="G1344" s="36" t="s">
        <v>8</v>
      </c>
      <c r="H1344" s="36" t="s">
        <v>8</v>
      </c>
      <c r="I1344" s="36"/>
      <c r="J1344" s="36"/>
    </row>
    <row r="1345" spans="1:10" x14ac:dyDescent="0.25">
      <c r="A1345" s="36">
        <v>1829</v>
      </c>
      <c r="B1345" s="37">
        <v>43770</v>
      </c>
      <c r="C1345" s="36"/>
      <c r="D1345" s="36"/>
      <c r="E1345" s="36" t="s">
        <v>83</v>
      </c>
      <c r="F1345" s="38">
        <v>6004530</v>
      </c>
      <c r="G1345" s="36" t="s">
        <v>8</v>
      </c>
      <c r="H1345" s="36" t="s">
        <v>8</v>
      </c>
      <c r="I1345" s="36"/>
      <c r="J1345" s="36"/>
    </row>
    <row r="1346" spans="1:10" x14ac:dyDescent="0.25">
      <c r="A1346" s="36">
        <v>1829</v>
      </c>
      <c r="B1346" s="37">
        <v>43800</v>
      </c>
      <c r="C1346" s="36"/>
      <c r="D1346" s="36"/>
      <c r="E1346" s="36" t="s">
        <v>83</v>
      </c>
      <c r="F1346" s="38">
        <v>6004530</v>
      </c>
      <c r="G1346" s="36" t="s">
        <v>8</v>
      </c>
      <c r="H1346" s="36" t="s">
        <v>8</v>
      </c>
      <c r="I1346" s="36"/>
      <c r="J1346" s="36"/>
    </row>
    <row r="1347" spans="1:10" x14ac:dyDescent="0.25">
      <c r="A1347" s="36">
        <v>1829</v>
      </c>
      <c r="B1347" s="37">
        <v>43831</v>
      </c>
      <c r="C1347" s="36"/>
      <c r="D1347" s="36"/>
      <c r="E1347" s="36" t="s">
        <v>83</v>
      </c>
      <c r="F1347" s="38">
        <v>6004530</v>
      </c>
      <c r="G1347" s="36" t="s">
        <v>8</v>
      </c>
      <c r="H1347" s="36" t="s">
        <v>8</v>
      </c>
      <c r="I1347" s="36"/>
      <c r="J1347" s="36"/>
    </row>
    <row r="1348" spans="1:10" x14ac:dyDescent="0.25">
      <c r="A1348" s="36">
        <v>1829</v>
      </c>
      <c r="B1348" s="37">
        <v>43862</v>
      </c>
      <c r="C1348" s="36"/>
      <c r="D1348" s="36"/>
      <c r="E1348" s="36" t="s">
        <v>83</v>
      </c>
      <c r="F1348" s="38">
        <v>6004530</v>
      </c>
      <c r="G1348" s="36" t="s">
        <v>8</v>
      </c>
      <c r="H1348" s="36" t="s">
        <v>8</v>
      </c>
      <c r="I1348" s="36"/>
      <c r="J1348" s="36"/>
    </row>
    <row r="1349" spans="1:10" x14ac:dyDescent="0.25">
      <c r="A1349" s="36">
        <v>1829</v>
      </c>
      <c r="B1349" s="37">
        <v>43891</v>
      </c>
      <c r="C1349" s="36"/>
      <c r="D1349" s="36"/>
      <c r="E1349" s="36" t="s">
        <v>83</v>
      </c>
      <c r="F1349" s="38">
        <v>6004530</v>
      </c>
      <c r="G1349" s="36" t="s">
        <v>8</v>
      </c>
      <c r="H1349" s="36" t="s">
        <v>8</v>
      </c>
      <c r="I1349" s="36"/>
      <c r="J1349" s="36"/>
    </row>
    <row r="1350" spans="1:10" x14ac:dyDescent="0.25">
      <c r="A1350" s="36">
        <v>1818</v>
      </c>
      <c r="B1350" s="37">
        <v>43466</v>
      </c>
      <c r="C1350" s="36"/>
      <c r="D1350" s="36"/>
      <c r="E1350" s="36" t="s">
        <v>13</v>
      </c>
      <c r="F1350" s="38">
        <v>380362.5</v>
      </c>
      <c r="G1350" s="36" t="s">
        <v>8</v>
      </c>
      <c r="H1350" s="36" t="s">
        <v>8</v>
      </c>
      <c r="I1350" s="36"/>
      <c r="J1350" s="36"/>
    </row>
    <row r="1351" spans="1:10" x14ac:dyDescent="0.25">
      <c r="A1351" s="36">
        <v>1818</v>
      </c>
      <c r="B1351" s="37">
        <v>43497</v>
      </c>
      <c r="C1351" s="36"/>
      <c r="D1351" s="36"/>
      <c r="E1351" s="36" t="s">
        <v>13</v>
      </c>
      <c r="F1351" s="38">
        <v>380362.5</v>
      </c>
      <c r="G1351" s="36" t="s">
        <v>8</v>
      </c>
      <c r="H1351" s="36" t="s">
        <v>8</v>
      </c>
      <c r="I1351" s="36"/>
      <c r="J1351" s="36"/>
    </row>
    <row r="1352" spans="1:10" x14ac:dyDescent="0.25">
      <c r="A1352" s="36">
        <v>1818</v>
      </c>
      <c r="B1352" s="37">
        <v>43525</v>
      </c>
      <c r="C1352" s="36"/>
      <c r="D1352" s="36"/>
      <c r="E1352" s="36" t="s">
        <v>13</v>
      </c>
      <c r="F1352" s="38">
        <v>380362.5</v>
      </c>
      <c r="G1352" s="36" t="s">
        <v>8</v>
      </c>
      <c r="H1352" s="36" t="s">
        <v>8</v>
      </c>
      <c r="I1352" s="36"/>
      <c r="J1352" s="36"/>
    </row>
    <row r="1353" spans="1:10" x14ac:dyDescent="0.25">
      <c r="A1353" s="36">
        <v>1818</v>
      </c>
      <c r="B1353" s="37">
        <v>43556</v>
      </c>
      <c r="C1353" s="36"/>
      <c r="D1353" s="36"/>
      <c r="E1353" s="36" t="s">
        <v>13</v>
      </c>
      <c r="F1353" s="38">
        <v>380362.5</v>
      </c>
      <c r="G1353" s="36" t="s">
        <v>8</v>
      </c>
      <c r="H1353" s="36" t="s">
        <v>8</v>
      </c>
      <c r="I1353" s="36"/>
      <c r="J1353" s="36"/>
    </row>
    <row r="1354" spans="1:10" x14ac:dyDescent="0.25">
      <c r="A1354" s="36">
        <v>1818</v>
      </c>
      <c r="B1354" s="37">
        <v>43586</v>
      </c>
      <c r="C1354" s="36"/>
      <c r="D1354" s="36"/>
      <c r="E1354" s="36" t="s">
        <v>13</v>
      </c>
      <c r="F1354" s="38">
        <v>380362.5</v>
      </c>
      <c r="G1354" s="36" t="s">
        <v>8</v>
      </c>
      <c r="H1354" s="36" t="s">
        <v>8</v>
      </c>
      <c r="I1354" s="36"/>
      <c r="J1354" s="36"/>
    </row>
    <row r="1355" spans="1:10" x14ac:dyDescent="0.25">
      <c r="A1355" s="36">
        <v>1818</v>
      </c>
      <c r="B1355" s="37">
        <v>43617</v>
      </c>
      <c r="C1355" s="36"/>
      <c r="D1355" s="36"/>
      <c r="E1355" s="36" t="s">
        <v>13</v>
      </c>
      <c r="F1355" s="38">
        <v>380362.5</v>
      </c>
      <c r="G1355" s="36" t="s">
        <v>8</v>
      </c>
      <c r="H1355" s="36" t="s">
        <v>8</v>
      </c>
      <c r="I1355" s="36"/>
      <c r="J1355" s="36"/>
    </row>
    <row r="1356" spans="1:10" x14ac:dyDescent="0.25">
      <c r="A1356" s="36">
        <v>1818</v>
      </c>
      <c r="B1356" s="37">
        <v>43647</v>
      </c>
      <c r="C1356" s="36"/>
      <c r="D1356" s="36"/>
      <c r="E1356" s="36" t="s">
        <v>13</v>
      </c>
      <c r="F1356" s="38">
        <v>380362.5</v>
      </c>
      <c r="G1356" s="36" t="s">
        <v>8</v>
      </c>
      <c r="H1356" s="36" t="s">
        <v>8</v>
      </c>
      <c r="I1356" s="36"/>
      <c r="J1356" s="36"/>
    </row>
    <row r="1357" spans="1:10" x14ac:dyDescent="0.25">
      <c r="A1357" s="36">
        <v>1818</v>
      </c>
      <c r="B1357" s="37">
        <v>43678</v>
      </c>
      <c r="C1357" s="36"/>
      <c r="D1357" s="36"/>
      <c r="E1357" s="36" t="s">
        <v>13</v>
      </c>
      <c r="F1357" s="38">
        <v>380362.5</v>
      </c>
      <c r="G1357" s="36" t="s">
        <v>8</v>
      </c>
      <c r="H1357" s="36" t="s">
        <v>8</v>
      </c>
      <c r="I1357" s="36"/>
      <c r="J1357" s="36"/>
    </row>
    <row r="1358" spans="1:10" x14ac:dyDescent="0.25">
      <c r="A1358" s="36">
        <v>1753</v>
      </c>
      <c r="B1358" s="37">
        <v>43466</v>
      </c>
      <c r="C1358" s="36"/>
      <c r="D1358" s="36"/>
      <c r="E1358" s="36" t="s">
        <v>84</v>
      </c>
      <c r="F1358" s="38">
        <v>7324096.5</v>
      </c>
      <c r="G1358" s="36" t="s">
        <v>8</v>
      </c>
      <c r="H1358" s="36" t="s">
        <v>8</v>
      </c>
      <c r="I1358" s="36"/>
      <c r="J1358" s="36"/>
    </row>
    <row r="1359" spans="1:10" x14ac:dyDescent="0.25">
      <c r="A1359" s="36">
        <v>1753</v>
      </c>
      <c r="B1359" s="37">
        <v>43466</v>
      </c>
      <c r="C1359" s="36"/>
      <c r="D1359" s="36"/>
      <c r="E1359" s="36" t="s">
        <v>37</v>
      </c>
      <c r="F1359" s="38">
        <v>2504250</v>
      </c>
      <c r="G1359" s="36" t="s">
        <v>8</v>
      </c>
      <c r="H1359" s="36" t="s">
        <v>8</v>
      </c>
      <c r="I1359" s="36"/>
      <c r="J1359" s="36"/>
    </row>
    <row r="1360" spans="1:10" x14ac:dyDescent="0.25">
      <c r="A1360" s="36">
        <v>1753</v>
      </c>
      <c r="B1360" s="37">
        <v>43466</v>
      </c>
      <c r="C1360" s="36"/>
      <c r="D1360" s="36"/>
      <c r="E1360" s="36" t="s">
        <v>19</v>
      </c>
      <c r="F1360" s="38">
        <v>4165803.1799999997</v>
      </c>
      <c r="G1360" s="36" t="s">
        <v>8</v>
      </c>
      <c r="H1360" s="36" t="s">
        <v>8</v>
      </c>
      <c r="I1360" s="36"/>
      <c r="J1360" s="36"/>
    </row>
    <row r="1361" spans="1:10" x14ac:dyDescent="0.25">
      <c r="A1361" s="36">
        <v>1753</v>
      </c>
      <c r="B1361" s="37">
        <v>43466</v>
      </c>
      <c r="C1361" s="36"/>
      <c r="D1361" s="36"/>
      <c r="E1361" s="36" t="s">
        <v>22</v>
      </c>
      <c r="F1361" s="38">
        <v>4165803.1799999997</v>
      </c>
      <c r="G1361" s="36" t="s">
        <v>8</v>
      </c>
      <c r="H1361" s="36" t="s">
        <v>8</v>
      </c>
      <c r="I1361" s="36"/>
      <c r="J1361" s="36"/>
    </row>
    <row r="1362" spans="1:10" x14ac:dyDescent="0.25">
      <c r="A1362" s="36">
        <v>1723</v>
      </c>
      <c r="B1362" s="37">
        <v>43466</v>
      </c>
      <c r="C1362" s="36"/>
      <c r="D1362" s="36"/>
      <c r="E1362" s="36" t="s">
        <v>7</v>
      </c>
      <c r="F1362" s="38">
        <v>6085367.1464827517</v>
      </c>
      <c r="G1362" s="36" t="s">
        <v>8</v>
      </c>
      <c r="H1362" s="36" t="s">
        <v>8</v>
      </c>
      <c r="I1362" s="36"/>
      <c r="J1362" s="36"/>
    </row>
    <row r="1363" spans="1:10" x14ac:dyDescent="0.25">
      <c r="A1363" s="36">
        <v>1723</v>
      </c>
      <c r="B1363" s="37">
        <v>43497</v>
      </c>
      <c r="C1363" s="36"/>
      <c r="D1363" s="36"/>
      <c r="E1363" s="36" t="s">
        <v>7</v>
      </c>
      <c r="F1363" s="38">
        <v>6085367.1464827517</v>
      </c>
      <c r="G1363" s="36" t="s">
        <v>8</v>
      </c>
      <c r="H1363" s="36" t="s">
        <v>8</v>
      </c>
      <c r="I1363" s="36"/>
      <c r="J1363" s="36"/>
    </row>
    <row r="1364" spans="1:10" x14ac:dyDescent="0.25">
      <c r="A1364" s="36">
        <v>1723</v>
      </c>
      <c r="B1364" s="37">
        <v>43525</v>
      </c>
      <c r="C1364" s="36"/>
      <c r="D1364" s="36"/>
      <c r="E1364" s="36" t="s">
        <v>7</v>
      </c>
      <c r="F1364" s="38">
        <v>6085367.1464827517</v>
      </c>
      <c r="G1364" s="36" t="s">
        <v>8</v>
      </c>
      <c r="H1364" s="36" t="s">
        <v>8</v>
      </c>
      <c r="I1364" s="36"/>
      <c r="J1364" s="36"/>
    </row>
    <row r="1365" spans="1:10" x14ac:dyDescent="0.25">
      <c r="A1365" s="36">
        <v>1723</v>
      </c>
      <c r="B1365" s="37">
        <v>43556</v>
      </c>
      <c r="C1365" s="36"/>
      <c r="D1365" s="36"/>
      <c r="E1365" s="36" t="s">
        <v>7</v>
      </c>
      <c r="F1365" s="38">
        <v>6085367.1464827517</v>
      </c>
      <c r="G1365" s="36" t="s">
        <v>8</v>
      </c>
      <c r="H1365" s="36" t="s">
        <v>8</v>
      </c>
      <c r="I1365" s="36"/>
      <c r="J1365" s="36"/>
    </row>
    <row r="1366" spans="1:10" x14ac:dyDescent="0.25">
      <c r="A1366" s="36">
        <v>1723</v>
      </c>
      <c r="B1366" s="37">
        <v>43586</v>
      </c>
      <c r="C1366" s="36"/>
      <c r="D1366" s="36"/>
      <c r="E1366" s="36" t="s">
        <v>7</v>
      </c>
      <c r="F1366" s="38">
        <v>6085367.1464827517</v>
      </c>
      <c r="G1366" s="36" t="s">
        <v>8</v>
      </c>
      <c r="H1366" s="36" t="s">
        <v>8</v>
      </c>
      <c r="I1366" s="36"/>
      <c r="J1366" s="36"/>
    </row>
    <row r="1367" spans="1:10" x14ac:dyDescent="0.25">
      <c r="A1367" s="36">
        <v>1723</v>
      </c>
      <c r="B1367" s="37">
        <v>43617</v>
      </c>
      <c r="C1367" s="36"/>
      <c r="D1367" s="36"/>
      <c r="E1367" s="36" t="s">
        <v>7</v>
      </c>
      <c r="F1367" s="38">
        <v>6085367.1464827517</v>
      </c>
      <c r="G1367" s="36" t="s">
        <v>8</v>
      </c>
      <c r="H1367" s="36" t="s">
        <v>8</v>
      </c>
      <c r="I1367" s="36"/>
      <c r="J1367" s="36"/>
    </row>
    <row r="1368" spans="1:10" x14ac:dyDescent="0.25">
      <c r="A1368" s="36">
        <v>1723</v>
      </c>
      <c r="B1368" s="37">
        <v>43466</v>
      </c>
      <c r="C1368" s="36"/>
      <c r="D1368" s="36"/>
      <c r="E1368" s="36" t="s">
        <v>9</v>
      </c>
      <c r="F1368" s="38">
        <v>11269198.072125001</v>
      </c>
      <c r="G1368" s="36" t="s">
        <v>8</v>
      </c>
      <c r="H1368" s="36" t="s">
        <v>8</v>
      </c>
      <c r="I1368" s="36"/>
      <c r="J1368" s="36"/>
    </row>
    <row r="1369" spans="1:10" x14ac:dyDescent="0.25">
      <c r="A1369" s="36">
        <v>1723</v>
      </c>
      <c r="B1369" s="37">
        <v>43497</v>
      </c>
      <c r="C1369" s="36"/>
      <c r="D1369" s="36"/>
      <c r="E1369" s="36" t="s">
        <v>9</v>
      </c>
      <c r="F1369" s="38">
        <v>11269198.072125001</v>
      </c>
      <c r="G1369" s="36" t="s">
        <v>8</v>
      </c>
      <c r="H1369" s="36" t="s">
        <v>8</v>
      </c>
      <c r="I1369" s="36"/>
      <c r="J1369" s="36"/>
    </row>
    <row r="1370" spans="1:10" x14ac:dyDescent="0.25">
      <c r="A1370" s="36">
        <v>1723</v>
      </c>
      <c r="B1370" s="37">
        <v>43525</v>
      </c>
      <c r="C1370" s="36"/>
      <c r="D1370" s="36"/>
      <c r="E1370" s="36" t="s">
        <v>9</v>
      </c>
      <c r="F1370" s="38">
        <v>11269198.072125001</v>
      </c>
      <c r="G1370" s="36" t="s">
        <v>8</v>
      </c>
      <c r="H1370" s="36" t="s">
        <v>8</v>
      </c>
      <c r="I1370" s="36"/>
      <c r="J1370" s="36"/>
    </row>
    <row r="1371" spans="1:10" x14ac:dyDescent="0.25">
      <c r="A1371" s="36">
        <v>1723</v>
      </c>
      <c r="B1371" s="37">
        <v>43556</v>
      </c>
      <c r="C1371" s="36"/>
      <c r="D1371" s="36"/>
      <c r="E1371" s="36" t="s">
        <v>9</v>
      </c>
      <c r="F1371" s="38">
        <v>11269198.072125001</v>
      </c>
      <c r="G1371" s="36" t="s">
        <v>8</v>
      </c>
      <c r="H1371" s="36" t="s">
        <v>8</v>
      </c>
      <c r="I1371" s="36"/>
      <c r="J1371" s="36"/>
    </row>
    <row r="1372" spans="1:10" x14ac:dyDescent="0.25">
      <c r="A1372" s="36">
        <v>1723</v>
      </c>
      <c r="B1372" s="37">
        <v>43586</v>
      </c>
      <c r="C1372" s="36"/>
      <c r="D1372" s="36"/>
      <c r="E1372" s="36" t="s">
        <v>9</v>
      </c>
      <c r="F1372" s="38">
        <v>11269198.072125001</v>
      </c>
      <c r="G1372" s="36" t="s">
        <v>8</v>
      </c>
      <c r="H1372" s="36" t="s">
        <v>8</v>
      </c>
      <c r="I1372" s="36"/>
      <c r="J1372" s="36"/>
    </row>
    <row r="1373" spans="1:10" x14ac:dyDescent="0.25">
      <c r="A1373" s="36">
        <v>1723</v>
      </c>
      <c r="B1373" s="37">
        <v>43617</v>
      </c>
      <c r="C1373" s="36"/>
      <c r="D1373" s="36"/>
      <c r="E1373" s="36" t="s">
        <v>9</v>
      </c>
      <c r="F1373" s="38">
        <v>11269198.072125001</v>
      </c>
      <c r="G1373" s="36" t="s">
        <v>8</v>
      </c>
      <c r="H1373" s="36" t="s">
        <v>8</v>
      </c>
      <c r="I1373" s="36"/>
      <c r="J1373" s="36"/>
    </row>
    <row r="1374" spans="1:10" x14ac:dyDescent="0.25">
      <c r="A1374" s="36">
        <v>1723</v>
      </c>
      <c r="B1374" s="37">
        <v>43466</v>
      </c>
      <c r="C1374" s="36"/>
      <c r="D1374" s="36"/>
      <c r="E1374" s="36" t="s">
        <v>85</v>
      </c>
      <c r="F1374" s="38">
        <v>960135.74937000009</v>
      </c>
      <c r="G1374" s="36" t="s">
        <v>8</v>
      </c>
      <c r="H1374" s="36" t="s">
        <v>8</v>
      </c>
      <c r="I1374" s="36"/>
      <c r="J1374" s="36"/>
    </row>
    <row r="1375" spans="1:10" x14ac:dyDescent="0.25">
      <c r="A1375" s="36">
        <v>1723</v>
      </c>
      <c r="B1375" s="37">
        <v>43497</v>
      </c>
      <c r="C1375" s="36"/>
      <c r="D1375" s="36"/>
      <c r="E1375" s="36" t="s">
        <v>85</v>
      </c>
      <c r="F1375" s="38">
        <v>960135.74937000009</v>
      </c>
      <c r="G1375" s="36" t="s">
        <v>8</v>
      </c>
      <c r="H1375" s="36" t="s">
        <v>8</v>
      </c>
      <c r="I1375" s="36"/>
      <c r="J1375" s="36"/>
    </row>
    <row r="1376" spans="1:10" x14ac:dyDescent="0.25">
      <c r="A1376" s="36">
        <v>1723</v>
      </c>
      <c r="B1376" s="37">
        <v>43525</v>
      </c>
      <c r="C1376" s="36"/>
      <c r="D1376" s="36"/>
      <c r="E1376" s="36" t="s">
        <v>85</v>
      </c>
      <c r="F1376" s="38">
        <v>960135.74937000009</v>
      </c>
      <c r="G1376" s="36" t="s">
        <v>8</v>
      </c>
      <c r="H1376" s="36" t="s">
        <v>8</v>
      </c>
      <c r="I1376" s="36"/>
      <c r="J1376" s="36"/>
    </row>
    <row r="1377" spans="1:10" x14ac:dyDescent="0.25">
      <c r="A1377" s="36">
        <v>1723</v>
      </c>
      <c r="B1377" s="37">
        <v>43556</v>
      </c>
      <c r="C1377" s="36"/>
      <c r="D1377" s="36"/>
      <c r="E1377" s="36" t="s">
        <v>85</v>
      </c>
      <c r="F1377" s="38">
        <v>960135.74937000009</v>
      </c>
      <c r="G1377" s="36" t="s">
        <v>8</v>
      </c>
      <c r="H1377" s="36" t="s">
        <v>8</v>
      </c>
      <c r="I1377" s="36"/>
      <c r="J1377" s="36"/>
    </row>
    <row r="1378" spans="1:10" x14ac:dyDescent="0.25">
      <c r="A1378" s="36">
        <v>1723</v>
      </c>
      <c r="B1378" s="37">
        <v>43586</v>
      </c>
      <c r="C1378" s="36"/>
      <c r="D1378" s="36"/>
      <c r="E1378" s="36" t="s">
        <v>85</v>
      </c>
      <c r="F1378" s="38">
        <v>960135.74937000009</v>
      </c>
      <c r="G1378" s="36" t="s">
        <v>8</v>
      </c>
      <c r="H1378" s="36" t="s">
        <v>8</v>
      </c>
      <c r="I1378" s="36"/>
      <c r="J1378" s="36"/>
    </row>
    <row r="1379" spans="1:10" x14ac:dyDescent="0.25">
      <c r="A1379" s="36">
        <v>1723</v>
      </c>
      <c r="B1379" s="37">
        <v>43617</v>
      </c>
      <c r="C1379" s="36"/>
      <c r="D1379" s="36"/>
      <c r="E1379" s="36" t="s">
        <v>85</v>
      </c>
      <c r="F1379" s="38">
        <v>960135.74937000009</v>
      </c>
      <c r="G1379" s="36" t="s">
        <v>8</v>
      </c>
      <c r="H1379" s="36" t="s">
        <v>8</v>
      </c>
      <c r="I1379" s="36"/>
      <c r="J1379" s="36"/>
    </row>
    <row r="1380" spans="1:10" x14ac:dyDescent="0.25">
      <c r="A1380" s="36">
        <v>1577</v>
      </c>
      <c r="B1380" s="37">
        <v>43466</v>
      </c>
      <c r="C1380" s="36"/>
      <c r="D1380" s="36"/>
      <c r="E1380" s="36" t="s">
        <v>7</v>
      </c>
      <c r="F1380" s="38">
        <v>3685661.2115662512</v>
      </c>
      <c r="G1380" s="36" t="s">
        <v>8</v>
      </c>
      <c r="H1380" s="36" t="s">
        <v>228</v>
      </c>
      <c r="I1380" s="36"/>
      <c r="J1380" s="36"/>
    </row>
    <row r="1381" spans="1:10" x14ac:dyDescent="0.25">
      <c r="A1381" s="36">
        <v>1577</v>
      </c>
      <c r="B1381" s="37">
        <v>43497</v>
      </c>
      <c r="C1381" s="36"/>
      <c r="D1381" s="36"/>
      <c r="E1381" s="36" t="s">
        <v>7</v>
      </c>
      <c r="F1381" s="38">
        <v>3685661.2115662512</v>
      </c>
      <c r="G1381" s="36" t="s">
        <v>8</v>
      </c>
      <c r="H1381" s="36" t="s">
        <v>228</v>
      </c>
      <c r="I1381" s="36"/>
      <c r="J1381" s="36"/>
    </row>
    <row r="1382" spans="1:10" x14ac:dyDescent="0.25">
      <c r="A1382" s="36">
        <v>1577</v>
      </c>
      <c r="B1382" s="37">
        <v>43525</v>
      </c>
      <c r="C1382" s="36"/>
      <c r="D1382" s="36"/>
      <c r="E1382" s="36" t="s">
        <v>7</v>
      </c>
      <c r="F1382" s="38">
        <v>3685661.2115662512</v>
      </c>
      <c r="G1382" s="36" t="s">
        <v>8</v>
      </c>
      <c r="H1382" s="36" t="s">
        <v>228</v>
      </c>
      <c r="I1382" s="36"/>
      <c r="J1382" s="36"/>
    </row>
    <row r="1383" spans="1:10" x14ac:dyDescent="0.25">
      <c r="A1383" s="36">
        <v>1577</v>
      </c>
      <c r="B1383" s="37">
        <v>43556</v>
      </c>
      <c r="C1383" s="36"/>
      <c r="D1383" s="36"/>
      <c r="E1383" s="36" t="s">
        <v>7</v>
      </c>
      <c r="F1383" s="38">
        <v>3685661.2115662512</v>
      </c>
      <c r="G1383" s="36" t="s">
        <v>8</v>
      </c>
      <c r="H1383" s="36" t="s">
        <v>228</v>
      </c>
      <c r="I1383" s="36"/>
      <c r="J1383" s="36"/>
    </row>
    <row r="1384" spans="1:10" x14ac:dyDescent="0.25">
      <c r="A1384" s="36">
        <v>1577</v>
      </c>
      <c r="B1384" s="37">
        <v>43586</v>
      </c>
      <c r="C1384" s="36"/>
      <c r="D1384" s="36"/>
      <c r="E1384" s="36" t="s">
        <v>7</v>
      </c>
      <c r="F1384" s="38">
        <v>3685661.2115662512</v>
      </c>
      <c r="G1384" s="36" t="s">
        <v>8</v>
      </c>
      <c r="H1384" s="36" t="s">
        <v>228</v>
      </c>
      <c r="I1384" s="36"/>
      <c r="J1384" s="36"/>
    </row>
    <row r="1385" spans="1:10" x14ac:dyDescent="0.25">
      <c r="A1385" s="36">
        <v>1577</v>
      </c>
      <c r="B1385" s="37">
        <v>43617</v>
      </c>
      <c r="C1385" s="36"/>
      <c r="D1385" s="36"/>
      <c r="E1385" s="36" t="s">
        <v>7</v>
      </c>
      <c r="F1385" s="38">
        <v>3685661.2115662512</v>
      </c>
      <c r="G1385" s="36" t="s">
        <v>8</v>
      </c>
      <c r="H1385" s="36" t="s">
        <v>228</v>
      </c>
      <c r="I1385" s="36"/>
      <c r="J1385" s="36"/>
    </row>
    <row r="1386" spans="1:10" x14ac:dyDescent="0.25">
      <c r="A1386" s="36">
        <v>1577</v>
      </c>
      <c r="B1386" s="37">
        <v>43647</v>
      </c>
      <c r="C1386" s="36"/>
      <c r="D1386" s="36"/>
      <c r="E1386" s="36" t="s">
        <v>7</v>
      </c>
      <c r="F1386" s="38">
        <v>3685661.2115662512</v>
      </c>
      <c r="G1386" s="36" t="s">
        <v>8</v>
      </c>
      <c r="H1386" s="36" t="s">
        <v>228</v>
      </c>
      <c r="I1386" s="36"/>
      <c r="J1386" s="36"/>
    </row>
    <row r="1387" spans="1:10" x14ac:dyDescent="0.25">
      <c r="A1387" s="36">
        <v>1577</v>
      </c>
      <c r="B1387" s="37">
        <v>43466</v>
      </c>
      <c r="C1387" s="36"/>
      <c r="D1387" s="36"/>
      <c r="E1387" s="36" t="s">
        <v>9</v>
      </c>
      <c r="F1387" s="38">
        <v>11787098.370468752</v>
      </c>
      <c r="G1387" s="36" t="s">
        <v>8</v>
      </c>
      <c r="H1387" s="36" t="s">
        <v>228</v>
      </c>
      <c r="I1387" s="36"/>
      <c r="J1387" s="36"/>
    </row>
    <row r="1388" spans="1:10" x14ac:dyDescent="0.25">
      <c r="A1388" s="36">
        <v>1577</v>
      </c>
      <c r="B1388" s="37">
        <v>43497</v>
      </c>
      <c r="C1388" s="36"/>
      <c r="D1388" s="36"/>
      <c r="E1388" s="36" t="s">
        <v>9</v>
      </c>
      <c r="F1388" s="38">
        <v>11787098.370468752</v>
      </c>
      <c r="G1388" s="36" t="s">
        <v>8</v>
      </c>
      <c r="H1388" s="36" t="s">
        <v>228</v>
      </c>
      <c r="I1388" s="36"/>
      <c r="J1388" s="36"/>
    </row>
    <row r="1389" spans="1:10" x14ac:dyDescent="0.25">
      <c r="A1389" s="36">
        <v>1577</v>
      </c>
      <c r="B1389" s="37">
        <v>43525</v>
      </c>
      <c r="C1389" s="36"/>
      <c r="D1389" s="36"/>
      <c r="E1389" s="36" t="s">
        <v>9</v>
      </c>
      <c r="F1389" s="38">
        <v>11787098.370468752</v>
      </c>
      <c r="G1389" s="36" t="s">
        <v>8</v>
      </c>
      <c r="H1389" s="36" t="s">
        <v>228</v>
      </c>
      <c r="I1389" s="36"/>
      <c r="J1389" s="36"/>
    </row>
    <row r="1390" spans="1:10" x14ac:dyDescent="0.25">
      <c r="A1390" s="36">
        <v>1577</v>
      </c>
      <c r="B1390" s="37">
        <v>43556</v>
      </c>
      <c r="C1390" s="36"/>
      <c r="D1390" s="36"/>
      <c r="E1390" s="36" t="s">
        <v>9</v>
      </c>
      <c r="F1390" s="38">
        <v>11787098.370468752</v>
      </c>
      <c r="G1390" s="36" t="s">
        <v>8</v>
      </c>
      <c r="H1390" s="36" t="s">
        <v>228</v>
      </c>
      <c r="I1390" s="36"/>
      <c r="J1390" s="36"/>
    </row>
    <row r="1391" spans="1:10" x14ac:dyDescent="0.25">
      <c r="A1391" s="36">
        <v>1577</v>
      </c>
      <c r="B1391" s="37">
        <v>43586</v>
      </c>
      <c r="C1391" s="36"/>
      <c r="D1391" s="36"/>
      <c r="E1391" s="36" t="s">
        <v>9</v>
      </c>
      <c r="F1391" s="38">
        <v>11787098.370468752</v>
      </c>
      <c r="G1391" s="36" t="s">
        <v>8</v>
      </c>
      <c r="H1391" s="36" t="s">
        <v>228</v>
      </c>
      <c r="I1391" s="36"/>
      <c r="J1391" s="36"/>
    </row>
    <row r="1392" spans="1:10" x14ac:dyDescent="0.25">
      <c r="A1392" s="36">
        <v>1577</v>
      </c>
      <c r="B1392" s="37">
        <v>43617</v>
      </c>
      <c r="C1392" s="36"/>
      <c r="D1392" s="36"/>
      <c r="E1392" s="36" t="s">
        <v>9</v>
      </c>
      <c r="F1392" s="38">
        <v>11787098.370468752</v>
      </c>
      <c r="G1392" s="36" t="s">
        <v>8</v>
      </c>
      <c r="H1392" s="36" t="s">
        <v>228</v>
      </c>
      <c r="I1392" s="36"/>
      <c r="J1392" s="36"/>
    </row>
    <row r="1393" spans="1:10" x14ac:dyDescent="0.25">
      <c r="A1393" s="36">
        <v>1577</v>
      </c>
      <c r="B1393" s="37">
        <v>43647</v>
      </c>
      <c r="C1393" s="36"/>
      <c r="D1393" s="36"/>
      <c r="E1393" s="36" t="s">
        <v>9</v>
      </c>
      <c r="F1393" s="38">
        <v>11787098.370468752</v>
      </c>
      <c r="G1393" s="36" t="s">
        <v>8</v>
      </c>
      <c r="H1393" s="36" t="s">
        <v>228</v>
      </c>
      <c r="I1393" s="36"/>
      <c r="J1393" s="36"/>
    </row>
    <row r="1394" spans="1:10" x14ac:dyDescent="0.25">
      <c r="A1394" s="36">
        <v>1577</v>
      </c>
      <c r="B1394" s="37">
        <v>43466</v>
      </c>
      <c r="C1394" s="36"/>
      <c r="D1394" s="36"/>
      <c r="E1394" s="36" t="s">
        <v>11</v>
      </c>
      <c r="F1394" s="38">
        <v>9796099.1329687536</v>
      </c>
      <c r="G1394" s="36" t="s">
        <v>8</v>
      </c>
      <c r="H1394" s="36" t="s">
        <v>228</v>
      </c>
      <c r="I1394" s="36"/>
      <c r="J1394" s="36"/>
    </row>
    <row r="1395" spans="1:10" x14ac:dyDescent="0.25">
      <c r="A1395" s="36">
        <v>1577</v>
      </c>
      <c r="B1395" s="37">
        <v>43497</v>
      </c>
      <c r="C1395" s="36"/>
      <c r="D1395" s="36"/>
      <c r="E1395" s="36" t="s">
        <v>11</v>
      </c>
      <c r="F1395" s="38">
        <v>9796099.1329687536</v>
      </c>
      <c r="G1395" s="36" t="s">
        <v>8</v>
      </c>
      <c r="H1395" s="36" t="s">
        <v>228</v>
      </c>
      <c r="I1395" s="36"/>
      <c r="J1395" s="36"/>
    </row>
    <row r="1396" spans="1:10" x14ac:dyDescent="0.25">
      <c r="A1396" s="36">
        <v>1577</v>
      </c>
      <c r="B1396" s="37">
        <v>43525</v>
      </c>
      <c r="C1396" s="36"/>
      <c r="D1396" s="36"/>
      <c r="E1396" s="36" t="s">
        <v>11</v>
      </c>
      <c r="F1396" s="38">
        <v>9796099.1329687536</v>
      </c>
      <c r="G1396" s="36" t="s">
        <v>8</v>
      </c>
      <c r="H1396" s="36" t="s">
        <v>228</v>
      </c>
      <c r="I1396" s="36"/>
      <c r="J1396" s="36"/>
    </row>
    <row r="1397" spans="1:10" x14ac:dyDescent="0.25">
      <c r="A1397" s="36">
        <v>1577</v>
      </c>
      <c r="B1397" s="37">
        <v>43556</v>
      </c>
      <c r="C1397" s="36"/>
      <c r="D1397" s="36"/>
      <c r="E1397" s="36" t="s">
        <v>11</v>
      </c>
      <c r="F1397" s="38">
        <v>9796099.1329687536</v>
      </c>
      <c r="G1397" s="36" t="s">
        <v>8</v>
      </c>
      <c r="H1397" s="36" t="s">
        <v>228</v>
      </c>
      <c r="I1397" s="36"/>
      <c r="J1397" s="36"/>
    </row>
    <row r="1398" spans="1:10" x14ac:dyDescent="0.25">
      <c r="A1398" s="36">
        <v>1577</v>
      </c>
      <c r="B1398" s="37">
        <v>43586</v>
      </c>
      <c r="C1398" s="36"/>
      <c r="D1398" s="36"/>
      <c r="E1398" s="36" t="s">
        <v>11</v>
      </c>
      <c r="F1398" s="38">
        <v>9796099.1329687536</v>
      </c>
      <c r="G1398" s="36" t="s">
        <v>8</v>
      </c>
      <c r="H1398" s="36" t="s">
        <v>228</v>
      </c>
      <c r="I1398" s="36"/>
      <c r="J1398" s="36"/>
    </row>
    <row r="1399" spans="1:10" x14ac:dyDescent="0.25">
      <c r="A1399" s="36">
        <v>1577</v>
      </c>
      <c r="B1399" s="37">
        <v>43466</v>
      </c>
      <c r="C1399" s="36"/>
      <c r="D1399" s="36"/>
      <c r="E1399" s="36" t="s">
        <v>86</v>
      </c>
      <c r="F1399" s="38">
        <v>8143952.6503125019</v>
      </c>
      <c r="G1399" s="36" t="s">
        <v>8</v>
      </c>
      <c r="H1399" s="36" t="s">
        <v>228</v>
      </c>
      <c r="I1399" s="36"/>
      <c r="J1399" s="36"/>
    </row>
    <row r="1400" spans="1:10" x14ac:dyDescent="0.25">
      <c r="A1400" s="36">
        <v>1577</v>
      </c>
      <c r="B1400" s="37">
        <v>43466</v>
      </c>
      <c r="C1400" s="36"/>
      <c r="D1400" s="36"/>
      <c r="E1400" s="36" t="s">
        <v>87</v>
      </c>
      <c r="F1400" s="38">
        <v>8143952.6503125019</v>
      </c>
      <c r="G1400" s="36" t="s">
        <v>8</v>
      </c>
      <c r="H1400" s="36" t="s">
        <v>228</v>
      </c>
      <c r="I1400" s="36"/>
      <c r="J1400" s="36"/>
    </row>
    <row r="1401" spans="1:10" x14ac:dyDescent="0.25">
      <c r="A1401" s="36">
        <v>1577</v>
      </c>
      <c r="B1401" s="37">
        <v>43497</v>
      </c>
      <c r="C1401" s="36"/>
      <c r="D1401" s="36"/>
      <c r="E1401" s="36" t="s">
        <v>87</v>
      </c>
      <c r="F1401" s="38">
        <v>8143952.6503125019</v>
      </c>
      <c r="G1401" s="36" t="s">
        <v>8</v>
      </c>
      <c r="H1401" s="36" t="s">
        <v>228</v>
      </c>
      <c r="I1401" s="36"/>
      <c r="J1401" s="36"/>
    </row>
    <row r="1402" spans="1:10" x14ac:dyDescent="0.25">
      <c r="A1402" s="36">
        <v>1577</v>
      </c>
      <c r="B1402" s="37">
        <v>43525</v>
      </c>
      <c r="C1402" s="36"/>
      <c r="D1402" s="36"/>
      <c r="E1402" s="36" t="s">
        <v>87</v>
      </c>
      <c r="F1402" s="38">
        <v>8143952.6503125019</v>
      </c>
      <c r="G1402" s="36" t="s">
        <v>8</v>
      </c>
      <c r="H1402" s="36" t="s">
        <v>228</v>
      </c>
      <c r="I1402" s="36"/>
      <c r="J1402" s="36"/>
    </row>
    <row r="1403" spans="1:10" x14ac:dyDescent="0.25">
      <c r="A1403" s="36">
        <v>1577</v>
      </c>
      <c r="B1403" s="37">
        <v>43556</v>
      </c>
      <c r="C1403" s="36"/>
      <c r="D1403" s="36"/>
      <c r="E1403" s="36" t="s">
        <v>87</v>
      </c>
      <c r="F1403" s="38">
        <v>8143952.6503125019</v>
      </c>
      <c r="G1403" s="36" t="s">
        <v>8</v>
      </c>
      <c r="H1403" s="36" t="s">
        <v>228</v>
      </c>
      <c r="I1403" s="36"/>
      <c r="J1403" s="36"/>
    </row>
    <row r="1404" spans="1:10" x14ac:dyDescent="0.25">
      <c r="A1404" s="36">
        <v>1577</v>
      </c>
      <c r="B1404" s="37">
        <v>43586</v>
      </c>
      <c r="C1404" s="36"/>
      <c r="D1404" s="36"/>
      <c r="E1404" s="36" t="s">
        <v>87</v>
      </c>
      <c r="F1404" s="38">
        <v>8143952.6503125019</v>
      </c>
      <c r="G1404" s="36" t="s">
        <v>8</v>
      </c>
      <c r="H1404" s="36" t="s">
        <v>228</v>
      </c>
      <c r="I1404" s="36"/>
      <c r="J1404" s="36"/>
    </row>
    <row r="1405" spans="1:10" x14ac:dyDescent="0.25">
      <c r="A1405" s="36">
        <v>1577</v>
      </c>
      <c r="B1405" s="37">
        <v>43466</v>
      </c>
      <c r="C1405" s="36"/>
      <c r="D1405" s="36"/>
      <c r="E1405" s="36" t="s">
        <v>88</v>
      </c>
      <c r="F1405" s="38">
        <v>6891920.4375000019</v>
      </c>
      <c r="G1405" s="36" t="s">
        <v>8</v>
      </c>
      <c r="H1405" s="36" t="s">
        <v>228</v>
      </c>
      <c r="I1405" s="36"/>
      <c r="J1405" s="36"/>
    </row>
    <row r="1406" spans="1:10" x14ac:dyDescent="0.25">
      <c r="A1406" s="36">
        <v>1577</v>
      </c>
      <c r="B1406" s="37">
        <v>43497</v>
      </c>
      <c r="C1406" s="36"/>
      <c r="D1406" s="36"/>
      <c r="E1406" s="36" t="s">
        <v>88</v>
      </c>
      <c r="F1406" s="38">
        <v>6891920.4375000019</v>
      </c>
      <c r="G1406" s="36" t="s">
        <v>8</v>
      </c>
      <c r="H1406" s="36" t="s">
        <v>228</v>
      </c>
      <c r="I1406" s="36"/>
      <c r="J1406" s="36"/>
    </row>
    <row r="1407" spans="1:10" x14ac:dyDescent="0.25">
      <c r="A1407" s="36">
        <v>1577</v>
      </c>
      <c r="B1407" s="37">
        <v>43525</v>
      </c>
      <c r="C1407" s="36"/>
      <c r="D1407" s="36"/>
      <c r="E1407" s="36" t="s">
        <v>88</v>
      </c>
      <c r="F1407" s="38">
        <v>6891920.4375000019</v>
      </c>
      <c r="G1407" s="36" t="s">
        <v>8</v>
      </c>
      <c r="H1407" s="36" t="s">
        <v>228</v>
      </c>
      <c r="I1407" s="36"/>
      <c r="J1407" s="36"/>
    </row>
    <row r="1408" spans="1:10" x14ac:dyDescent="0.25">
      <c r="A1408" s="36">
        <v>1577</v>
      </c>
      <c r="B1408" s="37">
        <v>43556</v>
      </c>
      <c r="C1408" s="36"/>
      <c r="D1408" s="36"/>
      <c r="E1408" s="36" t="s">
        <v>88</v>
      </c>
      <c r="F1408" s="38">
        <v>6891920.4375000019</v>
      </c>
      <c r="G1408" s="36" t="s">
        <v>8</v>
      </c>
      <c r="H1408" s="36" t="s">
        <v>228</v>
      </c>
      <c r="I1408" s="36"/>
      <c r="J1408" s="36"/>
    </row>
    <row r="1409" spans="1:10" x14ac:dyDescent="0.25">
      <c r="A1409" s="36">
        <v>1577</v>
      </c>
      <c r="B1409" s="37">
        <v>43586</v>
      </c>
      <c r="C1409" s="36"/>
      <c r="D1409" s="36"/>
      <c r="E1409" s="36" t="s">
        <v>88</v>
      </c>
      <c r="F1409" s="38">
        <v>6891920.4375000019</v>
      </c>
      <c r="G1409" s="36" t="s">
        <v>8</v>
      </c>
      <c r="H1409" s="36" t="s">
        <v>228</v>
      </c>
      <c r="I1409" s="36"/>
      <c r="J1409" s="36"/>
    </row>
    <row r="1410" spans="1:10" x14ac:dyDescent="0.25">
      <c r="A1410" s="36">
        <v>1577</v>
      </c>
      <c r="B1410" s="37">
        <v>43466</v>
      </c>
      <c r="C1410" s="36"/>
      <c r="D1410" s="36"/>
      <c r="E1410" s="36" t="s">
        <v>37</v>
      </c>
      <c r="F1410" s="38">
        <v>3882448.513125001</v>
      </c>
      <c r="G1410" s="36" t="s">
        <v>8</v>
      </c>
      <c r="H1410" s="36" t="s">
        <v>228</v>
      </c>
      <c r="I1410" s="36"/>
      <c r="J1410" s="36"/>
    </row>
    <row r="1411" spans="1:10" x14ac:dyDescent="0.25">
      <c r="A1411" s="36">
        <v>1577</v>
      </c>
      <c r="B1411" s="37">
        <v>43497</v>
      </c>
      <c r="C1411" s="36"/>
      <c r="D1411" s="36"/>
      <c r="E1411" s="36" t="s">
        <v>37</v>
      </c>
      <c r="F1411" s="38">
        <v>3882448.513125001</v>
      </c>
      <c r="G1411" s="36" t="s">
        <v>8</v>
      </c>
      <c r="H1411" s="36" t="s">
        <v>228</v>
      </c>
      <c r="I1411" s="36"/>
      <c r="J1411" s="36"/>
    </row>
    <row r="1412" spans="1:10" x14ac:dyDescent="0.25">
      <c r="A1412" s="36">
        <v>1577</v>
      </c>
      <c r="B1412" s="37">
        <v>43525</v>
      </c>
      <c r="C1412" s="36"/>
      <c r="D1412" s="36"/>
      <c r="E1412" s="36" t="s">
        <v>37</v>
      </c>
      <c r="F1412" s="38">
        <v>3882448.513125001</v>
      </c>
      <c r="G1412" s="36" t="s">
        <v>8</v>
      </c>
      <c r="H1412" s="36" t="s">
        <v>228</v>
      </c>
      <c r="I1412" s="36"/>
      <c r="J1412" s="36"/>
    </row>
    <row r="1413" spans="1:10" x14ac:dyDescent="0.25">
      <c r="A1413" s="36">
        <v>1577</v>
      </c>
      <c r="B1413" s="37">
        <v>43556</v>
      </c>
      <c r="C1413" s="36"/>
      <c r="D1413" s="36"/>
      <c r="E1413" s="36" t="s">
        <v>37</v>
      </c>
      <c r="F1413" s="38">
        <v>3882448.513125001</v>
      </c>
      <c r="G1413" s="36" t="s">
        <v>8</v>
      </c>
      <c r="H1413" s="36" t="s">
        <v>228</v>
      </c>
      <c r="I1413" s="36"/>
      <c r="J1413" s="36"/>
    </row>
    <row r="1414" spans="1:10" x14ac:dyDescent="0.25">
      <c r="A1414" s="36">
        <v>1577</v>
      </c>
      <c r="B1414" s="37">
        <v>43586</v>
      </c>
      <c r="C1414" s="36"/>
      <c r="D1414" s="36"/>
      <c r="E1414" s="36" t="s">
        <v>37</v>
      </c>
      <c r="F1414" s="38">
        <v>3882448.513125001</v>
      </c>
      <c r="G1414" s="36" t="s">
        <v>8</v>
      </c>
      <c r="H1414" s="36" t="s">
        <v>228</v>
      </c>
      <c r="I1414" s="36"/>
      <c r="J1414" s="36"/>
    </row>
    <row r="1415" spans="1:10" x14ac:dyDescent="0.25">
      <c r="A1415" s="36">
        <v>1577</v>
      </c>
      <c r="B1415" s="37">
        <v>43617</v>
      </c>
      <c r="C1415" s="36"/>
      <c r="D1415" s="36"/>
      <c r="E1415" s="36" t="s">
        <v>37</v>
      </c>
      <c r="F1415" s="38">
        <v>3882448.513125001</v>
      </c>
      <c r="G1415" s="36" t="s">
        <v>8</v>
      </c>
      <c r="H1415" s="36" t="s">
        <v>228</v>
      </c>
      <c r="I1415" s="36"/>
      <c r="J1415" s="36"/>
    </row>
    <row r="1416" spans="1:10" x14ac:dyDescent="0.25">
      <c r="A1416" s="36">
        <v>1577</v>
      </c>
      <c r="B1416" s="37">
        <v>43647</v>
      </c>
      <c r="C1416" s="36"/>
      <c r="D1416" s="36"/>
      <c r="E1416" s="36" t="s">
        <v>37</v>
      </c>
      <c r="F1416" s="38">
        <v>3882448.513125001</v>
      </c>
      <c r="G1416" s="36" t="s">
        <v>8</v>
      </c>
      <c r="H1416" s="36" t="s">
        <v>228</v>
      </c>
      <c r="I1416" s="36"/>
      <c r="J1416" s="36"/>
    </row>
    <row r="1417" spans="1:10" x14ac:dyDescent="0.25">
      <c r="A1417" s="36">
        <v>1577</v>
      </c>
      <c r="B1417" s="37">
        <v>43466</v>
      </c>
      <c r="C1417" s="36"/>
      <c r="D1417" s="36"/>
      <c r="E1417" s="36" t="s">
        <v>37</v>
      </c>
      <c r="F1417" s="38">
        <v>3882448.513125001</v>
      </c>
      <c r="G1417" s="36" t="s">
        <v>8</v>
      </c>
      <c r="H1417" s="36" t="s">
        <v>228</v>
      </c>
      <c r="I1417" s="36"/>
      <c r="J1417" s="36"/>
    </row>
    <row r="1418" spans="1:10" x14ac:dyDescent="0.25">
      <c r="A1418" s="36">
        <v>1577</v>
      </c>
      <c r="B1418" s="37">
        <v>43497</v>
      </c>
      <c r="C1418" s="36"/>
      <c r="D1418" s="36"/>
      <c r="E1418" s="36" t="s">
        <v>37</v>
      </c>
      <c r="F1418" s="38">
        <v>3882448.513125001</v>
      </c>
      <c r="G1418" s="36" t="s">
        <v>8</v>
      </c>
      <c r="H1418" s="36" t="s">
        <v>228</v>
      </c>
      <c r="I1418" s="36"/>
      <c r="J1418" s="36"/>
    </row>
    <row r="1419" spans="1:10" x14ac:dyDescent="0.25">
      <c r="A1419" s="36">
        <v>1577</v>
      </c>
      <c r="B1419" s="37">
        <v>43525</v>
      </c>
      <c r="C1419" s="36"/>
      <c r="D1419" s="36"/>
      <c r="E1419" s="36" t="s">
        <v>37</v>
      </c>
      <c r="F1419" s="38">
        <v>3882448.513125001</v>
      </c>
      <c r="G1419" s="36" t="s">
        <v>8</v>
      </c>
      <c r="H1419" s="36" t="s">
        <v>228</v>
      </c>
      <c r="I1419" s="36"/>
      <c r="J1419" s="36"/>
    </row>
    <row r="1420" spans="1:10" x14ac:dyDescent="0.25">
      <c r="A1420" s="36">
        <v>1577</v>
      </c>
      <c r="B1420" s="37">
        <v>43556</v>
      </c>
      <c r="C1420" s="36"/>
      <c r="D1420" s="36"/>
      <c r="E1420" s="36" t="s">
        <v>37</v>
      </c>
      <c r="F1420" s="38">
        <v>3882448.513125001</v>
      </c>
      <c r="G1420" s="36" t="s">
        <v>8</v>
      </c>
      <c r="H1420" s="36" t="s">
        <v>228</v>
      </c>
      <c r="I1420" s="36"/>
      <c r="J1420" s="36"/>
    </row>
    <row r="1421" spans="1:10" x14ac:dyDescent="0.25">
      <c r="A1421" s="36">
        <v>1577</v>
      </c>
      <c r="B1421" s="37">
        <v>43586</v>
      </c>
      <c r="C1421" s="36"/>
      <c r="D1421" s="36"/>
      <c r="E1421" s="36" t="s">
        <v>37</v>
      </c>
      <c r="F1421" s="38">
        <v>3882448.513125001</v>
      </c>
      <c r="G1421" s="36" t="s">
        <v>8</v>
      </c>
      <c r="H1421" s="36" t="s">
        <v>228</v>
      </c>
      <c r="I1421" s="36"/>
      <c r="J1421" s="36"/>
    </row>
    <row r="1422" spans="1:10" x14ac:dyDescent="0.25">
      <c r="A1422" s="36">
        <v>1577</v>
      </c>
      <c r="B1422" s="37">
        <v>43617</v>
      </c>
      <c r="C1422" s="36"/>
      <c r="D1422" s="36"/>
      <c r="E1422" s="36" t="s">
        <v>37</v>
      </c>
      <c r="F1422" s="38">
        <v>3882448.513125001</v>
      </c>
      <c r="G1422" s="36" t="s">
        <v>8</v>
      </c>
      <c r="H1422" s="36" t="s">
        <v>228</v>
      </c>
      <c r="I1422" s="36"/>
      <c r="J1422" s="36"/>
    </row>
    <row r="1423" spans="1:10" x14ac:dyDescent="0.25">
      <c r="A1423" s="36">
        <v>1577</v>
      </c>
      <c r="B1423" s="37">
        <v>43647</v>
      </c>
      <c r="C1423" s="36"/>
      <c r="D1423" s="36"/>
      <c r="E1423" s="36" t="s">
        <v>37</v>
      </c>
      <c r="F1423" s="38">
        <v>3882448.513125001</v>
      </c>
      <c r="G1423" s="36" t="s">
        <v>8</v>
      </c>
      <c r="H1423" s="36" t="s">
        <v>228</v>
      </c>
      <c r="I1423" s="36"/>
      <c r="J1423" s="36"/>
    </row>
    <row r="1424" spans="1:10" x14ac:dyDescent="0.25">
      <c r="A1424" s="36">
        <v>1577</v>
      </c>
      <c r="B1424" s="37">
        <v>43466</v>
      </c>
      <c r="C1424" s="36"/>
      <c r="D1424" s="36"/>
      <c r="E1424" s="36" t="s">
        <v>89</v>
      </c>
      <c r="F1424" s="38">
        <v>3802042.7746875011</v>
      </c>
      <c r="G1424" s="36" t="s">
        <v>8</v>
      </c>
      <c r="H1424" s="36" t="s">
        <v>228</v>
      </c>
      <c r="I1424" s="36"/>
      <c r="J1424" s="36"/>
    </row>
    <row r="1425" spans="1:10" x14ac:dyDescent="0.25">
      <c r="A1425" s="36">
        <v>1577</v>
      </c>
      <c r="B1425" s="37">
        <v>43466</v>
      </c>
      <c r="C1425" s="36"/>
      <c r="D1425" s="36"/>
      <c r="E1425" s="36" t="s">
        <v>90</v>
      </c>
      <c r="F1425" s="38">
        <v>3802042.7746875011</v>
      </c>
      <c r="G1425" s="36" t="s">
        <v>8</v>
      </c>
      <c r="H1425" s="36" t="s">
        <v>228</v>
      </c>
      <c r="I1425" s="36"/>
      <c r="J1425" s="36"/>
    </row>
    <row r="1426" spans="1:10" x14ac:dyDescent="0.25">
      <c r="A1426" s="36">
        <v>1577</v>
      </c>
      <c r="B1426" s="37">
        <v>43466</v>
      </c>
      <c r="C1426" s="36"/>
      <c r="D1426" s="36"/>
      <c r="E1426" s="36" t="s">
        <v>91</v>
      </c>
      <c r="F1426" s="38">
        <v>6769397.4075000016</v>
      </c>
      <c r="G1426" s="36" t="s">
        <v>8</v>
      </c>
      <c r="H1426" s="36" t="s">
        <v>228</v>
      </c>
      <c r="I1426" s="36"/>
      <c r="J1426" s="36"/>
    </row>
    <row r="1427" spans="1:10" x14ac:dyDescent="0.25">
      <c r="A1427" s="36">
        <v>1577</v>
      </c>
      <c r="B1427" s="37">
        <v>43497</v>
      </c>
      <c r="C1427" s="36"/>
      <c r="D1427" s="36"/>
      <c r="E1427" s="36" t="s">
        <v>91</v>
      </c>
      <c r="F1427" s="38">
        <v>6769397.4075000016</v>
      </c>
      <c r="G1427" s="36" t="s">
        <v>8</v>
      </c>
      <c r="H1427" s="36" t="s">
        <v>228</v>
      </c>
      <c r="I1427" s="36"/>
      <c r="J1427" s="36"/>
    </row>
    <row r="1428" spans="1:10" x14ac:dyDescent="0.25">
      <c r="A1428" s="36">
        <v>1577</v>
      </c>
      <c r="B1428" s="37">
        <v>43525</v>
      </c>
      <c r="C1428" s="36"/>
      <c r="D1428" s="36"/>
      <c r="E1428" s="36" t="s">
        <v>91</v>
      </c>
      <c r="F1428" s="38">
        <v>6769397.4075000016</v>
      </c>
      <c r="G1428" s="36" t="s">
        <v>8</v>
      </c>
      <c r="H1428" s="36" t="s">
        <v>228</v>
      </c>
      <c r="I1428" s="36"/>
      <c r="J1428" s="36"/>
    </row>
    <row r="1429" spans="1:10" x14ac:dyDescent="0.25">
      <c r="A1429" s="36">
        <v>1577</v>
      </c>
      <c r="B1429" s="37">
        <v>43466</v>
      </c>
      <c r="C1429" s="36"/>
      <c r="D1429" s="36"/>
      <c r="E1429" s="36" t="s">
        <v>92</v>
      </c>
      <c r="F1429" s="38">
        <v>3802042.7746875011</v>
      </c>
      <c r="G1429" s="36" t="s">
        <v>8</v>
      </c>
      <c r="H1429" s="36" t="s">
        <v>228</v>
      </c>
      <c r="I1429" s="36"/>
      <c r="J1429" s="36"/>
    </row>
    <row r="1430" spans="1:10" x14ac:dyDescent="0.25">
      <c r="A1430" s="36">
        <v>1577</v>
      </c>
      <c r="B1430" s="37">
        <v>43497</v>
      </c>
      <c r="C1430" s="36"/>
      <c r="D1430" s="36"/>
      <c r="E1430" s="36" t="s">
        <v>92</v>
      </c>
      <c r="F1430" s="38">
        <v>3802042.7746875011</v>
      </c>
      <c r="G1430" s="36" t="s">
        <v>8</v>
      </c>
      <c r="H1430" s="36" t="s">
        <v>228</v>
      </c>
      <c r="I1430" s="36"/>
      <c r="J1430" s="36"/>
    </row>
    <row r="1431" spans="1:10" x14ac:dyDescent="0.25">
      <c r="A1431" s="36">
        <v>1577</v>
      </c>
      <c r="B1431" s="37">
        <v>43525</v>
      </c>
      <c r="C1431" s="36"/>
      <c r="D1431" s="36"/>
      <c r="E1431" s="36" t="s">
        <v>92</v>
      </c>
      <c r="F1431" s="38">
        <v>3802042.7746875011</v>
      </c>
      <c r="G1431" s="36" t="s">
        <v>8</v>
      </c>
      <c r="H1431" s="36" t="s">
        <v>228</v>
      </c>
      <c r="I1431" s="36"/>
      <c r="J1431" s="36"/>
    </row>
    <row r="1432" spans="1:10" x14ac:dyDescent="0.25">
      <c r="A1432" s="36">
        <v>1577</v>
      </c>
      <c r="B1432" s="37">
        <v>43556</v>
      </c>
      <c r="C1432" s="36"/>
      <c r="D1432" s="36"/>
      <c r="E1432" s="36" t="s">
        <v>92</v>
      </c>
      <c r="F1432" s="38">
        <v>3802042.7746875011</v>
      </c>
      <c r="G1432" s="36" t="s">
        <v>8</v>
      </c>
      <c r="H1432" s="36" t="s">
        <v>228</v>
      </c>
      <c r="I1432" s="36"/>
      <c r="J1432" s="36"/>
    </row>
    <row r="1433" spans="1:10" x14ac:dyDescent="0.25">
      <c r="A1433" s="36">
        <v>1577</v>
      </c>
      <c r="B1433" s="37">
        <v>43586</v>
      </c>
      <c r="C1433" s="36"/>
      <c r="D1433" s="36"/>
      <c r="E1433" s="36" t="s">
        <v>92</v>
      </c>
      <c r="F1433" s="38">
        <v>3802042.7746875011</v>
      </c>
      <c r="G1433" s="36" t="s">
        <v>8</v>
      </c>
      <c r="H1433" s="36" t="s">
        <v>228</v>
      </c>
      <c r="I1433" s="36"/>
      <c r="J1433" s="36"/>
    </row>
    <row r="1434" spans="1:10" x14ac:dyDescent="0.25">
      <c r="A1434" s="36">
        <v>1577</v>
      </c>
      <c r="B1434" s="37">
        <v>43466</v>
      </c>
      <c r="C1434" s="36"/>
      <c r="D1434" s="36"/>
      <c r="E1434" s="36" t="s">
        <v>93</v>
      </c>
      <c r="F1434" s="38">
        <v>3802042.7746875011</v>
      </c>
      <c r="G1434" s="36" t="s">
        <v>8</v>
      </c>
      <c r="H1434" s="36" t="s">
        <v>228</v>
      </c>
      <c r="I1434" s="36"/>
      <c r="J1434" s="36"/>
    </row>
    <row r="1435" spans="1:10" x14ac:dyDescent="0.25">
      <c r="A1435" s="36">
        <v>1577</v>
      </c>
      <c r="B1435" s="37">
        <v>43497</v>
      </c>
      <c r="C1435" s="36"/>
      <c r="D1435" s="36"/>
      <c r="E1435" s="36" t="s">
        <v>93</v>
      </c>
      <c r="F1435" s="38">
        <v>3802042.7746875011</v>
      </c>
      <c r="G1435" s="36" t="s">
        <v>8</v>
      </c>
      <c r="H1435" s="36" t="s">
        <v>228</v>
      </c>
      <c r="I1435" s="36"/>
      <c r="J1435" s="36"/>
    </row>
    <row r="1436" spans="1:10" x14ac:dyDescent="0.25">
      <c r="A1436" s="36">
        <v>1577</v>
      </c>
      <c r="B1436" s="37">
        <v>43525</v>
      </c>
      <c r="C1436" s="36"/>
      <c r="D1436" s="36"/>
      <c r="E1436" s="36" t="s">
        <v>93</v>
      </c>
      <c r="F1436" s="38">
        <v>3802042.7746875011</v>
      </c>
      <c r="G1436" s="36" t="s">
        <v>8</v>
      </c>
      <c r="H1436" s="36" t="s">
        <v>228</v>
      </c>
      <c r="I1436" s="36"/>
      <c r="J1436" s="36"/>
    </row>
    <row r="1437" spans="1:10" x14ac:dyDescent="0.25">
      <c r="A1437" s="36">
        <v>1577</v>
      </c>
      <c r="B1437" s="37">
        <v>43556</v>
      </c>
      <c r="C1437" s="36"/>
      <c r="D1437" s="36"/>
      <c r="E1437" s="36" t="s">
        <v>93</v>
      </c>
      <c r="F1437" s="38">
        <v>3802042.7746875011</v>
      </c>
      <c r="G1437" s="36" t="s">
        <v>8</v>
      </c>
      <c r="H1437" s="36" t="s">
        <v>228</v>
      </c>
      <c r="I1437" s="36"/>
      <c r="J1437" s="36"/>
    </row>
    <row r="1438" spans="1:10" x14ac:dyDescent="0.25">
      <c r="A1438" s="36">
        <v>1577</v>
      </c>
      <c r="B1438" s="37">
        <v>43586</v>
      </c>
      <c r="C1438" s="36"/>
      <c r="D1438" s="36"/>
      <c r="E1438" s="36" t="s">
        <v>93</v>
      </c>
      <c r="F1438" s="38">
        <v>3802042.7746875011</v>
      </c>
      <c r="G1438" s="36" t="s">
        <v>8</v>
      </c>
      <c r="H1438" s="36" t="s">
        <v>228</v>
      </c>
      <c r="I1438" s="36"/>
      <c r="J1438" s="36"/>
    </row>
    <row r="1439" spans="1:10" x14ac:dyDescent="0.25">
      <c r="A1439" s="36">
        <v>1577</v>
      </c>
      <c r="B1439" s="37">
        <v>43466</v>
      </c>
      <c r="C1439" s="36"/>
      <c r="D1439" s="36"/>
      <c r="E1439" s="36" t="s">
        <v>94</v>
      </c>
      <c r="F1439" s="38">
        <v>6891920.4375000019</v>
      </c>
      <c r="G1439" s="36" t="s">
        <v>8</v>
      </c>
      <c r="H1439" s="36" t="s">
        <v>228</v>
      </c>
      <c r="I1439" s="36"/>
      <c r="J1439" s="36"/>
    </row>
    <row r="1440" spans="1:10" x14ac:dyDescent="0.25">
      <c r="A1440" s="36">
        <v>1577</v>
      </c>
      <c r="B1440" s="37">
        <v>43497</v>
      </c>
      <c r="C1440" s="36"/>
      <c r="D1440" s="36"/>
      <c r="E1440" s="36" t="s">
        <v>94</v>
      </c>
      <c r="F1440" s="38">
        <v>6891920.4375000019</v>
      </c>
      <c r="G1440" s="36" t="s">
        <v>8</v>
      </c>
      <c r="H1440" s="36" t="s">
        <v>228</v>
      </c>
      <c r="I1440" s="36"/>
      <c r="J1440" s="36"/>
    </row>
    <row r="1441" spans="1:10" x14ac:dyDescent="0.25">
      <c r="A1441" s="36">
        <v>1577</v>
      </c>
      <c r="B1441" s="37">
        <v>43525</v>
      </c>
      <c r="C1441" s="36"/>
      <c r="D1441" s="36"/>
      <c r="E1441" s="36" t="s">
        <v>94</v>
      </c>
      <c r="F1441" s="38">
        <v>6891920.4375000019</v>
      </c>
      <c r="G1441" s="36" t="s">
        <v>8</v>
      </c>
      <c r="H1441" s="36" t="s">
        <v>228</v>
      </c>
      <c r="I1441" s="36"/>
      <c r="J1441" s="36"/>
    </row>
    <row r="1442" spans="1:10" x14ac:dyDescent="0.25">
      <c r="A1442" s="36">
        <v>1577</v>
      </c>
      <c r="B1442" s="37">
        <v>43556</v>
      </c>
      <c r="C1442" s="36"/>
      <c r="D1442" s="36"/>
      <c r="E1442" s="36" t="s">
        <v>94</v>
      </c>
      <c r="F1442" s="38">
        <v>6891920.4375000019</v>
      </c>
      <c r="G1442" s="36" t="s">
        <v>8</v>
      </c>
      <c r="H1442" s="36" t="s">
        <v>228</v>
      </c>
      <c r="I1442" s="36"/>
      <c r="J1442" s="36"/>
    </row>
    <row r="1443" spans="1:10" x14ac:dyDescent="0.25">
      <c r="A1443" s="36">
        <v>1577</v>
      </c>
      <c r="B1443" s="37">
        <v>43586</v>
      </c>
      <c r="C1443" s="36"/>
      <c r="D1443" s="36"/>
      <c r="E1443" s="36" t="s">
        <v>94</v>
      </c>
      <c r="F1443" s="38">
        <v>6891920.4375000019</v>
      </c>
      <c r="G1443" s="36" t="s">
        <v>8</v>
      </c>
      <c r="H1443" s="36" t="s">
        <v>228</v>
      </c>
      <c r="I1443" s="36"/>
      <c r="J1443" s="36"/>
    </row>
    <row r="1444" spans="1:10" x14ac:dyDescent="0.25">
      <c r="A1444" s="36">
        <v>1577</v>
      </c>
      <c r="B1444" s="37">
        <v>43466</v>
      </c>
      <c r="C1444" s="36"/>
      <c r="D1444" s="36"/>
      <c r="E1444" s="36" t="s">
        <v>95</v>
      </c>
      <c r="F1444" s="38">
        <v>3802042.7746875011</v>
      </c>
      <c r="G1444" s="36" t="s">
        <v>8</v>
      </c>
      <c r="H1444" s="36" t="s">
        <v>228</v>
      </c>
      <c r="I1444" s="36"/>
      <c r="J1444" s="36"/>
    </row>
    <row r="1445" spans="1:10" x14ac:dyDescent="0.25">
      <c r="A1445" s="36">
        <v>1577</v>
      </c>
      <c r="B1445" s="37">
        <v>43497</v>
      </c>
      <c r="C1445" s="36"/>
      <c r="D1445" s="36"/>
      <c r="E1445" s="36" t="s">
        <v>95</v>
      </c>
      <c r="F1445" s="38">
        <v>3802042.7746875011</v>
      </c>
      <c r="G1445" s="36" t="s">
        <v>8</v>
      </c>
      <c r="H1445" s="36" t="s">
        <v>228</v>
      </c>
      <c r="I1445" s="36"/>
      <c r="J1445" s="36"/>
    </row>
    <row r="1446" spans="1:10" x14ac:dyDescent="0.25">
      <c r="A1446" s="36">
        <v>1577</v>
      </c>
      <c r="B1446" s="37">
        <v>43525</v>
      </c>
      <c r="C1446" s="36"/>
      <c r="D1446" s="36"/>
      <c r="E1446" s="36" t="s">
        <v>95</v>
      </c>
      <c r="F1446" s="38">
        <v>3802042.7746875011</v>
      </c>
      <c r="G1446" s="36" t="s">
        <v>8</v>
      </c>
      <c r="H1446" s="36" t="s">
        <v>228</v>
      </c>
      <c r="I1446" s="36"/>
      <c r="J1446" s="36"/>
    </row>
    <row r="1447" spans="1:10" x14ac:dyDescent="0.25">
      <c r="A1447" s="36">
        <v>1577</v>
      </c>
      <c r="B1447" s="37">
        <v>43556</v>
      </c>
      <c r="C1447" s="36"/>
      <c r="D1447" s="36"/>
      <c r="E1447" s="36" t="s">
        <v>95</v>
      </c>
      <c r="F1447" s="38">
        <v>3802042.7746875011</v>
      </c>
      <c r="G1447" s="36" t="s">
        <v>8</v>
      </c>
      <c r="H1447" s="36" t="s">
        <v>228</v>
      </c>
      <c r="I1447" s="36"/>
      <c r="J1447" s="36"/>
    </row>
    <row r="1448" spans="1:10" x14ac:dyDescent="0.25">
      <c r="A1448" s="36">
        <v>1577</v>
      </c>
      <c r="B1448" s="37">
        <v>43586</v>
      </c>
      <c r="C1448" s="36"/>
      <c r="D1448" s="36"/>
      <c r="E1448" s="36" t="s">
        <v>95</v>
      </c>
      <c r="F1448" s="38">
        <v>3802042.7746875011</v>
      </c>
      <c r="G1448" s="36" t="s">
        <v>8</v>
      </c>
      <c r="H1448" s="36" t="s">
        <v>228</v>
      </c>
      <c r="I1448" s="36"/>
      <c r="J1448" s="36"/>
    </row>
    <row r="1449" spans="1:10" x14ac:dyDescent="0.25">
      <c r="A1449" s="36">
        <v>1622</v>
      </c>
      <c r="B1449" s="37">
        <v>43466</v>
      </c>
      <c r="C1449" s="36"/>
      <c r="D1449" s="36"/>
      <c r="E1449" s="36" t="s">
        <v>96</v>
      </c>
      <c r="F1449" s="38">
        <v>26786251</v>
      </c>
      <c r="G1449" s="36" t="s">
        <v>8</v>
      </c>
      <c r="H1449" s="36" t="s">
        <v>8</v>
      </c>
      <c r="I1449" s="36"/>
      <c r="J1449" s="36"/>
    </row>
    <row r="1450" spans="1:10" x14ac:dyDescent="0.25">
      <c r="A1450" s="36">
        <v>1622</v>
      </c>
      <c r="B1450" s="37">
        <v>43497</v>
      </c>
      <c r="C1450" s="36"/>
      <c r="D1450" s="36"/>
      <c r="E1450" s="36" t="s">
        <v>96</v>
      </c>
      <c r="F1450" s="38">
        <v>26786251</v>
      </c>
      <c r="G1450" s="36" t="s">
        <v>8</v>
      </c>
      <c r="H1450" s="36" t="s">
        <v>8</v>
      </c>
      <c r="I1450" s="36"/>
      <c r="J1450" s="36"/>
    </row>
    <row r="1451" spans="1:10" x14ac:dyDescent="0.25">
      <c r="A1451" s="36">
        <v>1622</v>
      </c>
      <c r="B1451" s="37">
        <v>43525</v>
      </c>
      <c r="C1451" s="36"/>
      <c r="D1451" s="36"/>
      <c r="E1451" s="36" t="s">
        <v>96</v>
      </c>
      <c r="F1451" s="38">
        <v>26786251</v>
      </c>
      <c r="G1451" s="36" t="s">
        <v>8</v>
      </c>
      <c r="H1451" s="36" t="s">
        <v>8</v>
      </c>
      <c r="I1451" s="36"/>
      <c r="J1451" s="36"/>
    </row>
    <row r="1452" spans="1:10" x14ac:dyDescent="0.25">
      <c r="A1452" s="36">
        <v>1622</v>
      </c>
      <c r="B1452" s="37">
        <v>43466</v>
      </c>
      <c r="C1452" s="36"/>
      <c r="D1452" s="36"/>
      <c r="E1452" s="36" t="s">
        <v>97</v>
      </c>
      <c r="F1452" s="38">
        <v>15218233.5</v>
      </c>
      <c r="G1452" s="36" t="s">
        <v>8</v>
      </c>
      <c r="H1452" s="36" t="s">
        <v>8</v>
      </c>
      <c r="I1452" s="36"/>
      <c r="J1452" s="36"/>
    </row>
    <row r="1453" spans="1:10" x14ac:dyDescent="0.25">
      <c r="A1453" s="36">
        <v>1622</v>
      </c>
      <c r="B1453" s="37">
        <v>43466</v>
      </c>
      <c r="C1453" s="36"/>
      <c r="D1453" s="36"/>
      <c r="E1453" s="36" t="s">
        <v>98</v>
      </c>
      <c r="F1453" s="38">
        <v>6015462</v>
      </c>
      <c r="G1453" s="36" t="s">
        <v>8</v>
      </c>
      <c r="H1453" s="36" t="s">
        <v>8</v>
      </c>
      <c r="I1453" s="36"/>
      <c r="J1453" s="36"/>
    </row>
    <row r="1454" spans="1:10" x14ac:dyDescent="0.25">
      <c r="A1454" s="36">
        <v>1622</v>
      </c>
      <c r="B1454" s="37">
        <v>43466</v>
      </c>
      <c r="C1454" s="36"/>
      <c r="D1454" s="36"/>
      <c r="E1454" s="36" t="s">
        <v>99</v>
      </c>
      <c r="F1454" s="38">
        <v>4757001</v>
      </c>
      <c r="G1454" s="36" t="s">
        <v>8</v>
      </c>
      <c r="H1454" s="36" t="s">
        <v>8</v>
      </c>
      <c r="I1454" s="36"/>
      <c r="J1454" s="36"/>
    </row>
    <row r="1455" spans="1:10" x14ac:dyDescent="0.25">
      <c r="A1455" s="36">
        <v>1622</v>
      </c>
      <c r="B1455" s="37">
        <v>43497</v>
      </c>
      <c r="C1455" s="36"/>
      <c r="D1455" s="36"/>
      <c r="E1455" s="36" t="s">
        <v>99</v>
      </c>
      <c r="F1455" s="38">
        <v>4757001</v>
      </c>
      <c r="G1455" s="36" t="s">
        <v>8</v>
      </c>
      <c r="H1455" s="36" t="s">
        <v>8</v>
      </c>
      <c r="I1455" s="36"/>
      <c r="J1455" s="36"/>
    </row>
    <row r="1456" spans="1:10" x14ac:dyDescent="0.25">
      <c r="A1456" s="36">
        <v>1622</v>
      </c>
      <c r="B1456" s="37">
        <v>43525</v>
      </c>
      <c r="C1456" s="36"/>
      <c r="D1456" s="36"/>
      <c r="E1456" s="36" t="s">
        <v>99</v>
      </c>
      <c r="F1456" s="38">
        <v>4757001</v>
      </c>
      <c r="G1456" s="36" t="s">
        <v>8</v>
      </c>
      <c r="H1456" s="36" t="s">
        <v>8</v>
      </c>
      <c r="I1456" s="36"/>
      <c r="J1456" s="36"/>
    </row>
    <row r="1457" spans="1:10" x14ac:dyDescent="0.25">
      <c r="A1457" s="36">
        <v>1622</v>
      </c>
      <c r="B1457" s="37">
        <v>43556</v>
      </c>
      <c r="C1457" s="36"/>
      <c r="D1457" s="36"/>
      <c r="E1457" s="36" t="s">
        <v>99</v>
      </c>
      <c r="F1457" s="38">
        <v>4757001</v>
      </c>
      <c r="G1457" s="36" t="s">
        <v>8</v>
      </c>
      <c r="H1457" s="36" t="s">
        <v>8</v>
      </c>
      <c r="I1457" s="36"/>
      <c r="J1457" s="36"/>
    </row>
    <row r="1458" spans="1:10" x14ac:dyDescent="0.25">
      <c r="A1458" s="36">
        <v>1622</v>
      </c>
      <c r="B1458" s="37">
        <v>43586</v>
      </c>
      <c r="C1458" s="36"/>
      <c r="D1458" s="36"/>
      <c r="E1458" s="36" t="s">
        <v>99</v>
      </c>
      <c r="F1458" s="38">
        <v>4757001</v>
      </c>
      <c r="G1458" s="36" t="s">
        <v>8</v>
      </c>
      <c r="H1458" s="36" t="s">
        <v>8</v>
      </c>
      <c r="I1458" s="36"/>
      <c r="J1458" s="36"/>
    </row>
    <row r="1459" spans="1:10" x14ac:dyDescent="0.25">
      <c r="A1459" s="36">
        <v>1622</v>
      </c>
      <c r="B1459" s="37">
        <v>43617</v>
      </c>
      <c r="C1459" s="36"/>
      <c r="D1459" s="36"/>
      <c r="E1459" s="36" t="s">
        <v>99</v>
      </c>
      <c r="F1459" s="38">
        <v>4757001</v>
      </c>
      <c r="G1459" s="36" t="s">
        <v>8</v>
      </c>
      <c r="H1459" s="36" t="s">
        <v>8</v>
      </c>
      <c r="I1459" s="36"/>
      <c r="J1459" s="36"/>
    </row>
    <row r="1460" spans="1:10" x14ac:dyDescent="0.25">
      <c r="A1460" s="36">
        <v>1622</v>
      </c>
      <c r="B1460" s="37">
        <v>43647</v>
      </c>
      <c r="C1460" s="36"/>
      <c r="D1460" s="36"/>
      <c r="E1460" s="36" t="s">
        <v>99</v>
      </c>
      <c r="F1460" s="38">
        <v>4757001</v>
      </c>
      <c r="G1460" s="36" t="s">
        <v>8</v>
      </c>
      <c r="H1460" s="36" t="s">
        <v>8</v>
      </c>
      <c r="I1460" s="36"/>
      <c r="J1460" s="36"/>
    </row>
    <row r="1461" spans="1:10" x14ac:dyDescent="0.25">
      <c r="A1461" s="36">
        <v>1622</v>
      </c>
      <c r="B1461" s="37">
        <v>43678</v>
      </c>
      <c r="C1461" s="36"/>
      <c r="D1461" s="36"/>
      <c r="E1461" s="36" t="s">
        <v>99</v>
      </c>
      <c r="F1461" s="38">
        <v>4757001</v>
      </c>
      <c r="G1461" s="36" t="s">
        <v>8</v>
      </c>
      <c r="H1461" s="36" t="s">
        <v>8</v>
      </c>
      <c r="I1461" s="36"/>
      <c r="J1461" s="36"/>
    </row>
    <row r="1462" spans="1:10" x14ac:dyDescent="0.25">
      <c r="A1462" s="36">
        <v>1622</v>
      </c>
      <c r="B1462" s="37">
        <v>43709</v>
      </c>
      <c r="C1462" s="36"/>
      <c r="D1462" s="36"/>
      <c r="E1462" s="36" t="s">
        <v>99</v>
      </c>
      <c r="F1462" s="38">
        <v>4757001</v>
      </c>
      <c r="G1462" s="36" t="s">
        <v>8</v>
      </c>
      <c r="H1462" s="36" t="s">
        <v>8</v>
      </c>
      <c r="I1462" s="36"/>
      <c r="J1462" s="36"/>
    </row>
    <row r="1463" spans="1:10" x14ac:dyDescent="0.25">
      <c r="A1463" s="36">
        <v>1622</v>
      </c>
      <c r="B1463" s="37">
        <v>43739</v>
      </c>
      <c r="C1463" s="36"/>
      <c r="D1463" s="36"/>
      <c r="E1463" s="36" t="s">
        <v>99</v>
      </c>
      <c r="F1463" s="38">
        <v>4757001</v>
      </c>
      <c r="G1463" s="36" t="s">
        <v>8</v>
      </c>
      <c r="H1463" s="36" t="s">
        <v>8</v>
      </c>
      <c r="I1463" s="36"/>
      <c r="J1463" s="36"/>
    </row>
    <row r="1464" spans="1:10" x14ac:dyDescent="0.25">
      <c r="A1464" s="36">
        <v>1622</v>
      </c>
      <c r="B1464" s="37">
        <v>43770</v>
      </c>
      <c r="C1464" s="36"/>
      <c r="D1464" s="36"/>
      <c r="E1464" s="36" t="s">
        <v>99</v>
      </c>
      <c r="F1464" s="38">
        <v>4757001</v>
      </c>
      <c r="G1464" s="36" t="s">
        <v>8</v>
      </c>
      <c r="H1464" s="36" t="s">
        <v>8</v>
      </c>
      <c r="I1464" s="36"/>
      <c r="J1464" s="36"/>
    </row>
    <row r="1465" spans="1:10" x14ac:dyDescent="0.25">
      <c r="A1465" s="36">
        <v>1622</v>
      </c>
      <c r="B1465" s="37">
        <v>43800</v>
      </c>
      <c r="C1465" s="36"/>
      <c r="D1465" s="36"/>
      <c r="E1465" s="36" t="s">
        <v>99</v>
      </c>
      <c r="F1465" s="38">
        <v>4757001</v>
      </c>
      <c r="G1465" s="36" t="s">
        <v>8</v>
      </c>
      <c r="H1465" s="36" t="s">
        <v>8</v>
      </c>
      <c r="I1465" s="36"/>
      <c r="J1465" s="36"/>
    </row>
    <row r="1466" spans="1:10" x14ac:dyDescent="0.25">
      <c r="A1466" s="36">
        <v>1622</v>
      </c>
      <c r="B1466" s="37">
        <v>43831</v>
      </c>
      <c r="C1466" s="36"/>
      <c r="D1466" s="36"/>
      <c r="E1466" s="36" t="s">
        <v>99</v>
      </c>
      <c r="F1466" s="38">
        <v>4757001</v>
      </c>
      <c r="G1466" s="36" t="s">
        <v>8</v>
      </c>
      <c r="H1466" s="36" t="s">
        <v>8</v>
      </c>
      <c r="I1466" s="36"/>
      <c r="J1466" s="36"/>
    </row>
    <row r="1467" spans="1:10" x14ac:dyDescent="0.25">
      <c r="A1467" s="36">
        <v>1622</v>
      </c>
      <c r="B1467" s="37">
        <v>43862</v>
      </c>
      <c r="C1467" s="36"/>
      <c r="D1467" s="36"/>
      <c r="E1467" s="36" t="s">
        <v>99</v>
      </c>
      <c r="F1467" s="38">
        <v>4757001</v>
      </c>
      <c r="G1467" s="36" t="s">
        <v>8</v>
      </c>
      <c r="H1467" s="36" t="s">
        <v>8</v>
      </c>
      <c r="I1467" s="36"/>
      <c r="J1467" s="36"/>
    </row>
    <row r="1468" spans="1:10" x14ac:dyDescent="0.25">
      <c r="A1468" s="36">
        <v>1622</v>
      </c>
      <c r="B1468" s="37">
        <v>43891</v>
      </c>
      <c r="C1468" s="36"/>
      <c r="D1468" s="36"/>
      <c r="E1468" s="36" t="s">
        <v>99</v>
      </c>
      <c r="F1468" s="38">
        <v>4757001</v>
      </c>
      <c r="G1468" s="36" t="s">
        <v>8</v>
      </c>
      <c r="H1468" s="36" t="s">
        <v>8</v>
      </c>
      <c r="I1468" s="36"/>
      <c r="J1468" s="36"/>
    </row>
    <row r="1469" spans="1:10" x14ac:dyDescent="0.25">
      <c r="A1469" s="36">
        <v>1622</v>
      </c>
      <c r="B1469" s="37">
        <v>43922</v>
      </c>
      <c r="C1469" s="36"/>
      <c r="D1469" s="36"/>
      <c r="E1469" s="36" t="s">
        <v>99</v>
      </c>
      <c r="F1469" s="38">
        <v>4757001</v>
      </c>
      <c r="G1469" s="36" t="s">
        <v>8</v>
      </c>
      <c r="H1469" s="36" t="s">
        <v>8</v>
      </c>
      <c r="I1469" s="36"/>
      <c r="J1469" s="36"/>
    </row>
    <row r="1470" spans="1:10" x14ac:dyDescent="0.25">
      <c r="A1470" s="36">
        <v>1622</v>
      </c>
      <c r="B1470" s="37">
        <v>43952</v>
      </c>
      <c r="C1470" s="36"/>
      <c r="D1470" s="36"/>
      <c r="E1470" s="36" t="s">
        <v>99</v>
      </c>
      <c r="F1470" s="38">
        <v>4757001</v>
      </c>
      <c r="G1470" s="36" t="s">
        <v>8</v>
      </c>
      <c r="H1470" s="36" t="s">
        <v>8</v>
      </c>
      <c r="I1470" s="36"/>
      <c r="J1470" s="36"/>
    </row>
    <row r="1471" spans="1:10" x14ac:dyDescent="0.25">
      <c r="A1471" s="36">
        <v>1622</v>
      </c>
      <c r="B1471" s="37">
        <v>43983</v>
      </c>
      <c r="C1471" s="36"/>
      <c r="D1471" s="36"/>
      <c r="E1471" s="36" t="s">
        <v>99</v>
      </c>
      <c r="F1471" s="38">
        <v>4757001</v>
      </c>
      <c r="G1471" s="36" t="s">
        <v>8</v>
      </c>
      <c r="H1471" s="36" t="s">
        <v>8</v>
      </c>
      <c r="I1471" s="36"/>
      <c r="J1471" s="36"/>
    </row>
    <row r="1472" spans="1:10" x14ac:dyDescent="0.25">
      <c r="A1472" s="36">
        <v>1622</v>
      </c>
      <c r="B1472" s="37">
        <v>44013</v>
      </c>
      <c r="C1472" s="36"/>
      <c r="D1472" s="36"/>
      <c r="E1472" s="36" t="s">
        <v>99</v>
      </c>
      <c r="F1472" s="38">
        <v>4757001</v>
      </c>
      <c r="G1472" s="36" t="s">
        <v>8</v>
      </c>
      <c r="H1472" s="36" t="s">
        <v>8</v>
      </c>
      <c r="I1472" s="36"/>
      <c r="J1472" s="36"/>
    </row>
    <row r="1473" spans="1:10" x14ac:dyDescent="0.25">
      <c r="A1473" s="36">
        <v>1622</v>
      </c>
      <c r="B1473" s="37">
        <v>44044</v>
      </c>
      <c r="C1473" s="36"/>
      <c r="D1473" s="36"/>
      <c r="E1473" s="36" t="s">
        <v>99</v>
      </c>
      <c r="F1473" s="38">
        <v>4757001</v>
      </c>
      <c r="G1473" s="36" t="s">
        <v>8</v>
      </c>
      <c r="H1473" s="36" t="s">
        <v>8</v>
      </c>
      <c r="I1473" s="36"/>
      <c r="J1473" s="36"/>
    </row>
    <row r="1474" spans="1:10" x14ac:dyDescent="0.25">
      <c r="A1474" s="36">
        <v>1622</v>
      </c>
      <c r="B1474" s="37">
        <v>44075</v>
      </c>
      <c r="C1474" s="36"/>
      <c r="D1474" s="36"/>
      <c r="E1474" s="36" t="s">
        <v>99</v>
      </c>
      <c r="F1474" s="38">
        <v>4757001</v>
      </c>
      <c r="G1474" s="36" t="s">
        <v>8</v>
      </c>
      <c r="H1474" s="36" t="s">
        <v>8</v>
      </c>
      <c r="I1474" s="36"/>
      <c r="J1474" s="36"/>
    </row>
    <row r="1475" spans="1:10" x14ac:dyDescent="0.25">
      <c r="A1475" s="36">
        <v>1622</v>
      </c>
      <c r="B1475" s="37">
        <v>44105</v>
      </c>
      <c r="C1475" s="36"/>
      <c r="D1475" s="36"/>
      <c r="E1475" s="36" t="s">
        <v>99</v>
      </c>
      <c r="F1475" s="38">
        <v>4757001</v>
      </c>
      <c r="G1475" s="36" t="s">
        <v>8</v>
      </c>
      <c r="H1475" s="36" t="s">
        <v>8</v>
      </c>
      <c r="I1475" s="36"/>
      <c r="J1475" s="36"/>
    </row>
    <row r="1476" spans="1:10" x14ac:dyDescent="0.25">
      <c r="A1476" s="36">
        <v>1622</v>
      </c>
      <c r="B1476" s="37">
        <v>44136</v>
      </c>
      <c r="C1476" s="36"/>
      <c r="D1476" s="36"/>
      <c r="E1476" s="36" t="s">
        <v>99</v>
      </c>
      <c r="F1476" s="38">
        <v>4757001</v>
      </c>
      <c r="G1476" s="36" t="s">
        <v>8</v>
      </c>
      <c r="H1476" s="36" t="s">
        <v>8</v>
      </c>
      <c r="I1476" s="36"/>
      <c r="J1476" s="36"/>
    </row>
    <row r="1477" spans="1:10" x14ac:dyDescent="0.25">
      <c r="A1477" s="36">
        <v>1622</v>
      </c>
      <c r="B1477" s="37">
        <v>44166</v>
      </c>
      <c r="C1477" s="36"/>
      <c r="D1477" s="36"/>
      <c r="E1477" s="36" t="s">
        <v>99</v>
      </c>
      <c r="F1477" s="38">
        <v>4757001</v>
      </c>
      <c r="G1477" s="36" t="s">
        <v>8</v>
      </c>
      <c r="H1477" s="36" t="s">
        <v>8</v>
      </c>
      <c r="I1477" s="36"/>
      <c r="J1477" s="36"/>
    </row>
    <row r="1478" spans="1:10" x14ac:dyDescent="0.25">
      <c r="A1478" s="36">
        <v>1622</v>
      </c>
      <c r="B1478" s="37">
        <v>44197</v>
      </c>
      <c r="C1478" s="36"/>
      <c r="D1478" s="36"/>
      <c r="E1478" s="36" t="s">
        <v>99</v>
      </c>
      <c r="F1478" s="38">
        <v>4757001</v>
      </c>
      <c r="G1478" s="36" t="s">
        <v>8</v>
      </c>
      <c r="H1478" s="36" t="s">
        <v>8</v>
      </c>
      <c r="I1478" s="36"/>
      <c r="J1478" s="36"/>
    </row>
    <row r="1479" spans="1:10" x14ac:dyDescent="0.25">
      <c r="A1479" s="36">
        <v>1622</v>
      </c>
      <c r="B1479" s="37">
        <v>44228</v>
      </c>
      <c r="C1479" s="36"/>
      <c r="D1479" s="36"/>
      <c r="E1479" s="36" t="s">
        <v>99</v>
      </c>
      <c r="F1479" s="38">
        <v>4757001</v>
      </c>
      <c r="G1479" s="36" t="s">
        <v>8</v>
      </c>
      <c r="H1479" s="36" t="s">
        <v>8</v>
      </c>
      <c r="I1479" s="36"/>
      <c r="J1479" s="36"/>
    </row>
    <row r="1480" spans="1:10" x14ac:dyDescent="0.25">
      <c r="A1480" s="36">
        <v>1622</v>
      </c>
      <c r="B1480" s="37">
        <v>44256</v>
      </c>
      <c r="C1480" s="36"/>
      <c r="D1480" s="36"/>
      <c r="E1480" s="36" t="s">
        <v>99</v>
      </c>
      <c r="F1480" s="38">
        <v>4757001</v>
      </c>
      <c r="G1480" s="36" t="s">
        <v>8</v>
      </c>
      <c r="H1480" s="36" t="s">
        <v>8</v>
      </c>
      <c r="I1480" s="36"/>
      <c r="J1480" s="36"/>
    </row>
    <row r="1481" spans="1:10" x14ac:dyDescent="0.25">
      <c r="A1481" s="36">
        <v>1622</v>
      </c>
      <c r="B1481" s="37">
        <v>44287</v>
      </c>
      <c r="C1481" s="36"/>
      <c r="D1481" s="36"/>
      <c r="E1481" s="36" t="s">
        <v>99</v>
      </c>
      <c r="F1481" s="38">
        <v>4757001</v>
      </c>
      <c r="G1481" s="36" t="s">
        <v>8</v>
      </c>
      <c r="H1481" s="36" t="s">
        <v>8</v>
      </c>
      <c r="I1481" s="36"/>
      <c r="J1481" s="36"/>
    </row>
    <row r="1482" spans="1:10" x14ac:dyDescent="0.25">
      <c r="A1482" s="36">
        <v>1622</v>
      </c>
      <c r="B1482" s="37">
        <v>44317</v>
      </c>
      <c r="C1482" s="36"/>
      <c r="D1482" s="36"/>
      <c r="E1482" s="36" t="s">
        <v>99</v>
      </c>
      <c r="F1482" s="38">
        <v>4757001</v>
      </c>
      <c r="G1482" s="36" t="s">
        <v>8</v>
      </c>
      <c r="H1482" s="36" t="s">
        <v>8</v>
      </c>
      <c r="I1482" s="36"/>
      <c r="J1482" s="36"/>
    </row>
    <row r="1483" spans="1:10" x14ac:dyDescent="0.25">
      <c r="A1483" s="36">
        <v>1622</v>
      </c>
      <c r="B1483" s="37">
        <v>44348</v>
      </c>
      <c r="C1483" s="36"/>
      <c r="D1483" s="36"/>
      <c r="E1483" s="36" t="s">
        <v>99</v>
      </c>
      <c r="F1483" s="38">
        <v>4757001</v>
      </c>
      <c r="G1483" s="36" t="s">
        <v>8</v>
      </c>
      <c r="H1483" s="36" t="s">
        <v>8</v>
      </c>
      <c r="I1483" s="36"/>
      <c r="J1483" s="36"/>
    </row>
    <row r="1484" spans="1:10" x14ac:dyDescent="0.25">
      <c r="A1484" s="36">
        <v>1622</v>
      </c>
      <c r="B1484" s="37">
        <v>44378</v>
      </c>
      <c r="C1484" s="36"/>
      <c r="D1484" s="36"/>
      <c r="E1484" s="36" t="s">
        <v>99</v>
      </c>
      <c r="F1484" s="38">
        <v>4757001</v>
      </c>
      <c r="G1484" s="36" t="s">
        <v>8</v>
      </c>
      <c r="H1484" s="36" t="s">
        <v>8</v>
      </c>
      <c r="I1484" s="36"/>
      <c r="J1484" s="36"/>
    </row>
    <row r="1485" spans="1:10" x14ac:dyDescent="0.25">
      <c r="A1485" s="36">
        <v>1622</v>
      </c>
      <c r="B1485" s="37">
        <v>44409</v>
      </c>
      <c r="C1485" s="36"/>
      <c r="D1485" s="36"/>
      <c r="E1485" s="36" t="s">
        <v>99</v>
      </c>
      <c r="F1485" s="38">
        <v>4757001</v>
      </c>
      <c r="G1485" s="36" t="s">
        <v>8</v>
      </c>
      <c r="H1485" s="36" t="s">
        <v>8</v>
      </c>
      <c r="I1485" s="36"/>
      <c r="J1485" s="36"/>
    </row>
    <row r="1486" spans="1:10" x14ac:dyDescent="0.25">
      <c r="A1486" s="36">
        <v>1622</v>
      </c>
      <c r="B1486" s="37">
        <v>44440</v>
      </c>
      <c r="C1486" s="36"/>
      <c r="D1486" s="36"/>
      <c r="E1486" s="36" t="s">
        <v>99</v>
      </c>
      <c r="F1486" s="38">
        <v>4757001</v>
      </c>
      <c r="G1486" s="36" t="s">
        <v>8</v>
      </c>
      <c r="H1486" s="36" t="s">
        <v>8</v>
      </c>
      <c r="I1486" s="36"/>
      <c r="J1486" s="36"/>
    </row>
    <row r="1487" spans="1:10" x14ac:dyDescent="0.25">
      <c r="A1487" s="36">
        <v>1622</v>
      </c>
      <c r="B1487" s="37">
        <v>44470</v>
      </c>
      <c r="C1487" s="36"/>
      <c r="D1487" s="36"/>
      <c r="E1487" s="36" t="s">
        <v>99</v>
      </c>
      <c r="F1487" s="38">
        <v>4757001</v>
      </c>
      <c r="G1487" s="36" t="s">
        <v>8</v>
      </c>
      <c r="H1487" s="36" t="s">
        <v>8</v>
      </c>
      <c r="I1487" s="36"/>
      <c r="J1487" s="36"/>
    </row>
    <row r="1488" spans="1:10" x14ac:dyDescent="0.25">
      <c r="A1488" s="36">
        <v>1622</v>
      </c>
      <c r="B1488" s="37">
        <v>43466</v>
      </c>
      <c r="C1488" s="36"/>
      <c r="D1488" s="36"/>
      <c r="E1488" s="36" t="s">
        <v>100</v>
      </c>
      <c r="F1488" s="38">
        <v>6199545</v>
      </c>
      <c r="G1488" s="36" t="s">
        <v>8</v>
      </c>
      <c r="H1488" s="36" t="s">
        <v>8</v>
      </c>
      <c r="I1488" s="36"/>
      <c r="J1488" s="36"/>
    </row>
    <row r="1489" spans="1:10" x14ac:dyDescent="0.25">
      <c r="A1489" s="36">
        <v>1622</v>
      </c>
      <c r="B1489" s="37">
        <v>43497</v>
      </c>
      <c r="C1489" s="36"/>
      <c r="D1489" s="36"/>
      <c r="E1489" s="36" t="s">
        <v>100</v>
      </c>
      <c r="F1489" s="38">
        <v>6199545</v>
      </c>
      <c r="G1489" s="36" t="s">
        <v>8</v>
      </c>
      <c r="H1489" s="36" t="s">
        <v>8</v>
      </c>
      <c r="I1489" s="36"/>
      <c r="J1489" s="36"/>
    </row>
    <row r="1490" spans="1:10" x14ac:dyDescent="0.25">
      <c r="A1490" s="36">
        <v>1622</v>
      </c>
      <c r="B1490" s="37">
        <v>43525</v>
      </c>
      <c r="C1490" s="36"/>
      <c r="D1490" s="36"/>
      <c r="E1490" s="36" t="s">
        <v>100</v>
      </c>
      <c r="F1490" s="38">
        <v>6199545</v>
      </c>
      <c r="G1490" s="36" t="s">
        <v>8</v>
      </c>
      <c r="H1490" s="36" t="s">
        <v>8</v>
      </c>
      <c r="I1490" s="36"/>
      <c r="J1490" s="36"/>
    </row>
    <row r="1491" spans="1:10" x14ac:dyDescent="0.25">
      <c r="A1491" s="36">
        <v>1622</v>
      </c>
      <c r="B1491" s="37">
        <v>43556</v>
      </c>
      <c r="C1491" s="36"/>
      <c r="D1491" s="36"/>
      <c r="E1491" s="36" t="s">
        <v>100</v>
      </c>
      <c r="F1491" s="38">
        <v>6199545</v>
      </c>
      <c r="G1491" s="36" t="s">
        <v>8</v>
      </c>
      <c r="H1491" s="36" t="s">
        <v>8</v>
      </c>
      <c r="I1491" s="36"/>
      <c r="J1491" s="36"/>
    </row>
    <row r="1492" spans="1:10" x14ac:dyDescent="0.25">
      <c r="A1492" s="36">
        <v>1622</v>
      </c>
      <c r="B1492" s="37">
        <v>43586</v>
      </c>
      <c r="C1492" s="36"/>
      <c r="D1492" s="36"/>
      <c r="E1492" s="36" t="s">
        <v>100</v>
      </c>
      <c r="F1492" s="38">
        <v>6199545</v>
      </c>
      <c r="G1492" s="36" t="s">
        <v>8</v>
      </c>
      <c r="H1492" s="36" t="s">
        <v>8</v>
      </c>
      <c r="I1492" s="36"/>
      <c r="J1492" s="36"/>
    </row>
    <row r="1493" spans="1:10" x14ac:dyDescent="0.25">
      <c r="A1493" s="36">
        <v>1622</v>
      </c>
      <c r="B1493" s="37">
        <v>43617</v>
      </c>
      <c r="C1493" s="36"/>
      <c r="D1493" s="36"/>
      <c r="E1493" s="36" t="s">
        <v>100</v>
      </c>
      <c r="F1493" s="38">
        <v>6199545</v>
      </c>
      <c r="G1493" s="36" t="s">
        <v>8</v>
      </c>
      <c r="H1493" s="36" t="s">
        <v>8</v>
      </c>
      <c r="I1493" s="36"/>
      <c r="J1493" s="36"/>
    </row>
    <row r="1494" spans="1:10" x14ac:dyDescent="0.25">
      <c r="A1494" s="36">
        <v>1622</v>
      </c>
      <c r="B1494" s="37">
        <v>43647</v>
      </c>
      <c r="C1494" s="36"/>
      <c r="D1494" s="36"/>
      <c r="E1494" s="36" t="s">
        <v>100</v>
      </c>
      <c r="F1494" s="38">
        <v>6199545</v>
      </c>
      <c r="G1494" s="36" t="s">
        <v>8</v>
      </c>
      <c r="H1494" s="36" t="s">
        <v>8</v>
      </c>
      <c r="I1494" s="36"/>
      <c r="J1494" s="36"/>
    </row>
    <row r="1495" spans="1:10" x14ac:dyDescent="0.25">
      <c r="A1495" s="36">
        <v>1622</v>
      </c>
      <c r="B1495" s="37">
        <v>43678</v>
      </c>
      <c r="C1495" s="36"/>
      <c r="D1495" s="36"/>
      <c r="E1495" s="36" t="s">
        <v>100</v>
      </c>
      <c r="F1495" s="38">
        <v>6199545</v>
      </c>
      <c r="G1495" s="36" t="s">
        <v>8</v>
      </c>
      <c r="H1495" s="36" t="s">
        <v>8</v>
      </c>
      <c r="I1495" s="36"/>
      <c r="J1495" s="36"/>
    </row>
    <row r="1496" spans="1:10" x14ac:dyDescent="0.25">
      <c r="A1496" s="36">
        <v>1622</v>
      </c>
      <c r="B1496" s="37">
        <v>43709</v>
      </c>
      <c r="C1496" s="36"/>
      <c r="D1496" s="36"/>
      <c r="E1496" s="36" t="s">
        <v>100</v>
      </c>
      <c r="F1496" s="38">
        <v>6199545</v>
      </c>
      <c r="G1496" s="36" t="s">
        <v>8</v>
      </c>
      <c r="H1496" s="36" t="s">
        <v>8</v>
      </c>
      <c r="I1496" s="36"/>
      <c r="J1496" s="36"/>
    </row>
    <row r="1497" spans="1:10" x14ac:dyDescent="0.25">
      <c r="A1497" s="36">
        <v>1622</v>
      </c>
      <c r="B1497" s="37">
        <v>43739</v>
      </c>
      <c r="C1497" s="36"/>
      <c r="D1497" s="36"/>
      <c r="E1497" s="36" t="s">
        <v>100</v>
      </c>
      <c r="F1497" s="38">
        <v>6199545</v>
      </c>
      <c r="G1497" s="36" t="s">
        <v>8</v>
      </c>
      <c r="H1497" s="36" t="s">
        <v>8</v>
      </c>
      <c r="I1497" s="36"/>
      <c r="J1497" s="36"/>
    </row>
    <row r="1498" spans="1:10" x14ac:dyDescent="0.25">
      <c r="A1498" s="36">
        <v>1622</v>
      </c>
      <c r="B1498" s="37">
        <v>43770</v>
      </c>
      <c r="C1498" s="36"/>
      <c r="D1498" s="36"/>
      <c r="E1498" s="36" t="s">
        <v>100</v>
      </c>
      <c r="F1498" s="38">
        <v>6199545</v>
      </c>
      <c r="G1498" s="36" t="s">
        <v>8</v>
      </c>
      <c r="H1498" s="36" t="s">
        <v>8</v>
      </c>
      <c r="I1498" s="36"/>
      <c r="J1498" s="36"/>
    </row>
    <row r="1499" spans="1:10" x14ac:dyDescent="0.25">
      <c r="A1499" s="36">
        <v>1622</v>
      </c>
      <c r="B1499" s="37">
        <v>43800</v>
      </c>
      <c r="C1499" s="36"/>
      <c r="D1499" s="36"/>
      <c r="E1499" s="36" t="s">
        <v>100</v>
      </c>
      <c r="F1499" s="38">
        <v>6199545</v>
      </c>
      <c r="G1499" s="36" t="s">
        <v>8</v>
      </c>
      <c r="H1499" s="36" t="s">
        <v>8</v>
      </c>
      <c r="I1499" s="36"/>
      <c r="J1499" s="36"/>
    </row>
    <row r="1500" spans="1:10" x14ac:dyDescent="0.25">
      <c r="A1500" s="36">
        <v>1622</v>
      </c>
      <c r="B1500" s="37">
        <v>43831</v>
      </c>
      <c r="C1500" s="36"/>
      <c r="D1500" s="36"/>
      <c r="E1500" s="36" t="s">
        <v>100</v>
      </c>
      <c r="F1500" s="38">
        <v>6199545</v>
      </c>
      <c r="G1500" s="36" t="s">
        <v>8</v>
      </c>
      <c r="H1500" s="36" t="s">
        <v>8</v>
      </c>
      <c r="I1500" s="36"/>
      <c r="J1500" s="36"/>
    </row>
    <row r="1501" spans="1:10" x14ac:dyDescent="0.25">
      <c r="A1501" s="36">
        <v>1622</v>
      </c>
      <c r="B1501" s="37">
        <v>43862</v>
      </c>
      <c r="C1501" s="36"/>
      <c r="D1501" s="36"/>
      <c r="E1501" s="36" t="s">
        <v>100</v>
      </c>
      <c r="F1501" s="38">
        <v>6199545</v>
      </c>
      <c r="G1501" s="36" t="s">
        <v>8</v>
      </c>
      <c r="H1501" s="36" t="s">
        <v>8</v>
      </c>
      <c r="I1501" s="36"/>
      <c r="J1501" s="36"/>
    </row>
    <row r="1502" spans="1:10" x14ac:dyDescent="0.25">
      <c r="A1502" s="36">
        <v>1622</v>
      </c>
      <c r="B1502" s="37">
        <v>43891</v>
      </c>
      <c r="C1502" s="36"/>
      <c r="D1502" s="36"/>
      <c r="E1502" s="36" t="s">
        <v>100</v>
      </c>
      <c r="F1502" s="38">
        <v>6199545</v>
      </c>
      <c r="G1502" s="36" t="s">
        <v>8</v>
      </c>
      <c r="H1502" s="36" t="s">
        <v>8</v>
      </c>
      <c r="I1502" s="36"/>
      <c r="J1502" s="36"/>
    </row>
    <row r="1503" spans="1:10" x14ac:dyDescent="0.25">
      <c r="A1503" s="36">
        <v>1622</v>
      </c>
      <c r="B1503" s="37">
        <v>43922</v>
      </c>
      <c r="C1503" s="36"/>
      <c r="D1503" s="36"/>
      <c r="E1503" s="36" t="s">
        <v>100</v>
      </c>
      <c r="F1503" s="38">
        <v>6199545</v>
      </c>
      <c r="G1503" s="36" t="s">
        <v>8</v>
      </c>
      <c r="H1503" s="36" t="s">
        <v>8</v>
      </c>
      <c r="I1503" s="36"/>
      <c r="J1503" s="36"/>
    </row>
    <row r="1504" spans="1:10" x14ac:dyDescent="0.25">
      <c r="A1504" s="36">
        <v>1622</v>
      </c>
      <c r="B1504" s="37">
        <v>43952</v>
      </c>
      <c r="C1504" s="36"/>
      <c r="D1504" s="36"/>
      <c r="E1504" s="36" t="s">
        <v>100</v>
      </c>
      <c r="F1504" s="38">
        <v>6199545</v>
      </c>
      <c r="G1504" s="36" t="s">
        <v>8</v>
      </c>
      <c r="H1504" s="36" t="s">
        <v>8</v>
      </c>
      <c r="I1504" s="36"/>
      <c r="J1504" s="36"/>
    </row>
    <row r="1505" spans="1:10" x14ac:dyDescent="0.25">
      <c r="A1505" s="36">
        <v>1622</v>
      </c>
      <c r="B1505" s="37">
        <v>43983</v>
      </c>
      <c r="C1505" s="36"/>
      <c r="D1505" s="36"/>
      <c r="E1505" s="36" t="s">
        <v>100</v>
      </c>
      <c r="F1505" s="38">
        <v>6199545</v>
      </c>
      <c r="G1505" s="36" t="s">
        <v>8</v>
      </c>
      <c r="H1505" s="36" t="s">
        <v>8</v>
      </c>
      <c r="I1505" s="36"/>
      <c r="J1505" s="36"/>
    </row>
    <row r="1506" spans="1:10" x14ac:dyDescent="0.25">
      <c r="A1506" s="36">
        <v>1622</v>
      </c>
      <c r="B1506" s="37">
        <v>44013</v>
      </c>
      <c r="C1506" s="36"/>
      <c r="D1506" s="36"/>
      <c r="E1506" s="36" t="s">
        <v>100</v>
      </c>
      <c r="F1506" s="38">
        <v>6199545</v>
      </c>
      <c r="G1506" s="36" t="s">
        <v>8</v>
      </c>
      <c r="H1506" s="36" t="s">
        <v>8</v>
      </c>
      <c r="I1506" s="36"/>
      <c r="J1506" s="36"/>
    </row>
    <row r="1507" spans="1:10" x14ac:dyDescent="0.25">
      <c r="A1507" s="36">
        <v>1622</v>
      </c>
      <c r="B1507" s="37">
        <v>44044</v>
      </c>
      <c r="C1507" s="36"/>
      <c r="D1507" s="36"/>
      <c r="E1507" s="36" t="s">
        <v>100</v>
      </c>
      <c r="F1507" s="38">
        <v>6199545</v>
      </c>
      <c r="G1507" s="36" t="s">
        <v>8</v>
      </c>
      <c r="H1507" s="36" t="s">
        <v>8</v>
      </c>
      <c r="I1507" s="36"/>
      <c r="J1507" s="36"/>
    </row>
    <row r="1508" spans="1:10" x14ac:dyDescent="0.25">
      <c r="A1508" s="36">
        <v>1622</v>
      </c>
      <c r="B1508" s="37">
        <v>44075</v>
      </c>
      <c r="C1508" s="36"/>
      <c r="D1508" s="36"/>
      <c r="E1508" s="36" t="s">
        <v>100</v>
      </c>
      <c r="F1508" s="38">
        <v>6199545</v>
      </c>
      <c r="G1508" s="36" t="s">
        <v>8</v>
      </c>
      <c r="H1508" s="36" t="s">
        <v>8</v>
      </c>
      <c r="I1508" s="36"/>
      <c r="J1508" s="36"/>
    </row>
    <row r="1509" spans="1:10" x14ac:dyDescent="0.25">
      <c r="A1509" s="36">
        <v>1622</v>
      </c>
      <c r="B1509" s="37">
        <v>44105</v>
      </c>
      <c r="C1509" s="36"/>
      <c r="D1509" s="36"/>
      <c r="E1509" s="36" t="s">
        <v>100</v>
      </c>
      <c r="F1509" s="38">
        <v>6199545</v>
      </c>
      <c r="G1509" s="36" t="s">
        <v>8</v>
      </c>
      <c r="H1509" s="36" t="s">
        <v>8</v>
      </c>
      <c r="I1509" s="36"/>
      <c r="J1509" s="36"/>
    </row>
    <row r="1510" spans="1:10" x14ac:dyDescent="0.25">
      <c r="A1510" s="36">
        <v>1622</v>
      </c>
      <c r="B1510" s="37">
        <v>44136</v>
      </c>
      <c r="C1510" s="36"/>
      <c r="D1510" s="36"/>
      <c r="E1510" s="36" t="s">
        <v>100</v>
      </c>
      <c r="F1510" s="38">
        <v>6199545</v>
      </c>
      <c r="G1510" s="36" t="s">
        <v>8</v>
      </c>
      <c r="H1510" s="36" t="s">
        <v>8</v>
      </c>
      <c r="I1510" s="36"/>
      <c r="J1510" s="36"/>
    </row>
    <row r="1511" spans="1:10" x14ac:dyDescent="0.25">
      <c r="A1511" s="36">
        <v>1622</v>
      </c>
      <c r="B1511" s="37">
        <v>44166</v>
      </c>
      <c r="C1511" s="36"/>
      <c r="D1511" s="36"/>
      <c r="E1511" s="36" t="s">
        <v>100</v>
      </c>
      <c r="F1511" s="38">
        <v>6199545</v>
      </c>
      <c r="G1511" s="36" t="s">
        <v>8</v>
      </c>
      <c r="H1511" s="36" t="s">
        <v>8</v>
      </c>
      <c r="I1511" s="36"/>
      <c r="J1511" s="36"/>
    </row>
    <row r="1512" spans="1:10" x14ac:dyDescent="0.25">
      <c r="A1512" s="36">
        <v>1622</v>
      </c>
      <c r="B1512" s="37">
        <v>44197</v>
      </c>
      <c r="C1512" s="36"/>
      <c r="D1512" s="36"/>
      <c r="E1512" s="36" t="s">
        <v>100</v>
      </c>
      <c r="F1512" s="38">
        <v>6199545</v>
      </c>
      <c r="G1512" s="36" t="s">
        <v>8</v>
      </c>
      <c r="H1512" s="36" t="s">
        <v>8</v>
      </c>
      <c r="I1512" s="36"/>
      <c r="J1512" s="36"/>
    </row>
    <row r="1513" spans="1:10" x14ac:dyDescent="0.25">
      <c r="A1513" s="36">
        <v>1622</v>
      </c>
      <c r="B1513" s="37">
        <v>44228</v>
      </c>
      <c r="C1513" s="36"/>
      <c r="D1513" s="36"/>
      <c r="E1513" s="36" t="s">
        <v>100</v>
      </c>
      <c r="F1513" s="38">
        <v>6199545</v>
      </c>
      <c r="G1513" s="36" t="s">
        <v>8</v>
      </c>
      <c r="H1513" s="36" t="s">
        <v>8</v>
      </c>
      <c r="I1513" s="36"/>
      <c r="J1513" s="36"/>
    </row>
    <row r="1514" spans="1:10" x14ac:dyDescent="0.25">
      <c r="A1514" s="36">
        <v>1622</v>
      </c>
      <c r="B1514" s="37">
        <v>44256</v>
      </c>
      <c r="C1514" s="36"/>
      <c r="D1514" s="36"/>
      <c r="E1514" s="36" t="s">
        <v>100</v>
      </c>
      <c r="F1514" s="38">
        <v>6199545</v>
      </c>
      <c r="G1514" s="36" t="s">
        <v>8</v>
      </c>
      <c r="H1514" s="36" t="s">
        <v>8</v>
      </c>
      <c r="I1514" s="36"/>
      <c r="J1514" s="36"/>
    </row>
    <row r="1515" spans="1:10" x14ac:dyDescent="0.25">
      <c r="A1515" s="36">
        <v>1622</v>
      </c>
      <c r="B1515" s="37">
        <v>44287</v>
      </c>
      <c r="C1515" s="36"/>
      <c r="D1515" s="36"/>
      <c r="E1515" s="36" t="s">
        <v>100</v>
      </c>
      <c r="F1515" s="38">
        <v>6199545</v>
      </c>
      <c r="G1515" s="36" t="s">
        <v>8</v>
      </c>
      <c r="H1515" s="36" t="s">
        <v>8</v>
      </c>
      <c r="I1515" s="36"/>
      <c r="J1515" s="36"/>
    </row>
    <row r="1516" spans="1:10" x14ac:dyDescent="0.25">
      <c r="A1516" s="36">
        <v>1622</v>
      </c>
      <c r="B1516" s="37">
        <v>44317</v>
      </c>
      <c r="C1516" s="36"/>
      <c r="D1516" s="36"/>
      <c r="E1516" s="36" t="s">
        <v>100</v>
      </c>
      <c r="F1516" s="38">
        <v>6199545</v>
      </c>
      <c r="G1516" s="36" t="s">
        <v>8</v>
      </c>
      <c r="H1516" s="36" t="s">
        <v>8</v>
      </c>
      <c r="I1516" s="36"/>
      <c r="J1516" s="36"/>
    </row>
    <row r="1517" spans="1:10" x14ac:dyDescent="0.25">
      <c r="A1517" s="36">
        <v>1622</v>
      </c>
      <c r="B1517" s="37">
        <v>44348</v>
      </c>
      <c r="C1517" s="36"/>
      <c r="D1517" s="36"/>
      <c r="E1517" s="36" t="s">
        <v>100</v>
      </c>
      <c r="F1517" s="38">
        <v>6199545</v>
      </c>
      <c r="G1517" s="36" t="s">
        <v>8</v>
      </c>
      <c r="H1517" s="36" t="s">
        <v>8</v>
      </c>
      <c r="I1517" s="36"/>
      <c r="J1517" s="36"/>
    </row>
    <row r="1518" spans="1:10" x14ac:dyDescent="0.25">
      <c r="A1518" s="36">
        <v>1622</v>
      </c>
      <c r="B1518" s="37">
        <v>44378</v>
      </c>
      <c r="C1518" s="36"/>
      <c r="D1518" s="36"/>
      <c r="E1518" s="36" t="s">
        <v>100</v>
      </c>
      <c r="F1518" s="38">
        <v>6199545</v>
      </c>
      <c r="G1518" s="36" t="s">
        <v>8</v>
      </c>
      <c r="H1518" s="36" t="s">
        <v>8</v>
      </c>
      <c r="I1518" s="36"/>
      <c r="J1518" s="36"/>
    </row>
    <row r="1519" spans="1:10" x14ac:dyDescent="0.25">
      <c r="A1519" s="36">
        <v>1622</v>
      </c>
      <c r="B1519" s="37">
        <v>44409</v>
      </c>
      <c r="C1519" s="36"/>
      <c r="D1519" s="36"/>
      <c r="E1519" s="36" t="s">
        <v>100</v>
      </c>
      <c r="F1519" s="38">
        <v>6199545</v>
      </c>
      <c r="G1519" s="36" t="s">
        <v>8</v>
      </c>
      <c r="H1519" s="36" t="s">
        <v>8</v>
      </c>
      <c r="I1519" s="36"/>
      <c r="J1519" s="36"/>
    </row>
    <row r="1520" spans="1:10" x14ac:dyDescent="0.25">
      <c r="A1520" s="36">
        <v>1622</v>
      </c>
      <c r="B1520" s="37">
        <v>44440</v>
      </c>
      <c r="C1520" s="36"/>
      <c r="D1520" s="36"/>
      <c r="E1520" s="36" t="s">
        <v>100</v>
      </c>
      <c r="F1520" s="38">
        <v>6199545</v>
      </c>
      <c r="G1520" s="36" t="s">
        <v>8</v>
      </c>
      <c r="H1520" s="36" t="s">
        <v>8</v>
      </c>
      <c r="I1520" s="36"/>
      <c r="J1520" s="36"/>
    </row>
    <row r="1521" spans="1:10" x14ac:dyDescent="0.25">
      <c r="A1521" s="36">
        <v>1622</v>
      </c>
      <c r="B1521" s="37">
        <v>44470</v>
      </c>
      <c r="C1521" s="36"/>
      <c r="D1521" s="36"/>
      <c r="E1521" s="36" t="s">
        <v>100</v>
      </c>
      <c r="F1521" s="38">
        <v>6199545</v>
      </c>
      <c r="G1521" s="36" t="s">
        <v>8</v>
      </c>
      <c r="H1521" s="36" t="s">
        <v>8</v>
      </c>
      <c r="I1521" s="36"/>
      <c r="J1521" s="36"/>
    </row>
    <row r="1522" spans="1:10" x14ac:dyDescent="0.25">
      <c r="A1522" s="36">
        <v>1622</v>
      </c>
      <c r="B1522" s="37">
        <v>43466</v>
      </c>
      <c r="C1522" s="36"/>
      <c r="D1522" s="36"/>
      <c r="E1522" s="36" t="s">
        <v>101</v>
      </c>
      <c r="F1522" s="38">
        <v>6239898</v>
      </c>
      <c r="G1522" s="36" t="s">
        <v>8</v>
      </c>
      <c r="H1522" s="36" t="s">
        <v>8</v>
      </c>
      <c r="I1522" s="36"/>
      <c r="J1522" s="36"/>
    </row>
    <row r="1523" spans="1:10" x14ac:dyDescent="0.25">
      <c r="A1523" s="36">
        <v>1622</v>
      </c>
      <c r="B1523" s="37">
        <v>43497</v>
      </c>
      <c r="C1523" s="36"/>
      <c r="D1523" s="36"/>
      <c r="E1523" s="36" t="s">
        <v>101</v>
      </c>
      <c r="F1523" s="38">
        <v>6239898</v>
      </c>
      <c r="G1523" s="36" t="s">
        <v>8</v>
      </c>
      <c r="H1523" s="36" t="s">
        <v>8</v>
      </c>
      <c r="I1523" s="36"/>
      <c r="J1523" s="36"/>
    </row>
    <row r="1524" spans="1:10" x14ac:dyDescent="0.25">
      <c r="A1524" s="36">
        <v>1622</v>
      </c>
      <c r="B1524" s="37">
        <v>43525</v>
      </c>
      <c r="C1524" s="36"/>
      <c r="D1524" s="36"/>
      <c r="E1524" s="36" t="s">
        <v>101</v>
      </c>
      <c r="F1524" s="38">
        <v>6239898</v>
      </c>
      <c r="G1524" s="36" t="s">
        <v>8</v>
      </c>
      <c r="H1524" s="36" t="s">
        <v>8</v>
      </c>
      <c r="I1524" s="36"/>
      <c r="J1524" s="36"/>
    </row>
    <row r="1525" spans="1:10" x14ac:dyDescent="0.25">
      <c r="A1525" s="36">
        <v>1622</v>
      </c>
      <c r="B1525" s="37">
        <v>43556</v>
      </c>
      <c r="C1525" s="36"/>
      <c r="D1525" s="36"/>
      <c r="E1525" s="36" t="s">
        <v>101</v>
      </c>
      <c r="F1525" s="38">
        <v>6239898</v>
      </c>
      <c r="G1525" s="36" t="s">
        <v>8</v>
      </c>
      <c r="H1525" s="36" t="s">
        <v>8</v>
      </c>
      <c r="I1525" s="36"/>
      <c r="J1525" s="36"/>
    </row>
    <row r="1526" spans="1:10" x14ac:dyDescent="0.25">
      <c r="A1526" s="36">
        <v>1622</v>
      </c>
      <c r="B1526" s="37">
        <v>43586</v>
      </c>
      <c r="C1526" s="36"/>
      <c r="D1526" s="36"/>
      <c r="E1526" s="36" t="s">
        <v>101</v>
      </c>
      <c r="F1526" s="38">
        <v>6239898</v>
      </c>
      <c r="G1526" s="36" t="s">
        <v>8</v>
      </c>
      <c r="H1526" s="36" t="s">
        <v>8</v>
      </c>
      <c r="I1526" s="36"/>
      <c r="J1526" s="36"/>
    </row>
    <row r="1527" spans="1:10" x14ac:dyDescent="0.25">
      <c r="A1527" s="36">
        <v>1622</v>
      </c>
      <c r="B1527" s="37">
        <v>43617</v>
      </c>
      <c r="C1527" s="36"/>
      <c r="D1527" s="36"/>
      <c r="E1527" s="36" t="s">
        <v>101</v>
      </c>
      <c r="F1527" s="38">
        <v>6239898</v>
      </c>
      <c r="G1527" s="36" t="s">
        <v>8</v>
      </c>
      <c r="H1527" s="36" t="s">
        <v>8</v>
      </c>
      <c r="I1527" s="36"/>
      <c r="J1527" s="36"/>
    </row>
    <row r="1528" spans="1:10" x14ac:dyDescent="0.25">
      <c r="A1528" s="36">
        <v>1622</v>
      </c>
      <c r="B1528" s="37">
        <v>43647</v>
      </c>
      <c r="C1528" s="36"/>
      <c r="D1528" s="36"/>
      <c r="E1528" s="36" t="s">
        <v>101</v>
      </c>
      <c r="F1528" s="38">
        <v>6239898</v>
      </c>
      <c r="G1528" s="36" t="s">
        <v>8</v>
      </c>
      <c r="H1528" s="36" t="s">
        <v>8</v>
      </c>
      <c r="I1528" s="36"/>
      <c r="J1528" s="36"/>
    </row>
    <row r="1529" spans="1:10" x14ac:dyDescent="0.25">
      <c r="A1529" s="36">
        <v>1622</v>
      </c>
      <c r="B1529" s="37">
        <v>43678</v>
      </c>
      <c r="C1529" s="36"/>
      <c r="D1529" s="36"/>
      <c r="E1529" s="36" t="s">
        <v>101</v>
      </c>
      <c r="F1529" s="38">
        <v>6239898</v>
      </c>
      <c r="G1529" s="36" t="s">
        <v>8</v>
      </c>
      <c r="H1529" s="36" t="s">
        <v>8</v>
      </c>
      <c r="I1529" s="36"/>
      <c r="J1529" s="36"/>
    </row>
    <row r="1530" spans="1:10" x14ac:dyDescent="0.25">
      <c r="A1530" s="36">
        <v>1622</v>
      </c>
      <c r="B1530" s="37">
        <v>43466</v>
      </c>
      <c r="C1530" s="36"/>
      <c r="D1530" s="36"/>
      <c r="E1530" s="36" t="s">
        <v>102</v>
      </c>
      <c r="F1530" s="38">
        <v>7453077</v>
      </c>
      <c r="G1530" s="36" t="s">
        <v>8</v>
      </c>
      <c r="H1530" s="36" t="s">
        <v>8</v>
      </c>
      <c r="I1530" s="36"/>
      <c r="J1530" s="36"/>
    </row>
    <row r="1531" spans="1:10" x14ac:dyDescent="0.25">
      <c r="A1531" s="36">
        <v>1622</v>
      </c>
      <c r="B1531" s="37">
        <v>43497</v>
      </c>
      <c r="C1531" s="36"/>
      <c r="D1531" s="36"/>
      <c r="E1531" s="36" t="s">
        <v>102</v>
      </c>
      <c r="F1531" s="38">
        <v>7453077</v>
      </c>
      <c r="G1531" s="36" t="s">
        <v>8</v>
      </c>
      <c r="H1531" s="36" t="s">
        <v>8</v>
      </c>
      <c r="I1531" s="36"/>
      <c r="J1531" s="36"/>
    </row>
    <row r="1532" spans="1:10" x14ac:dyDescent="0.25">
      <c r="A1532" s="36">
        <v>1622</v>
      </c>
      <c r="B1532" s="37">
        <v>43525</v>
      </c>
      <c r="C1532" s="36"/>
      <c r="D1532" s="36"/>
      <c r="E1532" s="36" t="s">
        <v>102</v>
      </c>
      <c r="F1532" s="38">
        <v>7453077</v>
      </c>
      <c r="G1532" s="36" t="s">
        <v>8</v>
      </c>
      <c r="H1532" s="36" t="s">
        <v>8</v>
      </c>
      <c r="I1532" s="36"/>
      <c r="J1532" s="36"/>
    </row>
    <row r="1533" spans="1:10" x14ac:dyDescent="0.25">
      <c r="A1533" s="36">
        <v>1622</v>
      </c>
      <c r="B1533" s="37">
        <v>43556</v>
      </c>
      <c r="C1533" s="36"/>
      <c r="D1533" s="36"/>
      <c r="E1533" s="36" t="s">
        <v>102</v>
      </c>
      <c r="F1533" s="38">
        <v>7453077</v>
      </c>
      <c r="G1533" s="36" t="s">
        <v>8</v>
      </c>
      <c r="H1533" s="36" t="s">
        <v>8</v>
      </c>
      <c r="I1533" s="36"/>
      <c r="J1533" s="36"/>
    </row>
    <row r="1534" spans="1:10" x14ac:dyDescent="0.25">
      <c r="A1534" s="36">
        <v>1622</v>
      </c>
      <c r="B1534" s="37">
        <v>43586</v>
      </c>
      <c r="C1534" s="36"/>
      <c r="D1534" s="36"/>
      <c r="E1534" s="36" t="s">
        <v>102</v>
      </c>
      <c r="F1534" s="38">
        <v>7453077</v>
      </c>
      <c r="G1534" s="36" t="s">
        <v>8</v>
      </c>
      <c r="H1534" s="36" t="s">
        <v>8</v>
      </c>
      <c r="I1534" s="36"/>
      <c r="J1534" s="36"/>
    </row>
    <row r="1535" spans="1:10" x14ac:dyDescent="0.25">
      <c r="A1535" s="36">
        <v>1622</v>
      </c>
      <c r="B1535" s="37">
        <v>43617</v>
      </c>
      <c r="C1535" s="36"/>
      <c r="D1535" s="36"/>
      <c r="E1535" s="36" t="s">
        <v>102</v>
      </c>
      <c r="F1535" s="38">
        <v>7453077</v>
      </c>
      <c r="G1535" s="36" t="s">
        <v>8</v>
      </c>
      <c r="H1535" s="36" t="s">
        <v>8</v>
      </c>
      <c r="I1535" s="36"/>
      <c r="J1535" s="36"/>
    </row>
    <row r="1536" spans="1:10" x14ac:dyDescent="0.25">
      <c r="A1536" s="36">
        <v>1622</v>
      </c>
      <c r="B1536" s="37">
        <v>43647</v>
      </c>
      <c r="C1536" s="36"/>
      <c r="D1536" s="36"/>
      <c r="E1536" s="36" t="s">
        <v>102</v>
      </c>
      <c r="F1536" s="38">
        <v>7453077</v>
      </c>
      <c r="G1536" s="36" t="s">
        <v>8</v>
      </c>
      <c r="H1536" s="36" t="s">
        <v>8</v>
      </c>
      <c r="I1536" s="36"/>
      <c r="J1536" s="36"/>
    </row>
    <row r="1537" spans="1:10" x14ac:dyDescent="0.25">
      <c r="A1537" s="36">
        <v>1622</v>
      </c>
      <c r="B1537" s="37">
        <v>43678</v>
      </c>
      <c r="C1537" s="36"/>
      <c r="D1537" s="36"/>
      <c r="E1537" s="36" t="s">
        <v>102</v>
      </c>
      <c r="F1537" s="38">
        <v>7453077</v>
      </c>
      <c r="G1537" s="36" t="s">
        <v>8</v>
      </c>
      <c r="H1537" s="36" t="s">
        <v>8</v>
      </c>
      <c r="I1537" s="36"/>
      <c r="J1537" s="36"/>
    </row>
    <row r="1538" spans="1:10" x14ac:dyDescent="0.25">
      <c r="A1538" s="36">
        <v>1622</v>
      </c>
      <c r="B1538" s="37">
        <v>43709</v>
      </c>
      <c r="C1538" s="36"/>
      <c r="D1538" s="36"/>
      <c r="E1538" s="36" t="s">
        <v>102</v>
      </c>
      <c r="F1538" s="38">
        <v>7453077</v>
      </c>
      <c r="G1538" s="36" t="s">
        <v>8</v>
      </c>
      <c r="H1538" s="36" t="s">
        <v>8</v>
      </c>
      <c r="I1538" s="36"/>
      <c r="J1538" s="36"/>
    </row>
    <row r="1539" spans="1:10" x14ac:dyDescent="0.25">
      <c r="A1539" s="36">
        <v>1622</v>
      </c>
      <c r="B1539" s="37">
        <v>43739</v>
      </c>
      <c r="C1539" s="36"/>
      <c r="D1539" s="36"/>
      <c r="E1539" s="36" t="s">
        <v>102</v>
      </c>
      <c r="F1539" s="38">
        <v>7453077</v>
      </c>
      <c r="G1539" s="36" t="s">
        <v>8</v>
      </c>
      <c r="H1539" s="36" t="s">
        <v>8</v>
      </c>
      <c r="I1539" s="36"/>
      <c r="J1539" s="36"/>
    </row>
    <row r="1540" spans="1:10" x14ac:dyDescent="0.25">
      <c r="A1540" s="36">
        <v>1622</v>
      </c>
      <c r="B1540" s="37">
        <v>43770</v>
      </c>
      <c r="C1540" s="36"/>
      <c r="D1540" s="36"/>
      <c r="E1540" s="36" t="s">
        <v>102</v>
      </c>
      <c r="F1540" s="38">
        <v>7453077</v>
      </c>
      <c r="G1540" s="36" t="s">
        <v>8</v>
      </c>
      <c r="H1540" s="36" t="s">
        <v>8</v>
      </c>
      <c r="I1540" s="36"/>
      <c r="J1540" s="36"/>
    </row>
    <row r="1541" spans="1:10" x14ac:dyDescent="0.25">
      <c r="A1541" s="36">
        <v>1622</v>
      </c>
      <c r="B1541" s="37">
        <v>43800</v>
      </c>
      <c r="C1541" s="36"/>
      <c r="D1541" s="36"/>
      <c r="E1541" s="36" t="s">
        <v>102</v>
      </c>
      <c r="F1541" s="38">
        <v>7453077</v>
      </c>
      <c r="G1541" s="36" t="s">
        <v>8</v>
      </c>
      <c r="H1541" s="36" t="s">
        <v>8</v>
      </c>
      <c r="I1541" s="36"/>
      <c r="J1541" s="36"/>
    </row>
    <row r="1542" spans="1:10" x14ac:dyDescent="0.25">
      <c r="A1542" s="36">
        <v>1622</v>
      </c>
      <c r="B1542" s="37">
        <v>43831</v>
      </c>
      <c r="C1542" s="36"/>
      <c r="D1542" s="36"/>
      <c r="E1542" s="36" t="s">
        <v>102</v>
      </c>
      <c r="F1542" s="38">
        <v>7453077</v>
      </c>
      <c r="G1542" s="36" t="s">
        <v>8</v>
      </c>
      <c r="H1542" s="36" t="s">
        <v>8</v>
      </c>
      <c r="I1542" s="36"/>
      <c r="J1542" s="36"/>
    </row>
    <row r="1543" spans="1:10" x14ac:dyDescent="0.25">
      <c r="A1543" s="36">
        <v>1622</v>
      </c>
      <c r="B1543" s="37">
        <v>43466</v>
      </c>
      <c r="C1543" s="36"/>
      <c r="D1543" s="36"/>
      <c r="E1543" s="36" t="s">
        <v>27</v>
      </c>
      <c r="F1543" s="38">
        <v>3580481.2499999995</v>
      </c>
      <c r="G1543" s="36" t="s">
        <v>8</v>
      </c>
      <c r="H1543" s="36" t="s">
        <v>8</v>
      </c>
      <c r="I1543" s="36"/>
      <c r="J1543" s="36"/>
    </row>
    <row r="1544" spans="1:10" x14ac:dyDescent="0.25">
      <c r="A1544" s="36">
        <v>1622</v>
      </c>
      <c r="B1544" s="37">
        <v>43497</v>
      </c>
      <c r="C1544" s="36"/>
      <c r="D1544" s="36"/>
      <c r="E1544" s="36" t="s">
        <v>27</v>
      </c>
      <c r="F1544" s="38">
        <v>3580481.2499999995</v>
      </c>
      <c r="G1544" s="36" t="s">
        <v>8</v>
      </c>
      <c r="H1544" s="36" t="s">
        <v>8</v>
      </c>
      <c r="I1544" s="36"/>
      <c r="J1544" s="36"/>
    </row>
    <row r="1545" spans="1:10" x14ac:dyDescent="0.25">
      <c r="A1545" s="36">
        <v>1622</v>
      </c>
      <c r="B1545" s="37">
        <v>43466</v>
      </c>
      <c r="C1545" s="36"/>
      <c r="D1545" s="36"/>
      <c r="E1545" s="36" t="s">
        <v>103</v>
      </c>
      <c r="F1545" s="38">
        <v>3687130.4999999995</v>
      </c>
      <c r="G1545" s="36" t="s">
        <v>8</v>
      </c>
      <c r="H1545" s="36" t="s">
        <v>8</v>
      </c>
      <c r="I1545" s="36"/>
      <c r="J1545" s="36"/>
    </row>
    <row r="1546" spans="1:10" x14ac:dyDescent="0.25">
      <c r="A1546" s="36">
        <v>1622</v>
      </c>
      <c r="B1546" s="37">
        <v>43497</v>
      </c>
      <c r="C1546" s="36"/>
      <c r="D1546" s="36"/>
      <c r="E1546" s="36" t="s">
        <v>103</v>
      </c>
      <c r="F1546" s="38">
        <v>3687130.4999999995</v>
      </c>
      <c r="G1546" s="36" t="s">
        <v>8</v>
      </c>
      <c r="H1546" s="36" t="s">
        <v>8</v>
      </c>
      <c r="I1546" s="36"/>
      <c r="J1546" s="36"/>
    </row>
    <row r="1547" spans="1:10" x14ac:dyDescent="0.25">
      <c r="A1547" s="36">
        <v>1622</v>
      </c>
      <c r="B1547" s="37">
        <v>43525</v>
      </c>
      <c r="C1547" s="36"/>
      <c r="D1547" s="36"/>
      <c r="E1547" s="36" t="s">
        <v>103</v>
      </c>
      <c r="F1547" s="38">
        <v>3687130.4999999995</v>
      </c>
      <c r="G1547" s="36" t="s">
        <v>8</v>
      </c>
      <c r="H1547" s="36" t="s">
        <v>8</v>
      </c>
      <c r="I1547" s="36"/>
      <c r="J1547" s="36"/>
    </row>
    <row r="1548" spans="1:10" x14ac:dyDescent="0.25">
      <c r="A1548" s="36">
        <v>1622</v>
      </c>
      <c r="B1548" s="37">
        <v>43556</v>
      </c>
      <c r="C1548" s="36"/>
      <c r="D1548" s="36"/>
      <c r="E1548" s="36" t="s">
        <v>103</v>
      </c>
      <c r="F1548" s="38">
        <v>3687130.4999999995</v>
      </c>
      <c r="G1548" s="36" t="s">
        <v>8</v>
      </c>
      <c r="H1548" s="36" t="s">
        <v>8</v>
      </c>
      <c r="I1548" s="36"/>
      <c r="J1548" s="36"/>
    </row>
    <row r="1549" spans="1:10" x14ac:dyDescent="0.25">
      <c r="A1549" s="36">
        <v>1622</v>
      </c>
      <c r="B1549" s="37">
        <v>43466</v>
      </c>
      <c r="C1549" s="36"/>
      <c r="D1549" s="36"/>
      <c r="E1549" s="36" t="s">
        <v>104</v>
      </c>
      <c r="F1549" s="38">
        <v>4479713.6999999993</v>
      </c>
      <c r="G1549" s="36" t="s">
        <v>8</v>
      </c>
      <c r="H1549" s="36" t="s">
        <v>8</v>
      </c>
      <c r="I1549" s="36"/>
      <c r="J1549" s="36"/>
    </row>
    <row r="1550" spans="1:10" x14ac:dyDescent="0.25">
      <c r="A1550" s="36">
        <v>1622</v>
      </c>
      <c r="B1550" s="37">
        <v>43497</v>
      </c>
      <c r="C1550" s="36"/>
      <c r="D1550" s="36"/>
      <c r="E1550" s="36" t="s">
        <v>104</v>
      </c>
      <c r="F1550" s="38">
        <v>4479713.6999999993</v>
      </c>
      <c r="G1550" s="36" t="s">
        <v>8</v>
      </c>
      <c r="H1550" s="36" t="s">
        <v>8</v>
      </c>
      <c r="I1550" s="36"/>
      <c r="J1550" s="36"/>
    </row>
    <row r="1551" spans="1:10" x14ac:dyDescent="0.25">
      <c r="A1551" s="36">
        <v>1622</v>
      </c>
      <c r="B1551" s="37">
        <v>43525</v>
      </c>
      <c r="C1551" s="36"/>
      <c r="D1551" s="36"/>
      <c r="E1551" s="36" t="s">
        <v>104</v>
      </c>
      <c r="F1551" s="38">
        <v>4479713.6999999993</v>
      </c>
      <c r="G1551" s="36" t="s">
        <v>8</v>
      </c>
      <c r="H1551" s="36" t="s">
        <v>8</v>
      </c>
      <c r="I1551" s="36"/>
      <c r="J1551" s="36"/>
    </row>
    <row r="1552" spans="1:10" x14ac:dyDescent="0.25">
      <c r="A1552" s="36">
        <v>1622</v>
      </c>
      <c r="B1552" s="37">
        <v>43556</v>
      </c>
      <c r="C1552" s="36"/>
      <c r="D1552" s="36"/>
      <c r="E1552" s="36" t="s">
        <v>104</v>
      </c>
      <c r="F1552" s="38">
        <v>4479713.6999999993</v>
      </c>
      <c r="G1552" s="36" t="s">
        <v>8</v>
      </c>
      <c r="H1552" s="36" t="s">
        <v>8</v>
      </c>
      <c r="I1552" s="36"/>
      <c r="J1552" s="36"/>
    </row>
    <row r="1553" spans="1:10" x14ac:dyDescent="0.25">
      <c r="A1553" s="36">
        <v>1622</v>
      </c>
      <c r="B1553" s="37">
        <v>43586</v>
      </c>
      <c r="C1553" s="36"/>
      <c r="D1553" s="36"/>
      <c r="E1553" s="36" t="s">
        <v>104</v>
      </c>
      <c r="F1553" s="38">
        <v>4479713.6999999993</v>
      </c>
      <c r="G1553" s="36" t="s">
        <v>8</v>
      </c>
      <c r="H1553" s="36" t="s">
        <v>8</v>
      </c>
      <c r="I1553" s="36"/>
      <c r="J1553" s="36"/>
    </row>
    <row r="1554" spans="1:10" x14ac:dyDescent="0.25">
      <c r="A1554" s="36">
        <v>1622</v>
      </c>
      <c r="B1554" s="37">
        <v>43617</v>
      </c>
      <c r="C1554" s="36"/>
      <c r="D1554" s="36"/>
      <c r="E1554" s="36" t="s">
        <v>104</v>
      </c>
      <c r="F1554" s="38">
        <v>4479713.6999999993</v>
      </c>
      <c r="G1554" s="36" t="s">
        <v>8</v>
      </c>
      <c r="H1554" s="36" t="s">
        <v>8</v>
      </c>
      <c r="I1554" s="36"/>
      <c r="J1554" s="36"/>
    </row>
    <row r="1555" spans="1:10" x14ac:dyDescent="0.25">
      <c r="A1555" s="36">
        <v>1622</v>
      </c>
      <c r="B1555" s="37">
        <v>43647</v>
      </c>
      <c r="C1555" s="36"/>
      <c r="D1555" s="36"/>
      <c r="E1555" s="36" t="s">
        <v>104</v>
      </c>
      <c r="F1555" s="38">
        <v>4479713.6999999993</v>
      </c>
      <c r="G1555" s="36" t="s">
        <v>8</v>
      </c>
      <c r="H1555" s="36" t="s">
        <v>8</v>
      </c>
      <c r="I1555" s="36"/>
      <c r="J1555" s="36"/>
    </row>
    <row r="1556" spans="1:10" x14ac:dyDescent="0.25">
      <c r="A1556" s="36">
        <v>1622</v>
      </c>
      <c r="B1556" s="37">
        <v>43678</v>
      </c>
      <c r="C1556" s="36"/>
      <c r="D1556" s="36"/>
      <c r="E1556" s="36" t="s">
        <v>104</v>
      </c>
      <c r="F1556" s="38">
        <v>4479713.6999999993</v>
      </c>
      <c r="G1556" s="36" t="s">
        <v>8</v>
      </c>
      <c r="H1556" s="36" t="s">
        <v>8</v>
      </c>
      <c r="I1556" s="36"/>
      <c r="J1556" s="36"/>
    </row>
    <row r="1557" spans="1:10" x14ac:dyDescent="0.25">
      <c r="A1557" s="36">
        <v>1622</v>
      </c>
      <c r="B1557" s="37">
        <v>43709</v>
      </c>
      <c r="C1557" s="36"/>
      <c r="D1557" s="36"/>
      <c r="E1557" s="36" t="s">
        <v>104</v>
      </c>
      <c r="F1557" s="38">
        <v>4479713.6999999993</v>
      </c>
      <c r="G1557" s="36" t="s">
        <v>8</v>
      </c>
      <c r="H1557" s="36" t="s">
        <v>8</v>
      </c>
      <c r="I1557" s="36"/>
      <c r="J1557" s="36"/>
    </row>
    <row r="1558" spans="1:10" x14ac:dyDescent="0.25">
      <c r="A1558" s="36">
        <v>1622</v>
      </c>
      <c r="B1558" s="37">
        <v>43739</v>
      </c>
      <c r="C1558" s="36"/>
      <c r="D1558" s="36"/>
      <c r="E1558" s="36" t="s">
        <v>104</v>
      </c>
      <c r="F1558" s="38">
        <v>4479713.6999999993</v>
      </c>
      <c r="G1558" s="36" t="s">
        <v>8</v>
      </c>
      <c r="H1558" s="36" t="s">
        <v>8</v>
      </c>
      <c r="I1558" s="36"/>
      <c r="J1558" s="36"/>
    </row>
    <row r="1559" spans="1:10" x14ac:dyDescent="0.25">
      <c r="A1559" s="36">
        <v>1622</v>
      </c>
      <c r="B1559" s="37">
        <v>43466</v>
      </c>
      <c r="C1559" s="36"/>
      <c r="D1559" s="36"/>
      <c r="E1559" s="36" t="s">
        <v>105</v>
      </c>
      <c r="F1559" s="38">
        <v>4487334.5699999994</v>
      </c>
      <c r="G1559" s="36" t="s">
        <v>8</v>
      </c>
      <c r="H1559" s="36" t="s">
        <v>8</v>
      </c>
      <c r="I1559" s="36"/>
      <c r="J1559" s="36"/>
    </row>
    <row r="1560" spans="1:10" x14ac:dyDescent="0.25">
      <c r="A1560" s="36">
        <v>1622</v>
      </c>
      <c r="B1560" s="37">
        <v>43497</v>
      </c>
      <c r="C1560" s="36"/>
      <c r="D1560" s="36"/>
      <c r="E1560" s="36" t="s">
        <v>105</v>
      </c>
      <c r="F1560" s="38">
        <v>4487334.5699999994</v>
      </c>
      <c r="G1560" s="36" t="s">
        <v>8</v>
      </c>
      <c r="H1560" s="36" t="s">
        <v>8</v>
      </c>
      <c r="I1560" s="36"/>
      <c r="J1560" s="36"/>
    </row>
    <row r="1561" spans="1:10" x14ac:dyDescent="0.25">
      <c r="A1561" s="36">
        <v>1622</v>
      </c>
      <c r="B1561" s="37">
        <v>43466</v>
      </c>
      <c r="C1561" s="36"/>
      <c r="D1561" s="36"/>
      <c r="E1561" s="36" t="s">
        <v>16</v>
      </c>
      <c r="F1561" s="38">
        <v>3611462.4</v>
      </c>
      <c r="G1561" s="36" t="s">
        <v>8</v>
      </c>
      <c r="H1561" s="36" t="s">
        <v>8</v>
      </c>
      <c r="I1561" s="36"/>
      <c r="J1561" s="36"/>
    </row>
    <row r="1562" spans="1:10" x14ac:dyDescent="0.25">
      <c r="A1562" s="36">
        <v>1622</v>
      </c>
      <c r="B1562" s="37">
        <v>43497</v>
      </c>
      <c r="C1562" s="36"/>
      <c r="D1562" s="36"/>
      <c r="E1562" s="36" t="s">
        <v>16</v>
      </c>
      <c r="F1562" s="38">
        <v>3611462.4</v>
      </c>
      <c r="G1562" s="36" t="s">
        <v>8</v>
      </c>
      <c r="H1562" s="36" t="s">
        <v>8</v>
      </c>
      <c r="I1562" s="36"/>
      <c r="J1562" s="36"/>
    </row>
    <row r="1563" spans="1:10" x14ac:dyDescent="0.25">
      <c r="A1563" s="36">
        <v>1622</v>
      </c>
      <c r="B1563" s="37">
        <v>43525</v>
      </c>
      <c r="C1563" s="36"/>
      <c r="D1563" s="36"/>
      <c r="E1563" s="36" t="s">
        <v>16</v>
      </c>
      <c r="F1563" s="38">
        <v>3611462.4</v>
      </c>
      <c r="G1563" s="36" t="s">
        <v>8</v>
      </c>
      <c r="H1563" s="36" t="s">
        <v>8</v>
      </c>
      <c r="I1563" s="36"/>
      <c r="J1563" s="36"/>
    </row>
    <row r="1564" spans="1:10" x14ac:dyDescent="0.25">
      <c r="A1564" s="36">
        <v>1622</v>
      </c>
      <c r="B1564" s="37">
        <v>43556</v>
      </c>
      <c r="C1564" s="36"/>
      <c r="D1564" s="36"/>
      <c r="E1564" s="36" t="s">
        <v>16</v>
      </c>
      <c r="F1564" s="38">
        <v>3611462.4</v>
      </c>
      <c r="G1564" s="36" t="s">
        <v>8</v>
      </c>
      <c r="H1564" s="36" t="s">
        <v>8</v>
      </c>
      <c r="I1564" s="36"/>
      <c r="J1564" s="36"/>
    </row>
    <row r="1565" spans="1:10" x14ac:dyDescent="0.25">
      <c r="A1565" s="36">
        <v>1622</v>
      </c>
      <c r="B1565" s="37">
        <v>43466</v>
      </c>
      <c r="C1565" s="36"/>
      <c r="D1565" s="36"/>
      <c r="E1565" s="36" t="s">
        <v>106</v>
      </c>
      <c r="F1565" s="38">
        <v>3767611.53</v>
      </c>
      <c r="G1565" s="36" t="s">
        <v>8</v>
      </c>
      <c r="H1565" s="36" t="s">
        <v>8</v>
      </c>
      <c r="I1565" s="36"/>
      <c r="J1565" s="36"/>
    </row>
    <row r="1566" spans="1:10" x14ac:dyDescent="0.25">
      <c r="A1566" s="36">
        <v>1622</v>
      </c>
      <c r="B1566" s="37">
        <v>43497</v>
      </c>
      <c r="C1566" s="36"/>
      <c r="D1566" s="36"/>
      <c r="E1566" s="36" t="s">
        <v>106</v>
      </c>
      <c r="F1566" s="38">
        <v>3767611.53</v>
      </c>
      <c r="G1566" s="36" t="s">
        <v>8</v>
      </c>
      <c r="H1566" s="36" t="s">
        <v>8</v>
      </c>
      <c r="I1566" s="36"/>
      <c r="J1566" s="36"/>
    </row>
    <row r="1567" spans="1:10" x14ac:dyDescent="0.25">
      <c r="A1567" s="36">
        <v>1622</v>
      </c>
      <c r="B1567" s="37">
        <v>43466</v>
      </c>
      <c r="C1567" s="36"/>
      <c r="D1567" s="36"/>
      <c r="E1567" s="36" t="s">
        <v>17</v>
      </c>
      <c r="F1567" s="38">
        <v>3767611.53</v>
      </c>
      <c r="G1567" s="36" t="s">
        <v>8</v>
      </c>
      <c r="H1567" s="36" t="s">
        <v>8</v>
      </c>
      <c r="I1567" s="36"/>
      <c r="J1567" s="36"/>
    </row>
    <row r="1568" spans="1:10" x14ac:dyDescent="0.25">
      <c r="A1568" s="36">
        <v>1622</v>
      </c>
      <c r="B1568" s="37">
        <v>43497</v>
      </c>
      <c r="C1568" s="36"/>
      <c r="D1568" s="36"/>
      <c r="E1568" s="36" t="s">
        <v>17</v>
      </c>
      <c r="F1568" s="38">
        <v>3767611.53</v>
      </c>
      <c r="G1568" s="36" t="s">
        <v>8</v>
      </c>
      <c r="H1568" s="36" t="s">
        <v>8</v>
      </c>
      <c r="I1568" s="36"/>
      <c r="J1568" s="36"/>
    </row>
    <row r="1569" spans="1:10" x14ac:dyDescent="0.25">
      <c r="A1569" s="36">
        <v>1622</v>
      </c>
      <c r="B1569" s="37">
        <v>43525</v>
      </c>
      <c r="C1569" s="36"/>
      <c r="D1569" s="36"/>
      <c r="E1569" s="36" t="s">
        <v>17</v>
      </c>
      <c r="F1569" s="38">
        <v>3767611.53</v>
      </c>
      <c r="G1569" s="36" t="s">
        <v>8</v>
      </c>
      <c r="H1569" s="36" t="s">
        <v>8</v>
      </c>
      <c r="I1569" s="36"/>
      <c r="J1569" s="36"/>
    </row>
    <row r="1570" spans="1:10" x14ac:dyDescent="0.25">
      <c r="A1570" s="36">
        <v>1622</v>
      </c>
      <c r="B1570" s="37">
        <v>43556</v>
      </c>
      <c r="C1570" s="36"/>
      <c r="D1570" s="36"/>
      <c r="E1570" s="36" t="s">
        <v>17</v>
      </c>
      <c r="F1570" s="38">
        <v>3767611.53</v>
      </c>
      <c r="G1570" s="36" t="s">
        <v>8</v>
      </c>
      <c r="H1570" s="36" t="s">
        <v>8</v>
      </c>
      <c r="I1570" s="36"/>
      <c r="J1570" s="36"/>
    </row>
    <row r="1571" spans="1:10" x14ac:dyDescent="0.25">
      <c r="A1571" s="36">
        <v>1622</v>
      </c>
      <c r="B1571" s="37">
        <v>43556</v>
      </c>
      <c r="C1571" s="36"/>
      <c r="D1571" s="36"/>
      <c r="E1571" s="36" t="s">
        <v>107</v>
      </c>
      <c r="F1571" s="38">
        <v>4477341.0150000006</v>
      </c>
      <c r="G1571" s="36" t="s">
        <v>8</v>
      </c>
      <c r="H1571" s="36" t="s">
        <v>8</v>
      </c>
      <c r="I1571" s="36"/>
      <c r="J1571" s="36"/>
    </row>
    <row r="1572" spans="1:10" x14ac:dyDescent="0.25">
      <c r="A1572" s="36">
        <v>1622</v>
      </c>
      <c r="B1572" s="37">
        <v>43586</v>
      </c>
      <c r="C1572" s="36"/>
      <c r="D1572" s="36"/>
      <c r="E1572" s="36" t="s">
        <v>107</v>
      </c>
      <c r="F1572" s="38">
        <v>4477341.0150000006</v>
      </c>
      <c r="G1572" s="36" t="s">
        <v>8</v>
      </c>
      <c r="H1572" s="36" t="s">
        <v>8</v>
      </c>
      <c r="I1572" s="36"/>
      <c r="J1572" s="36"/>
    </row>
    <row r="1573" spans="1:10" x14ac:dyDescent="0.25">
      <c r="A1573" s="36">
        <v>1622</v>
      </c>
      <c r="B1573" s="37">
        <v>43617</v>
      </c>
      <c r="C1573" s="36"/>
      <c r="D1573" s="36"/>
      <c r="E1573" s="36" t="s">
        <v>107</v>
      </c>
      <c r="F1573" s="38">
        <v>4477341.0150000006</v>
      </c>
      <c r="G1573" s="36" t="s">
        <v>8</v>
      </c>
      <c r="H1573" s="36" t="s">
        <v>8</v>
      </c>
      <c r="I1573" s="36"/>
      <c r="J1573" s="36"/>
    </row>
    <row r="1574" spans="1:10" x14ac:dyDescent="0.25">
      <c r="A1574" s="36">
        <v>1622</v>
      </c>
      <c r="B1574" s="37">
        <v>43647</v>
      </c>
      <c r="C1574" s="36"/>
      <c r="D1574" s="36"/>
      <c r="E1574" s="36" t="s">
        <v>107</v>
      </c>
      <c r="F1574" s="38">
        <v>4477341.0150000006</v>
      </c>
      <c r="G1574" s="36" t="s">
        <v>8</v>
      </c>
      <c r="H1574" s="36" t="s">
        <v>8</v>
      </c>
      <c r="I1574" s="36"/>
      <c r="J1574" s="36"/>
    </row>
    <row r="1575" spans="1:10" x14ac:dyDescent="0.25">
      <c r="A1575" s="36">
        <v>1622</v>
      </c>
      <c r="B1575" s="37">
        <v>43678</v>
      </c>
      <c r="C1575" s="36"/>
      <c r="D1575" s="36"/>
      <c r="E1575" s="36" t="s">
        <v>107</v>
      </c>
      <c r="F1575" s="38">
        <v>4477341.0150000006</v>
      </c>
      <c r="G1575" s="36" t="s">
        <v>8</v>
      </c>
      <c r="H1575" s="36" t="s">
        <v>8</v>
      </c>
      <c r="I1575" s="36"/>
      <c r="J1575" s="36"/>
    </row>
    <row r="1576" spans="1:10" x14ac:dyDescent="0.25">
      <c r="A1576" s="36">
        <v>1622</v>
      </c>
      <c r="B1576" s="37">
        <v>43709</v>
      </c>
      <c r="C1576" s="36"/>
      <c r="D1576" s="36"/>
      <c r="E1576" s="36" t="s">
        <v>107</v>
      </c>
      <c r="F1576" s="38">
        <v>4477341.0150000006</v>
      </c>
      <c r="G1576" s="36" t="s">
        <v>8</v>
      </c>
      <c r="H1576" s="36" t="s">
        <v>8</v>
      </c>
      <c r="I1576" s="36"/>
      <c r="J1576" s="36"/>
    </row>
    <row r="1577" spans="1:10" x14ac:dyDescent="0.25">
      <c r="A1577" s="36">
        <v>1622</v>
      </c>
      <c r="B1577" s="37">
        <v>43739</v>
      </c>
      <c r="C1577" s="36"/>
      <c r="D1577" s="36"/>
      <c r="E1577" s="36" t="s">
        <v>107</v>
      </c>
      <c r="F1577" s="38">
        <v>4477341.0150000006</v>
      </c>
      <c r="G1577" s="36" t="s">
        <v>8</v>
      </c>
      <c r="H1577" s="36" t="s">
        <v>8</v>
      </c>
      <c r="I1577" s="36"/>
      <c r="J1577" s="36"/>
    </row>
    <row r="1578" spans="1:10" x14ac:dyDescent="0.25">
      <c r="A1578" s="36">
        <v>1622</v>
      </c>
      <c r="B1578" s="37">
        <v>43556</v>
      </c>
      <c r="C1578" s="36"/>
      <c r="D1578" s="36"/>
      <c r="E1578" s="36" t="s">
        <v>108</v>
      </c>
      <c r="F1578" s="38">
        <v>3062689.7</v>
      </c>
      <c r="G1578" s="36" t="s">
        <v>8</v>
      </c>
      <c r="H1578" s="36" t="s">
        <v>8</v>
      </c>
      <c r="I1578" s="36"/>
      <c r="J1578" s="36"/>
    </row>
    <row r="1579" spans="1:10" x14ac:dyDescent="0.25">
      <c r="A1579" s="36">
        <v>1622</v>
      </c>
      <c r="B1579" s="37">
        <v>43586</v>
      </c>
      <c r="C1579" s="36"/>
      <c r="D1579" s="36"/>
      <c r="E1579" s="36" t="s">
        <v>108</v>
      </c>
      <c r="F1579" s="38">
        <v>3062689.7</v>
      </c>
      <c r="G1579" s="36" t="s">
        <v>8</v>
      </c>
      <c r="H1579" s="36" t="s">
        <v>8</v>
      </c>
      <c r="I1579" s="36"/>
      <c r="J1579" s="36"/>
    </row>
    <row r="1580" spans="1:10" x14ac:dyDescent="0.25">
      <c r="A1580" s="36">
        <v>1622</v>
      </c>
      <c r="B1580" s="37">
        <v>43617</v>
      </c>
      <c r="C1580" s="36"/>
      <c r="D1580" s="36"/>
      <c r="E1580" s="36" t="s">
        <v>108</v>
      </c>
      <c r="F1580" s="38">
        <v>3062689.7</v>
      </c>
      <c r="G1580" s="36" t="s">
        <v>8</v>
      </c>
      <c r="H1580" s="36" t="s">
        <v>8</v>
      </c>
      <c r="I1580" s="36"/>
      <c r="J1580" s="36"/>
    </row>
    <row r="1581" spans="1:10" x14ac:dyDescent="0.25">
      <c r="A1581" s="36">
        <v>1622</v>
      </c>
      <c r="B1581" s="37">
        <v>43647</v>
      </c>
      <c r="C1581" s="36"/>
      <c r="D1581" s="36"/>
      <c r="E1581" s="36" t="s">
        <v>108</v>
      </c>
      <c r="F1581" s="38">
        <v>3062689.7</v>
      </c>
      <c r="G1581" s="36" t="s">
        <v>8</v>
      </c>
      <c r="H1581" s="36" t="s">
        <v>8</v>
      </c>
      <c r="I1581" s="36"/>
      <c r="J1581" s="36"/>
    </row>
    <row r="1582" spans="1:10" x14ac:dyDescent="0.25">
      <c r="A1582" s="36">
        <v>1622</v>
      </c>
      <c r="B1582" s="37">
        <v>43678</v>
      </c>
      <c r="C1582" s="36"/>
      <c r="D1582" s="36"/>
      <c r="E1582" s="36" t="s">
        <v>108</v>
      </c>
      <c r="F1582" s="38">
        <v>3062689.7</v>
      </c>
      <c r="G1582" s="36" t="s">
        <v>8</v>
      </c>
      <c r="H1582" s="36" t="s">
        <v>8</v>
      </c>
      <c r="I1582" s="36"/>
      <c r="J1582" s="36"/>
    </row>
    <row r="1583" spans="1:10" x14ac:dyDescent="0.25">
      <c r="A1583" s="36">
        <v>1622</v>
      </c>
      <c r="B1583" s="37">
        <v>43709</v>
      </c>
      <c r="C1583" s="36"/>
      <c r="D1583" s="36"/>
      <c r="E1583" s="36" t="s">
        <v>108</v>
      </c>
      <c r="F1583" s="38">
        <v>3062689.7</v>
      </c>
      <c r="G1583" s="36" t="s">
        <v>8</v>
      </c>
      <c r="H1583" s="36" t="s">
        <v>8</v>
      </c>
      <c r="I1583" s="36"/>
      <c r="J1583" s="36"/>
    </row>
    <row r="1584" spans="1:10" x14ac:dyDescent="0.25">
      <c r="A1584" s="36">
        <v>1622</v>
      </c>
      <c r="B1584" s="37">
        <v>43739</v>
      </c>
      <c r="C1584" s="36"/>
      <c r="D1584" s="36"/>
      <c r="E1584" s="36" t="s">
        <v>108</v>
      </c>
      <c r="F1584" s="38">
        <v>3062689.7</v>
      </c>
      <c r="G1584" s="36" t="s">
        <v>8</v>
      </c>
      <c r="H1584" s="36" t="s">
        <v>8</v>
      </c>
      <c r="I1584" s="36"/>
      <c r="J1584" s="36"/>
    </row>
    <row r="1585" spans="1:10" x14ac:dyDescent="0.25">
      <c r="A1585" s="36">
        <v>1622</v>
      </c>
      <c r="B1585" s="37">
        <v>43556</v>
      </c>
      <c r="C1585" s="36"/>
      <c r="D1585" s="36"/>
      <c r="E1585" s="36" t="s">
        <v>109</v>
      </c>
      <c r="F1585" s="38">
        <v>4854913</v>
      </c>
      <c r="G1585" s="36" t="s">
        <v>8</v>
      </c>
      <c r="H1585" s="36" t="s">
        <v>8</v>
      </c>
      <c r="I1585" s="36"/>
      <c r="J1585" s="36"/>
    </row>
    <row r="1586" spans="1:10" x14ac:dyDescent="0.25">
      <c r="A1586" s="36">
        <v>1622</v>
      </c>
      <c r="B1586" s="37">
        <v>43586</v>
      </c>
      <c r="C1586" s="36"/>
      <c r="D1586" s="36"/>
      <c r="E1586" s="36" t="s">
        <v>109</v>
      </c>
      <c r="F1586" s="38">
        <v>4854913</v>
      </c>
      <c r="G1586" s="36" t="s">
        <v>8</v>
      </c>
      <c r="H1586" s="36" t="s">
        <v>8</v>
      </c>
      <c r="I1586" s="36"/>
      <c r="J1586" s="36"/>
    </row>
    <row r="1587" spans="1:10" x14ac:dyDescent="0.25">
      <c r="A1587" s="36">
        <v>1622</v>
      </c>
      <c r="B1587" s="37">
        <v>43617</v>
      </c>
      <c r="C1587" s="36"/>
      <c r="D1587" s="36"/>
      <c r="E1587" s="36" t="s">
        <v>109</v>
      </c>
      <c r="F1587" s="38">
        <v>4854913</v>
      </c>
      <c r="G1587" s="36" t="s">
        <v>8</v>
      </c>
      <c r="H1587" s="36" t="s">
        <v>8</v>
      </c>
      <c r="I1587" s="36"/>
      <c r="J1587" s="36"/>
    </row>
    <row r="1588" spans="1:10" x14ac:dyDescent="0.25">
      <c r="A1588" s="36">
        <v>1622</v>
      </c>
      <c r="B1588" s="37">
        <v>43647</v>
      </c>
      <c r="C1588" s="36"/>
      <c r="D1588" s="36"/>
      <c r="E1588" s="36" t="s">
        <v>109</v>
      </c>
      <c r="F1588" s="38">
        <v>4854913</v>
      </c>
      <c r="G1588" s="36" t="s">
        <v>8</v>
      </c>
      <c r="H1588" s="36" t="s">
        <v>8</v>
      </c>
      <c r="I1588" s="36"/>
      <c r="J1588" s="36"/>
    </row>
    <row r="1589" spans="1:10" x14ac:dyDescent="0.25">
      <c r="A1589" s="36">
        <v>1622</v>
      </c>
      <c r="B1589" s="37">
        <v>43678</v>
      </c>
      <c r="C1589" s="36"/>
      <c r="D1589" s="36"/>
      <c r="E1589" s="36" t="s">
        <v>109</v>
      </c>
      <c r="F1589" s="38">
        <v>4854913</v>
      </c>
      <c r="G1589" s="36" t="s">
        <v>8</v>
      </c>
      <c r="H1589" s="36" t="s">
        <v>8</v>
      </c>
      <c r="I1589" s="36"/>
      <c r="J1589" s="36"/>
    </row>
    <row r="1590" spans="1:10" x14ac:dyDescent="0.25">
      <c r="A1590" s="36">
        <v>1622</v>
      </c>
      <c r="B1590" s="37">
        <v>43709</v>
      </c>
      <c r="C1590" s="36"/>
      <c r="D1590" s="36"/>
      <c r="E1590" s="36" t="s">
        <v>109</v>
      </c>
      <c r="F1590" s="38">
        <v>4854913</v>
      </c>
      <c r="G1590" s="36" t="s">
        <v>8</v>
      </c>
      <c r="H1590" s="36" t="s">
        <v>8</v>
      </c>
      <c r="I1590" s="36"/>
      <c r="J1590" s="36"/>
    </row>
    <row r="1591" spans="1:10" x14ac:dyDescent="0.25">
      <c r="A1591" s="36">
        <v>1622</v>
      </c>
      <c r="B1591" s="37">
        <v>43739</v>
      </c>
      <c r="C1591" s="36"/>
      <c r="D1591" s="36"/>
      <c r="E1591" s="36" t="s">
        <v>109</v>
      </c>
      <c r="F1591" s="38">
        <v>4854913</v>
      </c>
      <c r="G1591" s="36" t="s">
        <v>8</v>
      </c>
      <c r="H1591" s="36" t="s">
        <v>8</v>
      </c>
      <c r="I1591" s="36"/>
      <c r="J1591" s="36"/>
    </row>
    <row r="1592" spans="1:10" x14ac:dyDescent="0.25">
      <c r="A1592" s="36">
        <v>1622</v>
      </c>
      <c r="B1592" s="37">
        <v>43556</v>
      </c>
      <c r="C1592" s="36"/>
      <c r="D1592" s="36"/>
      <c r="E1592" s="36" t="s">
        <v>96</v>
      </c>
      <c r="F1592" s="38">
        <v>29161467</v>
      </c>
      <c r="G1592" s="36" t="s">
        <v>8</v>
      </c>
      <c r="H1592" s="36" t="s">
        <v>8</v>
      </c>
      <c r="I1592" s="36"/>
      <c r="J1592" s="36"/>
    </row>
    <row r="1593" spans="1:10" x14ac:dyDescent="0.25">
      <c r="A1593" s="36">
        <v>1622</v>
      </c>
      <c r="B1593" s="37">
        <v>43586</v>
      </c>
      <c r="C1593" s="36"/>
      <c r="D1593" s="36"/>
      <c r="E1593" s="36" t="s">
        <v>96</v>
      </c>
      <c r="F1593" s="38">
        <v>29161467</v>
      </c>
      <c r="G1593" s="36" t="s">
        <v>8</v>
      </c>
      <c r="H1593" s="36" t="s">
        <v>8</v>
      </c>
      <c r="I1593" s="36"/>
      <c r="J1593" s="36"/>
    </row>
    <row r="1594" spans="1:10" x14ac:dyDescent="0.25">
      <c r="A1594" s="36">
        <v>1622</v>
      </c>
      <c r="B1594" s="37">
        <v>43617</v>
      </c>
      <c r="C1594" s="36"/>
      <c r="D1594" s="36"/>
      <c r="E1594" s="36" t="s">
        <v>96</v>
      </c>
      <c r="F1594" s="38">
        <v>29161467</v>
      </c>
      <c r="G1594" s="36" t="s">
        <v>8</v>
      </c>
      <c r="H1594" s="36" t="s">
        <v>8</v>
      </c>
      <c r="I1594" s="36"/>
      <c r="J1594" s="36"/>
    </row>
    <row r="1595" spans="1:10" x14ac:dyDescent="0.25">
      <c r="A1595" s="36">
        <v>1622</v>
      </c>
      <c r="B1595" s="37">
        <v>43647</v>
      </c>
      <c r="C1595" s="36"/>
      <c r="D1595" s="36"/>
      <c r="E1595" s="36" t="s">
        <v>96</v>
      </c>
      <c r="F1595" s="38">
        <v>29161467</v>
      </c>
      <c r="G1595" s="36" t="s">
        <v>8</v>
      </c>
      <c r="H1595" s="36" t="s">
        <v>8</v>
      </c>
      <c r="I1595" s="36"/>
      <c r="J1595" s="36"/>
    </row>
    <row r="1596" spans="1:10" x14ac:dyDescent="0.25">
      <c r="A1596" s="36">
        <v>1622</v>
      </c>
      <c r="B1596" s="37">
        <v>43678</v>
      </c>
      <c r="C1596" s="36"/>
      <c r="D1596" s="36"/>
      <c r="E1596" s="36" t="s">
        <v>96</v>
      </c>
      <c r="F1596" s="38">
        <v>29161467</v>
      </c>
      <c r="G1596" s="36" t="s">
        <v>8</v>
      </c>
      <c r="H1596" s="36" t="s">
        <v>8</v>
      </c>
      <c r="I1596" s="36"/>
      <c r="J1596" s="36"/>
    </row>
    <row r="1597" spans="1:10" x14ac:dyDescent="0.25">
      <c r="A1597" s="36">
        <v>1622</v>
      </c>
      <c r="B1597" s="37">
        <v>43709</v>
      </c>
      <c r="C1597" s="36"/>
      <c r="D1597" s="36"/>
      <c r="E1597" s="36" t="s">
        <v>96</v>
      </c>
      <c r="F1597" s="38">
        <v>29161467</v>
      </c>
      <c r="G1597" s="36" t="s">
        <v>8</v>
      </c>
      <c r="H1597" s="36" t="s">
        <v>8</v>
      </c>
      <c r="I1597" s="36"/>
      <c r="J1597" s="36"/>
    </row>
    <row r="1598" spans="1:10" x14ac:dyDescent="0.25">
      <c r="A1598" s="36">
        <v>1622</v>
      </c>
      <c r="B1598" s="37">
        <v>43739</v>
      </c>
      <c r="C1598" s="36"/>
      <c r="D1598" s="36"/>
      <c r="E1598" s="36" t="s">
        <v>96</v>
      </c>
      <c r="F1598" s="38">
        <v>29161467</v>
      </c>
      <c r="G1598" s="36" t="s">
        <v>8</v>
      </c>
      <c r="H1598" s="36" t="s">
        <v>8</v>
      </c>
      <c r="I1598" s="36"/>
      <c r="J1598" s="36"/>
    </row>
    <row r="1599" spans="1:10" x14ac:dyDescent="0.25">
      <c r="A1599" s="36">
        <v>1622</v>
      </c>
      <c r="B1599" s="37">
        <v>43556</v>
      </c>
      <c r="C1599" s="36"/>
      <c r="D1599" s="36"/>
      <c r="E1599" s="36" t="s">
        <v>97</v>
      </c>
      <c r="F1599" s="38">
        <v>16582744.5</v>
      </c>
      <c r="G1599" s="36" t="s">
        <v>8</v>
      </c>
      <c r="H1599" s="36" t="s">
        <v>8</v>
      </c>
      <c r="I1599" s="36"/>
      <c r="J1599" s="36"/>
    </row>
    <row r="1600" spans="1:10" x14ac:dyDescent="0.25">
      <c r="A1600" s="36">
        <v>1622</v>
      </c>
      <c r="B1600" s="37">
        <v>43586</v>
      </c>
      <c r="C1600" s="36"/>
      <c r="D1600" s="36"/>
      <c r="E1600" s="36" t="s">
        <v>97</v>
      </c>
      <c r="F1600" s="38">
        <v>16582744.5</v>
      </c>
      <c r="G1600" s="36" t="s">
        <v>8</v>
      </c>
      <c r="H1600" s="36" t="s">
        <v>8</v>
      </c>
      <c r="I1600" s="36"/>
      <c r="J1600" s="36"/>
    </row>
    <row r="1601" spans="1:10" x14ac:dyDescent="0.25">
      <c r="A1601" s="36">
        <v>1622</v>
      </c>
      <c r="B1601" s="37">
        <v>43617</v>
      </c>
      <c r="C1601" s="36"/>
      <c r="D1601" s="36"/>
      <c r="E1601" s="36" t="s">
        <v>97</v>
      </c>
      <c r="F1601" s="38">
        <v>16582744.5</v>
      </c>
      <c r="G1601" s="36" t="s">
        <v>8</v>
      </c>
      <c r="H1601" s="36" t="s">
        <v>8</v>
      </c>
      <c r="I1601" s="36"/>
      <c r="J1601" s="36"/>
    </row>
    <row r="1602" spans="1:10" x14ac:dyDescent="0.25">
      <c r="A1602" s="36">
        <v>1622</v>
      </c>
      <c r="B1602" s="37">
        <v>43647</v>
      </c>
      <c r="C1602" s="36"/>
      <c r="D1602" s="36"/>
      <c r="E1602" s="36" t="s">
        <v>97</v>
      </c>
      <c r="F1602" s="38">
        <v>16582744.5</v>
      </c>
      <c r="G1602" s="36" t="s">
        <v>8</v>
      </c>
      <c r="H1602" s="36" t="s">
        <v>8</v>
      </c>
      <c r="I1602" s="36"/>
      <c r="J1602" s="36"/>
    </row>
    <row r="1603" spans="1:10" x14ac:dyDescent="0.25">
      <c r="A1603" s="36">
        <v>1622</v>
      </c>
      <c r="B1603" s="37">
        <v>43678</v>
      </c>
      <c r="C1603" s="36"/>
      <c r="D1603" s="36"/>
      <c r="E1603" s="36" t="s">
        <v>97</v>
      </c>
      <c r="F1603" s="38">
        <v>16582744.5</v>
      </c>
      <c r="G1603" s="36" t="s">
        <v>8</v>
      </c>
      <c r="H1603" s="36" t="s">
        <v>8</v>
      </c>
      <c r="I1603" s="36"/>
      <c r="J1603" s="36"/>
    </row>
    <row r="1604" spans="1:10" x14ac:dyDescent="0.25">
      <c r="A1604" s="36">
        <v>1622</v>
      </c>
      <c r="B1604" s="37">
        <v>43709</v>
      </c>
      <c r="C1604" s="36"/>
      <c r="D1604" s="36"/>
      <c r="E1604" s="36" t="s">
        <v>97</v>
      </c>
      <c r="F1604" s="38">
        <v>16582744.5</v>
      </c>
      <c r="G1604" s="36" t="s">
        <v>8</v>
      </c>
      <c r="H1604" s="36" t="s">
        <v>8</v>
      </c>
      <c r="I1604" s="36"/>
      <c r="J1604" s="36"/>
    </row>
    <row r="1605" spans="1:10" x14ac:dyDescent="0.25">
      <c r="A1605" s="36">
        <v>1622</v>
      </c>
      <c r="B1605" s="37">
        <v>43739</v>
      </c>
      <c r="C1605" s="36"/>
      <c r="D1605" s="36"/>
      <c r="E1605" s="36" t="s">
        <v>97</v>
      </c>
      <c r="F1605" s="38">
        <v>16582744.5</v>
      </c>
      <c r="G1605" s="36" t="s">
        <v>8</v>
      </c>
      <c r="H1605" s="36" t="s">
        <v>8</v>
      </c>
      <c r="I1605" s="36"/>
      <c r="J1605" s="36"/>
    </row>
    <row r="1606" spans="1:10" x14ac:dyDescent="0.25">
      <c r="A1606" s="36">
        <v>1622</v>
      </c>
      <c r="B1606" s="37">
        <v>43556</v>
      </c>
      <c r="C1606" s="36"/>
      <c r="D1606" s="36"/>
      <c r="E1606" s="36" t="s">
        <v>110</v>
      </c>
      <c r="F1606" s="38">
        <v>6633097.5</v>
      </c>
      <c r="G1606" s="36" t="s">
        <v>8</v>
      </c>
      <c r="H1606" s="36" t="s">
        <v>8</v>
      </c>
      <c r="I1606" s="36"/>
      <c r="J1606" s="36"/>
    </row>
    <row r="1607" spans="1:10" x14ac:dyDescent="0.25">
      <c r="A1607" s="36">
        <v>1622</v>
      </c>
      <c r="B1607" s="37">
        <v>43586</v>
      </c>
      <c r="C1607" s="36"/>
      <c r="D1607" s="36"/>
      <c r="E1607" s="36" t="s">
        <v>110</v>
      </c>
      <c r="F1607" s="38">
        <v>6633097.5</v>
      </c>
      <c r="G1607" s="36" t="s">
        <v>8</v>
      </c>
      <c r="H1607" s="36" t="s">
        <v>8</v>
      </c>
      <c r="I1607" s="36"/>
      <c r="J1607" s="36"/>
    </row>
    <row r="1608" spans="1:10" x14ac:dyDescent="0.25">
      <c r="A1608" s="36">
        <v>1622</v>
      </c>
      <c r="B1608" s="37">
        <v>43617</v>
      </c>
      <c r="C1608" s="36"/>
      <c r="D1608" s="36"/>
      <c r="E1608" s="36" t="s">
        <v>110</v>
      </c>
      <c r="F1608" s="38">
        <v>6633097.5</v>
      </c>
      <c r="G1608" s="36" t="s">
        <v>8</v>
      </c>
      <c r="H1608" s="36" t="s">
        <v>8</v>
      </c>
      <c r="I1608" s="36"/>
      <c r="J1608" s="36"/>
    </row>
    <row r="1609" spans="1:10" x14ac:dyDescent="0.25">
      <c r="A1609" s="36">
        <v>1622</v>
      </c>
      <c r="B1609" s="37">
        <v>43647</v>
      </c>
      <c r="C1609" s="36"/>
      <c r="D1609" s="36"/>
      <c r="E1609" s="36" t="s">
        <v>110</v>
      </c>
      <c r="F1609" s="38">
        <v>6633097.5</v>
      </c>
      <c r="G1609" s="36" t="s">
        <v>8</v>
      </c>
      <c r="H1609" s="36" t="s">
        <v>8</v>
      </c>
      <c r="I1609" s="36"/>
      <c r="J1609" s="36"/>
    </row>
    <row r="1610" spans="1:10" x14ac:dyDescent="0.25">
      <c r="A1610" s="36">
        <v>1622</v>
      </c>
      <c r="B1610" s="37">
        <v>43678</v>
      </c>
      <c r="C1610" s="36"/>
      <c r="D1610" s="36"/>
      <c r="E1610" s="36" t="s">
        <v>110</v>
      </c>
      <c r="F1610" s="38">
        <v>6633097.5</v>
      </c>
      <c r="G1610" s="36" t="s">
        <v>8</v>
      </c>
      <c r="H1610" s="36" t="s">
        <v>8</v>
      </c>
      <c r="I1610" s="36"/>
      <c r="J1610" s="36"/>
    </row>
    <row r="1611" spans="1:10" x14ac:dyDescent="0.25">
      <c r="A1611" s="36">
        <v>1622</v>
      </c>
      <c r="B1611" s="37">
        <v>43556</v>
      </c>
      <c r="C1611" s="36"/>
      <c r="D1611" s="36"/>
      <c r="E1611" s="36" t="s">
        <v>99</v>
      </c>
      <c r="F1611" s="38">
        <v>5088885</v>
      </c>
      <c r="G1611" s="36" t="s">
        <v>8</v>
      </c>
      <c r="H1611" s="36" t="s">
        <v>8</v>
      </c>
      <c r="I1611" s="36"/>
      <c r="J1611" s="36"/>
    </row>
    <row r="1612" spans="1:10" x14ac:dyDescent="0.25">
      <c r="A1612" s="36">
        <v>1622</v>
      </c>
      <c r="B1612" s="37">
        <v>43586</v>
      </c>
      <c r="C1612" s="36"/>
      <c r="D1612" s="36"/>
      <c r="E1612" s="36" t="s">
        <v>99</v>
      </c>
      <c r="F1612" s="38">
        <v>5088885</v>
      </c>
      <c r="G1612" s="36" t="s">
        <v>8</v>
      </c>
      <c r="H1612" s="36" t="s">
        <v>8</v>
      </c>
      <c r="I1612" s="36"/>
      <c r="J1612" s="36"/>
    </row>
    <row r="1613" spans="1:10" x14ac:dyDescent="0.25">
      <c r="A1613" s="36">
        <v>1622</v>
      </c>
      <c r="B1613" s="37">
        <v>43617</v>
      </c>
      <c r="C1613" s="36"/>
      <c r="D1613" s="36"/>
      <c r="E1613" s="36" t="s">
        <v>99</v>
      </c>
      <c r="F1613" s="38">
        <v>5088885</v>
      </c>
      <c r="G1613" s="36" t="s">
        <v>8</v>
      </c>
      <c r="H1613" s="36" t="s">
        <v>8</v>
      </c>
      <c r="I1613" s="36"/>
      <c r="J1613" s="36"/>
    </row>
    <row r="1614" spans="1:10" x14ac:dyDescent="0.25">
      <c r="A1614" s="36">
        <v>1622</v>
      </c>
      <c r="B1614" s="37">
        <v>43647</v>
      </c>
      <c r="C1614" s="36"/>
      <c r="D1614" s="36"/>
      <c r="E1614" s="36" t="s">
        <v>99</v>
      </c>
      <c r="F1614" s="38">
        <v>5088885</v>
      </c>
      <c r="G1614" s="36" t="s">
        <v>8</v>
      </c>
      <c r="H1614" s="36" t="s">
        <v>8</v>
      </c>
      <c r="I1614" s="36"/>
      <c r="J1614" s="36"/>
    </row>
    <row r="1615" spans="1:10" x14ac:dyDescent="0.25">
      <c r="A1615" s="36">
        <v>1622</v>
      </c>
      <c r="B1615" s="37">
        <v>43678</v>
      </c>
      <c r="C1615" s="36"/>
      <c r="D1615" s="36"/>
      <c r="E1615" s="36" t="s">
        <v>99</v>
      </c>
      <c r="F1615" s="38">
        <v>5088885</v>
      </c>
      <c r="G1615" s="36" t="s">
        <v>8</v>
      </c>
      <c r="H1615" s="36" t="s">
        <v>8</v>
      </c>
      <c r="I1615" s="36"/>
      <c r="J1615" s="36"/>
    </row>
    <row r="1616" spans="1:10" x14ac:dyDescent="0.25">
      <c r="A1616" s="36">
        <v>1622</v>
      </c>
      <c r="B1616" s="37">
        <v>43709</v>
      </c>
      <c r="C1616" s="36"/>
      <c r="D1616" s="36"/>
      <c r="E1616" s="36" t="s">
        <v>99</v>
      </c>
      <c r="F1616" s="38">
        <v>5088885</v>
      </c>
      <c r="G1616" s="36" t="s">
        <v>8</v>
      </c>
      <c r="H1616" s="36" t="s">
        <v>8</v>
      </c>
      <c r="I1616" s="36"/>
      <c r="J1616" s="36"/>
    </row>
    <row r="1617" spans="1:10" x14ac:dyDescent="0.25">
      <c r="A1617" s="36">
        <v>1622</v>
      </c>
      <c r="B1617" s="37">
        <v>43739</v>
      </c>
      <c r="C1617" s="36"/>
      <c r="D1617" s="36"/>
      <c r="E1617" s="36" t="s">
        <v>99</v>
      </c>
      <c r="F1617" s="38">
        <v>5088885</v>
      </c>
      <c r="G1617" s="36" t="s">
        <v>8</v>
      </c>
      <c r="H1617" s="36" t="s">
        <v>8</v>
      </c>
      <c r="I1617" s="36"/>
      <c r="J1617" s="36"/>
    </row>
    <row r="1618" spans="1:10" x14ac:dyDescent="0.25">
      <c r="A1618" s="36">
        <v>1622</v>
      </c>
      <c r="B1618" s="37">
        <v>43556</v>
      </c>
      <c r="C1618" s="36"/>
      <c r="D1618" s="36"/>
      <c r="E1618" s="36" t="s">
        <v>100</v>
      </c>
      <c r="F1618" s="38">
        <v>6663097.5</v>
      </c>
      <c r="G1618" s="36" t="s">
        <v>8</v>
      </c>
      <c r="H1618" s="36" t="s">
        <v>8</v>
      </c>
      <c r="I1618" s="36"/>
      <c r="J1618" s="36"/>
    </row>
    <row r="1619" spans="1:10" x14ac:dyDescent="0.25">
      <c r="A1619" s="36">
        <v>1622</v>
      </c>
      <c r="B1619" s="37">
        <v>43586</v>
      </c>
      <c r="C1619" s="36"/>
      <c r="D1619" s="36"/>
      <c r="E1619" s="36" t="s">
        <v>100</v>
      </c>
      <c r="F1619" s="38">
        <v>6663097.5</v>
      </c>
      <c r="G1619" s="36" t="s">
        <v>8</v>
      </c>
      <c r="H1619" s="36" t="s">
        <v>8</v>
      </c>
      <c r="I1619" s="36"/>
      <c r="J1619" s="36"/>
    </row>
    <row r="1620" spans="1:10" x14ac:dyDescent="0.25">
      <c r="A1620" s="36">
        <v>1622</v>
      </c>
      <c r="B1620" s="37">
        <v>43617</v>
      </c>
      <c r="C1620" s="36"/>
      <c r="D1620" s="36"/>
      <c r="E1620" s="36" t="s">
        <v>100</v>
      </c>
      <c r="F1620" s="38">
        <v>6663097.5</v>
      </c>
      <c r="G1620" s="36" t="s">
        <v>8</v>
      </c>
      <c r="H1620" s="36" t="s">
        <v>8</v>
      </c>
      <c r="I1620" s="36"/>
      <c r="J1620" s="36"/>
    </row>
    <row r="1621" spans="1:10" x14ac:dyDescent="0.25">
      <c r="A1621" s="36">
        <v>1622</v>
      </c>
      <c r="B1621" s="37">
        <v>43647</v>
      </c>
      <c r="C1621" s="36"/>
      <c r="D1621" s="36"/>
      <c r="E1621" s="36" t="s">
        <v>100</v>
      </c>
      <c r="F1621" s="38">
        <v>6663097.5</v>
      </c>
      <c r="G1621" s="36" t="s">
        <v>8</v>
      </c>
      <c r="H1621" s="36" t="s">
        <v>8</v>
      </c>
      <c r="I1621" s="36"/>
      <c r="J1621" s="36"/>
    </row>
    <row r="1622" spans="1:10" x14ac:dyDescent="0.25">
      <c r="A1622" s="36">
        <v>1622</v>
      </c>
      <c r="B1622" s="37">
        <v>43678</v>
      </c>
      <c r="C1622" s="36"/>
      <c r="D1622" s="36"/>
      <c r="E1622" s="36" t="s">
        <v>100</v>
      </c>
      <c r="F1622" s="38">
        <v>6663097.5</v>
      </c>
      <c r="G1622" s="36" t="s">
        <v>8</v>
      </c>
      <c r="H1622" s="36" t="s">
        <v>8</v>
      </c>
      <c r="I1622" s="36"/>
      <c r="J1622" s="36"/>
    </row>
    <row r="1623" spans="1:10" x14ac:dyDescent="0.25">
      <c r="A1623" s="36">
        <v>1622</v>
      </c>
      <c r="B1623" s="37">
        <v>43709</v>
      </c>
      <c r="C1623" s="36"/>
      <c r="D1623" s="36"/>
      <c r="E1623" s="36" t="s">
        <v>100</v>
      </c>
      <c r="F1623" s="38">
        <v>6663097.5</v>
      </c>
      <c r="G1623" s="36" t="s">
        <v>8</v>
      </c>
      <c r="H1623" s="36" t="s">
        <v>8</v>
      </c>
      <c r="I1623" s="36"/>
      <c r="J1623" s="36"/>
    </row>
    <row r="1624" spans="1:10" x14ac:dyDescent="0.25">
      <c r="A1624" s="36">
        <v>1622</v>
      </c>
      <c r="B1624" s="37">
        <v>43739</v>
      </c>
      <c r="C1624" s="36"/>
      <c r="D1624" s="36"/>
      <c r="E1624" s="36" t="s">
        <v>100</v>
      </c>
      <c r="F1624" s="38">
        <v>6663097.5</v>
      </c>
      <c r="G1624" s="36" t="s">
        <v>8</v>
      </c>
      <c r="H1624" s="36" t="s">
        <v>8</v>
      </c>
      <c r="I1624" s="36"/>
      <c r="J1624" s="36"/>
    </row>
    <row r="1625" spans="1:10" x14ac:dyDescent="0.25">
      <c r="A1625" s="36">
        <v>1622</v>
      </c>
      <c r="B1625" s="37">
        <v>43556</v>
      </c>
      <c r="C1625" s="36"/>
      <c r="D1625" s="36"/>
      <c r="E1625" s="36" t="s">
        <v>101</v>
      </c>
      <c r="F1625" s="38">
        <v>6663097.5</v>
      </c>
      <c r="G1625" s="36" t="s">
        <v>8</v>
      </c>
      <c r="H1625" s="36" t="s">
        <v>8</v>
      </c>
      <c r="I1625" s="36"/>
      <c r="J1625" s="36"/>
    </row>
    <row r="1626" spans="1:10" x14ac:dyDescent="0.25">
      <c r="A1626" s="36">
        <v>1622</v>
      </c>
      <c r="B1626" s="37">
        <v>43586</v>
      </c>
      <c r="C1626" s="36"/>
      <c r="D1626" s="36"/>
      <c r="E1626" s="36" t="s">
        <v>101</v>
      </c>
      <c r="F1626" s="38">
        <v>6663097.5</v>
      </c>
      <c r="G1626" s="36" t="s">
        <v>8</v>
      </c>
      <c r="H1626" s="36" t="s">
        <v>8</v>
      </c>
      <c r="I1626" s="36"/>
      <c r="J1626" s="36"/>
    </row>
    <row r="1627" spans="1:10" x14ac:dyDescent="0.25">
      <c r="A1627" s="36">
        <v>1622</v>
      </c>
      <c r="B1627" s="37">
        <v>43617</v>
      </c>
      <c r="C1627" s="36"/>
      <c r="D1627" s="36"/>
      <c r="E1627" s="36" t="s">
        <v>101</v>
      </c>
      <c r="F1627" s="38">
        <v>6663097.5</v>
      </c>
      <c r="G1627" s="36" t="s">
        <v>8</v>
      </c>
      <c r="H1627" s="36" t="s">
        <v>8</v>
      </c>
      <c r="I1627" s="36"/>
      <c r="J1627" s="36"/>
    </row>
    <row r="1628" spans="1:10" x14ac:dyDescent="0.25">
      <c r="A1628" s="36">
        <v>1622</v>
      </c>
      <c r="B1628" s="37">
        <v>43647</v>
      </c>
      <c r="C1628" s="36"/>
      <c r="D1628" s="36"/>
      <c r="E1628" s="36" t="s">
        <v>101</v>
      </c>
      <c r="F1628" s="38">
        <v>6663097.5</v>
      </c>
      <c r="G1628" s="36" t="s">
        <v>8</v>
      </c>
      <c r="H1628" s="36" t="s">
        <v>8</v>
      </c>
      <c r="I1628" s="36"/>
      <c r="J1628" s="36"/>
    </row>
    <row r="1629" spans="1:10" x14ac:dyDescent="0.25">
      <c r="A1629" s="36">
        <v>1622</v>
      </c>
      <c r="B1629" s="37">
        <v>43678</v>
      </c>
      <c r="C1629" s="36"/>
      <c r="D1629" s="36"/>
      <c r="E1629" s="36" t="s">
        <v>101</v>
      </c>
      <c r="F1629" s="38">
        <v>6663097.5</v>
      </c>
      <c r="G1629" s="36" t="s">
        <v>8</v>
      </c>
      <c r="H1629" s="36" t="s">
        <v>8</v>
      </c>
      <c r="I1629" s="36"/>
      <c r="J1629" s="36"/>
    </row>
    <row r="1630" spans="1:10" x14ac:dyDescent="0.25">
      <c r="A1630" s="36">
        <v>1622</v>
      </c>
      <c r="B1630" s="37">
        <v>43709</v>
      </c>
      <c r="C1630" s="36"/>
      <c r="D1630" s="36"/>
      <c r="E1630" s="36" t="s">
        <v>101</v>
      </c>
      <c r="F1630" s="38">
        <v>6663097.5</v>
      </c>
      <c r="G1630" s="36" t="s">
        <v>8</v>
      </c>
      <c r="H1630" s="36" t="s">
        <v>8</v>
      </c>
      <c r="I1630" s="36"/>
      <c r="J1630" s="36"/>
    </row>
    <row r="1631" spans="1:10" x14ac:dyDescent="0.25">
      <c r="A1631" s="36">
        <v>1622</v>
      </c>
      <c r="B1631" s="37">
        <v>43739</v>
      </c>
      <c r="C1631" s="36"/>
      <c r="D1631" s="36"/>
      <c r="E1631" s="36" t="s">
        <v>101</v>
      </c>
      <c r="F1631" s="38">
        <v>6663097.5</v>
      </c>
      <c r="G1631" s="36" t="s">
        <v>8</v>
      </c>
      <c r="H1631" s="36" t="s">
        <v>8</v>
      </c>
      <c r="I1631" s="36"/>
      <c r="J1631" s="36"/>
    </row>
    <row r="1632" spans="1:10" x14ac:dyDescent="0.25">
      <c r="A1632" s="36">
        <v>1622</v>
      </c>
      <c r="B1632" s="37">
        <v>43556</v>
      </c>
      <c r="C1632" s="36"/>
      <c r="D1632" s="36"/>
      <c r="E1632" s="36" t="s">
        <v>102</v>
      </c>
      <c r="F1632" s="38">
        <v>7922866.5</v>
      </c>
      <c r="G1632" s="36" t="s">
        <v>8</v>
      </c>
      <c r="H1632" s="36" t="s">
        <v>8</v>
      </c>
      <c r="I1632" s="36"/>
      <c r="J1632" s="36"/>
    </row>
    <row r="1633" spans="1:10" x14ac:dyDescent="0.25">
      <c r="A1633" s="36">
        <v>1622</v>
      </c>
      <c r="B1633" s="37">
        <v>43586</v>
      </c>
      <c r="C1633" s="36"/>
      <c r="D1633" s="36"/>
      <c r="E1633" s="36" t="s">
        <v>102</v>
      </c>
      <c r="F1633" s="38">
        <v>7922866.5</v>
      </c>
      <c r="G1633" s="36" t="s">
        <v>8</v>
      </c>
      <c r="H1633" s="36" t="s">
        <v>8</v>
      </c>
      <c r="I1633" s="36"/>
      <c r="J1633" s="36"/>
    </row>
    <row r="1634" spans="1:10" x14ac:dyDescent="0.25">
      <c r="A1634" s="36">
        <v>1622</v>
      </c>
      <c r="B1634" s="37">
        <v>43617</v>
      </c>
      <c r="C1634" s="36"/>
      <c r="D1634" s="36"/>
      <c r="E1634" s="36" t="s">
        <v>102</v>
      </c>
      <c r="F1634" s="38">
        <v>7922866.5</v>
      </c>
      <c r="G1634" s="36" t="s">
        <v>8</v>
      </c>
      <c r="H1634" s="36" t="s">
        <v>8</v>
      </c>
      <c r="I1634" s="36"/>
      <c r="J1634" s="36"/>
    </row>
    <row r="1635" spans="1:10" x14ac:dyDescent="0.25">
      <c r="A1635" s="36">
        <v>1622</v>
      </c>
      <c r="B1635" s="37">
        <v>43647</v>
      </c>
      <c r="C1635" s="36"/>
      <c r="D1635" s="36"/>
      <c r="E1635" s="36" t="s">
        <v>102</v>
      </c>
      <c r="F1635" s="38">
        <v>7922866.5</v>
      </c>
      <c r="G1635" s="36" t="s">
        <v>8</v>
      </c>
      <c r="H1635" s="36" t="s">
        <v>8</v>
      </c>
      <c r="I1635" s="36"/>
      <c r="J1635" s="36"/>
    </row>
    <row r="1636" spans="1:10" x14ac:dyDescent="0.25">
      <c r="A1636" s="36">
        <v>1622</v>
      </c>
      <c r="B1636" s="37">
        <v>43678</v>
      </c>
      <c r="C1636" s="36"/>
      <c r="D1636" s="36"/>
      <c r="E1636" s="36" t="s">
        <v>102</v>
      </c>
      <c r="F1636" s="38">
        <v>7922866.5</v>
      </c>
      <c r="G1636" s="36" t="s">
        <v>8</v>
      </c>
      <c r="H1636" s="36" t="s">
        <v>8</v>
      </c>
      <c r="I1636" s="36"/>
      <c r="J1636" s="36"/>
    </row>
    <row r="1637" spans="1:10" x14ac:dyDescent="0.25">
      <c r="A1637" s="36">
        <v>1622</v>
      </c>
      <c r="B1637" s="37">
        <v>43709</v>
      </c>
      <c r="C1637" s="36"/>
      <c r="D1637" s="36"/>
      <c r="E1637" s="36" t="s">
        <v>102</v>
      </c>
      <c r="F1637" s="38">
        <v>7922866.5</v>
      </c>
      <c r="G1637" s="36" t="s">
        <v>8</v>
      </c>
      <c r="H1637" s="36" t="s">
        <v>8</v>
      </c>
      <c r="I1637" s="36"/>
      <c r="J1637" s="36"/>
    </row>
    <row r="1638" spans="1:10" x14ac:dyDescent="0.25">
      <c r="A1638" s="36">
        <v>1622</v>
      </c>
      <c r="B1638" s="37">
        <v>43739</v>
      </c>
      <c r="C1638" s="36"/>
      <c r="D1638" s="36"/>
      <c r="E1638" s="36" t="s">
        <v>102</v>
      </c>
      <c r="F1638" s="38">
        <v>7922866.5</v>
      </c>
      <c r="G1638" s="36" t="s">
        <v>8</v>
      </c>
      <c r="H1638" s="36" t="s">
        <v>8</v>
      </c>
      <c r="I1638" s="36"/>
      <c r="J1638" s="36"/>
    </row>
    <row r="1639" spans="1:10" x14ac:dyDescent="0.25">
      <c r="A1639" s="36">
        <v>1622</v>
      </c>
      <c r="B1639" s="37">
        <v>43556</v>
      </c>
      <c r="C1639" s="36"/>
      <c r="D1639" s="36"/>
      <c r="E1639" s="36" t="s">
        <v>111</v>
      </c>
      <c r="F1639" s="38">
        <v>7896546</v>
      </c>
      <c r="G1639" s="36" t="s">
        <v>8</v>
      </c>
      <c r="H1639" s="36" t="s">
        <v>8</v>
      </c>
      <c r="I1639" s="36"/>
      <c r="J1639" s="36"/>
    </row>
    <row r="1640" spans="1:10" x14ac:dyDescent="0.25">
      <c r="A1640" s="36">
        <v>1622</v>
      </c>
      <c r="B1640" s="37">
        <v>43586</v>
      </c>
      <c r="C1640" s="36"/>
      <c r="D1640" s="36"/>
      <c r="E1640" s="36" t="s">
        <v>111</v>
      </c>
      <c r="F1640" s="38">
        <v>7896546</v>
      </c>
      <c r="G1640" s="36" t="s">
        <v>8</v>
      </c>
      <c r="H1640" s="36" t="s">
        <v>8</v>
      </c>
      <c r="I1640" s="36"/>
      <c r="J1640" s="36"/>
    </row>
    <row r="1641" spans="1:10" x14ac:dyDescent="0.25">
      <c r="A1641" s="36">
        <v>1622</v>
      </c>
      <c r="B1641" s="37">
        <v>43617</v>
      </c>
      <c r="C1641" s="36"/>
      <c r="D1641" s="36"/>
      <c r="E1641" s="36" t="s">
        <v>111</v>
      </c>
      <c r="F1641" s="38">
        <v>7896546</v>
      </c>
      <c r="G1641" s="36" t="s">
        <v>8</v>
      </c>
      <c r="H1641" s="36" t="s">
        <v>8</v>
      </c>
      <c r="I1641" s="36"/>
      <c r="J1641" s="36"/>
    </row>
    <row r="1642" spans="1:10" x14ac:dyDescent="0.25">
      <c r="A1642" s="36">
        <v>1622</v>
      </c>
      <c r="B1642" s="37">
        <v>43647</v>
      </c>
      <c r="C1642" s="36"/>
      <c r="D1642" s="36"/>
      <c r="E1642" s="36" t="s">
        <v>111</v>
      </c>
      <c r="F1642" s="38">
        <v>7896546</v>
      </c>
      <c r="G1642" s="36" t="s">
        <v>8</v>
      </c>
      <c r="H1642" s="36" t="s">
        <v>8</v>
      </c>
      <c r="I1642" s="36"/>
      <c r="J1642" s="36"/>
    </row>
    <row r="1643" spans="1:10" x14ac:dyDescent="0.25">
      <c r="A1643" s="36">
        <v>1622</v>
      </c>
      <c r="B1643" s="37">
        <v>43678</v>
      </c>
      <c r="C1643" s="36"/>
      <c r="D1643" s="36"/>
      <c r="E1643" s="36" t="s">
        <v>111</v>
      </c>
      <c r="F1643" s="38">
        <v>7896546</v>
      </c>
      <c r="G1643" s="36" t="s">
        <v>8</v>
      </c>
      <c r="H1643" s="36" t="s">
        <v>8</v>
      </c>
      <c r="I1643" s="36"/>
      <c r="J1643" s="36"/>
    </row>
    <row r="1644" spans="1:10" x14ac:dyDescent="0.25">
      <c r="A1644" s="36">
        <v>1622</v>
      </c>
      <c r="B1644" s="37">
        <v>43709</v>
      </c>
      <c r="C1644" s="36"/>
      <c r="D1644" s="36"/>
      <c r="E1644" s="36" t="s">
        <v>111</v>
      </c>
      <c r="F1644" s="38">
        <v>7896546</v>
      </c>
      <c r="G1644" s="36" t="s">
        <v>8</v>
      </c>
      <c r="H1644" s="36" t="s">
        <v>8</v>
      </c>
      <c r="I1644" s="36"/>
      <c r="J1644" s="36"/>
    </row>
    <row r="1645" spans="1:10" x14ac:dyDescent="0.25">
      <c r="A1645" s="36">
        <v>1622</v>
      </c>
      <c r="B1645" s="37">
        <v>43739</v>
      </c>
      <c r="C1645" s="36"/>
      <c r="D1645" s="36"/>
      <c r="E1645" s="36" t="s">
        <v>111</v>
      </c>
      <c r="F1645" s="38">
        <v>7896546</v>
      </c>
      <c r="G1645" s="36" t="s">
        <v>8</v>
      </c>
      <c r="H1645" s="36" t="s">
        <v>8</v>
      </c>
      <c r="I1645" s="36"/>
      <c r="J1645" s="36"/>
    </row>
    <row r="1646" spans="1:10" x14ac:dyDescent="0.25">
      <c r="A1646" s="36">
        <v>1622</v>
      </c>
      <c r="B1646" s="37">
        <v>43556</v>
      </c>
      <c r="C1646" s="36"/>
      <c r="D1646" s="36"/>
      <c r="E1646" s="36" t="s">
        <v>112</v>
      </c>
      <c r="F1646" s="38">
        <v>5159076</v>
      </c>
      <c r="G1646" s="36" t="s">
        <v>8</v>
      </c>
      <c r="H1646" s="36" t="s">
        <v>8</v>
      </c>
      <c r="I1646" s="36"/>
      <c r="J1646" s="36"/>
    </row>
    <row r="1647" spans="1:10" x14ac:dyDescent="0.25">
      <c r="A1647" s="36">
        <v>1622</v>
      </c>
      <c r="B1647" s="37">
        <v>43586</v>
      </c>
      <c r="C1647" s="36"/>
      <c r="D1647" s="36"/>
      <c r="E1647" s="36" t="s">
        <v>112</v>
      </c>
      <c r="F1647" s="38">
        <v>5159076</v>
      </c>
      <c r="G1647" s="36" t="s">
        <v>8</v>
      </c>
      <c r="H1647" s="36" t="s">
        <v>8</v>
      </c>
      <c r="I1647" s="36"/>
      <c r="J1647" s="36"/>
    </row>
    <row r="1648" spans="1:10" x14ac:dyDescent="0.25">
      <c r="A1648" s="36">
        <v>1622</v>
      </c>
      <c r="B1648" s="37">
        <v>43617</v>
      </c>
      <c r="C1648" s="36"/>
      <c r="D1648" s="36"/>
      <c r="E1648" s="36" t="s">
        <v>112</v>
      </c>
      <c r="F1648" s="38">
        <v>5159076</v>
      </c>
      <c r="G1648" s="36" t="s">
        <v>8</v>
      </c>
      <c r="H1648" s="36" t="s">
        <v>8</v>
      </c>
      <c r="I1648" s="36"/>
      <c r="J1648" s="36"/>
    </row>
    <row r="1649" spans="1:10" x14ac:dyDescent="0.25">
      <c r="A1649" s="36">
        <v>1622</v>
      </c>
      <c r="B1649" s="37">
        <v>43647</v>
      </c>
      <c r="C1649" s="36"/>
      <c r="D1649" s="36"/>
      <c r="E1649" s="36" t="s">
        <v>112</v>
      </c>
      <c r="F1649" s="38">
        <v>5159076</v>
      </c>
      <c r="G1649" s="36" t="s">
        <v>8</v>
      </c>
      <c r="H1649" s="36" t="s">
        <v>8</v>
      </c>
      <c r="I1649" s="36"/>
      <c r="J1649" s="36"/>
    </row>
    <row r="1650" spans="1:10" x14ac:dyDescent="0.25">
      <c r="A1650" s="36">
        <v>1622</v>
      </c>
      <c r="B1650" s="37">
        <v>43678</v>
      </c>
      <c r="C1650" s="36"/>
      <c r="D1650" s="36"/>
      <c r="E1650" s="36" t="s">
        <v>112</v>
      </c>
      <c r="F1650" s="38">
        <v>5159076</v>
      </c>
      <c r="G1650" s="36" t="s">
        <v>8</v>
      </c>
      <c r="H1650" s="36" t="s">
        <v>8</v>
      </c>
      <c r="I1650" s="36"/>
      <c r="J1650" s="36"/>
    </row>
    <row r="1651" spans="1:10" x14ac:dyDescent="0.25">
      <c r="A1651" s="36">
        <v>1622</v>
      </c>
      <c r="B1651" s="37">
        <v>43709</v>
      </c>
      <c r="C1651" s="36"/>
      <c r="D1651" s="36"/>
      <c r="E1651" s="36" t="s">
        <v>112</v>
      </c>
      <c r="F1651" s="38">
        <v>5159076</v>
      </c>
      <c r="G1651" s="36" t="s">
        <v>8</v>
      </c>
      <c r="H1651" s="36" t="s">
        <v>8</v>
      </c>
      <c r="I1651" s="36"/>
      <c r="J1651" s="36"/>
    </row>
    <row r="1652" spans="1:10" x14ac:dyDescent="0.25">
      <c r="A1652" s="36">
        <v>1622</v>
      </c>
      <c r="B1652" s="37">
        <v>43739</v>
      </c>
      <c r="C1652" s="36"/>
      <c r="D1652" s="36"/>
      <c r="E1652" s="36" t="s">
        <v>112</v>
      </c>
      <c r="F1652" s="38">
        <v>5159076</v>
      </c>
      <c r="G1652" s="36" t="s">
        <v>8</v>
      </c>
      <c r="H1652" s="36" t="s">
        <v>8</v>
      </c>
      <c r="I1652" s="36"/>
      <c r="J1652" s="36"/>
    </row>
    <row r="1653" spans="1:10" x14ac:dyDescent="0.25">
      <c r="A1653" s="36">
        <v>1622</v>
      </c>
      <c r="B1653" s="37">
        <v>43556</v>
      </c>
      <c r="C1653" s="36"/>
      <c r="D1653" s="36"/>
      <c r="E1653" s="36" t="s">
        <v>37</v>
      </c>
      <c r="F1653" s="38">
        <v>1658274</v>
      </c>
      <c r="G1653" s="36" t="s">
        <v>8</v>
      </c>
      <c r="H1653" s="36" t="s">
        <v>8</v>
      </c>
      <c r="I1653" s="36"/>
      <c r="J1653" s="36"/>
    </row>
    <row r="1654" spans="1:10" x14ac:dyDescent="0.25">
      <c r="A1654" s="36">
        <v>1622</v>
      </c>
      <c r="B1654" s="37">
        <v>43586</v>
      </c>
      <c r="C1654" s="36"/>
      <c r="D1654" s="36"/>
      <c r="E1654" s="36" t="s">
        <v>37</v>
      </c>
      <c r="F1654" s="38">
        <v>1658274</v>
      </c>
      <c r="G1654" s="36" t="s">
        <v>8</v>
      </c>
      <c r="H1654" s="36" t="s">
        <v>8</v>
      </c>
      <c r="I1654" s="36"/>
      <c r="J1654" s="36"/>
    </row>
    <row r="1655" spans="1:10" x14ac:dyDescent="0.25">
      <c r="A1655" s="36">
        <v>1622</v>
      </c>
      <c r="B1655" s="37">
        <v>43617</v>
      </c>
      <c r="C1655" s="36"/>
      <c r="D1655" s="36"/>
      <c r="E1655" s="36" t="s">
        <v>37</v>
      </c>
      <c r="F1655" s="38">
        <v>1658274</v>
      </c>
      <c r="G1655" s="36" t="s">
        <v>8</v>
      </c>
      <c r="H1655" s="36" t="s">
        <v>8</v>
      </c>
      <c r="I1655" s="36"/>
      <c r="J1655" s="36"/>
    </row>
    <row r="1656" spans="1:10" x14ac:dyDescent="0.25">
      <c r="A1656" s="36">
        <v>1622</v>
      </c>
      <c r="B1656" s="37">
        <v>43647</v>
      </c>
      <c r="C1656" s="36"/>
      <c r="D1656" s="36"/>
      <c r="E1656" s="36" t="s">
        <v>37</v>
      </c>
      <c r="F1656" s="38">
        <v>1658274</v>
      </c>
      <c r="G1656" s="36" t="s">
        <v>8</v>
      </c>
      <c r="H1656" s="36" t="s">
        <v>8</v>
      </c>
      <c r="I1656" s="36"/>
      <c r="J1656" s="36"/>
    </row>
    <row r="1657" spans="1:10" x14ac:dyDescent="0.25">
      <c r="A1657" s="36">
        <v>1622</v>
      </c>
      <c r="B1657" s="37">
        <v>43678</v>
      </c>
      <c r="C1657" s="36"/>
      <c r="D1657" s="36"/>
      <c r="E1657" s="36" t="s">
        <v>37</v>
      </c>
      <c r="F1657" s="38">
        <v>1658274</v>
      </c>
      <c r="G1657" s="36" t="s">
        <v>8</v>
      </c>
      <c r="H1657" s="36" t="s">
        <v>8</v>
      </c>
      <c r="I1657" s="36"/>
      <c r="J1657" s="36"/>
    </row>
    <row r="1658" spans="1:10" x14ac:dyDescent="0.25">
      <c r="A1658" s="36">
        <v>1622</v>
      </c>
      <c r="B1658" s="37">
        <v>43709</v>
      </c>
      <c r="C1658" s="36"/>
      <c r="D1658" s="36"/>
      <c r="E1658" s="36" t="s">
        <v>37</v>
      </c>
      <c r="F1658" s="38">
        <v>1658274</v>
      </c>
      <c r="G1658" s="36" t="s">
        <v>8</v>
      </c>
      <c r="H1658" s="36" t="s">
        <v>8</v>
      </c>
      <c r="I1658" s="36"/>
      <c r="J1658" s="36"/>
    </row>
    <row r="1659" spans="1:10" x14ac:dyDescent="0.25">
      <c r="A1659" s="36">
        <v>1622</v>
      </c>
      <c r="B1659" s="37">
        <v>43739</v>
      </c>
      <c r="C1659" s="36"/>
      <c r="D1659" s="36"/>
      <c r="E1659" s="36" t="s">
        <v>37</v>
      </c>
      <c r="F1659" s="38">
        <v>1658274</v>
      </c>
      <c r="G1659" s="36" t="s">
        <v>8</v>
      </c>
      <c r="H1659" s="36" t="s">
        <v>8</v>
      </c>
      <c r="I1659" s="36"/>
      <c r="J1659" s="36"/>
    </row>
    <row r="1660" spans="1:10" x14ac:dyDescent="0.25">
      <c r="A1660" s="36">
        <v>1622</v>
      </c>
      <c r="B1660" s="37">
        <v>43556</v>
      </c>
      <c r="C1660" s="36"/>
      <c r="D1660" s="36"/>
      <c r="E1660" s="36" t="s">
        <v>27</v>
      </c>
      <c r="F1660" s="38">
        <v>3906157.7699999996</v>
      </c>
      <c r="G1660" s="36" t="s">
        <v>8</v>
      </c>
      <c r="H1660" s="36" t="s">
        <v>8</v>
      </c>
      <c r="I1660" s="36"/>
      <c r="J1660" s="36"/>
    </row>
    <row r="1661" spans="1:10" x14ac:dyDescent="0.25">
      <c r="A1661" s="36">
        <v>1622</v>
      </c>
      <c r="B1661" s="37">
        <v>43586</v>
      </c>
      <c r="C1661" s="36"/>
      <c r="D1661" s="36"/>
      <c r="E1661" s="36" t="s">
        <v>27</v>
      </c>
      <c r="F1661" s="38">
        <v>3906157.7699999996</v>
      </c>
      <c r="G1661" s="36" t="s">
        <v>8</v>
      </c>
      <c r="H1661" s="36" t="s">
        <v>8</v>
      </c>
      <c r="I1661" s="36"/>
      <c r="J1661" s="36"/>
    </row>
    <row r="1662" spans="1:10" x14ac:dyDescent="0.25">
      <c r="A1662" s="36">
        <v>1622</v>
      </c>
      <c r="B1662" s="37">
        <v>43617</v>
      </c>
      <c r="C1662" s="36"/>
      <c r="D1662" s="36"/>
      <c r="E1662" s="36" t="s">
        <v>27</v>
      </c>
      <c r="F1662" s="38">
        <v>3906157.7699999996</v>
      </c>
      <c r="G1662" s="36" t="s">
        <v>8</v>
      </c>
      <c r="H1662" s="36" t="s">
        <v>8</v>
      </c>
      <c r="I1662" s="36"/>
      <c r="J1662" s="36"/>
    </row>
    <row r="1663" spans="1:10" x14ac:dyDescent="0.25">
      <c r="A1663" s="36">
        <v>1622</v>
      </c>
      <c r="B1663" s="37">
        <v>43556</v>
      </c>
      <c r="C1663" s="36"/>
      <c r="D1663" s="36"/>
      <c r="E1663" s="36" t="s">
        <v>104</v>
      </c>
      <c r="F1663" s="38">
        <v>4687389.96</v>
      </c>
      <c r="G1663" s="36" t="s">
        <v>8</v>
      </c>
      <c r="H1663" s="36" t="s">
        <v>8</v>
      </c>
      <c r="I1663" s="36"/>
      <c r="J1663" s="36"/>
    </row>
    <row r="1664" spans="1:10" x14ac:dyDescent="0.25">
      <c r="A1664" s="36">
        <v>1622</v>
      </c>
      <c r="B1664" s="37">
        <v>43556</v>
      </c>
      <c r="C1664" s="36"/>
      <c r="D1664" s="36"/>
      <c r="E1664" s="36" t="s">
        <v>106</v>
      </c>
      <c r="F1664" s="38">
        <v>3906157.7699999996</v>
      </c>
      <c r="G1664" s="36" t="s">
        <v>8</v>
      </c>
      <c r="H1664" s="36" t="s">
        <v>8</v>
      </c>
      <c r="I1664" s="36"/>
      <c r="J1664" s="36"/>
    </row>
    <row r="1665" spans="1:10" x14ac:dyDescent="0.25">
      <c r="A1665" s="36">
        <v>1622</v>
      </c>
      <c r="B1665" s="37">
        <v>43556</v>
      </c>
      <c r="C1665" s="36"/>
      <c r="D1665" s="36"/>
      <c r="E1665" s="36" t="s">
        <v>17</v>
      </c>
      <c r="F1665" s="38">
        <v>3906157.7699999996</v>
      </c>
      <c r="G1665" s="36" t="s">
        <v>8</v>
      </c>
      <c r="H1665" s="36" t="s">
        <v>8</v>
      </c>
      <c r="I1665" s="36"/>
      <c r="J1665" s="36"/>
    </row>
    <row r="1666" spans="1:10" x14ac:dyDescent="0.25">
      <c r="A1666" s="36">
        <v>1622</v>
      </c>
      <c r="B1666" s="37">
        <v>43586</v>
      </c>
      <c r="C1666" s="36"/>
      <c r="D1666" s="36"/>
      <c r="E1666" s="36" t="s">
        <v>17</v>
      </c>
      <c r="F1666" s="38">
        <v>3906157.7699999996</v>
      </c>
      <c r="G1666" s="36" t="s">
        <v>8</v>
      </c>
      <c r="H1666" s="36" t="s">
        <v>8</v>
      </c>
      <c r="I1666" s="36"/>
      <c r="J1666" s="36"/>
    </row>
    <row r="1667" spans="1:10" x14ac:dyDescent="0.25">
      <c r="A1667" s="36">
        <v>1622</v>
      </c>
      <c r="B1667" s="37">
        <v>43617</v>
      </c>
      <c r="C1667" s="36"/>
      <c r="D1667" s="36"/>
      <c r="E1667" s="36" t="s">
        <v>17</v>
      </c>
      <c r="F1667" s="38">
        <v>3906157.7699999996</v>
      </c>
      <c r="G1667" s="36" t="s">
        <v>8</v>
      </c>
      <c r="H1667" s="36" t="s">
        <v>8</v>
      </c>
      <c r="I1667" s="36"/>
      <c r="J1667" s="36"/>
    </row>
    <row r="1668" spans="1:10" x14ac:dyDescent="0.25">
      <c r="A1668" s="36">
        <v>1622</v>
      </c>
      <c r="B1668" s="37">
        <v>43647</v>
      </c>
      <c r="C1668" s="36"/>
      <c r="D1668" s="36"/>
      <c r="E1668" s="36" t="s">
        <v>17</v>
      </c>
      <c r="F1668" s="38">
        <v>3906157.7699999996</v>
      </c>
      <c r="G1668" s="36" t="s">
        <v>8</v>
      </c>
      <c r="H1668" s="36" t="s">
        <v>8</v>
      </c>
      <c r="I1668" s="36"/>
      <c r="J1668" s="36"/>
    </row>
    <row r="1669" spans="1:10" x14ac:dyDescent="0.25">
      <c r="A1669" s="36">
        <v>1622</v>
      </c>
      <c r="B1669" s="37">
        <v>43678</v>
      </c>
      <c r="C1669" s="36"/>
      <c r="D1669" s="36"/>
      <c r="E1669" s="36" t="s">
        <v>17</v>
      </c>
      <c r="F1669" s="38">
        <v>3906157.7699999996</v>
      </c>
      <c r="G1669" s="36" t="s">
        <v>8</v>
      </c>
      <c r="H1669" s="36" t="s">
        <v>8</v>
      </c>
      <c r="I1669" s="36"/>
      <c r="J1669" s="36"/>
    </row>
    <row r="1670" spans="1:10" x14ac:dyDescent="0.25">
      <c r="A1670" s="36">
        <v>1622</v>
      </c>
      <c r="B1670" s="37">
        <v>43709</v>
      </c>
      <c r="C1670" s="36"/>
      <c r="D1670" s="36"/>
      <c r="E1670" s="36" t="s">
        <v>17</v>
      </c>
      <c r="F1670" s="38">
        <v>3906157.7699999996</v>
      </c>
      <c r="G1670" s="36" t="s">
        <v>8</v>
      </c>
      <c r="H1670" s="36" t="s">
        <v>8</v>
      </c>
      <c r="I1670" s="36"/>
      <c r="J1670" s="36"/>
    </row>
    <row r="1671" spans="1:10" x14ac:dyDescent="0.25">
      <c r="A1671" s="36">
        <v>1622</v>
      </c>
      <c r="B1671" s="37">
        <v>43739</v>
      </c>
      <c r="C1671" s="36"/>
      <c r="D1671" s="36"/>
      <c r="E1671" s="36" t="s">
        <v>17</v>
      </c>
      <c r="F1671" s="38">
        <v>3906157.7699999996</v>
      </c>
      <c r="G1671" s="36" t="s">
        <v>8</v>
      </c>
      <c r="H1671" s="36" t="s">
        <v>8</v>
      </c>
      <c r="I1671" s="36"/>
      <c r="J1671" s="36"/>
    </row>
    <row r="1672" spans="1:10" x14ac:dyDescent="0.25">
      <c r="A1672" s="36">
        <v>1588</v>
      </c>
      <c r="B1672" s="37">
        <v>43466</v>
      </c>
      <c r="C1672" s="36"/>
      <c r="D1672" s="36"/>
      <c r="E1672" s="36" t="s">
        <v>7</v>
      </c>
      <c r="F1672" s="38">
        <v>3071827.3950000005</v>
      </c>
      <c r="G1672" s="36" t="s">
        <v>8</v>
      </c>
      <c r="H1672" s="36" t="s">
        <v>228</v>
      </c>
      <c r="I1672" s="36"/>
      <c r="J1672" s="36"/>
    </row>
    <row r="1673" spans="1:10" x14ac:dyDescent="0.25">
      <c r="A1673" s="36">
        <v>1588</v>
      </c>
      <c r="B1673" s="37">
        <v>43497</v>
      </c>
      <c r="C1673" s="36"/>
      <c r="D1673" s="36"/>
      <c r="E1673" s="36" t="s">
        <v>7</v>
      </c>
      <c r="F1673" s="38">
        <v>3071827.3950000005</v>
      </c>
      <c r="G1673" s="36" t="s">
        <v>8</v>
      </c>
      <c r="H1673" s="36" t="s">
        <v>228</v>
      </c>
      <c r="I1673" s="36"/>
      <c r="J1673" s="36"/>
    </row>
    <row r="1674" spans="1:10" x14ac:dyDescent="0.25">
      <c r="A1674" s="36">
        <v>1588</v>
      </c>
      <c r="B1674" s="37">
        <v>43525</v>
      </c>
      <c r="C1674" s="36"/>
      <c r="D1674" s="36"/>
      <c r="E1674" s="36" t="s">
        <v>7</v>
      </c>
      <c r="F1674" s="38">
        <v>3071827.3950000005</v>
      </c>
      <c r="G1674" s="36" t="s">
        <v>8</v>
      </c>
      <c r="H1674" s="36" t="s">
        <v>228</v>
      </c>
      <c r="I1674" s="36"/>
      <c r="J1674" s="36"/>
    </row>
    <row r="1675" spans="1:10" x14ac:dyDescent="0.25">
      <c r="A1675" s="36">
        <v>1723</v>
      </c>
      <c r="B1675" s="37">
        <v>43466</v>
      </c>
      <c r="C1675" s="36"/>
      <c r="D1675" s="36"/>
      <c r="E1675" s="36" t="s">
        <v>7</v>
      </c>
      <c r="F1675" s="38">
        <v>5626057.5000000009</v>
      </c>
      <c r="G1675" s="36" t="s">
        <v>8</v>
      </c>
      <c r="H1675" s="36" t="s">
        <v>8</v>
      </c>
      <c r="I1675" s="36"/>
      <c r="J1675" s="36"/>
    </row>
    <row r="1676" spans="1:10" x14ac:dyDescent="0.25">
      <c r="A1676" s="36">
        <v>1723</v>
      </c>
      <c r="B1676" s="37">
        <v>43497</v>
      </c>
      <c r="C1676" s="36"/>
      <c r="D1676" s="36"/>
      <c r="E1676" s="36" t="s">
        <v>7</v>
      </c>
      <c r="F1676" s="38">
        <v>5626057.5000000009</v>
      </c>
      <c r="G1676" s="36" t="s">
        <v>8</v>
      </c>
      <c r="H1676" s="36" t="s">
        <v>8</v>
      </c>
      <c r="I1676" s="36"/>
      <c r="J1676" s="36"/>
    </row>
    <row r="1677" spans="1:10" x14ac:dyDescent="0.25">
      <c r="A1677" s="36">
        <v>1723</v>
      </c>
      <c r="B1677" s="37">
        <v>43525</v>
      </c>
      <c r="C1677" s="36"/>
      <c r="D1677" s="36"/>
      <c r="E1677" s="36" t="s">
        <v>7</v>
      </c>
      <c r="F1677" s="38">
        <v>5626057.5000000009</v>
      </c>
      <c r="G1677" s="36" t="s">
        <v>8</v>
      </c>
      <c r="H1677" s="36" t="s">
        <v>8</v>
      </c>
      <c r="I1677" s="36"/>
      <c r="J1677" s="36"/>
    </row>
    <row r="1678" spans="1:10" x14ac:dyDescent="0.25">
      <c r="A1678" s="36">
        <v>1723</v>
      </c>
      <c r="B1678" s="37">
        <v>43556</v>
      </c>
      <c r="C1678" s="36"/>
      <c r="D1678" s="36"/>
      <c r="E1678" s="36" t="s">
        <v>7</v>
      </c>
      <c r="F1678" s="38">
        <v>5626057.5000000009</v>
      </c>
      <c r="G1678" s="36" t="s">
        <v>8</v>
      </c>
      <c r="H1678" s="36" t="s">
        <v>8</v>
      </c>
      <c r="I1678" s="36"/>
      <c r="J1678" s="36"/>
    </row>
    <row r="1679" spans="1:10" x14ac:dyDescent="0.25">
      <c r="A1679" s="36">
        <v>1723</v>
      </c>
      <c r="B1679" s="37">
        <v>43586</v>
      </c>
      <c r="C1679" s="36"/>
      <c r="D1679" s="36"/>
      <c r="E1679" s="36" t="s">
        <v>7</v>
      </c>
      <c r="F1679" s="38">
        <v>5626057.5000000009</v>
      </c>
      <c r="G1679" s="36" t="s">
        <v>8</v>
      </c>
      <c r="H1679" s="36" t="s">
        <v>8</v>
      </c>
      <c r="I1679" s="36"/>
      <c r="J1679" s="36"/>
    </row>
    <row r="1680" spans="1:10" x14ac:dyDescent="0.25">
      <c r="A1680" s="36">
        <v>1723</v>
      </c>
      <c r="B1680" s="37">
        <v>43617</v>
      </c>
      <c r="C1680" s="36"/>
      <c r="D1680" s="36"/>
      <c r="E1680" s="36" t="s">
        <v>7</v>
      </c>
      <c r="F1680" s="38">
        <v>5626057.5000000009</v>
      </c>
      <c r="G1680" s="36" t="s">
        <v>8</v>
      </c>
      <c r="H1680" s="36" t="s">
        <v>8</v>
      </c>
      <c r="I1680" s="36"/>
      <c r="J1680" s="36"/>
    </row>
    <row r="1681" spans="1:10" x14ac:dyDescent="0.25">
      <c r="A1681" s="36">
        <v>1723</v>
      </c>
      <c r="B1681" s="37">
        <v>43466</v>
      </c>
      <c r="C1681" s="36"/>
      <c r="D1681" s="36"/>
      <c r="E1681" s="36" t="s">
        <v>113</v>
      </c>
      <c r="F1681" s="38">
        <v>10418625.000000002</v>
      </c>
      <c r="G1681" s="36" t="s">
        <v>8</v>
      </c>
      <c r="H1681" s="36" t="s">
        <v>8</v>
      </c>
      <c r="I1681" s="36"/>
      <c r="J1681" s="36"/>
    </row>
    <row r="1682" spans="1:10" x14ac:dyDescent="0.25">
      <c r="A1682" s="36">
        <v>1723</v>
      </c>
      <c r="B1682" s="37">
        <v>43497</v>
      </c>
      <c r="C1682" s="36"/>
      <c r="D1682" s="36"/>
      <c r="E1682" s="36" t="s">
        <v>113</v>
      </c>
      <c r="F1682" s="38">
        <v>10418625.000000002</v>
      </c>
      <c r="G1682" s="36" t="s">
        <v>8</v>
      </c>
      <c r="H1682" s="36" t="s">
        <v>8</v>
      </c>
      <c r="I1682" s="36"/>
      <c r="J1682" s="36"/>
    </row>
    <row r="1683" spans="1:10" x14ac:dyDescent="0.25">
      <c r="A1683" s="36">
        <v>1723</v>
      </c>
      <c r="B1683" s="37">
        <v>43525</v>
      </c>
      <c r="C1683" s="36"/>
      <c r="D1683" s="36"/>
      <c r="E1683" s="36" t="s">
        <v>113</v>
      </c>
      <c r="F1683" s="38">
        <v>10418625.000000002</v>
      </c>
      <c r="G1683" s="36" t="s">
        <v>8</v>
      </c>
      <c r="H1683" s="36" t="s">
        <v>8</v>
      </c>
      <c r="I1683" s="36"/>
      <c r="J1683" s="36"/>
    </row>
    <row r="1684" spans="1:10" x14ac:dyDescent="0.25">
      <c r="A1684" s="36">
        <v>1723</v>
      </c>
      <c r="B1684" s="37">
        <v>43556</v>
      </c>
      <c r="C1684" s="36"/>
      <c r="D1684" s="36"/>
      <c r="E1684" s="36" t="s">
        <v>113</v>
      </c>
      <c r="F1684" s="38">
        <v>10418625.000000002</v>
      </c>
      <c r="G1684" s="36" t="s">
        <v>8</v>
      </c>
      <c r="H1684" s="36" t="s">
        <v>8</v>
      </c>
      <c r="I1684" s="36"/>
      <c r="J1684" s="36"/>
    </row>
    <row r="1685" spans="1:10" x14ac:dyDescent="0.25">
      <c r="A1685" s="36">
        <v>1723</v>
      </c>
      <c r="B1685" s="37">
        <v>43586</v>
      </c>
      <c r="C1685" s="36"/>
      <c r="D1685" s="36"/>
      <c r="E1685" s="36" t="s">
        <v>113</v>
      </c>
      <c r="F1685" s="38">
        <v>10418625.000000002</v>
      </c>
      <c r="G1685" s="36" t="s">
        <v>8</v>
      </c>
      <c r="H1685" s="36" t="s">
        <v>8</v>
      </c>
      <c r="I1685" s="36"/>
      <c r="J1685" s="36"/>
    </row>
    <row r="1686" spans="1:10" x14ac:dyDescent="0.25">
      <c r="A1686" s="36">
        <v>1723</v>
      </c>
      <c r="B1686" s="37">
        <v>43617</v>
      </c>
      <c r="C1686" s="36"/>
      <c r="D1686" s="36"/>
      <c r="E1686" s="36" t="s">
        <v>113</v>
      </c>
      <c r="F1686" s="38">
        <v>10418625.000000002</v>
      </c>
      <c r="G1686" s="36" t="s">
        <v>8</v>
      </c>
      <c r="H1686" s="36" t="s">
        <v>8</v>
      </c>
      <c r="I1686" s="36"/>
      <c r="J1686" s="36"/>
    </row>
    <row r="1687" spans="1:10" x14ac:dyDescent="0.25">
      <c r="A1687" s="36">
        <v>1723</v>
      </c>
      <c r="B1687" s="37">
        <v>43466</v>
      </c>
      <c r="C1687" s="36"/>
      <c r="D1687" s="36"/>
      <c r="E1687" s="36" t="s">
        <v>114</v>
      </c>
      <c r="F1687" s="38">
        <v>887666.85000000009</v>
      </c>
      <c r="G1687" s="36" t="s">
        <v>8</v>
      </c>
      <c r="H1687" s="36" t="s">
        <v>8</v>
      </c>
      <c r="I1687" s="36"/>
      <c r="J1687" s="36"/>
    </row>
    <row r="1688" spans="1:10" x14ac:dyDescent="0.25">
      <c r="A1688" s="36">
        <v>1723</v>
      </c>
      <c r="B1688" s="37">
        <v>43497</v>
      </c>
      <c r="C1688" s="36"/>
      <c r="D1688" s="36"/>
      <c r="E1688" s="36" t="s">
        <v>114</v>
      </c>
      <c r="F1688" s="38">
        <v>887666.85000000009</v>
      </c>
      <c r="G1688" s="36" t="s">
        <v>8</v>
      </c>
      <c r="H1688" s="36" t="s">
        <v>8</v>
      </c>
      <c r="I1688" s="36"/>
      <c r="J1688" s="36"/>
    </row>
    <row r="1689" spans="1:10" x14ac:dyDescent="0.25">
      <c r="A1689" s="36">
        <v>1723</v>
      </c>
      <c r="B1689" s="37">
        <v>43525</v>
      </c>
      <c r="C1689" s="36"/>
      <c r="D1689" s="36"/>
      <c r="E1689" s="36" t="s">
        <v>114</v>
      </c>
      <c r="F1689" s="38">
        <v>887666.85000000009</v>
      </c>
      <c r="G1689" s="36" t="s">
        <v>8</v>
      </c>
      <c r="H1689" s="36" t="s">
        <v>8</v>
      </c>
      <c r="I1689" s="36"/>
      <c r="J1689" s="36"/>
    </row>
    <row r="1690" spans="1:10" x14ac:dyDescent="0.25">
      <c r="A1690" s="36">
        <v>1723</v>
      </c>
      <c r="B1690" s="37">
        <v>43556</v>
      </c>
      <c r="C1690" s="36"/>
      <c r="D1690" s="36"/>
      <c r="E1690" s="36" t="s">
        <v>114</v>
      </c>
      <c r="F1690" s="38">
        <v>887666.85000000009</v>
      </c>
      <c r="G1690" s="36" t="s">
        <v>8</v>
      </c>
      <c r="H1690" s="36" t="s">
        <v>8</v>
      </c>
      <c r="I1690" s="36"/>
      <c r="J1690" s="36"/>
    </row>
    <row r="1691" spans="1:10" x14ac:dyDescent="0.25">
      <c r="A1691" s="36">
        <v>1723</v>
      </c>
      <c r="B1691" s="37">
        <v>43586</v>
      </c>
      <c r="C1691" s="36"/>
      <c r="D1691" s="36"/>
      <c r="E1691" s="36" t="s">
        <v>114</v>
      </c>
      <c r="F1691" s="38">
        <v>887666.85000000009</v>
      </c>
      <c r="G1691" s="36" t="s">
        <v>8</v>
      </c>
      <c r="H1691" s="36" t="s">
        <v>8</v>
      </c>
      <c r="I1691" s="36"/>
      <c r="J1691" s="36"/>
    </row>
    <row r="1692" spans="1:10" x14ac:dyDescent="0.25">
      <c r="A1692" s="36">
        <v>1723</v>
      </c>
      <c r="B1692" s="37">
        <v>43617</v>
      </c>
      <c r="C1692" s="36"/>
      <c r="D1692" s="36"/>
      <c r="E1692" s="36" t="s">
        <v>114</v>
      </c>
      <c r="F1692" s="38">
        <v>887666.85000000009</v>
      </c>
      <c r="G1692" s="36" t="s">
        <v>8</v>
      </c>
      <c r="H1692" s="36" t="s">
        <v>8</v>
      </c>
      <c r="I1692" s="36"/>
      <c r="J1692" s="36"/>
    </row>
    <row r="1693" spans="1:10" x14ac:dyDescent="0.25">
      <c r="A1693" s="36">
        <v>1723</v>
      </c>
      <c r="B1693" s="37">
        <v>43466</v>
      </c>
      <c r="C1693" s="36"/>
      <c r="D1693" s="36"/>
      <c r="E1693" s="36" t="s">
        <v>65</v>
      </c>
      <c r="F1693" s="38">
        <v>4514737.5000000009</v>
      </c>
      <c r="G1693" s="36" t="s">
        <v>8</v>
      </c>
      <c r="H1693" s="36" t="s">
        <v>8</v>
      </c>
      <c r="I1693" s="36"/>
      <c r="J1693" s="36"/>
    </row>
    <row r="1694" spans="1:10" x14ac:dyDescent="0.25">
      <c r="A1694" s="36">
        <v>1723</v>
      </c>
      <c r="B1694" s="37">
        <v>43497</v>
      </c>
      <c r="C1694" s="36"/>
      <c r="D1694" s="36"/>
      <c r="E1694" s="36" t="s">
        <v>65</v>
      </c>
      <c r="F1694" s="38">
        <v>4514737.5000000009</v>
      </c>
      <c r="G1694" s="36" t="s">
        <v>8</v>
      </c>
      <c r="H1694" s="36" t="s">
        <v>8</v>
      </c>
      <c r="I1694" s="36"/>
      <c r="J1694" s="36"/>
    </row>
    <row r="1695" spans="1:10" x14ac:dyDescent="0.25">
      <c r="A1695" s="36">
        <v>1723</v>
      </c>
      <c r="B1695" s="37">
        <v>43525</v>
      </c>
      <c r="C1695" s="36"/>
      <c r="D1695" s="36"/>
      <c r="E1695" s="36" t="s">
        <v>65</v>
      </c>
      <c r="F1695" s="38">
        <v>4514737.5000000009</v>
      </c>
      <c r="G1695" s="36" t="s">
        <v>8</v>
      </c>
      <c r="H1695" s="36" t="s">
        <v>8</v>
      </c>
      <c r="I1695" s="36"/>
      <c r="J1695" s="36"/>
    </row>
    <row r="1696" spans="1:10" x14ac:dyDescent="0.25">
      <c r="A1696" s="36">
        <v>1723</v>
      </c>
      <c r="B1696" s="37">
        <v>43556</v>
      </c>
      <c r="C1696" s="36"/>
      <c r="D1696" s="36"/>
      <c r="E1696" s="36" t="s">
        <v>65</v>
      </c>
      <c r="F1696" s="38">
        <v>4514737.5000000009</v>
      </c>
      <c r="G1696" s="36" t="s">
        <v>8</v>
      </c>
      <c r="H1696" s="36" t="s">
        <v>8</v>
      </c>
      <c r="I1696" s="36"/>
      <c r="J1696" s="36"/>
    </row>
    <row r="1697" spans="1:10" x14ac:dyDescent="0.25">
      <c r="A1697" s="36">
        <v>1723</v>
      </c>
      <c r="B1697" s="37">
        <v>43586</v>
      </c>
      <c r="C1697" s="36"/>
      <c r="D1697" s="36"/>
      <c r="E1697" s="36" t="s">
        <v>65</v>
      </c>
      <c r="F1697" s="38">
        <v>4514737.5000000009</v>
      </c>
      <c r="G1697" s="36" t="s">
        <v>8</v>
      </c>
      <c r="H1697" s="36" t="s">
        <v>8</v>
      </c>
      <c r="I1697" s="36"/>
      <c r="J1697" s="36"/>
    </row>
    <row r="1698" spans="1:10" x14ac:dyDescent="0.25">
      <c r="A1698" s="36">
        <v>1723</v>
      </c>
      <c r="B1698" s="37">
        <v>43617</v>
      </c>
      <c r="C1698" s="36"/>
      <c r="D1698" s="36"/>
      <c r="E1698" s="36" t="s">
        <v>65</v>
      </c>
      <c r="F1698" s="38">
        <v>4514737.5000000009</v>
      </c>
      <c r="G1698" s="36" t="s">
        <v>8</v>
      </c>
      <c r="H1698" s="36" t="s">
        <v>8</v>
      </c>
      <c r="I1698" s="36"/>
      <c r="J1698" s="36"/>
    </row>
    <row r="1699" spans="1:10" x14ac:dyDescent="0.25">
      <c r="A1699" s="36">
        <v>1723</v>
      </c>
      <c r="B1699" s="37">
        <v>43466</v>
      </c>
      <c r="C1699" s="36"/>
      <c r="D1699" s="36"/>
      <c r="E1699" s="36" t="s">
        <v>11</v>
      </c>
      <c r="F1699" s="38">
        <v>2448376.8750000005</v>
      </c>
      <c r="G1699" s="36" t="s">
        <v>8</v>
      </c>
      <c r="H1699" s="36" t="s">
        <v>8</v>
      </c>
      <c r="I1699" s="36"/>
      <c r="J1699" s="36"/>
    </row>
    <row r="1700" spans="1:10" x14ac:dyDescent="0.25">
      <c r="A1700" s="36">
        <v>1723</v>
      </c>
      <c r="B1700" s="37">
        <v>43497</v>
      </c>
      <c r="C1700" s="36"/>
      <c r="D1700" s="36"/>
      <c r="E1700" s="36" t="s">
        <v>11</v>
      </c>
      <c r="F1700" s="38">
        <v>2448376.8750000005</v>
      </c>
      <c r="G1700" s="36" t="s">
        <v>8</v>
      </c>
      <c r="H1700" s="36" t="s">
        <v>8</v>
      </c>
      <c r="I1700" s="36"/>
      <c r="J1700" s="36"/>
    </row>
    <row r="1701" spans="1:10" x14ac:dyDescent="0.25">
      <c r="A1701" s="36">
        <v>1723</v>
      </c>
      <c r="B1701" s="37">
        <v>43525</v>
      </c>
      <c r="C1701" s="36"/>
      <c r="D1701" s="36"/>
      <c r="E1701" s="36" t="s">
        <v>11</v>
      </c>
      <c r="F1701" s="38">
        <v>2448376.8750000005</v>
      </c>
      <c r="G1701" s="36" t="s">
        <v>8</v>
      </c>
      <c r="H1701" s="36" t="s">
        <v>8</v>
      </c>
      <c r="I1701" s="36"/>
      <c r="J1701" s="36"/>
    </row>
    <row r="1702" spans="1:10" x14ac:dyDescent="0.25">
      <c r="A1702" s="36">
        <v>1723</v>
      </c>
      <c r="B1702" s="37">
        <v>43556</v>
      </c>
      <c r="C1702" s="36"/>
      <c r="D1702" s="36"/>
      <c r="E1702" s="36" t="s">
        <v>11</v>
      </c>
      <c r="F1702" s="38">
        <v>2448376.8750000005</v>
      </c>
      <c r="G1702" s="36" t="s">
        <v>8</v>
      </c>
      <c r="H1702" s="36" t="s">
        <v>8</v>
      </c>
      <c r="I1702" s="36"/>
      <c r="J1702" s="36"/>
    </row>
    <row r="1703" spans="1:10" x14ac:dyDescent="0.25">
      <c r="A1703" s="36">
        <v>1723</v>
      </c>
      <c r="B1703" s="37">
        <v>43586</v>
      </c>
      <c r="C1703" s="36"/>
      <c r="D1703" s="36"/>
      <c r="E1703" s="36" t="s">
        <v>11</v>
      </c>
      <c r="F1703" s="38">
        <v>2448376.8750000005</v>
      </c>
      <c r="G1703" s="36" t="s">
        <v>8</v>
      </c>
      <c r="H1703" s="36" t="s">
        <v>8</v>
      </c>
      <c r="I1703" s="36"/>
      <c r="J1703" s="36"/>
    </row>
    <row r="1704" spans="1:10" x14ac:dyDescent="0.25">
      <c r="A1704" s="36">
        <v>1723</v>
      </c>
      <c r="B1704" s="37">
        <v>43617</v>
      </c>
      <c r="C1704" s="36"/>
      <c r="D1704" s="36"/>
      <c r="E1704" s="36" t="s">
        <v>11</v>
      </c>
      <c r="F1704" s="38">
        <v>2448376.8750000005</v>
      </c>
      <c r="G1704" s="36" t="s">
        <v>8</v>
      </c>
      <c r="H1704" s="36" t="s">
        <v>8</v>
      </c>
      <c r="I1704" s="36"/>
      <c r="J1704" s="36"/>
    </row>
    <row r="1705" spans="1:10" x14ac:dyDescent="0.25">
      <c r="A1705" s="36">
        <v>1723</v>
      </c>
      <c r="B1705" s="37">
        <v>43466</v>
      </c>
      <c r="C1705" s="36"/>
      <c r="D1705" s="36"/>
      <c r="E1705" s="36" t="s">
        <v>23</v>
      </c>
      <c r="F1705" s="38">
        <v>5903887.5000000009</v>
      </c>
      <c r="G1705" s="36" t="s">
        <v>8</v>
      </c>
      <c r="H1705" s="36" t="s">
        <v>8</v>
      </c>
      <c r="I1705" s="36"/>
      <c r="J1705" s="36"/>
    </row>
    <row r="1706" spans="1:10" x14ac:dyDescent="0.25">
      <c r="A1706" s="36">
        <v>1723</v>
      </c>
      <c r="B1706" s="37">
        <v>43497</v>
      </c>
      <c r="C1706" s="36"/>
      <c r="D1706" s="36"/>
      <c r="E1706" s="36" t="s">
        <v>23</v>
      </c>
      <c r="F1706" s="38">
        <v>5903887.5000000009</v>
      </c>
      <c r="G1706" s="36" t="s">
        <v>8</v>
      </c>
      <c r="H1706" s="36" t="s">
        <v>8</v>
      </c>
      <c r="I1706" s="36"/>
      <c r="J1706" s="36"/>
    </row>
    <row r="1707" spans="1:10" x14ac:dyDescent="0.25">
      <c r="A1707" s="36">
        <v>1723</v>
      </c>
      <c r="B1707" s="37">
        <v>43525</v>
      </c>
      <c r="C1707" s="36"/>
      <c r="D1707" s="36"/>
      <c r="E1707" s="36" t="s">
        <v>23</v>
      </c>
      <c r="F1707" s="38">
        <v>5903887.5000000009</v>
      </c>
      <c r="G1707" s="36" t="s">
        <v>8</v>
      </c>
      <c r="H1707" s="36" t="s">
        <v>8</v>
      </c>
      <c r="I1707" s="36"/>
      <c r="J1707" s="36"/>
    </row>
    <row r="1708" spans="1:10" x14ac:dyDescent="0.25">
      <c r="A1708" s="36">
        <v>1723</v>
      </c>
      <c r="B1708" s="37">
        <v>43556</v>
      </c>
      <c r="C1708" s="36"/>
      <c r="D1708" s="36"/>
      <c r="E1708" s="36" t="s">
        <v>23</v>
      </c>
      <c r="F1708" s="38">
        <v>5903887.5000000009</v>
      </c>
      <c r="G1708" s="36" t="s">
        <v>8</v>
      </c>
      <c r="H1708" s="36" t="s">
        <v>8</v>
      </c>
      <c r="I1708" s="36"/>
      <c r="J1708" s="36"/>
    </row>
    <row r="1709" spans="1:10" x14ac:dyDescent="0.25">
      <c r="A1709" s="36">
        <v>1723</v>
      </c>
      <c r="B1709" s="37">
        <v>43586</v>
      </c>
      <c r="C1709" s="36"/>
      <c r="D1709" s="36"/>
      <c r="E1709" s="36" t="s">
        <v>23</v>
      </c>
      <c r="F1709" s="38">
        <v>5903887.5000000009</v>
      </c>
      <c r="G1709" s="36" t="s">
        <v>8</v>
      </c>
      <c r="H1709" s="36" t="s">
        <v>8</v>
      </c>
      <c r="I1709" s="36"/>
      <c r="J1709" s="36"/>
    </row>
    <row r="1710" spans="1:10" x14ac:dyDescent="0.25">
      <c r="A1710" s="36">
        <v>1723</v>
      </c>
      <c r="B1710" s="37">
        <v>43617</v>
      </c>
      <c r="C1710" s="36"/>
      <c r="D1710" s="36"/>
      <c r="E1710" s="36" t="s">
        <v>23</v>
      </c>
      <c r="F1710" s="38">
        <v>5903887.5000000009</v>
      </c>
      <c r="G1710" s="36" t="s">
        <v>8</v>
      </c>
      <c r="H1710" s="36" t="s">
        <v>8</v>
      </c>
      <c r="I1710" s="36"/>
      <c r="J1710" s="36"/>
    </row>
    <row r="1711" spans="1:10" x14ac:dyDescent="0.25">
      <c r="A1711" s="36">
        <v>1723</v>
      </c>
      <c r="B1711" s="37">
        <v>43466</v>
      </c>
      <c r="C1711" s="36"/>
      <c r="D1711" s="36"/>
      <c r="E1711" s="36" t="s">
        <v>115</v>
      </c>
      <c r="F1711" s="38">
        <v>2604656.2500000005</v>
      </c>
      <c r="G1711" s="36" t="s">
        <v>8</v>
      </c>
      <c r="H1711" s="36" t="s">
        <v>8</v>
      </c>
      <c r="I1711" s="36"/>
      <c r="J1711" s="36"/>
    </row>
    <row r="1712" spans="1:10" x14ac:dyDescent="0.25">
      <c r="A1712" s="36">
        <v>1723</v>
      </c>
      <c r="B1712" s="37">
        <v>43497</v>
      </c>
      <c r="C1712" s="36"/>
      <c r="D1712" s="36"/>
      <c r="E1712" s="36" t="s">
        <v>115</v>
      </c>
      <c r="F1712" s="38">
        <v>2604656.2500000005</v>
      </c>
      <c r="G1712" s="36" t="s">
        <v>8</v>
      </c>
      <c r="H1712" s="36" t="s">
        <v>8</v>
      </c>
      <c r="I1712" s="36"/>
      <c r="J1712" s="36"/>
    </row>
    <row r="1713" spans="1:10" x14ac:dyDescent="0.25">
      <c r="A1713" s="36">
        <v>1723</v>
      </c>
      <c r="B1713" s="37">
        <v>43525</v>
      </c>
      <c r="C1713" s="36"/>
      <c r="D1713" s="36"/>
      <c r="E1713" s="36" t="s">
        <v>115</v>
      </c>
      <c r="F1713" s="38">
        <v>2604656.2500000005</v>
      </c>
      <c r="G1713" s="36" t="s">
        <v>8</v>
      </c>
      <c r="H1713" s="36" t="s">
        <v>8</v>
      </c>
      <c r="I1713" s="36"/>
      <c r="J1713" s="36"/>
    </row>
    <row r="1714" spans="1:10" x14ac:dyDescent="0.25">
      <c r="A1714" s="36">
        <v>1723</v>
      </c>
      <c r="B1714" s="37">
        <v>43556</v>
      </c>
      <c r="C1714" s="36"/>
      <c r="D1714" s="36"/>
      <c r="E1714" s="36" t="s">
        <v>115</v>
      </c>
      <c r="F1714" s="38">
        <v>2604656.2500000005</v>
      </c>
      <c r="G1714" s="36" t="s">
        <v>8</v>
      </c>
      <c r="H1714" s="36" t="s">
        <v>8</v>
      </c>
      <c r="I1714" s="36"/>
      <c r="J1714" s="36"/>
    </row>
    <row r="1715" spans="1:10" x14ac:dyDescent="0.25">
      <c r="A1715" s="36">
        <v>1723</v>
      </c>
      <c r="B1715" s="37">
        <v>43586</v>
      </c>
      <c r="C1715" s="36"/>
      <c r="D1715" s="36"/>
      <c r="E1715" s="36" t="s">
        <v>115</v>
      </c>
      <c r="F1715" s="38">
        <v>2604656.2500000005</v>
      </c>
      <c r="G1715" s="36" t="s">
        <v>8</v>
      </c>
      <c r="H1715" s="36" t="s">
        <v>8</v>
      </c>
      <c r="I1715" s="36"/>
      <c r="J1715" s="36"/>
    </row>
    <row r="1716" spans="1:10" x14ac:dyDescent="0.25">
      <c r="A1716" s="36">
        <v>1723</v>
      </c>
      <c r="B1716" s="37">
        <v>43617</v>
      </c>
      <c r="C1716" s="36"/>
      <c r="D1716" s="36"/>
      <c r="E1716" s="36" t="s">
        <v>115</v>
      </c>
      <c r="F1716" s="38">
        <v>2604656.2500000005</v>
      </c>
      <c r="G1716" s="36" t="s">
        <v>8</v>
      </c>
      <c r="H1716" s="36" t="s">
        <v>8</v>
      </c>
      <c r="I1716" s="36"/>
      <c r="J1716" s="36"/>
    </row>
    <row r="1717" spans="1:10" x14ac:dyDescent="0.25">
      <c r="A1717" s="36">
        <v>1723</v>
      </c>
      <c r="B1717" s="37">
        <v>43466</v>
      </c>
      <c r="C1717" s="36"/>
      <c r="D1717" s="36"/>
      <c r="E1717" s="36" t="s">
        <v>27</v>
      </c>
      <c r="F1717" s="38">
        <v>4049372.25</v>
      </c>
      <c r="G1717" s="36" t="s">
        <v>8</v>
      </c>
      <c r="H1717" s="36" t="s">
        <v>8</v>
      </c>
      <c r="I1717" s="36"/>
      <c r="J1717" s="36"/>
    </row>
    <row r="1718" spans="1:10" x14ac:dyDescent="0.25">
      <c r="A1718" s="36">
        <v>1723</v>
      </c>
      <c r="B1718" s="37">
        <v>43497</v>
      </c>
      <c r="C1718" s="36"/>
      <c r="D1718" s="36"/>
      <c r="E1718" s="36" t="s">
        <v>27</v>
      </c>
      <c r="F1718" s="38">
        <v>4049372.25</v>
      </c>
      <c r="G1718" s="36" t="s">
        <v>8</v>
      </c>
      <c r="H1718" s="36" t="s">
        <v>8</v>
      </c>
      <c r="I1718" s="36"/>
      <c r="J1718" s="36"/>
    </row>
    <row r="1719" spans="1:10" x14ac:dyDescent="0.25">
      <c r="A1719" s="36">
        <v>1723</v>
      </c>
      <c r="B1719" s="37">
        <v>43525</v>
      </c>
      <c r="C1719" s="36"/>
      <c r="D1719" s="36"/>
      <c r="E1719" s="36" t="s">
        <v>27</v>
      </c>
      <c r="F1719" s="38">
        <v>4049372.25</v>
      </c>
      <c r="G1719" s="36" t="s">
        <v>8</v>
      </c>
      <c r="H1719" s="36" t="s">
        <v>8</v>
      </c>
      <c r="I1719" s="36"/>
      <c r="J1719" s="36"/>
    </row>
    <row r="1720" spans="1:10" x14ac:dyDescent="0.25">
      <c r="A1720" s="36">
        <v>1723</v>
      </c>
      <c r="B1720" s="37">
        <v>43556</v>
      </c>
      <c r="C1720" s="36"/>
      <c r="D1720" s="36"/>
      <c r="E1720" s="36" t="s">
        <v>27</v>
      </c>
      <c r="F1720" s="38">
        <v>4049372.25</v>
      </c>
      <c r="G1720" s="36" t="s">
        <v>8</v>
      </c>
      <c r="H1720" s="36" t="s">
        <v>8</v>
      </c>
      <c r="I1720" s="36"/>
      <c r="J1720" s="36"/>
    </row>
    <row r="1721" spans="1:10" x14ac:dyDescent="0.25">
      <c r="A1721" s="36">
        <v>1723</v>
      </c>
      <c r="B1721" s="37">
        <v>43586</v>
      </c>
      <c r="C1721" s="36"/>
      <c r="D1721" s="36"/>
      <c r="E1721" s="36" t="s">
        <v>27</v>
      </c>
      <c r="F1721" s="38">
        <v>4049372.25</v>
      </c>
      <c r="G1721" s="36" t="s">
        <v>8</v>
      </c>
      <c r="H1721" s="36" t="s">
        <v>8</v>
      </c>
      <c r="I1721" s="36"/>
      <c r="J1721" s="36"/>
    </row>
    <row r="1722" spans="1:10" x14ac:dyDescent="0.25">
      <c r="A1722" s="36">
        <v>1723</v>
      </c>
      <c r="B1722" s="37">
        <v>43617</v>
      </c>
      <c r="C1722" s="36"/>
      <c r="D1722" s="36"/>
      <c r="E1722" s="36" t="s">
        <v>27</v>
      </c>
      <c r="F1722" s="38">
        <v>4049372.25</v>
      </c>
      <c r="G1722" s="36" t="s">
        <v>8</v>
      </c>
      <c r="H1722" s="36" t="s">
        <v>8</v>
      </c>
      <c r="I1722" s="36"/>
      <c r="J1722" s="36"/>
    </row>
    <row r="1723" spans="1:10" x14ac:dyDescent="0.25">
      <c r="A1723" s="36">
        <v>1723</v>
      </c>
      <c r="B1723" s="37">
        <v>43466</v>
      </c>
      <c r="C1723" s="36"/>
      <c r="D1723" s="36"/>
      <c r="E1723" s="36" t="s">
        <v>116</v>
      </c>
      <c r="F1723" s="38">
        <v>3718059.9750000001</v>
      </c>
      <c r="G1723" s="36" t="s">
        <v>8</v>
      </c>
      <c r="H1723" s="36" t="s">
        <v>8</v>
      </c>
      <c r="I1723" s="36"/>
      <c r="J1723" s="36"/>
    </row>
    <row r="1724" spans="1:10" x14ac:dyDescent="0.25">
      <c r="A1724" s="36">
        <v>1723</v>
      </c>
      <c r="B1724" s="37">
        <v>43497</v>
      </c>
      <c r="C1724" s="36"/>
      <c r="D1724" s="36"/>
      <c r="E1724" s="36" t="s">
        <v>116</v>
      </c>
      <c r="F1724" s="38">
        <v>3718059.9750000001</v>
      </c>
      <c r="G1724" s="36" t="s">
        <v>8</v>
      </c>
      <c r="H1724" s="36" t="s">
        <v>8</v>
      </c>
      <c r="I1724" s="36"/>
      <c r="J1724" s="36"/>
    </row>
    <row r="1725" spans="1:10" x14ac:dyDescent="0.25">
      <c r="A1725" s="36">
        <v>1723</v>
      </c>
      <c r="B1725" s="37">
        <v>43525</v>
      </c>
      <c r="C1725" s="36"/>
      <c r="D1725" s="36"/>
      <c r="E1725" s="36" t="s">
        <v>116</v>
      </c>
      <c r="F1725" s="38">
        <v>3718059.9750000001</v>
      </c>
      <c r="G1725" s="36" t="s">
        <v>8</v>
      </c>
      <c r="H1725" s="36" t="s">
        <v>8</v>
      </c>
      <c r="I1725" s="36"/>
      <c r="J1725" s="36"/>
    </row>
    <row r="1726" spans="1:10" x14ac:dyDescent="0.25">
      <c r="A1726" s="36">
        <v>1723</v>
      </c>
      <c r="B1726" s="37">
        <v>43556</v>
      </c>
      <c r="C1726" s="36"/>
      <c r="D1726" s="36"/>
      <c r="E1726" s="36" t="s">
        <v>116</v>
      </c>
      <c r="F1726" s="38">
        <v>3718059.9750000001</v>
      </c>
      <c r="G1726" s="36" t="s">
        <v>8</v>
      </c>
      <c r="H1726" s="36" t="s">
        <v>8</v>
      </c>
      <c r="I1726" s="36"/>
      <c r="J1726" s="36"/>
    </row>
    <row r="1727" spans="1:10" x14ac:dyDescent="0.25">
      <c r="A1727" s="36">
        <v>1723</v>
      </c>
      <c r="B1727" s="37">
        <v>43586</v>
      </c>
      <c r="C1727" s="36"/>
      <c r="D1727" s="36"/>
      <c r="E1727" s="36" t="s">
        <v>116</v>
      </c>
      <c r="F1727" s="38">
        <v>3718059.9750000001</v>
      </c>
      <c r="G1727" s="36" t="s">
        <v>8</v>
      </c>
      <c r="H1727" s="36" t="s">
        <v>8</v>
      </c>
      <c r="I1727" s="36"/>
      <c r="J1727" s="36"/>
    </row>
    <row r="1728" spans="1:10" x14ac:dyDescent="0.25">
      <c r="A1728" s="36">
        <v>1723</v>
      </c>
      <c r="B1728" s="37">
        <v>43617</v>
      </c>
      <c r="C1728" s="36"/>
      <c r="D1728" s="36"/>
      <c r="E1728" s="36" t="s">
        <v>116</v>
      </c>
      <c r="F1728" s="38">
        <v>3718059.9750000001</v>
      </c>
      <c r="G1728" s="36" t="s">
        <v>8</v>
      </c>
      <c r="H1728" s="36" t="s">
        <v>8</v>
      </c>
      <c r="I1728" s="36"/>
      <c r="J1728" s="36"/>
    </row>
    <row r="1729" spans="1:10" x14ac:dyDescent="0.25">
      <c r="A1729" s="36">
        <v>1723</v>
      </c>
      <c r="B1729" s="37">
        <v>43466</v>
      </c>
      <c r="C1729" s="36"/>
      <c r="D1729" s="36"/>
      <c r="E1729" s="36" t="s">
        <v>117</v>
      </c>
      <c r="F1729" s="38">
        <v>3718059.9750000001</v>
      </c>
      <c r="G1729" s="36" t="s">
        <v>8</v>
      </c>
      <c r="H1729" s="36" t="s">
        <v>8</v>
      </c>
      <c r="I1729" s="36"/>
      <c r="J1729" s="36"/>
    </row>
    <row r="1730" spans="1:10" x14ac:dyDescent="0.25">
      <c r="A1730" s="36">
        <v>1723</v>
      </c>
      <c r="B1730" s="37">
        <v>43497</v>
      </c>
      <c r="C1730" s="36"/>
      <c r="D1730" s="36"/>
      <c r="E1730" s="36" t="s">
        <v>117</v>
      </c>
      <c r="F1730" s="38">
        <v>3718059.9750000001</v>
      </c>
      <c r="G1730" s="36" t="s">
        <v>8</v>
      </c>
      <c r="H1730" s="36" t="s">
        <v>8</v>
      </c>
      <c r="I1730" s="36"/>
      <c r="J1730" s="36"/>
    </row>
    <row r="1731" spans="1:10" x14ac:dyDescent="0.25">
      <c r="A1731" s="36">
        <v>1723</v>
      </c>
      <c r="B1731" s="37">
        <v>43525</v>
      </c>
      <c r="C1731" s="36"/>
      <c r="D1731" s="36"/>
      <c r="E1731" s="36" t="s">
        <v>117</v>
      </c>
      <c r="F1731" s="38">
        <v>3718059.9750000001</v>
      </c>
      <c r="G1731" s="36" t="s">
        <v>8</v>
      </c>
      <c r="H1731" s="36" t="s">
        <v>8</v>
      </c>
      <c r="I1731" s="36"/>
      <c r="J1731" s="36"/>
    </row>
    <row r="1732" spans="1:10" x14ac:dyDescent="0.25">
      <c r="A1732" s="36">
        <v>1723</v>
      </c>
      <c r="B1732" s="37">
        <v>43556</v>
      </c>
      <c r="C1732" s="36"/>
      <c r="D1732" s="36"/>
      <c r="E1732" s="36" t="s">
        <v>117</v>
      </c>
      <c r="F1732" s="38">
        <v>3718059.9750000001</v>
      </c>
      <c r="G1732" s="36" t="s">
        <v>8</v>
      </c>
      <c r="H1732" s="36" t="s">
        <v>8</v>
      </c>
      <c r="I1732" s="36"/>
      <c r="J1732" s="36"/>
    </row>
    <row r="1733" spans="1:10" x14ac:dyDescent="0.25">
      <c r="A1733" s="36">
        <v>1723</v>
      </c>
      <c r="B1733" s="37">
        <v>43586</v>
      </c>
      <c r="C1733" s="36"/>
      <c r="D1733" s="36"/>
      <c r="E1733" s="36" t="s">
        <v>117</v>
      </c>
      <c r="F1733" s="38">
        <v>3718059.9750000001</v>
      </c>
      <c r="G1733" s="36" t="s">
        <v>8</v>
      </c>
      <c r="H1733" s="36" t="s">
        <v>8</v>
      </c>
      <c r="I1733" s="36"/>
      <c r="J1733" s="36"/>
    </row>
    <row r="1734" spans="1:10" x14ac:dyDescent="0.25">
      <c r="A1734" s="36">
        <v>1723</v>
      </c>
      <c r="B1734" s="37">
        <v>43617</v>
      </c>
      <c r="C1734" s="36"/>
      <c r="D1734" s="36"/>
      <c r="E1734" s="36" t="s">
        <v>117</v>
      </c>
      <c r="F1734" s="38">
        <v>3718059.9750000001</v>
      </c>
      <c r="G1734" s="36" t="s">
        <v>8</v>
      </c>
      <c r="H1734" s="36" t="s">
        <v>8</v>
      </c>
      <c r="I1734" s="36"/>
      <c r="J1734" s="36"/>
    </row>
    <row r="1735" spans="1:10" x14ac:dyDescent="0.25">
      <c r="A1735" s="36">
        <v>1723</v>
      </c>
      <c r="B1735" s="37">
        <v>43466</v>
      </c>
      <c r="C1735" s="36"/>
      <c r="D1735" s="36"/>
      <c r="E1735" s="36" t="s">
        <v>18</v>
      </c>
      <c r="F1735" s="38">
        <v>4049372.25</v>
      </c>
      <c r="G1735" s="36" t="s">
        <v>8</v>
      </c>
      <c r="H1735" s="36" t="s">
        <v>8</v>
      </c>
      <c r="I1735" s="36"/>
      <c r="J1735" s="36"/>
    </row>
    <row r="1736" spans="1:10" x14ac:dyDescent="0.25">
      <c r="A1736" s="36">
        <v>1723</v>
      </c>
      <c r="B1736" s="37">
        <v>43497</v>
      </c>
      <c r="C1736" s="36"/>
      <c r="D1736" s="36"/>
      <c r="E1736" s="36" t="s">
        <v>18</v>
      </c>
      <c r="F1736" s="38">
        <v>4049372.25</v>
      </c>
      <c r="G1736" s="36" t="s">
        <v>8</v>
      </c>
      <c r="H1736" s="36" t="s">
        <v>8</v>
      </c>
      <c r="I1736" s="36"/>
      <c r="J1736" s="36"/>
    </row>
    <row r="1737" spans="1:10" x14ac:dyDescent="0.25">
      <c r="A1737" s="36">
        <v>1723</v>
      </c>
      <c r="B1737" s="37">
        <v>43525</v>
      </c>
      <c r="C1737" s="36"/>
      <c r="D1737" s="36"/>
      <c r="E1737" s="36" t="s">
        <v>18</v>
      </c>
      <c r="F1737" s="38">
        <v>4049372.25</v>
      </c>
      <c r="G1737" s="36" t="s">
        <v>8</v>
      </c>
      <c r="H1737" s="36" t="s">
        <v>8</v>
      </c>
      <c r="I1737" s="36"/>
      <c r="J1737" s="36"/>
    </row>
    <row r="1738" spans="1:10" x14ac:dyDescent="0.25">
      <c r="A1738" s="36">
        <v>1723</v>
      </c>
      <c r="B1738" s="37">
        <v>43556</v>
      </c>
      <c r="C1738" s="36"/>
      <c r="D1738" s="36"/>
      <c r="E1738" s="36" t="s">
        <v>18</v>
      </c>
      <c r="F1738" s="38">
        <v>4049372.25</v>
      </c>
      <c r="G1738" s="36" t="s">
        <v>8</v>
      </c>
      <c r="H1738" s="36" t="s">
        <v>8</v>
      </c>
      <c r="I1738" s="36"/>
      <c r="J1738" s="36"/>
    </row>
    <row r="1739" spans="1:10" x14ac:dyDescent="0.25">
      <c r="A1739" s="36">
        <v>1723</v>
      </c>
      <c r="B1739" s="37">
        <v>43586</v>
      </c>
      <c r="C1739" s="36"/>
      <c r="D1739" s="36"/>
      <c r="E1739" s="36" t="s">
        <v>18</v>
      </c>
      <c r="F1739" s="38">
        <v>4049372.25</v>
      </c>
      <c r="G1739" s="36" t="s">
        <v>8</v>
      </c>
      <c r="H1739" s="36" t="s">
        <v>8</v>
      </c>
      <c r="I1739" s="36"/>
      <c r="J1739" s="36"/>
    </row>
    <row r="1740" spans="1:10" x14ac:dyDescent="0.25">
      <c r="A1740" s="36">
        <v>1723</v>
      </c>
      <c r="B1740" s="37">
        <v>43617</v>
      </c>
      <c r="C1740" s="36"/>
      <c r="D1740" s="36"/>
      <c r="E1740" s="36" t="s">
        <v>18</v>
      </c>
      <c r="F1740" s="38">
        <v>4049372.25</v>
      </c>
      <c r="G1740" s="36" t="s">
        <v>8</v>
      </c>
      <c r="H1740" s="36" t="s">
        <v>8</v>
      </c>
      <c r="I1740" s="36"/>
      <c r="J1740" s="36"/>
    </row>
    <row r="1741" spans="1:10" x14ac:dyDescent="0.25">
      <c r="A1741" s="36">
        <v>1723</v>
      </c>
      <c r="B1741" s="37">
        <v>43466</v>
      </c>
      <c r="C1741" s="36"/>
      <c r="D1741" s="36"/>
      <c r="E1741" s="36" t="s">
        <v>118</v>
      </c>
      <c r="F1741" s="38">
        <v>6221250</v>
      </c>
      <c r="G1741" s="36" t="s">
        <v>8</v>
      </c>
      <c r="H1741" s="36" t="s">
        <v>8</v>
      </c>
      <c r="I1741" s="36"/>
      <c r="J1741" s="36"/>
    </row>
    <row r="1742" spans="1:10" x14ac:dyDescent="0.25">
      <c r="A1742" s="36">
        <v>1723</v>
      </c>
      <c r="B1742" s="37">
        <v>43497</v>
      </c>
      <c r="C1742" s="36"/>
      <c r="D1742" s="36"/>
      <c r="E1742" s="36" t="s">
        <v>118</v>
      </c>
      <c r="F1742" s="38">
        <v>6221250</v>
      </c>
      <c r="G1742" s="36" t="s">
        <v>8</v>
      </c>
      <c r="H1742" s="36" t="s">
        <v>8</v>
      </c>
      <c r="I1742" s="36"/>
      <c r="J1742" s="36"/>
    </row>
    <row r="1743" spans="1:10" x14ac:dyDescent="0.25">
      <c r="A1743" s="36">
        <v>1723</v>
      </c>
      <c r="B1743" s="37">
        <v>43466</v>
      </c>
      <c r="C1743" s="36"/>
      <c r="D1743" s="36"/>
      <c r="E1743" s="36" t="s">
        <v>119</v>
      </c>
      <c r="F1743" s="38">
        <v>6221250</v>
      </c>
      <c r="G1743" s="36" t="s">
        <v>8</v>
      </c>
      <c r="H1743" s="36" t="s">
        <v>8</v>
      </c>
      <c r="I1743" s="36"/>
      <c r="J1743" s="36"/>
    </row>
    <row r="1744" spans="1:10" x14ac:dyDescent="0.25">
      <c r="A1744" s="36">
        <v>1723</v>
      </c>
      <c r="B1744" s="37">
        <v>43497</v>
      </c>
      <c r="C1744" s="36"/>
      <c r="D1744" s="36"/>
      <c r="E1744" s="36" t="s">
        <v>119</v>
      </c>
      <c r="F1744" s="38">
        <v>6221250</v>
      </c>
      <c r="G1744" s="36" t="s">
        <v>8</v>
      </c>
      <c r="H1744" s="36" t="s">
        <v>8</v>
      </c>
      <c r="I1744" s="36"/>
      <c r="J1744" s="36"/>
    </row>
    <row r="1745" spans="1:10" x14ac:dyDescent="0.25">
      <c r="A1745" s="36">
        <v>1723</v>
      </c>
      <c r="B1745" s="37">
        <v>43525</v>
      </c>
      <c r="C1745" s="36"/>
      <c r="D1745" s="36"/>
      <c r="E1745" s="36" t="s">
        <v>119</v>
      </c>
      <c r="F1745" s="38">
        <v>6221250</v>
      </c>
      <c r="G1745" s="36" t="s">
        <v>8</v>
      </c>
      <c r="H1745" s="36" t="s">
        <v>8</v>
      </c>
      <c r="I1745" s="36"/>
      <c r="J1745" s="36"/>
    </row>
    <row r="1746" spans="1:10" x14ac:dyDescent="0.25">
      <c r="A1746" s="36">
        <v>1723</v>
      </c>
      <c r="B1746" s="37">
        <v>43556</v>
      </c>
      <c r="C1746" s="36"/>
      <c r="D1746" s="36"/>
      <c r="E1746" s="36" t="s">
        <v>119</v>
      </c>
      <c r="F1746" s="38">
        <v>6221250</v>
      </c>
      <c r="G1746" s="36" t="s">
        <v>8</v>
      </c>
      <c r="H1746" s="36" t="s">
        <v>8</v>
      </c>
      <c r="I1746" s="36"/>
      <c r="J1746" s="36"/>
    </row>
    <row r="1747" spans="1:10" x14ac:dyDescent="0.25">
      <c r="A1747" s="36">
        <v>1723</v>
      </c>
      <c r="B1747" s="37">
        <v>43466</v>
      </c>
      <c r="C1747" s="36"/>
      <c r="D1747" s="36"/>
      <c r="E1747" s="36" t="s">
        <v>120</v>
      </c>
      <c r="F1747" s="38">
        <v>6221250</v>
      </c>
      <c r="G1747" s="36" t="s">
        <v>8</v>
      </c>
      <c r="H1747" s="36" t="s">
        <v>8</v>
      </c>
      <c r="I1747" s="36"/>
      <c r="J1747" s="36"/>
    </row>
    <row r="1748" spans="1:10" x14ac:dyDescent="0.25">
      <c r="A1748" s="36">
        <v>1723</v>
      </c>
      <c r="B1748" s="37">
        <v>43466</v>
      </c>
      <c r="C1748" s="36"/>
      <c r="D1748" s="36"/>
      <c r="E1748" s="36" t="s">
        <v>121</v>
      </c>
      <c r="F1748" s="38">
        <v>4123664.9999999995</v>
      </c>
      <c r="G1748" s="36" t="s">
        <v>8</v>
      </c>
      <c r="H1748" s="36" t="s">
        <v>8</v>
      </c>
      <c r="I1748" s="36"/>
      <c r="J1748" s="36"/>
    </row>
    <row r="1749" spans="1:10" x14ac:dyDescent="0.25">
      <c r="A1749" s="36">
        <v>1723</v>
      </c>
      <c r="B1749" s="37">
        <v>43497</v>
      </c>
      <c r="C1749" s="36"/>
      <c r="D1749" s="36"/>
      <c r="E1749" s="36" t="s">
        <v>121</v>
      </c>
      <c r="F1749" s="38">
        <v>4123664.9999999995</v>
      </c>
      <c r="G1749" s="36" t="s">
        <v>8</v>
      </c>
      <c r="H1749" s="36" t="s">
        <v>8</v>
      </c>
      <c r="I1749" s="36"/>
      <c r="J1749" s="36"/>
    </row>
    <row r="1750" spans="1:10" x14ac:dyDescent="0.25">
      <c r="A1750" s="36">
        <v>1723</v>
      </c>
      <c r="B1750" s="37">
        <v>43525</v>
      </c>
      <c r="C1750" s="36"/>
      <c r="D1750" s="36"/>
      <c r="E1750" s="36" t="s">
        <v>121</v>
      </c>
      <c r="F1750" s="38">
        <v>4123664.9999999995</v>
      </c>
      <c r="G1750" s="36" t="s">
        <v>8</v>
      </c>
      <c r="H1750" s="36" t="s">
        <v>8</v>
      </c>
      <c r="I1750" s="36"/>
      <c r="J1750" s="36"/>
    </row>
    <row r="1751" spans="1:10" x14ac:dyDescent="0.25">
      <c r="A1751" s="36">
        <v>1723</v>
      </c>
      <c r="B1751" s="37">
        <v>43466</v>
      </c>
      <c r="C1751" s="36"/>
      <c r="D1751" s="36"/>
      <c r="E1751" s="36" t="s">
        <v>18</v>
      </c>
      <c r="F1751" s="38">
        <v>4123664.9999999995</v>
      </c>
      <c r="G1751" s="36" t="s">
        <v>8</v>
      </c>
      <c r="H1751" s="36" t="s">
        <v>8</v>
      </c>
      <c r="I1751" s="36"/>
      <c r="J1751" s="36"/>
    </row>
    <row r="1752" spans="1:10" x14ac:dyDescent="0.25">
      <c r="A1752" s="36">
        <v>1723</v>
      </c>
      <c r="B1752" s="37">
        <v>43497</v>
      </c>
      <c r="C1752" s="36"/>
      <c r="D1752" s="36"/>
      <c r="E1752" s="36" t="s">
        <v>18</v>
      </c>
      <c r="F1752" s="38">
        <v>4123664.9999999995</v>
      </c>
      <c r="G1752" s="36" t="s">
        <v>8</v>
      </c>
      <c r="H1752" s="36" t="s">
        <v>8</v>
      </c>
      <c r="I1752" s="36"/>
      <c r="J1752" s="36"/>
    </row>
    <row r="1753" spans="1:10" x14ac:dyDescent="0.25">
      <c r="A1753" s="36">
        <v>1723</v>
      </c>
      <c r="B1753" s="37">
        <v>43525</v>
      </c>
      <c r="C1753" s="36"/>
      <c r="D1753" s="36"/>
      <c r="E1753" s="36" t="s">
        <v>18</v>
      </c>
      <c r="F1753" s="38">
        <v>4123664.9999999995</v>
      </c>
      <c r="G1753" s="36" t="s">
        <v>8</v>
      </c>
      <c r="H1753" s="36" t="s">
        <v>8</v>
      </c>
      <c r="I1753" s="36"/>
      <c r="J1753" s="36"/>
    </row>
    <row r="1754" spans="1:10" x14ac:dyDescent="0.25">
      <c r="A1754" s="36">
        <v>1723</v>
      </c>
      <c r="B1754" s="37">
        <v>43556</v>
      </c>
      <c r="C1754" s="36"/>
      <c r="D1754" s="36"/>
      <c r="E1754" s="36" t="s">
        <v>18</v>
      </c>
      <c r="F1754" s="38">
        <v>4123664.9999999995</v>
      </c>
      <c r="G1754" s="36" t="s">
        <v>8</v>
      </c>
      <c r="H1754" s="36" t="s">
        <v>8</v>
      </c>
      <c r="I1754" s="36"/>
      <c r="J1754" s="36"/>
    </row>
    <row r="1755" spans="1:10" x14ac:dyDescent="0.25">
      <c r="A1755" s="36">
        <v>1734</v>
      </c>
      <c r="B1755" s="37">
        <v>43466</v>
      </c>
      <c r="C1755" s="36"/>
      <c r="D1755" s="36"/>
      <c r="E1755" s="36" t="s">
        <v>7</v>
      </c>
      <c r="F1755" s="38">
        <v>3572100</v>
      </c>
      <c r="G1755" s="36" t="s">
        <v>8</v>
      </c>
      <c r="H1755" s="36" t="s">
        <v>228</v>
      </c>
      <c r="I1755" s="36"/>
      <c r="J1755" s="36"/>
    </row>
    <row r="1756" spans="1:10" x14ac:dyDescent="0.25">
      <c r="A1756" s="36">
        <v>1734</v>
      </c>
      <c r="B1756" s="37">
        <v>43497</v>
      </c>
      <c r="C1756" s="36"/>
      <c r="D1756" s="36"/>
      <c r="E1756" s="36" t="s">
        <v>7</v>
      </c>
      <c r="F1756" s="38">
        <v>3572100</v>
      </c>
      <c r="G1756" s="36" t="s">
        <v>8</v>
      </c>
      <c r="H1756" s="36" t="s">
        <v>228</v>
      </c>
      <c r="I1756" s="36"/>
      <c r="J1756" s="36"/>
    </row>
    <row r="1757" spans="1:10" x14ac:dyDescent="0.25">
      <c r="A1757" s="36">
        <v>1734</v>
      </c>
      <c r="B1757" s="37">
        <v>43525</v>
      </c>
      <c r="C1757" s="36"/>
      <c r="D1757" s="36"/>
      <c r="E1757" s="36" t="s">
        <v>7</v>
      </c>
      <c r="F1757" s="38">
        <v>3572100</v>
      </c>
      <c r="G1757" s="36" t="s">
        <v>8</v>
      </c>
      <c r="H1757" s="36" t="s">
        <v>228</v>
      </c>
      <c r="I1757" s="36"/>
      <c r="J1757" s="36"/>
    </row>
    <row r="1758" spans="1:10" x14ac:dyDescent="0.25">
      <c r="A1758" s="36">
        <v>1734</v>
      </c>
      <c r="B1758" s="37">
        <v>43556</v>
      </c>
      <c r="C1758" s="36"/>
      <c r="D1758" s="36"/>
      <c r="E1758" s="36" t="s">
        <v>7</v>
      </c>
      <c r="F1758" s="38">
        <v>3572100</v>
      </c>
      <c r="G1758" s="36" t="s">
        <v>8</v>
      </c>
      <c r="H1758" s="36" t="s">
        <v>228</v>
      </c>
      <c r="I1758" s="36"/>
      <c r="J1758" s="36"/>
    </row>
    <row r="1759" spans="1:10" x14ac:dyDescent="0.25">
      <c r="A1759" s="36">
        <v>1734</v>
      </c>
      <c r="B1759" s="37">
        <v>43586</v>
      </c>
      <c r="C1759" s="36"/>
      <c r="D1759" s="36"/>
      <c r="E1759" s="36" t="s">
        <v>7</v>
      </c>
      <c r="F1759" s="38">
        <v>3572100</v>
      </c>
      <c r="G1759" s="36" t="s">
        <v>8</v>
      </c>
      <c r="H1759" s="36" t="s">
        <v>228</v>
      </c>
      <c r="I1759" s="36"/>
      <c r="J1759" s="36"/>
    </row>
    <row r="1760" spans="1:10" x14ac:dyDescent="0.25">
      <c r="A1760" s="36">
        <v>1734</v>
      </c>
      <c r="B1760" s="37">
        <v>43617</v>
      </c>
      <c r="C1760" s="36"/>
      <c r="D1760" s="36"/>
      <c r="E1760" s="36" t="s">
        <v>7</v>
      </c>
      <c r="F1760" s="38">
        <v>3572100</v>
      </c>
      <c r="G1760" s="36" t="s">
        <v>8</v>
      </c>
      <c r="H1760" s="36" t="s">
        <v>228</v>
      </c>
      <c r="I1760" s="36"/>
      <c r="J1760" s="36"/>
    </row>
    <row r="1761" spans="1:10" x14ac:dyDescent="0.25">
      <c r="A1761" s="36">
        <v>1734</v>
      </c>
      <c r="B1761" s="37">
        <v>43647</v>
      </c>
      <c r="C1761" s="36"/>
      <c r="D1761" s="36"/>
      <c r="E1761" s="36" t="s">
        <v>7</v>
      </c>
      <c r="F1761" s="38">
        <v>3572100</v>
      </c>
      <c r="G1761" s="36" t="s">
        <v>8</v>
      </c>
      <c r="H1761" s="36" t="s">
        <v>228</v>
      </c>
      <c r="I1761" s="36"/>
      <c r="J1761" s="36"/>
    </row>
    <row r="1762" spans="1:10" x14ac:dyDescent="0.25">
      <c r="A1762" s="36">
        <v>1734</v>
      </c>
      <c r="B1762" s="37">
        <v>43678</v>
      </c>
      <c r="C1762" s="36"/>
      <c r="D1762" s="36"/>
      <c r="E1762" s="36" t="s">
        <v>7</v>
      </c>
      <c r="F1762" s="38">
        <v>3572100</v>
      </c>
      <c r="G1762" s="36" t="s">
        <v>8</v>
      </c>
      <c r="H1762" s="36" t="s">
        <v>228</v>
      </c>
      <c r="I1762" s="36"/>
      <c r="J1762" s="36"/>
    </row>
    <row r="1763" spans="1:10" x14ac:dyDescent="0.25">
      <c r="A1763" s="36">
        <v>1734</v>
      </c>
      <c r="B1763" s="37">
        <v>43709</v>
      </c>
      <c r="C1763" s="36"/>
      <c r="D1763" s="36"/>
      <c r="E1763" s="36" t="s">
        <v>7</v>
      </c>
      <c r="F1763" s="38">
        <v>3572100</v>
      </c>
      <c r="G1763" s="36" t="s">
        <v>8</v>
      </c>
      <c r="H1763" s="36" t="s">
        <v>228</v>
      </c>
      <c r="I1763" s="36"/>
      <c r="J1763" s="36"/>
    </row>
    <row r="1764" spans="1:10" x14ac:dyDescent="0.25">
      <c r="A1764" s="36">
        <v>1734</v>
      </c>
      <c r="B1764" s="37">
        <v>43739</v>
      </c>
      <c r="C1764" s="36"/>
      <c r="D1764" s="36"/>
      <c r="E1764" s="36" t="s">
        <v>7</v>
      </c>
      <c r="F1764" s="38">
        <v>3572100</v>
      </c>
      <c r="G1764" s="36" t="s">
        <v>8</v>
      </c>
      <c r="H1764" s="36" t="s">
        <v>228</v>
      </c>
      <c r="I1764" s="36"/>
      <c r="J1764" s="36"/>
    </row>
    <row r="1765" spans="1:10" x14ac:dyDescent="0.25">
      <c r="A1765" s="36">
        <v>1734</v>
      </c>
      <c r="B1765" s="37">
        <v>43770</v>
      </c>
      <c r="C1765" s="36"/>
      <c r="D1765" s="36"/>
      <c r="E1765" s="36" t="s">
        <v>7</v>
      </c>
      <c r="F1765" s="38">
        <v>3572100</v>
      </c>
      <c r="G1765" s="36" t="s">
        <v>8</v>
      </c>
      <c r="H1765" s="36" t="s">
        <v>228</v>
      </c>
      <c r="I1765" s="36"/>
      <c r="J1765" s="36"/>
    </row>
    <row r="1766" spans="1:10" x14ac:dyDescent="0.25">
      <c r="A1766" s="36">
        <v>1734</v>
      </c>
      <c r="B1766" s="37">
        <v>43800</v>
      </c>
      <c r="C1766" s="36"/>
      <c r="D1766" s="36"/>
      <c r="E1766" s="36" t="s">
        <v>7</v>
      </c>
      <c r="F1766" s="38">
        <v>3572100</v>
      </c>
      <c r="G1766" s="36" t="s">
        <v>8</v>
      </c>
      <c r="H1766" s="36" t="s">
        <v>228</v>
      </c>
      <c r="I1766" s="36"/>
      <c r="J1766" s="36"/>
    </row>
    <row r="1767" spans="1:10" x14ac:dyDescent="0.25">
      <c r="A1767" s="36">
        <v>1734</v>
      </c>
      <c r="B1767" s="37">
        <v>43831</v>
      </c>
      <c r="C1767" s="36"/>
      <c r="D1767" s="36"/>
      <c r="E1767" s="36" t="s">
        <v>7</v>
      </c>
      <c r="F1767" s="38">
        <v>3572100</v>
      </c>
      <c r="G1767" s="36" t="s">
        <v>8</v>
      </c>
      <c r="H1767" s="36" t="s">
        <v>228</v>
      </c>
      <c r="I1767" s="36"/>
      <c r="J1767" s="36"/>
    </row>
    <row r="1768" spans="1:10" x14ac:dyDescent="0.25">
      <c r="A1768" s="36">
        <v>1734</v>
      </c>
      <c r="B1768" s="37">
        <v>43862</v>
      </c>
      <c r="C1768" s="36"/>
      <c r="D1768" s="36"/>
      <c r="E1768" s="36" t="s">
        <v>7</v>
      </c>
      <c r="F1768" s="38">
        <v>3572100</v>
      </c>
      <c r="G1768" s="36" t="s">
        <v>8</v>
      </c>
      <c r="H1768" s="36" t="s">
        <v>228</v>
      </c>
      <c r="I1768" s="36"/>
      <c r="J1768" s="36"/>
    </row>
    <row r="1769" spans="1:10" x14ac:dyDescent="0.25">
      <c r="A1769" s="36">
        <v>1734</v>
      </c>
      <c r="B1769" s="37">
        <v>43891</v>
      </c>
      <c r="C1769" s="36"/>
      <c r="D1769" s="36"/>
      <c r="E1769" s="36" t="s">
        <v>7</v>
      </c>
      <c r="F1769" s="38">
        <v>3572100</v>
      </c>
      <c r="G1769" s="36" t="s">
        <v>8</v>
      </c>
      <c r="H1769" s="36" t="s">
        <v>228</v>
      </c>
      <c r="I1769" s="36"/>
      <c r="J1769" s="36"/>
    </row>
    <row r="1770" spans="1:10" x14ac:dyDescent="0.25">
      <c r="A1770" s="36">
        <v>1734</v>
      </c>
      <c r="B1770" s="37">
        <v>43922</v>
      </c>
      <c r="C1770" s="36"/>
      <c r="D1770" s="36"/>
      <c r="E1770" s="36" t="s">
        <v>7</v>
      </c>
      <c r="F1770" s="38">
        <v>3572100</v>
      </c>
      <c r="G1770" s="36" t="s">
        <v>8</v>
      </c>
      <c r="H1770" s="36" t="s">
        <v>228</v>
      </c>
      <c r="I1770" s="36"/>
      <c r="J1770" s="36"/>
    </row>
    <row r="1771" spans="1:10" x14ac:dyDescent="0.25">
      <c r="A1771" s="36">
        <v>1734</v>
      </c>
      <c r="B1771" s="37">
        <v>43952</v>
      </c>
      <c r="C1771" s="36"/>
      <c r="D1771" s="36"/>
      <c r="E1771" s="36" t="s">
        <v>7</v>
      </c>
      <c r="F1771" s="38">
        <v>3572100</v>
      </c>
      <c r="G1771" s="36" t="s">
        <v>8</v>
      </c>
      <c r="H1771" s="36" t="s">
        <v>228</v>
      </c>
      <c r="I1771" s="36"/>
      <c r="J1771" s="36"/>
    </row>
    <row r="1772" spans="1:10" x14ac:dyDescent="0.25">
      <c r="A1772" s="36">
        <v>1734</v>
      </c>
      <c r="B1772" s="37">
        <v>43983</v>
      </c>
      <c r="C1772" s="36"/>
      <c r="D1772" s="36"/>
      <c r="E1772" s="36" t="s">
        <v>7</v>
      </c>
      <c r="F1772" s="38">
        <v>3572100</v>
      </c>
      <c r="G1772" s="36" t="s">
        <v>8</v>
      </c>
      <c r="H1772" s="36" t="s">
        <v>228</v>
      </c>
      <c r="I1772" s="36"/>
      <c r="J1772" s="36"/>
    </row>
    <row r="1773" spans="1:10" x14ac:dyDescent="0.25">
      <c r="A1773" s="36">
        <v>1734</v>
      </c>
      <c r="B1773" s="37">
        <v>44013</v>
      </c>
      <c r="C1773" s="36"/>
      <c r="D1773" s="36"/>
      <c r="E1773" s="36" t="s">
        <v>7</v>
      </c>
      <c r="F1773" s="38">
        <v>3572100</v>
      </c>
      <c r="G1773" s="36" t="s">
        <v>8</v>
      </c>
      <c r="H1773" s="36" t="s">
        <v>228</v>
      </c>
      <c r="I1773" s="36"/>
      <c r="J1773" s="36"/>
    </row>
    <row r="1774" spans="1:10" x14ac:dyDescent="0.25">
      <c r="A1774" s="36">
        <v>1734</v>
      </c>
      <c r="B1774" s="37">
        <v>44044</v>
      </c>
      <c r="C1774" s="36"/>
      <c r="D1774" s="36"/>
      <c r="E1774" s="36" t="s">
        <v>7</v>
      </c>
      <c r="F1774" s="38">
        <v>3572100</v>
      </c>
      <c r="G1774" s="36" t="s">
        <v>8</v>
      </c>
      <c r="H1774" s="36" t="s">
        <v>228</v>
      </c>
      <c r="I1774" s="36"/>
      <c r="J1774" s="36"/>
    </row>
    <row r="1775" spans="1:10" x14ac:dyDescent="0.25">
      <c r="A1775" s="36">
        <v>1734</v>
      </c>
      <c r="B1775" s="37">
        <v>44075</v>
      </c>
      <c r="C1775" s="36"/>
      <c r="D1775" s="36"/>
      <c r="E1775" s="36" t="s">
        <v>7</v>
      </c>
      <c r="F1775" s="38">
        <v>3572100</v>
      </c>
      <c r="G1775" s="36" t="s">
        <v>8</v>
      </c>
      <c r="H1775" s="36" t="s">
        <v>228</v>
      </c>
      <c r="I1775" s="36"/>
      <c r="J1775" s="36"/>
    </row>
    <row r="1776" spans="1:10" x14ac:dyDescent="0.25">
      <c r="A1776" s="36">
        <v>1734</v>
      </c>
      <c r="B1776" s="37">
        <v>43466</v>
      </c>
      <c r="C1776" s="36"/>
      <c r="D1776" s="36"/>
      <c r="E1776" s="36" t="s">
        <v>9</v>
      </c>
      <c r="F1776" s="38">
        <v>10087875</v>
      </c>
      <c r="G1776" s="36" t="s">
        <v>8</v>
      </c>
      <c r="H1776" s="36" t="s">
        <v>228</v>
      </c>
      <c r="I1776" s="36"/>
      <c r="J1776" s="36"/>
    </row>
    <row r="1777" spans="1:10" x14ac:dyDescent="0.25">
      <c r="A1777" s="36">
        <v>1734</v>
      </c>
      <c r="B1777" s="37">
        <v>43497</v>
      </c>
      <c r="C1777" s="36"/>
      <c r="D1777" s="36"/>
      <c r="E1777" s="36" t="s">
        <v>9</v>
      </c>
      <c r="F1777" s="38">
        <v>10087875</v>
      </c>
      <c r="G1777" s="36" t="s">
        <v>8</v>
      </c>
      <c r="H1777" s="36" t="s">
        <v>228</v>
      </c>
      <c r="I1777" s="36"/>
      <c r="J1777" s="36"/>
    </row>
    <row r="1778" spans="1:10" x14ac:dyDescent="0.25">
      <c r="A1778" s="36">
        <v>1734</v>
      </c>
      <c r="B1778" s="37">
        <v>43525</v>
      </c>
      <c r="C1778" s="36"/>
      <c r="D1778" s="36"/>
      <c r="E1778" s="36" t="s">
        <v>9</v>
      </c>
      <c r="F1778" s="38">
        <v>10087875</v>
      </c>
      <c r="G1778" s="36" t="s">
        <v>8</v>
      </c>
      <c r="H1778" s="36" t="s">
        <v>228</v>
      </c>
      <c r="I1778" s="36"/>
      <c r="J1778" s="36"/>
    </row>
    <row r="1779" spans="1:10" x14ac:dyDescent="0.25">
      <c r="A1779" s="36">
        <v>1734</v>
      </c>
      <c r="B1779" s="37">
        <v>43556</v>
      </c>
      <c r="C1779" s="36"/>
      <c r="D1779" s="36"/>
      <c r="E1779" s="36" t="s">
        <v>9</v>
      </c>
      <c r="F1779" s="38">
        <v>10087875</v>
      </c>
      <c r="G1779" s="36" t="s">
        <v>8</v>
      </c>
      <c r="H1779" s="36" t="s">
        <v>228</v>
      </c>
      <c r="I1779" s="36"/>
      <c r="J1779" s="36"/>
    </row>
    <row r="1780" spans="1:10" x14ac:dyDescent="0.25">
      <c r="A1780" s="36">
        <v>1734</v>
      </c>
      <c r="B1780" s="37">
        <v>43586</v>
      </c>
      <c r="C1780" s="36"/>
      <c r="D1780" s="36"/>
      <c r="E1780" s="36" t="s">
        <v>9</v>
      </c>
      <c r="F1780" s="38">
        <v>10087875</v>
      </c>
      <c r="G1780" s="36" t="s">
        <v>8</v>
      </c>
      <c r="H1780" s="36" t="s">
        <v>228</v>
      </c>
      <c r="I1780" s="36"/>
      <c r="J1780" s="36"/>
    </row>
    <row r="1781" spans="1:10" x14ac:dyDescent="0.25">
      <c r="A1781" s="36">
        <v>1734</v>
      </c>
      <c r="B1781" s="37">
        <v>43617</v>
      </c>
      <c r="C1781" s="36"/>
      <c r="D1781" s="36"/>
      <c r="E1781" s="36" t="s">
        <v>9</v>
      </c>
      <c r="F1781" s="38">
        <v>10087875</v>
      </c>
      <c r="G1781" s="36" t="s">
        <v>8</v>
      </c>
      <c r="H1781" s="36" t="s">
        <v>228</v>
      </c>
      <c r="I1781" s="36"/>
      <c r="J1781" s="36"/>
    </row>
    <row r="1782" spans="1:10" x14ac:dyDescent="0.25">
      <c r="A1782" s="36">
        <v>1734</v>
      </c>
      <c r="B1782" s="37">
        <v>43647</v>
      </c>
      <c r="C1782" s="36"/>
      <c r="D1782" s="36"/>
      <c r="E1782" s="36" t="s">
        <v>9</v>
      </c>
      <c r="F1782" s="38">
        <v>10087875</v>
      </c>
      <c r="G1782" s="36" t="s">
        <v>8</v>
      </c>
      <c r="H1782" s="36" t="s">
        <v>228</v>
      </c>
      <c r="I1782" s="36"/>
      <c r="J1782" s="36"/>
    </row>
    <row r="1783" spans="1:10" x14ac:dyDescent="0.25">
      <c r="A1783" s="36">
        <v>1734</v>
      </c>
      <c r="B1783" s="37">
        <v>43678</v>
      </c>
      <c r="C1783" s="36"/>
      <c r="D1783" s="36"/>
      <c r="E1783" s="36" t="s">
        <v>9</v>
      </c>
      <c r="F1783" s="38">
        <v>10087875</v>
      </c>
      <c r="G1783" s="36" t="s">
        <v>8</v>
      </c>
      <c r="H1783" s="36" t="s">
        <v>228</v>
      </c>
      <c r="I1783" s="36"/>
      <c r="J1783" s="36"/>
    </row>
    <row r="1784" spans="1:10" x14ac:dyDescent="0.25">
      <c r="A1784" s="36">
        <v>1734</v>
      </c>
      <c r="B1784" s="37">
        <v>43709</v>
      </c>
      <c r="C1784" s="36"/>
      <c r="D1784" s="36"/>
      <c r="E1784" s="36" t="s">
        <v>9</v>
      </c>
      <c r="F1784" s="38">
        <v>10087875</v>
      </c>
      <c r="G1784" s="36" t="s">
        <v>8</v>
      </c>
      <c r="H1784" s="36" t="s">
        <v>228</v>
      </c>
      <c r="I1784" s="36"/>
      <c r="J1784" s="36"/>
    </row>
    <row r="1785" spans="1:10" x14ac:dyDescent="0.25">
      <c r="A1785" s="36">
        <v>1734</v>
      </c>
      <c r="B1785" s="37">
        <v>43739</v>
      </c>
      <c r="C1785" s="36"/>
      <c r="D1785" s="36"/>
      <c r="E1785" s="36" t="s">
        <v>9</v>
      </c>
      <c r="F1785" s="38">
        <v>10087875</v>
      </c>
      <c r="G1785" s="36" t="s">
        <v>8</v>
      </c>
      <c r="H1785" s="36" t="s">
        <v>228</v>
      </c>
      <c r="I1785" s="36"/>
      <c r="J1785" s="36"/>
    </row>
    <row r="1786" spans="1:10" x14ac:dyDescent="0.25">
      <c r="A1786" s="36">
        <v>1734</v>
      </c>
      <c r="B1786" s="37">
        <v>43770</v>
      </c>
      <c r="C1786" s="36"/>
      <c r="D1786" s="36"/>
      <c r="E1786" s="36" t="s">
        <v>9</v>
      </c>
      <c r="F1786" s="38">
        <v>10087875</v>
      </c>
      <c r="G1786" s="36" t="s">
        <v>8</v>
      </c>
      <c r="H1786" s="36" t="s">
        <v>228</v>
      </c>
      <c r="I1786" s="36"/>
      <c r="J1786" s="36"/>
    </row>
    <row r="1787" spans="1:10" x14ac:dyDescent="0.25">
      <c r="A1787" s="36">
        <v>1734</v>
      </c>
      <c r="B1787" s="37">
        <v>43800</v>
      </c>
      <c r="C1787" s="36"/>
      <c r="D1787" s="36"/>
      <c r="E1787" s="36" t="s">
        <v>9</v>
      </c>
      <c r="F1787" s="38">
        <v>10087875</v>
      </c>
      <c r="G1787" s="36" t="s">
        <v>8</v>
      </c>
      <c r="H1787" s="36" t="s">
        <v>228</v>
      </c>
      <c r="I1787" s="36"/>
      <c r="J1787" s="36"/>
    </row>
    <row r="1788" spans="1:10" x14ac:dyDescent="0.25">
      <c r="A1788" s="36">
        <v>1734</v>
      </c>
      <c r="B1788" s="37">
        <v>43831</v>
      </c>
      <c r="C1788" s="36"/>
      <c r="D1788" s="36"/>
      <c r="E1788" s="36" t="s">
        <v>9</v>
      </c>
      <c r="F1788" s="38">
        <v>10087875</v>
      </c>
      <c r="G1788" s="36" t="s">
        <v>8</v>
      </c>
      <c r="H1788" s="36" t="s">
        <v>228</v>
      </c>
      <c r="I1788" s="36"/>
      <c r="J1788" s="36"/>
    </row>
    <row r="1789" spans="1:10" x14ac:dyDescent="0.25">
      <c r="A1789" s="36">
        <v>1734</v>
      </c>
      <c r="B1789" s="37">
        <v>43862</v>
      </c>
      <c r="C1789" s="36"/>
      <c r="D1789" s="36"/>
      <c r="E1789" s="36" t="s">
        <v>9</v>
      </c>
      <c r="F1789" s="38">
        <v>10087875</v>
      </c>
      <c r="G1789" s="36" t="s">
        <v>8</v>
      </c>
      <c r="H1789" s="36" t="s">
        <v>228</v>
      </c>
      <c r="I1789" s="36"/>
      <c r="J1789" s="36"/>
    </row>
    <row r="1790" spans="1:10" x14ac:dyDescent="0.25">
      <c r="A1790" s="36">
        <v>1734</v>
      </c>
      <c r="B1790" s="37">
        <v>43891</v>
      </c>
      <c r="C1790" s="36"/>
      <c r="D1790" s="36"/>
      <c r="E1790" s="36" t="s">
        <v>9</v>
      </c>
      <c r="F1790" s="38">
        <v>10087875</v>
      </c>
      <c r="G1790" s="36" t="s">
        <v>8</v>
      </c>
      <c r="H1790" s="36" t="s">
        <v>228</v>
      </c>
      <c r="I1790" s="36"/>
      <c r="J1790" s="36"/>
    </row>
    <row r="1791" spans="1:10" x14ac:dyDescent="0.25">
      <c r="A1791" s="36">
        <v>1734</v>
      </c>
      <c r="B1791" s="37">
        <v>43922</v>
      </c>
      <c r="C1791" s="36"/>
      <c r="D1791" s="36"/>
      <c r="E1791" s="36" t="s">
        <v>9</v>
      </c>
      <c r="F1791" s="38">
        <v>10087875</v>
      </c>
      <c r="G1791" s="36" t="s">
        <v>8</v>
      </c>
      <c r="H1791" s="36" t="s">
        <v>228</v>
      </c>
      <c r="I1791" s="36"/>
      <c r="J1791" s="36"/>
    </row>
    <row r="1792" spans="1:10" x14ac:dyDescent="0.25">
      <c r="A1792" s="36">
        <v>1734</v>
      </c>
      <c r="B1792" s="37">
        <v>43952</v>
      </c>
      <c r="C1792" s="36"/>
      <c r="D1792" s="36"/>
      <c r="E1792" s="36" t="s">
        <v>9</v>
      </c>
      <c r="F1792" s="38">
        <v>10087875</v>
      </c>
      <c r="G1792" s="36" t="s">
        <v>8</v>
      </c>
      <c r="H1792" s="36" t="s">
        <v>228</v>
      </c>
      <c r="I1792" s="36"/>
      <c r="J1792" s="36"/>
    </row>
    <row r="1793" spans="1:10" x14ac:dyDescent="0.25">
      <c r="A1793" s="36">
        <v>1734</v>
      </c>
      <c r="B1793" s="37">
        <v>43983</v>
      </c>
      <c r="C1793" s="36"/>
      <c r="D1793" s="36"/>
      <c r="E1793" s="36" t="s">
        <v>9</v>
      </c>
      <c r="F1793" s="38">
        <v>10087875</v>
      </c>
      <c r="G1793" s="36" t="s">
        <v>8</v>
      </c>
      <c r="H1793" s="36" t="s">
        <v>228</v>
      </c>
      <c r="I1793" s="36"/>
      <c r="J1793" s="36"/>
    </row>
    <row r="1794" spans="1:10" x14ac:dyDescent="0.25">
      <c r="A1794" s="36">
        <v>1734</v>
      </c>
      <c r="B1794" s="37">
        <v>44013</v>
      </c>
      <c r="C1794" s="36"/>
      <c r="D1794" s="36"/>
      <c r="E1794" s="36" t="s">
        <v>9</v>
      </c>
      <c r="F1794" s="38">
        <v>10087875</v>
      </c>
      <c r="G1794" s="36" t="s">
        <v>8</v>
      </c>
      <c r="H1794" s="36" t="s">
        <v>228</v>
      </c>
      <c r="I1794" s="36"/>
      <c r="J1794" s="36"/>
    </row>
    <row r="1795" spans="1:10" x14ac:dyDescent="0.25">
      <c r="A1795" s="36">
        <v>1734</v>
      </c>
      <c r="B1795" s="37">
        <v>44044</v>
      </c>
      <c r="C1795" s="36"/>
      <c r="D1795" s="36"/>
      <c r="E1795" s="36" t="s">
        <v>9</v>
      </c>
      <c r="F1795" s="38">
        <v>10087875</v>
      </c>
      <c r="G1795" s="36" t="s">
        <v>8</v>
      </c>
      <c r="H1795" s="36" t="s">
        <v>228</v>
      </c>
      <c r="I1795" s="36"/>
      <c r="J1795" s="36"/>
    </row>
    <row r="1796" spans="1:10" x14ac:dyDescent="0.25">
      <c r="A1796" s="36">
        <v>1734</v>
      </c>
      <c r="B1796" s="37">
        <v>44075</v>
      </c>
      <c r="C1796" s="36"/>
      <c r="D1796" s="36"/>
      <c r="E1796" s="36" t="s">
        <v>9</v>
      </c>
      <c r="F1796" s="38">
        <v>10087875</v>
      </c>
      <c r="G1796" s="36" t="s">
        <v>8</v>
      </c>
      <c r="H1796" s="36" t="s">
        <v>228</v>
      </c>
      <c r="I1796" s="36"/>
      <c r="J1796" s="36"/>
    </row>
    <row r="1797" spans="1:10" x14ac:dyDescent="0.25">
      <c r="A1797" s="36">
        <v>1734</v>
      </c>
      <c r="B1797" s="37">
        <v>43466</v>
      </c>
      <c r="C1797" s="36"/>
      <c r="D1797" s="36"/>
      <c r="E1797" s="36" t="s">
        <v>122</v>
      </c>
      <c r="F1797" s="38">
        <v>7594316.1000000006</v>
      </c>
      <c r="G1797" s="36" t="s">
        <v>8</v>
      </c>
      <c r="H1797" s="36" t="s">
        <v>228</v>
      </c>
      <c r="I1797" s="36"/>
      <c r="J1797" s="36"/>
    </row>
    <row r="1798" spans="1:10" x14ac:dyDescent="0.25">
      <c r="A1798" s="36">
        <v>1734</v>
      </c>
      <c r="B1798" s="37">
        <v>43497</v>
      </c>
      <c r="C1798" s="36"/>
      <c r="D1798" s="36"/>
      <c r="E1798" s="36" t="s">
        <v>122</v>
      </c>
      <c r="F1798" s="38">
        <v>7594316.1000000006</v>
      </c>
      <c r="G1798" s="36" t="s">
        <v>8</v>
      </c>
      <c r="H1798" s="36" t="s">
        <v>228</v>
      </c>
      <c r="I1798" s="36"/>
      <c r="J1798" s="36"/>
    </row>
    <row r="1799" spans="1:10" x14ac:dyDescent="0.25">
      <c r="A1799" s="36">
        <v>1734</v>
      </c>
      <c r="B1799" s="37">
        <v>43525</v>
      </c>
      <c r="C1799" s="36"/>
      <c r="D1799" s="36"/>
      <c r="E1799" s="36" t="s">
        <v>122</v>
      </c>
      <c r="F1799" s="38">
        <v>7594316.1000000006</v>
      </c>
      <c r="G1799" s="36" t="s">
        <v>8</v>
      </c>
      <c r="H1799" s="36" t="s">
        <v>228</v>
      </c>
      <c r="I1799" s="36"/>
      <c r="J1799" s="36"/>
    </row>
    <row r="1800" spans="1:10" x14ac:dyDescent="0.25">
      <c r="A1800" s="36">
        <v>1734</v>
      </c>
      <c r="B1800" s="37">
        <v>43556</v>
      </c>
      <c r="C1800" s="36"/>
      <c r="D1800" s="36"/>
      <c r="E1800" s="36" t="s">
        <v>122</v>
      </c>
      <c r="F1800" s="38">
        <v>7594316.1000000006</v>
      </c>
      <c r="G1800" s="36" t="s">
        <v>8</v>
      </c>
      <c r="H1800" s="36" t="s">
        <v>228</v>
      </c>
      <c r="I1800" s="36"/>
      <c r="J1800" s="36"/>
    </row>
    <row r="1801" spans="1:10" x14ac:dyDescent="0.25">
      <c r="A1801" s="36">
        <v>1734</v>
      </c>
      <c r="B1801" s="37">
        <v>43586</v>
      </c>
      <c r="C1801" s="36"/>
      <c r="D1801" s="36"/>
      <c r="E1801" s="36" t="s">
        <v>122</v>
      </c>
      <c r="F1801" s="38">
        <v>7594316.1000000006</v>
      </c>
      <c r="G1801" s="36" t="s">
        <v>8</v>
      </c>
      <c r="H1801" s="36" t="s">
        <v>228</v>
      </c>
      <c r="I1801" s="36"/>
      <c r="J1801" s="36"/>
    </row>
    <row r="1802" spans="1:10" x14ac:dyDescent="0.25">
      <c r="A1802" s="36">
        <v>1734</v>
      </c>
      <c r="B1802" s="37">
        <v>43617</v>
      </c>
      <c r="C1802" s="36"/>
      <c r="D1802" s="36"/>
      <c r="E1802" s="36" t="s">
        <v>122</v>
      </c>
      <c r="F1802" s="38">
        <v>7594316.1000000006</v>
      </c>
      <c r="G1802" s="36" t="s">
        <v>8</v>
      </c>
      <c r="H1802" s="36" t="s">
        <v>228</v>
      </c>
      <c r="I1802" s="36"/>
      <c r="J1802" s="36"/>
    </row>
    <row r="1803" spans="1:10" x14ac:dyDescent="0.25">
      <c r="A1803" s="36">
        <v>1734</v>
      </c>
      <c r="B1803" s="37">
        <v>43647</v>
      </c>
      <c r="C1803" s="36"/>
      <c r="D1803" s="36"/>
      <c r="E1803" s="36" t="s">
        <v>122</v>
      </c>
      <c r="F1803" s="38">
        <v>7594316.1000000006</v>
      </c>
      <c r="G1803" s="36" t="s">
        <v>8</v>
      </c>
      <c r="H1803" s="36" t="s">
        <v>228</v>
      </c>
      <c r="I1803" s="36"/>
      <c r="J1803" s="36"/>
    </row>
    <row r="1804" spans="1:10" x14ac:dyDescent="0.25">
      <c r="A1804" s="36">
        <v>1734</v>
      </c>
      <c r="B1804" s="37">
        <v>43678</v>
      </c>
      <c r="C1804" s="36"/>
      <c r="D1804" s="36"/>
      <c r="E1804" s="36" t="s">
        <v>122</v>
      </c>
      <c r="F1804" s="38">
        <v>7594316.1000000006</v>
      </c>
      <c r="G1804" s="36" t="s">
        <v>8</v>
      </c>
      <c r="H1804" s="36" t="s">
        <v>228</v>
      </c>
      <c r="I1804" s="36"/>
      <c r="J1804" s="36"/>
    </row>
    <row r="1805" spans="1:10" x14ac:dyDescent="0.25">
      <c r="A1805" s="36">
        <v>1734</v>
      </c>
      <c r="B1805" s="37">
        <v>43709</v>
      </c>
      <c r="C1805" s="36"/>
      <c r="D1805" s="36"/>
      <c r="E1805" s="36" t="s">
        <v>122</v>
      </c>
      <c r="F1805" s="38">
        <v>7594316.1000000006</v>
      </c>
      <c r="G1805" s="36" t="s">
        <v>8</v>
      </c>
      <c r="H1805" s="36" t="s">
        <v>228</v>
      </c>
      <c r="I1805" s="36"/>
      <c r="J1805" s="36"/>
    </row>
    <row r="1806" spans="1:10" x14ac:dyDescent="0.25">
      <c r="A1806" s="36">
        <v>1734</v>
      </c>
      <c r="B1806" s="37">
        <v>43739</v>
      </c>
      <c r="C1806" s="36"/>
      <c r="D1806" s="36"/>
      <c r="E1806" s="36" t="s">
        <v>122</v>
      </c>
      <c r="F1806" s="38">
        <v>7594316.1000000006</v>
      </c>
      <c r="G1806" s="36" t="s">
        <v>8</v>
      </c>
      <c r="H1806" s="36" t="s">
        <v>228</v>
      </c>
      <c r="I1806" s="36"/>
      <c r="J1806" s="36"/>
    </row>
    <row r="1807" spans="1:10" x14ac:dyDescent="0.25">
      <c r="A1807" s="36">
        <v>1734</v>
      </c>
      <c r="B1807" s="37">
        <v>43770</v>
      </c>
      <c r="C1807" s="36"/>
      <c r="D1807" s="36"/>
      <c r="E1807" s="36" t="s">
        <v>122</v>
      </c>
      <c r="F1807" s="38">
        <v>7594316.1000000006</v>
      </c>
      <c r="G1807" s="36" t="s">
        <v>8</v>
      </c>
      <c r="H1807" s="36" t="s">
        <v>228</v>
      </c>
      <c r="I1807" s="36"/>
      <c r="J1807" s="36"/>
    </row>
    <row r="1808" spans="1:10" x14ac:dyDescent="0.25">
      <c r="A1808" s="36">
        <v>1734</v>
      </c>
      <c r="B1808" s="37">
        <v>43800</v>
      </c>
      <c r="C1808" s="36"/>
      <c r="D1808" s="36"/>
      <c r="E1808" s="36" t="s">
        <v>122</v>
      </c>
      <c r="F1808" s="38">
        <v>7594316.1000000006</v>
      </c>
      <c r="G1808" s="36" t="s">
        <v>8</v>
      </c>
      <c r="H1808" s="36" t="s">
        <v>228</v>
      </c>
      <c r="I1808" s="36"/>
      <c r="J1808" s="36"/>
    </row>
    <row r="1809" spans="1:10" x14ac:dyDescent="0.25">
      <c r="A1809" s="36">
        <v>1734</v>
      </c>
      <c r="B1809" s="37">
        <v>43831</v>
      </c>
      <c r="C1809" s="36"/>
      <c r="D1809" s="36"/>
      <c r="E1809" s="36" t="s">
        <v>122</v>
      </c>
      <c r="F1809" s="38">
        <v>7594316.1000000006</v>
      </c>
      <c r="G1809" s="36" t="s">
        <v>8</v>
      </c>
      <c r="H1809" s="36" t="s">
        <v>228</v>
      </c>
      <c r="I1809" s="36"/>
      <c r="J1809" s="36"/>
    </row>
    <row r="1810" spans="1:10" x14ac:dyDescent="0.25">
      <c r="A1810" s="36">
        <v>1734</v>
      </c>
      <c r="B1810" s="37">
        <v>43862</v>
      </c>
      <c r="C1810" s="36"/>
      <c r="D1810" s="36"/>
      <c r="E1810" s="36" t="s">
        <v>122</v>
      </c>
      <c r="F1810" s="38">
        <v>7594316.1000000006</v>
      </c>
      <c r="G1810" s="36" t="s">
        <v>8</v>
      </c>
      <c r="H1810" s="36" t="s">
        <v>228</v>
      </c>
      <c r="I1810" s="36"/>
      <c r="J1810" s="36"/>
    </row>
    <row r="1811" spans="1:10" x14ac:dyDescent="0.25">
      <c r="A1811" s="36">
        <v>1734</v>
      </c>
      <c r="B1811" s="37">
        <v>43891</v>
      </c>
      <c r="C1811" s="36"/>
      <c r="D1811" s="36"/>
      <c r="E1811" s="36" t="s">
        <v>122</v>
      </c>
      <c r="F1811" s="38">
        <v>7594316.1000000006</v>
      </c>
      <c r="G1811" s="36" t="s">
        <v>8</v>
      </c>
      <c r="H1811" s="36" t="s">
        <v>228</v>
      </c>
      <c r="I1811" s="36"/>
      <c r="J1811" s="36"/>
    </row>
    <row r="1812" spans="1:10" x14ac:dyDescent="0.25">
      <c r="A1812" s="36">
        <v>1734</v>
      </c>
      <c r="B1812" s="37">
        <v>43922</v>
      </c>
      <c r="C1812" s="36"/>
      <c r="D1812" s="36"/>
      <c r="E1812" s="36" t="s">
        <v>122</v>
      </c>
      <c r="F1812" s="38">
        <v>7594316.1000000006</v>
      </c>
      <c r="G1812" s="36" t="s">
        <v>8</v>
      </c>
      <c r="H1812" s="36" t="s">
        <v>228</v>
      </c>
      <c r="I1812" s="36"/>
      <c r="J1812" s="36"/>
    </row>
    <row r="1813" spans="1:10" x14ac:dyDescent="0.25">
      <c r="A1813" s="36">
        <v>1734</v>
      </c>
      <c r="B1813" s="37">
        <v>43952</v>
      </c>
      <c r="C1813" s="36"/>
      <c r="D1813" s="36"/>
      <c r="E1813" s="36" t="s">
        <v>122</v>
      </c>
      <c r="F1813" s="38">
        <v>7594316.1000000006</v>
      </c>
      <c r="G1813" s="36" t="s">
        <v>8</v>
      </c>
      <c r="H1813" s="36" t="s">
        <v>228</v>
      </c>
      <c r="I1813" s="36"/>
      <c r="J1813" s="36"/>
    </row>
    <row r="1814" spans="1:10" x14ac:dyDescent="0.25">
      <c r="A1814" s="36">
        <v>1734</v>
      </c>
      <c r="B1814" s="37">
        <v>43983</v>
      </c>
      <c r="C1814" s="36"/>
      <c r="D1814" s="36"/>
      <c r="E1814" s="36" t="s">
        <v>122</v>
      </c>
      <c r="F1814" s="38">
        <v>7594316.1000000006</v>
      </c>
      <c r="G1814" s="36" t="s">
        <v>8</v>
      </c>
      <c r="H1814" s="36" t="s">
        <v>228</v>
      </c>
      <c r="I1814" s="36"/>
      <c r="J1814" s="36"/>
    </row>
    <row r="1815" spans="1:10" x14ac:dyDescent="0.25">
      <c r="A1815" s="36">
        <v>1734</v>
      </c>
      <c r="B1815" s="37">
        <v>44013</v>
      </c>
      <c r="C1815" s="36"/>
      <c r="D1815" s="36"/>
      <c r="E1815" s="36" t="s">
        <v>122</v>
      </c>
      <c r="F1815" s="38">
        <v>7594316.1000000006</v>
      </c>
      <c r="G1815" s="36" t="s">
        <v>8</v>
      </c>
      <c r="H1815" s="36" t="s">
        <v>228</v>
      </c>
      <c r="I1815" s="36"/>
      <c r="J1815" s="36"/>
    </row>
    <row r="1816" spans="1:10" x14ac:dyDescent="0.25">
      <c r="A1816" s="36">
        <v>1734</v>
      </c>
      <c r="B1816" s="37">
        <v>44044</v>
      </c>
      <c r="C1816" s="36"/>
      <c r="D1816" s="36"/>
      <c r="E1816" s="36" t="s">
        <v>122</v>
      </c>
      <c r="F1816" s="38">
        <v>7594316.1000000006</v>
      </c>
      <c r="G1816" s="36" t="s">
        <v>8</v>
      </c>
      <c r="H1816" s="36" t="s">
        <v>228</v>
      </c>
      <c r="I1816" s="36"/>
      <c r="J1816" s="36"/>
    </row>
    <row r="1817" spans="1:10" x14ac:dyDescent="0.25">
      <c r="A1817" s="36">
        <v>1734</v>
      </c>
      <c r="B1817" s="37">
        <v>44075</v>
      </c>
      <c r="C1817" s="36"/>
      <c r="D1817" s="36"/>
      <c r="E1817" s="36" t="s">
        <v>122</v>
      </c>
      <c r="F1817" s="38">
        <v>7594316.1000000006</v>
      </c>
      <c r="G1817" s="36" t="s">
        <v>8</v>
      </c>
      <c r="H1817" s="36" t="s">
        <v>228</v>
      </c>
      <c r="I1817" s="36"/>
      <c r="J1817" s="36"/>
    </row>
    <row r="1818" spans="1:10" x14ac:dyDescent="0.25">
      <c r="A1818" s="36">
        <v>1734</v>
      </c>
      <c r="B1818" s="37">
        <v>43466</v>
      </c>
      <c r="C1818" s="36"/>
      <c r="D1818" s="36"/>
      <c r="E1818" s="36" t="s">
        <v>23</v>
      </c>
      <c r="F1818" s="38">
        <v>7594316.1000000006</v>
      </c>
      <c r="G1818" s="36" t="s">
        <v>8</v>
      </c>
      <c r="H1818" s="36" t="s">
        <v>228</v>
      </c>
      <c r="I1818" s="36"/>
      <c r="J1818" s="36"/>
    </row>
    <row r="1819" spans="1:10" x14ac:dyDescent="0.25">
      <c r="A1819" s="36">
        <v>1734</v>
      </c>
      <c r="B1819" s="37">
        <v>43497</v>
      </c>
      <c r="C1819" s="36"/>
      <c r="D1819" s="36"/>
      <c r="E1819" s="36" t="s">
        <v>23</v>
      </c>
      <c r="F1819" s="38">
        <v>7594316.1000000006</v>
      </c>
      <c r="G1819" s="36" t="s">
        <v>8</v>
      </c>
      <c r="H1819" s="36" t="s">
        <v>228</v>
      </c>
      <c r="I1819" s="36"/>
      <c r="J1819" s="36"/>
    </row>
    <row r="1820" spans="1:10" x14ac:dyDescent="0.25">
      <c r="A1820" s="36">
        <v>1734</v>
      </c>
      <c r="B1820" s="37">
        <v>43525</v>
      </c>
      <c r="C1820" s="36"/>
      <c r="D1820" s="36"/>
      <c r="E1820" s="36" t="s">
        <v>23</v>
      </c>
      <c r="F1820" s="38">
        <v>7594316.1000000006</v>
      </c>
      <c r="G1820" s="36" t="s">
        <v>8</v>
      </c>
      <c r="H1820" s="36" t="s">
        <v>228</v>
      </c>
      <c r="I1820" s="36"/>
      <c r="J1820" s="36"/>
    </row>
    <row r="1821" spans="1:10" x14ac:dyDescent="0.25">
      <c r="A1821" s="36">
        <v>1734</v>
      </c>
      <c r="B1821" s="37">
        <v>43556</v>
      </c>
      <c r="C1821" s="36"/>
      <c r="D1821" s="36"/>
      <c r="E1821" s="36" t="s">
        <v>23</v>
      </c>
      <c r="F1821" s="38">
        <v>7594316.1000000006</v>
      </c>
      <c r="G1821" s="36" t="s">
        <v>8</v>
      </c>
      <c r="H1821" s="36" t="s">
        <v>228</v>
      </c>
      <c r="I1821" s="36"/>
      <c r="J1821" s="36"/>
    </row>
    <row r="1822" spans="1:10" x14ac:dyDescent="0.25">
      <c r="A1822" s="36">
        <v>1734</v>
      </c>
      <c r="B1822" s="37">
        <v>43586</v>
      </c>
      <c r="C1822" s="36"/>
      <c r="D1822" s="36"/>
      <c r="E1822" s="36" t="s">
        <v>23</v>
      </c>
      <c r="F1822" s="38">
        <v>7594316.1000000006</v>
      </c>
      <c r="G1822" s="36" t="s">
        <v>8</v>
      </c>
      <c r="H1822" s="36" t="s">
        <v>228</v>
      </c>
      <c r="I1822" s="36"/>
      <c r="J1822" s="36"/>
    </row>
    <row r="1823" spans="1:10" x14ac:dyDescent="0.25">
      <c r="A1823" s="36">
        <v>1734</v>
      </c>
      <c r="B1823" s="37">
        <v>43617</v>
      </c>
      <c r="C1823" s="36"/>
      <c r="D1823" s="36"/>
      <c r="E1823" s="36" t="s">
        <v>23</v>
      </c>
      <c r="F1823" s="38">
        <v>7594316.1000000006</v>
      </c>
      <c r="G1823" s="36" t="s">
        <v>8</v>
      </c>
      <c r="H1823" s="36" t="s">
        <v>228</v>
      </c>
      <c r="I1823" s="36"/>
      <c r="J1823" s="36"/>
    </row>
    <row r="1824" spans="1:10" x14ac:dyDescent="0.25">
      <c r="A1824" s="36">
        <v>1734</v>
      </c>
      <c r="B1824" s="37">
        <v>43647</v>
      </c>
      <c r="C1824" s="36"/>
      <c r="D1824" s="36"/>
      <c r="E1824" s="36" t="s">
        <v>23</v>
      </c>
      <c r="F1824" s="38">
        <v>7594316.1000000006</v>
      </c>
      <c r="G1824" s="36" t="s">
        <v>8</v>
      </c>
      <c r="H1824" s="36" t="s">
        <v>228</v>
      </c>
      <c r="I1824" s="36"/>
      <c r="J1824" s="36"/>
    </row>
    <row r="1825" spans="1:10" x14ac:dyDescent="0.25">
      <c r="A1825" s="36">
        <v>1734</v>
      </c>
      <c r="B1825" s="37">
        <v>43678</v>
      </c>
      <c r="C1825" s="36"/>
      <c r="D1825" s="36"/>
      <c r="E1825" s="36" t="s">
        <v>23</v>
      </c>
      <c r="F1825" s="38">
        <v>7594316.1000000006</v>
      </c>
      <c r="G1825" s="36" t="s">
        <v>8</v>
      </c>
      <c r="H1825" s="36" t="s">
        <v>228</v>
      </c>
      <c r="I1825" s="36"/>
      <c r="J1825" s="36"/>
    </row>
    <row r="1826" spans="1:10" x14ac:dyDescent="0.25">
      <c r="A1826" s="36">
        <v>1734</v>
      </c>
      <c r="B1826" s="37">
        <v>43709</v>
      </c>
      <c r="C1826" s="36"/>
      <c r="D1826" s="36"/>
      <c r="E1826" s="36" t="s">
        <v>23</v>
      </c>
      <c r="F1826" s="38">
        <v>7594316.1000000006</v>
      </c>
      <c r="G1826" s="36" t="s">
        <v>8</v>
      </c>
      <c r="H1826" s="36" t="s">
        <v>228</v>
      </c>
      <c r="I1826" s="36"/>
      <c r="J1826" s="36"/>
    </row>
    <row r="1827" spans="1:10" x14ac:dyDescent="0.25">
      <c r="A1827" s="36">
        <v>1734</v>
      </c>
      <c r="B1827" s="37">
        <v>43739</v>
      </c>
      <c r="C1827" s="36"/>
      <c r="D1827" s="36"/>
      <c r="E1827" s="36" t="s">
        <v>23</v>
      </c>
      <c r="F1827" s="38">
        <v>7594316.1000000006</v>
      </c>
      <c r="G1827" s="36" t="s">
        <v>8</v>
      </c>
      <c r="H1827" s="36" t="s">
        <v>228</v>
      </c>
      <c r="I1827" s="36"/>
      <c r="J1827" s="36"/>
    </row>
    <row r="1828" spans="1:10" x14ac:dyDescent="0.25">
      <c r="A1828" s="36">
        <v>1734</v>
      </c>
      <c r="B1828" s="37">
        <v>43770</v>
      </c>
      <c r="C1828" s="36"/>
      <c r="D1828" s="36"/>
      <c r="E1828" s="36" t="s">
        <v>23</v>
      </c>
      <c r="F1828" s="38">
        <v>7594316.1000000006</v>
      </c>
      <c r="G1828" s="36" t="s">
        <v>8</v>
      </c>
      <c r="H1828" s="36" t="s">
        <v>228</v>
      </c>
      <c r="I1828" s="36"/>
      <c r="J1828" s="36"/>
    </row>
    <row r="1829" spans="1:10" x14ac:dyDescent="0.25">
      <c r="A1829" s="36">
        <v>1734</v>
      </c>
      <c r="B1829" s="37">
        <v>43800</v>
      </c>
      <c r="C1829" s="36"/>
      <c r="D1829" s="36"/>
      <c r="E1829" s="36" t="s">
        <v>23</v>
      </c>
      <c r="F1829" s="38">
        <v>7594316.1000000006</v>
      </c>
      <c r="G1829" s="36" t="s">
        <v>8</v>
      </c>
      <c r="H1829" s="36" t="s">
        <v>228</v>
      </c>
      <c r="I1829" s="36"/>
      <c r="J1829" s="36"/>
    </row>
    <row r="1830" spans="1:10" x14ac:dyDescent="0.25">
      <c r="A1830" s="36">
        <v>1734</v>
      </c>
      <c r="B1830" s="37">
        <v>43831</v>
      </c>
      <c r="C1830" s="36"/>
      <c r="D1830" s="36"/>
      <c r="E1830" s="36" t="s">
        <v>23</v>
      </c>
      <c r="F1830" s="38">
        <v>7594316.1000000006</v>
      </c>
      <c r="G1830" s="36" t="s">
        <v>8</v>
      </c>
      <c r="H1830" s="36" t="s">
        <v>228</v>
      </c>
      <c r="I1830" s="36"/>
      <c r="J1830" s="36"/>
    </row>
    <row r="1831" spans="1:10" x14ac:dyDescent="0.25">
      <c r="A1831" s="36">
        <v>1734</v>
      </c>
      <c r="B1831" s="37">
        <v>43862</v>
      </c>
      <c r="C1831" s="36"/>
      <c r="D1831" s="36"/>
      <c r="E1831" s="36" t="s">
        <v>23</v>
      </c>
      <c r="F1831" s="38">
        <v>7594316.1000000006</v>
      </c>
      <c r="G1831" s="36" t="s">
        <v>8</v>
      </c>
      <c r="H1831" s="36" t="s">
        <v>228</v>
      </c>
      <c r="I1831" s="36"/>
      <c r="J1831" s="36"/>
    </row>
    <row r="1832" spans="1:10" x14ac:dyDescent="0.25">
      <c r="A1832" s="36">
        <v>1734</v>
      </c>
      <c r="B1832" s="37">
        <v>43891</v>
      </c>
      <c r="C1832" s="36"/>
      <c r="D1832" s="36"/>
      <c r="E1832" s="36" t="s">
        <v>23</v>
      </c>
      <c r="F1832" s="38">
        <v>7594316.1000000006</v>
      </c>
      <c r="G1832" s="36" t="s">
        <v>8</v>
      </c>
      <c r="H1832" s="36" t="s">
        <v>228</v>
      </c>
      <c r="I1832" s="36"/>
      <c r="J1832" s="36"/>
    </row>
    <row r="1833" spans="1:10" x14ac:dyDescent="0.25">
      <c r="A1833" s="36">
        <v>1734</v>
      </c>
      <c r="B1833" s="37">
        <v>43922</v>
      </c>
      <c r="C1833" s="36"/>
      <c r="D1833" s="36"/>
      <c r="E1833" s="36" t="s">
        <v>23</v>
      </c>
      <c r="F1833" s="38">
        <v>7594316.1000000006</v>
      </c>
      <c r="G1833" s="36" t="s">
        <v>8</v>
      </c>
      <c r="H1833" s="36" t="s">
        <v>228</v>
      </c>
      <c r="I1833" s="36"/>
      <c r="J1833" s="36"/>
    </row>
    <row r="1834" spans="1:10" x14ac:dyDescent="0.25">
      <c r="A1834" s="36">
        <v>1734</v>
      </c>
      <c r="B1834" s="37">
        <v>43952</v>
      </c>
      <c r="C1834" s="36"/>
      <c r="D1834" s="36"/>
      <c r="E1834" s="36" t="s">
        <v>23</v>
      </c>
      <c r="F1834" s="38">
        <v>7594316.1000000006</v>
      </c>
      <c r="G1834" s="36" t="s">
        <v>8</v>
      </c>
      <c r="H1834" s="36" t="s">
        <v>228</v>
      </c>
      <c r="I1834" s="36"/>
      <c r="J1834" s="36"/>
    </row>
    <row r="1835" spans="1:10" x14ac:dyDescent="0.25">
      <c r="A1835" s="36">
        <v>1734</v>
      </c>
      <c r="B1835" s="37">
        <v>43983</v>
      </c>
      <c r="C1835" s="36"/>
      <c r="D1835" s="36"/>
      <c r="E1835" s="36" t="s">
        <v>23</v>
      </c>
      <c r="F1835" s="38">
        <v>7594316.1000000006</v>
      </c>
      <c r="G1835" s="36" t="s">
        <v>8</v>
      </c>
      <c r="H1835" s="36" t="s">
        <v>228</v>
      </c>
      <c r="I1835" s="36"/>
      <c r="J1835" s="36"/>
    </row>
    <row r="1836" spans="1:10" x14ac:dyDescent="0.25">
      <c r="A1836" s="36">
        <v>1734</v>
      </c>
      <c r="B1836" s="37">
        <v>44013</v>
      </c>
      <c r="C1836" s="36"/>
      <c r="D1836" s="36"/>
      <c r="E1836" s="36" t="s">
        <v>23</v>
      </c>
      <c r="F1836" s="38">
        <v>7594316.1000000006</v>
      </c>
      <c r="G1836" s="36" t="s">
        <v>8</v>
      </c>
      <c r="H1836" s="36" t="s">
        <v>228</v>
      </c>
      <c r="I1836" s="36"/>
      <c r="J1836" s="36"/>
    </row>
    <row r="1837" spans="1:10" x14ac:dyDescent="0.25">
      <c r="A1837" s="36">
        <v>1734</v>
      </c>
      <c r="B1837" s="37">
        <v>44044</v>
      </c>
      <c r="C1837" s="36"/>
      <c r="D1837" s="36"/>
      <c r="E1837" s="36" t="s">
        <v>23</v>
      </c>
      <c r="F1837" s="38">
        <v>7594316.1000000006</v>
      </c>
      <c r="G1837" s="36" t="s">
        <v>8</v>
      </c>
      <c r="H1837" s="36" t="s">
        <v>228</v>
      </c>
      <c r="I1837" s="36"/>
      <c r="J1837" s="36"/>
    </row>
    <row r="1838" spans="1:10" x14ac:dyDescent="0.25">
      <c r="A1838" s="36">
        <v>1734</v>
      </c>
      <c r="B1838" s="37">
        <v>44075</v>
      </c>
      <c r="C1838" s="36"/>
      <c r="D1838" s="36"/>
      <c r="E1838" s="36" t="s">
        <v>23</v>
      </c>
      <c r="F1838" s="38">
        <v>7594316.1000000006</v>
      </c>
      <c r="G1838" s="36" t="s">
        <v>8</v>
      </c>
      <c r="H1838" s="36" t="s">
        <v>228</v>
      </c>
      <c r="I1838" s="36"/>
      <c r="J1838" s="36"/>
    </row>
    <row r="1839" spans="1:10" x14ac:dyDescent="0.25">
      <c r="A1839" s="36">
        <v>1734</v>
      </c>
      <c r="B1839" s="37">
        <v>43647</v>
      </c>
      <c r="C1839" s="36"/>
      <c r="D1839" s="36"/>
      <c r="E1839" s="36" t="s">
        <v>123</v>
      </c>
      <c r="F1839" s="38">
        <v>7594316.1000000006</v>
      </c>
      <c r="G1839" s="36" t="s">
        <v>8</v>
      </c>
      <c r="H1839" s="36" t="s">
        <v>228</v>
      </c>
      <c r="I1839" s="36"/>
      <c r="J1839" s="36"/>
    </row>
    <row r="1840" spans="1:10" x14ac:dyDescent="0.25">
      <c r="A1840" s="36">
        <v>1734</v>
      </c>
      <c r="B1840" s="37">
        <v>43678</v>
      </c>
      <c r="C1840" s="36"/>
      <c r="D1840" s="36"/>
      <c r="E1840" s="36" t="s">
        <v>123</v>
      </c>
      <c r="F1840" s="38">
        <v>7594316.1000000006</v>
      </c>
      <c r="G1840" s="36" t="s">
        <v>8</v>
      </c>
      <c r="H1840" s="36" t="s">
        <v>228</v>
      </c>
      <c r="I1840" s="36"/>
      <c r="J1840" s="36"/>
    </row>
    <row r="1841" spans="1:10" x14ac:dyDescent="0.25">
      <c r="A1841" s="36">
        <v>1734</v>
      </c>
      <c r="B1841" s="37">
        <v>43709</v>
      </c>
      <c r="C1841" s="36"/>
      <c r="D1841" s="36"/>
      <c r="E1841" s="36" t="s">
        <v>123</v>
      </c>
      <c r="F1841" s="38">
        <v>7594316.1000000006</v>
      </c>
      <c r="G1841" s="36" t="s">
        <v>8</v>
      </c>
      <c r="H1841" s="36" t="s">
        <v>228</v>
      </c>
      <c r="I1841" s="36"/>
      <c r="J1841" s="36"/>
    </row>
    <row r="1842" spans="1:10" x14ac:dyDescent="0.25">
      <c r="A1842" s="36">
        <v>1734</v>
      </c>
      <c r="B1842" s="37">
        <v>43739</v>
      </c>
      <c r="C1842" s="36"/>
      <c r="D1842" s="36"/>
      <c r="E1842" s="36" t="s">
        <v>123</v>
      </c>
      <c r="F1842" s="38">
        <v>7594316.1000000006</v>
      </c>
      <c r="G1842" s="36" t="s">
        <v>8</v>
      </c>
      <c r="H1842" s="36" t="s">
        <v>228</v>
      </c>
      <c r="I1842" s="36"/>
      <c r="J1842" s="36"/>
    </row>
    <row r="1843" spans="1:10" x14ac:dyDescent="0.25">
      <c r="A1843" s="36">
        <v>1734</v>
      </c>
      <c r="B1843" s="37">
        <v>43770</v>
      </c>
      <c r="C1843" s="36"/>
      <c r="D1843" s="36"/>
      <c r="E1843" s="36" t="s">
        <v>123</v>
      </c>
      <c r="F1843" s="38">
        <v>7594316.1000000006</v>
      </c>
      <c r="G1843" s="36" t="s">
        <v>8</v>
      </c>
      <c r="H1843" s="36" t="s">
        <v>228</v>
      </c>
      <c r="I1843" s="36"/>
      <c r="J1843" s="36"/>
    </row>
    <row r="1844" spans="1:10" x14ac:dyDescent="0.25">
      <c r="A1844" s="36">
        <v>1734</v>
      </c>
      <c r="B1844" s="37">
        <v>43800</v>
      </c>
      <c r="C1844" s="36"/>
      <c r="D1844" s="36"/>
      <c r="E1844" s="36" t="s">
        <v>123</v>
      </c>
      <c r="F1844" s="38">
        <v>7594316.1000000006</v>
      </c>
      <c r="G1844" s="36" t="s">
        <v>8</v>
      </c>
      <c r="H1844" s="36" t="s">
        <v>228</v>
      </c>
      <c r="I1844" s="36"/>
      <c r="J1844" s="36"/>
    </row>
    <row r="1845" spans="1:10" x14ac:dyDescent="0.25">
      <c r="A1845" s="36">
        <v>1734</v>
      </c>
      <c r="B1845" s="37">
        <v>43831</v>
      </c>
      <c r="C1845" s="36"/>
      <c r="D1845" s="36"/>
      <c r="E1845" s="36" t="s">
        <v>123</v>
      </c>
      <c r="F1845" s="38">
        <v>7594316.1000000006</v>
      </c>
      <c r="G1845" s="36" t="s">
        <v>8</v>
      </c>
      <c r="H1845" s="36" t="s">
        <v>228</v>
      </c>
      <c r="I1845" s="36"/>
      <c r="J1845" s="36"/>
    </row>
    <row r="1846" spans="1:10" x14ac:dyDescent="0.25">
      <c r="A1846" s="36">
        <v>1734</v>
      </c>
      <c r="B1846" s="37">
        <v>43862</v>
      </c>
      <c r="C1846" s="36"/>
      <c r="D1846" s="36"/>
      <c r="E1846" s="36" t="s">
        <v>123</v>
      </c>
      <c r="F1846" s="38">
        <v>7594316.1000000006</v>
      </c>
      <c r="G1846" s="36" t="s">
        <v>8</v>
      </c>
      <c r="H1846" s="36" t="s">
        <v>228</v>
      </c>
      <c r="I1846" s="36"/>
      <c r="J1846" s="36"/>
    </row>
    <row r="1847" spans="1:10" x14ac:dyDescent="0.25">
      <c r="A1847" s="36">
        <v>1734</v>
      </c>
      <c r="B1847" s="37">
        <v>43891</v>
      </c>
      <c r="C1847" s="36"/>
      <c r="D1847" s="36"/>
      <c r="E1847" s="36" t="s">
        <v>123</v>
      </c>
      <c r="F1847" s="38">
        <v>7594316.1000000006</v>
      </c>
      <c r="G1847" s="36" t="s">
        <v>8</v>
      </c>
      <c r="H1847" s="36" t="s">
        <v>228</v>
      </c>
      <c r="I1847" s="36"/>
      <c r="J1847" s="36"/>
    </row>
    <row r="1848" spans="1:10" x14ac:dyDescent="0.25">
      <c r="A1848" s="36">
        <v>1734</v>
      </c>
      <c r="B1848" s="37">
        <v>43922</v>
      </c>
      <c r="C1848" s="36"/>
      <c r="D1848" s="36"/>
      <c r="E1848" s="36" t="s">
        <v>123</v>
      </c>
      <c r="F1848" s="38">
        <v>7594316.1000000006</v>
      </c>
      <c r="G1848" s="36" t="s">
        <v>8</v>
      </c>
      <c r="H1848" s="36" t="s">
        <v>228</v>
      </c>
      <c r="I1848" s="36"/>
      <c r="J1848" s="36"/>
    </row>
    <row r="1849" spans="1:10" x14ac:dyDescent="0.25">
      <c r="A1849" s="36">
        <v>1734</v>
      </c>
      <c r="B1849" s="37">
        <v>43952</v>
      </c>
      <c r="C1849" s="36"/>
      <c r="D1849" s="36"/>
      <c r="E1849" s="36" t="s">
        <v>123</v>
      </c>
      <c r="F1849" s="38">
        <v>7594316.1000000006</v>
      </c>
      <c r="G1849" s="36" t="s">
        <v>8</v>
      </c>
      <c r="H1849" s="36" t="s">
        <v>228</v>
      </c>
      <c r="I1849" s="36"/>
      <c r="J1849" s="36"/>
    </row>
    <row r="1850" spans="1:10" x14ac:dyDescent="0.25">
      <c r="A1850" s="36">
        <v>1734</v>
      </c>
      <c r="B1850" s="37">
        <v>43983</v>
      </c>
      <c r="C1850" s="36"/>
      <c r="D1850" s="36"/>
      <c r="E1850" s="36" t="s">
        <v>123</v>
      </c>
      <c r="F1850" s="38">
        <v>7594316.1000000006</v>
      </c>
      <c r="G1850" s="36" t="s">
        <v>8</v>
      </c>
      <c r="H1850" s="36" t="s">
        <v>228</v>
      </c>
      <c r="I1850" s="36"/>
      <c r="J1850" s="36"/>
    </row>
    <row r="1851" spans="1:10" x14ac:dyDescent="0.25">
      <c r="A1851" s="36">
        <v>1734</v>
      </c>
      <c r="B1851" s="37">
        <v>44013</v>
      </c>
      <c r="C1851" s="36"/>
      <c r="D1851" s="36"/>
      <c r="E1851" s="36" t="s">
        <v>123</v>
      </c>
      <c r="F1851" s="38">
        <v>7594316.1000000006</v>
      </c>
      <c r="G1851" s="36" t="s">
        <v>8</v>
      </c>
      <c r="H1851" s="36" t="s">
        <v>228</v>
      </c>
      <c r="I1851" s="36"/>
      <c r="J1851" s="36"/>
    </row>
    <row r="1852" spans="1:10" x14ac:dyDescent="0.25">
      <c r="A1852" s="36">
        <v>1734</v>
      </c>
      <c r="B1852" s="37">
        <v>44044</v>
      </c>
      <c r="C1852" s="36"/>
      <c r="D1852" s="36"/>
      <c r="E1852" s="36" t="s">
        <v>123</v>
      </c>
      <c r="F1852" s="38">
        <v>7594316.1000000006</v>
      </c>
      <c r="G1852" s="36" t="s">
        <v>8</v>
      </c>
      <c r="H1852" s="36" t="s">
        <v>228</v>
      </c>
      <c r="I1852" s="36"/>
      <c r="J1852" s="36"/>
    </row>
    <row r="1853" spans="1:10" x14ac:dyDescent="0.25">
      <c r="A1853" s="36">
        <v>1734</v>
      </c>
      <c r="B1853" s="37">
        <v>44075</v>
      </c>
      <c r="C1853" s="36"/>
      <c r="D1853" s="36"/>
      <c r="E1853" s="36" t="s">
        <v>123</v>
      </c>
      <c r="F1853" s="38">
        <v>7594316.1000000006</v>
      </c>
      <c r="G1853" s="36" t="s">
        <v>8</v>
      </c>
      <c r="H1853" s="36" t="s">
        <v>228</v>
      </c>
      <c r="I1853" s="36"/>
      <c r="J1853" s="36"/>
    </row>
    <row r="1854" spans="1:10" x14ac:dyDescent="0.25">
      <c r="A1854" s="36">
        <v>1734</v>
      </c>
      <c r="B1854" s="37">
        <v>43647</v>
      </c>
      <c r="C1854" s="36"/>
      <c r="D1854" s="36"/>
      <c r="E1854" s="36" t="s">
        <v>11</v>
      </c>
      <c r="F1854" s="38">
        <v>7008008.1750000007</v>
      </c>
      <c r="G1854" s="36" t="s">
        <v>8</v>
      </c>
      <c r="H1854" s="36" t="s">
        <v>228</v>
      </c>
      <c r="I1854" s="36"/>
      <c r="J1854" s="36"/>
    </row>
    <row r="1855" spans="1:10" x14ac:dyDescent="0.25">
      <c r="A1855" s="36">
        <v>1734</v>
      </c>
      <c r="B1855" s="37">
        <v>43678</v>
      </c>
      <c r="C1855" s="36"/>
      <c r="D1855" s="36"/>
      <c r="E1855" s="36" t="s">
        <v>11</v>
      </c>
      <c r="F1855" s="38">
        <v>7008008.1750000007</v>
      </c>
      <c r="G1855" s="36" t="s">
        <v>8</v>
      </c>
      <c r="H1855" s="36" t="s">
        <v>228</v>
      </c>
      <c r="I1855" s="36"/>
      <c r="J1855" s="36"/>
    </row>
    <row r="1856" spans="1:10" x14ac:dyDescent="0.25">
      <c r="A1856" s="36">
        <v>1734</v>
      </c>
      <c r="B1856" s="37">
        <v>43709</v>
      </c>
      <c r="C1856" s="36"/>
      <c r="D1856" s="36"/>
      <c r="E1856" s="36" t="s">
        <v>11</v>
      </c>
      <c r="F1856" s="38">
        <v>7008008.1750000007</v>
      </c>
      <c r="G1856" s="36" t="s">
        <v>8</v>
      </c>
      <c r="H1856" s="36" t="s">
        <v>228</v>
      </c>
      <c r="I1856" s="36"/>
      <c r="J1856" s="36"/>
    </row>
    <row r="1857" spans="1:10" x14ac:dyDescent="0.25">
      <c r="A1857" s="36">
        <v>1734</v>
      </c>
      <c r="B1857" s="37">
        <v>43739</v>
      </c>
      <c r="C1857" s="36"/>
      <c r="D1857" s="36"/>
      <c r="E1857" s="36" t="s">
        <v>11</v>
      </c>
      <c r="F1857" s="38">
        <v>7008008.1750000007</v>
      </c>
      <c r="G1857" s="36" t="s">
        <v>8</v>
      </c>
      <c r="H1857" s="36" t="s">
        <v>228</v>
      </c>
      <c r="I1857" s="36"/>
      <c r="J1857" s="36"/>
    </row>
    <row r="1858" spans="1:10" x14ac:dyDescent="0.25">
      <c r="A1858" s="36">
        <v>1734</v>
      </c>
      <c r="B1858" s="37">
        <v>43770</v>
      </c>
      <c r="C1858" s="36"/>
      <c r="D1858" s="36"/>
      <c r="E1858" s="36" t="s">
        <v>11</v>
      </c>
      <c r="F1858" s="38">
        <v>7008008.1750000007</v>
      </c>
      <c r="G1858" s="36" t="s">
        <v>8</v>
      </c>
      <c r="H1858" s="36" t="s">
        <v>228</v>
      </c>
      <c r="I1858" s="36"/>
      <c r="J1858" s="36"/>
    </row>
    <row r="1859" spans="1:10" x14ac:dyDescent="0.25">
      <c r="A1859" s="36">
        <v>1734</v>
      </c>
      <c r="B1859" s="37">
        <v>43800</v>
      </c>
      <c r="C1859" s="36"/>
      <c r="D1859" s="36"/>
      <c r="E1859" s="36" t="s">
        <v>11</v>
      </c>
      <c r="F1859" s="38">
        <v>7008008.1750000007</v>
      </c>
      <c r="G1859" s="36" t="s">
        <v>8</v>
      </c>
      <c r="H1859" s="36" t="s">
        <v>228</v>
      </c>
      <c r="I1859" s="36"/>
      <c r="J1859" s="36"/>
    </row>
    <row r="1860" spans="1:10" x14ac:dyDescent="0.25">
      <c r="A1860" s="36">
        <v>1734</v>
      </c>
      <c r="B1860" s="37">
        <v>43831</v>
      </c>
      <c r="C1860" s="36"/>
      <c r="D1860" s="36"/>
      <c r="E1860" s="36" t="s">
        <v>11</v>
      </c>
      <c r="F1860" s="38">
        <v>7008008.1750000007</v>
      </c>
      <c r="G1860" s="36" t="s">
        <v>8</v>
      </c>
      <c r="H1860" s="36" t="s">
        <v>228</v>
      </c>
      <c r="I1860" s="36"/>
      <c r="J1860" s="36"/>
    </row>
    <row r="1861" spans="1:10" x14ac:dyDescent="0.25">
      <c r="A1861" s="36">
        <v>1734</v>
      </c>
      <c r="B1861" s="37">
        <v>43862</v>
      </c>
      <c r="C1861" s="36"/>
      <c r="D1861" s="36"/>
      <c r="E1861" s="36" t="s">
        <v>11</v>
      </c>
      <c r="F1861" s="38">
        <v>7008008.1750000007</v>
      </c>
      <c r="G1861" s="36" t="s">
        <v>8</v>
      </c>
      <c r="H1861" s="36" t="s">
        <v>228</v>
      </c>
      <c r="I1861" s="36"/>
      <c r="J1861" s="36"/>
    </row>
    <row r="1862" spans="1:10" x14ac:dyDescent="0.25">
      <c r="A1862" s="36">
        <v>1734</v>
      </c>
      <c r="B1862" s="37">
        <v>43891</v>
      </c>
      <c r="C1862" s="36"/>
      <c r="D1862" s="36"/>
      <c r="E1862" s="36" t="s">
        <v>11</v>
      </c>
      <c r="F1862" s="38">
        <v>7008008.1750000007</v>
      </c>
      <c r="G1862" s="36" t="s">
        <v>8</v>
      </c>
      <c r="H1862" s="36" t="s">
        <v>228</v>
      </c>
      <c r="I1862" s="36"/>
      <c r="J1862" s="36"/>
    </row>
    <row r="1863" spans="1:10" x14ac:dyDescent="0.25">
      <c r="A1863" s="36">
        <v>1734</v>
      </c>
      <c r="B1863" s="37">
        <v>43922</v>
      </c>
      <c r="C1863" s="36"/>
      <c r="D1863" s="36"/>
      <c r="E1863" s="36" t="s">
        <v>11</v>
      </c>
      <c r="F1863" s="38">
        <v>7008008.1750000007</v>
      </c>
      <c r="G1863" s="36" t="s">
        <v>8</v>
      </c>
      <c r="H1863" s="36" t="s">
        <v>228</v>
      </c>
      <c r="I1863" s="36"/>
      <c r="J1863" s="36"/>
    </row>
    <row r="1864" spans="1:10" x14ac:dyDescent="0.25">
      <c r="A1864" s="36">
        <v>1734</v>
      </c>
      <c r="B1864" s="37">
        <v>43952</v>
      </c>
      <c r="C1864" s="36"/>
      <c r="D1864" s="36"/>
      <c r="E1864" s="36" t="s">
        <v>11</v>
      </c>
      <c r="F1864" s="38">
        <v>7008008.1750000007</v>
      </c>
      <c r="G1864" s="36" t="s">
        <v>8</v>
      </c>
      <c r="H1864" s="36" t="s">
        <v>228</v>
      </c>
      <c r="I1864" s="36"/>
      <c r="J1864" s="36"/>
    </row>
    <row r="1865" spans="1:10" x14ac:dyDescent="0.25">
      <c r="A1865" s="36">
        <v>1734</v>
      </c>
      <c r="B1865" s="37">
        <v>43983</v>
      </c>
      <c r="C1865" s="36"/>
      <c r="D1865" s="36"/>
      <c r="E1865" s="36" t="s">
        <v>11</v>
      </c>
      <c r="F1865" s="38">
        <v>7008008.1750000007</v>
      </c>
      <c r="G1865" s="36" t="s">
        <v>8</v>
      </c>
      <c r="H1865" s="36" t="s">
        <v>228</v>
      </c>
      <c r="I1865" s="36"/>
      <c r="J1865" s="36"/>
    </row>
    <row r="1866" spans="1:10" x14ac:dyDescent="0.25">
      <c r="A1866" s="36">
        <v>1734</v>
      </c>
      <c r="B1866" s="37">
        <v>44013</v>
      </c>
      <c r="C1866" s="36"/>
      <c r="D1866" s="36"/>
      <c r="E1866" s="36" t="s">
        <v>11</v>
      </c>
      <c r="F1866" s="38">
        <v>7008008.1750000007</v>
      </c>
      <c r="G1866" s="36" t="s">
        <v>8</v>
      </c>
      <c r="H1866" s="36" t="s">
        <v>228</v>
      </c>
      <c r="I1866" s="36"/>
      <c r="J1866" s="36"/>
    </row>
    <row r="1867" spans="1:10" x14ac:dyDescent="0.25">
      <c r="A1867" s="36">
        <v>1734</v>
      </c>
      <c r="B1867" s="37">
        <v>44044</v>
      </c>
      <c r="C1867" s="36"/>
      <c r="D1867" s="36"/>
      <c r="E1867" s="36" t="s">
        <v>11</v>
      </c>
      <c r="F1867" s="38">
        <v>7008008.1750000007</v>
      </c>
      <c r="G1867" s="36" t="s">
        <v>8</v>
      </c>
      <c r="H1867" s="36" t="s">
        <v>228</v>
      </c>
      <c r="I1867" s="36"/>
      <c r="J1867" s="36"/>
    </row>
    <row r="1868" spans="1:10" x14ac:dyDescent="0.25">
      <c r="A1868" s="36">
        <v>1734</v>
      </c>
      <c r="B1868" s="37">
        <v>44075</v>
      </c>
      <c r="C1868" s="36"/>
      <c r="D1868" s="36"/>
      <c r="E1868" s="36" t="s">
        <v>11</v>
      </c>
      <c r="F1868" s="38">
        <v>7008008.1750000007</v>
      </c>
      <c r="G1868" s="36" t="s">
        <v>8</v>
      </c>
      <c r="H1868" s="36" t="s">
        <v>228</v>
      </c>
      <c r="I1868" s="36"/>
      <c r="J1868" s="36"/>
    </row>
    <row r="1869" spans="1:10" x14ac:dyDescent="0.25">
      <c r="A1869" s="36">
        <v>1734</v>
      </c>
      <c r="B1869" s="37">
        <v>43466</v>
      </c>
      <c r="C1869" s="36"/>
      <c r="D1869" s="36"/>
      <c r="E1869" s="36" t="s">
        <v>124</v>
      </c>
      <c r="F1869" s="38">
        <v>3731425.4250000003</v>
      </c>
      <c r="G1869" s="36" t="s">
        <v>8</v>
      </c>
      <c r="H1869" s="36" t="s">
        <v>228</v>
      </c>
      <c r="I1869" s="36"/>
      <c r="J1869" s="36"/>
    </row>
    <row r="1870" spans="1:10" x14ac:dyDescent="0.25">
      <c r="A1870" s="36">
        <v>1734</v>
      </c>
      <c r="B1870" s="37">
        <v>43497</v>
      </c>
      <c r="C1870" s="36"/>
      <c r="D1870" s="36"/>
      <c r="E1870" s="36" t="s">
        <v>124</v>
      </c>
      <c r="F1870" s="38">
        <v>3731425.4250000003</v>
      </c>
      <c r="G1870" s="36" t="s">
        <v>8</v>
      </c>
      <c r="H1870" s="36" t="s">
        <v>228</v>
      </c>
      <c r="I1870" s="36"/>
      <c r="J1870" s="36"/>
    </row>
    <row r="1871" spans="1:10" x14ac:dyDescent="0.25">
      <c r="A1871" s="36">
        <v>1734</v>
      </c>
      <c r="B1871" s="37">
        <v>43525</v>
      </c>
      <c r="C1871" s="36"/>
      <c r="D1871" s="36"/>
      <c r="E1871" s="36" t="s">
        <v>124</v>
      </c>
      <c r="F1871" s="38">
        <v>3731425.4250000003</v>
      </c>
      <c r="G1871" s="36" t="s">
        <v>8</v>
      </c>
      <c r="H1871" s="36" t="s">
        <v>228</v>
      </c>
      <c r="I1871" s="36"/>
      <c r="J1871" s="36"/>
    </row>
    <row r="1872" spans="1:10" x14ac:dyDescent="0.25">
      <c r="A1872" s="36">
        <v>1734</v>
      </c>
      <c r="B1872" s="37">
        <v>43556</v>
      </c>
      <c r="C1872" s="36"/>
      <c r="D1872" s="36"/>
      <c r="E1872" s="36" t="s">
        <v>124</v>
      </c>
      <c r="F1872" s="38">
        <v>3731425.4250000003</v>
      </c>
      <c r="G1872" s="36" t="s">
        <v>8</v>
      </c>
      <c r="H1872" s="36" t="s">
        <v>228</v>
      </c>
      <c r="I1872" s="36"/>
      <c r="J1872" s="36"/>
    </row>
    <row r="1873" spans="1:10" x14ac:dyDescent="0.25">
      <c r="A1873" s="36">
        <v>1734</v>
      </c>
      <c r="B1873" s="37">
        <v>43586</v>
      </c>
      <c r="C1873" s="36"/>
      <c r="D1873" s="36"/>
      <c r="E1873" s="36" t="s">
        <v>124</v>
      </c>
      <c r="F1873" s="38">
        <v>3731425.4250000003</v>
      </c>
      <c r="G1873" s="36" t="s">
        <v>8</v>
      </c>
      <c r="H1873" s="36" t="s">
        <v>228</v>
      </c>
      <c r="I1873" s="36"/>
      <c r="J1873" s="36"/>
    </row>
    <row r="1874" spans="1:10" x14ac:dyDescent="0.25">
      <c r="A1874" s="36">
        <v>1734</v>
      </c>
      <c r="B1874" s="37">
        <v>43617</v>
      </c>
      <c r="C1874" s="36"/>
      <c r="D1874" s="36"/>
      <c r="E1874" s="36" t="s">
        <v>124</v>
      </c>
      <c r="F1874" s="38">
        <v>3731425.4250000003</v>
      </c>
      <c r="G1874" s="36" t="s">
        <v>8</v>
      </c>
      <c r="H1874" s="36" t="s">
        <v>228</v>
      </c>
      <c r="I1874" s="36"/>
      <c r="J1874" s="36"/>
    </row>
    <row r="1875" spans="1:10" x14ac:dyDescent="0.25">
      <c r="A1875" s="36">
        <v>1734</v>
      </c>
      <c r="B1875" s="37">
        <v>43647</v>
      </c>
      <c r="C1875" s="36"/>
      <c r="D1875" s="36"/>
      <c r="E1875" s="36" t="s">
        <v>124</v>
      </c>
      <c r="F1875" s="38">
        <v>3731425.4250000003</v>
      </c>
      <c r="G1875" s="36" t="s">
        <v>8</v>
      </c>
      <c r="H1875" s="36" t="s">
        <v>228</v>
      </c>
      <c r="I1875" s="36"/>
      <c r="J1875" s="36"/>
    </row>
    <row r="1876" spans="1:10" x14ac:dyDescent="0.25">
      <c r="A1876" s="36">
        <v>1734</v>
      </c>
      <c r="B1876" s="37">
        <v>43678</v>
      </c>
      <c r="C1876" s="36"/>
      <c r="D1876" s="36"/>
      <c r="E1876" s="36" t="s">
        <v>124</v>
      </c>
      <c r="F1876" s="38">
        <v>3731425.4250000003</v>
      </c>
      <c r="G1876" s="36" t="s">
        <v>8</v>
      </c>
      <c r="H1876" s="36" t="s">
        <v>228</v>
      </c>
      <c r="I1876" s="36"/>
      <c r="J1876" s="36"/>
    </row>
    <row r="1877" spans="1:10" x14ac:dyDescent="0.25">
      <c r="A1877" s="36">
        <v>1734</v>
      </c>
      <c r="B1877" s="37">
        <v>43709</v>
      </c>
      <c r="C1877" s="36"/>
      <c r="D1877" s="36"/>
      <c r="E1877" s="36" t="s">
        <v>124</v>
      </c>
      <c r="F1877" s="38">
        <v>3731425.4250000003</v>
      </c>
      <c r="G1877" s="36" t="s">
        <v>8</v>
      </c>
      <c r="H1877" s="36" t="s">
        <v>228</v>
      </c>
      <c r="I1877" s="36"/>
      <c r="J1877" s="36"/>
    </row>
    <row r="1878" spans="1:10" x14ac:dyDescent="0.25">
      <c r="A1878" s="36">
        <v>1734</v>
      </c>
      <c r="B1878" s="37">
        <v>43739</v>
      </c>
      <c r="C1878" s="36"/>
      <c r="D1878" s="36"/>
      <c r="E1878" s="36" t="s">
        <v>124</v>
      </c>
      <c r="F1878" s="38">
        <v>3731425.4250000003</v>
      </c>
      <c r="G1878" s="36" t="s">
        <v>8</v>
      </c>
      <c r="H1878" s="36" t="s">
        <v>228</v>
      </c>
      <c r="I1878" s="36"/>
      <c r="J1878" s="36"/>
    </row>
    <row r="1879" spans="1:10" x14ac:dyDescent="0.25">
      <c r="A1879" s="36">
        <v>1734</v>
      </c>
      <c r="B1879" s="37">
        <v>43770</v>
      </c>
      <c r="C1879" s="36"/>
      <c r="D1879" s="36"/>
      <c r="E1879" s="36" t="s">
        <v>124</v>
      </c>
      <c r="F1879" s="38">
        <v>3731425.4250000003</v>
      </c>
      <c r="G1879" s="36" t="s">
        <v>8</v>
      </c>
      <c r="H1879" s="36" t="s">
        <v>228</v>
      </c>
      <c r="I1879" s="36"/>
      <c r="J1879" s="36"/>
    </row>
    <row r="1880" spans="1:10" x14ac:dyDescent="0.25">
      <c r="A1880" s="36">
        <v>1734</v>
      </c>
      <c r="B1880" s="37">
        <v>43800</v>
      </c>
      <c r="C1880" s="36"/>
      <c r="D1880" s="36"/>
      <c r="E1880" s="36" t="s">
        <v>124</v>
      </c>
      <c r="F1880" s="38">
        <v>3731425.4250000003</v>
      </c>
      <c r="G1880" s="36" t="s">
        <v>8</v>
      </c>
      <c r="H1880" s="36" t="s">
        <v>228</v>
      </c>
      <c r="I1880" s="36"/>
      <c r="J1880" s="36"/>
    </row>
    <row r="1881" spans="1:10" x14ac:dyDescent="0.25">
      <c r="A1881" s="36">
        <v>1734</v>
      </c>
      <c r="B1881" s="37">
        <v>43831</v>
      </c>
      <c r="C1881" s="36"/>
      <c r="D1881" s="36"/>
      <c r="E1881" s="36" t="s">
        <v>124</v>
      </c>
      <c r="F1881" s="38">
        <v>3731425.4250000003</v>
      </c>
      <c r="G1881" s="36" t="s">
        <v>8</v>
      </c>
      <c r="H1881" s="36" t="s">
        <v>228</v>
      </c>
      <c r="I1881" s="36"/>
      <c r="J1881" s="36"/>
    </row>
    <row r="1882" spans="1:10" x14ac:dyDescent="0.25">
      <c r="A1882" s="36">
        <v>1734</v>
      </c>
      <c r="B1882" s="37">
        <v>43862</v>
      </c>
      <c r="C1882" s="36"/>
      <c r="D1882" s="36"/>
      <c r="E1882" s="36" t="s">
        <v>124</v>
      </c>
      <c r="F1882" s="38">
        <v>3731425.4250000003</v>
      </c>
      <c r="G1882" s="36" t="s">
        <v>8</v>
      </c>
      <c r="H1882" s="36" t="s">
        <v>228</v>
      </c>
      <c r="I1882" s="36"/>
      <c r="J1882" s="36"/>
    </row>
    <row r="1883" spans="1:10" x14ac:dyDescent="0.25">
      <c r="A1883" s="36">
        <v>1734</v>
      </c>
      <c r="B1883" s="37">
        <v>43891</v>
      </c>
      <c r="C1883" s="36"/>
      <c r="D1883" s="36"/>
      <c r="E1883" s="36" t="s">
        <v>124</v>
      </c>
      <c r="F1883" s="38">
        <v>3731425.4250000003</v>
      </c>
      <c r="G1883" s="36" t="s">
        <v>8</v>
      </c>
      <c r="H1883" s="36" t="s">
        <v>228</v>
      </c>
      <c r="I1883" s="36"/>
      <c r="J1883" s="36"/>
    </row>
    <row r="1884" spans="1:10" x14ac:dyDescent="0.25">
      <c r="A1884" s="36">
        <v>1734</v>
      </c>
      <c r="B1884" s="37">
        <v>43922</v>
      </c>
      <c r="C1884" s="36"/>
      <c r="D1884" s="36"/>
      <c r="E1884" s="36" t="s">
        <v>124</v>
      </c>
      <c r="F1884" s="38">
        <v>3731425.4250000003</v>
      </c>
      <c r="G1884" s="36" t="s">
        <v>8</v>
      </c>
      <c r="H1884" s="36" t="s">
        <v>228</v>
      </c>
      <c r="I1884" s="36"/>
      <c r="J1884" s="36"/>
    </row>
    <row r="1885" spans="1:10" x14ac:dyDescent="0.25">
      <c r="A1885" s="36">
        <v>1734</v>
      </c>
      <c r="B1885" s="37">
        <v>43952</v>
      </c>
      <c r="C1885" s="36"/>
      <c r="D1885" s="36"/>
      <c r="E1885" s="36" t="s">
        <v>124</v>
      </c>
      <c r="F1885" s="38">
        <v>3731425.4250000003</v>
      </c>
      <c r="G1885" s="36" t="s">
        <v>8</v>
      </c>
      <c r="H1885" s="36" t="s">
        <v>228</v>
      </c>
      <c r="I1885" s="36"/>
      <c r="J1885" s="36"/>
    </row>
    <row r="1886" spans="1:10" x14ac:dyDescent="0.25">
      <c r="A1886" s="36">
        <v>1734</v>
      </c>
      <c r="B1886" s="37">
        <v>43983</v>
      </c>
      <c r="C1886" s="36"/>
      <c r="D1886" s="36"/>
      <c r="E1886" s="36" t="s">
        <v>124</v>
      </c>
      <c r="F1886" s="38">
        <v>3731425.4250000003</v>
      </c>
      <c r="G1886" s="36" t="s">
        <v>8</v>
      </c>
      <c r="H1886" s="36" t="s">
        <v>228</v>
      </c>
      <c r="I1886" s="36"/>
      <c r="J1886" s="36"/>
    </row>
    <row r="1887" spans="1:10" x14ac:dyDescent="0.25">
      <c r="A1887" s="36">
        <v>1734</v>
      </c>
      <c r="B1887" s="37">
        <v>44013</v>
      </c>
      <c r="C1887" s="36"/>
      <c r="D1887" s="36"/>
      <c r="E1887" s="36" t="s">
        <v>124</v>
      </c>
      <c r="F1887" s="38">
        <v>3731425.4250000003</v>
      </c>
      <c r="G1887" s="36" t="s">
        <v>8</v>
      </c>
      <c r="H1887" s="36" t="s">
        <v>228</v>
      </c>
      <c r="I1887" s="36"/>
      <c r="J1887" s="36"/>
    </row>
    <row r="1888" spans="1:10" x14ac:dyDescent="0.25">
      <c r="A1888" s="36">
        <v>1734</v>
      </c>
      <c r="B1888" s="37">
        <v>44044</v>
      </c>
      <c r="C1888" s="36"/>
      <c r="D1888" s="36"/>
      <c r="E1888" s="36" t="s">
        <v>124</v>
      </c>
      <c r="F1888" s="38">
        <v>3731425.4250000003</v>
      </c>
      <c r="G1888" s="36" t="s">
        <v>8</v>
      </c>
      <c r="H1888" s="36" t="s">
        <v>228</v>
      </c>
      <c r="I1888" s="36"/>
      <c r="J1888" s="36"/>
    </row>
    <row r="1889" spans="1:10" x14ac:dyDescent="0.25">
      <c r="A1889" s="36">
        <v>1734</v>
      </c>
      <c r="B1889" s="37">
        <v>44075</v>
      </c>
      <c r="C1889" s="36"/>
      <c r="D1889" s="36"/>
      <c r="E1889" s="36" t="s">
        <v>124</v>
      </c>
      <c r="F1889" s="38">
        <v>3731425.4250000003</v>
      </c>
      <c r="G1889" s="36" t="s">
        <v>8</v>
      </c>
      <c r="H1889" s="36" t="s">
        <v>228</v>
      </c>
      <c r="I1889" s="36"/>
      <c r="J1889" s="36"/>
    </row>
    <row r="1890" spans="1:10" x14ac:dyDescent="0.25">
      <c r="A1890" s="36">
        <v>1734</v>
      </c>
      <c r="B1890" s="37">
        <v>43466</v>
      </c>
      <c r="C1890" s="36"/>
      <c r="D1890" s="36"/>
      <c r="E1890" s="36" t="s">
        <v>125</v>
      </c>
      <c r="F1890" s="38">
        <v>3544014.6</v>
      </c>
      <c r="G1890" s="36" t="s">
        <v>8</v>
      </c>
      <c r="H1890" s="36" t="s">
        <v>228</v>
      </c>
      <c r="I1890" s="36"/>
      <c r="J1890" s="36"/>
    </row>
    <row r="1891" spans="1:10" x14ac:dyDescent="0.25">
      <c r="A1891" s="36">
        <v>1734</v>
      </c>
      <c r="B1891" s="37">
        <v>43497</v>
      </c>
      <c r="C1891" s="36"/>
      <c r="D1891" s="36"/>
      <c r="E1891" s="36" t="s">
        <v>125</v>
      </c>
      <c r="F1891" s="38">
        <v>3544014.6</v>
      </c>
      <c r="G1891" s="36" t="s">
        <v>8</v>
      </c>
      <c r="H1891" s="36" t="s">
        <v>228</v>
      </c>
      <c r="I1891" s="36"/>
      <c r="J1891" s="36"/>
    </row>
    <row r="1892" spans="1:10" x14ac:dyDescent="0.25">
      <c r="A1892" s="36">
        <v>1734</v>
      </c>
      <c r="B1892" s="37">
        <v>43525</v>
      </c>
      <c r="C1892" s="36"/>
      <c r="D1892" s="36"/>
      <c r="E1892" s="36" t="s">
        <v>125</v>
      </c>
      <c r="F1892" s="38">
        <v>3544014.6</v>
      </c>
      <c r="G1892" s="36" t="s">
        <v>8</v>
      </c>
      <c r="H1892" s="36" t="s">
        <v>228</v>
      </c>
      <c r="I1892" s="36"/>
      <c r="J1892" s="36"/>
    </row>
    <row r="1893" spans="1:10" x14ac:dyDescent="0.25">
      <c r="A1893" s="36">
        <v>1734</v>
      </c>
      <c r="B1893" s="37">
        <v>43556</v>
      </c>
      <c r="C1893" s="36"/>
      <c r="D1893" s="36"/>
      <c r="E1893" s="36" t="s">
        <v>125</v>
      </c>
      <c r="F1893" s="38">
        <v>3544014.6</v>
      </c>
      <c r="G1893" s="36" t="s">
        <v>8</v>
      </c>
      <c r="H1893" s="36" t="s">
        <v>228</v>
      </c>
      <c r="I1893" s="36"/>
      <c r="J1893" s="36"/>
    </row>
    <row r="1894" spans="1:10" x14ac:dyDescent="0.25">
      <c r="A1894" s="36">
        <v>1734</v>
      </c>
      <c r="B1894" s="37">
        <v>43586</v>
      </c>
      <c r="C1894" s="36"/>
      <c r="D1894" s="36"/>
      <c r="E1894" s="36" t="s">
        <v>125</v>
      </c>
      <c r="F1894" s="38">
        <v>3544014.6</v>
      </c>
      <c r="G1894" s="36" t="s">
        <v>8</v>
      </c>
      <c r="H1894" s="36" t="s">
        <v>228</v>
      </c>
      <c r="I1894" s="36"/>
      <c r="J1894" s="36"/>
    </row>
    <row r="1895" spans="1:10" x14ac:dyDescent="0.25">
      <c r="A1895" s="36">
        <v>1734</v>
      </c>
      <c r="B1895" s="37">
        <v>43617</v>
      </c>
      <c r="C1895" s="36"/>
      <c r="D1895" s="36"/>
      <c r="E1895" s="36" t="s">
        <v>125</v>
      </c>
      <c r="F1895" s="38">
        <v>3544014.6</v>
      </c>
      <c r="G1895" s="36" t="s">
        <v>8</v>
      </c>
      <c r="H1895" s="36" t="s">
        <v>228</v>
      </c>
      <c r="I1895" s="36"/>
      <c r="J1895" s="36"/>
    </row>
    <row r="1896" spans="1:10" x14ac:dyDescent="0.25">
      <c r="A1896" s="36">
        <v>1734</v>
      </c>
      <c r="B1896" s="37">
        <v>43647</v>
      </c>
      <c r="C1896" s="36"/>
      <c r="D1896" s="36"/>
      <c r="E1896" s="36" t="s">
        <v>125</v>
      </c>
      <c r="F1896" s="38">
        <v>3544014.6</v>
      </c>
      <c r="G1896" s="36" t="s">
        <v>8</v>
      </c>
      <c r="H1896" s="36" t="s">
        <v>228</v>
      </c>
      <c r="I1896" s="36"/>
      <c r="J1896" s="36"/>
    </row>
    <row r="1897" spans="1:10" x14ac:dyDescent="0.25">
      <c r="A1897" s="36">
        <v>1734</v>
      </c>
      <c r="B1897" s="37">
        <v>43678</v>
      </c>
      <c r="C1897" s="36"/>
      <c r="D1897" s="36"/>
      <c r="E1897" s="36" t="s">
        <v>125</v>
      </c>
      <c r="F1897" s="38">
        <v>3544014.6</v>
      </c>
      <c r="G1897" s="36" t="s">
        <v>8</v>
      </c>
      <c r="H1897" s="36" t="s">
        <v>228</v>
      </c>
      <c r="I1897" s="36"/>
      <c r="J1897" s="36"/>
    </row>
    <row r="1898" spans="1:10" x14ac:dyDescent="0.25">
      <c r="A1898" s="36">
        <v>1734</v>
      </c>
      <c r="B1898" s="37">
        <v>43709</v>
      </c>
      <c r="C1898" s="36"/>
      <c r="D1898" s="36"/>
      <c r="E1898" s="36" t="s">
        <v>125</v>
      </c>
      <c r="F1898" s="38">
        <v>3544014.6</v>
      </c>
      <c r="G1898" s="36" t="s">
        <v>8</v>
      </c>
      <c r="H1898" s="36" t="s">
        <v>228</v>
      </c>
      <c r="I1898" s="36"/>
      <c r="J1898" s="36"/>
    </row>
    <row r="1899" spans="1:10" x14ac:dyDescent="0.25">
      <c r="A1899" s="36">
        <v>1734</v>
      </c>
      <c r="B1899" s="37">
        <v>43739</v>
      </c>
      <c r="C1899" s="36"/>
      <c r="D1899" s="36"/>
      <c r="E1899" s="36" t="s">
        <v>125</v>
      </c>
      <c r="F1899" s="38">
        <v>3544014.6</v>
      </c>
      <c r="G1899" s="36" t="s">
        <v>8</v>
      </c>
      <c r="H1899" s="36" t="s">
        <v>228</v>
      </c>
      <c r="I1899" s="36"/>
      <c r="J1899" s="36"/>
    </row>
    <row r="1900" spans="1:10" x14ac:dyDescent="0.25">
      <c r="A1900" s="36">
        <v>1734</v>
      </c>
      <c r="B1900" s="37">
        <v>43770</v>
      </c>
      <c r="C1900" s="36"/>
      <c r="D1900" s="36"/>
      <c r="E1900" s="36" t="s">
        <v>125</v>
      </c>
      <c r="F1900" s="38">
        <v>3544014.6</v>
      </c>
      <c r="G1900" s="36" t="s">
        <v>8</v>
      </c>
      <c r="H1900" s="36" t="s">
        <v>228</v>
      </c>
      <c r="I1900" s="36"/>
      <c r="J1900" s="36"/>
    </row>
    <row r="1901" spans="1:10" x14ac:dyDescent="0.25">
      <c r="A1901" s="36">
        <v>1734</v>
      </c>
      <c r="B1901" s="37">
        <v>43800</v>
      </c>
      <c r="C1901" s="36"/>
      <c r="D1901" s="36"/>
      <c r="E1901" s="36" t="s">
        <v>125</v>
      </c>
      <c r="F1901" s="38">
        <v>3544014.6</v>
      </c>
      <c r="G1901" s="36" t="s">
        <v>8</v>
      </c>
      <c r="H1901" s="36" t="s">
        <v>228</v>
      </c>
      <c r="I1901" s="36"/>
      <c r="J1901" s="36"/>
    </row>
    <row r="1902" spans="1:10" x14ac:dyDescent="0.25">
      <c r="A1902" s="36">
        <v>1734</v>
      </c>
      <c r="B1902" s="37">
        <v>43831</v>
      </c>
      <c r="C1902" s="36"/>
      <c r="D1902" s="36"/>
      <c r="E1902" s="36" t="s">
        <v>125</v>
      </c>
      <c r="F1902" s="38">
        <v>3544014.6</v>
      </c>
      <c r="G1902" s="36" t="s">
        <v>8</v>
      </c>
      <c r="H1902" s="36" t="s">
        <v>228</v>
      </c>
      <c r="I1902" s="36"/>
      <c r="J1902" s="36"/>
    </row>
    <row r="1903" spans="1:10" x14ac:dyDescent="0.25">
      <c r="A1903" s="36">
        <v>1734</v>
      </c>
      <c r="B1903" s="37">
        <v>43862</v>
      </c>
      <c r="C1903" s="36"/>
      <c r="D1903" s="36"/>
      <c r="E1903" s="36" t="s">
        <v>125</v>
      </c>
      <c r="F1903" s="38">
        <v>3544014.6</v>
      </c>
      <c r="G1903" s="36" t="s">
        <v>8</v>
      </c>
      <c r="H1903" s="36" t="s">
        <v>228</v>
      </c>
      <c r="I1903" s="36"/>
      <c r="J1903" s="36"/>
    </row>
    <row r="1904" spans="1:10" x14ac:dyDescent="0.25">
      <c r="A1904" s="36">
        <v>1734</v>
      </c>
      <c r="B1904" s="37">
        <v>43891</v>
      </c>
      <c r="C1904" s="36"/>
      <c r="D1904" s="36"/>
      <c r="E1904" s="36" t="s">
        <v>125</v>
      </c>
      <c r="F1904" s="38">
        <v>3544014.6</v>
      </c>
      <c r="G1904" s="36" t="s">
        <v>8</v>
      </c>
      <c r="H1904" s="36" t="s">
        <v>228</v>
      </c>
      <c r="I1904" s="36"/>
      <c r="J1904" s="36"/>
    </row>
    <row r="1905" spans="1:10" x14ac:dyDescent="0.25">
      <c r="A1905" s="36">
        <v>1734</v>
      </c>
      <c r="B1905" s="37">
        <v>43922</v>
      </c>
      <c r="C1905" s="36"/>
      <c r="D1905" s="36"/>
      <c r="E1905" s="36" t="s">
        <v>125</v>
      </c>
      <c r="F1905" s="38">
        <v>3544014.6</v>
      </c>
      <c r="G1905" s="36" t="s">
        <v>8</v>
      </c>
      <c r="H1905" s="36" t="s">
        <v>228</v>
      </c>
      <c r="I1905" s="36"/>
      <c r="J1905" s="36"/>
    </row>
    <row r="1906" spans="1:10" x14ac:dyDescent="0.25">
      <c r="A1906" s="36">
        <v>1734</v>
      </c>
      <c r="B1906" s="37">
        <v>43952</v>
      </c>
      <c r="C1906" s="36"/>
      <c r="D1906" s="36"/>
      <c r="E1906" s="36" t="s">
        <v>125</v>
      </c>
      <c r="F1906" s="38">
        <v>3544014.6</v>
      </c>
      <c r="G1906" s="36" t="s">
        <v>8</v>
      </c>
      <c r="H1906" s="36" t="s">
        <v>228</v>
      </c>
      <c r="I1906" s="36"/>
      <c r="J1906" s="36"/>
    </row>
    <row r="1907" spans="1:10" x14ac:dyDescent="0.25">
      <c r="A1907" s="36">
        <v>1734</v>
      </c>
      <c r="B1907" s="37">
        <v>43983</v>
      </c>
      <c r="C1907" s="36"/>
      <c r="D1907" s="36"/>
      <c r="E1907" s="36" t="s">
        <v>125</v>
      </c>
      <c r="F1907" s="38">
        <v>3544014.6</v>
      </c>
      <c r="G1907" s="36" t="s">
        <v>8</v>
      </c>
      <c r="H1907" s="36" t="s">
        <v>228</v>
      </c>
      <c r="I1907" s="36"/>
      <c r="J1907" s="36"/>
    </row>
    <row r="1908" spans="1:10" x14ac:dyDescent="0.25">
      <c r="A1908" s="36">
        <v>1734</v>
      </c>
      <c r="B1908" s="37">
        <v>44013</v>
      </c>
      <c r="C1908" s="36"/>
      <c r="D1908" s="36"/>
      <c r="E1908" s="36" t="s">
        <v>125</v>
      </c>
      <c r="F1908" s="38">
        <v>3544014.6</v>
      </c>
      <c r="G1908" s="36" t="s">
        <v>8</v>
      </c>
      <c r="H1908" s="36" t="s">
        <v>228</v>
      </c>
      <c r="I1908" s="36"/>
      <c r="J1908" s="36"/>
    </row>
    <row r="1909" spans="1:10" x14ac:dyDescent="0.25">
      <c r="A1909" s="36">
        <v>1734</v>
      </c>
      <c r="B1909" s="37">
        <v>44044</v>
      </c>
      <c r="C1909" s="36"/>
      <c r="D1909" s="36"/>
      <c r="E1909" s="36" t="s">
        <v>125</v>
      </c>
      <c r="F1909" s="38">
        <v>3544014.6</v>
      </c>
      <c r="G1909" s="36" t="s">
        <v>8</v>
      </c>
      <c r="H1909" s="36" t="s">
        <v>228</v>
      </c>
      <c r="I1909" s="36"/>
      <c r="J1909" s="36"/>
    </row>
    <row r="1910" spans="1:10" x14ac:dyDescent="0.25">
      <c r="A1910" s="36">
        <v>1734</v>
      </c>
      <c r="B1910" s="37">
        <v>44075</v>
      </c>
      <c r="C1910" s="36"/>
      <c r="D1910" s="36"/>
      <c r="E1910" s="36" t="s">
        <v>125</v>
      </c>
      <c r="F1910" s="38">
        <v>3544014.6</v>
      </c>
      <c r="G1910" s="36" t="s">
        <v>8</v>
      </c>
      <c r="H1910" s="36" t="s">
        <v>228</v>
      </c>
      <c r="I1910" s="36"/>
      <c r="J1910" s="36"/>
    </row>
    <row r="1911" spans="1:10" x14ac:dyDescent="0.25">
      <c r="A1911" s="36">
        <v>1734</v>
      </c>
      <c r="B1911" s="37">
        <v>43466</v>
      </c>
      <c r="C1911" s="36"/>
      <c r="D1911" s="36"/>
      <c r="E1911" s="36" t="s">
        <v>22</v>
      </c>
      <c r="F1911" s="38">
        <v>4829985.3734999998</v>
      </c>
      <c r="G1911" s="36" t="s">
        <v>8</v>
      </c>
      <c r="H1911" s="36" t="s">
        <v>228</v>
      </c>
      <c r="I1911" s="36"/>
      <c r="J1911" s="36"/>
    </row>
    <row r="1912" spans="1:10" x14ac:dyDescent="0.25">
      <c r="A1912" s="36">
        <v>1734</v>
      </c>
      <c r="B1912" s="37">
        <v>43497</v>
      </c>
      <c r="C1912" s="36"/>
      <c r="D1912" s="36"/>
      <c r="E1912" s="36" t="s">
        <v>22</v>
      </c>
      <c r="F1912" s="38">
        <v>4829985.3734999998</v>
      </c>
      <c r="G1912" s="36" t="s">
        <v>8</v>
      </c>
      <c r="H1912" s="36" t="s">
        <v>228</v>
      </c>
      <c r="I1912" s="36"/>
      <c r="J1912" s="36"/>
    </row>
    <row r="1913" spans="1:10" x14ac:dyDescent="0.25">
      <c r="A1913" s="36">
        <v>1734</v>
      </c>
      <c r="B1913" s="37">
        <v>43525</v>
      </c>
      <c r="C1913" s="36"/>
      <c r="D1913" s="36"/>
      <c r="E1913" s="36" t="s">
        <v>22</v>
      </c>
      <c r="F1913" s="38">
        <v>4829985.3734999998</v>
      </c>
      <c r="G1913" s="36" t="s">
        <v>8</v>
      </c>
      <c r="H1913" s="36" t="s">
        <v>228</v>
      </c>
      <c r="I1913" s="36"/>
      <c r="J1913" s="36"/>
    </row>
    <row r="1914" spans="1:10" x14ac:dyDescent="0.25">
      <c r="A1914" s="36">
        <v>1734</v>
      </c>
      <c r="B1914" s="37">
        <v>43556</v>
      </c>
      <c r="C1914" s="36"/>
      <c r="D1914" s="36"/>
      <c r="E1914" s="36" t="s">
        <v>22</v>
      </c>
      <c r="F1914" s="38">
        <v>4829985.3734999998</v>
      </c>
      <c r="G1914" s="36" t="s">
        <v>8</v>
      </c>
      <c r="H1914" s="36" t="s">
        <v>228</v>
      </c>
      <c r="I1914" s="36"/>
      <c r="J1914" s="36"/>
    </row>
    <row r="1915" spans="1:10" x14ac:dyDescent="0.25">
      <c r="A1915" s="36">
        <v>1734</v>
      </c>
      <c r="B1915" s="37">
        <v>43586</v>
      </c>
      <c r="C1915" s="36"/>
      <c r="D1915" s="36"/>
      <c r="E1915" s="36" t="s">
        <v>22</v>
      </c>
      <c r="F1915" s="38">
        <v>4829985.3734999998</v>
      </c>
      <c r="G1915" s="36" t="s">
        <v>8</v>
      </c>
      <c r="H1915" s="36" t="s">
        <v>228</v>
      </c>
      <c r="I1915" s="36"/>
      <c r="J1915" s="36"/>
    </row>
    <row r="1916" spans="1:10" x14ac:dyDescent="0.25">
      <c r="A1916" s="36">
        <v>1734</v>
      </c>
      <c r="B1916" s="37">
        <v>43617</v>
      </c>
      <c r="C1916" s="36"/>
      <c r="D1916" s="36"/>
      <c r="E1916" s="36" t="s">
        <v>22</v>
      </c>
      <c r="F1916" s="38">
        <v>4829985.3734999998</v>
      </c>
      <c r="G1916" s="36" t="s">
        <v>8</v>
      </c>
      <c r="H1916" s="36" t="s">
        <v>228</v>
      </c>
      <c r="I1916" s="36"/>
      <c r="J1916" s="36"/>
    </row>
    <row r="1917" spans="1:10" x14ac:dyDescent="0.25">
      <c r="A1917" s="36">
        <v>1734</v>
      </c>
      <c r="B1917" s="37">
        <v>43647</v>
      </c>
      <c r="C1917" s="36"/>
      <c r="D1917" s="36"/>
      <c r="E1917" s="36" t="s">
        <v>22</v>
      </c>
      <c r="F1917" s="38">
        <v>4829985.3734999998</v>
      </c>
      <c r="G1917" s="36" t="s">
        <v>8</v>
      </c>
      <c r="H1917" s="36" t="s">
        <v>228</v>
      </c>
      <c r="I1917" s="36"/>
      <c r="J1917" s="36"/>
    </row>
    <row r="1918" spans="1:10" x14ac:dyDescent="0.25">
      <c r="A1918" s="36">
        <v>1734</v>
      </c>
      <c r="B1918" s="37">
        <v>43678</v>
      </c>
      <c r="C1918" s="36"/>
      <c r="D1918" s="36"/>
      <c r="E1918" s="36" t="s">
        <v>22</v>
      </c>
      <c r="F1918" s="38">
        <v>4829985.3734999998</v>
      </c>
      <c r="G1918" s="36" t="s">
        <v>8</v>
      </c>
      <c r="H1918" s="36" t="s">
        <v>228</v>
      </c>
      <c r="I1918" s="36"/>
      <c r="J1918" s="36"/>
    </row>
    <row r="1919" spans="1:10" x14ac:dyDescent="0.25">
      <c r="A1919" s="36">
        <v>1734</v>
      </c>
      <c r="B1919" s="37">
        <v>43709</v>
      </c>
      <c r="C1919" s="36"/>
      <c r="D1919" s="36"/>
      <c r="E1919" s="36" t="s">
        <v>22</v>
      </c>
      <c r="F1919" s="38">
        <v>4829985.3734999998</v>
      </c>
      <c r="G1919" s="36" t="s">
        <v>8</v>
      </c>
      <c r="H1919" s="36" t="s">
        <v>228</v>
      </c>
      <c r="I1919" s="36"/>
      <c r="J1919" s="36"/>
    </row>
    <row r="1920" spans="1:10" x14ac:dyDescent="0.25">
      <c r="A1920" s="36">
        <v>1734</v>
      </c>
      <c r="B1920" s="37">
        <v>43739</v>
      </c>
      <c r="C1920" s="36"/>
      <c r="D1920" s="36"/>
      <c r="E1920" s="36" t="s">
        <v>22</v>
      </c>
      <c r="F1920" s="38">
        <v>4829985.3734999998</v>
      </c>
      <c r="G1920" s="36" t="s">
        <v>8</v>
      </c>
      <c r="H1920" s="36" t="s">
        <v>228</v>
      </c>
      <c r="I1920" s="36"/>
      <c r="J1920" s="36"/>
    </row>
    <row r="1921" spans="1:10" x14ac:dyDescent="0.25">
      <c r="A1921" s="36">
        <v>1734</v>
      </c>
      <c r="B1921" s="37">
        <v>43770</v>
      </c>
      <c r="C1921" s="36"/>
      <c r="D1921" s="36"/>
      <c r="E1921" s="36" t="s">
        <v>22</v>
      </c>
      <c r="F1921" s="38">
        <v>4829985.3734999998</v>
      </c>
      <c r="G1921" s="36" t="s">
        <v>8</v>
      </c>
      <c r="H1921" s="36" t="s">
        <v>228</v>
      </c>
      <c r="I1921" s="36"/>
      <c r="J1921" s="36"/>
    </row>
    <row r="1922" spans="1:10" x14ac:dyDescent="0.25">
      <c r="A1922" s="36">
        <v>1734</v>
      </c>
      <c r="B1922" s="37">
        <v>43800</v>
      </c>
      <c r="C1922" s="36"/>
      <c r="D1922" s="36"/>
      <c r="E1922" s="36" t="s">
        <v>22</v>
      </c>
      <c r="F1922" s="38">
        <v>4829985.3734999998</v>
      </c>
      <c r="G1922" s="36" t="s">
        <v>8</v>
      </c>
      <c r="H1922" s="36" t="s">
        <v>228</v>
      </c>
      <c r="I1922" s="36"/>
      <c r="J1922" s="36"/>
    </row>
    <row r="1923" spans="1:10" x14ac:dyDescent="0.25">
      <c r="A1923" s="36">
        <v>1734</v>
      </c>
      <c r="B1923" s="37">
        <v>43831</v>
      </c>
      <c r="C1923" s="36"/>
      <c r="D1923" s="36"/>
      <c r="E1923" s="36" t="s">
        <v>22</v>
      </c>
      <c r="F1923" s="38">
        <v>4829985.3734999998</v>
      </c>
      <c r="G1923" s="36" t="s">
        <v>8</v>
      </c>
      <c r="H1923" s="36" t="s">
        <v>228</v>
      </c>
      <c r="I1923" s="36"/>
      <c r="J1923" s="36"/>
    </row>
    <row r="1924" spans="1:10" x14ac:dyDescent="0.25">
      <c r="A1924" s="36">
        <v>1734</v>
      </c>
      <c r="B1924" s="37">
        <v>43862</v>
      </c>
      <c r="C1924" s="36"/>
      <c r="D1924" s="36"/>
      <c r="E1924" s="36" t="s">
        <v>22</v>
      </c>
      <c r="F1924" s="38">
        <v>4829985.3734999998</v>
      </c>
      <c r="G1924" s="36" t="s">
        <v>8</v>
      </c>
      <c r="H1924" s="36" t="s">
        <v>228</v>
      </c>
      <c r="I1924" s="36"/>
      <c r="J1924" s="36"/>
    </row>
    <row r="1925" spans="1:10" x14ac:dyDescent="0.25">
      <c r="A1925" s="36">
        <v>1734</v>
      </c>
      <c r="B1925" s="37">
        <v>43891</v>
      </c>
      <c r="C1925" s="36"/>
      <c r="D1925" s="36"/>
      <c r="E1925" s="36" t="s">
        <v>22</v>
      </c>
      <c r="F1925" s="38">
        <v>4829985.3734999998</v>
      </c>
      <c r="G1925" s="36" t="s">
        <v>8</v>
      </c>
      <c r="H1925" s="36" t="s">
        <v>228</v>
      </c>
      <c r="I1925" s="36"/>
      <c r="J1925" s="36"/>
    </row>
    <row r="1926" spans="1:10" x14ac:dyDescent="0.25">
      <c r="A1926" s="36">
        <v>1734</v>
      </c>
      <c r="B1926" s="37">
        <v>43922</v>
      </c>
      <c r="C1926" s="36"/>
      <c r="D1926" s="36"/>
      <c r="E1926" s="36" t="s">
        <v>22</v>
      </c>
      <c r="F1926" s="38">
        <v>4829985.3734999998</v>
      </c>
      <c r="G1926" s="36" t="s">
        <v>8</v>
      </c>
      <c r="H1926" s="36" t="s">
        <v>228</v>
      </c>
      <c r="I1926" s="36"/>
      <c r="J1926" s="36"/>
    </row>
    <row r="1927" spans="1:10" x14ac:dyDescent="0.25">
      <c r="A1927" s="36">
        <v>1734</v>
      </c>
      <c r="B1927" s="37">
        <v>43952</v>
      </c>
      <c r="C1927" s="36"/>
      <c r="D1927" s="36"/>
      <c r="E1927" s="36" t="s">
        <v>22</v>
      </c>
      <c r="F1927" s="38">
        <v>4829985.3734999998</v>
      </c>
      <c r="G1927" s="36" t="s">
        <v>8</v>
      </c>
      <c r="H1927" s="36" t="s">
        <v>228</v>
      </c>
      <c r="I1927" s="36"/>
      <c r="J1927" s="36"/>
    </row>
    <row r="1928" spans="1:10" x14ac:dyDescent="0.25">
      <c r="A1928" s="36">
        <v>1734</v>
      </c>
      <c r="B1928" s="37">
        <v>43983</v>
      </c>
      <c r="C1928" s="36"/>
      <c r="D1928" s="36"/>
      <c r="E1928" s="36" t="s">
        <v>22</v>
      </c>
      <c r="F1928" s="38">
        <v>4829985.3734999998</v>
      </c>
      <c r="G1928" s="36" t="s">
        <v>8</v>
      </c>
      <c r="H1928" s="36" t="s">
        <v>228</v>
      </c>
      <c r="I1928" s="36"/>
      <c r="J1928" s="36"/>
    </row>
    <row r="1929" spans="1:10" x14ac:dyDescent="0.25">
      <c r="A1929" s="36">
        <v>1734</v>
      </c>
      <c r="B1929" s="37">
        <v>44013</v>
      </c>
      <c r="C1929" s="36"/>
      <c r="D1929" s="36"/>
      <c r="E1929" s="36" t="s">
        <v>22</v>
      </c>
      <c r="F1929" s="38">
        <v>4829985.3734999998</v>
      </c>
      <c r="G1929" s="36" t="s">
        <v>8</v>
      </c>
      <c r="H1929" s="36" t="s">
        <v>228</v>
      </c>
      <c r="I1929" s="36"/>
      <c r="J1929" s="36"/>
    </row>
    <row r="1930" spans="1:10" x14ac:dyDescent="0.25">
      <c r="A1930" s="36">
        <v>1734</v>
      </c>
      <c r="B1930" s="37">
        <v>44044</v>
      </c>
      <c r="C1930" s="36"/>
      <c r="D1930" s="36"/>
      <c r="E1930" s="36" t="s">
        <v>22</v>
      </c>
      <c r="F1930" s="38">
        <v>4829985.3734999998</v>
      </c>
      <c r="G1930" s="36" t="s">
        <v>8</v>
      </c>
      <c r="H1930" s="36" t="s">
        <v>228</v>
      </c>
      <c r="I1930" s="36"/>
      <c r="J1930" s="36"/>
    </row>
    <row r="1931" spans="1:10" x14ac:dyDescent="0.25">
      <c r="A1931" s="36">
        <v>1734</v>
      </c>
      <c r="B1931" s="37">
        <v>44075</v>
      </c>
      <c r="C1931" s="36"/>
      <c r="D1931" s="36"/>
      <c r="E1931" s="36" t="s">
        <v>22</v>
      </c>
      <c r="F1931" s="38">
        <v>4829985.3734999998</v>
      </c>
      <c r="G1931" s="36" t="s">
        <v>8</v>
      </c>
      <c r="H1931" s="36" t="s">
        <v>228</v>
      </c>
      <c r="I1931" s="36"/>
      <c r="J1931" s="36"/>
    </row>
    <row r="1932" spans="1:10" x14ac:dyDescent="0.25">
      <c r="A1932" s="36">
        <v>1734</v>
      </c>
      <c r="B1932" s="37">
        <v>43497</v>
      </c>
      <c r="C1932" s="36"/>
      <c r="D1932" s="36"/>
      <c r="E1932" s="36" t="s">
        <v>117</v>
      </c>
      <c r="F1932" s="38">
        <v>4829985.3734999998</v>
      </c>
      <c r="G1932" s="36" t="s">
        <v>8</v>
      </c>
      <c r="H1932" s="36" t="s">
        <v>228</v>
      </c>
      <c r="I1932" s="36"/>
      <c r="J1932" s="36"/>
    </row>
    <row r="1933" spans="1:10" x14ac:dyDescent="0.25">
      <c r="A1933" s="36">
        <v>1734</v>
      </c>
      <c r="B1933" s="37">
        <v>43525</v>
      </c>
      <c r="C1933" s="36"/>
      <c r="D1933" s="36"/>
      <c r="E1933" s="36" t="s">
        <v>117</v>
      </c>
      <c r="F1933" s="38">
        <v>4829985.3734999998</v>
      </c>
      <c r="G1933" s="36" t="s">
        <v>8</v>
      </c>
      <c r="H1933" s="36" t="s">
        <v>228</v>
      </c>
      <c r="I1933" s="36"/>
      <c r="J1933" s="36"/>
    </row>
    <row r="1934" spans="1:10" x14ac:dyDescent="0.25">
      <c r="A1934" s="36">
        <v>1734</v>
      </c>
      <c r="B1934" s="37">
        <v>43556</v>
      </c>
      <c r="C1934" s="36"/>
      <c r="D1934" s="36"/>
      <c r="E1934" s="36" t="s">
        <v>117</v>
      </c>
      <c r="F1934" s="38">
        <v>4829985.3734999998</v>
      </c>
      <c r="G1934" s="36" t="s">
        <v>8</v>
      </c>
      <c r="H1934" s="36" t="s">
        <v>228</v>
      </c>
      <c r="I1934" s="36"/>
      <c r="J1934" s="36"/>
    </row>
    <row r="1935" spans="1:10" x14ac:dyDescent="0.25">
      <c r="A1935" s="36">
        <v>1734</v>
      </c>
      <c r="B1935" s="37">
        <v>43586</v>
      </c>
      <c r="C1935" s="36"/>
      <c r="D1935" s="36"/>
      <c r="E1935" s="36" t="s">
        <v>117</v>
      </c>
      <c r="F1935" s="38">
        <v>4829985.3734999998</v>
      </c>
      <c r="G1935" s="36" t="s">
        <v>8</v>
      </c>
      <c r="H1935" s="36" t="s">
        <v>228</v>
      </c>
      <c r="I1935" s="36"/>
      <c r="J1935" s="36"/>
    </row>
    <row r="1936" spans="1:10" x14ac:dyDescent="0.25">
      <c r="A1936" s="36">
        <v>1734</v>
      </c>
      <c r="B1936" s="37">
        <v>43617</v>
      </c>
      <c r="C1936" s="36"/>
      <c r="D1936" s="36"/>
      <c r="E1936" s="36" t="s">
        <v>117</v>
      </c>
      <c r="F1936" s="38">
        <v>4829985.3734999998</v>
      </c>
      <c r="G1936" s="36" t="s">
        <v>8</v>
      </c>
      <c r="H1936" s="36" t="s">
        <v>228</v>
      </c>
      <c r="I1936" s="36"/>
      <c r="J1936" s="36"/>
    </row>
    <row r="1937" spans="1:10" x14ac:dyDescent="0.25">
      <c r="A1937" s="36">
        <v>1734</v>
      </c>
      <c r="B1937" s="37">
        <v>43647</v>
      </c>
      <c r="C1937" s="36"/>
      <c r="D1937" s="36"/>
      <c r="E1937" s="36" t="s">
        <v>117</v>
      </c>
      <c r="F1937" s="38">
        <v>4829985.3734999998</v>
      </c>
      <c r="G1937" s="36" t="s">
        <v>8</v>
      </c>
      <c r="H1937" s="36" t="s">
        <v>228</v>
      </c>
      <c r="I1937" s="36"/>
      <c r="J1937" s="36"/>
    </row>
    <row r="1938" spans="1:10" x14ac:dyDescent="0.25">
      <c r="A1938" s="36">
        <v>1734</v>
      </c>
      <c r="B1938" s="37">
        <v>43678</v>
      </c>
      <c r="C1938" s="36"/>
      <c r="D1938" s="36"/>
      <c r="E1938" s="36" t="s">
        <v>117</v>
      </c>
      <c r="F1938" s="38">
        <v>4829985.3734999998</v>
      </c>
      <c r="G1938" s="36" t="s">
        <v>8</v>
      </c>
      <c r="H1938" s="36" t="s">
        <v>228</v>
      </c>
      <c r="I1938" s="36"/>
      <c r="J1938" s="36"/>
    </row>
    <row r="1939" spans="1:10" x14ac:dyDescent="0.25">
      <c r="A1939" s="36">
        <v>1734</v>
      </c>
      <c r="B1939" s="37">
        <v>43709</v>
      </c>
      <c r="C1939" s="36"/>
      <c r="D1939" s="36"/>
      <c r="E1939" s="36" t="s">
        <v>117</v>
      </c>
      <c r="F1939" s="38">
        <v>4829985.3734999998</v>
      </c>
      <c r="G1939" s="36" t="s">
        <v>8</v>
      </c>
      <c r="H1939" s="36" t="s">
        <v>228</v>
      </c>
      <c r="I1939" s="36"/>
      <c r="J1939" s="36"/>
    </row>
    <row r="1940" spans="1:10" x14ac:dyDescent="0.25">
      <c r="A1940" s="36">
        <v>1734</v>
      </c>
      <c r="B1940" s="37">
        <v>43739</v>
      </c>
      <c r="C1940" s="36"/>
      <c r="D1940" s="36"/>
      <c r="E1940" s="36" t="s">
        <v>117</v>
      </c>
      <c r="F1940" s="38">
        <v>4829985.3734999998</v>
      </c>
      <c r="G1940" s="36" t="s">
        <v>8</v>
      </c>
      <c r="H1940" s="36" t="s">
        <v>228</v>
      </c>
      <c r="I1940" s="36"/>
      <c r="J1940" s="36"/>
    </row>
    <row r="1941" spans="1:10" x14ac:dyDescent="0.25">
      <c r="A1941" s="36">
        <v>1734</v>
      </c>
      <c r="B1941" s="37">
        <v>43770</v>
      </c>
      <c r="C1941" s="36"/>
      <c r="D1941" s="36"/>
      <c r="E1941" s="36" t="s">
        <v>117</v>
      </c>
      <c r="F1941" s="38">
        <v>4829985.3734999998</v>
      </c>
      <c r="G1941" s="36" t="s">
        <v>8</v>
      </c>
      <c r="H1941" s="36" t="s">
        <v>228</v>
      </c>
      <c r="I1941" s="36"/>
      <c r="J1941" s="36"/>
    </row>
    <row r="1942" spans="1:10" x14ac:dyDescent="0.25">
      <c r="A1942" s="36">
        <v>1734</v>
      </c>
      <c r="B1942" s="37">
        <v>43800</v>
      </c>
      <c r="C1942" s="36"/>
      <c r="D1942" s="36"/>
      <c r="E1942" s="36" t="s">
        <v>117</v>
      </c>
      <c r="F1942" s="38">
        <v>4829985.3734999998</v>
      </c>
      <c r="G1942" s="36" t="s">
        <v>8</v>
      </c>
      <c r="H1942" s="36" t="s">
        <v>228</v>
      </c>
      <c r="I1942" s="36"/>
      <c r="J1942" s="36"/>
    </row>
    <row r="1943" spans="1:10" x14ac:dyDescent="0.25">
      <c r="A1943" s="36">
        <v>1734</v>
      </c>
      <c r="B1943" s="37">
        <v>43831</v>
      </c>
      <c r="C1943" s="36"/>
      <c r="D1943" s="36"/>
      <c r="E1943" s="36" t="s">
        <v>117</v>
      </c>
      <c r="F1943" s="38">
        <v>4829985.3734999998</v>
      </c>
      <c r="G1943" s="36" t="s">
        <v>8</v>
      </c>
      <c r="H1943" s="36" t="s">
        <v>228</v>
      </c>
      <c r="I1943" s="36"/>
      <c r="J1943" s="36"/>
    </row>
    <row r="1944" spans="1:10" x14ac:dyDescent="0.25">
      <c r="A1944" s="36">
        <v>1734</v>
      </c>
      <c r="B1944" s="37">
        <v>43862</v>
      </c>
      <c r="C1944" s="36"/>
      <c r="D1944" s="36"/>
      <c r="E1944" s="36" t="s">
        <v>117</v>
      </c>
      <c r="F1944" s="38">
        <v>4829985.3734999998</v>
      </c>
      <c r="G1944" s="36" t="s">
        <v>8</v>
      </c>
      <c r="H1944" s="36" t="s">
        <v>228</v>
      </c>
      <c r="I1944" s="36"/>
      <c r="J1944" s="36"/>
    </row>
    <row r="1945" spans="1:10" x14ac:dyDescent="0.25">
      <c r="A1945" s="36">
        <v>1734</v>
      </c>
      <c r="B1945" s="37">
        <v>43891</v>
      </c>
      <c r="C1945" s="36"/>
      <c r="D1945" s="36"/>
      <c r="E1945" s="36" t="s">
        <v>117</v>
      </c>
      <c r="F1945" s="38">
        <v>4829985.3734999998</v>
      </c>
      <c r="G1945" s="36" t="s">
        <v>8</v>
      </c>
      <c r="H1945" s="36" t="s">
        <v>228</v>
      </c>
      <c r="I1945" s="36"/>
      <c r="J1945" s="36"/>
    </row>
    <row r="1946" spans="1:10" x14ac:dyDescent="0.25">
      <c r="A1946" s="36">
        <v>1734</v>
      </c>
      <c r="B1946" s="37">
        <v>43922</v>
      </c>
      <c r="C1946" s="36"/>
      <c r="D1946" s="36"/>
      <c r="E1946" s="36" t="s">
        <v>117</v>
      </c>
      <c r="F1946" s="38">
        <v>4829985.3734999998</v>
      </c>
      <c r="G1946" s="36" t="s">
        <v>8</v>
      </c>
      <c r="H1946" s="36" t="s">
        <v>228</v>
      </c>
      <c r="I1946" s="36"/>
      <c r="J1946" s="36"/>
    </row>
    <row r="1947" spans="1:10" x14ac:dyDescent="0.25">
      <c r="A1947" s="36">
        <v>1734</v>
      </c>
      <c r="B1947" s="37">
        <v>43952</v>
      </c>
      <c r="C1947" s="36"/>
      <c r="D1947" s="36"/>
      <c r="E1947" s="36" t="s">
        <v>117</v>
      </c>
      <c r="F1947" s="38">
        <v>4829985.3734999998</v>
      </c>
      <c r="G1947" s="36" t="s">
        <v>8</v>
      </c>
      <c r="H1947" s="36" t="s">
        <v>228</v>
      </c>
      <c r="I1947" s="36"/>
      <c r="J1947" s="36"/>
    </row>
    <row r="1948" spans="1:10" x14ac:dyDescent="0.25">
      <c r="A1948" s="36">
        <v>1734</v>
      </c>
      <c r="B1948" s="37">
        <v>43983</v>
      </c>
      <c r="C1948" s="36"/>
      <c r="D1948" s="36"/>
      <c r="E1948" s="36" t="s">
        <v>117</v>
      </c>
      <c r="F1948" s="38">
        <v>4829985.3734999998</v>
      </c>
      <c r="G1948" s="36" t="s">
        <v>8</v>
      </c>
      <c r="H1948" s="36" t="s">
        <v>228</v>
      </c>
      <c r="I1948" s="36"/>
      <c r="J1948" s="36"/>
    </row>
    <row r="1949" spans="1:10" x14ac:dyDescent="0.25">
      <c r="A1949" s="36">
        <v>1734</v>
      </c>
      <c r="B1949" s="37">
        <v>44013</v>
      </c>
      <c r="C1949" s="36"/>
      <c r="D1949" s="36"/>
      <c r="E1949" s="36" t="s">
        <v>117</v>
      </c>
      <c r="F1949" s="38">
        <v>4829985.3734999998</v>
      </c>
      <c r="G1949" s="36" t="s">
        <v>8</v>
      </c>
      <c r="H1949" s="36" t="s">
        <v>228</v>
      </c>
      <c r="I1949" s="36"/>
      <c r="J1949" s="36"/>
    </row>
    <row r="1950" spans="1:10" x14ac:dyDescent="0.25">
      <c r="A1950" s="36">
        <v>1734</v>
      </c>
      <c r="B1950" s="37">
        <v>44044</v>
      </c>
      <c r="C1950" s="36"/>
      <c r="D1950" s="36"/>
      <c r="E1950" s="36" t="s">
        <v>117</v>
      </c>
      <c r="F1950" s="38">
        <v>4829985.3734999998</v>
      </c>
      <c r="G1950" s="36" t="s">
        <v>8</v>
      </c>
      <c r="H1950" s="36" t="s">
        <v>228</v>
      </c>
      <c r="I1950" s="36"/>
      <c r="J1950" s="36"/>
    </row>
    <row r="1951" spans="1:10" x14ac:dyDescent="0.25">
      <c r="A1951" s="36">
        <v>1734</v>
      </c>
      <c r="B1951" s="37">
        <v>44075</v>
      </c>
      <c r="C1951" s="36"/>
      <c r="D1951" s="36"/>
      <c r="E1951" s="36" t="s">
        <v>117</v>
      </c>
      <c r="F1951" s="38">
        <v>4829985.3734999998</v>
      </c>
      <c r="G1951" s="36" t="s">
        <v>8</v>
      </c>
      <c r="H1951" s="36" t="s">
        <v>228</v>
      </c>
      <c r="I1951" s="36"/>
      <c r="J1951" s="36"/>
    </row>
    <row r="1952" spans="1:10" x14ac:dyDescent="0.25">
      <c r="A1952" s="36">
        <v>1734</v>
      </c>
      <c r="B1952" s="37">
        <v>43647</v>
      </c>
      <c r="C1952" s="36"/>
      <c r="D1952" s="36"/>
      <c r="E1952" s="36" t="s">
        <v>18</v>
      </c>
      <c r="F1952" s="38">
        <v>3613544.2664999994</v>
      </c>
      <c r="G1952" s="36" t="s">
        <v>8</v>
      </c>
      <c r="H1952" s="36" t="s">
        <v>228</v>
      </c>
      <c r="I1952" s="36"/>
      <c r="J1952" s="36"/>
    </row>
    <row r="1953" spans="1:10" x14ac:dyDescent="0.25">
      <c r="A1953" s="36">
        <v>1734</v>
      </c>
      <c r="B1953" s="37">
        <v>43678</v>
      </c>
      <c r="C1953" s="36"/>
      <c r="D1953" s="36"/>
      <c r="E1953" s="36" t="s">
        <v>18</v>
      </c>
      <c r="F1953" s="38">
        <v>3613544.2664999994</v>
      </c>
      <c r="G1953" s="36" t="s">
        <v>8</v>
      </c>
      <c r="H1953" s="36" t="s">
        <v>228</v>
      </c>
      <c r="I1953" s="36"/>
      <c r="J1953" s="36"/>
    </row>
    <row r="1954" spans="1:10" x14ac:dyDescent="0.25">
      <c r="A1954" s="36">
        <v>1734</v>
      </c>
      <c r="B1954" s="37">
        <v>43709</v>
      </c>
      <c r="C1954" s="36"/>
      <c r="D1954" s="36"/>
      <c r="E1954" s="36" t="s">
        <v>18</v>
      </c>
      <c r="F1954" s="38">
        <v>3613544.2664999994</v>
      </c>
      <c r="G1954" s="36" t="s">
        <v>8</v>
      </c>
      <c r="H1954" s="36" t="s">
        <v>228</v>
      </c>
      <c r="I1954" s="36"/>
      <c r="J1954" s="36"/>
    </row>
    <row r="1955" spans="1:10" x14ac:dyDescent="0.25">
      <c r="A1955" s="36">
        <v>1734</v>
      </c>
      <c r="B1955" s="37">
        <v>43739</v>
      </c>
      <c r="C1955" s="36"/>
      <c r="D1955" s="36"/>
      <c r="E1955" s="36" t="s">
        <v>18</v>
      </c>
      <c r="F1955" s="38">
        <v>3613544.2664999994</v>
      </c>
      <c r="G1955" s="36" t="s">
        <v>8</v>
      </c>
      <c r="H1955" s="36" t="s">
        <v>228</v>
      </c>
      <c r="I1955" s="36"/>
      <c r="J1955" s="36"/>
    </row>
    <row r="1956" spans="1:10" x14ac:dyDescent="0.25">
      <c r="A1956" s="36">
        <v>1734</v>
      </c>
      <c r="B1956" s="37">
        <v>43770</v>
      </c>
      <c r="C1956" s="36"/>
      <c r="D1956" s="36"/>
      <c r="E1956" s="36" t="s">
        <v>18</v>
      </c>
      <c r="F1956" s="38">
        <v>3613544.2664999994</v>
      </c>
      <c r="G1956" s="36" t="s">
        <v>8</v>
      </c>
      <c r="H1956" s="36" t="s">
        <v>228</v>
      </c>
      <c r="I1956" s="36"/>
      <c r="J1956" s="36"/>
    </row>
    <row r="1957" spans="1:10" x14ac:dyDescent="0.25">
      <c r="A1957" s="36">
        <v>1734</v>
      </c>
      <c r="B1957" s="37">
        <v>43800</v>
      </c>
      <c r="C1957" s="36"/>
      <c r="D1957" s="36"/>
      <c r="E1957" s="36" t="s">
        <v>18</v>
      </c>
      <c r="F1957" s="38">
        <v>3613544.2664999994</v>
      </c>
      <c r="G1957" s="36" t="s">
        <v>8</v>
      </c>
      <c r="H1957" s="36" t="s">
        <v>228</v>
      </c>
      <c r="I1957" s="36"/>
      <c r="J1957" s="36"/>
    </row>
    <row r="1958" spans="1:10" x14ac:dyDescent="0.25">
      <c r="A1958" s="36">
        <v>1734</v>
      </c>
      <c r="B1958" s="37">
        <v>43831</v>
      </c>
      <c r="C1958" s="36"/>
      <c r="D1958" s="36"/>
      <c r="E1958" s="36" t="s">
        <v>18</v>
      </c>
      <c r="F1958" s="38">
        <v>3613544.2664999994</v>
      </c>
      <c r="G1958" s="36" t="s">
        <v>8</v>
      </c>
      <c r="H1958" s="36" t="s">
        <v>228</v>
      </c>
      <c r="I1958" s="36"/>
      <c r="J1958" s="36"/>
    </row>
    <row r="1959" spans="1:10" x14ac:dyDescent="0.25">
      <c r="A1959" s="36">
        <v>1734</v>
      </c>
      <c r="B1959" s="37">
        <v>43862</v>
      </c>
      <c r="C1959" s="36"/>
      <c r="D1959" s="36"/>
      <c r="E1959" s="36" t="s">
        <v>18</v>
      </c>
      <c r="F1959" s="38">
        <v>3613544.2664999994</v>
      </c>
      <c r="G1959" s="36" t="s">
        <v>8</v>
      </c>
      <c r="H1959" s="36" t="s">
        <v>228</v>
      </c>
      <c r="I1959" s="36"/>
      <c r="J1959" s="36"/>
    </row>
    <row r="1960" spans="1:10" x14ac:dyDescent="0.25">
      <c r="A1960" s="36">
        <v>1734</v>
      </c>
      <c r="B1960" s="37">
        <v>43891</v>
      </c>
      <c r="C1960" s="36"/>
      <c r="D1960" s="36"/>
      <c r="E1960" s="36" t="s">
        <v>18</v>
      </c>
      <c r="F1960" s="38">
        <v>3613544.2664999994</v>
      </c>
      <c r="G1960" s="36" t="s">
        <v>8</v>
      </c>
      <c r="H1960" s="36" t="s">
        <v>228</v>
      </c>
      <c r="I1960" s="36"/>
      <c r="J1960" s="36"/>
    </row>
    <row r="1961" spans="1:10" x14ac:dyDescent="0.25">
      <c r="A1961" s="36">
        <v>1734</v>
      </c>
      <c r="B1961" s="37">
        <v>43922</v>
      </c>
      <c r="C1961" s="36"/>
      <c r="D1961" s="36"/>
      <c r="E1961" s="36" t="s">
        <v>18</v>
      </c>
      <c r="F1961" s="38">
        <v>3613544.2664999994</v>
      </c>
      <c r="G1961" s="36" t="s">
        <v>8</v>
      </c>
      <c r="H1961" s="36" t="s">
        <v>228</v>
      </c>
      <c r="I1961" s="36"/>
      <c r="J1961" s="36"/>
    </row>
    <row r="1962" spans="1:10" x14ac:dyDescent="0.25">
      <c r="A1962" s="36">
        <v>1734</v>
      </c>
      <c r="B1962" s="37">
        <v>43952</v>
      </c>
      <c r="C1962" s="36"/>
      <c r="D1962" s="36"/>
      <c r="E1962" s="36" t="s">
        <v>18</v>
      </c>
      <c r="F1962" s="38">
        <v>3613544.2664999994</v>
      </c>
      <c r="G1962" s="36" t="s">
        <v>8</v>
      </c>
      <c r="H1962" s="36" t="s">
        <v>228</v>
      </c>
      <c r="I1962" s="36"/>
      <c r="J1962" s="36"/>
    </row>
    <row r="1963" spans="1:10" x14ac:dyDescent="0.25">
      <c r="A1963" s="36">
        <v>1734</v>
      </c>
      <c r="B1963" s="37">
        <v>43983</v>
      </c>
      <c r="C1963" s="36"/>
      <c r="D1963" s="36"/>
      <c r="E1963" s="36" t="s">
        <v>18</v>
      </c>
      <c r="F1963" s="38">
        <v>3613544.2664999994</v>
      </c>
      <c r="G1963" s="36" t="s">
        <v>8</v>
      </c>
      <c r="H1963" s="36" t="s">
        <v>228</v>
      </c>
      <c r="I1963" s="36"/>
      <c r="J1963" s="36"/>
    </row>
    <row r="1964" spans="1:10" x14ac:dyDescent="0.25">
      <c r="A1964" s="36">
        <v>1734</v>
      </c>
      <c r="B1964" s="37">
        <v>44013</v>
      </c>
      <c r="C1964" s="36"/>
      <c r="D1964" s="36"/>
      <c r="E1964" s="36" t="s">
        <v>18</v>
      </c>
      <c r="F1964" s="38">
        <v>3613544.2664999994</v>
      </c>
      <c r="G1964" s="36" t="s">
        <v>8</v>
      </c>
      <c r="H1964" s="36" t="s">
        <v>228</v>
      </c>
      <c r="I1964" s="36"/>
      <c r="J1964" s="36"/>
    </row>
    <row r="1965" spans="1:10" x14ac:dyDescent="0.25">
      <c r="A1965" s="36">
        <v>1734</v>
      </c>
      <c r="B1965" s="37">
        <v>44044</v>
      </c>
      <c r="C1965" s="36"/>
      <c r="D1965" s="36"/>
      <c r="E1965" s="36" t="s">
        <v>18</v>
      </c>
      <c r="F1965" s="38">
        <v>3613544.2664999994</v>
      </c>
      <c r="G1965" s="36" t="s">
        <v>8</v>
      </c>
      <c r="H1965" s="36" t="s">
        <v>228</v>
      </c>
      <c r="I1965" s="36"/>
      <c r="J1965" s="36"/>
    </row>
    <row r="1966" spans="1:10" x14ac:dyDescent="0.25">
      <c r="A1966" s="36">
        <v>1734</v>
      </c>
      <c r="B1966" s="37">
        <v>44075</v>
      </c>
      <c r="C1966" s="36"/>
      <c r="D1966" s="36"/>
      <c r="E1966" s="36" t="s">
        <v>18</v>
      </c>
      <c r="F1966" s="38">
        <v>3613544.2664999994</v>
      </c>
      <c r="G1966" s="36" t="s">
        <v>8</v>
      </c>
      <c r="H1966" s="36" t="s">
        <v>228</v>
      </c>
      <c r="I1966" s="36"/>
      <c r="J1966" s="36"/>
    </row>
    <row r="1967" spans="1:10" x14ac:dyDescent="0.25">
      <c r="A1967" s="36">
        <v>1888</v>
      </c>
      <c r="B1967" s="37">
        <v>43525</v>
      </c>
      <c r="C1967" s="36"/>
      <c r="D1967" s="36"/>
      <c r="E1967" s="36" t="s">
        <v>7</v>
      </c>
      <c r="F1967" s="38">
        <v>3170664</v>
      </c>
      <c r="G1967" s="36" t="s">
        <v>8</v>
      </c>
      <c r="H1967" s="36" t="s">
        <v>228</v>
      </c>
      <c r="I1967" s="36"/>
      <c r="J1967" s="36"/>
    </row>
    <row r="1968" spans="1:10" x14ac:dyDescent="0.25">
      <c r="A1968" s="36">
        <v>1888</v>
      </c>
      <c r="B1968" s="37">
        <v>43556</v>
      </c>
      <c r="C1968" s="36"/>
      <c r="D1968" s="36"/>
      <c r="E1968" s="36" t="s">
        <v>7</v>
      </c>
      <c r="F1968" s="38">
        <v>3170664</v>
      </c>
      <c r="G1968" s="36" t="s">
        <v>8</v>
      </c>
      <c r="H1968" s="36" t="s">
        <v>228</v>
      </c>
      <c r="I1968" s="36"/>
      <c r="J1968" s="36"/>
    </row>
    <row r="1969" spans="1:10" x14ac:dyDescent="0.25">
      <c r="A1969" s="36">
        <v>1888</v>
      </c>
      <c r="B1969" s="37">
        <v>43586</v>
      </c>
      <c r="C1969" s="36"/>
      <c r="D1969" s="36"/>
      <c r="E1969" s="36" t="s">
        <v>7</v>
      </c>
      <c r="F1969" s="38">
        <v>3170664</v>
      </c>
      <c r="G1969" s="36" t="s">
        <v>8</v>
      </c>
      <c r="H1969" s="36" t="s">
        <v>228</v>
      </c>
      <c r="I1969" s="36"/>
      <c r="J1969" s="36"/>
    </row>
    <row r="1970" spans="1:10" x14ac:dyDescent="0.25">
      <c r="A1970" s="36">
        <v>1888</v>
      </c>
      <c r="B1970" s="37">
        <v>43617</v>
      </c>
      <c r="C1970" s="36"/>
      <c r="D1970" s="36"/>
      <c r="E1970" s="36" t="s">
        <v>7</v>
      </c>
      <c r="F1970" s="38">
        <v>3170664</v>
      </c>
      <c r="G1970" s="36" t="s">
        <v>8</v>
      </c>
      <c r="H1970" s="36" t="s">
        <v>228</v>
      </c>
      <c r="I1970" s="36"/>
      <c r="J1970" s="36"/>
    </row>
    <row r="1971" spans="1:10" x14ac:dyDescent="0.25">
      <c r="A1971" s="36">
        <v>1888</v>
      </c>
      <c r="B1971" s="37">
        <v>43647</v>
      </c>
      <c r="C1971" s="36"/>
      <c r="D1971" s="36"/>
      <c r="E1971" s="36" t="s">
        <v>7</v>
      </c>
      <c r="F1971" s="38">
        <v>3170664</v>
      </c>
      <c r="G1971" s="36" t="s">
        <v>8</v>
      </c>
      <c r="H1971" s="36" t="s">
        <v>228</v>
      </c>
      <c r="I1971" s="36"/>
      <c r="J1971" s="36"/>
    </row>
    <row r="1972" spans="1:10" x14ac:dyDescent="0.25">
      <c r="A1972" s="36">
        <v>1888</v>
      </c>
      <c r="B1972" s="37">
        <v>43678</v>
      </c>
      <c r="C1972" s="36"/>
      <c r="D1972" s="36"/>
      <c r="E1972" s="36" t="s">
        <v>7</v>
      </c>
      <c r="F1972" s="38">
        <v>3170664</v>
      </c>
      <c r="G1972" s="36" t="s">
        <v>8</v>
      </c>
      <c r="H1972" s="36" t="s">
        <v>228</v>
      </c>
      <c r="I1972" s="36"/>
      <c r="J1972" s="36"/>
    </row>
    <row r="1973" spans="1:10" x14ac:dyDescent="0.25">
      <c r="A1973" s="36">
        <v>1888</v>
      </c>
      <c r="B1973" s="37">
        <v>43709</v>
      </c>
      <c r="C1973" s="36"/>
      <c r="D1973" s="36"/>
      <c r="E1973" s="36" t="s">
        <v>7</v>
      </c>
      <c r="F1973" s="38">
        <v>3170664</v>
      </c>
      <c r="G1973" s="36" t="s">
        <v>8</v>
      </c>
      <c r="H1973" s="36" t="s">
        <v>228</v>
      </c>
      <c r="I1973" s="36"/>
      <c r="J1973" s="36"/>
    </row>
    <row r="1974" spans="1:10" x14ac:dyDescent="0.25">
      <c r="A1974" s="36">
        <v>1888</v>
      </c>
      <c r="B1974" s="37">
        <v>43739</v>
      </c>
      <c r="C1974" s="36"/>
      <c r="D1974" s="36"/>
      <c r="E1974" s="36" t="s">
        <v>7</v>
      </c>
      <c r="F1974" s="38">
        <v>3170664</v>
      </c>
      <c r="G1974" s="36" t="s">
        <v>8</v>
      </c>
      <c r="H1974" s="36" t="s">
        <v>228</v>
      </c>
      <c r="I1974" s="36"/>
      <c r="J1974" s="36"/>
    </row>
    <row r="1975" spans="1:10" x14ac:dyDescent="0.25">
      <c r="A1975" s="36">
        <v>1888</v>
      </c>
      <c r="B1975" s="37">
        <v>43770</v>
      </c>
      <c r="C1975" s="36"/>
      <c r="D1975" s="36"/>
      <c r="E1975" s="36" t="s">
        <v>7</v>
      </c>
      <c r="F1975" s="38">
        <v>3170664</v>
      </c>
      <c r="G1975" s="36" t="s">
        <v>8</v>
      </c>
      <c r="H1975" s="36" t="s">
        <v>228</v>
      </c>
      <c r="I1975" s="36"/>
      <c r="J1975" s="36"/>
    </row>
    <row r="1976" spans="1:10" x14ac:dyDescent="0.25">
      <c r="A1976" s="36">
        <v>1888</v>
      </c>
      <c r="B1976" s="37">
        <v>43800</v>
      </c>
      <c r="C1976" s="36"/>
      <c r="D1976" s="36"/>
      <c r="E1976" s="36" t="s">
        <v>7</v>
      </c>
      <c r="F1976" s="38">
        <v>3170664</v>
      </c>
      <c r="G1976" s="36" t="s">
        <v>8</v>
      </c>
      <c r="H1976" s="36" t="s">
        <v>228</v>
      </c>
      <c r="I1976" s="36"/>
      <c r="J1976" s="36"/>
    </row>
    <row r="1977" spans="1:10" x14ac:dyDescent="0.25">
      <c r="A1977" s="36">
        <v>1888</v>
      </c>
      <c r="B1977" s="37">
        <v>43831</v>
      </c>
      <c r="C1977" s="36"/>
      <c r="D1977" s="36"/>
      <c r="E1977" s="36" t="s">
        <v>7</v>
      </c>
      <c r="F1977" s="38">
        <v>3170664</v>
      </c>
      <c r="G1977" s="36" t="s">
        <v>8</v>
      </c>
      <c r="H1977" s="36" t="s">
        <v>228</v>
      </c>
      <c r="I1977" s="36"/>
      <c r="J1977" s="36"/>
    </row>
    <row r="1978" spans="1:10" x14ac:dyDescent="0.25">
      <c r="A1978" s="36">
        <v>1888</v>
      </c>
      <c r="B1978" s="37">
        <v>43862</v>
      </c>
      <c r="C1978" s="36"/>
      <c r="D1978" s="36"/>
      <c r="E1978" s="36" t="s">
        <v>7</v>
      </c>
      <c r="F1978" s="38">
        <v>3170664</v>
      </c>
      <c r="G1978" s="36" t="s">
        <v>8</v>
      </c>
      <c r="H1978" s="36" t="s">
        <v>228</v>
      </c>
      <c r="I1978" s="36"/>
      <c r="J1978" s="36"/>
    </row>
    <row r="1979" spans="1:10" x14ac:dyDescent="0.25">
      <c r="A1979" s="36">
        <v>1888</v>
      </c>
      <c r="B1979" s="37">
        <v>43891</v>
      </c>
      <c r="C1979" s="36"/>
      <c r="D1979" s="36"/>
      <c r="E1979" s="36" t="s">
        <v>7</v>
      </c>
      <c r="F1979" s="38">
        <v>3170664</v>
      </c>
      <c r="G1979" s="36" t="s">
        <v>8</v>
      </c>
      <c r="H1979" s="36" t="s">
        <v>228</v>
      </c>
      <c r="I1979" s="36"/>
      <c r="J1979" s="36"/>
    </row>
    <row r="1980" spans="1:10" x14ac:dyDescent="0.25">
      <c r="A1980" s="36">
        <v>1888</v>
      </c>
      <c r="B1980" s="37">
        <v>43922</v>
      </c>
      <c r="C1980" s="36"/>
      <c r="D1980" s="36"/>
      <c r="E1980" s="36" t="s">
        <v>7</v>
      </c>
      <c r="F1980" s="38">
        <v>3170664</v>
      </c>
      <c r="G1980" s="36" t="s">
        <v>8</v>
      </c>
      <c r="H1980" s="36" t="s">
        <v>228</v>
      </c>
      <c r="I1980" s="36"/>
      <c r="J1980" s="36"/>
    </row>
    <row r="1981" spans="1:10" x14ac:dyDescent="0.25">
      <c r="A1981" s="36">
        <v>1888</v>
      </c>
      <c r="B1981" s="37">
        <v>43952</v>
      </c>
      <c r="C1981" s="36"/>
      <c r="D1981" s="36"/>
      <c r="E1981" s="36" t="s">
        <v>7</v>
      </c>
      <c r="F1981" s="38">
        <v>3170664</v>
      </c>
      <c r="G1981" s="36" t="s">
        <v>8</v>
      </c>
      <c r="H1981" s="36" t="s">
        <v>228</v>
      </c>
      <c r="I1981" s="36"/>
      <c r="J1981" s="36"/>
    </row>
    <row r="1982" spans="1:10" x14ac:dyDescent="0.25">
      <c r="A1982" s="36">
        <v>1888</v>
      </c>
      <c r="B1982" s="37">
        <v>43525</v>
      </c>
      <c r="C1982" s="36"/>
      <c r="D1982" s="36"/>
      <c r="E1982" s="36" t="s">
        <v>9</v>
      </c>
      <c r="F1982" s="38">
        <v>8741250</v>
      </c>
      <c r="G1982" s="36" t="s">
        <v>8</v>
      </c>
      <c r="H1982" s="36" t="s">
        <v>228</v>
      </c>
      <c r="I1982" s="36"/>
      <c r="J1982" s="36"/>
    </row>
    <row r="1983" spans="1:10" x14ac:dyDescent="0.25">
      <c r="A1983" s="36">
        <v>1888</v>
      </c>
      <c r="B1983" s="37">
        <v>43556</v>
      </c>
      <c r="C1983" s="36"/>
      <c r="D1983" s="36"/>
      <c r="E1983" s="36" t="s">
        <v>9</v>
      </c>
      <c r="F1983" s="38">
        <v>8741250</v>
      </c>
      <c r="G1983" s="36" t="s">
        <v>8</v>
      </c>
      <c r="H1983" s="36" t="s">
        <v>228</v>
      </c>
      <c r="I1983" s="36"/>
      <c r="J1983" s="36"/>
    </row>
    <row r="1984" spans="1:10" x14ac:dyDescent="0.25">
      <c r="A1984" s="36">
        <v>1888</v>
      </c>
      <c r="B1984" s="37">
        <v>43586</v>
      </c>
      <c r="C1984" s="36"/>
      <c r="D1984" s="36"/>
      <c r="E1984" s="36" t="s">
        <v>9</v>
      </c>
      <c r="F1984" s="38">
        <v>8741250</v>
      </c>
      <c r="G1984" s="36" t="s">
        <v>8</v>
      </c>
      <c r="H1984" s="36" t="s">
        <v>228</v>
      </c>
      <c r="I1984" s="36"/>
      <c r="J1984" s="36"/>
    </row>
    <row r="1985" spans="1:10" x14ac:dyDescent="0.25">
      <c r="A1985" s="36">
        <v>1888</v>
      </c>
      <c r="B1985" s="37">
        <v>43617</v>
      </c>
      <c r="C1985" s="36"/>
      <c r="D1985" s="36"/>
      <c r="E1985" s="36" t="s">
        <v>9</v>
      </c>
      <c r="F1985" s="38">
        <v>8741250</v>
      </c>
      <c r="G1985" s="36" t="s">
        <v>8</v>
      </c>
      <c r="H1985" s="36" t="s">
        <v>228</v>
      </c>
      <c r="I1985" s="36"/>
      <c r="J1985" s="36"/>
    </row>
    <row r="1986" spans="1:10" x14ac:dyDescent="0.25">
      <c r="A1986" s="36">
        <v>1888</v>
      </c>
      <c r="B1986" s="37">
        <v>43647</v>
      </c>
      <c r="C1986" s="36"/>
      <c r="D1986" s="36"/>
      <c r="E1986" s="36" t="s">
        <v>9</v>
      </c>
      <c r="F1986" s="38">
        <v>8741250</v>
      </c>
      <c r="G1986" s="36" t="s">
        <v>8</v>
      </c>
      <c r="H1986" s="36" t="s">
        <v>228</v>
      </c>
      <c r="I1986" s="36"/>
      <c r="J1986" s="36"/>
    </row>
    <row r="1987" spans="1:10" x14ac:dyDescent="0.25">
      <c r="A1987" s="36">
        <v>1888</v>
      </c>
      <c r="B1987" s="37">
        <v>43678</v>
      </c>
      <c r="C1987" s="36"/>
      <c r="D1987" s="36"/>
      <c r="E1987" s="36" t="s">
        <v>9</v>
      </c>
      <c r="F1987" s="38">
        <v>8741250</v>
      </c>
      <c r="G1987" s="36" t="s">
        <v>8</v>
      </c>
      <c r="H1987" s="36" t="s">
        <v>228</v>
      </c>
      <c r="I1987" s="36"/>
      <c r="J1987" s="36"/>
    </row>
    <row r="1988" spans="1:10" x14ac:dyDescent="0.25">
      <c r="A1988" s="36">
        <v>1888</v>
      </c>
      <c r="B1988" s="37">
        <v>43709</v>
      </c>
      <c r="C1988" s="36"/>
      <c r="D1988" s="36"/>
      <c r="E1988" s="36" t="s">
        <v>9</v>
      </c>
      <c r="F1988" s="38">
        <v>8741250</v>
      </c>
      <c r="G1988" s="36" t="s">
        <v>8</v>
      </c>
      <c r="H1988" s="36" t="s">
        <v>228</v>
      </c>
      <c r="I1988" s="36"/>
      <c r="J1988" s="36"/>
    </row>
    <row r="1989" spans="1:10" x14ac:dyDescent="0.25">
      <c r="A1989" s="36">
        <v>1888</v>
      </c>
      <c r="B1989" s="37">
        <v>43739</v>
      </c>
      <c r="C1989" s="36"/>
      <c r="D1989" s="36"/>
      <c r="E1989" s="36" t="s">
        <v>9</v>
      </c>
      <c r="F1989" s="38">
        <v>8741250</v>
      </c>
      <c r="G1989" s="36" t="s">
        <v>8</v>
      </c>
      <c r="H1989" s="36" t="s">
        <v>228</v>
      </c>
      <c r="I1989" s="36"/>
      <c r="J1989" s="36"/>
    </row>
    <row r="1990" spans="1:10" x14ac:dyDescent="0.25">
      <c r="A1990" s="36">
        <v>1888</v>
      </c>
      <c r="B1990" s="37">
        <v>43770</v>
      </c>
      <c r="C1990" s="36"/>
      <c r="D1990" s="36"/>
      <c r="E1990" s="36" t="s">
        <v>9</v>
      </c>
      <c r="F1990" s="38">
        <v>8741250</v>
      </c>
      <c r="G1990" s="36" t="s">
        <v>8</v>
      </c>
      <c r="H1990" s="36" t="s">
        <v>228</v>
      </c>
      <c r="I1990" s="36"/>
      <c r="J1990" s="36"/>
    </row>
    <row r="1991" spans="1:10" x14ac:dyDescent="0.25">
      <c r="A1991" s="36">
        <v>1888</v>
      </c>
      <c r="B1991" s="37">
        <v>43800</v>
      </c>
      <c r="C1991" s="36"/>
      <c r="D1991" s="36"/>
      <c r="E1991" s="36" t="s">
        <v>9</v>
      </c>
      <c r="F1991" s="38">
        <v>8741250</v>
      </c>
      <c r="G1991" s="36" t="s">
        <v>8</v>
      </c>
      <c r="H1991" s="36" t="s">
        <v>228</v>
      </c>
      <c r="I1991" s="36"/>
      <c r="J1991" s="36"/>
    </row>
    <row r="1992" spans="1:10" x14ac:dyDescent="0.25">
      <c r="A1992" s="36">
        <v>1888</v>
      </c>
      <c r="B1992" s="37">
        <v>43831</v>
      </c>
      <c r="C1992" s="36"/>
      <c r="D1992" s="36"/>
      <c r="E1992" s="36" t="s">
        <v>9</v>
      </c>
      <c r="F1992" s="38">
        <v>8741250</v>
      </c>
      <c r="G1992" s="36" t="s">
        <v>8</v>
      </c>
      <c r="H1992" s="36" t="s">
        <v>228</v>
      </c>
      <c r="I1992" s="36"/>
      <c r="J1992" s="36"/>
    </row>
    <row r="1993" spans="1:10" x14ac:dyDescent="0.25">
      <c r="A1993" s="36">
        <v>1888</v>
      </c>
      <c r="B1993" s="37">
        <v>43862</v>
      </c>
      <c r="C1993" s="36"/>
      <c r="D1993" s="36"/>
      <c r="E1993" s="36" t="s">
        <v>9</v>
      </c>
      <c r="F1993" s="38">
        <v>8741250</v>
      </c>
      <c r="G1993" s="36" t="s">
        <v>8</v>
      </c>
      <c r="H1993" s="36" t="s">
        <v>228</v>
      </c>
      <c r="I1993" s="36"/>
      <c r="J1993" s="36"/>
    </row>
    <row r="1994" spans="1:10" x14ac:dyDescent="0.25">
      <c r="A1994" s="36">
        <v>1888</v>
      </c>
      <c r="B1994" s="37">
        <v>43525</v>
      </c>
      <c r="C1994" s="36"/>
      <c r="D1994" s="36"/>
      <c r="E1994" s="36" t="s">
        <v>23</v>
      </c>
      <c r="F1994" s="38">
        <v>4725000</v>
      </c>
      <c r="G1994" s="36" t="s">
        <v>8</v>
      </c>
      <c r="H1994" s="36" t="s">
        <v>228</v>
      </c>
      <c r="I1994" s="36"/>
      <c r="J1994" s="36"/>
    </row>
    <row r="1995" spans="1:10" x14ac:dyDescent="0.25">
      <c r="A1995" s="36">
        <v>1888</v>
      </c>
      <c r="B1995" s="37">
        <v>43556</v>
      </c>
      <c r="C1995" s="36"/>
      <c r="D1995" s="36"/>
      <c r="E1995" s="36" t="s">
        <v>23</v>
      </c>
      <c r="F1995" s="38">
        <v>4725000</v>
      </c>
      <c r="G1995" s="36" t="s">
        <v>8</v>
      </c>
      <c r="H1995" s="36" t="s">
        <v>228</v>
      </c>
      <c r="I1995" s="36"/>
      <c r="J1995" s="36"/>
    </row>
    <row r="1996" spans="1:10" x14ac:dyDescent="0.25">
      <c r="A1996" s="36">
        <v>1888</v>
      </c>
      <c r="B1996" s="37">
        <v>43586</v>
      </c>
      <c r="C1996" s="36"/>
      <c r="D1996" s="36"/>
      <c r="E1996" s="36" t="s">
        <v>23</v>
      </c>
      <c r="F1996" s="38">
        <v>4725000</v>
      </c>
      <c r="G1996" s="36" t="s">
        <v>8</v>
      </c>
      <c r="H1996" s="36" t="s">
        <v>228</v>
      </c>
      <c r="I1996" s="36"/>
      <c r="J1996" s="36"/>
    </row>
    <row r="1997" spans="1:10" x14ac:dyDescent="0.25">
      <c r="A1997" s="36">
        <v>1888</v>
      </c>
      <c r="B1997" s="37">
        <v>43617</v>
      </c>
      <c r="C1997" s="36"/>
      <c r="D1997" s="36"/>
      <c r="E1997" s="36" t="s">
        <v>23</v>
      </c>
      <c r="F1997" s="38">
        <v>4725000</v>
      </c>
      <c r="G1997" s="36" t="s">
        <v>8</v>
      </c>
      <c r="H1997" s="36" t="s">
        <v>228</v>
      </c>
      <c r="I1997" s="36"/>
      <c r="J1997" s="36"/>
    </row>
    <row r="1998" spans="1:10" x14ac:dyDescent="0.25">
      <c r="A1998" s="36">
        <v>1888</v>
      </c>
      <c r="B1998" s="37">
        <v>43647</v>
      </c>
      <c r="C1998" s="36"/>
      <c r="D1998" s="36"/>
      <c r="E1998" s="36" t="s">
        <v>23</v>
      </c>
      <c r="F1998" s="38">
        <v>4725000</v>
      </c>
      <c r="G1998" s="36" t="s">
        <v>8</v>
      </c>
      <c r="H1998" s="36" t="s">
        <v>228</v>
      </c>
      <c r="I1998" s="36"/>
      <c r="J1998" s="36"/>
    </row>
    <row r="1999" spans="1:10" x14ac:dyDescent="0.25">
      <c r="A1999" s="36">
        <v>1888</v>
      </c>
      <c r="B1999" s="37">
        <v>43678</v>
      </c>
      <c r="C1999" s="36"/>
      <c r="D1999" s="36"/>
      <c r="E1999" s="36" t="s">
        <v>23</v>
      </c>
      <c r="F1999" s="38">
        <v>4725000</v>
      </c>
      <c r="G1999" s="36" t="s">
        <v>8</v>
      </c>
      <c r="H1999" s="36" t="s">
        <v>228</v>
      </c>
      <c r="I1999" s="36"/>
      <c r="J1999" s="36"/>
    </row>
    <row r="2000" spans="1:10" x14ac:dyDescent="0.25">
      <c r="A2000" s="36">
        <v>1888</v>
      </c>
      <c r="B2000" s="37">
        <v>43709</v>
      </c>
      <c r="C2000" s="36"/>
      <c r="D2000" s="36"/>
      <c r="E2000" s="36" t="s">
        <v>23</v>
      </c>
      <c r="F2000" s="38">
        <v>4725000</v>
      </c>
      <c r="G2000" s="36" t="s">
        <v>8</v>
      </c>
      <c r="H2000" s="36" t="s">
        <v>228</v>
      </c>
      <c r="I2000" s="36"/>
      <c r="J2000" s="36"/>
    </row>
    <row r="2001" spans="1:10" x14ac:dyDescent="0.25">
      <c r="A2001" s="36">
        <v>1888</v>
      </c>
      <c r="B2001" s="37">
        <v>43739</v>
      </c>
      <c r="C2001" s="36"/>
      <c r="D2001" s="36"/>
      <c r="E2001" s="36" t="s">
        <v>23</v>
      </c>
      <c r="F2001" s="38">
        <v>4725000</v>
      </c>
      <c r="G2001" s="36" t="s">
        <v>8</v>
      </c>
      <c r="H2001" s="36" t="s">
        <v>228</v>
      </c>
      <c r="I2001" s="36"/>
      <c r="J2001" s="36"/>
    </row>
    <row r="2002" spans="1:10" x14ac:dyDescent="0.25">
      <c r="A2002" s="36">
        <v>1888</v>
      </c>
      <c r="B2002" s="37">
        <v>43770</v>
      </c>
      <c r="C2002" s="36"/>
      <c r="D2002" s="36"/>
      <c r="E2002" s="36" t="s">
        <v>23</v>
      </c>
      <c r="F2002" s="38">
        <v>4725000</v>
      </c>
      <c r="G2002" s="36" t="s">
        <v>8</v>
      </c>
      <c r="H2002" s="36" t="s">
        <v>228</v>
      </c>
      <c r="I2002" s="36"/>
      <c r="J2002" s="36"/>
    </row>
    <row r="2003" spans="1:10" x14ac:dyDescent="0.25">
      <c r="A2003" s="36">
        <v>1888</v>
      </c>
      <c r="B2003" s="37">
        <v>43800</v>
      </c>
      <c r="C2003" s="36"/>
      <c r="D2003" s="36"/>
      <c r="E2003" s="36" t="s">
        <v>23</v>
      </c>
      <c r="F2003" s="38">
        <v>4725000</v>
      </c>
      <c r="G2003" s="36" t="s">
        <v>8</v>
      </c>
      <c r="H2003" s="36" t="s">
        <v>228</v>
      </c>
      <c r="I2003" s="36"/>
      <c r="J2003" s="36"/>
    </row>
    <row r="2004" spans="1:10" x14ac:dyDescent="0.25">
      <c r="A2004" s="36">
        <v>1888</v>
      </c>
      <c r="B2004" s="37">
        <v>43831</v>
      </c>
      <c r="C2004" s="36"/>
      <c r="D2004" s="36"/>
      <c r="E2004" s="36" t="s">
        <v>23</v>
      </c>
      <c r="F2004" s="38">
        <v>4725000</v>
      </c>
      <c r="G2004" s="36" t="s">
        <v>8</v>
      </c>
      <c r="H2004" s="36" t="s">
        <v>228</v>
      </c>
      <c r="I2004" s="36"/>
      <c r="J2004" s="36"/>
    </row>
    <row r="2005" spans="1:10" x14ac:dyDescent="0.25">
      <c r="A2005" s="36">
        <v>1888</v>
      </c>
      <c r="B2005" s="37">
        <v>43862</v>
      </c>
      <c r="C2005" s="36"/>
      <c r="D2005" s="36"/>
      <c r="E2005" s="36" t="s">
        <v>23</v>
      </c>
      <c r="F2005" s="38">
        <v>4725000</v>
      </c>
      <c r="G2005" s="36" t="s">
        <v>8</v>
      </c>
      <c r="H2005" s="36" t="s">
        <v>228</v>
      </c>
      <c r="I2005" s="36"/>
      <c r="J2005" s="36"/>
    </row>
    <row r="2006" spans="1:10" x14ac:dyDescent="0.25">
      <c r="A2006" s="36">
        <v>1888</v>
      </c>
      <c r="B2006" s="37">
        <v>43525</v>
      </c>
      <c r="C2006" s="36"/>
      <c r="D2006" s="36"/>
      <c r="E2006" s="36" t="s">
        <v>22</v>
      </c>
      <c r="F2006" s="38">
        <v>4006799.9999999995</v>
      </c>
      <c r="G2006" s="36" t="s">
        <v>8</v>
      </c>
      <c r="H2006" s="36" t="s">
        <v>228</v>
      </c>
      <c r="I2006" s="36"/>
      <c r="J2006" s="36"/>
    </row>
    <row r="2007" spans="1:10" x14ac:dyDescent="0.25">
      <c r="A2007" s="36">
        <v>1888</v>
      </c>
      <c r="B2007" s="37">
        <v>43556</v>
      </c>
      <c r="C2007" s="36"/>
      <c r="D2007" s="36"/>
      <c r="E2007" s="36" t="s">
        <v>22</v>
      </c>
      <c r="F2007" s="38">
        <v>4006799.9999999995</v>
      </c>
      <c r="G2007" s="36" t="s">
        <v>8</v>
      </c>
      <c r="H2007" s="36" t="s">
        <v>228</v>
      </c>
      <c r="I2007" s="36"/>
      <c r="J2007" s="36"/>
    </row>
    <row r="2008" spans="1:10" x14ac:dyDescent="0.25">
      <c r="A2008" s="36">
        <v>1888</v>
      </c>
      <c r="B2008" s="37">
        <v>43586</v>
      </c>
      <c r="C2008" s="36"/>
      <c r="D2008" s="36"/>
      <c r="E2008" s="36" t="s">
        <v>22</v>
      </c>
      <c r="F2008" s="38">
        <v>4006799.9999999995</v>
      </c>
      <c r="G2008" s="36" t="s">
        <v>8</v>
      </c>
      <c r="H2008" s="36" t="s">
        <v>228</v>
      </c>
      <c r="I2008" s="36"/>
      <c r="J2008" s="36"/>
    </row>
    <row r="2009" spans="1:10" x14ac:dyDescent="0.25">
      <c r="A2009" s="36">
        <v>1888</v>
      </c>
      <c r="B2009" s="37">
        <v>43617</v>
      </c>
      <c r="C2009" s="36"/>
      <c r="D2009" s="36"/>
      <c r="E2009" s="36" t="s">
        <v>22</v>
      </c>
      <c r="F2009" s="38">
        <v>4006799.9999999995</v>
      </c>
      <c r="G2009" s="36" t="s">
        <v>8</v>
      </c>
      <c r="H2009" s="36" t="s">
        <v>228</v>
      </c>
      <c r="I2009" s="36"/>
      <c r="J2009" s="36"/>
    </row>
    <row r="2010" spans="1:10" x14ac:dyDescent="0.25">
      <c r="A2010" s="36">
        <v>1888</v>
      </c>
      <c r="B2010" s="37">
        <v>43647</v>
      </c>
      <c r="C2010" s="36"/>
      <c r="D2010" s="36"/>
      <c r="E2010" s="36" t="s">
        <v>22</v>
      </c>
      <c r="F2010" s="38">
        <v>4006799.9999999995</v>
      </c>
      <c r="G2010" s="36" t="s">
        <v>8</v>
      </c>
      <c r="H2010" s="36" t="s">
        <v>228</v>
      </c>
      <c r="I2010" s="36"/>
      <c r="J2010" s="36"/>
    </row>
    <row r="2011" spans="1:10" x14ac:dyDescent="0.25">
      <c r="A2011" s="36">
        <v>1888</v>
      </c>
      <c r="B2011" s="37">
        <v>43678</v>
      </c>
      <c r="C2011" s="36"/>
      <c r="D2011" s="36"/>
      <c r="E2011" s="36" t="s">
        <v>22</v>
      </c>
      <c r="F2011" s="38">
        <v>4006799.9999999995</v>
      </c>
      <c r="G2011" s="36" t="s">
        <v>8</v>
      </c>
      <c r="H2011" s="36" t="s">
        <v>228</v>
      </c>
      <c r="I2011" s="36"/>
      <c r="J2011" s="36"/>
    </row>
    <row r="2012" spans="1:10" x14ac:dyDescent="0.25">
      <c r="A2012" s="36">
        <v>1888</v>
      </c>
      <c r="B2012" s="37">
        <v>43709</v>
      </c>
      <c r="C2012" s="36"/>
      <c r="D2012" s="36"/>
      <c r="E2012" s="36" t="s">
        <v>22</v>
      </c>
      <c r="F2012" s="38">
        <v>4006799.9999999995</v>
      </c>
      <c r="G2012" s="36" t="s">
        <v>8</v>
      </c>
      <c r="H2012" s="36" t="s">
        <v>228</v>
      </c>
      <c r="I2012" s="36"/>
      <c r="J2012" s="36"/>
    </row>
    <row r="2013" spans="1:10" x14ac:dyDescent="0.25">
      <c r="A2013" s="36">
        <v>1888</v>
      </c>
      <c r="B2013" s="37">
        <v>43739</v>
      </c>
      <c r="C2013" s="36"/>
      <c r="D2013" s="36"/>
      <c r="E2013" s="36" t="s">
        <v>22</v>
      </c>
      <c r="F2013" s="38">
        <v>4006799.9999999995</v>
      </c>
      <c r="G2013" s="36" t="s">
        <v>8</v>
      </c>
      <c r="H2013" s="36" t="s">
        <v>228</v>
      </c>
      <c r="I2013" s="36"/>
      <c r="J2013" s="36"/>
    </row>
    <row r="2014" spans="1:10" x14ac:dyDescent="0.25">
      <c r="A2014" s="36">
        <v>1888</v>
      </c>
      <c r="B2014" s="37">
        <v>43770</v>
      </c>
      <c r="C2014" s="36"/>
      <c r="D2014" s="36"/>
      <c r="E2014" s="36" t="s">
        <v>22</v>
      </c>
      <c r="F2014" s="38">
        <v>4006799.9999999995</v>
      </c>
      <c r="G2014" s="36" t="s">
        <v>8</v>
      </c>
      <c r="H2014" s="36" t="s">
        <v>228</v>
      </c>
      <c r="I2014" s="36"/>
      <c r="J2014" s="36"/>
    </row>
    <row r="2015" spans="1:10" x14ac:dyDescent="0.25">
      <c r="A2015" s="36">
        <v>1888</v>
      </c>
      <c r="B2015" s="37">
        <v>43800</v>
      </c>
      <c r="C2015" s="36"/>
      <c r="D2015" s="36"/>
      <c r="E2015" s="36" t="s">
        <v>22</v>
      </c>
      <c r="F2015" s="38">
        <v>4006799.9999999995</v>
      </c>
      <c r="G2015" s="36" t="s">
        <v>8</v>
      </c>
      <c r="H2015" s="36" t="s">
        <v>228</v>
      </c>
      <c r="I2015" s="36"/>
      <c r="J2015" s="36"/>
    </row>
    <row r="2016" spans="1:10" x14ac:dyDescent="0.25">
      <c r="A2016" s="36">
        <v>1888</v>
      </c>
      <c r="B2016" s="37">
        <v>43831</v>
      </c>
      <c r="C2016" s="36"/>
      <c r="D2016" s="36"/>
      <c r="E2016" s="36" t="s">
        <v>22</v>
      </c>
      <c r="F2016" s="38">
        <v>4006799.9999999995</v>
      </c>
      <c r="G2016" s="36" t="s">
        <v>8</v>
      </c>
      <c r="H2016" s="36" t="s">
        <v>228</v>
      </c>
      <c r="I2016" s="36"/>
      <c r="J2016" s="36"/>
    </row>
    <row r="2017" spans="1:10" x14ac:dyDescent="0.25">
      <c r="A2017" s="36">
        <v>1888</v>
      </c>
      <c r="B2017" s="37">
        <v>43525</v>
      </c>
      <c r="C2017" s="36"/>
      <c r="D2017" s="36"/>
      <c r="E2017" s="36" t="s">
        <v>65</v>
      </c>
      <c r="F2017" s="38">
        <v>1850625</v>
      </c>
      <c r="G2017" s="36" t="s">
        <v>8</v>
      </c>
      <c r="H2017" s="36" t="s">
        <v>228</v>
      </c>
      <c r="I2017" s="36"/>
      <c r="J2017" s="36"/>
    </row>
    <row r="2018" spans="1:10" x14ac:dyDescent="0.25">
      <c r="A2018" s="36">
        <v>1888</v>
      </c>
      <c r="B2018" s="37">
        <v>43556</v>
      </c>
      <c r="C2018" s="36"/>
      <c r="D2018" s="36"/>
      <c r="E2018" s="36" t="s">
        <v>65</v>
      </c>
      <c r="F2018" s="38">
        <v>1850625</v>
      </c>
      <c r="G2018" s="36" t="s">
        <v>8</v>
      </c>
      <c r="H2018" s="36" t="s">
        <v>228</v>
      </c>
      <c r="I2018" s="36"/>
      <c r="J2018" s="36"/>
    </row>
    <row r="2019" spans="1:10" x14ac:dyDescent="0.25">
      <c r="A2019" s="36">
        <v>1888</v>
      </c>
      <c r="B2019" s="37">
        <v>43586</v>
      </c>
      <c r="C2019" s="36"/>
      <c r="D2019" s="36"/>
      <c r="E2019" s="36" t="s">
        <v>65</v>
      </c>
      <c r="F2019" s="38">
        <v>1850625</v>
      </c>
      <c r="G2019" s="36" t="s">
        <v>8</v>
      </c>
      <c r="H2019" s="36" t="s">
        <v>228</v>
      </c>
      <c r="I2019" s="36"/>
      <c r="J2019" s="36"/>
    </row>
    <row r="2020" spans="1:10" x14ac:dyDescent="0.25">
      <c r="A2020" s="36">
        <v>1888</v>
      </c>
      <c r="B2020" s="37">
        <v>43617</v>
      </c>
      <c r="C2020" s="36"/>
      <c r="D2020" s="36"/>
      <c r="E2020" s="36" t="s">
        <v>65</v>
      </c>
      <c r="F2020" s="38">
        <v>1850625</v>
      </c>
      <c r="G2020" s="36" t="s">
        <v>8</v>
      </c>
      <c r="H2020" s="36" t="s">
        <v>228</v>
      </c>
      <c r="I2020" s="36"/>
      <c r="J2020" s="36"/>
    </row>
    <row r="2021" spans="1:10" x14ac:dyDescent="0.25">
      <c r="A2021" s="36">
        <v>1888</v>
      </c>
      <c r="B2021" s="37">
        <v>43525</v>
      </c>
      <c r="C2021" s="36"/>
      <c r="D2021" s="36"/>
      <c r="E2021" s="36" t="s">
        <v>126</v>
      </c>
      <c r="F2021" s="38">
        <v>2583000</v>
      </c>
      <c r="G2021" s="36" t="s">
        <v>8</v>
      </c>
      <c r="H2021" s="36" t="s">
        <v>228</v>
      </c>
      <c r="I2021" s="36"/>
      <c r="J2021" s="36"/>
    </row>
    <row r="2022" spans="1:10" x14ac:dyDescent="0.25">
      <c r="A2022" s="36">
        <v>1888</v>
      </c>
      <c r="B2022" s="37">
        <v>43556</v>
      </c>
      <c r="C2022" s="36"/>
      <c r="D2022" s="36"/>
      <c r="E2022" s="36" t="s">
        <v>126</v>
      </c>
      <c r="F2022" s="38">
        <v>2583000</v>
      </c>
      <c r="G2022" s="36" t="s">
        <v>8</v>
      </c>
      <c r="H2022" s="36" t="s">
        <v>228</v>
      </c>
      <c r="I2022" s="36"/>
      <c r="J2022" s="36"/>
    </row>
    <row r="2023" spans="1:10" x14ac:dyDescent="0.25">
      <c r="A2023" s="36">
        <v>1888</v>
      </c>
      <c r="B2023" s="37">
        <v>43586</v>
      </c>
      <c r="C2023" s="36"/>
      <c r="D2023" s="36"/>
      <c r="E2023" s="36" t="s">
        <v>126</v>
      </c>
      <c r="F2023" s="38">
        <v>2583000</v>
      </c>
      <c r="G2023" s="36" t="s">
        <v>8</v>
      </c>
      <c r="H2023" s="36" t="s">
        <v>228</v>
      </c>
      <c r="I2023" s="36"/>
      <c r="J2023" s="36"/>
    </row>
    <row r="2024" spans="1:10" x14ac:dyDescent="0.25">
      <c r="A2024" s="36">
        <v>1888</v>
      </c>
      <c r="B2024" s="37">
        <v>43617</v>
      </c>
      <c r="C2024" s="36"/>
      <c r="D2024" s="36"/>
      <c r="E2024" s="36" t="s">
        <v>126</v>
      </c>
      <c r="F2024" s="38">
        <v>2583000</v>
      </c>
      <c r="G2024" s="36" t="s">
        <v>8</v>
      </c>
      <c r="H2024" s="36" t="s">
        <v>228</v>
      </c>
      <c r="I2024" s="36"/>
      <c r="J2024" s="36"/>
    </row>
    <row r="2025" spans="1:10" x14ac:dyDescent="0.25">
      <c r="A2025" s="36">
        <v>1891</v>
      </c>
      <c r="B2025" s="37">
        <v>43497</v>
      </c>
      <c r="C2025" s="36"/>
      <c r="D2025" s="36"/>
      <c r="E2025" s="36" t="s">
        <v>9</v>
      </c>
      <c r="F2025" s="38">
        <v>12134941.875</v>
      </c>
      <c r="G2025" s="36" t="s">
        <v>8</v>
      </c>
      <c r="H2025" s="36" t="s">
        <v>8</v>
      </c>
      <c r="I2025" s="36"/>
      <c r="J2025" s="36"/>
    </row>
    <row r="2026" spans="1:10" x14ac:dyDescent="0.25">
      <c r="A2026" s="36">
        <v>1891</v>
      </c>
      <c r="B2026" s="37">
        <v>43525</v>
      </c>
      <c r="C2026" s="36"/>
      <c r="D2026" s="36"/>
      <c r="E2026" s="36" t="s">
        <v>9</v>
      </c>
      <c r="F2026" s="38">
        <v>12134941.875</v>
      </c>
      <c r="G2026" s="36" t="s">
        <v>8</v>
      </c>
      <c r="H2026" s="36" t="s">
        <v>8</v>
      </c>
      <c r="I2026" s="36"/>
      <c r="J2026" s="36"/>
    </row>
    <row r="2027" spans="1:10" x14ac:dyDescent="0.25">
      <c r="A2027" s="36">
        <v>1891</v>
      </c>
      <c r="B2027" s="37">
        <v>43556</v>
      </c>
      <c r="C2027" s="36"/>
      <c r="D2027" s="36"/>
      <c r="E2027" s="36" t="s">
        <v>9</v>
      </c>
      <c r="F2027" s="38">
        <v>12134941.875</v>
      </c>
      <c r="G2027" s="36" t="s">
        <v>8</v>
      </c>
      <c r="H2027" s="36" t="s">
        <v>8</v>
      </c>
      <c r="I2027" s="36"/>
      <c r="J2027" s="36"/>
    </row>
    <row r="2028" spans="1:10" x14ac:dyDescent="0.25">
      <c r="A2028" s="36">
        <v>1891</v>
      </c>
      <c r="B2028" s="37">
        <v>43586</v>
      </c>
      <c r="C2028" s="36"/>
      <c r="D2028" s="36"/>
      <c r="E2028" s="36" t="s">
        <v>9</v>
      </c>
      <c r="F2028" s="38">
        <v>12134941.875</v>
      </c>
      <c r="G2028" s="36" t="s">
        <v>8</v>
      </c>
      <c r="H2028" s="36" t="s">
        <v>8</v>
      </c>
      <c r="I2028" s="36"/>
      <c r="J2028" s="36"/>
    </row>
    <row r="2029" spans="1:10" x14ac:dyDescent="0.25">
      <c r="A2029" s="36">
        <v>1891</v>
      </c>
      <c r="B2029" s="37">
        <v>43617</v>
      </c>
      <c r="C2029" s="36"/>
      <c r="D2029" s="36"/>
      <c r="E2029" s="36" t="s">
        <v>9</v>
      </c>
      <c r="F2029" s="38">
        <v>12134941.875</v>
      </c>
      <c r="G2029" s="36" t="s">
        <v>8</v>
      </c>
      <c r="H2029" s="36" t="s">
        <v>8</v>
      </c>
      <c r="I2029" s="36"/>
      <c r="J2029" s="36"/>
    </row>
    <row r="2030" spans="1:10" x14ac:dyDescent="0.25">
      <c r="A2030" s="36">
        <v>1891</v>
      </c>
      <c r="B2030" s="37">
        <v>43647</v>
      </c>
      <c r="C2030" s="36"/>
      <c r="D2030" s="36"/>
      <c r="E2030" s="36" t="s">
        <v>9</v>
      </c>
      <c r="F2030" s="38">
        <v>12134941.875</v>
      </c>
      <c r="G2030" s="36" t="s">
        <v>8</v>
      </c>
      <c r="H2030" s="36" t="s">
        <v>8</v>
      </c>
      <c r="I2030" s="36"/>
      <c r="J2030" s="36"/>
    </row>
    <row r="2031" spans="1:10" x14ac:dyDescent="0.25">
      <c r="A2031" s="36">
        <v>1891</v>
      </c>
      <c r="B2031" s="37">
        <v>43678</v>
      </c>
      <c r="C2031" s="36"/>
      <c r="D2031" s="36"/>
      <c r="E2031" s="36" t="s">
        <v>9</v>
      </c>
      <c r="F2031" s="38">
        <v>12134941.875</v>
      </c>
      <c r="G2031" s="36" t="s">
        <v>8</v>
      </c>
      <c r="H2031" s="36" t="s">
        <v>8</v>
      </c>
      <c r="I2031" s="36"/>
      <c r="J2031" s="36"/>
    </row>
    <row r="2032" spans="1:10" x14ac:dyDescent="0.25">
      <c r="A2032" s="36">
        <v>1891</v>
      </c>
      <c r="B2032" s="37">
        <v>43709</v>
      </c>
      <c r="C2032" s="36"/>
      <c r="D2032" s="36"/>
      <c r="E2032" s="36" t="s">
        <v>9</v>
      </c>
      <c r="F2032" s="38">
        <v>12134941.875</v>
      </c>
      <c r="G2032" s="36" t="s">
        <v>8</v>
      </c>
      <c r="H2032" s="36" t="s">
        <v>8</v>
      </c>
      <c r="I2032" s="36"/>
      <c r="J2032" s="36"/>
    </row>
    <row r="2033" spans="1:10" x14ac:dyDescent="0.25">
      <c r="A2033" s="36">
        <v>1891</v>
      </c>
      <c r="B2033" s="37">
        <v>43739</v>
      </c>
      <c r="C2033" s="36"/>
      <c r="D2033" s="36"/>
      <c r="E2033" s="36" t="s">
        <v>9</v>
      </c>
      <c r="F2033" s="38">
        <v>12134941.875</v>
      </c>
      <c r="G2033" s="36" t="s">
        <v>8</v>
      </c>
      <c r="H2033" s="36" t="s">
        <v>8</v>
      </c>
      <c r="I2033" s="36"/>
      <c r="J2033" s="36"/>
    </row>
    <row r="2034" spans="1:10" x14ac:dyDescent="0.25">
      <c r="A2034" s="36">
        <v>1891</v>
      </c>
      <c r="B2034" s="37">
        <v>43770</v>
      </c>
      <c r="C2034" s="36"/>
      <c r="D2034" s="36"/>
      <c r="E2034" s="36" t="s">
        <v>9</v>
      </c>
      <c r="F2034" s="38">
        <v>12134941.875</v>
      </c>
      <c r="G2034" s="36" t="s">
        <v>8</v>
      </c>
      <c r="H2034" s="36" t="s">
        <v>8</v>
      </c>
      <c r="I2034" s="36"/>
      <c r="J2034" s="36"/>
    </row>
    <row r="2035" spans="1:10" x14ac:dyDescent="0.25">
      <c r="A2035" s="36">
        <v>1891</v>
      </c>
      <c r="B2035" s="37">
        <v>43800</v>
      </c>
      <c r="C2035" s="36"/>
      <c r="D2035" s="36"/>
      <c r="E2035" s="36" t="s">
        <v>9</v>
      </c>
      <c r="F2035" s="38">
        <v>12134941.875</v>
      </c>
      <c r="G2035" s="36" t="s">
        <v>8</v>
      </c>
      <c r="H2035" s="36" t="s">
        <v>8</v>
      </c>
      <c r="I2035" s="36"/>
      <c r="J2035" s="36"/>
    </row>
    <row r="2036" spans="1:10" x14ac:dyDescent="0.25">
      <c r="A2036" s="36">
        <v>1891</v>
      </c>
      <c r="B2036" s="37">
        <v>43831</v>
      </c>
      <c r="C2036" s="36"/>
      <c r="D2036" s="36"/>
      <c r="E2036" s="36" t="s">
        <v>9</v>
      </c>
      <c r="F2036" s="38">
        <v>12134941.875</v>
      </c>
      <c r="G2036" s="36" t="s">
        <v>8</v>
      </c>
      <c r="H2036" s="36" t="s">
        <v>8</v>
      </c>
      <c r="I2036" s="36"/>
      <c r="J2036" s="36"/>
    </row>
    <row r="2037" spans="1:10" x14ac:dyDescent="0.25">
      <c r="A2037" s="36">
        <v>1891</v>
      </c>
      <c r="B2037" s="37">
        <v>43862</v>
      </c>
      <c r="C2037" s="36"/>
      <c r="D2037" s="36"/>
      <c r="E2037" s="36" t="s">
        <v>9</v>
      </c>
      <c r="F2037" s="38">
        <v>12134941.875</v>
      </c>
      <c r="G2037" s="36" t="s">
        <v>8</v>
      </c>
      <c r="H2037" s="36" t="s">
        <v>8</v>
      </c>
      <c r="I2037" s="36"/>
      <c r="J2037" s="36"/>
    </row>
    <row r="2038" spans="1:10" x14ac:dyDescent="0.25">
      <c r="A2038" s="36">
        <v>1891</v>
      </c>
      <c r="B2038" s="37">
        <v>43891</v>
      </c>
      <c r="C2038" s="36"/>
      <c r="D2038" s="36"/>
      <c r="E2038" s="36" t="s">
        <v>9</v>
      </c>
      <c r="F2038" s="38">
        <v>12134941.875</v>
      </c>
      <c r="G2038" s="36" t="s">
        <v>8</v>
      </c>
      <c r="H2038" s="36" t="s">
        <v>8</v>
      </c>
      <c r="I2038" s="36"/>
      <c r="J2038" s="36"/>
    </row>
    <row r="2039" spans="1:10" x14ac:dyDescent="0.25">
      <c r="A2039" s="36">
        <v>1891</v>
      </c>
      <c r="B2039" s="37">
        <v>43922</v>
      </c>
      <c r="C2039" s="36"/>
      <c r="D2039" s="36"/>
      <c r="E2039" s="36" t="s">
        <v>9</v>
      </c>
      <c r="F2039" s="38">
        <v>12134941.875</v>
      </c>
      <c r="G2039" s="36" t="s">
        <v>8</v>
      </c>
      <c r="H2039" s="36" t="s">
        <v>8</v>
      </c>
      <c r="I2039" s="36"/>
      <c r="J2039" s="36"/>
    </row>
    <row r="2040" spans="1:10" x14ac:dyDescent="0.25">
      <c r="A2040" s="36">
        <v>1891</v>
      </c>
      <c r="B2040" s="37">
        <v>43952</v>
      </c>
      <c r="C2040" s="36"/>
      <c r="D2040" s="36"/>
      <c r="E2040" s="36" t="s">
        <v>9</v>
      </c>
      <c r="F2040" s="38">
        <v>12134941.875</v>
      </c>
      <c r="G2040" s="36" t="s">
        <v>8</v>
      </c>
      <c r="H2040" s="36" t="s">
        <v>8</v>
      </c>
      <c r="I2040" s="36"/>
      <c r="J2040" s="36"/>
    </row>
    <row r="2041" spans="1:10" x14ac:dyDescent="0.25">
      <c r="A2041" s="36">
        <v>1891</v>
      </c>
      <c r="B2041" s="37">
        <v>43983</v>
      </c>
      <c r="C2041" s="36"/>
      <c r="D2041" s="36"/>
      <c r="E2041" s="36" t="s">
        <v>9</v>
      </c>
      <c r="F2041" s="38">
        <v>12134941.875</v>
      </c>
      <c r="G2041" s="36" t="s">
        <v>8</v>
      </c>
      <c r="H2041" s="36" t="s">
        <v>8</v>
      </c>
      <c r="I2041" s="36"/>
      <c r="J2041" s="36"/>
    </row>
    <row r="2042" spans="1:10" x14ac:dyDescent="0.25">
      <c r="A2042" s="36">
        <v>1891</v>
      </c>
      <c r="B2042" s="37">
        <v>43497</v>
      </c>
      <c r="C2042" s="36"/>
      <c r="D2042" s="36"/>
      <c r="E2042" s="36" t="s">
        <v>21</v>
      </c>
      <c r="F2042" s="38">
        <v>7406867.4750000006</v>
      </c>
      <c r="G2042" s="36" t="s">
        <v>8</v>
      </c>
      <c r="H2042" s="36" t="s">
        <v>8</v>
      </c>
      <c r="I2042" s="36"/>
      <c r="J2042" s="36"/>
    </row>
    <row r="2043" spans="1:10" x14ac:dyDescent="0.25">
      <c r="A2043" s="36">
        <v>1891</v>
      </c>
      <c r="B2043" s="37">
        <v>43525</v>
      </c>
      <c r="C2043" s="36"/>
      <c r="D2043" s="36"/>
      <c r="E2043" s="36" t="s">
        <v>21</v>
      </c>
      <c r="F2043" s="38">
        <v>7406867.4750000006</v>
      </c>
      <c r="G2043" s="36" t="s">
        <v>8</v>
      </c>
      <c r="H2043" s="36" t="s">
        <v>8</v>
      </c>
      <c r="I2043" s="36"/>
      <c r="J2043" s="36"/>
    </row>
    <row r="2044" spans="1:10" x14ac:dyDescent="0.25">
      <c r="A2044" s="36">
        <v>1891</v>
      </c>
      <c r="B2044" s="37">
        <v>43556</v>
      </c>
      <c r="C2044" s="36"/>
      <c r="D2044" s="36"/>
      <c r="E2044" s="36" t="s">
        <v>21</v>
      </c>
      <c r="F2044" s="38">
        <v>7406867.4750000006</v>
      </c>
      <c r="G2044" s="36" t="s">
        <v>8</v>
      </c>
      <c r="H2044" s="36" t="s">
        <v>8</v>
      </c>
      <c r="I2044" s="36"/>
      <c r="J2044" s="36"/>
    </row>
    <row r="2045" spans="1:10" x14ac:dyDescent="0.25">
      <c r="A2045" s="36">
        <v>1891</v>
      </c>
      <c r="B2045" s="37">
        <v>43586</v>
      </c>
      <c r="C2045" s="36"/>
      <c r="D2045" s="36"/>
      <c r="E2045" s="36" t="s">
        <v>21</v>
      </c>
      <c r="F2045" s="38">
        <v>7406867.4750000006</v>
      </c>
      <c r="G2045" s="36" t="s">
        <v>8</v>
      </c>
      <c r="H2045" s="36" t="s">
        <v>8</v>
      </c>
      <c r="I2045" s="36"/>
      <c r="J2045" s="36"/>
    </row>
    <row r="2046" spans="1:10" x14ac:dyDescent="0.25">
      <c r="A2046" s="36">
        <v>1891</v>
      </c>
      <c r="B2046" s="37">
        <v>43617</v>
      </c>
      <c r="C2046" s="36"/>
      <c r="D2046" s="36"/>
      <c r="E2046" s="36" t="s">
        <v>21</v>
      </c>
      <c r="F2046" s="38">
        <v>7406867.4750000006</v>
      </c>
      <c r="G2046" s="36" t="s">
        <v>8</v>
      </c>
      <c r="H2046" s="36" t="s">
        <v>8</v>
      </c>
      <c r="I2046" s="36"/>
      <c r="J2046" s="36"/>
    </row>
    <row r="2047" spans="1:10" x14ac:dyDescent="0.25">
      <c r="A2047" s="36">
        <v>1891</v>
      </c>
      <c r="B2047" s="37">
        <v>43647</v>
      </c>
      <c r="C2047" s="36"/>
      <c r="D2047" s="36"/>
      <c r="E2047" s="36" t="s">
        <v>21</v>
      </c>
      <c r="F2047" s="38">
        <v>7406867.4750000006</v>
      </c>
      <c r="G2047" s="36" t="s">
        <v>8</v>
      </c>
      <c r="H2047" s="36" t="s">
        <v>8</v>
      </c>
      <c r="I2047" s="36"/>
      <c r="J2047" s="36"/>
    </row>
    <row r="2048" spans="1:10" x14ac:dyDescent="0.25">
      <c r="A2048" s="36">
        <v>1891</v>
      </c>
      <c r="B2048" s="37">
        <v>43678</v>
      </c>
      <c r="C2048" s="36"/>
      <c r="D2048" s="36"/>
      <c r="E2048" s="36" t="s">
        <v>21</v>
      </c>
      <c r="F2048" s="38">
        <v>7406867.4750000006</v>
      </c>
      <c r="G2048" s="36" t="s">
        <v>8</v>
      </c>
      <c r="H2048" s="36" t="s">
        <v>8</v>
      </c>
      <c r="I2048" s="36"/>
      <c r="J2048" s="36"/>
    </row>
    <row r="2049" spans="1:10" x14ac:dyDescent="0.25">
      <c r="A2049" s="36">
        <v>1891</v>
      </c>
      <c r="B2049" s="37">
        <v>43709</v>
      </c>
      <c r="C2049" s="36"/>
      <c r="D2049" s="36"/>
      <c r="E2049" s="36" t="s">
        <v>21</v>
      </c>
      <c r="F2049" s="38">
        <v>7406867.4750000006</v>
      </c>
      <c r="G2049" s="36" t="s">
        <v>8</v>
      </c>
      <c r="H2049" s="36" t="s">
        <v>8</v>
      </c>
      <c r="I2049" s="36"/>
      <c r="J2049" s="36"/>
    </row>
    <row r="2050" spans="1:10" x14ac:dyDescent="0.25">
      <c r="A2050" s="36">
        <v>1891</v>
      </c>
      <c r="B2050" s="37">
        <v>43739</v>
      </c>
      <c r="C2050" s="36"/>
      <c r="D2050" s="36"/>
      <c r="E2050" s="36" t="s">
        <v>21</v>
      </c>
      <c r="F2050" s="38">
        <v>7406867.4750000006</v>
      </c>
      <c r="G2050" s="36" t="s">
        <v>8</v>
      </c>
      <c r="H2050" s="36" t="s">
        <v>8</v>
      </c>
      <c r="I2050" s="36"/>
      <c r="J2050" s="36"/>
    </row>
    <row r="2051" spans="1:10" x14ac:dyDescent="0.25">
      <c r="A2051" s="36">
        <v>1891</v>
      </c>
      <c r="B2051" s="37">
        <v>43770</v>
      </c>
      <c r="C2051" s="36"/>
      <c r="D2051" s="36"/>
      <c r="E2051" s="36" t="s">
        <v>21</v>
      </c>
      <c r="F2051" s="38">
        <v>7406867.4750000006</v>
      </c>
      <c r="G2051" s="36" t="s">
        <v>8</v>
      </c>
      <c r="H2051" s="36" t="s">
        <v>8</v>
      </c>
      <c r="I2051" s="36"/>
      <c r="J2051" s="36"/>
    </row>
    <row r="2052" spans="1:10" x14ac:dyDescent="0.25">
      <c r="A2052" s="36">
        <v>1891</v>
      </c>
      <c r="B2052" s="37">
        <v>43800</v>
      </c>
      <c r="C2052" s="36"/>
      <c r="D2052" s="36"/>
      <c r="E2052" s="36" t="s">
        <v>21</v>
      </c>
      <c r="F2052" s="38">
        <v>7406867.4750000006</v>
      </c>
      <c r="G2052" s="36" t="s">
        <v>8</v>
      </c>
      <c r="H2052" s="36" t="s">
        <v>8</v>
      </c>
      <c r="I2052" s="36"/>
      <c r="J2052" s="36"/>
    </row>
    <row r="2053" spans="1:10" x14ac:dyDescent="0.25">
      <c r="A2053" s="36">
        <v>1891</v>
      </c>
      <c r="B2053" s="37">
        <v>43831</v>
      </c>
      <c r="C2053" s="36"/>
      <c r="D2053" s="36"/>
      <c r="E2053" s="36" t="s">
        <v>21</v>
      </c>
      <c r="F2053" s="38">
        <v>7406867.4750000006</v>
      </c>
      <c r="G2053" s="36" t="s">
        <v>8</v>
      </c>
      <c r="H2053" s="36" t="s">
        <v>8</v>
      </c>
      <c r="I2053" s="36"/>
      <c r="J2053" s="36"/>
    </row>
    <row r="2054" spans="1:10" x14ac:dyDescent="0.25">
      <c r="A2054" s="36">
        <v>1891</v>
      </c>
      <c r="B2054" s="37">
        <v>43862</v>
      </c>
      <c r="C2054" s="36"/>
      <c r="D2054" s="36"/>
      <c r="E2054" s="36" t="s">
        <v>21</v>
      </c>
      <c r="F2054" s="38">
        <v>7406867.4750000006</v>
      </c>
      <c r="G2054" s="36" t="s">
        <v>8</v>
      </c>
      <c r="H2054" s="36" t="s">
        <v>8</v>
      </c>
      <c r="I2054" s="36"/>
      <c r="J2054" s="36"/>
    </row>
    <row r="2055" spans="1:10" x14ac:dyDescent="0.25">
      <c r="A2055" s="36">
        <v>1891</v>
      </c>
      <c r="B2055" s="37">
        <v>43891</v>
      </c>
      <c r="C2055" s="36"/>
      <c r="D2055" s="36"/>
      <c r="E2055" s="36" t="s">
        <v>21</v>
      </c>
      <c r="F2055" s="38">
        <v>7406867.4750000006</v>
      </c>
      <c r="G2055" s="36" t="s">
        <v>8</v>
      </c>
      <c r="H2055" s="36" t="s">
        <v>8</v>
      </c>
      <c r="I2055" s="36"/>
      <c r="J2055" s="36"/>
    </row>
    <row r="2056" spans="1:10" x14ac:dyDescent="0.25">
      <c r="A2056" s="36">
        <v>1891</v>
      </c>
      <c r="B2056" s="37">
        <v>43922</v>
      </c>
      <c r="C2056" s="36"/>
      <c r="D2056" s="36"/>
      <c r="E2056" s="36" t="s">
        <v>21</v>
      </c>
      <c r="F2056" s="38">
        <v>7406867.4750000006</v>
      </c>
      <c r="G2056" s="36" t="s">
        <v>8</v>
      </c>
      <c r="H2056" s="36" t="s">
        <v>8</v>
      </c>
      <c r="I2056" s="36"/>
      <c r="J2056" s="36"/>
    </row>
    <row r="2057" spans="1:10" x14ac:dyDescent="0.25">
      <c r="A2057" s="36">
        <v>1891</v>
      </c>
      <c r="B2057" s="37">
        <v>43952</v>
      </c>
      <c r="C2057" s="36"/>
      <c r="D2057" s="36"/>
      <c r="E2057" s="36" t="s">
        <v>21</v>
      </c>
      <c r="F2057" s="38">
        <v>7406867.4750000006</v>
      </c>
      <c r="G2057" s="36" t="s">
        <v>8</v>
      </c>
      <c r="H2057" s="36" t="s">
        <v>8</v>
      </c>
      <c r="I2057" s="36"/>
      <c r="J2057" s="36"/>
    </row>
    <row r="2058" spans="1:10" x14ac:dyDescent="0.25">
      <c r="A2058" s="36">
        <v>1891</v>
      </c>
      <c r="B2058" s="37">
        <v>43983</v>
      </c>
      <c r="C2058" s="36"/>
      <c r="D2058" s="36"/>
      <c r="E2058" s="36" t="s">
        <v>21</v>
      </c>
      <c r="F2058" s="38">
        <v>7406867.4750000006</v>
      </c>
      <c r="G2058" s="36" t="s">
        <v>8</v>
      </c>
      <c r="H2058" s="36" t="s">
        <v>8</v>
      </c>
      <c r="I2058" s="36"/>
      <c r="J2058" s="36"/>
    </row>
    <row r="2059" spans="1:10" x14ac:dyDescent="0.25">
      <c r="A2059" s="36">
        <v>1891</v>
      </c>
      <c r="B2059" s="37">
        <v>44013</v>
      </c>
      <c r="C2059" s="36"/>
      <c r="D2059" s="36"/>
      <c r="E2059" s="36" t="s">
        <v>21</v>
      </c>
      <c r="F2059" s="38">
        <v>7406867.4750000006</v>
      </c>
      <c r="G2059" s="36" t="s">
        <v>8</v>
      </c>
      <c r="H2059" s="36" t="s">
        <v>8</v>
      </c>
      <c r="I2059" s="36"/>
      <c r="J2059" s="36"/>
    </row>
    <row r="2060" spans="1:10" x14ac:dyDescent="0.25">
      <c r="A2060" s="36">
        <v>1891</v>
      </c>
      <c r="B2060" s="37">
        <v>44044</v>
      </c>
      <c r="C2060" s="36"/>
      <c r="D2060" s="36"/>
      <c r="E2060" s="36" t="s">
        <v>21</v>
      </c>
      <c r="F2060" s="38">
        <v>7406867.4750000006</v>
      </c>
      <c r="G2060" s="36" t="s">
        <v>8</v>
      </c>
      <c r="H2060" s="36" t="s">
        <v>8</v>
      </c>
      <c r="I2060" s="36"/>
      <c r="J2060" s="36"/>
    </row>
    <row r="2061" spans="1:10" x14ac:dyDescent="0.25">
      <c r="A2061" s="36">
        <v>1891</v>
      </c>
      <c r="B2061" s="37">
        <v>44075</v>
      </c>
      <c r="C2061" s="36"/>
      <c r="D2061" s="36"/>
      <c r="E2061" s="36" t="s">
        <v>21</v>
      </c>
      <c r="F2061" s="38">
        <v>7406867.4750000006</v>
      </c>
      <c r="G2061" s="36" t="s">
        <v>8</v>
      </c>
      <c r="H2061" s="36" t="s">
        <v>8</v>
      </c>
      <c r="I2061" s="36"/>
      <c r="J2061" s="36"/>
    </row>
    <row r="2062" spans="1:10" x14ac:dyDescent="0.25">
      <c r="A2062" s="36">
        <v>1891</v>
      </c>
      <c r="B2062" s="37">
        <v>44105</v>
      </c>
      <c r="C2062" s="36"/>
      <c r="D2062" s="36"/>
      <c r="E2062" s="36" t="s">
        <v>21</v>
      </c>
      <c r="F2062" s="38">
        <v>7406867.4750000006</v>
      </c>
      <c r="G2062" s="36" t="s">
        <v>8</v>
      </c>
      <c r="H2062" s="36" t="s">
        <v>8</v>
      </c>
      <c r="I2062" s="36"/>
      <c r="J2062" s="36"/>
    </row>
    <row r="2063" spans="1:10" x14ac:dyDescent="0.25">
      <c r="A2063" s="36">
        <v>1891</v>
      </c>
      <c r="B2063" s="37">
        <v>44136</v>
      </c>
      <c r="C2063" s="36"/>
      <c r="D2063" s="36"/>
      <c r="E2063" s="36" t="s">
        <v>21</v>
      </c>
      <c r="F2063" s="38">
        <v>7406867.4750000006</v>
      </c>
      <c r="G2063" s="36" t="s">
        <v>8</v>
      </c>
      <c r="H2063" s="36" t="s">
        <v>8</v>
      </c>
      <c r="I2063" s="36"/>
      <c r="J2063" s="36"/>
    </row>
    <row r="2064" spans="1:10" x14ac:dyDescent="0.25">
      <c r="A2064" s="36">
        <v>1891</v>
      </c>
      <c r="B2064" s="37">
        <v>44166</v>
      </c>
      <c r="C2064" s="36"/>
      <c r="D2064" s="36"/>
      <c r="E2064" s="36" t="s">
        <v>21</v>
      </c>
      <c r="F2064" s="38">
        <v>7406867.4750000006</v>
      </c>
      <c r="G2064" s="36" t="s">
        <v>8</v>
      </c>
      <c r="H2064" s="36" t="s">
        <v>8</v>
      </c>
      <c r="I2064" s="36"/>
      <c r="J2064" s="36"/>
    </row>
    <row r="2065" spans="1:10" x14ac:dyDescent="0.25">
      <c r="A2065" s="36">
        <v>1891</v>
      </c>
      <c r="B2065" s="37">
        <v>43497</v>
      </c>
      <c r="C2065" s="36"/>
      <c r="D2065" s="36"/>
      <c r="E2065" s="36" t="s">
        <v>70</v>
      </c>
      <c r="F2065" s="38">
        <v>7540019.5500000007</v>
      </c>
      <c r="G2065" s="36" t="s">
        <v>8</v>
      </c>
      <c r="H2065" s="36" t="s">
        <v>8</v>
      </c>
      <c r="I2065" s="36"/>
      <c r="J2065" s="36"/>
    </row>
    <row r="2066" spans="1:10" x14ac:dyDescent="0.25">
      <c r="A2066" s="36">
        <v>1891</v>
      </c>
      <c r="B2066" s="37">
        <v>43525</v>
      </c>
      <c r="C2066" s="36"/>
      <c r="D2066" s="36"/>
      <c r="E2066" s="36" t="s">
        <v>70</v>
      </c>
      <c r="F2066" s="38">
        <v>7540019.5500000007</v>
      </c>
      <c r="G2066" s="36" t="s">
        <v>8</v>
      </c>
      <c r="H2066" s="36" t="s">
        <v>8</v>
      </c>
      <c r="I2066" s="36"/>
      <c r="J2066" s="36"/>
    </row>
    <row r="2067" spans="1:10" x14ac:dyDescent="0.25">
      <c r="A2067" s="36">
        <v>1891</v>
      </c>
      <c r="B2067" s="37">
        <v>43556</v>
      </c>
      <c r="C2067" s="36"/>
      <c r="D2067" s="36"/>
      <c r="E2067" s="36" t="s">
        <v>70</v>
      </c>
      <c r="F2067" s="38">
        <v>7540019.5500000007</v>
      </c>
      <c r="G2067" s="36" t="s">
        <v>8</v>
      </c>
      <c r="H2067" s="36" t="s">
        <v>8</v>
      </c>
      <c r="I2067" s="36"/>
      <c r="J2067" s="36"/>
    </row>
    <row r="2068" spans="1:10" x14ac:dyDescent="0.25">
      <c r="A2068" s="36">
        <v>1891</v>
      </c>
      <c r="B2068" s="37">
        <v>43586</v>
      </c>
      <c r="C2068" s="36"/>
      <c r="D2068" s="36"/>
      <c r="E2068" s="36" t="s">
        <v>70</v>
      </c>
      <c r="F2068" s="38">
        <v>7540019.5500000007</v>
      </c>
      <c r="G2068" s="36" t="s">
        <v>8</v>
      </c>
      <c r="H2068" s="36" t="s">
        <v>8</v>
      </c>
      <c r="I2068" s="36"/>
      <c r="J2068" s="36"/>
    </row>
    <row r="2069" spans="1:10" x14ac:dyDescent="0.25">
      <c r="A2069" s="36">
        <v>1891</v>
      </c>
      <c r="B2069" s="37">
        <v>43617</v>
      </c>
      <c r="C2069" s="36"/>
      <c r="D2069" s="36"/>
      <c r="E2069" s="36" t="s">
        <v>70</v>
      </c>
      <c r="F2069" s="38">
        <v>7540019.5500000007</v>
      </c>
      <c r="G2069" s="36" t="s">
        <v>8</v>
      </c>
      <c r="H2069" s="36" t="s">
        <v>8</v>
      </c>
      <c r="I2069" s="36"/>
      <c r="J2069" s="36"/>
    </row>
    <row r="2070" spans="1:10" x14ac:dyDescent="0.25">
      <c r="A2070" s="36">
        <v>1891</v>
      </c>
      <c r="B2070" s="37">
        <v>43647</v>
      </c>
      <c r="C2070" s="36"/>
      <c r="D2070" s="36"/>
      <c r="E2070" s="36" t="s">
        <v>70</v>
      </c>
      <c r="F2070" s="38">
        <v>7540019.5500000007</v>
      </c>
      <c r="G2070" s="36" t="s">
        <v>8</v>
      </c>
      <c r="H2070" s="36" t="s">
        <v>8</v>
      </c>
      <c r="I2070" s="36"/>
      <c r="J2070" s="36"/>
    </row>
    <row r="2071" spans="1:10" x14ac:dyDescent="0.25">
      <c r="A2071" s="36">
        <v>1891</v>
      </c>
      <c r="B2071" s="37">
        <v>43678</v>
      </c>
      <c r="C2071" s="36"/>
      <c r="D2071" s="36"/>
      <c r="E2071" s="36" t="s">
        <v>70</v>
      </c>
      <c r="F2071" s="38">
        <v>7540019.5500000007</v>
      </c>
      <c r="G2071" s="36" t="s">
        <v>8</v>
      </c>
      <c r="H2071" s="36" t="s">
        <v>8</v>
      </c>
      <c r="I2071" s="36"/>
      <c r="J2071" s="36"/>
    </row>
    <row r="2072" spans="1:10" x14ac:dyDescent="0.25">
      <c r="A2072" s="36">
        <v>1891</v>
      </c>
      <c r="B2072" s="37">
        <v>43709</v>
      </c>
      <c r="C2072" s="36"/>
      <c r="D2072" s="36"/>
      <c r="E2072" s="36" t="s">
        <v>70</v>
      </c>
      <c r="F2072" s="38">
        <v>7540019.5500000007</v>
      </c>
      <c r="G2072" s="36" t="s">
        <v>8</v>
      </c>
      <c r="H2072" s="36" t="s">
        <v>8</v>
      </c>
      <c r="I2072" s="36"/>
      <c r="J2072" s="36"/>
    </row>
    <row r="2073" spans="1:10" x14ac:dyDescent="0.25">
      <c r="A2073" s="36">
        <v>1891</v>
      </c>
      <c r="B2073" s="37">
        <v>43739</v>
      </c>
      <c r="C2073" s="36"/>
      <c r="D2073" s="36"/>
      <c r="E2073" s="36" t="s">
        <v>70</v>
      </c>
      <c r="F2073" s="38">
        <v>7540019.5500000007</v>
      </c>
      <c r="G2073" s="36" t="s">
        <v>8</v>
      </c>
      <c r="H2073" s="36" t="s">
        <v>8</v>
      </c>
      <c r="I2073" s="36"/>
      <c r="J2073" s="36"/>
    </row>
    <row r="2074" spans="1:10" x14ac:dyDescent="0.25">
      <c r="A2074" s="36">
        <v>1891</v>
      </c>
      <c r="B2074" s="37">
        <v>43770</v>
      </c>
      <c r="C2074" s="36"/>
      <c r="D2074" s="36"/>
      <c r="E2074" s="36" t="s">
        <v>70</v>
      </c>
      <c r="F2074" s="38">
        <v>7540019.5500000007</v>
      </c>
      <c r="G2074" s="36" t="s">
        <v>8</v>
      </c>
      <c r="H2074" s="36" t="s">
        <v>8</v>
      </c>
      <c r="I2074" s="36"/>
      <c r="J2074" s="36"/>
    </row>
    <row r="2075" spans="1:10" x14ac:dyDescent="0.25">
      <c r="A2075" s="36">
        <v>1891</v>
      </c>
      <c r="B2075" s="37">
        <v>43800</v>
      </c>
      <c r="C2075" s="36"/>
      <c r="D2075" s="36"/>
      <c r="E2075" s="36" t="s">
        <v>70</v>
      </c>
      <c r="F2075" s="38">
        <v>7540019.5500000007</v>
      </c>
      <c r="G2075" s="36" t="s">
        <v>8</v>
      </c>
      <c r="H2075" s="36" t="s">
        <v>8</v>
      </c>
      <c r="I2075" s="36"/>
      <c r="J2075" s="36"/>
    </row>
    <row r="2076" spans="1:10" x14ac:dyDescent="0.25">
      <c r="A2076" s="36">
        <v>1891</v>
      </c>
      <c r="B2076" s="37">
        <v>43831</v>
      </c>
      <c r="C2076" s="36"/>
      <c r="D2076" s="36"/>
      <c r="E2076" s="36" t="s">
        <v>70</v>
      </c>
      <c r="F2076" s="38">
        <v>7540019.5500000007</v>
      </c>
      <c r="G2076" s="36" t="s">
        <v>8</v>
      </c>
      <c r="H2076" s="36" t="s">
        <v>8</v>
      </c>
      <c r="I2076" s="36"/>
      <c r="J2076" s="36"/>
    </row>
    <row r="2077" spans="1:10" x14ac:dyDescent="0.25">
      <c r="A2077" s="36">
        <v>1891</v>
      </c>
      <c r="B2077" s="37">
        <v>43862</v>
      </c>
      <c r="C2077" s="36"/>
      <c r="D2077" s="36"/>
      <c r="E2077" s="36" t="s">
        <v>70</v>
      </c>
      <c r="F2077" s="38">
        <v>7540019.5500000007</v>
      </c>
      <c r="G2077" s="36" t="s">
        <v>8</v>
      </c>
      <c r="H2077" s="36" t="s">
        <v>8</v>
      </c>
      <c r="I2077" s="36"/>
      <c r="J2077" s="36"/>
    </row>
    <row r="2078" spans="1:10" x14ac:dyDescent="0.25">
      <c r="A2078" s="36">
        <v>1891</v>
      </c>
      <c r="B2078" s="37">
        <v>43891</v>
      </c>
      <c r="C2078" s="36"/>
      <c r="D2078" s="36"/>
      <c r="E2078" s="36" t="s">
        <v>70</v>
      </c>
      <c r="F2078" s="38">
        <v>7540019.5500000007</v>
      </c>
      <c r="G2078" s="36" t="s">
        <v>8</v>
      </c>
      <c r="H2078" s="36" t="s">
        <v>8</v>
      </c>
      <c r="I2078" s="36"/>
      <c r="J2078" s="36"/>
    </row>
    <row r="2079" spans="1:10" x14ac:dyDescent="0.25">
      <c r="A2079" s="36">
        <v>1891</v>
      </c>
      <c r="B2079" s="37">
        <v>43497</v>
      </c>
      <c r="C2079" s="36"/>
      <c r="D2079" s="36"/>
      <c r="E2079" s="36" t="s">
        <v>23</v>
      </c>
      <c r="F2079" s="38">
        <v>5488569.4500000002</v>
      </c>
      <c r="G2079" s="36" t="s">
        <v>8</v>
      </c>
      <c r="H2079" s="36" t="s">
        <v>8</v>
      </c>
      <c r="I2079" s="36"/>
      <c r="J2079" s="36"/>
    </row>
    <row r="2080" spans="1:10" x14ac:dyDescent="0.25">
      <c r="A2080" s="36">
        <v>1891</v>
      </c>
      <c r="B2080" s="37">
        <v>43525</v>
      </c>
      <c r="C2080" s="36"/>
      <c r="D2080" s="36"/>
      <c r="E2080" s="36" t="s">
        <v>23</v>
      </c>
      <c r="F2080" s="38">
        <v>5488569.4500000002</v>
      </c>
      <c r="G2080" s="36" t="s">
        <v>8</v>
      </c>
      <c r="H2080" s="36" t="s">
        <v>8</v>
      </c>
      <c r="I2080" s="36"/>
      <c r="J2080" s="36"/>
    </row>
    <row r="2081" spans="1:10" x14ac:dyDescent="0.25">
      <c r="A2081" s="36">
        <v>1891</v>
      </c>
      <c r="B2081" s="37">
        <v>43556</v>
      </c>
      <c r="C2081" s="36"/>
      <c r="D2081" s="36"/>
      <c r="E2081" s="36" t="s">
        <v>23</v>
      </c>
      <c r="F2081" s="38">
        <v>5488569.4500000002</v>
      </c>
      <c r="G2081" s="36" t="s">
        <v>8</v>
      </c>
      <c r="H2081" s="36" t="s">
        <v>8</v>
      </c>
      <c r="I2081" s="36"/>
      <c r="J2081" s="36"/>
    </row>
    <row r="2082" spans="1:10" x14ac:dyDescent="0.25">
      <c r="A2082" s="36">
        <v>1891</v>
      </c>
      <c r="B2082" s="37">
        <v>43586</v>
      </c>
      <c r="C2082" s="36"/>
      <c r="D2082" s="36"/>
      <c r="E2082" s="36" t="s">
        <v>23</v>
      </c>
      <c r="F2082" s="38">
        <v>5488569.4500000002</v>
      </c>
      <c r="G2082" s="36" t="s">
        <v>8</v>
      </c>
      <c r="H2082" s="36" t="s">
        <v>8</v>
      </c>
      <c r="I2082" s="36"/>
      <c r="J2082" s="36"/>
    </row>
    <row r="2083" spans="1:10" x14ac:dyDescent="0.25">
      <c r="A2083" s="36">
        <v>1891</v>
      </c>
      <c r="B2083" s="37">
        <v>43617</v>
      </c>
      <c r="C2083" s="36"/>
      <c r="D2083" s="36"/>
      <c r="E2083" s="36" t="s">
        <v>23</v>
      </c>
      <c r="F2083" s="38">
        <v>5488569.4500000002</v>
      </c>
      <c r="G2083" s="36" t="s">
        <v>8</v>
      </c>
      <c r="H2083" s="36" t="s">
        <v>8</v>
      </c>
      <c r="I2083" s="36"/>
      <c r="J2083" s="36"/>
    </row>
    <row r="2084" spans="1:10" x14ac:dyDescent="0.25">
      <c r="A2084" s="36">
        <v>1891</v>
      </c>
      <c r="B2084" s="37">
        <v>43647</v>
      </c>
      <c r="C2084" s="36"/>
      <c r="D2084" s="36"/>
      <c r="E2084" s="36" t="s">
        <v>23</v>
      </c>
      <c r="F2084" s="38">
        <v>5488569.4500000002</v>
      </c>
      <c r="G2084" s="36" t="s">
        <v>8</v>
      </c>
      <c r="H2084" s="36" t="s">
        <v>8</v>
      </c>
      <c r="I2084" s="36"/>
      <c r="J2084" s="36"/>
    </row>
    <row r="2085" spans="1:10" x14ac:dyDescent="0.25">
      <c r="A2085" s="36">
        <v>1891</v>
      </c>
      <c r="B2085" s="37">
        <v>43678</v>
      </c>
      <c r="C2085" s="36"/>
      <c r="D2085" s="36"/>
      <c r="E2085" s="36" t="s">
        <v>23</v>
      </c>
      <c r="F2085" s="38">
        <v>5488569.4500000002</v>
      </c>
      <c r="G2085" s="36" t="s">
        <v>8</v>
      </c>
      <c r="H2085" s="36" t="s">
        <v>8</v>
      </c>
      <c r="I2085" s="36"/>
      <c r="J2085" s="36"/>
    </row>
    <row r="2086" spans="1:10" x14ac:dyDescent="0.25">
      <c r="A2086" s="36">
        <v>1891</v>
      </c>
      <c r="B2086" s="37">
        <v>43709</v>
      </c>
      <c r="C2086" s="36"/>
      <c r="D2086" s="36"/>
      <c r="E2086" s="36" t="s">
        <v>23</v>
      </c>
      <c r="F2086" s="38">
        <v>5488569.4500000002</v>
      </c>
      <c r="G2086" s="36" t="s">
        <v>8</v>
      </c>
      <c r="H2086" s="36" t="s">
        <v>8</v>
      </c>
      <c r="I2086" s="36"/>
      <c r="J2086" s="36"/>
    </row>
    <row r="2087" spans="1:10" x14ac:dyDescent="0.25">
      <c r="A2087" s="36">
        <v>1891</v>
      </c>
      <c r="B2087" s="37">
        <v>43739</v>
      </c>
      <c r="C2087" s="36"/>
      <c r="D2087" s="36"/>
      <c r="E2087" s="36" t="s">
        <v>23</v>
      </c>
      <c r="F2087" s="38">
        <v>5488569.4500000002</v>
      </c>
      <c r="G2087" s="36" t="s">
        <v>8</v>
      </c>
      <c r="H2087" s="36" t="s">
        <v>8</v>
      </c>
      <c r="I2087" s="36"/>
      <c r="J2087" s="36"/>
    </row>
    <row r="2088" spans="1:10" x14ac:dyDescent="0.25">
      <c r="A2088" s="36">
        <v>1891</v>
      </c>
      <c r="B2088" s="37">
        <v>43770</v>
      </c>
      <c r="C2088" s="36"/>
      <c r="D2088" s="36"/>
      <c r="E2088" s="36" t="s">
        <v>23</v>
      </c>
      <c r="F2088" s="38">
        <v>5488569.4500000002</v>
      </c>
      <c r="G2088" s="36" t="s">
        <v>8</v>
      </c>
      <c r="H2088" s="36" t="s">
        <v>8</v>
      </c>
      <c r="I2088" s="36"/>
      <c r="J2088" s="36"/>
    </row>
    <row r="2089" spans="1:10" x14ac:dyDescent="0.25">
      <c r="A2089" s="36">
        <v>1891</v>
      </c>
      <c r="B2089" s="37">
        <v>43800</v>
      </c>
      <c r="C2089" s="36"/>
      <c r="D2089" s="36"/>
      <c r="E2089" s="36" t="s">
        <v>23</v>
      </c>
      <c r="F2089" s="38">
        <v>5488569.4500000002</v>
      </c>
      <c r="G2089" s="36" t="s">
        <v>8</v>
      </c>
      <c r="H2089" s="36" t="s">
        <v>8</v>
      </c>
      <c r="I2089" s="36"/>
      <c r="J2089" s="36"/>
    </row>
    <row r="2090" spans="1:10" x14ac:dyDescent="0.25">
      <c r="A2090" s="36">
        <v>1891</v>
      </c>
      <c r="B2090" s="37">
        <v>43831</v>
      </c>
      <c r="C2090" s="36"/>
      <c r="D2090" s="36"/>
      <c r="E2090" s="36" t="s">
        <v>23</v>
      </c>
      <c r="F2090" s="38">
        <v>5488569.4500000002</v>
      </c>
      <c r="G2090" s="36" t="s">
        <v>8</v>
      </c>
      <c r="H2090" s="36" t="s">
        <v>8</v>
      </c>
      <c r="I2090" s="36"/>
      <c r="J2090" s="36"/>
    </row>
    <row r="2091" spans="1:10" x14ac:dyDescent="0.25">
      <c r="A2091" s="36">
        <v>1891</v>
      </c>
      <c r="B2091" s="37">
        <v>43862</v>
      </c>
      <c r="C2091" s="36"/>
      <c r="D2091" s="36"/>
      <c r="E2091" s="36" t="s">
        <v>23</v>
      </c>
      <c r="F2091" s="38">
        <v>5488569.4500000002</v>
      </c>
      <c r="G2091" s="36" t="s">
        <v>8</v>
      </c>
      <c r="H2091" s="36" t="s">
        <v>8</v>
      </c>
      <c r="I2091" s="36"/>
      <c r="J2091" s="36"/>
    </row>
    <row r="2092" spans="1:10" x14ac:dyDescent="0.25">
      <c r="A2092" s="36">
        <v>1891</v>
      </c>
      <c r="B2092" s="37">
        <v>43891</v>
      </c>
      <c r="C2092" s="36"/>
      <c r="D2092" s="36"/>
      <c r="E2092" s="36" t="s">
        <v>23</v>
      </c>
      <c r="F2092" s="38">
        <v>5488569.4500000002</v>
      </c>
      <c r="G2092" s="36" t="s">
        <v>8</v>
      </c>
      <c r="H2092" s="36" t="s">
        <v>8</v>
      </c>
      <c r="I2092" s="36"/>
      <c r="J2092" s="36"/>
    </row>
    <row r="2093" spans="1:10" x14ac:dyDescent="0.25">
      <c r="A2093" s="36">
        <v>1891</v>
      </c>
      <c r="B2093" s="37">
        <v>43922</v>
      </c>
      <c r="C2093" s="36"/>
      <c r="D2093" s="36"/>
      <c r="E2093" s="36" t="s">
        <v>23</v>
      </c>
      <c r="F2093" s="38">
        <v>5488569.4500000002</v>
      </c>
      <c r="G2093" s="36" t="s">
        <v>8</v>
      </c>
      <c r="H2093" s="36" t="s">
        <v>8</v>
      </c>
      <c r="I2093" s="36"/>
      <c r="J2093" s="36"/>
    </row>
    <row r="2094" spans="1:10" x14ac:dyDescent="0.25">
      <c r="A2094" s="36">
        <v>1891</v>
      </c>
      <c r="B2094" s="37">
        <v>43952</v>
      </c>
      <c r="C2094" s="36"/>
      <c r="D2094" s="36"/>
      <c r="E2094" s="36" t="s">
        <v>23</v>
      </c>
      <c r="F2094" s="38">
        <v>5488569.4500000002</v>
      </c>
      <c r="G2094" s="36" t="s">
        <v>8</v>
      </c>
      <c r="H2094" s="36" t="s">
        <v>8</v>
      </c>
      <c r="I2094" s="36"/>
      <c r="J2094" s="36"/>
    </row>
    <row r="2095" spans="1:10" x14ac:dyDescent="0.25">
      <c r="A2095" s="36">
        <v>1891</v>
      </c>
      <c r="B2095" s="37">
        <v>43983</v>
      </c>
      <c r="C2095" s="36"/>
      <c r="D2095" s="36"/>
      <c r="E2095" s="36" t="s">
        <v>23</v>
      </c>
      <c r="F2095" s="38">
        <v>5488569.4500000002</v>
      </c>
      <c r="G2095" s="36" t="s">
        <v>8</v>
      </c>
      <c r="H2095" s="36" t="s">
        <v>8</v>
      </c>
      <c r="I2095" s="36"/>
      <c r="J2095" s="36"/>
    </row>
    <row r="2096" spans="1:10" x14ac:dyDescent="0.25">
      <c r="A2096" s="36">
        <v>1891</v>
      </c>
      <c r="B2096" s="37">
        <v>43497</v>
      </c>
      <c r="C2096" s="36"/>
      <c r="D2096" s="36"/>
      <c r="E2096" s="36" t="s">
        <v>77</v>
      </c>
      <c r="F2096" s="38">
        <v>4923668.9249999998</v>
      </c>
      <c r="G2096" s="36" t="s">
        <v>8</v>
      </c>
      <c r="H2096" s="36" t="s">
        <v>8</v>
      </c>
      <c r="I2096" s="36"/>
      <c r="J2096" s="36"/>
    </row>
    <row r="2097" spans="1:10" x14ac:dyDescent="0.25">
      <c r="A2097" s="36">
        <v>1891</v>
      </c>
      <c r="B2097" s="37">
        <v>43525</v>
      </c>
      <c r="C2097" s="36"/>
      <c r="D2097" s="36"/>
      <c r="E2097" s="36" t="s">
        <v>77</v>
      </c>
      <c r="F2097" s="38">
        <v>4923668.9249999998</v>
      </c>
      <c r="G2097" s="36" t="s">
        <v>8</v>
      </c>
      <c r="H2097" s="36" t="s">
        <v>8</v>
      </c>
      <c r="I2097" s="36"/>
      <c r="J2097" s="36"/>
    </row>
    <row r="2098" spans="1:10" x14ac:dyDescent="0.25">
      <c r="A2098" s="36">
        <v>1891</v>
      </c>
      <c r="B2098" s="37">
        <v>43556</v>
      </c>
      <c r="C2098" s="36"/>
      <c r="D2098" s="36"/>
      <c r="E2098" s="36" t="s">
        <v>77</v>
      </c>
      <c r="F2098" s="38">
        <v>4923668.9249999998</v>
      </c>
      <c r="G2098" s="36" t="s">
        <v>8</v>
      </c>
      <c r="H2098" s="36" t="s">
        <v>8</v>
      </c>
      <c r="I2098" s="36"/>
      <c r="J2098" s="36"/>
    </row>
    <row r="2099" spans="1:10" x14ac:dyDescent="0.25">
      <c r="A2099" s="36">
        <v>1891</v>
      </c>
      <c r="B2099" s="37">
        <v>43586</v>
      </c>
      <c r="C2099" s="36"/>
      <c r="D2099" s="36"/>
      <c r="E2099" s="36" t="s">
        <v>77</v>
      </c>
      <c r="F2099" s="38">
        <v>4923668.9249999998</v>
      </c>
      <c r="G2099" s="36" t="s">
        <v>8</v>
      </c>
      <c r="H2099" s="36" t="s">
        <v>8</v>
      </c>
      <c r="I2099" s="36"/>
      <c r="J2099" s="36"/>
    </row>
    <row r="2100" spans="1:10" x14ac:dyDescent="0.25">
      <c r="A2100" s="36">
        <v>1891</v>
      </c>
      <c r="B2100" s="37">
        <v>43617</v>
      </c>
      <c r="C2100" s="36"/>
      <c r="D2100" s="36"/>
      <c r="E2100" s="36" t="s">
        <v>77</v>
      </c>
      <c r="F2100" s="38">
        <v>4923668.9249999998</v>
      </c>
      <c r="G2100" s="36" t="s">
        <v>8</v>
      </c>
      <c r="H2100" s="36" t="s">
        <v>8</v>
      </c>
      <c r="I2100" s="36"/>
      <c r="J2100" s="36"/>
    </row>
    <row r="2101" spans="1:10" x14ac:dyDescent="0.25">
      <c r="A2101" s="36">
        <v>1891</v>
      </c>
      <c r="B2101" s="37">
        <v>43647</v>
      </c>
      <c r="C2101" s="36"/>
      <c r="D2101" s="36"/>
      <c r="E2101" s="36" t="s">
        <v>77</v>
      </c>
      <c r="F2101" s="38">
        <v>4923668.9249999998</v>
      </c>
      <c r="G2101" s="36" t="s">
        <v>8</v>
      </c>
      <c r="H2101" s="36" t="s">
        <v>8</v>
      </c>
      <c r="I2101" s="36"/>
      <c r="J2101" s="36"/>
    </row>
    <row r="2102" spans="1:10" x14ac:dyDescent="0.25">
      <c r="A2102" s="36">
        <v>1891</v>
      </c>
      <c r="B2102" s="37">
        <v>43678</v>
      </c>
      <c r="C2102" s="36"/>
      <c r="D2102" s="36"/>
      <c r="E2102" s="36" t="s">
        <v>77</v>
      </c>
      <c r="F2102" s="38">
        <v>4923668.9249999998</v>
      </c>
      <c r="G2102" s="36" t="s">
        <v>8</v>
      </c>
      <c r="H2102" s="36" t="s">
        <v>8</v>
      </c>
      <c r="I2102" s="36"/>
      <c r="J2102" s="36"/>
    </row>
    <row r="2103" spans="1:10" x14ac:dyDescent="0.25">
      <c r="A2103" s="36">
        <v>1891</v>
      </c>
      <c r="B2103" s="37">
        <v>43709</v>
      </c>
      <c r="C2103" s="36"/>
      <c r="D2103" s="36"/>
      <c r="E2103" s="36" t="s">
        <v>77</v>
      </c>
      <c r="F2103" s="38">
        <v>4923668.9249999998</v>
      </c>
      <c r="G2103" s="36" t="s">
        <v>8</v>
      </c>
      <c r="H2103" s="36" t="s">
        <v>8</v>
      </c>
      <c r="I2103" s="36"/>
      <c r="J2103" s="36"/>
    </row>
    <row r="2104" spans="1:10" x14ac:dyDescent="0.25">
      <c r="A2104" s="36">
        <v>1891</v>
      </c>
      <c r="B2104" s="37">
        <v>43739</v>
      </c>
      <c r="C2104" s="36"/>
      <c r="D2104" s="36"/>
      <c r="E2104" s="36" t="s">
        <v>77</v>
      </c>
      <c r="F2104" s="38">
        <v>4923668.9249999998</v>
      </c>
      <c r="G2104" s="36" t="s">
        <v>8</v>
      </c>
      <c r="H2104" s="36" t="s">
        <v>8</v>
      </c>
      <c r="I2104" s="36"/>
      <c r="J2104" s="36"/>
    </row>
    <row r="2105" spans="1:10" x14ac:dyDescent="0.25">
      <c r="A2105" s="36">
        <v>1891</v>
      </c>
      <c r="B2105" s="37">
        <v>43770</v>
      </c>
      <c r="C2105" s="36"/>
      <c r="D2105" s="36"/>
      <c r="E2105" s="36" t="s">
        <v>77</v>
      </c>
      <c r="F2105" s="38">
        <v>4923668.9249999998</v>
      </c>
      <c r="G2105" s="36" t="s">
        <v>8</v>
      </c>
      <c r="H2105" s="36" t="s">
        <v>8</v>
      </c>
      <c r="I2105" s="36"/>
      <c r="J2105" s="36"/>
    </row>
    <row r="2106" spans="1:10" x14ac:dyDescent="0.25">
      <c r="A2106" s="36">
        <v>1891</v>
      </c>
      <c r="B2106" s="37">
        <v>43800</v>
      </c>
      <c r="C2106" s="36"/>
      <c r="D2106" s="36"/>
      <c r="E2106" s="36" t="s">
        <v>77</v>
      </c>
      <c r="F2106" s="38">
        <v>4923668.9249999998</v>
      </c>
      <c r="G2106" s="36" t="s">
        <v>8</v>
      </c>
      <c r="H2106" s="36" t="s">
        <v>8</v>
      </c>
      <c r="I2106" s="36"/>
      <c r="J2106" s="36"/>
    </row>
    <row r="2107" spans="1:10" x14ac:dyDescent="0.25">
      <c r="A2107" s="36">
        <v>1891</v>
      </c>
      <c r="B2107" s="37">
        <v>43831</v>
      </c>
      <c r="C2107" s="36"/>
      <c r="D2107" s="36"/>
      <c r="E2107" s="36" t="s">
        <v>77</v>
      </c>
      <c r="F2107" s="38">
        <v>4923668.9249999998</v>
      </c>
      <c r="G2107" s="36" t="s">
        <v>8</v>
      </c>
      <c r="H2107" s="36" t="s">
        <v>8</v>
      </c>
      <c r="I2107" s="36"/>
      <c r="J2107" s="36"/>
    </row>
    <row r="2108" spans="1:10" x14ac:dyDescent="0.25">
      <c r="A2108" s="36">
        <v>1891</v>
      </c>
      <c r="B2108" s="37">
        <v>43862</v>
      </c>
      <c r="C2108" s="36"/>
      <c r="D2108" s="36"/>
      <c r="E2108" s="36" t="s">
        <v>77</v>
      </c>
      <c r="F2108" s="38">
        <v>4923668.9249999998</v>
      </c>
      <c r="G2108" s="36" t="s">
        <v>8</v>
      </c>
      <c r="H2108" s="36" t="s">
        <v>8</v>
      </c>
      <c r="I2108" s="36"/>
      <c r="J2108" s="36"/>
    </row>
    <row r="2109" spans="1:10" x14ac:dyDescent="0.25">
      <c r="A2109" s="36">
        <v>1891</v>
      </c>
      <c r="B2109" s="37">
        <v>43891</v>
      </c>
      <c r="C2109" s="36"/>
      <c r="D2109" s="36"/>
      <c r="E2109" s="36" t="s">
        <v>77</v>
      </c>
      <c r="F2109" s="38">
        <v>4923668.9249999998</v>
      </c>
      <c r="G2109" s="36" t="s">
        <v>8</v>
      </c>
      <c r="H2109" s="36" t="s">
        <v>8</v>
      </c>
      <c r="I2109" s="36"/>
      <c r="J2109" s="36"/>
    </row>
    <row r="2110" spans="1:10" x14ac:dyDescent="0.25">
      <c r="A2110" s="36">
        <v>1891</v>
      </c>
      <c r="B2110" s="37">
        <v>43922</v>
      </c>
      <c r="C2110" s="36"/>
      <c r="D2110" s="36"/>
      <c r="E2110" s="36" t="s">
        <v>77</v>
      </c>
      <c r="F2110" s="38">
        <v>4923668.9249999998</v>
      </c>
      <c r="G2110" s="36" t="s">
        <v>8</v>
      </c>
      <c r="H2110" s="36" t="s">
        <v>8</v>
      </c>
      <c r="I2110" s="36"/>
      <c r="J2110" s="36"/>
    </row>
    <row r="2111" spans="1:10" x14ac:dyDescent="0.25">
      <c r="A2111" s="36">
        <v>1891</v>
      </c>
      <c r="B2111" s="37">
        <v>43952</v>
      </c>
      <c r="C2111" s="36"/>
      <c r="D2111" s="36"/>
      <c r="E2111" s="36" t="s">
        <v>77</v>
      </c>
      <c r="F2111" s="38">
        <v>4923668.9249999998</v>
      </c>
      <c r="G2111" s="36" t="s">
        <v>8</v>
      </c>
      <c r="H2111" s="36" t="s">
        <v>8</v>
      </c>
      <c r="I2111" s="36"/>
      <c r="J2111" s="36"/>
    </row>
    <row r="2112" spans="1:10" x14ac:dyDescent="0.25">
      <c r="A2112" s="36">
        <v>1891</v>
      </c>
      <c r="B2112" s="37">
        <v>43983</v>
      </c>
      <c r="C2112" s="36"/>
      <c r="D2112" s="36"/>
      <c r="E2112" s="36" t="s">
        <v>77</v>
      </c>
      <c r="F2112" s="38">
        <v>4923668.9249999998</v>
      </c>
      <c r="G2112" s="36" t="s">
        <v>8</v>
      </c>
      <c r="H2112" s="36" t="s">
        <v>8</v>
      </c>
      <c r="I2112" s="36"/>
      <c r="J2112" s="36"/>
    </row>
    <row r="2113" spans="1:10" x14ac:dyDescent="0.25">
      <c r="A2113" s="36">
        <v>1891</v>
      </c>
      <c r="B2113" s="37">
        <v>44013</v>
      </c>
      <c r="C2113" s="36"/>
      <c r="D2113" s="36"/>
      <c r="E2113" s="36" t="s">
        <v>77</v>
      </c>
      <c r="F2113" s="38">
        <v>4923668.9249999998</v>
      </c>
      <c r="G2113" s="36" t="s">
        <v>8</v>
      </c>
      <c r="H2113" s="36" t="s">
        <v>8</v>
      </c>
      <c r="I2113" s="36"/>
      <c r="J2113" s="36"/>
    </row>
    <row r="2114" spans="1:10" x14ac:dyDescent="0.25">
      <c r="A2114" s="36">
        <v>1891</v>
      </c>
      <c r="B2114" s="37">
        <v>43497</v>
      </c>
      <c r="C2114" s="36"/>
      <c r="D2114" s="36"/>
      <c r="E2114" s="36" t="s">
        <v>37</v>
      </c>
      <c r="F2114" s="38">
        <v>3222031.0500000003</v>
      </c>
      <c r="G2114" s="36" t="s">
        <v>8</v>
      </c>
      <c r="H2114" s="36" t="s">
        <v>8</v>
      </c>
      <c r="I2114" s="36"/>
      <c r="J2114" s="36"/>
    </row>
    <row r="2115" spans="1:10" x14ac:dyDescent="0.25">
      <c r="A2115" s="36">
        <v>1891</v>
      </c>
      <c r="B2115" s="37">
        <v>43525</v>
      </c>
      <c r="C2115" s="36"/>
      <c r="D2115" s="36"/>
      <c r="E2115" s="36" t="s">
        <v>37</v>
      </c>
      <c r="F2115" s="38">
        <v>3222031.0500000003</v>
      </c>
      <c r="G2115" s="36" t="s">
        <v>8</v>
      </c>
      <c r="H2115" s="36" t="s">
        <v>8</v>
      </c>
      <c r="I2115" s="36"/>
      <c r="J2115" s="36"/>
    </row>
    <row r="2116" spans="1:10" x14ac:dyDescent="0.25">
      <c r="A2116" s="36">
        <v>1891</v>
      </c>
      <c r="B2116" s="37">
        <v>43556</v>
      </c>
      <c r="C2116" s="36"/>
      <c r="D2116" s="36"/>
      <c r="E2116" s="36" t="s">
        <v>37</v>
      </c>
      <c r="F2116" s="38">
        <v>3222031.0500000003</v>
      </c>
      <c r="G2116" s="36" t="s">
        <v>8</v>
      </c>
      <c r="H2116" s="36" t="s">
        <v>8</v>
      </c>
      <c r="I2116" s="36"/>
      <c r="J2116" s="36"/>
    </row>
    <row r="2117" spans="1:10" x14ac:dyDescent="0.25">
      <c r="A2117" s="36">
        <v>1891</v>
      </c>
      <c r="B2117" s="37">
        <v>43586</v>
      </c>
      <c r="C2117" s="36"/>
      <c r="D2117" s="36"/>
      <c r="E2117" s="36" t="s">
        <v>37</v>
      </c>
      <c r="F2117" s="38">
        <v>3222031.0500000003</v>
      </c>
      <c r="G2117" s="36" t="s">
        <v>8</v>
      </c>
      <c r="H2117" s="36" t="s">
        <v>8</v>
      </c>
      <c r="I2117" s="36"/>
      <c r="J2117" s="36"/>
    </row>
    <row r="2118" spans="1:10" x14ac:dyDescent="0.25">
      <c r="A2118" s="36">
        <v>1891</v>
      </c>
      <c r="B2118" s="37">
        <v>43617</v>
      </c>
      <c r="C2118" s="36"/>
      <c r="D2118" s="36"/>
      <c r="E2118" s="36" t="s">
        <v>37</v>
      </c>
      <c r="F2118" s="38">
        <v>3222031.0500000003</v>
      </c>
      <c r="G2118" s="36" t="s">
        <v>8</v>
      </c>
      <c r="H2118" s="36" t="s">
        <v>8</v>
      </c>
      <c r="I2118" s="36"/>
      <c r="J2118" s="36"/>
    </row>
    <row r="2119" spans="1:10" x14ac:dyDescent="0.25">
      <c r="A2119" s="36">
        <v>1891</v>
      </c>
      <c r="B2119" s="37">
        <v>43647</v>
      </c>
      <c r="C2119" s="36"/>
      <c r="D2119" s="36"/>
      <c r="E2119" s="36" t="s">
        <v>37</v>
      </c>
      <c r="F2119" s="38">
        <v>3222031.0500000003</v>
      </c>
      <c r="G2119" s="36" t="s">
        <v>8</v>
      </c>
      <c r="H2119" s="36" t="s">
        <v>8</v>
      </c>
      <c r="I2119" s="36"/>
      <c r="J2119" s="36"/>
    </row>
    <row r="2120" spans="1:10" x14ac:dyDescent="0.25">
      <c r="A2120" s="36">
        <v>1891</v>
      </c>
      <c r="B2120" s="37">
        <v>43678</v>
      </c>
      <c r="C2120" s="36"/>
      <c r="D2120" s="36"/>
      <c r="E2120" s="36" t="s">
        <v>37</v>
      </c>
      <c r="F2120" s="38">
        <v>3222031.0500000003</v>
      </c>
      <c r="G2120" s="36" t="s">
        <v>8</v>
      </c>
      <c r="H2120" s="36" t="s">
        <v>8</v>
      </c>
      <c r="I2120" s="36"/>
      <c r="J2120" s="36"/>
    </row>
    <row r="2121" spans="1:10" x14ac:dyDescent="0.25">
      <c r="A2121" s="36">
        <v>1891</v>
      </c>
      <c r="B2121" s="37">
        <v>43709</v>
      </c>
      <c r="C2121" s="36"/>
      <c r="D2121" s="36"/>
      <c r="E2121" s="36" t="s">
        <v>37</v>
      </c>
      <c r="F2121" s="38">
        <v>3222031.0500000003</v>
      </c>
      <c r="G2121" s="36" t="s">
        <v>8</v>
      </c>
      <c r="H2121" s="36" t="s">
        <v>8</v>
      </c>
      <c r="I2121" s="36"/>
      <c r="J2121" s="36"/>
    </row>
    <row r="2122" spans="1:10" x14ac:dyDescent="0.25">
      <c r="A2122" s="36">
        <v>1891</v>
      </c>
      <c r="B2122" s="37">
        <v>43739</v>
      </c>
      <c r="C2122" s="36"/>
      <c r="D2122" s="36"/>
      <c r="E2122" s="36" t="s">
        <v>37</v>
      </c>
      <c r="F2122" s="38">
        <v>3222031.0500000003</v>
      </c>
      <c r="G2122" s="36" t="s">
        <v>8</v>
      </c>
      <c r="H2122" s="36" t="s">
        <v>8</v>
      </c>
      <c r="I2122" s="36"/>
      <c r="J2122" s="36"/>
    </row>
    <row r="2123" spans="1:10" x14ac:dyDescent="0.25">
      <c r="A2123" s="36">
        <v>1891</v>
      </c>
      <c r="B2123" s="37">
        <v>43770</v>
      </c>
      <c r="C2123" s="36"/>
      <c r="D2123" s="36"/>
      <c r="E2123" s="36" t="s">
        <v>37</v>
      </c>
      <c r="F2123" s="38">
        <v>3222031.0500000003</v>
      </c>
      <c r="G2123" s="36" t="s">
        <v>8</v>
      </c>
      <c r="H2123" s="36" t="s">
        <v>8</v>
      </c>
      <c r="I2123" s="36"/>
      <c r="J2123" s="36"/>
    </row>
    <row r="2124" spans="1:10" x14ac:dyDescent="0.25">
      <c r="A2124" s="36">
        <v>1891</v>
      </c>
      <c r="B2124" s="37">
        <v>43800</v>
      </c>
      <c r="C2124" s="36"/>
      <c r="D2124" s="36"/>
      <c r="E2124" s="36" t="s">
        <v>37</v>
      </c>
      <c r="F2124" s="38">
        <v>3222031.0500000003</v>
      </c>
      <c r="G2124" s="36" t="s">
        <v>8</v>
      </c>
      <c r="H2124" s="36" t="s">
        <v>8</v>
      </c>
      <c r="I2124" s="36"/>
      <c r="J2124" s="36"/>
    </row>
    <row r="2125" spans="1:10" x14ac:dyDescent="0.25">
      <c r="A2125" s="36">
        <v>1891</v>
      </c>
      <c r="B2125" s="37">
        <v>43831</v>
      </c>
      <c r="C2125" s="36"/>
      <c r="D2125" s="36"/>
      <c r="E2125" s="36" t="s">
        <v>37</v>
      </c>
      <c r="F2125" s="38">
        <v>3222031.0500000003</v>
      </c>
      <c r="G2125" s="36" t="s">
        <v>8</v>
      </c>
      <c r="H2125" s="36" t="s">
        <v>8</v>
      </c>
      <c r="I2125" s="36"/>
      <c r="J2125" s="36"/>
    </row>
    <row r="2126" spans="1:10" x14ac:dyDescent="0.25">
      <c r="A2126" s="36">
        <v>1891</v>
      </c>
      <c r="B2126" s="37">
        <v>43862</v>
      </c>
      <c r="C2126" s="36"/>
      <c r="D2126" s="36"/>
      <c r="E2126" s="36" t="s">
        <v>37</v>
      </c>
      <c r="F2126" s="38">
        <v>3222031.0500000003</v>
      </c>
      <c r="G2126" s="36" t="s">
        <v>8</v>
      </c>
      <c r="H2126" s="36" t="s">
        <v>8</v>
      </c>
      <c r="I2126" s="36"/>
      <c r="J2126" s="36"/>
    </row>
    <row r="2127" spans="1:10" x14ac:dyDescent="0.25">
      <c r="A2127" s="36">
        <v>1891</v>
      </c>
      <c r="B2127" s="37">
        <v>43891</v>
      </c>
      <c r="C2127" s="36"/>
      <c r="D2127" s="36"/>
      <c r="E2127" s="36" t="s">
        <v>37</v>
      </c>
      <c r="F2127" s="38">
        <v>3222031.0500000003</v>
      </c>
      <c r="G2127" s="36" t="s">
        <v>8</v>
      </c>
      <c r="H2127" s="36" t="s">
        <v>8</v>
      </c>
      <c r="I2127" s="36"/>
      <c r="J2127" s="36"/>
    </row>
    <row r="2128" spans="1:10" x14ac:dyDescent="0.25">
      <c r="A2128" s="36">
        <v>1891</v>
      </c>
      <c r="B2128" s="37">
        <v>43922</v>
      </c>
      <c r="C2128" s="36"/>
      <c r="D2128" s="36"/>
      <c r="E2128" s="36" t="s">
        <v>37</v>
      </c>
      <c r="F2128" s="38">
        <v>3222031.0500000003</v>
      </c>
      <c r="G2128" s="36" t="s">
        <v>8</v>
      </c>
      <c r="H2128" s="36" t="s">
        <v>8</v>
      </c>
      <c r="I2128" s="36"/>
      <c r="J2128" s="36"/>
    </row>
    <row r="2129" spans="1:10" x14ac:dyDescent="0.25">
      <c r="A2129" s="36">
        <v>1891</v>
      </c>
      <c r="B2129" s="37">
        <v>43952</v>
      </c>
      <c r="C2129" s="36"/>
      <c r="D2129" s="36"/>
      <c r="E2129" s="36" t="s">
        <v>37</v>
      </c>
      <c r="F2129" s="38">
        <v>3222031.0500000003</v>
      </c>
      <c r="G2129" s="36" t="s">
        <v>8</v>
      </c>
      <c r="H2129" s="36" t="s">
        <v>8</v>
      </c>
      <c r="I2129" s="36"/>
      <c r="J2129" s="36"/>
    </row>
    <row r="2130" spans="1:10" x14ac:dyDescent="0.25">
      <c r="A2130" s="36">
        <v>1891</v>
      </c>
      <c r="B2130" s="37">
        <v>43983</v>
      </c>
      <c r="C2130" s="36"/>
      <c r="D2130" s="36"/>
      <c r="E2130" s="36" t="s">
        <v>37</v>
      </c>
      <c r="F2130" s="38">
        <v>3222031.0500000003</v>
      </c>
      <c r="G2130" s="36" t="s">
        <v>8</v>
      </c>
      <c r="H2130" s="36" t="s">
        <v>8</v>
      </c>
      <c r="I2130" s="36"/>
      <c r="J2130" s="36"/>
    </row>
    <row r="2131" spans="1:10" x14ac:dyDescent="0.25">
      <c r="A2131" s="36">
        <v>1891</v>
      </c>
      <c r="B2131" s="37">
        <v>44013</v>
      </c>
      <c r="C2131" s="36"/>
      <c r="D2131" s="36"/>
      <c r="E2131" s="36" t="s">
        <v>37</v>
      </c>
      <c r="F2131" s="38">
        <v>3222031.0500000003</v>
      </c>
      <c r="G2131" s="36" t="s">
        <v>8</v>
      </c>
      <c r="H2131" s="36" t="s">
        <v>8</v>
      </c>
      <c r="I2131" s="36"/>
      <c r="J2131" s="36"/>
    </row>
    <row r="2132" spans="1:10" x14ac:dyDescent="0.25">
      <c r="A2132" s="36">
        <v>1891</v>
      </c>
      <c r="B2132" s="37">
        <v>44044</v>
      </c>
      <c r="C2132" s="36"/>
      <c r="D2132" s="36"/>
      <c r="E2132" s="36" t="s">
        <v>37</v>
      </c>
      <c r="F2132" s="38">
        <v>3222031.0500000003</v>
      </c>
      <c r="G2132" s="36" t="s">
        <v>8</v>
      </c>
      <c r="H2132" s="36" t="s">
        <v>8</v>
      </c>
      <c r="I2132" s="36"/>
      <c r="J2132" s="36"/>
    </row>
    <row r="2133" spans="1:10" x14ac:dyDescent="0.25">
      <c r="A2133" s="36">
        <v>1891</v>
      </c>
      <c r="B2133" s="37">
        <v>44075</v>
      </c>
      <c r="C2133" s="36"/>
      <c r="D2133" s="36"/>
      <c r="E2133" s="36" t="s">
        <v>37</v>
      </c>
      <c r="F2133" s="38">
        <v>3222031.0500000003</v>
      </c>
      <c r="G2133" s="36" t="s">
        <v>8</v>
      </c>
      <c r="H2133" s="36" t="s">
        <v>8</v>
      </c>
      <c r="I2133" s="36"/>
      <c r="J2133" s="36"/>
    </row>
    <row r="2134" spans="1:10" x14ac:dyDescent="0.25">
      <c r="A2134" s="36">
        <v>1891</v>
      </c>
      <c r="B2134" s="37">
        <v>44105</v>
      </c>
      <c r="C2134" s="36"/>
      <c r="D2134" s="36"/>
      <c r="E2134" s="36" t="s">
        <v>37</v>
      </c>
      <c r="F2134" s="38">
        <v>3222031.0500000003</v>
      </c>
      <c r="G2134" s="36" t="s">
        <v>8</v>
      </c>
      <c r="H2134" s="36" t="s">
        <v>8</v>
      </c>
      <c r="I2134" s="36"/>
      <c r="J2134" s="36"/>
    </row>
    <row r="2135" spans="1:10" x14ac:dyDescent="0.25">
      <c r="A2135" s="36">
        <v>1891</v>
      </c>
      <c r="B2135" s="37">
        <v>44136</v>
      </c>
      <c r="C2135" s="36"/>
      <c r="D2135" s="36"/>
      <c r="E2135" s="36" t="s">
        <v>37</v>
      </c>
      <c r="F2135" s="38">
        <v>3222031.0500000003</v>
      </c>
      <c r="G2135" s="36" t="s">
        <v>8</v>
      </c>
      <c r="H2135" s="36" t="s">
        <v>8</v>
      </c>
      <c r="I2135" s="36"/>
      <c r="J2135" s="36"/>
    </row>
    <row r="2136" spans="1:10" x14ac:dyDescent="0.25">
      <c r="A2136" s="36">
        <v>1891</v>
      </c>
      <c r="B2136" s="37">
        <v>44166</v>
      </c>
      <c r="C2136" s="36"/>
      <c r="D2136" s="36"/>
      <c r="E2136" s="36" t="s">
        <v>37</v>
      </c>
      <c r="F2136" s="38">
        <v>3222031.0500000003</v>
      </c>
      <c r="G2136" s="36" t="s">
        <v>8</v>
      </c>
      <c r="H2136" s="36" t="s">
        <v>8</v>
      </c>
      <c r="I2136" s="36"/>
      <c r="J2136" s="36"/>
    </row>
    <row r="2137" spans="1:10" x14ac:dyDescent="0.25">
      <c r="A2137" s="36">
        <v>1891</v>
      </c>
      <c r="B2137" s="37">
        <v>43497</v>
      </c>
      <c r="C2137" s="36"/>
      <c r="D2137" s="36"/>
      <c r="E2137" s="36" t="s">
        <v>74</v>
      </c>
      <c r="F2137" s="38">
        <v>3868248.1949999994</v>
      </c>
      <c r="G2137" s="36" t="s">
        <v>8</v>
      </c>
      <c r="H2137" s="36" t="s">
        <v>8</v>
      </c>
      <c r="I2137" s="36"/>
      <c r="J2137" s="36"/>
    </row>
    <row r="2138" spans="1:10" x14ac:dyDescent="0.25">
      <c r="A2138" s="36">
        <v>1891</v>
      </c>
      <c r="B2138" s="37">
        <v>43525</v>
      </c>
      <c r="C2138" s="36"/>
      <c r="D2138" s="36"/>
      <c r="E2138" s="36" t="s">
        <v>74</v>
      </c>
      <c r="F2138" s="38">
        <v>3868248.1949999994</v>
      </c>
      <c r="G2138" s="36" t="s">
        <v>8</v>
      </c>
      <c r="H2138" s="36" t="s">
        <v>8</v>
      </c>
      <c r="I2138" s="36"/>
      <c r="J2138" s="36"/>
    </row>
    <row r="2139" spans="1:10" x14ac:dyDescent="0.25">
      <c r="A2139" s="36">
        <v>1891</v>
      </c>
      <c r="B2139" s="37">
        <v>43556</v>
      </c>
      <c r="C2139" s="36"/>
      <c r="D2139" s="36"/>
      <c r="E2139" s="36" t="s">
        <v>74</v>
      </c>
      <c r="F2139" s="38">
        <v>3868248.1949999994</v>
      </c>
      <c r="G2139" s="36" t="s">
        <v>8</v>
      </c>
      <c r="H2139" s="36" t="s">
        <v>8</v>
      </c>
      <c r="I2139" s="36"/>
      <c r="J2139" s="36"/>
    </row>
    <row r="2140" spans="1:10" x14ac:dyDescent="0.25">
      <c r="A2140" s="36">
        <v>1891</v>
      </c>
      <c r="B2140" s="37">
        <v>43586</v>
      </c>
      <c r="C2140" s="36"/>
      <c r="D2140" s="36"/>
      <c r="E2140" s="36" t="s">
        <v>74</v>
      </c>
      <c r="F2140" s="38">
        <v>3868248.1949999994</v>
      </c>
      <c r="G2140" s="36" t="s">
        <v>8</v>
      </c>
      <c r="H2140" s="36" t="s">
        <v>8</v>
      </c>
      <c r="I2140" s="36"/>
      <c r="J2140" s="36"/>
    </row>
    <row r="2141" spans="1:10" x14ac:dyDescent="0.25">
      <c r="A2141" s="36">
        <v>1891</v>
      </c>
      <c r="B2141" s="37">
        <v>43617</v>
      </c>
      <c r="C2141" s="36"/>
      <c r="D2141" s="36"/>
      <c r="E2141" s="36" t="s">
        <v>74</v>
      </c>
      <c r="F2141" s="38">
        <v>3868248.1949999994</v>
      </c>
      <c r="G2141" s="36" t="s">
        <v>8</v>
      </c>
      <c r="H2141" s="36" t="s">
        <v>8</v>
      </c>
      <c r="I2141" s="36"/>
      <c r="J2141" s="36"/>
    </row>
    <row r="2142" spans="1:10" x14ac:dyDescent="0.25">
      <c r="A2142" s="36">
        <v>1891</v>
      </c>
      <c r="B2142" s="37">
        <v>43647</v>
      </c>
      <c r="C2142" s="36"/>
      <c r="D2142" s="36"/>
      <c r="E2142" s="36" t="s">
        <v>74</v>
      </c>
      <c r="F2142" s="38">
        <v>3868248.1949999994</v>
      </c>
      <c r="G2142" s="36" t="s">
        <v>8</v>
      </c>
      <c r="H2142" s="36" t="s">
        <v>8</v>
      </c>
      <c r="I2142" s="36"/>
      <c r="J2142" s="36"/>
    </row>
    <row r="2143" spans="1:10" x14ac:dyDescent="0.25">
      <c r="A2143" s="36">
        <v>1891</v>
      </c>
      <c r="B2143" s="37">
        <v>43678</v>
      </c>
      <c r="C2143" s="36"/>
      <c r="D2143" s="36"/>
      <c r="E2143" s="36" t="s">
        <v>74</v>
      </c>
      <c r="F2143" s="38">
        <v>3868248.1949999994</v>
      </c>
      <c r="G2143" s="36" t="s">
        <v>8</v>
      </c>
      <c r="H2143" s="36" t="s">
        <v>8</v>
      </c>
      <c r="I2143" s="36"/>
      <c r="J2143" s="36"/>
    </row>
    <row r="2144" spans="1:10" x14ac:dyDescent="0.25">
      <c r="A2144" s="36">
        <v>1891</v>
      </c>
      <c r="B2144" s="37">
        <v>43709</v>
      </c>
      <c r="C2144" s="36"/>
      <c r="D2144" s="36"/>
      <c r="E2144" s="36" t="s">
        <v>74</v>
      </c>
      <c r="F2144" s="38">
        <v>3868248.1949999994</v>
      </c>
      <c r="G2144" s="36" t="s">
        <v>8</v>
      </c>
      <c r="H2144" s="36" t="s">
        <v>8</v>
      </c>
      <c r="I2144" s="36"/>
      <c r="J2144" s="36"/>
    </row>
    <row r="2145" spans="1:10" x14ac:dyDescent="0.25">
      <c r="A2145" s="36">
        <v>1891</v>
      </c>
      <c r="B2145" s="37">
        <v>43739</v>
      </c>
      <c r="C2145" s="36"/>
      <c r="D2145" s="36"/>
      <c r="E2145" s="36" t="s">
        <v>74</v>
      </c>
      <c r="F2145" s="38">
        <v>3868248.1949999994</v>
      </c>
      <c r="G2145" s="36" t="s">
        <v>8</v>
      </c>
      <c r="H2145" s="36" t="s">
        <v>8</v>
      </c>
      <c r="I2145" s="36"/>
      <c r="J2145" s="36"/>
    </row>
    <row r="2146" spans="1:10" x14ac:dyDescent="0.25">
      <c r="A2146" s="36">
        <v>1891</v>
      </c>
      <c r="B2146" s="37">
        <v>43770</v>
      </c>
      <c r="C2146" s="36"/>
      <c r="D2146" s="36"/>
      <c r="E2146" s="36" t="s">
        <v>74</v>
      </c>
      <c r="F2146" s="38">
        <v>3868248.1949999994</v>
      </c>
      <c r="G2146" s="36" t="s">
        <v>8</v>
      </c>
      <c r="H2146" s="36" t="s">
        <v>8</v>
      </c>
      <c r="I2146" s="36"/>
      <c r="J2146" s="36"/>
    </row>
    <row r="2147" spans="1:10" x14ac:dyDescent="0.25">
      <c r="A2147" s="36">
        <v>1891</v>
      </c>
      <c r="B2147" s="37">
        <v>43800</v>
      </c>
      <c r="C2147" s="36"/>
      <c r="D2147" s="36"/>
      <c r="E2147" s="36" t="s">
        <v>74</v>
      </c>
      <c r="F2147" s="38">
        <v>3868248.1949999994</v>
      </c>
      <c r="G2147" s="36" t="s">
        <v>8</v>
      </c>
      <c r="H2147" s="36" t="s">
        <v>8</v>
      </c>
      <c r="I2147" s="36"/>
      <c r="J2147" s="36"/>
    </row>
    <row r="2148" spans="1:10" x14ac:dyDescent="0.25">
      <c r="A2148" s="36">
        <v>1891</v>
      </c>
      <c r="B2148" s="37">
        <v>43831</v>
      </c>
      <c r="C2148" s="36"/>
      <c r="D2148" s="36"/>
      <c r="E2148" s="36" t="s">
        <v>74</v>
      </c>
      <c r="F2148" s="38">
        <v>3868248.1949999994</v>
      </c>
      <c r="G2148" s="36" t="s">
        <v>8</v>
      </c>
      <c r="H2148" s="36" t="s">
        <v>8</v>
      </c>
      <c r="I2148" s="36"/>
      <c r="J2148" s="36"/>
    </row>
    <row r="2149" spans="1:10" x14ac:dyDescent="0.25">
      <c r="A2149" s="36">
        <v>1891</v>
      </c>
      <c r="B2149" s="37">
        <v>43862</v>
      </c>
      <c r="C2149" s="36"/>
      <c r="D2149" s="36"/>
      <c r="E2149" s="36" t="s">
        <v>74</v>
      </c>
      <c r="F2149" s="38">
        <v>3868248.1949999994</v>
      </c>
      <c r="G2149" s="36" t="s">
        <v>8</v>
      </c>
      <c r="H2149" s="36" t="s">
        <v>8</v>
      </c>
      <c r="I2149" s="36"/>
      <c r="J2149" s="36"/>
    </row>
    <row r="2150" spans="1:10" x14ac:dyDescent="0.25">
      <c r="A2150" s="36">
        <v>1891</v>
      </c>
      <c r="B2150" s="37">
        <v>43891</v>
      </c>
      <c r="C2150" s="36"/>
      <c r="D2150" s="36"/>
      <c r="E2150" s="36" t="s">
        <v>74</v>
      </c>
      <c r="F2150" s="38">
        <v>3868248.1949999994</v>
      </c>
      <c r="G2150" s="36" t="s">
        <v>8</v>
      </c>
      <c r="H2150" s="36" t="s">
        <v>8</v>
      </c>
      <c r="I2150" s="36"/>
      <c r="J2150" s="36"/>
    </row>
    <row r="2151" spans="1:10" x14ac:dyDescent="0.25">
      <c r="A2151" s="36">
        <v>1891</v>
      </c>
      <c r="B2151" s="37">
        <v>43922</v>
      </c>
      <c r="C2151" s="36"/>
      <c r="D2151" s="36"/>
      <c r="E2151" s="36" t="s">
        <v>74</v>
      </c>
      <c r="F2151" s="38">
        <v>3868248.1949999994</v>
      </c>
      <c r="G2151" s="36" t="s">
        <v>8</v>
      </c>
      <c r="H2151" s="36" t="s">
        <v>8</v>
      </c>
      <c r="I2151" s="36"/>
      <c r="J2151" s="36"/>
    </row>
    <row r="2152" spans="1:10" x14ac:dyDescent="0.25">
      <c r="A2152" s="36">
        <v>1891</v>
      </c>
      <c r="B2152" s="37">
        <v>43952</v>
      </c>
      <c r="C2152" s="36"/>
      <c r="D2152" s="36"/>
      <c r="E2152" s="36" t="s">
        <v>74</v>
      </c>
      <c r="F2152" s="38">
        <v>3868248.1949999994</v>
      </c>
      <c r="G2152" s="36" t="s">
        <v>8</v>
      </c>
      <c r="H2152" s="36" t="s">
        <v>8</v>
      </c>
      <c r="I2152" s="36"/>
      <c r="J2152" s="36"/>
    </row>
    <row r="2153" spans="1:10" x14ac:dyDescent="0.25">
      <c r="A2153" s="36">
        <v>1891</v>
      </c>
      <c r="B2153" s="37">
        <v>43983</v>
      </c>
      <c r="C2153" s="36"/>
      <c r="D2153" s="36"/>
      <c r="E2153" s="36" t="s">
        <v>74</v>
      </c>
      <c r="F2153" s="38">
        <v>3868248.1949999994</v>
      </c>
      <c r="G2153" s="36" t="s">
        <v>8</v>
      </c>
      <c r="H2153" s="36" t="s">
        <v>8</v>
      </c>
      <c r="I2153" s="36"/>
      <c r="J2153" s="36"/>
    </row>
    <row r="2154" spans="1:10" x14ac:dyDescent="0.25">
      <c r="A2154" s="36">
        <v>1891</v>
      </c>
      <c r="B2154" s="37">
        <v>44013</v>
      </c>
      <c r="C2154" s="36"/>
      <c r="D2154" s="36"/>
      <c r="E2154" s="36" t="s">
        <v>74</v>
      </c>
      <c r="F2154" s="38">
        <v>3868248.1949999994</v>
      </c>
      <c r="G2154" s="36" t="s">
        <v>8</v>
      </c>
      <c r="H2154" s="36" t="s">
        <v>8</v>
      </c>
      <c r="I2154" s="36"/>
      <c r="J2154" s="36"/>
    </row>
    <row r="2155" spans="1:10" x14ac:dyDescent="0.25">
      <c r="A2155" s="36">
        <v>1891</v>
      </c>
      <c r="B2155" s="37">
        <v>44044</v>
      </c>
      <c r="C2155" s="36"/>
      <c r="D2155" s="36"/>
      <c r="E2155" s="36" t="s">
        <v>74</v>
      </c>
      <c r="F2155" s="38">
        <v>3868248.1949999994</v>
      </c>
      <c r="G2155" s="36" t="s">
        <v>8</v>
      </c>
      <c r="H2155" s="36" t="s">
        <v>8</v>
      </c>
      <c r="I2155" s="36"/>
      <c r="J2155" s="36"/>
    </row>
    <row r="2156" spans="1:10" x14ac:dyDescent="0.25">
      <c r="A2156" s="36">
        <v>1891</v>
      </c>
      <c r="B2156" s="37">
        <v>44075</v>
      </c>
      <c r="C2156" s="36"/>
      <c r="D2156" s="36"/>
      <c r="E2156" s="36" t="s">
        <v>74</v>
      </c>
      <c r="F2156" s="38">
        <v>3868248.1949999994</v>
      </c>
      <c r="G2156" s="36" t="s">
        <v>8</v>
      </c>
      <c r="H2156" s="36" t="s">
        <v>8</v>
      </c>
      <c r="I2156" s="36"/>
      <c r="J2156" s="36"/>
    </row>
    <row r="2157" spans="1:10" x14ac:dyDescent="0.25">
      <c r="A2157" s="36">
        <v>1891</v>
      </c>
      <c r="B2157" s="37">
        <v>43497</v>
      </c>
      <c r="C2157" s="36"/>
      <c r="D2157" s="36"/>
      <c r="E2157" s="36" t="s">
        <v>28</v>
      </c>
      <c r="F2157" s="38">
        <v>4001167.1069999998</v>
      </c>
      <c r="G2157" s="36" t="s">
        <v>8</v>
      </c>
      <c r="H2157" s="36" t="s">
        <v>8</v>
      </c>
      <c r="I2157" s="36"/>
      <c r="J2157" s="36"/>
    </row>
    <row r="2158" spans="1:10" x14ac:dyDescent="0.25">
      <c r="A2158" s="36">
        <v>1891</v>
      </c>
      <c r="B2158" s="37">
        <v>43525</v>
      </c>
      <c r="C2158" s="36"/>
      <c r="D2158" s="36"/>
      <c r="E2158" s="36" t="s">
        <v>28</v>
      </c>
      <c r="F2158" s="38">
        <v>4001167.1069999998</v>
      </c>
      <c r="G2158" s="36" t="s">
        <v>8</v>
      </c>
      <c r="H2158" s="36" t="s">
        <v>8</v>
      </c>
      <c r="I2158" s="36"/>
      <c r="J2158" s="36"/>
    </row>
    <row r="2159" spans="1:10" x14ac:dyDescent="0.25">
      <c r="A2159" s="36">
        <v>1891</v>
      </c>
      <c r="B2159" s="37">
        <v>43556</v>
      </c>
      <c r="C2159" s="36"/>
      <c r="D2159" s="36"/>
      <c r="E2159" s="36" t="s">
        <v>28</v>
      </c>
      <c r="F2159" s="38">
        <v>4001167.1069999998</v>
      </c>
      <c r="G2159" s="36" t="s">
        <v>8</v>
      </c>
      <c r="H2159" s="36" t="s">
        <v>8</v>
      </c>
      <c r="I2159" s="36"/>
      <c r="J2159" s="36"/>
    </row>
    <row r="2160" spans="1:10" x14ac:dyDescent="0.25">
      <c r="A2160" s="36">
        <v>1891</v>
      </c>
      <c r="B2160" s="37">
        <v>43586</v>
      </c>
      <c r="C2160" s="36"/>
      <c r="D2160" s="36"/>
      <c r="E2160" s="36" t="s">
        <v>28</v>
      </c>
      <c r="F2160" s="38">
        <v>4001167.1069999998</v>
      </c>
      <c r="G2160" s="36" t="s">
        <v>8</v>
      </c>
      <c r="H2160" s="36" t="s">
        <v>8</v>
      </c>
      <c r="I2160" s="36"/>
      <c r="J2160" s="36"/>
    </row>
    <row r="2161" spans="1:10" x14ac:dyDescent="0.25">
      <c r="A2161" s="36">
        <v>1891</v>
      </c>
      <c r="B2161" s="37">
        <v>43617</v>
      </c>
      <c r="C2161" s="36"/>
      <c r="D2161" s="36"/>
      <c r="E2161" s="36" t="s">
        <v>28</v>
      </c>
      <c r="F2161" s="38">
        <v>4001167.1069999998</v>
      </c>
      <c r="G2161" s="36" t="s">
        <v>8</v>
      </c>
      <c r="H2161" s="36" t="s">
        <v>8</v>
      </c>
      <c r="I2161" s="36"/>
      <c r="J2161" s="36"/>
    </row>
    <row r="2162" spans="1:10" x14ac:dyDescent="0.25">
      <c r="A2162" s="36">
        <v>1891</v>
      </c>
      <c r="B2162" s="37">
        <v>43647</v>
      </c>
      <c r="C2162" s="36"/>
      <c r="D2162" s="36"/>
      <c r="E2162" s="36" t="s">
        <v>28</v>
      </c>
      <c r="F2162" s="38">
        <v>4001167.1069999998</v>
      </c>
      <c r="G2162" s="36" t="s">
        <v>8</v>
      </c>
      <c r="H2162" s="36" t="s">
        <v>8</v>
      </c>
      <c r="I2162" s="36"/>
      <c r="J2162" s="36"/>
    </row>
    <row r="2163" spans="1:10" x14ac:dyDescent="0.25">
      <c r="A2163" s="36">
        <v>1891</v>
      </c>
      <c r="B2163" s="37">
        <v>43678</v>
      </c>
      <c r="C2163" s="36"/>
      <c r="D2163" s="36"/>
      <c r="E2163" s="36" t="s">
        <v>28</v>
      </c>
      <c r="F2163" s="38">
        <v>4001167.1069999998</v>
      </c>
      <c r="G2163" s="36" t="s">
        <v>8</v>
      </c>
      <c r="H2163" s="36" t="s">
        <v>8</v>
      </c>
      <c r="I2163" s="36"/>
      <c r="J2163" s="36"/>
    </row>
    <row r="2164" spans="1:10" x14ac:dyDescent="0.25">
      <c r="A2164" s="36">
        <v>1891</v>
      </c>
      <c r="B2164" s="37">
        <v>43709</v>
      </c>
      <c r="C2164" s="36"/>
      <c r="D2164" s="36"/>
      <c r="E2164" s="36" t="s">
        <v>28</v>
      </c>
      <c r="F2164" s="38">
        <v>4001167.1069999998</v>
      </c>
      <c r="G2164" s="36" t="s">
        <v>8</v>
      </c>
      <c r="H2164" s="36" t="s">
        <v>8</v>
      </c>
      <c r="I2164" s="36"/>
      <c r="J2164" s="36"/>
    </row>
    <row r="2165" spans="1:10" x14ac:dyDescent="0.25">
      <c r="A2165" s="36">
        <v>1891</v>
      </c>
      <c r="B2165" s="37">
        <v>43739</v>
      </c>
      <c r="C2165" s="36"/>
      <c r="D2165" s="36"/>
      <c r="E2165" s="36" t="s">
        <v>28</v>
      </c>
      <c r="F2165" s="38">
        <v>4001167.1069999998</v>
      </c>
      <c r="G2165" s="36" t="s">
        <v>8</v>
      </c>
      <c r="H2165" s="36" t="s">
        <v>8</v>
      </c>
      <c r="I2165" s="36"/>
      <c r="J2165" s="36"/>
    </row>
    <row r="2166" spans="1:10" x14ac:dyDescent="0.25">
      <c r="A2166" s="36">
        <v>1891</v>
      </c>
      <c r="B2166" s="37">
        <v>43770</v>
      </c>
      <c r="C2166" s="36"/>
      <c r="D2166" s="36"/>
      <c r="E2166" s="36" t="s">
        <v>28</v>
      </c>
      <c r="F2166" s="38">
        <v>4001167.1069999998</v>
      </c>
      <c r="G2166" s="36" t="s">
        <v>8</v>
      </c>
      <c r="H2166" s="36" t="s">
        <v>8</v>
      </c>
      <c r="I2166" s="36"/>
      <c r="J2166" s="36"/>
    </row>
    <row r="2167" spans="1:10" x14ac:dyDescent="0.25">
      <c r="A2167" s="36">
        <v>1895</v>
      </c>
      <c r="B2167" s="37">
        <v>43466</v>
      </c>
      <c r="C2167" s="36"/>
      <c r="D2167" s="36"/>
      <c r="E2167" s="36" t="s">
        <v>7</v>
      </c>
      <c r="F2167" s="38">
        <v>3230392.9140000003</v>
      </c>
      <c r="G2167" s="36" t="s">
        <v>8</v>
      </c>
      <c r="H2167" s="36" t="s">
        <v>8</v>
      </c>
      <c r="I2167" s="36"/>
      <c r="J2167" s="36"/>
    </row>
    <row r="2168" spans="1:10" x14ac:dyDescent="0.25">
      <c r="A2168" s="36">
        <v>1895</v>
      </c>
      <c r="B2168" s="37">
        <v>43466</v>
      </c>
      <c r="C2168" s="36"/>
      <c r="D2168" s="36"/>
      <c r="E2168" s="36" t="s">
        <v>21</v>
      </c>
      <c r="F2168" s="38">
        <v>6132105</v>
      </c>
      <c r="G2168" s="36" t="s">
        <v>8</v>
      </c>
      <c r="H2168" s="36" t="s">
        <v>8</v>
      </c>
      <c r="I2168" s="36"/>
      <c r="J2168" s="36"/>
    </row>
    <row r="2169" spans="1:10" x14ac:dyDescent="0.25">
      <c r="A2169" s="36">
        <v>1895</v>
      </c>
      <c r="B2169" s="37">
        <v>43466</v>
      </c>
      <c r="C2169" s="36"/>
      <c r="D2169" s="36"/>
      <c r="E2169" s="36" t="s">
        <v>37</v>
      </c>
      <c r="F2169" s="38">
        <v>2367673.875</v>
      </c>
      <c r="G2169" s="36" t="s">
        <v>8</v>
      </c>
      <c r="H2169" s="36" t="s">
        <v>8</v>
      </c>
      <c r="I2169" s="36"/>
      <c r="J2169" s="36"/>
    </row>
    <row r="2170" spans="1:10" x14ac:dyDescent="0.25">
      <c r="A2170" s="36">
        <v>1846</v>
      </c>
      <c r="B2170" s="37">
        <v>43466</v>
      </c>
      <c r="C2170" s="36"/>
      <c r="D2170" s="36"/>
      <c r="E2170" s="36" t="s">
        <v>9</v>
      </c>
      <c r="F2170" s="38">
        <v>19561500</v>
      </c>
      <c r="G2170" s="36" t="s">
        <v>8</v>
      </c>
      <c r="H2170" s="36" t="s">
        <v>230</v>
      </c>
      <c r="I2170" s="36"/>
      <c r="J2170" s="36"/>
    </row>
    <row r="2171" spans="1:10" x14ac:dyDescent="0.25">
      <c r="A2171" s="36">
        <v>1846</v>
      </c>
      <c r="B2171" s="37">
        <v>43497</v>
      </c>
      <c r="C2171" s="36"/>
      <c r="D2171" s="36"/>
      <c r="E2171" s="36" t="s">
        <v>9</v>
      </c>
      <c r="F2171" s="38">
        <v>19561500</v>
      </c>
      <c r="G2171" s="36" t="s">
        <v>8</v>
      </c>
      <c r="H2171" s="36" t="s">
        <v>230</v>
      </c>
      <c r="I2171" s="36"/>
      <c r="J2171" s="36"/>
    </row>
    <row r="2172" spans="1:10" x14ac:dyDescent="0.25">
      <c r="A2172" s="36">
        <v>1846</v>
      </c>
      <c r="B2172" s="37">
        <v>43525</v>
      </c>
      <c r="C2172" s="36"/>
      <c r="D2172" s="36"/>
      <c r="E2172" s="36" t="s">
        <v>9</v>
      </c>
      <c r="F2172" s="38">
        <v>19561500</v>
      </c>
      <c r="G2172" s="36" t="s">
        <v>8</v>
      </c>
      <c r="H2172" s="36" t="s">
        <v>230</v>
      </c>
      <c r="I2172" s="36"/>
      <c r="J2172" s="36"/>
    </row>
    <row r="2173" spans="1:10" x14ac:dyDescent="0.25">
      <c r="A2173" s="36">
        <v>1846</v>
      </c>
      <c r="B2173" s="37">
        <v>43556</v>
      </c>
      <c r="C2173" s="36"/>
      <c r="D2173" s="36"/>
      <c r="E2173" s="36" t="s">
        <v>9</v>
      </c>
      <c r="F2173" s="38">
        <v>19561500</v>
      </c>
      <c r="G2173" s="36" t="s">
        <v>8</v>
      </c>
      <c r="H2173" s="36" t="s">
        <v>230</v>
      </c>
      <c r="I2173" s="36"/>
      <c r="J2173" s="36"/>
    </row>
    <row r="2174" spans="1:10" x14ac:dyDescent="0.25">
      <c r="A2174" s="36">
        <v>1846</v>
      </c>
      <c r="B2174" s="37">
        <v>43466</v>
      </c>
      <c r="C2174" s="36"/>
      <c r="D2174" s="36"/>
      <c r="E2174" s="36" t="s">
        <v>127</v>
      </c>
      <c r="F2174" s="38">
        <v>1449000</v>
      </c>
      <c r="G2174" s="36" t="s">
        <v>8</v>
      </c>
      <c r="H2174" s="36" t="s">
        <v>230</v>
      </c>
      <c r="I2174" s="36"/>
      <c r="J2174" s="36"/>
    </row>
    <row r="2175" spans="1:10" x14ac:dyDescent="0.25">
      <c r="A2175" s="36">
        <v>1846</v>
      </c>
      <c r="B2175" s="37">
        <v>43466</v>
      </c>
      <c r="C2175" s="36"/>
      <c r="D2175" s="36"/>
      <c r="E2175" s="36" t="s">
        <v>128</v>
      </c>
      <c r="F2175" s="38">
        <v>8437922.3250000011</v>
      </c>
      <c r="G2175" s="36" t="s">
        <v>8</v>
      </c>
      <c r="H2175" s="36" t="s">
        <v>230</v>
      </c>
      <c r="I2175" s="36"/>
      <c r="J2175" s="36"/>
    </row>
    <row r="2176" spans="1:10" x14ac:dyDescent="0.25">
      <c r="A2176" s="36">
        <v>1846</v>
      </c>
      <c r="B2176" s="37">
        <v>43497</v>
      </c>
      <c r="C2176" s="36"/>
      <c r="D2176" s="36"/>
      <c r="E2176" s="36" t="s">
        <v>128</v>
      </c>
      <c r="F2176" s="38">
        <v>8437922.3250000011</v>
      </c>
      <c r="G2176" s="36" t="s">
        <v>8</v>
      </c>
      <c r="H2176" s="36" t="s">
        <v>230</v>
      </c>
      <c r="I2176" s="36"/>
      <c r="J2176" s="36"/>
    </row>
    <row r="2177" spans="1:10" x14ac:dyDescent="0.25">
      <c r="A2177" s="36">
        <v>1846</v>
      </c>
      <c r="B2177" s="37">
        <v>43466</v>
      </c>
      <c r="C2177" s="36"/>
      <c r="D2177" s="36"/>
      <c r="E2177" s="36" t="s">
        <v>35</v>
      </c>
      <c r="F2177" s="38">
        <v>6177149.9999999991</v>
      </c>
      <c r="G2177" s="36" t="s">
        <v>8</v>
      </c>
      <c r="H2177" s="36" t="s">
        <v>230</v>
      </c>
      <c r="I2177" s="36"/>
      <c r="J2177" s="36"/>
    </row>
    <row r="2178" spans="1:10" x14ac:dyDescent="0.25">
      <c r="A2178" s="36">
        <v>1846</v>
      </c>
      <c r="B2178" s="37">
        <v>43497</v>
      </c>
      <c r="C2178" s="36"/>
      <c r="D2178" s="36"/>
      <c r="E2178" s="36" t="s">
        <v>35</v>
      </c>
      <c r="F2178" s="38">
        <v>6177149.9999999991</v>
      </c>
      <c r="G2178" s="36" t="s">
        <v>8</v>
      </c>
      <c r="H2178" s="36" t="s">
        <v>230</v>
      </c>
      <c r="I2178" s="36"/>
      <c r="J2178" s="36"/>
    </row>
    <row r="2179" spans="1:10" x14ac:dyDescent="0.25">
      <c r="A2179" s="36">
        <v>1893</v>
      </c>
      <c r="B2179" s="37">
        <v>43466</v>
      </c>
      <c r="C2179" s="36"/>
      <c r="D2179" s="36"/>
      <c r="E2179" s="36" t="s">
        <v>7</v>
      </c>
      <c r="F2179" s="38">
        <v>1956490.2000000004</v>
      </c>
      <c r="G2179" s="36" t="s">
        <v>8</v>
      </c>
      <c r="H2179" s="36" t="s">
        <v>228</v>
      </c>
      <c r="I2179" s="36"/>
      <c r="J2179" s="36"/>
    </row>
    <row r="2180" spans="1:10" x14ac:dyDescent="0.25">
      <c r="A2180" s="36">
        <v>1893</v>
      </c>
      <c r="B2180" s="37">
        <v>43497</v>
      </c>
      <c r="C2180" s="36"/>
      <c r="D2180" s="36"/>
      <c r="E2180" s="36" t="s">
        <v>7</v>
      </c>
      <c r="F2180" s="38">
        <v>1956490.2000000004</v>
      </c>
      <c r="G2180" s="36" t="s">
        <v>8</v>
      </c>
      <c r="H2180" s="36" t="s">
        <v>228</v>
      </c>
      <c r="I2180" s="36"/>
      <c r="J2180" s="36"/>
    </row>
    <row r="2181" spans="1:10" x14ac:dyDescent="0.25">
      <c r="A2181" s="36">
        <v>1893</v>
      </c>
      <c r="B2181" s="37">
        <v>43525</v>
      </c>
      <c r="C2181" s="36"/>
      <c r="D2181" s="36"/>
      <c r="E2181" s="36" t="s">
        <v>7</v>
      </c>
      <c r="F2181" s="38">
        <v>1956490.2000000004</v>
      </c>
      <c r="G2181" s="36" t="s">
        <v>8</v>
      </c>
      <c r="H2181" s="36" t="s">
        <v>228</v>
      </c>
      <c r="I2181" s="36"/>
      <c r="J2181" s="36"/>
    </row>
    <row r="2182" spans="1:10" x14ac:dyDescent="0.25">
      <c r="A2182" s="36">
        <v>1893</v>
      </c>
      <c r="B2182" s="37">
        <v>43556</v>
      </c>
      <c r="C2182" s="36"/>
      <c r="D2182" s="36"/>
      <c r="E2182" s="36" t="s">
        <v>7</v>
      </c>
      <c r="F2182" s="38">
        <v>1956490.2000000004</v>
      </c>
      <c r="G2182" s="36" t="s">
        <v>8</v>
      </c>
      <c r="H2182" s="36" t="s">
        <v>228</v>
      </c>
      <c r="I2182" s="36"/>
      <c r="J2182" s="36"/>
    </row>
    <row r="2183" spans="1:10" x14ac:dyDescent="0.25">
      <c r="A2183" s="36">
        <v>1893</v>
      </c>
      <c r="B2183" s="37">
        <v>43586</v>
      </c>
      <c r="C2183" s="36"/>
      <c r="D2183" s="36"/>
      <c r="E2183" s="36" t="s">
        <v>7</v>
      </c>
      <c r="F2183" s="38">
        <v>1956490.2000000004</v>
      </c>
      <c r="G2183" s="36" t="s">
        <v>8</v>
      </c>
      <c r="H2183" s="36" t="s">
        <v>228</v>
      </c>
      <c r="I2183" s="36"/>
      <c r="J2183" s="36"/>
    </row>
    <row r="2184" spans="1:10" x14ac:dyDescent="0.25">
      <c r="A2184" s="36">
        <v>1893</v>
      </c>
      <c r="B2184" s="37">
        <v>43617</v>
      </c>
      <c r="C2184" s="36"/>
      <c r="D2184" s="36"/>
      <c r="E2184" s="36" t="s">
        <v>7</v>
      </c>
      <c r="F2184" s="38">
        <v>1956490.2000000004</v>
      </c>
      <c r="G2184" s="36" t="s">
        <v>8</v>
      </c>
      <c r="H2184" s="36" t="s">
        <v>228</v>
      </c>
      <c r="I2184" s="36"/>
      <c r="J2184" s="36"/>
    </row>
    <row r="2185" spans="1:10" x14ac:dyDescent="0.25">
      <c r="A2185" s="36">
        <v>1893</v>
      </c>
      <c r="B2185" s="37">
        <v>43647</v>
      </c>
      <c r="C2185" s="36"/>
      <c r="D2185" s="36"/>
      <c r="E2185" s="36" t="s">
        <v>7</v>
      </c>
      <c r="F2185" s="38">
        <v>1956490.2000000004</v>
      </c>
      <c r="G2185" s="36" t="s">
        <v>8</v>
      </c>
      <c r="H2185" s="36" t="s">
        <v>228</v>
      </c>
      <c r="I2185" s="36"/>
      <c r="J2185" s="36"/>
    </row>
    <row r="2186" spans="1:10" x14ac:dyDescent="0.25">
      <c r="A2186" s="36">
        <v>1893</v>
      </c>
      <c r="B2186" s="37">
        <v>43678</v>
      </c>
      <c r="C2186" s="36"/>
      <c r="D2186" s="36"/>
      <c r="E2186" s="36" t="s">
        <v>7</v>
      </c>
      <c r="F2186" s="38">
        <v>1956490.2000000004</v>
      </c>
      <c r="G2186" s="36" t="s">
        <v>8</v>
      </c>
      <c r="H2186" s="36" t="s">
        <v>228</v>
      </c>
      <c r="I2186" s="36"/>
      <c r="J2186" s="36"/>
    </row>
    <row r="2187" spans="1:10" x14ac:dyDescent="0.25">
      <c r="A2187" s="36">
        <v>1893</v>
      </c>
      <c r="B2187" s="37">
        <v>43709</v>
      </c>
      <c r="C2187" s="36"/>
      <c r="D2187" s="36"/>
      <c r="E2187" s="36" t="s">
        <v>7</v>
      </c>
      <c r="F2187" s="38">
        <v>1956490.2000000004</v>
      </c>
      <c r="G2187" s="36" t="s">
        <v>8</v>
      </c>
      <c r="H2187" s="36" t="s">
        <v>228</v>
      </c>
      <c r="I2187" s="36"/>
      <c r="J2187" s="36"/>
    </row>
    <row r="2188" spans="1:10" x14ac:dyDescent="0.25">
      <c r="A2188" s="36">
        <v>1893</v>
      </c>
      <c r="B2188" s="37">
        <v>43739</v>
      </c>
      <c r="C2188" s="36"/>
      <c r="D2188" s="36"/>
      <c r="E2188" s="36" t="s">
        <v>7</v>
      </c>
      <c r="F2188" s="38">
        <v>1956490.2000000004</v>
      </c>
      <c r="G2188" s="36" t="s">
        <v>8</v>
      </c>
      <c r="H2188" s="36" t="s">
        <v>228</v>
      </c>
      <c r="I2188" s="36"/>
      <c r="J2188" s="36"/>
    </row>
    <row r="2189" spans="1:10" x14ac:dyDescent="0.25">
      <c r="A2189" s="36">
        <v>1893</v>
      </c>
      <c r="B2189" s="37">
        <v>43770</v>
      </c>
      <c r="C2189" s="36"/>
      <c r="D2189" s="36"/>
      <c r="E2189" s="36" t="s">
        <v>7</v>
      </c>
      <c r="F2189" s="38">
        <v>1956490.2000000004</v>
      </c>
      <c r="G2189" s="36" t="s">
        <v>8</v>
      </c>
      <c r="H2189" s="36" t="s">
        <v>228</v>
      </c>
      <c r="I2189" s="36"/>
      <c r="J2189" s="36"/>
    </row>
    <row r="2190" spans="1:10" x14ac:dyDescent="0.25">
      <c r="A2190" s="36">
        <v>1893</v>
      </c>
      <c r="B2190" s="37">
        <v>43800</v>
      </c>
      <c r="C2190" s="36"/>
      <c r="D2190" s="36"/>
      <c r="E2190" s="36" t="s">
        <v>7</v>
      </c>
      <c r="F2190" s="38">
        <v>1956490.2000000004</v>
      </c>
      <c r="G2190" s="36" t="s">
        <v>8</v>
      </c>
      <c r="H2190" s="36" t="s">
        <v>228</v>
      </c>
      <c r="I2190" s="36"/>
      <c r="J2190" s="36"/>
    </row>
    <row r="2191" spans="1:10" x14ac:dyDescent="0.25">
      <c r="A2191" s="36">
        <v>1893</v>
      </c>
      <c r="B2191" s="37">
        <v>43831</v>
      </c>
      <c r="C2191" s="36"/>
      <c r="D2191" s="36"/>
      <c r="E2191" s="36" t="s">
        <v>7</v>
      </c>
      <c r="F2191" s="38">
        <v>1956490.2000000004</v>
      </c>
      <c r="G2191" s="36" t="s">
        <v>8</v>
      </c>
      <c r="H2191" s="36" t="s">
        <v>228</v>
      </c>
      <c r="I2191" s="36"/>
      <c r="J2191" s="36"/>
    </row>
    <row r="2192" spans="1:10" x14ac:dyDescent="0.25">
      <c r="A2192" s="36">
        <v>1893</v>
      </c>
      <c r="B2192" s="37">
        <v>43862</v>
      </c>
      <c r="C2192" s="36"/>
      <c r="D2192" s="36"/>
      <c r="E2192" s="36" t="s">
        <v>7</v>
      </c>
      <c r="F2192" s="38">
        <v>1956490.2000000004</v>
      </c>
      <c r="G2192" s="36" t="s">
        <v>8</v>
      </c>
      <c r="H2192" s="36" t="s">
        <v>228</v>
      </c>
      <c r="I2192" s="36"/>
      <c r="J2192" s="36"/>
    </row>
    <row r="2193" spans="1:10" x14ac:dyDescent="0.25">
      <c r="A2193" s="36">
        <v>1893</v>
      </c>
      <c r="B2193" s="37">
        <v>43891</v>
      </c>
      <c r="C2193" s="36"/>
      <c r="D2193" s="36"/>
      <c r="E2193" s="36" t="s">
        <v>7</v>
      </c>
      <c r="F2193" s="38">
        <v>1956490.2000000004</v>
      </c>
      <c r="G2193" s="36" t="s">
        <v>8</v>
      </c>
      <c r="H2193" s="36" t="s">
        <v>228</v>
      </c>
      <c r="I2193" s="36"/>
      <c r="J2193" s="36"/>
    </row>
    <row r="2194" spans="1:10" x14ac:dyDescent="0.25">
      <c r="A2194" s="36">
        <v>1893</v>
      </c>
      <c r="B2194" s="37">
        <v>43466</v>
      </c>
      <c r="C2194" s="36"/>
      <c r="D2194" s="36"/>
      <c r="E2194" s="36" t="s">
        <v>9</v>
      </c>
      <c r="F2194" s="38">
        <v>8716050</v>
      </c>
      <c r="G2194" s="36" t="s">
        <v>8</v>
      </c>
      <c r="H2194" s="36" t="s">
        <v>228</v>
      </c>
      <c r="I2194" s="36"/>
      <c r="J2194" s="36"/>
    </row>
    <row r="2195" spans="1:10" x14ac:dyDescent="0.25">
      <c r="A2195" s="36">
        <v>1893</v>
      </c>
      <c r="B2195" s="37">
        <v>43497</v>
      </c>
      <c r="C2195" s="36"/>
      <c r="D2195" s="36"/>
      <c r="E2195" s="36" t="s">
        <v>9</v>
      </c>
      <c r="F2195" s="38">
        <v>8716050</v>
      </c>
      <c r="G2195" s="36" t="s">
        <v>8</v>
      </c>
      <c r="H2195" s="36" t="s">
        <v>228</v>
      </c>
      <c r="I2195" s="36"/>
      <c r="J2195" s="36"/>
    </row>
    <row r="2196" spans="1:10" x14ac:dyDescent="0.25">
      <c r="A2196" s="36">
        <v>1893</v>
      </c>
      <c r="B2196" s="37">
        <v>43525</v>
      </c>
      <c r="C2196" s="36"/>
      <c r="D2196" s="36"/>
      <c r="E2196" s="36" t="s">
        <v>9</v>
      </c>
      <c r="F2196" s="38">
        <v>8716050</v>
      </c>
      <c r="G2196" s="36" t="s">
        <v>8</v>
      </c>
      <c r="H2196" s="36" t="s">
        <v>228</v>
      </c>
      <c r="I2196" s="36"/>
      <c r="J2196" s="36"/>
    </row>
    <row r="2197" spans="1:10" x14ac:dyDescent="0.25">
      <c r="A2197" s="36">
        <v>1893</v>
      </c>
      <c r="B2197" s="37">
        <v>43556</v>
      </c>
      <c r="C2197" s="36"/>
      <c r="D2197" s="36"/>
      <c r="E2197" s="36" t="s">
        <v>9</v>
      </c>
      <c r="F2197" s="38">
        <v>8716050</v>
      </c>
      <c r="G2197" s="36" t="s">
        <v>8</v>
      </c>
      <c r="H2197" s="36" t="s">
        <v>228</v>
      </c>
      <c r="I2197" s="36"/>
      <c r="J2197" s="36"/>
    </row>
    <row r="2198" spans="1:10" x14ac:dyDescent="0.25">
      <c r="A2198" s="36">
        <v>1893</v>
      </c>
      <c r="B2198" s="37">
        <v>43586</v>
      </c>
      <c r="C2198" s="36"/>
      <c r="D2198" s="36"/>
      <c r="E2198" s="36" t="s">
        <v>9</v>
      </c>
      <c r="F2198" s="38">
        <v>8716050</v>
      </c>
      <c r="G2198" s="36" t="s">
        <v>8</v>
      </c>
      <c r="H2198" s="36" t="s">
        <v>228</v>
      </c>
      <c r="I2198" s="36"/>
      <c r="J2198" s="36"/>
    </row>
    <row r="2199" spans="1:10" x14ac:dyDescent="0.25">
      <c r="A2199" s="36">
        <v>1893</v>
      </c>
      <c r="B2199" s="37">
        <v>43617</v>
      </c>
      <c r="C2199" s="36"/>
      <c r="D2199" s="36"/>
      <c r="E2199" s="36" t="s">
        <v>9</v>
      </c>
      <c r="F2199" s="38">
        <v>8716050</v>
      </c>
      <c r="G2199" s="36" t="s">
        <v>8</v>
      </c>
      <c r="H2199" s="36" t="s">
        <v>228</v>
      </c>
      <c r="I2199" s="36"/>
      <c r="J2199" s="36"/>
    </row>
    <row r="2200" spans="1:10" x14ac:dyDescent="0.25">
      <c r="A2200" s="36">
        <v>1893</v>
      </c>
      <c r="B2200" s="37">
        <v>43647</v>
      </c>
      <c r="C2200" s="36"/>
      <c r="D2200" s="36"/>
      <c r="E2200" s="36" t="s">
        <v>9</v>
      </c>
      <c r="F2200" s="38">
        <v>8716050</v>
      </c>
      <c r="G2200" s="36" t="s">
        <v>8</v>
      </c>
      <c r="H2200" s="36" t="s">
        <v>228</v>
      </c>
      <c r="I2200" s="36"/>
      <c r="J2200" s="36"/>
    </row>
    <row r="2201" spans="1:10" x14ac:dyDescent="0.25">
      <c r="A2201" s="36">
        <v>1893</v>
      </c>
      <c r="B2201" s="37">
        <v>43678</v>
      </c>
      <c r="C2201" s="36"/>
      <c r="D2201" s="36"/>
      <c r="E2201" s="36" t="s">
        <v>9</v>
      </c>
      <c r="F2201" s="38">
        <v>8716050</v>
      </c>
      <c r="G2201" s="36" t="s">
        <v>8</v>
      </c>
      <c r="H2201" s="36" t="s">
        <v>228</v>
      </c>
      <c r="I2201" s="36"/>
      <c r="J2201" s="36"/>
    </row>
    <row r="2202" spans="1:10" x14ac:dyDescent="0.25">
      <c r="A2202" s="36">
        <v>1893</v>
      </c>
      <c r="B2202" s="37">
        <v>43709</v>
      </c>
      <c r="C2202" s="36"/>
      <c r="D2202" s="36"/>
      <c r="E2202" s="36" t="s">
        <v>9</v>
      </c>
      <c r="F2202" s="38">
        <v>8716050</v>
      </c>
      <c r="G2202" s="36" t="s">
        <v>8</v>
      </c>
      <c r="H2202" s="36" t="s">
        <v>228</v>
      </c>
      <c r="I2202" s="36"/>
      <c r="J2202" s="36"/>
    </row>
    <row r="2203" spans="1:10" x14ac:dyDescent="0.25">
      <c r="A2203" s="36">
        <v>1893</v>
      </c>
      <c r="B2203" s="37">
        <v>43739</v>
      </c>
      <c r="C2203" s="36"/>
      <c r="D2203" s="36"/>
      <c r="E2203" s="36" t="s">
        <v>9</v>
      </c>
      <c r="F2203" s="38">
        <v>8716050</v>
      </c>
      <c r="G2203" s="36" t="s">
        <v>8</v>
      </c>
      <c r="H2203" s="36" t="s">
        <v>228</v>
      </c>
      <c r="I2203" s="36"/>
      <c r="J2203" s="36"/>
    </row>
    <row r="2204" spans="1:10" x14ac:dyDescent="0.25">
      <c r="A2204" s="36">
        <v>1893</v>
      </c>
      <c r="B2204" s="37">
        <v>43770</v>
      </c>
      <c r="C2204" s="36"/>
      <c r="D2204" s="36"/>
      <c r="E2204" s="36" t="s">
        <v>9</v>
      </c>
      <c r="F2204" s="38">
        <v>8716050</v>
      </c>
      <c r="G2204" s="36" t="s">
        <v>8</v>
      </c>
      <c r="H2204" s="36" t="s">
        <v>228</v>
      </c>
      <c r="I2204" s="36"/>
      <c r="J2204" s="36"/>
    </row>
    <row r="2205" spans="1:10" x14ac:dyDescent="0.25">
      <c r="A2205" s="36">
        <v>1893</v>
      </c>
      <c r="B2205" s="37">
        <v>43800</v>
      </c>
      <c r="C2205" s="36"/>
      <c r="D2205" s="36"/>
      <c r="E2205" s="36" t="s">
        <v>9</v>
      </c>
      <c r="F2205" s="38">
        <v>8716050</v>
      </c>
      <c r="G2205" s="36" t="s">
        <v>8</v>
      </c>
      <c r="H2205" s="36" t="s">
        <v>228</v>
      </c>
      <c r="I2205" s="36"/>
      <c r="J2205" s="36"/>
    </row>
    <row r="2206" spans="1:10" x14ac:dyDescent="0.25">
      <c r="A2206" s="36">
        <v>1893</v>
      </c>
      <c r="B2206" s="37">
        <v>43831</v>
      </c>
      <c r="C2206" s="36"/>
      <c r="D2206" s="36"/>
      <c r="E2206" s="36" t="s">
        <v>9</v>
      </c>
      <c r="F2206" s="38">
        <v>8716050</v>
      </c>
      <c r="G2206" s="36" t="s">
        <v>8</v>
      </c>
      <c r="H2206" s="36" t="s">
        <v>228</v>
      </c>
      <c r="I2206" s="36"/>
      <c r="J2206" s="36"/>
    </row>
    <row r="2207" spans="1:10" x14ac:dyDescent="0.25">
      <c r="A2207" s="36">
        <v>1893</v>
      </c>
      <c r="B2207" s="37">
        <v>43862</v>
      </c>
      <c r="C2207" s="36"/>
      <c r="D2207" s="36"/>
      <c r="E2207" s="36" t="s">
        <v>9</v>
      </c>
      <c r="F2207" s="38">
        <v>8716050</v>
      </c>
      <c r="G2207" s="36" t="s">
        <v>8</v>
      </c>
      <c r="H2207" s="36" t="s">
        <v>228</v>
      </c>
      <c r="I2207" s="36"/>
      <c r="J2207" s="36"/>
    </row>
    <row r="2208" spans="1:10" x14ac:dyDescent="0.25">
      <c r="A2208" s="36">
        <v>1893</v>
      </c>
      <c r="B2208" s="37">
        <v>43891</v>
      </c>
      <c r="C2208" s="36"/>
      <c r="D2208" s="36"/>
      <c r="E2208" s="36" t="s">
        <v>9</v>
      </c>
      <c r="F2208" s="38">
        <v>8716050</v>
      </c>
      <c r="G2208" s="36" t="s">
        <v>8</v>
      </c>
      <c r="H2208" s="36" t="s">
        <v>228</v>
      </c>
      <c r="I2208" s="36"/>
      <c r="J2208" s="36"/>
    </row>
    <row r="2209" spans="1:10" x14ac:dyDescent="0.25">
      <c r="A2209" s="36">
        <v>1893</v>
      </c>
      <c r="B2209" s="37">
        <v>43466</v>
      </c>
      <c r="C2209" s="36"/>
      <c r="D2209" s="36"/>
      <c r="E2209" s="36" t="s">
        <v>129</v>
      </c>
      <c r="F2209" s="38">
        <v>6150375</v>
      </c>
      <c r="G2209" s="36" t="s">
        <v>8</v>
      </c>
      <c r="H2209" s="36" t="s">
        <v>228</v>
      </c>
      <c r="I2209" s="36"/>
      <c r="J2209" s="36"/>
    </row>
    <row r="2210" spans="1:10" x14ac:dyDescent="0.25">
      <c r="A2210" s="36">
        <v>1893</v>
      </c>
      <c r="B2210" s="37">
        <v>43497</v>
      </c>
      <c r="C2210" s="36"/>
      <c r="D2210" s="36"/>
      <c r="E2210" s="36" t="s">
        <v>129</v>
      </c>
      <c r="F2210" s="38">
        <v>6150375</v>
      </c>
      <c r="G2210" s="36" t="s">
        <v>8</v>
      </c>
      <c r="H2210" s="36" t="s">
        <v>228</v>
      </c>
      <c r="I2210" s="36"/>
      <c r="J2210" s="36"/>
    </row>
    <row r="2211" spans="1:10" x14ac:dyDescent="0.25">
      <c r="A2211" s="36">
        <v>1893</v>
      </c>
      <c r="B2211" s="37">
        <v>43525</v>
      </c>
      <c r="C2211" s="36"/>
      <c r="D2211" s="36"/>
      <c r="E2211" s="36" t="s">
        <v>129</v>
      </c>
      <c r="F2211" s="38">
        <v>6150375</v>
      </c>
      <c r="G2211" s="36" t="s">
        <v>8</v>
      </c>
      <c r="H2211" s="36" t="s">
        <v>228</v>
      </c>
      <c r="I2211" s="36"/>
      <c r="J2211" s="36"/>
    </row>
    <row r="2212" spans="1:10" x14ac:dyDescent="0.25">
      <c r="A2212" s="36">
        <v>1893</v>
      </c>
      <c r="B2212" s="37">
        <v>43556</v>
      </c>
      <c r="C2212" s="36"/>
      <c r="D2212" s="36"/>
      <c r="E2212" s="36" t="s">
        <v>129</v>
      </c>
      <c r="F2212" s="38">
        <v>6150375</v>
      </c>
      <c r="G2212" s="36" t="s">
        <v>8</v>
      </c>
      <c r="H2212" s="36" t="s">
        <v>228</v>
      </c>
      <c r="I2212" s="36"/>
      <c r="J2212" s="36"/>
    </row>
    <row r="2213" spans="1:10" x14ac:dyDescent="0.25">
      <c r="A2213" s="36">
        <v>1893</v>
      </c>
      <c r="B2213" s="37">
        <v>43586</v>
      </c>
      <c r="C2213" s="36"/>
      <c r="D2213" s="36"/>
      <c r="E2213" s="36" t="s">
        <v>129</v>
      </c>
      <c r="F2213" s="38">
        <v>6150375</v>
      </c>
      <c r="G2213" s="36" t="s">
        <v>8</v>
      </c>
      <c r="H2213" s="36" t="s">
        <v>228</v>
      </c>
      <c r="I2213" s="36"/>
      <c r="J2213" s="36"/>
    </row>
    <row r="2214" spans="1:10" x14ac:dyDescent="0.25">
      <c r="A2214" s="36">
        <v>1893</v>
      </c>
      <c r="B2214" s="37">
        <v>43617</v>
      </c>
      <c r="C2214" s="36"/>
      <c r="D2214" s="36"/>
      <c r="E2214" s="36" t="s">
        <v>129</v>
      </c>
      <c r="F2214" s="38">
        <v>6150375</v>
      </c>
      <c r="G2214" s="36" t="s">
        <v>8</v>
      </c>
      <c r="H2214" s="36" t="s">
        <v>228</v>
      </c>
      <c r="I2214" s="36"/>
      <c r="J2214" s="36"/>
    </row>
    <row r="2215" spans="1:10" x14ac:dyDescent="0.25">
      <c r="A2215" s="36">
        <v>1893</v>
      </c>
      <c r="B2215" s="37">
        <v>43647</v>
      </c>
      <c r="C2215" s="36"/>
      <c r="D2215" s="36"/>
      <c r="E2215" s="36" t="s">
        <v>129</v>
      </c>
      <c r="F2215" s="38">
        <v>6150375</v>
      </c>
      <c r="G2215" s="36" t="s">
        <v>8</v>
      </c>
      <c r="H2215" s="36" t="s">
        <v>228</v>
      </c>
      <c r="I2215" s="36"/>
      <c r="J2215" s="36"/>
    </row>
    <row r="2216" spans="1:10" x14ac:dyDescent="0.25">
      <c r="A2216" s="36">
        <v>1893</v>
      </c>
      <c r="B2216" s="37">
        <v>43678</v>
      </c>
      <c r="C2216" s="36"/>
      <c r="D2216" s="36"/>
      <c r="E2216" s="36" t="s">
        <v>129</v>
      </c>
      <c r="F2216" s="38">
        <v>6150375</v>
      </c>
      <c r="G2216" s="36" t="s">
        <v>8</v>
      </c>
      <c r="H2216" s="36" t="s">
        <v>228</v>
      </c>
      <c r="I2216" s="36"/>
      <c r="J2216" s="36"/>
    </row>
    <row r="2217" spans="1:10" x14ac:dyDescent="0.25">
      <c r="A2217" s="36">
        <v>1893</v>
      </c>
      <c r="B2217" s="37">
        <v>43709</v>
      </c>
      <c r="C2217" s="36"/>
      <c r="D2217" s="36"/>
      <c r="E2217" s="36" t="s">
        <v>129</v>
      </c>
      <c r="F2217" s="38">
        <v>6150375</v>
      </c>
      <c r="G2217" s="36" t="s">
        <v>8</v>
      </c>
      <c r="H2217" s="36" t="s">
        <v>228</v>
      </c>
      <c r="I2217" s="36"/>
      <c r="J2217" s="36"/>
    </row>
    <row r="2218" spans="1:10" x14ac:dyDescent="0.25">
      <c r="A2218" s="36">
        <v>1893</v>
      </c>
      <c r="B2218" s="37">
        <v>43739</v>
      </c>
      <c r="C2218" s="36"/>
      <c r="D2218" s="36"/>
      <c r="E2218" s="36" t="s">
        <v>129</v>
      </c>
      <c r="F2218" s="38">
        <v>6150375</v>
      </c>
      <c r="G2218" s="36" t="s">
        <v>8</v>
      </c>
      <c r="H2218" s="36" t="s">
        <v>228</v>
      </c>
      <c r="I2218" s="36"/>
      <c r="J2218" s="36"/>
    </row>
    <row r="2219" spans="1:10" x14ac:dyDescent="0.25">
      <c r="A2219" s="36">
        <v>1893</v>
      </c>
      <c r="B2219" s="37">
        <v>43770</v>
      </c>
      <c r="C2219" s="36"/>
      <c r="D2219" s="36"/>
      <c r="E2219" s="36" t="s">
        <v>129</v>
      </c>
      <c r="F2219" s="38">
        <v>6150375</v>
      </c>
      <c r="G2219" s="36" t="s">
        <v>8</v>
      </c>
      <c r="H2219" s="36" t="s">
        <v>228</v>
      </c>
      <c r="I2219" s="36"/>
      <c r="J2219" s="36"/>
    </row>
    <row r="2220" spans="1:10" x14ac:dyDescent="0.25">
      <c r="A2220" s="36">
        <v>1893</v>
      </c>
      <c r="B2220" s="37">
        <v>43800</v>
      </c>
      <c r="C2220" s="36"/>
      <c r="D2220" s="36"/>
      <c r="E2220" s="36" t="s">
        <v>129</v>
      </c>
      <c r="F2220" s="38">
        <v>6150375</v>
      </c>
      <c r="G2220" s="36" t="s">
        <v>8</v>
      </c>
      <c r="H2220" s="36" t="s">
        <v>228</v>
      </c>
      <c r="I2220" s="36"/>
      <c r="J2220" s="36"/>
    </row>
    <row r="2221" spans="1:10" x14ac:dyDescent="0.25">
      <c r="A2221" s="36">
        <v>1893</v>
      </c>
      <c r="B2221" s="37">
        <v>43831</v>
      </c>
      <c r="C2221" s="36"/>
      <c r="D2221" s="36"/>
      <c r="E2221" s="36" t="s">
        <v>129</v>
      </c>
      <c r="F2221" s="38">
        <v>6150375</v>
      </c>
      <c r="G2221" s="36" t="s">
        <v>8</v>
      </c>
      <c r="H2221" s="36" t="s">
        <v>228</v>
      </c>
      <c r="I2221" s="36"/>
      <c r="J2221" s="36"/>
    </row>
    <row r="2222" spans="1:10" x14ac:dyDescent="0.25">
      <c r="A2222" s="36">
        <v>1893</v>
      </c>
      <c r="B2222" s="37">
        <v>43862</v>
      </c>
      <c r="C2222" s="36"/>
      <c r="D2222" s="36"/>
      <c r="E2222" s="36" t="s">
        <v>129</v>
      </c>
      <c r="F2222" s="38">
        <v>6150375</v>
      </c>
      <c r="G2222" s="36" t="s">
        <v>8</v>
      </c>
      <c r="H2222" s="36" t="s">
        <v>228</v>
      </c>
      <c r="I2222" s="36"/>
      <c r="J2222" s="36"/>
    </row>
    <row r="2223" spans="1:10" x14ac:dyDescent="0.25">
      <c r="A2223" s="36">
        <v>1893</v>
      </c>
      <c r="B2223" s="37">
        <v>43891</v>
      </c>
      <c r="C2223" s="36"/>
      <c r="D2223" s="36"/>
      <c r="E2223" s="36" t="s">
        <v>129</v>
      </c>
      <c r="F2223" s="38">
        <v>6150375</v>
      </c>
      <c r="G2223" s="36" t="s">
        <v>8</v>
      </c>
      <c r="H2223" s="36" t="s">
        <v>228</v>
      </c>
      <c r="I2223" s="36"/>
      <c r="J2223" s="36"/>
    </row>
    <row r="2224" spans="1:10" x14ac:dyDescent="0.25">
      <c r="A2224" s="36">
        <v>1893</v>
      </c>
      <c r="B2224" s="37">
        <v>43466</v>
      </c>
      <c r="C2224" s="36"/>
      <c r="D2224" s="36"/>
      <c r="E2224" s="36" t="s">
        <v>130</v>
      </c>
      <c r="F2224" s="38">
        <v>3369208.5</v>
      </c>
      <c r="G2224" s="36" t="s">
        <v>8</v>
      </c>
      <c r="H2224" s="36" t="s">
        <v>228</v>
      </c>
      <c r="I2224" s="36"/>
      <c r="J2224" s="36"/>
    </row>
    <row r="2225" spans="1:10" x14ac:dyDescent="0.25">
      <c r="A2225" s="36">
        <v>1893</v>
      </c>
      <c r="B2225" s="37">
        <v>43497</v>
      </c>
      <c r="C2225" s="36"/>
      <c r="D2225" s="36"/>
      <c r="E2225" s="36" t="s">
        <v>130</v>
      </c>
      <c r="F2225" s="38">
        <v>3369208.5</v>
      </c>
      <c r="G2225" s="36" t="s">
        <v>8</v>
      </c>
      <c r="H2225" s="36" t="s">
        <v>228</v>
      </c>
      <c r="I2225" s="36"/>
      <c r="J2225" s="36"/>
    </row>
    <row r="2226" spans="1:10" x14ac:dyDescent="0.25">
      <c r="A2226" s="36">
        <v>1893</v>
      </c>
      <c r="B2226" s="37">
        <v>43525</v>
      </c>
      <c r="C2226" s="36"/>
      <c r="D2226" s="36"/>
      <c r="E2226" s="36" t="s">
        <v>130</v>
      </c>
      <c r="F2226" s="38">
        <v>3369208.5</v>
      </c>
      <c r="G2226" s="36" t="s">
        <v>8</v>
      </c>
      <c r="H2226" s="36" t="s">
        <v>228</v>
      </c>
      <c r="I2226" s="36"/>
      <c r="J2226" s="36"/>
    </row>
    <row r="2227" spans="1:10" x14ac:dyDescent="0.25">
      <c r="A2227" s="36">
        <v>1893</v>
      </c>
      <c r="B2227" s="37">
        <v>43556</v>
      </c>
      <c r="C2227" s="36"/>
      <c r="D2227" s="36"/>
      <c r="E2227" s="36" t="s">
        <v>130</v>
      </c>
      <c r="F2227" s="38">
        <v>3369208.5</v>
      </c>
      <c r="G2227" s="36" t="s">
        <v>8</v>
      </c>
      <c r="H2227" s="36" t="s">
        <v>228</v>
      </c>
      <c r="I2227" s="36"/>
      <c r="J2227" s="36"/>
    </row>
    <row r="2228" spans="1:10" x14ac:dyDescent="0.25">
      <c r="A2228" s="36">
        <v>1893</v>
      </c>
      <c r="B2228" s="37">
        <v>43586</v>
      </c>
      <c r="C2228" s="36"/>
      <c r="D2228" s="36"/>
      <c r="E2228" s="36" t="s">
        <v>130</v>
      </c>
      <c r="F2228" s="38">
        <v>3369208.5</v>
      </c>
      <c r="G2228" s="36" t="s">
        <v>8</v>
      </c>
      <c r="H2228" s="36" t="s">
        <v>228</v>
      </c>
      <c r="I2228" s="36"/>
      <c r="J2228" s="36"/>
    </row>
    <row r="2229" spans="1:10" x14ac:dyDescent="0.25">
      <c r="A2229" s="36">
        <v>1893</v>
      </c>
      <c r="B2229" s="37">
        <v>43617</v>
      </c>
      <c r="C2229" s="36"/>
      <c r="D2229" s="36"/>
      <c r="E2229" s="36" t="s">
        <v>130</v>
      </c>
      <c r="F2229" s="38">
        <v>3369208.5</v>
      </c>
      <c r="G2229" s="36" t="s">
        <v>8</v>
      </c>
      <c r="H2229" s="36" t="s">
        <v>228</v>
      </c>
      <c r="I2229" s="36"/>
      <c r="J2229" s="36"/>
    </row>
    <row r="2230" spans="1:10" x14ac:dyDescent="0.25">
      <c r="A2230" s="36">
        <v>1893</v>
      </c>
      <c r="B2230" s="37">
        <v>43647</v>
      </c>
      <c r="C2230" s="36"/>
      <c r="D2230" s="36"/>
      <c r="E2230" s="36" t="s">
        <v>130</v>
      </c>
      <c r="F2230" s="38">
        <v>3369208.5</v>
      </c>
      <c r="G2230" s="36" t="s">
        <v>8</v>
      </c>
      <c r="H2230" s="36" t="s">
        <v>228</v>
      </c>
      <c r="I2230" s="36"/>
      <c r="J2230" s="36"/>
    </row>
    <row r="2231" spans="1:10" x14ac:dyDescent="0.25">
      <c r="A2231" s="36">
        <v>1893</v>
      </c>
      <c r="B2231" s="37">
        <v>43678</v>
      </c>
      <c r="C2231" s="36"/>
      <c r="D2231" s="36"/>
      <c r="E2231" s="36" t="s">
        <v>130</v>
      </c>
      <c r="F2231" s="38">
        <v>3369208.5</v>
      </c>
      <c r="G2231" s="36" t="s">
        <v>8</v>
      </c>
      <c r="H2231" s="36" t="s">
        <v>228</v>
      </c>
      <c r="I2231" s="36"/>
      <c r="J2231" s="36"/>
    </row>
    <row r="2232" spans="1:10" x14ac:dyDescent="0.25">
      <c r="A2232" s="36">
        <v>1893</v>
      </c>
      <c r="B2232" s="37">
        <v>43709</v>
      </c>
      <c r="C2232" s="36"/>
      <c r="D2232" s="36"/>
      <c r="E2232" s="36" t="s">
        <v>130</v>
      </c>
      <c r="F2232" s="38">
        <v>3369208.5</v>
      </c>
      <c r="G2232" s="36" t="s">
        <v>8</v>
      </c>
      <c r="H2232" s="36" t="s">
        <v>228</v>
      </c>
      <c r="I2232" s="36"/>
      <c r="J2232" s="36"/>
    </row>
    <row r="2233" spans="1:10" x14ac:dyDescent="0.25">
      <c r="A2233" s="36">
        <v>1893</v>
      </c>
      <c r="B2233" s="37">
        <v>43739</v>
      </c>
      <c r="C2233" s="36"/>
      <c r="D2233" s="36"/>
      <c r="E2233" s="36" t="s">
        <v>130</v>
      </c>
      <c r="F2233" s="38">
        <v>3369208.5</v>
      </c>
      <c r="G2233" s="36" t="s">
        <v>8</v>
      </c>
      <c r="H2233" s="36" t="s">
        <v>228</v>
      </c>
      <c r="I2233" s="36"/>
      <c r="J2233" s="36"/>
    </row>
    <row r="2234" spans="1:10" x14ac:dyDescent="0.25">
      <c r="A2234" s="36">
        <v>1893</v>
      </c>
      <c r="B2234" s="37">
        <v>43770</v>
      </c>
      <c r="C2234" s="36"/>
      <c r="D2234" s="36"/>
      <c r="E2234" s="36" t="s">
        <v>130</v>
      </c>
      <c r="F2234" s="38">
        <v>3369208.5</v>
      </c>
      <c r="G2234" s="36" t="s">
        <v>8</v>
      </c>
      <c r="H2234" s="36" t="s">
        <v>228</v>
      </c>
      <c r="I2234" s="36"/>
      <c r="J2234" s="36"/>
    </row>
    <row r="2235" spans="1:10" x14ac:dyDescent="0.25">
      <c r="A2235" s="36">
        <v>1893</v>
      </c>
      <c r="B2235" s="37">
        <v>43800</v>
      </c>
      <c r="C2235" s="36"/>
      <c r="D2235" s="36"/>
      <c r="E2235" s="36" t="s">
        <v>130</v>
      </c>
      <c r="F2235" s="38">
        <v>3369208.5</v>
      </c>
      <c r="G2235" s="36" t="s">
        <v>8</v>
      </c>
      <c r="H2235" s="36" t="s">
        <v>228</v>
      </c>
      <c r="I2235" s="36"/>
      <c r="J2235" s="36"/>
    </row>
    <row r="2236" spans="1:10" x14ac:dyDescent="0.25">
      <c r="A2236" s="36">
        <v>1893</v>
      </c>
      <c r="B2236" s="37">
        <v>43831</v>
      </c>
      <c r="C2236" s="36"/>
      <c r="D2236" s="36"/>
      <c r="E2236" s="36" t="s">
        <v>130</v>
      </c>
      <c r="F2236" s="38">
        <v>3369208.5</v>
      </c>
      <c r="G2236" s="36" t="s">
        <v>8</v>
      </c>
      <c r="H2236" s="36" t="s">
        <v>228</v>
      </c>
      <c r="I2236" s="36"/>
      <c r="J2236" s="36"/>
    </row>
    <row r="2237" spans="1:10" x14ac:dyDescent="0.25">
      <c r="A2237" s="36">
        <v>1893</v>
      </c>
      <c r="B2237" s="37">
        <v>43862</v>
      </c>
      <c r="C2237" s="36"/>
      <c r="D2237" s="36"/>
      <c r="E2237" s="36" t="s">
        <v>130</v>
      </c>
      <c r="F2237" s="38">
        <v>3369208.5</v>
      </c>
      <c r="G2237" s="36" t="s">
        <v>8</v>
      </c>
      <c r="H2237" s="36" t="s">
        <v>228</v>
      </c>
      <c r="I2237" s="36"/>
      <c r="J2237" s="36"/>
    </row>
    <row r="2238" spans="1:10" x14ac:dyDescent="0.25">
      <c r="A2238" s="36">
        <v>1893</v>
      </c>
      <c r="B2238" s="37">
        <v>43891</v>
      </c>
      <c r="C2238" s="36"/>
      <c r="D2238" s="36"/>
      <c r="E2238" s="36" t="s">
        <v>130</v>
      </c>
      <c r="F2238" s="38">
        <v>3369208.5</v>
      </c>
      <c r="G2238" s="36" t="s">
        <v>8</v>
      </c>
      <c r="H2238" s="36" t="s">
        <v>228</v>
      </c>
      <c r="I2238" s="36"/>
      <c r="J2238" s="36"/>
    </row>
    <row r="2239" spans="1:10" x14ac:dyDescent="0.25">
      <c r="A2239" s="36">
        <v>1893</v>
      </c>
      <c r="B2239" s="37">
        <v>43466</v>
      </c>
      <c r="C2239" s="36"/>
      <c r="D2239" s="36"/>
      <c r="E2239" s="36" t="s">
        <v>22</v>
      </c>
      <c r="F2239" s="38">
        <v>3571361.01</v>
      </c>
      <c r="G2239" s="36" t="s">
        <v>8</v>
      </c>
      <c r="H2239" s="36" t="s">
        <v>228</v>
      </c>
      <c r="I2239" s="36"/>
      <c r="J2239" s="36"/>
    </row>
    <row r="2240" spans="1:10" x14ac:dyDescent="0.25">
      <c r="A2240" s="36">
        <v>1893</v>
      </c>
      <c r="B2240" s="37">
        <v>43497</v>
      </c>
      <c r="C2240" s="36"/>
      <c r="D2240" s="36"/>
      <c r="E2240" s="36" t="s">
        <v>22</v>
      </c>
      <c r="F2240" s="38">
        <v>3571361.01</v>
      </c>
      <c r="G2240" s="36" t="s">
        <v>8</v>
      </c>
      <c r="H2240" s="36" t="s">
        <v>228</v>
      </c>
      <c r="I2240" s="36"/>
      <c r="J2240" s="36"/>
    </row>
    <row r="2241" spans="1:10" x14ac:dyDescent="0.25">
      <c r="A2241" s="36">
        <v>1893</v>
      </c>
      <c r="B2241" s="37">
        <v>43525</v>
      </c>
      <c r="C2241" s="36"/>
      <c r="D2241" s="36"/>
      <c r="E2241" s="36" t="s">
        <v>22</v>
      </c>
      <c r="F2241" s="38">
        <v>3571361.01</v>
      </c>
      <c r="G2241" s="36" t="s">
        <v>8</v>
      </c>
      <c r="H2241" s="36" t="s">
        <v>228</v>
      </c>
      <c r="I2241" s="36"/>
      <c r="J2241" s="36"/>
    </row>
    <row r="2242" spans="1:10" x14ac:dyDescent="0.25">
      <c r="A2242" s="36">
        <v>1893</v>
      </c>
      <c r="B2242" s="37">
        <v>43556</v>
      </c>
      <c r="C2242" s="36"/>
      <c r="D2242" s="36"/>
      <c r="E2242" s="36" t="s">
        <v>22</v>
      </c>
      <c r="F2242" s="38">
        <v>3571361.01</v>
      </c>
      <c r="G2242" s="36" t="s">
        <v>8</v>
      </c>
      <c r="H2242" s="36" t="s">
        <v>228</v>
      </c>
      <c r="I2242" s="36"/>
      <c r="J2242" s="36"/>
    </row>
    <row r="2243" spans="1:10" x14ac:dyDescent="0.25">
      <c r="A2243" s="36">
        <v>1893</v>
      </c>
      <c r="B2243" s="37">
        <v>43586</v>
      </c>
      <c r="C2243" s="36"/>
      <c r="D2243" s="36"/>
      <c r="E2243" s="36" t="s">
        <v>22</v>
      </c>
      <c r="F2243" s="38">
        <v>3571361.01</v>
      </c>
      <c r="G2243" s="36" t="s">
        <v>8</v>
      </c>
      <c r="H2243" s="36" t="s">
        <v>228</v>
      </c>
      <c r="I2243" s="36"/>
      <c r="J2243" s="36"/>
    </row>
    <row r="2244" spans="1:10" x14ac:dyDescent="0.25">
      <c r="A2244" s="36">
        <v>1893</v>
      </c>
      <c r="B2244" s="37">
        <v>43617</v>
      </c>
      <c r="C2244" s="36"/>
      <c r="D2244" s="36"/>
      <c r="E2244" s="36" t="s">
        <v>22</v>
      </c>
      <c r="F2244" s="38">
        <v>3571361.01</v>
      </c>
      <c r="G2244" s="36" t="s">
        <v>8</v>
      </c>
      <c r="H2244" s="36" t="s">
        <v>228</v>
      </c>
      <c r="I2244" s="36"/>
      <c r="J2244" s="36"/>
    </row>
    <row r="2245" spans="1:10" x14ac:dyDescent="0.25">
      <c r="A2245" s="36">
        <v>1893</v>
      </c>
      <c r="B2245" s="37">
        <v>43647</v>
      </c>
      <c r="C2245" s="36"/>
      <c r="D2245" s="36"/>
      <c r="E2245" s="36" t="s">
        <v>22</v>
      </c>
      <c r="F2245" s="38">
        <v>3571361.01</v>
      </c>
      <c r="G2245" s="36" t="s">
        <v>8</v>
      </c>
      <c r="H2245" s="36" t="s">
        <v>228</v>
      </c>
      <c r="I2245" s="36"/>
      <c r="J2245" s="36"/>
    </row>
    <row r="2246" spans="1:10" x14ac:dyDescent="0.25">
      <c r="A2246" s="36">
        <v>1893</v>
      </c>
      <c r="B2246" s="37">
        <v>43678</v>
      </c>
      <c r="C2246" s="36"/>
      <c r="D2246" s="36"/>
      <c r="E2246" s="36" t="s">
        <v>22</v>
      </c>
      <c r="F2246" s="38">
        <v>3571361.01</v>
      </c>
      <c r="G2246" s="36" t="s">
        <v>8</v>
      </c>
      <c r="H2246" s="36" t="s">
        <v>228</v>
      </c>
      <c r="I2246" s="36"/>
      <c r="J2246" s="36"/>
    </row>
    <row r="2247" spans="1:10" x14ac:dyDescent="0.25">
      <c r="A2247" s="36">
        <v>1893</v>
      </c>
      <c r="B2247" s="37">
        <v>43709</v>
      </c>
      <c r="C2247" s="36"/>
      <c r="D2247" s="36"/>
      <c r="E2247" s="36" t="s">
        <v>22</v>
      </c>
      <c r="F2247" s="38">
        <v>3571361.01</v>
      </c>
      <c r="G2247" s="36" t="s">
        <v>8</v>
      </c>
      <c r="H2247" s="36" t="s">
        <v>228</v>
      </c>
      <c r="I2247" s="36"/>
      <c r="J2247" s="36"/>
    </row>
    <row r="2248" spans="1:10" x14ac:dyDescent="0.25">
      <c r="A2248" s="36">
        <v>1893</v>
      </c>
      <c r="B2248" s="37">
        <v>43739</v>
      </c>
      <c r="C2248" s="36"/>
      <c r="D2248" s="36"/>
      <c r="E2248" s="36" t="s">
        <v>22</v>
      </c>
      <c r="F2248" s="38">
        <v>3571361.01</v>
      </c>
      <c r="G2248" s="36" t="s">
        <v>8</v>
      </c>
      <c r="H2248" s="36" t="s">
        <v>228</v>
      </c>
      <c r="I2248" s="36"/>
      <c r="J2248" s="36"/>
    </row>
    <row r="2249" spans="1:10" x14ac:dyDescent="0.25">
      <c r="A2249" s="36">
        <v>1893</v>
      </c>
      <c r="B2249" s="37">
        <v>43770</v>
      </c>
      <c r="C2249" s="36"/>
      <c r="D2249" s="36"/>
      <c r="E2249" s="36" t="s">
        <v>22</v>
      </c>
      <c r="F2249" s="38">
        <v>3571361.01</v>
      </c>
      <c r="G2249" s="36" t="s">
        <v>8</v>
      </c>
      <c r="H2249" s="36" t="s">
        <v>228</v>
      </c>
      <c r="I2249" s="36"/>
      <c r="J2249" s="36"/>
    </row>
    <row r="2250" spans="1:10" x14ac:dyDescent="0.25">
      <c r="A2250" s="36">
        <v>1893</v>
      </c>
      <c r="B2250" s="37">
        <v>43800</v>
      </c>
      <c r="C2250" s="36"/>
      <c r="D2250" s="36"/>
      <c r="E2250" s="36" t="s">
        <v>22</v>
      </c>
      <c r="F2250" s="38">
        <v>3571361.01</v>
      </c>
      <c r="G2250" s="36" t="s">
        <v>8</v>
      </c>
      <c r="H2250" s="36" t="s">
        <v>228</v>
      </c>
      <c r="I2250" s="36"/>
      <c r="J2250" s="36"/>
    </row>
    <row r="2251" spans="1:10" x14ac:dyDescent="0.25">
      <c r="A2251" s="36">
        <v>1893</v>
      </c>
      <c r="B2251" s="37">
        <v>43831</v>
      </c>
      <c r="C2251" s="36"/>
      <c r="D2251" s="36"/>
      <c r="E2251" s="36" t="s">
        <v>22</v>
      </c>
      <c r="F2251" s="38">
        <v>3571361.01</v>
      </c>
      <c r="G2251" s="36" t="s">
        <v>8</v>
      </c>
      <c r="H2251" s="36" t="s">
        <v>228</v>
      </c>
      <c r="I2251" s="36"/>
      <c r="J2251" s="36"/>
    </row>
    <row r="2252" spans="1:10" x14ac:dyDescent="0.25">
      <c r="A2252" s="36">
        <v>1893</v>
      </c>
      <c r="B2252" s="37">
        <v>43862</v>
      </c>
      <c r="C2252" s="36"/>
      <c r="D2252" s="36"/>
      <c r="E2252" s="36" t="s">
        <v>22</v>
      </c>
      <c r="F2252" s="38">
        <v>3571361.01</v>
      </c>
      <c r="G2252" s="36" t="s">
        <v>8</v>
      </c>
      <c r="H2252" s="36" t="s">
        <v>228</v>
      </c>
      <c r="I2252" s="36"/>
      <c r="J2252" s="36"/>
    </row>
    <row r="2253" spans="1:10" x14ac:dyDescent="0.25">
      <c r="A2253" s="36">
        <v>1893</v>
      </c>
      <c r="B2253" s="37">
        <v>43891</v>
      </c>
      <c r="C2253" s="36"/>
      <c r="D2253" s="36"/>
      <c r="E2253" s="36" t="s">
        <v>22</v>
      </c>
      <c r="F2253" s="38">
        <v>3571361.01</v>
      </c>
      <c r="G2253" s="36" t="s">
        <v>8</v>
      </c>
      <c r="H2253" s="36" t="s">
        <v>228</v>
      </c>
      <c r="I2253" s="36"/>
      <c r="J2253" s="36"/>
    </row>
    <row r="2254" spans="1:10" x14ac:dyDescent="0.25">
      <c r="A2254" s="36">
        <v>1890</v>
      </c>
      <c r="B2254" s="37">
        <v>43466</v>
      </c>
      <c r="C2254" s="36"/>
      <c r="D2254" s="36"/>
      <c r="E2254" s="36" t="s">
        <v>7</v>
      </c>
      <c r="F2254" s="38">
        <v>3868074.0000000005</v>
      </c>
      <c r="G2254" s="36" t="s">
        <v>8</v>
      </c>
      <c r="H2254" s="36" t="s">
        <v>228</v>
      </c>
      <c r="I2254" s="36"/>
      <c r="J2254" s="36"/>
    </row>
    <row r="2255" spans="1:10" x14ac:dyDescent="0.25">
      <c r="A2255" s="36">
        <v>1890</v>
      </c>
      <c r="B2255" s="37">
        <v>43497</v>
      </c>
      <c r="C2255" s="36"/>
      <c r="D2255" s="36"/>
      <c r="E2255" s="36" t="s">
        <v>7</v>
      </c>
      <c r="F2255" s="38">
        <v>3868074.0000000005</v>
      </c>
      <c r="G2255" s="36" t="s">
        <v>8</v>
      </c>
      <c r="H2255" s="36" t="s">
        <v>228</v>
      </c>
      <c r="I2255" s="36"/>
      <c r="J2255" s="36"/>
    </row>
    <row r="2256" spans="1:10" x14ac:dyDescent="0.25">
      <c r="A2256" s="36">
        <v>1890</v>
      </c>
      <c r="B2256" s="37">
        <v>43525</v>
      </c>
      <c r="C2256" s="36"/>
      <c r="D2256" s="36"/>
      <c r="E2256" s="36" t="s">
        <v>7</v>
      </c>
      <c r="F2256" s="38">
        <v>3868074.0000000005</v>
      </c>
      <c r="G2256" s="36" t="s">
        <v>8</v>
      </c>
      <c r="H2256" s="36" t="s">
        <v>228</v>
      </c>
      <c r="I2256" s="36"/>
      <c r="J2256" s="36"/>
    </row>
    <row r="2257" spans="1:10" x14ac:dyDescent="0.25">
      <c r="A2257" s="36">
        <v>1890</v>
      </c>
      <c r="B2257" s="37">
        <v>43556</v>
      </c>
      <c r="C2257" s="36"/>
      <c r="D2257" s="36"/>
      <c r="E2257" s="36" t="s">
        <v>7</v>
      </c>
      <c r="F2257" s="38">
        <v>3868074.0000000005</v>
      </c>
      <c r="G2257" s="36" t="s">
        <v>8</v>
      </c>
      <c r="H2257" s="36" t="s">
        <v>228</v>
      </c>
      <c r="I2257" s="36"/>
      <c r="J2257" s="36"/>
    </row>
    <row r="2258" spans="1:10" x14ac:dyDescent="0.25">
      <c r="A2258" s="36">
        <v>1890</v>
      </c>
      <c r="B2258" s="37">
        <v>43586</v>
      </c>
      <c r="C2258" s="36"/>
      <c r="D2258" s="36"/>
      <c r="E2258" s="36" t="s">
        <v>7</v>
      </c>
      <c r="F2258" s="38">
        <v>3868074.0000000005</v>
      </c>
      <c r="G2258" s="36" t="s">
        <v>8</v>
      </c>
      <c r="H2258" s="36" t="s">
        <v>228</v>
      </c>
      <c r="I2258" s="36"/>
      <c r="J2258" s="36"/>
    </row>
    <row r="2259" spans="1:10" x14ac:dyDescent="0.25">
      <c r="A2259" s="36">
        <v>1890</v>
      </c>
      <c r="B2259" s="37">
        <v>43617</v>
      </c>
      <c r="C2259" s="36"/>
      <c r="D2259" s="36"/>
      <c r="E2259" s="36" t="s">
        <v>7</v>
      </c>
      <c r="F2259" s="38">
        <v>3868074.0000000005</v>
      </c>
      <c r="G2259" s="36" t="s">
        <v>8</v>
      </c>
      <c r="H2259" s="36" t="s">
        <v>228</v>
      </c>
      <c r="I2259" s="36"/>
      <c r="J2259" s="36"/>
    </row>
    <row r="2260" spans="1:10" x14ac:dyDescent="0.25">
      <c r="A2260" s="36">
        <v>1890</v>
      </c>
      <c r="B2260" s="37">
        <v>43647</v>
      </c>
      <c r="C2260" s="36"/>
      <c r="D2260" s="36"/>
      <c r="E2260" s="36" t="s">
        <v>7</v>
      </c>
      <c r="F2260" s="38">
        <v>3868074.0000000005</v>
      </c>
      <c r="G2260" s="36" t="s">
        <v>8</v>
      </c>
      <c r="H2260" s="36" t="s">
        <v>228</v>
      </c>
      <c r="I2260" s="36"/>
      <c r="J2260" s="36"/>
    </row>
    <row r="2261" spans="1:10" x14ac:dyDescent="0.25">
      <c r="A2261" s="36">
        <v>1890</v>
      </c>
      <c r="B2261" s="37">
        <v>43678</v>
      </c>
      <c r="C2261" s="36"/>
      <c r="D2261" s="36"/>
      <c r="E2261" s="36" t="s">
        <v>7</v>
      </c>
      <c r="F2261" s="38">
        <v>3868074.0000000005</v>
      </c>
      <c r="G2261" s="36" t="s">
        <v>8</v>
      </c>
      <c r="H2261" s="36" t="s">
        <v>228</v>
      </c>
      <c r="I2261" s="36"/>
      <c r="J2261" s="36"/>
    </row>
    <row r="2262" spans="1:10" x14ac:dyDescent="0.25">
      <c r="A2262" s="36">
        <v>1890</v>
      </c>
      <c r="B2262" s="37">
        <v>43709</v>
      </c>
      <c r="C2262" s="36"/>
      <c r="D2262" s="36"/>
      <c r="E2262" s="36" t="s">
        <v>7</v>
      </c>
      <c r="F2262" s="38">
        <v>3868074.0000000005</v>
      </c>
      <c r="G2262" s="36" t="s">
        <v>8</v>
      </c>
      <c r="H2262" s="36" t="s">
        <v>228</v>
      </c>
      <c r="I2262" s="36"/>
      <c r="J2262" s="36"/>
    </row>
    <row r="2263" spans="1:10" x14ac:dyDescent="0.25">
      <c r="A2263" s="36">
        <v>1890</v>
      </c>
      <c r="B2263" s="37">
        <v>43739</v>
      </c>
      <c r="C2263" s="36"/>
      <c r="D2263" s="36"/>
      <c r="E2263" s="36" t="s">
        <v>7</v>
      </c>
      <c r="F2263" s="38">
        <v>3868074.0000000005</v>
      </c>
      <c r="G2263" s="36" t="s">
        <v>8</v>
      </c>
      <c r="H2263" s="36" t="s">
        <v>228</v>
      </c>
      <c r="I2263" s="36"/>
      <c r="J2263" s="36"/>
    </row>
    <row r="2264" spans="1:10" x14ac:dyDescent="0.25">
      <c r="A2264" s="36">
        <v>1890</v>
      </c>
      <c r="B2264" s="37">
        <v>43770</v>
      </c>
      <c r="C2264" s="36"/>
      <c r="D2264" s="36"/>
      <c r="E2264" s="36" t="s">
        <v>7</v>
      </c>
      <c r="F2264" s="38">
        <v>3868074.0000000005</v>
      </c>
      <c r="G2264" s="36" t="s">
        <v>8</v>
      </c>
      <c r="H2264" s="36" t="s">
        <v>228</v>
      </c>
      <c r="I2264" s="36"/>
      <c r="J2264" s="36"/>
    </row>
    <row r="2265" spans="1:10" x14ac:dyDescent="0.25">
      <c r="A2265" s="36">
        <v>1890</v>
      </c>
      <c r="B2265" s="37">
        <v>43800</v>
      </c>
      <c r="C2265" s="36"/>
      <c r="D2265" s="36"/>
      <c r="E2265" s="36" t="s">
        <v>7</v>
      </c>
      <c r="F2265" s="38">
        <v>3868074.0000000005</v>
      </c>
      <c r="G2265" s="36" t="s">
        <v>8</v>
      </c>
      <c r="H2265" s="36" t="s">
        <v>228</v>
      </c>
      <c r="I2265" s="36"/>
      <c r="J2265" s="36"/>
    </row>
    <row r="2266" spans="1:10" x14ac:dyDescent="0.25">
      <c r="A2266" s="36">
        <v>1890</v>
      </c>
      <c r="B2266" s="37">
        <v>43831</v>
      </c>
      <c r="C2266" s="36"/>
      <c r="D2266" s="36"/>
      <c r="E2266" s="36" t="s">
        <v>7</v>
      </c>
      <c r="F2266" s="38">
        <v>3868074.0000000005</v>
      </c>
      <c r="G2266" s="36" t="s">
        <v>8</v>
      </c>
      <c r="H2266" s="36" t="s">
        <v>228</v>
      </c>
      <c r="I2266" s="36"/>
      <c r="J2266" s="36"/>
    </row>
    <row r="2267" spans="1:10" x14ac:dyDescent="0.25">
      <c r="A2267" s="36">
        <v>1890</v>
      </c>
      <c r="B2267" s="37">
        <v>43862</v>
      </c>
      <c r="C2267" s="36"/>
      <c r="D2267" s="36"/>
      <c r="E2267" s="36" t="s">
        <v>7</v>
      </c>
      <c r="F2267" s="38">
        <v>3868074.0000000005</v>
      </c>
      <c r="G2267" s="36" t="s">
        <v>8</v>
      </c>
      <c r="H2267" s="36" t="s">
        <v>228</v>
      </c>
      <c r="I2267" s="36"/>
      <c r="J2267" s="36"/>
    </row>
    <row r="2268" spans="1:10" x14ac:dyDescent="0.25">
      <c r="A2268" s="36">
        <v>1890</v>
      </c>
      <c r="B2268" s="37">
        <v>43891</v>
      </c>
      <c r="C2268" s="36"/>
      <c r="D2268" s="36"/>
      <c r="E2268" s="36" t="s">
        <v>7</v>
      </c>
      <c r="F2268" s="38">
        <v>3868074.0000000005</v>
      </c>
      <c r="G2268" s="36" t="s">
        <v>8</v>
      </c>
      <c r="H2268" s="36" t="s">
        <v>228</v>
      </c>
      <c r="I2268" s="36"/>
      <c r="J2268" s="36"/>
    </row>
    <row r="2269" spans="1:10" x14ac:dyDescent="0.25">
      <c r="A2269" s="36">
        <v>1890</v>
      </c>
      <c r="B2269" s="37">
        <v>43922</v>
      </c>
      <c r="C2269" s="36"/>
      <c r="D2269" s="36"/>
      <c r="E2269" s="36" t="s">
        <v>7</v>
      </c>
      <c r="F2269" s="38">
        <v>3868074.0000000005</v>
      </c>
      <c r="G2269" s="36" t="s">
        <v>8</v>
      </c>
      <c r="H2269" s="36" t="s">
        <v>228</v>
      </c>
      <c r="I2269" s="36"/>
      <c r="J2269" s="36"/>
    </row>
    <row r="2270" spans="1:10" x14ac:dyDescent="0.25">
      <c r="A2270" s="36">
        <v>1890</v>
      </c>
      <c r="B2270" s="37">
        <v>43952</v>
      </c>
      <c r="C2270" s="36"/>
      <c r="D2270" s="36"/>
      <c r="E2270" s="36" t="s">
        <v>7</v>
      </c>
      <c r="F2270" s="38">
        <v>3868074.0000000005</v>
      </c>
      <c r="G2270" s="36" t="s">
        <v>8</v>
      </c>
      <c r="H2270" s="36" t="s">
        <v>228</v>
      </c>
      <c r="I2270" s="36"/>
      <c r="J2270" s="36"/>
    </row>
    <row r="2271" spans="1:10" x14ac:dyDescent="0.25">
      <c r="A2271" s="36">
        <v>1890</v>
      </c>
      <c r="B2271" s="37">
        <v>43983</v>
      </c>
      <c r="C2271" s="36"/>
      <c r="D2271" s="36"/>
      <c r="E2271" s="36" t="s">
        <v>7</v>
      </c>
      <c r="F2271" s="38">
        <v>3868074.0000000005</v>
      </c>
      <c r="G2271" s="36" t="s">
        <v>8</v>
      </c>
      <c r="H2271" s="36" t="s">
        <v>228</v>
      </c>
      <c r="I2271" s="36"/>
      <c r="J2271" s="36"/>
    </row>
    <row r="2272" spans="1:10" x14ac:dyDescent="0.25">
      <c r="A2272" s="36">
        <v>1890</v>
      </c>
      <c r="B2272" s="37">
        <v>44013</v>
      </c>
      <c r="C2272" s="36"/>
      <c r="D2272" s="36"/>
      <c r="E2272" s="36" t="s">
        <v>7</v>
      </c>
      <c r="F2272" s="38">
        <v>3868074.0000000005</v>
      </c>
      <c r="G2272" s="36" t="s">
        <v>8</v>
      </c>
      <c r="H2272" s="36" t="s">
        <v>228</v>
      </c>
      <c r="I2272" s="36"/>
      <c r="J2272" s="36"/>
    </row>
    <row r="2273" spans="1:10" x14ac:dyDescent="0.25">
      <c r="A2273" s="36">
        <v>1890</v>
      </c>
      <c r="B2273" s="37">
        <v>44044</v>
      </c>
      <c r="C2273" s="36"/>
      <c r="D2273" s="36"/>
      <c r="E2273" s="36" t="s">
        <v>7</v>
      </c>
      <c r="F2273" s="38">
        <v>3868074.0000000005</v>
      </c>
      <c r="G2273" s="36" t="s">
        <v>8</v>
      </c>
      <c r="H2273" s="36" t="s">
        <v>228</v>
      </c>
      <c r="I2273" s="36"/>
      <c r="J2273" s="36"/>
    </row>
    <row r="2274" spans="1:10" x14ac:dyDescent="0.25">
      <c r="A2274" s="36">
        <v>1890</v>
      </c>
      <c r="B2274" s="37">
        <v>44075</v>
      </c>
      <c r="C2274" s="36"/>
      <c r="D2274" s="36"/>
      <c r="E2274" s="36" t="s">
        <v>7</v>
      </c>
      <c r="F2274" s="38">
        <v>3868074.0000000005</v>
      </c>
      <c r="G2274" s="36" t="s">
        <v>8</v>
      </c>
      <c r="H2274" s="36" t="s">
        <v>228</v>
      </c>
      <c r="I2274" s="36"/>
      <c r="J2274" s="36"/>
    </row>
    <row r="2275" spans="1:10" x14ac:dyDescent="0.25">
      <c r="A2275" s="36">
        <v>1890</v>
      </c>
      <c r="B2275" s="37">
        <v>44105</v>
      </c>
      <c r="C2275" s="36"/>
      <c r="D2275" s="36"/>
      <c r="E2275" s="36" t="s">
        <v>7</v>
      </c>
      <c r="F2275" s="38">
        <v>3868074.0000000005</v>
      </c>
      <c r="G2275" s="36" t="s">
        <v>8</v>
      </c>
      <c r="H2275" s="36" t="s">
        <v>228</v>
      </c>
      <c r="I2275" s="36"/>
      <c r="J2275" s="36"/>
    </row>
    <row r="2276" spans="1:10" x14ac:dyDescent="0.25">
      <c r="A2276" s="36">
        <v>1890</v>
      </c>
      <c r="B2276" s="37">
        <v>44136</v>
      </c>
      <c r="C2276" s="36"/>
      <c r="D2276" s="36"/>
      <c r="E2276" s="36" t="s">
        <v>7</v>
      </c>
      <c r="F2276" s="38">
        <v>3868074.0000000005</v>
      </c>
      <c r="G2276" s="36" t="s">
        <v>8</v>
      </c>
      <c r="H2276" s="36" t="s">
        <v>228</v>
      </c>
      <c r="I2276" s="36"/>
      <c r="J2276" s="36"/>
    </row>
    <row r="2277" spans="1:10" x14ac:dyDescent="0.25">
      <c r="A2277" s="36">
        <v>1890</v>
      </c>
      <c r="B2277" s="37">
        <v>44166</v>
      </c>
      <c r="C2277" s="36"/>
      <c r="D2277" s="36"/>
      <c r="E2277" s="36" t="s">
        <v>7</v>
      </c>
      <c r="F2277" s="38">
        <v>3868074.0000000005</v>
      </c>
      <c r="G2277" s="36" t="s">
        <v>8</v>
      </c>
      <c r="H2277" s="36" t="s">
        <v>228</v>
      </c>
      <c r="I2277" s="36"/>
      <c r="J2277" s="36"/>
    </row>
    <row r="2278" spans="1:10" x14ac:dyDescent="0.25">
      <c r="A2278" s="36">
        <v>1890</v>
      </c>
      <c r="B2278" s="37">
        <v>43466</v>
      </c>
      <c r="C2278" s="36"/>
      <c r="D2278" s="36"/>
      <c r="E2278" s="36" t="s">
        <v>9</v>
      </c>
      <c r="F2278" s="38">
        <v>9450000</v>
      </c>
      <c r="G2278" s="36" t="s">
        <v>8</v>
      </c>
      <c r="H2278" s="36" t="s">
        <v>228</v>
      </c>
      <c r="I2278" s="36"/>
      <c r="J2278" s="36"/>
    </row>
    <row r="2279" spans="1:10" x14ac:dyDescent="0.25">
      <c r="A2279" s="36">
        <v>1890</v>
      </c>
      <c r="B2279" s="37">
        <v>43497</v>
      </c>
      <c r="C2279" s="36"/>
      <c r="D2279" s="36"/>
      <c r="E2279" s="36" t="s">
        <v>9</v>
      </c>
      <c r="F2279" s="38">
        <v>9450000</v>
      </c>
      <c r="G2279" s="36" t="s">
        <v>8</v>
      </c>
      <c r="H2279" s="36" t="s">
        <v>228</v>
      </c>
      <c r="I2279" s="36"/>
      <c r="J2279" s="36"/>
    </row>
    <row r="2280" spans="1:10" x14ac:dyDescent="0.25">
      <c r="A2280" s="36">
        <v>1890</v>
      </c>
      <c r="B2280" s="37">
        <v>43525</v>
      </c>
      <c r="C2280" s="36"/>
      <c r="D2280" s="36"/>
      <c r="E2280" s="36" t="s">
        <v>9</v>
      </c>
      <c r="F2280" s="38">
        <v>9450000</v>
      </c>
      <c r="G2280" s="36" t="s">
        <v>8</v>
      </c>
      <c r="H2280" s="36" t="s">
        <v>228</v>
      </c>
      <c r="I2280" s="36"/>
      <c r="J2280" s="36"/>
    </row>
    <row r="2281" spans="1:10" x14ac:dyDescent="0.25">
      <c r="A2281" s="36">
        <v>1890</v>
      </c>
      <c r="B2281" s="37">
        <v>43556</v>
      </c>
      <c r="C2281" s="36"/>
      <c r="D2281" s="36"/>
      <c r="E2281" s="36" t="s">
        <v>9</v>
      </c>
      <c r="F2281" s="38">
        <v>9450000</v>
      </c>
      <c r="G2281" s="36" t="s">
        <v>8</v>
      </c>
      <c r="H2281" s="36" t="s">
        <v>228</v>
      </c>
      <c r="I2281" s="36"/>
      <c r="J2281" s="36"/>
    </row>
    <row r="2282" spans="1:10" x14ac:dyDescent="0.25">
      <c r="A2282" s="36">
        <v>1890</v>
      </c>
      <c r="B2282" s="37">
        <v>43586</v>
      </c>
      <c r="C2282" s="36"/>
      <c r="D2282" s="36"/>
      <c r="E2282" s="36" t="s">
        <v>9</v>
      </c>
      <c r="F2282" s="38">
        <v>9450000</v>
      </c>
      <c r="G2282" s="36" t="s">
        <v>8</v>
      </c>
      <c r="H2282" s="36" t="s">
        <v>228</v>
      </c>
      <c r="I2282" s="36"/>
      <c r="J2282" s="36"/>
    </row>
    <row r="2283" spans="1:10" x14ac:dyDescent="0.25">
      <c r="A2283" s="36">
        <v>1890</v>
      </c>
      <c r="B2283" s="37">
        <v>43617</v>
      </c>
      <c r="C2283" s="36"/>
      <c r="D2283" s="36"/>
      <c r="E2283" s="36" t="s">
        <v>9</v>
      </c>
      <c r="F2283" s="38">
        <v>9450000</v>
      </c>
      <c r="G2283" s="36" t="s">
        <v>8</v>
      </c>
      <c r="H2283" s="36" t="s">
        <v>228</v>
      </c>
      <c r="I2283" s="36"/>
      <c r="J2283" s="36"/>
    </row>
    <row r="2284" spans="1:10" x14ac:dyDescent="0.25">
      <c r="A2284" s="36">
        <v>1890</v>
      </c>
      <c r="B2284" s="37">
        <v>43647</v>
      </c>
      <c r="C2284" s="36"/>
      <c r="D2284" s="36"/>
      <c r="E2284" s="36" t="s">
        <v>9</v>
      </c>
      <c r="F2284" s="38">
        <v>9450000</v>
      </c>
      <c r="G2284" s="36" t="s">
        <v>8</v>
      </c>
      <c r="H2284" s="36" t="s">
        <v>228</v>
      </c>
      <c r="I2284" s="36"/>
      <c r="J2284" s="36"/>
    </row>
    <row r="2285" spans="1:10" x14ac:dyDescent="0.25">
      <c r="A2285" s="36">
        <v>1890</v>
      </c>
      <c r="B2285" s="37">
        <v>43678</v>
      </c>
      <c r="C2285" s="36"/>
      <c r="D2285" s="36"/>
      <c r="E2285" s="36" t="s">
        <v>9</v>
      </c>
      <c r="F2285" s="38">
        <v>9450000</v>
      </c>
      <c r="G2285" s="36" t="s">
        <v>8</v>
      </c>
      <c r="H2285" s="36" t="s">
        <v>228</v>
      </c>
      <c r="I2285" s="36"/>
      <c r="J2285" s="36"/>
    </row>
    <row r="2286" spans="1:10" x14ac:dyDescent="0.25">
      <c r="A2286" s="36">
        <v>1890</v>
      </c>
      <c r="B2286" s="37">
        <v>43709</v>
      </c>
      <c r="C2286" s="36"/>
      <c r="D2286" s="36"/>
      <c r="E2286" s="36" t="s">
        <v>9</v>
      </c>
      <c r="F2286" s="38">
        <v>9450000</v>
      </c>
      <c r="G2286" s="36" t="s">
        <v>8</v>
      </c>
      <c r="H2286" s="36" t="s">
        <v>228</v>
      </c>
      <c r="I2286" s="36"/>
      <c r="J2286" s="36"/>
    </row>
    <row r="2287" spans="1:10" x14ac:dyDescent="0.25">
      <c r="A2287" s="36">
        <v>1890</v>
      </c>
      <c r="B2287" s="37">
        <v>43739</v>
      </c>
      <c r="C2287" s="36"/>
      <c r="D2287" s="36"/>
      <c r="E2287" s="36" t="s">
        <v>9</v>
      </c>
      <c r="F2287" s="38">
        <v>9450000</v>
      </c>
      <c r="G2287" s="36" t="s">
        <v>8</v>
      </c>
      <c r="H2287" s="36" t="s">
        <v>228</v>
      </c>
      <c r="I2287" s="36"/>
      <c r="J2287" s="36"/>
    </row>
    <row r="2288" spans="1:10" x14ac:dyDescent="0.25">
      <c r="A2288" s="36">
        <v>1890</v>
      </c>
      <c r="B2288" s="37">
        <v>43770</v>
      </c>
      <c r="C2288" s="36"/>
      <c r="D2288" s="36"/>
      <c r="E2288" s="36" t="s">
        <v>9</v>
      </c>
      <c r="F2288" s="38">
        <v>9450000</v>
      </c>
      <c r="G2288" s="36" t="s">
        <v>8</v>
      </c>
      <c r="H2288" s="36" t="s">
        <v>228</v>
      </c>
      <c r="I2288" s="36"/>
      <c r="J2288" s="36"/>
    </row>
    <row r="2289" spans="1:10" x14ac:dyDescent="0.25">
      <c r="A2289" s="36">
        <v>1890</v>
      </c>
      <c r="B2289" s="37">
        <v>43800</v>
      </c>
      <c r="C2289" s="36"/>
      <c r="D2289" s="36"/>
      <c r="E2289" s="36" t="s">
        <v>9</v>
      </c>
      <c r="F2289" s="38">
        <v>9450000</v>
      </c>
      <c r="G2289" s="36" t="s">
        <v>8</v>
      </c>
      <c r="H2289" s="36" t="s">
        <v>228</v>
      </c>
      <c r="I2289" s="36"/>
      <c r="J2289" s="36"/>
    </row>
    <row r="2290" spans="1:10" x14ac:dyDescent="0.25">
      <c r="A2290" s="36">
        <v>1890</v>
      </c>
      <c r="B2290" s="37">
        <v>43831</v>
      </c>
      <c r="C2290" s="36"/>
      <c r="D2290" s="36"/>
      <c r="E2290" s="36" t="s">
        <v>9</v>
      </c>
      <c r="F2290" s="38">
        <v>9450000</v>
      </c>
      <c r="G2290" s="36" t="s">
        <v>8</v>
      </c>
      <c r="H2290" s="36" t="s">
        <v>228</v>
      </c>
      <c r="I2290" s="36"/>
      <c r="J2290" s="36"/>
    </row>
    <row r="2291" spans="1:10" x14ac:dyDescent="0.25">
      <c r="A2291" s="36">
        <v>1890</v>
      </c>
      <c r="B2291" s="37">
        <v>43862</v>
      </c>
      <c r="C2291" s="36"/>
      <c r="D2291" s="36"/>
      <c r="E2291" s="36" t="s">
        <v>9</v>
      </c>
      <c r="F2291" s="38">
        <v>9450000</v>
      </c>
      <c r="G2291" s="36" t="s">
        <v>8</v>
      </c>
      <c r="H2291" s="36" t="s">
        <v>228</v>
      </c>
      <c r="I2291" s="36"/>
      <c r="J2291" s="36"/>
    </row>
    <row r="2292" spans="1:10" x14ac:dyDescent="0.25">
      <c r="A2292" s="36">
        <v>1890</v>
      </c>
      <c r="B2292" s="37">
        <v>43891</v>
      </c>
      <c r="C2292" s="36"/>
      <c r="D2292" s="36"/>
      <c r="E2292" s="36" t="s">
        <v>9</v>
      </c>
      <c r="F2292" s="38">
        <v>9450000</v>
      </c>
      <c r="G2292" s="36" t="s">
        <v>8</v>
      </c>
      <c r="H2292" s="36" t="s">
        <v>228</v>
      </c>
      <c r="I2292" s="36"/>
      <c r="J2292" s="36"/>
    </row>
    <row r="2293" spans="1:10" x14ac:dyDescent="0.25">
      <c r="A2293" s="36">
        <v>1890</v>
      </c>
      <c r="B2293" s="37">
        <v>43922</v>
      </c>
      <c r="C2293" s="36"/>
      <c r="D2293" s="36"/>
      <c r="E2293" s="36" t="s">
        <v>9</v>
      </c>
      <c r="F2293" s="38">
        <v>9450000</v>
      </c>
      <c r="G2293" s="36" t="s">
        <v>8</v>
      </c>
      <c r="H2293" s="36" t="s">
        <v>228</v>
      </c>
      <c r="I2293" s="36"/>
      <c r="J2293" s="36"/>
    </row>
    <row r="2294" spans="1:10" x14ac:dyDescent="0.25">
      <c r="A2294" s="36">
        <v>1890</v>
      </c>
      <c r="B2294" s="37">
        <v>43952</v>
      </c>
      <c r="C2294" s="36"/>
      <c r="D2294" s="36"/>
      <c r="E2294" s="36" t="s">
        <v>9</v>
      </c>
      <c r="F2294" s="38">
        <v>9450000</v>
      </c>
      <c r="G2294" s="36" t="s">
        <v>8</v>
      </c>
      <c r="H2294" s="36" t="s">
        <v>228</v>
      </c>
      <c r="I2294" s="36"/>
      <c r="J2294" s="36"/>
    </row>
    <row r="2295" spans="1:10" x14ac:dyDescent="0.25">
      <c r="A2295" s="36">
        <v>1890</v>
      </c>
      <c r="B2295" s="37">
        <v>43983</v>
      </c>
      <c r="C2295" s="36"/>
      <c r="D2295" s="36"/>
      <c r="E2295" s="36" t="s">
        <v>9</v>
      </c>
      <c r="F2295" s="38">
        <v>9450000</v>
      </c>
      <c r="G2295" s="36" t="s">
        <v>8</v>
      </c>
      <c r="H2295" s="36" t="s">
        <v>228</v>
      </c>
      <c r="I2295" s="36"/>
      <c r="J2295" s="36"/>
    </row>
    <row r="2296" spans="1:10" x14ac:dyDescent="0.25">
      <c r="A2296" s="36">
        <v>1890</v>
      </c>
      <c r="B2296" s="37">
        <v>44013</v>
      </c>
      <c r="C2296" s="36"/>
      <c r="D2296" s="36"/>
      <c r="E2296" s="36" t="s">
        <v>9</v>
      </c>
      <c r="F2296" s="38">
        <v>9450000</v>
      </c>
      <c r="G2296" s="36" t="s">
        <v>8</v>
      </c>
      <c r="H2296" s="36" t="s">
        <v>228</v>
      </c>
      <c r="I2296" s="36"/>
      <c r="J2296" s="36"/>
    </row>
    <row r="2297" spans="1:10" x14ac:dyDescent="0.25">
      <c r="A2297" s="36">
        <v>1890</v>
      </c>
      <c r="B2297" s="37">
        <v>44044</v>
      </c>
      <c r="C2297" s="36"/>
      <c r="D2297" s="36"/>
      <c r="E2297" s="36" t="s">
        <v>9</v>
      </c>
      <c r="F2297" s="38">
        <v>9450000</v>
      </c>
      <c r="G2297" s="36" t="s">
        <v>8</v>
      </c>
      <c r="H2297" s="36" t="s">
        <v>228</v>
      </c>
      <c r="I2297" s="36"/>
      <c r="J2297" s="36"/>
    </row>
    <row r="2298" spans="1:10" x14ac:dyDescent="0.25">
      <c r="A2298" s="36">
        <v>1890</v>
      </c>
      <c r="B2298" s="37">
        <v>44075</v>
      </c>
      <c r="C2298" s="36"/>
      <c r="D2298" s="36"/>
      <c r="E2298" s="36" t="s">
        <v>9</v>
      </c>
      <c r="F2298" s="38">
        <v>9450000</v>
      </c>
      <c r="G2298" s="36" t="s">
        <v>8</v>
      </c>
      <c r="H2298" s="36" t="s">
        <v>228</v>
      </c>
      <c r="I2298" s="36"/>
      <c r="J2298" s="36"/>
    </row>
    <row r="2299" spans="1:10" x14ac:dyDescent="0.25">
      <c r="A2299" s="36">
        <v>1890</v>
      </c>
      <c r="B2299" s="37">
        <v>44105</v>
      </c>
      <c r="C2299" s="36"/>
      <c r="D2299" s="36"/>
      <c r="E2299" s="36" t="s">
        <v>9</v>
      </c>
      <c r="F2299" s="38">
        <v>9450000</v>
      </c>
      <c r="G2299" s="36" t="s">
        <v>8</v>
      </c>
      <c r="H2299" s="36" t="s">
        <v>228</v>
      </c>
      <c r="I2299" s="36"/>
      <c r="J2299" s="36"/>
    </row>
    <row r="2300" spans="1:10" x14ac:dyDescent="0.25">
      <c r="A2300" s="36">
        <v>1890</v>
      </c>
      <c r="B2300" s="37">
        <v>44136</v>
      </c>
      <c r="C2300" s="36"/>
      <c r="D2300" s="36"/>
      <c r="E2300" s="36" t="s">
        <v>9</v>
      </c>
      <c r="F2300" s="38">
        <v>9450000</v>
      </c>
      <c r="G2300" s="36" t="s">
        <v>8</v>
      </c>
      <c r="H2300" s="36" t="s">
        <v>228</v>
      </c>
      <c r="I2300" s="36"/>
      <c r="J2300" s="36"/>
    </row>
    <row r="2301" spans="1:10" x14ac:dyDescent="0.25">
      <c r="A2301" s="36">
        <v>1890</v>
      </c>
      <c r="B2301" s="37">
        <v>44166</v>
      </c>
      <c r="C2301" s="36"/>
      <c r="D2301" s="36"/>
      <c r="E2301" s="36" t="s">
        <v>9</v>
      </c>
      <c r="F2301" s="38">
        <v>9450000</v>
      </c>
      <c r="G2301" s="36" t="s">
        <v>8</v>
      </c>
      <c r="H2301" s="36" t="s">
        <v>228</v>
      </c>
      <c r="I2301" s="36"/>
      <c r="J2301" s="36"/>
    </row>
    <row r="2302" spans="1:10" x14ac:dyDescent="0.25">
      <c r="A2302" s="36">
        <v>1890</v>
      </c>
      <c r="B2302" s="37">
        <v>43831</v>
      </c>
      <c r="C2302" s="36"/>
      <c r="D2302" s="36"/>
      <c r="E2302" s="36" t="s">
        <v>21</v>
      </c>
      <c r="F2302" s="38">
        <v>6221250</v>
      </c>
      <c r="G2302" s="36" t="s">
        <v>8</v>
      </c>
      <c r="H2302" s="36" t="s">
        <v>228</v>
      </c>
      <c r="I2302" s="36"/>
      <c r="J2302" s="36"/>
    </row>
    <row r="2303" spans="1:10" x14ac:dyDescent="0.25">
      <c r="A2303" s="36">
        <v>1890</v>
      </c>
      <c r="B2303" s="37">
        <v>43862</v>
      </c>
      <c r="C2303" s="36"/>
      <c r="D2303" s="36"/>
      <c r="E2303" s="36" t="s">
        <v>21</v>
      </c>
      <c r="F2303" s="38">
        <v>6221250</v>
      </c>
      <c r="G2303" s="36" t="s">
        <v>8</v>
      </c>
      <c r="H2303" s="36" t="s">
        <v>228</v>
      </c>
      <c r="I2303" s="36"/>
      <c r="J2303" s="36"/>
    </row>
    <row r="2304" spans="1:10" x14ac:dyDescent="0.25">
      <c r="A2304" s="36">
        <v>1890</v>
      </c>
      <c r="B2304" s="37">
        <v>43891</v>
      </c>
      <c r="C2304" s="36"/>
      <c r="D2304" s="36"/>
      <c r="E2304" s="36" t="s">
        <v>21</v>
      </c>
      <c r="F2304" s="38">
        <v>6221250</v>
      </c>
      <c r="G2304" s="36" t="s">
        <v>8</v>
      </c>
      <c r="H2304" s="36" t="s">
        <v>228</v>
      </c>
      <c r="I2304" s="36"/>
      <c r="J2304" s="36"/>
    </row>
    <row r="2305" spans="1:10" x14ac:dyDescent="0.25">
      <c r="A2305" s="36">
        <v>1890</v>
      </c>
      <c r="B2305" s="37">
        <v>43922</v>
      </c>
      <c r="C2305" s="36"/>
      <c r="D2305" s="36"/>
      <c r="E2305" s="36" t="s">
        <v>21</v>
      </c>
      <c r="F2305" s="38">
        <v>6221250</v>
      </c>
      <c r="G2305" s="36" t="s">
        <v>8</v>
      </c>
      <c r="H2305" s="36" t="s">
        <v>228</v>
      </c>
      <c r="I2305" s="36"/>
      <c r="J2305" s="36"/>
    </row>
    <row r="2306" spans="1:10" x14ac:dyDescent="0.25">
      <c r="A2306" s="36">
        <v>1890</v>
      </c>
      <c r="B2306" s="37">
        <v>43952</v>
      </c>
      <c r="C2306" s="36"/>
      <c r="D2306" s="36"/>
      <c r="E2306" s="36" t="s">
        <v>21</v>
      </c>
      <c r="F2306" s="38">
        <v>6221250</v>
      </c>
      <c r="G2306" s="36" t="s">
        <v>8</v>
      </c>
      <c r="H2306" s="36" t="s">
        <v>228</v>
      </c>
      <c r="I2306" s="36"/>
      <c r="J2306" s="36"/>
    </row>
    <row r="2307" spans="1:10" x14ac:dyDescent="0.25">
      <c r="A2307" s="36">
        <v>1890</v>
      </c>
      <c r="B2307" s="37">
        <v>43983</v>
      </c>
      <c r="C2307" s="36"/>
      <c r="D2307" s="36"/>
      <c r="E2307" s="36" t="s">
        <v>21</v>
      </c>
      <c r="F2307" s="38">
        <v>6221250</v>
      </c>
      <c r="G2307" s="36" t="s">
        <v>8</v>
      </c>
      <c r="H2307" s="36" t="s">
        <v>228</v>
      </c>
      <c r="I2307" s="36"/>
      <c r="J2307" s="36"/>
    </row>
    <row r="2308" spans="1:10" x14ac:dyDescent="0.25">
      <c r="A2308" s="36">
        <v>1890</v>
      </c>
      <c r="B2308" s="37">
        <v>44013</v>
      </c>
      <c r="C2308" s="36"/>
      <c r="D2308" s="36"/>
      <c r="E2308" s="36" t="s">
        <v>21</v>
      </c>
      <c r="F2308" s="38">
        <v>6221250</v>
      </c>
      <c r="G2308" s="36" t="s">
        <v>8</v>
      </c>
      <c r="H2308" s="36" t="s">
        <v>228</v>
      </c>
      <c r="I2308" s="36"/>
      <c r="J2308" s="36"/>
    </row>
    <row r="2309" spans="1:10" x14ac:dyDescent="0.25">
      <c r="A2309" s="36">
        <v>1890</v>
      </c>
      <c r="B2309" s="37">
        <v>44044</v>
      </c>
      <c r="C2309" s="36"/>
      <c r="D2309" s="36"/>
      <c r="E2309" s="36" t="s">
        <v>21</v>
      </c>
      <c r="F2309" s="38">
        <v>6221250</v>
      </c>
      <c r="G2309" s="36" t="s">
        <v>8</v>
      </c>
      <c r="H2309" s="36" t="s">
        <v>228</v>
      </c>
      <c r="I2309" s="36"/>
      <c r="J2309" s="36"/>
    </row>
    <row r="2310" spans="1:10" x14ac:dyDescent="0.25">
      <c r="A2310" s="36">
        <v>1890</v>
      </c>
      <c r="B2310" s="37">
        <v>44075</v>
      </c>
      <c r="C2310" s="36"/>
      <c r="D2310" s="36"/>
      <c r="E2310" s="36" t="s">
        <v>21</v>
      </c>
      <c r="F2310" s="38">
        <v>6221250</v>
      </c>
      <c r="G2310" s="36" t="s">
        <v>8</v>
      </c>
      <c r="H2310" s="36" t="s">
        <v>228</v>
      </c>
      <c r="I2310" s="36"/>
      <c r="J2310" s="36"/>
    </row>
    <row r="2311" spans="1:10" x14ac:dyDescent="0.25">
      <c r="A2311" s="36">
        <v>1890</v>
      </c>
      <c r="B2311" s="37">
        <v>44105</v>
      </c>
      <c r="C2311" s="36"/>
      <c r="D2311" s="36"/>
      <c r="E2311" s="36" t="s">
        <v>21</v>
      </c>
      <c r="F2311" s="38">
        <v>6221250</v>
      </c>
      <c r="G2311" s="36" t="s">
        <v>8</v>
      </c>
      <c r="H2311" s="36" t="s">
        <v>228</v>
      </c>
      <c r="I2311" s="36"/>
      <c r="J2311" s="36"/>
    </row>
    <row r="2312" spans="1:10" x14ac:dyDescent="0.25">
      <c r="A2312" s="36">
        <v>1890</v>
      </c>
      <c r="B2312" s="37">
        <v>43831</v>
      </c>
      <c r="C2312" s="36"/>
      <c r="D2312" s="36"/>
      <c r="E2312" s="36" t="s">
        <v>23</v>
      </c>
      <c r="F2312" s="38">
        <v>4095000</v>
      </c>
      <c r="G2312" s="36" t="s">
        <v>8</v>
      </c>
      <c r="H2312" s="36" t="s">
        <v>228</v>
      </c>
      <c r="I2312" s="36"/>
      <c r="J2312" s="36"/>
    </row>
    <row r="2313" spans="1:10" x14ac:dyDescent="0.25">
      <c r="A2313" s="36">
        <v>1890</v>
      </c>
      <c r="B2313" s="37">
        <v>43862</v>
      </c>
      <c r="C2313" s="36"/>
      <c r="D2313" s="36"/>
      <c r="E2313" s="36" t="s">
        <v>23</v>
      </c>
      <c r="F2313" s="38">
        <v>4095000</v>
      </c>
      <c r="G2313" s="36" t="s">
        <v>8</v>
      </c>
      <c r="H2313" s="36" t="s">
        <v>228</v>
      </c>
      <c r="I2313" s="36"/>
      <c r="J2313" s="36"/>
    </row>
    <row r="2314" spans="1:10" x14ac:dyDescent="0.25">
      <c r="A2314" s="36">
        <v>1890</v>
      </c>
      <c r="B2314" s="37">
        <v>43891</v>
      </c>
      <c r="C2314" s="36"/>
      <c r="D2314" s="36"/>
      <c r="E2314" s="36" t="s">
        <v>23</v>
      </c>
      <c r="F2314" s="38">
        <v>4095000</v>
      </c>
      <c r="G2314" s="36" t="s">
        <v>8</v>
      </c>
      <c r="H2314" s="36" t="s">
        <v>228</v>
      </c>
      <c r="I2314" s="36"/>
      <c r="J2314" s="36"/>
    </row>
    <row r="2315" spans="1:10" x14ac:dyDescent="0.25">
      <c r="A2315" s="36">
        <v>1890</v>
      </c>
      <c r="B2315" s="37">
        <v>43922</v>
      </c>
      <c r="C2315" s="36"/>
      <c r="D2315" s="36"/>
      <c r="E2315" s="36" t="s">
        <v>23</v>
      </c>
      <c r="F2315" s="38">
        <v>4095000</v>
      </c>
      <c r="G2315" s="36" t="s">
        <v>8</v>
      </c>
      <c r="H2315" s="36" t="s">
        <v>228</v>
      </c>
      <c r="I2315" s="36"/>
      <c r="J2315" s="36"/>
    </row>
    <row r="2316" spans="1:10" x14ac:dyDescent="0.25">
      <c r="A2316" s="36">
        <v>1890</v>
      </c>
      <c r="B2316" s="37">
        <v>43952</v>
      </c>
      <c r="C2316" s="36"/>
      <c r="D2316" s="36"/>
      <c r="E2316" s="36" t="s">
        <v>23</v>
      </c>
      <c r="F2316" s="38">
        <v>4095000</v>
      </c>
      <c r="G2316" s="36" t="s">
        <v>8</v>
      </c>
      <c r="H2316" s="36" t="s">
        <v>228</v>
      </c>
      <c r="I2316" s="36"/>
      <c r="J2316" s="36"/>
    </row>
    <row r="2317" spans="1:10" x14ac:dyDescent="0.25">
      <c r="A2317" s="36">
        <v>1890</v>
      </c>
      <c r="B2317" s="37">
        <v>43983</v>
      </c>
      <c r="C2317" s="36"/>
      <c r="D2317" s="36"/>
      <c r="E2317" s="36" t="s">
        <v>23</v>
      </c>
      <c r="F2317" s="38">
        <v>4095000</v>
      </c>
      <c r="G2317" s="36" t="s">
        <v>8</v>
      </c>
      <c r="H2317" s="36" t="s">
        <v>228</v>
      </c>
      <c r="I2317" s="36"/>
      <c r="J2317" s="36"/>
    </row>
    <row r="2318" spans="1:10" x14ac:dyDescent="0.25">
      <c r="A2318" s="36">
        <v>1890</v>
      </c>
      <c r="B2318" s="37">
        <v>44013</v>
      </c>
      <c r="C2318" s="36"/>
      <c r="D2318" s="36"/>
      <c r="E2318" s="36" t="s">
        <v>23</v>
      </c>
      <c r="F2318" s="38">
        <v>4095000</v>
      </c>
      <c r="G2318" s="36" t="s">
        <v>8</v>
      </c>
      <c r="H2318" s="36" t="s">
        <v>228</v>
      </c>
      <c r="I2318" s="36"/>
      <c r="J2318" s="36"/>
    </row>
    <row r="2319" spans="1:10" x14ac:dyDescent="0.25">
      <c r="A2319" s="36">
        <v>1890</v>
      </c>
      <c r="B2319" s="37">
        <v>44044</v>
      </c>
      <c r="C2319" s="36"/>
      <c r="D2319" s="36"/>
      <c r="E2319" s="36" t="s">
        <v>23</v>
      </c>
      <c r="F2319" s="38">
        <v>4095000</v>
      </c>
      <c r="G2319" s="36" t="s">
        <v>8</v>
      </c>
      <c r="H2319" s="36" t="s">
        <v>228</v>
      </c>
      <c r="I2319" s="36"/>
      <c r="J2319" s="36"/>
    </row>
    <row r="2320" spans="1:10" x14ac:dyDescent="0.25">
      <c r="A2320" s="36">
        <v>1890</v>
      </c>
      <c r="B2320" s="37">
        <v>44075</v>
      </c>
      <c r="C2320" s="36"/>
      <c r="D2320" s="36"/>
      <c r="E2320" s="36" t="s">
        <v>23</v>
      </c>
      <c r="F2320" s="38">
        <v>4095000</v>
      </c>
      <c r="G2320" s="36" t="s">
        <v>8</v>
      </c>
      <c r="H2320" s="36" t="s">
        <v>228</v>
      </c>
      <c r="I2320" s="36"/>
      <c r="J2320" s="36"/>
    </row>
    <row r="2321" spans="1:10" x14ac:dyDescent="0.25">
      <c r="A2321" s="36">
        <v>1890</v>
      </c>
      <c r="B2321" s="37">
        <v>44105</v>
      </c>
      <c r="C2321" s="36"/>
      <c r="D2321" s="36"/>
      <c r="E2321" s="36" t="s">
        <v>23</v>
      </c>
      <c r="F2321" s="38">
        <v>4095000</v>
      </c>
      <c r="G2321" s="36" t="s">
        <v>8</v>
      </c>
      <c r="H2321" s="36" t="s">
        <v>228</v>
      </c>
      <c r="I2321" s="36"/>
      <c r="J2321" s="36"/>
    </row>
    <row r="2322" spans="1:10" x14ac:dyDescent="0.25">
      <c r="A2322" s="36">
        <v>1890</v>
      </c>
      <c r="B2322" s="37">
        <v>44136</v>
      </c>
      <c r="C2322" s="36"/>
      <c r="D2322" s="36"/>
      <c r="E2322" s="36" t="s">
        <v>23</v>
      </c>
      <c r="F2322" s="38">
        <v>4095000</v>
      </c>
      <c r="G2322" s="36" t="s">
        <v>8</v>
      </c>
      <c r="H2322" s="36" t="s">
        <v>228</v>
      </c>
      <c r="I2322" s="36"/>
      <c r="J2322" s="36"/>
    </row>
    <row r="2323" spans="1:10" x14ac:dyDescent="0.25">
      <c r="A2323" s="36">
        <v>1890</v>
      </c>
      <c r="B2323" s="37">
        <v>44166</v>
      </c>
      <c r="C2323" s="36"/>
      <c r="D2323" s="36"/>
      <c r="E2323" s="36" t="s">
        <v>23</v>
      </c>
      <c r="F2323" s="38">
        <v>4095000</v>
      </c>
      <c r="G2323" s="36" t="s">
        <v>8</v>
      </c>
      <c r="H2323" s="36" t="s">
        <v>228</v>
      </c>
      <c r="I2323" s="36"/>
      <c r="J2323" s="36"/>
    </row>
    <row r="2324" spans="1:10" x14ac:dyDescent="0.25">
      <c r="A2324" s="36">
        <v>1890</v>
      </c>
      <c r="B2324" s="37">
        <v>43497</v>
      </c>
      <c r="C2324" s="36"/>
      <c r="D2324" s="36"/>
      <c r="E2324" s="36" t="s">
        <v>116</v>
      </c>
      <c r="F2324" s="38">
        <v>4006799.9999999995</v>
      </c>
      <c r="G2324" s="36" t="s">
        <v>8</v>
      </c>
      <c r="H2324" s="36" t="s">
        <v>228</v>
      </c>
      <c r="I2324" s="36"/>
      <c r="J2324" s="36"/>
    </row>
    <row r="2325" spans="1:10" x14ac:dyDescent="0.25">
      <c r="A2325" s="36">
        <v>1890</v>
      </c>
      <c r="B2325" s="37">
        <v>43525</v>
      </c>
      <c r="C2325" s="36"/>
      <c r="D2325" s="36"/>
      <c r="E2325" s="36" t="s">
        <v>116</v>
      </c>
      <c r="F2325" s="38">
        <v>4006799.9999999995</v>
      </c>
      <c r="G2325" s="36" t="s">
        <v>8</v>
      </c>
      <c r="H2325" s="36" t="s">
        <v>228</v>
      </c>
      <c r="I2325" s="36"/>
      <c r="J2325" s="36"/>
    </row>
    <row r="2326" spans="1:10" x14ac:dyDescent="0.25">
      <c r="A2326" s="36">
        <v>1890</v>
      </c>
      <c r="B2326" s="37">
        <v>43556</v>
      </c>
      <c r="C2326" s="36"/>
      <c r="D2326" s="36"/>
      <c r="E2326" s="36" t="s">
        <v>116</v>
      </c>
      <c r="F2326" s="38">
        <v>4006799.9999999995</v>
      </c>
      <c r="G2326" s="36" t="s">
        <v>8</v>
      </c>
      <c r="H2326" s="36" t="s">
        <v>228</v>
      </c>
      <c r="I2326" s="36"/>
      <c r="J2326" s="36"/>
    </row>
    <row r="2327" spans="1:10" x14ac:dyDescent="0.25">
      <c r="A2327" s="36">
        <v>1890</v>
      </c>
      <c r="B2327" s="37">
        <v>43586</v>
      </c>
      <c r="C2327" s="36"/>
      <c r="D2327" s="36"/>
      <c r="E2327" s="36" t="s">
        <v>116</v>
      </c>
      <c r="F2327" s="38">
        <v>4006799.9999999995</v>
      </c>
      <c r="G2327" s="36" t="s">
        <v>8</v>
      </c>
      <c r="H2327" s="36" t="s">
        <v>228</v>
      </c>
      <c r="I2327" s="36"/>
      <c r="J2327" s="36"/>
    </row>
    <row r="2328" spans="1:10" x14ac:dyDescent="0.25">
      <c r="A2328" s="36">
        <v>1890</v>
      </c>
      <c r="B2328" s="37">
        <v>43617</v>
      </c>
      <c r="C2328" s="36"/>
      <c r="D2328" s="36"/>
      <c r="E2328" s="36" t="s">
        <v>116</v>
      </c>
      <c r="F2328" s="38">
        <v>4006799.9999999995</v>
      </c>
      <c r="G2328" s="36" t="s">
        <v>8</v>
      </c>
      <c r="H2328" s="36" t="s">
        <v>228</v>
      </c>
      <c r="I2328" s="36"/>
      <c r="J2328" s="36"/>
    </row>
    <row r="2329" spans="1:10" x14ac:dyDescent="0.25">
      <c r="A2329" s="36">
        <v>1890</v>
      </c>
      <c r="B2329" s="37">
        <v>43647</v>
      </c>
      <c r="C2329" s="36"/>
      <c r="D2329" s="36"/>
      <c r="E2329" s="36" t="s">
        <v>116</v>
      </c>
      <c r="F2329" s="38">
        <v>4006799.9999999995</v>
      </c>
      <c r="G2329" s="36" t="s">
        <v>8</v>
      </c>
      <c r="H2329" s="36" t="s">
        <v>228</v>
      </c>
      <c r="I2329" s="36"/>
      <c r="J2329" s="36"/>
    </row>
    <row r="2330" spans="1:10" x14ac:dyDescent="0.25">
      <c r="A2330" s="36">
        <v>1890</v>
      </c>
      <c r="B2330" s="37">
        <v>43678</v>
      </c>
      <c r="C2330" s="36"/>
      <c r="D2330" s="36"/>
      <c r="E2330" s="36" t="s">
        <v>116</v>
      </c>
      <c r="F2330" s="38">
        <v>4006799.9999999995</v>
      </c>
      <c r="G2330" s="36" t="s">
        <v>8</v>
      </c>
      <c r="H2330" s="36" t="s">
        <v>228</v>
      </c>
      <c r="I2330" s="36"/>
      <c r="J2330" s="36"/>
    </row>
    <row r="2331" spans="1:10" x14ac:dyDescent="0.25">
      <c r="A2331" s="36">
        <v>1890</v>
      </c>
      <c r="B2331" s="37">
        <v>43709</v>
      </c>
      <c r="C2331" s="36"/>
      <c r="D2331" s="36"/>
      <c r="E2331" s="36" t="s">
        <v>116</v>
      </c>
      <c r="F2331" s="38">
        <v>4006799.9999999995</v>
      </c>
      <c r="G2331" s="36" t="s">
        <v>8</v>
      </c>
      <c r="H2331" s="36" t="s">
        <v>228</v>
      </c>
      <c r="I2331" s="36"/>
      <c r="J2331" s="36"/>
    </row>
    <row r="2332" spans="1:10" x14ac:dyDescent="0.25">
      <c r="A2332" s="36">
        <v>1890</v>
      </c>
      <c r="B2332" s="37">
        <v>43739</v>
      </c>
      <c r="C2332" s="36"/>
      <c r="D2332" s="36"/>
      <c r="E2332" s="36" t="s">
        <v>116</v>
      </c>
      <c r="F2332" s="38">
        <v>4006799.9999999995</v>
      </c>
      <c r="G2332" s="36" t="s">
        <v>8</v>
      </c>
      <c r="H2332" s="36" t="s">
        <v>228</v>
      </c>
      <c r="I2332" s="36"/>
      <c r="J2332" s="36"/>
    </row>
    <row r="2333" spans="1:10" x14ac:dyDescent="0.25">
      <c r="A2333" s="36">
        <v>1890</v>
      </c>
      <c r="B2333" s="37">
        <v>43770</v>
      </c>
      <c r="C2333" s="36"/>
      <c r="D2333" s="36"/>
      <c r="E2333" s="36" t="s">
        <v>116</v>
      </c>
      <c r="F2333" s="38">
        <v>4006799.9999999995</v>
      </c>
      <c r="G2333" s="36" t="s">
        <v>8</v>
      </c>
      <c r="H2333" s="36" t="s">
        <v>228</v>
      </c>
      <c r="I2333" s="36"/>
      <c r="J2333" s="36"/>
    </row>
    <row r="2334" spans="1:10" x14ac:dyDescent="0.25">
      <c r="A2334" s="36">
        <v>1890</v>
      </c>
      <c r="B2334" s="37">
        <v>43800</v>
      </c>
      <c r="C2334" s="36"/>
      <c r="D2334" s="36"/>
      <c r="E2334" s="36" t="s">
        <v>116</v>
      </c>
      <c r="F2334" s="38">
        <v>4006799.9999999995</v>
      </c>
      <c r="G2334" s="36" t="s">
        <v>8</v>
      </c>
      <c r="H2334" s="36" t="s">
        <v>228</v>
      </c>
      <c r="I2334" s="36"/>
      <c r="J2334" s="36"/>
    </row>
    <row r="2335" spans="1:10" x14ac:dyDescent="0.25">
      <c r="A2335" s="36">
        <v>1890</v>
      </c>
      <c r="B2335" s="37">
        <v>43831</v>
      </c>
      <c r="C2335" s="36"/>
      <c r="D2335" s="36"/>
      <c r="E2335" s="36" t="s">
        <v>116</v>
      </c>
      <c r="F2335" s="38">
        <v>4006799.9999999995</v>
      </c>
      <c r="G2335" s="36" t="s">
        <v>8</v>
      </c>
      <c r="H2335" s="36" t="s">
        <v>228</v>
      </c>
      <c r="I2335" s="36"/>
      <c r="J2335" s="36"/>
    </row>
    <row r="2336" spans="1:10" x14ac:dyDescent="0.25">
      <c r="A2336" s="36">
        <v>1890</v>
      </c>
      <c r="B2336" s="37">
        <v>43862</v>
      </c>
      <c r="C2336" s="36"/>
      <c r="D2336" s="36"/>
      <c r="E2336" s="36" t="s">
        <v>116</v>
      </c>
      <c r="F2336" s="38">
        <v>4006799.9999999995</v>
      </c>
      <c r="G2336" s="36" t="s">
        <v>8</v>
      </c>
      <c r="H2336" s="36" t="s">
        <v>228</v>
      </c>
      <c r="I2336" s="36"/>
      <c r="J2336" s="36"/>
    </row>
    <row r="2337" spans="1:10" x14ac:dyDescent="0.25">
      <c r="A2337" s="36">
        <v>1890</v>
      </c>
      <c r="B2337" s="37">
        <v>43891</v>
      </c>
      <c r="C2337" s="36"/>
      <c r="D2337" s="36"/>
      <c r="E2337" s="36" t="s">
        <v>116</v>
      </c>
      <c r="F2337" s="38">
        <v>4006799.9999999995</v>
      </c>
      <c r="G2337" s="36" t="s">
        <v>8</v>
      </c>
      <c r="H2337" s="36" t="s">
        <v>228</v>
      </c>
      <c r="I2337" s="36"/>
      <c r="J2337" s="36"/>
    </row>
    <row r="2338" spans="1:10" x14ac:dyDescent="0.25">
      <c r="A2338" s="36">
        <v>1890</v>
      </c>
      <c r="B2338" s="37">
        <v>43922</v>
      </c>
      <c r="C2338" s="36"/>
      <c r="D2338" s="36"/>
      <c r="E2338" s="36" t="s">
        <v>116</v>
      </c>
      <c r="F2338" s="38">
        <v>4006799.9999999995</v>
      </c>
      <c r="G2338" s="36" t="s">
        <v>8</v>
      </c>
      <c r="H2338" s="36" t="s">
        <v>228</v>
      </c>
      <c r="I2338" s="36"/>
      <c r="J2338" s="36"/>
    </row>
    <row r="2339" spans="1:10" x14ac:dyDescent="0.25">
      <c r="A2339" s="36">
        <v>1890</v>
      </c>
      <c r="B2339" s="37">
        <v>43952</v>
      </c>
      <c r="C2339" s="36"/>
      <c r="D2339" s="36"/>
      <c r="E2339" s="36" t="s">
        <v>116</v>
      </c>
      <c r="F2339" s="38">
        <v>4006799.9999999995</v>
      </c>
      <c r="G2339" s="36" t="s">
        <v>8</v>
      </c>
      <c r="H2339" s="36" t="s">
        <v>228</v>
      </c>
      <c r="I2339" s="36"/>
      <c r="J2339" s="36"/>
    </row>
    <row r="2340" spans="1:10" x14ac:dyDescent="0.25">
      <c r="A2340" s="36">
        <v>1890</v>
      </c>
      <c r="B2340" s="37">
        <v>43983</v>
      </c>
      <c r="C2340" s="36"/>
      <c r="D2340" s="36"/>
      <c r="E2340" s="36" t="s">
        <v>116</v>
      </c>
      <c r="F2340" s="38">
        <v>4006799.9999999995</v>
      </c>
      <c r="G2340" s="36" t="s">
        <v>8</v>
      </c>
      <c r="H2340" s="36" t="s">
        <v>228</v>
      </c>
      <c r="I2340" s="36"/>
      <c r="J2340" s="36"/>
    </row>
    <row r="2341" spans="1:10" x14ac:dyDescent="0.25">
      <c r="A2341" s="36">
        <v>1890</v>
      </c>
      <c r="B2341" s="37">
        <v>44013</v>
      </c>
      <c r="C2341" s="36"/>
      <c r="D2341" s="36"/>
      <c r="E2341" s="36" t="s">
        <v>116</v>
      </c>
      <c r="F2341" s="38">
        <v>4006799.9999999995</v>
      </c>
      <c r="G2341" s="36" t="s">
        <v>8</v>
      </c>
      <c r="H2341" s="36" t="s">
        <v>228</v>
      </c>
      <c r="I2341" s="36"/>
      <c r="J2341" s="36"/>
    </row>
    <row r="2342" spans="1:10" x14ac:dyDescent="0.25">
      <c r="A2342" s="36">
        <v>1890</v>
      </c>
      <c r="B2342" s="37">
        <v>44044</v>
      </c>
      <c r="C2342" s="36"/>
      <c r="D2342" s="36"/>
      <c r="E2342" s="36" t="s">
        <v>116</v>
      </c>
      <c r="F2342" s="38">
        <v>4006799.9999999995</v>
      </c>
      <c r="G2342" s="36" t="s">
        <v>8</v>
      </c>
      <c r="H2342" s="36" t="s">
        <v>228</v>
      </c>
      <c r="I2342" s="36"/>
      <c r="J2342" s="36"/>
    </row>
    <row r="2343" spans="1:10" x14ac:dyDescent="0.25">
      <c r="A2343" s="36">
        <v>1890</v>
      </c>
      <c r="B2343" s="37">
        <v>44075</v>
      </c>
      <c r="C2343" s="36"/>
      <c r="D2343" s="36"/>
      <c r="E2343" s="36" t="s">
        <v>116</v>
      </c>
      <c r="F2343" s="38">
        <v>4006799.9999999995</v>
      </c>
      <c r="G2343" s="36" t="s">
        <v>8</v>
      </c>
      <c r="H2343" s="36" t="s">
        <v>228</v>
      </c>
      <c r="I2343" s="36"/>
      <c r="J2343" s="36"/>
    </row>
    <row r="2344" spans="1:10" x14ac:dyDescent="0.25">
      <c r="A2344" s="36">
        <v>1890</v>
      </c>
      <c r="B2344" s="37">
        <v>44105</v>
      </c>
      <c r="C2344" s="36"/>
      <c r="D2344" s="36"/>
      <c r="E2344" s="36" t="s">
        <v>116</v>
      </c>
      <c r="F2344" s="38">
        <v>4006799.9999999995</v>
      </c>
      <c r="G2344" s="36" t="s">
        <v>8</v>
      </c>
      <c r="H2344" s="36" t="s">
        <v>228</v>
      </c>
      <c r="I2344" s="36"/>
      <c r="J2344" s="36"/>
    </row>
    <row r="2345" spans="1:10" x14ac:dyDescent="0.25">
      <c r="A2345" s="36">
        <v>1890</v>
      </c>
      <c r="B2345" s="37">
        <v>43831</v>
      </c>
      <c r="C2345" s="36"/>
      <c r="D2345" s="36"/>
      <c r="E2345" s="36" t="s">
        <v>18</v>
      </c>
      <c r="F2345" s="38">
        <v>4006799.9999999995</v>
      </c>
      <c r="G2345" s="36" t="s">
        <v>8</v>
      </c>
      <c r="H2345" s="36" t="s">
        <v>228</v>
      </c>
      <c r="I2345" s="36"/>
      <c r="J2345" s="36"/>
    </row>
    <row r="2346" spans="1:10" x14ac:dyDescent="0.25">
      <c r="A2346" s="36">
        <v>1890</v>
      </c>
      <c r="B2346" s="37">
        <v>43862</v>
      </c>
      <c r="C2346" s="36"/>
      <c r="D2346" s="36"/>
      <c r="E2346" s="36" t="s">
        <v>18</v>
      </c>
      <c r="F2346" s="38">
        <v>4006799.9999999995</v>
      </c>
      <c r="G2346" s="36" t="s">
        <v>8</v>
      </c>
      <c r="H2346" s="36" t="s">
        <v>228</v>
      </c>
      <c r="I2346" s="36"/>
      <c r="J2346" s="36"/>
    </row>
    <row r="2347" spans="1:10" x14ac:dyDescent="0.25">
      <c r="A2347" s="36">
        <v>1890</v>
      </c>
      <c r="B2347" s="37">
        <v>43891</v>
      </c>
      <c r="C2347" s="36"/>
      <c r="D2347" s="36"/>
      <c r="E2347" s="36" t="s">
        <v>18</v>
      </c>
      <c r="F2347" s="38">
        <v>4006799.9999999995</v>
      </c>
      <c r="G2347" s="36" t="s">
        <v>8</v>
      </c>
      <c r="H2347" s="36" t="s">
        <v>228</v>
      </c>
      <c r="I2347" s="36"/>
      <c r="J2347" s="36"/>
    </row>
    <row r="2348" spans="1:10" x14ac:dyDescent="0.25">
      <c r="A2348" s="36">
        <v>1890</v>
      </c>
      <c r="B2348" s="37">
        <v>43922</v>
      </c>
      <c r="C2348" s="36"/>
      <c r="D2348" s="36"/>
      <c r="E2348" s="36" t="s">
        <v>18</v>
      </c>
      <c r="F2348" s="38">
        <v>4006799.9999999995</v>
      </c>
      <c r="G2348" s="36" t="s">
        <v>8</v>
      </c>
      <c r="H2348" s="36" t="s">
        <v>228</v>
      </c>
      <c r="I2348" s="36"/>
      <c r="J2348" s="36"/>
    </row>
    <row r="2349" spans="1:10" x14ac:dyDescent="0.25">
      <c r="A2349" s="36">
        <v>1890</v>
      </c>
      <c r="B2349" s="37">
        <v>43952</v>
      </c>
      <c r="C2349" s="36"/>
      <c r="D2349" s="36"/>
      <c r="E2349" s="36" t="s">
        <v>18</v>
      </c>
      <c r="F2349" s="38">
        <v>4006799.9999999995</v>
      </c>
      <c r="G2349" s="36" t="s">
        <v>8</v>
      </c>
      <c r="H2349" s="36" t="s">
        <v>228</v>
      </c>
      <c r="I2349" s="36"/>
      <c r="J2349" s="36"/>
    </row>
    <row r="2350" spans="1:10" x14ac:dyDescent="0.25">
      <c r="A2350" s="36">
        <v>1890</v>
      </c>
      <c r="B2350" s="37">
        <v>43983</v>
      </c>
      <c r="C2350" s="36"/>
      <c r="D2350" s="36"/>
      <c r="E2350" s="36" t="s">
        <v>18</v>
      </c>
      <c r="F2350" s="38">
        <v>4006799.9999999995</v>
      </c>
      <c r="G2350" s="36" t="s">
        <v>8</v>
      </c>
      <c r="H2350" s="36" t="s">
        <v>228</v>
      </c>
      <c r="I2350" s="36"/>
      <c r="J2350" s="36"/>
    </row>
    <row r="2351" spans="1:10" x14ac:dyDescent="0.25">
      <c r="A2351" s="36">
        <v>1890</v>
      </c>
      <c r="B2351" s="37">
        <v>44013</v>
      </c>
      <c r="C2351" s="36"/>
      <c r="D2351" s="36"/>
      <c r="E2351" s="36" t="s">
        <v>18</v>
      </c>
      <c r="F2351" s="38">
        <v>4006799.9999999995</v>
      </c>
      <c r="G2351" s="36" t="s">
        <v>8</v>
      </c>
      <c r="H2351" s="36" t="s">
        <v>228</v>
      </c>
      <c r="I2351" s="36"/>
      <c r="J2351" s="36"/>
    </row>
    <row r="2352" spans="1:10" x14ac:dyDescent="0.25">
      <c r="A2352" s="36">
        <v>1890</v>
      </c>
      <c r="B2352" s="37">
        <v>44044</v>
      </c>
      <c r="C2352" s="36"/>
      <c r="D2352" s="36"/>
      <c r="E2352" s="36" t="s">
        <v>18</v>
      </c>
      <c r="F2352" s="38">
        <v>4006799.9999999995</v>
      </c>
      <c r="G2352" s="36" t="s">
        <v>8</v>
      </c>
      <c r="H2352" s="36" t="s">
        <v>228</v>
      </c>
      <c r="I2352" s="36"/>
      <c r="J2352" s="36"/>
    </row>
    <row r="2353" spans="1:10" x14ac:dyDescent="0.25">
      <c r="A2353" s="36">
        <v>1890</v>
      </c>
      <c r="B2353" s="37">
        <v>44075</v>
      </c>
      <c r="C2353" s="36"/>
      <c r="D2353" s="36"/>
      <c r="E2353" s="36" t="s">
        <v>18</v>
      </c>
      <c r="F2353" s="38">
        <v>4006799.9999999995</v>
      </c>
      <c r="G2353" s="36" t="s">
        <v>8</v>
      </c>
      <c r="H2353" s="36" t="s">
        <v>228</v>
      </c>
      <c r="I2353" s="36"/>
      <c r="J2353" s="36"/>
    </row>
    <row r="2354" spans="1:10" x14ac:dyDescent="0.25">
      <c r="A2354" s="36">
        <v>1890</v>
      </c>
      <c r="B2354" s="37">
        <v>44105</v>
      </c>
      <c r="C2354" s="36"/>
      <c r="D2354" s="36"/>
      <c r="E2354" s="36" t="s">
        <v>18</v>
      </c>
      <c r="F2354" s="38">
        <v>4006799.9999999995</v>
      </c>
      <c r="G2354" s="36" t="s">
        <v>8</v>
      </c>
      <c r="H2354" s="36" t="s">
        <v>228</v>
      </c>
      <c r="I2354" s="36"/>
      <c r="J2354" s="36"/>
    </row>
    <row r="2355" spans="1:10" x14ac:dyDescent="0.25">
      <c r="A2355" s="36">
        <v>1618</v>
      </c>
      <c r="B2355" s="37">
        <v>43466</v>
      </c>
      <c r="C2355" s="36"/>
      <c r="D2355" s="36"/>
      <c r="E2355" s="36" t="s">
        <v>7</v>
      </c>
      <c r="F2355" s="38">
        <v>5898109.7507954882</v>
      </c>
      <c r="G2355" s="36" t="s">
        <v>8</v>
      </c>
      <c r="H2355" s="36" t="s">
        <v>8</v>
      </c>
      <c r="I2355" s="36"/>
      <c r="J2355" s="36"/>
    </row>
    <row r="2356" spans="1:10" x14ac:dyDescent="0.25">
      <c r="A2356" s="36">
        <v>1618</v>
      </c>
      <c r="B2356" s="37">
        <v>43466</v>
      </c>
      <c r="C2356" s="36"/>
      <c r="D2356" s="36"/>
      <c r="E2356" s="36" t="s">
        <v>9</v>
      </c>
      <c r="F2356" s="38">
        <v>10573456.644736286</v>
      </c>
      <c r="G2356" s="36" t="s">
        <v>8</v>
      </c>
      <c r="H2356" s="36" t="s">
        <v>8</v>
      </c>
      <c r="I2356" s="36"/>
      <c r="J2356" s="36"/>
    </row>
    <row r="2357" spans="1:10" x14ac:dyDescent="0.25">
      <c r="A2357" s="36">
        <v>1618</v>
      </c>
      <c r="B2357" s="37">
        <v>43497</v>
      </c>
      <c r="C2357" s="36"/>
      <c r="D2357" s="36"/>
      <c r="E2357" s="36" t="s">
        <v>9</v>
      </c>
      <c r="F2357" s="38">
        <v>10573456.644736286</v>
      </c>
      <c r="G2357" s="36" t="s">
        <v>8</v>
      </c>
      <c r="H2357" s="36" t="s">
        <v>8</v>
      </c>
      <c r="I2357" s="36"/>
      <c r="J2357" s="36"/>
    </row>
    <row r="2358" spans="1:10" x14ac:dyDescent="0.25">
      <c r="A2358" s="36">
        <v>1618</v>
      </c>
      <c r="B2358" s="37">
        <v>43466</v>
      </c>
      <c r="C2358" s="36"/>
      <c r="D2358" s="36"/>
      <c r="E2358" s="36" t="s">
        <v>78</v>
      </c>
      <c r="F2358" s="38">
        <v>8420426.5965553131</v>
      </c>
      <c r="G2358" s="36" t="s">
        <v>8</v>
      </c>
      <c r="H2358" s="36" t="s">
        <v>8</v>
      </c>
      <c r="I2358" s="36"/>
      <c r="J2358" s="36"/>
    </row>
    <row r="2359" spans="1:10" x14ac:dyDescent="0.25">
      <c r="A2359" s="36">
        <v>1618</v>
      </c>
      <c r="B2359" s="37">
        <v>43466</v>
      </c>
      <c r="C2359" s="36"/>
      <c r="D2359" s="36"/>
      <c r="E2359" s="36" t="s">
        <v>21</v>
      </c>
      <c r="F2359" s="38">
        <v>5968758.5524032004</v>
      </c>
      <c r="G2359" s="36" t="s">
        <v>8</v>
      </c>
      <c r="H2359" s="36" t="s">
        <v>8</v>
      </c>
      <c r="I2359" s="36"/>
      <c r="J2359" s="36"/>
    </row>
    <row r="2360" spans="1:10" x14ac:dyDescent="0.25">
      <c r="A2360" s="36">
        <v>1618</v>
      </c>
      <c r="B2360" s="37">
        <v>43466</v>
      </c>
      <c r="C2360" s="36"/>
      <c r="D2360" s="36"/>
      <c r="E2360" s="36" t="s">
        <v>65</v>
      </c>
      <c r="F2360" s="38">
        <v>2694198.4714365834</v>
      </c>
      <c r="G2360" s="36" t="s">
        <v>8</v>
      </c>
      <c r="H2360" s="36" t="s">
        <v>8</v>
      </c>
      <c r="I2360" s="36"/>
      <c r="J2360" s="36"/>
    </row>
    <row r="2361" spans="1:10" x14ac:dyDescent="0.25">
      <c r="A2361" s="36">
        <v>1618</v>
      </c>
      <c r="B2361" s="37">
        <v>43497</v>
      </c>
      <c r="C2361" s="36"/>
      <c r="D2361" s="36"/>
      <c r="E2361" s="36" t="s">
        <v>65</v>
      </c>
      <c r="F2361" s="38">
        <v>2694198.4714365834</v>
      </c>
      <c r="G2361" s="36" t="s">
        <v>8</v>
      </c>
      <c r="H2361" s="36" t="s">
        <v>8</v>
      </c>
      <c r="I2361" s="36"/>
      <c r="J2361" s="36"/>
    </row>
    <row r="2362" spans="1:10" x14ac:dyDescent="0.25">
      <c r="A2362" s="36">
        <v>1715</v>
      </c>
      <c r="B2362" s="37">
        <v>43466</v>
      </c>
      <c r="C2362" s="36"/>
      <c r="D2362" s="36"/>
      <c r="E2362" s="36" t="s">
        <v>7</v>
      </c>
      <c r="F2362" s="38">
        <v>2992909.5</v>
      </c>
      <c r="G2362" s="36" t="s">
        <v>8</v>
      </c>
      <c r="H2362" s="36" t="s">
        <v>230</v>
      </c>
      <c r="I2362" s="36"/>
      <c r="J2362" s="36"/>
    </row>
    <row r="2363" spans="1:10" x14ac:dyDescent="0.25">
      <c r="A2363" s="36">
        <v>1715</v>
      </c>
      <c r="B2363" s="37">
        <v>43497</v>
      </c>
      <c r="C2363" s="36"/>
      <c r="D2363" s="36"/>
      <c r="E2363" s="36" t="s">
        <v>7</v>
      </c>
      <c r="F2363" s="38">
        <v>2992909.5</v>
      </c>
      <c r="G2363" s="36" t="s">
        <v>8</v>
      </c>
      <c r="H2363" s="36" t="s">
        <v>230</v>
      </c>
      <c r="I2363" s="36"/>
      <c r="J2363" s="36"/>
    </row>
    <row r="2364" spans="1:10" x14ac:dyDescent="0.25">
      <c r="A2364" s="36">
        <v>1715</v>
      </c>
      <c r="B2364" s="37">
        <v>43525</v>
      </c>
      <c r="C2364" s="36"/>
      <c r="D2364" s="36"/>
      <c r="E2364" s="36" t="s">
        <v>7</v>
      </c>
      <c r="F2364" s="38">
        <v>2992909.5</v>
      </c>
      <c r="G2364" s="36" t="s">
        <v>8</v>
      </c>
      <c r="H2364" s="36" t="s">
        <v>230</v>
      </c>
      <c r="I2364" s="36"/>
      <c r="J2364" s="36"/>
    </row>
    <row r="2365" spans="1:10" x14ac:dyDescent="0.25">
      <c r="A2365" s="36">
        <v>1715</v>
      </c>
      <c r="B2365" s="37">
        <v>43466</v>
      </c>
      <c r="C2365" s="36"/>
      <c r="D2365" s="36"/>
      <c r="E2365" s="36" t="s">
        <v>9</v>
      </c>
      <c r="F2365" s="38">
        <v>2835000</v>
      </c>
      <c r="G2365" s="36" t="s">
        <v>8</v>
      </c>
      <c r="H2365" s="36" t="s">
        <v>230</v>
      </c>
      <c r="I2365" s="36"/>
      <c r="J2365" s="36"/>
    </row>
    <row r="2366" spans="1:10" x14ac:dyDescent="0.25">
      <c r="A2366" s="36">
        <v>1715</v>
      </c>
      <c r="B2366" s="37">
        <v>43497</v>
      </c>
      <c r="C2366" s="36"/>
      <c r="D2366" s="36"/>
      <c r="E2366" s="36" t="s">
        <v>9</v>
      </c>
      <c r="F2366" s="38">
        <v>2835000</v>
      </c>
      <c r="G2366" s="36" t="s">
        <v>8</v>
      </c>
      <c r="H2366" s="36" t="s">
        <v>230</v>
      </c>
      <c r="I2366" s="36"/>
      <c r="J2366" s="36"/>
    </row>
    <row r="2367" spans="1:10" x14ac:dyDescent="0.25">
      <c r="A2367" s="36">
        <v>1715</v>
      </c>
      <c r="B2367" s="37">
        <v>43525</v>
      </c>
      <c r="C2367" s="36"/>
      <c r="D2367" s="36"/>
      <c r="E2367" s="36" t="s">
        <v>9</v>
      </c>
      <c r="F2367" s="38">
        <v>2835000</v>
      </c>
      <c r="G2367" s="36" t="s">
        <v>8</v>
      </c>
      <c r="H2367" s="36" t="s">
        <v>230</v>
      </c>
      <c r="I2367" s="36"/>
      <c r="J2367" s="36"/>
    </row>
    <row r="2368" spans="1:10" x14ac:dyDescent="0.25">
      <c r="A2368" s="36">
        <v>1715</v>
      </c>
      <c r="B2368" s="37">
        <v>43466</v>
      </c>
      <c r="C2368" s="36"/>
      <c r="D2368" s="36"/>
      <c r="E2368" s="36" t="s">
        <v>23</v>
      </c>
      <c r="F2368" s="38">
        <v>1228500</v>
      </c>
      <c r="G2368" s="36" t="s">
        <v>8</v>
      </c>
      <c r="H2368" s="36" t="s">
        <v>230</v>
      </c>
      <c r="I2368" s="36"/>
      <c r="J2368" s="36"/>
    </row>
    <row r="2369" spans="1:10" x14ac:dyDescent="0.25">
      <c r="A2369" s="36">
        <v>1715</v>
      </c>
      <c r="B2369" s="37">
        <v>43497</v>
      </c>
      <c r="C2369" s="36"/>
      <c r="D2369" s="36"/>
      <c r="E2369" s="36" t="s">
        <v>23</v>
      </c>
      <c r="F2369" s="38">
        <v>1228500</v>
      </c>
      <c r="G2369" s="36" t="s">
        <v>8</v>
      </c>
      <c r="H2369" s="36" t="s">
        <v>230</v>
      </c>
      <c r="I2369" s="36"/>
      <c r="J2369" s="36"/>
    </row>
    <row r="2370" spans="1:10" x14ac:dyDescent="0.25">
      <c r="A2370" s="36">
        <v>1715</v>
      </c>
      <c r="B2370" s="37">
        <v>43525</v>
      </c>
      <c r="C2370" s="36"/>
      <c r="D2370" s="36"/>
      <c r="E2370" s="36" t="s">
        <v>23</v>
      </c>
      <c r="F2370" s="38">
        <v>1228500</v>
      </c>
      <c r="G2370" s="36" t="s">
        <v>8</v>
      </c>
      <c r="H2370" s="36" t="s">
        <v>230</v>
      </c>
      <c r="I2370" s="36"/>
      <c r="J2370" s="36"/>
    </row>
    <row r="2371" spans="1:10" x14ac:dyDescent="0.25">
      <c r="A2371" s="36">
        <v>1715</v>
      </c>
      <c r="B2371" s="37">
        <v>43466</v>
      </c>
      <c r="C2371" s="36"/>
      <c r="D2371" s="36"/>
      <c r="E2371" s="36" t="s">
        <v>13</v>
      </c>
      <c r="F2371" s="38">
        <v>1181250</v>
      </c>
      <c r="G2371" s="36" t="s">
        <v>8</v>
      </c>
      <c r="H2371" s="36" t="s">
        <v>230</v>
      </c>
      <c r="I2371" s="36"/>
      <c r="J2371" s="36"/>
    </row>
    <row r="2372" spans="1:10" x14ac:dyDescent="0.25">
      <c r="A2372" s="36">
        <v>1715</v>
      </c>
      <c r="B2372" s="37">
        <v>43497</v>
      </c>
      <c r="C2372" s="36"/>
      <c r="D2372" s="36"/>
      <c r="E2372" s="36" t="s">
        <v>13</v>
      </c>
      <c r="F2372" s="38">
        <v>1181250</v>
      </c>
      <c r="G2372" s="36" t="s">
        <v>8</v>
      </c>
      <c r="H2372" s="36" t="s">
        <v>230</v>
      </c>
      <c r="I2372" s="36"/>
      <c r="J2372" s="36"/>
    </row>
    <row r="2373" spans="1:10" x14ac:dyDescent="0.25">
      <c r="A2373" s="36">
        <v>1715</v>
      </c>
      <c r="B2373" s="37">
        <v>43525</v>
      </c>
      <c r="C2373" s="36"/>
      <c r="D2373" s="36"/>
      <c r="E2373" s="36" t="s">
        <v>13</v>
      </c>
      <c r="F2373" s="38">
        <v>1181250</v>
      </c>
      <c r="G2373" s="36" t="s">
        <v>8</v>
      </c>
      <c r="H2373" s="36" t="s">
        <v>230</v>
      </c>
      <c r="I2373" s="36"/>
      <c r="J2373" s="36"/>
    </row>
    <row r="2374" spans="1:10" x14ac:dyDescent="0.25">
      <c r="A2374" s="36">
        <v>1715</v>
      </c>
      <c r="B2374" s="37">
        <v>43466</v>
      </c>
      <c r="C2374" s="36"/>
      <c r="D2374" s="36"/>
      <c r="E2374" s="36" t="s">
        <v>7</v>
      </c>
      <c r="F2374" s="38">
        <v>2494091.25</v>
      </c>
      <c r="G2374" s="36" t="s">
        <v>8</v>
      </c>
      <c r="H2374" s="36" t="s">
        <v>230</v>
      </c>
      <c r="I2374" s="36"/>
      <c r="J2374" s="36"/>
    </row>
    <row r="2375" spans="1:10" x14ac:dyDescent="0.25">
      <c r="A2375" s="36">
        <v>1715</v>
      </c>
      <c r="B2375" s="37">
        <v>43497</v>
      </c>
      <c r="C2375" s="36"/>
      <c r="D2375" s="36"/>
      <c r="E2375" s="36" t="s">
        <v>7</v>
      </c>
      <c r="F2375" s="38">
        <v>2494091.25</v>
      </c>
      <c r="G2375" s="36" t="s">
        <v>8</v>
      </c>
      <c r="H2375" s="36" t="s">
        <v>230</v>
      </c>
      <c r="I2375" s="36"/>
      <c r="J2375" s="36"/>
    </row>
    <row r="2376" spans="1:10" x14ac:dyDescent="0.25">
      <c r="A2376" s="36">
        <v>1715</v>
      </c>
      <c r="B2376" s="37">
        <v>43525</v>
      </c>
      <c r="C2376" s="36"/>
      <c r="D2376" s="36"/>
      <c r="E2376" s="36" t="s">
        <v>7</v>
      </c>
      <c r="F2376" s="38">
        <v>2494091.25</v>
      </c>
      <c r="G2376" s="36" t="s">
        <v>8</v>
      </c>
      <c r="H2376" s="36" t="s">
        <v>230</v>
      </c>
      <c r="I2376" s="36"/>
      <c r="J2376" s="36"/>
    </row>
    <row r="2377" spans="1:10" x14ac:dyDescent="0.25">
      <c r="A2377" s="36">
        <v>1715</v>
      </c>
      <c r="B2377" s="37">
        <v>43466</v>
      </c>
      <c r="C2377" s="36"/>
      <c r="D2377" s="36"/>
      <c r="E2377" s="36" t="s">
        <v>9</v>
      </c>
      <c r="F2377" s="38">
        <v>2362500</v>
      </c>
      <c r="G2377" s="36" t="s">
        <v>8</v>
      </c>
      <c r="H2377" s="36" t="s">
        <v>230</v>
      </c>
      <c r="I2377" s="36"/>
      <c r="J2377" s="36"/>
    </row>
    <row r="2378" spans="1:10" x14ac:dyDescent="0.25">
      <c r="A2378" s="36">
        <v>1715</v>
      </c>
      <c r="B2378" s="37">
        <v>43497</v>
      </c>
      <c r="C2378" s="36"/>
      <c r="D2378" s="36"/>
      <c r="E2378" s="36" t="s">
        <v>9</v>
      </c>
      <c r="F2378" s="38">
        <v>2362500</v>
      </c>
      <c r="G2378" s="36" t="s">
        <v>8</v>
      </c>
      <c r="H2378" s="36" t="s">
        <v>230</v>
      </c>
      <c r="I2378" s="36"/>
      <c r="J2378" s="36"/>
    </row>
    <row r="2379" spans="1:10" x14ac:dyDescent="0.25">
      <c r="A2379" s="36">
        <v>1715</v>
      </c>
      <c r="B2379" s="37">
        <v>43525</v>
      </c>
      <c r="C2379" s="36"/>
      <c r="D2379" s="36"/>
      <c r="E2379" s="36" t="s">
        <v>9</v>
      </c>
      <c r="F2379" s="38">
        <v>2362500</v>
      </c>
      <c r="G2379" s="36" t="s">
        <v>8</v>
      </c>
      <c r="H2379" s="36" t="s">
        <v>230</v>
      </c>
      <c r="I2379" s="36"/>
      <c r="J2379" s="36"/>
    </row>
    <row r="2380" spans="1:10" x14ac:dyDescent="0.25">
      <c r="A2380" s="36">
        <v>1715</v>
      </c>
      <c r="B2380" s="37">
        <v>43466</v>
      </c>
      <c r="C2380" s="36"/>
      <c r="D2380" s="36"/>
      <c r="E2380" s="36" t="s">
        <v>23</v>
      </c>
      <c r="F2380" s="38">
        <v>1023750</v>
      </c>
      <c r="G2380" s="36" t="s">
        <v>8</v>
      </c>
      <c r="H2380" s="36" t="s">
        <v>230</v>
      </c>
      <c r="I2380" s="36"/>
      <c r="J2380" s="36"/>
    </row>
    <row r="2381" spans="1:10" x14ac:dyDescent="0.25">
      <c r="A2381" s="36">
        <v>1715</v>
      </c>
      <c r="B2381" s="37">
        <v>43497</v>
      </c>
      <c r="C2381" s="36"/>
      <c r="D2381" s="36"/>
      <c r="E2381" s="36" t="s">
        <v>23</v>
      </c>
      <c r="F2381" s="38">
        <v>1023750</v>
      </c>
      <c r="G2381" s="36" t="s">
        <v>8</v>
      </c>
      <c r="H2381" s="36" t="s">
        <v>230</v>
      </c>
      <c r="I2381" s="36"/>
      <c r="J2381" s="36"/>
    </row>
    <row r="2382" spans="1:10" x14ac:dyDescent="0.25">
      <c r="A2382" s="36">
        <v>1715</v>
      </c>
      <c r="B2382" s="37">
        <v>43525</v>
      </c>
      <c r="C2382" s="36"/>
      <c r="D2382" s="36"/>
      <c r="E2382" s="36" t="s">
        <v>23</v>
      </c>
      <c r="F2382" s="38">
        <v>1023750</v>
      </c>
      <c r="G2382" s="36" t="s">
        <v>8</v>
      </c>
      <c r="H2382" s="36" t="s">
        <v>230</v>
      </c>
      <c r="I2382" s="36"/>
      <c r="J2382" s="36"/>
    </row>
    <row r="2383" spans="1:10" x14ac:dyDescent="0.25">
      <c r="A2383" s="36">
        <v>1715</v>
      </c>
      <c r="B2383" s="37">
        <v>43466</v>
      </c>
      <c r="C2383" s="36"/>
      <c r="D2383" s="36"/>
      <c r="E2383" s="36" t="s">
        <v>65</v>
      </c>
      <c r="F2383" s="38">
        <v>708750</v>
      </c>
      <c r="G2383" s="36" t="s">
        <v>8</v>
      </c>
      <c r="H2383" s="36" t="s">
        <v>230</v>
      </c>
      <c r="I2383" s="36"/>
      <c r="J2383" s="36"/>
    </row>
    <row r="2384" spans="1:10" x14ac:dyDescent="0.25">
      <c r="A2384" s="36">
        <v>1715</v>
      </c>
      <c r="B2384" s="37">
        <v>43497</v>
      </c>
      <c r="C2384" s="36"/>
      <c r="D2384" s="36"/>
      <c r="E2384" s="36" t="s">
        <v>65</v>
      </c>
      <c r="F2384" s="38">
        <v>708750</v>
      </c>
      <c r="G2384" s="36" t="s">
        <v>8</v>
      </c>
      <c r="H2384" s="36" t="s">
        <v>230</v>
      </c>
      <c r="I2384" s="36"/>
      <c r="J2384" s="36"/>
    </row>
    <row r="2385" spans="1:10" x14ac:dyDescent="0.25">
      <c r="A2385" s="36">
        <v>1715</v>
      </c>
      <c r="B2385" s="37">
        <v>43525</v>
      </c>
      <c r="C2385" s="36"/>
      <c r="D2385" s="36"/>
      <c r="E2385" s="36" t="s">
        <v>65</v>
      </c>
      <c r="F2385" s="38">
        <v>708750</v>
      </c>
      <c r="G2385" s="36" t="s">
        <v>8</v>
      </c>
      <c r="H2385" s="36" t="s">
        <v>230</v>
      </c>
      <c r="I2385" s="36"/>
      <c r="J2385" s="36"/>
    </row>
    <row r="2386" spans="1:10" x14ac:dyDescent="0.25">
      <c r="A2386" s="36">
        <v>1715</v>
      </c>
      <c r="B2386" s="37">
        <v>43466</v>
      </c>
      <c r="C2386" s="36"/>
      <c r="D2386" s="36"/>
      <c r="E2386" s="36" t="s">
        <v>7</v>
      </c>
      <c r="F2386" s="38">
        <v>1496454.75</v>
      </c>
      <c r="G2386" s="36" t="s">
        <v>8</v>
      </c>
      <c r="H2386" s="36" t="s">
        <v>230</v>
      </c>
      <c r="I2386" s="36"/>
      <c r="J2386" s="36"/>
    </row>
    <row r="2387" spans="1:10" x14ac:dyDescent="0.25">
      <c r="A2387" s="36">
        <v>1715</v>
      </c>
      <c r="B2387" s="37">
        <v>43497</v>
      </c>
      <c r="C2387" s="36"/>
      <c r="D2387" s="36"/>
      <c r="E2387" s="36" t="s">
        <v>7</v>
      </c>
      <c r="F2387" s="38">
        <v>1496454.75</v>
      </c>
      <c r="G2387" s="36" t="s">
        <v>8</v>
      </c>
      <c r="H2387" s="36" t="s">
        <v>230</v>
      </c>
      <c r="I2387" s="36"/>
      <c r="J2387" s="36"/>
    </row>
    <row r="2388" spans="1:10" x14ac:dyDescent="0.25">
      <c r="A2388" s="36">
        <v>1715</v>
      </c>
      <c r="B2388" s="37">
        <v>43525</v>
      </c>
      <c r="C2388" s="36"/>
      <c r="D2388" s="36"/>
      <c r="E2388" s="36" t="s">
        <v>7</v>
      </c>
      <c r="F2388" s="38">
        <v>1496454.75</v>
      </c>
      <c r="G2388" s="36" t="s">
        <v>8</v>
      </c>
      <c r="H2388" s="36" t="s">
        <v>230</v>
      </c>
      <c r="I2388" s="36"/>
      <c r="J2388" s="36"/>
    </row>
    <row r="2389" spans="1:10" x14ac:dyDescent="0.25">
      <c r="A2389" s="36">
        <v>1715</v>
      </c>
      <c r="B2389" s="37">
        <v>43466</v>
      </c>
      <c r="C2389" s="36"/>
      <c r="D2389" s="36"/>
      <c r="E2389" s="36" t="s">
        <v>9</v>
      </c>
      <c r="F2389" s="38">
        <v>945000</v>
      </c>
      <c r="G2389" s="36" t="s">
        <v>8</v>
      </c>
      <c r="H2389" s="36" t="s">
        <v>230</v>
      </c>
      <c r="I2389" s="36"/>
      <c r="J2389" s="36"/>
    </row>
    <row r="2390" spans="1:10" x14ac:dyDescent="0.25">
      <c r="A2390" s="36">
        <v>1715</v>
      </c>
      <c r="B2390" s="37">
        <v>43497</v>
      </c>
      <c r="C2390" s="36"/>
      <c r="D2390" s="36"/>
      <c r="E2390" s="36" t="s">
        <v>9</v>
      </c>
      <c r="F2390" s="38">
        <v>945000</v>
      </c>
      <c r="G2390" s="36" t="s">
        <v>8</v>
      </c>
      <c r="H2390" s="36" t="s">
        <v>230</v>
      </c>
      <c r="I2390" s="36"/>
      <c r="J2390" s="36"/>
    </row>
    <row r="2391" spans="1:10" x14ac:dyDescent="0.25">
      <c r="A2391" s="36">
        <v>1715</v>
      </c>
      <c r="B2391" s="37">
        <v>43525</v>
      </c>
      <c r="C2391" s="36"/>
      <c r="D2391" s="36"/>
      <c r="E2391" s="36" t="s">
        <v>9</v>
      </c>
      <c r="F2391" s="38">
        <v>945000</v>
      </c>
      <c r="G2391" s="36" t="s">
        <v>8</v>
      </c>
      <c r="H2391" s="36" t="s">
        <v>230</v>
      </c>
      <c r="I2391" s="36"/>
      <c r="J2391" s="36"/>
    </row>
    <row r="2392" spans="1:10" x14ac:dyDescent="0.25">
      <c r="A2392" s="36">
        <v>1715</v>
      </c>
      <c r="B2392" s="37">
        <v>43466</v>
      </c>
      <c r="C2392" s="36"/>
      <c r="D2392" s="36"/>
      <c r="E2392" s="36" t="s">
        <v>23</v>
      </c>
      <c r="F2392" s="38">
        <v>409500</v>
      </c>
      <c r="G2392" s="36" t="s">
        <v>8</v>
      </c>
      <c r="H2392" s="36" t="s">
        <v>230</v>
      </c>
      <c r="I2392" s="36"/>
      <c r="J2392" s="36"/>
    </row>
    <row r="2393" spans="1:10" x14ac:dyDescent="0.25">
      <c r="A2393" s="36">
        <v>1715</v>
      </c>
      <c r="B2393" s="37">
        <v>43497</v>
      </c>
      <c r="C2393" s="36"/>
      <c r="D2393" s="36"/>
      <c r="E2393" s="36" t="s">
        <v>23</v>
      </c>
      <c r="F2393" s="38">
        <v>409500</v>
      </c>
      <c r="G2393" s="36" t="s">
        <v>8</v>
      </c>
      <c r="H2393" s="36" t="s">
        <v>230</v>
      </c>
      <c r="I2393" s="36"/>
      <c r="J2393" s="36"/>
    </row>
    <row r="2394" spans="1:10" x14ac:dyDescent="0.25">
      <c r="A2394" s="36">
        <v>1715</v>
      </c>
      <c r="B2394" s="37">
        <v>43525</v>
      </c>
      <c r="C2394" s="36"/>
      <c r="D2394" s="36"/>
      <c r="E2394" s="36" t="s">
        <v>23</v>
      </c>
      <c r="F2394" s="38">
        <v>409500</v>
      </c>
      <c r="G2394" s="36" t="s">
        <v>8</v>
      </c>
      <c r="H2394" s="36" t="s">
        <v>230</v>
      </c>
      <c r="I2394" s="36"/>
      <c r="J2394" s="36"/>
    </row>
    <row r="2395" spans="1:10" x14ac:dyDescent="0.25">
      <c r="A2395" s="36">
        <v>1715</v>
      </c>
      <c r="B2395" s="37">
        <v>43466</v>
      </c>
      <c r="C2395" s="36"/>
      <c r="D2395" s="36"/>
      <c r="E2395" s="36" t="s">
        <v>131</v>
      </c>
      <c r="F2395" s="38">
        <v>236250</v>
      </c>
      <c r="G2395" s="36" t="s">
        <v>8</v>
      </c>
      <c r="H2395" s="36" t="s">
        <v>230</v>
      </c>
      <c r="I2395" s="36"/>
      <c r="J2395" s="36"/>
    </row>
    <row r="2396" spans="1:10" x14ac:dyDescent="0.25">
      <c r="A2396" s="36">
        <v>1715</v>
      </c>
      <c r="B2396" s="37">
        <v>43497</v>
      </c>
      <c r="C2396" s="36"/>
      <c r="D2396" s="36"/>
      <c r="E2396" s="36" t="s">
        <v>131</v>
      </c>
      <c r="F2396" s="38">
        <v>236250</v>
      </c>
      <c r="G2396" s="36" t="s">
        <v>8</v>
      </c>
      <c r="H2396" s="36" t="s">
        <v>230</v>
      </c>
      <c r="I2396" s="36"/>
      <c r="J2396" s="36"/>
    </row>
    <row r="2397" spans="1:10" x14ac:dyDescent="0.25">
      <c r="A2397" s="36">
        <v>1715</v>
      </c>
      <c r="B2397" s="37">
        <v>43525</v>
      </c>
      <c r="C2397" s="36"/>
      <c r="D2397" s="36"/>
      <c r="E2397" s="36" t="s">
        <v>131</v>
      </c>
      <c r="F2397" s="38">
        <v>236250</v>
      </c>
      <c r="G2397" s="36" t="s">
        <v>8</v>
      </c>
      <c r="H2397" s="36" t="s">
        <v>230</v>
      </c>
      <c r="I2397" s="36"/>
      <c r="J2397" s="36"/>
    </row>
    <row r="2398" spans="1:10" x14ac:dyDescent="0.25">
      <c r="A2398" s="36">
        <v>1715</v>
      </c>
      <c r="B2398" s="37">
        <v>43466</v>
      </c>
      <c r="C2398" s="36"/>
      <c r="D2398" s="36"/>
      <c r="E2398" s="36" t="s">
        <v>7</v>
      </c>
      <c r="F2398" s="38">
        <v>1496454.75</v>
      </c>
      <c r="G2398" s="36" t="s">
        <v>8</v>
      </c>
      <c r="H2398" s="36" t="s">
        <v>230</v>
      </c>
      <c r="I2398" s="36"/>
      <c r="J2398" s="36"/>
    </row>
    <row r="2399" spans="1:10" x14ac:dyDescent="0.25">
      <c r="A2399" s="36">
        <v>1715</v>
      </c>
      <c r="B2399" s="37">
        <v>43497</v>
      </c>
      <c r="C2399" s="36"/>
      <c r="D2399" s="36"/>
      <c r="E2399" s="36" t="s">
        <v>7</v>
      </c>
      <c r="F2399" s="38">
        <v>1496454.75</v>
      </c>
      <c r="G2399" s="36" t="s">
        <v>8</v>
      </c>
      <c r="H2399" s="36" t="s">
        <v>230</v>
      </c>
      <c r="I2399" s="36"/>
      <c r="J2399" s="36"/>
    </row>
    <row r="2400" spans="1:10" x14ac:dyDescent="0.25">
      <c r="A2400" s="36">
        <v>1715</v>
      </c>
      <c r="B2400" s="37">
        <v>43525</v>
      </c>
      <c r="C2400" s="36"/>
      <c r="D2400" s="36"/>
      <c r="E2400" s="36" t="s">
        <v>7</v>
      </c>
      <c r="F2400" s="38">
        <v>1496454.75</v>
      </c>
      <c r="G2400" s="36" t="s">
        <v>8</v>
      </c>
      <c r="H2400" s="36" t="s">
        <v>230</v>
      </c>
      <c r="I2400" s="36"/>
      <c r="J2400" s="36"/>
    </row>
    <row r="2401" spans="1:10" x14ac:dyDescent="0.25">
      <c r="A2401" s="36">
        <v>1715</v>
      </c>
      <c r="B2401" s="37">
        <v>43466</v>
      </c>
      <c r="C2401" s="36"/>
      <c r="D2401" s="36"/>
      <c r="E2401" s="36" t="s">
        <v>9</v>
      </c>
      <c r="F2401" s="38">
        <v>1890000</v>
      </c>
      <c r="G2401" s="36" t="s">
        <v>8</v>
      </c>
      <c r="H2401" s="36" t="s">
        <v>230</v>
      </c>
      <c r="I2401" s="36"/>
      <c r="J2401" s="36"/>
    </row>
    <row r="2402" spans="1:10" x14ac:dyDescent="0.25">
      <c r="A2402" s="36">
        <v>1715</v>
      </c>
      <c r="B2402" s="37">
        <v>43497</v>
      </c>
      <c r="C2402" s="36"/>
      <c r="D2402" s="36"/>
      <c r="E2402" s="36" t="s">
        <v>9</v>
      </c>
      <c r="F2402" s="38">
        <v>1890000</v>
      </c>
      <c r="G2402" s="36" t="s">
        <v>8</v>
      </c>
      <c r="H2402" s="36" t="s">
        <v>230</v>
      </c>
      <c r="I2402" s="36"/>
      <c r="J2402" s="36"/>
    </row>
    <row r="2403" spans="1:10" x14ac:dyDescent="0.25">
      <c r="A2403" s="36">
        <v>1715</v>
      </c>
      <c r="B2403" s="37">
        <v>43525</v>
      </c>
      <c r="C2403" s="36"/>
      <c r="D2403" s="36"/>
      <c r="E2403" s="36" t="s">
        <v>9</v>
      </c>
      <c r="F2403" s="38">
        <v>1890000</v>
      </c>
      <c r="G2403" s="36" t="s">
        <v>8</v>
      </c>
      <c r="H2403" s="36" t="s">
        <v>230</v>
      </c>
      <c r="I2403" s="36"/>
      <c r="J2403" s="36"/>
    </row>
    <row r="2404" spans="1:10" x14ac:dyDescent="0.25">
      <c r="A2404" s="36">
        <v>1715</v>
      </c>
      <c r="B2404" s="37">
        <v>43466</v>
      </c>
      <c r="C2404" s="36"/>
      <c r="D2404" s="36"/>
      <c r="E2404" s="36" t="s">
        <v>23</v>
      </c>
      <c r="F2404" s="38">
        <v>819000</v>
      </c>
      <c r="G2404" s="36" t="s">
        <v>8</v>
      </c>
      <c r="H2404" s="36" t="s">
        <v>230</v>
      </c>
      <c r="I2404" s="36"/>
      <c r="J2404" s="36"/>
    </row>
    <row r="2405" spans="1:10" x14ac:dyDescent="0.25">
      <c r="A2405" s="36">
        <v>1715</v>
      </c>
      <c r="B2405" s="37">
        <v>43497</v>
      </c>
      <c r="C2405" s="36"/>
      <c r="D2405" s="36"/>
      <c r="E2405" s="36" t="s">
        <v>23</v>
      </c>
      <c r="F2405" s="38">
        <v>819000</v>
      </c>
      <c r="G2405" s="36" t="s">
        <v>8</v>
      </c>
      <c r="H2405" s="36" t="s">
        <v>230</v>
      </c>
      <c r="I2405" s="36"/>
      <c r="J2405" s="36"/>
    </row>
    <row r="2406" spans="1:10" x14ac:dyDescent="0.25">
      <c r="A2406" s="36">
        <v>1715</v>
      </c>
      <c r="B2406" s="37">
        <v>43525</v>
      </c>
      <c r="C2406" s="36"/>
      <c r="D2406" s="36"/>
      <c r="E2406" s="36" t="s">
        <v>23</v>
      </c>
      <c r="F2406" s="38">
        <v>819000</v>
      </c>
      <c r="G2406" s="36" t="s">
        <v>8</v>
      </c>
      <c r="H2406" s="36" t="s">
        <v>230</v>
      </c>
      <c r="I2406" s="36"/>
      <c r="J2406" s="36"/>
    </row>
    <row r="2407" spans="1:10" x14ac:dyDescent="0.25">
      <c r="A2407" s="36">
        <v>1715</v>
      </c>
      <c r="B2407" s="37">
        <v>43466</v>
      </c>
      <c r="C2407" s="36"/>
      <c r="D2407" s="36"/>
      <c r="E2407" s="36" t="s">
        <v>132</v>
      </c>
      <c r="F2407" s="38">
        <v>441000</v>
      </c>
      <c r="G2407" s="36" t="s">
        <v>8</v>
      </c>
      <c r="H2407" s="36" t="s">
        <v>230</v>
      </c>
      <c r="I2407" s="36"/>
      <c r="J2407" s="36"/>
    </row>
    <row r="2408" spans="1:10" x14ac:dyDescent="0.25">
      <c r="A2408" s="36">
        <v>1715</v>
      </c>
      <c r="B2408" s="37">
        <v>43497</v>
      </c>
      <c r="C2408" s="36"/>
      <c r="D2408" s="36"/>
      <c r="E2408" s="36" t="s">
        <v>132</v>
      </c>
      <c r="F2408" s="38">
        <v>441000</v>
      </c>
      <c r="G2408" s="36" t="s">
        <v>8</v>
      </c>
      <c r="H2408" s="36" t="s">
        <v>230</v>
      </c>
      <c r="I2408" s="36"/>
      <c r="J2408" s="36"/>
    </row>
    <row r="2409" spans="1:10" x14ac:dyDescent="0.25">
      <c r="A2409" s="36">
        <v>1715</v>
      </c>
      <c r="B2409" s="37">
        <v>43525</v>
      </c>
      <c r="C2409" s="36"/>
      <c r="D2409" s="36"/>
      <c r="E2409" s="36" t="s">
        <v>132</v>
      </c>
      <c r="F2409" s="38">
        <v>441000</v>
      </c>
      <c r="G2409" s="36" t="s">
        <v>8</v>
      </c>
      <c r="H2409" s="36" t="s">
        <v>230</v>
      </c>
      <c r="I2409" s="36"/>
      <c r="J2409" s="36"/>
    </row>
    <row r="2410" spans="1:10" x14ac:dyDescent="0.25">
      <c r="A2410" s="36">
        <v>1715</v>
      </c>
      <c r="B2410" s="37">
        <v>43466</v>
      </c>
      <c r="C2410" s="36"/>
      <c r="D2410" s="36"/>
      <c r="E2410" s="36" t="s">
        <v>65</v>
      </c>
      <c r="F2410" s="38">
        <v>354375</v>
      </c>
      <c r="G2410" s="36" t="s">
        <v>8</v>
      </c>
      <c r="H2410" s="36" t="s">
        <v>230</v>
      </c>
      <c r="I2410" s="36"/>
      <c r="J2410" s="36"/>
    </row>
    <row r="2411" spans="1:10" x14ac:dyDescent="0.25">
      <c r="A2411" s="36">
        <v>1715</v>
      </c>
      <c r="B2411" s="37">
        <v>43497</v>
      </c>
      <c r="C2411" s="36"/>
      <c r="D2411" s="36"/>
      <c r="E2411" s="36" t="s">
        <v>65</v>
      </c>
      <c r="F2411" s="38">
        <v>354375</v>
      </c>
      <c r="G2411" s="36" t="s">
        <v>8</v>
      </c>
      <c r="H2411" s="36" t="s">
        <v>230</v>
      </c>
      <c r="I2411" s="36"/>
      <c r="J2411" s="36"/>
    </row>
    <row r="2412" spans="1:10" x14ac:dyDescent="0.25">
      <c r="A2412" s="36">
        <v>1715</v>
      </c>
      <c r="B2412" s="37">
        <v>43525</v>
      </c>
      <c r="C2412" s="36"/>
      <c r="D2412" s="36"/>
      <c r="E2412" s="36" t="s">
        <v>65</v>
      </c>
      <c r="F2412" s="38">
        <v>354375</v>
      </c>
      <c r="G2412" s="36" t="s">
        <v>8</v>
      </c>
      <c r="H2412" s="36" t="s">
        <v>230</v>
      </c>
      <c r="I2412" s="36"/>
      <c r="J2412" s="36"/>
    </row>
    <row r="2413" spans="1:10" x14ac:dyDescent="0.25">
      <c r="A2413" s="36">
        <v>1715</v>
      </c>
      <c r="B2413" s="37">
        <v>43466</v>
      </c>
      <c r="C2413" s="36"/>
      <c r="D2413" s="36"/>
      <c r="E2413" s="36" t="s">
        <v>7</v>
      </c>
      <c r="F2413" s="38">
        <v>1496454.75</v>
      </c>
      <c r="G2413" s="36" t="s">
        <v>8</v>
      </c>
      <c r="H2413" s="36" t="s">
        <v>230</v>
      </c>
      <c r="I2413" s="36"/>
      <c r="J2413" s="36"/>
    </row>
    <row r="2414" spans="1:10" x14ac:dyDescent="0.25">
      <c r="A2414" s="36">
        <v>1715</v>
      </c>
      <c r="B2414" s="37">
        <v>43497</v>
      </c>
      <c r="C2414" s="36"/>
      <c r="D2414" s="36"/>
      <c r="E2414" s="36" t="s">
        <v>7</v>
      </c>
      <c r="F2414" s="38">
        <v>1496454.75</v>
      </c>
      <c r="G2414" s="36" t="s">
        <v>8</v>
      </c>
      <c r="H2414" s="36" t="s">
        <v>230</v>
      </c>
      <c r="I2414" s="36"/>
      <c r="J2414" s="36"/>
    </row>
    <row r="2415" spans="1:10" x14ac:dyDescent="0.25">
      <c r="A2415" s="36">
        <v>1715</v>
      </c>
      <c r="B2415" s="37">
        <v>43525</v>
      </c>
      <c r="C2415" s="36"/>
      <c r="D2415" s="36"/>
      <c r="E2415" s="36" t="s">
        <v>7</v>
      </c>
      <c r="F2415" s="38">
        <v>1496454.75</v>
      </c>
      <c r="G2415" s="36" t="s">
        <v>8</v>
      </c>
      <c r="H2415" s="36" t="s">
        <v>230</v>
      </c>
      <c r="I2415" s="36"/>
      <c r="J2415" s="36"/>
    </row>
    <row r="2416" spans="1:10" x14ac:dyDescent="0.25">
      <c r="A2416" s="36">
        <v>1715</v>
      </c>
      <c r="B2416" s="37">
        <v>43466</v>
      </c>
      <c r="C2416" s="36"/>
      <c r="D2416" s="36"/>
      <c r="E2416" s="36" t="s">
        <v>9</v>
      </c>
      <c r="F2416" s="38">
        <v>1417500</v>
      </c>
      <c r="G2416" s="36" t="s">
        <v>8</v>
      </c>
      <c r="H2416" s="36" t="s">
        <v>230</v>
      </c>
      <c r="I2416" s="36"/>
      <c r="J2416" s="36"/>
    </row>
    <row r="2417" spans="1:10" x14ac:dyDescent="0.25">
      <c r="A2417" s="36">
        <v>1715</v>
      </c>
      <c r="B2417" s="37">
        <v>43497</v>
      </c>
      <c r="C2417" s="36"/>
      <c r="D2417" s="36"/>
      <c r="E2417" s="36" t="s">
        <v>9</v>
      </c>
      <c r="F2417" s="38">
        <v>1417500</v>
      </c>
      <c r="G2417" s="36" t="s">
        <v>8</v>
      </c>
      <c r="H2417" s="36" t="s">
        <v>230</v>
      </c>
      <c r="I2417" s="36"/>
      <c r="J2417" s="36"/>
    </row>
    <row r="2418" spans="1:10" x14ac:dyDescent="0.25">
      <c r="A2418" s="36">
        <v>1715</v>
      </c>
      <c r="B2418" s="37">
        <v>43525</v>
      </c>
      <c r="C2418" s="36"/>
      <c r="D2418" s="36"/>
      <c r="E2418" s="36" t="s">
        <v>9</v>
      </c>
      <c r="F2418" s="38">
        <v>1417500</v>
      </c>
      <c r="G2418" s="36" t="s">
        <v>8</v>
      </c>
      <c r="H2418" s="36" t="s">
        <v>230</v>
      </c>
      <c r="I2418" s="36"/>
      <c r="J2418" s="36"/>
    </row>
    <row r="2419" spans="1:10" x14ac:dyDescent="0.25">
      <c r="A2419" s="36">
        <v>1715</v>
      </c>
      <c r="B2419" s="37">
        <v>43466</v>
      </c>
      <c r="C2419" s="36"/>
      <c r="D2419" s="36"/>
      <c r="E2419" s="36" t="s">
        <v>23</v>
      </c>
      <c r="F2419" s="38">
        <v>614250</v>
      </c>
      <c r="G2419" s="36" t="s">
        <v>8</v>
      </c>
      <c r="H2419" s="36" t="s">
        <v>230</v>
      </c>
      <c r="I2419" s="36"/>
      <c r="J2419" s="36"/>
    </row>
    <row r="2420" spans="1:10" x14ac:dyDescent="0.25">
      <c r="A2420" s="36">
        <v>1715</v>
      </c>
      <c r="B2420" s="37">
        <v>43497</v>
      </c>
      <c r="C2420" s="36"/>
      <c r="D2420" s="36"/>
      <c r="E2420" s="36" t="s">
        <v>23</v>
      </c>
      <c r="F2420" s="38">
        <v>614250</v>
      </c>
      <c r="G2420" s="36" t="s">
        <v>8</v>
      </c>
      <c r="H2420" s="36" t="s">
        <v>230</v>
      </c>
      <c r="I2420" s="36"/>
      <c r="J2420" s="36"/>
    </row>
    <row r="2421" spans="1:10" x14ac:dyDescent="0.25">
      <c r="A2421" s="36">
        <v>1715</v>
      </c>
      <c r="B2421" s="37">
        <v>43525</v>
      </c>
      <c r="C2421" s="36"/>
      <c r="D2421" s="36"/>
      <c r="E2421" s="36" t="s">
        <v>23</v>
      </c>
      <c r="F2421" s="38">
        <v>614250</v>
      </c>
      <c r="G2421" s="36" t="s">
        <v>8</v>
      </c>
      <c r="H2421" s="36" t="s">
        <v>230</v>
      </c>
      <c r="I2421" s="36"/>
      <c r="J2421" s="36"/>
    </row>
    <row r="2422" spans="1:10" x14ac:dyDescent="0.25">
      <c r="A2422" s="36">
        <v>1837</v>
      </c>
      <c r="B2422" s="37">
        <v>43466</v>
      </c>
      <c r="C2422" s="36"/>
      <c r="D2422" s="36"/>
      <c r="E2422" s="36" t="s">
        <v>133</v>
      </c>
      <c r="F2422" s="38">
        <v>1778395.5</v>
      </c>
      <c r="G2422" s="36" t="s">
        <v>8</v>
      </c>
      <c r="H2422" s="36" t="s">
        <v>228</v>
      </c>
      <c r="I2422" s="36"/>
      <c r="J2422" s="36"/>
    </row>
    <row r="2423" spans="1:10" x14ac:dyDescent="0.25">
      <c r="A2423" s="36">
        <v>1837</v>
      </c>
      <c r="B2423" s="37">
        <v>43497</v>
      </c>
      <c r="C2423" s="36"/>
      <c r="D2423" s="36"/>
      <c r="E2423" s="36" t="s">
        <v>133</v>
      </c>
      <c r="F2423" s="38">
        <v>1778395.5</v>
      </c>
      <c r="G2423" s="36" t="s">
        <v>8</v>
      </c>
      <c r="H2423" s="36" t="s">
        <v>228</v>
      </c>
      <c r="I2423" s="36"/>
      <c r="J2423" s="36"/>
    </row>
    <row r="2424" spans="1:10" x14ac:dyDescent="0.25">
      <c r="A2424" s="36">
        <v>1837</v>
      </c>
      <c r="B2424" s="37">
        <v>43466</v>
      </c>
      <c r="C2424" s="36"/>
      <c r="D2424" s="36"/>
      <c r="E2424" s="36" t="s">
        <v>84</v>
      </c>
      <c r="F2424" s="38">
        <v>7426125</v>
      </c>
      <c r="G2424" s="36" t="s">
        <v>8</v>
      </c>
      <c r="H2424" s="36" t="s">
        <v>228</v>
      </c>
      <c r="I2424" s="36"/>
      <c r="J2424" s="36"/>
    </row>
    <row r="2425" spans="1:10" x14ac:dyDescent="0.25">
      <c r="A2425" s="36">
        <v>1837</v>
      </c>
      <c r="B2425" s="37">
        <v>43497</v>
      </c>
      <c r="C2425" s="36"/>
      <c r="D2425" s="36"/>
      <c r="E2425" s="36" t="s">
        <v>84</v>
      </c>
      <c r="F2425" s="38">
        <v>7426125</v>
      </c>
      <c r="G2425" s="36" t="s">
        <v>8</v>
      </c>
      <c r="H2425" s="36" t="s">
        <v>228</v>
      </c>
      <c r="I2425" s="36"/>
      <c r="J2425" s="36"/>
    </row>
    <row r="2426" spans="1:10" x14ac:dyDescent="0.25">
      <c r="A2426" s="36">
        <v>1837</v>
      </c>
      <c r="B2426" s="37">
        <v>43466</v>
      </c>
      <c r="C2426" s="36"/>
      <c r="D2426" s="36"/>
      <c r="E2426" s="36" t="s">
        <v>134</v>
      </c>
      <c r="F2426" s="38">
        <v>964096.875</v>
      </c>
      <c r="G2426" s="36" t="s">
        <v>8</v>
      </c>
      <c r="H2426" s="36" t="s">
        <v>228</v>
      </c>
      <c r="I2426" s="36"/>
      <c r="J2426" s="36"/>
    </row>
    <row r="2427" spans="1:10" x14ac:dyDescent="0.25">
      <c r="A2427" s="36">
        <v>1837</v>
      </c>
      <c r="B2427" s="37">
        <v>43497</v>
      </c>
      <c r="C2427" s="36"/>
      <c r="D2427" s="36"/>
      <c r="E2427" s="36" t="s">
        <v>134</v>
      </c>
      <c r="F2427" s="38">
        <v>964096.875</v>
      </c>
      <c r="G2427" s="36" t="s">
        <v>8</v>
      </c>
      <c r="H2427" s="36" t="s">
        <v>228</v>
      </c>
      <c r="I2427" s="36"/>
      <c r="J2427" s="36"/>
    </row>
    <row r="2428" spans="1:10" x14ac:dyDescent="0.25">
      <c r="A2428" s="36">
        <v>1837</v>
      </c>
      <c r="B2428" s="37">
        <v>43466</v>
      </c>
      <c r="C2428" s="36"/>
      <c r="D2428" s="36"/>
      <c r="E2428" s="36" t="s">
        <v>74</v>
      </c>
      <c r="F2428" s="38">
        <v>3764722.4999999995</v>
      </c>
      <c r="G2428" s="36" t="s">
        <v>8</v>
      </c>
      <c r="H2428" s="36" t="s">
        <v>228</v>
      </c>
      <c r="I2428" s="36"/>
      <c r="J2428" s="36"/>
    </row>
    <row r="2429" spans="1:10" x14ac:dyDescent="0.25">
      <c r="A2429" s="36">
        <v>1837</v>
      </c>
      <c r="B2429" s="37">
        <v>43497</v>
      </c>
      <c r="C2429" s="36"/>
      <c r="D2429" s="36"/>
      <c r="E2429" s="36" t="s">
        <v>74</v>
      </c>
      <c r="F2429" s="38">
        <v>3764722.4999999995</v>
      </c>
      <c r="G2429" s="36" t="s">
        <v>8</v>
      </c>
      <c r="H2429" s="36" t="s">
        <v>228</v>
      </c>
      <c r="I2429" s="36"/>
      <c r="J2429" s="36"/>
    </row>
    <row r="2430" spans="1:10" x14ac:dyDescent="0.25">
      <c r="A2430" s="36">
        <v>1845</v>
      </c>
      <c r="B2430" s="37">
        <v>43497</v>
      </c>
      <c r="C2430" s="36"/>
      <c r="D2430" s="36"/>
      <c r="E2430" s="36" t="s">
        <v>7</v>
      </c>
      <c r="F2430" s="38">
        <v>3818881.08</v>
      </c>
      <c r="G2430" s="36" t="s">
        <v>8</v>
      </c>
      <c r="H2430" s="36" t="s">
        <v>228</v>
      </c>
      <c r="I2430" s="36"/>
      <c r="J2430" s="36"/>
    </row>
    <row r="2431" spans="1:10" x14ac:dyDescent="0.25">
      <c r="A2431" s="36">
        <v>1845</v>
      </c>
      <c r="B2431" s="37">
        <v>43525</v>
      </c>
      <c r="C2431" s="36"/>
      <c r="D2431" s="36"/>
      <c r="E2431" s="36" t="s">
        <v>7</v>
      </c>
      <c r="F2431" s="38">
        <v>3818881.08</v>
      </c>
      <c r="G2431" s="36" t="s">
        <v>8</v>
      </c>
      <c r="H2431" s="36" t="s">
        <v>228</v>
      </c>
      <c r="I2431" s="36"/>
      <c r="J2431" s="36"/>
    </row>
    <row r="2432" spans="1:10" x14ac:dyDescent="0.25">
      <c r="A2432" s="36">
        <v>1845</v>
      </c>
      <c r="B2432" s="37">
        <v>43556</v>
      </c>
      <c r="C2432" s="36"/>
      <c r="D2432" s="36"/>
      <c r="E2432" s="36" t="s">
        <v>7</v>
      </c>
      <c r="F2432" s="38">
        <v>3818881.08</v>
      </c>
      <c r="G2432" s="36" t="s">
        <v>8</v>
      </c>
      <c r="H2432" s="36" t="s">
        <v>228</v>
      </c>
      <c r="I2432" s="36"/>
      <c r="J2432" s="36"/>
    </row>
    <row r="2433" spans="1:10" x14ac:dyDescent="0.25">
      <c r="A2433" s="36">
        <v>1845</v>
      </c>
      <c r="B2433" s="37">
        <v>43586</v>
      </c>
      <c r="C2433" s="36"/>
      <c r="D2433" s="36"/>
      <c r="E2433" s="36" t="s">
        <v>7</v>
      </c>
      <c r="F2433" s="38">
        <v>3818881.08</v>
      </c>
      <c r="G2433" s="36" t="s">
        <v>8</v>
      </c>
      <c r="H2433" s="36" t="s">
        <v>228</v>
      </c>
      <c r="I2433" s="36"/>
      <c r="J2433" s="36"/>
    </row>
    <row r="2434" spans="1:10" x14ac:dyDescent="0.25">
      <c r="A2434" s="36">
        <v>1845</v>
      </c>
      <c r="B2434" s="37">
        <v>43617</v>
      </c>
      <c r="C2434" s="36"/>
      <c r="D2434" s="36"/>
      <c r="E2434" s="36" t="s">
        <v>7</v>
      </c>
      <c r="F2434" s="38">
        <v>3818881.08</v>
      </c>
      <c r="G2434" s="36" t="s">
        <v>8</v>
      </c>
      <c r="H2434" s="36" t="s">
        <v>228</v>
      </c>
      <c r="I2434" s="36"/>
      <c r="J2434" s="36"/>
    </row>
    <row r="2435" spans="1:10" x14ac:dyDescent="0.25">
      <c r="A2435" s="36">
        <v>1845</v>
      </c>
      <c r="B2435" s="37">
        <v>43647</v>
      </c>
      <c r="C2435" s="36"/>
      <c r="D2435" s="36"/>
      <c r="E2435" s="36" t="s">
        <v>7</v>
      </c>
      <c r="F2435" s="38">
        <v>3818881.08</v>
      </c>
      <c r="G2435" s="36" t="s">
        <v>8</v>
      </c>
      <c r="H2435" s="36" t="s">
        <v>228</v>
      </c>
      <c r="I2435" s="36"/>
      <c r="J2435" s="36"/>
    </row>
    <row r="2436" spans="1:10" x14ac:dyDescent="0.25">
      <c r="A2436" s="36">
        <v>1845</v>
      </c>
      <c r="B2436" s="37">
        <v>43678</v>
      </c>
      <c r="C2436" s="36"/>
      <c r="D2436" s="36"/>
      <c r="E2436" s="36" t="s">
        <v>7</v>
      </c>
      <c r="F2436" s="38">
        <v>3818881.08</v>
      </c>
      <c r="G2436" s="36" t="s">
        <v>8</v>
      </c>
      <c r="H2436" s="36" t="s">
        <v>228</v>
      </c>
      <c r="I2436" s="36"/>
      <c r="J2436" s="36"/>
    </row>
    <row r="2437" spans="1:10" x14ac:dyDescent="0.25">
      <c r="A2437" s="36">
        <v>1845</v>
      </c>
      <c r="B2437" s="37">
        <v>43497</v>
      </c>
      <c r="C2437" s="36"/>
      <c r="D2437" s="36"/>
      <c r="E2437" s="36" t="s">
        <v>84</v>
      </c>
      <c r="F2437" s="38">
        <v>6750000</v>
      </c>
      <c r="G2437" s="36" t="s">
        <v>8</v>
      </c>
      <c r="H2437" s="36" t="s">
        <v>228</v>
      </c>
      <c r="I2437" s="36"/>
      <c r="J2437" s="36"/>
    </row>
    <row r="2438" spans="1:10" x14ac:dyDescent="0.25">
      <c r="A2438" s="36">
        <v>1845</v>
      </c>
      <c r="B2438" s="37">
        <v>43525</v>
      </c>
      <c r="C2438" s="36"/>
      <c r="D2438" s="36"/>
      <c r="E2438" s="36" t="s">
        <v>84</v>
      </c>
      <c r="F2438" s="38">
        <v>6750000</v>
      </c>
      <c r="G2438" s="36" t="s">
        <v>8</v>
      </c>
      <c r="H2438" s="36" t="s">
        <v>228</v>
      </c>
      <c r="I2438" s="36"/>
      <c r="J2438" s="36"/>
    </row>
    <row r="2439" spans="1:10" x14ac:dyDescent="0.25">
      <c r="A2439" s="36">
        <v>1845</v>
      </c>
      <c r="B2439" s="37">
        <v>43556</v>
      </c>
      <c r="C2439" s="36"/>
      <c r="D2439" s="36"/>
      <c r="E2439" s="36" t="s">
        <v>84</v>
      </c>
      <c r="F2439" s="38">
        <v>6750000</v>
      </c>
      <c r="G2439" s="36" t="s">
        <v>8</v>
      </c>
      <c r="H2439" s="36" t="s">
        <v>228</v>
      </c>
      <c r="I2439" s="36"/>
      <c r="J2439" s="36"/>
    </row>
    <row r="2440" spans="1:10" x14ac:dyDescent="0.25">
      <c r="A2440" s="36">
        <v>1845</v>
      </c>
      <c r="B2440" s="37">
        <v>43586</v>
      </c>
      <c r="C2440" s="36"/>
      <c r="D2440" s="36"/>
      <c r="E2440" s="36" t="s">
        <v>84</v>
      </c>
      <c r="F2440" s="38">
        <v>6750000</v>
      </c>
      <c r="G2440" s="36" t="s">
        <v>8</v>
      </c>
      <c r="H2440" s="36" t="s">
        <v>228</v>
      </c>
      <c r="I2440" s="36"/>
      <c r="J2440" s="36"/>
    </row>
    <row r="2441" spans="1:10" x14ac:dyDescent="0.25">
      <c r="A2441" s="36">
        <v>1845</v>
      </c>
      <c r="B2441" s="37">
        <v>43617</v>
      </c>
      <c r="C2441" s="36"/>
      <c r="D2441" s="36"/>
      <c r="E2441" s="36" t="s">
        <v>84</v>
      </c>
      <c r="F2441" s="38">
        <v>6750000</v>
      </c>
      <c r="G2441" s="36" t="s">
        <v>8</v>
      </c>
      <c r="H2441" s="36" t="s">
        <v>228</v>
      </c>
      <c r="I2441" s="36"/>
      <c r="J2441" s="36"/>
    </row>
    <row r="2442" spans="1:10" x14ac:dyDescent="0.25">
      <c r="A2442" s="36">
        <v>1845</v>
      </c>
      <c r="B2442" s="37">
        <v>43647</v>
      </c>
      <c r="C2442" s="36"/>
      <c r="D2442" s="36"/>
      <c r="E2442" s="36" t="s">
        <v>84</v>
      </c>
      <c r="F2442" s="38">
        <v>6750000</v>
      </c>
      <c r="G2442" s="36" t="s">
        <v>8</v>
      </c>
      <c r="H2442" s="36" t="s">
        <v>228</v>
      </c>
      <c r="I2442" s="36"/>
      <c r="J2442" s="36"/>
    </row>
    <row r="2443" spans="1:10" x14ac:dyDescent="0.25">
      <c r="A2443" s="36">
        <v>1845</v>
      </c>
      <c r="B2443" s="37">
        <v>43678</v>
      </c>
      <c r="C2443" s="36"/>
      <c r="D2443" s="36"/>
      <c r="E2443" s="36" t="s">
        <v>84</v>
      </c>
      <c r="F2443" s="38">
        <v>6750000</v>
      </c>
      <c r="G2443" s="36" t="s">
        <v>8</v>
      </c>
      <c r="H2443" s="36" t="s">
        <v>228</v>
      </c>
      <c r="I2443" s="36"/>
      <c r="J2443" s="36"/>
    </row>
    <row r="2444" spans="1:10" x14ac:dyDescent="0.25">
      <c r="A2444" s="36">
        <v>1845</v>
      </c>
      <c r="B2444" s="37">
        <v>43497</v>
      </c>
      <c r="C2444" s="36"/>
      <c r="D2444" s="36"/>
      <c r="E2444" s="36" t="s">
        <v>65</v>
      </c>
      <c r="F2444" s="38">
        <v>1961638.6500000001</v>
      </c>
      <c r="G2444" s="36" t="s">
        <v>8</v>
      </c>
      <c r="H2444" s="36" t="s">
        <v>228</v>
      </c>
      <c r="I2444" s="36"/>
      <c r="J2444" s="36"/>
    </row>
    <row r="2445" spans="1:10" x14ac:dyDescent="0.25">
      <c r="A2445" s="36">
        <v>1845</v>
      </c>
      <c r="B2445" s="37">
        <v>43525</v>
      </c>
      <c r="C2445" s="36"/>
      <c r="D2445" s="36"/>
      <c r="E2445" s="36" t="s">
        <v>65</v>
      </c>
      <c r="F2445" s="38">
        <v>1961638.6500000001</v>
      </c>
      <c r="G2445" s="36" t="s">
        <v>8</v>
      </c>
      <c r="H2445" s="36" t="s">
        <v>228</v>
      </c>
      <c r="I2445" s="36"/>
      <c r="J2445" s="36"/>
    </row>
    <row r="2446" spans="1:10" x14ac:dyDescent="0.25">
      <c r="A2446" s="36">
        <v>1845</v>
      </c>
      <c r="B2446" s="37">
        <v>43556</v>
      </c>
      <c r="C2446" s="36"/>
      <c r="D2446" s="36"/>
      <c r="E2446" s="36" t="s">
        <v>65</v>
      </c>
      <c r="F2446" s="38">
        <v>1961638.6500000001</v>
      </c>
      <c r="G2446" s="36" t="s">
        <v>8</v>
      </c>
      <c r="H2446" s="36" t="s">
        <v>228</v>
      </c>
      <c r="I2446" s="36"/>
      <c r="J2446" s="36"/>
    </row>
    <row r="2447" spans="1:10" x14ac:dyDescent="0.25">
      <c r="A2447" s="36">
        <v>1845</v>
      </c>
      <c r="B2447" s="37">
        <v>43586</v>
      </c>
      <c r="C2447" s="36"/>
      <c r="D2447" s="36"/>
      <c r="E2447" s="36" t="s">
        <v>65</v>
      </c>
      <c r="F2447" s="38">
        <v>1961638.6500000001</v>
      </c>
      <c r="G2447" s="36" t="s">
        <v>8</v>
      </c>
      <c r="H2447" s="36" t="s">
        <v>228</v>
      </c>
      <c r="I2447" s="36"/>
      <c r="J2447" s="36"/>
    </row>
    <row r="2448" spans="1:10" x14ac:dyDescent="0.25">
      <c r="A2448" s="36">
        <v>1845</v>
      </c>
      <c r="B2448" s="37">
        <v>43617</v>
      </c>
      <c r="C2448" s="36"/>
      <c r="D2448" s="36"/>
      <c r="E2448" s="36" t="s">
        <v>65</v>
      </c>
      <c r="F2448" s="38">
        <v>1961638.6500000001</v>
      </c>
      <c r="G2448" s="36" t="s">
        <v>8</v>
      </c>
      <c r="H2448" s="36" t="s">
        <v>228</v>
      </c>
      <c r="I2448" s="36"/>
      <c r="J2448" s="36"/>
    </row>
    <row r="2449" spans="1:10" x14ac:dyDescent="0.25">
      <c r="A2449" s="36">
        <v>1845</v>
      </c>
      <c r="B2449" s="37">
        <v>43647</v>
      </c>
      <c r="C2449" s="36"/>
      <c r="D2449" s="36"/>
      <c r="E2449" s="36" t="s">
        <v>65</v>
      </c>
      <c r="F2449" s="38">
        <v>1961638.6500000001</v>
      </c>
      <c r="G2449" s="36" t="s">
        <v>8</v>
      </c>
      <c r="H2449" s="36" t="s">
        <v>228</v>
      </c>
      <c r="I2449" s="36"/>
      <c r="J2449" s="36"/>
    </row>
    <row r="2450" spans="1:10" x14ac:dyDescent="0.25">
      <c r="A2450" s="36">
        <v>1845</v>
      </c>
      <c r="B2450" s="37">
        <v>43678</v>
      </c>
      <c r="C2450" s="36"/>
      <c r="D2450" s="36"/>
      <c r="E2450" s="36" t="s">
        <v>65</v>
      </c>
      <c r="F2450" s="38">
        <v>1961638.6500000001</v>
      </c>
      <c r="G2450" s="36" t="s">
        <v>8</v>
      </c>
      <c r="H2450" s="36" t="s">
        <v>228</v>
      </c>
      <c r="I2450" s="36"/>
      <c r="J2450" s="36"/>
    </row>
    <row r="2451" spans="1:10" x14ac:dyDescent="0.25">
      <c r="A2451" s="36">
        <v>1845</v>
      </c>
      <c r="B2451" s="37">
        <v>43497</v>
      </c>
      <c r="C2451" s="36"/>
      <c r="D2451" s="36"/>
      <c r="E2451" s="36" t="s">
        <v>23</v>
      </c>
      <c r="F2451" s="38">
        <v>5271741.5887850448</v>
      </c>
      <c r="G2451" s="36" t="s">
        <v>8</v>
      </c>
      <c r="H2451" s="36" t="s">
        <v>228</v>
      </c>
      <c r="I2451" s="36"/>
      <c r="J2451" s="36"/>
    </row>
    <row r="2452" spans="1:10" x14ac:dyDescent="0.25">
      <c r="A2452" s="36">
        <v>1845</v>
      </c>
      <c r="B2452" s="37">
        <v>43525</v>
      </c>
      <c r="C2452" s="36"/>
      <c r="D2452" s="36"/>
      <c r="E2452" s="36" t="s">
        <v>23</v>
      </c>
      <c r="F2452" s="38">
        <v>5271741.5887850448</v>
      </c>
      <c r="G2452" s="36" t="s">
        <v>8</v>
      </c>
      <c r="H2452" s="36" t="s">
        <v>228</v>
      </c>
      <c r="I2452" s="36"/>
      <c r="J2452" s="36"/>
    </row>
    <row r="2453" spans="1:10" x14ac:dyDescent="0.25">
      <c r="A2453" s="36">
        <v>1845</v>
      </c>
      <c r="B2453" s="37">
        <v>43556</v>
      </c>
      <c r="C2453" s="36"/>
      <c r="D2453" s="36"/>
      <c r="E2453" s="36" t="s">
        <v>23</v>
      </c>
      <c r="F2453" s="38">
        <v>5271741.5887850448</v>
      </c>
      <c r="G2453" s="36" t="s">
        <v>8</v>
      </c>
      <c r="H2453" s="36" t="s">
        <v>228</v>
      </c>
      <c r="I2453" s="36"/>
      <c r="J2453" s="36"/>
    </row>
    <row r="2454" spans="1:10" x14ac:dyDescent="0.25">
      <c r="A2454" s="36">
        <v>1845</v>
      </c>
      <c r="B2454" s="37">
        <v>43586</v>
      </c>
      <c r="C2454" s="36"/>
      <c r="D2454" s="36"/>
      <c r="E2454" s="36" t="s">
        <v>23</v>
      </c>
      <c r="F2454" s="38">
        <v>5271741.5887850448</v>
      </c>
      <c r="G2454" s="36" t="s">
        <v>8</v>
      </c>
      <c r="H2454" s="36" t="s">
        <v>228</v>
      </c>
      <c r="I2454" s="36"/>
      <c r="J2454" s="36"/>
    </row>
    <row r="2455" spans="1:10" x14ac:dyDescent="0.25">
      <c r="A2455" s="36">
        <v>1845</v>
      </c>
      <c r="B2455" s="37">
        <v>43617</v>
      </c>
      <c r="C2455" s="36"/>
      <c r="D2455" s="36"/>
      <c r="E2455" s="36" t="s">
        <v>23</v>
      </c>
      <c r="F2455" s="38">
        <v>5271741.5887850448</v>
      </c>
      <c r="G2455" s="36" t="s">
        <v>8</v>
      </c>
      <c r="H2455" s="36" t="s">
        <v>228</v>
      </c>
      <c r="I2455" s="36"/>
      <c r="J2455" s="36"/>
    </row>
    <row r="2456" spans="1:10" x14ac:dyDescent="0.25">
      <c r="A2456" s="36">
        <v>1845</v>
      </c>
      <c r="B2456" s="37">
        <v>43647</v>
      </c>
      <c r="C2456" s="36"/>
      <c r="D2456" s="36"/>
      <c r="E2456" s="36" t="s">
        <v>23</v>
      </c>
      <c r="F2456" s="38">
        <v>5271741.5887850448</v>
      </c>
      <c r="G2456" s="36" t="s">
        <v>8</v>
      </c>
      <c r="H2456" s="36" t="s">
        <v>228</v>
      </c>
      <c r="I2456" s="36"/>
      <c r="J2456" s="36"/>
    </row>
    <row r="2457" spans="1:10" x14ac:dyDescent="0.25">
      <c r="A2457" s="36">
        <v>1845</v>
      </c>
      <c r="B2457" s="37">
        <v>43678</v>
      </c>
      <c r="C2457" s="36"/>
      <c r="D2457" s="36"/>
      <c r="E2457" s="36" t="s">
        <v>23</v>
      </c>
      <c r="F2457" s="38">
        <v>5271741.5887850448</v>
      </c>
      <c r="G2457" s="36" t="s">
        <v>8</v>
      </c>
      <c r="H2457" s="36" t="s">
        <v>228</v>
      </c>
      <c r="I2457" s="36"/>
      <c r="J2457" s="36"/>
    </row>
    <row r="2458" spans="1:10" x14ac:dyDescent="0.25">
      <c r="A2458" s="36">
        <v>1845</v>
      </c>
      <c r="B2458" s="37">
        <v>43497</v>
      </c>
      <c r="C2458" s="36"/>
      <c r="D2458" s="36"/>
      <c r="E2458" s="36" t="s">
        <v>22</v>
      </c>
      <c r="F2458" s="38">
        <v>3855251.3759999997</v>
      </c>
      <c r="G2458" s="36" t="s">
        <v>8</v>
      </c>
      <c r="H2458" s="36" t="s">
        <v>228</v>
      </c>
      <c r="I2458" s="36"/>
      <c r="J2458" s="36"/>
    </row>
    <row r="2459" spans="1:10" x14ac:dyDescent="0.25">
      <c r="A2459" s="36">
        <v>1845</v>
      </c>
      <c r="B2459" s="37">
        <v>43525</v>
      </c>
      <c r="C2459" s="36"/>
      <c r="D2459" s="36"/>
      <c r="E2459" s="36" t="s">
        <v>22</v>
      </c>
      <c r="F2459" s="38">
        <v>3855251.3759999997</v>
      </c>
      <c r="G2459" s="36" t="s">
        <v>8</v>
      </c>
      <c r="H2459" s="36" t="s">
        <v>228</v>
      </c>
      <c r="I2459" s="36"/>
      <c r="J2459" s="36"/>
    </row>
    <row r="2460" spans="1:10" x14ac:dyDescent="0.25">
      <c r="A2460" s="36">
        <v>1845</v>
      </c>
      <c r="B2460" s="37">
        <v>43556</v>
      </c>
      <c r="C2460" s="36"/>
      <c r="D2460" s="36"/>
      <c r="E2460" s="36" t="s">
        <v>22</v>
      </c>
      <c r="F2460" s="38">
        <v>3855251.3759999997</v>
      </c>
      <c r="G2460" s="36" t="s">
        <v>8</v>
      </c>
      <c r="H2460" s="36" t="s">
        <v>228</v>
      </c>
      <c r="I2460" s="36"/>
      <c r="J2460" s="36"/>
    </row>
    <row r="2461" spans="1:10" x14ac:dyDescent="0.25">
      <c r="A2461" s="36">
        <v>1845</v>
      </c>
      <c r="B2461" s="37">
        <v>43586</v>
      </c>
      <c r="C2461" s="36"/>
      <c r="D2461" s="36"/>
      <c r="E2461" s="36" t="s">
        <v>22</v>
      </c>
      <c r="F2461" s="38">
        <v>3855251.3759999997</v>
      </c>
      <c r="G2461" s="36" t="s">
        <v>8</v>
      </c>
      <c r="H2461" s="36" t="s">
        <v>228</v>
      </c>
      <c r="I2461" s="36"/>
      <c r="J2461" s="36"/>
    </row>
    <row r="2462" spans="1:10" x14ac:dyDescent="0.25">
      <c r="A2462" s="36">
        <v>1845</v>
      </c>
      <c r="B2462" s="37">
        <v>43617</v>
      </c>
      <c r="C2462" s="36"/>
      <c r="D2462" s="36"/>
      <c r="E2462" s="36" t="s">
        <v>22</v>
      </c>
      <c r="F2462" s="38">
        <v>3855251.3759999997</v>
      </c>
      <c r="G2462" s="36" t="s">
        <v>8</v>
      </c>
      <c r="H2462" s="36" t="s">
        <v>228</v>
      </c>
      <c r="I2462" s="36"/>
      <c r="J2462" s="36"/>
    </row>
    <row r="2463" spans="1:10" x14ac:dyDescent="0.25">
      <c r="A2463" s="36">
        <v>1845</v>
      </c>
      <c r="B2463" s="37">
        <v>43647</v>
      </c>
      <c r="C2463" s="36"/>
      <c r="D2463" s="36"/>
      <c r="E2463" s="36" t="s">
        <v>22</v>
      </c>
      <c r="F2463" s="38">
        <v>3855251.3759999997</v>
      </c>
      <c r="G2463" s="36" t="s">
        <v>8</v>
      </c>
      <c r="H2463" s="36" t="s">
        <v>228</v>
      </c>
      <c r="I2463" s="36"/>
      <c r="J2463" s="36"/>
    </row>
    <row r="2464" spans="1:10" x14ac:dyDescent="0.25">
      <c r="A2464" s="36">
        <v>1845</v>
      </c>
      <c r="B2464" s="37">
        <v>43678</v>
      </c>
      <c r="C2464" s="36"/>
      <c r="D2464" s="36"/>
      <c r="E2464" s="36" t="s">
        <v>22</v>
      </c>
      <c r="F2464" s="38">
        <v>3855251.3759999997</v>
      </c>
      <c r="G2464" s="36" t="s">
        <v>8</v>
      </c>
      <c r="H2464" s="36" t="s">
        <v>228</v>
      </c>
      <c r="I2464" s="36"/>
      <c r="J2464" s="36"/>
    </row>
    <row r="2465" spans="1:10" x14ac:dyDescent="0.25">
      <c r="A2465" s="36">
        <v>1385</v>
      </c>
      <c r="B2465" s="37">
        <v>43466</v>
      </c>
      <c r="C2465" s="36"/>
      <c r="D2465" s="36"/>
      <c r="E2465" s="36" t="s">
        <v>137</v>
      </c>
      <c r="F2465" s="38">
        <v>12913846.050000001</v>
      </c>
      <c r="G2465" s="36" t="s">
        <v>8</v>
      </c>
      <c r="H2465" s="36" t="s">
        <v>228</v>
      </c>
      <c r="I2465" s="36"/>
      <c r="J2465" s="36"/>
    </row>
    <row r="2466" spans="1:10" x14ac:dyDescent="0.25">
      <c r="A2466" s="36">
        <v>1385</v>
      </c>
      <c r="B2466" s="37">
        <v>43497</v>
      </c>
      <c r="C2466" s="36"/>
      <c r="D2466" s="36"/>
      <c r="E2466" s="36" t="s">
        <v>137</v>
      </c>
      <c r="F2466" s="38">
        <v>12913846.050000001</v>
      </c>
      <c r="G2466" s="36" t="s">
        <v>8</v>
      </c>
      <c r="H2466" s="36" t="s">
        <v>228</v>
      </c>
      <c r="I2466" s="36"/>
      <c r="J2466" s="36"/>
    </row>
    <row r="2467" spans="1:10" x14ac:dyDescent="0.25">
      <c r="A2467" s="36">
        <v>1385</v>
      </c>
      <c r="B2467" s="37">
        <v>43525</v>
      </c>
      <c r="C2467" s="36"/>
      <c r="D2467" s="36"/>
      <c r="E2467" s="36" t="s">
        <v>137</v>
      </c>
      <c r="F2467" s="38">
        <v>12913846.050000001</v>
      </c>
      <c r="G2467" s="36" t="s">
        <v>8</v>
      </c>
      <c r="H2467" s="36" t="s">
        <v>228</v>
      </c>
      <c r="I2467" s="36"/>
      <c r="J2467" s="36"/>
    </row>
    <row r="2468" spans="1:10" x14ac:dyDescent="0.25">
      <c r="A2468" s="36">
        <v>1385</v>
      </c>
      <c r="B2468" s="37">
        <v>43556</v>
      </c>
      <c r="C2468" s="36"/>
      <c r="D2468" s="36"/>
      <c r="E2468" s="36" t="s">
        <v>137</v>
      </c>
      <c r="F2468" s="38">
        <v>12913846.050000001</v>
      </c>
      <c r="G2468" s="36" t="s">
        <v>8</v>
      </c>
      <c r="H2468" s="36" t="s">
        <v>228</v>
      </c>
      <c r="I2468" s="36"/>
      <c r="J2468" s="36"/>
    </row>
    <row r="2469" spans="1:10" x14ac:dyDescent="0.25">
      <c r="A2469" s="36">
        <v>1385</v>
      </c>
      <c r="B2469" s="37">
        <v>43586</v>
      </c>
      <c r="C2469" s="36"/>
      <c r="D2469" s="36"/>
      <c r="E2469" s="36" t="s">
        <v>137</v>
      </c>
      <c r="F2469" s="38">
        <v>12913846.050000001</v>
      </c>
      <c r="G2469" s="36" t="s">
        <v>8</v>
      </c>
      <c r="H2469" s="36" t="s">
        <v>228</v>
      </c>
      <c r="I2469" s="36"/>
      <c r="J2469" s="36"/>
    </row>
    <row r="2470" spans="1:10" x14ac:dyDescent="0.25">
      <c r="A2470" s="36">
        <v>1385</v>
      </c>
      <c r="B2470" s="37">
        <v>43466</v>
      </c>
      <c r="C2470" s="36"/>
      <c r="D2470" s="36"/>
      <c r="E2470" s="36" t="s">
        <v>21</v>
      </c>
      <c r="F2470" s="38">
        <v>7300574.4000000004</v>
      </c>
      <c r="G2470" s="36" t="s">
        <v>8</v>
      </c>
      <c r="H2470" s="36" t="s">
        <v>228</v>
      </c>
      <c r="I2470" s="36"/>
      <c r="J2470" s="36"/>
    </row>
    <row r="2471" spans="1:10" x14ac:dyDescent="0.25">
      <c r="A2471" s="36">
        <v>1385</v>
      </c>
      <c r="B2471" s="37">
        <v>43497</v>
      </c>
      <c r="C2471" s="36"/>
      <c r="D2471" s="36"/>
      <c r="E2471" s="36" t="s">
        <v>21</v>
      </c>
      <c r="F2471" s="38">
        <v>7300574.4000000004</v>
      </c>
      <c r="G2471" s="36" t="s">
        <v>8</v>
      </c>
      <c r="H2471" s="36" t="s">
        <v>228</v>
      </c>
      <c r="I2471" s="36"/>
      <c r="J2471" s="36"/>
    </row>
    <row r="2472" spans="1:10" x14ac:dyDescent="0.25">
      <c r="A2472" s="36">
        <v>1385</v>
      </c>
      <c r="B2472" s="37">
        <v>43525</v>
      </c>
      <c r="C2472" s="36"/>
      <c r="D2472" s="36"/>
      <c r="E2472" s="36" t="s">
        <v>21</v>
      </c>
      <c r="F2472" s="38">
        <v>7300574.4000000004</v>
      </c>
      <c r="G2472" s="36" t="s">
        <v>8</v>
      </c>
      <c r="H2472" s="36" t="s">
        <v>228</v>
      </c>
      <c r="I2472" s="36"/>
      <c r="J2472" s="36"/>
    </row>
    <row r="2473" spans="1:10" x14ac:dyDescent="0.25">
      <c r="A2473" s="36">
        <v>1385</v>
      </c>
      <c r="B2473" s="37">
        <v>43556</v>
      </c>
      <c r="C2473" s="36"/>
      <c r="D2473" s="36"/>
      <c r="E2473" s="36" t="s">
        <v>21</v>
      </c>
      <c r="F2473" s="38">
        <v>7300574.4000000004</v>
      </c>
      <c r="G2473" s="36" t="s">
        <v>8</v>
      </c>
      <c r="H2473" s="36" t="s">
        <v>228</v>
      </c>
      <c r="I2473" s="36"/>
      <c r="J2473" s="36"/>
    </row>
    <row r="2474" spans="1:10" x14ac:dyDescent="0.25">
      <c r="A2474" s="36">
        <v>1385</v>
      </c>
      <c r="B2474" s="37">
        <v>43586</v>
      </c>
      <c r="C2474" s="36"/>
      <c r="D2474" s="36"/>
      <c r="E2474" s="36" t="s">
        <v>21</v>
      </c>
      <c r="F2474" s="38">
        <v>7300574.4000000004</v>
      </c>
      <c r="G2474" s="36" t="s">
        <v>8</v>
      </c>
      <c r="H2474" s="36" t="s">
        <v>228</v>
      </c>
      <c r="I2474" s="36"/>
      <c r="J2474" s="36"/>
    </row>
    <row r="2475" spans="1:10" x14ac:dyDescent="0.25">
      <c r="A2475" s="36">
        <v>1385</v>
      </c>
      <c r="B2475" s="37">
        <v>43466</v>
      </c>
      <c r="C2475" s="36"/>
      <c r="D2475" s="36"/>
      <c r="E2475" s="36" t="s">
        <v>21</v>
      </c>
      <c r="F2475" s="38">
        <v>7300574.4000000004</v>
      </c>
      <c r="G2475" s="36" t="s">
        <v>8</v>
      </c>
      <c r="H2475" s="36" t="s">
        <v>228</v>
      </c>
      <c r="I2475" s="36"/>
      <c r="J2475" s="36"/>
    </row>
    <row r="2476" spans="1:10" x14ac:dyDescent="0.25">
      <c r="A2476" s="36">
        <v>1385</v>
      </c>
      <c r="B2476" s="37">
        <v>43497</v>
      </c>
      <c r="C2476" s="36"/>
      <c r="D2476" s="36"/>
      <c r="E2476" s="36" t="s">
        <v>21</v>
      </c>
      <c r="F2476" s="38">
        <v>7300574.4000000004</v>
      </c>
      <c r="G2476" s="36" t="s">
        <v>8</v>
      </c>
      <c r="H2476" s="36" t="s">
        <v>228</v>
      </c>
      <c r="I2476" s="36"/>
      <c r="J2476" s="36"/>
    </row>
    <row r="2477" spans="1:10" x14ac:dyDescent="0.25">
      <c r="A2477" s="36">
        <v>1385</v>
      </c>
      <c r="B2477" s="37">
        <v>43525</v>
      </c>
      <c r="C2477" s="36"/>
      <c r="D2477" s="36"/>
      <c r="E2477" s="36" t="s">
        <v>21</v>
      </c>
      <c r="F2477" s="38">
        <v>7300574.4000000004</v>
      </c>
      <c r="G2477" s="36" t="s">
        <v>8</v>
      </c>
      <c r="H2477" s="36" t="s">
        <v>228</v>
      </c>
      <c r="I2477" s="36"/>
      <c r="J2477" s="36"/>
    </row>
    <row r="2478" spans="1:10" x14ac:dyDescent="0.25">
      <c r="A2478" s="36">
        <v>1385</v>
      </c>
      <c r="B2478" s="37">
        <v>43556</v>
      </c>
      <c r="C2478" s="36"/>
      <c r="D2478" s="36"/>
      <c r="E2478" s="36" t="s">
        <v>21</v>
      </c>
      <c r="F2478" s="38">
        <v>7300574.4000000004</v>
      </c>
      <c r="G2478" s="36" t="s">
        <v>8</v>
      </c>
      <c r="H2478" s="36" t="s">
        <v>228</v>
      </c>
      <c r="I2478" s="36"/>
      <c r="J2478" s="36"/>
    </row>
    <row r="2479" spans="1:10" x14ac:dyDescent="0.25">
      <c r="A2479" s="36">
        <v>1385</v>
      </c>
      <c r="B2479" s="37">
        <v>43586</v>
      </c>
      <c r="C2479" s="36"/>
      <c r="D2479" s="36"/>
      <c r="E2479" s="36" t="s">
        <v>21</v>
      </c>
      <c r="F2479" s="38">
        <v>7300574.4000000004</v>
      </c>
      <c r="G2479" s="36" t="s">
        <v>8</v>
      </c>
      <c r="H2479" s="36" t="s">
        <v>228</v>
      </c>
      <c r="I2479" s="36"/>
      <c r="J2479" s="36"/>
    </row>
    <row r="2480" spans="1:10" x14ac:dyDescent="0.25">
      <c r="A2480" s="36">
        <v>1385</v>
      </c>
      <c r="B2480" s="37">
        <v>43466</v>
      </c>
      <c r="C2480" s="36"/>
      <c r="D2480" s="36"/>
      <c r="E2480" s="36" t="s">
        <v>21</v>
      </c>
      <c r="F2480" s="38">
        <v>7300574.4000000004</v>
      </c>
      <c r="G2480" s="36" t="s">
        <v>8</v>
      </c>
      <c r="H2480" s="36" t="s">
        <v>228</v>
      </c>
      <c r="I2480" s="36"/>
      <c r="J2480" s="36"/>
    </row>
    <row r="2481" spans="1:10" x14ac:dyDescent="0.25">
      <c r="A2481" s="36">
        <v>1385</v>
      </c>
      <c r="B2481" s="37">
        <v>43497</v>
      </c>
      <c r="C2481" s="36"/>
      <c r="D2481" s="36"/>
      <c r="E2481" s="36" t="s">
        <v>21</v>
      </c>
      <c r="F2481" s="38">
        <v>7300574.4000000004</v>
      </c>
      <c r="G2481" s="36" t="s">
        <v>8</v>
      </c>
      <c r="H2481" s="36" t="s">
        <v>228</v>
      </c>
      <c r="I2481" s="36"/>
      <c r="J2481" s="36"/>
    </row>
    <row r="2482" spans="1:10" x14ac:dyDescent="0.25">
      <c r="A2482" s="36">
        <v>1385</v>
      </c>
      <c r="B2482" s="37">
        <v>43525</v>
      </c>
      <c r="C2482" s="36"/>
      <c r="D2482" s="36"/>
      <c r="E2482" s="36" t="s">
        <v>21</v>
      </c>
      <c r="F2482" s="38">
        <v>7300574.4000000004</v>
      </c>
      <c r="G2482" s="36" t="s">
        <v>8</v>
      </c>
      <c r="H2482" s="36" t="s">
        <v>228</v>
      </c>
      <c r="I2482" s="36"/>
      <c r="J2482" s="36"/>
    </row>
    <row r="2483" spans="1:10" x14ac:dyDescent="0.25">
      <c r="A2483" s="36">
        <v>1385</v>
      </c>
      <c r="B2483" s="37">
        <v>43556</v>
      </c>
      <c r="C2483" s="36"/>
      <c r="D2483" s="36"/>
      <c r="E2483" s="36" t="s">
        <v>21</v>
      </c>
      <c r="F2483" s="38">
        <v>7300574.4000000004</v>
      </c>
      <c r="G2483" s="36" t="s">
        <v>8</v>
      </c>
      <c r="H2483" s="36" t="s">
        <v>228</v>
      </c>
      <c r="I2483" s="36"/>
      <c r="J2483" s="36"/>
    </row>
    <row r="2484" spans="1:10" x14ac:dyDescent="0.25">
      <c r="A2484" s="36">
        <v>1385</v>
      </c>
      <c r="B2484" s="37">
        <v>43586</v>
      </c>
      <c r="C2484" s="36"/>
      <c r="D2484" s="36"/>
      <c r="E2484" s="36" t="s">
        <v>21</v>
      </c>
      <c r="F2484" s="38">
        <v>7300574.4000000004</v>
      </c>
      <c r="G2484" s="36" t="s">
        <v>8</v>
      </c>
      <c r="H2484" s="36" t="s">
        <v>228</v>
      </c>
      <c r="I2484" s="36"/>
      <c r="J2484" s="36"/>
    </row>
    <row r="2485" spans="1:10" x14ac:dyDescent="0.25">
      <c r="A2485" s="36">
        <v>1385</v>
      </c>
      <c r="B2485" s="37">
        <v>43466</v>
      </c>
      <c r="C2485" s="36"/>
      <c r="D2485" s="36"/>
      <c r="E2485" s="36" t="s">
        <v>23</v>
      </c>
      <c r="F2485" s="38">
        <v>5214695.8500000006</v>
      </c>
      <c r="G2485" s="36" t="s">
        <v>8</v>
      </c>
      <c r="H2485" s="36" t="s">
        <v>228</v>
      </c>
      <c r="I2485" s="36"/>
      <c r="J2485" s="36"/>
    </row>
    <row r="2486" spans="1:10" x14ac:dyDescent="0.25">
      <c r="A2486" s="36">
        <v>1385</v>
      </c>
      <c r="B2486" s="37">
        <v>43497</v>
      </c>
      <c r="C2486" s="36"/>
      <c r="D2486" s="36"/>
      <c r="E2486" s="36" t="s">
        <v>23</v>
      </c>
      <c r="F2486" s="38">
        <v>5214695.8500000006</v>
      </c>
      <c r="G2486" s="36" t="s">
        <v>8</v>
      </c>
      <c r="H2486" s="36" t="s">
        <v>228</v>
      </c>
      <c r="I2486" s="36"/>
      <c r="J2486" s="36"/>
    </row>
    <row r="2487" spans="1:10" x14ac:dyDescent="0.25">
      <c r="A2487" s="36">
        <v>1385</v>
      </c>
      <c r="B2487" s="37">
        <v>43525</v>
      </c>
      <c r="C2487" s="36"/>
      <c r="D2487" s="36"/>
      <c r="E2487" s="36" t="s">
        <v>23</v>
      </c>
      <c r="F2487" s="38">
        <v>5214695.8500000006</v>
      </c>
      <c r="G2487" s="36" t="s">
        <v>8</v>
      </c>
      <c r="H2487" s="36" t="s">
        <v>228</v>
      </c>
      <c r="I2487" s="36"/>
      <c r="J2487" s="36"/>
    </row>
    <row r="2488" spans="1:10" x14ac:dyDescent="0.25">
      <c r="A2488" s="36">
        <v>1385</v>
      </c>
      <c r="B2488" s="37">
        <v>43556</v>
      </c>
      <c r="C2488" s="36"/>
      <c r="D2488" s="36"/>
      <c r="E2488" s="36" t="s">
        <v>23</v>
      </c>
      <c r="F2488" s="38">
        <v>5214695.8500000006</v>
      </c>
      <c r="G2488" s="36" t="s">
        <v>8</v>
      </c>
      <c r="H2488" s="36" t="s">
        <v>228</v>
      </c>
      <c r="I2488" s="36"/>
      <c r="J2488" s="36"/>
    </row>
    <row r="2489" spans="1:10" x14ac:dyDescent="0.25">
      <c r="A2489" s="36">
        <v>1385</v>
      </c>
      <c r="B2489" s="37">
        <v>43586</v>
      </c>
      <c r="C2489" s="36"/>
      <c r="D2489" s="36"/>
      <c r="E2489" s="36" t="s">
        <v>23</v>
      </c>
      <c r="F2489" s="38">
        <v>5214695.8500000006</v>
      </c>
      <c r="G2489" s="36" t="s">
        <v>8</v>
      </c>
      <c r="H2489" s="36" t="s">
        <v>228</v>
      </c>
      <c r="I2489" s="36"/>
      <c r="J2489" s="36"/>
    </row>
    <row r="2490" spans="1:10" x14ac:dyDescent="0.25">
      <c r="A2490" s="36">
        <v>1385</v>
      </c>
      <c r="B2490" s="37">
        <v>43466</v>
      </c>
      <c r="C2490" s="36"/>
      <c r="D2490" s="36"/>
      <c r="E2490" s="36" t="s">
        <v>111</v>
      </c>
      <c r="F2490" s="38">
        <v>5214695.8500000006</v>
      </c>
      <c r="G2490" s="36" t="s">
        <v>8</v>
      </c>
      <c r="H2490" s="36" t="s">
        <v>228</v>
      </c>
      <c r="I2490" s="36"/>
      <c r="J2490" s="36"/>
    </row>
    <row r="2491" spans="1:10" x14ac:dyDescent="0.25">
      <c r="A2491" s="36">
        <v>1385</v>
      </c>
      <c r="B2491" s="37">
        <v>43497</v>
      </c>
      <c r="C2491" s="36"/>
      <c r="D2491" s="36"/>
      <c r="E2491" s="36" t="s">
        <v>111</v>
      </c>
      <c r="F2491" s="38">
        <v>5214695.8500000006</v>
      </c>
      <c r="G2491" s="36" t="s">
        <v>8</v>
      </c>
      <c r="H2491" s="36" t="s">
        <v>228</v>
      </c>
      <c r="I2491" s="36"/>
      <c r="J2491" s="36"/>
    </row>
    <row r="2492" spans="1:10" x14ac:dyDescent="0.25">
      <c r="A2492" s="36">
        <v>1385</v>
      </c>
      <c r="B2492" s="37">
        <v>43525</v>
      </c>
      <c r="C2492" s="36"/>
      <c r="D2492" s="36"/>
      <c r="E2492" s="36" t="s">
        <v>111</v>
      </c>
      <c r="F2492" s="38">
        <v>5214695.8500000006</v>
      </c>
      <c r="G2492" s="36" t="s">
        <v>8</v>
      </c>
      <c r="H2492" s="36" t="s">
        <v>228</v>
      </c>
      <c r="I2492" s="36"/>
      <c r="J2492" s="36"/>
    </row>
    <row r="2493" spans="1:10" x14ac:dyDescent="0.25">
      <c r="A2493" s="36">
        <v>1385</v>
      </c>
      <c r="B2493" s="37">
        <v>43556</v>
      </c>
      <c r="C2493" s="36"/>
      <c r="D2493" s="36"/>
      <c r="E2493" s="36" t="s">
        <v>111</v>
      </c>
      <c r="F2493" s="38">
        <v>5214695.8500000006</v>
      </c>
      <c r="G2493" s="36" t="s">
        <v>8</v>
      </c>
      <c r="H2493" s="36" t="s">
        <v>228</v>
      </c>
      <c r="I2493" s="36"/>
      <c r="J2493" s="36"/>
    </row>
    <row r="2494" spans="1:10" x14ac:dyDescent="0.25">
      <c r="A2494" s="36">
        <v>1385</v>
      </c>
      <c r="B2494" s="37">
        <v>43586</v>
      </c>
      <c r="C2494" s="36"/>
      <c r="D2494" s="36"/>
      <c r="E2494" s="36" t="s">
        <v>111</v>
      </c>
      <c r="F2494" s="38">
        <v>5214695.8500000006</v>
      </c>
      <c r="G2494" s="36" t="s">
        <v>8</v>
      </c>
      <c r="H2494" s="36" t="s">
        <v>228</v>
      </c>
      <c r="I2494" s="36"/>
      <c r="J2494" s="36"/>
    </row>
    <row r="2495" spans="1:10" x14ac:dyDescent="0.25">
      <c r="A2495" s="36">
        <v>1385</v>
      </c>
      <c r="B2495" s="37">
        <v>43466</v>
      </c>
      <c r="C2495" s="36"/>
      <c r="D2495" s="36"/>
      <c r="E2495" s="36" t="s">
        <v>112</v>
      </c>
      <c r="F2495" s="38">
        <v>5142002.25</v>
      </c>
      <c r="G2495" s="36" t="s">
        <v>8</v>
      </c>
      <c r="H2495" s="36" t="s">
        <v>228</v>
      </c>
      <c r="I2495" s="36"/>
      <c r="J2495" s="36"/>
    </row>
    <row r="2496" spans="1:10" x14ac:dyDescent="0.25">
      <c r="A2496" s="36">
        <v>1385</v>
      </c>
      <c r="B2496" s="37">
        <v>43497</v>
      </c>
      <c r="C2496" s="36"/>
      <c r="D2496" s="36"/>
      <c r="E2496" s="36" t="s">
        <v>112</v>
      </c>
      <c r="F2496" s="38">
        <v>5142002.25</v>
      </c>
      <c r="G2496" s="36" t="s">
        <v>8</v>
      </c>
      <c r="H2496" s="36" t="s">
        <v>228</v>
      </c>
      <c r="I2496" s="36"/>
      <c r="J2496" s="36"/>
    </row>
    <row r="2497" spans="1:10" x14ac:dyDescent="0.25">
      <c r="A2497" s="36">
        <v>1385</v>
      </c>
      <c r="B2497" s="37">
        <v>43525</v>
      </c>
      <c r="C2497" s="36"/>
      <c r="D2497" s="36"/>
      <c r="E2497" s="36" t="s">
        <v>112</v>
      </c>
      <c r="F2497" s="38">
        <v>5142002.25</v>
      </c>
      <c r="G2497" s="36" t="s">
        <v>8</v>
      </c>
      <c r="H2497" s="36" t="s">
        <v>228</v>
      </c>
      <c r="I2497" s="36"/>
      <c r="J2497" s="36"/>
    </row>
    <row r="2498" spans="1:10" x14ac:dyDescent="0.25">
      <c r="A2498" s="36">
        <v>1385</v>
      </c>
      <c r="B2498" s="37">
        <v>43556</v>
      </c>
      <c r="C2498" s="36"/>
      <c r="D2498" s="36"/>
      <c r="E2498" s="36" t="s">
        <v>112</v>
      </c>
      <c r="F2498" s="38">
        <v>5142002.25</v>
      </c>
      <c r="G2498" s="36" t="s">
        <v>8</v>
      </c>
      <c r="H2498" s="36" t="s">
        <v>228</v>
      </c>
      <c r="I2498" s="36"/>
      <c r="J2498" s="36"/>
    </row>
    <row r="2499" spans="1:10" x14ac:dyDescent="0.25">
      <c r="A2499" s="36">
        <v>1385</v>
      </c>
      <c r="B2499" s="37">
        <v>43586</v>
      </c>
      <c r="C2499" s="36"/>
      <c r="D2499" s="36"/>
      <c r="E2499" s="36" t="s">
        <v>112</v>
      </c>
      <c r="F2499" s="38">
        <v>5142002.25</v>
      </c>
      <c r="G2499" s="36" t="s">
        <v>8</v>
      </c>
      <c r="H2499" s="36" t="s">
        <v>228</v>
      </c>
      <c r="I2499" s="36"/>
      <c r="J2499" s="36"/>
    </row>
    <row r="2500" spans="1:10" x14ac:dyDescent="0.25">
      <c r="A2500" s="36">
        <v>1385</v>
      </c>
      <c r="B2500" s="37">
        <v>43466</v>
      </c>
      <c r="C2500" s="36"/>
      <c r="D2500" s="36"/>
      <c r="E2500" s="36" t="s">
        <v>11</v>
      </c>
      <c r="F2500" s="38">
        <v>9867809.7000000011</v>
      </c>
      <c r="G2500" s="36" t="s">
        <v>8</v>
      </c>
      <c r="H2500" s="36" t="s">
        <v>228</v>
      </c>
      <c r="I2500" s="36"/>
      <c r="J2500" s="36"/>
    </row>
    <row r="2501" spans="1:10" x14ac:dyDescent="0.25">
      <c r="A2501" s="36">
        <v>1385</v>
      </c>
      <c r="B2501" s="37">
        <v>43497</v>
      </c>
      <c r="C2501" s="36"/>
      <c r="D2501" s="36"/>
      <c r="E2501" s="36" t="s">
        <v>11</v>
      </c>
      <c r="F2501" s="38">
        <v>9867809.7000000011</v>
      </c>
      <c r="G2501" s="36" t="s">
        <v>8</v>
      </c>
      <c r="H2501" s="36" t="s">
        <v>228</v>
      </c>
      <c r="I2501" s="36"/>
      <c r="J2501" s="36"/>
    </row>
    <row r="2502" spans="1:10" x14ac:dyDescent="0.25">
      <c r="A2502" s="36">
        <v>1385</v>
      </c>
      <c r="B2502" s="37">
        <v>43525</v>
      </c>
      <c r="C2502" s="36"/>
      <c r="D2502" s="36"/>
      <c r="E2502" s="36" t="s">
        <v>11</v>
      </c>
      <c r="F2502" s="38">
        <v>9867809.7000000011</v>
      </c>
      <c r="G2502" s="36" t="s">
        <v>8</v>
      </c>
      <c r="H2502" s="36" t="s">
        <v>228</v>
      </c>
      <c r="I2502" s="36"/>
      <c r="J2502" s="36"/>
    </row>
    <row r="2503" spans="1:10" x14ac:dyDescent="0.25">
      <c r="A2503" s="36">
        <v>1385</v>
      </c>
      <c r="B2503" s="37">
        <v>43556</v>
      </c>
      <c r="C2503" s="36"/>
      <c r="D2503" s="36"/>
      <c r="E2503" s="36" t="s">
        <v>11</v>
      </c>
      <c r="F2503" s="38">
        <v>9867809.7000000011</v>
      </c>
      <c r="G2503" s="36" t="s">
        <v>8</v>
      </c>
      <c r="H2503" s="36" t="s">
        <v>228</v>
      </c>
      <c r="I2503" s="36"/>
      <c r="J2503" s="36"/>
    </row>
    <row r="2504" spans="1:10" x14ac:dyDescent="0.25">
      <c r="A2504" s="36">
        <v>1385</v>
      </c>
      <c r="B2504" s="37">
        <v>43586</v>
      </c>
      <c r="C2504" s="36"/>
      <c r="D2504" s="36"/>
      <c r="E2504" s="36" t="s">
        <v>11</v>
      </c>
      <c r="F2504" s="38">
        <v>9867809.7000000011</v>
      </c>
      <c r="G2504" s="36" t="s">
        <v>8</v>
      </c>
      <c r="H2504" s="36" t="s">
        <v>228</v>
      </c>
      <c r="I2504" s="36"/>
      <c r="J2504" s="36"/>
    </row>
    <row r="2505" spans="1:10" x14ac:dyDescent="0.25">
      <c r="A2505" s="36">
        <v>1385</v>
      </c>
      <c r="B2505" s="37">
        <v>43466</v>
      </c>
      <c r="C2505" s="36"/>
      <c r="D2505" s="36"/>
      <c r="E2505" s="36" t="s">
        <v>124</v>
      </c>
      <c r="F2505" s="38">
        <v>3569121.1500000004</v>
      </c>
      <c r="G2505" s="36" t="s">
        <v>8</v>
      </c>
      <c r="H2505" s="36" t="s">
        <v>228</v>
      </c>
      <c r="I2505" s="36"/>
      <c r="J2505" s="36"/>
    </row>
    <row r="2506" spans="1:10" x14ac:dyDescent="0.25">
      <c r="A2506" s="36">
        <v>1385</v>
      </c>
      <c r="B2506" s="37">
        <v>43497</v>
      </c>
      <c r="C2506" s="36"/>
      <c r="D2506" s="36"/>
      <c r="E2506" s="36" t="s">
        <v>124</v>
      </c>
      <c r="F2506" s="38">
        <v>3569121.1500000004</v>
      </c>
      <c r="G2506" s="36" t="s">
        <v>8</v>
      </c>
      <c r="H2506" s="36" t="s">
        <v>228</v>
      </c>
      <c r="I2506" s="36"/>
      <c r="J2506" s="36"/>
    </row>
    <row r="2507" spans="1:10" x14ac:dyDescent="0.25">
      <c r="A2507" s="36">
        <v>1385</v>
      </c>
      <c r="B2507" s="37">
        <v>43525</v>
      </c>
      <c r="C2507" s="36"/>
      <c r="D2507" s="36"/>
      <c r="E2507" s="36" t="s">
        <v>124</v>
      </c>
      <c r="F2507" s="38">
        <v>3569121.1500000004</v>
      </c>
      <c r="G2507" s="36" t="s">
        <v>8</v>
      </c>
      <c r="H2507" s="36" t="s">
        <v>228</v>
      </c>
      <c r="I2507" s="36"/>
      <c r="J2507" s="36"/>
    </row>
    <row r="2508" spans="1:10" x14ac:dyDescent="0.25">
      <c r="A2508" s="36">
        <v>1385</v>
      </c>
      <c r="B2508" s="37">
        <v>43556</v>
      </c>
      <c r="C2508" s="36"/>
      <c r="D2508" s="36"/>
      <c r="E2508" s="36" t="s">
        <v>124</v>
      </c>
      <c r="F2508" s="38">
        <v>3569121.1500000004</v>
      </c>
      <c r="G2508" s="36" t="s">
        <v>8</v>
      </c>
      <c r="H2508" s="36" t="s">
        <v>228</v>
      </c>
      <c r="I2508" s="36"/>
      <c r="J2508" s="36"/>
    </row>
    <row r="2509" spans="1:10" x14ac:dyDescent="0.25">
      <c r="A2509" s="36">
        <v>1385</v>
      </c>
      <c r="B2509" s="37">
        <v>43586</v>
      </c>
      <c r="C2509" s="36"/>
      <c r="D2509" s="36"/>
      <c r="E2509" s="36" t="s">
        <v>124</v>
      </c>
      <c r="F2509" s="38">
        <v>3569121.1500000004</v>
      </c>
      <c r="G2509" s="36" t="s">
        <v>8</v>
      </c>
      <c r="H2509" s="36" t="s">
        <v>228</v>
      </c>
      <c r="I2509" s="36"/>
      <c r="J2509" s="36"/>
    </row>
    <row r="2510" spans="1:10" x14ac:dyDescent="0.25">
      <c r="A2510" s="36">
        <v>1385</v>
      </c>
      <c r="B2510" s="37">
        <v>43466</v>
      </c>
      <c r="C2510" s="36"/>
      <c r="D2510" s="36"/>
      <c r="E2510" s="36" t="s">
        <v>74</v>
      </c>
      <c r="F2510" s="38">
        <v>4240842.9000000004</v>
      </c>
      <c r="G2510" s="36" t="s">
        <v>8</v>
      </c>
      <c r="H2510" s="36" t="s">
        <v>228</v>
      </c>
      <c r="I2510" s="36"/>
      <c r="J2510" s="36"/>
    </row>
    <row r="2511" spans="1:10" x14ac:dyDescent="0.25">
      <c r="A2511" s="36">
        <v>1385</v>
      </c>
      <c r="B2511" s="37">
        <v>43497</v>
      </c>
      <c r="C2511" s="36"/>
      <c r="D2511" s="36"/>
      <c r="E2511" s="36" t="s">
        <v>74</v>
      </c>
      <c r="F2511" s="38">
        <v>4240842.9000000004</v>
      </c>
      <c r="G2511" s="36" t="s">
        <v>8</v>
      </c>
      <c r="H2511" s="36" t="s">
        <v>228</v>
      </c>
      <c r="I2511" s="36"/>
      <c r="J2511" s="36"/>
    </row>
    <row r="2512" spans="1:10" x14ac:dyDescent="0.25">
      <c r="A2512" s="36">
        <v>1385</v>
      </c>
      <c r="B2512" s="37">
        <v>43525</v>
      </c>
      <c r="C2512" s="36"/>
      <c r="D2512" s="36"/>
      <c r="E2512" s="36" t="s">
        <v>74</v>
      </c>
      <c r="F2512" s="38">
        <v>4240842.9000000004</v>
      </c>
      <c r="G2512" s="36" t="s">
        <v>8</v>
      </c>
      <c r="H2512" s="36" t="s">
        <v>228</v>
      </c>
      <c r="I2512" s="36"/>
      <c r="J2512" s="36"/>
    </row>
    <row r="2513" spans="1:10" x14ac:dyDescent="0.25">
      <c r="A2513" s="36">
        <v>1385</v>
      </c>
      <c r="B2513" s="37">
        <v>43556</v>
      </c>
      <c r="C2513" s="36"/>
      <c r="D2513" s="36"/>
      <c r="E2513" s="36" t="s">
        <v>74</v>
      </c>
      <c r="F2513" s="38">
        <v>4240842.9000000004</v>
      </c>
      <c r="G2513" s="36" t="s">
        <v>8</v>
      </c>
      <c r="H2513" s="36" t="s">
        <v>228</v>
      </c>
      <c r="I2513" s="36"/>
      <c r="J2513" s="36"/>
    </row>
    <row r="2514" spans="1:10" x14ac:dyDescent="0.25">
      <c r="A2514" s="36">
        <v>1385</v>
      </c>
      <c r="B2514" s="37">
        <v>43586</v>
      </c>
      <c r="C2514" s="36"/>
      <c r="D2514" s="36"/>
      <c r="E2514" s="36" t="s">
        <v>74</v>
      </c>
      <c r="F2514" s="38">
        <v>4240842.9000000004</v>
      </c>
      <c r="G2514" s="36" t="s">
        <v>8</v>
      </c>
      <c r="H2514" s="36" t="s">
        <v>228</v>
      </c>
      <c r="I2514" s="36"/>
      <c r="J2514" s="36"/>
    </row>
    <row r="2515" spans="1:10" x14ac:dyDescent="0.25">
      <c r="A2515" s="36">
        <v>1385</v>
      </c>
      <c r="B2515" s="37">
        <v>43466</v>
      </c>
      <c r="C2515" s="36"/>
      <c r="D2515" s="36"/>
      <c r="E2515" s="36" t="s">
        <v>116</v>
      </c>
      <c r="F2515" s="38">
        <v>3348034.2</v>
      </c>
      <c r="G2515" s="36" t="s">
        <v>8</v>
      </c>
      <c r="H2515" s="36" t="s">
        <v>228</v>
      </c>
      <c r="I2515" s="36"/>
      <c r="J2515" s="36"/>
    </row>
    <row r="2516" spans="1:10" x14ac:dyDescent="0.25">
      <c r="A2516" s="36">
        <v>1385</v>
      </c>
      <c r="B2516" s="37">
        <v>43497</v>
      </c>
      <c r="C2516" s="36"/>
      <c r="D2516" s="36"/>
      <c r="E2516" s="36" t="s">
        <v>116</v>
      </c>
      <c r="F2516" s="38">
        <v>3348034.2</v>
      </c>
      <c r="G2516" s="36" t="s">
        <v>8</v>
      </c>
      <c r="H2516" s="36" t="s">
        <v>228</v>
      </c>
      <c r="I2516" s="36"/>
      <c r="J2516" s="36"/>
    </row>
    <row r="2517" spans="1:10" x14ac:dyDescent="0.25">
      <c r="A2517" s="36">
        <v>1385</v>
      </c>
      <c r="B2517" s="37">
        <v>43525</v>
      </c>
      <c r="C2517" s="36"/>
      <c r="D2517" s="36"/>
      <c r="E2517" s="36" t="s">
        <v>116</v>
      </c>
      <c r="F2517" s="38">
        <v>3348034.2</v>
      </c>
      <c r="G2517" s="36" t="s">
        <v>8</v>
      </c>
      <c r="H2517" s="36" t="s">
        <v>228</v>
      </c>
      <c r="I2517" s="36"/>
      <c r="J2517" s="36"/>
    </row>
    <row r="2518" spans="1:10" x14ac:dyDescent="0.25">
      <c r="A2518" s="36">
        <v>1385</v>
      </c>
      <c r="B2518" s="37">
        <v>43556</v>
      </c>
      <c r="C2518" s="36"/>
      <c r="D2518" s="36"/>
      <c r="E2518" s="36" t="s">
        <v>116</v>
      </c>
      <c r="F2518" s="38">
        <v>3348034.2</v>
      </c>
      <c r="G2518" s="36" t="s">
        <v>8</v>
      </c>
      <c r="H2518" s="36" t="s">
        <v>228</v>
      </c>
      <c r="I2518" s="36"/>
      <c r="J2518" s="36"/>
    </row>
    <row r="2519" spans="1:10" x14ac:dyDescent="0.25">
      <c r="A2519" s="36">
        <v>1385</v>
      </c>
      <c r="B2519" s="37">
        <v>43586</v>
      </c>
      <c r="C2519" s="36"/>
      <c r="D2519" s="36"/>
      <c r="E2519" s="36" t="s">
        <v>116</v>
      </c>
      <c r="F2519" s="38">
        <v>3348034.2</v>
      </c>
      <c r="G2519" s="36" t="s">
        <v>8</v>
      </c>
      <c r="H2519" s="36" t="s">
        <v>228</v>
      </c>
      <c r="I2519" s="36"/>
      <c r="J2519" s="36"/>
    </row>
    <row r="2520" spans="1:10" x14ac:dyDescent="0.25">
      <c r="A2520" s="36">
        <v>1385</v>
      </c>
      <c r="B2520" s="37">
        <v>43466</v>
      </c>
      <c r="C2520" s="36"/>
      <c r="D2520" s="36"/>
      <c r="E2520" s="36" t="s">
        <v>138</v>
      </c>
      <c r="F2520" s="38">
        <v>3348034.2</v>
      </c>
      <c r="G2520" s="36" t="s">
        <v>8</v>
      </c>
      <c r="H2520" s="36" t="s">
        <v>228</v>
      </c>
      <c r="I2520" s="36"/>
      <c r="J2520" s="36"/>
    </row>
    <row r="2521" spans="1:10" x14ac:dyDescent="0.25">
      <c r="A2521" s="36">
        <v>1385</v>
      </c>
      <c r="B2521" s="37">
        <v>43497</v>
      </c>
      <c r="C2521" s="36"/>
      <c r="D2521" s="36"/>
      <c r="E2521" s="36" t="s">
        <v>138</v>
      </c>
      <c r="F2521" s="38">
        <v>3348034.2</v>
      </c>
      <c r="G2521" s="36" t="s">
        <v>8</v>
      </c>
      <c r="H2521" s="36" t="s">
        <v>228</v>
      </c>
      <c r="I2521" s="36"/>
      <c r="J2521" s="36"/>
    </row>
    <row r="2522" spans="1:10" x14ac:dyDescent="0.25">
      <c r="A2522" s="36">
        <v>1385</v>
      </c>
      <c r="B2522" s="37">
        <v>43525</v>
      </c>
      <c r="C2522" s="36"/>
      <c r="D2522" s="36"/>
      <c r="E2522" s="36" t="s">
        <v>138</v>
      </c>
      <c r="F2522" s="38">
        <v>3348034.2</v>
      </c>
      <c r="G2522" s="36" t="s">
        <v>8</v>
      </c>
      <c r="H2522" s="36" t="s">
        <v>228</v>
      </c>
      <c r="I2522" s="36"/>
      <c r="J2522" s="36"/>
    </row>
    <row r="2523" spans="1:10" x14ac:dyDescent="0.25">
      <c r="A2523" s="36">
        <v>1385</v>
      </c>
      <c r="B2523" s="37">
        <v>43556</v>
      </c>
      <c r="C2523" s="36"/>
      <c r="D2523" s="36"/>
      <c r="E2523" s="36" t="s">
        <v>138</v>
      </c>
      <c r="F2523" s="38">
        <v>3348034.2</v>
      </c>
      <c r="G2523" s="36" t="s">
        <v>8</v>
      </c>
      <c r="H2523" s="36" t="s">
        <v>228</v>
      </c>
      <c r="I2523" s="36"/>
      <c r="J2523" s="36"/>
    </row>
    <row r="2524" spans="1:10" x14ac:dyDescent="0.25">
      <c r="A2524" s="36">
        <v>1385</v>
      </c>
      <c r="B2524" s="37">
        <v>43586</v>
      </c>
      <c r="C2524" s="36"/>
      <c r="D2524" s="36"/>
      <c r="E2524" s="36" t="s">
        <v>138</v>
      </c>
      <c r="F2524" s="38">
        <v>3348034.2</v>
      </c>
      <c r="G2524" s="36" t="s">
        <v>8</v>
      </c>
      <c r="H2524" s="36" t="s">
        <v>228</v>
      </c>
      <c r="I2524" s="36"/>
      <c r="J2524" s="36"/>
    </row>
    <row r="2525" spans="1:10" x14ac:dyDescent="0.25">
      <c r="A2525" s="36">
        <v>1385</v>
      </c>
      <c r="B2525" s="37">
        <v>43466</v>
      </c>
      <c r="C2525" s="36"/>
      <c r="D2525" s="36"/>
      <c r="E2525" s="36" t="s">
        <v>139</v>
      </c>
      <c r="F2525" s="38">
        <v>3348034.2</v>
      </c>
      <c r="G2525" s="36" t="s">
        <v>8</v>
      </c>
      <c r="H2525" s="36" t="s">
        <v>228</v>
      </c>
      <c r="I2525" s="36"/>
      <c r="J2525" s="36"/>
    </row>
    <row r="2526" spans="1:10" x14ac:dyDescent="0.25">
      <c r="A2526" s="36">
        <v>1385</v>
      </c>
      <c r="B2526" s="37">
        <v>43497</v>
      </c>
      <c r="C2526" s="36"/>
      <c r="D2526" s="36"/>
      <c r="E2526" s="36" t="s">
        <v>139</v>
      </c>
      <c r="F2526" s="38">
        <v>3348034.2</v>
      </c>
      <c r="G2526" s="36" t="s">
        <v>8</v>
      </c>
      <c r="H2526" s="36" t="s">
        <v>228</v>
      </c>
      <c r="I2526" s="36"/>
      <c r="J2526" s="36"/>
    </row>
    <row r="2527" spans="1:10" x14ac:dyDescent="0.25">
      <c r="A2527" s="36">
        <v>1385</v>
      </c>
      <c r="B2527" s="37">
        <v>43525</v>
      </c>
      <c r="C2527" s="36"/>
      <c r="D2527" s="36"/>
      <c r="E2527" s="36" t="s">
        <v>139</v>
      </c>
      <c r="F2527" s="38">
        <v>3348034.2</v>
      </c>
      <c r="G2527" s="36" t="s">
        <v>8</v>
      </c>
      <c r="H2527" s="36" t="s">
        <v>228</v>
      </c>
      <c r="I2527" s="36"/>
      <c r="J2527" s="36"/>
    </row>
    <row r="2528" spans="1:10" x14ac:dyDescent="0.25">
      <c r="A2528" s="36">
        <v>1385</v>
      </c>
      <c r="B2528" s="37">
        <v>43556</v>
      </c>
      <c r="C2528" s="36"/>
      <c r="D2528" s="36"/>
      <c r="E2528" s="36" t="s">
        <v>139</v>
      </c>
      <c r="F2528" s="38">
        <v>3348034.2</v>
      </c>
      <c r="G2528" s="36" t="s">
        <v>8</v>
      </c>
      <c r="H2528" s="36" t="s">
        <v>228</v>
      </c>
      <c r="I2528" s="36"/>
      <c r="J2528" s="36"/>
    </row>
    <row r="2529" spans="1:10" x14ac:dyDescent="0.25">
      <c r="A2529" s="36">
        <v>1385</v>
      </c>
      <c r="B2529" s="37">
        <v>43586</v>
      </c>
      <c r="C2529" s="36"/>
      <c r="D2529" s="36"/>
      <c r="E2529" s="36" t="s">
        <v>139</v>
      </c>
      <c r="F2529" s="38">
        <v>3348034.2</v>
      </c>
      <c r="G2529" s="36" t="s">
        <v>8</v>
      </c>
      <c r="H2529" s="36" t="s">
        <v>228</v>
      </c>
      <c r="I2529" s="36"/>
      <c r="J2529" s="36"/>
    </row>
    <row r="2530" spans="1:10" x14ac:dyDescent="0.25">
      <c r="A2530" s="36">
        <v>1385</v>
      </c>
      <c r="B2530" s="37">
        <v>43466</v>
      </c>
      <c r="C2530" s="36"/>
      <c r="D2530" s="36"/>
      <c r="E2530" s="36" t="s">
        <v>140</v>
      </c>
      <c r="F2530" s="38">
        <v>3348034.2</v>
      </c>
      <c r="G2530" s="36" t="s">
        <v>8</v>
      </c>
      <c r="H2530" s="36" t="s">
        <v>228</v>
      </c>
      <c r="I2530" s="36"/>
      <c r="J2530" s="36"/>
    </row>
    <row r="2531" spans="1:10" x14ac:dyDescent="0.25">
      <c r="A2531" s="36">
        <v>1385</v>
      </c>
      <c r="B2531" s="37">
        <v>43497</v>
      </c>
      <c r="C2531" s="36"/>
      <c r="D2531" s="36"/>
      <c r="E2531" s="36" t="s">
        <v>140</v>
      </c>
      <c r="F2531" s="38">
        <v>3348034.2</v>
      </c>
      <c r="G2531" s="36" t="s">
        <v>8</v>
      </c>
      <c r="H2531" s="36" t="s">
        <v>228</v>
      </c>
      <c r="I2531" s="36"/>
      <c r="J2531" s="36"/>
    </row>
    <row r="2532" spans="1:10" x14ac:dyDescent="0.25">
      <c r="A2532" s="36">
        <v>1385</v>
      </c>
      <c r="B2532" s="37">
        <v>43525</v>
      </c>
      <c r="C2532" s="36"/>
      <c r="D2532" s="36"/>
      <c r="E2532" s="36" t="s">
        <v>140</v>
      </c>
      <c r="F2532" s="38">
        <v>3348034.2</v>
      </c>
      <c r="G2532" s="36" t="s">
        <v>8</v>
      </c>
      <c r="H2532" s="36" t="s">
        <v>228</v>
      </c>
      <c r="I2532" s="36"/>
      <c r="J2532" s="36"/>
    </row>
    <row r="2533" spans="1:10" x14ac:dyDescent="0.25">
      <c r="A2533" s="36">
        <v>1385</v>
      </c>
      <c r="B2533" s="37">
        <v>43556</v>
      </c>
      <c r="C2533" s="36"/>
      <c r="D2533" s="36"/>
      <c r="E2533" s="36" t="s">
        <v>140</v>
      </c>
      <c r="F2533" s="38">
        <v>3348034.2</v>
      </c>
      <c r="G2533" s="36" t="s">
        <v>8</v>
      </c>
      <c r="H2533" s="36" t="s">
        <v>228</v>
      </c>
      <c r="I2533" s="36"/>
      <c r="J2533" s="36"/>
    </row>
    <row r="2534" spans="1:10" x14ac:dyDescent="0.25">
      <c r="A2534" s="36">
        <v>1385</v>
      </c>
      <c r="B2534" s="37">
        <v>43586</v>
      </c>
      <c r="C2534" s="36"/>
      <c r="D2534" s="36"/>
      <c r="E2534" s="36" t="s">
        <v>140</v>
      </c>
      <c r="F2534" s="38">
        <v>3348034.2</v>
      </c>
      <c r="G2534" s="36" t="s">
        <v>8</v>
      </c>
      <c r="H2534" s="36" t="s">
        <v>228</v>
      </c>
      <c r="I2534" s="36"/>
      <c r="J2534" s="36"/>
    </row>
    <row r="2535" spans="1:10" x14ac:dyDescent="0.25">
      <c r="A2535" s="36">
        <v>1385</v>
      </c>
      <c r="B2535" s="37">
        <v>43466</v>
      </c>
      <c r="C2535" s="36"/>
      <c r="D2535" s="36"/>
      <c r="E2535" s="36" t="s">
        <v>141</v>
      </c>
      <c r="F2535" s="38">
        <v>3348034.2</v>
      </c>
      <c r="G2535" s="36" t="s">
        <v>8</v>
      </c>
      <c r="H2535" s="36" t="s">
        <v>228</v>
      </c>
      <c r="I2535" s="36"/>
      <c r="J2535" s="36"/>
    </row>
    <row r="2536" spans="1:10" x14ac:dyDescent="0.25">
      <c r="A2536" s="36">
        <v>1385</v>
      </c>
      <c r="B2536" s="37">
        <v>43497</v>
      </c>
      <c r="C2536" s="36"/>
      <c r="D2536" s="36"/>
      <c r="E2536" s="36" t="s">
        <v>141</v>
      </c>
      <c r="F2536" s="38">
        <v>3348034.2</v>
      </c>
      <c r="G2536" s="36" t="s">
        <v>8</v>
      </c>
      <c r="H2536" s="36" t="s">
        <v>228</v>
      </c>
      <c r="I2536" s="36"/>
      <c r="J2536" s="36"/>
    </row>
    <row r="2537" spans="1:10" x14ac:dyDescent="0.25">
      <c r="A2537" s="36">
        <v>1385</v>
      </c>
      <c r="B2537" s="37">
        <v>43525</v>
      </c>
      <c r="C2537" s="36"/>
      <c r="D2537" s="36"/>
      <c r="E2537" s="36" t="s">
        <v>141</v>
      </c>
      <c r="F2537" s="38">
        <v>3348034.2</v>
      </c>
      <c r="G2537" s="36" t="s">
        <v>8</v>
      </c>
      <c r="H2537" s="36" t="s">
        <v>228</v>
      </c>
      <c r="I2537" s="36"/>
      <c r="J2537" s="36"/>
    </row>
    <row r="2538" spans="1:10" x14ac:dyDescent="0.25">
      <c r="A2538" s="36">
        <v>1385</v>
      </c>
      <c r="B2538" s="37">
        <v>43556</v>
      </c>
      <c r="C2538" s="36"/>
      <c r="D2538" s="36"/>
      <c r="E2538" s="36" t="s">
        <v>141</v>
      </c>
      <c r="F2538" s="38">
        <v>3348034.2</v>
      </c>
      <c r="G2538" s="36" t="s">
        <v>8</v>
      </c>
      <c r="H2538" s="36" t="s">
        <v>228</v>
      </c>
      <c r="I2538" s="36"/>
      <c r="J2538" s="36"/>
    </row>
    <row r="2539" spans="1:10" x14ac:dyDescent="0.25">
      <c r="A2539" s="36">
        <v>1385</v>
      </c>
      <c r="B2539" s="37">
        <v>43586</v>
      </c>
      <c r="C2539" s="36"/>
      <c r="D2539" s="36"/>
      <c r="E2539" s="36" t="s">
        <v>141</v>
      </c>
      <c r="F2539" s="38">
        <v>3348034.2</v>
      </c>
      <c r="G2539" s="36" t="s">
        <v>8</v>
      </c>
      <c r="H2539" s="36" t="s">
        <v>228</v>
      </c>
      <c r="I2539" s="36"/>
      <c r="J2539" s="36"/>
    </row>
    <row r="2540" spans="1:10" x14ac:dyDescent="0.25">
      <c r="A2540" s="36">
        <v>1385</v>
      </c>
      <c r="B2540" s="37">
        <v>43466</v>
      </c>
      <c r="C2540" s="36"/>
      <c r="D2540" s="36"/>
      <c r="E2540" s="36" t="s">
        <v>142</v>
      </c>
      <c r="F2540" s="38">
        <v>3348034.2</v>
      </c>
      <c r="G2540" s="36" t="s">
        <v>8</v>
      </c>
      <c r="H2540" s="36" t="s">
        <v>228</v>
      </c>
      <c r="I2540" s="36"/>
      <c r="J2540" s="36"/>
    </row>
    <row r="2541" spans="1:10" x14ac:dyDescent="0.25">
      <c r="A2541" s="36">
        <v>1385</v>
      </c>
      <c r="B2541" s="37">
        <v>43497</v>
      </c>
      <c r="C2541" s="36"/>
      <c r="D2541" s="36"/>
      <c r="E2541" s="36" t="s">
        <v>142</v>
      </c>
      <c r="F2541" s="38">
        <v>3348034.2</v>
      </c>
      <c r="G2541" s="36" t="s">
        <v>8</v>
      </c>
      <c r="H2541" s="36" t="s">
        <v>228</v>
      </c>
      <c r="I2541" s="36"/>
      <c r="J2541" s="36"/>
    </row>
    <row r="2542" spans="1:10" x14ac:dyDescent="0.25">
      <c r="A2542" s="36">
        <v>1385</v>
      </c>
      <c r="B2542" s="37">
        <v>43525</v>
      </c>
      <c r="C2542" s="36"/>
      <c r="D2542" s="36"/>
      <c r="E2542" s="36" t="s">
        <v>142</v>
      </c>
      <c r="F2542" s="38">
        <v>3348034.2</v>
      </c>
      <c r="G2542" s="36" t="s">
        <v>8</v>
      </c>
      <c r="H2542" s="36" t="s">
        <v>228</v>
      </c>
      <c r="I2542" s="36"/>
      <c r="J2542" s="36"/>
    </row>
    <row r="2543" spans="1:10" x14ac:dyDescent="0.25">
      <c r="A2543" s="36">
        <v>1385</v>
      </c>
      <c r="B2543" s="37">
        <v>43556</v>
      </c>
      <c r="C2543" s="36"/>
      <c r="D2543" s="36"/>
      <c r="E2543" s="36" t="s">
        <v>142</v>
      </c>
      <c r="F2543" s="38">
        <v>3348034.2</v>
      </c>
      <c r="G2543" s="36" t="s">
        <v>8</v>
      </c>
      <c r="H2543" s="36" t="s">
        <v>228</v>
      </c>
      <c r="I2543" s="36"/>
      <c r="J2543" s="36"/>
    </row>
    <row r="2544" spans="1:10" x14ac:dyDescent="0.25">
      <c r="A2544" s="36">
        <v>1385</v>
      </c>
      <c r="B2544" s="37">
        <v>43586</v>
      </c>
      <c r="C2544" s="36"/>
      <c r="D2544" s="36"/>
      <c r="E2544" s="36" t="s">
        <v>142</v>
      </c>
      <c r="F2544" s="38">
        <v>3348034.2</v>
      </c>
      <c r="G2544" s="36" t="s">
        <v>8</v>
      </c>
      <c r="H2544" s="36" t="s">
        <v>228</v>
      </c>
      <c r="I2544" s="36"/>
      <c r="J2544" s="36"/>
    </row>
    <row r="2545" spans="1:10" x14ac:dyDescent="0.25">
      <c r="A2545" s="36">
        <v>1385</v>
      </c>
      <c r="B2545" s="37">
        <v>43466</v>
      </c>
      <c r="C2545" s="36"/>
      <c r="D2545" s="36"/>
      <c r="E2545" s="36" t="s">
        <v>40</v>
      </c>
      <c r="F2545" s="38">
        <v>1989931.6500000001</v>
      </c>
      <c r="G2545" s="36" t="s">
        <v>8</v>
      </c>
      <c r="H2545" s="36" t="s">
        <v>228</v>
      </c>
      <c r="I2545" s="36"/>
      <c r="J2545" s="36"/>
    </row>
    <row r="2546" spans="1:10" x14ac:dyDescent="0.25">
      <c r="A2546" s="36">
        <v>1385</v>
      </c>
      <c r="B2546" s="37">
        <v>43497</v>
      </c>
      <c r="C2546" s="36"/>
      <c r="D2546" s="36"/>
      <c r="E2546" s="36" t="s">
        <v>40</v>
      </c>
      <c r="F2546" s="38">
        <v>1989931.6500000001</v>
      </c>
      <c r="G2546" s="36" t="s">
        <v>8</v>
      </c>
      <c r="H2546" s="36" t="s">
        <v>228</v>
      </c>
      <c r="I2546" s="36"/>
      <c r="J2546" s="36"/>
    </row>
    <row r="2547" spans="1:10" x14ac:dyDescent="0.25">
      <c r="A2547" s="36">
        <v>1385</v>
      </c>
      <c r="B2547" s="37">
        <v>43525</v>
      </c>
      <c r="C2547" s="36"/>
      <c r="D2547" s="36"/>
      <c r="E2547" s="36" t="s">
        <v>40</v>
      </c>
      <c r="F2547" s="38">
        <v>1989931.6500000001</v>
      </c>
      <c r="G2547" s="36" t="s">
        <v>8</v>
      </c>
      <c r="H2547" s="36" t="s">
        <v>228</v>
      </c>
      <c r="I2547" s="36"/>
      <c r="J2547" s="36"/>
    </row>
    <row r="2548" spans="1:10" x14ac:dyDescent="0.25">
      <c r="A2548" s="36">
        <v>1385</v>
      </c>
      <c r="B2548" s="37">
        <v>43556</v>
      </c>
      <c r="C2548" s="36"/>
      <c r="D2548" s="36"/>
      <c r="E2548" s="36" t="s">
        <v>40</v>
      </c>
      <c r="F2548" s="38">
        <v>1989931.6500000001</v>
      </c>
      <c r="G2548" s="36" t="s">
        <v>8</v>
      </c>
      <c r="H2548" s="36" t="s">
        <v>228</v>
      </c>
      <c r="I2548" s="36"/>
      <c r="J2548" s="36"/>
    </row>
    <row r="2549" spans="1:10" x14ac:dyDescent="0.25">
      <c r="A2549" s="36">
        <v>1385</v>
      </c>
      <c r="B2549" s="37">
        <v>43586</v>
      </c>
      <c r="C2549" s="36"/>
      <c r="D2549" s="36"/>
      <c r="E2549" s="36" t="s">
        <v>40</v>
      </c>
      <c r="F2549" s="38">
        <v>1989931.6500000001</v>
      </c>
      <c r="G2549" s="36" t="s">
        <v>8</v>
      </c>
      <c r="H2549" s="36" t="s">
        <v>228</v>
      </c>
      <c r="I2549" s="36"/>
      <c r="J2549" s="36"/>
    </row>
    <row r="2550" spans="1:10" x14ac:dyDescent="0.25">
      <c r="A2550" s="36">
        <v>1385</v>
      </c>
      <c r="B2550" s="37">
        <v>43466</v>
      </c>
      <c r="C2550" s="36"/>
      <c r="D2550" s="36"/>
      <c r="E2550" s="36" t="s">
        <v>65</v>
      </c>
      <c r="F2550" s="38">
        <v>6819217.6500000004</v>
      </c>
      <c r="G2550" s="36" t="s">
        <v>8</v>
      </c>
      <c r="H2550" s="36" t="s">
        <v>228</v>
      </c>
      <c r="I2550" s="36"/>
      <c r="J2550" s="36"/>
    </row>
    <row r="2551" spans="1:10" x14ac:dyDescent="0.25">
      <c r="A2551" s="36">
        <v>1385</v>
      </c>
      <c r="B2551" s="37">
        <v>43497</v>
      </c>
      <c r="C2551" s="36"/>
      <c r="D2551" s="36"/>
      <c r="E2551" s="36" t="s">
        <v>65</v>
      </c>
      <c r="F2551" s="38">
        <v>6819217.6500000004</v>
      </c>
      <c r="G2551" s="36" t="s">
        <v>8</v>
      </c>
      <c r="H2551" s="36" t="s">
        <v>228</v>
      </c>
      <c r="I2551" s="36"/>
      <c r="J2551" s="36"/>
    </row>
    <row r="2552" spans="1:10" x14ac:dyDescent="0.25">
      <c r="A2552" s="36">
        <v>1385</v>
      </c>
      <c r="B2552" s="37">
        <v>43525</v>
      </c>
      <c r="C2552" s="36"/>
      <c r="D2552" s="36"/>
      <c r="E2552" s="36" t="s">
        <v>65</v>
      </c>
      <c r="F2552" s="38">
        <v>6819217.6500000004</v>
      </c>
      <c r="G2552" s="36" t="s">
        <v>8</v>
      </c>
      <c r="H2552" s="36" t="s">
        <v>228</v>
      </c>
      <c r="I2552" s="36"/>
      <c r="J2552" s="36"/>
    </row>
    <row r="2553" spans="1:10" x14ac:dyDescent="0.25">
      <c r="A2553" s="36">
        <v>1385</v>
      </c>
      <c r="B2553" s="37">
        <v>43556</v>
      </c>
      <c r="C2553" s="36"/>
      <c r="D2553" s="36"/>
      <c r="E2553" s="36" t="s">
        <v>65</v>
      </c>
      <c r="F2553" s="38">
        <v>6819217.6500000004</v>
      </c>
      <c r="G2553" s="36" t="s">
        <v>8</v>
      </c>
      <c r="H2553" s="36" t="s">
        <v>228</v>
      </c>
      <c r="I2553" s="36"/>
      <c r="J2553" s="36"/>
    </row>
    <row r="2554" spans="1:10" x14ac:dyDescent="0.25">
      <c r="A2554" s="36">
        <v>1385</v>
      </c>
      <c r="B2554" s="37">
        <v>43586</v>
      </c>
      <c r="C2554" s="36"/>
      <c r="D2554" s="36"/>
      <c r="E2554" s="36" t="s">
        <v>65</v>
      </c>
      <c r="F2554" s="38">
        <v>6819217.6500000004</v>
      </c>
      <c r="G2554" s="36" t="s">
        <v>8</v>
      </c>
      <c r="H2554" s="36" t="s">
        <v>228</v>
      </c>
      <c r="I2554" s="36"/>
      <c r="J2554" s="36"/>
    </row>
    <row r="2555" spans="1:10" x14ac:dyDescent="0.25">
      <c r="A2555" s="36">
        <v>1385</v>
      </c>
      <c r="B2555" s="37">
        <v>43466</v>
      </c>
      <c r="C2555" s="36"/>
      <c r="D2555" s="36"/>
      <c r="E2555" s="36" t="s">
        <v>21</v>
      </c>
      <c r="F2555" s="38">
        <v>9827696.5500000007</v>
      </c>
      <c r="G2555" s="36" t="s">
        <v>8</v>
      </c>
      <c r="H2555" s="36" t="s">
        <v>228</v>
      </c>
      <c r="I2555" s="36"/>
      <c r="J2555" s="36"/>
    </row>
    <row r="2556" spans="1:10" x14ac:dyDescent="0.25">
      <c r="A2556" s="36">
        <v>1385</v>
      </c>
      <c r="B2556" s="37">
        <v>43497</v>
      </c>
      <c r="C2556" s="36"/>
      <c r="D2556" s="36"/>
      <c r="E2556" s="36" t="s">
        <v>21</v>
      </c>
      <c r="F2556" s="38">
        <v>9827696.5500000007</v>
      </c>
      <c r="G2556" s="36" t="s">
        <v>8</v>
      </c>
      <c r="H2556" s="36" t="s">
        <v>228</v>
      </c>
      <c r="I2556" s="36"/>
      <c r="J2556" s="36"/>
    </row>
    <row r="2557" spans="1:10" x14ac:dyDescent="0.25">
      <c r="A2557" s="36">
        <v>1385</v>
      </c>
      <c r="B2557" s="37">
        <v>43525</v>
      </c>
      <c r="C2557" s="36"/>
      <c r="D2557" s="36"/>
      <c r="E2557" s="36" t="s">
        <v>21</v>
      </c>
      <c r="F2557" s="38">
        <v>9827696.5500000007</v>
      </c>
      <c r="G2557" s="36" t="s">
        <v>8</v>
      </c>
      <c r="H2557" s="36" t="s">
        <v>228</v>
      </c>
      <c r="I2557" s="36"/>
      <c r="J2557" s="36"/>
    </row>
    <row r="2558" spans="1:10" x14ac:dyDescent="0.25">
      <c r="A2558" s="36">
        <v>1385</v>
      </c>
      <c r="B2558" s="37">
        <v>43556</v>
      </c>
      <c r="C2558" s="36"/>
      <c r="D2558" s="36"/>
      <c r="E2558" s="36" t="s">
        <v>21</v>
      </c>
      <c r="F2558" s="38">
        <v>9827696.5500000007</v>
      </c>
      <c r="G2558" s="36" t="s">
        <v>8</v>
      </c>
      <c r="H2558" s="36" t="s">
        <v>228</v>
      </c>
      <c r="I2558" s="36"/>
      <c r="J2558" s="36"/>
    </row>
    <row r="2559" spans="1:10" x14ac:dyDescent="0.25">
      <c r="A2559" s="36">
        <v>1385</v>
      </c>
      <c r="B2559" s="37">
        <v>43586</v>
      </c>
      <c r="C2559" s="36"/>
      <c r="D2559" s="36"/>
      <c r="E2559" s="36" t="s">
        <v>21</v>
      </c>
      <c r="F2559" s="38">
        <v>9827696.5500000007</v>
      </c>
      <c r="G2559" s="36" t="s">
        <v>8</v>
      </c>
      <c r="H2559" s="36" t="s">
        <v>228</v>
      </c>
      <c r="I2559" s="36"/>
      <c r="J2559" s="36"/>
    </row>
    <row r="2560" spans="1:10" x14ac:dyDescent="0.25">
      <c r="A2560" s="36">
        <v>1385</v>
      </c>
      <c r="B2560" s="37">
        <v>43466</v>
      </c>
      <c r="C2560" s="36"/>
      <c r="D2560" s="36"/>
      <c r="E2560" s="36" t="s">
        <v>143</v>
      </c>
      <c r="F2560" s="38">
        <v>9827696.5500000007</v>
      </c>
      <c r="G2560" s="36" t="s">
        <v>8</v>
      </c>
      <c r="H2560" s="36" t="s">
        <v>228</v>
      </c>
      <c r="I2560" s="36"/>
      <c r="J2560" s="36"/>
    </row>
    <row r="2561" spans="1:10" x14ac:dyDescent="0.25">
      <c r="A2561" s="36">
        <v>1385</v>
      </c>
      <c r="B2561" s="37">
        <v>43497</v>
      </c>
      <c r="C2561" s="36"/>
      <c r="D2561" s="36"/>
      <c r="E2561" s="36" t="s">
        <v>143</v>
      </c>
      <c r="F2561" s="38">
        <v>9827696.5500000007</v>
      </c>
      <c r="G2561" s="36" t="s">
        <v>8</v>
      </c>
      <c r="H2561" s="36" t="s">
        <v>228</v>
      </c>
      <c r="I2561" s="36"/>
      <c r="J2561" s="36"/>
    </row>
    <row r="2562" spans="1:10" x14ac:dyDescent="0.25">
      <c r="A2562" s="36">
        <v>1385</v>
      </c>
      <c r="B2562" s="37">
        <v>43525</v>
      </c>
      <c r="C2562" s="36"/>
      <c r="D2562" s="36"/>
      <c r="E2562" s="36" t="s">
        <v>143</v>
      </c>
      <c r="F2562" s="38">
        <v>9827696.5500000007</v>
      </c>
      <c r="G2562" s="36" t="s">
        <v>8</v>
      </c>
      <c r="H2562" s="36" t="s">
        <v>228</v>
      </c>
      <c r="I2562" s="36"/>
      <c r="J2562" s="36"/>
    </row>
    <row r="2563" spans="1:10" x14ac:dyDescent="0.25">
      <c r="A2563" s="36">
        <v>1385</v>
      </c>
      <c r="B2563" s="37">
        <v>43556</v>
      </c>
      <c r="C2563" s="36"/>
      <c r="D2563" s="36"/>
      <c r="E2563" s="36" t="s">
        <v>143</v>
      </c>
      <c r="F2563" s="38">
        <v>9827696.5500000007</v>
      </c>
      <c r="G2563" s="36" t="s">
        <v>8</v>
      </c>
      <c r="H2563" s="36" t="s">
        <v>228</v>
      </c>
      <c r="I2563" s="36"/>
      <c r="J2563" s="36"/>
    </row>
    <row r="2564" spans="1:10" x14ac:dyDescent="0.25">
      <c r="A2564" s="36">
        <v>1385</v>
      </c>
      <c r="B2564" s="37">
        <v>43586</v>
      </c>
      <c r="C2564" s="36"/>
      <c r="D2564" s="36"/>
      <c r="E2564" s="36" t="s">
        <v>143</v>
      </c>
      <c r="F2564" s="38">
        <v>9827696.5500000007</v>
      </c>
      <c r="G2564" s="36" t="s">
        <v>8</v>
      </c>
      <c r="H2564" s="36" t="s">
        <v>228</v>
      </c>
      <c r="I2564" s="36"/>
      <c r="J2564" s="36"/>
    </row>
    <row r="2565" spans="1:10" x14ac:dyDescent="0.25">
      <c r="A2565" s="36">
        <v>1385</v>
      </c>
      <c r="B2565" s="37">
        <v>43466</v>
      </c>
      <c r="C2565" s="36"/>
      <c r="D2565" s="36"/>
      <c r="E2565" s="36" t="s">
        <v>143</v>
      </c>
      <c r="F2565" s="38">
        <v>9827696.5500000007</v>
      </c>
      <c r="G2565" s="36" t="s">
        <v>8</v>
      </c>
      <c r="H2565" s="36" t="s">
        <v>228</v>
      </c>
      <c r="I2565" s="36"/>
      <c r="J2565" s="36"/>
    </row>
    <row r="2566" spans="1:10" x14ac:dyDescent="0.25">
      <c r="A2566" s="36">
        <v>1385</v>
      </c>
      <c r="B2566" s="37">
        <v>43497</v>
      </c>
      <c r="C2566" s="36"/>
      <c r="D2566" s="36"/>
      <c r="E2566" s="36" t="s">
        <v>143</v>
      </c>
      <c r="F2566" s="38">
        <v>9827696.5500000007</v>
      </c>
      <c r="G2566" s="36" t="s">
        <v>8</v>
      </c>
      <c r="H2566" s="36" t="s">
        <v>228</v>
      </c>
      <c r="I2566" s="36"/>
      <c r="J2566" s="36"/>
    </row>
    <row r="2567" spans="1:10" x14ac:dyDescent="0.25">
      <c r="A2567" s="36">
        <v>1385</v>
      </c>
      <c r="B2567" s="37">
        <v>43525</v>
      </c>
      <c r="C2567" s="36"/>
      <c r="D2567" s="36"/>
      <c r="E2567" s="36" t="s">
        <v>143</v>
      </c>
      <c r="F2567" s="38">
        <v>9827696.5500000007</v>
      </c>
      <c r="G2567" s="36" t="s">
        <v>8</v>
      </c>
      <c r="H2567" s="36" t="s">
        <v>228</v>
      </c>
      <c r="I2567" s="36"/>
      <c r="J2567" s="36"/>
    </row>
    <row r="2568" spans="1:10" x14ac:dyDescent="0.25">
      <c r="A2568" s="36">
        <v>1385</v>
      </c>
      <c r="B2568" s="37">
        <v>43556</v>
      </c>
      <c r="C2568" s="36"/>
      <c r="D2568" s="36"/>
      <c r="E2568" s="36" t="s">
        <v>143</v>
      </c>
      <c r="F2568" s="38">
        <v>9827696.5500000007</v>
      </c>
      <c r="G2568" s="36" t="s">
        <v>8</v>
      </c>
      <c r="H2568" s="36" t="s">
        <v>228</v>
      </c>
      <c r="I2568" s="36"/>
      <c r="J2568" s="36"/>
    </row>
    <row r="2569" spans="1:10" x14ac:dyDescent="0.25">
      <c r="A2569" s="36">
        <v>1385</v>
      </c>
      <c r="B2569" s="37">
        <v>43586</v>
      </c>
      <c r="C2569" s="36"/>
      <c r="D2569" s="36"/>
      <c r="E2569" s="36" t="s">
        <v>143</v>
      </c>
      <c r="F2569" s="38">
        <v>9827696.5500000007</v>
      </c>
      <c r="G2569" s="36" t="s">
        <v>8</v>
      </c>
      <c r="H2569" s="36" t="s">
        <v>228</v>
      </c>
      <c r="I2569" s="36"/>
      <c r="J2569" s="36"/>
    </row>
    <row r="2570" spans="1:10" x14ac:dyDescent="0.25">
      <c r="A2570" s="36">
        <v>1385</v>
      </c>
      <c r="B2570" s="37">
        <v>43466</v>
      </c>
      <c r="C2570" s="36"/>
      <c r="D2570" s="36"/>
      <c r="E2570" s="36" t="s">
        <v>144</v>
      </c>
      <c r="F2570" s="38">
        <v>7822044.3000000007</v>
      </c>
      <c r="G2570" s="36" t="s">
        <v>8</v>
      </c>
      <c r="H2570" s="36" t="s">
        <v>228</v>
      </c>
      <c r="I2570" s="36"/>
      <c r="J2570" s="36"/>
    </row>
    <row r="2571" spans="1:10" x14ac:dyDescent="0.25">
      <c r="A2571" s="36">
        <v>1385</v>
      </c>
      <c r="B2571" s="37">
        <v>43497</v>
      </c>
      <c r="C2571" s="36"/>
      <c r="D2571" s="36"/>
      <c r="E2571" s="36" t="s">
        <v>144</v>
      </c>
      <c r="F2571" s="38">
        <v>7822044.3000000007</v>
      </c>
      <c r="G2571" s="36" t="s">
        <v>8</v>
      </c>
      <c r="H2571" s="36" t="s">
        <v>228</v>
      </c>
      <c r="I2571" s="36"/>
      <c r="J2571" s="36"/>
    </row>
    <row r="2572" spans="1:10" x14ac:dyDescent="0.25">
      <c r="A2572" s="36">
        <v>1385</v>
      </c>
      <c r="B2572" s="37">
        <v>43525</v>
      </c>
      <c r="C2572" s="36"/>
      <c r="D2572" s="36"/>
      <c r="E2572" s="36" t="s">
        <v>144</v>
      </c>
      <c r="F2572" s="38">
        <v>7822044.3000000007</v>
      </c>
      <c r="G2572" s="36" t="s">
        <v>8</v>
      </c>
      <c r="H2572" s="36" t="s">
        <v>228</v>
      </c>
      <c r="I2572" s="36"/>
      <c r="J2572" s="36"/>
    </row>
    <row r="2573" spans="1:10" x14ac:dyDescent="0.25">
      <c r="A2573" s="36">
        <v>1385</v>
      </c>
      <c r="B2573" s="37">
        <v>43556</v>
      </c>
      <c r="C2573" s="36"/>
      <c r="D2573" s="36"/>
      <c r="E2573" s="36" t="s">
        <v>144</v>
      </c>
      <c r="F2573" s="38">
        <v>7822044.3000000007</v>
      </c>
      <c r="G2573" s="36" t="s">
        <v>8</v>
      </c>
      <c r="H2573" s="36" t="s">
        <v>228</v>
      </c>
      <c r="I2573" s="36"/>
      <c r="J2573" s="36"/>
    </row>
    <row r="2574" spans="1:10" x14ac:dyDescent="0.25">
      <c r="A2574" s="36">
        <v>1385</v>
      </c>
      <c r="B2574" s="37">
        <v>43586</v>
      </c>
      <c r="C2574" s="36"/>
      <c r="D2574" s="36"/>
      <c r="E2574" s="36" t="s">
        <v>144</v>
      </c>
      <c r="F2574" s="38">
        <v>7822044.3000000007</v>
      </c>
      <c r="G2574" s="36" t="s">
        <v>8</v>
      </c>
      <c r="H2574" s="36" t="s">
        <v>228</v>
      </c>
      <c r="I2574" s="36"/>
      <c r="J2574" s="36"/>
    </row>
    <row r="2575" spans="1:10" x14ac:dyDescent="0.25">
      <c r="A2575" s="36">
        <v>1899</v>
      </c>
      <c r="B2575" s="37">
        <v>43525</v>
      </c>
      <c r="C2575" s="36"/>
      <c r="D2575" s="36"/>
      <c r="E2575" s="36" t="s">
        <v>7</v>
      </c>
      <c r="F2575" s="38">
        <v>3184375.68</v>
      </c>
      <c r="G2575" s="36" t="s">
        <v>8</v>
      </c>
      <c r="H2575" s="36" t="s">
        <v>8</v>
      </c>
      <c r="I2575" s="36"/>
      <c r="J2575" s="36"/>
    </row>
    <row r="2576" spans="1:10" x14ac:dyDescent="0.25">
      <c r="A2576" s="36">
        <v>1899</v>
      </c>
      <c r="B2576" s="37">
        <v>43556</v>
      </c>
      <c r="C2576" s="36"/>
      <c r="D2576" s="36"/>
      <c r="E2576" s="36" t="s">
        <v>7</v>
      </c>
      <c r="F2576" s="38">
        <v>3184375.68</v>
      </c>
      <c r="G2576" s="36" t="s">
        <v>8</v>
      </c>
      <c r="H2576" s="36" t="s">
        <v>8</v>
      </c>
      <c r="I2576" s="36"/>
      <c r="J2576" s="36"/>
    </row>
    <row r="2577" spans="1:10" x14ac:dyDescent="0.25">
      <c r="A2577" s="36">
        <v>1899</v>
      </c>
      <c r="B2577" s="37">
        <v>43586</v>
      </c>
      <c r="C2577" s="36"/>
      <c r="D2577" s="36"/>
      <c r="E2577" s="36" t="s">
        <v>7</v>
      </c>
      <c r="F2577" s="38">
        <v>3184375.68</v>
      </c>
      <c r="G2577" s="36" t="s">
        <v>8</v>
      </c>
      <c r="H2577" s="36" t="s">
        <v>8</v>
      </c>
      <c r="I2577" s="36"/>
      <c r="J2577" s="36"/>
    </row>
    <row r="2578" spans="1:10" x14ac:dyDescent="0.25">
      <c r="A2578" s="36">
        <v>1899</v>
      </c>
      <c r="B2578" s="37">
        <v>43617</v>
      </c>
      <c r="C2578" s="36"/>
      <c r="D2578" s="36"/>
      <c r="E2578" s="36" t="s">
        <v>7</v>
      </c>
      <c r="F2578" s="38">
        <v>3184375.68</v>
      </c>
      <c r="G2578" s="36" t="s">
        <v>8</v>
      </c>
      <c r="H2578" s="36" t="s">
        <v>8</v>
      </c>
      <c r="I2578" s="36"/>
      <c r="J2578" s="36"/>
    </row>
    <row r="2579" spans="1:10" x14ac:dyDescent="0.25">
      <c r="A2579" s="36">
        <v>1899</v>
      </c>
      <c r="B2579" s="37">
        <v>43647</v>
      </c>
      <c r="C2579" s="36"/>
      <c r="D2579" s="36"/>
      <c r="E2579" s="36" t="s">
        <v>7</v>
      </c>
      <c r="F2579" s="38">
        <v>3184375.68</v>
      </c>
      <c r="G2579" s="36" t="s">
        <v>8</v>
      </c>
      <c r="H2579" s="36" t="s">
        <v>8</v>
      </c>
      <c r="I2579" s="36"/>
      <c r="J2579" s="36"/>
    </row>
    <row r="2580" spans="1:10" x14ac:dyDescent="0.25">
      <c r="A2580" s="36">
        <v>1899</v>
      </c>
      <c r="B2580" s="37">
        <v>43678</v>
      </c>
      <c r="C2580" s="36"/>
      <c r="D2580" s="36"/>
      <c r="E2580" s="36" t="s">
        <v>7</v>
      </c>
      <c r="F2580" s="38">
        <v>4776563.5200000005</v>
      </c>
      <c r="G2580" s="36" t="s">
        <v>8</v>
      </c>
      <c r="H2580" s="36" t="s">
        <v>8</v>
      </c>
      <c r="I2580" s="36"/>
      <c r="J2580" s="36"/>
    </row>
    <row r="2581" spans="1:10" x14ac:dyDescent="0.25">
      <c r="A2581" s="36">
        <v>1899</v>
      </c>
      <c r="B2581" s="37">
        <v>43709</v>
      </c>
      <c r="C2581" s="36"/>
      <c r="D2581" s="36"/>
      <c r="E2581" s="36" t="s">
        <v>7</v>
      </c>
      <c r="F2581" s="38">
        <v>4776563.5200000005</v>
      </c>
      <c r="G2581" s="36" t="s">
        <v>8</v>
      </c>
      <c r="H2581" s="36" t="s">
        <v>8</v>
      </c>
      <c r="I2581" s="36"/>
      <c r="J2581" s="36"/>
    </row>
    <row r="2582" spans="1:10" x14ac:dyDescent="0.25">
      <c r="A2582" s="36">
        <v>1899</v>
      </c>
      <c r="B2582" s="37">
        <v>43739</v>
      </c>
      <c r="C2582" s="36"/>
      <c r="D2582" s="36"/>
      <c r="E2582" s="36" t="s">
        <v>7</v>
      </c>
      <c r="F2582" s="38">
        <v>4776563.5200000005</v>
      </c>
      <c r="G2582" s="36" t="s">
        <v>8</v>
      </c>
      <c r="H2582" s="36" t="s">
        <v>8</v>
      </c>
      <c r="I2582" s="36"/>
      <c r="J2582" s="36"/>
    </row>
    <row r="2583" spans="1:10" x14ac:dyDescent="0.25">
      <c r="A2583" s="36">
        <v>1899</v>
      </c>
      <c r="B2583" s="37">
        <v>43770</v>
      </c>
      <c r="C2583" s="36"/>
      <c r="D2583" s="36"/>
      <c r="E2583" s="36" t="s">
        <v>7</v>
      </c>
      <c r="F2583" s="38">
        <v>4776563.5200000005</v>
      </c>
      <c r="G2583" s="36" t="s">
        <v>8</v>
      </c>
      <c r="H2583" s="36" t="s">
        <v>8</v>
      </c>
      <c r="I2583" s="36"/>
      <c r="J2583" s="36"/>
    </row>
    <row r="2584" spans="1:10" x14ac:dyDescent="0.25">
      <c r="A2584" s="36">
        <v>1899</v>
      </c>
      <c r="B2584" s="37">
        <v>43800</v>
      </c>
      <c r="C2584" s="36"/>
      <c r="D2584" s="36"/>
      <c r="E2584" s="36" t="s">
        <v>7</v>
      </c>
      <c r="F2584" s="38">
        <v>4776563.5200000005</v>
      </c>
      <c r="G2584" s="36" t="s">
        <v>8</v>
      </c>
      <c r="H2584" s="36" t="s">
        <v>8</v>
      </c>
      <c r="I2584" s="36"/>
      <c r="J2584" s="36"/>
    </row>
    <row r="2585" spans="1:10" x14ac:dyDescent="0.25">
      <c r="A2585" s="36">
        <v>1899</v>
      </c>
      <c r="B2585" s="37">
        <v>43831</v>
      </c>
      <c r="C2585" s="36"/>
      <c r="D2585" s="36"/>
      <c r="E2585" s="36" t="s">
        <v>7</v>
      </c>
      <c r="F2585" s="38">
        <v>4776563.5200000005</v>
      </c>
      <c r="G2585" s="36" t="s">
        <v>8</v>
      </c>
      <c r="H2585" s="36" t="s">
        <v>8</v>
      </c>
      <c r="I2585" s="36"/>
      <c r="J2585" s="36"/>
    </row>
    <row r="2586" spans="1:10" x14ac:dyDescent="0.25">
      <c r="A2586" s="36">
        <v>1899</v>
      </c>
      <c r="B2586" s="37">
        <v>43862</v>
      </c>
      <c r="C2586" s="36"/>
      <c r="D2586" s="36"/>
      <c r="E2586" s="36" t="s">
        <v>7</v>
      </c>
      <c r="F2586" s="38">
        <v>4776563.5200000005</v>
      </c>
      <c r="G2586" s="36" t="s">
        <v>8</v>
      </c>
      <c r="H2586" s="36" t="s">
        <v>8</v>
      </c>
      <c r="I2586" s="36"/>
      <c r="J2586" s="36"/>
    </row>
    <row r="2587" spans="1:10" x14ac:dyDescent="0.25">
      <c r="A2587" s="36">
        <v>1899</v>
      </c>
      <c r="B2587" s="37">
        <v>43891</v>
      </c>
      <c r="C2587" s="36"/>
      <c r="D2587" s="36"/>
      <c r="E2587" s="36" t="s">
        <v>7</v>
      </c>
      <c r="F2587" s="38">
        <v>4776563.5200000005</v>
      </c>
      <c r="G2587" s="36" t="s">
        <v>8</v>
      </c>
      <c r="H2587" s="36" t="s">
        <v>8</v>
      </c>
      <c r="I2587" s="36"/>
      <c r="J2587" s="36"/>
    </row>
    <row r="2588" spans="1:10" x14ac:dyDescent="0.25">
      <c r="A2588" s="36">
        <v>1899</v>
      </c>
      <c r="B2588" s="37">
        <v>43922</v>
      </c>
      <c r="C2588" s="36"/>
      <c r="D2588" s="36"/>
      <c r="E2588" s="36" t="s">
        <v>7</v>
      </c>
      <c r="F2588" s="38">
        <v>4776563.5200000005</v>
      </c>
      <c r="G2588" s="36" t="s">
        <v>8</v>
      </c>
      <c r="H2588" s="36" t="s">
        <v>8</v>
      </c>
      <c r="I2588" s="36"/>
      <c r="J2588" s="36"/>
    </row>
    <row r="2589" spans="1:10" x14ac:dyDescent="0.25">
      <c r="A2589" s="36">
        <v>1899</v>
      </c>
      <c r="B2589" s="37">
        <v>43952</v>
      </c>
      <c r="C2589" s="36"/>
      <c r="D2589" s="36"/>
      <c r="E2589" s="36" t="s">
        <v>7</v>
      </c>
      <c r="F2589" s="38">
        <v>4776563.5200000005</v>
      </c>
      <c r="G2589" s="36" t="s">
        <v>8</v>
      </c>
      <c r="H2589" s="36" t="s">
        <v>8</v>
      </c>
      <c r="I2589" s="36"/>
      <c r="J2589" s="36"/>
    </row>
    <row r="2590" spans="1:10" x14ac:dyDescent="0.25">
      <c r="A2590" s="36">
        <v>1899</v>
      </c>
      <c r="B2590" s="37">
        <v>43983</v>
      </c>
      <c r="C2590" s="36"/>
      <c r="D2590" s="36"/>
      <c r="E2590" s="36" t="s">
        <v>7</v>
      </c>
      <c r="F2590" s="38">
        <v>4776563.5200000005</v>
      </c>
      <c r="G2590" s="36" t="s">
        <v>8</v>
      </c>
      <c r="H2590" s="36" t="s">
        <v>8</v>
      </c>
      <c r="I2590" s="36"/>
      <c r="J2590" s="36"/>
    </row>
    <row r="2591" spans="1:10" x14ac:dyDescent="0.25">
      <c r="A2591" s="36">
        <v>1899</v>
      </c>
      <c r="B2591" s="37">
        <v>44013</v>
      </c>
      <c r="C2591" s="36"/>
      <c r="D2591" s="36"/>
      <c r="E2591" s="36" t="s">
        <v>7</v>
      </c>
      <c r="F2591" s="38">
        <v>4776563.5200000005</v>
      </c>
      <c r="G2591" s="36" t="s">
        <v>8</v>
      </c>
      <c r="H2591" s="36" t="s">
        <v>8</v>
      </c>
      <c r="I2591" s="36"/>
      <c r="J2591" s="36"/>
    </row>
    <row r="2592" spans="1:10" x14ac:dyDescent="0.25">
      <c r="A2592" s="36">
        <v>1899</v>
      </c>
      <c r="B2592" s="37">
        <v>44044</v>
      </c>
      <c r="C2592" s="36"/>
      <c r="D2592" s="36"/>
      <c r="E2592" s="36" t="s">
        <v>7</v>
      </c>
      <c r="F2592" s="38">
        <v>4776563.5200000005</v>
      </c>
      <c r="G2592" s="36" t="s">
        <v>8</v>
      </c>
      <c r="H2592" s="36" t="s">
        <v>8</v>
      </c>
      <c r="I2592" s="36"/>
      <c r="J2592" s="36"/>
    </row>
    <row r="2593" spans="1:10" x14ac:dyDescent="0.25">
      <c r="A2593" s="36">
        <v>1899</v>
      </c>
      <c r="B2593" s="37">
        <v>44075</v>
      </c>
      <c r="C2593" s="36"/>
      <c r="D2593" s="36"/>
      <c r="E2593" s="36" t="s">
        <v>7</v>
      </c>
      <c r="F2593" s="38">
        <v>4776563.5200000005</v>
      </c>
      <c r="G2593" s="36" t="s">
        <v>8</v>
      </c>
      <c r="H2593" s="36" t="s">
        <v>8</v>
      </c>
      <c r="I2593" s="36"/>
      <c r="J2593" s="36"/>
    </row>
    <row r="2594" spans="1:10" x14ac:dyDescent="0.25">
      <c r="A2594" s="36">
        <v>1899</v>
      </c>
      <c r="B2594" s="37">
        <v>44105</v>
      </c>
      <c r="C2594" s="36"/>
      <c r="D2594" s="36"/>
      <c r="E2594" s="36" t="s">
        <v>7</v>
      </c>
      <c r="F2594" s="38">
        <v>4776563.5200000005</v>
      </c>
      <c r="G2594" s="36" t="s">
        <v>8</v>
      </c>
      <c r="H2594" s="36" t="s">
        <v>8</v>
      </c>
      <c r="I2594" s="36"/>
      <c r="J2594" s="36"/>
    </row>
    <row r="2595" spans="1:10" x14ac:dyDescent="0.25">
      <c r="A2595" s="36">
        <v>1899</v>
      </c>
      <c r="B2595" s="37">
        <v>44136</v>
      </c>
      <c r="C2595" s="36"/>
      <c r="D2595" s="36"/>
      <c r="E2595" s="36" t="s">
        <v>7</v>
      </c>
      <c r="F2595" s="38">
        <v>4776563.5200000005</v>
      </c>
      <c r="G2595" s="36" t="s">
        <v>8</v>
      </c>
      <c r="H2595" s="36" t="s">
        <v>8</v>
      </c>
      <c r="I2595" s="36"/>
      <c r="J2595" s="36"/>
    </row>
    <row r="2596" spans="1:10" x14ac:dyDescent="0.25">
      <c r="A2596" s="36">
        <v>1899</v>
      </c>
      <c r="B2596" s="37">
        <v>44166</v>
      </c>
      <c r="C2596" s="36"/>
      <c r="D2596" s="36"/>
      <c r="E2596" s="36" t="s">
        <v>7</v>
      </c>
      <c r="F2596" s="38">
        <v>4776563.5200000005</v>
      </c>
      <c r="G2596" s="36" t="s">
        <v>8</v>
      </c>
      <c r="H2596" s="36" t="s">
        <v>8</v>
      </c>
      <c r="I2596" s="36"/>
      <c r="J2596" s="36"/>
    </row>
    <row r="2597" spans="1:10" x14ac:dyDescent="0.25">
      <c r="A2597" s="36">
        <v>1899</v>
      </c>
      <c r="B2597" s="37">
        <v>44197</v>
      </c>
      <c r="C2597" s="36"/>
      <c r="D2597" s="36"/>
      <c r="E2597" s="36" t="s">
        <v>7</v>
      </c>
      <c r="F2597" s="38">
        <v>4776563.5200000005</v>
      </c>
      <c r="G2597" s="36" t="s">
        <v>8</v>
      </c>
      <c r="H2597" s="36" t="s">
        <v>8</v>
      </c>
      <c r="I2597" s="36"/>
      <c r="J2597" s="36"/>
    </row>
    <row r="2598" spans="1:10" x14ac:dyDescent="0.25">
      <c r="A2598" s="36">
        <v>1899</v>
      </c>
      <c r="B2598" s="37">
        <v>44228</v>
      </c>
      <c r="C2598" s="36"/>
      <c r="D2598" s="36"/>
      <c r="E2598" s="36" t="s">
        <v>7</v>
      </c>
      <c r="F2598" s="38">
        <v>4776563.5200000005</v>
      </c>
      <c r="G2598" s="36" t="s">
        <v>8</v>
      </c>
      <c r="H2598" s="36" t="s">
        <v>8</v>
      </c>
      <c r="I2598" s="36"/>
      <c r="J2598" s="36"/>
    </row>
    <row r="2599" spans="1:10" x14ac:dyDescent="0.25">
      <c r="A2599" s="36">
        <v>1899</v>
      </c>
      <c r="B2599" s="37">
        <v>44256</v>
      </c>
      <c r="C2599" s="36"/>
      <c r="D2599" s="36"/>
      <c r="E2599" s="36" t="s">
        <v>7</v>
      </c>
      <c r="F2599" s="38">
        <v>4776563.5200000005</v>
      </c>
      <c r="G2599" s="36" t="s">
        <v>8</v>
      </c>
      <c r="H2599" s="36" t="s">
        <v>8</v>
      </c>
      <c r="I2599" s="36"/>
      <c r="J2599" s="36"/>
    </row>
    <row r="2600" spans="1:10" x14ac:dyDescent="0.25">
      <c r="A2600" s="36">
        <v>1899</v>
      </c>
      <c r="B2600" s="37">
        <v>43525</v>
      </c>
      <c r="C2600" s="36"/>
      <c r="D2600" s="36"/>
      <c r="E2600" s="36" t="s">
        <v>9</v>
      </c>
      <c r="F2600" s="38">
        <v>6862500</v>
      </c>
      <c r="G2600" s="36" t="s">
        <v>8</v>
      </c>
      <c r="H2600" s="36" t="s">
        <v>8</v>
      </c>
      <c r="I2600" s="36"/>
      <c r="J2600" s="36"/>
    </row>
    <row r="2601" spans="1:10" x14ac:dyDescent="0.25">
      <c r="A2601" s="36">
        <v>1899</v>
      </c>
      <c r="B2601" s="37">
        <v>43556</v>
      </c>
      <c r="C2601" s="36"/>
      <c r="D2601" s="36"/>
      <c r="E2601" s="36" t="s">
        <v>9</v>
      </c>
      <c r="F2601" s="38">
        <v>6862500</v>
      </c>
      <c r="G2601" s="36" t="s">
        <v>8</v>
      </c>
      <c r="H2601" s="36" t="s">
        <v>8</v>
      </c>
      <c r="I2601" s="36"/>
      <c r="J2601" s="36"/>
    </row>
    <row r="2602" spans="1:10" x14ac:dyDescent="0.25">
      <c r="A2602" s="36">
        <v>1899</v>
      </c>
      <c r="B2602" s="37">
        <v>43586</v>
      </c>
      <c r="C2602" s="36"/>
      <c r="D2602" s="36"/>
      <c r="E2602" s="36" t="s">
        <v>9</v>
      </c>
      <c r="F2602" s="38">
        <v>6862500</v>
      </c>
      <c r="G2602" s="36" t="s">
        <v>8</v>
      </c>
      <c r="H2602" s="36" t="s">
        <v>8</v>
      </c>
      <c r="I2602" s="36"/>
      <c r="J2602" s="36"/>
    </row>
    <row r="2603" spans="1:10" x14ac:dyDescent="0.25">
      <c r="A2603" s="36">
        <v>1899</v>
      </c>
      <c r="B2603" s="37">
        <v>43617</v>
      </c>
      <c r="C2603" s="36"/>
      <c r="D2603" s="36"/>
      <c r="E2603" s="36" t="s">
        <v>9</v>
      </c>
      <c r="F2603" s="38">
        <v>6862500</v>
      </c>
      <c r="G2603" s="36" t="s">
        <v>8</v>
      </c>
      <c r="H2603" s="36" t="s">
        <v>8</v>
      </c>
      <c r="I2603" s="36"/>
      <c r="J2603" s="36"/>
    </row>
    <row r="2604" spans="1:10" x14ac:dyDescent="0.25">
      <c r="A2604" s="36">
        <v>1899</v>
      </c>
      <c r="B2604" s="37">
        <v>43647</v>
      </c>
      <c r="C2604" s="36"/>
      <c r="D2604" s="36"/>
      <c r="E2604" s="36" t="s">
        <v>9</v>
      </c>
      <c r="F2604" s="38">
        <v>6862500</v>
      </c>
      <c r="G2604" s="36" t="s">
        <v>8</v>
      </c>
      <c r="H2604" s="36" t="s">
        <v>8</v>
      </c>
      <c r="I2604" s="36"/>
      <c r="J2604" s="36"/>
    </row>
    <row r="2605" spans="1:10" x14ac:dyDescent="0.25">
      <c r="A2605" s="36">
        <v>1899</v>
      </c>
      <c r="B2605" s="37">
        <v>43678</v>
      </c>
      <c r="C2605" s="36"/>
      <c r="D2605" s="36"/>
      <c r="E2605" s="36" t="s">
        <v>9</v>
      </c>
      <c r="F2605" s="38">
        <v>9150000</v>
      </c>
      <c r="G2605" s="36" t="s">
        <v>8</v>
      </c>
      <c r="H2605" s="36" t="s">
        <v>8</v>
      </c>
      <c r="I2605" s="36"/>
      <c r="J2605" s="36"/>
    </row>
    <row r="2606" spans="1:10" x14ac:dyDescent="0.25">
      <c r="A2606" s="36">
        <v>1899</v>
      </c>
      <c r="B2606" s="37">
        <v>43709</v>
      </c>
      <c r="C2606" s="36"/>
      <c r="D2606" s="36"/>
      <c r="E2606" s="36" t="s">
        <v>9</v>
      </c>
      <c r="F2606" s="38">
        <v>9150000</v>
      </c>
      <c r="G2606" s="36" t="s">
        <v>8</v>
      </c>
      <c r="H2606" s="36" t="s">
        <v>8</v>
      </c>
      <c r="I2606" s="36"/>
      <c r="J2606" s="36"/>
    </row>
    <row r="2607" spans="1:10" x14ac:dyDescent="0.25">
      <c r="A2607" s="36">
        <v>1899</v>
      </c>
      <c r="B2607" s="37">
        <v>43739</v>
      </c>
      <c r="C2607" s="36"/>
      <c r="D2607" s="36"/>
      <c r="E2607" s="36" t="s">
        <v>9</v>
      </c>
      <c r="F2607" s="38">
        <v>9150000</v>
      </c>
      <c r="G2607" s="36" t="s">
        <v>8</v>
      </c>
      <c r="H2607" s="36" t="s">
        <v>8</v>
      </c>
      <c r="I2607" s="36"/>
      <c r="J2607" s="36"/>
    </row>
    <row r="2608" spans="1:10" x14ac:dyDescent="0.25">
      <c r="A2608" s="36">
        <v>1899</v>
      </c>
      <c r="B2608" s="37">
        <v>43770</v>
      </c>
      <c r="C2608" s="36"/>
      <c r="D2608" s="36"/>
      <c r="E2608" s="36" t="s">
        <v>9</v>
      </c>
      <c r="F2608" s="38">
        <v>9150000</v>
      </c>
      <c r="G2608" s="36" t="s">
        <v>8</v>
      </c>
      <c r="H2608" s="36" t="s">
        <v>8</v>
      </c>
      <c r="I2608" s="36"/>
      <c r="J2608" s="36"/>
    </row>
    <row r="2609" spans="1:10" x14ac:dyDescent="0.25">
      <c r="A2609" s="36">
        <v>1899</v>
      </c>
      <c r="B2609" s="37">
        <v>43800</v>
      </c>
      <c r="C2609" s="36"/>
      <c r="D2609" s="36"/>
      <c r="E2609" s="36" t="s">
        <v>9</v>
      </c>
      <c r="F2609" s="38">
        <v>9150000</v>
      </c>
      <c r="G2609" s="36" t="s">
        <v>8</v>
      </c>
      <c r="H2609" s="36" t="s">
        <v>8</v>
      </c>
      <c r="I2609" s="36"/>
      <c r="J2609" s="36"/>
    </row>
    <row r="2610" spans="1:10" x14ac:dyDescent="0.25">
      <c r="A2610" s="36">
        <v>1899</v>
      </c>
      <c r="B2610" s="37">
        <v>43831</v>
      </c>
      <c r="C2610" s="36"/>
      <c r="D2610" s="36"/>
      <c r="E2610" s="36" t="s">
        <v>9</v>
      </c>
      <c r="F2610" s="38">
        <v>9150000</v>
      </c>
      <c r="G2610" s="36" t="s">
        <v>8</v>
      </c>
      <c r="H2610" s="36" t="s">
        <v>8</v>
      </c>
      <c r="I2610" s="36"/>
      <c r="J2610" s="36"/>
    </row>
    <row r="2611" spans="1:10" x14ac:dyDescent="0.25">
      <c r="A2611" s="36">
        <v>1899</v>
      </c>
      <c r="B2611" s="37">
        <v>43862</v>
      </c>
      <c r="C2611" s="36"/>
      <c r="D2611" s="36"/>
      <c r="E2611" s="36" t="s">
        <v>9</v>
      </c>
      <c r="F2611" s="38">
        <v>9150000</v>
      </c>
      <c r="G2611" s="36" t="s">
        <v>8</v>
      </c>
      <c r="H2611" s="36" t="s">
        <v>8</v>
      </c>
      <c r="I2611" s="36"/>
      <c r="J2611" s="36"/>
    </row>
    <row r="2612" spans="1:10" x14ac:dyDescent="0.25">
      <c r="A2612" s="36">
        <v>1899</v>
      </c>
      <c r="B2612" s="37">
        <v>43891</v>
      </c>
      <c r="C2612" s="36"/>
      <c r="D2612" s="36"/>
      <c r="E2612" s="36" t="s">
        <v>9</v>
      </c>
      <c r="F2612" s="38">
        <v>9150000</v>
      </c>
      <c r="G2612" s="36" t="s">
        <v>8</v>
      </c>
      <c r="H2612" s="36" t="s">
        <v>8</v>
      </c>
      <c r="I2612" s="36"/>
      <c r="J2612" s="36"/>
    </row>
    <row r="2613" spans="1:10" x14ac:dyDescent="0.25">
      <c r="A2613" s="36">
        <v>1899</v>
      </c>
      <c r="B2613" s="37">
        <v>43922</v>
      </c>
      <c r="C2613" s="36"/>
      <c r="D2613" s="36"/>
      <c r="E2613" s="36" t="s">
        <v>9</v>
      </c>
      <c r="F2613" s="38">
        <v>9150000</v>
      </c>
      <c r="G2613" s="36" t="s">
        <v>8</v>
      </c>
      <c r="H2613" s="36" t="s">
        <v>8</v>
      </c>
      <c r="I2613" s="36"/>
      <c r="J2613" s="36"/>
    </row>
    <row r="2614" spans="1:10" x14ac:dyDescent="0.25">
      <c r="A2614" s="36">
        <v>1899</v>
      </c>
      <c r="B2614" s="37">
        <v>43952</v>
      </c>
      <c r="C2614" s="36"/>
      <c r="D2614" s="36"/>
      <c r="E2614" s="36" t="s">
        <v>9</v>
      </c>
      <c r="F2614" s="38">
        <v>9150000</v>
      </c>
      <c r="G2614" s="36" t="s">
        <v>8</v>
      </c>
      <c r="H2614" s="36" t="s">
        <v>8</v>
      </c>
      <c r="I2614" s="36"/>
      <c r="J2614" s="36"/>
    </row>
    <row r="2615" spans="1:10" x14ac:dyDescent="0.25">
      <c r="A2615" s="36">
        <v>1899</v>
      </c>
      <c r="B2615" s="37">
        <v>43983</v>
      </c>
      <c r="C2615" s="36"/>
      <c r="D2615" s="36"/>
      <c r="E2615" s="36" t="s">
        <v>9</v>
      </c>
      <c r="F2615" s="38">
        <v>9150000</v>
      </c>
      <c r="G2615" s="36" t="s">
        <v>8</v>
      </c>
      <c r="H2615" s="36" t="s">
        <v>8</v>
      </c>
      <c r="I2615" s="36"/>
      <c r="J2615" s="36"/>
    </row>
    <row r="2616" spans="1:10" x14ac:dyDescent="0.25">
      <c r="A2616" s="36">
        <v>1899</v>
      </c>
      <c r="B2616" s="37">
        <v>44013</v>
      </c>
      <c r="C2616" s="36"/>
      <c r="D2616" s="36"/>
      <c r="E2616" s="36" t="s">
        <v>9</v>
      </c>
      <c r="F2616" s="38">
        <v>9150000</v>
      </c>
      <c r="G2616" s="36" t="s">
        <v>8</v>
      </c>
      <c r="H2616" s="36" t="s">
        <v>8</v>
      </c>
      <c r="I2616" s="36"/>
      <c r="J2616" s="36"/>
    </row>
    <row r="2617" spans="1:10" x14ac:dyDescent="0.25">
      <c r="A2617" s="36">
        <v>1899</v>
      </c>
      <c r="B2617" s="37">
        <v>44044</v>
      </c>
      <c r="C2617" s="36"/>
      <c r="D2617" s="36"/>
      <c r="E2617" s="36" t="s">
        <v>9</v>
      </c>
      <c r="F2617" s="38">
        <v>9150000</v>
      </c>
      <c r="G2617" s="36" t="s">
        <v>8</v>
      </c>
      <c r="H2617" s="36" t="s">
        <v>8</v>
      </c>
      <c r="I2617" s="36"/>
      <c r="J2617" s="36"/>
    </row>
    <row r="2618" spans="1:10" x14ac:dyDescent="0.25">
      <c r="A2618" s="36">
        <v>1899</v>
      </c>
      <c r="B2618" s="37">
        <v>44075</v>
      </c>
      <c r="C2618" s="36"/>
      <c r="D2618" s="36"/>
      <c r="E2618" s="36" t="s">
        <v>9</v>
      </c>
      <c r="F2618" s="38">
        <v>9150000</v>
      </c>
      <c r="G2618" s="36" t="s">
        <v>8</v>
      </c>
      <c r="H2618" s="36" t="s">
        <v>8</v>
      </c>
      <c r="I2618" s="36"/>
      <c r="J2618" s="36"/>
    </row>
    <row r="2619" spans="1:10" x14ac:dyDescent="0.25">
      <c r="A2619" s="36">
        <v>1899</v>
      </c>
      <c r="B2619" s="37">
        <v>44105</v>
      </c>
      <c r="C2619" s="36"/>
      <c r="D2619" s="36"/>
      <c r="E2619" s="36" t="s">
        <v>9</v>
      </c>
      <c r="F2619" s="38">
        <v>9150000</v>
      </c>
      <c r="G2619" s="36" t="s">
        <v>8</v>
      </c>
      <c r="H2619" s="36" t="s">
        <v>8</v>
      </c>
      <c r="I2619" s="36"/>
      <c r="J2619" s="36"/>
    </row>
    <row r="2620" spans="1:10" x14ac:dyDescent="0.25">
      <c r="A2620" s="36">
        <v>1899</v>
      </c>
      <c r="B2620" s="37">
        <v>44136</v>
      </c>
      <c r="C2620" s="36"/>
      <c r="D2620" s="36"/>
      <c r="E2620" s="36" t="s">
        <v>9</v>
      </c>
      <c r="F2620" s="38">
        <v>9150000</v>
      </c>
      <c r="G2620" s="36" t="s">
        <v>8</v>
      </c>
      <c r="H2620" s="36" t="s">
        <v>8</v>
      </c>
      <c r="I2620" s="36"/>
      <c r="J2620" s="36"/>
    </row>
    <row r="2621" spans="1:10" x14ac:dyDescent="0.25">
      <c r="A2621" s="36">
        <v>1899</v>
      </c>
      <c r="B2621" s="37">
        <v>44166</v>
      </c>
      <c r="C2621" s="36"/>
      <c r="D2621" s="36"/>
      <c r="E2621" s="36" t="s">
        <v>9</v>
      </c>
      <c r="F2621" s="38">
        <v>9150000</v>
      </c>
      <c r="G2621" s="36" t="s">
        <v>8</v>
      </c>
      <c r="H2621" s="36" t="s">
        <v>8</v>
      </c>
      <c r="I2621" s="36"/>
      <c r="J2621" s="36"/>
    </row>
    <row r="2622" spans="1:10" x14ac:dyDescent="0.25">
      <c r="A2622" s="36">
        <v>1899</v>
      </c>
      <c r="B2622" s="37">
        <v>44197</v>
      </c>
      <c r="C2622" s="36"/>
      <c r="D2622" s="36"/>
      <c r="E2622" s="36" t="s">
        <v>9</v>
      </c>
      <c r="F2622" s="38">
        <v>9150000</v>
      </c>
      <c r="G2622" s="36" t="s">
        <v>8</v>
      </c>
      <c r="H2622" s="36" t="s">
        <v>8</v>
      </c>
      <c r="I2622" s="36"/>
      <c r="J2622" s="36"/>
    </row>
    <row r="2623" spans="1:10" x14ac:dyDescent="0.25">
      <c r="A2623" s="36">
        <v>1899</v>
      </c>
      <c r="B2623" s="37">
        <v>44228</v>
      </c>
      <c r="C2623" s="36"/>
      <c r="D2623" s="36"/>
      <c r="E2623" s="36" t="s">
        <v>9</v>
      </c>
      <c r="F2623" s="38">
        <v>9150000</v>
      </c>
      <c r="G2623" s="36" t="s">
        <v>8</v>
      </c>
      <c r="H2623" s="36" t="s">
        <v>8</v>
      </c>
      <c r="I2623" s="36"/>
      <c r="J2623" s="36"/>
    </row>
    <row r="2624" spans="1:10" x14ac:dyDescent="0.25">
      <c r="A2624" s="36">
        <v>1899</v>
      </c>
      <c r="B2624" s="37">
        <v>44256</v>
      </c>
      <c r="C2624" s="36"/>
      <c r="D2624" s="36"/>
      <c r="E2624" s="36" t="s">
        <v>9</v>
      </c>
      <c r="F2624" s="38">
        <v>9150000</v>
      </c>
      <c r="G2624" s="36" t="s">
        <v>8</v>
      </c>
      <c r="H2624" s="36" t="s">
        <v>8</v>
      </c>
      <c r="I2624" s="36"/>
      <c r="J2624" s="36"/>
    </row>
    <row r="2625" spans="1:10" x14ac:dyDescent="0.25">
      <c r="A2625" s="36">
        <v>1899</v>
      </c>
      <c r="B2625" s="37">
        <v>43525</v>
      </c>
      <c r="C2625" s="36"/>
      <c r="D2625" s="36"/>
      <c r="E2625" s="36" t="s">
        <v>126</v>
      </c>
      <c r="F2625" s="38">
        <v>6000000</v>
      </c>
      <c r="G2625" s="36" t="s">
        <v>8</v>
      </c>
      <c r="H2625" s="36" t="s">
        <v>8</v>
      </c>
      <c r="I2625" s="36"/>
      <c r="J2625" s="36"/>
    </row>
    <row r="2626" spans="1:10" x14ac:dyDescent="0.25">
      <c r="A2626" s="36">
        <v>1899</v>
      </c>
      <c r="B2626" s="37">
        <v>43556</v>
      </c>
      <c r="C2626" s="36"/>
      <c r="D2626" s="36"/>
      <c r="E2626" s="36" t="s">
        <v>126</v>
      </c>
      <c r="F2626" s="38">
        <v>6000000</v>
      </c>
      <c r="G2626" s="36" t="s">
        <v>8</v>
      </c>
      <c r="H2626" s="36" t="s">
        <v>8</v>
      </c>
      <c r="I2626" s="36"/>
      <c r="J2626" s="36"/>
    </row>
    <row r="2627" spans="1:10" x14ac:dyDescent="0.25">
      <c r="A2627" s="36">
        <v>1899</v>
      </c>
      <c r="B2627" s="37">
        <v>43586</v>
      </c>
      <c r="C2627" s="36"/>
      <c r="D2627" s="36"/>
      <c r="E2627" s="36" t="s">
        <v>126</v>
      </c>
      <c r="F2627" s="38">
        <v>6000000</v>
      </c>
      <c r="G2627" s="36" t="s">
        <v>8</v>
      </c>
      <c r="H2627" s="36" t="s">
        <v>8</v>
      </c>
      <c r="I2627" s="36"/>
      <c r="J2627" s="36"/>
    </row>
    <row r="2628" spans="1:10" x14ac:dyDescent="0.25">
      <c r="A2628" s="36">
        <v>1899</v>
      </c>
      <c r="B2628" s="37">
        <v>43617</v>
      </c>
      <c r="C2628" s="36"/>
      <c r="D2628" s="36"/>
      <c r="E2628" s="36" t="s">
        <v>126</v>
      </c>
      <c r="F2628" s="38">
        <v>6000000</v>
      </c>
      <c r="G2628" s="36" t="s">
        <v>8</v>
      </c>
      <c r="H2628" s="36" t="s">
        <v>8</v>
      </c>
      <c r="I2628" s="36"/>
      <c r="J2628" s="36"/>
    </row>
    <row r="2629" spans="1:10" x14ac:dyDescent="0.25">
      <c r="A2629" s="36">
        <v>1899</v>
      </c>
      <c r="B2629" s="37">
        <v>43647</v>
      </c>
      <c r="C2629" s="36"/>
      <c r="D2629" s="36"/>
      <c r="E2629" s="36" t="s">
        <v>126</v>
      </c>
      <c r="F2629" s="38">
        <v>6000000</v>
      </c>
      <c r="G2629" s="36" t="s">
        <v>8</v>
      </c>
      <c r="H2629" s="36" t="s">
        <v>8</v>
      </c>
      <c r="I2629" s="36"/>
      <c r="J2629" s="36"/>
    </row>
    <row r="2630" spans="1:10" x14ac:dyDescent="0.25">
      <c r="A2630" s="36">
        <v>1899</v>
      </c>
      <c r="B2630" s="37">
        <v>43678</v>
      </c>
      <c r="C2630" s="36"/>
      <c r="D2630" s="36"/>
      <c r="E2630" s="36" t="s">
        <v>126</v>
      </c>
      <c r="F2630" s="38">
        <v>6000000</v>
      </c>
      <c r="G2630" s="36" t="s">
        <v>8</v>
      </c>
      <c r="H2630" s="36" t="s">
        <v>8</v>
      </c>
      <c r="I2630" s="36"/>
      <c r="J2630" s="36"/>
    </row>
    <row r="2631" spans="1:10" x14ac:dyDescent="0.25">
      <c r="A2631" s="36">
        <v>1899</v>
      </c>
      <c r="B2631" s="37">
        <v>43709</v>
      </c>
      <c r="C2631" s="36"/>
      <c r="D2631" s="36"/>
      <c r="E2631" s="36" t="s">
        <v>126</v>
      </c>
      <c r="F2631" s="38">
        <v>6000000</v>
      </c>
      <c r="G2631" s="36" t="s">
        <v>8</v>
      </c>
      <c r="H2631" s="36" t="s">
        <v>8</v>
      </c>
      <c r="I2631" s="36"/>
      <c r="J2631" s="36"/>
    </row>
    <row r="2632" spans="1:10" x14ac:dyDescent="0.25">
      <c r="A2632" s="36">
        <v>1899</v>
      </c>
      <c r="B2632" s="37">
        <v>43739</v>
      </c>
      <c r="C2632" s="36"/>
      <c r="D2632" s="36"/>
      <c r="E2632" s="36" t="s">
        <v>126</v>
      </c>
      <c r="F2632" s="38">
        <v>6000000</v>
      </c>
      <c r="G2632" s="36" t="s">
        <v>8</v>
      </c>
      <c r="H2632" s="36" t="s">
        <v>8</v>
      </c>
      <c r="I2632" s="36"/>
      <c r="J2632" s="36"/>
    </row>
    <row r="2633" spans="1:10" x14ac:dyDescent="0.25">
      <c r="A2633" s="36">
        <v>1899</v>
      </c>
      <c r="B2633" s="37">
        <v>43770</v>
      </c>
      <c r="C2633" s="36"/>
      <c r="D2633" s="36"/>
      <c r="E2633" s="36" t="s">
        <v>126</v>
      </c>
      <c r="F2633" s="38">
        <v>6000000</v>
      </c>
      <c r="G2633" s="36" t="s">
        <v>8</v>
      </c>
      <c r="H2633" s="36" t="s">
        <v>8</v>
      </c>
      <c r="I2633" s="36"/>
      <c r="J2633" s="36"/>
    </row>
    <row r="2634" spans="1:10" x14ac:dyDescent="0.25">
      <c r="A2634" s="36">
        <v>1899</v>
      </c>
      <c r="B2634" s="37">
        <v>43800</v>
      </c>
      <c r="C2634" s="36"/>
      <c r="D2634" s="36"/>
      <c r="E2634" s="36" t="s">
        <v>126</v>
      </c>
      <c r="F2634" s="38">
        <v>6000000</v>
      </c>
      <c r="G2634" s="36" t="s">
        <v>8</v>
      </c>
      <c r="H2634" s="36" t="s">
        <v>8</v>
      </c>
      <c r="I2634" s="36"/>
      <c r="J2634" s="36"/>
    </row>
    <row r="2635" spans="1:10" x14ac:dyDescent="0.25">
      <c r="A2635" s="36">
        <v>1899</v>
      </c>
      <c r="B2635" s="37">
        <v>43831</v>
      </c>
      <c r="C2635" s="36"/>
      <c r="D2635" s="36"/>
      <c r="E2635" s="36" t="s">
        <v>126</v>
      </c>
      <c r="F2635" s="38">
        <v>6000000</v>
      </c>
      <c r="G2635" s="36" t="s">
        <v>8</v>
      </c>
      <c r="H2635" s="36" t="s">
        <v>8</v>
      </c>
      <c r="I2635" s="36"/>
      <c r="J2635" s="36"/>
    </row>
    <row r="2636" spans="1:10" x14ac:dyDescent="0.25">
      <c r="A2636" s="36">
        <v>1899</v>
      </c>
      <c r="B2636" s="37">
        <v>43862</v>
      </c>
      <c r="C2636" s="36"/>
      <c r="D2636" s="36"/>
      <c r="E2636" s="36" t="s">
        <v>126</v>
      </c>
      <c r="F2636" s="38">
        <v>6000000</v>
      </c>
      <c r="G2636" s="36" t="s">
        <v>8</v>
      </c>
      <c r="H2636" s="36" t="s">
        <v>8</v>
      </c>
      <c r="I2636" s="36"/>
      <c r="J2636" s="36"/>
    </row>
    <row r="2637" spans="1:10" x14ac:dyDescent="0.25">
      <c r="A2637" s="36">
        <v>1899</v>
      </c>
      <c r="B2637" s="37">
        <v>43891</v>
      </c>
      <c r="C2637" s="36"/>
      <c r="D2637" s="36"/>
      <c r="E2637" s="36" t="s">
        <v>126</v>
      </c>
      <c r="F2637" s="38">
        <v>6000000</v>
      </c>
      <c r="G2637" s="36" t="s">
        <v>8</v>
      </c>
      <c r="H2637" s="36" t="s">
        <v>8</v>
      </c>
      <c r="I2637" s="36"/>
      <c r="J2637" s="36"/>
    </row>
    <row r="2638" spans="1:10" x14ac:dyDescent="0.25">
      <c r="A2638" s="36">
        <v>1899</v>
      </c>
      <c r="B2638" s="37">
        <v>43922</v>
      </c>
      <c r="C2638" s="36"/>
      <c r="D2638" s="36"/>
      <c r="E2638" s="36" t="s">
        <v>126</v>
      </c>
      <c r="F2638" s="38">
        <v>6000000</v>
      </c>
      <c r="G2638" s="36" t="s">
        <v>8</v>
      </c>
      <c r="H2638" s="36" t="s">
        <v>8</v>
      </c>
      <c r="I2638" s="36"/>
      <c r="J2638" s="36"/>
    </row>
    <row r="2639" spans="1:10" x14ac:dyDescent="0.25">
      <c r="A2639" s="36">
        <v>1899</v>
      </c>
      <c r="B2639" s="37">
        <v>43525</v>
      </c>
      <c r="C2639" s="36"/>
      <c r="D2639" s="36"/>
      <c r="E2639" s="36" t="s">
        <v>11</v>
      </c>
      <c r="F2639" s="38">
        <v>6000000</v>
      </c>
      <c r="G2639" s="36" t="s">
        <v>8</v>
      </c>
      <c r="H2639" s="36" t="s">
        <v>8</v>
      </c>
      <c r="I2639" s="36"/>
      <c r="J2639" s="36"/>
    </row>
    <row r="2640" spans="1:10" x14ac:dyDescent="0.25">
      <c r="A2640" s="36">
        <v>1899</v>
      </c>
      <c r="B2640" s="37">
        <v>43556</v>
      </c>
      <c r="C2640" s="36"/>
      <c r="D2640" s="36"/>
      <c r="E2640" s="36" t="s">
        <v>11</v>
      </c>
      <c r="F2640" s="38">
        <v>6000000</v>
      </c>
      <c r="G2640" s="36" t="s">
        <v>8</v>
      </c>
      <c r="H2640" s="36" t="s">
        <v>8</v>
      </c>
      <c r="I2640" s="36"/>
      <c r="J2640" s="36"/>
    </row>
    <row r="2641" spans="1:10" x14ac:dyDescent="0.25">
      <c r="A2641" s="36">
        <v>1899</v>
      </c>
      <c r="B2641" s="37">
        <v>43586</v>
      </c>
      <c r="C2641" s="36"/>
      <c r="D2641" s="36"/>
      <c r="E2641" s="36" t="s">
        <v>11</v>
      </c>
      <c r="F2641" s="38">
        <v>6000000</v>
      </c>
      <c r="G2641" s="36" t="s">
        <v>8</v>
      </c>
      <c r="H2641" s="36" t="s">
        <v>8</v>
      </c>
      <c r="I2641" s="36"/>
      <c r="J2641" s="36"/>
    </row>
    <row r="2642" spans="1:10" x14ac:dyDescent="0.25">
      <c r="A2642" s="36">
        <v>1899</v>
      </c>
      <c r="B2642" s="37">
        <v>43617</v>
      </c>
      <c r="C2642" s="36"/>
      <c r="D2642" s="36"/>
      <c r="E2642" s="36" t="s">
        <v>11</v>
      </c>
      <c r="F2642" s="38">
        <v>6000000</v>
      </c>
      <c r="G2642" s="36" t="s">
        <v>8</v>
      </c>
      <c r="H2642" s="36" t="s">
        <v>8</v>
      </c>
      <c r="I2642" s="36"/>
      <c r="J2642" s="36"/>
    </row>
    <row r="2643" spans="1:10" x14ac:dyDescent="0.25">
      <c r="A2643" s="36">
        <v>1899</v>
      </c>
      <c r="B2643" s="37">
        <v>43647</v>
      </c>
      <c r="C2643" s="36"/>
      <c r="D2643" s="36"/>
      <c r="E2643" s="36" t="s">
        <v>11</v>
      </c>
      <c r="F2643" s="38">
        <v>6000000</v>
      </c>
      <c r="G2643" s="36" t="s">
        <v>8</v>
      </c>
      <c r="H2643" s="36" t="s">
        <v>8</v>
      </c>
      <c r="I2643" s="36"/>
      <c r="J2643" s="36"/>
    </row>
    <row r="2644" spans="1:10" x14ac:dyDescent="0.25">
      <c r="A2644" s="36">
        <v>1899</v>
      </c>
      <c r="B2644" s="37">
        <v>43678</v>
      </c>
      <c r="C2644" s="36"/>
      <c r="D2644" s="36"/>
      <c r="E2644" s="36" t="s">
        <v>11</v>
      </c>
      <c r="F2644" s="38">
        <v>6000000</v>
      </c>
      <c r="G2644" s="36" t="s">
        <v>8</v>
      </c>
      <c r="H2644" s="36" t="s">
        <v>8</v>
      </c>
      <c r="I2644" s="36"/>
      <c r="J2644" s="36"/>
    </row>
    <row r="2645" spans="1:10" x14ac:dyDescent="0.25">
      <c r="A2645" s="36">
        <v>1899</v>
      </c>
      <c r="B2645" s="37">
        <v>43709</v>
      </c>
      <c r="C2645" s="36"/>
      <c r="D2645" s="36"/>
      <c r="E2645" s="36" t="s">
        <v>11</v>
      </c>
      <c r="F2645" s="38">
        <v>6000000</v>
      </c>
      <c r="G2645" s="36" t="s">
        <v>8</v>
      </c>
      <c r="H2645" s="36" t="s">
        <v>8</v>
      </c>
      <c r="I2645" s="36"/>
      <c r="J2645" s="36"/>
    </row>
    <row r="2646" spans="1:10" x14ac:dyDescent="0.25">
      <c r="A2646" s="36">
        <v>1899</v>
      </c>
      <c r="B2646" s="37">
        <v>43739</v>
      </c>
      <c r="C2646" s="36"/>
      <c r="D2646" s="36"/>
      <c r="E2646" s="36" t="s">
        <v>11</v>
      </c>
      <c r="F2646" s="38">
        <v>6000000</v>
      </c>
      <c r="G2646" s="36" t="s">
        <v>8</v>
      </c>
      <c r="H2646" s="36" t="s">
        <v>8</v>
      </c>
      <c r="I2646" s="36"/>
      <c r="J2646" s="36"/>
    </row>
    <row r="2647" spans="1:10" x14ac:dyDescent="0.25">
      <c r="A2647" s="36">
        <v>1899</v>
      </c>
      <c r="B2647" s="37">
        <v>43770</v>
      </c>
      <c r="C2647" s="36"/>
      <c r="D2647" s="36"/>
      <c r="E2647" s="36" t="s">
        <v>11</v>
      </c>
      <c r="F2647" s="38">
        <v>6000000</v>
      </c>
      <c r="G2647" s="36" t="s">
        <v>8</v>
      </c>
      <c r="H2647" s="36" t="s">
        <v>8</v>
      </c>
      <c r="I2647" s="36"/>
      <c r="J2647" s="36"/>
    </row>
    <row r="2648" spans="1:10" x14ac:dyDescent="0.25">
      <c r="A2648" s="36">
        <v>1899</v>
      </c>
      <c r="B2648" s="37">
        <v>43800</v>
      </c>
      <c r="C2648" s="36"/>
      <c r="D2648" s="36"/>
      <c r="E2648" s="36" t="s">
        <v>11</v>
      </c>
      <c r="F2648" s="38">
        <v>6000000</v>
      </c>
      <c r="G2648" s="36" t="s">
        <v>8</v>
      </c>
      <c r="H2648" s="36" t="s">
        <v>8</v>
      </c>
      <c r="I2648" s="36"/>
      <c r="J2648" s="36"/>
    </row>
    <row r="2649" spans="1:10" x14ac:dyDescent="0.25">
      <c r="A2649" s="36">
        <v>1899</v>
      </c>
      <c r="B2649" s="37">
        <v>43831</v>
      </c>
      <c r="C2649" s="36"/>
      <c r="D2649" s="36"/>
      <c r="E2649" s="36" t="s">
        <v>11</v>
      </c>
      <c r="F2649" s="38">
        <v>6000000</v>
      </c>
      <c r="G2649" s="36" t="s">
        <v>8</v>
      </c>
      <c r="H2649" s="36" t="s">
        <v>8</v>
      </c>
      <c r="I2649" s="36"/>
      <c r="J2649" s="36"/>
    </row>
    <row r="2650" spans="1:10" x14ac:dyDescent="0.25">
      <c r="A2650" s="36">
        <v>1899</v>
      </c>
      <c r="B2650" s="37">
        <v>43862</v>
      </c>
      <c r="C2650" s="36"/>
      <c r="D2650" s="36"/>
      <c r="E2650" s="36" t="s">
        <v>11</v>
      </c>
      <c r="F2650" s="38">
        <v>6000000</v>
      </c>
      <c r="G2650" s="36" t="s">
        <v>8</v>
      </c>
      <c r="H2650" s="36" t="s">
        <v>8</v>
      </c>
      <c r="I2650" s="36"/>
      <c r="J2650" s="36"/>
    </row>
    <row r="2651" spans="1:10" x14ac:dyDescent="0.25">
      <c r="A2651" s="36">
        <v>1899</v>
      </c>
      <c r="B2651" s="37">
        <v>43525</v>
      </c>
      <c r="C2651" s="36"/>
      <c r="D2651" s="36"/>
      <c r="E2651" s="36" t="s">
        <v>23</v>
      </c>
      <c r="F2651" s="38">
        <v>3058762.5</v>
      </c>
      <c r="G2651" s="36" t="s">
        <v>8</v>
      </c>
      <c r="H2651" s="36" t="s">
        <v>8</v>
      </c>
      <c r="I2651" s="36"/>
      <c r="J2651" s="36"/>
    </row>
    <row r="2652" spans="1:10" x14ac:dyDescent="0.25">
      <c r="A2652" s="36">
        <v>1899</v>
      </c>
      <c r="B2652" s="37">
        <v>43556</v>
      </c>
      <c r="C2652" s="36"/>
      <c r="D2652" s="36"/>
      <c r="E2652" s="36" t="s">
        <v>23</v>
      </c>
      <c r="F2652" s="38">
        <v>3058762.5</v>
      </c>
      <c r="G2652" s="36" t="s">
        <v>8</v>
      </c>
      <c r="H2652" s="36" t="s">
        <v>8</v>
      </c>
      <c r="I2652" s="36"/>
      <c r="J2652" s="36"/>
    </row>
    <row r="2653" spans="1:10" x14ac:dyDescent="0.25">
      <c r="A2653" s="36">
        <v>1899</v>
      </c>
      <c r="B2653" s="37">
        <v>43586</v>
      </c>
      <c r="C2653" s="36"/>
      <c r="D2653" s="36"/>
      <c r="E2653" s="36" t="s">
        <v>23</v>
      </c>
      <c r="F2653" s="38">
        <v>3058762.5</v>
      </c>
      <c r="G2653" s="36" t="s">
        <v>8</v>
      </c>
      <c r="H2653" s="36" t="s">
        <v>8</v>
      </c>
      <c r="I2653" s="36"/>
      <c r="J2653" s="36"/>
    </row>
    <row r="2654" spans="1:10" x14ac:dyDescent="0.25">
      <c r="A2654" s="36">
        <v>1899</v>
      </c>
      <c r="B2654" s="37">
        <v>43525</v>
      </c>
      <c r="C2654" s="36"/>
      <c r="D2654" s="36"/>
      <c r="E2654" s="36" t="s">
        <v>23</v>
      </c>
      <c r="F2654" s="38">
        <v>4078350</v>
      </c>
      <c r="G2654" s="36" t="s">
        <v>8</v>
      </c>
      <c r="H2654" s="36" t="s">
        <v>8</v>
      </c>
      <c r="I2654" s="36"/>
      <c r="J2654" s="36"/>
    </row>
    <row r="2655" spans="1:10" x14ac:dyDescent="0.25">
      <c r="A2655" s="36">
        <v>1899</v>
      </c>
      <c r="B2655" s="37">
        <v>43556</v>
      </c>
      <c r="C2655" s="36"/>
      <c r="D2655" s="36"/>
      <c r="E2655" s="36" t="s">
        <v>23</v>
      </c>
      <c r="F2655" s="38">
        <v>4078350</v>
      </c>
      <c r="G2655" s="36" t="s">
        <v>8</v>
      </c>
      <c r="H2655" s="36" t="s">
        <v>8</v>
      </c>
      <c r="I2655" s="36"/>
      <c r="J2655" s="36"/>
    </row>
    <row r="2656" spans="1:10" x14ac:dyDescent="0.25">
      <c r="A2656" s="36">
        <v>1899</v>
      </c>
      <c r="B2656" s="37">
        <v>43586</v>
      </c>
      <c r="C2656" s="36"/>
      <c r="D2656" s="36"/>
      <c r="E2656" s="36" t="s">
        <v>23</v>
      </c>
      <c r="F2656" s="38">
        <v>4078350</v>
      </c>
      <c r="G2656" s="36" t="s">
        <v>8</v>
      </c>
      <c r="H2656" s="36" t="s">
        <v>8</v>
      </c>
      <c r="I2656" s="36"/>
      <c r="J2656" s="36"/>
    </row>
    <row r="2657" spans="1:10" x14ac:dyDescent="0.25">
      <c r="A2657" s="36">
        <v>1899</v>
      </c>
      <c r="B2657" s="37">
        <v>43617</v>
      </c>
      <c r="C2657" s="36"/>
      <c r="D2657" s="36"/>
      <c r="E2657" s="36" t="s">
        <v>23</v>
      </c>
      <c r="F2657" s="38">
        <v>4078350</v>
      </c>
      <c r="G2657" s="36" t="s">
        <v>8</v>
      </c>
      <c r="H2657" s="36" t="s">
        <v>8</v>
      </c>
      <c r="I2657" s="36"/>
      <c r="J2657" s="36"/>
    </row>
    <row r="2658" spans="1:10" x14ac:dyDescent="0.25">
      <c r="A2658" s="36">
        <v>1899</v>
      </c>
      <c r="B2658" s="37">
        <v>43647</v>
      </c>
      <c r="C2658" s="36"/>
      <c r="D2658" s="36"/>
      <c r="E2658" s="36" t="s">
        <v>23</v>
      </c>
      <c r="F2658" s="38">
        <v>4078350</v>
      </c>
      <c r="G2658" s="36" t="s">
        <v>8</v>
      </c>
      <c r="H2658" s="36" t="s">
        <v>8</v>
      </c>
      <c r="I2658" s="36"/>
      <c r="J2658" s="36"/>
    </row>
    <row r="2659" spans="1:10" x14ac:dyDescent="0.25">
      <c r="A2659" s="36">
        <v>1899</v>
      </c>
      <c r="B2659" s="37">
        <v>43678</v>
      </c>
      <c r="C2659" s="36"/>
      <c r="D2659" s="36"/>
      <c r="E2659" s="36" t="s">
        <v>23</v>
      </c>
      <c r="F2659" s="38">
        <v>4078350</v>
      </c>
      <c r="G2659" s="36" t="s">
        <v>8</v>
      </c>
      <c r="H2659" s="36" t="s">
        <v>8</v>
      </c>
      <c r="I2659" s="36"/>
      <c r="J2659" s="36"/>
    </row>
    <row r="2660" spans="1:10" x14ac:dyDescent="0.25">
      <c r="A2660" s="36">
        <v>1899</v>
      </c>
      <c r="B2660" s="37">
        <v>43709</v>
      </c>
      <c r="C2660" s="36"/>
      <c r="D2660" s="36"/>
      <c r="E2660" s="36" t="s">
        <v>23</v>
      </c>
      <c r="F2660" s="38">
        <v>4078350</v>
      </c>
      <c r="G2660" s="36" t="s">
        <v>8</v>
      </c>
      <c r="H2660" s="36" t="s">
        <v>8</v>
      </c>
      <c r="I2660" s="36"/>
      <c r="J2660" s="36"/>
    </row>
    <row r="2661" spans="1:10" x14ac:dyDescent="0.25">
      <c r="A2661" s="36">
        <v>1899</v>
      </c>
      <c r="B2661" s="37">
        <v>43739</v>
      </c>
      <c r="C2661" s="36"/>
      <c r="D2661" s="36"/>
      <c r="E2661" s="36" t="s">
        <v>23</v>
      </c>
      <c r="F2661" s="38">
        <v>4078350</v>
      </c>
      <c r="G2661" s="36" t="s">
        <v>8</v>
      </c>
      <c r="H2661" s="36" t="s">
        <v>8</v>
      </c>
      <c r="I2661" s="36"/>
      <c r="J2661" s="36"/>
    </row>
    <row r="2662" spans="1:10" x14ac:dyDescent="0.25">
      <c r="A2662" s="36">
        <v>1899</v>
      </c>
      <c r="B2662" s="37">
        <v>43770</v>
      </c>
      <c r="C2662" s="36"/>
      <c r="D2662" s="36"/>
      <c r="E2662" s="36" t="s">
        <v>23</v>
      </c>
      <c r="F2662" s="38">
        <v>4078350</v>
      </c>
      <c r="G2662" s="36" t="s">
        <v>8</v>
      </c>
      <c r="H2662" s="36" t="s">
        <v>8</v>
      </c>
      <c r="I2662" s="36"/>
      <c r="J2662" s="36"/>
    </row>
    <row r="2663" spans="1:10" x14ac:dyDescent="0.25">
      <c r="A2663" s="36">
        <v>1899</v>
      </c>
      <c r="B2663" s="37">
        <v>43800</v>
      </c>
      <c r="C2663" s="36"/>
      <c r="D2663" s="36"/>
      <c r="E2663" s="36" t="s">
        <v>23</v>
      </c>
      <c r="F2663" s="38">
        <v>4078350</v>
      </c>
      <c r="G2663" s="36" t="s">
        <v>8</v>
      </c>
      <c r="H2663" s="36" t="s">
        <v>8</v>
      </c>
      <c r="I2663" s="36"/>
      <c r="J2663" s="36"/>
    </row>
    <row r="2664" spans="1:10" x14ac:dyDescent="0.25">
      <c r="A2664" s="36">
        <v>1899</v>
      </c>
      <c r="B2664" s="37">
        <v>43831</v>
      </c>
      <c r="C2664" s="36"/>
      <c r="D2664" s="36"/>
      <c r="E2664" s="36" t="s">
        <v>23</v>
      </c>
      <c r="F2664" s="38">
        <v>4078350</v>
      </c>
      <c r="G2664" s="36" t="s">
        <v>8</v>
      </c>
      <c r="H2664" s="36" t="s">
        <v>8</v>
      </c>
      <c r="I2664" s="36"/>
      <c r="J2664" s="36"/>
    </row>
    <row r="2665" spans="1:10" x14ac:dyDescent="0.25">
      <c r="A2665" s="36">
        <v>1899</v>
      </c>
      <c r="B2665" s="37">
        <v>43862</v>
      </c>
      <c r="C2665" s="36"/>
      <c r="D2665" s="36"/>
      <c r="E2665" s="36" t="s">
        <v>23</v>
      </c>
      <c r="F2665" s="38">
        <v>4078350</v>
      </c>
      <c r="G2665" s="36" t="s">
        <v>8</v>
      </c>
      <c r="H2665" s="36" t="s">
        <v>8</v>
      </c>
      <c r="I2665" s="36"/>
      <c r="J2665" s="36"/>
    </row>
    <row r="2666" spans="1:10" x14ac:dyDescent="0.25">
      <c r="A2666" s="36">
        <v>1899</v>
      </c>
      <c r="B2666" s="37">
        <v>43891</v>
      </c>
      <c r="C2666" s="36"/>
      <c r="D2666" s="36"/>
      <c r="E2666" s="36" t="s">
        <v>23</v>
      </c>
      <c r="F2666" s="38">
        <v>4078350</v>
      </c>
      <c r="G2666" s="36" t="s">
        <v>8</v>
      </c>
      <c r="H2666" s="36" t="s">
        <v>8</v>
      </c>
      <c r="I2666" s="36"/>
      <c r="J2666" s="36"/>
    </row>
    <row r="2667" spans="1:10" x14ac:dyDescent="0.25">
      <c r="A2667" s="36">
        <v>1899</v>
      </c>
      <c r="B2667" s="37">
        <v>43922</v>
      </c>
      <c r="C2667" s="36"/>
      <c r="D2667" s="36"/>
      <c r="E2667" s="36" t="s">
        <v>23</v>
      </c>
      <c r="F2667" s="38">
        <v>4078350</v>
      </c>
      <c r="G2667" s="36" t="s">
        <v>8</v>
      </c>
      <c r="H2667" s="36" t="s">
        <v>8</v>
      </c>
      <c r="I2667" s="36"/>
      <c r="J2667" s="36"/>
    </row>
    <row r="2668" spans="1:10" x14ac:dyDescent="0.25">
      <c r="A2668" s="36">
        <v>1899</v>
      </c>
      <c r="B2668" s="37">
        <v>43952</v>
      </c>
      <c r="C2668" s="36"/>
      <c r="D2668" s="36"/>
      <c r="E2668" s="36" t="s">
        <v>23</v>
      </c>
      <c r="F2668" s="38">
        <v>4078350</v>
      </c>
      <c r="G2668" s="36" t="s">
        <v>8</v>
      </c>
      <c r="H2668" s="36" t="s">
        <v>8</v>
      </c>
      <c r="I2668" s="36"/>
      <c r="J2668" s="36"/>
    </row>
    <row r="2669" spans="1:10" x14ac:dyDescent="0.25">
      <c r="A2669" s="36">
        <v>1899</v>
      </c>
      <c r="B2669" s="37">
        <v>43983</v>
      </c>
      <c r="C2669" s="36"/>
      <c r="D2669" s="36"/>
      <c r="E2669" s="36" t="s">
        <v>23</v>
      </c>
      <c r="F2669" s="38">
        <v>4078350</v>
      </c>
      <c r="G2669" s="36" t="s">
        <v>8</v>
      </c>
      <c r="H2669" s="36" t="s">
        <v>8</v>
      </c>
      <c r="I2669" s="36"/>
      <c r="J2669" s="36"/>
    </row>
    <row r="2670" spans="1:10" x14ac:dyDescent="0.25">
      <c r="A2670" s="36">
        <v>1899</v>
      </c>
      <c r="B2670" s="37">
        <v>44013</v>
      </c>
      <c r="C2670" s="36"/>
      <c r="D2670" s="36"/>
      <c r="E2670" s="36" t="s">
        <v>23</v>
      </c>
      <c r="F2670" s="38">
        <v>4078350</v>
      </c>
      <c r="G2670" s="36" t="s">
        <v>8</v>
      </c>
      <c r="H2670" s="36" t="s">
        <v>8</v>
      </c>
      <c r="I2670" s="36"/>
      <c r="J2670" s="36"/>
    </row>
    <row r="2671" spans="1:10" x14ac:dyDescent="0.25">
      <c r="A2671" s="36">
        <v>1899</v>
      </c>
      <c r="B2671" s="37">
        <v>44044</v>
      </c>
      <c r="C2671" s="36"/>
      <c r="D2671" s="36"/>
      <c r="E2671" s="36" t="s">
        <v>23</v>
      </c>
      <c r="F2671" s="38">
        <v>4078350</v>
      </c>
      <c r="G2671" s="36" t="s">
        <v>8</v>
      </c>
      <c r="H2671" s="36" t="s">
        <v>8</v>
      </c>
      <c r="I2671" s="36"/>
      <c r="J2671" s="36"/>
    </row>
    <row r="2672" spans="1:10" x14ac:dyDescent="0.25">
      <c r="A2672" s="36">
        <v>1899</v>
      </c>
      <c r="B2672" s="37">
        <v>44075</v>
      </c>
      <c r="C2672" s="36"/>
      <c r="D2672" s="36"/>
      <c r="E2672" s="36" t="s">
        <v>23</v>
      </c>
      <c r="F2672" s="38">
        <v>4078350</v>
      </c>
      <c r="G2672" s="36" t="s">
        <v>8</v>
      </c>
      <c r="H2672" s="36" t="s">
        <v>8</v>
      </c>
      <c r="I2672" s="36"/>
      <c r="J2672" s="36"/>
    </row>
    <row r="2673" spans="1:10" x14ac:dyDescent="0.25">
      <c r="A2673" s="36">
        <v>1899</v>
      </c>
      <c r="B2673" s="37">
        <v>44105</v>
      </c>
      <c r="C2673" s="36"/>
      <c r="D2673" s="36"/>
      <c r="E2673" s="36" t="s">
        <v>23</v>
      </c>
      <c r="F2673" s="38">
        <v>4078350</v>
      </c>
      <c r="G2673" s="36" t="s">
        <v>8</v>
      </c>
      <c r="H2673" s="36" t="s">
        <v>8</v>
      </c>
      <c r="I2673" s="36"/>
      <c r="J2673" s="36"/>
    </row>
    <row r="2674" spans="1:10" x14ac:dyDescent="0.25">
      <c r="A2674" s="36">
        <v>1899</v>
      </c>
      <c r="B2674" s="37">
        <v>43525</v>
      </c>
      <c r="C2674" s="36"/>
      <c r="D2674" s="36"/>
      <c r="E2674" s="36" t="s">
        <v>65</v>
      </c>
      <c r="F2674" s="38">
        <v>3923277</v>
      </c>
      <c r="G2674" s="36" t="s">
        <v>8</v>
      </c>
      <c r="H2674" s="36" t="s">
        <v>8</v>
      </c>
      <c r="I2674" s="36"/>
      <c r="J2674" s="36"/>
    </row>
    <row r="2675" spans="1:10" x14ac:dyDescent="0.25">
      <c r="A2675" s="36">
        <v>1899</v>
      </c>
      <c r="B2675" s="37">
        <v>43556</v>
      </c>
      <c r="C2675" s="36"/>
      <c r="D2675" s="36"/>
      <c r="E2675" s="36" t="s">
        <v>65</v>
      </c>
      <c r="F2675" s="38">
        <v>3923277</v>
      </c>
      <c r="G2675" s="36" t="s">
        <v>8</v>
      </c>
      <c r="H2675" s="36" t="s">
        <v>8</v>
      </c>
      <c r="I2675" s="36"/>
      <c r="J2675" s="36"/>
    </row>
    <row r="2676" spans="1:10" x14ac:dyDescent="0.25">
      <c r="A2676" s="36">
        <v>1899</v>
      </c>
      <c r="B2676" s="37">
        <v>43586</v>
      </c>
      <c r="C2676" s="36"/>
      <c r="D2676" s="36"/>
      <c r="E2676" s="36" t="s">
        <v>65</v>
      </c>
      <c r="F2676" s="38">
        <v>3923277</v>
      </c>
      <c r="G2676" s="36" t="s">
        <v>8</v>
      </c>
      <c r="H2676" s="36" t="s">
        <v>8</v>
      </c>
      <c r="I2676" s="36"/>
      <c r="J2676" s="36"/>
    </row>
    <row r="2677" spans="1:10" x14ac:dyDescent="0.25">
      <c r="A2677" s="36">
        <v>1899</v>
      </c>
      <c r="B2677" s="37">
        <v>43617</v>
      </c>
      <c r="C2677" s="36"/>
      <c r="D2677" s="36"/>
      <c r="E2677" s="36" t="s">
        <v>65</v>
      </c>
      <c r="F2677" s="38">
        <v>3923277</v>
      </c>
      <c r="G2677" s="36" t="s">
        <v>8</v>
      </c>
      <c r="H2677" s="36" t="s">
        <v>8</v>
      </c>
      <c r="I2677" s="36"/>
      <c r="J2677" s="36"/>
    </row>
    <row r="2678" spans="1:10" x14ac:dyDescent="0.25">
      <c r="A2678" s="36">
        <v>1899</v>
      </c>
      <c r="B2678" s="37">
        <v>43647</v>
      </c>
      <c r="C2678" s="36"/>
      <c r="D2678" s="36"/>
      <c r="E2678" s="36" t="s">
        <v>65</v>
      </c>
      <c r="F2678" s="38">
        <v>3923277</v>
      </c>
      <c r="G2678" s="36" t="s">
        <v>8</v>
      </c>
      <c r="H2678" s="36" t="s">
        <v>8</v>
      </c>
      <c r="I2678" s="36"/>
      <c r="J2678" s="36"/>
    </row>
    <row r="2679" spans="1:10" x14ac:dyDescent="0.25">
      <c r="A2679" s="36">
        <v>1899</v>
      </c>
      <c r="B2679" s="37">
        <v>43678</v>
      </c>
      <c r="C2679" s="36"/>
      <c r="D2679" s="36"/>
      <c r="E2679" s="36" t="s">
        <v>65</v>
      </c>
      <c r="F2679" s="38">
        <v>3923277</v>
      </c>
      <c r="G2679" s="36" t="s">
        <v>8</v>
      </c>
      <c r="H2679" s="36" t="s">
        <v>8</v>
      </c>
      <c r="I2679" s="36"/>
      <c r="J2679" s="36"/>
    </row>
    <row r="2680" spans="1:10" x14ac:dyDescent="0.25">
      <c r="A2680" s="36">
        <v>1899</v>
      </c>
      <c r="B2680" s="37">
        <v>43709</v>
      </c>
      <c r="C2680" s="36"/>
      <c r="D2680" s="36"/>
      <c r="E2680" s="36" t="s">
        <v>65</v>
      </c>
      <c r="F2680" s="38">
        <v>3923277</v>
      </c>
      <c r="G2680" s="36" t="s">
        <v>8</v>
      </c>
      <c r="H2680" s="36" t="s">
        <v>8</v>
      </c>
      <c r="I2680" s="36"/>
      <c r="J2680" s="36"/>
    </row>
    <row r="2681" spans="1:10" x14ac:dyDescent="0.25">
      <c r="A2681" s="36">
        <v>1899</v>
      </c>
      <c r="B2681" s="37">
        <v>43525</v>
      </c>
      <c r="C2681" s="36"/>
      <c r="D2681" s="36"/>
      <c r="E2681" s="36" t="s">
        <v>27</v>
      </c>
      <c r="F2681" s="38">
        <v>3815999.9999999995</v>
      </c>
      <c r="G2681" s="36" t="s">
        <v>8</v>
      </c>
      <c r="H2681" s="36" t="s">
        <v>8</v>
      </c>
      <c r="I2681" s="36"/>
      <c r="J2681" s="36"/>
    </row>
    <row r="2682" spans="1:10" x14ac:dyDescent="0.25">
      <c r="A2682" s="36">
        <v>1899</v>
      </c>
      <c r="B2682" s="37">
        <v>43556</v>
      </c>
      <c r="C2682" s="36"/>
      <c r="D2682" s="36"/>
      <c r="E2682" s="36" t="s">
        <v>27</v>
      </c>
      <c r="F2682" s="38">
        <v>3815999.9999999995</v>
      </c>
      <c r="G2682" s="36" t="s">
        <v>8</v>
      </c>
      <c r="H2682" s="36" t="s">
        <v>8</v>
      </c>
      <c r="I2682" s="36"/>
      <c r="J2682" s="36"/>
    </row>
    <row r="2683" spans="1:10" x14ac:dyDescent="0.25">
      <c r="A2683" s="36">
        <v>1899</v>
      </c>
      <c r="B2683" s="37">
        <v>43586</v>
      </c>
      <c r="C2683" s="36"/>
      <c r="D2683" s="36"/>
      <c r="E2683" s="36" t="s">
        <v>27</v>
      </c>
      <c r="F2683" s="38">
        <v>3815999.9999999995</v>
      </c>
      <c r="G2683" s="36" t="s">
        <v>8</v>
      </c>
      <c r="H2683" s="36" t="s">
        <v>8</v>
      </c>
      <c r="I2683" s="36"/>
      <c r="J2683" s="36"/>
    </row>
    <row r="2684" spans="1:10" x14ac:dyDescent="0.25">
      <c r="A2684" s="36">
        <v>1899</v>
      </c>
      <c r="B2684" s="37">
        <v>43617</v>
      </c>
      <c r="C2684" s="36"/>
      <c r="D2684" s="36"/>
      <c r="E2684" s="36" t="s">
        <v>27</v>
      </c>
      <c r="F2684" s="38">
        <v>3815999.9999999995</v>
      </c>
      <c r="G2684" s="36" t="s">
        <v>8</v>
      </c>
      <c r="H2684" s="36" t="s">
        <v>8</v>
      </c>
      <c r="I2684" s="36"/>
      <c r="J2684" s="36"/>
    </row>
    <row r="2685" spans="1:10" x14ac:dyDescent="0.25">
      <c r="A2685" s="36">
        <v>1899</v>
      </c>
      <c r="B2685" s="37">
        <v>43647</v>
      </c>
      <c r="C2685" s="36"/>
      <c r="D2685" s="36"/>
      <c r="E2685" s="36" t="s">
        <v>27</v>
      </c>
      <c r="F2685" s="38">
        <v>3815999.9999999995</v>
      </c>
      <c r="G2685" s="36" t="s">
        <v>8</v>
      </c>
      <c r="H2685" s="36" t="s">
        <v>8</v>
      </c>
      <c r="I2685" s="36"/>
      <c r="J2685" s="36"/>
    </row>
    <row r="2686" spans="1:10" x14ac:dyDescent="0.25">
      <c r="A2686" s="36">
        <v>1899</v>
      </c>
      <c r="B2686" s="37">
        <v>43678</v>
      </c>
      <c r="C2686" s="36"/>
      <c r="D2686" s="36"/>
      <c r="E2686" s="36" t="s">
        <v>27</v>
      </c>
      <c r="F2686" s="38">
        <v>3815999.9999999995</v>
      </c>
      <c r="G2686" s="36" t="s">
        <v>8</v>
      </c>
      <c r="H2686" s="36" t="s">
        <v>8</v>
      </c>
      <c r="I2686" s="36"/>
      <c r="J2686" s="36"/>
    </row>
    <row r="2687" spans="1:10" x14ac:dyDescent="0.25">
      <c r="A2687" s="36">
        <v>1899</v>
      </c>
      <c r="B2687" s="37">
        <v>43709</v>
      </c>
      <c r="C2687" s="36"/>
      <c r="D2687" s="36"/>
      <c r="E2687" s="36" t="s">
        <v>27</v>
      </c>
      <c r="F2687" s="38">
        <v>3815999.9999999995</v>
      </c>
      <c r="G2687" s="36" t="s">
        <v>8</v>
      </c>
      <c r="H2687" s="36" t="s">
        <v>8</v>
      </c>
      <c r="I2687" s="36"/>
      <c r="J2687" s="36"/>
    </row>
    <row r="2688" spans="1:10" x14ac:dyDescent="0.25">
      <c r="A2688" s="36">
        <v>1899</v>
      </c>
      <c r="B2688" s="37">
        <v>43739</v>
      </c>
      <c r="C2688" s="36"/>
      <c r="D2688" s="36"/>
      <c r="E2688" s="36" t="s">
        <v>27</v>
      </c>
      <c r="F2688" s="38">
        <v>3815999.9999999995</v>
      </c>
      <c r="G2688" s="36" t="s">
        <v>8</v>
      </c>
      <c r="H2688" s="36" t="s">
        <v>8</v>
      </c>
      <c r="I2688" s="36"/>
      <c r="J2688" s="36"/>
    </row>
    <row r="2689" spans="1:10" x14ac:dyDescent="0.25">
      <c r="A2689" s="36">
        <v>1899</v>
      </c>
      <c r="B2689" s="37">
        <v>43770</v>
      </c>
      <c r="C2689" s="36"/>
      <c r="D2689" s="36"/>
      <c r="E2689" s="36" t="s">
        <v>27</v>
      </c>
      <c r="F2689" s="38">
        <v>3815999.9999999995</v>
      </c>
      <c r="G2689" s="36" t="s">
        <v>8</v>
      </c>
      <c r="H2689" s="36" t="s">
        <v>8</v>
      </c>
      <c r="I2689" s="36"/>
      <c r="J2689" s="36"/>
    </row>
    <row r="2690" spans="1:10" x14ac:dyDescent="0.25">
      <c r="A2690" s="36">
        <v>1899</v>
      </c>
      <c r="B2690" s="37">
        <v>43800</v>
      </c>
      <c r="C2690" s="36"/>
      <c r="D2690" s="36"/>
      <c r="E2690" s="36" t="s">
        <v>27</v>
      </c>
      <c r="F2690" s="38">
        <v>3815999.9999999995</v>
      </c>
      <c r="G2690" s="36" t="s">
        <v>8</v>
      </c>
      <c r="H2690" s="36" t="s">
        <v>8</v>
      </c>
      <c r="I2690" s="36"/>
      <c r="J2690" s="36"/>
    </row>
    <row r="2691" spans="1:10" x14ac:dyDescent="0.25">
      <c r="A2691" s="36">
        <v>1899</v>
      </c>
      <c r="B2691" s="37">
        <v>43831</v>
      </c>
      <c r="C2691" s="36"/>
      <c r="D2691" s="36"/>
      <c r="E2691" s="36" t="s">
        <v>27</v>
      </c>
      <c r="F2691" s="38">
        <v>3815999.9999999995</v>
      </c>
      <c r="G2691" s="36" t="s">
        <v>8</v>
      </c>
      <c r="H2691" s="36" t="s">
        <v>8</v>
      </c>
      <c r="I2691" s="36"/>
      <c r="J2691" s="36"/>
    </row>
    <row r="2692" spans="1:10" x14ac:dyDescent="0.25">
      <c r="A2692" s="36">
        <v>1899</v>
      </c>
      <c r="B2692" s="37">
        <v>43862</v>
      </c>
      <c r="C2692" s="36"/>
      <c r="D2692" s="36"/>
      <c r="E2692" s="36" t="s">
        <v>27</v>
      </c>
      <c r="F2692" s="38">
        <v>3815999.9999999995</v>
      </c>
      <c r="G2692" s="36" t="s">
        <v>8</v>
      </c>
      <c r="H2692" s="36" t="s">
        <v>8</v>
      </c>
      <c r="I2692" s="36"/>
      <c r="J2692" s="36"/>
    </row>
    <row r="2693" spans="1:10" x14ac:dyDescent="0.25">
      <c r="A2693" s="36">
        <v>1899</v>
      </c>
      <c r="B2693" s="37">
        <v>43891</v>
      </c>
      <c r="C2693" s="36"/>
      <c r="D2693" s="36"/>
      <c r="E2693" s="36" t="s">
        <v>27</v>
      </c>
      <c r="F2693" s="38">
        <v>3815999.9999999995</v>
      </c>
      <c r="G2693" s="36" t="s">
        <v>8</v>
      </c>
      <c r="H2693" s="36" t="s">
        <v>8</v>
      </c>
      <c r="I2693" s="36"/>
      <c r="J2693" s="36"/>
    </row>
    <row r="2694" spans="1:10" x14ac:dyDescent="0.25">
      <c r="A2694" s="36">
        <v>1899</v>
      </c>
      <c r="B2694" s="37">
        <v>43922</v>
      </c>
      <c r="C2694" s="36"/>
      <c r="D2694" s="36"/>
      <c r="E2694" s="36" t="s">
        <v>27</v>
      </c>
      <c r="F2694" s="38">
        <v>3815999.9999999995</v>
      </c>
      <c r="G2694" s="36" t="s">
        <v>8</v>
      </c>
      <c r="H2694" s="36" t="s">
        <v>8</v>
      </c>
      <c r="I2694" s="36"/>
      <c r="J2694" s="36"/>
    </row>
    <row r="2695" spans="1:10" x14ac:dyDescent="0.25">
      <c r="A2695" s="36">
        <v>1899</v>
      </c>
      <c r="B2695" s="37">
        <v>43952</v>
      </c>
      <c r="C2695" s="36"/>
      <c r="D2695" s="36"/>
      <c r="E2695" s="36" t="s">
        <v>27</v>
      </c>
      <c r="F2695" s="38">
        <v>3815999.9999999995</v>
      </c>
      <c r="G2695" s="36" t="s">
        <v>8</v>
      </c>
      <c r="H2695" s="36" t="s">
        <v>8</v>
      </c>
      <c r="I2695" s="36"/>
      <c r="J2695" s="36"/>
    </row>
    <row r="2696" spans="1:10" x14ac:dyDescent="0.25">
      <c r="A2696" s="36">
        <v>1899</v>
      </c>
      <c r="B2696" s="37">
        <v>43983</v>
      </c>
      <c r="C2696" s="36"/>
      <c r="D2696" s="36"/>
      <c r="E2696" s="36" t="s">
        <v>27</v>
      </c>
      <c r="F2696" s="38">
        <v>3815999.9999999995</v>
      </c>
      <c r="G2696" s="36" t="s">
        <v>8</v>
      </c>
      <c r="H2696" s="36" t="s">
        <v>8</v>
      </c>
      <c r="I2696" s="36"/>
      <c r="J2696" s="36"/>
    </row>
    <row r="2697" spans="1:10" x14ac:dyDescent="0.25">
      <c r="A2697" s="36">
        <v>1899</v>
      </c>
      <c r="B2697" s="37">
        <v>44013</v>
      </c>
      <c r="C2697" s="36"/>
      <c r="D2697" s="36"/>
      <c r="E2697" s="36" t="s">
        <v>27</v>
      </c>
      <c r="F2697" s="38">
        <v>3815999.9999999995</v>
      </c>
      <c r="G2697" s="36" t="s">
        <v>8</v>
      </c>
      <c r="H2697" s="36" t="s">
        <v>8</v>
      </c>
      <c r="I2697" s="36"/>
      <c r="J2697" s="36"/>
    </row>
    <row r="2698" spans="1:10" x14ac:dyDescent="0.25">
      <c r="A2698" s="36">
        <v>1899</v>
      </c>
      <c r="B2698" s="37">
        <v>44044</v>
      </c>
      <c r="C2698" s="36"/>
      <c r="D2698" s="36"/>
      <c r="E2698" s="36" t="s">
        <v>27</v>
      </c>
      <c r="F2698" s="38">
        <v>3815999.9999999995</v>
      </c>
      <c r="G2698" s="36" t="s">
        <v>8</v>
      </c>
      <c r="H2698" s="36" t="s">
        <v>8</v>
      </c>
      <c r="I2698" s="36"/>
      <c r="J2698" s="36"/>
    </row>
    <row r="2699" spans="1:10" x14ac:dyDescent="0.25">
      <c r="A2699" s="36">
        <v>1899</v>
      </c>
      <c r="B2699" s="37">
        <v>44075</v>
      </c>
      <c r="C2699" s="36"/>
      <c r="D2699" s="36"/>
      <c r="E2699" s="36" t="s">
        <v>27</v>
      </c>
      <c r="F2699" s="38">
        <v>3815999.9999999995</v>
      </c>
      <c r="G2699" s="36" t="s">
        <v>8</v>
      </c>
      <c r="H2699" s="36" t="s">
        <v>8</v>
      </c>
      <c r="I2699" s="36"/>
      <c r="J2699" s="36"/>
    </row>
    <row r="2700" spans="1:10" x14ac:dyDescent="0.25">
      <c r="A2700" s="36">
        <v>1899</v>
      </c>
      <c r="B2700" s="37">
        <v>44105</v>
      </c>
      <c r="C2700" s="36"/>
      <c r="D2700" s="36"/>
      <c r="E2700" s="36" t="s">
        <v>27</v>
      </c>
      <c r="F2700" s="38">
        <v>3815999.9999999995</v>
      </c>
      <c r="G2700" s="36" t="s">
        <v>8</v>
      </c>
      <c r="H2700" s="36" t="s">
        <v>8</v>
      </c>
      <c r="I2700" s="36"/>
      <c r="J2700" s="36"/>
    </row>
    <row r="2701" spans="1:10" x14ac:dyDescent="0.25">
      <c r="A2701" s="36">
        <v>1899</v>
      </c>
      <c r="B2701" s="37">
        <v>44136</v>
      </c>
      <c r="C2701" s="36"/>
      <c r="D2701" s="36"/>
      <c r="E2701" s="36" t="s">
        <v>27</v>
      </c>
      <c r="F2701" s="38">
        <v>3815999.9999999995</v>
      </c>
      <c r="G2701" s="36" t="s">
        <v>8</v>
      </c>
      <c r="H2701" s="36" t="s">
        <v>8</v>
      </c>
      <c r="I2701" s="36"/>
      <c r="J2701" s="36"/>
    </row>
    <row r="2702" spans="1:10" x14ac:dyDescent="0.25">
      <c r="A2702" s="36">
        <v>1899</v>
      </c>
      <c r="B2702" s="37">
        <v>44166</v>
      </c>
      <c r="C2702" s="36"/>
      <c r="D2702" s="36"/>
      <c r="E2702" s="36" t="s">
        <v>27</v>
      </c>
      <c r="F2702" s="38">
        <v>3815999.9999999995</v>
      </c>
      <c r="G2702" s="36" t="s">
        <v>8</v>
      </c>
      <c r="H2702" s="36" t="s">
        <v>8</v>
      </c>
      <c r="I2702" s="36"/>
      <c r="J2702" s="36"/>
    </row>
    <row r="2703" spans="1:10" x14ac:dyDescent="0.25">
      <c r="A2703" s="36">
        <v>1899</v>
      </c>
      <c r="B2703" s="37">
        <v>44197</v>
      </c>
      <c r="C2703" s="36"/>
      <c r="D2703" s="36"/>
      <c r="E2703" s="36" t="s">
        <v>27</v>
      </c>
      <c r="F2703" s="38">
        <v>3815999.9999999995</v>
      </c>
      <c r="G2703" s="36" t="s">
        <v>8</v>
      </c>
      <c r="H2703" s="36" t="s">
        <v>8</v>
      </c>
      <c r="I2703" s="36"/>
      <c r="J2703" s="36"/>
    </row>
    <row r="2704" spans="1:10" x14ac:dyDescent="0.25">
      <c r="A2704" s="36">
        <v>1899</v>
      </c>
      <c r="B2704" s="37">
        <v>44228</v>
      </c>
      <c r="C2704" s="36"/>
      <c r="D2704" s="36"/>
      <c r="E2704" s="36" t="s">
        <v>27</v>
      </c>
      <c r="F2704" s="38">
        <v>3815999.9999999995</v>
      </c>
      <c r="G2704" s="36" t="s">
        <v>8</v>
      </c>
      <c r="H2704" s="36" t="s">
        <v>8</v>
      </c>
      <c r="I2704" s="36"/>
      <c r="J2704" s="36"/>
    </row>
    <row r="2705" spans="1:10" x14ac:dyDescent="0.25">
      <c r="A2705" s="36">
        <v>1900</v>
      </c>
      <c r="B2705" s="37">
        <v>43556</v>
      </c>
      <c r="C2705" s="36"/>
      <c r="D2705" s="36"/>
      <c r="E2705" s="36" t="s">
        <v>21</v>
      </c>
      <c r="F2705" s="38">
        <v>5724000</v>
      </c>
      <c r="G2705" s="36" t="s">
        <v>8</v>
      </c>
      <c r="H2705" s="36" t="s">
        <v>228</v>
      </c>
      <c r="I2705" s="36"/>
      <c r="J2705" s="36"/>
    </row>
    <row r="2706" spans="1:10" x14ac:dyDescent="0.25">
      <c r="A2706" s="36">
        <v>1900</v>
      </c>
      <c r="B2706" s="37">
        <v>43556</v>
      </c>
      <c r="C2706" s="36"/>
      <c r="D2706" s="36"/>
      <c r="E2706" s="36" t="s">
        <v>23</v>
      </c>
      <c r="F2706" s="38">
        <v>5271741</v>
      </c>
      <c r="G2706" s="36" t="s">
        <v>8</v>
      </c>
      <c r="H2706" s="36" t="s">
        <v>228</v>
      </c>
      <c r="I2706" s="36"/>
      <c r="J2706" s="36"/>
    </row>
    <row r="2707" spans="1:10" x14ac:dyDescent="0.25">
      <c r="A2707" s="36">
        <v>1900</v>
      </c>
      <c r="B2707" s="37">
        <v>43556</v>
      </c>
      <c r="C2707" s="36"/>
      <c r="D2707" s="36"/>
      <c r="E2707" s="36" t="s">
        <v>13</v>
      </c>
      <c r="F2707" s="38">
        <v>1963650</v>
      </c>
      <c r="G2707" s="36" t="s">
        <v>8</v>
      </c>
      <c r="H2707" s="36" t="s">
        <v>228</v>
      </c>
      <c r="I2707" s="36"/>
      <c r="J2707" s="36"/>
    </row>
    <row r="2708" spans="1:10" x14ac:dyDescent="0.25">
      <c r="A2708" s="36">
        <v>1900</v>
      </c>
      <c r="B2708" s="37">
        <v>43556</v>
      </c>
      <c r="C2708" s="36"/>
      <c r="D2708" s="36"/>
      <c r="E2708" s="36" t="s">
        <v>7</v>
      </c>
      <c r="F2708" s="38">
        <v>3183727.68</v>
      </c>
      <c r="G2708" s="36" t="s">
        <v>8</v>
      </c>
      <c r="H2708" s="36" t="s">
        <v>228</v>
      </c>
      <c r="I2708" s="36"/>
      <c r="J2708" s="36"/>
    </row>
    <row r="2709" spans="1:10" x14ac:dyDescent="0.25">
      <c r="A2709" s="36">
        <v>1900</v>
      </c>
      <c r="B2709" s="37">
        <v>43586</v>
      </c>
      <c r="C2709" s="36"/>
      <c r="D2709" s="36"/>
      <c r="E2709" s="36" t="s">
        <v>7</v>
      </c>
      <c r="F2709" s="38">
        <v>3183727.68</v>
      </c>
      <c r="G2709" s="36" t="s">
        <v>8</v>
      </c>
      <c r="H2709" s="36" t="s">
        <v>228</v>
      </c>
      <c r="I2709" s="36"/>
      <c r="J2709" s="36"/>
    </row>
    <row r="2710" spans="1:10" x14ac:dyDescent="0.25">
      <c r="A2710" s="36">
        <v>1900</v>
      </c>
      <c r="B2710" s="37">
        <v>43617</v>
      </c>
      <c r="C2710" s="36"/>
      <c r="D2710" s="36"/>
      <c r="E2710" s="36" t="s">
        <v>7</v>
      </c>
      <c r="F2710" s="38">
        <v>3183727.68</v>
      </c>
      <c r="G2710" s="36" t="s">
        <v>8</v>
      </c>
      <c r="H2710" s="36" t="s">
        <v>228</v>
      </c>
      <c r="I2710" s="36"/>
      <c r="J2710" s="36"/>
    </row>
    <row r="2711" spans="1:10" x14ac:dyDescent="0.25">
      <c r="A2711" s="36">
        <v>1900</v>
      </c>
      <c r="B2711" s="37">
        <v>43647</v>
      </c>
      <c r="C2711" s="36"/>
      <c r="D2711" s="36"/>
      <c r="E2711" s="36" t="s">
        <v>7</v>
      </c>
      <c r="F2711" s="38">
        <v>3183727.68</v>
      </c>
      <c r="G2711" s="36" t="s">
        <v>8</v>
      </c>
      <c r="H2711" s="36" t="s">
        <v>228</v>
      </c>
      <c r="I2711" s="36"/>
      <c r="J2711" s="36"/>
    </row>
    <row r="2712" spans="1:10" x14ac:dyDescent="0.25">
      <c r="A2712" s="36">
        <v>1900</v>
      </c>
      <c r="B2712" s="37">
        <v>43678</v>
      </c>
      <c r="C2712" s="36"/>
      <c r="D2712" s="36"/>
      <c r="E2712" s="36" t="s">
        <v>7</v>
      </c>
      <c r="F2712" s="38">
        <v>3183727.68</v>
      </c>
      <c r="G2712" s="36" t="s">
        <v>8</v>
      </c>
      <c r="H2712" s="36" t="s">
        <v>228</v>
      </c>
      <c r="I2712" s="36"/>
      <c r="J2712" s="36"/>
    </row>
    <row r="2713" spans="1:10" x14ac:dyDescent="0.25">
      <c r="A2713" s="36">
        <v>1900</v>
      </c>
      <c r="B2713" s="37">
        <v>43709</v>
      </c>
      <c r="C2713" s="36"/>
      <c r="D2713" s="36"/>
      <c r="E2713" s="36" t="s">
        <v>7</v>
      </c>
      <c r="F2713" s="38">
        <v>3183727.68</v>
      </c>
      <c r="G2713" s="36" t="s">
        <v>8</v>
      </c>
      <c r="H2713" s="36" t="s">
        <v>228</v>
      </c>
      <c r="I2713" s="36"/>
      <c r="J2713" s="36"/>
    </row>
    <row r="2714" spans="1:10" x14ac:dyDescent="0.25">
      <c r="A2714" s="36">
        <v>1900</v>
      </c>
      <c r="B2714" s="37">
        <v>43739</v>
      </c>
      <c r="C2714" s="36"/>
      <c r="D2714" s="36"/>
      <c r="E2714" s="36" t="s">
        <v>7</v>
      </c>
      <c r="F2714" s="38">
        <v>3183727.68</v>
      </c>
      <c r="G2714" s="36" t="s">
        <v>8</v>
      </c>
      <c r="H2714" s="36" t="s">
        <v>228</v>
      </c>
      <c r="I2714" s="36"/>
      <c r="J2714" s="36"/>
    </row>
    <row r="2715" spans="1:10" x14ac:dyDescent="0.25">
      <c r="A2715" s="36">
        <v>1900</v>
      </c>
      <c r="B2715" s="37">
        <v>43770</v>
      </c>
      <c r="C2715" s="36"/>
      <c r="D2715" s="36"/>
      <c r="E2715" s="36" t="s">
        <v>7</v>
      </c>
      <c r="F2715" s="38">
        <v>3183727.68</v>
      </c>
      <c r="G2715" s="36" t="s">
        <v>8</v>
      </c>
      <c r="H2715" s="36" t="s">
        <v>228</v>
      </c>
      <c r="I2715" s="36"/>
      <c r="J2715" s="36"/>
    </row>
    <row r="2716" spans="1:10" x14ac:dyDescent="0.25">
      <c r="A2716" s="36">
        <v>1900</v>
      </c>
      <c r="B2716" s="37">
        <v>43800</v>
      </c>
      <c r="C2716" s="36"/>
      <c r="D2716" s="36"/>
      <c r="E2716" s="36" t="s">
        <v>7</v>
      </c>
      <c r="F2716" s="38">
        <v>3183727.68</v>
      </c>
      <c r="G2716" s="36" t="s">
        <v>8</v>
      </c>
      <c r="H2716" s="36" t="s">
        <v>228</v>
      </c>
      <c r="I2716" s="36"/>
      <c r="J2716" s="36"/>
    </row>
    <row r="2717" spans="1:10" x14ac:dyDescent="0.25">
      <c r="A2717" s="36">
        <v>1900</v>
      </c>
      <c r="B2717" s="37">
        <v>43831</v>
      </c>
      <c r="C2717" s="36"/>
      <c r="D2717" s="36"/>
      <c r="E2717" s="36" t="s">
        <v>7</v>
      </c>
      <c r="F2717" s="38">
        <v>3183727.68</v>
      </c>
      <c r="G2717" s="36" t="s">
        <v>8</v>
      </c>
      <c r="H2717" s="36" t="s">
        <v>228</v>
      </c>
      <c r="I2717" s="36"/>
      <c r="J2717" s="36"/>
    </row>
    <row r="2718" spans="1:10" x14ac:dyDescent="0.25">
      <c r="A2718" s="36">
        <v>1900</v>
      </c>
      <c r="B2718" s="37">
        <v>43556</v>
      </c>
      <c r="C2718" s="36"/>
      <c r="D2718" s="36"/>
      <c r="E2718" s="36" t="s">
        <v>84</v>
      </c>
      <c r="F2718" s="38">
        <v>6750000</v>
      </c>
      <c r="G2718" s="36" t="s">
        <v>8</v>
      </c>
      <c r="H2718" s="36" t="s">
        <v>228</v>
      </c>
      <c r="I2718" s="36"/>
      <c r="J2718" s="36"/>
    </row>
    <row r="2719" spans="1:10" x14ac:dyDescent="0.25">
      <c r="A2719" s="36">
        <v>1900</v>
      </c>
      <c r="B2719" s="37">
        <v>43586</v>
      </c>
      <c r="C2719" s="36"/>
      <c r="D2719" s="36"/>
      <c r="E2719" s="36" t="s">
        <v>84</v>
      </c>
      <c r="F2719" s="38">
        <v>6750000</v>
      </c>
      <c r="G2719" s="36" t="s">
        <v>8</v>
      </c>
      <c r="H2719" s="36" t="s">
        <v>228</v>
      </c>
      <c r="I2719" s="36"/>
      <c r="J2719" s="36"/>
    </row>
    <row r="2720" spans="1:10" x14ac:dyDescent="0.25">
      <c r="A2720" s="36">
        <v>1900</v>
      </c>
      <c r="B2720" s="37">
        <v>43617</v>
      </c>
      <c r="C2720" s="36"/>
      <c r="D2720" s="36"/>
      <c r="E2720" s="36" t="s">
        <v>84</v>
      </c>
      <c r="F2720" s="38">
        <v>6750000</v>
      </c>
      <c r="G2720" s="36" t="s">
        <v>8</v>
      </c>
      <c r="H2720" s="36" t="s">
        <v>228</v>
      </c>
      <c r="I2720" s="36"/>
      <c r="J2720" s="36"/>
    </row>
    <row r="2721" spans="1:10" x14ac:dyDescent="0.25">
      <c r="A2721" s="36">
        <v>1900</v>
      </c>
      <c r="B2721" s="37">
        <v>43647</v>
      </c>
      <c r="C2721" s="36"/>
      <c r="D2721" s="36"/>
      <c r="E2721" s="36" t="s">
        <v>84</v>
      </c>
      <c r="F2721" s="38">
        <v>6750000</v>
      </c>
      <c r="G2721" s="36" t="s">
        <v>8</v>
      </c>
      <c r="H2721" s="36" t="s">
        <v>228</v>
      </c>
      <c r="I2721" s="36"/>
      <c r="J2721" s="36"/>
    </row>
    <row r="2722" spans="1:10" x14ac:dyDescent="0.25">
      <c r="A2722" s="36">
        <v>1900</v>
      </c>
      <c r="B2722" s="37">
        <v>43678</v>
      </c>
      <c r="C2722" s="36"/>
      <c r="D2722" s="36"/>
      <c r="E2722" s="36" t="s">
        <v>84</v>
      </c>
      <c r="F2722" s="38">
        <v>6750000</v>
      </c>
      <c r="G2722" s="36" t="s">
        <v>8</v>
      </c>
      <c r="H2722" s="36" t="s">
        <v>228</v>
      </c>
      <c r="I2722" s="36"/>
      <c r="J2722" s="36"/>
    </row>
    <row r="2723" spans="1:10" x14ac:dyDescent="0.25">
      <c r="A2723" s="36">
        <v>1900</v>
      </c>
      <c r="B2723" s="37">
        <v>43709</v>
      </c>
      <c r="C2723" s="36"/>
      <c r="D2723" s="36"/>
      <c r="E2723" s="36" t="s">
        <v>84</v>
      </c>
      <c r="F2723" s="38">
        <v>6750000</v>
      </c>
      <c r="G2723" s="36" t="s">
        <v>8</v>
      </c>
      <c r="H2723" s="36" t="s">
        <v>228</v>
      </c>
      <c r="I2723" s="36"/>
      <c r="J2723" s="36"/>
    </row>
    <row r="2724" spans="1:10" x14ac:dyDescent="0.25">
      <c r="A2724" s="36">
        <v>1900</v>
      </c>
      <c r="B2724" s="37">
        <v>43739</v>
      </c>
      <c r="C2724" s="36"/>
      <c r="D2724" s="36"/>
      <c r="E2724" s="36" t="s">
        <v>84</v>
      </c>
      <c r="F2724" s="38">
        <v>6750000</v>
      </c>
      <c r="G2724" s="36" t="s">
        <v>8</v>
      </c>
      <c r="H2724" s="36" t="s">
        <v>228</v>
      </c>
      <c r="I2724" s="36"/>
      <c r="J2724" s="36"/>
    </row>
    <row r="2725" spans="1:10" x14ac:dyDescent="0.25">
      <c r="A2725" s="36">
        <v>1900</v>
      </c>
      <c r="B2725" s="37">
        <v>43770</v>
      </c>
      <c r="C2725" s="36"/>
      <c r="D2725" s="36"/>
      <c r="E2725" s="36" t="s">
        <v>84</v>
      </c>
      <c r="F2725" s="38">
        <v>6750000</v>
      </c>
      <c r="G2725" s="36" t="s">
        <v>8</v>
      </c>
      <c r="H2725" s="36" t="s">
        <v>228</v>
      </c>
      <c r="I2725" s="36"/>
      <c r="J2725" s="36"/>
    </row>
    <row r="2726" spans="1:10" x14ac:dyDescent="0.25">
      <c r="A2726" s="36">
        <v>1900</v>
      </c>
      <c r="B2726" s="37">
        <v>43800</v>
      </c>
      <c r="C2726" s="36"/>
      <c r="D2726" s="36"/>
      <c r="E2726" s="36" t="s">
        <v>84</v>
      </c>
      <c r="F2726" s="38">
        <v>6750000</v>
      </c>
      <c r="G2726" s="36" t="s">
        <v>8</v>
      </c>
      <c r="H2726" s="36" t="s">
        <v>228</v>
      </c>
      <c r="I2726" s="36"/>
      <c r="J2726" s="36"/>
    </row>
    <row r="2727" spans="1:10" x14ac:dyDescent="0.25">
      <c r="A2727" s="36">
        <v>1900</v>
      </c>
      <c r="B2727" s="37">
        <v>43831</v>
      </c>
      <c r="C2727" s="36"/>
      <c r="D2727" s="36"/>
      <c r="E2727" s="36" t="s">
        <v>84</v>
      </c>
      <c r="F2727" s="38">
        <v>6750000</v>
      </c>
      <c r="G2727" s="36" t="s">
        <v>8</v>
      </c>
      <c r="H2727" s="36" t="s">
        <v>228</v>
      </c>
      <c r="I2727" s="36"/>
      <c r="J2727" s="36"/>
    </row>
    <row r="2728" spans="1:10" x14ac:dyDescent="0.25">
      <c r="A2728" s="36">
        <v>1900</v>
      </c>
      <c r="B2728" s="37">
        <v>43556</v>
      </c>
      <c r="C2728" s="36"/>
      <c r="D2728" s="36"/>
      <c r="E2728" s="36" t="s">
        <v>65</v>
      </c>
      <c r="F2728" s="38">
        <v>1961638.5</v>
      </c>
      <c r="G2728" s="36" t="s">
        <v>8</v>
      </c>
      <c r="H2728" s="36" t="s">
        <v>228</v>
      </c>
      <c r="I2728" s="36"/>
      <c r="J2728" s="36"/>
    </row>
    <row r="2729" spans="1:10" x14ac:dyDescent="0.25">
      <c r="A2729" s="36">
        <v>1900</v>
      </c>
      <c r="B2729" s="37">
        <v>43586</v>
      </c>
      <c r="C2729" s="36"/>
      <c r="D2729" s="36"/>
      <c r="E2729" s="36" t="s">
        <v>65</v>
      </c>
      <c r="F2729" s="38">
        <v>1961638.5</v>
      </c>
      <c r="G2729" s="36" t="s">
        <v>8</v>
      </c>
      <c r="H2729" s="36" t="s">
        <v>228</v>
      </c>
      <c r="I2729" s="36"/>
      <c r="J2729" s="36"/>
    </row>
    <row r="2730" spans="1:10" x14ac:dyDescent="0.25">
      <c r="A2730" s="36">
        <v>1900</v>
      </c>
      <c r="B2730" s="37">
        <v>43617</v>
      </c>
      <c r="C2730" s="36"/>
      <c r="D2730" s="36"/>
      <c r="E2730" s="36" t="s">
        <v>65</v>
      </c>
      <c r="F2730" s="38">
        <v>1961638.5</v>
      </c>
      <c r="G2730" s="36" t="s">
        <v>8</v>
      </c>
      <c r="H2730" s="36" t="s">
        <v>228</v>
      </c>
      <c r="I2730" s="36"/>
      <c r="J2730" s="36"/>
    </row>
    <row r="2731" spans="1:10" x14ac:dyDescent="0.25">
      <c r="A2731" s="36">
        <v>1900</v>
      </c>
      <c r="B2731" s="37">
        <v>43647</v>
      </c>
      <c r="C2731" s="36"/>
      <c r="D2731" s="36"/>
      <c r="E2731" s="36" t="s">
        <v>65</v>
      </c>
      <c r="F2731" s="38">
        <v>1961638.5</v>
      </c>
      <c r="G2731" s="36" t="s">
        <v>8</v>
      </c>
      <c r="H2731" s="36" t="s">
        <v>228</v>
      </c>
      <c r="I2731" s="36"/>
      <c r="J2731" s="36"/>
    </row>
    <row r="2732" spans="1:10" x14ac:dyDescent="0.25">
      <c r="A2732" s="36">
        <v>1900</v>
      </c>
      <c r="B2732" s="37">
        <v>43678</v>
      </c>
      <c r="C2732" s="36"/>
      <c r="D2732" s="36"/>
      <c r="E2732" s="36" t="s">
        <v>65</v>
      </c>
      <c r="F2732" s="38">
        <v>1961638.5</v>
      </c>
      <c r="G2732" s="36" t="s">
        <v>8</v>
      </c>
      <c r="H2732" s="36" t="s">
        <v>228</v>
      </c>
      <c r="I2732" s="36"/>
      <c r="J2732" s="36"/>
    </row>
    <row r="2733" spans="1:10" x14ac:dyDescent="0.25">
      <c r="A2733" s="36">
        <v>1900</v>
      </c>
      <c r="B2733" s="37">
        <v>43709</v>
      </c>
      <c r="C2733" s="36"/>
      <c r="D2733" s="36"/>
      <c r="E2733" s="36" t="s">
        <v>65</v>
      </c>
      <c r="F2733" s="38">
        <v>1961638.5</v>
      </c>
      <c r="G2733" s="36" t="s">
        <v>8</v>
      </c>
      <c r="H2733" s="36" t="s">
        <v>228</v>
      </c>
      <c r="I2733" s="36"/>
      <c r="J2733" s="36"/>
    </row>
    <row r="2734" spans="1:10" x14ac:dyDescent="0.25">
      <c r="A2734" s="36">
        <v>1900</v>
      </c>
      <c r="B2734" s="37">
        <v>43739</v>
      </c>
      <c r="C2734" s="36"/>
      <c r="D2734" s="36"/>
      <c r="E2734" s="36" t="s">
        <v>65</v>
      </c>
      <c r="F2734" s="38">
        <v>1961638.5</v>
      </c>
      <c r="G2734" s="36" t="s">
        <v>8</v>
      </c>
      <c r="H2734" s="36" t="s">
        <v>228</v>
      </c>
      <c r="I2734" s="36"/>
      <c r="J2734" s="36"/>
    </row>
    <row r="2735" spans="1:10" x14ac:dyDescent="0.25">
      <c r="A2735" s="36">
        <v>1900</v>
      </c>
      <c r="B2735" s="37">
        <v>43556</v>
      </c>
      <c r="C2735" s="36"/>
      <c r="D2735" s="36"/>
      <c r="E2735" s="36" t="s">
        <v>23</v>
      </c>
      <c r="F2735" s="38">
        <v>4078350</v>
      </c>
      <c r="G2735" s="36" t="s">
        <v>8</v>
      </c>
      <c r="H2735" s="36" t="s">
        <v>228</v>
      </c>
      <c r="I2735" s="36"/>
      <c r="J2735" s="36"/>
    </row>
    <row r="2736" spans="1:10" x14ac:dyDescent="0.25">
      <c r="A2736" s="36">
        <v>1900</v>
      </c>
      <c r="B2736" s="37">
        <v>43586</v>
      </c>
      <c r="C2736" s="36"/>
      <c r="D2736" s="36"/>
      <c r="E2736" s="36" t="s">
        <v>23</v>
      </c>
      <c r="F2736" s="38">
        <v>4078350</v>
      </c>
      <c r="G2736" s="36" t="s">
        <v>8</v>
      </c>
      <c r="H2736" s="36" t="s">
        <v>228</v>
      </c>
      <c r="I2736" s="36"/>
      <c r="J2736" s="36"/>
    </row>
    <row r="2737" spans="1:10" x14ac:dyDescent="0.25">
      <c r="A2737" s="36">
        <v>1900</v>
      </c>
      <c r="B2737" s="37">
        <v>43617</v>
      </c>
      <c r="C2737" s="36"/>
      <c r="D2737" s="36"/>
      <c r="E2737" s="36" t="s">
        <v>23</v>
      </c>
      <c r="F2737" s="38">
        <v>4078350</v>
      </c>
      <c r="G2737" s="36" t="s">
        <v>8</v>
      </c>
      <c r="H2737" s="36" t="s">
        <v>228</v>
      </c>
      <c r="I2737" s="36"/>
      <c r="J2737" s="36"/>
    </row>
    <row r="2738" spans="1:10" x14ac:dyDescent="0.25">
      <c r="A2738" s="36">
        <v>1900</v>
      </c>
      <c r="B2738" s="37">
        <v>43647</v>
      </c>
      <c r="C2738" s="36"/>
      <c r="D2738" s="36"/>
      <c r="E2738" s="36" t="s">
        <v>23</v>
      </c>
      <c r="F2738" s="38">
        <v>4078350</v>
      </c>
      <c r="G2738" s="36" t="s">
        <v>8</v>
      </c>
      <c r="H2738" s="36" t="s">
        <v>228</v>
      </c>
      <c r="I2738" s="36"/>
      <c r="J2738" s="36"/>
    </row>
    <row r="2739" spans="1:10" x14ac:dyDescent="0.25">
      <c r="A2739" s="36">
        <v>1900</v>
      </c>
      <c r="B2739" s="37">
        <v>43678</v>
      </c>
      <c r="C2739" s="36"/>
      <c r="D2739" s="36"/>
      <c r="E2739" s="36" t="s">
        <v>23</v>
      </c>
      <c r="F2739" s="38">
        <v>4078350</v>
      </c>
      <c r="G2739" s="36" t="s">
        <v>8</v>
      </c>
      <c r="H2739" s="36" t="s">
        <v>228</v>
      </c>
      <c r="I2739" s="36"/>
      <c r="J2739" s="36"/>
    </row>
    <row r="2740" spans="1:10" x14ac:dyDescent="0.25">
      <c r="A2740" s="36">
        <v>1900</v>
      </c>
      <c r="B2740" s="37">
        <v>43709</v>
      </c>
      <c r="C2740" s="36"/>
      <c r="D2740" s="36"/>
      <c r="E2740" s="36" t="s">
        <v>23</v>
      </c>
      <c r="F2740" s="38">
        <v>4078350</v>
      </c>
      <c r="G2740" s="36" t="s">
        <v>8</v>
      </c>
      <c r="H2740" s="36" t="s">
        <v>228</v>
      </c>
      <c r="I2740" s="36"/>
      <c r="J2740" s="36"/>
    </row>
    <row r="2741" spans="1:10" x14ac:dyDescent="0.25">
      <c r="A2741" s="36">
        <v>1900</v>
      </c>
      <c r="B2741" s="37">
        <v>43739</v>
      </c>
      <c r="C2741" s="36"/>
      <c r="D2741" s="36"/>
      <c r="E2741" s="36" t="s">
        <v>23</v>
      </c>
      <c r="F2741" s="38">
        <v>4078350</v>
      </c>
      <c r="G2741" s="36" t="s">
        <v>8</v>
      </c>
      <c r="H2741" s="36" t="s">
        <v>228</v>
      </c>
      <c r="I2741" s="36"/>
      <c r="J2741" s="36"/>
    </row>
    <row r="2742" spans="1:10" x14ac:dyDescent="0.25">
      <c r="A2742" s="36">
        <v>1900</v>
      </c>
      <c r="B2742" s="37">
        <v>43770</v>
      </c>
      <c r="C2742" s="36"/>
      <c r="D2742" s="36"/>
      <c r="E2742" s="36" t="s">
        <v>23</v>
      </c>
      <c r="F2742" s="38">
        <v>4078350</v>
      </c>
      <c r="G2742" s="36" t="s">
        <v>8</v>
      </c>
      <c r="H2742" s="36" t="s">
        <v>228</v>
      </c>
      <c r="I2742" s="36"/>
      <c r="J2742" s="36"/>
    </row>
    <row r="2743" spans="1:10" x14ac:dyDescent="0.25">
      <c r="A2743" s="36">
        <v>1900</v>
      </c>
      <c r="B2743" s="37">
        <v>43800</v>
      </c>
      <c r="C2743" s="36"/>
      <c r="D2743" s="36"/>
      <c r="E2743" s="36" t="s">
        <v>23</v>
      </c>
      <c r="F2743" s="38">
        <v>4078350</v>
      </c>
      <c r="G2743" s="36" t="s">
        <v>8</v>
      </c>
      <c r="H2743" s="36" t="s">
        <v>228</v>
      </c>
      <c r="I2743" s="36"/>
      <c r="J2743" s="36"/>
    </row>
    <row r="2744" spans="1:10" x14ac:dyDescent="0.25">
      <c r="A2744" s="36">
        <v>1900</v>
      </c>
      <c r="B2744" s="37">
        <v>43831</v>
      </c>
      <c r="C2744" s="36"/>
      <c r="D2744" s="36"/>
      <c r="E2744" s="36" t="s">
        <v>23</v>
      </c>
      <c r="F2744" s="38">
        <v>4078350</v>
      </c>
      <c r="G2744" s="36" t="s">
        <v>8</v>
      </c>
      <c r="H2744" s="36" t="s">
        <v>228</v>
      </c>
      <c r="I2744" s="36"/>
      <c r="J2744" s="36"/>
    </row>
    <row r="2745" spans="1:10" x14ac:dyDescent="0.25">
      <c r="A2745" s="36">
        <v>1900</v>
      </c>
      <c r="B2745" s="37">
        <v>43556</v>
      </c>
      <c r="C2745" s="36"/>
      <c r="D2745" s="36"/>
      <c r="E2745" s="36" t="s">
        <v>22</v>
      </c>
      <c r="F2745" s="38">
        <v>4626300.8879999993</v>
      </c>
      <c r="G2745" s="36" t="s">
        <v>8</v>
      </c>
      <c r="H2745" s="36" t="s">
        <v>228</v>
      </c>
      <c r="I2745" s="36"/>
      <c r="J2745" s="36"/>
    </row>
    <row r="2746" spans="1:10" x14ac:dyDescent="0.25">
      <c r="A2746" s="36">
        <v>1900</v>
      </c>
      <c r="B2746" s="37">
        <v>43586</v>
      </c>
      <c r="C2746" s="36"/>
      <c r="D2746" s="36"/>
      <c r="E2746" s="36" t="s">
        <v>22</v>
      </c>
      <c r="F2746" s="38">
        <v>4626300.8879999993</v>
      </c>
      <c r="G2746" s="36" t="s">
        <v>8</v>
      </c>
      <c r="H2746" s="36" t="s">
        <v>228</v>
      </c>
      <c r="I2746" s="36"/>
      <c r="J2746" s="36"/>
    </row>
    <row r="2747" spans="1:10" x14ac:dyDescent="0.25">
      <c r="A2747" s="36">
        <v>1900</v>
      </c>
      <c r="B2747" s="37">
        <v>43617</v>
      </c>
      <c r="C2747" s="36"/>
      <c r="D2747" s="36"/>
      <c r="E2747" s="36" t="s">
        <v>22</v>
      </c>
      <c r="F2747" s="38">
        <v>4626300.8879999993</v>
      </c>
      <c r="G2747" s="36" t="s">
        <v>8</v>
      </c>
      <c r="H2747" s="36" t="s">
        <v>228</v>
      </c>
      <c r="I2747" s="36"/>
      <c r="J2747" s="36"/>
    </row>
    <row r="2748" spans="1:10" x14ac:dyDescent="0.25">
      <c r="A2748" s="36">
        <v>1900</v>
      </c>
      <c r="B2748" s="37">
        <v>43647</v>
      </c>
      <c r="C2748" s="36"/>
      <c r="D2748" s="36"/>
      <c r="E2748" s="36" t="s">
        <v>22</v>
      </c>
      <c r="F2748" s="38">
        <v>4626300.8879999993</v>
      </c>
      <c r="G2748" s="36" t="s">
        <v>8</v>
      </c>
      <c r="H2748" s="36" t="s">
        <v>228</v>
      </c>
      <c r="I2748" s="36"/>
      <c r="J2748" s="36"/>
    </row>
    <row r="2749" spans="1:10" x14ac:dyDescent="0.25">
      <c r="A2749" s="36">
        <v>1900</v>
      </c>
      <c r="B2749" s="37">
        <v>43678</v>
      </c>
      <c r="C2749" s="36"/>
      <c r="D2749" s="36"/>
      <c r="E2749" s="36" t="s">
        <v>22</v>
      </c>
      <c r="F2749" s="38">
        <v>4626300.8879999993</v>
      </c>
      <c r="G2749" s="36" t="s">
        <v>8</v>
      </c>
      <c r="H2749" s="36" t="s">
        <v>228</v>
      </c>
      <c r="I2749" s="36"/>
      <c r="J2749" s="36"/>
    </row>
    <row r="2750" spans="1:10" x14ac:dyDescent="0.25">
      <c r="A2750" s="36">
        <v>1900</v>
      </c>
      <c r="B2750" s="37">
        <v>43709</v>
      </c>
      <c r="C2750" s="36"/>
      <c r="D2750" s="36"/>
      <c r="E2750" s="36" t="s">
        <v>22</v>
      </c>
      <c r="F2750" s="38">
        <v>4626300.8879999993</v>
      </c>
      <c r="G2750" s="36" t="s">
        <v>8</v>
      </c>
      <c r="H2750" s="36" t="s">
        <v>228</v>
      </c>
      <c r="I2750" s="36"/>
      <c r="J2750" s="36"/>
    </row>
    <row r="2751" spans="1:10" x14ac:dyDescent="0.25">
      <c r="A2751" s="36">
        <v>1900</v>
      </c>
      <c r="B2751" s="37">
        <v>43739</v>
      </c>
      <c r="C2751" s="36"/>
      <c r="D2751" s="36"/>
      <c r="E2751" s="36" t="s">
        <v>22</v>
      </c>
      <c r="F2751" s="38">
        <v>4626300.8879999993</v>
      </c>
      <c r="G2751" s="36" t="s">
        <v>8</v>
      </c>
      <c r="H2751" s="36" t="s">
        <v>228</v>
      </c>
      <c r="I2751" s="36"/>
      <c r="J2751" s="36"/>
    </row>
    <row r="2752" spans="1:10" x14ac:dyDescent="0.25">
      <c r="A2752" s="36">
        <v>1900</v>
      </c>
      <c r="B2752" s="37">
        <v>43770</v>
      </c>
      <c r="C2752" s="36"/>
      <c r="D2752" s="36"/>
      <c r="E2752" s="36" t="s">
        <v>22</v>
      </c>
      <c r="F2752" s="38">
        <v>4626300.8879999993</v>
      </c>
      <c r="G2752" s="36" t="s">
        <v>8</v>
      </c>
      <c r="H2752" s="36" t="s">
        <v>228</v>
      </c>
      <c r="I2752" s="36"/>
      <c r="J2752" s="36"/>
    </row>
    <row r="2753" spans="1:10" x14ac:dyDescent="0.25">
      <c r="A2753" s="36">
        <v>1900</v>
      </c>
      <c r="B2753" s="37">
        <v>43800</v>
      </c>
      <c r="C2753" s="36"/>
      <c r="D2753" s="36"/>
      <c r="E2753" s="36" t="s">
        <v>22</v>
      </c>
      <c r="F2753" s="38">
        <v>4626300.8879999993</v>
      </c>
      <c r="G2753" s="36" t="s">
        <v>8</v>
      </c>
      <c r="H2753" s="36" t="s">
        <v>228</v>
      </c>
      <c r="I2753" s="36"/>
      <c r="J2753" s="36"/>
    </row>
    <row r="2754" spans="1:10" x14ac:dyDescent="0.25">
      <c r="A2754" s="36">
        <v>1900</v>
      </c>
      <c r="B2754" s="37">
        <v>43556</v>
      </c>
      <c r="C2754" s="36"/>
      <c r="D2754" s="36"/>
      <c r="E2754" s="36" t="s">
        <v>21</v>
      </c>
      <c r="F2754" s="38">
        <v>7512750</v>
      </c>
      <c r="G2754" s="36" t="s">
        <v>8</v>
      </c>
      <c r="H2754" s="36" t="s">
        <v>228</v>
      </c>
      <c r="I2754" s="36"/>
      <c r="J2754" s="36"/>
    </row>
    <row r="2755" spans="1:10" x14ac:dyDescent="0.25">
      <c r="A2755" s="36">
        <v>1900</v>
      </c>
      <c r="B2755" s="37">
        <v>43586</v>
      </c>
      <c r="C2755" s="36"/>
      <c r="D2755" s="36"/>
      <c r="E2755" s="36" t="s">
        <v>21</v>
      </c>
      <c r="F2755" s="38">
        <v>7512750</v>
      </c>
      <c r="G2755" s="36" t="s">
        <v>8</v>
      </c>
      <c r="H2755" s="36" t="s">
        <v>228</v>
      </c>
      <c r="I2755" s="36"/>
      <c r="J2755" s="36"/>
    </row>
    <row r="2756" spans="1:10" x14ac:dyDescent="0.25">
      <c r="A2756" s="36">
        <v>1900</v>
      </c>
      <c r="B2756" s="37">
        <v>43617</v>
      </c>
      <c r="C2756" s="36"/>
      <c r="D2756" s="36"/>
      <c r="E2756" s="36" t="s">
        <v>21</v>
      </c>
      <c r="F2756" s="38">
        <v>7512750</v>
      </c>
      <c r="G2756" s="36" t="s">
        <v>8</v>
      </c>
      <c r="H2756" s="36" t="s">
        <v>228</v>
      </c>
      <c r="I2756" s="36"/>
      <c r="J2756" s="36"/>
    </row>
    <row r="2757" spans="1:10" x14ac:dyDescent="0.25">
      <c r="A2757" s="36">
        <v>1900</v>
      </c>
      <c r="B2757" s="37">
        <v>43647</v>
      </c>
      <c r="C2757" s="36"/>
      <c r="D2757" s="36"/>
      <c r="E2757" s="36" t="s">
        <v>21</v>
      </c>
      <c r="F2757" s="38">
        <v>7512750</v>
      </c>
      <c r="G2757" s="36" t="s">
        <v>8</v>
      </c>
      <c r="H2757" s="36" t="s">
        <v>228</v>
      </c>
      <c r="I2757" s="36"/>
      <c r="J2757" s="36"/>
    </row>
    <row r="2758" spans="1:10" x14ac:dyDescent="0.25">
      <c r="A2758" s="36">
        <v>1900</v>
      </c>
      <c r="B2758" s="37">
        <v>43556</v>
      </c>
      <c r="C2758" s="36"/>
      <c r="D2758" s="36"/>
      <c r="E2758" s="36" t="s">
        <v>22</v>
      </c>
      <c r="F2758" s="38">
        <v>5204588.4989999998</v>
      </c>
      <c r="G2758" s="36" t="s">
        <v>8</v>
      </c>
      <c r="H2758" s="36" t="s">
        <v>228</v>
      </c>
      <c r="I2758" s="36"/>
      <c r="J2758" s="36"/>
    </row>
    <row r="2759" spans="1:10" x14ac:dyDescent="0.25">
      <c r="A2759" s="36">
        <v>1900</v>
      </c>
      <c r="B2759" s="37">
        <v>43586</v>
      </c>
      <c r="C2759" s="36"/>
      <c r="D2759" s="36"/>
      <c r="E2759" s="36" t="s">
        <v>22</v>
      </c>
      <c r="F2759" s="38">
        <v>5204588.4989999998</v>
      </c>
      <c r="G2759" s="36" t="s">
        <v>8</v>
      </c>
      <c r="H2759" s="36" t="s">
        <v>228</v>
      </c>
      <c r="I2759" s="36"/>
      <c r="J2759" s="36"/>
    </row>
    <row r="2760" spans="1:10" x14ac:dyDescent="0.25">
      <c r="A2760" s="36">
        <v>1900</v>
      </c>
      <c r="B2760" s="37">
        <v>43617</v>
      </c>
      <c r="C2760" s="36"/>
      <c r="D2760" s="36"/>
      <c r="E2760" s="36" t="s">
        <v>22</v>
      </c>
      <c r="F2760" s="38">
        <v>5204588.4989999998</v>
      </c>
      <c r="G2760" s="36" t="s">
        <v>8</v>
      </c>
      <c r="H2760" s="36" t="s">
        <v>228</v>
      </c>
      <c r="I2760" s="36"/>
      <c r="J2760" s="36"/>
    </row>
    <row r="2761" spans="1:10" x14ac:dyDescent="0.25">
      <c r="A2761" s="36">
        <v>1790</v>
      </c>
      <c r="B2761" s="37">
        <v>43556</v>
      </c>
      <c r="C2761" s="36"/>
      <c r="D2761" s="36"/>
      <c r="E2761" s="36" t="s">
        <v>7</v>
      </c>
      <c r="F2761" s="38">
        <v>2323944</v>
      </c>
      <c r="G2761" s="36" t="s">
        <v>8</v>
      </c>
      <c r="H2761" s="36" t="s">
        <v>228</v>
      </c>
      <c r="I2761" s="36"/>
      <c r="J2761" s="36"/>
    </row>
    <row r="2762" spans="1:10" x14ac:dyDescent="0.25">
      <c r="A2762" s="36">
        <v>1790</v>
      </c>
      <c r="B2762" s="37">
        <v>43586</v>
      </c>
      <c r="C2762" s="36"/>
      <c r="D2762" s="36"/>
      <c r="E2762" s="36" t="s">
        <v>7</v>
      </c>
      <c r="F2762" s="38">
        <v>2323944</v>
      </c>
      <c r="G2762" s="36" t="s">
        <v>8</v>
      </c>
      <c r="H2762" s="36" t="s">
        <v>228</v>
      </c>
      <c r="I2762" s="36"/>
      <c r="J2762" s="36"/>
    </row>
    <row r="2763" spans="1:10" x14ac:dyDescent="0.25">
      <c r="A2763" s="36">
        <v>1790</v>
      </c>
      <c r="B2763" s="37">
        <v>43617</v>
      </c>
      <c r="C2763" s="36"/>
      <c r="D2763" s="36"/>
      <c r="E2763" s="36" t="s">
        <v>7</v>
      </c>
      <c r="F2763" s="38">
        <v>2323944</v>
      </c>
      <c r="G2763" s="36" t="s">
        <v>8</v>
      </c>
      <c r="H2763" s="36" t="s">
        <v>228</v>
      </c>
      <c r="I2763" s="36"/>
      <c r="J2763" s="36"/>
    </row>
    <row r="2764" spans="1:10" x14ac:dyDescent="0.25">
      <c r="A2764" s="36">
        <v>1790</v>
      </c>
      <c r="B2764" s="37">
        <v>43647</v>
      </c>
      <c r="C2764" s="36"/>
      <c r="D2764" s="36"/>
      <c r="E2764" s="36" t="s">
        <v>7</v>
      </c>
      <c r="F2764" s="38">
        <v>2323944</v>
      </c>
      <c r="G2764" s="36" t="s">
        <v>8</v>
      </c>
      <c r="H2764" s="36" t="s">
        <v>228</v>
      </c>
      <c r="I2764" s="36"/>
      <c r="J2764" s="36"/>
    </row>
    <row r="2765" spans="1:10" x14ac:dyDescent="0.25">
      <c r="A2765" s="36">
        <v>1790</v>
      </c>
      <c r="B2765" s="37">
        <v>43678</v>
      </c>
      <c r="C2765" s="36"/>
      <c r="D2765" s="36"/>
      <c r="E2765" s="36" t="s">
        <v>7</v>
      </c>
      <c r="F2765" s="38">
        <v>2323944</v>
      </c>
      <c r="G2765" s="36" t="s">
        <v>8</v>
      </c>
      <c r="H2765" s="36" t="s">
        <v>228</v>
      </c>
      <c r="I2765" s="36"/>
      <c r="J2765" s="36"/>
    </row>
    <row r="2766" spans="1:10" x14ac:dyDescent="0.25">
      <c r="A2766" s="36">
        <v>1790</v>
      </c>
      <c r="B2766" s="37">
        <v>43709</v>
      </c>
      <c r="C2766" s="36"/>
      <c r="D2766" s="36"/>
      <c r="E2766" s="36" t="s">
        <v>7</v>
      </c>
      <c r="F2766" s="38">
        <v>2323944</v>
      </c>
      <c r="G2766" s="36" t="s">
        <v>8</v>
      </c>
      <c r="H2766" s="36" t="s">
        <v>228</v>
      </c>
      <c r="I2766" s="36"/>
      <c r="J2766" s="36"/>
    </row>
    <row r="2767" spans="1:10" x14ac:dyDescent="0.25">
      <c r="A2767" s="36">
        <v>1790</v>
      </c>
      <c r="B2767" s="37">
        <v>43739</v>
      </c>
      <c r="C2767" s="36"/>
      <c r="D2767" s="36"/>
      <c r="E2767" s="36" t="s">
        <v>7</v>
      </c>
      <c r="F2767" s="38">
        <v>2323944</v>
      </c>
      <c r="G2767" s="36" t="s">
        <v>8</v>
      </c>
      <c r="H2767" s="36" t="s">
        <v>228</v>
      </c>
      <c r="I2767" s="36"/>
      <c r="J2767" s="36"/>
    </row>
    <row r="2768" spans="1:10" x14ac:dyDescent="0.25">
      <c r="A2768" s="36">
        <v>1790</v>
      </c>
      <c r="B2768" s="37">
        <v>43770</v>
      </c>
      <c r="C2768" s="36"/>
      <c r="D2768" s="36"/>
      <c r="E2768" s="36" t="s">
        <v>7</v>
      </c>
      <c r="F2768" s="38">
        <v>2323944</v>
      </c>
      <c r="G2768" s="36" t="s">
        <v>8</v>
      </c>
      <c r="H2768" s="36" t="s">
        <v>228</v>
      </c>
      <c r="I2768" s="36"/>
      <c r="J2768" s="36"/>
    </row>
    <row r="2769" spans="1:10" x14ac:dyDescent="0.25">
      <c r="A2769" s="36">
        <v>1790</v>
      </c>
      <c r="B2769" s="37">
        <v>43800</v>
      </c>
      <c r="C2769" s="36"/>
      <c r="D2769" s="36"/>
      <c r="E2769" s="36" t="s">
        <v>7</v>
      </c>
      <c r="F2769" s="38">
        <v>2323944</v>
      </c>
      <c r="G2769" s="36" t="s">
        <v>8</v>
      </c>
      <c r="H2769" s="36" t="s">
        <v>228</v>
      </c>
      <c r="I2769" s="36"/>
      <c r="J2769" s="36"/>
    </row>
    <row r="2770" spans="1:10" x14ac:dyDescent="0.25">
      <c r="A2770" s="36">
        <v>1790</v>
      </c>
      <c r="B2770" s="37">
        <v>43831</v>
      </c>
      <c r="C2770" s="36"/>
      <c r="D2770" s="36"/>
      <c r="E2770" s="36" t="s">
        <v>7</v>
      </c>
      <c r="F2770" s="38">
        <v>2323944</v>
      </c>
      <c r="G2770" s="36" t="s">
        <v>8</v>
      </c>
      <c r="H2770" s="36" t="s">
        <v>228</v>
      </c>
      <c r="I2770" s="36"/>
      <c r="J2770" s="36"/>
    </row>
    <row r="2771" spans="1:10" x14ac:dyDescent="0.25">
      <c r="A2771" s="36">
        <v>1790</v>
      </c>
      <c r="B2771" s="37">
        <v>43862</v>
      </c>
      <c r="C2771" s="36"/>
      <c r="D2771" s="36"/>
      <c r="E2771" s="36" t="s">
        <v>7</v>
      </c>
      <c r="F2771" s="38">
        <v>2323944</v>
      </c>
      <c r="G2771" s="36" t="s">
        <v>8</v>
      </c>
      <c r="H2771" s="36" t="s">
        <v>228</v>
      </c>
      <c r="I2771" s="36"/>
      <c r="J2771" s="36"/>
    </row>
    <row r="2772" spans="1:10" x14ac:dyDescent="0.25">
      <c r="A2772" s="36">
        <v>1790</v>
      </c>
      <c r="B2772" s="37">
        <v>43891</v>
      </c>
      <c r="C2772" s="36"/>
      <c r="D2772" s="36"/>
      <c r="E2772" s="36" t="s">
        <v>7</v>
      </c>
      <c r="F2772" s="38">
        <v>2323944</v>
      </c>
      <c r="G2772" s="36" t="s">
        <v>8</v>
      </c>
      <c r="H2772" s="36" t="s">
        <v>228</v>
      </c>
      <c r="I2772" s="36"/>
      <c r="J2772" s="36"/>
    </row>
    <row r="2773" spans="1:10" x14ac:dyDescent="0.25">
      <c r="A2773" s="36">
        <v>1790</v>
      </c>
      <c r="B2773" s="37">
        <v>43922</v>
      </c>
      <c r="C2773" s="36"/>
      <c r="D2773" s="36"/>
      <c r="E2773" s="36" t="s">
        <v>7</v>
      </c>
      <c r="F2773" s="38">
        <v>2323944</v>
      </c>
      <c r="G2773" s="36" t="s">
        <v>8</v>
      </c>
      <c r="H2773" s="36" t="s">
        <v>228</v>
      </c>
      <c r="I2773" s="36"/>
      <c r="J2773" s="36"/>
    </row>
    <row r="2774" spans="1:10" x14ac:dyDescent="0.25">
      <c r="A2774" s="36">
        <v>1790</v>
      </c>
      <c r="B2774" s="37">
        <v>43556</v>
      </c>
      <c r="C2774" s="36"/>
      <c r="D2774" s="36"/>
      <c r="E2774" s="36" t="s">
        <v>7</v>
      </c>
      <c r="F2774" s="38">
        <v>726232.5</v>
      </c>
      <c r="G2774" s="36" t="s">
        <v>8</v>
      </c>
      <c r="H2774" s="36" t="s">
        <v>228</v>
      </c>
      <c r="I2774" s="36"/>
      <c r="J2774" s="36"/>
    </row>
    <row r="2775" spans="1:10" x14ac:dyDescent="0.25">
      <c r="A2775" s="36">
        <v>1790</v>
      </c>
      <c r="B2775" s="37">
        <v>43586</v>
      </c>
      <c r="C2775" s="36"/>
      <c r="D2775" s="36"/>
      <c r="E2775" s="36" t="s">
        <v>7</v>
      </c>
      <c r="F2775" s="38">
        <v>726232.5</v>
      </c>
      <c r="G2775" s="36" t="s">
        <v>8</v>
      </c>
      <c r="H2775" s="36" t="s">
        <v>228</v>
      </c>
      <c r="I2775" s="36"/>
      <c r="J2775" s="36"/>
    </row>
    <row r="2776" spans="1:10" x14ac:dyDescent="0.25">
      <c r="A2776" s="36">
        <v>1790</v>
      </c>
      <c r="B2776" s="37">
        <v>43617</v>
      </c>
      <c r="C2776" s="36"/>
      <c r="D2776" s="36"/>
      <c r="E2776" s="36" t="s">
        <v>7</v>
      </c>
      <c r="F2776" s="38">
        <v>726232.5</v>
      </c>
      <c r="G2776" s="36" t="s">
        <v>8</v>
      </c>
      <c r="H2776" s="36" t="s">
        <v>228</v>
      </c>
      <c r="I2776" s="36"/>
      <c r="J2776" s="36"/>
    </row>
    <row r="2777" spans="1:10" x14ac:dyDescent="0.25">
      <c r="A2777" s="36">
        <v>1790</v>
      </c>
      <c r="B2777" s="37">
        <v>43647</v>
      </c>
      <c r="C2777" s="36"/>
      <c r="D2777" s="36"/>
      <c r="E2777" s="36" t="s">
        <v>7</v>
      </c>
      <c r="F2777" s="38">
        <v>726232.5</v>
      </c>
      <c r="G2777" s="36" t="s">
        <v>8</v>
      </c>
      <c r="H2777" s="36" t="s">
        <v>228</v>
      </c>
      <c r="I2777" s="36"/>
      <c r="J2777" s="36"/>
    </row>
    <row r="2778" spans="1:10" x14ac:dyDescent="0.25">
      <c r="A2778" s="36">
        <v>1790</v>
      </c>
      <c r="B2778" s="37">
        <v>43556</v>
      </c>
      <c r="C2778" s="36"/>
      <c r="D2778" s="36"/>
      <c r="E2778" s="36" t="s">
        <v>69</v>
      </c>
      <c r="F2778" s="38">
        <v>9883440</v>
      </c>
      <c r="G2778" s="36" t="s">
        <v>8</v>
      </c>
      <c r="H2778" s="36" t="s">
        <v>228</v>
      </c>
      <c r="I2778" s="36"/>
      <c r="J2778" s="36"/>
    </row>
    <row r="2779" spans="1:10" x14ac:dyDescent="0.25">
      <c r="A2779" s="36">
        <v>1790</v>
      </c>
      <c r="B2779" s="37">
        <v>43586</v>
      </c>
      <c r="C2779" s="36"/>
      <c r="D2779" s="36"/>
      <c r="E2779" s="36" t="s">
        <v>69</v>
      </c>
      <c r="F2779" s="38">
        <v>9883440</v>
      </c>
      <c r="G2779" s="36" t="s">
        <v>8</v>
      </c>
      <c r="H2779" s="36" t="s">
        <v>228</v>
      </c>
      <c r="I2779" s="36"/>
      <c r="J2779" s="36"/>
    </row>
    <row r="2780" spans="1:10" x14ac:dyDescent="0.25">
      <c r="A2780" s="36">
        <v>1790</v>
      </c>
      <c r="B2780" s="37">
        <v>43617</v>
      </c>
      <c r="C2780" s="36"/>
      <c r="D2780" s="36"/>
      <c r="E2780" s="36" t="s">
        <v>69</v>
      </c>
      <c r="F2780" s="38">
        <v>9883440</v>
      </c>
      <c r="G2780" s="36" t="s">
        <v>8</v>
      </c>
      <c r="H2780" s="36" t="s">
        <v>228</v>
      </c>
      <c r="I2780" s="36"/>
      <c r="J2780" s="36"/>
    </row>
    <row r="2781" spans="1:10" x14ac:dyDescent="0.25">
      <c r="A2781" s="36">
        <v>1790</v>
      </c>
      <c r="B2781" s="37">
        <v>43647</v>
      </c>
      <c r="C2781" s="36"/>
      <c r="D2781" s="36"/>
      <c r="E2781" s="36" t="s">
        <v>69</v>
      </c>
      <c r="F2781" s="38">
        <v>9883440</v>
      </c>
      <c r="G2781" s="36" t="s">
        <v>8</v>
      </c>
      <c r="H2781" s="36" t="s">
        <v>228</v>
      </c>
      <c r="I2781" s="36"/>
      <c r="J2781" s="36"/>
    </row>
    <row r="2782" spans="1:10" x14ac:dyDescent="0.25">
      <c r="A2782" s="36">
        <v>1790</v>
      </c>
      <c r="B2782" s="37">
        <v>43678</v>
      </c>
      <c r="C2782" s="36"/>
      <c r="D2782" s="36"/>
      <c r="E2782" s="36" t="s">
        <v>69</v>
      </c>
      <c r="F2782" s="38">
        <v>9883440</v>
      </c>
      <c r="G2782" s="36" t="s">
        <v>8</v>
      </c>
      <c r="H2782" s="36" t="s">
        <v>228</v>
      </c>
      <c r="I2782" s="36"/>
      <c r="J2782" s="36"/>
    </row>
    <row r="2783" spans="1:10" x14ac:dyDescent="0.25">
      <c r="A2783" s="36">
        <v>1790</v>
      </c>
      <c r="B2783" s="37">
        <v>43709</v>
      </c>
      <c r="C2783" s="36"/>
      <c r="D2783" s="36"/>
      <c r="E2783" s="36" t="s">
        <v>69</v>
      </c>
      <c r="F2783" s="38">
        <v>9883440</v>
      </c>
      <c r="G2783" s="36" t="s">
        <v>8</v>
      </c>
      <c r="H2783" s="36" t="s">
        <v>228</v>
      </c>
      <c r="I2783" s="36"/>
      <c r="J2783" s="36"/>
    </row>
    <row r="2784" spans="1:10" x14ac:dyDescent="0.25">
      <c r="A2784" s="36">
        <v>1790</v>
      </c>
      <c r="B2784" s="37">
        <v>43739</v>
      </c>
      <c r="C2784" s="36"/>
      <c r="D2784" s="36"/>
      <c r="E2784" s="36" t="s">
        <v>69</v>
      </c>
      <c r="F2784" s="38">
        <v>9883440</v>
      </c>
      <c r="G2784" s="36" t="s">
        <v>8</v>
      </c>
      <c r="H2784" s="36" t="s">
        <v>228</v>
      </c>
      <c r="I2784" s="36"/>
      <c r="J2784" s="36"/>
    </row>
    <row r="2785" spans="1:10" x14ac:dyDescent="0.25">
      <c r="A2785" s="36">
        <v>1790</v>
      </c>
      <c r="B2785" s="37">
        <v>43770</v>
      </c>
      <c r="C2785" s="36"/>
      <c r="D2785" s="36"/>
      <c r="E2785" s="36" t="s">
        <v>69</v>
      </c>
      <c r="F2785" s="38">
        <v>9883440</v>
      </c>
      <c r="G2785" s="36" t="s">
        <v>8</v>
      </c>
      <c r="H2785" s="36" t="s">
        <v>228</v>
      </c>
      <c r="I2785" s="36"/>
      <c r="J2785" s="36"/>
    </row>
    <row r="2786" spans="1:10" x14ac:dyDescent="0.25">
      <c r="A2786" s="36">
        <v>1790</v>
      </c>
      <c r="B2786" s="37">
        <v>43800</v>
      </c>
      <c r="C2786" s="36"/>
      <c r="D2786" s="36"/>
      <c r="E2786" s="36" t="s">
        <v>69</v>
      </c>
      <c r="F2786" s="38">
        <v>9883440</v>
      </c>
      <c r="G2786" s="36" t="s">
        <v>8</v>
      </c>
      <c r="H2786" s="36" t="s">
        <v>228</v>
      </c>
      <c r="I2786" s="36"/>
      <c r="J2786" s="36"/>
    </row>
    <row r="2787" spans="1:10" x14ac:dyDescent="0.25">
      <c r="A2787" s="36">
        <v>1790</v>
      </c>
      <c r="B2787" s="37">
        <v>43831</v>
      </c>
      <c r="C2787" s="36"/>
      <c r="D2787" s="36"/>
      <c r="E2787" s="36" t="s">
        <v>69</v>
      </c>
      <c r="F2787" s="38">
        <v>9883440</v>
      </c>
      <c r="G2787" s="36" t="s">
        <v>8</v>
      </c>
      <c r="H2787" s="36" t="s">
        <v>228</v>
      </c>
      <c r="I2787" s="36"/>
      <c r="J2787" s="36"/>
    </row>
    <row r="2788" spans="1:10" x14ac:dyDescent="0.25">
      <c r="A2788" s="36">
        <v>1790</v>
      </c>
      <c r="B2788" s="37">
        <v>43862</v>
      </c>
      <c r="C2788" s="36"/>
      <c r="D2788" s="36"/>
      <c r="E2788" s="36" t="s">
        <v>69</v>
      </c>
      <c r="F2788" s="38">
        <v>9883440</v>
      </c>
      <c r="G2788" s="36" t="s">
        <v>8</v>
      </c>
      <c r="H2788" s="36" t="s">
        <v>228</v>
      </c>
      <c r="I2788" s="36"/>
      <c r="J2788" s="36"/>
    </row>
    <row r="2789" spans="1:10" x14ac:dyDescent="0.25">
      <c r="A2789" s="36">
        <v>1790</v>
      </c>
      <c r="B2789" s="37">
        <v>43891</v>
      </c>
      <c r="C2789" s="36"/>
      <c r="D2789" s="36"/>
      <c r="E2789" s="36" t="s">
        <v>69</v>
      </c>
      <c r="F2789" s="38">
        <v>9883440</v>
      </c>
      <c r="G2789" s="36" t="s">
        <v>8</v>
      </c>
      <c r="H2789" s="36" t="s">
        <v>228</v>
      </c>
      <c r="I2789" s="36"/>
      <c r="J2789" s="36"/>
    </row>
    <row r="2790" spans="1:10" x14ac:dyDescent="0.25">
      <c r="A2790" s="36">
        <v>1790</v>
      </c>
      <c r="B2790" s="37">
        <v>43922</v>
      </c>
      <c r="C2790" s="36"/>
      <c r="D2790" s="36"/>
      <c r="E2790" s="36" t="s">
        <v>69</v>
      </c>
      <c r="F2790" s="38">
        <v>9883440</v>
      </c>
      <c r="G2790" s="36" t="s">
        <v>8</v>
      </c>
      <c r="H2790" s="36" t="s">
        <v>228</v>
      </c>
      <c r="I2790" s="36"/>
      <c r="J2790" s="36"/>
    </row>
    <row r="2791" spans="1:10" x14ac:dyDescent="0.25">
      <c r="A2791" s="36">
        <v>1790</v>
      </c>
      <c r="B2791" s="37">
        <v>43556</v>
      </c>
      <c r="C2791" s="36"/>
      <c r="D2791" s="36"/>
      <c r="E2791" s="36" t="s">
        <v>145</v>
      </c>
      <c r="F2791" s="38">
        <v>5930064</v>
      </c>
      <c r="G2791" s="36" t="s">
        <v>8</v>
      </c>
      <c r="H2791" s="36" t="s">
        <v>228</v>
      </c>
      <c r="I2791" s="36"/>
      <c r="J2791" s="36"/>
    </row>
    <row r="2792" spans="1:10" x14ac:dyDescent="0.25">
      <c r="A2792" s="36">
        <v>1790</v>
      </c>
      <c r="B2792" s="37">
        <v>43586</v>
      </c>
      <c r="C2792" s="36"/>
      <c r="D2792" s="36"/>
      <c r="E2792" s="36" t="s">
        <v>145</v>
      </c>
      <c r="F2792" s="38">
        <v>5930064</v>
      </c>
      <c r="G2792" s="36" t="s">
        <v>8</v>
      </c>
      <c r="H2792" s="36" t="s">
        <v>228</v>
      </c>
      <c r="I2792" s="36"/>
      <c r="J2792" s="36"/>
    </row>
    <row r="2793" spans="1:10" x14ac:dyDescent="0.25">
      <c r="A2793" s="36">
        <v>1790</v>
      </c>
      <c r="B2793" s="37">
        <v>43617</v>
      </c>
      <c r="C2793" s="36"/>
      <c r="D2793" s="36"/>
      <c r="E2793" s="36" t="s">
        <v>145</v>
      </c>
      <c r="F2793" s="38">
        <v>5930064</v>
      </c>
      <c r="G2793" s="36" t="s">
        <v>8</v>
      </c>
      <c r="H2793" s="36" t="s">
        <v>228</v>
      </c>
      <c r="I2793" s="36"/>
      <c r="J2793" s="36"/>
    </row>
    <row r="2794" spans="1:10" x14ac:dyDescent="0.25">
      <c r="A2794" s="36">
        <v>1790</v>
      </c>
      <c r="B2794" s="37">
        <v>43647</v>
      </c>
      <c r="C2794" s="36"/>
      <c r="D2794" s="36"/>
      <c r="E2794" s="36" t="s">
        <v>145</v>
      </c>
      <c r="F2794" s="38">
        <v>5930064</v>
      </c>
      <c r="G2794" s="36" t="s">
        <v>8</v>
      </c>
      <c r="H2794" s="36" t="s">
        <v>228</v>
      </c>
      <c r="I2794" s="36"/>
      <c r="J2794" s="36"/>
    </row>
    <row r="2795" spans="1:10" x14ac:dyDescent="0.25">
      <c r="A2795" s="36">
        <v>1790</v>
      </c>
      <c r="B2795" s="37">
        <v>43678</v>
      </c>
      <c r="C2795" s="36"/>
      <c r="D2795" s="36"/>
      <c r="E2795" s="36" t="s">
        <v>145</v>
      </c>
      <c r="F2795" s="38">
        <v>5930064</v>
      </c>
      <c r="G2795" s="36" t="s">
        <v>8</v>
      </c>
      <c r="H2795" s="36" t="s">
        <v>228</v>
      </c>
      <c r="I2795" s="36"/>
      <c r="J2795" s="36"/>
    </row>
    <row r="2796" spans="1:10" x14ac:dyDescent="0.25">
      <c r="A2796" s="36">
        <v>1790</v>
      </c>
      <c r="B2796" s="37">
        <v>43709</v>
      </c>
      <c r="C2796" s="36"/>
      <c r="D2796" s="36"/>
      <c r="E2796" s="36" t="s">
        <v>145</v>
      </c>
      <c r="F2796" s="38">
        <v>5930064</v>
      </c>
      <c r="G2796" s="36" t="s">
        <v>8</v>
      </c>
      <c r="H2796" s="36" t="s">
        <v>228</v>
      </c>
      <c r="I2796" s="36"/>
      <c r="J2796" s="36"/>
    </row>
    <row r="2797" spans="1:10" x14ac:dyDescent="0.25">
      <c r="A2797" s="36">
        <v>1790</v>
      </c>
      <c r="B2797" s="37">
        <v>43739</v>
      </c>
      <c r="C2797" s="36"/>
      <c r="D2797" s="36"/>
      <c r="E2797" s="36" t="s">
        <v>145</v>
      </c>
      <c r="F2797" s="38">
        <v>5930064</v>
      </c>
      <c r="G2797" s="36" t="s">
        <v>8</v>
      </c>
      <c r="H2797" s="36" t="s">
        <v>228</v>
      </c>
      <c r="I2797" s="36"/>
      <c r="J2797" s="36"/>
    </row>
    <row r="2798" spans="1:10" x14ac:dyDescent="0.25">
      <c r="A2798" s="36">
        <v>1790</v>
      </c>
      <c r="B2798" s="37">
        <v>43770</v>
      </c>
      <c r="C2798" s="36"/>
      <c r="D2798" s="36"/>
      <c r="E2798" s="36" t="s">
        <v>145</v>
      </c>
      <c r="F2798" s="38">
        <v>5930064</v>
      </c>
      <c r="G2798" s="36" t="s">
        <v>8</v>
      </c>
      <c r="H2798" s="36" t="s">
        <v>228</v>
      </c>
      <c r="I2798" s="36"/>
      <c r="J2798" s="36"/>
    </row>
    <row r="2799" spans="1:10" x14ac:dyDescent="0.25">
      <c r="A2799" s="36">
        <v>1790</v>
      </c>
      <c r="B2799" s="37">
        <v>43800</v>
      </c>
      <c r="C2799" s="36"/>
      <c r="D2799" s="36"/>
      <c r="E2799" s="36" t="s">
        <v>145</v>
      </c>
      <c r="F2799" s="38">
        <v>5930064</v>
      </c>
      <c r="G2799" s="36" t="s">
        <v>8</v>
      </c>
      <c r="H2799" s="36" t="s">
        <v>228</v>
      </c>
      <c r="I2799" s="36"/>
      <c r="J2799" s="36"/>
    </row>
    <row r="2800" spans="1:10" x14ac:dyDescent="0.25">
      <c r="A2800" s="36">
        <v>1790</v>
      </c>
      <c r="B2800" s="37">
        <v>43831</v>
      </c>
      <c r="C2800" s="36"/>
      <c r="D2800" s="36"/>
      <c r="E2800" s="36" t="s">
        <v>145</v>
      </c>
      <c r="F2800" s="38">
        <v>5930064</v>
      </c>
      <c r="G2800" s="36" t="s">
        <v>8</v>
      </c>
      <c r="H2800" s="36" t="s">
        <v>228</v>
      </c>
      <c r="I2800" s="36"/>
      <c r="J2800" s="36"/>
    </row>
    <row r="2801" spans="1:10" x14ac:dyDescent="0.25">
      <c r="A2801" s="36">
        <v>1790</v>
      </c>
      <c r="B2801" s="37">
        <v>43862</v>
      </c>
      <c r="C2801" s="36"/>
      <c r="D2801" s="36"/>
      <c r="E2801" s="36" t="s">
        <v>145</v>
      </c>
      <c r="F2801" s="38">
        <v>5930064</v>
      </c>
      <c r="G2801" s="36" t="s">
        <v>8</v>
      </c>
      <c r="H2801" s="36" t="s">
        <v>228</v>
      </c>
      <c r="I2801" s="36"/>
      <c r="J2801" s="36"/>
    </row>
    <row r="2802" spans="1:10" x14ac:dyDescent="0.25">
      <c r="A2802" s="36">
        <v>1790</v>
      </c>
      <c r="B2802" s="37">
        <v>43891</v>
      </c>
      <c r="C2802" s="36"/>
      <c r="D2802" s="36"/>
      <c r="E2802" s="36" t="s">
        <v>145</v>
      </c>
      <c r="F2802" s="38">
        <v>5930064</v>
      </c>
      <c r="G2802" s="36" t="s">
        <v>8</v>
      </c>
      <c r="H2802" s="36" t="s">
        <v>228</v>
      </c>
      <c r="I2802" s="36"/>
      <c r="J2802" s="36"/>
    </row>
    <row r="2803" spans="1:10" x14ac:dyDescent="0.25">
      <c r="A2803" s="36">
        <v>1790</v>
      </c>
      <c r="B2803" s="37">
        <v>43922</v>
      </c>
      <c r="C2803" s="36"/>
      <c r="D2803" s="36"/>
      <c r="E2803" s="36" t="s">
        <v>145</v>
      </c>
      <c r="F2803" s="38">
        <v>5930064</v>
      </c>
      <c r="G2803" s="36" t="s">
        <v>8</v>
      </c>
      <c r="H2803" s="36" t="s">
        <v>228</v>
      </c>
      <c r="I2803" s="36"/>
      <c r="J2803" s="36"/>
    </row>
    <row r="2804" spans="1:10" x14ac:dyDescent="0.25">
      <c r="A2804" s="36">
        <v>1790</v>
      </c>
      <c r="B2804" s="37">
        <v>43556</v>
      </c>
      <c r="C2804" s="36"/>
      <c r="D2804" s="36"/>
      <c r="E2804" s="36" t="s">
        <v>146</v>
      </c>
      <c r="F2804" s="38">
        <v>3916647</v>
      </c>
      <c r="G2804" s="36" t="s">
        <v>8</v>
      </c>
      <c r="H2804" s="36" t="s">
        <v>228</v>
      </c>
      <c r="I2804" s="36"/>
      <c r="J2804" s="36"/>
    </row>
    <row r="2805" spans="1:10" x14ac:dyDescent="0.25">
      <c r="A2805" s="36">
        <v>1790</v>
      </c>
      <c r="B2805" s="37">
        <v>43586</v>
      </c>
      <c r="C2805" s="36"/>
      <c r="D2805" s="36"/>
      <c r="E2805" s="36" t="s">
        <v>146</v>
      </c>
      <c r="F2805" s="38">
        <v>3916647</v>
      </c>
      <c r="G2805" s="36" t="s">
        <v>8</v>
      </c>
      <c r="H2805" s="36" t="s">
        <v>228</v>
      </c>
      <c r="I2805" s="36"/>
      <c r="J2805" s="36"/>
    </row>
    <row r="2806" spans="1:10" x14ac:dyDescent="0.25">
      <c r="A2806" s="36">
        <v>1790</v>
      </c>
      <c r="B2806" s="37">
        <v>43617</v>
      </c>
      <c r="C2806" s="36"/>
      <c r="D2806" s="36"/>
      <c r="E2806" s="36" t="s">
        <v>146</v>
      </c>
      <c r="F2806" s="38">
        <v>3916647</v>
      </c>
      <c r="G2806" s="36" t="s">
        <v>8</v>
      </c>
      <c r="H2806" s="36" t="s">
        <v>228</v>
      </c>
      <c r="I2806" s="36"/>
      <c r="J2806" s="36"/>
    </row>
    <row r="2807" spans="1:10" x14ac:dyDescent="0.25">
      <c r="A2807" s="36">
        <v>1790</v>
      </c>
      <c r="B2807" s="37">
        <v>43647</v>
      </c>
      <c r="C2807" s="36"/>
      <c r="D2807" s="36"/>
      <c r="E2807" s="36" t="s">
        <v>146</v>
      </c>
      <c r="F2807" s="38">
        <v>3916647</v>
      </c>
      <c r="G2807" s="36" t="s">
        <v>8</v>
      </c>
      <c r="H2807" s="36" t="s">
        <v>228</v>
      </c>
      <c r="I2807" s="36"/>
      <c r="J2807" s="36"/>
    </row>
    <row r="2808" spans="1:10" x14ac:dyDescent="0.25">
      <c r="A2808" s="36">
        <v>1790</v>
      </c>
      <c r="B2808" s="37">
        <v>43678</v>
      </c>
      <c r="C2808" s="36"/>
      <c r="D2808" s="36"/>
      <c r="E2808" s="36" t="s">
        <v>146</v>
      </c>
      <c r="F2808" s="38">
        <v>3916647</v>
      </c>
      <c r="G2808" s="36" t="s">
        <v>8</v>
      </c>
      <c r="H2808" s="36" t="s">
        <v>228</v>
      </c>
      <c r="I2808" s="36"/>
      <c r="J2808" s="36"/>
    </row>
    <row r="2809" spans="1:10" x14ac:dyDescent="0.25">
      <c r="A2809" s="36">
        <v>1790</v>
      </c>
      <c r="B2809" s="37">
        <v>43709</v>
      </c>
      <c r="C2809" s="36"/>
      <c r="D2809" s="36"/>
      <c r="E2809" s="36" t="s">
        <v>146</v>
      </c>
      <c r="F2809" s="38">
        <v>3916647</v>
      </c>
      <c r="G2809" s="36" t="s">
        <v>8</v>
      </c>
      <c r="H2809" s="36" t="s">
        <v>228</v>
      </c>
      <c r="I2809" s="36"/>
      <c r="J2809" s="36"/>
    </row>
    <row r="2810" spans="1:10" x14ac:dyDescent="0.25">
      <c r="A2810" s="36">
        <v>1790</v>
      </c>
      <c r="B2810" s="37">
        <v>43739</v>
      </c>
      <c r="C2810" s="36"/>
      <c r="D2810" s="36"/>
      <c r="E2810" s="36" t="s">
        <v>146</v>
      </c>
      <c r="F2810" s="38">
        <v>3916647</v>
      </c>
      <c r="G2810" s="36" t="s">
        <v>8</v>
      </c>
      <c r="H2810" s="36" t="s">
        <v>228</v>
      </c>
      <c r="I2810" s="36"/>
      <c r="J2810" s="36"/>
    </row>
    <row r="2811" spans="1:10" x14ac:dyDescent="0.25">
      <c r="A2811" s="36">
        <v>1790</v>
      </c>
      <c r="B2811" s="37">
        <v>43770</v>
      </c>
      <c r="C2811" s="36"/>
      <c r="D2811" s="36"/>
      <c r="E2811" s="36" t="s">
        <v>146</v>
      </c>
      <c r="F2811" s="38">
        <v>3916647</v>
      </c>
      <c r="G2811" s="36" t="s">
        <v>8</v>
      </c>
      <c r="H2811" s="36" t="s">
        <v>228</v>
      </c>
      <c r="I2811" s="36"/>
      <c r="J2811" s="36"/>
    </row>
    <row r="2812" spans="1:10" x14ac:dyDescent="0.25">
      <c r="A2812" s="36">
        <v>1790</v>
      </c>
      <c r="B2812" s="37">
        <v>43800</v>
      </c>
      <c r="C2812" s="36"/>
      <c r="D2812" s="36"/>
      <c r="E2812" s="36" t="s">
        <v>146</v>
      </c>
      <c r="F2812" s="38">
        <v>3916647</v>
      </c>
      <c r="G2812" s="36" t="s">
        <v>8</v>
      </c>
      <c r="H2812" s="36" t="s">
        <v>228</v>
      </c>
      <c r="I2812" s="36"/>
      <c r="J2812" s="36"/>
    </row>
    <row r="2813" spans="1:10" x14ac:dyDescent="0.25">
      <c r="A2813" s="36">
        <v>1790</v>
      </c>
      <c r="B2813" s="37">
        <v>43831</v>
      </c>
      <c r="C2813" s="36"/>
      <c r="D2813" s="36"/>
      <c r="E2813" s="36" t="s">
        <v>146</v>
      </c>
      <c r="F2813" s="38">
        <v>3916647</v>
      </c>
      <c r="G2813" s="36" t="s">
        <v>8</v>
      </c>
      <c r="H2813" s="36" t="s">
        <v>228</v>
      </c>
      <c r="I2813" s="36"/>
      <c r="J2813" s="36"/>
    </row>
    <row r="2814" spans="1:10" x14ac:dyDescent="0.25">
      <c r="A2814" s="36">
        <v>1790</v>
      </c>
      <c r="B2814" s="37">
        <v>43862</v>
      </c>
      <c r="C2814" s="36"/>
      <c r="D2814" s="36"/>
      <c r="E2814" s="36" t="s">
        <v>146</v>
      </c>
      <c r="F2814" s="38">
        <v>3916647</v>
      </c>
      <c r="G2814" s="36" t="s">
        <v>8</v>
      </c>
      <c r="H2814" s="36" t="s">
        <v>228</v>
      </c>
      <c r="I2814" s="36"/>
      <c r="J2814" s="36"/>
    </row>
    <row r="2815" spans="1:10" x14ac:dyDescent="0.25">
      <c r="A2815" s="36">
        <v>1790</v>
      </c>
      <c r="B2815" s="37">
        <v>43891</v>
      </c>
      <c r="C2815" s="36"/>
      <c r="D2815" s="36"/>
      <c r="E2815" s="36" t="s">
        <v>146</v>
      </c>
      <c r="F2815" s="38">
        <v>3916647</v>
      </c>
      <c r="G2815" s="36" t="s">
        <v>8</v>
      </c>
      <c r="H2815" s="36" t="s">
        <v>228</v>
      </c>
      <c r="I2815" s="36"/>
      <c r="J2815" s="36"/>
    </row>
    <row r="2816" spans="1:10" x14ac:dyDescent="0.25">
      <c r="A2816" s="36">
        <v>1790</v>
      </c>
      <c r="B2816" s="37">
        <v>43922</v>
      </c>
      <c r="C2816" s="36"/>
      <c r="D2816" s="36"/>
      <c r="E2816" s="36" t="s">
        <v>146</v>
      </c>
      <c r="F2816" s="38">
        <v>3916647</v>
      </c>
      <c r="G2816" s="36" t="s">
        <v>8</v>
      </c>
      <c r="H2816" s="36" t="s">
        <v>228</v>
      </c>
      <c r="I2816" s="36"/>
      <c r="J2816" s="36"/>
    </row>
    <row r="2817" spans="1:10" x14ac:dyDescent="0.25">
      <c r="A2817" s="36">
        <v>1790</v>
      </c>
      <c r="B2817" s="37">
        <v>43556</v>
      </c>
      <c r="C2817" s="36"/>
      <c r="D2817" s="36"/>
      <c r="E2817" s="36" t="s">
        <v>147</v>
      </c>
      <c r="F2817" s="38">
        <v>7103634.4399999995</v>
      </c>
      <c r="G2817" s="36" t="s">
        <v>8</v>
      </c>
      <c r="H2817" s="36" t="s">
        <v>228</v>
      </c>
      <c r="I2817" s="36"/>
      <c r="J2817" s="36"/>
    </row>
    <row r="2818" spans="1:10" x14ac:dyDescent="0.25">
      <c r="A2818" s="36">
        <v>1790</v>
      </c>
      <c r="B2818" s="37">
        <v>43586</v>
      </c>
      <c r="C2818" s="36"/>
      <c r="D2818" s="36"/>
      <c r="E2818" s="36" t="s">
        <v>147</v>
      </c>
      <c r="F2818" s="38">
        <v>7103634.4399999995</v>
      </c>
      <c r="G2818" s="36" t="s">
        <v>8</v>
      </c>
      <c r="H2818" s="36" t="s">
        <v>228</v>
      </c>
      <c r="I2818" s="36"/>
      <c r="J2818" s="36"/>
    </row>
    <row r="2819" spans="1:10" x14ac:dyDescent="0.25">
      <c r="A2819" s="36">
        <v>1790</v>
      </c>
      <c r="B2819" s="37">
        <v>43617</v>
      </c>
      <c r="C2819" s="36"/>
      <c r="D2819" s="36"/>
      <c r="E2819" s="36" t="s">
        <v>147</v>
      </c>
      <c r="F2819" s="38">
        <v>7103634.4399999995</v>
      </c>
      <c r="G2819" s="36" t="s">
        <v>8</v>
      </c>
      <c r="H2819" s="36" t="s">
        <v>228</v>
      </c>
      <c r="I2819" s="36"/>
      <c r="J2819" s="36"/>
    </row>
    <row r="2820" spans="1:10" x14ac:dyDescent="0.25">
      <c r="A2820" s="36">
        <v>1790</v>
      </c>
      <c r="B2820" s="37">
        <v>43647</v>
      </c>
      <c r="C2820" s="36"/>
      <c r="D2820" s="36"/>
      <c r="E2820" s="36" t="s">
        <v>147</v>
      </c>
      <c r="F2820" s="38">
        <v>7103634.4399999995</v>
      </c>
      <c r="G2820" s="36" t="s">
        <v>8</v>
      </c>
      <c r="H2820" s="36" t="s">
        <v>228</v>
      </c>
      <c r="I2820" s="36"/>
      <c r="J2820" s="36"/>
    </row>
    <row r="2821" spans="1:10" x14ac:dyDescent="0.25">
      <c r="A2821" s="36">
        <v>1790</v>
      </c>
      <c r="B2821" s="37">
        <v>43678</v>
      </c>
      <c r="C2821" s="36"/>
      <c r="D2821" s="36"/>
      <c r="E2821" s="36" t="s">
        <v>147</v>
      </c>
      <c r="F2821" s="38">
        <v>7103634.4399999995</v>
      </c>
      <c r="G2821" s="36" t="s">
        <v>8</v>
      </c>
      <c r="H2821" s="36" t="s">
        <v>228</v>
      </c>
      <c r="I2821" s="36"/>
      <c r="J2821" s="36"/>
    </row>
    <row r="2822" spans="1:10" x14ac:dyDescent="0.25">
      <c r="A2822" s="36">
        <v>1790</v>
      </c>
      <c r="B2822" s="37">
        <v>43709</v>
      </c>
      <c r="C2822" s="36"/>
      <c r="D2822" s="36"/>
      <c r="E2822" s="36" t="s">
        <v>147</v>
      </c>
      <c r="F2822" s="38">
        <v>7103634.4399999995</v>
      </c>
      <c r="G2822" s="36" t="s">
        <v>8</v>
      </c>
      <c r="H2822" s="36" t="s">
        <v>228</v>
      </c>
      <c r="I2822" s="36"/>
      <c r="J2822" s="36"/>
    </row>
    <row r="2823" spans="1:10" x14ac:dyDescent="0.25">
      <c r="A2823" s="36">
        <v>1790</v>
      </c>
      <c r="B2823" s="37">
        <v>43739</v>
      </c>
      <c r="C2823" s="36"/>
      <c r="D2823" s="36"/>
      <c r="E2823" s="36" t="s">
        <v>147</v>
      </c>
      <c r="F2823" s="38">
        <v>7103634.4399999995</v>
      </c>
      <c r="G2823" s="36" t="s">
        <v>8</v>
      </c>
      <c r="H2823" s="36" t="s">
        <v>228</v>
      </c>
      <c r="I2823" s="36"/>
      <c r="J2823" s="36"/>
    </row>
    <row r="2824" spans="1:10" x14ac:dyDescent="0.25">
      <c r="A2824" s="36">
        <v>1790</v>
      </c>
      <c r="B2824" s="37">
        <v>43770</v>
      </c>
      <c r="C2824" s="36"/>
      <c r="D2824" s="36"/>
      <c r="E2824" s="36" t="s">
        <v>147</v>
      </c>
      <c r="F2824" s="38">
        <v>7103634.4399999995</v>
      </c>
      <c r="G2824" s="36" t="s">
        <v>8</v>
      </c>
      <c r="H2824" s="36" t="s">
        <v>228</v>
      </c>
      <c r="I2824" s="36"/>
      <c r="J2824" s="36"/>
    </row>
    <row r="2825" spans="1:10" x14ac:dyDescent="0.25">
      <c r="A2825" s="36">
        <v>1790</v>
      </c>
      <c r="B2825" s="37">
        <v>43800</v>
      </c>
      <c r="C2825" s="36"/>
      <c r="D2825" s="36"/>
      <c r="E2825" s="36" t="s">
        <v>147</v>
      </c>
      <c r="F2825" s="38">
        <v>7103634.4399999995</v>
      </c>
      <c r="G2825" s="36" t="s">
        <v>8</v>
      </c>
      <c r="H2825" s="36" t="s">
        <v>228</v>
      </c>
      <c r="I2825" s="36"/>
      <c r="J2825" s="36"/>
    </row>
    <row r="2826" spans="1:10" x14ac:dyDescent="0.25">
      <c r="A2826" s="36">
        <v>1790</v>
      </c>
      <c r="B2826" s="37">
        <v>43831</v>
      </c>
      <c r="C2826" s="36"/>
      <c r="D2826" s="36"/>
      <c r="E2826" s="36" t="s">
        <v>147</v>
      </c>
      <c r="F2826" s="38">
        <v>7103634.4399999995</v>
      </c>
      <c r="G2826" s="36" t="s">
        <v>8</v>
      </c>
      <c r="H2826" s="36" t="s">
        <v>228</v>
      </c>
      <c r="I2826" s="36"/>
      <c r="J2826" s="36"/>
    </row>
    <row r="2827" spans="1:10" x14ac:dyDescent="0.25">
      <c r="A2827" s="36">
        <v>1790</v>
      </c>
      <c r="B2827" s="37">
        <v>43862</v>
      </c>
      <c r="C2827" s="36"/>
      <c r="D2827" s="36"/>
      <c r="E2827" s="36" t="s">
        <v>147</v>
      </c>
      <c r="F2827" s="38">
        <v>7103634.4399999995</v>
      </c>
      <c r="G2827" s="36" t="s">
        <v>8</v>
      </c>
      <c r="H2827" s="36" t="s">
        <v>228</v>
      </c>
      <c r="I2827" s="36"/>
      <c r="J2827" s="36"/>
    </row>
    <row r="2828" spans="1:10" x14ac:dyDescent="0.25">
      <c r="A2828" s="36">
        <v>1790</v>
      </c>
      <c r="B2828" s="37">
        <v>43891</v>
      </c>
      <c r="C2828" s="36"/>
      <c r="D2828" s="36"/>
      <c r="E2828" s="36" t="s">
        <v>147</v>
      </c>
      <c r="F2828" s="38">
        <v>7103634.4399999995</v>
      </c>
      <c r="G2828" s="36" t="s">
        <v>8</v>
      </c>
      <c r="H2828" s="36" t="s">
        <v>228</v>
      </c>
      <c r="I2828" s="36"/>
      <c r="J2828" s="36"/>
    </row>
    <row r="2829" spans="1:10" x14ac:dyDescent="0.25">
      <c r="A2829" s="36">
        <v>1790</v>
      </c>
      <c r="B2829" s="37">
        <v>43922</v>
      </c>
      <c r="C2829" s="36"/>
      <c r="D2829" s="36"/>
      <c r="E2829" s="36" t="s">
        <v>147</v>
      </c>
      <c r="F2829" s="38">
        <v>7103634.4399999995</v>
      </c>
      <c r="G2829" s="36" t="s">
        <v>8</v>
      </c>
      <c r="H2829" s="36" t="s">
        <v>228</v>
      </c>
      <c r="I2829" s="36"/>
      <c r="J2829" s="36"/>
    </row>
    <row r="2830" spans="1:10" x14ac:dyDescent="0.25">
      <c r="A2830" s="36">
        <v>1790</v>
      </c>
      <c r="B2830" s="37">
        <v>43556</v>
      </c>
      <c r="C2830" s="36"/>
      <c r="D2830" s="36"/>
      <c r="E2830" s="36" t="s">
        <v>145</v>
      </c>
      <c r="F2830" s="38">
        <v>5930064</v>
      </c>
      <c r="G2830" s="36" t="s">
        <v>8</v>
      </c>
      <c r="H2830" s="36" t="s">
        <v>228</v>
      </c>
      <c r="I2830" s="36"/>
      <c r="J2830" s="36"/>
    </row>
    <row r="2831" spans="1:10" x14ac:dyDescent="0.25">
      <c r="A2831" s="36">
        <v>1790</v>
      </c>
      <c r="B2831" s="37">
        <v>43586</v>
      </c>
      <c r="C2831" s="36"/>
      <c r="D2831" s="36"/>
      <c r="E2831" s="36" t="s">
        <v>145</v>
      </c>
      <c r="F2831" s="38">
        <v>5930064</v>
      </c>
      <c r="G2831" s="36" t="s">
        <v>8</v>
      </c>
      <c r="H2831" s="36" t="s">
        <v>228</v>
      </c>
      <c r="I2831" s="36"/>
      <c r="J2831" s="36"/>
    </row>
    <row r="2832" spans="1:10" x14ac:dyDescent="0.25">
      <c r="A2832" s="36">
        <v>1790</v>
      </c>
      <c r="B2832" s="37">
        <v>43617</v>
      </c>
      <c r="C2832" s="36"/>
      <c r="D2832" s="36"/>
      <c r="E2832" s="36" t="s">
        <v>145</v>
      </c>
      <c r="F2832" s="38">
        <v>5930064</v>
      </c>
      <c r="G2832" s="36" t="s">
        <v>8</v>
      </c>
      <c r="H2832" s="36" t="s">
        <v>228</v>
      </c>
      <c r="I2832" s="36"/>
      <c r="J2832" s="36"/>
    </row>
    <row r="2833" spans="1:10" x14ac:dyDescent="0.25">
      <c r="A2833" s="36">
        <v>1790</v>
      </c>
      <c r="B2833" s="37">
        <v>43647</v>
      </c>
      <c r="C2833" s="36"/>
      <c r="D2833" s="36"/>
      <c r="E2833" s="36" t="s">
        <v>145</v>
      </c>
      <c r="F2833" s="38">
        <v>5930064</v>
      </c>
      <c r="G2833" s="36" t="s">
        <v>8</v>
      </c>
      <c r="H2833" s="36" t="s">
        <v>228</v>
      </c>
      <c r="I2833" s="36"/>
      <c r="J2833" s="36"/>
    </row>
    <row r="2834" spans="1:10" x14ac:dyDescent="0.25">
      <c r="A2834" s="36">
        <v>1790</v>
      </c>
      <c r="B2834" s="37">
        <v>43678</v>
      </c>
      <c r="C2834" s="36"/>
      <c r="D2834" s="36"/>
      <c r="E2834" s="36" t="s">
        <v>145</v>
      </c>
      <c r="F2834" s="38">
        <v>5930064</v>
      </c>
      <c r="G2834" s="36" t="s">
        <v>8</v>
      </c>
      <c r="H2834" s="36" t="s">
        <v>228</v>
      </c>
      <c r="I2834" s="36"/>
      <c r="J2834" s="36"/>
    </row>
    <row r="2835" spans="1:10" x14ac:dyDescent="0.25">
      <c r="A2835" s="36">
        <v>1790</v>
      </c>
      <c r="B2835" s="37">
        <v>43709</v>
      </c>
      <c r="C2835" s="36"/>
      <c r="D2835" s="36"/>
      <c r="E2835" s="36" t="s">
        <v>145</v>
      </c>
      <c r="F2835" s="38">
        <v>5930064</v>
      </c>
      <c r="G2835" s="36" t="s">
        <v>8</v>
      </c>
      <c r="H2835" s="36" t="s">
        <v>228</v>
      </c>
      <c r="I2835" s="36"/>
      <c r="J2835" s="36"/>
    </row>
    <row r="2836" spans="1:10" x14ac:dyDescent="0.25">
      <c r="A2836" s="36">
        <v>1790</v>
      </c>
      <c r="B2836" s="37">
        <v>43739</v>
      </c>
      <c r="C2836" s="36"/>
      <c r="D2836" s="36"/>
      <c r="E2836" s="36" t="s">
        <v>145</v>
      </c>
      <c r="F2836" s="38">
        <v>5930064</v>
      </c>
      <c r="G2836" s="36" t="s">
        <v>8</v>
      </c>
      <c r="H2836" s="36" t="s">
        <v>228</v>
      </c>
      <c r="I2836" s="36"/>
      <c r="J2836" s="36"/>
    </row>
    <row r="2837" spans="1:10" x14ac:dyDescent="0.25">
      <c r="A2837" s="36">
        <v>1790</v>
      </c>
      <c r="B2837" s="37">
        <v>43770</v>
      </c>
      <c r="C2837" s="36"/>
      <c r="D2837" s="36"/>
      <c r="E2837" s="36" t="s">
        <v>145</v>
      </c>
      <c r="F2837" s="38">
        <v>5930064</v>
      </c>
      <c r="G2837" s="36" t="s">
        <v>8</v>
      </c>
      <c r="H2837" s="36" t="s">
        <v>228</v>
      </c>
      <c r="I2837" s="36"/>
      <c r="J2837" s="36"/>
    </row>
    <row r="2838" spans="1:10" x14ac:dyDescent="0.25">
      <c r="A2838" s="36">
        <v>1790</v>
      </c>
      <c r="B2838" s="37">
        <v>43800</v>
      </c>
      <c r="C2838" s="36"/>
      <c r="D2838" s="36"/>
      <c r="E2838" s="36" t="s">
        <v>145</v>
      </c>
      <c r="F2838" s="38">
        <v>5930064</v>
      </c>
      <c r="G2838" s="36" t="s">
        <v>8</v>
      </c>
      <c r="H2838" s="36" t="s">
        <v>228</v>
      </c>
      <c r="I2838" s="36"/>
      <c r="J2838" s="36"/>
    </row>
    <row r="2839" spans="1:10" x14ac:dyDescent="0.25">
      <c r="A2839" s="36">
        <v>1790</v>
      </c>
      <c r="B2839" s="37">
        <v>43831</v>
      </c>
      <c r="C2839" s="36"/>
      <c r="D2839" s="36"/>
      <c r="E2839" s="36" t="s">
        <v>145</v>
      </c>
      <c r="F2839" s="38">
        <v>5930064</v>
      </c>
      <c r="G2839" s="36" t="s">
        <v>8</v>
      </c>
      <c r="H2839" s="36" t="s">
        <v>228</v>
      </c>
      <c r="I2839" s="36"/>
      <c r="J2839" s="36"/>
    </row>
    <row r="2840" spans="1:10" x14ac:dyDescent="0.25">
      <c r="A2840" s="36">
        <v>1790</v>
      </c>
      <c r="B2840" s="37">
        <v>43862</v>
      </c>
      <c r="C2840" s="36"/>
      <c r="D2840" s="36"/>
      <c r="E2840" s="36" t="s">
        <v>145</v>
      </c>
      <c r="F2840" s="38">
        <v>5930064</v>
      </c>
      <c r="G2840" s="36" t="s">
        <v>8</v>
      </c>
      <c r="H2840" s="36" t="s">
        <v>228</v>
      </c>
      <c r="I2840" s="36"/>
      <c r="J2840" s="36"/>
    </row>
    <row r="2841" spans="1:10" x14ac:dyDescent="0.25">
      <c r="A2841" s="36">
        <v>1790</v>
      </c>
      <c r="B2841" s="37">
        <v>43891</v>
      </c>
      <c r="C2841" s="36"/>
      <c r="D2841" s="36"/>
      <c r="E2841" s="36" t="s">
        <v>145</v>
      </c>
      <c r="F2841" s="38">
        <v>5930064</v>
      </c>
      <c r="G2841" s="36" t="s">
        <v>8</v>
      </c>
      <c r="H2841" s="36" t="s">
        <v>228</v>
      </c>
      <c r="I2841" s="36"/>
      <c r="J2841" s="36"/>
    </row>
    <row r="2842" spans="1:10" x14ac:dyDescent="0.25">
      <c r="A2842" s="36">
        <v>1790</v>
      </c>
      <c r="B2842" s="37">
        <v>43922</v>
      </c>
      <c r="C2842" s="36"/>
      <c r="D2842" s="36"/>
      <c r="E2842" s="36" t="s">
        <v>145</v>
      </c>
      <c r="F2842" s="38">
        <v>5930064</v>
      </c>
      <c r="G2842" s="36" t="s">
        <v>8</v>
      </c>
      <c r="H2842" s="36" t="s">
        <v>228</v>
      </c>
      <c r="I2842" s="36"/>
      <c r="J2842" s="36"/>
    </row>
    <row r="2843" spans="1:10" x14ac:dyDescent="0.25">
      <c r="A2843" s="36">
        <v>1790</v>
      </c>
      <c r="B2843" s="37">
        <v>43556</v>
      </c>
      <c r="C2843" s="36"/>
      <c r="D2843" s="36"/>
      <c r="E2843" s="36" t="s">
        <v>37</v>
      </c>
      <c r="F2843" s="38">
        <v>3847852</v>
      </c>
      <c r="G2843" s="36" t="s">
        <v>8</v>
      </c>
      <c r="H2843" s="36" t="s">
        <v>228</v>
      </c>
      <c r="I2843" s="36"/>
      <c r="J2843" s="36"/>
    </row>
    <row r="2844" spans="1:10" x14ac:dyDescent="0.25">
      <c r="A2844" s="36">
        <v>1790</v>
      </c>
      <c r="B2844" s="37">
        <v>43586</v>
      </c>
      <c r="C2844" s="36"/>
      <c r="D2844" s="36"/>
      <c r="E2844" s="36" t="s">
        <v>37</v>
      </c>
      <c r="F2844" s="38">
        <v>3847852</v>
      </c>
      <c r="G2844" s="36" t="s">
        <v>8</v>
      </c>
      <c r="H2844" s="36" t="s">
        <v>228</v>
      </c>
      <c r="I2844" s="36"/>
      <c r="J2844" s="36"/>
    </row>
    <row r="2845" spans="1:10" x14ac:dyDescent="0.25">
      <c r="A2845" s="36">
        <v>1790</v>
      </c>
      <c r="B2845" s="37">
        <v>43617</v>
      </c>
      <c r="C2845" s="36"/>
      <c r="D2845" s="36"/>
      <c r="E2845" s="36" t="s">
        <v>37</v>
      </c>
      <c r="F2845" s="38">
        <v>3847852</v>
      </c>
      <c r="G2845" s="36" t="s">
        <v>8</v>
      </c>
      <c r="H2845" s="36" t="s">
        <v>228</v>
      </c>
      <c r="I2845" s="36"/>
      <c r="J2845" s="36"/>
    </row>
    <row r="2846" spans="1:10" x14ac:dyDescent="0.25">
      <c r="A2846" s="36">
        <v>1790</v>
      </c>
      <c r="B2846" s="37">
        <v>43647</v>
      </c>
      <c r="C2846" s="36"/>
      <c r="D2846" s="36"/>
      <c r="E2846" s="36" t="s">
        <v>37</v>
      </c>
      <c r="F2846" s="38">
        <v>3847852</v>
      </c>
      <c r="G2846" s="36" t="s">
        <v>8</v>
      </c>
      <c r="H2846" s="36" t="s">
        <v>228</v>
      </c>
      <c r="I2846" s="36"/>
      <c r="J2846" s="36"/>
    </row>
    <row r="2847" spans="1:10" x14ac:dyDescent="0.25">
      <c r="A2847" s="36">
        <v>1790</v>
      </c>
      <c r="B2847" s="37">
        <v>43678</v>
      </c>
      <c r="C2847" s="36"/>
      <c r="D2847" s="36"/>
      <c r="E2847" s="36" t="s">
        <v>37</v>
      </c>
      <c r="F2847" s="38">
        <v>3847852</v>
      </c>
      <c r="G2847" s="36" t="s">
        <v>8</v>
      </c>
      <c r="H2847" s="36" t="s">
        <v>228</v>
      </c>
      <c r="I2847" s="36"/>
      <c r="J2847" s="36"/>
    </row>
    <row r="2848" spans="1:10" x14ac:dyDescent="0.25">
      <c r="A2848" s="36">
        <v>1790</v>
      </c>
      <c r="B2848" s="37">
        <v>43709</v>
      </c>
      <c r="C2848" s="36"/>
      <c r="D2848" s="36"/>
      <c r="E2848" s="36" t="s">
        <v>37</v>
      </c>
      <c r="F2848" s="38">
        <v>3847852</v>
      </c>
      <c r="G2848" s="36" t="s">
        <v>8</v>
      </c>
      <c r="H2848" s="36" t="s">
        <v>228</v>
      </c>
      <c r="I2848" s="36"/>
      <c r="J2848" s="36"/>
    </row>
    <row r="2849" spans="1:10" x14ac:dyDescent="0.25">
      <c r="A2849" s="36">
        <v>1790</v>
      </c>
      <c r="B2849" s="37">
        <v>43739</v>
      </c>
      <c r="C2849" s="36"/>
      <c r="D2849" s="36"/>
      <c r="E2849" s="36" t="s">
        <v>37</v>
      </c>
      <c r="F2849" s="38">
        <v>3847852</v>
      </c>
      <c r="G2849" s="36" t="s">
        <v>8</v>
      </c>
      <c r="H2849" s="36" t="s">
        <v>228</v>
      </c>
      <c r="I2849" s="36"/>
      <c r="J2849" s="36"/>
    </row>
    <row r="2850" spans="1:10" x14ac:dyDescent="0.25">
      <c r="A2850" s="36">
        <v>1790</v>
      </c>
      <c r="B2850" s="37">
        <v>43770</v>
      </c>
      <c r="C2850" s="36"/>
      <c r="D2850" s="36"/>
      <c r="E2850" s="36" t="s">
        <v>37</v>
      </c>
      <c r="F2850" s="38">
        <v>3847852</v>
      </c>
      <c r="G2850" s="36" t="s">
        <v>8</v>
      </c>
      <c r="H2850" s="36" t="s">
        <v>228</v>
      </c>
      <c r="I2850" s="36"/>
      <c r="J2850" s="36"/>
    </row>
    <row r="2851" spans="1:10" x14ac:dyDescent="0.25">
      <c r="A2851" s="36">
        <v>1790</v>
      </c>
      <c r="B2851" s="37">
        <v>43800</v>
      </c>
      <c r="C2851" s="36"/>
      <c r="D2851" s="36"/>
      <c r="E2851" s="36" t="s">
        <v>37</v>
      </c>
      <c r="F2851" s="38">
        <v>3847852</v>
      </c>
      <c r="G2851" s="36" t="s">
        <v>8</v>
      </c>
      <c r="H2851" s="36" t="s">
        <v>228</v>
      </c>
      <c r="I2851" s="36"/>
      <c r="J2851" s="36"/>
    </row>
    <row r="2852" spans="1:10" x14ac:dyDescent="0.25">
      <c r="A2852" s="36">
        <v>1790</v>
      </c>
      <c r="B2852" s="37">
        <v>43831</v>
      </c>
      <c r="C2852" s="36"/>
      <c r="D2852" s="36"/>
      <c r="E2852" s="36" t="s">
        <v>37</v>
      </c>
      <c r="F2852" s="38">
        <v>3847852</v>
      </c>
      <c r="G2852" s="36" t="s">
        <v>8</v>
      </c>
      <c r="H2852" s="36" t="s">
        <v>228</v>
      </c>
      <c r="I2852" s="36"/>
      <c r="J2852" s="36"/>
    </row>
    <row r="2853" spans="1:10" x14ac:dyDescent="0.25">
      <c r="A2853" s="36">
        <v>1790</v>
      </c>
      <c r="B2853" s="37">
        <v>43862</v>
      </c>
      <c r="C2853" s="36"/>
      <c r="D2853" s="36"/>
      <c r="E2853" s="36" t="s">
        <v>37</v>
      </c>
      <c r="F2853" s="38">
        <v>3847852</v>
      </c>
      <c r="G2853" s="36" t="s">
        <v>8</v>
      </c>
      <c r="H2853" s="36" t="s">
        <v>228</v>
      </c>
      <c r="I2853" s="36"/>
      <c r="J2853" s="36"/>
    </row>
    <row r="2854" spans="1:10" x14ac:dyDescent="0.25">
      <c r="A2854" s="36">
        <v>1790</v>
      </c>
      <c r="B2854" s="37">
        <v>43891</v>
      </c>
      <c r="C2854" s="36"/>
      <c r="D2854" s="36"/>
      <c r="E2854" s="36" t="s">
        <v>37</v>
      </c>
      <c r="F2854" s="38">
        <v>3847852</v>
      </c>
      <c r="G2854" s="36" t="s">
        <v>8</v>
      </c>
      <c r="H2854" s="36" t="s">
        <v>228</v>
      </c>
      <c r="I2854" s="36"/>
      <c r="J2854" s="36"/>
    </row>
    <row r="2855" spans="1:10" x14ac:dyDescent="0.25">
      <c r="A2855" s="36">
        <v>1790</v>
      </c>
      <c r="B2855" s="37">
        <v>43922</v>
      </c>
      <c r="C2855" s="36"/>
      <c r="D2855" s="36"/>
      <c r="E2855" s="36" t="s">
        <v>37</v>
      </c>
      <c r="F2855" s="38">
        <v>3847852</v>
      </c>
      <c r="G2855" s="36" t="s">
        <v>8</v>
      </c>
      <c r="H2855" s="36" t="s">
        <v>228</v>
      </c>
      <c r="I2855" s="36"/>
      <c r="J2855" s="36"/>
    </row>
    <row r="2856" spans="1:10" x14ac:dyDescent="0.25">
      <c r="A2856" s="36">
        <v>1790</v>
      </c>
      <c r="B2856" s="37">
        <v>43556</v>
      </c>
      <c r="C2856" s="36"/>
      <c r="D2856" s="36"/>
      <c r="E2856" s="36" t="s">
        <v>34</v>
      </c>
      <c r="F2856" s="38">
        <v>6012426</v>
      </c>
      <c r="G2856" s="36" t="s">
        <v>8</v>
      </c>
      <c r="H2856" s="36" t="s">
        <v>228</v>
      </c>
      <c r="I2856" s="36"/>
      <c r="J2856" s="36"/>
    </row>
    <row r="2857" spans="1:10" x14ac:dyDescent="0.25">
      <c r="A2857" s="36">
        <v>1790</v>
      </c>
      <c r="B2857" s="37">
        <v>43586</v>
      </c>
      <c r="C2857" s="36"/>
      <c r="D2857" s="36"/>
      <c r="E2857" s="36" t="s">
        <v>34</v>
      </c>
      <c r="F2857" s="38">
        <v>6012426</v>
      </c>
      <c r="G2857" s="36" t="s">
        <v>8</v>
      </c>
      <c r="H2857" s="36" t="s">
        <v>228</v>
      </c>
      <c r="I2857" s="36"/>
      <c r="J2857" s="36"/>
    </row>
    <row r="2858" spans="1:10" x14ac:dyDescent="0.25">
      <c r="A2858" s="36">
        <v>1790</v>
      </c>
      <c r="B2858" s="37">
        <v>43617</v>
      </c>
      <c r="C2858" s="36"/>
      <c r="D2858" s="36"/>
      <c r="E2858" s="36" t="s">
        <v>34</v>
      </c>
      <c r="F2858" s="38">
        <v>6012426</v>
      </c>
      <c r="G2858" s="36" t="s">
        <v>8</v>
      </c>
      <c r="H2858" s="36" t="s">
        <v>228</v>
      </c>
      <c r="I2858" s="36"/>
      <c r="J2858" s="36"/>
    </row>
    <row r="2859" spans="1:10" x14ac:dyDescent="0.25">
      <c r="A2859" s="36">
        <v>1790</v>
      </c>
      <c r="B2859" s="37">
        <v>43647</v>
      </c>
      <c r="C2859" s="36"/>
      <c r="D2859" s="36"/>
      <c r="E2859" s="36" t="s">
        <v>34</v>
      </c>
      <c r="F2859" s="38">
        <v>6012426</v>
      </c>
      <c r="G2859" s="36" t="s">
        <v>8</v>
      </c>
      <c r="H2859" s="36" t="s">
        <v>228</v>
      </c>
      <c r="I2859" s="36"/>
      <c r="J2859" s="36"/>
    </row>
    <row r="2860" spans="1:10" x14ac:dyDescent="0.25">
      <c r="A2860" s="36">
        <v>1790</v>
      </c>
      <c r="B2860" s="37">
        <v>43678</v>
      </c>
      <c r="C2860" s="36"/>
      <c r="D2860" s="36"/>
      <c r="E2860" s="36" t="s">
        <v>34</v>
      </c>
      <c r="F2860" s="38">
        <v>6012426</v>
      </c>
      <c r="G2860" s="36" t="s">
        <v>8</v>
      </c>
      <c r="H2860" s="36" t="s">
        <v>228</v>
      </c>
      <c r="I2860" s="36"/>
      <c r="J2860" s="36"/>
    </row>
    <row r="2861" spans="1:10" x14ac:dyDescent="0.25">
      <c r="A2861" s="36">
        <v>1790</v>
      </c>
      <c r="B2861" s="37">
        <v>43709</v>
      </c>
      <c r="C2861" s="36"/>
      <c r="D2861" s="36"/>
      <c r="E2861" s="36" t="s">
        <v>34</v>
      </c>
      <c r="F2861" s="38">
        <v>6012426</v>
      </c>
      <c r="G2861" s="36" t="s">
        <v>8</v>
      </c>
      <c r="H2861" s="36" t="s">
        <v>228</v>
      </c>
      <c r="I2861" s="36"/>
      <c r="J2861" s="36"/>
    </row>
    <row r="2862" spans="1:10" x14ac:dyDescent="0.25">
      <c r="A2862" s="36">
        <v>1790</v>
      </c>
      <c r="B2862" s="37">
        <v>43739</v>
      </c>
      <c r="C2862" s="36"/>
      <c r="D2862" s="36"/>
      <c r="E2862" s="36" t="s">
        <v>34</v>
      </c>
      <c r="F2862" s="38">
        <v>6012426</v>
      </c>
      <c r="G2862" s="36" t="s">
        <v>8</v>
      </c>
      <c r="H2862" s="36" t="s">
        <v>228</v>
      </c>
      <c r="I2862" s="36"/>
      <c r="J2862" s="36"/>
    </row>
    <row r="2863" spans="1:10" x14ac:dyDescent="0.25">
      <c r="A2863" s="36">
        <v>1790</v>
      </c>
      <c r="B2863" s="37">
        <v>43770</v>
      </c>
      <c r="C2863" s="36"/>
      <c r="D2863" s="36"/>
      <c r="E2863" s="36" t="s">
        <v>34</v>
      </c>
      <c r="F2863" s="38">
        <v>6012426</v>
      </c>
      <c r="G2863" s="36" t="s">
        <v>8</v>
      </c>
      <c r="H2863" s="36" t="s">
        <v>228</v>
      </c>
      <c r="I2863" s="36"/>
      <c r="J2863" s="36"/>
    </row>
    <row r="2864" spans="1:10" x14ac:dyDescent="0.25">
      <c r="A2864" s="36">
        <v>1790</v>
      </c>
      <c r="B2864" s="37">
        <v>43800</v>
      </c>
      <c r="C2864" s="36"/>
      <c r="D2864" s="36"/>
      <c r="E2864" s="36" t="s">
        <v>34</v>
      </c>
      <c r="F2864" s="38">
        <v>6012426</v>
      </c>
      <c r="G2864" s="36" t="s">
        <v>8</v>
      </c>
      <c r="H2864" s="36" t="s">
        <v>228</v>
      </c>
      <c r="I2864" s="36"/>
      <c r="J2864" s="36"/>
    </row>
    <row r="2865" spans="1:10" x14ac:dyDescent="0.25">
      <c r="A2865" s="36">
        <v>1790</v>
      </c>
      <c r="B2865" s="37">
        <v>43831</v>
      </c>
      <c r="C2865" s="36"/>
      <c r="D2865" s="36"/>
      <c r="E2865" s="36" t="s">
        <v>34</v>
      </c>
      <c r="F2865" s="38">
        <v>6012426</v>
      </c>
      <c r="G2865" s="36" t="s">
        <v>8</v>
      </c>
      <c r="H2865" s="36" t="s">
        <v>228</v>
      </c>
      <c r="I2865" s="36"/>
      <c r="J2865" s="36"/>
    </row>
    <row r="2866" spans="1:10" x14ac:dyDescent="0.25">
      <c r="A2866" s="36">
        <v>1790</v>
      </c>
      <c r="B2866" s="37">
        <v>43862</v>
      </c>
      <c r="C2866" s="36"/>
      <c r="D2866" s="36"/>
      <c r="E2866" s="36" t="s">
        <v>34</v>
      </c>
      <c r="F2866" s="38">
        <v>6012426</v>
      </c>
      <c r="G2866" s="36" t="s">
        <v>8</v>
      </c>
      <c r="H2866" s="36" t="s">
        <v>228</v>
      </c>
      <c r="I2866" s="36"/>
      <c r="J2866" s="36"/>
    </row>
    <row r="2867" spans="1:10" x14ac:dyDescent="0.25">
      <c r="A2867" s="36">
        <v>1790</v>
      </c>
      <c r="B2867" s="37">
        <v>43891</v>
      </c>
      <c r="C2867" s="36"/>
      <c r="D2867" s="36"/>
      <c r="E2867" s="36" t="s">
        <v>34</v>
      </c>
      <c r="F2867" s="38">
        <v>6012426</v>
      </c>
      <c r="G2867" s="36" t="s">
        <v>8</v>
      </c>
      <c r="H2867" s="36" t="s">
        <v>228</v>
      </c>
      <c r="I2867" s="36"/>
      <c r="J2867" s="36"/>
    </row>
    <row r="2868" spans="1:10" x14ac:dyDescent="0.25">
      <c r="A2868" s="36">
        <v>1790</v>
      </c>
      <c r="B2868" s="37">
        <v>43922</v>
      </c>
      <c r="C2868" s="36"/>
      <c r="D2868" s="36"/>
      <c r="E2868" s="36" t="s">
        <v>34</v>
      </c>
      <c r="F2868" s="38">
        <v>6012426</v>
      </c>
      <c r="G2868" s="36" t="s">
        <v>8</v>
      </c>
      <c r="H2868" s="36" t="s">
        <v>228</v>
      </c>
      <c r="I2868" s="36"/>
      <c r="J2868" s="36"/>
    </row>
    <row r="2869" spans="1:10" x14ac:dyDescent="0.25">
      <c r="A2869" s="36">
        <v>1790</v>
      </c>
      <c r="B2869" s="37">
        <v>43556</v>
      </c>
      <c r="C2869" s="36"/>
      <c r="D2869" s="36"/>
      <c r="E2869" s="36" t="s">
        <v>148</v>
      </c>
      <c r="F2869" s="38">
        <v>4941720</v>
      </c>
      <c r="G2869" s="36" t="s">
        <v>8</v>
      </c>
      <c r="H2869" s="36" t="s">
        <v>228</v>
      </c>
      <c r="I2869" s="36"/>
      <c r="J2869" s="36"/>
    </row>
    <row r="2870" spans="1:10" x14ac:dyDescent="0.25">
      <c r="A2870" s="36">
        <v>1790</v>
      </c>
      <c r="B2870" s="37">
        <v>43586</v>
      </c>
      <c r="C2870" s="36"/>
      <c r="D2870" s="36"/>
      <c r="E2870" s="36" t="s">
        <v>148</v>
      </c>
      <c r="F2870" s="38">
        <v>4941720</v>
      </c>
      <c r="G2870" s="36" t="s">
        <v>8</v>
      </c>
      <c r="H2870" s="36" t="s">
        <v>228</v>
      </c>
      <c r="I2870" s="36"/>
      <c r="J2870" s="36"/>
    </row>
    <row r="2871" spans="1:10" x14ac:dyDescent="0.25">
      <c r="A2871" s="36">
        <v>1790</v>
      </c>
      <c r="B2871" s="37">
        <v>43617</v>
      </c>
      <c r="C2871" s="36"/>
      <c r="D2871" s="36"/>
      <c r="E2871" s="36" t="s">
        <v>148</v>
      </c>
      <c r="F2871" s="38">
        <v>4941720</v>
      </c>
      <c r="G2871" s="36" t="s">
        <v>8</v>
      </c>
      <c r="H2871" s="36" t="s">
        <v>228</v>
      </c>
      <c r="I2871" s="36"/>
      <c r="J2871" s="36"/>
    </row>
    <row r="2872" spans="1:10" x14ac:dyDescent="0.25">
      <c r="A2872" s="36">
        <v>1790</v>
      </c>
      <c r="B2872" s="37">
        <v>43647</v>
      </c>
      <c r="C2872" s="36"/>
      <c r="D2872" s="36"/>
      <c r="E2872" s="36" t="s">
        <v>148</v>
      </c>
      <c r="F2872" s="38">
        <v>4941720</v>
      </c>
      <c r="G2872" s="36" t="s">
        <v>8</v>
      </c>
      <c r="H2872" s="36" t="s">
        <v>228</v>
      </c>
      <c r="I2872" s="36"/>
      <c r="J2872" s="36"/>
    </row>
    <row r="2873" spans="1:10" x14ac:dyDescent="0.25">
      <c r="A2873" s="36">
        <v>1790</v>
      </c>
      <c r="B2873" s="37">
        <v>43678</v>
      </c>
      <c r="C2873" s="36"/>
      <c r="D2873" s="36"/>
      <c r="E2873" s="36" t="s">
        <v>148</v>
      </c>
      <c r="F2873" s="38">
        <v>4941720</v>
      </c>
      <c r="G2873" s="36" t="s">
        <v>8</v>
      </c>
      <c r="H2873" s="36" t="s">
        <v>228</v>
      </c>
      <c r="I2873" s="36"/>
      <c r="J2873" s="36"/>
    </row>
    <row r="2874" spans="1:10" x14ac:dyDescent="0.25">
      <c r="A2874" s="36">
        <v>1790</v>
      </c>
      <c r="B2874" s="37">
        <v>43709</v>
      </c>
      <c r="C2874" s="36"/>
      <c r="D2874" s="36"/>
      <c r="E2874" s="36" t="s">
        <v>148</v>
      </c>
      <c r="F2874" s="38">
        <v>4941720</v>
      </c>
      <c r="G2874" s="36" t="s">
        <v>8</v>
      </c>
      <c r="H2874" s="36" t="s">
        <v>228</v>
      </c>
      <c r="I2874" s="36"/>
      <c r="J2874" s="36"/>
    </row>
    <row r="2875" spans="1:10" x14ac:dyDescent="0.25">
      <c r="A2875" s="36">
        <v>1790</v>
      </c>
      <c r="B2875" s="37">
        <v>43739</v>
      </c>
      <c r="C2875" s="36"/>
      <c r="D2875" s="36"/>
      <c r="E2875" s="36" t="s">
        <v>148</v>
      </c>
      <c r="F2875" s="38">
        <v>4941720</v>
      </c>
      <c r="G2875" s="36" t="s">
        <v>8</v>
      </c>
      <c r="H2875" s="36" t="s">
        <v>228</v>
      </c>
      <c r="I2875" s="36"/>
      <c r="J2875" s="36"/>
    </row>
    <row r="2876" spans="1:10" x14ac:dyDescent="0.25">
      <c r="A2876" s="36">
        <v>1790</v>
      </c>
      <c r="B2876" s="37">
        <v>43770</v>
      </c>
      <c r="C2876" s="36"/>
      <c r="D2876" s="36"/>
      <c r="E2876" s="36" t="s">
        <v>148</v>
      </c>
      <c r="F2876" s="38">
        <v>4941720</v>
      </c>
      <c r="G2876" s="36" t="s">
        <v>8</v>
      </c>
      <c r="H2876" s="36" t="s">
        <v>228</v>
      </c>
      <c r="I2876" s="36"/>
      <c r="J2876" s="36"/>
    </row>
    <row r="2877" spans="1:10" x14ac:dyDescent="0.25">
      <c r="A2877" s="36">
        <v>1790</v>
      </c>
      <c r="B2877" s="37">
        <v>43800</v>
      </c>
      <c r="C2877" s="36"/>
      <c r="D2877" s="36"/>
      <c r="E2877" s="36" t="s">
        <v>148</v>
      </c>
      <c r="F2877" s="38">
        <v>4941720</v>
      </c>
      <c r="G2877" s="36" t="s">
        <v>8</v>
      </c>
      <c r="H2877" s="36" t="s">
        <v>228</v>
      </c>
      <c r="I2877" s="36"/>
      <c r="J2877" s="36"/>
    </row>
    <row r="2878" spans="1:10" x14ac:dyDescent="0.25">
      <c r="A2878" s="36">
        <v>1790</v>
      </c>
      <c r="B2878" s="37">
        <v>43831</v>
      </c>
      <c r="C2878" s="36"/>
      <c r="D2878" s="36"/>
      <c r="E2878" s="36" t="s">
        <v>148</v>
      </c>
      <c r="F2878" s="38">
        <v>4941720</v>
      </c>
      <c r="G2878" s="36" t="s">
        <v>8</v>
      </c>
      <c r="H2878" s="36" t="s">
        <v>228</v>
      </c>
      <c r="I2878" s="36"/>
      <c r="J2878" s="36"/>
    </row>
    <row r="2879" spans="1:10" x14ac:dyDescent="0.25">
      <c r="A2879" s="36">
        <v>1790</v>
      </c>
      <c r="B2879" s="37">
        <v>43862</v>
      </c>
      <c r="C2879" s="36"/>
      <c r="D2879" s="36"/>
      <c r="E2879" s="36" t="s">
        <v>148</v>
      </c>
      <c r="F2879" s="38">
        <v>4941720</v>
      </c>
      <c r="G2879" s="36" t="s">
        <v>8</v>
      </c>
      <c r="H2879" s="36" t="s">
        <v>228</v>
      </c>
      <c r="I2879" s="36"/>
      <c r="J2879" s="36"/>
    </row>
    <row r="2880" spans="1:10" x14ac:dyDescent="0.25">
      <c r="A2880" s="36">
        <v>1790</v>
      </c>
      <c r="B2880" s="37">
        <v>43891</v>
      </c>
      <c r="C2880" s="36"/>
      <c r="D2880" s="36"/>
      <c r="E2880" s="36" t="s">
        <v>148</v>
      </c>
      <c r="F2880" s="38">
        <v>4941720</v>
      </c>
      <c r="G2880" s="36" t="s">
        <v>8</v>
      </c>
      <c r="H2880" s="36" t="s">
        <v>228</v>
      </c>
      <c r="I2880" s="36"/>
      <c r="J2880" s="36"/>
    </row>
    <row r="2881" spans="1:10" x14ac:dyDescent="0.25">
      <c r="A2881" s="36">
        <v>1790</v>
      </c>
      <c r="B2881" s="37">
        <v>43922</v>
      </c>
      <c r="C2881" s="36"/>
      <c r="D2881" s="36"/>
      <c r="E2881" s="36" t="s">
        <v>148</v>
      </c>
      <c r="F2881" s="38">
        <v>4941720</v>
      </c>
      <c r="G2881" s="36" t="s">
        <v>8</v>
      </c>
      <c r="H2881" s="36" t="s">
        <v>228</v>
      </c>
      <c r="I2881" s="36"/>
      <c r="J2881" s="36"/>
    </row>
    <row r="2882" spans="1:10" x14ac:dyDescent="0.25">
      <c r="A2882" s="36">
        <v>1790</v>
      </c>
      <c r="B2882" s="37">
        <v>43556</v>
      </c>
      <c r="C2882" s="36"/>
      <c r="D2882" s="36"/>
      <c r="E2882" s="36" t="s">
        <v>71</v>
      </c>
      <c r="F2882" s="38">
        <v>4612272</v>
      </c>
      <c r="G2882" s="36" t="s">
        <v>8</v>
      </c>
      <c r="H2882" s="36" t="s">
        <v>228</v>
      </c>
      <c r="I2882" s="36"/>
      <c r="J2882" s="36"/>
    </row>
    <row r="2883" spans="1:10" x14ac:dyDescent="0.25">
      <c r="A2883" s="36">
        <v>1790</v>
      </c>
      <c r="B2883" s="37">
        <v>43586</v>
      </c>
      <c r="C2883" s="36"/>
      <c r="D2883" s="36"/>
      <c r="E2883" s="36" t="s">
        <v>71</v>
      </c>
      <c r="F2883" s="38">
        <v>4612272</v>
      </c>
      <c r="G2883" s="36" t="s">
        <v>8</v>
      </c>
      <c r="H2883" s="36" t="s">
        <v>228</v>
      </c>
      <c r="I2883" s="36"/>
      <c r="J2883" s="36"/>
    </row>
    <row r="2884" spans="1:10" x14ac:dyDescent="0.25">
      <c r="A2884" s="36">
        <v>1790</v>
      </c>
      <c r="B2884" s="37">
        <v>43617</v>
      </c>
      <c r="C2884" s="36"/>
      <c r="D2884" s="36"/>
      <c r="E2884" s="36" t="s">
        <v>71</v>
      </c>
      <c r="F2884" s="38">
        <v>4612272</v>
      </c>
      <c r="G2884" s="36" t="s">
        <v>8</v>
      </c>
      <c r="H2884" s="36" t="s">
        <v>228</v>
      </c>
      <c r="I2884" s="36"/>
      <c r="J2884" s="36"/>
    </row>
    <row r="2885" spans="1:10" x14ac:dyDescent="0.25">
      <c r="A2885" s="36">
        <v>1790</v>
      </c>
      <c r="B2885" s="37">
        <v>43647</v>
      </c>
      <c r="C2885" s="36"/>
      <c r="D2885" s="36"/>
      <c r="E2885" s="36" t="s">
        <v>71</v>
      </c>
      <c r="F2885" s="38">
        <v>4612272</v>
      </c>
      <c r="G2885" s="36" t="s">
        <v>8</v>
      </c>
      <c r="H2885" s="36" t="s">
        <v>228</v>
      </c>
      <c r="I2885" s="36"/>
      <c r="J2885" s="36"/>
    </row>
    <row r="2886" spans="1:10" x14ac:dyDescent="0.25">
      <c r="A2886" s="36">
        <v>1790</v>
      </c>
      <c r="B2886" s="37">
        <v>43678</v>
      </c>
      <c r="C2886" s="36"/>
      <c r="D2886" s="36"/>
      <c r="E2886" s="36" t="s">
        <v>71</v>
      </c>
      <c r="F2886" s="38">
        <v>4612272</v>
      </c>
      <c r="G2886" s="36" t="s">
        <v>8</v>
      </c>
      <c r="H2886" s="36" t="s">
        <v>228</v>
      </c>
      <c r="I2886" s="36"/>
      <c r="J2886" s="36"/>
    </row>
    <row r="2887" spans="1:10" x14ac:dyDescent="0.25">
      <c r="A2887" s="36">
        <v>1790</v>
      </c>
      <c r="B2887" s="37">
        <v>43709</v>
      </c>
      <c r="C2887" s="36"/>
      <c r="D2887" s="36"/>
      <c r="E2887" s="36" t="s">
        <v>71</v>
      </c>
      <c r="F2887" s="38">
        <v>4612272</v>
      </c>
      <c r="G2887" s="36" t="s">
        <v>8</v>
      </c>
      <c r="H2887" s="36" t="s">
        <v>228</v>
      </c>
      <c r="I2887" s="36"/>
      <c r="J2887" s="36"/>
    </row>
    <row r="2888" spans="1:10" x14ac:dyDescent="0.25">
      <c r="A2888" s="36">
        <v>1790</v>
      </c>
      <c r="B2888" s="37">
        <v>43739</v>
      </c>
      <c r="C2888" s="36"/>
      <c r="D2888" s="36"/>
      <c r="E2888" s="36" t="s">
        <v>71</v>
      </c>
      <c r="F2888" s="38">
        <v>4612272</v>
      </c>
      <c r="G2888" s="36" t="s">
        <v>8</v>
      </c>
      <c r="H2888" s="36" t="s">
        <v>228</v>
      </c>
      <c r="I2888" s="36"/>
      <c r="J2888" s="36"/>
    </row>
    <row r="2889" spans="1:10" x14ac:dyDescent="0.25">
      <c r="A2889" s="36">
        <v>1790</v>
      </c>
      <c r="B2889" s="37">
        <v>43770</v>
      </c>
      <c r="C2889" s="36"/>
      <c r="D2889" s="36"/>
      <c r="E2889" s="36" t="s">
        <v>71</v>
      </c>
      <c r="F2889" s="38">
        <v>4612272</v>
      </c>
      <c r="G2889" s="36" t="s">
        <v>8</v>
      </c>
      <c r="H2889" s="36" t="s">
        <v>228</v>
      </c>
      <c r="I2889" s="36"/>
      <c r="J2889" s="36"/>
    </row>
    <row r="2890" spans="1:10" x14ac:dyDescent="0.25">
      <c r="A2890" s="36">
        <v>1790</v>
      </c>
      <c r="B2890" s="37">
        <v>43800</v>
      </c>
      <c r="C2890" s="36"/>
      <c r="D2890" s="36"/>
      <c r="E2890" s="36" t="s">
        <v>71</v>
      </c>
      <c r="F2890" s="38">
        <v>4612272</v>
      </c>
      <c r="G2890" s="36" t="s">
        <v>8</v>
      </c>
      <c r="H2890" s="36" t="s">
        <v>228</v>
      </c>
      <c r="I2890" s="36"/>
      <c r="J2890" s="36"/>
    </row>
    <row r="2891" spans="1:10" x14ac:dyDescent="0.25">
      <c r="A2891" s="36">
        <v>1790</v>
      </c>
      <c r="B2891" s="37">
        <v>43831</v>
      </c>
      <c r="C2891" s="36"/>
      <c r="D2891" s="36"/>
      <c r="E2891" s="36" t="s">
        <v>71</v>
      </c>
      <c r="F2891" s="38">
        <v>4612272</v>
      </c>
      <c r="G2891" s="36" t="s">
        <v>8</v>
      </c>
      <c r="H2891" s="36" t="s">
        <v>228</v>
      </c>
      <c r="I2891" s="36"/>
      <c r="J2891" s="36"/>
    </row>
    <row r="2892" spans="1:10" x14ac:dyDescent="0.25">
      <c r="A2892" s="36">
        <v>1790</v>
      </c>
      <c r="B2892" s="37">
        <v>43862</v>
      </c>
      <c r="C2892" s="36"/>
      <c r="D2892" s="36"/>
      <c r="E2892" s="36" t="s">
        <v>71</v>
      </c>
      <c r="F2892" s="38">
        <v>4612272</v>
      </c>
      <c r="G2892" s="36" t="s">
        <v>8</v>
      </c>
      <c r="H2892" s="36" t="s">
        <v>228</v>
      </c>
      <c r="I2892" s="36"/>
      <c r="J2892" s="36"/>
    </row>
    <row r="2893" spans="1:10" x14ac:dyDescent="0.25">
      <c r="A2893" s="36">
        <v>1790</v>
      </c>
      <c r="B2893" s="37">
        <v>43891</v>
      </c>
      <c r="C2893" s="36"/>
      <c r="D2893" s="36"/>
      <c r="E2893" s="36" t="s">
        <v>71</v>
      </c>
      <c r="F2893" s="38">
        <v>4612272</v>
      </c>
      <c r="G2893" s="36" t="s">
        <v>8</v>
      </c>
      <c r="H2893" s="36" t="s">
        <v>228</v>
      </c>
      <c r="I2893" s="36"/>
      <c r="J2893" s="36"/>
    </row>
    <row r="2894" spans="1:10" x14ac:dyDescent="0.25">
      <c r="A2894" s="36">
        <v>1790</v>
      </c>
      <c r="B2894" s="37">
        <v>43922</v>
      </c>
      <c r="C2894" s="36"/>
      <c r="D2894" s="36"/>
      <c r="E2894" s="36" t="s">
        <v>71</v>
      </c>
      <c r="F2894" s="38">
        <v>4612272</v>
      </c>
      <c r="G2894" s="36" t="s">
        <v>8</v>
      </c>
      <c r="H2894" s="36" t="s">
        <v>228</v>
      </c>
      <c r="I2894" s="36"/>
      <c r="J2894" s="36"/>
    </row>
    <row r="2895" spans="1:10" x14ac:dyDescent="0.25">
      <c r="A2895" s="36">
        <v>1790</v>
      </c>
      <c r="B2895" s="37">
        <v>43556</v>
      </c>
      <c r="C2895" s="36"/>
      <c r="D2895" s="36"/>
      <c r="E2895" s="36" t="s">
        <v>74</v>
      </c>
      <c r="F2895" s="38">
        <v>3669727.95</v>
      </c>
      <c r="G2895" s="36" t="s">
        <v>8</v>
      </c>
      <c r="H2895" s="36" t="s">
        <v>228</v>
      </c>
      <c r="I2895" s="36"/>
      <c r="J2895" s="36"/>
    </row>
    <row r="2896" spans="1:10" x14ac:dyDescent="0.25">
      <c r="A2896" s="36">
        <v>1790</v>
      </c>
      <c r="B2896" s="37">
        <v>43586</v>
      </c>
      <c r="C2896" s="36"/>
      <c r="D2896" s="36"/>
      <c r="E2896" s="36" t="s">
        <v>74</v>
      </c>
      <c r="F2896" s="38">
        <v>3669727.95</v>
      </c>
      <c r="G2896" s="36" t="s">
        <v>8</v>
      </c>
      <c r="H2896" s="36" t="s">
        <v>228</v>
      </c>
      <c r="I2896" s="36"/>
      <c r="J2896" s="36"/>
    </row>
    <row r="2897" spans="1:10" x14ac:dyDescent="0.25">
      <c r="A2897" s="36">
        <v>1790</v>
      </c>
      <c r="B2897" s="37">
        <v>43617</v>
      </c>
      <c r="C2897" s="36"/>
      <c r="D2897" s="36"/>
      <c r="E2897" s="36" t="s">
        <v>74</v>
      </c>
      <c r="F2897" s="38">
        <v>3669727.95</v>
      </c>
      <c r="G2897" s="36" t="s">
        <v>8</v>
      </c>
      <c r="H2897" s="36" t="s">
        <v>228</v>
      </c>
      <c r="I2897" s="36"/>
      <c r="J2897" s="36"/>
    </row>
    <row r="2898" spans="1:10" x14ac:dyDescent="0.25">
      <c r="A2898" s="36">
        <v>1790</v>
      </c>
      <c r="B2898" s="37">
        <v>43647</v>
      </c>
      <c r="C2898" s="36"/>
      <c r="D2898" s="36"/>
      <c r="E2898" s="36" t="s">
        <v>74</v>
      </c>
      <c r="F2898" s="38">
        <v>3669727.95</v>
      </c>
      <c r="G2898" s="36" t="s">
        <v>8</v>
      </c>
      <c r="H2898" s="36" t="s">
        <v>228</v>
      </c>
      <c r="I2898" s="36"/>
      <c r="J2898" s="36"/>
    </row>
    <row r="2899" spans="1:10" x14ac:dyDescent="0.25">
      <c r="A2899" s="36">
        <v>1790</v>
      </c>
      <c r="B2899" s="37">
        <v>43678</v>
      </c>
      <c r="C2899" s="36"/>
      <c r="D2899" s="36"/>
      <c r="E2899" s="36" t="s">
        <v>74</v>
      </c>
      <c r="F2899" s="38">
        <v>3669727.95</v>
      </c>
      <c r="G2899" s="36" t="s">
        <v>8</v>
      </c>
      <c r="H2899" s="36" t="s">
        <v>228</v>
      </c>
      <c r="I2899" s="36"/>
      <c r="J2899" s="36"/>
    </row>
    <row r="2900" spans="1:10" x14ac:dyDescent="0.25">
      <c r="A2900" s="36">
        <v>1790</v>
      </c>
      <c r="B2900" s="37">
        <v>43709</v>
      </c>
      <c r="C2900" s="36"/>
      <c r="D2900" s="36"/>
      <c r="E2900" s="36" t="s">
        <v>74</v>
      </c>
      <c r="F2900" s="38">
        <v>3669727.95</v>
      </c>
      <c r="G2900" s="36" t="s">
        <v>8</v>
      </c>
      <c r="H2900" s="36" t="s">
        <v>228</v>
      </c>
      <c r="I2900" s="36"/>
      <c r="J2900" s="36"/>
    </row>
    <row r="2901" spans="1:10" x14ac:dyDescent="0.25">
      <c r="A2901" s="36">
        <v>1790</v>
      </c>
      <c r="B2901" s="37">
        <v>43739</v>
      </c>
      <c r="C2901" s="36"/>
      <c r="D2901" s="36"/>
      <c r="E2901" s="36" t="s">
        <v>74</v>
      </c>
      <c r="F2901" s="38">
        <v>3669727.95</v>
      </c>
      <c r="G2901" s="36" t="s">
        <v>8</v>
      </c>
      <c r="H2901" s="36" t="s">
        <v>228</v>
      </c>
      <c r="I2901" s="36"/>
      <c r="J2901" s="36"/>
    </row>
    <row r="2902" spans="1:10" x14ac:dyDescent="0.25">
      <c r="A2902" s="36">
        <v>1790</v>
      </c>
      <c r="B2902" s="37">
        <v>43770</v>
      </c>
      <c r="C2902" s="36"/>
      <c r="D2902" s="36"/>
      <c r="E2902" s="36" t="s">
        <v>74</v>
      </c>
      <c r="F2902" s="38">
        <v>3669727.95</v>
      </c>
      <c r="G2902" s="36" t="s">
        <v>8</v>
      </c>
      <c r="H2902" s="36" t="s">
        <v>228</v>
      </c>
      <c r="I2902" s="36"/>
      <c r="J2902" s="36"/>
    </row>
    <row r="2903" spans="1:10" x14ac:dyDescent="0.25">
      <c r="A2903" s="36">
        <v>1790</v>
      </c>
      <c r="B2903" s="37">
        <v>43800</v>
      </c>
      <c r="C2903" s="36"/>
      <c r="D2903" s="36"/>
      <c r="E2903" s="36" t="s">
        <v>74</v>
      </c>
      <c r="F2903" s="38">
        <v>3669727.95</v>
      </c>
      <c r="G2903" s="36" t="s">
        <v>8</v>
      </c>
      <c r="H2903" s="36" t="s">
        <v>228</v>
      </c>
      <c r="I2903" s="36"/>
      <c r="J2903" s="36"/>
    </row>
    <row r="2904" spans="1:10" x14ac:dyDescent="0.25">
      <c r="A2904" s="36">
        <v>1790</v>
      </c>
      <c r="B2904" s="37">
        <v>43831</v>
      </c>
      <c r="C2904" s="36"/>
      <c r="D2904" s="36"/>
      <c r="E2904" s="36" t="s">
        <v>74</v>
      </c>
      <c r="F2904" s="38">
        <v>3669727.95</v>
      </c>
      <c r="G2904" s="36" t="s">
        <v>8</v>
      </c>
      <c r="H2904" s="36" t="s">
        <v>228</v>
      </c>
      <c r="I2904" s="36"/>
      <c r="J2904" s="36"/>
    </row>
    <row r="2905" spans="1:10" x14ac:dyDescent="0.25">
      <c r="A2905" s="36">
        <v>1790</v>
      </c>
      <c r="B2905" s="37">
        <v>43862</v>
      </c>
      <c r="C2905" s="36"/>
      <c r="D2905" s="36"/>
      <c r="E2905" s="36" t="s">
        <v>74</v>
      </c>
      <c r="F2905" s="38">
        <v>3669727.95</v>
      </c>
      <c r="G2905" s="36" t="s">
        <v>8</v>
      </c>
      <c r="H2905" s="36" t="s">
        <v>228</v>
      </c>
      <c r="I2905" s="36"/>
      <c r="J2905" s="36"/>
    </row>
    <row r="2906" spans="1:10" x14ac:dyDescent="0.25">
      <c r="A2906" s="36">
        <v>1790</v>
      </c>
      <c r="B2906" s="37">
        <v>43891</v>
      </c>
      <c r="C2906" s="36"/>
      <c r="D2906" s="36"/>
      <c r="E2906" s="36" t="s">
        <v>74</v>
      </c>
      <c r="F2906" s="38">
        <v>3669727.95</v>
      </c>
      <c r="G2906" s="36" t="s">
        <v>8</v>
      </c>
      <c r="H2906" s="36" t="s">
        <v>228</v>
      </c>
      <c r="I2906" s="36"/>
      <c r="J2906" s="36"/>
    </row>
    <row r="2907" spans="1:10" x14ac:dyDescent="0.25">
      <c r="A2907" s="36">
        <v>1790</v>
      </c>
      <c r="B2907" s="37">
        <v>43922</v>
      </c>
      <c r="C2907" s="36"/>
      <c r="D2907" s="36"/>
      <c r="E2907" s="36" t="s">
        <v>74</v>
      </c>
      <c r="F2907" s="38">
        <v>3669727.95</v>
      </c>
      <c r="G2907" s="36" t="s">
        <v>8</v>
      </c>
      <c r="H2907" s="36" t="s">
        <v>228</v>
      </c>
      <c r="I2907" s="36"/>
      <c r="J2907" s="36"/>
    </row>
    <row r="2908" spans="1:10" x14ac:dyDescent="0.25">
      <c r="A2908" s="36">
        <v>1790</v>
      </c>
      <c r="B2908" s="37">
        <v>43556</v>
      </c>
      <c r="C2908" s="36"/>
      <c r="D2908" s="36"/>
      <c r="E2908" s="36" t="s">
        <v>82</v>
      </c>
      <c r="F2908" s="38">
        <v>3678242.4</v>
      </c>
      <c r="G2908" s="36" t="s">
        <v>8</v>
      </c>
      <c r="H2908" s="36" t="s">
        <v>228</v>
      </c>
      <c r="I2908" s="36"/>
      <c r="J2908" s="36"/>
    </row>
    <row r="2909" spans="1:10" x14ac:dyDescent="0.25">
      <c r="A2909" s="36">
        <v>1790</v>
      </c>
      <c r="B2909" s="37">
        <v>43586</v>
      </c>
      <c r="C2909" s="36"/>
      <c r="D2909" s="36"/>
      <c r="E2909" s="36" t="s">
        <v>82</v>
      </c>
      <c r="F2909" s="38">
        <v>3678242.4</v>
      </c>
      <c r="G2909" s="36" t="s">
        <v>8</v>
      </c>
      <c r="H2909" s="36" t="s">
        <v>228</v>
      </c>
      <c r="I2909" s="36"/>
      <c r="J2909" s="36"/>
    </row>
    <row r="2910" spans="1:10" x14ac:dyDescent="0.25">
      <c r="A2910" s="36">
        <v>1790</v>
      </c>
      <c r="B2910" s="37">
        <v>43617</v>
      </c>
      <c r="C2910" s="36"/>
      <c r="D2910" s="36"/>
      <c r="E2910" s="36" t="s">
        <v>82</v>
      </c>
      <c r="F2910" s="38">
        <v>3678242.4</v>
      </c>
      <c r="G2910" s="36" t="s">
        <v>8</v>
      </c>
      <c r="H2910" s="36" t="s">
        <v>228</v>
      </c>
      <c r="I2910" s="36"/>
      <c r="J2910" s="36"/>
    </row>
    <row r="2911" spans="1:10" x14ac:dyDescent="0.25">
      <c r="A2911" s="36">
        <v>1790</v>
      </c>
      <c r="B2911" s="37">
        <v>43647</v>
      </c>
      <c r="C2911" s="36"/>
      <c r="D2911" s="36"/>
      <c r="E2911" s="36" t="s">
        <v>82</v>
      </c>
      <c r="F2911" s="38">
        <v>3678242.4</v>
      </c>
      <c r="G2911" s="36" t="s">
        <v>8</v>
      </c>
      <c r="H2911" s="36" t="s">
        <v>228</v>
      </c>
      <c r="I2911" s="36"/>
      <c r="J2911" s="36"/>
    </row>
    <row r="2912" spans="1:10" x14ac:dyDescent="0.25">
      <c r="A2912" s="36">
        <v>1790</v>
      </c>
      <c r="B2912" s="37">
        <v>43678</v>
      </c>
      <c r="C2912" s="36"/>
      <c r="D2912" s="36"/>
      <c r="E2912" s="36" t="s">
        <v>82</v>
      </c>
      <c r="F2912" s="38">
        <v>3678242.4</v>
      </c>
      <c r="G2912" s="36" t="s">
        <v>8</v>
      </c>
      <c r="H2912" s="36" t="s">
        <v>228</v>
      </c>
      <c r="I2912" s="36"/>
      <c r="J2912" s="36"/>
    </row>
    <row r="2913" spans="1:10" x14ac:dyDescent="0.25">
      <c r="A2913" s="36">
        <v>1790</v>
      </c>
      <c r="B2913" s="37">
        <v>43709</v>
      </c>
      <c r="C2913" s="36"/>
      <c r="D2913" s="36"/>
      <c r="E2913" s="36" t="s">
        <v>82</v>
      </c>
      <c r="F2913" s="38">
        <v>3678242.4</v>
      </c>
      <c r="G2913" s="36" t="s">
        <v>8</v>
      </c>
      <c r="H2913" s="36" t="s">
        <v>228</v>
      </c>
      <c r="I2913" s="36"/>
      <c r="J2913" s="36"/>
    </row>
    <row r="2914" spans="1:10" x14ac:dyDescent="0.25">
      <c r="A2914" s="36">
        <v>1790</v>
      </c>
      <c r="B2914" s="37">
        <v>43739</v>
      </c>
      <c r="C2914" s="36"/>
      <c r="D2914" s="36"/>
      <c r="E2914" s="36" t="s">
        <v>82</v>
      </c>
      <c r="F2914" s="38">
        <v>3678242.4</v>
      </c>
      <c r="G2914" s="36" t="s">
        <v>8</v>
      </c>
      <c r="H2914" s="36" t="s">
        <v>228</v>
      </c>
      <c r="I2914" s="36"/>
      <c r="J2914" s="36"/>
    </row>
    <row r="2915" spans="1:10" x14ac:dyDescent="0.25">
      <c r="A2915" s="36">
        <v>1790</v>
      </c>
      <c r="B2915" s="37">
        <v>43770</v>
      </c>
      <c r="C2915" s="36"/>
      <c r="D2915" s="36"/>
      <c r="E2915" s="36" t="s">
        <v>82</v>
      </c>
      <c r="F2915" s="38">
        <v>3678242.4</v>
      </c>
      <c r="G2915" s="36" t="s">
        <v>8</v>
      </c>
      <c r="H2915" s="36" t="s">
        <v>228</v>
      </c>
      <c r="I2915" s="36"/>
      <c r="J2915" s="36"/>
    </row>
    <row r="2916" spans="1:10" x14ac:dyDescent="0.25">
      <c r="A2916" s="36">
        <v>1790</v>
      </c>
      <c r="B2916" s="37">
        <v>43800</v>
      </c>
      <c r="C2916" s="36"/>
      <c r="D2916" s="36"/>
      <c r="E2916" s="36" t="s">
        <v>82</v>
      </c>
      <c r="F2916" s="38">
        <v>3678242.4</v>
      </c>
      <c r="G2916" s="36" t="s">
        <v>8</v>
      </c>
      <c r="H2916" s="36" t="s">
        <v>228</v>
      </c>
      <c r="I2916" s="36"/>
      <c r="J2916" s="36"/>
    </row>
    <row r="2917" spans="1:10" x14ac:dyDescent="0.25">
      <c r="A2917" s="36">
        <v>1790</v>
      </c>
      <c r="B2917" s="37">
        <v>43831</v>
      </c>
      <c r="C2917" s="36"/>
      <c r="D2917" s="36"/>
      <c r="E2917" s="36" t="s">
        <v>82</v>
      </c>
      <c r="F2917" s="38">
        <v>3678242.4</v>
      </c>
      <c r="G2917" s="36" t="s">
        <v>8</v>
      </c>
      <c r="H2917" s="36" t="s">
        <v>228</v>
      </c>
      <c r="I2917" s="36"/>
      <c r="J2917" s="36"/>
    </row>
    <row r="2918" spans="1:10" x14ac:dyDescent="0.25">
      <c r="A2918" s="36">
        <v>1790</v>
      </c>
      <c r="B2918" s="37">
        <v>43862</v>
      </c>
      <c r="C2918" s="36"/>
      <c r="D2918" s="36"/>
      <c r="E2918" s="36" t="s">
        <v>82</v>
      </c>
      <c r="F2918" s="38">
        <v>3678242.4</v>
      </c>
      <c r="G2918" s="36" t="s">
        <v>8</v>
      </c>
      <c r="H2918" s="36" t="s">
        <v>228</v>
      </c>
      <c r="I2918" s="36"/>
      <c r="J2918" s="36"/>
    </row>
    <row r="2919" spans="1:10" x14ac:dyDescent="0.25">
      <c r="A2919" s="36">
        <v>1790</v>
      </c>
      <c r="B2919" s="37">
        <v>43891</v>
      </c>
      <c r="C2919" s="36"/>
      <c r="D2919" s="36"/>
      <c r="E2919" s="36" t="s">
        <v>82</v>
      </c>
      <c r="F2919" s="38">
        <v>3678242.4</v>
      </c>
      <c r="G2919" s="36" t="s">
        <v>8</v>
      </c>
      <c r="H2919" s="36" t="s">
        <v>228</v>
      </c>
      <c r="I2919" s="36"/>
      <c r="J2919" s="36"/>
    </row>
    <row r="2920" spans="1:10" x14ac:dyDescent="0.25">
      <c r="A2920" s="36">
        <v>1790</v>
      </c>
      <c r="B2920" s="37">
        <v>43922</v>
      </c>
      <c r="C2920" s="36"/>
      <c r="D2920" s="36"/>
      <c r="E2920" s="36" t="s">
        <v>82</v>
      </c>
      <c r="F2920" s="38">
        <v>3678242.4</v>
      </c>
      <c r="G2920" s="36" t="s">
        <v>8</v>
      </c>
      <c r="H2920" s="36" t="s">
        <v>228</v>
      </c>
      <c r="I2920" s="36"/>
      <c r="J2920" s="36"/>
    </row>
    <row r="2921" spans="1:10" x14ac:dyDescent="0.25">
      <c r="A2921" s="36">
        <v>1790</v>
      </c>
      <c r="B2921" s="37">
        <v>43556</v>
      </c>
      <c r="C2921" s="36"/>
      <c r="D2921" s="36"/>
      <c r="E2921" s="36" t="s">
        <v>149</v>
      </c>
      <c r="F2921" s="38">
        <v>3678242.4</v>
      </c>
      <c r="G2921" s="36" t="s">
        <v>8</v>
      </c>
      <c r="H2921" s="36" t="s">
        <v>228</v>
      </c>
      <c r="I2921" s="36"/>
      <c r="J2921" s="36"/>
    </row>
    <row r="2922" spans="1:10" x14ac:dyDescent="0.25">
      <c r="A2922" s="36">
        <v>1790</v>
      </c>
      <c r="B2922" s="37">
        <v>43586</v>
      </c>
      <c r="C2922" s="36"/>
      <c r="D2922" s="36"/>
      <c r="E2922" s="36" t="s">
        <v>149</v>
      </c>
      <c r="F2922" s="38">
        <v>3678242.4</v>
      </c>
      <c r="G2922" s="36" t="s">
        <v>8</v>
      </c>
      <c r="H2922" s="36" t="s">
        <v>228</v>
      </c>
      <c r="I2922" s="36"/>
      <c r="J2922" s="36"/>
    </row>
    <row r="2923" spans="1:10" x14ac:dyDescent="0.25">
      <c r="A2923" s="36">
        <v>1790</v>
      </c>
      <c r="B2923" s="37">
        <v>43617</v>
      </c>
      <c r="C2923" s="36"/>
      <c r="D2923" s="36"/>
      <c r="E2923" s="36" t="s">
        <v>149</v>
      </c>
      <c r="F2923" s="38">
        <v>3678242.4</v>
      </c>
      <c r="G2923" s="36" t="s">
        <v>8</v>
      </c>
      <c r="H2923" s="36" t="s">
        <v>228</v>
      </c>
      <c r="I2923" s="36"/>
      <c r="J2923" s="36"/>
    </row>
    <row r="2924" spans="1:10" x14ac:dyDescent="0.25">
      <c r="A2924" s="36">
        <v>1790</v>
      </c>
      <c r="B2924" s="37">
        <v>43647</v>
      </c>
      <c r="C2924" s="36"/>
      <c r="D2924" s="36"/>
      <c r="E2924" s="36" t="s">
        <v>149</v>
      </c>
      <c r="F2924" s="38">
        <v>3678242.4</v>
      </c>
      <c r="G2924" s="36" t="s">
        <v>8</v>
      </c>
      <c r="H2924" s="36" t="s">
        <v>228</v>
      </c>
      <c r="I2924" s="36"/>
      <c r="J2924" s="36"/>
    </row>
    <row r="2925" spans="1:10" x14ac:dyDescent="0.25">
      <c r="A2925" s="36">
        <v>1790</v>
      </c>
      <c r="B2925" s="37">
        <v>43678</v>
      </c>
      <c r="C2925" s="36"/>
      <c r="D2925" s="36"/>
      <c r="E2925" s="36" t="s">
        <v>149</v>
      </c>
      <c r="F2925" s="38">
        <v>3678242.4</v>
      </c>
      <c r="G2925" s="36" t="s">
        <v>8</v>
      </c>
      <c r="H2925" s="36" t="s">
        <v>228</v>
      </c>
      <c r="I2925" s="36"/>
      <c r="J2925" s="36"/>
    </row>
    <row r="2926" spans="1:10" x14ac:dyDescent="0.25">
      <c r="A2926" s="36">
        <v>1790</v>
      </c>
      <c r="B2926" s="37">
        <v>43709</v>
      </c>
      <c r="C2926" s="36"/>
      <c r="D2926" s="36"/>
      <c r="E2926" s="36" t="s">
        <v>149</v>
      </c>
      <c r="F2926" s="38">
        <v>3678242.4</v>
      </c>
      <c r="G2926" s="36" t="s">
        <v>8</v>
      </c>
      <c r="H2926" s="36" t="s">
        <v>228</v>
      </c>
      <c r="I2926" s="36"/>
      <c r="J2926" s="36"/>
    </row>
    <row r="2927" spans="1:10" x14ac:dyDescent="0.25">
      <c r="A2927" s="36">
        <v>1790</v>
      </c>
      <c r="B2927" s="37">
        <v>43739</v>
      </c>
      <c r="C2927" s="36"/>
      <c r="D2927" s="36"/>
      <c r="E2927" s="36" t="s">
        <v>149</v>
      </c>
      <c r="F2927" s="38">
        <v>3678242.4</v>
      </c>
      <c r="G2927" s="36" t="s">
        <v>8</v>
      </c>
      <c r="H2927" s="36" t="s">
        <v>228</v>
      </c>
      <c r="I2927" s="36"/>
      <c r="J2927" s="36"/>
    </row>
    <row r="2928" spans="1:10" x14ac:dyDescent="0.25">
      <c r="A2928" s="36">
        <v>1790</v>
      </c>
      <c r="B2928" s="37">
        <v>43770</v>
      </c>
      <c r="C2928" s="36"/>
      <c r="D2928" s="36"/>
      <c r="E2928" s="36" t="s">
        <v>149</v>
      </c>
      <c r="F2928" s="38">
        <v>3678242.4</v>
      </c>
      <c r="G2928" s="36" t="s">
        <v>8</v>
      </c>
      <c r="H2928" s="36" t="s">
        <v>228</v>
      </c>
      <c r="I2928" s="36"/>
      <c r="J2928" s="36"/>
    </row>
    <row r="2929" spans="1:10" x14ac:dyDescent="0.25">
      <c r="A2929" s="36">
        <v>1790</v>
      </c>
      <c r="B2929" s="37">
        <v>43800</v>
      </c>
      <c r="C2929" s="36"/>
      <c r="D2929" s="36"/>
      <c r="E2929" s="36" t="s">
        <v>149</v>
      </c>
      <c r="F2929" s="38">
        <v>3678242.4</v>
      </c>
      <c r="G2929" s="36" t="s">
        <v>8</v>
      </c>
      <c r="H2929" s="36" t="s">
        <v>228</v>
      </c>
      <c r="I2929" s="36"/>
      <c r="J2929" s="36"/>
    </row>
    <row r="2930" spans="1:10" x14ac:dyDescent="0.25">
      <c r="A2930" s="36">
        <v>1507</v>
      </c>
      <c r="B2930" s="37">
        <v>43617</v>
      </c>
      <c r="C2930" s="36"/>
      <c r="D2930" s="36"/>
      <c r="E2930" s="36" t="s">
        <v>135</v>
      </c>
      <c r="F2930" s="38">
        <v>577000000</v>
      </c>
      <c r="G2930" s="36" t="s">
        <v>8</v>
      </c>
      <c r="H2930" s="36" t="s">
        <v>8</v>
      </c>
      <c r="I2930" s="36"/>
      <c r="J2930" s="36"/>
    </row>
    <row r="2931" spans="1:10" x14ac:dyDescent="0.25">
      <c r="A2931" s="36">
        <v>1580</v>
      </c>
      <c r="B2931" s="37">
        <v>43466</v>
      </c>
      <c r="C2931" s="36"/>
      <c r="D2931" s="36"/>
      <c r="E2931" s="36" t="s">
        <v>135</v>
      </c>
      <c r="F2931" s="38">
        <v>29400000</v>
      </c>
      <c r="G2931" s="36" t="s">
        <v>8</v>
      </c>
      <c r="H2931" s="36" t="s">
        <v>228</v>
      </c>
      <c r="I2931" s="36"/>
      <c r="J2931" s="36"/>
    </row>
    <row r="2932" spans="1:10" x14ac:dyDescent="0.25">
      <c r="A2932" s="36">
        <v>1580</v>
      </c>
      <c r="B2932" s="37">
        <v>43497</v>
      </c>
      <c r="C2932" s="36"/>
      <c r="D2932" s="36"/>
      <c r="E2932" s="36" t="s">
        <v>135</v>
      </c>
      <c r="F2932" s="38">
        <v>29400000</v>
      </c>
      <c r="G2932" s="36" t="s">
        <v>8</v>
      </c>
      <c r="H2932" s="36" t="s">
        <v>228</v>
      </c>
      <c r="I2932" s="36"/>
      <c r="J2932" s="36"/>
    </row>
    <row r="2933" spans="1:10" x14ac:dyDescent="0.25">
      <c r="A2933" s="36">
        <v>1580</v>
      </c>
      <c r="B2933" s="37">
        <v>43525</v>
      </c>
      <c r="C2933" s="36"/>
      <c r="D2933" s="36"/>
      <c r="E2933" s="36" t="s">
        <v>135</v>
      </c>
      <c r="F2933" s="38">
        <v>29400000</v>
      </c>
      <c r="G2933" s="36" t="s">
        <v>8</v>
      </c>
      <c r="H2933" s="36" t="s">
        <v>228</v>
      </c>
      <c r="I2933" s="36"/>
      <c r="J2933" s="36"/>
    </row>
    <row r="2934" spans="1:10" x14ac:dyDescent="0.25">
      <c r="A2934" s="36">
        <v>1580</v>
      </c>
      <c r="B2934" s="37">
        <v>43556</v>
      </c>
      <c r="C2934" s="36"/>
      <c r="D2934" s="36"/>
      <c r="E2934" s="36" t="s">
        <v>135</v>
      </c>
      <c r="F2934" s="38">
        <v>29400000</v>
      </c>
      <c r="G2934" s="36" t="s">
        <v>8</v>
      </c>
      <c r="H2934" s="36" t="s">
        <v>228</v>
      </c>
      <c r="I2934" s="36"/>
      <c r="J2934" s="36"/>
    </row>
    <row r="2935" spans="1:10" x14ac:dyDescent="0.25">
      <c r="A2935" s="36">
        <v>1580</v>
      </c>
      <c r="B2935" s="37">
        <v>43586</v>
      </c>
      <c r="C2935" s="36"/>
      <c r="D2935" s="36"/>
      <c r="E2935" s="36" t="s">
        <v>135</v>
      </c>
      <c r="F2935" s="38">
        <v>29400000</v>
      </c>
      <c r="G2935" s="36" t="s">
        <v>8</v>
      </c>
      <c r="H2935" s="36" t="s">
        <v>228</v>
      </c>
      <c r="I2935" s="36"/>
      <c r="J2935" s="36"/>
    </row>
    <row r="2936" spans="1:10" x14ac:dyDescent="0.25">
      <c r="A2936" s="36">
        <v>1580</v>
      </c>
      <c r="B2936" s="37">
        <v>43617</v>
      </c>
      <c r="C2936" s="36"/>
      <c r="D2936" s="36"/>
      <c r="E2936" s="36" t="s">
        <v>135</v>
      </c>
      <c r="F2936" s="38">
        <v>29400000</v>
      </c>
      <c r="G2936" s="36" t="s">
        <v>8</v>
      </c>
      <c r="H2936" s="36" t="s">
        <v>228</v>
      </c>
      <c r="I2936" s="36"/>
      <c r="J2936" s="36"/>
    </row>
    <row r="2937" spans="1:10" x14ac:dyDescent="0.25">
      <c r="A2937" s="36">
        <v>1580</v>
      </c>
      <c r="B2937" s="37">
        <v>43647</v>
      </c>
      <c r="C2937" s="36"/>
      <c r="D2937" s="36"/>
      <c r="E2937" s="36" t="s">
        <v>135</v>
      </c>
      <c r="F2937" s="38">
        <v>29400000</v>
      </c>
      <c r="G2937" s="36" t="s">
        <v>8</v>
      </c>
      <c r="H2937" s="36" t="s">
        <v>228</v>
      </c>
      <c r="I2937" s="36"/>
      <c r="J2937" s="36"/>
    </row>
    <row r="2938" spans="1:10" x14ac:dyDescent="0.25">
      <c r="A2938" s="36">
        <v>1580</v>
      </c>
      <c r="B2938" s="37">
        <v>43678</v>
      </c>
      <c r="C2938" s="36"/>
      <c r="D2938" s="36"/>
      <c r="E2938" s="36" t="s">
        <v>135</v>
      </c>
      <c r="F2938" s="38">
        <v>29400000</v>
      </c>
      <c r="G2938" s="36" t="s">
        <v>8</v>
      </c>
      <c r="H2938" s="36" t="s">
        <v>228</v>
      </c>
      <c r="I2938" s="36"/>
      <c r="J2938" s="36"/>
    </row>
    <row r="2939" spans="1:10" x14ac:dyDescent="0.25">
      <c r="A2939" s="36">
        <v>1580</v>
      </c>
      <c r="B2939" s="37">
        <v>43709</v>
      </c>
      <c r="C2939" s="36"/>
      <c r="D2939" s="36"/>
      <c r="E2939" s="36" t="s">
        <v>135</v>
      </c>
      <c r="F2939" s="38">
        <v>29400000</v>
      </c>
      <c r="G2939" s="36" t="s">
        <v>8</v>
      </c>
      <c r="H2939" s="36" t="s">
        <v>228</v>
      </c>
      <c r="I2939" s="36"/>
      <c r="J2939" s="36"/>
    </row>
    <row r="2940" spans="1:10" x14ac:dyDescent="0.25">
      <c r="A2940" s="36">
        <v>1580</v>
      </c>
      <c r="B2940" s="37">
        <v>43739</v>
      </c>
      <c r="C2940" s="36"/>
      <c r="D2940" s="36"/>
      <c r="E2940" s="36" t="s">
        <v>135</v>
      </c>
      <c r="F2940" s="38">
        <v>29400000</v>
      </c>
      <c r="G2940" s="36" t="s">
        <v>8</v>
      </c>
      <c r="H2940" s="36" t="s">
        <v>228</v>
      </c>
      <c r="I2940" s="36"/>
      <c r="J2940" s="36"/>
    </row>
    <row r="2941" spans="1:10" x14ac:dyDescent="0.25">
      <c r="A2941" s="36">
        <v>1580</v>
      </c>
      <c r="B2941" s="37">
        <v>43770</v>
      </c>
      <c r="C2941" s="36"/>
      <c r="D2941" s="36"/>
      <c r="E2941" s="36" t="s">
        <v>135</v>
      </c>
      <c r="F2941" s="38">
        <v>29400000</v>
      </c>
      <c r="G2941" s="36" t="s">
        <v>8</v>
      </c>
      <c r="H2941" s="36" t="s">
        <v>228</v>
      </c>
      <c r="I2941" s="36"/>
      <c r="J2941" s="36"/>
    </row>
    <row r="2942" spans="1:10" x14ac:dyDescent="0.25">
      <c r="A2942" s="36">
        <v>1580</v>
      </c>
      <c r="B2942" s="37">
        <v>43800</v>
      </c>
      <c r="C2942" s="36"/>
      <c r="D2942" s="36"/>
      <c r="E2942" s="36" t="s">
        <v>135</v>
      </c>
      <c r="F2942" s="38">
        <v>29400000</v>
      </c>
      <c r="G2942" s="36" t="s">
        <v>8</v>
      </c>
      <c r="H2942" s="36" t="s">
        <v>228</v>
      </c>
      <c r="I2942" s="36"/>
      <c r="J2942" s="36"/>
    </row>
    <row r="2943" spans="1:10" x14ac:dyDescent="0.25">
      <c r="A2943" s="36">
        <v>1580</v>
      </c>
      <c r="B2943" s="37">
        <v>43831</v>
      </c>
      <c r="C2943" s="36"/>
      <c r="D2943" s="36"/>
      <c r="E2943" s="36" t="s">
        <v>135</v>
      </c>
      <c r="F2943" s="38">
        <v>29400000</v>
      </c>
      <c r="G2943" s="36" t="s">
        <v>8</v>
      </c>
      <c r="H2943" s="36" t="s">
        <v>228</v>
      </c>
      <c r="I2943" s="36"/>
      <c r="J2943" s="36"/>
    </row>
    <row r="2944" spans="1:10" x14ac:dyDescent="0.25">
      <c r="A2944" s="36">
        <v>1580</v>
      </c>
      <c r="B2944" s="37">
        <v>43862</v>
      </c>
      <c r="C2944" s="36"/>
      <c r="D2944" s="36"/>
      <c r="E2944" s="36" t="s">
        <v>135</v>
      </c>
      <c r="F2944" s="38">
        <v>29400000</v>
      </c>
      <c r="G2944" s="36" t="s">
        <v>8</v>
      </c>
      <c r="H2944" s="36" t="s">
        <v>228</v>
      </c>
      <c r="I2944" s="36"/>
      <c r="J2944" s="36"/>
    </row>
    <row r="2945" spans="1:10" x14ac:dyDescent="0.25">
      <c r="A2945" s="36">
        <v>1596</v>
      </c>
      <c r="B2945" s="37">
        <v>43466</v>
      </c>
      <c r="C2945" s="36"/>
      <c r="D2945" s="36"/>
      <c r="E2945" s="36" t="s">
        <v>135</v>
      </c>
      <c r="F2945" s="38">
        <v>21263797.894736841</v>
      </c>
      <c r="G2945" s="36" t="s">
        <v>8</v>
      </c>
      <c r="H2945" s="36" t="s">
        <v>8</v>
      </c>
      <c r="I2945" s="36"/>
      <c r="J2945" s="36"/>
    </row>
    <row r="2946" spans="1:10" x14ac:dyDescent="0.25">
      <c r="A2946" s="36">
        <v>1596</v>
      </c>
      <c r="B2946" s="37">
        <v>43497</v>
      </c>
      <c r="C2946" s="36"/>
      <c r="D2946" s="36"/>
      <c r="E2946" s="36" t="s">
        <v>135</v>
      </c>
      <c r="F2946" s="38">
        <v>21263797.894736841</v>
      </c>
      <c r="G2946" s="36" t="s">
        <v>8</v>
      </c>
      <c r="H2946" s="36" t="s">
        <v>8</v>
      </c>
      <c r="I2946" s="36"/>
      <c r="J2946" s="36"/>
    </row>
    <row r="2947" spans="1:10" x14ac:dyDescent="0.25">
      <c r="A2947" s="36">
        <v>1596</v>
      </c>
      <c r="B2947" s="37">
        <v>43525</v>
      </c>
      <c r="C2947" s="36"/>
      <c r="D2947" s="36"/>
      <c r="E2947" s="36" t="s">
        <v>135</v>
      </c>
      <c r="F2947" s="38">
        <v>21263797.894736841</v>
      </c>
      <c r="G2947" s="36" t="s">
        <v>8</v>
      </c>
      <c r="H2947" s="36" t="s">
        <v>8</v>
      </c>
      <c r="I2947" s="36"/>
      <c r="J2947" s="36"/>
    </row>
    <row r="2948" spans="1:10" x14ac:dyDescent="0.25">
      <c r="A2948" s="36">
        <v>1596</v>
      </c>
      <c r="B2948" s="37">
        <v>43556</v>
      </c>
      <c r="C2948" s="36"/>
      <c r="D2948" s="36"/>
      <c r="E2948" s="36" t="s">
        <v>135</v>
      </c>
      <c r="F2948" s="38">
        <v>21263797.894736841</v>
      </c>
      <c r="G2948" s="36" t="s">
        <v>8</v>
      </c>
      <c r="H2948" s="36" t="s">
        <v>8</v>
      </c>
      <c r="I2948" s="36"/>
      <c r="J2948" s="36"/>
    </row>
    <row r="2949" spans="1:10" x14ac:dyDescent="0.25">
      <c r="A2949" s="36">
        <v>1596</v>
      </c>
      <c r="B2949" s="37">
        <v>43586</v>
      </c>
      <c r="C2949" s="36"/>
      <c r="D2949" s="36"/>
      <c r="E2949" s="36" t="s">
        <v>135</v>
      </c>
      <c r="F2949" s="38">
        <v>21263797.894736841</v>
      </c>
      <c r="G2949" s="36" t="s">
        <v>8</v>
      </c>
      <c r="H2949" s="36" t="s">
        <v>8</v>
      </c>
      <c r="I2949" s="36"/>
      <c r="J2949" s="36"/>
    </row>
    <row r="2950" spans="1:10" x14ac:dyDescent="0.25">
      <c r="A2950" s="36">
        <v>1596</v>
      </c>
      <c r="B2950" s="37">
        <v>43617</v>
      </c>
      <c r="C2950" s="36"/>
      <c r="D2950" s="36"/>
      <c r="E2950" s="36" t="s">
        <v>135</v>
      </c>
      <c r="F2950" s="38">
        <v>21263797.894736841</v>
      </c>
      <c r="G2950" s="36" t="s">
        <v>8</v>
      </c>
      <c r="H2950" s="36" t="s">
        <v>8</v>
      </c>
      <c r="I2950" s="36"/>
      <c r="J2950" s="36"/>
    </row>
    <row r="2951" spans="1:10" x14ac:dyDescent="0.25">
      <c r="A2951" s="36">
        <v>1689</v>
      </c>
      <c r="B2951" s="37">
        <v>43466</v>
      </c>
      <c r="C2951" s="36"/>
      <c r="D2951" s="36"/>
      <c r="E2951" s="36" t="s">
        <v>135</v>
      </c>
      <c r="F2951" s="38">
        <v>15665740</v>
      </c>
      <c r="G2951" s="36" t="s">
        <v>8</v>
      </c>
      <c r="H2951" s="36" t="s">
        <v>8</v>
      </c>
      <c r="I2951" s="36"/>
      <c r="J2951" s="36"/>
    </row>
    <row r="2952" spans="1:10" x14ac:dyDescent="0.25">
      <c r="A2952" s="36">
        <v>1689</v>
      </c>
      <c r="B2952" s="37">
        <v>43497</v>
      </c>
      <c r="C2952" s="36"/>
      <c r="D2952" s="36"/>
      <c r="E2952" s="36" t="s">
        <v>135</v>
      </c>
      <c r="F2952" s="38">
        <v>15665740</v>
      </c>
      <c r="G2952" s="36" t="s">
        <v>8</v>
      </c>
      <c r="H2952" s="36" t="s">
        <v>8</v>
      </c>
      <c r="I2952" s="36"/>
      <c r="J2952" s="36"/>
    </row>
    <row r="2953" spans="1:10" x14ac:dyDescent="0.25">
      <c r="A2953" s="36">
        <v>1689</v>
      </c>
      <c r="B2953" s="37">
        <v>43525</v>
      </c>
      <c r="C2953" s="36"/>
      <c r="D2953" s="36"/>
      <c r="E2953" s="36" t="s">
        <v>135</v>
      </c>
      <c r="F2953" s="38">
        <v>15665740</v>
      </c>
      <c r="G2953" s="36" t="s">
        <v>8</v>
      </c>
      <c r="H2953" s="36" t="s">
        <v>8</v>
      </c>
      <c r="I2953" s="36"/>
      <c r="J2953" s="36"/>
    </row>
    <row r="2954" spans="1:10" x14ac:dyDescent="0.25">
      <c r="A2954" s="36">
        <v>1689</v>
      </c>
      <c r="B2954" s="37">
        <v>43556</v>
      </c>
      <c r="C2954" s="36"/>
      <c r="D2954" s="36"/>
      <c r="E2954" s="36" t="s">
        <v>135</v>
      </c>
      <c r="F2954" s="38">
        <v>15665740</v>
      </c>
      <c r="G2954" s="36" t="s">
        <v>8</v>
      </c>
      <c r="H2954" s="36" t="s">
        <v>8</v>
      </c>
      <c r="I2954" s="36"/>
      <c r="J2954" s="36"/>
    </row>
    <row r="2955" spans="1:10" x14ac:dyDescent="0.25">
      <c r="A2955" s="36">
        <v>1689</v>
      </c>
      <c r="B2955" s="37">
        <v>43586</v>
      </c>
      <c r="C2955" s="36"/>
      <c r="D2955" s="36"/>
      <c r="E2955" s="36" t="s">
        <v>135</v>
      </c>
      <c r="F2955" s="38">
        <v>15665740</v>
      </c>
      <c r="G2955" s="36" t="s">
        <v>8</v>
      </c>
      <c r="H2955" s="36" t="s">
        <v>8</v>
      </c>
      <c r="I2955" s="36"/>
      <c r="J2955" s="36"/>
    </row>
    <row r="2956" spans="1:10" x14ac:dyDescent="0.25">
      <c r="A2956" s="36">
        <v>1689</v>
      </c>
      <c r="B2956" s="37">
        <v>43617</v>
      </c>
      <c r="C2956" s="36"/>
      <c r="D2956" s="36"/>
      <c r="E2956" s="36" t="s">
        <v>135</v>
      </c>
      <c r="F2956" s="38">
        <v>15665740</v>
      </c>
      <c r="G2956" s="36" t="s">
        <v>8</v>
      </c>
      <c r="H2956" s="36" t="s">
        <v>8</v>
      </c>
      <c r="I2956" s="36"/>
      <c r="J2956" s="36"/>
    </row>
    <row r="2957" spans="1:10" x14ac:dyDescent="0.25">
      <c r="A2957" s="36">
        <v>1689</v>
      </c>
      <c r="B2957" s="37">
        <v>43647</v>
      </c>
      <c r="C2957" s="36"/>
      <c r="D2957" s="36"/>
      <c r="E2957" s="36" t="s">
        <v>135</v>
      </c>
      <c r="F2957" s="38">
        <v>15665740</v>
      </c>
      <c r="G2957" s="36" t="s">
        <v>8</v>
      </c>
      <c r="H2957" s="36" t="s">
        <v>8</v>
      </c>
      <c r="I2957" s="36"/>
      <c r="J2957" s="36"/>
    </row>
    <row r="2958" spans="1:10" x14ac:dyDescent="0.25">
      <c r="A2958" s="36">
        <v>1689</v>
      </c>
      <c r="B2958" s="37">
        <v>43678</v>
      </c>
      <c r="C2958" s="36"/>
      <c r="D2958" s="36"/>
      <c r="E2958" s="36" t="s">
        <v>135</v>
      </c>
      <c r="F2958" s="38">
        <v>15665740</v>
      </c>
      <c r="G2958" s="36" t="s">
        <v>8</v>
      </c>
      <c r="H2958" s="36" t="s">
        <v>8</v>
      </c>
      <c r="I2958" s="36"/>
      <c r="J2958" s="36"/>
    </row>
    <row r="2959" spans="1:10" x14ac:dyDescent="0.25">
      <c r="A2959" s="36">
        <v>1689</v>
      </c>
      <c r="B2959" s="37">
        <v>43709</v>
      </c>
      <c r="C2959" s="36"/>
      <c r="D2959" s="36"/>
      <c r="E2959" s="36" t="s">
        <v>135</v>
      </c>
      <c r="F2959" s="38">
        <v>15665740</v>
      </c>
      <c r="G2959" s="36" t="s">
        <v>8</v>
      </c>
      <c r="H2959" s="36" t="s">
        <v>8</v>
      </c>
      <c r="I2959" s="36"/>
      <c r="J2959" s="36"/>
    </row>
    <row r="2960" spans="1:10" x14ac:dyDescent="0.25">
      <c r="A2960" s="36">
        <v>1744</v>
      </c>
      <c r="B2960" s="37">
        <v>43466</v>
      </c>
      <c r="C2960" s="36"/>
      <c r="D2960" s="36"/>
      <c r="E2960" s="36" t="s">
        <v>135</v>
      </c>
      <c r="F2960" s="38">
        <v>35458635</v>
      </c>
      <c r="G2960" s="36" t="s">
        <v>8</v>
      </c>
      <c r="H2960" s="36" t="s">
        <v>8</v>
      </c>
      <c r="I2960" s="36"/>
      <c r="J2960" s="36"/>
    </row>
    <row r="2961" spans="1:10" x14ac:dyDescent="0.25">
      <c r="A2961" s="36">
        <v>1744</v>
      </c>
      <c r="B2961" s="37">
        <v>43497</v>
      </c>
      <c r="C2961" s="36"/>
      <c r="D2961" s="36"/>
      <c r="E2961" s="36" t="s">
        <v>135</v>
      </c>
      <c r="F2961" s="38">
        <v>35458635</v>
      </c>
      <c r="G2961" s="36" t="s">
        <v>8</v>
      </c>
      <c r="H2961" s="36" t="s">
        <v>8</v>
      </c>
      <c r="I2961" s="36"/>
      <c r="J2961" s="36"/>
    </row>
    <row r="2962" spans="1:10" x14ac:dyDescent="0.25">
      <c r="A2962" s="36">
        <v>1744</v>
      </c>
      <c r="B2962" s="37">
        <v>43525</v>
      </c>
      <c r="C2962" s="36"/>
      <c r="D2962" s="36"/>
      <c r="E2962" s="36" t="s">
        <v>135</v>
      </c>
      <c r="F2962" s="38">
        <v>35458635</v>
      </c>
      <c r="G2962" s="36" t="s">
        <v>8</v>
      </c>
      <c r="H2962" s="36" t="s">
        <v>8</v>
      </c>
      <c r="I2962" s="36"/>
      <c r="J2962" s="36"/>
    </row>
    <row r="2963" spans="1:10" x14ac:dyDescent="0.25">
      <c r="A2963" s="36">
        <v>1744</v>
      </c>
      <c r="B2963" s="37">
        <v>43556</v>
      </c>
      <c r="C2963" s="36"/>
      <c r="D2963" s="36"/>
      <c r="E2963" s="36" t="s">
        <v>135</v>
      </c>
      <c r="F2963" s="38">
        <v>35458635</v>
      </c>
      <c r="G2963" s="36" t="s">
        <v>8</v>
      </c>
      <c r="H2963" s="36" t="s">
        <v>8</v>
      </c>
      <c r="I2963" s="36"/>
      <c r="J2963" s="36"/>
    </row>
    <row r="2964" spans="1:10" x14ac:dyDescent="0.25">
      <c r="A2964" s="36">
        <v>1744</v>
      </c>
      <c r="B2964" s="37">
        <v>43586</v>
      </c>
      <c r="C2964" s="36"/>
      <c r="D2964" s="36"/>
      <c r="E2964" s="36" t="s">
        <v>135</v>
      </c>
      <c r="F2964" s="38">
        <v>35458635</v>
      </c>
      <c r="G2964" s="36" t="s">
        <v>8</v>
      </c>
      <c r="H2964" s="36" t="s">
        <v>8</v>
      </c>
      <c r="I2964" s="36"/>
      <c r="J2964" s="36"/>
    </row>
    <row r="2965" spans="1:10" x14ac:dyDescent="0.25">
      <c r="A2965" s="36">
        <v>1744</v>
      </c>
      <c r="B2965" s="37">
        <v>43617</v>
      </c>
      <c r="C2965" s="36"/>
      <c r="D2965" s="36"/>
      <c r="E2965" s="36" t="s">
        <v>135</v>
      </c>
      <c r="F2965" s="38">
        <v>35458635</v>
      </c>
      <c r="G2965" s="36" t="s">
        <v>8</v>
      </c>
      <c r="H2965" s="36" t="s">
        <v>8</v>
      </c>
      <c r="I2965" s="36"/>
      <c r="J2965" s="36"/>
    </row>
    <row r="2966" spans="1:10" x14ac:dyDescent="0.25">
      <c r="A2966" s="36">
        <v>1744</v>
      </c>
      <c r="B2966" s="37">
        <v>43647</v>
      </c>
      <c r="C2966" s="36"/>
      <c r="D2966" s="36"/>
      <c r="E2966" s="36" t="s">
        <v>135</v>
      </c>
      <c r="F2966" s="38">
        <v>35458635</v>
      </c>
      <c r="G2966" s="36" t="s">
        <v>8</v>
      </c>
      <c r="H2966" s="36" t="s">
        <v>8</v>
      </c>
      <c r="I2966" s="36"/>
      <c r="J2966" s="36"/>
    </row>
    <row r="2967" spans="1:10" x14ac:dyDescent="0.25">
      <c r="A2967" s="36">
        <v>1744</v>
      </c>
      <c r="B2967" s="37">
        <v>43678</v>
      </c>
      <c r="C2967" s="36"/>
      <c r="D2967" s="36"/>
      <c r="E2967" s="36" t="s">
        <v>135</v>
      </c>
      <c r="F2967" s="38">
        <v>35458635</v>
      </c>
      <c r="G2967" s="36" t="s">
        <v>8</v>
      </c>
      <c r="H2967" s="36" t="s">
        <v>8</v>
      </c>
      <c r="I2967" s="36"/>
      <c r="J2967" s="36"/>
    </row>
    <row r="2968" spans="1:10" x14ac:dyDescent="0.25">
      <c r="A2968" s="36">
        <v>1751</v>
      </c>
      <c r="B2968" s="37">
        <v>43466</v>
      </c>
      <c r="C2968" s="36"/>
      <c r="D2968" s="36"/>
      <c r="E2968" s="36" t="s">
        <v>135</v>
      </c>
      <c r="F2968" s="38">
        <v>15500000</v>
      </c>
      <c r="G2968" s="36" t="s">
        <v>8</v>
      </c>
      <c r="H2968" s="36" t="s">
        <v>8</v>
      </c>
      <c r="I2968" s="36"/>
      <c r="J2968" s="36"/>
    </row>
    <row r="2969" spans="1:10" x14ac:dyDescent="0.25">
      <c r="A2969" s="36">
        <v>1751</v>
      </c>
      <c r="B2969" s="37">
        <v>43497</v>
      </c>
      <c r="C2969" s="36"/>
      <c r="D2969" s="36"/>
      <c r="E2969" s="36" t="s">
        <v>135</v>
      </c>
      <c r="F2969" s="38">
        <v>15500000</v>
      </c>
      <c r="G2969" s="36" t="s">
        <v>8</v>
      </c>
      <c r="H2969" s="36" t="s">
        <v>8</v>
      </c>
      <c r="I2969" s="36"/>
      <c r="J2969" s="36"/>
    </row>
    <row r="2970" spans="1:10" x14ac:dyDescent="0.25">
      <c r="A2970" s="36">
        <v>1753</v>
      </c>
      <c r="B2970" s="37">
        <v>43466</v>
      </c>
      <c r="C2970" s="36"/>
      <c r="D2970" s="36"/>
      <c r="E2970" s="36" t="s">
        <v>135</v>
      </c>
      <c r="F2970" s="38">
        <v>10000000</v>
      </c>
      <c r="G2970" s="36" t="s">
        <v>8</v>
      </c>
      <c r="H2970" s="36" t="s">
        <v>8</v>
      </c>
      <c r="I2970" s="36"/>
      <c r="J2970" s="36"/>
    </row>
    <row r="2971" spans="1:10" x14ac:dyDescent="0.25">
      <c r="A2971" s="36">
        <v>1756</v>
      </c>
      <c r="B2971" s="37">
        <v>43466</v>
      </c>
      <c r="C2971" s="36"/>
      <c r="D2971" s="36"/>
      <c r="E2971" s="36" t="s">
        <v>135</v>
      </c>
      <c r="F2971" s="38">
        <v>62778573</v>
      </c>
      <c r="G2971" s="36" t="s">
        <v>8</v>
      </c>
      <c r="H2971" s="36" t="s">
        <v>8</v>
      </c>
      <c r="I2971" s="36"/>
      <c r="J2971" s="36"/>
    </row>
    <row r="2972" spans="1:10" x14ac:dyDescent="0.25">
      <c r="A2972" s="36">
        <v>1756</v>
      </c>
      <c r="B2972" s="37">
        <v>43497</v>
      </c>
      <c r="C2972" s="36"/>
      <c r="D2972" s="36"/>
      <c r="E2972" s="36" t="s">
        <v>135</v>
      </c>
      <c r="F2972" s="38">
        <v>62778573</v>
      </c>
      <c r="G2972" s="36" t="s">
        <v>8</v>
      </c>
      <c r="H2972" s="36" t="s">
        <v>8</v>
      </c>
      <c r="I2972" s="36"/>
      <c r="J2972" s="36"/>
    </row>
    <row r="2973" spans="1:10" x14ac:dyDescent="0.25">
      <c r="A2973" s="36">
        <v>1756</v>
      </c>
      <c r="B2973" s="37">
        <v>43525</v>
      </c>
      <c r="C2973" s="36"/>
      <c r="D2973" s="36"/>
      <c r="E2973" s="36" t="s">
        <v>135</v>
      </c>
      <c r="F2973" s="38">
        <v>62778573</v>
      </c>
      <c r="G2973" s="36" t="s">
        <v>8</v>
      </c>
      <c r="H2973" s="36" t="s">
        <v>8</v>
      </c>
      <c r="I2973" s="36"/>
      <c r="J2973" s="36"/>
    </row>
    <row r="2974" spans="1:10" x14ac:dyDescent="0.25">
      <c r="A2974" s="36">
        <v>1756</v>
      </c>
      <c r="B2974" s="37">
        <v>43556</v>
      </c>
      <c r="C2974" s="36"/>
      <c r="D2974" s="36"/>
      <c r="E2974" s="36" t="s">
        <v>135</v>
      </c>
      <c r="F2974" s="38">
        <v>62778573</v>
      </c>
      <c r="G2974" s="36" t="s">
        <v>8</v>
      </c>
      <c r="H2974" s="36" t="s">
        <v>8</v>
      </c>
      <c r="I2974" s="36"/>
      <c r="J2974" s="36"/>
    </row>
    <row r="2975" spans="1:10" x14ac:dyDescent="0.25">
      <c r="A2975" s="36">
        <v>1756</v>
      </c>
      <c r="B2975" s="37">
        <v>43586</v>
      </c>
      <c r="C2975" s="36"/>
      <c r="D2975" s="36"/>
      <c r="E2975" s="36" t="s">
        <v>135</v>
      </c>
      <c r="F2975" s="38">
        <v>62778573</v>
      </c>
      <c r="G2975" s="36" t="s">
        <v>8</v>
      </c>
      <c r="H2975" s="36" t="s">
        <v>8</v>
      </c>
      <c r="I2975" s="36"/>
      <c r="J2975" s="36"/>
    </row>
    <row r="2976" spans="1:10" x14ac:dyDescent="0.25">
      <c r="A2976" s="36">
        <v>1758</v>
      </c>
      <c r="B2976" s="37">
        <v>43466</v>
      </c>
      <c r="C2976" s="36"/>
      <c r="D2976" s="36"/>
      <c r="E2976" s="36" t="s">
        <v>135</v>
      </c>
      <c r="F2976" s="38">
        <v>16500000</v>
      </c>
      <c r="G2976" s="36" t="s">
        <v>8</v>
      </c>
      <c r="H2976" s="36" t="s">
        <v>228</v>
      </c>
      <c r="I2976" s="36"/>
      <c r="J2976" s="36"/>
    </row>
    <row r="2977" spans="1:10" x14ac:dyDescent="0.25">
      <c r="A2977" s="36">
        <v>1758</v>
      </c>
      <c r="B2977" s="37">
        <v>43497</v>
      </c>
      <c r="C2977" s="36"/>
      <c r="D2977" s="36"/>
      <c r="E2977" s="36" t="s">
        <v>135</v>
      </c>
      <c r="F2977" s="38">
        <v>16500000</v>
      </c>
      <c r="G2977" s="36" t="s">
        <v>8</v>
      </c>
      <c r="H2977" s="36" t="s">
        <v>228</v>
      </c>
      <c r="I2977" s="36"/>
      <c r="J2977" s="36"/>
    </row>
    <row r="2978" spans="1:10" x14ac:dyDescent="0.25">
      <c r="A2978" s="36">
        <v>1758</v>
      </c>
      <c r="B2978" s="37">
        <v>43525</v>
      </c>
      <c r="C2978" s="36"/>
      <c r="D2978" s="36"/>
      <c r="E2978" s="36" t="s">
        <v>135</v>
      </c>
      <c r="F2978" s="38">
        <v>16500000</v>
      </c>
      <c r="G2978" s="36" t="s">
        <v>8</v>
      </c>
      <c r="H2978" s="36" t="s">
        <v>228</v>
      </c>
      <c r="I2978" s="36"/>
      <c r="J2978" s="36"/>
    </row>
    <row r="2979" spans="1:10" x14ac:dyDescent="0.25">
      <c r="A2979" s="36">
        <v>1758</v>
      </c>
      <c r="B2979" s="37">
        <v>43556</v>
      </c>
      <c r="C2979" s="36"/>
      <c r="D2979" s="36"/>
      <c r="E2979" s="36" t="s">
        <v>135</v>
      </c>
      <c r="F2979" s="38">
        <v>16500000</v>
      </c>
      <c r="G2979" s="36" t="s">
        <v>8</v>
      </c>
      <c r="H2979" s="36" t="s">
        <v>228</v>
      </c>
      <c r="I2979" s="36"/>
      <c r="J2979" s="36"/>
    </row>
    <row r="2980" spans="1:10" x14ac:dyDescent="0.25">
      <c r="A2980" s="36">
        <v>1758</v>
      </c>
      <c r="B2980" s="37">
        <v>43586</v>
      </c>
      <c r="C2980" s="36"/>
      <c r="D2980" s="36"/>
      <c r="E2980" s="36" t="s">
        <v>135</v>
      </c>
      <c r="F2980" s="38">
        <v>16500000</v>
      </c>
      <c r="G2980" s="36" t="s">
        <v>8</v>
      </c>
      <c r="H2980" s="36" t="s">
        <v>228</v>
      </c>
      <c r="I2980" s="36"/>
      <c r="J2980" s="36"/>
    </row>
    <row r="2981" spans="1:10" x14ac:dyDescent="0.25">
      <c r="A2981" s="36">
        <v>1758</v>
      </c>
      <c r="B2981" s="37">
        <v>43617</v>
      </c>
      <c r="C2981" s="36"/>
      <c r="D2981" s="36"/>
      <c r="E2981" s="36" t="s">
        <v>135</v>
      </c>
      <c r="F2981" s="38">
        <v>16500000</v>
      </c>
      <c r="G2981" s="36" t="s">
        <v>8</v>
      </c>
      <c r="H2981" s="36" t="s">
        <v>228</v>
      </c>
      <c r="I2981" s="36"/>
      <c r="J2981" s="36"/>
    </row>
    <row r="2982" spans="1:10" x14ac:dyDescent="0.25">
      <c r="A2982" s="36">
        <v>1758</v>
      </c>
      <c r="B2982" s="37">
        <v>43647</v>
      </c>
      <c r="C2982" s="36"/>
      <c r="D2982" s="36"/>
      <c r="E2982" s="36" t="s">
        <v>135</v>
      </c>
      <c r="F2982" s="38">
        <v>16500000</v>
      </c>
      <c r="G2982" s="36" t="s">
        <v>8</v>
      </c>
      <c r="H2982" s="36" t="s">
        <v>228</v>
      </c>
      <c r="I2982" s="36"/>
      <c r="J2982" s="36"/>
    </row>
    <row r="2983" spans="1:10" x14ac:dyDescent="0.25">
      <c r="A2983" s="36">
        <v>1758</v>
      </c>
      <c r="B2983" s="37">
        <v>43678</v>
      </c>
      <c r="C2983" s="36"/>
      <c r="D2983" s="36"/>
      <c r="E2983" s="36" t="s">
        <v>135</v>
      </c>
      <c r="F2983" s="38">
        <v>16500000</v>
      </c>
      <c r="G2983" s="36" t="s">
        <v>8</v>
      </c>
      <c r="H2983" s="36" t="s">
        <v>228</v>
      </c>
      <c r="I2983" s="36"/>
      <c r="J2983" s="36"/>
    </row>
    <row r="2984" spans="1:10" x14ac:dyDescent="0.25">
      <c r="A2984" s="36">
        <v>1758</v>
      </c>
      <c r="B2984" s="37">
        <v>43709</v>
      </c>
      <c r="C2984" s="36"/>
      <c r="D2984" s="36"/>
      <c r="E2984" s="36" t="s">
        <v>135</v>
      </c>
      <c r="F2984" s="38">
        <v>16500000</v>
      </c>
      <c r="G2984" s="36" t="s">
        <v>8</v>
      </c>
      <c r="H2984" s="36" t="s">
        <v>228</v>
      </c>
      <c r="I2984" s="36"/>
      <c r="J2984" s="36"/>
    </row>
    <row r="2985" spans="1:10" x14ac:dyDescent="0.25">
      <c r="A2985" s="36">
        <v>1758</v>
      </c>
      <c r="B2985" s="37">
        <v>43739</v>
      </c>
      <c r="C2985" s="36"/>
      <c r="D2985" s="36"/>
      <c r="E2985" s="36" t="s">
        <v>135</v>
      </c>
      <c r="F2985" s="38">
        <v>16500000</v>
      </c>
      <c r="G2985" s="36" t="s">
        <v>8</v>
      </c>
      <c r="H2985" s="36" t="s">
        <v>228</v>
      </c>
      <c r="I2985" s="36"/>
      <c r="J2985" s="36"/>
    </row>
    <row r="2986" spans="1:10" x14ac:dyDescent="0.25">
      <c r="A2986" s="36">
        <v>1758</v>
      </c>
      <c r="B2986" s="37">
        <v>43770</v>
      </c>
      <c r="C2986" s="36"/>
      <c r="D2986" s="36"/>
      <c r="E2986" s="36" t="s">
        <v>135</v>
      </c>
      <c r="F2986" s="38">
        <v>16500000</v>
      </c>
      <c r="G2986" s="36" t="s">
        <v>8</v>
      </c>
      <c r="H2986" s="36" t="s">
        <v>228</v>
      </c>
      <c r="I2986" s="36"/>
      <c r="J2986" s="36"/>
    </row>
    <row r="2987" spans="1:10" x14ac:dyDescent="0.25">
      <c r="A2987" s="36">
        <v>1758</v>
      </c>
      <c r="B2987" s="37">
        <v>43800</v>
      </c>
      <c r="C2987" s="36"/>
      <c r="D2987" s="36"/>
      <c r="E2987" s="36" t="s">
        <v>135</v>
      </c>
      <c r="F2987" s="38">
        <v>16500000</v>
      </c>
      <c r="G2987" s="36" t="s">
        <v>8</v>
      </c>
      <c r="H2987" s="36" t="s">
        <v>228</v>
      </c>
      <c r="I2987" s="36"/>
      <c r="J2987" s="36"/>
    </row>
    <row r="2988" spans="1:10" x14ac:dyDescent="0.25">
      <c r="A2988" s="36">
        <v>1789</v>
      </c>
      <c r="B2988" s="37">
        <v>43466</v>
      </c>
      <c r="C2988" s="36"/>
      <c r="D2988" s="36"/>
      <c r="E2988" s="36" t="s">
        <v>135</v>
      </c>
      <c r="F2988" s="38">
        <v>15400000</v>
      </c>
      <c r="G2988" s="36" t="s">
        <v>8</v>
      </c>
      <c r="H2988" s="36" t="s">
        <v>8</v>
      </c>
      <c r="I2988" s="36"/>
      <c r="J2988" s="36"/>
    </row>
    <row r="2989" spans="1:10" x14ac:dyDescent="0.25">
      <c r="A2989" s="36">
        <v>1802</v>
      </c>
      <c r="B2989" s="37">
        <v>43466</v>
      </c>
      <c r="C2989" s="36"/>
      <c r="D2989" s="36"/>
      <c r="E2989" s="36" t="s">
        <v>135</v>
      </c>
      <c r="F2989" s="38">
        <v>21063300</v>
      </c>
      <c r="G2989" s="36" t="s">
        <v>8</v>
      </c>
      <c r="H2989" s="36" t="s">
        <v>8</v>
      </c>
      <c r="I2989" s="36"/>
      <c r="J2989" s="36"/>
    </row>
    <row r="2990" spans="1:10" x14ac:dyDescent="0.25">
      <c r="A2990" s="36">
        <v>1802</v>
      </c>
      <c r="B2990" s="37">
        <v>43497</v>
      </c>
      <c r="C2990" s="36"/>
      <c r="D2990" s="36"/>
      <c r="E2990" s="36" t="s">
        <v>135</v>
      </c>
      <c r="F2990" s="38">
        <v>21063300</v>
      </c>
      <c r="G2990" s="36" t="s">
        <v>8</v>
      </c>
      <c r="H2990" s="36" t="s">
        <v>8</v>
      </c>
      <c r="I2990" s="36"/>
      <c r="J2990" s="36"/>
    </row>
    <row r="2991" spans="1:10" x14ac:dyDescent="0.25">
      <c r="A2991" s="36">
        <v>1802</v>
      </c>
      <c r="B2991" s="37">
        <v>43525</v>
      </c>
      <c r="C2991" s="36"/>
      <c r="D2991" s="36"/>
      <c r="E2991" s="36" t="s">
        <v>135</v>
      </c>
      <c r="F2991" s="38">
        <v>21063300</v>
      </c>
      <c r="G2991" s="36" t="s">
        <v>8</v>
      </c>
      <c r="H2991" s="36" t="s">
        <v>8</v>
      </c>
      <c r="I2991" s="36"/>
      <c r="J2991" s="36"/>
    </row>
    <row r="2992" spans="1:10" x14ac:dyDescent="0.25">
      <c r="A2992" s="36">
        <v>1802</v>
      </c>
      <c r="B2992" s="37">
        <v>43556</v>
      </c>
      <c r="C2992" s="36"/>
      <c r="D2992" s="36"/>
      <c r="E2992" s="36" t="s">
        <v>135</v>
      </c>
      <c r="F2992" s="38">
        <v>21063300</v>
      </c>
      <c r="G2992" s="36" t="s">
        <v>8</v>
      </c>
      <c r="H2992" s="36" t="s">
        <v>8</v>
      </c>
      <c r="I2992" s="36"/>
      <c r="J2992" s="36"/>
    </row>
    <row r="2993" spans="1:10" x14ac:dyDescent="0.25">
      <c r="A2993" s="36">
        <v>1802</v>
      </c>
      <c r="B2993" s="37">
        <v>43586</v>
      </c>
      <c r="C2993" s="36"/>
      <c r="D2993" s="36"/>
      <c r="E2993" s="36" t="s">
        <v>135</v>
      </c>
      <c r="F2993" s="38">
        <v>21063300</v>
      </c>
      <c r="G2993" s="36" t="s">
        <v>8</v>
      </c>
      <c r="H2993" s="36" t="s">
        <v>8</v>
      </c>
      <c r="I2993" s="36"/>
      <c r="J2993" s="36"/>
    </row>
    <row r="2994" spans="1:10" x14ac:dyDescent="0.25">
      <c r="A2994" s="36">
        <v>1802</v>
      </c>
      <c r="B2994" s="37">
        <v>43617</v>
      </c>
      <c r="C2994" s="36"/>
      <c r="D2994" s="36"/>
      <c r="E2994" s="36" t="s">
        <v>135</v>
      </c>
      <c r="F2994" s="38">
        <v>21063300</v>
      </c>
      <c r="G2994" s="36" t="s">
        <v>8</v>
      </c>
      <c r="H2994" s="36" t="s">
        <v>8</v>
      </c>
      <c r="I2994" s="36"/>
      <c r="J2994" s="36"/>
    </row>
    <row r="2995" spans="1:10" x14ac:dyDescent="0.25">
      <c r="A2995" s="36">
        <v>1802</v>
      </c>
      <c r="B2995" s="37">
        <v>43647</v>
      </c>
      <c r="C2995" s="36"/>
      <c r="D2995" s="36"/>
      <c r="E2995" s="36" t="s">
        <v>135</v>
      </c>
      <c r="F2995" s="38">
        <v>21063300</v>
      </c>
      <c r="G2995" s="36" t="s">
        <v>8</v>
      </c>
      <c r="H2995" s="36" t="s">
        <v>8</v>
      </c>
      <c r="I2995" s="36"/>
      <c r="J2995" s="36"/>
    </row>
    <row r="2996" spans="1:10" x14ac:dyDescent="0.25">
      <c r="A2996" s="36">
        <v>1802</v>
      </c>
      <c r="B2996" s="37">
        <v>43678</v>
      </c>
      <c r="C2996" s="36"/>
      <c r="D2996" s="36"/>
      <c r="E2996" s="36" t="s">
        <v>135</v>
      </c>
      <c r="F2996" s="38">
        <v>21063300</v>
      </c>
      <c r="G2996" s="36" t="s">
        <v>8</v>
      </c>
      <c r="H2996" s="36" t="s">
        <v>8</v>
      </c>
      <c r="I2996" s="36"/>
      <c r="J2996" s="36"/>
    </row>
    <row r="2997" spans="1:10" x14ac:dyDescent="0.25">
      <c r="A2997" s="36">
        <v>1802</v>
      </c>
      <c r="B2997" s="37">
        <v>43709</v>
      </c>
      <c r="C2997" s="36"/>
      <c r="D2997" s="36"/>
      <c r="E2997" s="36" t="s">
        <v>135</v>
      </c>
      <c r="F2997" s="38">
        <v>21063300</v>
      </c>
      <c r="G2997" s="36" t="s">
        <v>8</v>
      </c>
      <c r="H2997" s="36" t="s">
        <v>8</v>
      </c>
      <c r="I2997" s="36"/>
      <c r="J2997" s="36"/>
    </row>
    <row r="2998" spans="1:10" x14ac:dyDescent="0.25">
      <c r="A2998" s="36">
        <v>1802</v>
      </c>
      <c r="B2998" s="37">
        <v>43739</v>
      </c>
      <c r="C2998" s="36"/>
      <c r="D2998" s="36"/>
      <c r="E2998" s="36" t="s">
        <v>135</v>
      </c>
      <c r="F2998" s="38">
        <v>21063300</v>
      </c>
      <c r="G2998" s="36" t="s">
        <v>8</v>
      </c>
      <c r="H2998" s="36" t="s">
        <v>8</v>
      </c>
      <c r="I2998" s="36"/>
      <c r="J2998" s="36"/>
    </row>
    <row r="2999" spans="1:10" x14ac:dyDescent="0.25">
      <c r="A2999" s="36">
        <v>1802</v>
      </c>
      <c r="B2999" s="37">
        <v>43770</v>
      </c>
      <c r="C2999" s="36"/>
      <c r="D2999" s="36"/>
      <c r="E2999" s="36" t="s">
        <v>135</v>
      </c>
      <c r="F2999" s="38">
        <v>21063300</v>
      </c>
      <c r="G2999" s="36" t="s">
        <v>8</v>
      </c>
      <c r="H2999" s="36" t="s">
        <v>8</v>
      </c>
      <c r="I2999" s="36"/>
      <c r="J2999" s="36"/>
    </row>
    <row r="3000" spans="1:10" x14ac:dyDescent="0.25">
      <c r="A3000" s="36">
        <v>1802</v>
      </c>
      <c r="B3000" s="37">
        <v>43800</v>
      </c>
      <c r="C3000" s="36"/>
      <c r="D3000" s="36"/>
      <c r="E3000" s="36" t="s">
        <v>135</v>
      </c>
      <c r="F3000" s="38">
        <v>21063300</v>
      </c>
      <c r="G3000" s="36" t="s">
        <v>8</v>
      </c>
      <c r="H3000" s="36" t="s">
        <v>8</v>
      </c>
      <c r="I3000" s="36"/>
      <c r="J3000" s="36"/>
    </row>
    <row r="3001" spans="1:10" x14ac:dyDescent="0.25">
      <c r="A3001" s="36">
        <v>1802</v>
      </c>
      <c r="B3001" s="37">
        <v>43831</v>
      </c>
      <c r="C3001" s="36"/>
      <c r="D3001" s="36"/>
      <c r="E3001" s="36" t="s">
        <v>135</v>
      </c>
      <c r="F3001" s="38">
        <v>21063300</v>
      </c>
      <c r="G3001" s="36" t="s">
        <v>8</v>
      </c>
      <c r="H3001" s="36" t="s">
        <v>8</v>
      </c>
      <c r="I3001" s="36"/>
      <c r="J3001" s="36"/>
    </row>
    <row r="3002" spans="1:10" x14ac:dyDescent="0.25">
      <c r="A3002" s="36">
        <v>1802</v>
      </c>
      <c r="B3002" s="37">
        <v>43862</v>
      </c>
      <c r="C3002" s="36"/>
      <c r="D3002" s="36"/>
      <c r="E3002" s="36" t="s">
        <v>135</v>
      </c>
      <c r="F3002" s="38">
        <v>21063300</v>
      </c>
      <c r="G3002" s="36" t="s">
        <v>8</v>
      </c>
      <c r="H3002" s="36" t="s">
        <v>8</v>
      </c>
      <c r="I3002" s="36"/>
      <c r="J3002" s="36"/>
    </row>
    <row r="3003" spans="1:10" x14ac:dyDescent="0.25">
      <c r="A3003" s="36">
        <v>1804</v>
      </c>
      <c r="B3003" s="37">
        <v>43466</v>
      </c>
      <c r="C3003" s="36"/>
      <c r="D3003" s="36"/>
      <c r="E3003" s="36" t="s">
        <v>135</v>
      </c>
      <c r="F3003" s="38">
        <v>29813870</v>
      </c>
      <c r="G3003" s="36" t="s">
        <v>8</v>
      </c>
      <c r="H3003" s="36" t="s">
        <v>8</v>
      </c>
      <c r="I3003" s="36"/>
      <c r="J3003" s="36"/>
    </row>
    <row r="3004" spans="1:10" x14ac:dyDescent="0.25">
      <c r="A3004" s="36">
        <v>1813</v>
      </c>
      <c r="B3004" s="37">
        <v>43466</v>
      </c>
      <c r="C3004" s="36"/>
      <c r="D3004" s="36"/>
      <c r="E3004" s="36" t="s">
        <v>135</v>
      </c>
      <c r="F3004" s="38">
        <v>39668026.912500001</v>
      </c>
      <c r="G3004" s="36" t="s">
        <v>8</v>
      </c>
      <c r="H3004" s="36" t="s">
        <v>8</v>
      </c>
      <c r="I3004" s="36"/>
      <c r="J3004" s="36"/>
    </row>
    <row r="3005" spans="1:10" x14ac:dyDescent="0.25">
      <c r="A3005" s="36">
        <v>1813</v>
      </c>
      <c r="B3005" s="37">
        <v>43497</v>
      </c>
      <c r="C3005" s="36"/>
      <c r="D3005" s="36"/>
      <c r="E3005" s="36" t="s">
        <v>135</v>
      </c>
      <c r="F3005" s="38">
        <v>39668026.912500001</v>
      </c>
      <c r="G3005" s="36" t="s">
        <v>8</v>
      </c>
      <c r="H3005" s="36" t="s">
        <v>8</v>
      </c>
      <c r="I3005" s="36"/>
      <c r="J3005" s="36"/>
    </row>
    <row r="3006" spans="1:10" x14ac:dyDescent="0.25">
      <c r="A3006" s="36">
        <v>1813</v>
      </c>
      <c r="B3006" s="37">
        <v>43525</v>
      </c>
      <c r="C3006" s="36"/>
      <c r="D3006" s="36"/>
      <c r="E3006" s="36" t="s">
        <v>135</v>
      </c>
      <c r="F3006" s="38">
        <v>39668026.912500001</v>
      </c>
      <c r="G3006" s="36" t="s">
        <v>8</v>
      </c>
      <c r="H3006" s="36" t="s">
        <v>8</v>
      </c>
      <c r="I3006" s="36"/>
      <c r="J3006" s="36"/>
    </row>
    <row r="3007" spans="1:10" x14ac:dyDescent="0.25">
      <c r="A3007" s="36">
        <v>1813</v>
      </c>
      <c r="B3007" s="37">
        <v>43556</v>
      </c>
      <c r="C3007" s="36"/>
      <c r="D3007" s="36"/>
      <c r="E3007" s="36" t="s">
        <v>135</v>
      </c>
      <c r="F3007" s="38">
        <v>39668026.912500001</v>
      </c>
      <c r="G3007" s="36" t="s">
        <v>8</v>
      </c>
      <c r="H3007" s="36" t="s">
        <v>8</v>
      </c>
      <c r="I3007" s="36"/>
      <c r="J3007" s="36"/>
    </row>
    <row r="3008" spans="1:10" x14ac:dyDescent="0.25">
      <c r="A3008" s="36">
        <v>1813</v>
      </c>
      <c r="B3008" s="37">
        <v>43466</v>
      </c>
      <c r="C3008" s="36"/>
      <c r="D3008" s="36"/>
      <c r="E3008" s="36" t="s">
        <v>135</v>
      </c>
      <c r="F3008" s="38">
        <v>86911842.894736797</v>
      </c>
      <c r="G3008" s="36" t="s">
        <v>8</v>
      </c>
      <c r="H3008" s="36" t="s">
        <v>8</v>
      </c>
      <c r="I3008" s="36"/>
      <c r="J3008" s="36"/>
    </row>
    <row r="3009" spans="1:10" x14ac:dyDescent="0.25">
      <c r="A3009" s="36">
        <v>1813</v>
      </c>
      <c r="B3009" s="37">
        <v>43497</v>
      </c>
      <c r="C3009" s="36"/>
      <c r="D3009" s="36"/>
      <c r="E3009" s="36" t="s">
        <v>135</v>
      </c>
      <c r="F3009" s="38">
        <v>86911842.894736797</v>
      </c>
      <c r="G3009" s="36" t="s">
        <v>8</v>
      </c>
      <c r="H3009" s="36" t="s">
        <v>8</v>
      </c>
      <c r="I3009" s="36"/>
      <c r="J3009" s="36"/>
    </row>
    <row r="3010" spans="1:10" x14ac:dyDescent="0.25">
      <c r="A3010" s="36">
        <v>1813</v>
      </c>
      <c r="B3010" s="37">
        <v>43525</v>
      </c>
      <c r="C3010" s="36"/>
      <c r="D3010" s="36"/>
      <c r="E3010" s="36" t="s">
        <v>135</v>
      </c>
      <c r="F3010" s="38">
        <v>86911842.894736797</v>
      </c>
      <c r="G3010" s="36" t="s">
        <v>8</v>
      </c>
      <c r="H3010" s="36" t="s">
        <v>8</v>
      </c>
      <c r="I3010" s="36"/>
      <c r="J3010" s="36"/>
    </row>
    <row r="3011" spans="1:10" x14ac:dyDescent="0.25">
      <c r="A3011" s="36">
        <v>1813</v>
      </c>
      <c r="B3011" s="37">
        <v>43556</v>
      </c>
      <c r="C3011" s="36"/>
      <c r="D3011" s="36"/>
      <c r="E3011" s="36" t="s">
        <v>135</v>
      </c>
      <c r="F3011" s="38">
        <v>86911842.894736797</v>
      </c>
      <c r="G3011" s="36" t="s">
        <v>8</v>
      </c>
      <c r="H3011" s="36" t="s">
        <v>8</v>
      </c>
      <c r="I3011" s="36"/>
      <c r="J3011" s="36"/>
    </row>
    <row r="3012" spans="1:10" x14ac:dyDescent="0.25">
      <c r="A3012" s="36">
        <v>1818</v>
      </c>
      <c r="B3012" s="37">
        <v>43466</v>
      </c>
      <c r="C3012" s="36"/>
      <c r="D3012" s="36"/>
      <c r="E3012" s="36" t="s">
        <v>135</v>
      </c>
      <c r="F3012" s="38">
        <v>14500000</v>
      </c>
      <c r="G3012" s="36" t="s">
        <v>8</v>
      </c>
      <c r="H3012" s="36" t="s">
        <v>8</v>
      </c>
      <c r="I3012" s="36"/>
      <c r="J3012" s="36"/>
    </row>
    <row r="3013" spans="1:10" x14ac:dyDescent="0.25">
      <c r="A3013" s="36">
        <v>1818</v>
      </c>
      <c r="B3013" s="37">
        <v>43497</v>
      </c>
      <c r="C3013" s="36"/>
      <c r="D3013" s="36"/>
      <c r="E3013" s="36" t="s">
        <v>135</v>
      </c>
      <c r="F3013" s="38">
        <v>14500000</v>
      </c>
      <c r="G3013" s="36" t="s">
        <v>8</v>
      </c>
      <c r="H3013" s="36" t="s">
        <v>8</v>
      </c>
      <c r="I3013" s="36"/>
      <c r="J3013" s="36"/>
    </row>
    <row r="3014" spans="1:10" x14ac:dyDescent="0.25">
      <c r="A3014" s="36">
        <v>1818</v>
      </c>
      <c r="B3014" s="37">
        <v>43525</v>
      </c>
      <c r="C3014" s="36"/>
      <c r="D3014" s="36"/>
      <c r="E3014" s="36" t="s">
        <v>135</v>
      </c>
      <c r="F3014" s="38">
        <v>14500000</v>
      </c>
      <c r="G3014" s="36" t="s">
        <v>8</v>
      </c>
      <c r="H3014" s="36" t="s">
        <v>8</v>
      </c>
      <c r="I3014" s="36"/>
      <c r="J3014" s="36"/>
    </row>
    <row r="3015" spans="1:10" x14ac:dyDescent="0.25">
      <c r="A3015" s="36">
        <v>1818</v>
      </c>
      <c r="B3015" s="37">
        <v>43556</v>
      </c>
      <c r="C3015" s="36"/>
      <c r="D3015" s="36"/>
      <c r="E3015" s="36" t="s">
        <v>135</v>
      </c>
      <c r="F3015" s="38">
        <v>14500000</v>
      </c>
      <c r="G3015" s="36" t="s">
        <v>8</v>
      </c>
      <c r="H3015" s="36" t="s">
        <v>8</v>
      </c>
      <c r="I3015" s="36"/>
      <c r="J3015" s="36"/>
    </row>
    <row r="3016" spans="1:10" x14ac:dyDescent="0.25">
      <c r="A3016" s="36">
        <v>1818</v>
      </c>
      <c r="B3016" s="37">
        <v>43586</v>
      </c>
      <c r="C3016" s="36"/>
      <c r="D3016" s="36"/>
      <c r="E3016" s="36" t="s">
        <v>135</v>
      </c>
      <c r="F3016" s="38">
        <v>14500000</v>
      </c>
      <c r="G3016" s="36" t="s">
        <v>8</v>
      </c>
      <c r="H3016" s="36" t="s">
        <v>8</v>
      </c>
      <c r="I3016" s="36"/>
      <c r="J3016" s="36"/>
    </row>
    <row r="3017" spans="1:10" x14ac:dyDescent="0.25">
      <c r="A3017" s="36">
        <v>1818</v>
      </c>
      <c r="B3017" s="37">
        <v>43617</v>
      </c>
      <c r="C3017" s="36"/>
      <c r="D3017" s="36"/>
      <c r="E3017" s="36" t="s">
        <v>135</v>
      </c>
      <c r="F3017" s="38">
        <v>14500000</v>
      </c>
      <c r="G3017" s="36" t="s">
        <v>8</v>
      </c>
      <c r="H3017" s="36" t="s">
        <v>8</v>
      </c>
      <c r="I3017" s="36"/>
      <c r="J3017" s="36"/>
    </row>
    <row r="3018" spans="1:10" x14ac:dyDescent="0.25">
      <c r="A3018" s="36">
        <v>1818</v>
      </c>
      <c r="B3018" s="37">
        <v>43647</v>
      </c>
      <c r="C3018" s="36"/>
      <c r="D3018" s="36"/>
      <c r="E3018" s="36" t="s">
        <v>135</v>
      </c>
      <c r="F3018" s="38">
        <v>14500000</v>
      </c>
      <c r="G3018" s="36" t="s">
        <v>8</v>
      </c>
      <c r="H3018" s="36" t="s">
        <v>8</v>
      </c>
      <c r="I3018" s="36"/>
      <c r="J3018" s="36"/>
    </row>
    <row r="3019" spans="1:10" x14ac:dyDescent="0.25">
      <c r="A3019" s="36">
        <v>1818</v>
      </c>
      <c r="B3019" s="37">
        <v>43678</v>
      </c>
      <c r="C3019" s="36"/>
      <c r="D3019" s="36"/>
      <c r="E3019" s="36" t="s">
        <v>135</v>
      </c>
      <c r="F3019" s="38">
        <v>14500000</v>
      </c>
      <c r="G3019" s="36" t="s">
        <v>8</v>
      </c>
      <c r="H3019" s="36" t="s">
        <v>8</v>
      </c>
      <c r="I3019" s="36"/>
      <c r="J3019" s="36"/>
    </row>
    <row r="3020" spans="1:10" x14ac:dyDescent="0.25">
      <c r="A3020" s="36">
        <v>1818</v>
      </c>
      <c r="B3020" s="37">
        <v>43709</v>
      </c>
      <c r="C3020" s="36"/>
      <c r="D3020" s="36"/>
      <c r="E3020" s="36" t="s">
        <v>135</v>
      </c>
      <c r="F3020" s="38">
        <v>14500000</v>
      </c>
      <c r="G3020" s="36" t="s">
        <v>8</v>
      </c>
      <c r="H3020" s="36" t="s">
        <v>8</v>
      </c>
      <c r="I3020" s="36"/>
      <c r="J3020" s="36"/>
    </row>
    <row r="3021" spans="1:10" x14ac:dyDescent="0.25">
      <c r="A3021" s="36">
        <v>1818</v>
      </c>
      <c r="B3021" s="37">
        <v>43739</v>
      </c>
      <c r="C3021" s="36"/>
      <c r="D3021" s="36"/>
      <c r="E3021" s="36" t="s">
        <v>135</v>
      </c>
      <c r="F3021" s="38">
        <v>14500000</v>
      </c>
      <c r="G3021" s="36" t="s">
        <v>8</v>
      </c>
      <c r="H3021" s="36" t="s">
        <v>8</v>
      </c>
      <c r="I3021" s="36"/>
      <c r="J3021" s="36"/>
    </row>
    <row r="3022" spans="1:10" x14ac:dyDescent="0.25">
      <c r="A3022" s="36">
        <v>1818</v>
      </c>
      <c r="B3022" s="37">
        <v>43770</v>
      </c>
      <c r="C3022" s="36"/>
      <c r="D3022" s="36"/>
      <c r="E3022" s="36" t="s">
        <v>135</v>
      </c>
      <c r="F3022" s="38">
        <v>14500000</v>
      </c>
      <c r="G3022" s="36" t="s">
        <v>8</v>
      </c>
      <c r="H3022" s="36" t="s">
        <v>8</v>
      </c>
      <c r="I3022" s="36"/>
      <c r="J3022" s="36"/>
    </row>
    <row r="3023" spans="1:10" x14ac:dyDescent="0.25">
      <c r="A3023" s="36">
        <v>1818</v>
      </c>
      <c r="B3023" s="37">
        <v>43800</v>
      </c>
      <c r="C3023" s="36"/>
      <c r="D3023" s="36"/>
      <c r="E3023" s="36" t="s">
        <v>135</v>
      </c>
      <c r="F3023" s="38">
        <v>14500000</v>
      </c>
      <c r="G3023" s="36" t="s">
        <v>8</v>
      </c>
      <c r="H3023" s="36" t="s">
        <v>8</v>
      </c>
      <c r="I3023" s="36"/>
      <c r="J3023" s="36"/>
    </row>
    <row r="3024" spans="1:10" x14ac:dyDescent="0.25">
      <c r="A3024" s="36">
        <v>1829</v>
      </c>
      <c r="B3024" s="37">
        <v>43466</v>
      </c>
      <c r="C3024" s="36"/>
      <c r="D3024" s="36"/>
      <c r="E3024" s="36" t="s">
        <v>135</v>
      </c>
      <c r="F3024" s="38">
        <v>13393000</v>
      </c>
      <c r="G3024" s="36" t="s">
        <v>8</v>
      </c>
      <c r="H3024" s="36" t="s">
        <v>8</v>
      </c>
      <c r="I3024" s="36"/>
      <c r="J3024" s="36"/>
    </row>
    <row r="3025" spans="1:10" x14ac:dyDescent="0.25">
      <c r="A3025" s="36">
        <v>1829</v>
      </c>
      <c r="B3025" s="37">
        <v>43497</v>
      </c>
      <c r="C3025" s="36"/>
      <c r="D3025" s="36"/>
      <c r="E3025" s="36" t="s">
        <v>135</v>
      </c>
      <c r="F3025" s="38">
        <v>13393000</v>
      </c>
      <c r="G3025" s="36" t="s">
        <v>8</v>
      </c>
      <c r="H3025" s="36" t="s">
        <v>8</v>
      </c>
      <c r="I3025" s="36"/>
      <c r="J3025" s="36"/>
    </row>
    <row r="3026" spans="1:10" x14ac:dyDescent="0.25">
      <c r="A3026" s="36">
        <v>1829</v>
      </c>
      <c r="B3026" s="37">
        <v>43525</v>
      </c>
      <c r="C3026" s="36"/>
      <c r="D3026" s="36"/>
      <c r="E3026" s="36" t="s">
        <v>135</v>
      </c>
      <c r="F3026" s="38">
        <v>13393000</v>
      </c>
      <c r="G3026" s="36" t="s">
        <v>8</v>
      </c>
      <c r="H3026" s="36" t="s">
        <v>8</v>
      </c>
      <c r="I3026" s="36"/>
      <c r="J3026" s="36"/>
    </row>
    <row r="3027" spans="1:10" x14ac:dyDescent="0.25">
      <c r="A3027" s="36">
        <v>1829</v>
      </c>
      <c r="B3027" s="37">
        <v>43556</v>
      </c>
      <c r="C3027" s="36"/>
      <c r="D3027" s="36"/>
      <c r="E3027" s="36" t="s">
        <v>135</v>
      </c>
      <c r="F3027" s="38">
        <v>13393000</v>
      </c>
      <c r="G3027" s="36" t="s">
        <v>8</v>
      </c>
      <c r="H3027" s="36" t="s">
        <v>8</v>
      </c>
      <c r="I3027" s="36"/>
      <c r="J3027" s="36"/>
    </row>
    <row r="3028" spans="1:10" x14ac:dyDescent="0.25">
      <c r="A3028" s="36">
        <v>1829</v>
      </c>
      <c r="B3028" s="37">
        <v>43586</v>
      </c>
      <c r="C3028" s="36"/>
      <c r="D3028" s="36"/>
      <c r="E3028" s="36" t="s">
        <v>135</v>
      </c>
      <c r="F3028" s="38">
        <v>13393000</v>
      </c>
      <c r="G3028" s="36" t="s">
        <v>8</v>
      </c>
      <c r="H3028" s="36" t="s">
        <v>8</v>
      </c>
      <c r="I3028" s="36"/>
      <c r="J3028" s="36"/>
    </row>
    <row r="3029" spans="1:10" x14ac:dyDescent="0.25">
      <c r="A3029" s="36">
        <v>1829</v>
      </c>
      <c r="B3029" s="37">
        <v>43617</v>
      </c>
      <c r="C3029" s="36"/>
      <c r="D3029" s="36"/>
      <c r="E3029" s="36" t="s">
        <v>135</v>
      </c>
      <c r="F3029" s="38">
        <v>13393000</v>
      </c>
      <c r="G3029" s="36" t="s">
        <v>8</v>
      </c>
      <c r="H3029" s="36" t="s">
        <v>8</v>
      </c>
      <c r="I3029" s="36"/>
      <c r="J3029" s="36"/>
    </row>
    <row r="3030" spans="1:10" x14ac:dyDescent="0.25">
      <c r="A3030" s="36">
        <v>1829</v>
      </c>
      <c r="B3030" s="37">
        <v>43647</v>
      </c>
      <c r="C3030" s="36"/>
      <c r="D3030" s="36"/>
      <c r="E3030" s="36" t="s">
        <v>135</v>
      </c>
      <c r="F3030" s="38">
        <v>13393000</v>
      </c>
      <c r="G3030" s="36" t="s">
        <v>8</v>
      </c>
      <c r="H3030" s="36" t="s">
        <v>8</v>
      </c>
      <c r="I3030" s="36"/>
      <c r="J3030" s="36"/>
    </row>
    <row r="3031" spans="1:10" x14ac:dyDescent="0.25">
      <c r="A3031" s="36">
        <v>1829</v>
      </c>
      <c r="B3031" s="37">
        <v>43678</v>
      </c>
      <c r="C3031" s="36"/>
      <c r="D3031" s="36"/>
      <c r="E3031" s="36" t="s">
        <v>135</v>
      </c>
      <c r="F3031" s="38">
        <v>13393000</v>
      </c>
      <c r="G3031" s="36" t="s">
        <v>8</v>
      </c>
      <c r="H3031" s="36" t="s">
        <v>8</v>
      </c>
      <c r="I3031" s="36"/>
      <c r="J3031" s="36"/>
    </row>
    <row r="3032" spans="1:10" x14ac:dyDescent="0.25">
      <c r="A3032" s="36">
        <v>1829</v>
      </c>
      <c r="B3032" s="37">
        <v>43709</v>
      </c>
      <c r="C3032" s="36"/>
      <c r="D3032" s="36"/>
      <c r="E3032" s="36" t="s">
        <v>135</v>
      </c>
      <c r="F3032" s="38">
        <v>13393000</v>
      </c>
      <c r="G3032" s="36" t="s">
        <v>8</v>
      </c>
      <c r="H3032" s="36" t="s">
        <v>8</v>
      </c>
      <c r="I3032" s="36"/>
      <c r="J3032" s="36"/>
    </row>
    <row r="3033" spans="1:10" x14ac:dyDescent="0.25">
      <c r="A3033" s="36">
        <v>1829</v>
      </c>
      <c r="B3033" s="37">
        <v>43739</v>
      </c>
      <c r="C3033" s="36"/>
      <c r="D3033" s="36"/>
      <c r="E3033" s="36" t="s">
        <v>135</v>
      </c>
      <c r="F3033" s="38">
        <v>13393000</v>
      </c>
      <c r="G3033" s="36" t="s">
        <v>8</v>
      </c>
      <c r="H3033" s="36" t="s">
        <v>8</v>
      </c>
      <c r="I3033" s="36"/>
      <c r="J3033" s="36"/>
    </row>
    <row r="3034" spans="1:10" x14ac:dyDescent="0.25">
      <c r="A3034" s="36">
        <v>1829</v>
      </c>
      <c r="B3034" s="37">
        <v>43770</v>
      </c>
      <c r="C3034" s="36"/>
      <c r="D3034" s="36"/>
      <c r="E3034" s="36" t="s">
        <v>135</v>
      </c>
      <c r="F3034" s="38">
        <v>13393000</v>
      </c>
      <c r="G3034" s="36" t="s">
        <v>8</v>
      </c>
      <c r="H3034" s="36" t="s">
        <v>8</v>
      </c>
      <c r="I3034" s="36"/>
      <c r="J3034" s="36"/>
    </row>
    <row r="3035" spans="1:10" x14ac:dyDescent="0.25">
      <c r="A3035" s="36">
        <v>1829</v>
      </c>
      <c r="B3035" s="37">
        <v>43800</v>
      </c>
      <c r="C3035" s="36"/>
      <c r="D3035" s="36"/>
      <c r="E3035" s="36" t="s">
        <v>135</v>
      </c>
      <c r="F3035" s="38">
        <v>13393000</v>
      </c>
      <c r="G3035" s="36" t="s">
        <v>8</v>
      </c>
      <c r="H3035" s="36" t="s">
        <v>8</v>
      </c>
      <c r="I3035" s="36"/>
      <c r="J3035" s="36"/>
    </row>
    <row r="3036" spans="1:10" x14ac:dyDescent="0.25">
      <c r="A3036" s="36">
        <v>1829</v>
      </c>
      <c r="B3036" s="37">
        <v>43831</v>
      </c>
      <c r="C3036" s="36"/>
      <c r="D3036" s="36"/>
      <c r="E3036" s="36" t="s">
        <v>135</v>
      </c>
      <c r="F3036" s="38">
        <v>13393000</v>
      </c>
      <c r="G3036" s="36" t="s">
        <v>8</v>
      </c>
      <c r="H3036" s="36" t="s">
        <v>8</v>
      </c>
      <c r="I3036" s="36"/>
      <c r="J3036" s="36"/>
    </row>
    <row r="3037" spans="1:10" x14ac:dyDescent="0.25">
      <c r="A3037" s="36">
        <v>1829</v>
      </c>
      <c r="B3037" s="37">
        <v>43862</v>
      </c>
      <c r="C3037" s="36"/>
      <c r="D3037" s="36"/>
      <c r="E3037" s="36" t="s">
        <v>135</v>
      </c>
      <c r="F3037" s="38">
        <v>13393000</v>
      </c>
      <c r="G3037" s="36" t="s">
        <v>8</v>
      </c>
      <c r="H3037" s="36" t="s">
        <v>8</v>
      </c>
      <c r="I3037" s="36"/>
      <c r="J3037" s="36"/>
    </row>
    <row r="3038" spans="1:10" x14ac:dyDescent="0.25">
      <c r="A3038" s="36">
        <v>1829</v>
      </c>
      <c r="B3038" s="37">
        <v>43891</v>
      </c>
      <c r="C3038" s="36"/>
      <c r="D3038" s="36"/>
      <c r="E3038" s="36" t="s">
        <v>135</v>
      </c>
      <c r="F3038" s="38">
        <v>13393000</v>
      </c>
      <c r="G3038" s="36" t="s">
        <v>8</v>
      </c>
      <c r="H3038" s="36" t="s">
        <v>8</v>
      </c>
      <c r="I3038" s="36"/>
      <c r="J3038" s="36"/>
    </row>
    <row r="3039" spans="1:10" x14ac:dyDescent="0.25">
      <c r="A3039" s="36">
        <v>1829</v>
      </c>
      <c r="B3039" s="37">
        <v>43922</v>
      </c>
      <c r="C3039" s="36"/>
      <c r="D3039" s="36"/>
      <c r="E3039" s="36" t="s">
        <v>135</v>
      </c>
      <c r="F3039" s="38">
        <v>13393000</v>
      </c>
      <c r="G3039" s="36" t="s">
        <v>8</v>
      </c>
      <c r="H3039" s="36" t="s">
        <v>8</v>
      </c>
      <c r="I3039" s="36"/>
      <c r="J3039" s="36"/>
    </row>
    <row r="3040" spans="1:10" x14ac:dyDescent="0.25">
      <c r="A3040" s="36">
        <v>1829</v>
      </c>
      <c r="B3040" s="37">
        <v>43952</v>
      </c>
      <c r="C3040" s="36"/>
      <c r="D3040" s="36"/>
      <c r="E3040" s="36" t="s">
        <v>135</v>
      </c>
      <c r="F3040" s="38">
        <v>13393000</v>
      </c>
      <c r="G3040" s="36" t="s">
        <v>8</v>
      </c>
      <c r="H3040" s="36" t="s">
        <v>8</v>
      </c>
      <c r="I3040" s="36"/>
      <c r="J3040" s="36"/>
    </row>
    <row r="3041" spans="1:10" x14ac:dyDescent="0.25">
      <c r="A3041" s="36">
        <v>1829</v>
      </c>
      <c r="B3041" s="37">
        <v>43983</v>
      </c>
      <c r="C3041" s="36"/>
      <c r="D3041" s="36"/>
      <c r="E3041" s="36" t="s">
        <v>135</v>
      </c>
      <c r="F3041" s="38">
        <v>13393000</v>
      </c>
      <c r="G3041" s="36" t="s">
        <v>8</v>
      </c>
      <c r="H3041" s="36" t="s">
        <v>8</v>
      </c>
      <c r="I3041" s="36"/>
      <c r="J3041" s="36"/>
    </row>
    <row r="3042" spans="1:10" x14ac:dyDescent="0.25">
      <c r="A3042" s="36">
        <v>1829</v>
      </c>
      <c r="B3042" s="37">
        <v>43466</v>
      </c>
      <c r="C3042" s="36"/>
      <c r="D3042" s="36"/>
      <c r="E3042" s="36" t="s">
        <v>135</v>
      </c>
      <c r="F3042" s="38">
        <v>2337394.9579831935</v>
      </c>
      <c r="G3042" s="36" t="s">
        <v>8</v>
      </c>
      <c r="H3042" s="36" t="s">
        <v>8</v>
      </c>
      <c r="I3042" s="36"/>
      <c r="J3042" s="36"/>
    </row>
    <row r="3043" spans="1:10" x14ac:dyDescent="0.25">
      <c r="A3043" s="36">
        <v>1829</v>
      </c>
      <c r="B3043" s="37">
        <v>43497</v>
      </c>
      <c r="C3043" s="36"/>
      <c r="D3043" s="36"/>
      <c r="E3043" s="36" t="s">
        <v>135</v>
      </c>
      <c r="F3043" s="38">
        <v>2337394.9579831935</v>
      </c>
      <c r="G3043" s="36" t="s">
        <v>8</v>
      </c>
      <c r="H3043" s="36" t="s">
        <v>8</v>
      </c>
      <c r="I3043" s="36"/>
      <c r="J3043" s="36"/>
    </row>
    <row r="3044" spans="1:10" x14ac:dyDescent="0.25">
      <c r="A3044" s="36">
        <v>1829</v>
      </c>
      <c r="B3044" s="37">
        <v>43525</v>
      </c>
      <c r="C3044" s="36"/>
      <c r="D3044" s="36"/>
      <c r="E3044" s="36" t="s">
        <v>135</v>
      </c>
      <c r="F3044" s="38">
        <v>2337394.9579831935</v>
      </c>
      <c r="G3044" s="36" t="s">
        <v>8</v>
      </c>
      <c r="H3044" s="36" t="s">
        <v>8</v>
      </c>
      <c r="I3044" s="36"/>
      <c r="J3044" s="36"/>
    </row>
    <row r="3045" spans="1:10" x14ac:dyDescent="0.25">
      <c r="A3045" s="36">
        <v>1829</v>
      </c>
      <c r="B3045" s="37">
        <v>43556</v>
      </c>
      <c r="C3045" s="36"/>
      <c r="D3045" s="36"/>
      <c r="E3045" s="36" t="s">
        <v>135</v>
      </c>
      <c r="F3045" s="38">
        <v>2337394.9579831935</v>
      </c>
      <c r="G3045" s="36" t="s">
        <v>8</v>
      </c>
      <c r="H3045" s="36" t="s">
        <v>8</v>
      </c>
      <c r="I3045" s="36"/>
      <c r="J3045" s="36"/>
    </row>
    <row r="3046" spans="1:10" x14ac:dyDescent="0.25">
      <c r="A3046" s="36">
        <v>1829</v>
      </c>
      <c r="B3046" s="37">
        <v>43586</v>
      </c>
      <c r="C3046" s="36"/>
      <c r="D3046" s="36"/>
      <c r="E3046" s="36" t="s">
        <v>135</v>
      </c>
      <c r="F3046" s="38">
        <v>2337394.9579831935</v>
      </c>
      <c r="G3046" s="36" t="s">
        <v>8</v>
      </c>
      <c r="H3046" s="36" t="s">
        <v>8</v>
      </c>
      <c r="I3046" s="36"/>
      <c r="J3046" s="36"/>
    </row>
    <row r="3047" spans="1:10" x14ac:dyDescent="0.25">
      <c r="A3047" s="36">
        <v>1829</v>
      </c>
      <c r="B3047" s="37">
        <v>43617</v>
      </c>
      <c r="C3047" s="36"/>
      <c r="D3047" s="36"/>
      <c r="E3047" s="36" t="s">
        <v>135</v>
      </c>
      <c r="F3047" s="38">
        <v>2337394.9579831935</v>
      </c>
      <c r="G3047" s="36" t="s">
        <v>8</v>
      </c>
      <c r="H3047" s="36" t="s">
        <v>8</v>
      </c>
      <c r="I3047" s="36"/>
      <c r="J3047" s="36"/>
    </row>
    <row r="3048" spans="1:10" x14ac:dyDescent="0.25">
      <c r="A3048" s="36">
        <v>1829</v>
      </c>
      <c r="B3048" s="37">
        <v>43647</v>
      </c>
      <c r="C3048" s="36"/>
      <c r="D3048" s="36"/>
      <c r="E3048" s="36" t="s">
        <v>135</v>
      </c>
      <c r="F3048" s="38">
        <v>2337394.9579831935</v>
      </c>
      <c r="G3048" s="36" t="s">
        <v>8</v>
      </c>
      <c r="H3048" s="36" t="s">
        <v>8</v>
      </c>
      <c r="I3048" s="36"/>
      <c r="J3048" s="36"/>
    </row>
    <row r="3049" spans="1:10" x14ac:dyDescent="0.25">
      <c r="A3049" s="36">
        <v>1829</v>
      </c>
      <c r="B3049" s="37">
        <v>43678</v>
      </c>
      <c r="C3049" s="36"/>
      <c r="D3049" s="36"/>
      <c r="E3049" s="36" t="s">
        <v>135</v>
      </c>
      <c r="F3049" s="38">
        <v>2337394.9579831935</v>
      </c>
      <c r="G3049" s="36" t="s">
        <v>8</v>
      </c>
      <c r="H3049" s="36" t="s">
        <v>8</v>
      </c>
      <c r="I3049" s="36"/>
      <c r="J3049" s="36"/>
    </row>
    <row r="3050" spans="1:10" x14ac:dyDescent="0.25">
      <c r="A3050" s="36">
        <v>1829</v>
      </c>
      <c r="B3050" s="37">
        <v>43709</v>
      </c>
      <c r="C3050" s="36"/>
      <c r="D3050" s="36"/>
      <c r="E3050" s="36" t="s">
        <v>135</v>
      </c>
      <c r="F3050" s="38">
        <v>2337394.9579831935</v>
      </c>
      <c r="G3050" s="36" t="s">
        <v>8</v>
      </c>
      <c r="H3050" s="36" t="s">
        <v>8</v>
      </c>
      <c r="I3050" s="36"/>
      <c r="J3050" s="36"/>
    </row>
    <row r="3051" spans="1:10" x14ac:dyDescent="0.25">
      <c r="A3051" s="36">
        <v>1829</v>
      </c>
      <c r="B3051" s="37">
        <v>43739</v>
      </c>
      <c r="C3051" s="36"/>
      <c r="D3051" s="36"/>
      <c r="E3051" s="36" t="s">
        <v>135</v>
      </c>
      <c r="F3051" s="38">
        <v>2337394.9579831935</v>
      </c>
      <c r="G3051" s="36" t="s">
        <v>8</v>
      </c>
      <c r="H3051" s="36" t="s">
        <v>8</v>
      </c>
      <c r="I3051" s="36"/>
      <c r="J3051" s="36"/>
    </row>
    <row r="3052" spans="1:10" x14ac:dyDescent="0.25">
      <c r="A3052" s="36">
        <v>1829</v>
      </c>
      <c r="B3052" s="37">
        <v>43770</v>
      </c>
      <c r="C3052" s="36"/>
      <c r="D3052" s="36"/>
      <c r="E3052" s="36" t="s">
        <v>135</v>
      </c>
      <c r="F3052" s="38">
        <v>2337394.9579831935</v>
      </c>
      <c r="G3052" s="36" t="s">
        <v>8</v>
      </c>
      <c r="H3052" s="36" t="s">
        <v>8</v>
      </c>
      <c r="I3052" s="36"/>
      <c r="J3052" s="36"/>
    </row>
    <row r="3053" spans="1:10" x14ac:dyDescent="0.25">
      <c r="A3053" s="36">
        <v>1829</v>
      </c>
      <c r="B3053" s="37">
        <v>43800</v>
      </c>
      <c r="C3053" s="36"/>
      <c r="D3053" s="36"/>
      <c r="E3053" s="36" t="s">
        <v>135</v>
      </c>
      <c r="F3053" s="38">
        <v>2337394.9579831935</v>
      </c>
      <c r="G3053" s="36" t="s">
        <v>8</v>
      </c>
      <c r="H3053" s="36" t="s">
        <v>8</v>
      </c>
      <c r="I3053" s="36"/>
      <c r="J3053" s="36"/>
    </row>
    <row r="3054" spans="1:10" x14ac:dyDescent="0.25">
      <c r="A3054" s="36">
        <v>1829</v>
      </c>
      <c r="B3054" s="37">
        <v>43831</v>
      </c>
      <c r="C3054" s="36"/>
      <c r="D3054" s="36"/>
      <c r="E3054" s="36" t="s">
        <v>135</v>
      </c>
      <c r="F3054" s="38">
        <v>2337394.9579831935</v>
      </c>
      <c r="G3054" s="36" t="s">
        <v>8</v>
      </c>
      <c r="H3054" s="36" t="s">
        <v>8</v>
      </c>
      <c r="I3054" s="36"/>
      <c r="J3054" s="36"/>
    </row>
    <row r="3055" spans="1:10" x14ac:dyDescent="0.25">
      <c r="A3055" s="36">
        <v>1829</v>
      </c>
      <c r="B3055" s="37">
        <v>43862</v>
      </c>
      <c r="C3055" s="36"/>
      <c r="D3055" s="36"/>
      <c r="E3055" s="36" t="s">
        <v>135</v>
      </c>
      <c r="F3055" s="38">
        <v>2337394.9579831935</v>
      </c>
      <c r="G3055" s="36" t="s">
        <v>8</v>
      </c>
      <c r="H3055" s="36" t="s">
        <v>8</v>
      </c>
      <c r="I3055" s="36"/>
      <c r="J3055" s="36"/>
    </row>
    <row r="3056" spans="1:10" x14ac:dyDescent="0.25">
      <c r="A3056" s="36">
        <v>1829</v>
      </c>
      <c r="B3056" s="37">
        <v>43891</v>
      </c>
      <c r="C3056" s="36"/>
      <c r="D3056" s="36"/>
      <c r="E3056" s="36" t="s">
        <v>135</v>
      </c>
      <c r="F3056" s="38">
        <v>2337394.9579831935</v>
      </c>
      <c r="G3056" s="36" t="s">
        <v>8</v>
      </c>
      <c r="H3056" s="36" t="s">
        <v>8</v>
      </c>
      <c r="I3056" s="36"/>
      <c r="J3056" s="36"/>
    </row>
    <row r="3057" spans="1:10" x14ac:dyDescent="0.25">
      <c r="A3057" s="36">
        <v>1829</v>
      </c>
      <c r="B3057" s="37">
        <v>43922</v>
      </c>
      <c r="C3057" s="36"/>
      <c r="D3057" s="36"/>
      <c r="E3057" s="36" t="s">
        <v>135</v>
      </c>
      <c r="F3057" s="38">
        <v>2337394.9579831935</v>
      </c>
      <c r="G3057" s="36" t="s">
        <v>8</v>
      </c>
      <c r="H3057" s="36" t="s">
        <v>8</v>
      </c>
      <c r="I3057" s="36"/>
      <c r="J3057" s="36"/>
    </row>
    <row r="3058" spans="1:10" x14ac:dyDescent="0.25">
      <c r="A3058" s="36">
        <v>1829</v>
      </c>
      <c r="B3058" s="37">
        <v>43952</v>
      </c>
      <c r="C3058" s="36"/>
      <c r="D3058" s="36"/>
      <c r="E3058" s="36" t="s">
        <v>135</v>
      </c>
      <c r="F3058" s="38">
        <v>2337394.9579831935</v>
      </c>
      <c r="G3058" s="36" t="s">
        <v>8</v>
      </c>
      <c r="H3058" s="36" t="s">
        <v>8</v>
      </c>
      <c r="I3058" s="36"/>
      <c r="J3058" s="36"/>
    </row>
    <row r="3059" spans="1:10" x14ac:dyDescent="0.25">
      <c r="A3059" s="36">
        <v>1829</v>
      </c>
      <c r="B3059" s="37">
        <v>43983</v>
      </c>
      <c r="C3059" s="36"/>
      <c r="D3059" s="36"/>
      <c r="E3059" s="36" t="s">
        <v>135</v>
      </c>
      <c r="F3059" s="38">
        <v>2337394.9579831935</v>
      </c>
      <c r="G3059" s="36" t="s">
        <v>8</v>
      </c>
      <c r="H3059" s="36" t="s">
        <v>8</v>
      </c>
      <c r="I3059" s="36"/>
      <c r="J3059" s="36"/>
    </row>
    <row r="3060" spans="1:10" x14ac:dyDescent="0.25">
      <c r="A3060" s="36">
        <v>1838</v>
      </c>
      <c r="B3060" s="37">
        <v>43466</v>
      </c>
      <c r="C3060" s="36"/>
      <c r="D3060" s="36"/>
      <c r="E3060" s="36" t="s">
        <v>135</v>
      </c>
      <c r="F3060" s="38">
        <v>5797541</v>
      </c>
      <c r="G3060" s="36" t="s">
        <v>8</v>
      </c>
      <c r="H3060" s="36" t="s">
        <v>8</v>
      </c>
      <c r="I3060" s="36"/>
      <c r="J3060" s="36"/>
    </row>
    <row r="3061" spans="1:10" x14ac:dyDescent="0.25">
      <c r="A3061" s="36">
        <v>1838</v>
      </c>
      <c r="B3061" s="37">
        <v>43497</v>
      </c>
      <c r="C3061" s="36"/>
      <c r="D3061" s="36"/>
      <c r="E3061" s="36" t="s">
        <v>135</v>
      </c>
      <c r="F3061" s="38">
        <v>5797541</v>
      </c>
      <c r="G3061" s="36" t="s">
        <v>8</v>
      </c>
      <c r="H3061" s="36" t="s">
        <v>8</v>
      </c>
      <c r="I3061" s="36"/>
      <c r="J3061" s="36"/>
    </row>
    <row r="3062" spans="1:10" x14ac:dyDescent="0.25">
      <c r="A3062" s="36">
        <v>1838</v>
      </c>
      <c r="B3062" s="37">
        <v>43525</v>
      </c>
      <c r="C3062" s="36"/>
      <c r="D3062" s="36"/>
      <c r="E3062" s="36" t="s">
        <v>135</v>
      </c>
      <c r="F3062" s="38">
        <v>5797541</v>
      </c>
      <c r="G3062" s="36" t="s">
        <v>8</v>
      </c>
      <c r="H3062" s="36" t="s">
        <v>8</v>
      </c>
      <c r="I3062" s="36"/>
      <c r="J3062" s="36"/>
    </row>
    <row r="3063" spans="1:10" x14ac:dyDescent="0.25">
      <c r="A3063" s="36">
        <v>1856</v>
      </c>
      <c r="B3063" s="37">
        <v>43466</v>
      </c>
      <c r="C3063" s="36"/>
      <c r="D3063" s="36"/>
      <c r="E3063" s="36" t="s">
        <v>135</v>
      </c>
      <c r="F3063" s="38">
        <v>20000000</v>
      </c>
      <c r="G3063" s="36" t="s">
        <v>8</v>
      </c>
      <c r="H3063" s="36" t="s">
        <v>228</v>
      </c>
      <c r="I3063" s="36"/>
      <c r="J3063" s="36"/>
    </row>
    <row r="3064" spans="1:10" x14ac:dyDescent="0.25">
      <c r="A3064" s="36">
        <v>1856</v>
      </c>
      <c r="B3064" s="37">
        <v>43497</v>
      </c>
      <c r="C3064" s="36"/>
      <c r="D3064" s="36"/>
      <c r="E3064" s="36" t="s">
        <v>135</v>
      </c>
      <c r="F3064" s="38">
        <v>20000000</v>
      </c>
      <c r="G3064" s="36" t="s">
        <v>8</v>
      </c>
      <c r="H3064" s="36" t="s">
        <v>228</v>
      </c>
      <c r="I3064" s="36"/>
      <c r="J3064" s="36"/>
    </row>
    <row r="3065" spans="1:10" x14ac:dyDescent="0.25">
      <c r="A3065" s="36">
        <v>1856</v>
      </c>
      <c r="B3065" s="37">
        <v>43525</v>
      </c>
      <c r="C3065" s="36"/>
      <c r="D3065" s="36"/>
      <c r="E3065" s="36" t="s">
        <v>135</v>
      </c>
      <c r="F3065" s="38">
        <v>20000000</v>
      </c>
      <c r="G3065" s="36" t="s">
        <v>8</v>
      </c>
      <c r="H3065" s="36" t="s">
        <v>228</v>
      </c>
      <c r="I3065" s="36"/>
      <c r="J3065" s="36"/>
    </row>
    <row r="3066" spans="1:10" x14ac:dyDescent="0.25">
      <c r="A3066" s="36">
        <v>1856</v>
      </c>
      <c r="B3066" s="37">
        <v>43556</v>
      </c>
      <c r="C3066" s="36"/>
      <c r="D3066" s="36"/>
      <c r="E3066" s="36" t="s">
        <v>135</v>
      </c>
      <c r="F3066" s="38">
        <v>20000000</v>
      </c>
      <c r="G3066" s="36" t="s">
        <v>8</v>
      </c>
      <c r="H3066" s="36" t="s">
        <v>228</v>
      </c>
      <c r="I3066" s="36"/>
      <c r="J3066" s="36"/>
    </row>
    <row r="3067" spans="1:10" x14ac:dyDescent="0.25">
      <c r="A3067" s="36">
        <v>1856</v>
      </c>
      <c r="B3067" s="37">
        <v>43586</v>
      </c>
      <c r="C3067" s="36"/>
      <c r="D3067" s="36"/>
      <c r="E3067" s="36" t="s">
        <v>135</v>
      </c>
      <c r="F3067" s="38">
        <v>20000000</v>
      </c>
      <c r="G3067" s="36" t="s">
        <v>8</v>
      </c>
      <c r="H3067" s="36" t="s">
        <v>228</v>
      </c>
      <c r="I3067" s="36"/>
      <c r="J3067" s="36"/>
    </row>
    <row r="3068" spans="1:10" x14ac:dyDescent="0.25">
      <c r="A3068" s="36">
        <v>1856</v>
      </c>
      <c r="B3068" s="37">
        <v>43617</v>
      </c>
      <c r="C3068" s="36"/>
      <c r="D3068" s="36"/>
      <c r="E3068" s="36" t="s">
        <v>135</v>
      </c>
      <c r="F3068" s="38">
        <v>20000000</v>
      </c>
      <c r="G3068" s="36" t="s">
        <v>8</v>
      </c>
      <c r="H3068" s="36" t="s">
        <v>228</v>
      </c>
      <c r="I3068" s="36"/>
      <c r="J3068" s="36"/>
    </row>
    <row r="3069" spans="1:10" x14ac:dyDescent="0.25">
      <c r="A3069" s="36">
        <v>1856</v>
      </c>
      <c r="B3069" s="37">
        <v>43647</v>
      </c>
      <c r="C3069" s="36"/>
      <c r="D3069" s="36"/>
      <c r="E3069" s="36" t="s">
        <v>135</v>
      </c>
      <c r="F3069" s="38">
        <v>20000000</v>
      </c>
      <c r="G3069" s="36" t="s">
        <v>8</v>
      </c>
      <c r="H3069" s="36" t="s">
        <v>228</v>
      </c>
      <c r="I3069" s="36"/>
      <c r="J3069" s="36"/>
    </row>
    <row r="3070" spans="1:10" x14ac:dyDescent="0.25">
      <c r="A3070" s="36">
        <v>1856</v>
      </c>
      <c r="B3070" s="37">
        <v>43678</v>
      </c>
      <c r="C3070" s="36"/>
      <c r="D3070" s="36"/>
      <c r="E3070" s="36" t="s">
        <v>135</v>
      </c>
      <c r="F3070" s="38">
        <v>20000000</v>
      </c>
      <c r="G3070" s="36" t="s">
        <v>8</v>
      </c>
      <c r="H3070" s="36" t="s">
        <v>228</v>
      </c>
      <c r="I3070" s="36"/>
      <c r="J3070" s="36"/>
    </row>
    <row r="3071" spans="1:10" x14ac:dyDescent="0.25">
      <c r="A3071" s="36">
        <v>1856</v>
      </c>
      <c r="B3071" s="37">
        <v>43709</v>
      </c>
      <c r="C3071" s="36"/>
      <c r="D3071" s="36"/>
      <c r="E3071" s="36" t="s">
        <v>135</v>
      </c>
      <c r="F3071" s="38">
        <v>20000000</v>
      </c>
      <c r="G3071" s="36" t="s">
        <v>8</v>
      </c>
      <c r="H3071" s="36" t="s">
        <v>228</v>
      </c>
      <c r="I3071" s="36"/>
      <c r="J3071" s="36"/>
    </row>
    <row r="3072" spans="1:10" x14ac:dyDescent="0.25">
      <c r="A3072" s="36">
        <v>1856</v>
      </c>
      <c r="B3072" s="37">
        <v>43739</v>
      </c>
      <c r="C3072" s="36"/>
      <c r="D3072" s="36"/>
      <c r="E3072" s="36" t="s">
        <v>135</v>
      </c>
      <c r="F3072" s="38">
        <v>20000000</v>
      </c>
      <c r="G3072" s="36" t="s">
        <v>8</v>
      </c>
      <c r="H3072" s="36" t="s">
        <v>228</v>
      </c>
      <c r="I3072" s="36"/>
      <c r="J3072" s="36"/>
    </row>
    <row r="3073" spans="1:10" x14ac:dyDescent="0.25">
      <c r="A3073" s="36">
        <v>1856</v>
      </c>
      <c r="B3073" s="37">
        <v>43770</v>
      </c>
      <c r="C3073" s="36"/>
      <c r="D3073" s="36"/>
      <c r="E3073" s="36" t="s">
        <v>135</v>
      </c>
      <c r="F3073" s="38">
        <v>20000000</v>
      </c>
      <c r="G3073" s="36" t="s">
        <v>8</v>
      </c>
      <c r="H3073" s="36" t="s">
        <v>228</v>
      </c>
      <c r="I3073" s="36"/>
      <c r="J3073" s="36"/>
    </row>
    <row r="3074" spans="1:10" x14ac:dyDescent="0.25">
      <c r="A3074" s="36">
        <v>1856</v>
      </c>
      <c r="B3074" s="37">
        <v>43800</v>
      </c>
      <c r="C3074" s="36"/>
      <c r="D3074" s="36"/>
      <c r="E3074" s="36" t="s">
        <v>135</v>
      </c>
      <c r="F3074" s="38">
        <v>20000000</v>
      </c>
      <c r="G3074" s="36" t="s">
        <v>8</v>
      </c>
      <c r="H3074" s="36" t="s">
        <v>228</v>
      </c>
      <c r="I3074" s="36"/>
      <c r="J3074" s="36"/>
    </row>
    <row r="3075" spans="1:10" x14ac:dyDescent="0.25">
      <c r="A3075" s="36">
        <v>1856</v>
      </c>
      <c r="B3075" s="37">
        <v>43831</v>
      </c>
      <c r="C3075" s="36"/>
      <c r="D3075" s="36"/>
      <c r="E3075" s="36" t="s">
        <v>135</v>
      </c>
      <c r="F3075" s="38">
        <v>20000000</v>
      </c>
      <c r="G3075" s="36" t="s">
        <v>8</v>
      </c>
      <c r="H3075" s="36" t="s">
        <v>228</v>
      </c>
      <c r="I3075" s="36"/>
      <c r="J3075" s="36"/>
    </row>
    <row r="3076" spans="1:10" x14ac:dyDescent="0.25">
      <c r="A3076" s="36">
        <v>1856</v>
      </c>
      <c r="B3076" s="37">
        <v>43862</v>
      </c>
      <c r="C3076" s="36"/>
      <c r="D3076" s="36"/>
      <c r="E3076" s="36" t="s">
        <v>135</v>
      </c>
      <c r="F3076" s="38">
        <v>20000000</v>
      </c>
      <c r="G3076" s="36" t="s">
        <v>8</v>
      </c>
      <c r="H3076" s="36" t="s">
        <v>228</v>
      </c>
      <c r="I3076" s="36"/>
      <c r="J3076" s="36"/>
    </row>
    <row r="3077" spans="1:10" x14ac:dyDescent="0.25">
      <c r="A3077" s="36">
        <v>1856</v>
      </c>
      <c r="B3077" s="37">
        <v>43891</v>
      </c>
      <c r="C3077" s="36"/>
      <c r="D3077" s="36"/>
      <c r="E3077" s="36" t="s">
        <v>135</v>
      </c>
      <c r="F3077" s="38">
        <v>20000000</v>
      </c>
      <c r="G3077" s="36" t="s">
        <v>8</v>
      </c>
      <c r="H3077" s="36" t="s">
        <v>228</v>
      </c>
      <c r="I3077" s="36"/>
      <c r="J3077" s="36"/>
    </row>
    <row r="3078" spans="1:10" x14ac:dyDescent="0.25">
      <c r="A3078" s="36">
        <v>1856</v>
      </c>
      <c r="B3078" s="37">
        <v>43922</v>
      </c>
      <c r="C3078" s="36"/>
      <c r="D3078" s="36"/>
      <c r="E3078" s="36" t="s">
        <v>135</v>
      </c>
      <c r="F3078" s="38">
        <v>20000000</v>
      </c>
      <c r="G3078" s="36" t="s">
        <v>8</v>
      </c>
      <c r="H3078" s="36" t="s">
        <v>228</v>
      </c>
      <c r="I3078" s="36"/>
      <c r="J3078" s="36"/>
    </row>
    <row r="3079" spans="1:10" x14ac:dyDescent="0.25">
      <c r="A3079" s="36">
        <v>1856</v>
      </c>
      <c r="B3079" s="37">
        <v>43952</v>
      </c>
      <c r="C3079" s="36"/>
      <c r="D3079" s="36"/>
      <c r="E3079" s="36" t="s">
        <v>135</v>
      </c>
      <c r="F3079" s="38">
        <v>20000000</v>
      </c>
      <c r="G3079" s="36" t="s">
        <v>8</v>
      </c>
      <c r="H3079" s="36" t="s">
        <v>228</v>
      </c>
      <c r="I3079" s="36"/>
      <c r="J3079" s="36"/>
    </row>
    <row r="3080" spans="1:10" x14ac:dyDescent="0.25">
      <c r="A3080" s="36">
        <v>1856</v>
      </c>
      <c r="B3080" s="37">
        <v>43983</v>
      </c>
      <c r="C3080" s="36"/>
      <c r="D3080" s="36"/>
      <c r="E3080" s="36" t="s">
        <v>135</v>
      </c>
      <c r="F3080" s="38">
        <v>20000000</v>
      </c>
      <c r="G3080" s="36" t="s">
        <v>8</v>
      </c>
      <c r="H3080" s="36" t="s">
        <v>228</v>
      </c>
      <c r="I3080" s="36"/>
      <c r="J3080" s="36"/>
    </row>
    <row r="3081" spans="1:10" x14ac:dyDescent="0.25">
      <c r="A3081" s="36">
        <v>1856</v>
      </c>
      <c r="B3081" s="37">
        <v>44013</v>
      </c>
      <c r="C3081" s="36"/>
      <c r="D3081" s="36"/>
      <c r="E3081" s="36" t="s">
        <v>135</v>
      </c>
      <c r="F3081" s="38">
        <v>20000000</v>
      </c>
      <c r="G3081" s="36" t="s">
        <v>8</v>
      </c>
      <c r="H3081" s="36" t="s">
        <v>228</v>
      </c>
      <c r="I3081" s="36"/>
      <c r="J3081" s="36"/>
    </row>
    <row r="3082" spans="1:10" x14ac:dyDescent="0.25">
      <c r="A3082" s="36">
        <v>1856</v>
      </c>
      <c r="B3082" s="37">
        <v>44044</v>
      </c>
      <c r="C3082" s="36"/>
      <c r="D3082" s="36"/>
      <c r="E3082" s="36" t="s">
        <v>135</v>
      </c>
      <c r="F3082" s="38">
        <v>20000000</v>
      </c>
      <c r="G3082" s="36" t="s">
        <v>8</v>
      </c>
      <c r="H3082" s="36" t="s">
        <v>228</v>
      </c>
      <c r="I3082" s="36"/>
      <c r="J3082" s="36"/>
    </row>
    <row r="3083" spans="1:10" x14ac:dyDescent="0.25">
      <c r="A3083" s="36">
        <v>1856</v>
      </c>
      <c r="B3083" s="37">
        <v>44075</v>
      </c>
      <c r="C3083" s="36"/>
      <c r="D3083" s="36"/>
      <c r="E3083" s="36" t="s">
        <v>135</v>
      </c>
      <c r="F3083" s="38">
        <v>20000000</v>
      </c>
      <c r="G3083" s="36" t="s">
        <v>8</v>
      </c>
      <c r="H3083" s="36" t="s">
        <v>228</v>
      </c>
      <c r="I3083" s="36"/>
      <c r="J3083" s="36"/>
    </row>
    <row r="3084" spans="1:10" x14ac:dyDescent="0.25">
      <c r="A3084" s="36">
        <v>1856</v>
      </c>
      <c r="B3084" s="37">
        <v>44105</v>
      </c>
      <c r="C3084" s="36"/>
      <c r="D3084" s="36"/>
      <c r="E3084" s="36" t="s">
        <v>135</v>
      </c>
      <c r="F3084" s="38">
        <v>20000000</v>
      </c>
      <c r="G3084" s="36" t="s">
        <v>8</v>
      </c>
      <c r="H3084" s="36" t="s">
        <v>228</v>
      </c>
      <c r="I3084" s="36"/>
      <c r="J3084" s="36"/>
    </row>
    <row r="3085" spans="1:10" x14ac:dyDescent="0.25">
      <c r="A3085" s="36">
        <v>1856</v>
      </c>
      <c r="B3085" s="37">
        <v>44136</v>
      </c>
      <c r="C3085" s="36"/>
      <c r="D3085" s="36"/>
      <c r="E3085" s="36" t="s">
        <v>135</v>
      </c>
      <c r="F3085" s="38">
        <v>20000000</v>
      </c>
      <c r="G3085" s="36" t="s">
        <v>8</v>
      </c>
      <c r="H3085" s="36" t="s">
        <v>228</v>
      </c>
      <c r="I3085" s="36"/>
      <c r="J3085" s="36"/>
    </row>
    <row r="3086" spans="1:10" x14ac:dyDescent="0.25">
      <c r="A3086" s="36">
        <v>1856</v>
      </c>
      <c r="B3086" s="37">
        <v>44166</v>
      </c>
      <c r="C3086" s="36"/>
      <c r="D3086" s="36"/>
      <c r="E3086" s="36" t="s">
        <v>135</v>
      </c>
      <c r="F3086" s="38">
        <v>20000000</v>
      </c>
      <c r="G3086" s="36" t="s">
        <v>8</v>
      </c>
      <c r="H3086" s="36" t="s">
        <v>228</v>
      </c>
      <c r="I3086" s="36"/>
      <c r="J3086" s="36"/>
    </row>
    <row r="3087" spans="1:10" x14ac:dyDescent="0.25">
      <c r="A3087" s="36">
        <v>1856</v>
      </c>
      <c r="B3087" s="37">
        <v>44197</v>
      </c>
      <c r="C3087" s="36"/>
      <c r="D3087" s="36"/>
      <c r="E3087" s="36" t="s">
        <v>135</v>
      </c>
      <c r="F3087" s="38">
        <v>20000000</v>
      </c>
      <c r="G3087" s="36" t="s">
        <v>8</v>
      </c>
      <c r="H3087" s="36" t="s">
        <v>228</v>
      </c>
      <c r="I3087" s="36"/>
      <c r="J3087" s="36"/>
    </row>
    <row r="3088" spans="1:10" x14ac:dyDescent="0.25">
      <c r="A3088" s="36">
        <v>1857</v>
      </c>
      <c r="B3088" s="37">
        <v>43466</v>
      </c>
      <c r="C3088" s="36"/>
      <c r="D3088" s="36"/>
      <c r="E3088" s="36" t="s">
        <v>135</v>
      </c>
      <c r="F3088" s="38">
        <v>9800000</v>
      </c>
      <c r="G3088" s="36" t="s">
        <v>8</v>
      </c>
      <c r="H3088" s="36" t="s">
        <v>8</v>
      </c>
      <c r="I3088" s="36"/>
      <c r="J3088" s="36"/>
    </row>
    <row r="3089" spans="1:10" x14ac:dyDescent="0.25">
      <c r="A3089" s="36">
        <v>1857</v>
      </c>
      <c r="B3089" s="37">
        <v>43497</v>
      </c>
      <c r="C3089" s="36"/>
      <c r="D3089" s="36"/>
      <c r="E3089" s="36" t="s">
        <v>135</v>
      </c>
      <c r="F3089" s="38">
        <v>9800000</v>
      </c>
      <c r="G3089" s="36" t="s">
        <v>8</v>
      </c>
      <c r="H3089" s="36" t="s">
        <v>8</v>
      </c>
      <c r="I3089" s="36"/>
      <c r="J3089" s="36"/>
    </row>
    <row r="3090" spans="1:10" x14ac:dyDescent="0.25">
      <c r="A3090" s="36">
        <v>1857</v>
      </c>
      <c r="B3090" s="37">
        <v>43525</v>
      </c>
      <c r="C3090" s="36"/>
      <c r="D3090" s="36"/>
      <c r="E3090" s="36" t="s">
        <v>135</v>
      </c>
      <c r="F3090" s="38">
        <v>9800000</v>
      </c>
      <c r="G3090" s="36" t="s">
        <v>8</v>
      </c>
      <c r="H3090" s="36" t="s">
        <v>8</v>
      </c>
      <c r="I3090" s="36"/>
      <c r="J3090" s="36"/>
    </row>
    <row r="3091" spans="1:10" x14ac:dyDescent="0.25">
      <c r="A3091" s="36">
        <v>1857</v>
      </c>
      <c r="B3091" s="37">
        <v>43556</v>
      </c>
      <c r="C3091" s="36"/>
      <c r="D3091" s="36"/>
      <c r="E3091" s="36" t="s">
        <v>135</v>
      </c>
      <c r="F3091" s="38">
        <v>9800000</v>
      </c>
      <c r="G3091" s="36" t="s">
        <v>8</v>
      </c>
      <c r="H3091" s="36" t="s">
        <v>8</v>
      </c>
      <c r="I3091" s="36"/>
      <c r="J3091" s="36"/>
    </row>
    <row r="3092" spans="1:10" x14ac:dyDescent="0.25">
      <c r="A3092" s="36">
        <v>1857</v>
      </c>
      <c r="B3092" s="37">
        <v>43586</v>
      </c>
      <c r="C3092" s="36"/>
      <c r="D3092" s="36"/>
      <c r="E3092" s="36" t="s">
        <v>135</v>
      </c>
      <c r="F3092" s="38">
        <v>9800000</v>
      </c>
      <c r="G3092" s="36" t="s">
        <v>8</v>
      </c>
      <c r="H3092" s="36" t="s">
        <v>8</v>
      </c>
      <c r="I3092" s="36"/>
      <c r="J3092" s="36"/>
    </row>
    <row r="3093" spans="1:10" x14ac:dyDescent="0.25">
      <c r="A3093" s="36">
        <v>1857</v>
      </c>
      <c r="B3093" s="37">
        <v>43617</v>
      </c>
      <c r="C3093" s="36"/>
      <c r="D3093" s="36"/>
      <c r="E3093" s="36" t="s">
        <v>135</v>
      </c>
      <c r="F3093" s="38">
        <v>9800000</v>
      </c>
      <c r="G3093" s="36" t="s">
        <v>8</v>
      </c>
      <c r="H3093" s="36" t="s">
        <v>8</v>
      </c>
      <c r="I3093" s="36"/>
      <c r="J3093" s="36"/>
    </row>
    <row r="3094" spans="1:10" x14ac:dyDescent="0.25">
      <c r="A3094" s="36">
        <v>1857</v>
      </c>
      <c r="B3094" s="37">
        <v>43647</v>
      </c>
      <c r="C3094" s="36"/>
      <c r="D3094" s="36"/>
      <c r="E3094" s="36" t="s">
        <v>135</v>
      </c>
      <c r="F3094" s="38">
        <v>9800000</v>
      </c>
      <c r="G3094" s="36" t="s">
        <v>8</v>
      </c>
      <c r="H3094" s="36" t="s">
        <v>8</v>
      </c>
      <c r="I3094" s="36"/>
      <c r="J3094" s="36"/>
    </row>
    <row r="3095" spans="1:10" x14ac:dyDescent="0.25">
      <c r="A3095" s="36">
        <v>1857</v>
      </c>
      <c r="B3095" s="37">
        <v>43678</v>
      </c>
      <c r="C3095" s="36"/>
      <c r="D3095" s="36"/>
      <c r="E3095" s="36" t="s">
        <v>135</v>
      </c>
      <c r="F3095" s="38">
        <v>9800000</v>
      </c>
      <c r="G3095" s="36" t="s">
        <v>8</v>
      </c>
      <c r="H3095" s="36" t="s">
        <v>8</v>
      </c>
      <c r="I3095" s="36"/>
      <c r="J3095" s="36"/>
    </row>
    <row r="3096" spans="1:10" x14ac:dyDescent="0.25">
      <c r="A3096" s="36">
        <v>1857</v>
      </c>
      <c r="B3096" s="37">
        <v>43709</v>
      </c>
      <c r="C3096" s="36"/>
      <c r="D3096" s="36"/>
      <c r="E3096" s="36" t="s">
        <v>135</v>
      </c>
      <c r="F3096" s="38">
        <v>9800000</v>
      </c>
      <c r="G3096" s="36" t="s">
        <v>8</v>
      </c>
      <c r="H3096" s="36" t="s">
        <v>8</v>
      </c>
      <c r="I3096" s="36"/>
      <c r="J3096" s="36"/>
    </row>
    <row r="3097" spans="1:10" x14ac:dyDescent="0.25">
      <c r="A3097" s="36">
        <v>1860</v>
      </c>
      <c r="B3097" s="37">
        <v>43466</v>
      </c>
      <c r="C3097" s="36"/>
      <c r="D3097" s="36"/>
      <c r="E3097" s="36" t="s">
        <v>135</v>
      </c>
      <c r="F3097" s="38">
        <v>7700000</v>
      </c>
      <c r="G3097" s="36" t="s">
        <v>8</v>
      </c>
      <c r="H3097" s="36" t="s">
        <v>8</v>
      </c>
      <c r="I3097" s="36"/>
      <c r="J3097" s="36"/>
    </row>
    <row r="3098" spans="1:10" x14ac:dyDescent="0.25">
      <c r="A3098" s="36">
        <v>1860</v>
      </c>
      <c r="B3098" s="37">
        <v>43497</v>
      </c>
      <c r="C3098" s="36"/>
      <c r="D3098" s="36"/>
      <c r="E3098" s="36" t="s">
        <v>135</v>
      </c>
      <c r="F3098" s="38">
        <v>7700000</v>
      </c>
      <c r="G3098" s="36" t="s">
        <v>8</v>
      </c>
      <c r="H3098" s="36" t="s">
        <v>8</v>
      </c>
      <c r="I3098" s="36"/>
      <c r="J3098" s="36"/>
    </row>
    <row r="3099" spans="1:10" x14ac:dyDescent="0.25">
      <c r="A3099" s="36">
        <v>1860</v>
      </c>
      <c r="B3099" s="37">
        <v>43525</v>
      </c>
      <c r="C3099" s="36"/>
      <c r="D3099" s="36"/>
      <c r="E3099" s="36" t="s">
        <v>135</v>
      </c>
      <c r="F3099" s="38">
        <v>7700000</v>
      </c>
      <c r="G3099" s="36" t="s">
        <v>8</v>
      </c>
      <c r="H3099" s="36" t="s">
        <v>8</v>
      </c>
      <c r="I3099" s="36"/>
      <c r="J3099" s="36"/>
    </row>
    <row r="3100" spans="1:10" x14ac:dyDescent="0.25">
      <c r="A3100" s="36">
        <v>1860</v>
      </c>
      <c r="B3100" s="37">
        <v>43556</v>
      </c>
      <c r="C3100" s="36"/>
      <c r="D3100" s="36"/>
      <c r="E3100" s="36" t="s">
        <v>135</v>
      </c>
      <c r="F3100" s="38">
        <v>7700000</v>
      </c>
      <c r="G3100" s="36" t="s">
        <v>8</v>
      </c>
      <c r="H3100" s="36" t="s">
        <v>8</v>
      </c>
      <c r="I3100" s="36"/>
      <c r="J3100" s="36"/>
    </row>
    <row r="3101" spans="1:10" x14ac:dyDescent="0.25">
      <c r="A3101" s="36">
        <v>1860</v>
      </c>
      <c r="B3101" s="37">
        <v>43586</v>
      </c>
      <c r="C3101" s="36"/>
      <c r="D3101" s="36"/>
      <c r="E3101" s="36" t="s">
        <v>135</v>
      </c>
      <c r="F3101" s="38">
        <v>7700000</v>
      </c>
      <c r="G3101" s="36" t="s">
        <v>8</v>
      </c>
      <c r="H3101" s="36" t="s">
        <v>8</v>
      </c>
      <c r="I3101" s="36"/>
      <c r="J3101" s="36"/>
    </row>
    <row r="3102" spans="1:10" x14ac:dyDescent="0.25">
      <c r="A3102" s="36">
        <v>1860</v>
      </c>
      <c r="B3102" s="37">
        <v>43617</v>
      </c>
      <c r="C3102" s="36"/>
      <c r="D3102" s="36"/>
      <c r="E3102" s="36" t="s">
        <v>135</v>
      </c>
      <c r="F3102" s="38">
        <v>7700000</v>
      </c>
      <c r="G3102" s="36" t="s">
        <v>8</v>
      </c>
      <c r="H3102" s="36" t="s">
        <v>8</v>
      </c>
      <c r="I3102" s="36"/>
      <c r="J3102" s="36"/>
    </row>
    <row r="3103" spans="1:10" x14ac:dyDescent="0.25">
      <c r="A3103" s="36">
        <v>1860</v>
      </c>
      <c r="B3103" s="37">
        <v>43647</v>
      </c>
      <c r="C3103" s="36"/>
      <c r="D3103" s="36"/>
      <c r="E3103" s="36" t="s">
        <v>135</v>
      </c>
      <c r="F3103" s="38">
        <v>7700000</v>
      </c>
      <c r="G3103" s="36" t="s">
        <v>8</v>
      </c>
      <c r="H3103" s="36" t="s">
        <v>8</v>
      </c>
      <c r="I3103" s="36"/>
      <c r="J3103" s="36"/>
    </row>
    <row r="3104" spans="1:10" x14ac:dyDescent="0.25">
      <c r="A3104" s="36">
        <v>1860</v>
      </c>
      <c r="B3104" s="37">
        <v>43678</v>
      </c>
      <c r="C3104" s="36"/>
      <c r="D3104" s="36"/>
      <c r="E3104" s="36" t="s">
        <v>135</v>
      </c>
      <c r="F3104" s="38">
        <v>7700000</v>
      </c>
      <c r="G3104" s="36" t="s">
        <v>8</v>
      </c>
      <c r="H3104" s="36" t="s">
        <v>8</v>
      </c>
      <c r="I3104" s="36"/>
      <c r="J3104" s="36"/>
    </row>
    <row r="3105" spans="1:10" x14ac:dyDescent="0.25">
      <c r="A3105" s="36">
        <v>1860</v>
      </c>
      <c r="B3105" s="37">
        <v>43709</v>
      </c>
      <c r="C3105" s="36"/>
      <c r="D3105" s="36"/>
      <c r="E3105" s="36" t="s">
        <v>135</v>
      </c>
      <c r="F3105" s="38">
        <v>7700000</v>
      </c>
      <c r="G3105" s="36" t="s">
        <v>8</v>
      </c>
      <c r="H3105" s="36" t="s">
        <v>8</v>
      </c>
      <c r="I3105" s="36"/>
      <c r="J3105" s="36"/>
    </row>
    <row r="3106" spans="1:10" x14ac:dyDescent="0.25">
      <c r="A3106" s="36">
        <v>1860</v>
      </c>
      <c r="B3106" s="37">
        <v>43739</v>
      </c>
      <c r="C3106" s="36"/>
      <c r="D3106" s="36"/>
      <c r="E3106" s="36" t="s">
        <v>135</v>
      </c>
      <c r="F3106" s="38">
        <v>7700000</v>
      </c>
      <c r="G3106" s="36" t="s">
        <v>8</v>
      </c>
      <c r="H3106" s="36" t="s">
        <v>8</v>
      </c>
      <c r="I3106" s="36"/>
      <c r="J3106" s="36"/>
    </row>
    <row r="3107" spans="1:10" x14ac:dyDescent="0.25">
      <c r="A3107" s="36">
        <v>1860</v>
      </c>
      <c r="B3107" s="37">
        <v>43770</v>
      </c>
      <c r="C3107" s="36"/>
      <c r="D3107" s="36"/>
      <c r="E3107" s="36" t="s">
        <v>135</v>
      </c>
      <c r="F3107" s="38">
        <v>7700000</v>
      </c>
      <c r="G3107" s="36" t="s">
        <v>8</v>
      </c>
      <c r="H3107" s="36" t="s">
        <v>8</v>
      </c>
      <c r="I3107" s="36"/>
      <c r="J3107" s="36"/>
    </row>
    <row r="3108" spans="1:10" x14ac:dyDescent="0.25">
      <c r="A3108" s="36">
        <v>1860</v>
      </c>
      <c r="B3108" s="37">
        <v>43800</v>
      </c>
      <c r="C3108" s="36"/>
      <c r="D3108" s="36"/>
      <c r="E3108" s="36" t="s">
        <v>135</v>
      </c>
      <c r="F3108" s="38">
        <v>7700000</v>
      </c>
      <c r="G3108" s="36" t="s">
        <v>8</v>
      </c>
      <c r="H3108" s="36" t="s">
        <v>8</v>
      </c>
      <c r="I3108" s="36"/>
      <c r="J3108" s="36"/>
    </row>
    <row r="3109" spans="1:10" x14ac:dyDescent="0.25">
      <c r="A3109" s="36">
        <v>1860</v>
      </c>
      <c r="B3109" s="37">
        <v>43831</v>
      </c>
      <c r="C3109" s="36"/>
      <c r="D3109" s="36"/>
      <c r="E3109" s="36" t="s">
        <v>135</v>
      </c>
      <c r="F3109" s="38">
        <v>7700000</v>
      </c>
      <c r="G3109" s="36" t="s">
        <v>8</v>
      </c>
      <c r="H3109" s="36" t="s">
        <v>8</v>
      </c>
      <c r="I3109" s="36"/>
      <c r="J3109" s="36"/>
    </row>
    <row r="3110" spans="1:10" x14ac:dyDescent="0.25">
      <c r="A3110" s="36">
        <v>1860</v>
      </c>
      <c r="B3110" s="37">
        <v>43862</v>
      </c>
      <c r="C3110" s="36"/>
      <c r="D3110" s="36"/>
      <c r="E3110" s="36" t="s">
        <v>135</v>
      </c>
      <c r="F3110" s="38">
        <v>7700000</v>
      </c>
      <c r="G3110" s="36" t="s">
        <v>8</v>
      </c>
      <c r="H3110" s="36" t="s">
        <v>8</v>
      </c>
      <c r="I3110" s="36"/>
      <c r="J3110" s="36"/>
    </row>
    <row r="3111" spans="1:10" x14ac:dyDescent="0.25">
      <c r="A3111" s="36">
        <v>1860</v>
      </c>
      <c r="B3111" s="37">
        <v>43891</v>
      </c>
      <c r="C3111" s="36"/>
      <c r="D3111" s="36"/>
      <c r="E3111" s="36" t="s">
        <v>135</v>
      </c>
      <c r="F3111" s="38">
        <v>7700000</v>
      </c>
      <c r="G3111" s="36" t="s">
        <v>8</v>
      </c>
      <c r="H3111" s="36" t="s">
        <v>8</v>
      </c>
      <c r="I3111" s="36"/>
      <c r="J3111" s="36"/>
    </row>
    <row r="3112" spans="1:10" x14ac:dyDescent="0.25">
      <c r="A3112" s="36">
        <v>1860</v>
      </c>
      <c r="B3112" s="37">
        <v>43922</v>
      </c>
      <c r="C3112" s="36"/>
      <c r="D3112" s="36"/>
      <c r="E3112" s="36" t="s">
        <v>135</v>
      </c>
      <c r="F3112" s="38">
        <v>7700000</v>
      </c>
      <c r="G3112" s="36" t="s">
        <v>8</v>
      </c>
      <c r="H3112" s="36" t="s">
        <v>8</v>
      </c>
      <c r="I3112" s="36"/>
      <c r="J3112" s="36"/>
    </row>
    <row r="3113" spans="1:10" x14ac:dyDescent="0.25">
      <c r="A3113" s="36">
        <v>1860</v>
      </c>
      <c r="B3113" s="37">
        <v>43952</v>
      </c>
      <c r="C3113" s="36"/>
      <c r="D3113" s="36"/>
      <c r="E3113" s="36" t="s">
        <v>135</v>
      </c>
      <c r="F3113" s="38">
        <v>7700000</v>
      </c>
      <c r="G3113" s="36" t="s">
        <v>8</v>
      </c>
      <c r="H3113" s="36" t="s">
        <v>8</v>
      </c>
      <c r="I3113" s="36"/>
      <c r="J3113" s="36"/>
    </row>
    <row r="3114" spans="1:10" x14ac:dyDescent="0.25">
      <c r="A3114" s="36">
        <v>1860</v>
      </c>
      <c r="B3114" s="37">
        <v>43983</v>
      </c>
      <c r="C3114" s="36"/>
      <c r="D3114" s="36"/>
      <c r="E3114" s="36" t="s">
        <v>135</v>
      </c>
      <c r="F3114" s="38">
        <v>7700000</v>
      </c>
      <c r="G3114" s="36" t="s">
        <v>8</v>
      </c>
      <c r="H3114" s="36" t="s">
        <v>8</v>
      </c>
      <c r="I3114" s="36"/>
      <c r="J3114" s="36"/>
    </row>
    <row r="3115" spans="1:10" x14ac:dyDescent="0.25">
      <c r="A3115" s="36">
        <v>1860</v>
      </c>
      <c r="B3115" s="37">
        <v>44013</v>
      </c>
      <c r="C3115" s="36"/>
      <c r="D3115" s="36"/>
      <c r="E3115" s="36" t="s">
        <v>135</v>
      </c>
      <c r="F3115" s="38">
        <v>7700000</v>
      </c>
      <c r="G3115" s="36" t="s">
        <v>8</v>
      </c>
      <c r="H3115" s="36" t="s">
        <v>8</v>
      </c>
      <c r="I3115" s="36"/>
      <c r="J3115" s="36"/>
    </row>
    <row r="3116" spans="1:10" x14ac:dyDescent="0.25">
      <c r="A3116" s="36">
        <v>1860</v>
      </c>
      <c r="B3116" s="37">
        <v>44044</v>
      </c>
      <c r="C3116" s="36"/>
      <c r="D3116" s="36"/>
      <c r="E3116" s="36" t="s">
        <v>135</v>
      </c>
      <c r="F3116" s="38">
        <v>7700000</v>
      </c>
      <c r="G3116" s="36" t="s">
        <v>8</v>
      </c>
      <c r="H3116" s="36" t="s">
        <v>8</v>
      </c>
      <c r="I3116" s="36"/>
      <c r="J3116" s="36"/>
    </row>
    <row r="3117" spans="1:10" x14ac:dyDescent="0.25">
      <c r="A3117" s="36">
        <v>1860</v>
      </c>
      <c r="B3117" s="37">
        <v>44075</v>
      </c>
      <c r="C3117" s="36"/>
      <c r="D3117" s="36"/>
      <c r="E3117" s="36" t="s">
        <v>135</v>
      </c>
      <c r="F3117" s="38">
        <v>7700000</v>
      </c>
      <c r="G3117" s="36" t="s">
        <v>8</v>
      </c>
      <c r="H3117" s="36" t="s">
        <v>8</v>
      </c>
      <c r="I3117" s="36"/>
      <c r="J3117" s="36"/>
    </row>
    <row r="3118" spans="1:10" x14ac:dyDescent="0.25">
      <c r="A3118" s="36">
        <v>1860</v>
      </c>
      <c r="B3118" s="37">
        <v>44105</v>
      </c>
      <c r="C3118" s="36"/>
      <c r="D3118" s="36"/>
      <c r="E3118" s="36" t="s">
        <v>135</v>
      </c>
      <c r="F3118" s="38">
        <v>7700000</v>
      </c>
      <c r="G3118" s="36" t="s">
        <v>8</v>
      </c>
      <c r="H3118" s="36" t="s">
        <v>8</v>
      </c>
      <c r="I3118" s="36"/>
      <c r="J3118" s="36"/>
    </row>
    <row r="3119" spans="1:10" x14ac:dyDescent="0.25">
      <c r="A3119" s="36">
        <v>1860</v>
      </c>
      <c r="B3119" s="37">
        <v>44136</v>
      </c>
      <c r="C3119" s="36"/>
      <c r="D3119" s="36"/>
      <c r="E3119" s="36" t="s">
        <v>135</v>
      </c>
      <c r="F3119" s="38">
        <v>7700000</v>
      </c>
      <c r="G3119" s="36" t="s">
        <v>8</v>
      </c>
      <c r="H3119" s="36" t="s">
        <v>8</v>
      </c>
      <c r="I3119" s="36"/>
      <c r="J3119" s="36"/>
    </row>
    <row r="3120" spans="1:10" x14ac:dyDescent="0.25">
      <c r="A3120" s="36">
        <v>1860</v>
      </c>
      <c r="B3120" s="37">
        <v>44166</v>
      </c>
      <c r="C3120" s="36"/>
      <c r="D3120" s="36"/>
      <c r="E3120" s="36" t="s">
        <v>135</v>
      </c>
      <c r="F3120" s="38">
        <v>7700000</v>
      </c>
      <c r="G3120" s="36" t="s">
        <v>8</v>
      </c>
      <c r="H3120" s="36" t="s">
        <v>8</v>
      </c>
      <c r="I3120" s="36"/>
      <c r="J3120" s="36"/>
    </row>
    <row r="3121" spans="1:10" x14ac:dyDescent="0.25">
      <c r="A3121" s="36">
        <v>1860</v>
      </c>
      <c r="B3121" s="37">
        <v>44197</v>
      </c>
      <c r="C3121" s="36"/>
      <c r="D3121" s="36"/>
      <c r="E3121" s="36" t="s">
        <v>135</v>
      </c>
      <c r="F3121" s="38">
        <v>7700000</v>
      </c>
      <c r="G3121" s="36" t="s">
        <v>8</v>
      </c>
      <c r="H3121" s="36" t="s">
        <v>8</v>
      </c>
      <c r="I3121" s="36"/>
      <c r="J3121" s="36"/>
    </row>
    <row r="3122" spans="1:10" x14ac:dyDescent="0.25">
      <c r="A3122" s="36">
        <v>1860</v>
      </c>
      <c r="B3122" s="37">
        <v>44228</v>
      </c>
      <c r="C3122" s="36"/>
      <c r="D3122" s="36"/>
      <c r="E3122" s="36" t="s">
        <v>135</v>
      </c>
      <c r="F3122" s="38">
        <v>7700000</v>
      </c>
      <c r="G3122" s="36" t="s">
        <v>8</v>
      </c>
      <c r="H3122" s="36" t="s">
        <v>8</v>
      </c>
      <c r="I3122" s="36"/>
      <c r="J3122" s="36"/>
    </row>
    <row r="3123" spans="1:10" x14ac:dyDescent="0.25">
      <c r="A3123" s="36">
        <v>1860</v>
      </c>
      <c r="B3123" s="37">
        <v>44256</v>
      </c>
      <c r="C3123" s="36"/>
      <c r="D3123" s="36"/>
      <c r="E3123" s="36" t="s">
        <v>135</v>
      </c>
      <c r="F3123" s="38">
        <v>7700000</v>
      </c>
      <c r="G3123" s="36" t="s">
        <v>8</v>
      </c>
      <c r="H3123" s="36" t="s">
        <v>8</v>
      </c>
      <c r="I3123" s="36"/>
      <c r="J3123" s="36"/>
    </row>
    <row r="3124" spans="1:10" x14ac:dyDescent="0.25">
      <c r="A3124" s="36">
        <v>1860</v>
      </c>
      <c r="B3124" s="37">
        <v>44287</v>
      </c>
      <c r="C3124" s="36"/>
      <c r="D3124" s="36"/>
      <c r="E3124" s="36" t="s">
        <v>135</v>
      </c>
      <c r="F3124" s="38">
        <v>7700000</v>
      </c>
      <c r="G3124" s="36" t="s">
        <v>8</v>
      </c>
      <c r="H3124" s="36" t="s">
        <v>8</v>
      </c>
      <c r="I3124" s="36"/>
      <c r="J3124" s="36"/>
    </row>
    <row r="3125" spans="1:10" x14ac:dyDescent="0.25">
      <c r="A3125" s="36">
        <v>1861</v>
      </c>
      <c r="B3125" s="37">
        <v>43466</v>
      </c>
      <c r="C3125" s="36"/>
      <c r="D3125" s="36"/>
      <c r="E3125" s="36" t="s">
        <v>135</v>
      </c>
      <c r="F3125" s="38">
        <v>64030000</v>
      </c>
      <c r="G3125" s="36" t="s">
        <v>8</v>
      </c>
      <c r="H3125" s="36" t="s">
        <v>8</v>
      </c>
      <c r="I3125" s="36"/>
      <c r="J3125" s="36"/>
    </row>
    <row r="3126" spans="1:10" x14ac:dyDescent="0.25">
      <c r="A3126" s="36">
        <v>1861</v>
      </c>
      <c r="B3126" s="37">
        <v>43497</v>
      </c>
      <c r="C3126" s="36"/>
      <c r="D3126" s="36"/>
      <c r="E3126" s="36" t="s">
        <v>135</v>
      </c>
      <c r="F3126" s="38">
        <v>64030000</v>
      </c>
      <c r="G3126" s="36" t="s">
        <v>8</v>
      </c>
      <c r="H3126" s="36" t="s">
        <v>8</v>
      </c>
      <c r="I3126" s="36"/>
      <c r="J3126" s="36"/>
    </row>
    <row r="3127" spans="1:10" x14ac:dyDescent="0.25">
      <c r="A3127" s="36">
        <v>1861</v>
      </c>
      <c r="B3127" s="37">
        <v>43525</v>
      </c>
      <c r="C3127" s="36"/>
      <c r="D3127" s="36"/>
      <c r="E3127" s="36" t="s">
        <v>135</v>
      </c>
      <c r="F3127" s="38">
        <v>64030000</v>
      </c>
      <c r="G3127" s="36" t="s">
        <v>8</v>
      </c>
      <c r="H3127" s="36" t="s">
        <v>8</v>
      </c>
      <c r="I3127" s="36"/>
      <c r="J3127" s="36"/>
    </row>
    <row r="3128" spans="1:10" x14ac:dyDescent="0.25">
      <c r="A3128" s="36">
        <v>1861</v>
      </c>
      <c r="B3128" s="37">
        <v>43466</v>
      </c>
      <c r="C3128" s="36"/>
      <c r="D3128" s="36"/>
      <c r="E3128" s="36" t="s">
        <v>135</v>
      </c>
      <c r="F3128" s="38">
        <v>48811000</v>
      </c>
      <c r="G3128" s="36" t="s">
        <v>8</v>
      </c>
      <c r="H3128" s="36" t="s">
        <v>8</v>
      </c>
      <c r="I3128" s="36"/>
      <c r="J3128" s="36"/>
    </row>
    <row r="3129" spans="1:10" x14ac:dyDescent="0.25">
      <c r="A3129" s="36">
        <v>1861</v>
      </c>
      <c r="B3129" s="37">
        <v>43497</v>
      </c>
      <c r="C3129" s="36"/>
      <c r="D3129" s="36"/>
      <c r="E3129" s="36" t="s">
        <v>135</v>
      </c>
      <c r="F3129" s="38">
        <v>48811000</v>
      </c>
      <c r="G3129" s="36" t="s">
        <v>8</v>
      </c>
      <c r="H3129" s="36" t="s">
        <v>8</v>
      </c>
      <c r="I3129" s="36"/>
      <c r="J3129" s="36"/>
    </row>
    <row r="3130" spans="1:10" x14ac:dyDescent="0.25">
      <c r="A3130" s="36">
        <v>1861</v>
      </c>
      <c r="B3130" s="37">
        <v>43525</v>
      </c>
      <c r="C3130" s="36"/>
      <c r="D3130" s="36"/>
      <c r="E3130" s="36" t="s">
        <v>135</v>
      </c>
      <c r="F3130" s="38">
        <v>48811000</v>
      </c>
      <c r="G3130" s="36" t="s">
        <v>8</v>
      </c>
      <c r="H3130" s="36" t="s">
        <v>8</v>
      </c>
      <c r="I3130" s="36"/>
      <c r="J3130" s="36"/>
    </row>
    <row r="3131" spans="1:10" x14ac:dyDescent="0.25">
      <c r="A3131" s="36">
        <v>1861</v>
      </c>
      <c r="B3131" s="37">
        <v>43556</v>
      </c>
      <c r="C3131" s="36"/>
      <c r="D3131" s="36"/>
      <c r="E3131" s="36" t="s">
        <v>135</v>
      </c>
      <c r="F3131" s="38">
        <v>48811000</v>
      </c>
      <c r="G3131" s="36" t="s">
        <v>8</v>
      </c>
      <c r="H3131" s="36" t="s">
        <v>8</v>
      </c>
      <c r="I3131" s="36"/>
      <c r="J3131" s="36"/>
    </row>
    <row r="3132" spans="1:10" x14ac:dyDescent="0.25">
      <c r="A3132" s="36">
        <v>1861</v>
      </c>
      <c r="B3132" s="37">
        <v>43586</v>
      </c>
      <c r="C3132" s="36"/>
      <c r="D3132" s="36"/>
      <c r="E3132" s="36" t="s">
        <v>135</v>
      </c>
      <c r="F3132" s="38">
        <v>48811000</v>
      </c>
      <c r="G3132" s="36" t="s">
        <v>8</v>
      </c>
      <c r="H3132" s="36" t="s">
        <v>8</v>
      </c>
      <c r="I3132" s="36"/>
      <c r="J3132" s="36"/>
    </row>
    <row r="3133" spans="1:10" x14ac:dyDescent="0.25">
      <c r="A3133" s="36">
        <v>1861</v>
      </c>
      <c r="B3133" s="37">
        <v>43617</v>
      </c>
      <c r="C3133" s="36"/>
      <c r="D3133" s="36"/>
      <c r="E3133" s="36" t="s">
        <v>135</v>
      </c>
      <c r="F3133" s="38">
        <v>48811000</v>
      </c>
      <c r="G3133" s="36" t="s">
        <v>8</v>
      </c>
      <c r="H3133" s="36" t="s">
        <v>8</v>
      </c>
      <c r="I3133" s="36"/>
      <c r="J3133" s="36"/>
    </row>
    <row r="3134" spans="1:10" x14ac:dyDescent="0.25">
      <c r="A3134" s="36">
        <v>1861</v>
      </c>
      <c r="B3134" s="37">
        <v>43647</v>
      </c>
      <c r="C3134" s="36"/>
      <c r="D3134" s="36"/>
      <c r="E3134" s="36" t="s">
        <v>135</v>
      </c>
      <c r="F3134" s="38">
        <v>48811000</v>
      </c>
      <c r="G3134" s="36" t="s">
        <v>8</v>
      </c>
      <c r="H3134" s="36" t="s">
        <v>8</v>
      </c>
      <c r="I3134" s="36"/>
      <c r="J3134" s="36"/>
    </row>
    <row r="3135" spans="1:10" x14ac:dyDescent="0.25">
      <c r="A3135" s="36">
        <v>1861</v>
      </c>
      <c r="B3135" s="37">
        <v>43678</v>
      </c>
      <c r="C3135" s="36"/>
      <c r="D3135" s="36"/>
      <c r="E3135" s="36" t="s">
        <v>135</v>
      </c>
      <c r="F3135" s="38">
        <v>48811000</v>
      </c>
      <c r="G3135" s="36" t="s">
        <v>8</v>
      </c>
      <c r="H3135" s="36" t="s">
        <v>8</v>
      </c>
      <c r="I3135" s="36"/>
      <c r="J3135" s="36"/>
    </row>
    <row r="3136" spans="1:10" x14ac:dyDescent="0.25">
      <c r="A3136" s="36">
        <v>1861</v>
      </c>
      <c r="B3136" s="37">
        <v>43709</v>
      </c>
      <c r="C3136" s="36"/>
      <c r="D3136" s="36"/>
      <c r="E3136" s="36" t="s">
        <v>135</v>
      </c>
      <c r="F3136" s="38">
        <v>48811000</v>
      </c>
      <c r="G3136" s="36" t="s">
        <v>8</v>
      </c>
      <c r="H3136" s="36" t="s">
        <v>8</v>
      </c>
      <c r="I3136" s="36"/>
      <c r="J3136" s="36"/>
    </row>
    <row r="3137" spans="1:10" x14ac:dyDescent="0.25">
      <c r="A3137" s="36">
        <v>1861</v>
      </c>
      <c r="B3137" s="37">
        <v>43739</v>
      </c>
      <c r="C3137" s="36"/>
      <c r="D3137" s="36"/>
      <c r="E3137" s="36" t="s">
        <v>135</v>
      </c>
      <c r="F3137" s="38">
        <v>48811000</v>
      </c>
      <c r="G3137" s="36" t="s">
        <v>8</v>
      </c>
      <c r="H3137" s="36" t="s">
        <v>8</v>
      </c>
      <c r="I3137" s="36"/>
      <c r="J3137" s="36"/>
    </row>
    <row r="3138" spans="1:10" x14ac:dyDescent="0.25">
      <c r="A3138" s="36">
        <v>1861</v>
      </c>
      <c r="B3138" s="37">
        <v>43770</v>
      </c>
      <c r="C3138" s="36"/>
      <c r="D3138" s="36"/>
      <c r="E3138" s="36" t="s">
        <v>135</v>
      </c>
      <c r="F3138" s="38">
        <v>48811000</v>
      </c>
      <c r="G3138" s="36" t="s">
        <v>8</v>
      </c>
      <c r="H3138" s="36" t="s">
        <v>8</v>
      </c>
      <c r="I3138" s="36"/>
      <c r="J3138" s="36"/>
    </row>
    <row r="3139" spans="1:10" x14ac:dyDescent="0.25">
      <c r="A3139" s="36">
        <v>1861</v>
      </c>
      <c r="B3139" s="37">
        <v>43800</v>
      </c>
      <c r="C3139" s="36"/>
      <c r="D3139" s="36"/>
      <c r="E3139" s="36" t="s">
        <v>135</v>
      </c>
      <c r="F3139" s="38">
        <v>48811000</v>
      </c>
      <c r="G3139" s="36" t="s">
        <v>8</v>
      </c>
      <c r="H3139" s="36" t="s">
        <v>8</v>
      </c>
      <c r="I3139" s="36"/>
      <c r="J3139" s="36"/>
    </row>
    <row r="3140" spans="1:10" x14ac:dyDescent="0.25">
      <c r="A3140" s="36">
        <v>1861</v>
      </c>
      <c r="B3140" s="37">
        <v>43831</v>
      </c>
      <c r="C3140" s="36"/>
      <c r="D3140" s="36"/>
      <c r="E3140" s="36" t="s">
        <v>135</v>
      </c>
      <c r="F3140" s="38">
        <v>48811000</v>
      </c>
      <c r="G3140" s="36" t="s">
        <v>8</v>
      </c>
      <c r="H3140" s="36" t="s">
        <v>8</v>
      </c>
      <c r="I3140" s="36"/>
      <c r="J3140" s="36"/>
    </row>
    <row r="3141" spans="1:10" x14ac:dyDescent="0.25">
      <c r="A3141" s="36">
        <v>1861</v>
      </c>
      <c r="B3141" s="37">
        <v>43862</v>
      </c>
      <c r="C3141" s="36"/>
      <c r="D3141" s="36"/>
      <c r="E3141" s="36" t="s">
        <v>135</v>
      </c>
      <c r="F3141" s="38">
        <v>48811000</v>
      </c>
      <c r="G3141" s="36" t="s">
        <v>8</v>
      </c>
      <c r="H3141" s="36" t="s">
        <v>8</v>
      </c>
      <c r="I3141" s="36"/>
      <c r="J3141" s="36"/>
    </row>
    <row r="3142" spans="1:10" x14ac:dyDescent="0.25">
      <c r="A3142" s="36">
        <v>1861</v>
      </c>
      <c r="B3142" s="37">
        <v>43891</v>
      </c>
      <c r="C3142" s="36"/>
      <c r="D3142" s="36"/>
      <c r="E3142" s="36" t="s">
        <v>135</v>
      </c>
      <c r="F3142" s="38">
        <v>48811000</v>
      </c>
      <c r="G3142" s="36" t="s">
        <v>8</v>
      </c>
      <c r="H3142" s="36" t="s">
        <v>8</v>
      </c>
      <c r="I3142" s="36"/>
      <c r="J3142" s="36"/>
    </row>
    <row r="3143" spans="1:10" x14ac:dyDescent="0.25">
      <c r="A3143" s="36">
        <v>1861</v>
      </c>
      <c r="B3143" s="37">
        <v>43922</v>
      </c>
      <c r="C3143" s="36"/>
      <c r="D3143" s="36"/>
      <c r="E3143" s="36" t="s">
        <v>135</v>
      </c>
      <c r="F3143" s="38">
        <v>48811000</v>
      </c>
      <c r="G3143" s="36" t="s">
        <v>8</v>
      </c>
      <c r="H3143" s="36" t="s">
        <v>8</v>
      </c>
      <c r="I3143" s="36"/>
      <c r="J3143" s="36"/>
    </row>
    <row r="3144" spans="1:10" x14ac:dyDescent="0.25">
      <c r="A3144" s="36">
        <v>1861</v>
      </c>
      <c r="B3144" s="37">
        <v>43952</v>
      </c>
      <c r="C3144" s="36"/>
      <c r="D3144" s="36"/>
      <c r="E3144" s="36" t="s">
        <v>135</v>
      </c>
      <c r="F3144" s="38">
        <v>48811000</v>
      </c>
      <c r="G3144" s="36" t="s">
        <v>8</v>
      </c>
      <c r="H3144" s="36" t="s">
        <v>8</v>
      </c>
      <c r="I3144" s="36"/>
      <c r="J3144" s="36"/>
    </row>
    <row r="3145" spans="1:10" x14ac:dyDescent="0.25">
      <c r="A3145" s="36">
        <v>1861</v>
      </c>
      <c r="B3145" s="37">
        <v>43983</v>
      </c>
      <c r="C3145" s="36"/>
      <c r="D3145" s="36"/>
      <c r="E3145" s="36" t="s">
        <v>135</v>
      </c>
      <c r="F3145" s="38">
        <v>48811000</v>
      </c>
      <c r="G3145" s="36" t="s">
        <v>8</v>
      </c>
      <c r="H3145" s="36" t="s">
        <v>8</v>
      </c>
      <c r="I3145" s="36"/>
      <c r="J3145" s="36"/>
    </row>
    <row r="3146" spans="1:10" x14ac:dyDescent="0.25">
      <c r="A3146" s="36">
        <v>1861</v>
      </c>
      <c r="B3146" s="37">
        <v>44013</v>
      </c>
      <c r="C3146" s="36"/>
      <c r="D3146" s="36"/>
      <c r="E3146" s="36" t="s">
        <v>135</v>
      </c>
      <c r="F3146" s="38">
        <v>48811000</v>
      </c>
      <c r="G3146" s="36" t="s">
        <v>8</v>
      </c>
      <c r="H3146" s="36" t="s">
        <v>8</v>
      </c>
      <c r="I3146" s="36"/>
      <c r="J3146" s="36"/>
    </row>
    <row r="3147" spans="1:10" x14ac:dyDescent="0.25">
      <c r="A3147" s="36">
        <v>1861</v>
      </c>
      <c r="B3147" s="37">
        <v>44044</v>
      </c>
      <c r="C3147" s="36"/>
      <c r="D3147" s="36"/>
      <c r="E3147" s="36" t="s">
        <v>135</v>
      </c>
      <c r="F3147" s="38">
        <v>48811000</v>
      </c>
      <c r="G3147" s="36" t="s">
        <v>8</v>
      </c>
      <c r="H3147" s="36" t="s">
        <v>8</v>
      </c>
      <c r="I3147" s="36"/>
      <c r="J3147" s="36"/>
    </row>
    <row r="3148" spans="1:10" x14ac:dyDescent="0.25">
      <c r="A3148" s="36">
        <v>1861</v>
      </c>
      <c r="B3148" s="37">
        <v>44075</v>
      </c>
      <c r="C3148" s="36"/>
      <c r="D3148" s="36"/>
      <c r="E3148" s="36" t="s">
        <v>135</v>
      </c>
      <c r="F3148" s="38">
        <v>48811000</v>
      </c>
      <c r="G3148" s="36" t="s">
        <v>8</v>
      </c>
      <c r="H3148" s="36" t="s">
        <v>8</v>
      </c>
      <c r="I3148" s="36"/>
      <c r="J3148" s="36"/>
    </row>
    <row r="3149" spans="1:10" x14ac:dyDescent="0.25">
      <c r="A3149" s="36">
        <v>1861</v>
      </c>
      <c r="B3149" s="37">
        <v>44105</v>
      </c>
      <c r="C3149" s="36"/>
      <c r="D3149" s="36"/>
      <c r="E3149" s="36" t="s">
        <v>135</v>
      </c>
      <c r="F3149" s="38">
        <v>48811000</v>
      </c>
      <c r="G3149" s="36" t="s">
        <v>8</v>
      </c>
      <c r="H3149" s="36" t="s">
        <v>8</v>
      </c>
      <c r="I3149" s="36"/>
      <c r="J3149" s="36"/>
    </row>
    <row r="3150" spans="1:10" x14ac:dyDescent="0.25">
      <c r="A3150" s="36">
        <v>1861</v>
      </c>
      <c r="B3150" s="37">
        <v>44136</v>
      </c>
      <c r="C3150" s="36"/>
      <c r="D3150" s="36"/>
      <c r="E3150" s="36" t="s">
        <v>135</v>
      </c>
      <c r="F3150" s="38">
        <v>48811000</v>
      </c>
      <c r="G3150" s="36" t="s">
        <v>8</v>
      </c>
      <c r="H3150" s="36" t="s">
        <v>8</v>
      </c>
      <c r="I3150" s="36"/>
      <c r="J3150" s="36"/>
    </row>
    <row r="3151" spans="1:10" x14ac:dyDescent="0.25">
      <c r="A3151" s="36">
        <v>1861</v>
      </c>
      <c r="B3151" s="37">
        <v>44166</v>
      </c>
      <c r="C3151" s="36"/>
      <c r="D3151" s="36"/>
      <c r="E3151" s="36" t="s">
        <v>135</v>
      </c>
      <c r="F3151" s="38">
        <v>48811000</v>
      </c>
      <c r="G3151" s="36" t="s">
        <v>8</v>
      </c>
      <c r="H3151" s="36" t="s">
        <v>8</v>
      </c>
      <c r="I3151" s="36"/>
      <c r="J3151" s="36"/>
    </row>
    <row r="3152" spans="1:10" x14ac:dyDescent="0.25">
      <c r="A3152" s="36">
        <v>1873</v>
      </c>
      <c r="B3152" s="37">
        <v>43466</v>
      </c>
      <c r="C3152" s="36"/>
      <c r="D3152" s="36"/>
      <c r="E3152" s="36" t="s">
        <v>135</v>
      </c>
      <c r="F3152" s="38">
        <v>6950000</v>
      </c>
      <c r="G3152" s="36" t="s">
        <v>8</v>
      </c>
      <c r="H3152" s="36" t="s">
        <v>8</v>
      </c>
      <c r="I3152" s="36"/>
      <c r="J3152" s="36"/>
    </row>
    <row r="3153" spans="1:10" x14ac:dyDescent="0.25">
      <c r="A3153" s="36">
        <v>1873</v>
      </c>
      <c r="B3153" s="37">
        <v>43497</v>
      </c>
      <c r="C3153" s="36"/>
      <c r="D3153" s="36"/>
      <c r="E3153" s="36" t="s">
        <v>135</v>
      </c>
      <c r="F3153" s="38">
        <v>6950000</v>
      </c>
      <c r="G3153" s="36" t="s">
        <v>8</v>
      </c>
      <c r="H3153" s="36" t="s">
        <v>8</v>
      </c>
      <c r="I3153" s="36"/>
      <c r="J3153" s="36"/>
    </row>
    <row r="3154" spans="1:10" x14ac:dyDescent="0.25">
      <c r="A3154" s="36">
        <v>1873</v>
      </c>
      <c r="B3154" s="37">
        <v>43525</v>
      </c>
      <c r="C3154" s="36"/>
      <c r="D3154" s="36"/>
      <c r="E3154" s="36" t="s">
        <v>135</v>
      </c>
      <c r="F3154" s="38">
        <v>6950000</v>
      </c>
      <c r="G3154" s="36" t="s">
        <v>8</v>
      </c>
      <c r="H3154" s="36" t="s">
        <v>8</v>
      </c>
      <c r="I3154" s="36"/>
      <c r="J3154" s="36"/>
    </row>
    <row r="3155" spans="1:10" x14ac:dyDescent="0.25">
      <c r="A3155" s="36">
        <v>1873</v>
      </c>
      <c r="B3155" s="37">
        <v>43556</v>
      </c>
      <c r="C3155" s="36"/>
      <c r="D3155" s="36"/>
      <c r="E3155" s="36" t="s">
        <v>135</v>
      </c>
      <c r="F3155" s="38">
        <v>6950000</v>
      </c>
      <c r="G3155" s="36" t="s">
        <v>8</v>
      </c>
      <c r="H3155" s="36" t="s">
        <v>8</v>
      </c>
      <c r="I3155" s="36"/>
      <c r="J3155" s="36"/>
    </row>
    <row r="3156" spans="1:10" x14ac:dyDescent="0.25">
      <c r="A3156" s="36">
        <v>1873</v>
      </c>
      <c r="B3156" s="37">
        <v>43586</v>
      </c>
      <c r="C3156" s="36"/>
      <c r="D3156" s="36"/>
      <c r="E3156" s="36" t="s">
        <v>135</v>
      </c>
      <c r="F3156" s="38">
        <v>6950000</v>
      </c>
      <c r="G3156" s="36" t="s">
        <v>8</v>
      </c>
      <c r="H3156" s="36" t="s">
        <v>8</v>
      </c>
      <c r="I3156" s="36"/>
      <c r="J3156" s="36"/>
    </row>
    <row r="3157" spans="1:10" x14ac:dyDescent="0.25">
      <c r="A3157" s="36">
        <v>1873</v>
      </c>
      <c r="B3157" s="37">
        <v>43617</v>
      </c>
      <c r="C3157" s="36"/>
      <c r="D3157" s="36"/>
      <c r="E3157" s="36" t="s">
        <v>135</v>
      </c>
      <c r="F3157" s="38">
        <v>6950000</v>
      </c>
      <c r="G3157" s="36" t="s">
        <v>8</v>
      </c>
      <c r="H3157" s="36" t="s">
        <v>8</v>
      </c>
      <c r="I3157" s="36"/>
      <c r="J3157" s="36"/>
    </row>
    <row r="3158" spans="1:10" x14ac:dyDescent="0.25">
      <c r="A3158" s="36">
        <v>1873</v>
      </c>
      <c r="B3158" s="37">
        <v>43647</v>
      </c>
      <c r="C3158" s="36"/>
      <c r="D3158" s="36"/>
      <c r="E3158" s="36" t="s">
        <v>135</v>
      </c>
      <c r="F3158" s="38">
        <v>6950000</v>
      </c>
      <c r="G3158" s="36" t="s">
        <v>8</v>
      </c>
      <c r="H3158" s="36" t="s">
        <v>8</v>
      </c>
      <c r="I3158" s="36"/>
      <c r="J3158" s="36"/>
    </row>
    <row r="3159" spans="1:10" x14ac:dyDescent="0.25">
      <c r="A3159" s="36">
        <v>1873</v>
      </c>
      <c r="B3159" s="37">
        <v>43678</v>
      </c>
      <c r="C3159" s="36"/>
      <c r="D3159" s="36"/>
      <c r="E3159" s="36" t="s">
        <v>135</v>
      </c>
      <c r="F3159" s="38">
        <v>6950000</v>
      </c>
      <c r="G3159" s="36" t="s">
        <v>8</v>
      </c>
      <c r="H3159" s="36" t="s">
        <v>8</v>
      </c>
      <c r="I3159" s="36"/>
      <c r="J3159" s="36"/>
    </row>
    <row r="3160" spans="1:10" x14ac:dyDescent="0.25">
      <c r="A3160" s="36">
        <v>1873</v>
      </c>
      <c r="B3160" s="37">
        <v>43709</v>
      </c>
      <c r="C3160" s="36"/>
      <c r="D3160" s="36"/>
      <c r="E3160" s="36" t="s">
        <v>135</v>
      </c>
      <c r="F3160" s="38">
        <v>6950000</v>
      </c>
      <c r="G3160" s="36" t="s">
        <v>8</v>
      </c>
      <c r="H3160" s="36" t="s">
        <v>8</v>
      </c>
      <c r="I3160" s="36"/>
      <c r="J3160" s="36"/>
    </row>
    <row r="3161" spans="1:10" x14ac:dyDescent="0.25">
      <c r="A3161" s="36">
        <v>1873</v>
      </c>
      <c r="B3161" s="37">
        <v>43739</v>
      </c>
      <c r="C3161" s="36"/>
      <c r="D3161" s="36"/>
      <c r="E3161" s="36" t="s">
        <v>135</v>
      </c>
      <c r="F3161" s="38">
        <v>6950000</v>
      </c>
      <c r="G3161" s="36" t="s">
        <v>8</v>
      </c>
      <c r="H3161" s="36" t="s">
        <v>8</v>
      </c>
      <c r="I3161" s="36"/>
      <c r="J3161" s="36"/>
    </row>
    <row r="3162" spans="1:10" x14ac:dyDescent="0.25">
      <c r="A3162" s="36">
        <v>1873</v>
      </c>
      <c r="B3162" s="37">
        <v>43770</v>
      </c>
      <c r="C3162" s="36"/>
      <c r="D3162" s="36"/>
      <c r="E3162" s="36" t="s">
        <v>135</v>
      </c>
      <c r="F3162" s="38">
        <v>6950000</v>
      </c>
      <c r="G3162" s="36" t="s">
        <v>8</v>
      </c>
      <c r="H3162" s="36" t="s">
        <v>8</v>
      </c>
      <c r="I3162" s="36"/>
      <c r="J3162" s="36"/>
    </row>
    <row r="3163" spans="1:10" x14ac:dyDescent="0.25">
      <c r="A3163" s="36">
        <v>1873</v>
      </c>
      <c r="B3163" s="37">
        <v>43800</v>
      </c>
      <c r="C3163" s="36"/>
      <c r="D3163" s="36"/>
      <c r="E3163" s="36" t="s">
        <v>135</v>
      </c>
      <c r="F3163" s="38">
        <v>6950000</v>
      </c>
      <c r="G3163" s="36" t="s">
        <v>8</v>
      </c>
      <c r="H3163" s="36" t="s">
        <v>8</v>
      </c>
      <c r="I3163" s="36"/>
      <c r="J3163" s="36"/>
    </row>
    <row r="3164" spans="1:10" x14ac:dyDescent="0.25">
      <c r="A3164" s="36">
        <v>1874</v>
      </c>
      <c r="B3164" s="37">
        <v>43466</v>
      </c>
      <c r="C3164" s="36"/>
      <c r="D3164" s="36"/>
      <c r="E3164" s="36" t="s">
        <v>135</v>
      </c>
      <c r="F3164" s="38">
        <v>19400000</v>
      </c>
      <c r="G3164" s="36" t="s">
        <v>8</v>
      </c>
      <c r="H3164" s="36" t="s">
        <v>8</v>
      </c>
      <c r="I3164" s="36"/>
      <c r="J3164" s="36"/>
    </row>
    <row r="3165" spans="1:10" x14ac:dyDescent="0.25">
      <c r="A3165" s="36">
        <v>1874</v>
      </c>
      <c r="B3165" s="37">
        <v>43497</v>
      </c>
      <c r="C3165" s="36"/>
      <c r="D3165" s="36"/>
      <c r="E3165" s="36" t="s">
        <v>135</v>
      </c>
      <c r="F3165" s="38">
        <v>19400000</v>
      </c>
      <c r="G3165" s="36" t="s">
        <v>8</v>
      </c>
      <c r="H3165" s="36" t="s">
        <v>8</v>
      </c>
      <c r="I3165" s="36"/>
      <c r="J3165" s="36"/>
    </row>
    <row r="3166" spans="1:10" x14ac:dyDescent="0.25">
      <c r="A3166" s="36">
        <v>1874</v>
      </c>
      <c r="B3166" s="37">
        <v>43525</v>
      </c>
      <c r="C3166" s="36"/>
      <c r="D3166" s="36"/>
      <c r="E3166" s="36" t="s">
        <v>135</v>
      </c>
      <c r="F3166" s="38">
        <v>19400000</v>
      </c>
      <c r="G3166" s="36" t="s">
        <v>8</v>
      </c>
      <c r="H3166" s="36" t="s">
        <v>8</v>
      </c>
      <c r="I3166" s="36"/>
      <c r="J3166" s="36"/>
    </row>
    <row r="3167" spans="1:10" x14ac:dyDescent="0.25">
      <c r="A3167" s="36">
        <v>1874</v>
      </c>
      <c r="B3167" s="37">
        <v>43556</v>
      </c>
      <c r="C3167" s="36"/>
      <c r="D3167" s="36"/>
      <c r="E3167" s="36" t="s">
        <v>135</v>
      </c>
      <c r="F3167" s="38">
        <v>19400000</v>
      </c>
      <c r="G3167" s="36" t="s">
        <v>8</v>
      </c>
      <c r="H3167" s="36" t="s">
        <v>8</v>
      </c>
      <c r="I3167" s="36"/>
      <c r="J3167" s="36"/>
    </row>
    <row r="3168" spans="1:10" x14ac:dyDescent="0.25">
      <c r="A3168" s="36">
        <v>1874</v>
      </c>
      <c r="B3168" s="37">
        <v>43586</v>
      </c>
      <c r="C3168" s="36"/>
      <c r="D3168" s="36"/>
      <c r="E3168" s="36" t="s">
        <v>135</v>
      </c>
      <c r="F3168" s="38">
        <v>19400000</v>
      </c>
      <c r="G3168" s="36" t="s">
        <v>8</v>
      </c>
      <c r="H3168" s="36" t="s">
        <v>8</v>
      </c>
      <c r="I3168" s="36"/>
      <c r="J3168" s="36"/>
    </row>
    <row r="3169" spans="1:10" x14ac:dyDescent="0.25">
      <c r="A3169" s="36">
        <v>1874</v>
      </c>
      <c r="B3169" s="37">
        <v>43617</v>
      </c>
      <c r="C3169" s="36"/>
      <c r="D3169" s="36"/>
      <c r="E3169" s="36" t="s">
        <v>135</v>
      </c>
      <c r="F3169" s="38">
        <v>19400000</v>
      </c>
      <c r="G3169" s="36" t="s">
        <v>8</v>
      </c>
      <c r="H3169" s="36" t="s">
        <v>8</v>
      </c>
      <c r="I3169" s="36"/>
      <c r="J3169" s="36"/>
    </row>
    <row r="3170" spans="1:10" x14ac:dyDescent="0.25">
      <c r="A3170" s="36">
        <v>1874</v>
      </c>
      <c r="B3170" s="37">
        <v>43647</v>
      </c>
      <c r="C3170" s="36"/>
      <c r="D3170" s="36"/>
      <c r="E3170" s="36" t="s">
        <v>135</v>
      </c>
      <c r="F3170" s="38">
        <v>19400000</v>
      </c>
      <c r="G3170" s="36" t="s">
        <v>8</v>
      </c>
      <c r="H3170" s="36" t="s">
        <v>8</v>
      </c>
      <c r="I3170" s="36"/>
      <c r="J3170" s="36"/>
    </row>
    <row r="3171" spans="1:10" x14ac:dyDescent="0.25">
      <c r="A3171" s="36">
        <v>1874</v>
      </c>
      <c r="B3171" s="37">
        <v>43678</v>
      </c>
      <c r="C3171" s="36"/>
      <c r="D3171" s="36"/>
      <c r="E3171" s="36" t="s">
        <v>135</v>
      </c>
      <c r="F3171" s="38">
        <v>19400000</v>
      </c>
      <c r="G3171" s="36" t="s">
        <v>8</v>
      </c>
      <c r="H3171" s="36" t="s">
        <v>8</v>
      </c>
      <c r="I3171" s="36"/>
      <c r="J3171" s="36"/>
    </row>
    <row r="3172" spans="1:10" x14ac:dyDescent="0.25">
      <c r="A3172" s="36">
        <v>1874</v>
      </c>
      <c r="B3172" s="37">
        <v>43709</v>
      </c>
      <c r="C3172" s="36"/>
      <c r="D3172" s="36"/>
      <c r="E3172" s="36" t="s">
        <v>135</v>
      </c>
      <c r="F3172" s="38">
        <v>19400000</v>
      </c>
      <c r="G3172" s="36" t="s">
        <v>8</v>
      </c>
      <c r="H3172" s="36" t="s">
        <v>8</v>
      </c>
      <c r="I3172" s="36"/>
      <c r="J3172" s="36"/>
    </row>
    <row r="3173" spans="1:10" x14ac:dyDescent="0.25">
      <c r="A3173" s="36">
        <v>1874</v>
      </c>
      <c r="B3173" s="37">
        <v>43739</v>
      </c>
      <c r="C3173" s="36"/>
      <c r="D3173" s="36"/>
      <c r="E3173" s="36" t="s">
        <v>135</v>
      </c>
      <c r="F3173" s="38">
        <v>19400000</v>
      </c>
      <c r="G3173" s="36" t="s">
        <v>8</v>
      </c>
      <c r="H3173" s="36" t="s">
        <v>8</v>
      </c>
      <c r="I3173" s="36"/>
      <c r="J3173" s="36"/>
    </row>
    <row r="3174" spans="1:10" x14ac:dyDescent="0.25">
      <c r="A3174" s="36">
        <v>1883</v>
      </c>
      <c r="B3174" s="37">
        <v>43466</v>
      </c>
      <c r="C3174" s="36"/>
      <c r="D3174" s="36"/>
      <c r="E3174" s="36" t="s">
        <v>135</v>
      </c>
      <c r="F3174" s="38">
        <v>11029019</v>
      </c>
      <c r="G3174" s="36" t="s">
        <v>8</v>
      </c>
      <c r="H3174" s="36" t="s">
        <v>8</v>
      </c>
      <c r="I3174" s="36"/>
      <c r="J3174" s="36"/>
    </row>
    <row r="3175" spans="1:10" x14ac:dyDescent="0.25">
      <c r="A3175" s="36">
        <v>1883</v>
      </c>
      <c r="B3175" s="37">
        <v>43497</v>
      </c>
      <c r="C3175" s="36"/>
      <c r="D3175" s="36"/>
      <c r="E3175" s="36" t="s">
        <v>135</v>
      </c>
      <c r="F3175" s="38">
        <v>11029019</v>
      </c>
      <c r="G3175" s="36" t="s">
        <v>8</v>
      </c>
      <c r="H3175" s="36" t="s">
        <v>8</v>
      </c>
      <c r="I3175" s="36"/>
      <c r="J3175" s="36"/>
    </row>
    <row r="3176" spans="1:10" x14ac:dyDescent="0.25">
      <c r="A3176" s="36">
        <v>1883</v>
      </c>
      <c r="B3176" s="37">
        <v>43525</v>
      </c>
      <c r="C3176" s="36"/>
      <c r="D3176" s="36"/>
      <c r="E3176" s="36" t="s">
        <v>135</v>
      </c>
      <c r="F3176" s="38">
        <v>11029019</v>
      </c>
      <c r="G3176" s="36" t="s">
        <v>8</v>
      </c>
      <c r="H3176" s="36" t="s">
        <v>8</v>
      </c>
      <c r="I3176" s="36"/>
      <c r="J3176" s="36"/>
    </row>
    <row r="3177" spans="1:10" x14ac:dyDescent="0.25">
      <c r="A3177" s="36">
        <v>1883</v>
      </c>
      <c r="B3177" s="37">
        <v>43556</v>
      </c>
      <c r="C3177" s="36"/>
      <c r="D3177" s="36"/>
      <c r="E3177" s="36" t="s">
        <v>135</v>
      </c>
      <c r="F3177" s="38">
        <v>11029019</v>
      </c>
      <c r="G3177" s="36" t="s">
        <v>8</v>
      </c>
      <c r="H3177" s="36" t="s">
        <v>8</v>
      </c>
      <c r="I3177" s="36"/>
      <c r="J3177" s="36"/>
    </row>
    <row r="3178" spans="1:10" x14ac:dyDescent="0.25">
      <c r="A3178" s="36">
        <v>1883</v>
      </c>
      <c r="B3178" s="37">
        <v>43586</v>
      </c>
      <c r="C3178" s="36"/>
      <c r="D3178" s="36"/>
      <c r="E3178" s="36" t="s">
        <v>135</v>
      </c>
      <c r="F3178" s="38">
        <v>11029019</v>
      </c>
      <c r="G3178" s="36" t="s">
        <v>8</v>
      </c>
      <c r="H3178" s="36" t="s">
        <v>8</v>
      </c>
      <c r="I3178" s="36"/>
      <c r="J3178" s="36"/>
    </row>
    <row r="3179" spans="1:10" x14ac:dyDescent="0.25">
      <c r="A3179" s="36">
        <v>1883</v>
      </c>
      <c r="B3179" s="37">
        <v>43617</v>
      </c>
      <c r="C3179" s="36"/>
      <c r="D3179" s="36"/>
      <c r="E3179" s="36" t="s">
        <v>135</v>
      </c>
      <c r="F3179" s="38">
        <v>11029019</v>
      </c>
      <c r="G3179" s="36" t="s">
        <v>8</v>
      </c>
      <c r="H3179" s="36" t="s">
        <v>8</v>
      </c>
      <c r="I3179" s="36"/>
      <c r="J3179" s="36"/>
    </row>
    <row r="3180" spans="1:10" x14ac:dyDescent="0.25">
      <c r="A3180" s="36">
        <v>1883</v>
      </c>
      <c r="B3180" s="37">
        <v>43647</v>
      </c>
      <c r="C3180" s="36"/>
      <c r="D3180" s="36"/>
      <c r="E3180" s="36" t="s">
        <v>135</v>
      </c>
      <c r="F3180" s="38">
        <v>11029019</v>
      </c>
      <c r="G3180" s="36" t="s">
        <v>8</v>
      </c>
      <c r="H3180" s="36" t="s">
        <v>8</v>
      </c>
      <c r="I3180" s="36"/>
      <c r="J3180" s="36"/>
    </row>
    <row r="3181" spans="1:10" x14ac:dyDescent="0.25">
      <c r="A3181" s="36">
        <v>1883</v>
      </c>
      <c r="B3181" s="37">
        <v>43678</v>
      </c>
      <c r="C3181" s="36"/>
      <c r="D3181" s="36"/>
      <c r="E3181" s="36" t="s">
        <v>135</v>
      </c>
      <c r="F3181" s="38">
        <v>11029019</v>
      </c>
      <c r="G3181" s="36" t="s">
        <v>8</v>
      </c>
      <c r="H3181" s="36" t="s">
        <v>8</v>
      </c>
      <c r="I3181" s="36"/>
      <c r="J3181" s="36"/>
    </row>
    <row r="3182" spans="1:10" x14ac:dyDescent="0.25">
      <c r="A3182" s="36">
        <v>1883</v>
      </c>
      <c r="B3182" s="37">
        <v>43709</v>
      </c>
      <c r="C3182" s="36"/>
      <c r="D3182" s="36"/>
      <c r="E3182" s="36" t="s">
        <v>135</v>
      </c>
      <c r="F3182" s="38">
        <v>11029019</v>
      </c>
      <c r="G3182" s="36" t="s">
        <v>8</v>
      </c>
      <c r="H3182" s="36" t="s">
        <v>8</v>
      </c>
      <c r="I3182" s="36"/>
      <c r="J3182" s="36"/>
    </row>
    <row r="3183" spans="1:10" x14ac:dyDescent="0.25">
      <c r="A3183" s="36">
        <v>1883</v>
      </c>
      <c r="B3183" s="37">
        <v>43739</v>
      </c>
      <c r="C3183" s="36"/>
      <c r="D3183" s="36"/>
      <c r="E3183" s="36" t="s">
        <v>135</v>
      </c>
      <c r="F3183" s="38">
        <v>11029019</v>
      </c>
      <c r="G3183" s="36" t="s">
        <v>8</v>
      </c>
      <c r="H3183" s="36" t="s">
        <v>8</v>
      </c>
      <c r="I3183" s="36"/>
      <c r="J3183" s="36"/>
    </row>
    <row r="3184" spans="1:10" x14ac:dyDescent="0.25">
      <c r="A3184" s="36">
        <v>1883</v>
      </c>
      <c r="B3184" s="37">
        <v>43770</v>
      </c>
      <c r="C3184" s="36"/>
      <c r="D3184" s="36"/>
      <c r="E3184" s="36" t="s">
        <v>135</v>
      </c>
      <c r="F3184" s="38">
        <v>11029019</v>
      </c>
      <c r="G3184" s="36" t="s">
        <v>8</v>
      </c>
      <c r="H3184" s="36" t="s">
        <v>8</v>
      </c>
      <c r="I3184" s="36"/>
      <c r="J3184" s="36"/>
    </row>
    <row r="3185" spans="1:10" x14ac:dyDescent="0.25">
      <c r="A3185" s="36">
        <v>1883</v>
      </c>
      <c r="B3185" s="37">
        <v>43800</v>
      </c>
      <c r="C3185" s="36"/>
      <c r="D3185" s="36"/>
      <c r="E3185" s="36" t="s">
        <v>135</v>
      </c>
      <c r="F3185" s="38">
        <v>11029019</v>
      </c>
      <c r="G3185" s="36" t="s">
        <v>8</v>
      </c>
      <c r="H3185" s="36" t="s">
        <v>8</v>
      </c>
      <c r="I3185" s="36"/>
      <c r="J3185" s="36"/>
    </row>
    <row r="3186" spans="1:10" x14ac:dyDescent="0.25">
      <c r="A3186" s="36">
        <v>1883</v>
      </c>
      <c r="B3186" s="37">
        <v>43831</v>
      </c>
      <c r="C3186" s="36"/>
      <c r="D3186" s="36"/>
      <c r="E3186" s="36" t="s">
        <v>135</v>
      </c>
      <c r="F3186" s="38">
        <v>11029019</v>
      </c>
      <c r="G3186" s="36" t="s">
        <v>8</v>
      </c>
      <c r="H3186" s="36" t="s">
        <v>8</v>
      </c>
      <c r="I3186" s="36"/>
      <c r="J3186" s="36"/>
    </row>
    <row r="3187" spans="1:10" x14ac:dyDescent="0.25">
      <c r="A3187" s="36">
        <v>1883</v>
      </c>
      <c r="B3187" s="37">
        <v>43862</v>
      </c>
      <c r="C3187" s="36"/>
      <c r="D3187" s="36"/>
      <c r="E3187" s="36" t="s">
        <v>135</v>
      </c>
      <c r="F3187" s="38">
        <v>11029019</v>
      </c>
      <c r="G3187" s="36" t="s">
        <v>8</v>
      </c>
      <c r="H3187" s="36" t="s">
        <v>8</v>
      </c>
      <c r="I3187" s="36"/>
      <c r="J3187" s="36"/>
    </row>
    <row r="3188" spans="1:10" x14ac:dyDescent="0.25">
      <c r="A3188" s="36">
        <v>1883</v>
      </c>
      <c r="B3188" s="37">
        <v>43891</v>
      </c>
      <c r="C3188" s="36"/>
      <c r="D3188" s="36"/>
      <c r="E3188" s="36" t="s">
        <v>135</v>
      </c>
      <c r="F3188" s="38">
        <v>11029019</v>
      </c>
      <c r="G3188" s="36" t="s">
        <v>8</v>
      </c>
      <c r="H3188" s="36" t="s">
        <v>8</v>
      </c>
      <c r="I3188" s="36"/>
      <c r="J3188" s="36"/>
    </row>
    <row r="3189" spans="1:10" x14ac:dyDescent="0.25">
      <c r="A3189" s="36">
        <v>1883</v>
      </c>
      <c r="B3189" s="37">
        <v>43922</v>
      </c>
      <c r="C3189" s="36"/>
      <c r="D3189" s="36"/>
      <c r="E3189" s="36" t="s">
        <v>135</v>
      </c>
      <c r="F3189" s="38">
        <v>11029019</v>
      </c>
      <c r="G3189" s="36" t="s">
        <v>8</v>
      </c>
      <c r="H3189" s="36" t="s">
        <v>8</v>
      </c>
      <c r="I3189" s="36"/>
      <c r="J3189" s="36"/>
    </row>
    <row r="3190" spans="1:10" x14ac:dyDescent="0.25">
      <c r="A3190" s="36">
        <v>1883</v>
      </c>
      <c r="B3190" s="37">
        <v>43952</v>
      </c>
      <c r="C3190" s="36"/>
      <c r="D3190" s="36"/>
      <c r="E3190" s="36" t="s">
        <v>135</v>
      </c>
      <c r="F3190" s="38">
        <v>11029019</v>
      </c>
      <c r="G3190" s="36" t="s">
        <v>8</v>
      </c>
      <c r="H3190" s="36" t="s">
        <v>8</v>
      </c>
      <c r="I3190" s="36"/>
      <c r="J3190" s="36"/>
    </row>
    <row r="3191" spans="1:10" x14ac:dyDescent="0.25">
      <c r="A3191" s="36">
        <v>1883</v>
      </c>
      <c r="B3191" s="37">
        <v>43983</v>
      </c>
      <c r="C3191" s="36"/>
      <c r="D3191" s="36"/>
      <c r="E3191" s="36" t="s">
        <v>135</v>
      </c>
      <c r="F3191" s="38">
        <v>11029019</v>
      </c>
      <c r="G3191" s="36" t="s">
        <v>8</v>
      </c>
      <c r="H3191" s="36" t="s">
        <v>8</v>
      </c>
      <c r="I3191" s="36"/>
      <c r="J3191" s="36"/>
    </row>
    <row r="3192" spans="1:10" x14ac:dyDescent="0.25">
      <c r="A3192" s="36">
        <v>1883</v>
      </c>
      <c r="B3192" s="37">
        <v>44013</v>
      </c>
      <c r="C3192" s="36"/>
      <c r="D3192" s="36"/>
      <c r="E3192" s="36" t="s">
        <v>135</v>
      </c>
      <c r="F3192" s="38">
        <v>11029019</v>
      </c>
      <c r="G3192" s="36" t="s">
        <v>8</v>
      </c>
      <c r="H3192" s="36" t="s">
        <v>8</v>
      </c>
      <c r="I3192" s="36"/>
      <c r="J3192" s="36"/>
    </row>
    <row r="3193" spans="1:10" x14ac:dyDescent="0.25">
      <c r="A3193" s="36">
        <v>1883</v>
      </c>
      <c r="B3193" s="37">
        <v>44044</v>
      </c>
      <c r="C3193" s="36"/>
      <c r="D3193" s="36"/>
      <c r="E3193" s="36" t="s">
        <v>135</v>
      </c>
      <c r="F3193" s="38">
        <v>11029019</v>
      </c>
      <c r="G3193" s="36" t="s">
        <v>8</v>
      </c>
      <c r="H3193" s="36" t="s">
        <v>8</v>
      </c>
      <c r="I3193" s="36"/>
      <c r="J3193" s="36"/>
    </row>
    <row r="3194" spans="1:10" x14ac:dyDescent="0.25">
      <c r="A3194" s="36">
        <v>1883</v>
      </c>
      <c r="B3194" s="37">
        <v>44075</v>
      </c>
      <c r="C3194" s="36"/>
      <c r="D3194" s="36"/>
      <c r="E3194" s="36" t="s">
        <v>135</v>
      </c>
      <c r="F3194" s="38">
        <v>11029019</v>
      </c>
      <c r="G3194" s="36" t="s">
        <v>8</v>
      </c>
      <c r="H3194" s="36" t="s">
        <v>8</v>
      </c>
      <c r="I3194" s="36"/>
      <c r="J3194" s="36"/>
    </row>
    <row r="3195" spans="1:10" x14ac:dyDescent="0.25">
      <c r="A3195" s="36">
        <v>1883</v>
      </c>
      <c r="B3195" s="37">
        <v>44105</v>
      </c>
      <c r="C3195" s="36"/>
      <c r="D3195" s="36"/>
      <c r="E3195" s="36" t="s">
        <v>135</v>
      </c>
      <c r="F3195" s="38">
        <v>11029019</v>
      </c>
      <c r="G3195" s="36" t="s">
        <v>8</v>
      </c>
      <c r="H3195" s="36" t="s">
        <v>8</v>
      </c>
      <c r="I3195" s="36"/>
      <c r="J3195" s="36"/>
    </row>
    <row r="3196" spans="1:10" x14ac:dyDescent="0.25">
      <c r="A3196" s="36">
        <v>1883</v>
      </c>
      <c r="B3196" s="37">
        <v>44136</v>
      </c>
      <c r="C3196" s="36"/>
      <c r="D3196" s="36"/>
      <c r="E3196" s="36" t="s">
        <v>135</v>
      </c>
      <c r="F3196" s="38">
        <v>11029019</v>
      </c>
      <c r="G3196" s="36" t="s">
        <v>8</v>
      </c>
      <c r="H3196" s="36" t="s">
        <v>8</v>
      </c>
      <c r="I3196" s="36"/>
      <c r="J3196" s="36"/>
    </row>
    <row r="3197" spans="1:10" x14ac:dyDescent="0.25">
      <c r="A3197" s="36">
        <v>1883</v>
      </c>
      <c r="B3197" s="37">
        <v>44166</v>
      </c>
      <c r="C3197" s="36"/>
      <c r="D3197" s="36"/>
      <c r="E3197" s="36" t="s">
        <v>135</v>
      </c>
      <c r="F3197" s="38">
        <v>11029019</v>
      </c>
      <c r="G3197" s="36" t="s">
        <v>8</v>
      </c>
      <c r="H3197" s="36" t="s">
        <v>8</v>
      </c>
      <c r="I3197" s="36"/>
      <c r="J3197" s="36"/>
    </row>
    <row r="3198" spans="1:10" x14ac:dyDescent="0.25">
      <c r="A3198" s="36">
        <v>1883</v>
      </c>
      <c r="B3198" s="37">
        <v>44197</v>
      </c>
      <c r="C3198" s="36"/>
      <c r="D3198" s="36"/>
      <c r="E3198" s="36" t="s">
        <v>135</v>
      </c>
      <c r="F3198" s="38">
        <v>11029019</v>
      </c>
      <c r="G3198" s="36" t="s">
        <v>8</v>
      </c>
      <c r="H3198" s="36" t="s">
        <v>8</v>
      </c>
      <c r="I3198" s="36"/>
      <c r="J3198" s="36"/>
    </row>
    <row r="3199" spans="1:10" x14ac:dyDescent="0.25">
      <c r="A3199" s="36">
        <v>1883</v>
      </c>
      <c r="B3199" s="37">
        <v>44228</v>
      </c>
      <c r="C3199" s="36"/>
      <c r="D3199" s="36"/>
      <c r="E3199" s="36" t="s">
        <v>135</v>
      </c>
      <c r="F3199" s="38">
        <v>11029019</v>
      </c>
      <c r="G3199" s="36" t="s">
        <v>8</v>
      </c>
      <c r="H3199" s="36" t="s">
        <v>8</v>
      </c>
      <c r="I3199" s="36"/>
      <c r="J3199" s="36"/>
    </row>
    <row r="3200" spans="1:10" x14ac:dyDescent="0.25">
      <c r="A3200" s="36">
        <v>1884</v>
      </c>
      <c r="B3200" s="37">
        <v>43466</v>
      </c>
      <c r="C3200" s="36"/>
      <c r="D3200" s="36"/>
      <c r="E3200" s="36" t="s">
        <v>135</v>
      </c>
      <c r="F3200" s="38">
        <v>10920000</v>
      </c>
      <c r="G3200" s="36" t="s">
        <v>8</v>
      </c>
      <c r="H3200" s="36" t="s">
        <v>8</v>
      </c>
      <c r="I3200" s="36"/>
      <c r="J3200" s="36"/>
    </row>
    <row r="3201" spans="1:10" x14ac:dyDescent="0.25">
      <c r="A3201" s="36">
        <v>1884</v>
      </c>
      <c r="B3201" s="37">
        <v>43497</v>
      </c>
      <c r="C3201" s="36"/>
      <c r="D3201" s="36"/>
      <c r="E3201" s="36" t="s">
        <v>135</v>
      </c>
      <c r="F3201" s="38">
        <v>10920000</v>
      </c>
      <c r="G3201" s="36" t="s">
        <v>8</v>
      </c>
      <c r="H3201" s="36" t="s">
        <v>8</v>
      </c>
      <c r="I3201" s="36"/>
      <c r="J3201" s="36"/>
    </row>
    <row r="3202" spans="1:10" x14ac:dyDescent="0.25">
      <c r="A3202" s="36">
        <v>1884</v>
      </c>
      <c r="B3202" s="37">
        <v>43525</v>
      </c>
      <c r="C3202" s="36"/>
      <c r="D3202" s="36"/>
      <c r="E3202" s="36" t="s">
        <v>135</v>
      </c>
      <c r="F3202" s="38">
        <v>10920000</v>
      </c>
      <c r="G3202" s="36" t="s">
        <v>8</v>
      </c>
      <c r="H3202" s="36" t="s">
        <v>8</v>
      </c>
      <c r="I3202" s="36"/>
      <c r="J3202" s="36"/>
    </row>
    <row r="3203" spans="1:10" x14ac:dyDescent="0.25">
      <c r="A3203" s="36">
        <v>1884</v>
      </c>
      <c r="B3203" s="37">
        <v>43556</v>
      </c>
      <c r="C3203" s="36"/>
      <c r="D3203" s="36"/>
      <c r="E3203" s="36" t="s">
        <v>135</v>
      </c>
      <c r="F3203" s="38">
        <v>10920000</v>
      </c>
      <c r="G3203" s="36" t="s">
        <v>8</v>
      </c>
      <c r="H3203" s="36" t="s">
        <v>8</v>
      </c>
      <c r="I3203" s="36"/>
      <c r="J3203" s="36"/>
    </row>
    <row r="3204" spans="1:10" x14ac:dyDescent="0.25">
      <c r="A3204" s="36">
        <v>1884</v>
      </c>
      <c r="B3204" s="37">
        <v>43586</v>
      </c>
      <c r="C3204" s="36"/>
      <c r="D3204" s="36"/>
      <c r="E3204" s="36" t="s">
        <v>135</v>
      </c>
      <c r="F3204" s="38">
        <v>10920000</v>
      </c>
      <c r="G3204" s="36" t="s">
        <v>8</v>
      </c>
      <c r="H3204" s="36" t="s">
        <v>8</v>
      </c>
      <c r="I3204" s="36"/>
      <c r="J3204" s="36"/>
    </row>
    <row r="3205" spans="1:10" x14ac:dyDescent="0.25">
      <c r="A3205" s="36">
        <v>1884</v>
      </c>
      <c r="B3205" s="37">
        <v>43617</v>
      </c>
      <c r="C3205" s="36"/>
      <c r="D3205" s="36"/>
      <c r="E3205" s="36" t="s">
        <v>135</v>
      </c>
      <c r="F3205" s="38">
        <v>10920000</v>
      </c>
      <c r="G3205" s="36" t="s">
        <v>8</v>
      </c>
      <c r="H3205" s="36" t="s">
        <v>8</v>
      </c>
      <c r="I3205" s="36"/>
      <c r="J3205" s="36"/>
    </row>
    <row r="3206" spans="1:10" x14ac:dyDescent="0.25">
      <c r="A3206" s="36">
        <v>1884</v>
      </c>
      <c r="B3206" s="37">
        <v>43647</v>
      </c>
      <c r="C3206" s="36"/>
      <c r="D3206" s="36"/>
      <c r="E3206" s="36" t="s">
        <v>135</v>
      </c>
      <c r="F3206" s="38">
        <v>10920000</v>
      </c>
      <c r="G3206" s="36" t="s">
        <v>8</v>
      </c>
      <c r="H3206" s="36" t="s">
        <v>8</v>
      </c>
      <c r="I3206" s="36"/>
      <c r="J3206" s="36"/>
    </row>
    <row r="3207" spans="1:10" x14ac:dyDescent="0.25">
      <c r="A3207" s="36">
        <v>1884</v>
      </c>
      <c r="B3207" s="37">
        <v>43678</v>
      </c>
      <c r="C3207" s="36"/>
      <c r="D3207" s="36"/>
      <c r="E3207" s="36" t="s">
        <v>135</v>
      </c>
      <c r="F3207" s="38">
        <v>10920000</v>
      </c>
      <c r="G3207" s="36" t="s">
        <v>8</v>
      </c>
      <c r="H3207" s="36" t="s">
        <v>8</v>
      </c>
      <c r="I3207" s="36"/>
      <c r="J3207" s="36"/>
    </row>
    <row r="3208" spans="1:10" x14ac:dyDescent="0.25">
      <c r="A3208" s="36">
        <v>1884</v>
      </c>
      <c r="B3208" s="37">
        <v>43709</v>
      </c>
      <c r="C3208" s="36"/>
      <c r="D3208" s="36"/>
      <c r="E3208" s="36" t="s">
        <v>135</v>
      </c>
      <c r="F3208" s="38">
        <v>10920000</v>
      </c>
      <c r="G3208" s="36" t="s">
        <v>8</v>
      </c>
      <c r="H3208" s="36" t="s">
        <v>8</v>
      </c>
      <c r="I3208" s="36"/>
      <c r="J3208" s="36"/>
    </row>
    <row r="3209" spans="1:10" x14ac:dyDescent="0.25">
      <c r="A3209" s="36">
        <v>1884</v>
      </c>
      <c r="B3209" s="37">
        <v>43739</v>
      </c>
      <c r="C3209" s="36"/>
      <c r="D3209" s="36"/>
      <c r="E3209" s="36" t="s">
        <v>135</v>
      </c>
      <c r="F3209" s="38">
        <v>10920000</v>
      </c>
      <c r="G3209" s="36" t="s">
        <v>8</v>
      </c>
      <c r="H3209" s="36" t="s">
        <v>8</v>
      </c>
      <c r="I3209" s="36"/>
      <c r="J3209" s="36"/>
    </row>
    <row r="3210" spans="1:10" x14ac:dyDescent="0.25">
      <c r="A3210" s="36">
        <v>1884</v>
      </c>
      <c r="B3210" s="37">
        <v>43770</v>
      </c>
      <c r="C3210" s="36"/>
      <c r="D3210" s="36"/>
      <c r="E3210" s="36" t="s">
        <v>135</v>
      </c>
      <c r="F3210" s="38">
        <v>10920000</v>
      </c>
      <c r="G3210" s="36" t="s">
        <v>8</v>
      </c>
      <c r="H3210" s="36" t="s">
        <v>8</v>
      </c>
      <c r="I3210" s="36"/>
      <c r="J3210" s="36"/>
    </row>
    <row r="3211" spans="1:10" x14ac:dyDescent="0.25">
      <c r="A3211" s="36">
        <v>1884</v>
      </c>
      <c r="B3211" s="37">
        <v>43800</v>
      </c>
      <c r="C3211" s="36"/>
      <c r="D3211" s="36"/>
      <c r="E3211" s="36" t="s">
        <v>135</v>
      </c>
      <c r="F3211" s="38">
        <v>10920000</v>
      </c>
      <c r="G3211" s="36" t="s">
        <v>8</v>
      </c>
      <c r="H3211" s="36" t="s">
        <v>8</v>
      </c>
      <c r="I3211" s="36"/>
      <c r="J3211" s="36"/>
    </row>
    <row r="3212" spans="1:10" x14ac:dyDescent="0.25">
      <c r="A3212" s="36">
        <v>1884</v>
      </c>
      <c r="B3212" s="37">
        <v>43831</v>
      </c>
      <c r="C3212" s="36"/>
      <c r="D3212" s="36"/>
      <c r="E3212" s="36" t="s">
        <v>135</v>
      </c>
      <c r="F3212" s="38">
        <v>10920000</v>
      </c>
      <c r="G3212" s="36" t="s">
        <v>8</v>
      </c>
      <c r="H3212" s="36" t="s">
        <v>8</v>
      </c>
      <c r="I3212" s="36"/>
      <c r="J3212" s="36"/>
    </row>
    <row r="3213" spans="1:10" x14ac:dyDescent="0.25">
      <c r="A3213" s="36">
        <v>1881</v>
      </c>
      <c r="B3213" s="37">
        <v>43466</v>
      </c>
      <c r="C3213" s="36"/>
      <c r="D3213" s="36"/>
      <c r="E3213" s="36" t="s">
        <v>135</v>
      </c>
      <c r="F3213" s="38">
        <v>8200000</v>
      </c>
      <c r="G3213" s="36" t="s">
        <v>8</v>
      </c>
      <c r="H3213" s="36" t="s">
        <v>8</v>
      </c>
      <c r="I3213" s="36"/>
      <c r="J3213" s="36"/>
    </row>
    <row r="3214" spans="1:10" x14ac:dyDescent="0.25">
      <c r="A3214" s="36">
        <v>1881</v>
      </c>
      <c r="B3214" s="37">
        <v>43497</v>
      </c>
      <c r="C3214" s="36"/>
      <c r="D3214" s="36"/>
      <c r="E3214" s="36" t="s">
        <v>135</v>
      </c>
      <c r="F3214" s="38">
        <v>8200000</v>
      </c>
      <c r="G3214" s="36" t="s">
        <v>8</v>
      </c>
      <c r="H3214" s="36" t="s">
        <v>8</v>
      </c>
      <c r="I3214" s="36"/>
      <c r="J3214" s="36"/>
    </row>
    <row r="3215" spans="1:10" x14ac:dyDescent="0.25">
      <c r="A3215" s="36">
        <v>1881</v>
      </c>
      <c r="B3215" s="37">
        <v>43525</v>
      </c>
      <c r="C3215" s="36"/>
      <c r="D3215" s="36"/>
      <c r="E3215" s="36" t="s">
        <v>135</v>
      </c>
      <c r="F3215" s="38">
        <v>8200000</v>
      </c>
      <c r="G3215" s="36" t="s">
        <v>8</v>
      </c>
      <c r="H3215" s="36" t="s">
        <v>8</v>
      </c>
      <c r="I3215" s="36"/>
      <c r="J3215" s="36"/>
    </row>
    <row r="3216" spans="1:10" x14ac:dyDescent="0.25">
      <c r="A3216" s="36">
        <v>1881</v>
      </c>
      <c r="B3216" s="37">
        <v>43556</v>
      </c>
      <c r="C3216" s="36"/>
      <c r="D3216" s="36"/>
      <c r="E3216" s="36" t="s">
        <v>135</v>
      </c>
      <c r="F3216" s="38">
        <v>8200000</v>
      </c>
      <c r="G3216" s="36" t="s">
        <v>8</v>
      </c>
      <c r="H3216" s="36" t="s">
        <v>8</v>
      </c>
      <c r="I3216" s="36"/>
      <c r="J3216" s="36"/>
    </row>
    <row r="3217" spans="1:10" x14ac:dyDescent="0.25">
      <c r="A3217" s="36">
        <v>1881</v>
      </c>
      <c r="B3217" s="37">
        <v>43586</v>
      </c>
      <c r="C3217" s="36"/>
      <c r="D3217" s="36"/>
      <c r="E3217" s="36" t="s">
        <v>135</v>
      </c>
      <c r="F3217" s="38">
        <v>8200000</v>
      </c>
      <c r="G3217" s="36" t="s">
        <v>8</v>
      </c>
      <c r="H3217" s="36" t="s">
        <v>8</v>
      </c>
      <c r="I3217" s="36"/>
      <c r="J3217" s="36"/>
    </row>
    <row r="3218" spans="1:10" x14ac:dyDescent="0.25">
      <c r="A3218" s="36">
        <v>1881</v>
      </c>
      <c r="B3218" s="37">
        <v>43617</v>
      </c>
      <c r="C3218" s="36"/>
      <c r="D3218" s="36"/>
      <c r="E3218" s="36" t="s">
        <v>135</v>
      </c>
      <c r="F3218" s="38">
        <v>8200000</v>
      </c>
      <c r="G3218" s="36" t="s">
        <v>8</v>
      </c>
      <c r="H3218" s="36" t="s">
        <v>8</v>
      </c>
      <c r="I3218" s="36"/>
      <c r="J3218" s="36"/>
    </row>
    <row r="3219" spans="1:10" x14ac:dyDescent="0.25">
      <c r="A3219" s="36">
        <v>1881</v>
      </c>
      <c r="B3219" s="37">
        <v>43647</v>
      </c>
      <c r="C3219" s="36"/>
      <c r="D3219" s="36"/>
      <c r="E3219" s="36" t="s">
        <v>135</v>
      </c>
      <c r="F3219" s="38">
        <v>8200000</v>
      </c>
      <c r="G3219" s="36" t="s">
        <v>8</v>
      </c>
      <c r="H3219" s="36" t="s">
        <v>8</v>
      </c>
      <c r="I3219" s="36"/>
      <c r="J3219" s="36"/>
    </row>
    <row r="3220" spans="1:10" x14ac:dyDescent="0.25">
      <c r="A3220" s="36">
        <v>1881</v>
      </c>
      <c r="B3220" s="37">
        <v>43678</v>
      </c>
      <c r="C3220" s="36"/>
      <c r="D3220" s="36"/>
      <c r="E3220" s="36" t="s">
        <v>135</v>
      </c>
      <c r="F3220" s="38">
        <v>8200000</v>
      </c>
      <c r="G3220" s="36" t="s">
        <v>8</v>
      </c>
      <c r="H3220" s="36" t="s">
        <v>8</v>
      </c>
      <c r="I3220" s="36"/>
      <c r="J3220" s="36"/>
    </row>
    <row r="3221" spans="1:10" x14ac:dyDescent="0.25">
      <c r="A3221" s="36">
        <v>1881</v>
      </c>
      <c r="B3221" s="37">
        <v>43709</v>
      </c>
      <c r="C3221" s="36"/>
      <c r="D3221" s="36"/>
      <c r="E3221" s="36" t="s">
        <v>135</v>
      </c>
      <c r="F3221" s="38">
        <v>8200000</v>
      </c>
      <c r="G3221" s="36" t="s">
        <v>8</v>
      </c>
      <c r="H3221" s="36" t="s">
        <v>8</v>
      </c>
      <c r="I3221" s="36"/>
      <c r="J3221" s="36"/>
    </row>
    <row r="3222" spans="1:10" x14ac:dyDescent="0.25">
      <c r="A3222" s="36">
        <v>1881</v>
      </c>
      <c r="B3222" s="37">
        <v>43739</v>
      </c>
      <c r="C3222" s="36"/>
      <c r="D3222" s="36"/>
      <c r="E3222" s="36" t="s">
        <v>135</v>
      </c>
      <c r="F3222" s="38">
        <v>8200000</v>
      </c>
      <c r="G3222" s="36" t="s">
        <v>8</v>
      </c>
      <c r="H3222" s="36" t="s">
        <v>8</v>
      </c>
      <c r="I3222" s="36"/>
      <c r="J3222" s="36"/>
    </row>
    <row r="3223" spans="1:10" x14ac:dyDescent="0.25">
      <c r="A3223" s="36">
        <v>1881</v>
      </c>
      <c r="B3223" s="37">
        <v>43770</v>
      </c>
      <c r="C3223" s="36"/>
      <c r="D3223" s="36"/>
      <c r="E3223" s="36" t="s">
        <v>135</v>
      </c>
      <c r="F3223" s="38">
        <v>8200000</v>
      </c>
      <c r="G3223" s="36" t="s">
        <v>8</v>
      </c>
      <c r="H3223" s="36" t="s">
        <v>8</v>
      </c>
      <c r="I3223" s="36"/>
      <c r="J3223" s="36"/>
    </row>
    <row r="3224" spans="1:10" x14ac:dyDescent="0.25">
      <c r="A3224" s="36">
        <v>1881</v>
      </c>
      <c r="B3224" s="37">
        <v>43800</v>
      </c>
      <c r="C3224" s="36"/>
      <c r="D3224" s="36"/>
      <c r="E3224" s="36" t="s">
        <v>135</v>
      </c>
      <c r="F3224" s="38">
        <v>8200000</v>
      </c>
      <c r="G3224" s="36" t="s">
        <v>8</v>
      </c>
      <c r="H3224" s="36" t="s">
        <v>8</v>
      </c>
      <c r="I3224" s="36"/>
      <c r="J3224" s="36"/>
    </row>
    <row r="3225" spans="1:10" x14ac:dyDescent="0.25">
      <c r="A3225" s="36">
        <v>1881</v>
      </c>
      <c r="B3225" s="37">
        <v>43831</v>
      </c>
      <c r="C3225" s="36"/>
      <c r="D3225" s="36"/>
      <c r="E3225" s="36" t="s">
        <v>135</v>
      </c>
      <c r="F3225" s="38">
        <v>8200000</v>
      </c>
      <c r="G3225" s="36" t="s">
        <v>8</v>
      </c>
      <c r="H3225" s="36" t="s">
        <v>8</v>
      </c>
      <c r="I3225" s="36"/>
      <c r="J3225" s="36"/>
    </row>
    <row r="3226" spans="1:10" x14ac:dyDescent="0.25">
      <c r="A3226" s="36">
        <v>1881</v>
      </c>
      <c r="B3226" s="37">
        <v>43862</v>
      </c>
      <c r="C3226" s="36"/>
      <c r="D3226" s="36"/>
      <c r="E3226" s="36" t="s">
        <v>135</v>
      </c>
      <c r="F3226" s="38">
        <v>8200000</v>
      </c>
      <c r="G3226" s="36" t="s">
        <v>8</v>
      </c>
      <c r="H3226" s="36" t="s">
        <v>8</v>
      </c>
      <c r="I3226" s="36"/>
      <c r="J3226" s="36"/>
    </row>
    <row r="3227" spans="1:10" x14ac:dyDescent="0.25">
      <c r="A3227" s="36">
        <v>1881</v>
      </c>
      <c r="B3227" s="37">
        <v>43891</v>
      </c>
      <c r="C3227" s="36"/>
      <c r="D3227" s="36"/>
      <c r="E3227" s="36" t="s">
        <v>135</v>
      </c>
      <c r="F3227" s="38">
        <v>8200000</v>
      </c>
      <c r="G3227" s="36" t="s">
        <v>8</v>
      </c>
      <c r="H3227" s="36" t="s">
        <v>8</v>
      </c>
      <c r="I3227" s="36"/>
      <c r="J3227" s="36"/>
    </row>
    <row r="3228" spans="1:10" x14ac:dyDescent="0.25">
      <c r="A3228" s="36">
        <v>1881</v>
      </c>
      <c r="B3228" s="37">
        <v>43922</v>
      </c>
      <c r="C3228" s="36"/>
      <c r="D3228" s="36"/>
      <c r="E3228" s="36" t="s">
        <v>135</v>
      </c>
      <c r="F3228" s="38">
        <v>8200000</v>
      </c>
      <c r="G3228" s="36" t="s">
        <v>8</v>
      </c>
      <c r="H3228" s="36" t="s">
        <v>8</v>
      </c>
      <c r="I3228" s="36"/>
      <c r="J3228" s="36"/>
    </row>
    <row r="3229" spans="1:10" x14ac:dyDescent="0.25">
      <c r="A3229" s="36">
        <v>1881</v>
      </c>
      <c r="B3229" s="37">
        <v>43952</v>
      </c>
      <c r="C3229" s="36"/>
      <c r="D3229" s="36"/>
      <c r="E3229" s="36" t="s">
        <v>135</v>
      </c>
      <c r="F3229" s="38">
        <v>8200000</v>
      </c>
      <c r="G3229" s="36" t="s">
        <v>8</v>
      </c>
      <c r="H3229" s="36" t="s">
        <v>8</v>
      </c>
      <c r="I3229" s="36"/>
      <c r="J3229" s="36"/>
    </row>
    <row r="3230" spans="1:10" x14ac:dyDescent="0.25">
      <c r="A3230" s="36">
        <v>1881</v>
      </c>
      <c r="B3230" s="37">
        <v>43983</v>
      </c>
      <c r="C3230" s="36"/>
      <c r="D3230" s="36"/>
      <c r="E3230" s="36" t="s">
        <v>135</v>
      </c>
      <c r="F3230" s="38">
        <v>8200000</v>
      </c>
      <c r="G3230" s="36" t="s">
        <v>8</v>
      </c>
      <c r="H3230" s="36" t="s">
        <v>8</v>
      </c>
      <c r="I3230" s="36"/>
      <c r="J3230" s="36"/>
    </row>
    <row r="3231" spans="1:10" x14ac:dyDescent="0.25">
      <c r="A3231" s="36">
        <v>1881</v>
      </c>
      <c r="B3231" s="37">
        <v>44013</v>
      </c>
      <c r="C3231" s="36"/>
      <c r="D3231" s="36"/>
      <c r="E3231" s="36" t="s">
        <v>135</v>
      </c>
      <c r="F3231" s="38">
        <v>8200000</v>
      </c>
      <c r="G3231" s="36" t="s">
        <v>8</v>
      </c>
      <c r="H3231" s="36" t="s">
        <v>8</v>
      </c>
      <c r="I3231" s="36"/>
      <c r="J3231" s="36"/>
    </row>
    <row r="3232" spans="1:10" x14ac:dyDescent="0.25">
      <c r="A3232" s="36">
        <v>1880</v>
      </c>
      <c r="B3232" s="37">
        <v>43466</v>
      </c>
      <c r="C3232" s="36"/>
      <c r="D3232" s="36"/>
      <c r="E3232" s="36" t="s">
        <v>135</v>
      </c>
      <c r="F3232" s="38">
        <v>9080000</v>
      </c>
      <c r="G3232" s="36" t="s">
        <v>8</v>
      </c>
      <c r="H3232" s="36" t="s">
        <v>8</v>
      </c>
      <c r="I3232" s="36"/>
      <c r="J3232" s="36"/>
    </row>
    <row r="3233" spans="1:10" x14ac:dyDescent="0.25">
      <c r="A3233" s="36">
        <v>1880</v>
      </c>
      <c r="B3233" s="37">
        <v>43497</v>
      </c>
      <c r="C3233" s="36"/>
      <c r="D3233" s="36"/>
      <c r="E3233" s="36" t="s">
        <v>135</v>
      </c>
      <c r="F3233" s="38">
        <v>9080000</v>
      </c>
      <c r="G3233" s="36" t="s">
        <v>8</v>
      </c>
      <c r="H3233" s="36" t="s">
        <v>8</v>
      </c>
      <c r="I3233" s="36"/>
      <c r="J3233" s="36"/>
    </row>
    <row r="3234" spans="1:10" x14ac:dyDescent="0.25">
      <c r="A3234" s="36">
        <v>1880</v>
      </c>
      <c r="B3234" s="37">
        <v>43525</v>
      </c>
      <c r="C3234" s="36"/>
      <c r="D3234" s="36"/>
      <c r="E3234" s="36" t="s">
        <v>135</v>
      </c>
      <c r="F3234" s="38">
        <v>9080000</v>
      </c>
      <c r="G3234" s="36" t="s">
        <v>8</v>
      </c>
      <c r="H3234" s="36" t="s">
        <v>8</v>
      </c>
      <c r="I3234" s="36"/>
      <c r="J3234" s="36"/>
    </row>
    <row r="3235" spans="1:10" x14ac:dyDescent="0.25">
      <c r="A3235" s="36">
        <v>1880</v>
      </c>
      <c r="B3235" s="37">
        <v>43556</v>
      </c>
      <c r="C3235" s="36"/>
      <c r="D3235" s="36"/>
      <c r="E3235" s="36" t="s">
        <v>135</v>
      </c>
      <c r="F3235" s="38">
        <v>9080000</v>
      </c>
      <c r="G3235" s="36" t="s">
        <v>8</v>
      </c>
      <c r="H3235" s="36" t="s">
        <v>8</v>
      </c>
      <c r="I3235" s="36"/>
      <c r="J3235" s="36"/>
    </row>
    <row r="3236" spans="1:10" x14ac:dyDescent="0.25">
      <c r="A3236" s="36">
        <v>1880</v>
      </c>
      <c r="B3236" s="37">
        <v>43586</v>
      </c>
      <c r="C3236" s="36"/>
      <c r="D3236" s="36"/>
      <c r="E3236" s="36" t="s">
        <v>135</v>
      </c>
      <c r="F3236" s="38">
        <v>9080000</v>
      </c>
      <c r="G3236" s="36" t="s">
        <v>8</v>
      </c>
      <c r="H3236" s="36" t="s">
        <v>8</v>
      </c>
      <c r="I3236" s="36"/>
      <c r="J3236" s="36"/>
    </row>
    <row r="3237" spans="1:10" x14ac:dyDescent="0.25">
      <c r="A3237" s="36">
        <v>1880</v>
      </c>
      <c r="B3237" s="37">
        <v>43617</v>
      </c>
      <c r="C3237" s="36"/>
      <c r="D3237" s="36"/>
      <c r="E3237" s="36" t="s">
        <v>135</v>
      </c>
      <c r="F3237" s="38">
        <v>9080000</v>
      </c>
      <c r="G3237" s="36" t="s">
        <v>8</v>
      </c>
      <c r="H3237" s="36" t="s">
        <v>8</v>
      </c>
      <c r="I3237" s="36"/>
      <c r="J3237" s="36"/>
    </row>
    <row r="3238" spans="1:10" x14ac:dyDescent="0.25">
      <c r="A3238" s="36">
        <v>1877</v>
      </c>
      <c r="B3238" s="37">
        <v>43466</v>
      </c>
      <c r="C3238" s="36"/>
      <c r="D3238" s="36"/>
      <c r="E3238" s="36" t="s">
        <v>135</v>
      </c>
      <c r="F3238" s="38">
        <v>27800000</v>
      </c>
      <c r="G3238" s="36" t="s">
        <v>8</v>
      </c>
      <c r="H3238" s="36" t="s">
        <v>8</v>
      </c>
      <c r="I3238" s="36"/>
      <c r="J3238" s="36"/>
    </row>
    <row r="3239" spans="1:10" x14ac:dyDescent="0.25">
      <c r="A3239" s="36">
        <v>1877</v>
      </c>
      <c r="B3239" s="37">
        <v>43497</v>
      </c>
      <c r="C3239" s="36"/>
      <c r="D3239" s="36"/>
      <c r="E3239" s="36" t="s">
        <v>135</v>
      </c>
      <c r="F3239" s="38">
        <v>27800000</v>
      </c>
      <c r="G3239" s="36" t="s">
        <v>8</v>
      </c>
      <c r="H3239" s="36" t="s">
        <v>8</v>
      </c>
      <c r="I3239" s="36"/>
      <c r="J3239" s="36"/>
    </row>
    <row r="3240" spans="1:10" x14ac:dyDescent="0.25">
      <c r="A3240" s="36">
        <v>1877</v>
      </c>
      <c r="B3240" s="37">
        <v>43525</v>
      </c>
      <c r="C3240" s="36"/>
      <c r="D3240" s="36"/>
      <c r="E3240" s="36" t="s">
        <v>135</v>
      </c>
      <c r="F3240" s="38">
        <v>27800000</v>
      </c>
      <c r="G3240" s="36" t="s">
        <v>8</v>
      </c>
      <c r="H3240" s="36" t="s">
        <v>8</v>
      </c>
      <c r="I3240" s="36"/>
      <c r="J3240" s="36"/>
    </row>
    <row r="3241" spans="1:10" x14ac:dyDescent="0.25">
      <c r="A3241" s="36">
        <v>1877</v>
      </c>
      <c r="B3241" s="37">
        <v>43556</v>
      </c>
      <c r="C3241" s="36"/>
      <c r="D3241" s="36"/>
      <c r="E3241" s="36" t="s">
        <v>135</v>
      </c>
      <c r="F3241" s="38">
        <v>27800000</v>
      </c>
      <c r="G3241" s="36" t="s">
        <v>8</v>
      </c>
      <c r="H3241" s="36" t="s">
        <v>8</v>
      </c>
      <c r="I3241" s="36"/>
      <c r="J3241" s="36"/>
    </row>
    <row r="3242" spans="1:10" x14ac:dyDescent="0.25">
      <c r="A3242" s="36">
        <v>1877</v>
      </c>
      <c r="B3242" s="37">
        <v>43586</v>
      </c>
      <c r="C3242" s="36"/>
      <c r="D3242" s="36"/>
      <c r="E3242" s="36" t="s">
        <v>135</v>
      </c>
      <c r="F3242" s="38">
        <v>27800000</v>
      </c>
      <c r="G3242" s="36" t="s">
        <v>8</v>
      </c>
      <c r="H3242" s="36" t="s">
        <v>8</v>
      </c>
      <c r="I3242" s="36"/>
      <c r="J3242" s="36"/>
    </row>
    <row r="3243" spans="1:10" x14ac:dyDescent="0.25">
      <c r="A3243" s="36">
        <v>1877</v>
      </c>
      <c r="B3243" s="37">
        <v>43617</v>
      </c>
      <c r="C3243" s="36"/>
      <c r="D3243" s="36"/>
      <c r="E3243" s="36" t="s">
        <v>135</v>
      </c>
      <c r="F3243" s="38">
        <v>27800000</v>
      </c>
      <c r="G3243" s="36" t="s">
        <v>8</v>
      </c>
      <c r="H3243" s="36" t="s">
        <v>8</v>
      </c>
      <c r="I3243" s="36"/>
      <c r="J3243" s="36"/>
    </row>
    <row r="3244" spans="1:10" x14ac:dyDescent="0.25">
      <c r="A3244" s="36">
        <v>1877</v>
      </c>
      <c r="B3244" s="37">
        <v>43647</v>
      </c>
      <c r="C3244" s="36"/>
      <c r="D3244" s="36"/>
      <c r="E3244" s="36" t="s">
        <v>135</v>
      </c>
      <c r="F3244" s="38">
        <v>27800000</v>
      </c>
      <c r="G3244" s="36" t="s">
        <v>8</v>
      </c>
      <c r="H3244" s="36" t="s">
        <v>8</v>
      </c>
      <c r="I3244" s="36"/>
      <c r="J3244" s="36"/>
    </row>
    <row r="3245" spans="1:10" x14ac:dyDescent="0.25">
      <c r="A3245" s="36">
        <v>1877</v>
      </c>
      <c r="B3245" s="37">
        <v>43678</v>
      </c>
      <c r="C3245" s="36"/>
      <c r="D3245" s="36"/>
      <c r="E3245" s="36" t="s">
        <v>135</v>
      </c>
      <c r="F3245" s="38">
        <v>27800000</v>
      </c>
      <c r="G3245" s="36" t="s">
        <v>8</v>
      </c>
      <c r="H3245" s="36" t="s">
        <v>8</v>
      </c>
      <c r="I3245" s="36"/>
      <c r="J3245" s="36"/>
    </row>
    <row r="3246" spans="1:10" x14ac:dyDescent="0.25">
      <c r="A3246" s="36">
        <v>1877</v>
      </c>
      <c r="B3246" s="37">
        <v>43709</v>
      </c>
      <c r="C3246" s="36"/>
      <c r="D3246" s="36"/>
      <c r="E3246" s="36" t="s">
        <v>135</v>
      </c>
      <c r="F3246" s="38">
        <v>27800000</v>
      </c>
      <c r="G3246" s="36" t="s">
        <v>8</v>
      </c>
      <c r="H3246" s="36" t="s">
        <v>8</v>
      </c>
      <c r="I3246" s="36"/>
      <c r="J3246" s="36"/>
    </row>
    <row r="3247" spans="1:10" x14ac:dyDescent="0.25">
      <c r="A3247" s="36">
        <v>1877</v>
      </c>
      <c r="B3247" s="37">
        <v>43739</v>
      </c>
      <c r="C3247" s="36"/>
      <c r="D3247" s="36"/>
      <c r="E3247" s="36" t="s">
        <v>135</v>
      </c>
      <c r="F3247" s="38">
        <v>27800000</v>
      </c>
      <c r="G3247" s="36" t="s">
        <v>8</v>
      </c>
      <c r="H3247" s="36" t="s">
        <v>8</v>
      </c>
      <c r="I3247" s="36"/>
      <c r="J3247" s="36"/>
    </row>
    <row r="3248" spans="1:10" x14ac:dyDescent="0.25">
      <c r="A3248" s="36">
        <v>1877</v>
      </c>
      <c r="B3248" s="37">
        <v>43770</v>
      </c>
      <c r="C3248" s="36"/>
      <c r="D3248" s="36"/>
      <c r="E3248" s="36" t="s">
        <v>135</v>
      </c>
      <c r="F3248" s="38">
        <v>27800000</v>
      </c>
      <c r="G3248" s="36" t="s">
        <v>8</v>
      </c>
      <c r="H3248" s="36" t="s">
        <v>8</v>
      </c>
      <c r="I3248" s="36"/>
      <c r="J3248" s="36"/>
    </row>
    <row r="3249" spans="1:10" x14ac:dyDescent="0.25">
      <c r="A3249" s="36">
        <v>1877</v>
      </c>
      <c r="B3249" s="37">
        <v>43800</v>
      </c>
      <c r="C3249" s="36"/>
      <c r="D3249" s="36"/>
      <c r="E3249" s="36" t="s">
        <v>135</v>
      </c>
      <c r="F3249" s="38">
        <v>27800000</v>
      </c>
      <c r="G3249" s="36" t="s">
        <v>8</v>
      </c>
      <c r="H3249" s="36" t="s">
        <v>8</v>
      </c>
      <c r="I3249" s="36"/>
      <c r="J3249" s="36"/>
    </row>
    <row r="3250" spans="1:10" x14ac:dyDescent="0.25">
      <c r="A3250" s="36">
        <v>1877</v>
      </c>
      <c r="B3250" s="37">
        <v>43831</v>
      </c>
      <c r="C3250" s="36"/>
      <c r="D3250" s="36"/>
      <c r="E3250" s="36" t="s">
        <v>135</v>
      </c>
      <c r="F3250" s="38">
        <v>27800000</v>
      </c>
      <c r="G3250" s="36" t="s">
        <v>8</v>
      </c>
      <c r="H3250" s="36" t="s">
        <v>8</v>
      </c>
      <c r="I3250" s="36"/>
      <c r="J3250" s="36"/>
    </row>
    <row r="3251" spans="1:10" x14ac:dyDescent="0.25">
      <c r="A3251" s="36">
        <v>1877</v>
      </c>
      <c r="B3251" s="37">
        <v>43862</v>
      </c>
      <c r="C3251" s="36"/>
      <c r="D3251" s="36"/>
      <c r="E3251" s="36" t="s">
        <v>135</v>
      </c>
      <c r="F3251" s="38">
        <v>27800000</v>
      </c>
      <c r="G3251" s="36" t="s">
        <v>8</v>
      </c>
      <c r="H3251" s="36" t="s">
        <v>8</v>
      </c>
      <c r="I3251" s="36"/>
      <c r="J3251" s="36"/>
    </row>
    <row r="3252" spans="1:10" x14ac:dyDescent="0.25">
      <c r="A3252" s="36">
        <v>1877</v>
      </c>
      <c r="B3252" s="37">
        <v>43891</v>
      </c>
      <c r="C3252" s="36"/>
      <c r="D3252" s="36"/>
      <c r="E3252" s="36" t="s">
        <v>135</v>
      </c>
      <c r="F3252" s="38">
        <v>27800000</v>
      </c>
      <c r="G3252" s="36" t="s">
        <v>8</v>
      </c>
      <c r="H3252" s="36" t="s">
        <v>8</v>
      </c>
      <c r="I3252" s="36"/>
      <c r="J3252" s="36"/>
    </row>
    <row r="3253" spans="1:10" x14ac:dyDescent="0.25">
      <c r="A3253" s="36">
        <v>1813</v>
      </c>
      <c r="B3253" s="37">
        <v>43466</v>
      </c>
      <c r="C3253" s="36"/>
      <c r="D3253" s="36"/>
      <c r="E3253" s="36" t="s">
        <v>135</v>
      </c>
      <c r="F3253" s="38">
        <v>0</v>
      </c>
      <c r="G3253" s="36" t="s">
        <v>8</v>
      </c>
      <c r="H3253" s="36" t="s">
        <v>8</v>
      </c>
      <c r="I3253" s="36"/>
      <c r="J3253" s="36"/>
    </row>
    <row r="3254" spans="1:10" x14ac:dyDescent="0.25">
      <c r="A3254" s="36">
        <v>1813</v>
      </c>
      <c r="B3254" s="37">
        <v>43497</v>
      </c>
      <c r="C3254" s="36"/>
      <c r="D3254" s="36"/>
      <c r="E3254" s="36" t="s">
        <v>135</v>
      </c>
      <c r="F3254" s="38">
        <v>0</v>
      </c>
      <c r="G3254" s="36" t="s">
        <v>8</v>
      </c>
      <c r="H3254" s="36" t="s">
        <v>8</v>
      </c>
      <c r="I3254" s="36"/>
      <c r="J3254" s="36"/>
    </row>
    <row r="3255" spans="1:10" x14ac:dyDescent="0.25">
      <c r="A3255" s="36">
        <v>1813</v>
      </c>
      <c r="B3255" s="37">
        <v>43525</v>
      </c>
      <c r="C3255" s="36"/>
      <c r="D3255" s="36"/>
      <c r="E3255" s="36" t="s">
        <v>135</v>
      </c>
      <c r="F3255" s="38">
        <v>0</v>
      </c>
      <c r="G3255" s="36" t="s">
        <v>8</v>
      </c>
      <c r="H3255" s="36" t="s">
        <v>8</v>
      </c>
      <c r="I3255" s="36"/>
      <c r="J3255" s="36"/>
    </row>
    <row r="3256" spans="1:10" x14ac:dyDescent="0.25">
      <c r="A3256" s="36">
        <v>1813</v>
      </c>
      <c r="B3256" s="37">
        <v>43556</v>
      </c>
      <c r="C3256" s="36"/>
      <c r="D3256" s="36"/>
      <c r="E3256" s="36" t="s">
        <v>135</v>
      </c>
      <c r="F3256" s="38">
        <v>0</v>
      </c>
      <c r="G3256" s="36" t="s">
        <v>8</v>
      </c>
      <c r="H3256" s="36" t="s">
        <v>8</v>
      </c>
      <c r="I3256" s="36"/>
      <c r="J3256" s="36"/>
    </row>
    <row r="3257" spans="1:10" x14ac:dyDescent="0.25">
      <c r="A3257" s="36">
        <v>1701</v>
      </c>
      <c r="B3257" s="37">
        <v>43466</v>
      </c>
      <c r="C3257" s="36"/>
      <c r="D3257" s="36"/>
      <c r="E3257" s="36" t="s">
        <v>135</v>
      </c>
      <c r="F3257" s="38">
        <v>19000000</v>
      </c>
      <c r="G3257" s="36" t="s">
        <v>8</v>
      </c>
      <c r="H3257" s="36" t="s">
        <v>8</v>
      </c>
      <c r="I3257" s="36"/>
      <c r="J3257" s="36"/>
    </row>
    <row r="3258" spans="1:10" x14ac:dyDescent="0.25">
      <c r="A3258" s="36">
        <v>1701</v>
      </c>
      <c r="B3258" s="37">
        <v>43497</v>
      </c>
      <c r="C3258" s="36"/>
      <c r="D3258" s="36"/>
      <c r="E3258" s="36" t="s">
        <v>135</v>
      </c>
      <c r="F3258" s="38">
        <v>19000000</v>
      </c>
      <c r="G3258" s="36" t="s">
        <v>8</v>
      </c>
      <c r="H3258" s="36" t="s">
        <v>8</v>
      </c>
      <c r="I3258" s="36"/>
      <c r="J3258" s="36"/>
    </row>
    <row r="3259" spans="1:10" x14ac:dyDescent="0.25">
      <c r="A3259" s="36">
        <v>1701</v>
      </c>
      <c r="B3259" s="37">
        <v>43525</v>
      </c>
      <c r="C3259" s="36"/>
      <c r="D3259" s="36"/>
      <c r="E3259" s="36" t="s">
        <v>135</v>
      </c>
      <c r="F3259" s="38">
        <v>19000000</v>
      </c>
      <c r="G3259" s="36" t="s">
        <v>8</v>
      </c>
      <c r="H3259" s="36" t="s">
        <v>8</v>
      </c>
      <c r="I3259" s="36"/>
      <c r="J3259" s="36"/>
    </row>
    <row r="3260" spans="1:10" x14ac:dyDescent="0.25">
      <c r="A3260" s="36">
        <v>1701</v>
      </c>
      <c r="B3260" s="37">
        <v>43556</v>
      </c>
      <c r="C3260" s="36"/>
      <c r="D3260" s="36"/>
      <c r="E3260" s="36" t="s">
        <v>135</v>
      </c>
      <c r="F3260" s="38">
        <v>19000000</v>
      </c>
      <c r="G3260" s="36" t="s">
        <v>8</v>
      </c>
      <c r="H3260" s="36" t="s">
        <v>8</v>
      </c>
      <c r="I3260" s="36"/>
      <c r="J3260" s="36"/>
    </row>
    <row r="3261" spans="1:10" x14ac:dyDescent="0.25">
      <c r="A3261" s="36">
        <v>1701</v>
      </c>
      <c r="B3261" s="37">
        <v>43586</v>
      </c>
      <c r="C3261" s="36"/>
      <c r="D3261" s="36"/>
      <c r="E3261" s="36" t="s">
        <v>135</v>
      </c>
      <c r="F3261" s="38">
        <v>19000000</v>
      </c>
      <c r="G3261" s="36" t="s">
        <v>8</v>
      </c>
      <c r="H3261" s="36" t="s">
        <v>8</v>
      </c>
      <c r="I3261" s="36"/>
      <c r="J3261" s="36"/>
    </row>
    <row r="3262" spans="1:10" x14ac:dyDescent="0.25">
      <c r="A3262" s="36">
        <v>1701</v>
      </c>
      <c r="B3262" s="37">
        <v>43617</v>
      </c>
      <c r="C3262" s="36"/>
      <c r="D3262" s="36"/>
      <c r="E3262" s="36" t="s">
        <v>135</v>
      </c>
      <c r="F3262" s="38">
        <v>19000000</v>
      </c>
      <c r="G3262" s="36" t="s">
        <v>8</v>
      </c>
      <c r="H3262" s="36" t="s">
        <v>8</v>
      </c>
      <c r="I3262" s="36"/>
      <c r="J3262" s="36"/>
    </row>
    <row r="3263" spans="1:10" x14ac:dyDescent="0.25">
      <c r="A3263" s="36">
        <v>1701</v>
      </c>
      <c r="B3263" s="37">
        <v>43647</v>
      </c>
      <c r="C3263" s="36"/>
      <c r="D3263" s="36"/>
      <c r="E3263" s="36" t="s">
        <v>135</v>
      </c>
      <c r="F3263" s="38">
        <v>19000000</v>
      </c>
      <c r="G3263" s="36" t="s">
        <v>8</v>
      </c>
      <c r="H3263" s="36" t="s">
        <v>8</v>
      </c>
      <c r="I3263" s="36"/>
      <c r="J3263" s="36"/>
    </row>
    <row r="3264" spans="1:10" x14ac:dyDescent="0.25">
      <c r="A3264" s="36">
        <v>1701</v>
      </c>
      <c r="B3264" s="37">
        <v>43678</v>
      </c>
      <c r="C3264" s="36"/>
      <c r="D3264" s="36"/>
      <c r="E3264" s="36" t="s">
        <v>135</v>
      </c>
      <c r="F3264" s="38">
        <v>19000000</v>
      </c>
      <c r="G3264" s="36" t="s">
        <v>8</v>
      </c>
      <c r="H3264" s="36" t="s">
        <v>8</v>
      </c>
      <c r="I3264" s="36"/>
      <c r="J3264" s="36"/>
    </row>
    <row r="3265" spans="1:10" x14ac:dyDescent="0.25">
      <c r="A3265" s="36">
        <v>1701</v>
      </c>
      <c r="B3265" s="37">
        <v>43709</v>
      </c>
      <c r="C3265" s="36"/>
      <c r="D3265" s="36"/>
      <c r="E3265" s="36" t="s">
        <v>135</v>
      </c>
      <c r="F3265" s="38">
        <v>19000000</v>
      </c>
      <c r="G3265" s="36" t="s">
        <v>8</v>
      </c>
      <c r="H3265" s="36" t="s">
        <v>8</v>
      </c>
      <c r="I3265" s="36"/>
      <c r="J3265" s="36"/>
    </row>
    <row r="3266" spans="1:10" x14ac:dyDescent="0.25">
      <c r="A3266" s="36">
        <v>1701</v>
      </c>
      <c r="B3266" s="37">
        <v>43739</v>
      </c>
      <c r="C3266" s="36"/>
      <c r="D3266" s="36"/>
      <c r="E3266" s="36" t="s">
        <v>135</v>
      </c>
      <c r="F3266" s="38">
        <v>19000000</v>
      </c>
      <c r="G3266" s="36" t="s">
        <v>8</v>
      </c>
      <c r="H3266" s="36" t="s">
        <v>8</v>
      </c>
      <c r="I3266" s="36"/>
      <c r="J3266" s="36"/>
    </row>
    <row r="3267" spans="1:10" x14ac:dyDescent="0.25">
      <c r="A3267" s="36">
        <v>1701</v>
      </c>
      <c r="B3267" s="37">
        <v>43770</v>
      </c>
      <c r="C3267" s="36"/>
      <c r="D3267" s="36"/>
      <c r="E3267" s="36" t="s">
        <v>135</v>
      </c>
      <c r="F3267" s="38">
        <v>19000000</v>
      </c>
      <c r="G3267" s="36" t="s">
        <v>8</v>
      </c>
      <c r="H3267" s="36" t="s">
        <v>8</v>
      </c>
      <c r="I3267" s="36"/>
      <c r="J3267" s="36"/>
    </row>
    <row r="3268" spans="1:10" x14ac:dyDescent="0.25">
      <c r="A3268" s="36">
        <v>1701</v>
      </c>
      <c r="B3268" s="37">
        <v>43800</v>
      </c>
      <c r="C3268" s="36"/>
      <c r="D3268" s="36"/>
      <c r="E3268" s="36" t="s">
        <v>135</v>
      </c>
      <c r="F3268" s="38">
        <v>19000000</v>
      </c>
      <c r="G3268" s="36" t="s">
        <v>8</v>
      </c>
      <c r="H3268" s="36" t="s">
        <v>8</v>
      </c>
      <c r="I3268" s="36"/>
      <c r="J3268" s="36"/>
    </row>
    <row r="3269" spans="1:10" x14ac:dyDescent="0.25">
      <c r="A3269" s="36">
        <v>1687</v>
      </c>
      <c r="B3269" s="37">
        <v>43466</v>
      </c>
      <c r="C3269" s="36"/>
      <c r="D3269" s="36"/>
      <c r="E3269" s="36" t="s">
        <v>135</v>
      </c>
      <c r="F3269" s="38">
        <v>32000000</v>
      </c>
      <c r="G3269" s="36" t="s">
        <v>8</v>
      </c>
      <c r="H3269" s="36" t="s">
        <v>229</v>
      </c>
      <c r="I3269" s="36"/>
      <c r="J3269" s="36"/>
    </row>
    <row r="3270" spans="1:10" x14ac:dyDescent="0.25">
      <c r="A3270" s="36">
        <v>1577</v>
      </c>
      <c r="B3270" s="37">
        <v>43466</v>
      </c>
      <c r="C3270" s="36"/>
      <c r="D3270" s="36"/>
      <c r="E3270" s="36" t="s">
        <v>135</v>
      </c>
      <c r="F3270" s="38">
        <v>33000000</v>
      </c>
      <c r="G3270" s="36" t="s">
        <v>8</v>
      </c>
      <c r="H3270" s="36" t="s">
        <v>228</v>
      </c>
      <c r="I3270" s="36"/>
      <c r="J3270" s="36"/>
    </row>
    <row r="3271" spans="1:10" x14ac:dyDescent="0.25">
      <c r="A3271" s="36">
        <v>1577</v>
      </c>
      <c r="B3271" s="37">
        <v>43497</v>
      </c>
      <c r="C3271" s="36"/>
      <c r="D3271" s="36"/>
      <c r="E3271" s="36" t="s">
        <v>135</v>
      </c>
      <c r="F3271" s="38">
        <v>33000000</v>
      </c>
      <c r="G3271" s="36" t="s">
        <v>8</v>
      </c>
      <c r="H3271" s="36" t="s">
        <v>228</v>
      </c>
      <c r="I3271" s="36"/>
      <c r="J3271" s="36"/>
    </row>
    <row r="3272" spans="1:10" x14ac:dyDescent="0.25">
      <c r="A3272" s="36">
        <v>1577</v>
      </c>
      <c r="B3272" s="37">
        <v>43525</v>
      </c>
      <c r="C3272" s="36"/>
      <c r="D3272" s="36"/>
      <c r="E3272" s="36" t="s">
        <v>135</v>
      </c>
      <c r="F3272" s="38">
        <v>33000000</v>
      </c>
      <c r="G3272" s="36" t="s">
        <v>8</v>
      </c>
      <c r="H3272" s="36" t="s">
        <v>228</v>
      </c>
      <c r="I3272" s="36"/>
      <c r="J3272" s="36"/>
    </row>
    <row r="3273" spans="1:10" x14ac:dyDescent="0.25">
      <c r="A3273" s="36">
        <v>1577</v>
      </c>
      <c r="B3273" s="37">
        <v>43556</v>
      </c>
      <c r="C3273" s="36"/>
      <c r="D3273" s="36"/>
      <c r="E3273" s="36" t="s">
        <v>135</v>
      </c>
      <c r="F3273" s="38">
        <v>33000000</v>
      </c>
      <c r="G3273" s="36" t="s">
        <v>8</v>
      </c>
      <c r="H3273" s="36" t="s">
        <v>228</v>
      </c>
      <c r="I3273" s="36"/>
      <c r="J3273" s="36"/>
    </row>
    <row r="3274" spans="1:10" x14ac:dyDescent="0.25">
      <c r="A3274" s="36">
        <v>1577</v>
      </c>
      <c r="B3274" s="37">
        <v>43586</v>
      </c>
      <c r="C3274" s="36"/>
      <c r="D3274" s="36"/>
      <c r="E3274" s="36" t="s">
        <v>135</v>
      </c>
      <c r="F3274" s="38">
        <v>33000000</v>
      </c>
      <c r="G3274" s="36" t="s">
        <v>8</v>
      </c>
      <c r="H3274" s="36" t="s">
        <v>228</v>
      </c>
      <c r="I3274" s="36"/>
      <c r="J3274" s="36"/>
    </row>
    <row r="3275" spans="1:10" x14ac:dyDescent="0.25">
      <c r="A3275" s="36">
        <v>1577</v>
      </c>
      <c r="B3275" s="37">
        <v>43617</v>
      </c>
      <c r="C3275" s="36"/>
      <c r="D3275" s="36"/>
      <c r="E3275" s="36" t="s">
        <v>135</v>
      </c>
      <c r="F3275" s="38">
        <v>15000000</v>
      </c>
      <c r="G3275" s="36" t="s">
        <v>8</v>
      </c>
      <c r="H3275" s="36" t="s">
        <v>228</v>
      </c>
      <c r="I3275" s="36"/>
      <c r="J3275" s="36"/>
    </row>
    <row r="3276" spans="1:10" x14ac:dyDescent="0.25">
      <c r="A3276" s="36">
        <v>1577</v>
      </c>
      <c r="B3276" s="37">
        <v>43647</v>
      </c>
      <c r="C3276" s="36"/>
      <c r="D3276" s="36"/>
      <c r="E3276" s="36" t="s">
        <v>135</v>
      </c>
      <c r="F3276" s="38">
        <v>15000000</v>
      </c>
      <c r="G3276" s="36" t="s">
        <v>8</v>
      </c>
      <c r="H3276" s="36" t="s">
        <v>228</v>
      </c>
      <c r="I3276" s="36"/>
      <c r="J3276" s="36"/>
    </row>
    <row r="3277" spans="1:10" x14ac:dyDescent="0.25">
      <c r="A3277" s="36">
        <v>1622</v>
      </c>
      <c r="B3277" s="37">
        <v>43466</v>
      </c>
      <c r="C3277" s="36"/>
      <c r="D3277" s="36"/>
      <c r="E3277" s="36" t="s">
        <v>135</v>
      </c>
      <c r="F3277" s="38">
        <v>36049228</v>
      </c>
      <c r="G3277" s="36" t="s">
        <v>8</v>
      </c>
      <c r="H3277" s="36" t="s">
        <v>8</v>
      </c>
      <c r="I3277" s="36"/>
      <c r="J3277" s="36"/>
    </row>
    <row r="3278" spans="1:10" x14ac:dyDescent="0.25">
      <c r="A3278" s="36">
        <v>1622</v>
      </c>
      <c r="B3278" s="37">
        <v>43497</v>
      </c>
      <c r="C3278" s="36"/>
      <c r="D3278" s="36"/>
      <c r="E3278" s="36" t="s">
        <v>135</v>
      </c>
      <c r="F3278" s="38">
        <v>36049228</v>
      </c>
      <c r="G3278" s="36" t="s">
        <v>8</v>
      </c>
      <c r="H3278" s="36" t="s">
        <v>8</v>
      </c>
      <c r="I3278" s="36"/>
      <c r="J3278" s="36"/>
    </row>
    <row r="3279" spans="1:10" x14ac:dyDescent="0.25">
      <c r="A3279" s="36">
        <v>1622</v>
      </c>
      <c r="B3279" s="37">
        <v>43525</v>
      </c>
      <c r="C3279" s="36"/>
      <c r="D3279" s="36"/>
      <c r="E3279" s="36" t="s">
        <v>135</v>
      </c>
      <c r="F3279" s="38">
        <v>36049228</v>
      </c>
      <c r="G3279" s="36" t="s">
        <v>8</v>
      </c>
      <c r="H3279" s="36" t="s">
        <v>8</v>
      </c>
      <c r="I3279" s="36"/>
      <c r="J3279" s="36"/>
    </row>
    <row r="3280" spans="1:10" x14ac:dyDescent="0.25">
      <c r="A3280" s="36">
        <v>1622</v>
      </c>
      <c r="B3280" s="37">
        <v>43466</v>
      </c>
      <c r="C3280" s="36"/>
      <c r="D3280" s="36"/>
      <c r="E3280" s="36" t="s">
        <v>135</v>
      </c>
      <c r="F3280" s="38">
        <v>44700000</v>
      </c>
      <c r="G3280" s="36" t="s">
        <v>8</v>
      </c>
      <c r="H3280" s="36" t="s">
        <v>8</v>
      </c>
      <c r="I3280" s="36"/>
      <c r="J3280" s="36"/>
    </row>
    <row r="3281" spans="1:10" x14ac:dyDescent="0.25">
      <c r="A3281" s="36">
        <v>1622</v>
      </c>
      <c r="B3281" s="37">
        <v>43497</v>
      </c>
      <c r="C3281" s="36"/>
      <c r="D3281" s="36"/>
      <c r="E3281" s="36" t="s">
        <v>135</v>
      </c>
      <c r="F3281" s="38">
        <v>44700000</v>
      </c>
      <c r="G3281" s="36" t="s">
        <v>8</v>
      </c>
      <c r="H3281" s="36" t="s">
        <v>8</v>
      </c>
      <c r="I3281" s="36"/>
      <c r="J3281" s="36"/>
    </row>
    <row r="3282" spans="1:10" x14ac:dyDescent="0.25">
      <c r="A3282" s="36">
        <v>1622</v>
      </c>
      <c r="B3282" s="37">
        <v>43525</v>
      </c>
      <c r="C3282" s="36"/>
      <c r="D3282" s="36"/>
      <c r="E3282" s="36" t="s">
        <v>135</v>
      </c>
      <c r="F3282" s="38">
        <v>44700000</v>
      </c>
      <c r="G3282" s="36" t="s">
        <v>8</v>
      </c>
      <c r="H3282" s="36" t="s">
        <v>8</v>
      </c>
      <c r="I3282" s="36"/>
      <c r="J3282" s="36"/>
    </row>
    <row r="3283" spans="1:10" x14ac:dyDescent="0.25">
      <c r="A3283" s="36">
        <v>1622</v>
      </c>
      <c r="B3283" s="37">
        <v>43556</v>
      </c>
      <c r="C3283" s="36"/>
      <c r="D3283" s="36"/>
      <c r="E3283" s="36" t="s">
        <v>135</v>
      </c>
      <c r="F3283" s="38">
        <v>44700000</v>
      </c>
      <c r="G3283" s="36" t="s">
        <v>8</v>
      </c>
      <c r="H3283" s="36" t="s">
        <v>8</v>
      </c>
      <c r="I3283" s="36"/>
      <c r="J3283" s="36"/>
    </row>
    <row r="3284" spans="1:10" x14ac:dyDescent="0.25">
      <c r="A3284" s="36">
        <v>1588</v>
      </c>
      <c r="B3284" s="37">
        <v>43466</v>
      </c>
      <c r="C3284" s="36"/>
      <c r="D3284" s="36"/>
      <c r="E3284" s="36" t="s">
        <v>135</v>
      </c>
      <c r="F3284" s="38">
        <v>20430000</v>
      </c>
      <c r="G3284" s="36" t="s">
        <v>8</v>
      </c>
      <c r="H3284" s="36" t="s">
        <v>228</v>
      </c>
      <c r="I3284" s="36"/>
      <c r="J3284" s="36"/>
    </row>
    <row r="3285" spans="1:10" x14ac:dyDescent="0.25">
      <c r="A3285" s="36">
        <v>1588</v>
      </c>
      <c r="B3285" s="37">
        <v>43497</v>
      </c>
      <c r="C3285" s="36"/>
      <c r="D3285" s="36"/>
      <c r="E3285" s="36" t="s">
        <v>135</v>
      </c>
      <c r="F3285" s="38">
        <v>20430000</v>
      </c>
      <c r="G3285" s="36" t="s">
        <v>8</v>
      </c>
      <c r="H3285" s="36" t="s">
        <v>228</v>
      </c>
      <c r="I3285" s="36"/>
      <c r="J3285" s="36"/>
    </row>
    <row r="3286" spans="1:10" x14ac:dyDescent="0.25">
      <c r="A3286" s="36">
        <v>1588</v>
      </c>
      <c r="B3286" s="37">
        <v>43525</v>
      </c>
      <c r="C3286" s="36"/>
      <c r="D3286" s="36"/>
      <c r="E3286" s="36" t="s">
        <v>135</v>
      </c>
      <c r="F3286" s="38">
        <v>20430000</v>
      </c>
      <c r="G3286" s="36" t="s">
        <v>8</v>
      </c>
      <c r="H3286" s="36" t="s">
        <v>228</v>
      </c>
      <c r="I3286" s="36"/>
      <c r="J3286" s="36"/>
    </row>
    <row r="3287" spans="1:10" x14ac:dyDescent="0.25">
      <c r="A3287" s="36">
        <v>1723</v>
      </c>
      <c r="B3287" s="37">
        <v>43466</v>
      </c>
      <c r="C3287" s="36"/>
      <c r="D3287" s="36"/>
      <c r="E3287" s="36" t="s">
        <v>135</v>
      </c>
      <c r="F3287" s="38">
        <v>48600000</v>
      </c>
      <c r="G3287" s="36" t="s">
        <v>8</v>
      </c>
      <c r="H3287" s="36" t="s">
        <v>8</v>
      </c>
      <c r="I3287" s="36"/>
      <c r="J3287" s="36"/>
    </row>
    <row r="3288" spans="1:10" x14ac:dyDescent="0.25">
      <c r="A3288" s="36">
        <v>1723</v>
      </c>
      <c r="B3288" s="37">
        <v>43497</v>
      </c>
      <c r="C3288" s="36"/>
      <c r="D3288" s="36"/>
      <c r="E3288" s="36" t="s">
        <v>135</v>
      </c>
      <c r="F3288" s="38">
        <v>48600000</v>
      </c>
      <c r="G3288" s="36" t="s">
        <v>8</v>
      </c>
      <c r="H3288" s="36" t="s">
        <v>8</v>
      </c>
      <c r="I3288" s="36"/>
      <c r="J3288" s="36"/>
    </row>
    <row r="3289" spans="1:10" x14ac:dyDescent="0.25">
      <c r="A3289" s="36">
        <v>1723</v>
      </c>
      <c r="B3289" s="37">
        <v>43525</v>
      </c>
      <c r="C3289" s="36"/>
      <c r="D3289" s="36"/>
      <c r="E3289" s="36" t="s">
        <v>135</v>
      </c>
      <c r="F3289" s="38">
        <v>48600000</v>
      </c>
      <c r="G3289" s="36" t="s">
        <v>8</v>
      </c>
      <c r="H3289" s="36" t="s">
        <v>8</v>
      </c>
      <c r="I3289" s="36"/>
      <c r="J3289" s="36"/>
    </row>
    <row r="3290" spans="1:10" x14ac:dyDescent="0.25">
      <c r="A3290" s="36">
        <v>1723</v>
      </c>
      <c r="B3290" s="37">
        <v>43556</v>
      </c>
      <c r="C3290" s="36"/>
      <c r="D3290" s="36"/>
      <c r="E3290" s="36" t="s">
        <v>135</v>
      </c>
      <c r="F3290" s="38">
        <v>48600000</v>
      </c>
      <c r="G3290" s="36" t="s">
        <v>8</v>
      </c>
      <c r="H3290" s="36" t="s">
        <v>8</v>
      </c>
      <c r="I3290" s="36"/>
      <c r="J3290" s="36"/>
    </row>
    <row r="3291" spans="1:10" x14ac:dyDescent="0.25">
      <c r="A3291" s="36">
        <v>1723</v>
      </c>
      <c r="B3291" s="37">
        <v>43586</v>
      </c>
      <c r="C3291" s="36"/>
      <c r="D3291" s="36"/>
      <c r="E3291" s="36" t="s">
        <v>135</v>
      </c>
      <c r="F3291" s="38">
        <v>48600000</v>
      </c>
      <c r="G3291" s="36" t="s">
        <v>8</v>
      </c>
      <c r="H3291" s="36" t="s">
        <v>8</v>
      </c>
      <c r="I3291" s="36"/>
      <c r="J3291" s="36"/>
    </row>
    <row r="3292" spans="1:10" x14ac:dyDescent="0.25">
      <c r="A3292" s="36">
        <v>1723</v>
      </c>
      <c r="B3292" s="37">
        <v>43617</v>
      </c>
      <c r="C3292" s="36"/>
      <c r="D3292" s="36"/>
      <c r="E3292" s="36" t="s">
        <v>135</v>
      </c>
      <c r="F3292" s="38">
        <v>48600000</v>
      </c>
      <c r="G3292" s="36" t="s">
        <v>8</v>
      </c>
      <c r="H3292" s="36" t="s">
        <v>8</v>
      </c>
      <c r="I3292" s="36"/>
      <c r="J3292" s="36"/>
    </row>
    <row r="3293" spans="1:10" x14ac:dyDescent="0.25">
      <c r="A3293" s="36">
        <v>1888</v>
      </c>
      <c r="B3293" s="37">
        <v>43525</v>
      </c>
      <c r="C3293" s="36"/>
      <c r="D3293" s="36"/>
      <c r="E3293" s="36" t="s">
        <v>135</v>
      </c>
      <c r="F3293" s="38">
        <v>6040000</v>
      </c>
      <c r="G3293" s="36" t="s">
        <v>8</v>
      </c>
      <c r="H3293" s="36" t="s">
        <v>228</v>
      </c>
      <c r="I3293" s="36"/>
      <c r="J3293" s="36"/>
    </row>
    <row r="3294" spans="1:10" x14ac:dyDescent="0.25">
      <c r="A3294" s="36">
        <v>1888</v>
      </c>
      <c r="B3294" s="37">
        <v>43556</v>
      </c>
      <c r="C3294" s="36"/>
      <c r="D3294" s="36"/>
      <c r="E3294" s="36" t="s">
        <v>135</v>
      </c>
      <c r="F3294" s="38">
        <v>6040000</v>
      </c>
      <c r="G3294" s="36" t="s">
        <v>8</v>
      </c>
      <c r="H3294" s="36" t="s">
        <v>228</v>
      </c>
      <c r="I3294" s="36"/>
      <c r="J3294" s="36"/>
    </row>
    <row r="3295" spans="1:10" x14ac:dyDescent="0.25">
      <c r="A3295" s="36">
        <v>1888</v>
      </c>
      <c r="B3295" s="37">
        <v>43586</v>
      </c>
      <c r="C3295" s="36"/>
      <c r="D3295" s="36"/>
      <c r="E3295" s="36" t="s">
        <v>135</v>
      </c>
      <c r="F3295" s="38">
        <v>6040000</v>
      </c>
      <c r="G3295" s="36" t="s">
        <v>8</v>
      </c>
      <c r="H3295" s="36" t="s">
        <v>228</v>
      </c>
      <c r="I3295" s="36"/>
      <c r="J3295" s="36"/>
    </row>
    <row r="3296" spans="1:10" x14ac:dyDescent="0.25">
      <c r="A3296" s="36">
        <v>1888</v>
      </c>
      <c r="B3296" s="37">
        <v>43617</v>
      </c>
      <c r="C3296" s="36"/>
      <c r="D3296" s="36"/>
      <c r="E3296" s="36" t="s">
        <v>135</v>
      </c>
      <c r="F3296" s="38">
        <v>6040000</v>
      </c>
      <c r="G3296" s="36" t="s">
        <v>8</v>
      </c>
      <c r="H3296" s="36" t="s">
        <v>228</v>
      </c>
      <c r="I3296" s="36"/>
      <c r="J3296" s="36"/>
    </row>
    <row r="3297" spans="1:10" x14ac:dyDescent="0.25">
      <c r="A3297" s="36">
        <v>1888</v>
      </c>
      <c r="B3297" s="37">
        <v>43525</v>
      </c>
      <c r="C3297" s="36"/>
      <c r="D3297" s="36"/>
      <c r="E3297" s="36" t="s">
        <v>135</v>
      </c>
      <c r="F3297" s="38">
        <v>19220000</v>
      </c>
      <c r="G3297" s="36" t="s">
        <v>8</v>
      </c>
      <c r="H3297" s="36" t="s">
        <v>228</v>
      </c>
      <c r="I3297" s="36"/>
      <c r="J3297" s="36"/>
    </row>
    <row r="3298" spans="1:10" x14ac:dyDescent="0.25">
      <c r="A3298" s="36">
        <v>1888</v>
      </c>
      <c r="B3298" s="37">
        <v>43556</v>
      </c>
      <c r="C3298" s="36"/>
      <c r="D3298" s="36"/>
      <c r="E3298" s="36" t="s">
        <v>135</v>
      </c>
      <c r="F3298" s="38">
        <v>19220000</v>
      </c>
      <c r="G3298" s="36" t="s">
        <v>8</v>
      </c>
      <c r="H3298" s="36" t="s">
        <v>228</v>
      </c>
      <c r="I3298" s="36"/>
      <c r="J3298" s="36"/>
    </row>
    <row r="3299" spans="1:10" x14ac:dyDescent="0.25">
      <c r="A3299" s="36">
        <v>1888</v>
      </c>
      <c r="B3299" s="37">
        <v>43586</v>
      </c>
      <c r="C3299" s="36"/>
      <c r="D3299" s="36"/>
      <c r="E3299" s="36" t="s">
        <v>135</v>
      </c>
      <c r="F3299" s="38">
        <v>19220000</v>
      </c>
      <c r="G3299" s="36" t="s">
        <v>8</v>
      </c>
      <c r="H3299" s="36" t="s">
        <v>228</v>
      </c>
      <c r="I3299" s="36"/>
      <c r="J3299" s="36"/>
    </row>
    <row r="3300" spans="1:10" x14ac:dyDescent="0.25">
      <c r="A3300" s="36">
        <v>1888</v>
      </c>
      <c r="B3300" s="37">
        <v>43617</v>
      </c>
      <c r="C3300" s="36"/>
      <c r="D3300" s="36"/>
      <c r="E3300" s="36" t="s">
        <v>135</v>
      </c>
      <c r="F3300" s="38">
        <v>19220000</v>
      </c>
      <c r="G3300" s="36" t="s">
        <v>8</v>
      </c>
      <c r="H3300" s="36" t="s">
        <v>228</v>
      </c>
      <c r="I3300" s="36"/>
      <c r="J3300" s="36"/>
    </row>
    <row r="3301" spans="1:10" x14ac:dyDescent="0.25">
      <c r="A3301" s="36">
        <v>1888</v>
      </c>
      <c r="B3301" s="37">
        <v>43647</v>
      </c>
      <c r="C3301" s="36"/>
      <c r="D3301" s="36"/>
      <c r="E3301" s="36" t="s">
        <v>135</v>
      </c>
      <c r="F3301" s="38">
        <v>19220000</v>
      </c>
      <c r="G3301" s="36" t="s">
        <v>8</v>
      </c>
      <c r="H3301" s="36" t="s">
        <v>228</v>
      </c>
      <c r="I3301" s="36"/>
      <c r="J3301" s="36"/>
    </row>
    <row r="3302" spans="1:10" x14ac:dyDescent="0.25">
      <c r="A3302" s="36">
        <v>1888</v>
      </c>
      <c r="B3302" s="37">
        <v>43678</v>
      </c>
      <c r="C3302" s="36"/>
      <c r="D3302" s="36"/>
      <c r="E3302" s="36" t="s">
        <v>135</v>
      </c>
      <c r="F3302" s="38">
        <v>19220000</v>
      </c>
      <c r="G3302" s="36" t="s">
        <v>8</v>
      </c>
      <c r="H3302" s="36" t="s">
        <v>228</v>
      </c>
      <c r="I3302" s="36"/>
      <c r="J3302" s="36"/>
    </row>
    <row r="3303" spans="1:10" x14ac:dyDescent="0.25">
      <c r="A3303" s="36">
        <v>1888</v>
      </c>
      <c r="B3303" s="37">
        <v>43709</v>
      </c>
      <c r="C3303" s="36"/>
      <c r="D3303" s="36"/>
      <c r="E3303" s="36" t="s">
        <v>135</v>
      </c>
      <c r="F3303" s="38">
        <v>19220000</v>
      </c>
      <c r="G3303" s="36" t="s">
        <v>8</v>
      </c>
      <c r="H3303" s="36" t="s">
        <v>228</v>
      </c>
      <c r="I3303" s="36"/>
      <c r="J3303" s="36"/>
    </row>
    <row r="3304" spans="1:10" x14ac:dyDescent="0.25">
      <c r="A3304" s="36">
        <v>1888</v>
      </c>
      <c r="B3304" s="37">
        <v>43739</v>
      </c>
      <c r="C3304" s="36"/>
      <c r="D3304" s="36"/>
      <c r="E3304" s="36" t="s">
        <v>135</v>
      </c>
      <c r="F3304" s="38">
        <v>19220000</v>
      </c>
      <c r="G3304" s="36" t="s">
        <v>8</v>
      </c>
      <c r="H3304" s="36" t="s">
        <v>228</v>
      </c>
      <c r="I3304" s="36"/>
      <c r="J3304" s="36"/>
    </row>
    <row r="3305" spans="1:10" x14ac:dyDescent="0.25">
      <c r="A3305" s="36">
        <v>1888</v>
      </c>
      <c r="B3305" s="37">
        <v>43770</v>
      </c>
      <c r="C3305" s="36"/>
      <c r="D3305" s="36"/>
      <c r="E3305" s="36" t="s">
        <v>135</v>
      </c>
      <c r="F3305" s="38">
        <v>19220000</v>
      </c>
      <c r="G3305" s="36" t="s">
        <v>8</v>
      </c>
      <c r="H3305" s="36" t="s">
        <v>228</v>
      </c>
      <c r="I3305" s="36"/>
      <c r="J3305" s="36"/>
    </row>
    <row r="3306" spans="1:10" x14ac:dyDescent="0.25">
      <c r="A3306" s="36">
        <v>1888</v>
      </c>
      <c r="B3306" s="37">
        <v>43800</v>
      </c>
      <c r="C3306" s="36"/>
      <c r="D3306" s="36"/>
      <c r="E3306" s="36" t="s">
        <v>135</v>
      </c>
      <c r="F3306" s="38">
        <v>19220000</v>
      </c>
      <c r="G3306" s="36" t="s">
        <v>8</v>
      </c>
      <c r="H3306" s="36" t="s">
        <v>228</v>
      </c>
      <c r="I3306" s="36"/>
      <c r="J3306" s="36"/>
    </row>
    <row r="3307" spans="1:10" x14ac:dyDescent="0.25">
      <c r="A3307" s="36">
        <v>1888</v>
      </c>
      <c r="B3307" s="37">
        <v>43831</v>
      </c>
      <c r="C3307" s="36"/>
      <c r="D3307" s="36"/>
      <c r="E3307" s="36" t="s">
        <v>135</v>
      </c>
      <c r="F3307" s="38">
        <v>19220000</v>
      </c>
      <c r="G3307" s="36" t="s">
        <v>8</v>
      </c>
      <c r="H3307" s="36" t="s">
        <v>228</v>
      </c>
      <c r="I3307" s="36"/>
      <c r="J3307" s="36"/>
    </row>
    <row r="3308" spans="1:10" x14ac:dyDescent="0.25">
      <c r="A3308" s="36">
        <v>1888</v>
      </c>
      <c r="B3308" s="37">
        <v>43862</v>
      </c>
      <c r="C3308" s="36"/>
      <c r="D3308" s="36"/>
      <c r="E3308" s="36" t="s">
        <v>135</v>
      </c>
      <c r="F3308" s="38">
        <v>19220000</v>
      </c>
      <c r="G3308" s="36" t="s">
        <v>8</v>
      </c>
      <c r="H3308" s="36" t="s">
        <v>228</v>
      </c>
      <c r="I3308" s="36"/>
      <c r="J3308" s="36"/>
    </row>
    <row r="3309" spans="1:10" x14ac:dyDescent="0.25">
      <c r="A3309" s="36">
        <v>1891</v>
      </c>
      <c r="B3309" s="37">
        <v>43497</v>
      </c>
      <c r="C3309" s="36"/>
      <c r="D3309" s="36"/>
      <c r="E3309" s="36" t="s">
        <v>135</v>
      </c>
      <c r="F3309" s="38">
        <v>23250000</v>
      </c>
      <c r="G3309" s="36" t="s">
        <v>8</v>
      </c>
      <c r="H3309" s="36" t="s">
        <v>8</v>
      </c>
      <c r="I3309" s="36"/>
      <c r="J3309" s="36"/>
    </row>
    <row r="3310" spans="1:10" x14ac:dyDescent="0.25">
      <c r="A3310" s="36">
        <v>1891</v>
      </c>
      <c r="B3310" s="37">
        <v>43525</v>
      </c>
      <c r="C3310" s="36"/>
      <c r="D3310" s="36"/>
      <c r="E3310" s="36" t="s">
        <v>135</v>
      </c>
      <c r="F3310" s="38">
        <v>23250000</v>
      </c>
      <c r="G3310" s="36" t="s">
        <v>8</v>
      </c>
      <c r="H3310" s="36" t="s">
        <v>8</v>
      </c>
      <c r="I3310" s="36"/>
      <c r="J3310" s="36"/>
    </row>
    <row r="3311" spans="1:10" x14ac:dyDescent="0.25">
      <c r="A3311" s="36">
        <v>1891</v>
      </c>
      <c r="B3311" s="37">
        <v>43556</v>
      </c>
      <c r="C3311" s="36"/>
      <c r="D3311" s="36"/>
      <c r="E3311" s="36" t="s">
        <v>135</v>
      </c>
      <c r="F3311" s="38">
        <v>23250000</v>
      </c>
      <c r="G3311" s="36" t="s">
        <v>8</v>
      </c>
      <c r="H3311" s="36" t="s">
        <v>8</v>
      </c>
      <c r="I3311" s="36"/>
      <c r="J3311" s="36"/>
    </row>
    <row r="3312" spans="1:10" x14ac:dyDescent="0.25">
      <c r="A3312" s="36">
        <v>1891</v>
      </c>
      <c r="B3312" s="37">
        <v>43586</v>
      </c>
      <c r="C3312" s="36"/>
      <c r="D3312" s="36"/>
      <c r="E3312" s="36" t="s">
        <v>135</v>
      </c>
      <c r="F3312" s="38">
        <v>23250000</v>
      </c>
      <c r="G3312" s="36" t="s">
        <v>8</v>
      </c>
      <c r="H3312" s="36" t="s">
        <v>8</v>
      </c>
      <c r="I3312" s="36"/>
      <c r="J3312" s="36"/>
    </row>
    <row r="3313" spans="1:10" x14ac:dyDescent="0.25">
      <c r="A3313" s="36">
        <v>1891</v>
      </c>
      <c r="B3313" s="37">
        <v>43617</v>
      </c>
      <c r="C3313" s="36"/>
      <c r="D3313" s="36"/>
      <c r="E3313" s="36" t="s">
        <v>135</v>
      </c>
      <c r="F3313" s="38">
        <v>23250000</v>
      </c>
      <c r="G3313" s="36" t="s">
        <v>8</v>
      </c>
      <c r="H3313" s="36" t="s">
        <v>8</v>
      </c>
      <c r="I3313" s="36"/>
      <c r="J3313" s="36"/>
    </row>
    <row r="3314" spans="1:10" x14ac:dyDescent="0.25">
      <c r="A3314" s="36">
        <v>1891</v>
      </c>
      <c r="B3314" s="37">
        <v>43647</v>
      </c>
      <c r="C3314" s="36"/>
      <c r="D3314" s="36"/>
      <c r="E3314" s="36" t="s">
        <v>135</v>
      </c>
      <c r="F3314" s="38">
        <v>23250000</v>
      </c>
      <c r="G3314" s="36" t="s">
        <v>8</v>
      </c>
      <c r="H3314" s="36" t="s">
        <v>8</v>
      </c>
      <c r="I3314" s="36"/>
      <c r="J3314" s="36"/>
    </row>
    <row r="3315" spans="1:10" x14ac:dyDescent="0.25">
      <c r="A3315" s="36">
        <v>1891</v>
      </c>
      <c r="B3315" s="37">
        <v>43678</v>
      </c>
      <c r="C3315" s="36"/>
      <c r="D3315" s="36"/>
      <c r="E3315" s="36" t="s">
        <v>135</v>
      </c>
      <c r="F3315" s="38">
        <v>23250000</v>
      </c>
      <c r="G3315" s="36" t="s">
        <v>8</v>
      </c>
      <c r="H3315" s="36" t="s">
        <v>8</v>
      </c>
      <c r="I3315" s="36"/>
      <c r="J3315" s="36"/>
    </row>
    <row r="3316" spans="1:10" x14ac:dyDescent="0.25">
      <c r="A3316" s="36">
        <v>1891</v>
      </c>
      <c r="B3316" s="37">
        <v>43709</v>
      </c>
      <c r="C3316" s="36"/>
      <c r="D3316" s="36"/>
      <c r="E3316" s="36" t="s">
        <v>135</v>
      </c>
      <c r="F3316" s="38">
        <v>23250000</v>
      </c>
      <c r="G3316" s="36" t="s">
        <v>8</v>
      </c>
      <c r="H3316" s="36" t="s">
        <v>8</v>
      </c>
      <c r="I3316" s="36"/>
      <c r="J3316" s="36"/>
    </row>
    <row r="3317" spans="1:10" x14ac:dyDescent="0.25">
      <c r="A3317" s="36">
        <v>1891</v>
      </c>
      <c r="B3317" s="37">
        <v>43739</v>
      </c>
      <c r="C3317" s="36"/>
      <c r="D3317" s="36"/>
      <c r="E3317" s="36" t="s">
        <v>135</v>
      </c>
      <c r="F3317" s="38">
        <v>23250000</v>
      </c>
      <c r="G3317" s="36" t="s">
        <v>8</v>
      </c>
      <c r="H3317" s="36" t="s">
        <v>8</v>
      </c>
      <c r="I3317" s="36"/>
      <c r="J3317" s="36"/>
    </row>
    <row r="3318" spans="1:10" x14ac:dyDescent="0.25">
      <c r="A3318" s="36">
        <v>1891</v>
      </c>
      <c r="B3318" s="37">
        <v>43770</v>
      </c>
      <c r="C3318" s="36"/>
      <c r="D3318" s="36"/>
      <c r="E3318" s="36" t="s">
        <v>135</v>
      </c>
      <c r="F3318" s="38">
        <v>23250000</v>
      </c>
      <c r="G3318" s="36" t="s">
        <v>8</v>
      </c>
      <c r="H3318" s="36" t="s">
        <v>8</v>
      </c>
      <c r="I3318" s="36"/>
      <c r="J3318" s="36"/>
    </row>
    <row r="3319" spans="1:10" x14ac:dyDescent="0.25">
      <c r="A3319" s="36">
        <v>1891</v>
      </c>
      <c r="B3319" s="37">
        <v>43800</v>
      </c>
      <c r="C3319" s="36"/>
      <c r="D3319" s="36"/>
      <c r="E3319" s="36" t="s">
        <v>135</v>
      </c>
      <c r="F3319" s="38">
        <v>23250000</v>
      </c>
      <c r="G3319" s="36" t="s">
        <v>8</v>
      </c>
      <c r="H3319" s="36" t="s">
        <v>8</v>
      </c>
      <c r="I3319" s="36"/>
      <c r="J3319" s="36"/>
    </row>
    <row r="3320" spans="1:10" x14ac:dyDescent="0.25">
      <c r="A3320" s="36">
        <v>1891</v>
      </c>
      <c r="B3320" s="37">
        <v>43831</v>
      </c>
      <c r="C3320" s="36"/>
      <c r="D3320" s="36"/>
      <c r="E3320" s="36" t="s">
        <v>135</v>
      </c>
      <c r="F3320" s="38">
        <v>23250000</v>
      </c>
      <c r="G3320" s="36" t="s">
        <v>8</v>
      </c>
      <c r="H3320" s="36" t="s">
        <v>8</v>
      </c>
      <c r="I3320" s="36"/>
      <c r="J3320" s="36"/>
    </row>
    <row r="3321" spans="1:10" x14ac:dyDescent="0.25">
      <c r="A3321" s="36">
        <v>1891</v>
      </c>
      <c r="B3321" s="37">
        <v>43862</v>
      </c>
      <c r="C3321" s="36"/>
      <c r="D3321" s="36"/>
      <c r="E3321" s="36" t="s">
        <v>135</v>
      </c>
      <c r="F3321" s="38">
        <v>23250000</v>
      </c>
      <c r="G3321" s="36" t="s">
        <v>8</v>
      </c>
      <c r="H3321" s="36" t="s">
        <v>8</v>
      </c>
      <c r="I3321" s="36"/>
      <c r="J3321" s="36"/>
    </row>
    <row r="3322" spans="1:10" x14ac:dyDescent="0.25">
      <c r="A3322" s="36">
        <v>1891</v>
      </c>
      <c r="B3322" s="37">
        <v>43891</v>
      </c>
      <c r="C3322" s="36"/>
      <c r="D3322" s="36"/>
      <c r="E3322" s="36" t="s">
        <v>135</v>
      </c>
      <c r="F3322" s="38">
        <v>23250000</v>
      </c>
      <c r="G3322" s="36" t="s">
        <v>8</v>
      </c>
      <c r="H3322" s="36" t="s">
        <v>8</v>
      </c>
      <c r="I3322" s="36"/>
      <c r="J3322" s="36"/>
    </row>
    <row r="3323" spans="1:10" x14ac:dyDescent="0.25">
      <c r="A3323" s="36">
        <v>1891</v>
      </c>
      <c r="B3323" s="37">
        <v>43922</v>
      </c>
      <c r="C3323" s="36"/>
      <c r="D3323" s="36"/>
      <c r="E3323" s="36" t="s">
        <v>135</v>
      </c>
      <c r="F3323" s="38">
        <v>23250000</v>
      </c>
      <c r="G3323" s="36" t="s">
        <v>8</v>
      </c>
      <c r="H3323" s="36" t="s">
        <v>8</v>
      </c>
      <c r="I3323" s="36"/>
      <c r="J3323" s="36"/>
    </row>
    <row r="3324" spans="1:10" x14ac:dyDescent="0.25">
      <c r="A3324" s="36">
        <v>1891</v>
      </c>
      <c r="B3324" s="37">
        <v>43952</v>
      </c>
      <c r="C3324" s="36"/>
      <c r="D3324" s="36"/>
      <c r="E3324" s="36" t="s">
        <v>135</v>
      </c>
      <c r="F3324" s="38">
        <v>23250000</v>
      </c>
      <c r="G3324" s="36" t="s">
        <v>8</v>
      </c>
      <c r="H3324" s="36" t="s">
        <v>8</v>
      </c>
      <c r="I3324" s="36"/>
      <c r="J3324" s="36"/>
    </row>
    <row r="3325" spans="1:10" x14ac:dyDescent="0.25">
      <c r="A3325" s="36">
        <v>1891</v>
      </c>
      <c r="B3325" s="37">
        <v>43983</v>
      </c>
      <c r="C3325" s="36"/>
      <c r="D3325" s="36"/>
      <c r="E3325" s="36" t="s">
        <v>135</v>
      </c>
      <c r="F3325" s="38">
        <v>23250000</v>
      </c>
      <c r="G3325" s="36" t="s">
        <v>8</v>
      </c>
      <c r="H3325" s="36" t="s">
        <v>8</v>
      </c>
      <c r="I3325" s="36"/>
      <c r="J3325" s="36"/>
    </row>
    <row r="3326" spans="1:10" x14ac:dyDescent="0.25">
      <c r="A3326" s="36">
        <v>1891</v>
      </c>
      <c r="B3326" s="37">
        <v>44013</v>
      </c>
      <c r="C3326" s="36"/>
      <c r="D3326" s="36"/>
      <c r="E3326" s="36" t="s">
        <v>135</v>
      </c>
      <c r="F3326" s="38">
        <v>23250000</v>
      </c>
      <c r="G3326" s="36" t="s">
        <v>8</v>
      </c>
      <c r="H3326" s="36" t="s">
        <v>8</v>
      </c>
      <c r="I3326" s="36"/>
      <c r="J3326" s="36"/>
    </row>
    <row r="3327" spans="1:10" x14ac:dyDescent="0.25">
      <c r="A3327" s="36">
        <v>1891</v>
      </c>
      <c r="B3327" s="37">
        <v>44044</v>
      </c>
      <c r="C3327" s="36"/>
      <c r="D3327" s="36"/>
      <c r="E3327" s="36" t="s">
        <v>135</v>
      </c>
      <c r="F3327" s="38">
        <v>23250000</v>
      </c>
      <c r="G3327" s="36" t="s">
        <v>8</v>
      </c>
      <c r="H3327" s="36" t="s">
        <v>8</v>
      </c>
      <c r="I3327" s="36"/>
      <c r="J3327" s="36"/>
    </row>
    <row r="3328" spans="1:10" x14ac:dyDescent="0.25">
      <c r="A3328" s="36">
        <v>1891</v>
      </c>
      <c r="B3328" s="37">
        <v>44075</v>
      </c>
      <c r="C3328" s="36"/>
      <c r="D3328" s="36"/>
      <c r="E3328" s="36" t="s">
        <v>135</v>
      </c>
      <c r="F3328" s="38">
        <v>23250000</v>
      </c>
      <c r="G3328" s="36" t="s">
        <v>8</v>
      </c>
      <c r="H3328" s="36" t="s">
        <v>8</v>
      </c>
      <c r="I3328" s="36"/>
      <c r="J3328" s="36"/>
    </row>
    <row r="3329" spans="1:10" x14ac:dyDescent="0.25">
      <c r="A3329" s="36">
        <v>1891</v>
      </c>
      <c r="B3329" s="37">
        <v>44105</v>
      </c>
      <c r="C3329" s="36"/>
      <c r="D3329" s="36"/>
      <c r="E3329" s="36" t="s">
        <v>135</v>
      </c>
      <c r="F3329" s="38">
        <v>23250000</v>
      </c>
      <c r="G3329" s="36" t="s">
        <v>8</v>
      </c>
      <c r="H3329" s="36" t="s">
        <v>8</v>
      </c>
      <c r="I3329" s="36"/>
      <c r="J3329" s="36"/>
    </row>
    <row r="3330" spans="1:10" x14ac:dyDescent="0.25">
      <c r="A3330" s="36">
        <v>1891</v>
      </c>
      <c r="B3330" s="37">
        <v>44136</v>
      </c>
      <c r="C3330" s="36"/>
      <c r="D3330" s="36"/>
      <c r="E3330" s="36" t="s">
        <v>135</v>
      </c>
      <c r="F3330" s="38">
        <v>23250000</v>
      </c>
      <c r="G3330" s="36" t="s">
        <v>8</v>
      </c>
      <c r="H3330" s="36" t="s">
        <v>8</v>
      </c>
      <c r="I3330" s="36"/>
      <c r="J3330" s="36"/>
    </row>
    <row r="3331" spans="1:10" x14ac:dyDescent="0.25">
      <c r="A3331" s="36">
        <v>1891</v>
      </c>
      <c r="B3331" s="37">
        <v>44166</v>
      </c>
      <c r="C3331" s="36"/>
      <c r="D3331" s="36"/>
      <c r="E3331" s="36" t="s">
        <v>135</v>
      </c>
      <c r="F3331" s="38">
        <v>23250000</v>
      </c>
      <c r="G3331" s="36" t="s">
        <v>8</v>
      </c>
      <c r="H3331" s="36" t="s">
        <v>8</v>
      </c>
      <c r="I3331" s="36"/>
      <c r="J3331" s="36"/>
    </row>
    <row r="3332" spans="1:10" x14ac:dyDescent="0.25">
      <c r="A3332" s="36">
        <v>1791</v>
      </c>
      <c r="B3332" s="37">
        <v>43466</v>
      </c>
      <c r="C3332" s="36"/>
      <c r="D3332" s="36"/>
      <c r="E3332" s="36" t="s">
        <v>135</v>
      </c>
      <c r="F3332" s="38">
        <v>60561853.894285716</v>
      </c>
      <c r="G3332" s="36" t="s">
        <v>8</v>
      </c>
      <c r="H3332" s="36" t="s">
        <v>8</v>
      </c>
      <c r="I3332" s="36"/>
      <c r="J3332" s="36"/>
    </row>
    <row r="3333" spans="1:10" x14ac:dyDescent="0.25">
      <c r="A3333" s="36">
        <v>1791</v>
      </c>
      <c r="B3333" s="37">
        <v>43497</v>
      </c>
      <c r="C3333" s="36"/>
      <c r="D3333" s="36"/>
      <c r="E3333" s="36" t="s">
        <v>135</v>
      </c>
      <c r="F3333" s="38">
        <v>60561853.894285716</v>
      </c>
      <c r="G3333" s="36" t="s">
        <v>8</v>
      </c>
      <c r="H3333" s="36" t="s">
        <v>8</v>
      </c>
      <c r="I3333" s="36"/>
      <c r="J3333" s="36"/>
    </row>
    <row r="3334" spans="1:10" x14ac:dyDescent="0.25">
      <c r="A3334" s="36">
        <v>1791</v>
      </c>
      <c r="B3334" s="37">
        <v>43525</v>
      </c>
      <c r="C3334" s="36"/>
      <c r="D3334" s="36"/>
      <c r="E3334" s="36" t="s">
        <v>135</v>
      </c>
      <c r="F3334" s="38">
        <v>60561853.894285716</v>
      </c>
      <c r="G3334" s="36" t="s">
        <v>8</v>
      </c>
      <c r="H3334" s="36" t="s">
        <v>8</v>
      </c>
      <c r="I3334" s="36"/>
      <c r="J3334" s="36"/>
    </row>
    <row r="3335" spans="1:10" x14ac:dyDescent="0.25">
      <c r="A3335" s="36">
        <v>1791</v>
      </c>
      <c r="B3335" s="37">
        <v>43556</v>
      </c>
      <c r="C3335" s="36"/>
      <c r="D3335" s="36"/>
      <c r="E3335" s="36" t="s">
        <v>135</v>
      </c>
      <c r="F3335" s="38">
        <v>60561853.894285716</v>
      </c>
      <c r="G3335" s="36" t="s">
        <v>8</v>
      </c>
      <c r="H3335" s="36" t="s">
        <v>8</v>
      </c>
      <c r="I3335" s="36"/>
      <c r="J3335" s="36"/>
    </row>
    <row r="3336" spans="1:10" x14ac:dyDescent="0.25">
      <c r="A3336" s="36">
        <v>1791</v>
      </c>
      <c r="B3336" s="37">
        <v>43586</v>
      </c>
      <c r="C3336" s="36"/>
      <c r="D3336" s="36"/>
      <c r="E3336" s="36" t="s">
        <v>135</v>
      </c>
      <c r="F3336" s="38">
        <v>60561853.894285716</v>
      </c>
      <c r="G3336" s="36" t="s">
        <v>8</v>
      </c>
      <c r="H3336" s="36" t="s">
        <v>8</v>
      </c>
      <c r="I3336" s="36"/>
      <c r="J3336" s="36"/>
    </row>
    <row r="3337" spans="1:10" x14ac:dyDescent="0.25">
      <c r="A3337" s="36">
        <v>1791</v>
      </c>
      <c r="B3337" s="37">
        <v>43617</v>
      </c>
      <c r="C3337" s="36"/>
      <c r="D3337" s="36"/>
      <c r="E3337" s="36" t="s">
        <v>135</v>
      </c>
      <c r="F3337" s="38">
        <v>60561853.894285716</v>
      </c>
      <c r="G3337" s="36" t="s">
        <v>8</v>
      </c>
      <c r="H3337" s="36" t="s">
        <v>8</v>
      </c>
      <c r="I3337" s="36"/>
      <c r="J3337" s="36"/>
    </row>
    <row r="3338" spans="1:10" x14ac:dyDescent="0.25">
      <c r="A3338" s="36">
        <v>1791</v>
      </c>
      <c r="B3338" s="37">
        <v>43647</v>
      </c>
      <c r="C3338" s="36"/>
      <c r="D3338" s="36"/>
      <c r="E3338" s="36" t="s">
        <v>135</v>
      </c>
      <c r="F3338" s="38">
        <v>60561853.894285716</v>
      </c>
      <c r="G3338" s="36" t="s">
        <v>8</v>
      </c>
      <c r="H3338" s="36" t="s">
        <v>8</v>
      </c>
      <c r="I3338" s="36"/>
      <c r="J3338" s="36"/>
    </row>
    <row r="3339" spans="1:10" x14ac:dyDescent="0.25">
      <c r="A3339" s="36">
        <v>1791</v>
      </c>
      <c r="B3339" s="37">
        <v>43678</v>
      </c>
      <c r="C3339" s="36"/>
      <c r="D3339" s="36"/>
      <c r="E3339" s="36" t="s">
        <v>135</v>
      </c>
      <c r="F3339" s="38">
        <v>60561853.894285716</v>
      </c>
      <c r="G3339" s="36" t="s">
        <v>8</v>
      </c>
      <c r="H3339" s="36" t="s">
        <v>8</v>
      </c>
      <c r="I3339" s="36"/>
      <c r="J3339" s="36"/>
    </row>
    <row r="3340" spans="1:10" x14ac:dyDescent="0.25">
      <c r="A3340" s="36">
        <v>1791</v>
      </c>
      <c r="B3340" s="37">
        <v>43709</v>
      </c>
      <c r="C3340" s="36"/>
      <c r="D3340" s="36"/>
      <c r="E3340" s="36" t="s">
        <v>135</v>
      </c>
      <c r="F3340" s="38">
        <v>60561853.894285716</v>
      </c>
      <c r="G3340" s="36" t="s">
        <v>8</v>
      </c>
      <c r="H3340" s="36" t="s">
        <v>8</v>
      </c>
      <c r="I3340" s="36"/>
      <c r="J3340" s="36"/>
    </row>
    <row r="3341" spans="1:10" x14ac:dyDescent="0.25">
      <c r="A3341" s="36">
        <v>1791</v>
      </c>
      <c r="B3341" s="37">
        <v>43739</v>
      </c>
      <c r="C3341" s="36"/>
      <c r="D3341" s="36"/>
      <c r="E3341" s="36" t="s">
        <v>135</v>
      </c>
      <c r="F3341" s="38">
        <v>60561853.894285716</v>
      </c>
      <c r="G3341" s="36" t="s">
        <v>8</v>
      </c>
      <c r="H3341" s="36" t="s">
        <v>8</v>
      </c>
      <c r="I3341" s="36"/>
      <c r="J3341" s="36"/>
    </row>
    <row r="3342" spans="1:10" x14ac:dyDescent="0.25">
      <c r="A3342" s="36">
        <v>1791</v>
      </c>
      <c r="B3342" s="37">
        <v>43770</v>
      </c>
      <c r="C3342" s="36"/>
      <c r="D3342" s="36"/>
      <c r="E3342" s="36" t="s">
        <v>135</v>
      </c>
      <c r="F3342" s="38">
        <v>60561853.894285716</v>
      </c>
      <c r="G3342" s="36" t="s">
        <v>8</v>
      </c>
      <c r="H3342" s="36" t="s">
        <v>8</v>
      </c>
      <c r="I3342" s="36"/>
      <c r="J3342" s="36"/>
    </row>
    <row r="3343" spans="1:10" x14ac:dyDescent="0.25">
      <c r="A3343" s="36">
        <v>1791</v>
      </c>
      <c r="B3343" s="37">
        <v>43800</v>
      </c>
      <c r="C3343" s="36"/>
      <c r="D3343" s="36"/>
      <c r="E3343" s="36" t="s">
        <v>135</v>
      </c>
      <c r="F3343" s="38">
        <v>60561853.894285716</v>
      </c>
      <c r="G3343" s="36" t="s">
        <v>8</v>
      </c>
      <c r="H3343" s="36" t="s">
        <v>8</v>
      </c>
      <c r="I3343" s="36"/>
      <c r="J3343" s="36"/>
    </row>
    <row r="3344" spans="1:10" x14ac:dyDescent="0.25">
      <c r="A3344" s="36">
        <v>1453</v>
      </c>
      <c r="B3344" s="37">
        <v>43466</v>
      </c>
      <c r="C3344" s="36"/>
      <c r="D3344" s="36"/>
      <c r="E3344" s="36" t="s">
        <v>135</v>
      </c>
      <c r="F3344" s="38">
        <v>15250000</v>
      </c>
      <c r="G3344" s="36" t="s">
        <v>8</v>
      </c>
      <c r="H3344" s="36" t="s">
        <v>231</v>
      </c>
      <c r="I3344" s="36"/>
      <c r="J3344" s="36"/>
    </row>
    <row r="3345" spans="1:10" x14ac:dyDescent="0.25">
      <c r="A3345" s="36">
        <v>1453</v>
      </c>
      <c r="B3345" s="37">
        <v>43497</v>
      </c>
      <c r="C3345" s="36"/>
      <c r="D3345" s="36"/>
      <c r="E3345" s="36" t="s">
        <v>135</v>
      </c>
      <c r="F3345" s="38">
        <v>15250000</v>
      </c>
      <c r="G3345" s="36" t="s">
        <v>8</v>
      </c>
      <c r="H3345" s="36" t="s">
        <v>231</v>
      </c>
      <c r="I3345" s="36"/>
      <c r="J3345" s="36"/>
    </row>
    <row r="3346" spans="1:10" x14ac:dyDescent="0.25">
      <c r="A3346" s="36">
        <v>1453</v>
      </c>
      <c r="B3346" s="37">
        <v>43525</v>
      </c>
      <c r="C3346" s="36"/>
      <c r="D3346" s="36"/>
      <c r="E3346" s="36" t="s">
        <v>135</v>
      </c>
      <c r="F3346" s="38">
        <v>15250000</v>
      </c>
      <c r="G3346" s="36" t="s">
        <v>8</v>
      </c>
      <c r="H3346" s="36" t="s">
        <v>231</v>
      </c>
      <c r="I3346" s="36"/>
      <c r="J3346" s="36"/>
    </row>
    <row r="3347" spans="1:10" x14ac:dyDescent="0.25">
      <c r="A3347" s="36">
        <v>1453</v>
      </c>
      <c r="B3347" s="37">
        <v>43556</v>
      </c>
      <c r="C3347" s="36"/>
      <c r="D3347" s="36"/>
      <c r="E3347" s="36" t="s">
        <v>135</v>
      </c>
      <c r="F3347" s="38">
        <v>15250000</v>
      </c>
      <c r="G3347" s="36" t="s">
        <v>8</v>
      </c>
      <c r="H3347" s="36" t="s">
        <v>231</v>
      </c>
      <c r="I3347" s="36"/>
      <c r="J3347" s="36"/>
    </row>
    <row r="3348" spans="1:10" x14ac:dyDescent="0.25">
      <c r="A3348" s="36">
        <v>1453</v>
      </c>
      <c r="B3348" s="37">
        <v>43586</v>
      </c>
      <c r="C3348" s="36"/>
      <c r="D3348" s="36"/>
      <c r="E3348" s="36" t="s">
        <v>135</v>
      </c>
      <c r="F3348" s="38">
        <v>15250000</v>
      </c>
      <c r="G3348" s="36" t="s">
        <v>8</v>
      </c>
      <c r="H3348" s="36" t="s">
        <v>231</v>
      </c>
      <c r="I3348" s="36"/>
      <c r="J3348" s="36"/>
    </row>
    <row r="3349" spans="1:10" x14ac:dyDescent="0.25">
      <c r="A3349" s="36">
        <v>1453</v>
      </c>
      <c r="B3349" s="37">
        <v>43617</v>
      </c>
      <c r="C3349" s="36"/>
      <c r="D3349" s="36"/>
      <c r="E3349" s="36" t="s">
        <v>135</v>
      </c>
      <c r="F3349" s="38">
        <v>15250000</v>
      </c>
      <c r="G3349" s="36" t="s">
        <v>8</v>
      </c>
      <c r="H3349" s="36" t="s">
        <v>231</v>
      </c>
      <c r="I3349" s="36"/>
      <c r="J3349" s="36"/>
    </row>
    <row r="3350" spans="1:10" x14ac:dyDescent="0.25">
      <c r="A3350" s="36">
        <v>1453</v>
      </c>
      <c r="B3350" s="37">
        <v>43647</v>
      </c>
      <c r="C3350" s="36"/>
      <c r="D3350" s="36"/>
      <c r="E3350" s="36" t="s">
        <v>135</v>
      </c>
      <c r="F3350" s="38">
        <v>15250000</v>
      </c>
      <c r="G3350" s="36" t="s">
        <v>8</v>
      </c>
      <c r="H3350" s="36" t="s">
        <v>231</v>
      </c>
      <c r="I3350" s="36"/>
      <c r="J3350" s="36"/>
    </row>
    <row r="3351" spans="1:10" x14ac:dyDescent="0.25">
      <c r="A3351" s="36">
        <v>1453</v>
      </c>
      <c r="B3351" s="37">
        <v>43678</v>
      </c>
      <c r="C3351" s="36"/>
      <c r="D3351" s="36"/>
      <c r="E3351" s="36" t="s">
        <v>135</v>
      </c>
      <c r="F3351" s="38">
        <v>15250000</v>
      </c>
      <c r="G3351" s="36" t="s">
        <v>8</v>
      </c>
      <c r="H3351" s="36" t="s">
        <v>231</v>
      </c>
      <c r="I3351" s="36"/>
      <c r="J3351" s="36"/>
    </row>
    <row r="3352" spans="1:10" x14ac:dyDescent="0.25">
      <c r="A3352" s="36">
        <v>1453</v>
      </c>
      <c r="B3352" s="37">
        <v>43709</v>
      </c>
      <c r="C3352" s="36"/>
      <c r="D3352" s="36"/>
      <c r="E3352" s="36" t="s">
        <v>135</v>
      </c>
      <c r="F3352" s="38">
        <v>15250000</v>
      </c>
      <c r="G3352" s="36" t="s">
        <v>8</v>
      </c>
      <c r="H3352" s="36" t="s">
        <v>231</v>
      </c>
      <c r="I3352" s="36"/>
      <c r="J3352" s="36"/>
    </row>
    <row r="3353" spans="1:10" x14ac:dyDescent="0.25">
      <c r="A3353" s="36">
        <v>1453</v>
      </c>
      <c r="B3353" s="37">
        <v>43739</v>
      </c>
      <c r="C3353" s="36"/>
      <c r="D3353" s="36"/>
      <c r="E3353" s="36" t="s">
        <v>135</v>
      </c>
      <c r="F3353" s="38">
        <v>15250000</v>
      </c>
      <c r="G3353" s="36" t="s">
        <v>8</v>
      </c>
      <c r="H3353" s="36" t="s">
        <v>231</v>
      </c>
      <c r="I3353" s="36"/>
      <c r="J3353" s="36"/>
    </row>
    <row r="3354" spans="1:10" x14ac:dyDescent="0.25">
      <c r="A3354" s="36">
        <v>1453</v>
      </c>
      <c r="B3354" s="37">
        <v>43770</v>
      </c>
      <c r="C3354" s="36"/>
      <c r="D3354" s="36"/>
      <c r="E3354" s="36" t="s">
        <v>135</v>
      </c>
      <c r="F3354" s="38">
        <v>15250000</v>
      </c>
      <c r="G3354" s="36" t="s">
        <v>8</v>
      </c>
      <c r="H3354" s="36" t="s">
        <v>231</v>
      </c>
      <c r="I3354" s="36"/>
      <c r="J3354" s="36"/>
    </row>
    <row r="3355" spans="1:10" x14ac:dyDescent="0.25">
      <c r="A3355" s="36">
        <v>1453</v>
      </c>
      <c r="B3355" s="37">
        <v>43800</v>
      </c>
      <c r="C3355" s="36"/>
      <c r="D3355" s="36"/>
      <c r="E3355" s="36" t="s">
        <v>135</v>
      </c>
      <c r="F3355" s="38">
        <v>15250000</v>
      </c>
      <c r="G3355" s="36" t="s">
        <v>8</v>
      </c>
      <c r="H3355" s="36" t="s">
        <v>231</v>
      </c>
      <c r="I3355" s="36"/>
      <c r="J3355" s="36"/>
    </row>
    <row r="3356" spans="1:10" x14ac:dyDescent="0.25">
      <c r="A3356" s="36">
        <v>1826</v>
      </c>
      <c r="B3356" s="37">
        <v>43466</v>
      </c>
      <c r="C3356" s="36"/>
      <c r="D3356" s="36"/>
      <c r="E3356" s="36" t="s">
        <v>135</v>
      </c>
      <c r="F3356" s="38">
        <v>20341421</v>
      </c>
      <c r="G3356" s="36" t="s">
        <v>8</v>
      </c>
      <c r="H3356" s="36" t="s">
        <v>228</v>
      </c>
      <c r="I3356" s="36"/>
      <c r="J3356" s="36"/>
    </row>
    <row r="3357" spans="1:10" x14ac:dyDescent="0.25">
      <c r="A3357" s="36">
        <v>1826</v>
      </c>
      <c r="B3357" s="37">
        <v>43497</v>
      </c>
      <c r="C3357" s="36"/>
      <c r="D3357" s="36"/>
      <c r="E3357" s="36" t="s">
        <v>135</v>
      </c>
      <c r="F3357" s="38">
        <v>20341421</v>
      </c>
      <c r="G3357" s="36" t="s">
        <v>8</v>
      </c>
      <c r="H3357" s="36" t="s">
        <v>228</v>
      </c>
      <c r="I3357" s="36"/>
      <c r="J3357" s="36"/>
    </row>
    <row r="3358" spans="1:10" x14ac:dyDescent="0.25">
      <c r="A3358" s="36">
        <v>1826</v>
      </c>
      <c r="B3358" s="37">
        <v>43525</v>
      </c>
      <c r="C3358" s="36"/>
      <c r="D3358" s="36"/>
      <c r="E3358" s="36" t="s">
        <v>135</v>
      </c>
      <c r="F3358" s="38">
        <v>20341421</v>
      </c>
      <c r="G3358" s="36" t="s">
        <v>8</v>
      </c>
      <c r="H3358" s="36" t="s">
        <v>228</v>
      </c>
      <c r="I3358" s="36"/>
      <c r="J3358" s="36"/>
    </row>
    <row r="3359" spans="1:10" x14ac:dyDescent="0.25">
      <c r="A3359" s="36">
        <v>1895</v>
      </c>
      <c r="B3359" s="37">
        <v>43466</v>
      </c>
      <c r="C3359" s="36"/>
      <c r="D3359" s="36"/>
      <c r="E3359" s="36" t="s">
        <v>135</v>
      </c>
      <c r="F3359" s="38">
        <v>7100000</v>
      </c>
      <c r="G3359" s="36" t="s">
        <v>8</v>
      </c>
      <c r="H3359" s="36" t="s">
        <v>8</v>
      </c>
      <c r="I3359" s="36"/>
      <c r="J3359" s="36"/>
    </row>
    <row r="3360" spans="1:10" x14ac:dyDescent="0.25">
      <c r="A3360" s="36">
        <v>1734</v>
      </c>
      <c r="B3360" s="37">
        <v>43466</v>
      </c>
      <c r="C3360" s="36"/>
      <c r="D3360" s="36"/>
      <c r="E3360" s="36" t="s">
        <v>135</v>
      </c>
      <c r="F3360" s="38">
        <v>15173515.981735155</v>
      </c>
      <c r="G3360" s="36" t="s">
        <v>8</v>
      </c>
      <c r="H3360" s="36" t="s">
        <v>228</v>
      </c>
      <c r="I3360" s="36"/>
      <c r="J3360" s="36"/>
    </row>
    <row r="3361" spans="1:10" x14ac:dyDescent="0.25">
      <c r="A3361" s="36">
        <v>1734</v>
      </c>
      <c r="B3361" s="37">
        <v>43497</v>
      </c>
      <c r="C3361" s="36"/>
      <c r="D3361" s="36"/>
      <c r="E3361" s="36" t="s">
        <v>135</v>
      </c>
      <c r="F3361" s="38">
        <v>14609589.041095892</v>
      </c>
      <c r="G3361" s="36" t="s">
        <v>8</v>
      </c>
      <c r="H3361" s="36" t="s">
        <v>228</v>
      </c>
      <c r="I3361" s="36"/>
      <c r="J3361" s="36"/>
    </row>
    <row r="3362" spans="1:10" x14ac:dyDescent="0.25">
      <c r="A3362" s="36">
        <v>1734</v>
      </c>
      <c r="B3362" s="37">
        <v>43525</v>
      </c>
      <c r="C3362" s="36"/>
      <c r="D3362" s="36"/>
      <c r="E3362" s="36" t="s">
        <v>135</v>
      </c>
      <c r="F3362" s="38">
        <v>15203196.347031964</v>
      </c>
      <c r="G3362" s="36" t="s">
        <v>8</v>
      </c>
      <c r="H3362" s="36" t="s">
        <v>228</v>
      </c>
      <c r="I3362" s="36"/>
      <c r="J3362" s="36"/>
    </row>
    <row r="3363" spans="1:10" x14ac:dyDescent="0.25">
      <c r="A3363" s="36">
        <v>1734</v>
      </c>
      <c r="B3363" s="37">
        <v>43556</v>
      </c>
      <c r="C3363" s="36"/>
      <c r="D3363" s="36"/>
      <c r="E3363" s="36" t="s">
        <v>135</v>
      </c>
      <c r="F3363" s="38">
        <v>18824200.913242016</v>
      </c>
      <c r="G3363" s="36" t="s">
        <v>8</v>
      </c>
      <c r="H3363" s="36" t="s">
        <v>228</v>
      </c>
      <c r="I3363" s="36"/>
      <c r="J3363" s="36"/>
    </row>
    <row r="3364" spans="1:10" x14ac:dyDescent="0.25">
      <c r="A3364" s="36">
        <v>1734</v>
      </c>
      <c r="B3364" s="37">
        <v>43586</v>
      </c>
      <c r="C3364" s="36"/>
      <c r="D3364" s="36"/>
      <c r="E3364" s="36" t="s">
        <v>135</v>
      </c>
      <c r="F3364" s="38">
        <v>21317351.598173514</v>
      </c>
      <c r="G3364" s="36" t="s">
        <v>8</v>
      </c>
      <c r="H3364" s="36" t="s">
        <v>228</v>
      </c>
      <c r="I3364" s="36"/>
      <c r="J3364" s="36"/>
    </row>
    <row r="3365" spans="1:10" x14ac:dyDescent="0.25">
      <c r="A3365" s="36">
        <v>1734</v>
      </c>
      <c r="B3365" s="37">
        <v>43617</v>
      </c>
      <c r="C3365" s="36"/>
      <c r="D3365" s="36"/>
      <c r="E3365" s="36" t="s">
        <v>135</v>
      </c>
      <c r="F3365" s="38">
        <v>22860730.593607314</v>
      </c>
      <c r="G3365" s="36" t="s">
        <v>8</v>
      </c>
      <c r="H3365" s="36" t="s">
        <v>228</v>
      </c>
      <c r="I3365" s="36"/>
      <c r="J3365" s="36"/>
    </row>
    <row r="3366" spans="1:10" x14ac:dyDescent="0.25">
      <c r="A3366" s="36">
        <v>1734</v>
      </c>
      <c r="B3366" s="37">
        <v>43647</v>
      </c>
      <c r="C3366" s="36"/>
      <c r="D3366" s="36"/>
      <c r="E3366" s="36" t="s">
        <v>135</v>
      </c>
      <c r="F3366" s="38">
        <v>21079908.675799087</v>
      </c>
      <c r="G3366" s="36" t="s">
        <v>8</v>
      </c>
      <c r="H3366" s="36" t="s">
        <v>228</v>
      </c>
      <c r="I3366" s="36"/>
      <c r="J3366" s="36"/>
    </row>
    <row r="3367" spans="1:10" x14ac:dyDescent="0.25">
      <c r="A3367" s="36">
        <v>1734</v>
      </c>
      <c r="B3367" s="37">
        <v>43678</v>
      </c>
      <c r="C3367" s="36"/>
      <c r="D3367" s="36"/>
      <c r="E3367" s="36" t="s">
        <v>135</v>
      </c>
      <c r="F3367" s="38">
        <v>25917808.219178069</v>
      </c>
      <c r="G3367" s="36" t="s">
        <v>8</v>
      </c>
      <c r="H3367" s="36" t="s">
        <v>228</v>
      </c>
      <c r="I3367" s="36"/>
      <c r="J3367" s="36"/>
    </row>
    <row r="3368" spans="1:10" x14ac:dyDescent="0.25">
      <c r="A3368" s="36">
        <v>1734</v>
      </c>
      <c r="B3368" s="37">
        <v>43709</v>
      </c>
      <c r="C3368" s="36"/>
      <c r="D3368" s="36"/>
      <c r="E3368" s="36" t="s">
        <v>135</v>
      </c>
      <c r="F3368" s="38">
        <v>23216894.977168947</v>
      </c>
      <c r="G3368" s="36" t="s">
        <v>8</v>
      </c>
      <c r="H3368" s="36" t="s">
        <v>228</v>
      </c>
      <c r="I3368" s="36"/>
      <c r="J3368" s="36"/>
    </row>
    <row r="3369" spans="1:10" x14ac:dyDescent="0.25">
      <c r="A3369" s="36">
        <v>1734</v>
      </c>
      <c r="B3369" s="37">
        <v>43739</v>
      </c>
      <c r="C3369" s="36"/>
      <c r="D3369" s="36"/>
      <c r="E3369" s="36" t="s">
        <v>135</v>
      </c>
      <c r="F3369" s="38">
        <v>24226027.397260282</v>
      </c>
      <c r="G3369" s="36" t="s">
        <v>8</v>
      </c>
      <c r="H3369" s="36" t="s">
        <v>228</v>
      </c>
      <c r="I3369" s="36"/>
      <c r="J3369" s="36"/>
    </row>
    <row r="3370" spans="1:10" x14ac:dyDescent="0.25">
      <c r="A3370" s="36">
        <v>1734</v>
      </c>
      <c r="B3370" s="37">
        <v>43770</v>
      </c>
      <c r="C3370" s="36"/>
      <c r="D3370" s="36"/>
      <c r="E3370" s="36" t="s">
        <v>135</v>
      </c>
      <c r="F3370" s="38">
        <v>25977168.949771687</v>
      </c>
      <c r="G3370" s="36" t="s">
        <v>8</v>
      </c>
      <c r="H3370" s="36" t="s">
        <v>228</v>
      </c>
      <c r="I3370" s="36"/>
      <c r="J3370" s="36"/>
    </row>
    <row r="3371" spans="1:10" x14ac:dyDescent="0.25">
      <c r="A3371" s="36">
        <v>1734</v>
      </c>
      <c r="B3371" s="37">
        <v>43800</v>
      </c>
      <c r="C3371" s="36"/>
      <c r="D3371" s="36"/>
      <c r="E3371" s="36" t="s">
        <v>135</v>
      </c>
      <c r="F3371" s="38">
        <v>20456621.00456623</v>
      </c>
      <c r="G3371" s="36" t="s">
        <v>8</v>
      </c>
      <c r="H3371" s="36" t="s">
        <v>228</v>
      </c>
      <c r="I3371" s="36"/>
      <c r="J3371" s="36"/>
    </row>
    <row r="3372" spans="1:10" x14ac:dyDescent="0.25">
      <c r="A3372" s="36">
        <v>1734</v>
      </c>
      <c r="B3372" s="37">
        <v>43831</v>
      </c>
      <c r="C3372" s="36"/>
      <c r="D3372" s="36"/>
      <c r="E3372" s="36" t="s">
        <v>135</v>
      </c>
      <c r="F3372" s="38">
        <v>20812785.388127822</v>
      </c>
      <c r="G3372" s="36" t="s">
        <v>8</v>
      </c>
      <c r="H3372" s="36" t="s">
        <v>228</v>
      </c>
      <c r="I3372" s="36"/>
      <c r="J3372" s="36"/>
    </row>
    <row r="3373" spans="1:10" x14ac:dyDescent="0.25">
      <c r="A3373" s="36">
        <v>1734</v>
      </c>
      <c r="B3373" s="37">
        <v>43862</v>
      </c>
      <c r="C3373" s="36"/>
      <c r="D3373" s="36"/>
      <c r="E3373" s="36" t="s">
        <v>135</v>
      </c>
      <c r="F3373" s="38">
        <v>23038812.785388142</v>
      </c>
      <c r="G3373" s="36" t="s">
        <v>8</v>
      </c>
      <c r="H3373" s="36" t="s">
        <v>228</v>
      </c>
      <c r="I3373" s="36"/>
      <c r="J3373" s="36"/>
    </row>
    <row r="3374" spans="1:10" x14ac:dyDescent="0.25">
      <c r="A3374" s="36">
        <v>1734</v>
      </c>
      <c r="B3374" s="37">
        <v>43891</v>
      </c>
      <c r="C3374" s="36"/>
      <c r="D3374" s="36"/>
      <c r="E3374" s="36" t="s">
        <v>135</v>
      </c>
      <c r="F3374" s="38">
        <v>20219178.082191784</v>
      </c>
      <c r="G3374" s="36" t="s">
        <v>8</v>
      </c>
      <c r="H3374" s="36" t="s">
        <v>228</v>
      </c>
      <c r="I3374" s="36"/>
      <c r="J3374" s="36"/>
    </row>
    <row r="3375" spans="1:10" x14ac:dyDescent="0.25">
      <c r="A3375" s="36">
        <v>1734</v>
      </c>
      <c r="B3375" s="37">
        <v>43922</v>
      </c>
      <c r="C3375" s="36"/>
      <c r="D3375" s="36"/>
      <c r="E3375" s="36" t="s">
        <v>135</v>
      </c>
      <c r="F3375" s="38">
        <v>22415525.11415524</v>
      </c>
      <c r="G3375" s="36" t="s">
        <v>8</v>
      </c>
      <c r="H3375" s="36" t="s">
        <v>228</v>
      </c>
      <c r="I3375" s="36"/>
      <c r="J3375" s="36"/>
    </row>
    <row r="3376" spans="1:10" x14ac:dyDescent="0.25">
      <c r="A3376" s="36">
        <v>1734</v>
      </c>
      <c r="B3376" s="37">
        <v>43952</v>
      </c>
      <c r="C3376" s="36"/>
      <c r="D3376" s="36"/>
      <c r="E3376" s="36" t="s">
        <v>135</v>
      </c>
      <c r="F3376" s="38">
        <v>22920091.324200906</v>
      </c>
      <c r="G3376" s="36" t="s">
        <v>8</v>
      </c>
      <c r="H3376" s="36" t="s">
        <v>228</v>
      </c>
      <c r="I3376" s="36"/>
      <c r="J3376" s="36"/>
    </row>
    <row r="3377" spans="1:10" x14ac:dyDescent="0.25">
      <c r="A3377" s="36">
        <v>1734</v>
      </c>
      <c r="B3377" s="37">
        <v>43983</v>
      </c>
      <c r="C3377" s="36"/>
      <c r="D3377" s="36"/>
      <c r="E3377" s="36" t="s">
        <v>135</v>
      </c>
      <c r="F3377" s="38">
        <v>18468036.529680401</v>
      </c>
      <c r="G3377" s="36" t="s">
        <v>8</v>
      </c>
      <c r="H3377" s="36" t="s">
        <v>228</v>
      </c>
      <c r="I3377" s="36"/>
      <c r="J3377" s="36"/>
    </row>
    <row r="3378" spans="1:10" x14ac:dyDescent="0.25">
      <c r="A3378" s="36">
        <v>1734</v>
      </c>
      <c r="B3378" s="37">
        <v>44013</v>
      </c>
      <c r="C3378" s="36"/>
      <c r="D3378" s="36"/>
      <c r="E3378" s="36" t="s">
        <v>135</v>
      </c>
      <c r="F3378" s="38">
        <v>17013698.630136952</v>
      </c>
      <c r="G3378" s="36" t="s">
        <v>8</v>
      </c>
      <c r="H3378" s="36" t="s">
        <v>228</v>
      </c>
      <c r="I3378" s="36"/>
      <c r="J3378" s="36"/>
    </row>
    <row r="3379" spans="1:10" x14ac:dyDescent="0.25">
      <c r="A3379" s="36">
        <v>1734</v>
      </c>
      <c r="B3379" s="37">
        <v>44044</v>
      </c>
      <c r="C3379" s="36"/>
      <c r="D3379" s="36"/>
      <c r="E3379" s="36" t="s">
        <v>135</v>
      </c>
      <c r="F3379" s="38">
        <v>16894977.168949805</v>
      </c>
      <c r="G3379" s="36" t="s">
        <v>8</v>
      </c>
      <c r="H3379" s="36" t="s">
        <v>228</v>
      </c>
      <c r="I3379" s="36"/>
      <c r="J3379" s="36"/>
    </row>
    <row r="3380" spans="1:10" x14ac:dyDescent="0.25">
      <c r="A3380" s="36">
        <v>1734</v>
      </c>
      <c r="B3380" s="37">
        <v>44075</v>
      </c>
      <c r="C3380" s="36"/>
      <c r="D3380" s="36"/>
      <c r="E3380" s="36" t="s">
        <v>135</v>
      </c>
      <c r="F3380" s="38">
        <v>14609589.041095892</v>
      </c>
      <c r="G3380" s="36" t="s">
        <v>8</v>
      </c>
      <c r="H3380" s="36" t="s">
        <v>228</v>
      </c>
      <c r="I3380" s="36"/>
      <c r="J3380" s="36"/>
    </row>
    <row r="3381" spans="1:10" x14ac:dyDescent="0.25">
      <c r="A3381" s="36">
        <v>1846</v>
      </c>
      <c r="B3381" s="37">
        <v>43466</v>
      </c>
      <c r="C3381" s="36"/>
      <c r="D3381" s="36"/>
      <c r="E3381" s="36" t="s">
        <v>135</v>
      </c>
      <c r="F3381" s="38">
        <v>29900000</v>
      </c>
      <c r="G3381" s="36" t="s">
        <v>8</v>
      </c>
      <c r="H3381" s="36" t="s">
        <v>230</v>
      </c>
      <c r="I3381" s="36"/>
      <c r="J3381" s="36"/>
    </row>
    <row r="3382" spans="1:10" x14ac:dyDescent="0.25">
      <c r="A3382" s="36">
        <v>1846</v>
      </c>
      <c r="B3382" s="37">
        <v>43497</v>
      </c>
      <c r="C3382" s="36"/>
      <c r="D3382" s="36"/>
      <c r="E3382" s="36" t="s">
        <v>135</v>
      </c>
      <c r="F3382" s="38">
        <v>29900000</v>
      </c>
      <c r="G3382" s="36" t="s">
        <v>8</v>
      </c>
      <c r="H3382" s="36" t="s">
        <v>230</v>
      </c>
      <c r="I3382" s="36"/>
      <c r="J3382" s="36"/>
    </row>
    <row r="3383" spans="1:10" x14ac:dyDescent="0.25">
      <c r="A3383" s="36">
        <v>1846</v>
      </c>
      <c r="B3383" s="37">
        <v>43525</v>
      </c>
      <c r="C3383" s="36"/>
      <c r="D3383" s="36"/>
      <c r="E3383" s="36" t="s">
        <v>135</v>
      </c>
      <c r="F3383" s="38">
        <v>29900000</v>
      </c>
      <c r="G3383" s="36" t="s">
        <v>8</v>
      </c>
      <c r="H3383" s="36" t="s">
        <v>230</v>
      </c>
      <c r="I3383" s="36"/>
      <c r="J3383" s="36"/>
    </row>
    <row r="3384" spans="1:10" x14ac:dyDescent="0.25">
      <c r="A3384" s="36">
        <v>1858</v>
      </c>
      <c r="B3384" s="37">
        <v>43466</v>
      </c>
      <c r="C3384" s="36"/>
      <c r="D3384" s="36"/>
      <c r="E3384" s="36" t="s">
        <v>135</v>
      </c>
      <c r="F3384" s="38">
        <v>118601976.15000001</v>
      </c>
      <c r="G3384" s="36" t="s">
        <v>8</v>
      </c>
      <c r="H3384" s="36" t="s">
        <v>8</v>
      </c>
      <c r="I3384" s="36"/>
      <c r="J3384" s="36"/>
    </row>
    <row r="3385" spans="1:10" x14ac:dyDescent="0.25">
      <c r="A3385" s="36">
        <v>1858</v>
      </c>
      <c r="B3385" s="37">
        <v>43497</v>
      </c>
      <c r="C3385" s="36"/>
      <c r="D3385" s="36"/>
      <c r="E3385" s="36" t="s">
        <v>135</v>
      </c>
      <c r="F3385" s="38">
        <v>197669960.25</v>
      </c>
      <c r="G3385" s="36" t="s">
        <v>8</v>
      </c>
      <c r="H3385" s="36" t="s">
        <v>8</v>
      </c>
      <c r="I3385" s="36"/>
      <c r="J3385" s="36"/>
    </row>
    <row r="3386" spans="1:10" x14ac:dyDescent="0.25">
      <c r="A3386" s="36">
        <v>1858</v>
      </c>
      <c r="B3386" s="37">
        <v>43525</v>
      </c>
      <c r="C3386" s="36"/>
      <c r="D3386" s="36"/>
      <c r="E3386" s="36" t="s">
        <v>135</v>
      </c>
      <c r="F3386" s="38">
        <v>171313965.55000007</v>
      </c>
      <c r="G3386" s="36" t="s">
        <v>8</v>
      </c>
      <c r="H3386" s="36" t="s">
        <v>8</v>
      </c>
      <c r="I3386" s="36"/>
      <c r="J3386" s="36"/>
    </row>
    <row r="3387" spans="1:10" x14ac:dyDescent="0.25">
      <c r="A3387" s="36">
        <v>1858</v>
      </c>
      <c r="B3387" s="37">
        <v>43556</v>
      </c>
      <c r="C3387" s="36"/>
      <c r="D3387" s="36"/>
      <c r="E3387" s="36" t="s">
        <v>135</v>
      </c>
      <c r="F3387" s="38">
        <v>210847957.5999999</v>
      </c>
      <c r="G3387" s="36" t="s">
        <v>8</v>
      </c>
      <c r="H3387" s="36" t="s">
        <v>8</v>
      </c>
      <c r="I3387" s="36"/>
      <c r="J3387" s="36"/>
    </row>
    <row r="3388" spans="1:10" x14ac:dyDescent="0.25">
      <c r="A3388" s="36">
        <v>1893</v>
      </c>
      <c r="B3388" s="37">
        <v>43466</v>
      </c>
      <c r="C3388" s="36"/>
      <c r="D3388" s="36"/>
      <c r="E3388" s="36" t="s">
        <v>135</v>
      </c>
      <c r="F3388" s="38">
        <v>14000000</v>
      </c>
      <c r="G3388" s="36" t="s">
        <v>8</v>
      </c>
      <c r="H3388" s="36" t="s">
        <v>228</v>
      </c>
      <c r="I3388" s="36"/>
      <c r="J3388" s="36"/>
    </row>
    <row r="3389" spans="1:10" x14ac:dyDescent="0.25">
      <c r="A3389" s="36">
        <v>1893</v>
      </c>
      <c r="B3389" s="37">
        <v>43497</v>
      </c>
      <c r="C3389" s="36"/>
      <c r="D3389" s="36"/>
      <c r="E3389" s="36" t="s">
        <v>135</v>
      </c>
      <c r="F3389" s="38">
        <v>14000000</v>
      </c>
      <c r="G3389" s="36" t="s">
        <v>8</v>
      </c>
      <c r="H3389" s="36" t="s">
        <v>228</v>
      </c>
      <c r="I3389" s="36"/>
      <c r="J3389" s="36"/>
    </row>
    <row r="3390" spans="1:10" x14ac:dyDescent="0.25">
      <c r="A3390" s="36">
        <v>1893</v>
      </c>
      <c r="B3390" s="37">
        <v>43525</v>
      </c>
      <c r="C3390" s="36"/>
      <c r="D3390" s="36"/>
      <c r="E3390" s="36" t="s">
        <v>135</v>
      </c>
      <c r="F3390" s="38">
        <v>14000000</v>
      </c>
      <c r="G3390" s="36" t="s">
        <v>8</v>
      </c>
      <c r="H3390" s="36" t="s">
        <v>228</v>
      </c>
      <c r="I3390" s="36"/>
      <c r="J3390" s="36"/>
    </row>
    <row r="3391" spans="1:10" x14ac:dyDescent="0.25">
      <c r="A3391" s="36">
        <v>1893</v>
      </c>
      <c r="B3391" s="37">
        <v>43556</v>
      </c>
      <c r="C3391" s="36"/>
      <c r="D3391" s="36"/>
      <c r="E3391" s="36" t="s">
        <v>135</v>
      </c>
      <c r="F3391" s="38">
        <v>14000000</v>
      </c>
      <c r="G3391" s="36" t="s">
        <v>8</v>
      </c>
      <c r="H3391" s="36" t="s">
        <v>228</v>
      </c>
      <c r="I3391" s="36"/>
      <c r="J3391" s="36"/>
    </row>
    <row r="3392" spans="1:10" x14ac:dyDescent="0.25">
      <c r="A3392" s="36">
        <v>1893</v>
      </c>
      <c r="B3392" s="37">
        <v>43586</v>
      </c>
      <c r="C3392" s="36"/>
      <c r="D3392" s="36"/>
      <c r="E3392" s="36" t="s">
        <v>135</v>
      </c>
      <c r="F3392" s="38">
        <v>14000000</v>
      </c>
      <c r="G3392" s="36" t="s">
        <v>8</v>
      </c>
      <c r="H3392" s="36" t="s">
        <v>228</v>
      </c>
      <c r="I3392" s="36"/>
      <c r="J3392" s="36"/>
    </row>
    <row r="3393" spans="1:10" x14ac:dyDescent="0.25">
      <c r="A3393" s="36">
        <v>1893</v>
      </c>
      <c r="B3393" s="37">
        <v>43617</v>
      </c>
      <c r="C3393" s="36"/>
      <c r="D3393" s="36"/>
      <c r="E3393" s="36" t="s">
        <v>135</v>
      </c>
      <c r="F3393" s="38">
        <v>14000000</v>
      </c>
      <c r="G3393" s="36" t="s">
        <v>8</v>
      </c>
      <c r="H3393" s="36" t="s">
        <v>228</v>
      </c>
      <c r="I3393" s="36"/>
      <c r="J3393" s="36"/>
    </row>
    <row r="3394" spans="1:10" x14ac:dyDescent="0.25">
      <c r="A3394" s="36">
        <v>1893</v>
      </c>
      <c r="B3394" s="37">
        <v>43647</v>
      </c>
      <c r="C3394" s="36"/>
      <c r="D3394" s="36"/>
      <c r="E3394" s="36" t="s">
        <v>135</v>
      </c>
      <c r="F3394" s="38">
        <v>14000000</v>
      </c>
      <c r="G3394" s="36" t="s">
        <v>8</v>
      </c>
      <c r="H3394" s="36" t="s">
        <v>228</v>
      </c>
      <c r="I3394" s="36"/>
      <c r="J3394" s="36"/>
    </row>
    <row r="3395" spans="1:10" x14ac:dyDescent="0.25">
      <c r="A3395" s="36">
        <v>1893</v>
      </c>
      <c r="B3395" s="37">
        <v>43678</v>
      </c>
      <c r="C3395" s="36"/>
      <c r="D3395" s="36"/>
      <c r="E3395" s="36" t="s">
        <v>135</v>
      </c>
      <c r="F3395" s="38">
        <v>14000000</v>
      </c>
      <c r="G3395" s="36" t="s">
        <v>8</v>
      </c>
      <c r="H3395" s="36" t="s">
        <v>228</v>
      </c>
      <c r="I3395" s="36"/>
      <c r="J3395" s="36"/>
    </row>
    <row r="3396" spans="1:10" x14ac:dyDescent="0.25">
      <c r="A3396" s="36">
        <v>1893</v>
      </c>
      <c r="B3396" s="37">
        <v>43709</v>
      </c>
      <c r="C3396" s="36"/>
      <c r="D3396" s="36"/>
      <c r="E3396" s="36" t="s">
        <v>135</v>
      </c>
      <c r="F3396" s="38">
        <v>14000000</v>
      </c>
      <c r="G3396" s="36" t="s">
        <v>8</v>
      </c>
      <c r="H3396" s="36" t="s">
        <v>228</v>
      </c>
      <c r="I3396" s="36"/>
      <c r="J3396" s="36"/>
    </row>
    <row r="3397" spans="1:10" x14ac:dyDescent="0.25">
      <c r="A3397" s="36">
        <v>1893</v>
      </c>
      <c r="B3397" s="37">
        <v>43739</v>
      </c>
      <c r="C3397" s="36"/>
      <c r="D3397" s="36"/>
      <c r="E3397" s="36" t="s">
        <v>135</v>
      </c>
      <c r="F3397" s="38">
        <v>14000000</v>
      </c>
      <c r="G3397" s="36" t="s">
        <v>8</v>
      </c>
      <c r="H3397" s="36" t="s">
        <v>228</v>
      </c>
      <c r="I3397" s="36"/>
      <c r="J3397" s="36"/>
    </row>
    <row r="3398" spans="1:10" x14ac:dyDescent="0.25">
      <c r="A3398" s="36">
        <v>1893</v>
      </c>
      <c r="B3398" s="37">
        <v>43770</v>
      </c>
      <c r="C3398" s="36"/>
      <c r="D3398" s="36"/>
      <c r="E3398" s="36" t="s">
        <v>135</v>
      </c>
      <c r="F3398" s="38">
        <v>14000000</v>
      </c>
      <c r="G3398" s="36" t="s">
        <v>8</v>
      </c>
      <c r="H3398" s="36" t="s">
        <v>228</v>
      </c>
      <c r="I3398" s="36"/>
      <c r="J3398" s="36"/>
    </row>
    <row r="3399" spans="1:10" x14ac:dyDescent="0.25">
      <c r="A3399" s="36">
        <v>1893</v>
      </c>
      <c r="B3399" s="37">
        <v>43800</v>
      </c>
      <c r="C3399" s="36"/>
      <c r="D3399" s="36"/>
      <c r="E3399" s="36" t="s">
        <v>135</v>
      </c>
      <c r="F3399" s="38">
        <v>14000000</v>
      </c>
      <c r="G3399" s="36" t="s">
        <v>8</v>
      </c>
      <c r="H3399" s="36" t="s">
        <v>228</v>
      </c>
      <c r="I3399" s="36"/>
      <c r="J3399" s="36"/>
    </row>
    <row r="3400" spans="1:10" x14ac:dyDescent="0.25">
      <c r="A3400" s="36">
        <v>1893</v>
      </c>
      <c r="B3400" s="37">
        <v>43831</v>
      </c>
      <c r="C3400" s="36"/>
      <c r="D3400" s="36"/>
      <c r="E3400" s="36" t="s">
        <v>135</v>
      </c>
      <c r="F3400" s="38">
        <v>14000000</v>
      </c>
      <c r="G3400" s="36" t="s">
        <v>8</v>
      </c>
      <c r="H3400" s="36" t="s">
        <v>228</v>
      </c>
      <c r="I3400" s="36"/>
      <c r="J3400" s="36"/>
    </row>
    <row r="3401" spans="1:10" x14ac:dyDescent="0.25">
      <c r="A3401" s="36">
        <v>1893</v>
      </c>
      <c r="B3401" s="37">
        <v>43862</v>
      </c>
      <c r="C3401" s="36"/>
      <c r="D3401" s="36"/>
      <c r="E3401" s="36" t="s">
        <v>135</v>
      </c>
      <c r="F3401" s="38">
        <v>14000000</v>
      </c>
      <c r="G3401" s="36" t="s">
        <v>8</v>
      </c>
      <c r="H3401" s="36" t="s">
        <v>228</v>
      </c>
      <c r="I3401" s="36"/>
      <c r="J3401" s="36"/>
    </row>
    <row r="3402" spans="1:10" x14ac:dyDescent="0.25">
      <c r="A3402" s="36">
        <v>1893</v>
      </c>
      <c r="B3402" s="37">
        <v>43891</v>
      </c>
      <c r="C3402" s="36"/>
      <c r="D3402" s="36"/>
      <c r="E3402" s="36" t="s">
        <v>135</v>
      </c>
      <c r="F3402" s="38">
        <v>14000000</v>
      </c>
      <c r="G3402" s="36" t="s">
        <v>8</v>
      </c>
      <c r="H3402" s="36" t="s">
        <v>228</v>
      </c>
      <c r="I3402" s="36"/>
      <c r="J3402" s="36"/>
    </row>
    <row r="3403" spans="1:10" x14ac:dyDescent="0.25">
      <c r="A3403" s="36">
        <v>1890</v>
      </c>
      <c r="B3403" s="37">
        <v>43466</v>
      </c>
      <c r="C3403" s="36"/>
      <c r="D3403" s="36"/>
      <c r="E3403" s="36" t="s">
        <v>135</v>
      </c>
      <c r="F3403" s="38">
        <v>12000000</v>
      </c>
      <c r="G3403" s="36" t="s">
        <v>8</v>
      </c>
      <c r="H3403" s="36" t="s">
        <v>228</v>
      </c>
      <c r="I3403" s="36"/>
      <c r="J3403" s="36"/>
    </row>
    <row r="3404" spans="1:10" x14ac:dyDescent="0.25">
      <c r="A3404" s="36">
        <v>1890</v>
      </c>
      <c r="B3404" s="37">
        <v>43497</v>
      </c>
      <c r="C3404" s="36"/>
      <c r="D3404" s="36"/>
      <c r="E3404" s="36" t="s">
        <v>135</v>
      </c>
      <c r="F3404" s="38">
        <v>12000000</v>
      </c>
      <c r="G3404" s="36" t="s">
        <v>8</v>
      </c>
      <c r="H3404" s="36" t="s">
        <v>228</v>
      </c>
      <c r="I3404" s="36"/>
      <c r="J3404" s="36"/>
    </row>
    <row r="3405" spans="1:10" x14ac:dyDescent="0.25">
      <c r="A3405" s="36">
        <v>1890</v>
      </c>
      <c r="B3405" s="37">
        <v>43525</v>
      </c>
      <c r="C3405" s="36"/>
      <c r="D3405" s="36"/>
      <c r="E3405" s="36" t="s">
        <v>135</v>
      </c>
      <c r="F3405" s="38">
        <v>12000000</v>
      </c>
      <c r="G3405" s="36" t="s">
        <v>8</v>
      </c>
      <c r="H3405" s="36" t="s">
        <v>228</v>
      </c>
      <c r="I3405" s="36"/>
      <c r="J3405" s="36"/>
    </row>
    <row r="3406" spans="1:10" x14ac:dyDescent="0.25">
      <c r="A3406" s="36">
        <v>1890</v>
      </c>
      <c r="B3406" s="37">
        <v>43556</v>
      </c>
      <c r="C3406" s="36"/>
      <c r="D3406" s="36"/>
      <c r="E3406" s="36" t="s">
        <v>135</v>
      </c>
      <c r="F3406" s="38">
        <v>12000000</v>
      </c>
      <c r="G3406" s="36" t="s">
        <v>8</v>
      </c>
      <c r="H3406" s="36" t="s">
        <v>228</v>
      </c>
      <c r="I3406" s="36"/>
      <c r="J3406" s="36"/>
    </row>
    <row r="3407" spans="1:10" x14ac:dyDescent="0.25">
      <c r="A3407" s="36">
        <v>1890</v>
      </c>
      <c r="B3407" s="37">
        <v>43586</v>
      </c>
      <c r="C3407" s="36"/>
      <c r="D3407" s="36"/>
      <c r="E3407" s="36" t="s">
        <v>135</v>
      </c>
      <c r="F3407" s="38">
        <v>12000000</v>
      </c>
      <c r="G3407" s="36" t="s">
        <v>8</v>
      </c>
      <c r="H3407" s="36" t="s">
        <v>228</v>
      </c>
      <c r="I3407" s="36"/>
      <c r="J3407" s="36"/>
    </row>
    <row r="3408" spans="1:10" x14ac:dyDescent="0.25">
      <c r="A3408" s="36">
        <v>1890</v>
      </c>
      <c r="B3408" s="37">
        <v>43617</v>
      </c>
      <c r="C3408" s="36"/>
      <c r="D3408" s="36"/>
      <c r="E3408" s="36" t="s">
        <v>135</v>
      </c>
      <c r="F3408" s="38">
        <v>12000000</v>
      </c>
      <c r="G3408" s="36" t="s">
        <v>8</v>
      </c>
      <c r="H3408" s="36" t="s">
        <v>228</v>
      </c>
      <c r="I3408" s="36"/>
      <c r="J3408" s="36"/>
    </row>
    <row r="3409" spans="1:10" x14ac:dyDescent="0.25">
      <c r="A3409" s="36">
        <v>1890</v>
      </c>
      <c r="B3409" s="37">
        <v>43647</v>
      </c>
      <c r="C3409" s="36"/>
      <c r="D3409" s="36"/>
      <c r="E3409" s="36" t="s">
        <v>135</v>
      </c>
      <c r="F3409" s="38">
        <v>12000000</v>
      </c>
      <c r="G3409" s="36" t="s">
        <v>8</v>
      </c>
      <c r="H3409" s="36" t="s">
        <v>228</v>
      </c>
      <c r="I3409" s="36"/>
      <c r="J3409" s="36"/>
    </row>
    <row r="3410" spans="1:10" x14ac:dyDescent="0.25">
      <c r="A3410" s="36">
        <v>1890</v>
      </c>
      <c r="B3410" s="37">
        <v>43678</v>
      </c>
      <c r="C3410" s="36"/>
      <c r="D3410" s="36"/>
      <c r="E3410" s="36" t="s">
        <v>135</v>
      </c>
      <c r="F3410" s="38">
        <v>12000000</v>
      </c>
      <c r="G3410" s="36" t="s">
        <v>8</v>
      </c>
      <c r="H3410" s="36" t="s">
        <v>228</v>
      </c>
      <c r="I3410" s="36"/>
      <c r="J3410" s="36"/>
    </row>
    <row r="3411" spans="1:10" x14ac:dyDescent="0.25">
      <c r="A3411" s="36">
        <v>1890</v>
      </c>
      <c r="B3411" s="37">
        <v>43709</v>
      </c>
      <c r="C3411" s="36"/>
      <c r="D3411" s="36"/>
      <c r="E3411" s="36" t="s">
        <v>135</v>
      </c>
      <c r="F3411" s="38">
        <v>12000000</v>
      </c>
      <c r="G3411" s="36" t="s">
        <v>8</v>
      </c>
      <c r="H3411" s="36" t="s">
        <v>228</v>
      </c>
      <c r="I3411" s="36"/>
      <c r="J3411" s="36"/>
    </row>
    <row r="3412" spans="1:10" x14ac:dyDescent="0.25">
      <c r="A3412" s="36">
        <v>1890</v>
      </c>
      <c r="B3412" s="37">
        <v>43739</v>
      </c>
      <c r="C3412" s="36"/>
      <c r="D3412" s="36"/>
      <c r="E3412" s="36" t="s">
        <v>135</v>
      </c>
      <c r="F3412" s="38">
        <v>12000000</v>
      </c>
      <c r="G3412" s="36" t="s">
        <v>8</v>
      </c>
      <c r="H3412" s="36" t="s">
        <v>228</v>
      </c>
      <c r="I3412" s="36"/>
      <c r="J3412" s="36"/>
    </row>
    <row r="3413" spans="1:10" x14ac:dyDescent="0.25">
      <c r="A3413" s="36">
        <v>1890</v>
      </c>
      <c r="B3413" s="37">
        <v>43770</v>
      </c>
      <c r="C3413" s="36"/>
      <c r="D3413" s="36"/>
      <c r="E3413" s="36" t="s">
        <v>135</v>
      </c>
      <c r="F3413" s="38">
        <v>12000000</v>
      </c>
      <c r="G3413" s="36" t="s">
        <v>8</v>
      </c>
      <c r="H3413" s="36" t="s">
        <v>228</v>
      </c>
      <c r="I3413" s="36"/>
      <c r="J3413" s="36"/>
    </row>
    <row r="3414" spans="1:10" x14ac:dyDescent="0.25">
      <c r="A3414" s="36">
        <v>1890</v>
      </c>
      <c r="B3414" s="37">
        <v>43800</v>
      </c>
      <c r="C3414" s="36"/>
      <c r="D3414" s="36"/>
      <c r="E3414" s="36" t="s">
        <v>135</v>
      </c>
      <c r="F3414" s="38">
        <v>12000000</v>
      </c>
      <c r="G3414" s="36" t="s">
        <v>8</v>
      </c>
      <c r="H3414" s="36" t="s">
        <v>228</v>
      </c>
      <c r="I3414" s="36"/>
      <c r="J3414" s="36"/>
    </row>
    <row r="3415" spans="1:10" x14ac:dyDescent="0.25">
      <c r="A3415" s="36">
        <v>1890</v>
      </c>
      <c r="B3415" s="37">
        <v>43831</v>
      </c>
      <c r="C3415" s="36"/>
      <c r="D3415" s="36"/>
      <c r="E3415" s="36" t="s">
        <v>135</v>
      </c>
      <c r="F3415" s="38">
        <v>12000000</v>
      </c>
      <c r="G3415" s="36" t="s">
        <v>8</v>
      </c>
      <c r="H3415" s="36" t="s">
        <v>228</v>
      </c>
      <c r="I3415" s="36"/>
      <c r="J3415" s="36"/>
    </row>
    <row r="3416" spans="1:10" x14ac:dyDescent="0.25">
      <c r="A3416" s="36">
        <v>1890</v>
      </c>
      <c r="B3416" s="37">
        <v>43862</v>
      </c>
      <c r="C3416" s="36"/>
      <c r="D3416" s="36"/>
      <c r="E3416" s="36" t="s">
        <v>135</v>
      </c>
      <c r="F3416" s="38">
        <v>12000000</v>
      </c>
      <c r="G3416" s="36" t="s">
        <v>8</v>
      </c>
      <c r="H3416" s="36" t="s">
        <v>228</v>
      </c>
      <c r="I3416" s="36"/>
      <c r="J3416" s="36"/>
    </row>
    <row r="3417" spans="1:10" x14ac:dyDescent="0.25">
      <c r="A3417" s="36">
        <v>1890</v>
      </c>
      <c r="B3417" s="37">
        <v>43891</v>
      </c>
      <c r="C3417" s="36"/>
      <c r="D3417" s="36"/>
      <c r="E3417" s="36" t="s">
        <v>135</v>
      </c>
      <c r="F3417" s="38">
        <v>12000000</v>
      </c>
      <c r="G3417" s="36" t="s">
        <v>8</v>
      </c>
      <c r="H3417" s="36" t="s">
        <v>228</v>
      </c>
      <c r="I3417" s="36"/>
      <c r="J3417" s="36"/>
    </row>
    <row r="3418" spans="1:10" x14ac:dyDescent="0.25">
      <c r="A3418" s="36">
        <v>1890</v>
      </c>
      <c r="B3418" s="37">
        <v>43922</v>
      </c>
      <c r="C3418" s="36"/>
      <c r="D3418" s="36"/>
      <c r="E3418" s="36" t="s">
        <v>135</v>
      </c>
      <c r="F3418" s="38">
        <v>12000000</v>
      </c>
      <c r="G3418" s="36" t="s">
        <v>8</v>
      </c>
      <c r="H3418" s="36" t="s">
        <v>228</v>
      </c>
      <c r="I3418" s="36"/>
      <c r="J3418" s="36"/>
    </row>
    <row r="3419" spans="1:10" x14ac:dyDescent="0.25">
      <c r="A3419" s="36">
        <v>1890</v>
      </c>
      <c r="B3419" s="37">
        <v>43952</v>
      </c>
      <c r="C3419" s="36"/>
      <c r="D3419" s="36"/>
      <c r="E3419" s="36" t="s">
        <v>135</v>
      </c>
      <c r="F3419" s="38">
        <v>12000000</v>
      </c>
      <c r="G3419" s="36" t="s">
        <v>8</v>
      </c>
      <c r="H3419" s="36" t="s">
        <v>228</v>
      </c>
      <c r="I3419" s="36"/>
      <c r="J3419" s="36"/>
    </row>
    <row r="3420" spans="1:10" x14ac:dyDescent="0.25">
      <c r="A3420" s="36">
        <v>1890</v>
      </c>
      <c r="B3420" s="37">
        <v>43983</v>
      </c>
      <c r="C3420" s="36"/>
      <c r="D3420" s="36"/>
      <c r="E3420" s="36" t="s">
        <v>135</v>
      </c>
      <c r="F3420" s="38">
        <v>12000000</v>
      </c>
      <c r="G3420" s="36" t="s">
        <v>8</v>
      </c>
      <c r="H3420" s="36" t="s">
        <v>228</v>
      </c>
      <c r="I3420" s="36"/>
      <c r="J3420" s="36"/>
    </row>
    <row r="3421" spans="1:10" x14ac:dyDescent="0.25">
      <c r="A3421" s="36">
        <v>1890</v>
      </c>
      <c r="B3421" s="37">
        <v>44013</v>
      </c>
      <c r="C3421" s="36"/>
      <c r="D3421" s="36"/>
      <c r="E3421" s="36" t="s">
        <v>135</v>
      </c>
      <c r="F3421" s="38">
        <v>12000000</v>
      </c>
      <c r="G3421" s="36" t="s">
        <v>8</v>
      </c>
      <c r="H3421" s="36" t="s">
        <v>228</v>
      </c>
      <c r="I3421" s="36"/>
      <c r="J3421" s="36"/>
    </row>
    <row r="3422" spans="1:10" x14ac:dyDescent="0.25">
      <c r="A3422" s="36">
        <v>1890</v>
      </c>
      <c r="B3422" s="37">
        <v>44044</v>
      </c>
      <c r="C3422" s="36"/>
      <c r="D3422" s="36"/>
      <c r="E3422" s="36" t="s">
        <v>135</v>
      </c>
      <c r="F3422" s="38">
        <v>12000000</v>
      </c>
      <c r="G3422" s="36" t="s">
        <v>8</v>
      </c>
      <c r="H3422" s="36" t="s">
        <v>228</v>
      </c>
      <c r="I3422" s="36"/>
      <c r="J3422" s="36"/>
    </row>
    <row r="3423" spans="1:10" x14ac:dyDescent="0.25">
      <c r="A3423" s="36">
        <v>1890</v>
      </c>
      <c r="B3423" s="37">
        <v>44075</v>
      </c>
      <c r="C3423" s="36"/>
      <c r="D3423" s="36"/>
      <c r="E3423" s="36" t="s">
        <v>135</v>
      </c>
      <c r="F3423" s="38">
        <v>12000000</v>
      </c>
      <c r="G3423" s="36" t="s">
        <v>8</v>
      </c>
      <c r="H3423" s="36" t="s">
        <v>228</v>
      </c>
      <c r="I3423" s="36"/>
      <c r="J3423" s="36"/>
    </row>
    <row r="3424" spans="1:10" x14ac:dyDescent="0.25">
      <c r="A3424" s="36">
        <v>1890</v>
      </c>
      <c r="B3424" s="37">
        <v>44105</v>
      </c>
      <c r="C3424" s="36"/>
      <c r="D3424" s="36"/>
      <c r="E3424" s="36" t="s">
        <v>135</v>
      </c>
      <c r="F3424" s="38">
        <v>12000000</v>
      </c>
      <c r="G3424" s="36" t="s">
        <v>8</v>
      </c>
      <c r="H3424" s="36" t="s">
        <v>228</v>
      </c>
      <c r="I3424" s="36"/>
      <c r="J3424" s="36"/>
    </row>
    <row r="3425" spans="1:10" x14ac:dyDescent="0.25">
      <c r="A3425" s="36">
        <v>1890</v>
      </c>
      <c r="B3425" s="37">
        <v>44136</v>
      </c>
      <c r="C3425" s="36"/>
      <c r="D3425" s="36"/>
      <c r="E3425" s="36" t="s">
        <v>135</v>
      </c>
      <c r="F3425" s="38">
        <v>12000000</v>
      </c>
      <c r="G3425" s="36" t="s">
        <v>8</v>
      </c>
      <c r="H3425" s="36" t="s">
        <v>228</v>
      </c>
      <c r="I3425" s="36"/>
      <c r="J3425" s="36"/>
    </row>
    <row r="3426" spans="1:10" x14ac:dyDescent="0.25">
      <c r="A3426" s="36">
        <v>1890</v>
      </c>
      <c r="B3426" s="37">
        <v>44166</v>
      </c>
      <c r="C3426" s="36"/>
      <c r="D3426" s="36"/>
      <c r="E3426" s="36" t="s">
        <v>135</v>
      </c>
      <c r="F3426" s="38">
        <v>12000000</v>
      </c>
      <c r="G3426" s="36" t="s">
        <v>8</v>
      </c>
      <c r="H3426" s="36" t="s">
        <v>228</v>
      </c>
      <c r="I3426" s="36"/>
      <c r="J3426" s="36"/>
    </row>
    <row r="3427" spans="1:10" x14ac:dyDescent="0.25">
      <c r="A3427" s="36">
        <v>1715</v>
      </c>
      <c r="B3427" s="37">
        <v>43466</v>
      </c>
      <c r="C3427" s="36"/>
      <c r="D3427" s="36"/>
      <c r="E3427" s="36" t="s">
        <v>135</v>
      </c>
      <c r="F3427" s="38">
        <v>7050296.2803877732</v>
      </c>
      <c r="G3427" s="36" t="s">
        <v>8</v>
      </c>
      <c r="H3427" s="36" t="s">
        <v>230</v>
      </c>
      <c r="I3427" s="36"/>
      <c r="J3427" s="36"/>
    </row>
    <row r="3428" spans="1:10" x14ac:dyDescent="0.25">
      <c r="A3428" s="36">
        <v>1715</v>
      </c>
      <c r="B3428" s="37">
        <v>43497</v>
      </c>
      <c r="C3428" s="36"/>
      <c r="D3428" s="36"/>
      <c r="E3428" s="36" t="s">
        <v>135</v>
      </c>
      <c r="F3428" s="38">
        <v>7050296.2803877732</v>
      </c>
      <c r="G3428" s="36" t="s">
        <v>8</v>
      </c>
      <c r="H3428" s="36" t="s">
        <v>230</v>
      </c>
      <c r="I3428" s="36"/>
      <c r="J3428" s="36"/>
    </row>
    <row r="3429" spans="1:10" x14ac:dyDescent="0.25">
      <c r="A3429" s="36">
        <v>1715</v>
      </c>
      <c r="B3429" s="37">
        <v>43525</v>
      </c>
      <c r="C3429" s="36"/>
      <c r="D3429" s="36"/>
      <c r="E3429" s="36" t="s">
        <v>135</v>
      </c>
      <c r="F3429" s="38">
        <v>7050296.2803877732</v>
      </c>
      <c r="G3429" s="36" t="s">
        <v>8</v>
      </c>
      <c r="H3429" s="36" t="s">
        <v>230</v>
      </c>
      <c r="I3429" s="36"/>
      <c r="J3429" s="36"/>
    </row>
    <row r="3430" spans="1:10" x14ac:dyDescent="0.25">
      <c r="A3430" s="36">
        <v>1715</v>
      </c>
      <c r="B3430" s="37">
        <v>43466</v>
      </c>
      <c r="C3430" s="36"/>
      <c r="D3430" s="36"/>
      <c r="E3430" s="36" t="s">
        <v>135</v>
      </c>
      <c r="F3430" s="38">
        <v>5301683.8089733012</v>
      </c>
      <c r="G3430" s="36" t="s">
        <v>8</v>
      </c>
      <c r="H3430" s="36" t="s">
        <v>230</v>
      </c>
      <c r="I3430" s="36"/>
      <c r="J3430" s="36"/>
    </row>
    <row r="3431" spans="1:10" x14ac:dyDescent="0.25">
      <c r="A3431" s="36">
        <v>1715</v>
      </c>
      <c r="B3431" s="37">
        <v>43497</v>
      </c>
      <c r="C3431" s="36"/>
      <c r="D3431" s="36"/>
      <c r="E3431" s="36" t="s">
        <v>135</v>
      </c>
      <c r="F3431" s="38">
        <v>5301683.8089733012</v>
      </c>
      <c r="G3431" s="36" t="s">
        <v>8</v>
      </c>
      <c r="H3431" s="36" t="s">
        <v>230</v>
      </c>
      <c r="I3431" s="36"/>
      <c r="J3431" s="36"/>
    </row>
    <row r="3432" spans="1:10" x14ac:dyDescent="0.25">
      <c r="A3432" s="36">
        <v>1715</v>
      </c>
      <c r="B3432" s="37">
        <v>43525</v>
      </c>
      <c r="C3432" s="36"/>
      <c r="D3432" s="36"/>
      <c r="E3432" s="36" t="s">
        <v>135</v>
      </c>
      <c r="F3432" s="38">
        <v>5301683.8089733012</v>
      </c>
      <c r="G3432" s="36" t="s">
        <v>8</v>
      </c>
      <c r="H3432" s="36" t="s">
        <v>230</v>
      </c>
      <c r="I3432" s="36"/>
      <c r="J3432" s="36"/>
    </row>
    <row r="3433" spans="1:10" x14ac:dyDescent="0.25">
      <c r="A3433" s="36">
        <v>1715</v>
      </c>
      <c r="B3433" s="37">
        <v>43466</v>
      </c>
      <c r="C3433" s="36"/>
      <c r="D3433" s="36"/>
      <c r="E3433" s="36" t="s">
        <v>135</v>
      </c>
      <c r="F3433" s="38">
        <v>7122595.6118260631</v>
      </c>
      <c r="G3433" s="36" t="s">
        <v>8</v>
      </c>
      <c r="H3433" s="36" t="s">
        <v>230</v>
      </c>
      <c r="I3433" s="36"/>
      <c r="J3433" s="36"/>
    </row>
    <row r="3434" spans="1:10" x14ac:dyDescent="0.25">
      <c r="A3434" s="36">
        <v>1715</v>
      </c>
      <c r="B3434" s="37">
        <v>43497</v>
      </c>
      <c r="C3434" s="36"/>
      <c r="D3434" s="36"/>
      <c r="E3434" s="36" t="s">
        <v>135</v>
      </c>
      <c r="F3434" s="38">
        <v>7122595.6118260631</v>
      </c>
      <c r="G3434" s="36" t="s">
        <v>8</v>
      </c>
      <c r="H3434" s="36" t="s">
        <v>230</v>
      </c>
      <c r="I3434" s="36"/>
      <c r="J3434" s="36"/>
    </row>
    <row r="3435" spans="1:10" x14ac:dyDescent="0.25">
      <c r="A3435" s="36">
        <v>1715</v>
      </c>
      <c r="B3435" s="37">
        <v>43525</v>
      </c>
      <c r="C3435" s="36"/>
      <c r="D3435" s="36"/>
      <c r="E3435" s="36" t="s">
        <v>135</v>
      </c>
      <c r="F3435" s="38">
        <v>7122595.6118260631</v>
      </c>
      <c r="G3435" s="36" t="s">
        <v>8</v>
      </c>
      <c r="H3435" s="36" t="s">
        <v>230</v>
      </c>
      <c r="I3435" s="36"/>
      <c r="J3435" s="36"/>
    </row>
    <row r="3436" spans="1:10" x14ac:dyDescent="0.25">
      <c r="A3436" s="36">
        <v>1715</v>
      </c>
      <c r="B3436" s="37">
        <v>43466</v>
      </c>
      <c r="C3436" s="36"/>
      <c r="D3436" s="36"/>
      <c r="E3436" s="36" t="s">
        <v>135</v>
      </c>
      <c r="F3436" s="38">
        <v>2753063.7872998388</v>
      </c>
      <c r="G3436" s="36" t="s">
        <v>8</v>
      </c>
      <c r="H3436" s="36" t="s">
        <v>230</v>
      </c>
      <c r="I3436" s="36"/>
      <c r="J3436" s="36"/>
    </row>
    <row r="3437" spans="1:10" x14ac:dyDescent="0.25">
      <c r="A3437" s="36">
        <v>1715</v>
      </c>
      <c r="B3437" s="37">
        <v>43497</v>
      </c>
      <c r="C3437" s="36"/>
      <c r="D3437" s="36"/>
      <c r="E3437" s="36" t="s">
        <v>135</v>
      </c>
      <c r="F3437" s="38">
        <v>2753063.7872998388</v>
      </c>
      <c r="G3437" s="36" t="s">
        <v>8</v>
      </c>
      <c r="H3437" s="36" t="s">
        <v>230</v>
      </c>
      <c r="I3437" s="36"/>
      <c r="J3437" s="36"/>
    </row>
    <row r="3438" spans="1:10" x14ac:dyDescent="0.25">
      <c r="A3438" s="36">
        <v>1715</v>
      </c>
      <c r="B3438" s="37">
        <v>43525</v>
      </c>
      <c r="C3438" s="36"/>
      <c r="D3438" s="36"/>
      <c r="E3438" s="36" t="s">
        <v>135</v>
      </c>
      <c r="F3438" s="38">
        <v>2753063.7872998388</v>
      </c>
      <c r="G3438" s="36" t="s">
        <v>8</v>
      </c>
      <c r="H3438" s="36" t="s">
        <v>230</v>
      </c>
      <c r="I3438" s="36"/>
      <c r="J3438" s="36"/>
    </row>
    <row r="3439" spans="1:10" x14ac:dyDescent="0.25">
      <c r="A3439" s="36">
        <v>1715</v>
      </c>
      <c r="B3439" s="37">
        <v>43466</v>
      </c>
      <c r="C3439" s="36"/>
      <c r="D3439" s="36"/>
      <c r="E3439" s="36" t="s">
        <v>135</v>
      </c>
      <c r="F3439" s="38">
        <v>4064763.0345789804</v>
      </c>
      <c r="G3439" s="36" t="s">
        <v>8</v>
      </c>
      <c r="H3439" s="36" t="s">
        <v>230</v>
      </c>
      <c r="I3439" s="36"/>
      <c r="J3439" s="36"/>
    </row>
    <row r="3440" spans="1:10" x14ac:dyDescent="0.25">
      <c r="A3440" s="36">
        <v>1715</v>
      </c>
      <c r="B3440" s="37">
        <v>43497</v>
      </c>
      <c r="C3440" s="36"/>
      <c r="D3440" s="36"/>
      <c r="E3440" s="36" t="s">
        <v>135</v>
      </c>
      <c r="F3440" s="38">
        <v>4064763.0345789804</v>
      </c>
      <c r="G3440" s="36" t="s">
        <v>8</v>
      </c>
      <c r="H3440" s="36" t="s">
        <v>230</v>
      </c>
      <c r="I3440" s="36"/>
      <c r="J3440" s="36"/>
    </row>
    <row r="3441" spans="1:10" x14ac:dyDescent="0.25">
      <c r="A3441" s="36">
        <v>1715</v>
      </c>
      <c r="B3441" s="37">
        <v>43525</v>
      </c>
      <c r="C3441" s="36"/>
      <c r="D3441" s="36"/>
      <c r="E3441" s="36" t="s">
        <v>135</v>
      </c>
      <c r="F3441" s="38">
        <v>4064763.0345789804</v>
      </c>
      <c r="G3441" s="36" t="s">
        <v>8</v>
      </c>
      <c r="H3441" s="36" t="s">
        <v>230</v>
      </c>
      <c r="I3441" s="36"/>
      <c r="J3441" s="36"/>
    </row>
    <row r="3442" spans="1:10" x14ac:dyDescent="0.25">
      <c r="A3442" s="36">
        <v>1715</v>
      </c>
      <c r="B3442" s="37">
        <v>43466</v>
      </c>
      <c r="C3442" s="36"/>
      <c r="D3442" s="36"/>
      <c r="E3442" s="36" t="s">
        <v>135</v>
      </c>
      <c r="F3442" s="38">
        <v>3114204.2269340428</v>
      </c>
      <c r="G3442" s="36" t="s">
        <v>8</v>
      </c>
      <c r="H3442" s="36" t="s">
        <v>230</v>
      </c>
      <c r="I3442" s="36"/>
      <c r="J3442" s="36"/>
    </row>
    <row r="3443" spans="1:10" x14ac:dyDescent="0.25">
      <c r="A3443" s="36">
        <v>1715</v>
      </c>
      <c r="B3443" s="37">
        <v>43497</v>
      </c>
      <c r="C3443" s="36"/>
      <c r="D3443" s="36"/>
      <c r="E3443" s="36" t="s">
        <v>135</v>
      </c>
      <c r="F3443" s="38">
        <v>3114204.2269340428</v>
      </c>
      <c r="G3443" s="36" t="s">
        <v>8</v>
      </c>
      <c r="H3443" s="36" t="s">
        <v>230</v>
      </c>
      <c r="I3443" s="36"/>
      <c r="J3443" s="36"/>
    </row>
    <row r="3444" spans="1:10" x14ac:dyDescent="0.25">
      <c r="A3444" s="36">
        <v>1715</v>
      </c>
      <c r="B3444" s="37">
        <v>43525</v>
      </c>
      <c r="C3444" s="36"/>
      <c r="D3444" s="36"/>
      <c r="E3444" s="36" t="s">
        <v>135</v>
      </c>
      <c r="F3444" s="38">
        <v>3114204.2269340428</v>
      </c>
      <c r="G3444" s="36" t="s">
        <v>8</v>
      </c>
      <c r="H3444" s="36" t="s">
        <v>230</v>
      </c>
      <c r="I3444" s="36"/>
      <c r="J3444" s="36"/>
    </row>
    <row r="3445" spans="1:10" x14ac:dyDescent="0.25">
      <c r="A3445" s="36">
        <v>1848</v>
      </c>
      <c r="B3445" s="37">
        <v>43466</v>
      </c>
      <c r="C3445" s="36"/>
      <c r="D3445" s="36"/>
      <c r="E3445" s="36" t="s">
        <v>135</v>
      </c>
      <c r="F3445" s="38">
        <v>12773052.833333334</v>
      </c>
      <c r="G3445" s="36" t="s">
        <v>8</v>
      </c>
      <c r="H3445" s="36" t="s">
        <v>8</v>
      </c>
      <c r="I3445" s="36"/>
      <c r="J3445" s="36"/>
    </row>
    <row r="3446" spans="1:10" x14ac:dyDescent="0.25">
      <c r="A3446" s="36">
        <v>1848</v>
      </c>
      <c r="B3446" s="37">
        <v>43497</v>
      </c>
      <c r="C3446" s="36"/>
      <c r="D3446" s="36"/>
      <c r="E3446" s="36" t="s">
        <v>135</v>
      </c>
      <c r="F3446" s="38">
        <v>12773052.833333334</v>
      </c>
      <c r="G3446" s="36" t="s">
        <v>8</v>
      </c>
      <c r="H3446" s="36" t="s">
        <v>8</v>
      </c>
      <c r="I3446" s="36"/>
      <c r="J3446" s="36"/>
    </row>
    <row r="3447" spans="1:10" x14ac:dyDescent="0.25">
      <c r="A3447" s="36">
        <v>1806</v>
      </c>
      <c r="B3447" s="37">
        <v>43466</v>
      </c>
      <c r="C3447" s="36"/>
      <c r="D3447" s="36"/>
      <c r="E3447" s="36" t="s">
        <v>135</v>
      </c>
      <c r="F3447" s="38">
        <v>50000000</v>
      </c>
      <c r="G3447" s="36" t="s">
        <v>8</v>
      </c>
      <c r="H3447" s="36" t="s">
        <v>8</v>
      </c>
      <c r="I3447" s="36"/>
      <c r="J3447" s="36"/>
    </row>
    <row r="3448" spans="1:10" x14ac:dyDescent="0.25">
      <c r="A3448" s="36">
        <v>1806</v>
      </c>
      <c r="B3448" s="37">
        <v>43497</v>
      </c>
      <c r="C3448" s="36"/>
      <c r="D3448" s="36"/>
      <c r="E3448" s="36" t="s">
        <v>135</v>
      </c>
      <c r="F3448" s="38">
        <v>50000000</v>
      </c>
      <c r="G3448" s="36" t="s">
        <v>8</v>
      </c>
      <c r="H3448" s="36" t="s">
        <v>8</v>
      </c>
      <c r="I3448" s="36"/>
      <c r="J3448" s="36"/>
    </row>
    <row r="3449" spans="1:10" x14ac:dyDescent="0.25">
      <c r="A3449" s="36">
        <v>1806</v>
      </c>
      <c r="B3449" s="37">
        <v>43525</v>
      </c>
      <c r="C3449" s="36"/>
      <c r="D3449" s="36"/>
      <c r="E3449" s="36" t="s">
        <v>135</v>
      </c>
      <c r="F3449" s="38">
        <v>50000000</v>
      </c>
      <c r="G3449" s="36" t="s">
        <v>8</v>
      </c>
      <c r="H3449" s="36" t="s">
        <v>8</v>
      </c>
      <c r="I3449" s="36"/>
      <c r="J3449" s="36"/>
    </row>
    <row r="3450" spans="1:10" x14ac:dyDescent="0.25">
      <c r="A3450" s="36">
        <v>1806</v>
      </c>
      <c r="B3450" s="37">
        <v>43556</v>
      </c>
      <c r="C3450" s="36"/>
      <c r="D3450" s="36"/>
      <c r="E3450" s="36" t="s">
        <v>135</v>
      </c>
      <c r="F3450" s="38">
        <v>50000000</v>
      </c>
      <c r="G3450" s="36" t="s">
        <v>8</v>
      </c>
      <c r="H3450" s="36" t="s">
        <v>8</v>
      </c>
      <c r="I3450" s="36"/>
      <c r="J3450" s="36"/>
    </row>
    <row r="3451" spans="1:10" x14ac:dyDescent="0.25">
      <c r="A3451" s="36">
        <v>1806</v>
      </c>
      <c r="B3451" s="37">
        <v>43586</v>
      </c>
      <c r="C3451" s="36"/>
      <c r="D3451" s="36"/>
      <c r="E3451" s="36" t="s">
        <v>135</v>
      </c>
      <c r="F3451" s="38">
        <v>50000000</v>
      </c>
      <c r="G3451" s="36" t="s">
        <v>8</v>
      </c>
      <c r="H3451" s="36" t="s">
        <v>8</v>
      </c>
      <c r="I3451" s="36"/>
      <c r="J3451" s="36"/>
    </row>
    <row r="3452" spans="1:10" x14ac:dyDescent="0.25">
      <c r="A3452" s="36">
        <v>1824</v>
      </c>
      <c r="B3452" s="37">
        <v>43466</v>
      </c>
      <c r="C3452" s="36"/>
      <c r="D3452" s="36"/>
      <c r="E3452" s="36" t="s">
        <v>135</v>
      </c>
      <c r="F3452" s="38">
        <v>48166666.666666664</v>
      </c>
      <c r="G3452" s="36" t="s">
        <v>8</v>
      </c>
      <c r="H3452" s="36" t="s">
        <v>8</v>
      </c>
      <c r="I3452" s="36"/>
      <c r="J3452" s="36"/>
    </row>
    <row r="3453" spans="1:10" x14ac:dyDescent="0.25">
      <c r="A3453" s="36">
        <v>1824</v>
      </c>
      <c r="B3453" s="37">
        <v>43497</v>
      </c>
      <c r="C3453" s="36"/>
      <c r="D3453" s="36"/>
      <c r="E3453" s="36" t="s">
        <v>135</v>
      </c>
      <c r="F3453" s="38">
        <v>48166666.666666664</v>
      </c>
      <c r="G3453" s="36" t="s">
        <v>8</v>
      </c>
      <c r="H3453" s="36" t="s">
        <v>8</v>
      </c>
      <c r="I3453" s="36"/>
      <c r="J3453" s="36"/>
    </row>
    <row r="3454" spans="1:10" x14ac:dyDescent="0.25">
      <c r="A3454" s="36">
        <v>1824</v>
      </c>
      <c r="B3454" s="37">
        <v>43525</v>
      </c>
      <c r="C3454" s="36"/>
      <c r="D3454" s="36"/>
      <c r="E3454" s="36" t="s">
        <v>135</v>
      </c>
      <c r="F3454" s="38">
        <v>48166666.666666664</v>
      </c>
      <c r="G3454" s="36" t="s">
        <v>8</v>
      </c>
      <c r="H3454" s="36" t="s">
        <v>8</v>
      </c>
      <c r="I3454" s="36"/>
      <c r="J3454" s="36"/>
    </row>
    <row r="3455" spans="1:10" x14ac:dyDescent="0.25">
      <c r="A3455" s="36">
        <v>1824</v>
      </c>
      <c r="B3455" s="37">
        <v>43556</v>
      </c>
      <c r="C3455" s="36"/>
      <c r="D3455" s="36"/>
      <c r="E3455" s="36" t="s">
        <v>135</v>
      </c>
      <c r="F3455" s="38">
        <v>48166666.666666664</v>
      </c>
      <c r="G3455" s="36" t="s">
        <v>8</v>
      </c>
      <c r="H3455" s="36" t="s">
        <v>8</v>
      </c>
      <c r="I3455" s="36"/>
      <c r="J3455" s="36"/>
    </row>
    <row r="3456" spans="1:10" x14ac:dyDescent="0.25">
      <c r="A3456" s="36">
        <v>1824</v>
      </c>
      <c r="B3456" s="37">
        <v>43586</v>
      </c>
      <c r="C3456" s="36"/>
      <c r="D3456" s="36"/>
      <c r="E3456" s="36" t="s">
        <v>135</v>
      </c>
      <c r="F3456" s="38">
        <v>48166666.666666664</v>
      </c>
      <c r="G3456" s="36" t="s">
        <v>8</v>
      </c>
      <c r="H3456" s="36" t="s">
        <v>8</v>
      </c>
      <c r="I3456" s="36"/>
      <c r="J3456" s="36"/>
    </row>
    <row r="3457" spans="1:10" x14ac:dyDescent="0.25">
      <c r="A3457" s="36">
        <v>1824</v>
      </c>
      <c r="B3457" s="37">
        <v>43617</v>
      </c>
      <c r="C3457" s="36"/>
      <c r="D3457" s="36"/>
      <c r="E3457" s="36" t="s">
        <v>135</v>
      </c>
      <c r="F3457" s="38">
        <v>48166666.666666664</v>
      </c>
      <c r="G3457" s="36" t="s">
        <v>8</v>
      </c>
      <c r="H3457" s="36" t="s">
        <v>8</v>
      </c>
      <c r="I3457" s="36"/>
      <c r="J3457" s="36"/>
    </row>
    <row r="3458" spans="1:10" x14ac:dyDescent="0.25">
      <c r="A3458" s="36">
        <v>1837</v>
      </c>
      <c r="B3458" s="37">
        <v>43466</v>
      </c>
      <c r="C3458" s="36"/>
      <c r="D3458" s="36"/>
      <c r="E3458" s="36" t="s">
        <v>135</v>
      </c>
      <c r="F3458" s="38">
        <v>10500000</v>
      </c>
      <c r="G3458" s="36" t="s">
        <v>8</v>
      </c>
      <c r="H3458" s="36" t="s">
        <v>228</v>
      </c>
      <c r="I3458" s="36"/>
      <c r="J3458" s="36"/>
    </row>
    <row r="3459" spans="1:10" x14ac:dyDescent="0.25">
      <c r="A3459" s="36">
        <v>1837</v>
      </c>
      <c r="B3459" s="37">
        <v>43497</v>
      </c>
      <c r="C3459" s="36"/>
      <c r="D3459" s="36"/>
      <c r="E3459" s="36" t="s">
        <v>135</v>
      </c>
      <c r="F3459" s="38">
        <v>10500000</v>
      </c>
      <c r="G3459" s="36" t="s">
        <v>8</v>
      </c>
      <c r="H3459" s="36" t="s">
        <v>228</v>
      </c>
      <c r="I3459" s="36"/>
      <c r="J3459" s="36"/>
    </row>
    <row r="3460" spans="1:10" x14ac:dyDescent="0.25">
      <c r="A3460" s="36">
        <v>1866</v>
      </c>
      <c r="B3460" s="37">
        <v>43497</v>
      </c>
      <c r="C3460" s="36"/>
      <c r="D3460" s="36"/>
      <c r="E3460" s="36" t="s">
        <v>135</v>
      </c>
      <c r="F3460" s="38">
        <v>9800000</v>
      </c>
      <c r="G3460" s="36" t="s">
        <v>8</v>
      </c>
      <c r="H3460" s="36" t="s">
        <v>228</v>
      </c>
      <c r="I3460" s="36"/>
      <c r="J3460" s="36"/>
    </row>
    <row r="3461" spans="1:10" x14ac:dyDescent="0.25">
      <c r="A3461" s="36">
        <v>1866</v>
      </c>
      <c r="B3461" s="37">
        <v>43525</v>
      </c>
      <c r="C3461" s="36"/>
      <c r="D3461" s="36"/>
      <c r="E3461" s="36" t="s">
        <v>135</v>
      </c>
      <c r="F3461" s="38">
        <v>9800000</v>
      </c>
      <c r="G3461" s="36" t="s">
        <v>8</v>
      </c>
      <c r="H3461" s="36" t="s">
        <v>228</v>
      </c>
      <c r="I3461" s="36"/>
      <c r="J3461" s="36"/>
    </row>
    <row r="3462" spans="1:10" x14ac:dyDescent="0.25">
      <c r="A3462" s="36">
        <v>1866</v>
      </c>
      <c r="B3462" s="37">
        <v>43556</v>
      </c>
      <c r="C3462" s="36"/>
      <c r="D3462" s="36"/>
      <c r="E3462" s="36" t="s">
        <v>135</v>
      </c>
      <c r="F3462" s="38">
        <v>9800000</v>
      </c>
      <c r="G3462" s="36" t="s">
        <v>8</v>
      </c>
      <c r="H3462" s="36" t="s">
        <v>228</v>
      </c>
      <c r="I3462" s="36"/>
      <c r="J3462" s="36"/>
    </row>
    <row r="3463" spans="1:10" x14ac:dyDescent="0.25">
      <c r="A3463" s="36">
        <v>1866</v>
      </c>
      <c r="B3463" s="37">
        <v>43586</v>
      </c>
      <c r="C3463" s="36"/>
      <c r="D3463" s="36"/>
      <c r="E3463" s="36" t="s">
        <v>135</v>
      </c>
      <c r="F3463" s="38">
        <v>9800000</v>
      </c>
      <c r="G3463" s="36" t="s">
        <v>8</v>
      </c>
      <c r="H3463" s="36" t="s">
        <v>228</v>
      </c>
      <c r="I3463" s="36"/>
      <c r="J3463" s="36"/>
    </row>
    <row r="3464" spans="1:10" x14ac:dyDescent="0.25">
      <c r="A3464" s="36">
        <v>1866</v>
      </c>
      <c r="B3464" s="37">
        <v>43617</v>
      </c>
      <c r="C3464" s="36"/>
      <c r="D3464" s="36"/>
      <c r="E3464" s="36" t="s">
        <v>135</v>
      </c>
      <c r="F3464" s="38">
        <v>9800000</v>
      </c>
      <c r="G3464" s="36" t="s">
        <v>8</v>
      </c>
      <c r="H3464" s="36" t="s">
        <v>228</v>
      </c>
      <c r="I3464" s="36"/>
      <c r="J3464" s="36"/>
    </row>
    <row r="3465" spans="1:10" x14ac:dyDescent="0.25">
      <c r="A3465" s="36">
        <v>1866</v>
      </c>
      <c r="B3465" s="37">
        <v>43647</v>
      </c>
      <c r="C3465" s="36"/>
      <c r="D3465" s="36"/>
      <c r="E3465" s="36" t="s">
        <v>135</v>
      </c>
      <c r="F3465" s="38">
        <v>9800000</v>
      </c>
      <c r="G3465" s="36" t="s">
        <v>8</v>
      </c>
      <c r="H3465" s="36" t="s">
        <v>228</v>
      </c>
      <c r="I3465" s="36"/>
      <c r="J3465" s="36"/>
    </row>
    <row r="3466" spans="1:10" x14ac:dyDescent="0.25">
      <c r="A3466" s="36">
        <v>1866</v>
      </c>
      <c r="B3466" s="37">
        <v>43678</v>
      </c>
      <c r="C3466" s="36"/>
      <c r="D3466" s="36"/>
      <c r="E3466" s="36" t="s">
        <v>135</v>
      </c>
      <c r="F3466" s="38">
        <v>9800000</v>
      </c>
      <c r="G3466" s="36" t="s">
        <v>8</v>
      </c>
      <c r="H3466" s="36" t="s">
        <v>228</v>
      </c>
      <c r="I3466" s="36"/>
      <c r="J3466" s="36"/>
    </row>
    <row r="3467" spans="1:10" x14ac:dyDescent="0.25">
      <c r="A3467" s="36">
        <v>1866</v>
      </c>
      <c r="B3467" s="37">
        <v>43709</v>
      </c>
      <c r="C3467" s="36"/>
      <c r="D3467" s="36"/>
      <c r="E3467" s="36" t="s">
        <v>135</v>
      </c>
      <c r="F3467" s="38">
        <v>9800000</v>
      </c>
      <c r="G3467" s="36" t="s">
        <v>8</v>
      </c>
      <c r="H3467" s="36" t="s">
        <v>228</v>
      </c>
      <c r="I3467" s="36"/>
      <c r="J3467" s="36"/>
    </row>
    <row r="3468" spans="1:10" x14ac:dyDescent="0.25">
      <c r="A3468" s="36">
        <v>1866</v>
      </c>
      <c r="B3468" s="37">
        <v>43739</v>
      </c>
      <c r="C3468" s="36"/>
      <c r="D3468" s="36"/>
      <c r="E3468" s="36" t="s">
        <v>135</v>
      </c>
      <c r="F3468" s="38">
        <v>9800000</v>
      </c>
      <c r="G3468" s="36" t="s">
        <v>8</v>
      </c>
      <c r="H3468" s="36" t="s">
        <v>228</v>
      </c>
      <c r="I3468" s="36"/>
      <c r="J3468" s="36"/>
    </row>
    <row r="3469" spans="1:10" x14ac:dyDescent="0.25">
      <c r="A3469" s="36">
        <v>1866</v>
      </c>
      <c r="B3469" s="37">
        <v>43770</v>
      </c>
      <c r="C3469" s="36"/>
      <c r="D3469" s="36"/>
      <c r="E3469" s="36" t="s">
        <v>135</v>
      </c>
      <c r="F3469" s="38">
        <v>9800000</v>
      </c>
      <c r="G3469" s="36" t="s">
        <v>8</v>
      </c>
      <c r="H3469" s="36" t="s">
        <v>228</v>
      </c>
      <c r="I3469" s="36"/>
      <c r="J3469" s="36"/>
    </row>
    <row r="3470" spans="1:10" x14ac:dyDescent="0.25">
      <c r="A3470" s="36">
        <v>1866</v>
      </c>
      <c r="B3470" s="37">
        <v>43800</v>
      </c>
      <c r="C3470" s="36"/>
      <c r="D3470" s="36"/>
      <c r="E3470" s="36" t="s">
        <v>135</v>
      </c>
      <c r="F3470" s="38">
        <v>9800000</v>
      </c>
      <c r="G3470" s="36" t="s">
        <v>8</v>
      </c>
      <c r="H3470" s="36" t="s">
        <v>228</v>
      </c>
      <c r="I3470" s="36"/>
      <c r="J3470" s="36"/>
    </row>
    <row r="3471" spans="1:10" x14ac:dyDescent="0.25">
      <c r="A3471" s="36">
        <v>1866</v>
      </c>
      <c r="B3471" s="37">
        <v>43831</v>
      </c>
      <c r="C3471" s="36"/>
      <c r="D3471" s="36"/>
      <c r="E3471" s="36" t="s">
        <v>135</v>
      </c>
      <c r="F3471" s="38">
        <v>9800000</v>
      </c>
      <c r="G3471" s="36" t="s">
        <v>8</v>
      </c>
      <c r="H3471" s="36" t="s">
        <v>228</v>
      </c>
      <c r="I3471" s="36"/>
      <c r="J3471" s="36"/>
    </row>
    <row r="3472" spans="1:10" x14ac:dyDescent="0.25">
      <c r="A3472" s="36">
        <v>1866</v>
      </c>
      <c r="B3472" s="37">
        <v>43862</v>
      </c>
      <c r="C3472" s="36"/>
      <c r="D3472" s="36"/>
      <c r="E3472" s="36" t="s">
        <v>135</v>
      </c>
      <c r="F3472" s="38">
        <v>9800000</v>
      </c>
      <c r="G3472" s="36" t="s">
        <v>8</v>
      </c>
      <c r="H3472" s="36" t="s">
        <v>228</v>
      </c>
      <c r="I3472" s="36"/>
      <c r="J3472" s="36"/>
    </row>
    <row r="3473" spans="1:10" x14ac:dyDescent="0.25">
      <c r="A3473" s="36">
        <v>1866</v>
      </c>
      <c r="B3473" s="37">
        <v>43891</v>
      </c>
      <c r="C3473" s="36"/>
      <c r="D3473" s="36"/>
      <c r="E3473" s="36" t="s">
        <v>135</v>
      </c>
      <c r="F3473" s="38">
        <v>9800000</v>
      </c>
      <c r="G3473" s="36" t="s">
        <v>8</v>
      </c>
      <c r="H3473" s="36" t="s">
        <v>228</v>
      </c>
      <c r="I3473" s="36"/>
      <c r="J3473" s="36"/>
    </row>
    <row r="3474" spans="1:10" x14ac:dyDescent="0.25">
      <c r="A3474" s="36">
        <v>1848</v>
      </c>
      <c r="B3474" s="37">
        <v>43525</v>
      </c>
      <c r="C3474" s="36"/>
      <c r="D3474" s="36"/>
      <c r="E3474" s="36" t="s">
        <v>135</v>
      </c>
      <c r="F3474" s="38">
        <v>12773052.833333334</v>
      </c>
      <c r="G3474" s="36" t="s">
        <v>8</v>
      </c>
      <c r="H3474" s="36" t="s">
        <v>8</v>
      </c>
      <c r="I3474" s="36"/>
      <c r="J3474" s="36"/>
    </row>
    <row r="3475" spans="1:10" x14ac:dyDescent="0.25">
      <c r="A3475" s="36">
        <v>1848</v>
      </c>
      <c r="B3475" s="37">
        <v>43556</v>
      </c>
      <c r="C3475" s="36"/>
      <c r="D3475" s="36"/>
      <c r="E3475" s="36" t="s">
        <v>135</v>
      </c>
      <c r="F3475" s="38">
        <v>12773052.833333334</v>
      </c>
      <c r="G3475" s="36" t="s">
        <v>8</v>
      </c>
      <c r="H3475" s="36" t="s">
        <v>8</v>
      </c>
      <c r="I3475" s="36"/>
      <c r="J3475" s="36"/>
    </row>
    <row r="3476" spans="1:10" x14ac:dyDescent="0.25">
      <c r="A3476" s="36">
        <v>1848</v>
      </c>
      <c r="B3476" s="37">
        <v>43586</v>
      </c>
      <c r="C3476" s="36"/>
      <c r="D3476" s="36"/>
      <c r="E3476" s="36" t="s">
        <v>135</v>
      </c>
      <c r="F3476" s="38">
        <v>12773052.833333334</v>
      </c>
      <c r="G3476" s="36" t="s">
        <v>8</v>
      </c>
      <c r="H3476" s="36" t="s">
        <v>8</v>
      </c>
      <c r="I3476" s="36"/>
      <c r="J3476" s="36"/>
    </row>
    <row r="3477" spans="1:10" x14ac:dyDescent="0.25">
      <c r="A3477" s="36">
        <v>1848</v>
      </c>
      <c r="B3477" s="37">
        <v>43617</v>
      </c>
      <c r="C3477" s="36"/>
      <c r="D3477" s="36"/>
      <c r="E3477" s="36" t="s">
        <v>135</v>
      </c>
      <c r="F3477" s="38">
        <v>12773052.833333334</v>
      </c>
      <c r="G3477" s="36" t="s">
        <v>8</v>
      </c>
      <c r="H3477" s="36" t="s">
        <v>8</v>
      </c>
      <c r="I3477" s="36"/>
      <c r="J3477" s="36"/>
    </row>
    <row r="3478" spans="1:10" x14ac:dyDescent="0.25">
      <c r="A3478" s="36">
        <v>1848</v>
      </c>
      <c r="B3478" s="37">
        <v>43647</v>
      </c>
      <c r="C3478" s="36"/>
      <c r="D3478" s="36"/>
      <c r="E3478" s="36" t="s">
        <v>135</v>
      </c>
      <c r="F3478" s="38">
        <v>12773052.833333334</v>
      </c>
      <c r="G3478" s="36" t="s">
        <v>8</v>
      </c>
      <c r="H3478" s="36" t="s">
        <v>8</v>
      </c>
      <c r="I3478" s="36"/>
      <c r="J3478" s="36"/>
    </row>
    <row r="3479" spans="1:10" x14ac:dyDescent="0.25">
      <c r="A3479" s="36">
        <v>1848</v>
      </c>
      <c r="B3479" s="37">
        <v>43678</v>
      </c>
      <c r="C3479" s="36"/>
      <c r="D3479" s="36"/>
      <c r="E3479" s="36" t="s">
        <v>135</v>
      </c>
      <c r="F3479" s="38">
        <v>12773052.833333334</v>
      </c>
      <c r="G3479" s="36" t="s">
        <v>8</v>
      </c>
      <c r="H3479" s="36" t="s">
        <v>8</v>
      </c>
      <c r="I3479" s="36"/>
      <c r="J3479" s="36"/>
    </row>
    <row r="3480" spans="1:10" x14ac:dyDescent="0.25">
      <c r="A3480" s="36">
        <v>1848</v>
      </c>
      <c r="B3480" s="37">
        <v>43709</v>
      </c>
      <c r="C3480" s="36"/>
      <c r="D3480" s="36"/>
      <c r="E3480" s="36" t="s">
        <v>135</v>
      </c>
      <c r="F3480" s="38">
        <v>12773052.833333334</v>
      </c>
      <c r="G3480" s="36" t="s">
        <v>8</v>
      </c>
      <c r="H3480" s="36" t="s">
        <v>8</v>
      </c>
      <c r="I3480" s="36"/>
      <c r="J3480" s="36"/>
    </row>
    <row r="3481" spans="1:10" x14ac:dyDescent="0.25">
      <c r="A3481" s="36">
        <v>1848</v>
      </c>
      <c r="B3481" s="37">
        <v>43739</v>
      </c>
      <c r="C3481" s="36"/>
      <c r="D3481" s="36"/>
      <c r="E3481" s="36" t="s">
        <v>135</v>
      </c>
      <c r="F3481" s="38">
        <v>12773052.833333334</v>
      </c>
      <c r="G3481" s="36" t="s">
        <v>8</v>
      </c>
      <c r="H3481" s="36" t="s">
        <v>8</v>
      </c>
      <c r="I3481" s="36"/>
      <c r="J3481" s="36"/>
    </row>
    <row r="3482" spans="1:10" x14ac:dyDescent="0.25">
      <c r="A3482" s="36">
        <v>1848</v>
      </c>
      <c r="B3482" s="37">
        <v>43770</v>
      </c>
      <c r="C3482" s="36"/>
      <c r="D3482" s="36"/>
      <c r="E3482" s="36" t="s">
        <v>135</v>
      </c>
      <c r="F3482" s="38">
        <v>12773052.833333334</v>
      </c>
      <c r="G3482" s="36" t="s">
        <v>8</v>
      </c>
      <c r="H3482" s="36" t="s">
        <v>8</v>
      </c>
      <c r="I3482" s="36"/>
      <c r="J3482" s="36"/>
    </row>
    <row r="3483" spans="1:10" x14ac:dyDescent="0.25">
      <c r="A3483" s="36">
        <v>1845</v>
      </c>
      <c r="B3483" s="37">
        <v>43497</v>
      </c>
      <c r="C3483" s="36"/>
      <c r="D3483" s="36"/>
      <c r="E3483" s="36" t="s">
        <v>135</v>
      </c>
      <c r="F3483" s="38">
        <v>22250000</v>
      </c>
      <c r="G3483" s="36" t="s">
        <v>8</v>
      </c>
      <c r="H3483" s="36" t="s">
        <v>228</v>
      </c>
      <c r="I3483" s="36"/>
      <c r="J3483" s="36"/>
    </row>
    <row r="3484" spans="1:10" x14ac:dyDescent="0.25">
      <c r="A3484" s="36">
        <v>1845</v>
      </c>
      <c r="B3484" s="37">
        <v>43525</v>
      </c>
      <c r="C3484" s="36"/>
      <c r="D3484" s="36"/>
      <c r="E3484" s="36" t="s">
        <v>135</v>
      </c>
      <c r="F3484" s="38">
        <v>22250000</v>
      </c>
      <c r="G3484" s="36" t="s">
        <v>8</v>
      </c>
      <c r="H3484" s="36" t="s">
        <v>228</v>
      </c>
      <c r="I3484" s="36"/>
      <c r="J3484" s="36"/>
    </row>
    <row r="3485" spans="1:10" x14ac:dyDescent="0.25">
      <c r="A3485" s="36">
        <v>1845</v>
      </c>
      <c r="B3485" s="37">
        <v>43556</v>
      </c>
      <c r="C3485" s="36"/>
      <c r="D3485" s="36"/>
      <c r="E3485" s="36" t="s">
        <v>135</v>
      </c>
      <c r="F3485" s="38">
        <v>22250000</v>
      </c>
      <c r="G3485" s="36" t="s">
        <v>8</v>
      </c>
      <c r="H3485" s="36" t="s">
        <v>228</v>
      </c>
      <c r="I3485" s="36"/>
      <c r="J3485" s="36"/>
    </row>
    <row r="3486" spans="1:10" x14ac:dyDescent="0.25">
      <c r="A3486" s="36">
        <v>1845</v>
      </c>
      <c r="B3486" s="37">
        <v>43586</v>
      </c>
      <c r="C3486" s="36"/>
      <c r="D3486" s="36"/>
      <c r="E3486" s="36" t="s">
        <v>135</v>
      </c>
      <c r="F3486" s="38">
        <v>22250000</v>
      </c>
      <c r="G3486" s="36" t="s">
        <v>8</v>
      </c>
      <c r="H3486" s="36" t="s">
        <v>228</v>
      </c>
      <c r="I3486" s="36"/>
      <c r="J3486" s="36"/>
    </row>
    <row r="3487" spans="1:10" x14ac:dyDescent="0.25">
      <c r="A3487" s="36">
        <v>1845</v>
      </c>
      <c r="B3487" s="37">
        <v>43617</v>
      </c>
      <c r="C3487" s="36"/>
      <c r="D3487" s="36"/>
      <c r="E3487" s="36" t="s">
        <v>135</v>
      </c>
      <c r="F3487" s="38">
        <v>22250000</v>
      </c>
      <c r="G3487" s="36" t="s">
        <v>8</v>
      </c>
      <c r="H3487" s="36" t="s">
        <v>228</v>
      </c>
      <c r="I3487" s="36"/>
      <c r="J3487" s="36"/>
    </row>
    <row r="3488" spans="1:10" x14ac:dyDescent="0.25">
      <c r="A3488" s="36">
        <v>1845</v>
      </c>
      <c r="B3488" s="37">
        <v>43647</v>
      </c>
      <c r="C3488" s="36"/>
      <c r="D3488" s="36"/>
      <c r="E3488" s="36" t="s">
        <v>135</v>
      </c>
      <c r="F3488" s="38">
        <v>22250000</v>
      </c>
      <c r="G3488" s="36" t="s">
        <v>8</v>
      </c>
      <c r="H3488" s="36" t="s">
        <v>228</v>
      </c>
      <c r="I3488" s="36"/>
      <c r="J3488" s="36"/>
    </row>
    <row r="3489" spans="1:10" x14ac:dyDescent="0.25">
      <c r="A3489" s="36">
        <v>1845</v>
      </c>
      <c r="B3489" s="37">
        <v>43678</v>
      </c>
      <c r="C3489" s="36"/>
      <c r="D3489" s="36"/>
      <c r="E3489" s="36" t="s">
        <v>135</v>
      </c>
      <c r="F3489" s="38">
        <v>22250000</v>
      </c>
      <c r="G3489" s="36" t="s">
        <v>8</v>
      </c>
      <c r="H3489" s="36" t="s">
        <v>228</v>
      </c>
      <c r="I3489" s="36"/>
      <c r="J3489" s="36"/>
    </row>
    <row r="3490" spans="1:10" x14ac:dyDescent="0.25">
      <c r="A3490" s="36">
        <v>1790</v>
      </c>
      <c r="B3490" s="37">
        <v>43556</v>
      </c>
      <c r="C3490" s="36"/>
      <c r="D3490" s="36"/>
      <c r="E3490" s="36" t="s">
        <v>135</v>
      </c>
      <c r="F3490" s="38">
        <v>17160000</v>
      </c>
      <c r="G3490" s="36" t="s">
        <v>8</v>
      </c>
      <c r="H3490" s="36" t="s">
        <v>228</v>
      </c>
      <c r="I3490" s="36"/>
      <c r="J3490" s="36"/>
    </row>
    <row r="3491" spans="1:10" x14ac:dyDescent="0.25">
      <c r="A3491" s="36">
        <v>1790</v>
      </c>
      <c r="B3491" s="37">
        <v>43586</v>
      </c>
      <c r="C3491" s="36"/>
      <c r="D3491" s="36"/>
      <c r="E3491" s="36" t="s">
        <v>135</v>
      </c>
      <c r="F3491" s="38">
        <v>17160000</v>
      </c>
      <c r="G3491" s="36" t="s">
        <v>8</v>
      </c>
      <c r="H3491" s="36" t="s">
        <v>228</v>
      </c>
      <c r="I3491" s="36"/>
      <c r="J3491" s="36"/>
    </row>
    <row r="3492" spans="1:10" x14ac:dyDescent="0.25">
      <c r="A3492" s="36">
        <v>1790</v>
      </c>
      <c r="B3492" s="37">
        <v>43617</v>
      </c>
      <c r="C3492" s="36"/>
      <c r="D3492" s="36"/>
      <c r="E3492" s="36" t="s">
        <v>135</v>
      </c>
      <c r="F3492" s="38">
        <v>17160000</v>
      </c>
      <c r="G3492" s="36" t="s">
        <v>8</v>
      </c>
      <c r="H3492" s="36" t="s">
        <v>228</v>
      </c>
      <c r="I3492" s="36"/>
      <c r="J3492" s="36"/>
    </row>
    <row r="3493" spans="1:10" x14ac:dyDescent="0.25">
      <c r="A3493" s="36">
        <v>1790</v>
      </c>
      <c r="B3493" s="37">
        <v>43647</v>
      </c>
      <c r="C3493" s="36"/>
      <c r="D3493" s="36"/>
      <c r="E3493" s="36" t="s">
        <v>135</v>
      </c>
      <c r="F3493" s="38">
        <v>17160000</v>
      </c>
      <c r="G3493" s="36" t="s">
        <v>8</v>
      </c>
      <c r="H3493" s="36" t="s">
        <v>228</v>
      </c>
      <c r="I3493" s="36"/>
      <c r="J3493" s="36"/>
    </row>
    <row r="3494" spans="1:10" x14ac:dyDescent="0.25">
      <c r="A3494" s="36">
        <v>1790</v>
      </c>
      <c r="B3494" s="37">
        <v>43678</v>
      </c>
      <c r="C3494" s="36"/>
      <c r="D3494" s="36"/>
      <c r="E3494" s="36" t="s">
        <v>135</v>
      </c>
      <c r="F3494" s="38">
        <v>17160000</v>
      </c>
      <c r="G3494" s="36" t="s">
        <v>8</v>
      </c>
      <c r="H3494" s="36" t="s">
        <v>228</v>
      </c>
      <c r="I3494" s="36"/>
      <c r="J3494" s="36"/>
    </row>
    <row r="3495" spans="1:10" x14ac:dyDescent="0.25">
      <c r="A3495" s="36">
        <v>1790</v>
      </c>
      <c r="B3495" s="37">
        <v>43709</v>
      </c>
      <c r="C3495" s="36"/>
      <c r="D3495" s="36"/>
      <c r="E3495" s="36" t="s">
        <v>135</v>
      </c>
      <c r="F3495" s="38">
        <v>17160000</v>
      </c>
      <c r="G3495" s="36" t="s">
        <v>8</v>
      </c>
      <c r="H3495" s="36" t="s">
        <v>228</v>
      </c>
      <c r="I3495" s="36"/>
      <c r="J3495" s="36"/>
    </row>
    <row r="3496" spans="1:10" x14ac:dyDescent="0.25">
      <c r="A3496" s="36">
        <v>1790</v>
      </c>
      <c r="B3496" s="37">
        <v>43739</v>
      </c>
      <c r="C3496" s="36"/>
      <c r="D3496" s="36"/>
      <c r="E3496" s="36" t="s">
        <v>135</v>
      </c>
      <c r="F3496" s="38">
        <v>17160000</v>
      </c>
      <c r="G3496" s="36" t="s">
        <v>8</v>
      </c>
      <c r="H3496" s="36" t="s">
        <v>228</v>
      </c>
      <c r="I3496" s="36"/>
      <c r="J3496" s="36"/>
    </row>
    <row r="3497" spans="1:10" x14ac:dyDescent="0.25">
      <c r="A3497" s="36">
        <v>1790</v>
      </c>
      <c r="B3497" s="37">
        <v>43770</v>
      </c>
      <c r="C3497" s="36"/>
      <c r="D3497" s="36"/>
      <c r="E3497" s="36" t="s">
        <v>135</v>
      </c>
      <c r="F3497" s="38">
        <v>17160000</v>
      </c>
      <c r="G3497" s="36" t="s">
        <v>8</v>
      </c>
      <c r="H3497" s="36" t="s">
        <v>228</v>
      </c>
      <c r="I3497" s="36"/>
      <c r="J3497" s="36"/>
    </row>
    <row r="3498" spans="1:10" x14ac:dyDescent="0.25">
      <c r="A3498" s="36">
        <v>1790</v>
      </c>
      <c r="B3498" s="37">
        <v>43800</v>
      </c>
      <c r="C3498" s="36"/>
      <c r="D3498" s="36"/>
      <c r="E3498" s="36" t="s">
        <v>135</v>
      </c>
      <c r="F3498" s="38">
        <v>17160000</v>
      </c>
      <c r="G3498" s="36" t="s">
        <v>8</v>
      </c>
      <c r="H3498" s="36" t="s">
        <v>228</v>
      </c>
      <c r="I3498" s="36"/>
      <c r="J3498" s="36"/>
    </row>
    <row r="3499" spans="1:10" x14ac:dyDescent="0.25">
      <c r="A3499" s="36">
        <v>1790</v>
      </c>
      <c r="B3499" s="37">
        <v>43831</v>
      </c>
      <c r="C3499" s="36"/>
      <c r="D3499" s="36"/>
      <c r="E3499" s="36" t="s">
        <v>135</v>
      </c>
      <c r="F3499" s="38">
        <v>17160000</v>
      </c>
      <c r="G3499" s="36" t="s">
        <v>8</v>
      </c>
      <c r="H3499" s="36" t="s">
        <v>228</v>
      </c>
      <c r="I3499" s="36"/>
      <c r="J3499" s="36"/>
    </row>
    <row r="3500" spans="1:10" x14ac:dyDescent="0.25">
      <c r="A3500" s="36">
        <v>1790</v>
      </c>
      <c r="B3500" s="37">
        <v>43862</v>
      </c>
      <c r="C3500" s="36"/>
      <c r="D3500" s="36"/>
      <c r="E3500" s="36" t="s">
        <v>135</v>
      </c>
      <c r="F3500" s="38">
        <v>17160000</v>
      </c>
      <c r="G3500" s="36" t="s">
        <v>8</v>
      </c>
      <c r="H3500" s="36" t="s">
        <v>228</v>
      </c>
      <c r="I3500" s="36"/>
      <c r="J3500" s="36"/>
    </row>
    <row r="3501" spans="1:10" x14ac:dyDescent="0.25">
      <c r="A3501" s="36">
        <v>1790</v>
      </c>
      <c r="B3501" s="37">
        <v>43891</v>
      </c>
      <c r="C3501" s="36"/>
      <c r="D3501" s="36"/>
      <c r="E3501" s="36" t="s">
        <v>135</v>
      </c>
      <c r="F3501" s="38">
        <v>17160000</v>
      </c>
      <c r="G3501" s="36" t="s">
        <v>8</v>
      </c>
      <c r="H3501" s="36" t="s">
        <v>228</v>
      </c>
      <c r="I3501" s="36"/>
      <c r="J3501" s="36"/>
    </row>
    <row r="3502" spans="1:10" x14ac:dyDescent="0.25">
      <c r="A3502" s="36">
        <v>1790</v>
      </c>
      <c r="B3502" s="37">
        <v>43922</v>
      </c>
      <c r="C3502" s="36"/>
      <c r="D3502" s="36"/>
      <c r="E3502" s="36" t="s">
        <v>135</v>
      </c>
      <c r="F3502" s="38">
        <v>17160000</v>
      </c>
      <c r="G3502" s="36" t="s">
        <v>8</v>
      </c>
      <c r="H3502" s="36" t="s">
        <v>228</v>
      </c>
      <c r="I3502" s="36"/>
      <c r="J3502" s="36"/>
    </row>
    <row r="3503" spans="1:10" x14ac:dyDescent="0.25">
      <c r="A3503" s="36">
        <v>1899</v>
      </c>
      <c r="B3503" s="37">
        <v>43525</v>
      </c>
      <c r="C3503" s="36"/>
      <c r="D3503" s="36"/>
      <c r="E3503" s="36" t="s">
        <v>135</v>
      </c>
      <c r="F3503" s="38">
        <v>26936126</v>
      </c>
      <c r="G3503" s="36" t="s">
        <v>8</v>
      </c>
      <c r="H3503" s="36" t="s">
        <v>8</v>
      </c>
      <c r="I3503" s="36"/>
      <c r="J3503" s="36"/>
    </row>
    <row r="3504" spans="1:10" x14ac:dyDescent="0.25">
      <c r="A3504" s="36">
        <v>1899</v>
      </c>
      <c r="B3504" s="37">
        <v>43556</v>
      </c>
      <c r="C3504" s="36"/>
      <c r="D3504" s="36"/>
      <c r="E3504" s="36" t="s">
        <v>135</v>
      </c>
      <c r="F3504" s="38">
        <v>26936126</v>
      </c>
      <c r="G3504" s="36" t="s">
        <v>8</v>
      </c>
      <c r="H3504" s="36" t="s">
        <v>8</v>
      </c>
      <c r="I3504" s="36"/>
      <c r="J3504" s="36"/>
    </row>
    <row r="3505" spans="1:10" x14ac:dyDescent="0.25">
      <c r="A3505" s="36">
        <v>1899</v>
      </c>
      <c r="B3505" s="37">
        <v>43586</v>
      </c>
      <c r="C3505" s="36"/>
      <c r="D3505" s="36"/>
      <c r="E3505" s="36" t="s">
        <v>135</v>
      </c>
      <c r="F3505" s="38">
        <v>26936126</v>
      </c>
      <c r="G3505" s="36" t="s">
        <v>8</v>
      </c>
      <c r="H3505" s="36" t="s">
        <v>8</v>
      </c>
      <c r="I3505" s="36"/>
      <c r="J3505" s="36"/>
    </row>
    <row r="3506" spans="1:10" x14ac:dyDescent="0.25">
      <c r="A3506" s="36">
        <v>1899</v>
      </c>
      <c r="B3506" s="37">
        <v>43617</v>
      </c>
      <c r="C3506" s="36"/>
      <c r="D3506" s="36"/>
      <c r="E3506" s="36" t="s">
        <v>135</v>
      </c>
      <c r="F3506" s="38">
        <v>26936126</v>
      </c>
      <c r="G3506" s="36" t="s">
        <v>8</v>
      </c>
      <c r="H3506" s="36" t="s">
        <v>8</v>
      </c>
      <c r="I3506" s="36"/>
      <c r="J3506" s="36"/>
    </row>
    <row r="3507" spans="1:10" x14ac:dyDescent="0.25">
      <c r="A3507" s="36">
        <v>1899</v>
      </c>
      <c r="B3507" s="37">
        <v>43647</v>
      </c>
      <c r="C3507" s="36"/>
      <c r="D3507" s="36"/>
      <c r="E3507" s="36" t="s">
        <v>135</v>
      </c>
      <c r="F3507" s="38">
        <v>26936126</v>
      </c>
      <c r="G3507" s="36" t="s">
        <v>8</v>
      </c>
      <c r="H3507" s="36" t="s">
        <v>8</v>
      </c>
      <c r="I3507" s="36"/>
      <c r="J3507" s="36"/>
    </row>
    <row r="3508" spans="1:10" x14ac:dyDescent="0.25">
      <c r="A3508" s="36">
        <v>1899</v>
      </c>
      <c r="B3508" s="37">
        <v>43678</v>
      </c>
      <c r="C3508" s="36"/>
      <c r="D3508" s="36"/>
      <c r="E3508" s="36" t="s">
        <v>135</v>
      </c>
      <c r="F3508" s="38">
        <v>26936126</v>
      </c>
      <c r="G3508" s="36" t="s">
        <v>8</v>
      </c>
      <c r="H3508" s="36" t="s">
        <v>8</v>
      </c>
      <c r="I3508" s="36"/>
      <c r="J3508" s="36"/>
    </row>
    <row r="3509" spans="1:10" x14ac:dyDescent="0.25">
      <c r="A3509" s="36">
        <v>1899</v>
      </c>
      <c r="B3509" s="37">
        <v>43709</v>
      </c>
      <c r="C3509" s="36"/>
      <c r="D3509" s="36"/>
      <c r="E3509" s="36" t="s">
        <v>135</v>
      </c>
      <c r="F3509" s="38">
        <v>26936126</v>
      </c>
      <c r="G3509" s="36" t="s">
        <v>8</v>
      </c>
      <c r="H3509" s="36" t="s">
        <v>8</v>
      </c>
      <c r="I3509" s="36"/>
      <c r="J3509" s="36"/>
    </row>
    <row r="3510" spans="1:10" x14ac:dyDescent="0.25">
      <c r="A3510" s="36">
        <v>1899</v>
      </c>
      <c r="B3510" s="37">
        <v>43739</v>
      </c>
      <c r="C3510" s="36"/>
      <c r="D3510" s="36"/>
      <c r="E3510" s="36" t="s">
        <v>135</v>
      </c>
      <c r="F3510" s="38">
        <v>26936126</v>
      </c>
      <c r="G3510" s="36" t="s">
        <v>8</v>
      </c>
      <c r="H3510" s="36" t="s">
        <v>8</v>
      </c>
      <c r="I3510" s="36"/>
      <c r="J3510" s="36"/>
    </row>
    <row r="3511" spans="1:10" x14ac:dyDescent="0.25">
      <c r="A3511" s="36">
        <v>1899</v>
      </c>
      <c r="B3511" s="37">
        <v>43770</v>
      </c>
      <c r="C3511" s="36"/>
      <c r="D3511" s="36"/>
      <c r="E3511" s="36" t="s">
        <v>135</v>
      </c>
      <c r="F3511" s="38">
        <v>26936126</v>
      </c>
      <c r="G3511" s="36" t="s">
        <v>8</v>
      </c>
      <c r="H3511" s="36" t="s">
        <v>8</v>
      </c>
      <c r="I3511" s="36"/>
      <c r="J3511" s="36"/>
    </row>
    <row r="3512" spans="1:10" x14ac:dyDescent="0.25">
      <c r="A3512" s="36">
        <v>1899</v>
      </c>
      <c r="B3512" s="37">
        <v>43800</v>
      </c>
      <c r="C3512" s="36"/>
      <c r="D3512" s="36"/>
      <c r="E3512" s="36" t="s">
        <v>135</v>
      </c>
      <c r="F3512" s="38">
        <v>26936126</v>
      </c>
      <c r="G3512" s="36" t="s">
        <v>8</v>
      </c>
      <c r="H3512" s="36" t="s">
        <v>8</v>
      </c>
      <c r="I3512" s="36"/>
      <c r="J3512" s="36"/>
    </row>
    <row r="3513" spans="1:10" x14ac:dyDescent="0.25">
      <c r="A3513" s="36">
        <v>1899</v>
      </c>
      <c r="B3513" s="37">
        <v>43831</v>
      </c>
      <c r="C3513" s="36"/>
      <c r="D3513" s="36"/>
      <c r="E3513" s="36" t="s">
        <v>135</v>
      </c>
      <c r="F3513" s="38">
        <v>26936126</v>
      </c>
      <c r="G3513" s="36" t="s">
        <v>8</v>
      </c>
      <c r="H3513" s="36" t="s">
        <v>8</v>
      </c>
      <c r="I3513" s="36"/>
      <c r="J3513" s="36"/>
    </row>
    <row r="3514" spans="1:10" x14ac:dyDescent="0.25">
      <c r="A3514" s="36">
        <v>1899</v>
      </c>
      <c r="B3514" s="37">
        <v>43862</v>
      </c>
      <c r="C3514" s="36"/>
      <c r="D3514" s="36"/>
      <c r="E3514" s="36" t="s">
        <v>135</v>
      </c>
      <c r="F3514" s="38">
        <v>26936126</v>
      </c>
      <c r="G3514" s="36" t="s">
        <v>8</v>
      </c>
      <c r="H3514" s="36" t="s">
        <v>8</v>
      </c>
      <c r="I3514" s="36"/>
      <c r="J3514" s="36"/>
    </row>
    <row r="3515" spans="1:10" x14ac:dyDescent="0.25">
      <c r="A3515" s="36">
        <v>1899</v>
      </c>
      <c r="B3515" s="37">
        <v>43891</v>
      </c>
      <c r="C3515" s="36"/>
      <c r="D3515" s="36"/>
      <c r="E3515" s="36" t="s">
        <v>135</v>
      </c>
      <c r="F3515" s="38">
        <v>26936126</v>
      </c>
      <c r="G3515" s="36" t="s">
        <v>8</v>
      </c>
      <c r="H3515" s="36" t="s">
        <v>8</v>
      </c>
      <c r="I3515" s="36"/>
      <c r="J3515" s="36"/>
    </row>
    <row r="3516" spans="1:10" x14ac:dyDescent="0.25">
      <c r="A3516" s="36">
        <v>1899</v>
      </c>
      <c r="B3516" s="37">
        <v>43922</v>
      </c>
      <c r="C3516" s="36"/>
      <c r="D3516" s="36"/>
      <c r="E3516" s="36" t="s">
        <v>135</v>
      </c>
      <c r="F3516" s="38">
        <v>26936126</v>
      </c>
      <c r="G3516" s="36" t="s">
        <v>8</v>
      </c>
      <c r="H3516" s="36" t="s">
        <v>8</v>
      </c>
      <c r="I3516" s="36"/>
      <c r="J3516" s="36"/>
    </row>
    <row r="3517" spans="1:10" x14ac:dyDescent="0.25">
      <c r="A3517" s="36">
        <v>1899</v>
      </c>
      <c r="B3517" s="37">
        <v>43952</v>
      </c>
      <c r="C3517" s="36"/>
      <c r="D3517" s="36"/>
      <c r="E3517" s="36" t="s">
        <v>135</v>
      </c>
      <c r="F3517" s="38">
        <v>26936126</v>
      </c>
      <c r="G3517" s="36" t="s">
        <v>8</v>
      </c>
      <c r="H3517" s="36" t="s">
        <v>8</v>
      </c>
      <c r="I3517" s="36"/>
      <c r="J3517" s="36"/>
    </row>
    <row r="3518" spans="1:10" x14ac:dyDescent="0.25">
      <c r="A3518" s="36">
        <v>1899</v>
      </c>
      <c r="B3518" s="37">
        <v>43983</v>
      </c>
      <c r="C3518" s="36"/>
      <c r="D3518" s="36"/>
      <c r="E3518" s="36" t="s">
        <v>135</v>
      </c>
      <c r="F3518" s="38">
        <v>26936126</v>
      </c>
      <c r="G3518" s="36" t="s">
        <v>8</v>
      </c>
      <c r="H3518" s="36" t="s">
        <v>8</v>
      </c>
      <c r="I3518" s="36"/>
      <c r="J3518" s="36"/>
    </row>
    <row r="3519" spans="1:10" x14ac:dyDescent="0.25">
      <c r="A3519" s="36">
        <v>1899</v>
      </c>
      <c r="B3519" s="37">
        <v>44013</v>
      </c>
      <c r="C3519" s="36"/>
      <c r="D3519" s="36"/>
      <c r="E3519" s="36" t="s">
        <v>135</v>
      </c>
      <c r="F3519" s="38">
        <v>26936126</v>
      </c>
      <c r="G3519" s="36" t="s">
        <v>8</v>
      </c>
      <c r="H3519" s="36" t="s">
        <v>8</v>
      </c>
      <c r="I3519" s="36"/>
      <c r="J3519" s="36"/>
    </row>
    <row r="3520" spans="1:10" x14ac:dyDescent="0.25">
      <c r="A3520" s="36">
        <v>1899</v>
      </c>
      <c r="B3520" s="37">
        <v>44044</v>
      </c>
      <c r="C3520" s="36"/>
      <c r="D3520" s="36"/>
      <c r="E3520" s="36" t="s">
        <v>135</v>
      </c>
      <c r="F3520" s="38">
        <v>26936126</v>
      </c>
      <c r="G3520" s="36" t="s">
        <v>8</v>
      </c>
      <c r="H3520" s="36" t="s">
        <v>8</v>
      </c>
      <c r="I3520" s="36"/>
      <c r="J3520" s="36"/>
    </row>
    <row r="3521" spans="1:10" x14ac:dyDescent="0.25">
      <c r="A3521" s="36">
        <v>1899</v>
      </c>
      <c r="B3521" s="37">
        <v>44075</v>
      </c>
      <c r="C3521" s="36"/>
      <c r="D3521" s="36"/>
      <c r="E3521" s="36" t="s">
        <v>135</v>
      </c>
      <c r="F3521" s="38">
        <v>26936126</v>
      </c>
      <c r="G3521" s="36" t="s">
        <v>8</v>
      </c>
      <c r="H3521" s="36" t="s">
        <v>8</v>
      </c>
      <c r="I3521" s="36"/>
      <c r="J3521" s="36"/>
    </row>
    <row r="3522" spans="1:10" x14ac:dyDescent="0.25">
      <c r="A3522" s="36">
        <v>1899</v>
      </c>
      <c r="B3522" s="37">
        <v>44105</v>
      </c>
      <c r="C3522" s="36"/>
      <c r="D3522" s="36"/>
      <c r="E3522" s="36" t="s">
        <v>135</v>
      </c>
      <c r="F3522" s="38">
        <v>26936126</v>
      </c>
      <c r="G3522" s="36" t="s">
        <v>8</v>
      </c>
      <c r="H3522" s="36" t="s">
        <v>8</v>
      </c>
      <c r="I3522" s="36"/>
      <c r="J3522" s="36"/>
    </row>
    <row r="3523" spans="1:10" x14ac:dyDescent="0.25">
      <c r="A3523" s="36">
        <v>1899</v>
      </c>
      <c r="B3523" s="37">
        <v>44136</v>
      </c>
      <c r="C3523" s="36"/>
      <c r="D3523" s="36"/>
      <c r="E3523" s="36" t="s">
        <v>135</v>
      </c>
      <c r="F3523" s="38">
        <v>26936126</v>
      </c>
      <c r="G3523" s="36" t="s">
        <v>8</v>
      </c>
      <c r="H3523" s="36" t="s">
        <v>8</v>
      </c>
      <c r="I3523" s="36"/>
      <c r="J3523" s="36"/>
    </row>
    <row r="3524" spans="1:10" x14ac:dyDescent="0.25">
      <c r="A3524" s="36">
        <v>1899</v>
      </c>
      <c r="B3524" s="37">
        <v>44166</v>
      </c>
      <c r="C3524" s="36"/>
      <c r="D3524" s="36"/>
      <c r="E3524" s="36" t="s">
        <v>135</v>
      </c>
      <c r="F3524" s="38">
        <v>26936126</v>
      </c>
      <c r="G3524" s="36" t="s">
        <v>8</v>
      </c>
      <c r="H3524" s="36" t="s">
        <v>8</v>
      </c>
      <c r="I3524" s="36"/>
      <c r="J3524" s="36"/>
    </row>
    <row r="3525" spans="1:10" x14ac:dyDescent="0.25">
      <c r="A3525" s="36">
        <v>1899</v>
      </c>
      <c r="B3525" s="37">
        <v>44197</v>
      </c>
      <c r="C3525" s="36"/>
      <c r="D3525" s="36"/>
      <c r="E3525" s="36" t="s">
        <v>135</v>
      </c>
      <c r="F3525" s="38">
        <v>26936126</v>
      </c>
      <c r="G3525" s="36" t="s">
        <v>8</v>
      </c>
      <c r="H3525" s="36" t="s">
        <v>8</v>
      </c>
      <c r="I3525" s="36"/>
      <c r="J3525" s="36"/>
    </row>
    <row r="3526" spans="1:10" x14ac:dyDescent="0.25">
      <c r="A3526" s="36">
        <v>1899</v>
      </c>
      <c r="B3526" s="37">
        <v>44228</v>
      </c>
      <c r="C3526" s="36"/>
      <c r="D3526" s="36"/>
      <c r="E3526" s="36" t="s">
        <v>135</v>
      </c>
      <c r="F3526" s="38">
        <v>26936126</v>
      </c>
      <c r="G3526" s="36" t="s">
        <v>8</v>
      </c>
      <c r="H3526" s="36" t="s">
        <v>8</v>
      </c>
      <c r="I3526" s="36"/>
      <c r="J3526" s="36"/>
    </row>
    <row r="3527" spans="1:10" x14ac:dyDescent="0.25">
      <c r="A3527" s="36">
        <v>1899</v>
      </c>
      <c r="B3527" s="37">
        <v>44256</v>
      </c>
      <c r="C3527" s="36"/>
      <c r="D3527" s="36"/>
      <c r="E3527" s="36" t="s">
        <v>135</v>
      </c>
      <c r="F3527" s="38">
        <v>26936126</v>
      </c>
      <c r="G3527" s="36" t="s">
        <v>8</v>
      </c>
      <c r="H3527" s="36" t="s">
        <v>8</v>
      </c>
      <c r="I3527" s="36"/>
      <c r="J3527" s="36"/>
    </row>
    <row r="3528" spans="1:10" x14ac:dyDescent="0.25">
      <c r="A3528" s="36">
        <v>1900</v>
      </c>
      <c r="B3528" s="37">
        <v>43556</v>
      </c>
      <c r="C3528" s="36"/>
      <c r="D3528" s="36"/>
      <c r="E3528" s="36" t="s">
        <v>135</v>
      </c>
      <c r="F3528" s="38">
        <v>8700000</v>
      </c>
      <c r="G3528" s="36" t="s">
        <v>8</v>
      </c>
      <c r="H3528" s="36" t="s">
        <v>228</v>
      </c>
      <c r="I3528" s="36"/>
      <c r="J3528" s="36"/>
    </row>
    <row r="3529" spans="1:10" x14ac:dyDescent="0.25">
      <c r="A3529" s="36">
        <v>1900</v>
      </c>
      <c r="B3529" s="37">
        <v>43556</v>
      </c>
      <c r="C3529" s="36"/>
      <c r="D3529" s="36"/>
      <c r="E3529" s="36" t="s">
        <v>135</v>
      </c>
      <c r="F3529" s="38">
        <v>20600000</v>
      </c>
      <c r="G3529" s="36" t="s">
        <v>8</v>
      </c>
      <c r="H3529" s="36" t="s">
        <v>228</v>
      </c>
      <c r="I3529" s="36"/>
      <c r="J3529" s="36"/>
    </row>
    <row r="3530" spans="1:10" x14ac:dyDescent="0.25">
      <c r="A3530" s="36">
        <v>1900</v>
      </c>
      <c r="B3530" s="37">
        <v>43586</v>
      </c>
      <c r="C3530" s="36"/>
      <c r="D3530" s="36"/>
      <c r="E3530" s="36" t="s">
        <v>135</v>
      </c>
      <c r="F3530" s="38">
        <v>20600000</v>
      </c>
      <c r="G3530" s="36" t="s">
        <v>8</v>
      </c>
      <c r="H3530" s="36" t="s">
        <v>228</v>
      </c>
      <c r="I3530" s="36"/>
      <c r="J3530" s="36"/>
    </row>
    <row r="3531" spans="1:10" x14ac:dyDescent="0.25">
      <c r="A3531" s="36">
        <v>1900</v>
      </c>
      <c r="B3531" s="37">
        <v>43617</v>
      </c>
      <c r="C3531" s="36"/>
      <c r="D3531" s="36"/>
      <c r="E3531" s="36" t="s">
        <v>135</v>
      </c>
      <c r="F3531" s="38">
        <v>20600000</v>
      </c>
      <c r="G3531" s="36" t="s">
        <v>8</v>
      </c>
      <c r="H3531" s="36" t="s">
        <v>228</v>
      </c>
      <c r="I3531" s="36"/>
      <c r="J3531" s="36"/>
    </row>
    <row r="3532" spans="1:10" x14ac:dyDescent="0.25">
      <c r="A3532" s="36">
        <v>1900</v>
      </c>
      <c r="B3532" s="37">
        <v>43647</v>
      </c>
      <c r="C3532" s="36"/>
      <c r="D3532" s="36"/>
      <c r="E3532" s="36" t="s">
        <v>135</v>
      </c>
      <c r="F3532" s="38">
        <v>20600000</v>
      </c>
      <c r="G3532" s="36" t="s">
        <v>8</v>
      </c>
      <c r="H3532" s="36" t="s">
        <v>228</v>
      </c>
      <c r="I3532" s="36"/>
      <c r="J3532" s="36"/>
    </row>
    <row r="3533" spans="1:10" x14ac:dyDescent="0.25">
      <c r="A3533" s="36">
        <v>1900</v>
      </c>
      <c r="B3533" s="37">
        <v>43678</v>
      </c>
      <c r="C3533" s="36"/>
      <c r="D3533" s="36"/>
      <c r="E3533" s="36" t="s">
        <v>135</v>
      </c>
      <c r="F3533" s="38">
        <v>20600000</v>
      </c>
      <c r="G3533" s="36" t="s">
        <v>8</v>
      </c>
      <c r="H3533" s="36" t="s">
        <v>228</v>
      </c>
      <c r="I3533" s="36"/>
      <c r="J3533" s="36"/>
    </row>
    <row r="3534" spans="1:10" x14ac:dyDescent="0.25">
      <c r="A3534" s="36">
        <v>1900</v>
      </c>
      <c r="B3534" s="37">
        <v>43709</v>
      </c>
      <c r="C3534" s="36"/>
      <c r="D3534" s="36"/>
      <c r="E3534" s="36" t="s">
        <v>135</v>
      </c>
      <c r="F3534" s="38">
        <v>20600000</v>
      </c>
      <c r="G3534" s="36" t="s">
        <v>8</v>
      </c>
      <c r="H3534" s="36" t="s">
        <v>228</v>
      </c>
      <c r="I3534" s="36"/>
      <c r="J3534" s="36"/>
    </row>
    <row r="3535" spans="1:10" x14ac:dyDescent="0.25">
      <c r="A3535" s="36">
        <v>1900</v>
      </c>
      <c r="B3535" s="37">
        <v>43739</v>
      </c>
      <c r="C3535" s="36"/>
      <c r="D3535" s="36"/>
      <c r="E3535" s="36" t="s">
        <v>135</v>
      </c>
      <c r="F3535" s="38">
        <v>20600000</v>
      </c>
      <c r="G3535" s="36" t="s">
        <v>8</v>
      </c>
      <c r="H3535" s="36" t="s">
        <v>228</v>
      </c>
      <c r="I3535" s="36"/>
      <c r="J3535" s="36"/>
    </row>
    <row r="3536" spans="1:10" x14ac:dyDescent="0.25">
      <c r="A3536" s="36">
        <v>1900</v>
      </c>
      <c r="B3536" s="37">
        <v>43770</v>
      </c>
      <c r="C3536" s="36"/>
      <c r="D3536" s="36"/>
      <c r="E3536" s="36" t="s">
        <v>135</v>
      </c>
      <c r="F3536" s="38">
        <v>20600000</v>
      </c>
      <c r="G3536" s="36" t="s">
        <v>8</v>
      </c>
      <c r="H3536" s="36" t="s">
        <v>228</v>
      </c>
      <c r="I3536" s="36"/>
      <c r="J3536" s="36"/>
    </row>
    <row r="3537" spans="1:10" x14ac:dyDescent="0.25">
      <c r="A3537" s="36">
        <v>1900</v>
      </c>
      <c r="B3537" s="37">
        <v>43800</v>
      </c>
      <c r="C3537" s="36"/>
      <c r="D3537" s="36"/>
      <c r="E3537" s="36" t="s">
        <v>135</v>
      </c>
      <c r="F3537" s="38">
        <v>20600000</v>
      </c>
      <c r="G3537" s="36" t="s">
        <v>8</v>
      </c>
      <c r="H3537" s="36" t="s">
        <v>228</v>
      </c>
      <c r="I3537" s="36"/>
      <c r="J3537" s="36"/>
    </row>
    <row r="3538" spans="1:10" x14ac:dyDescent="0.25">
      <c r="A3538" s="36">
        <v>1900</v>
      </c>
      <c r="B3538" s="37">
        <v>43831</v>
      </c>
      <c r="C3538" s="36"/>
      <c r="D3538" s="36"/>
      <c r="E3538" s="36" t="s">
        <v>135</v>
      </c>
      <c r="F3538" s="38">
        <v>20600000</v>
      </c>
      <c r="G3538" s="36" t="s">
        <v>8</v>
      </c>
      <c r="H3538" s="36" t="s">
        <v>228</v>
      </c>
      <c r="I3538" s="36"/>
      <c r="J3538" s="36"/>
    </row>
    <row r="3539" spans="1:10" x14ac:dyDescent="0.25">
      <c r="A3539" s="36">
        <v>1900</v>
      </c>
      <c r="B3539" s="37">
        <v>43556</v>
      </c>
      <c r="C3539" s="36"/>
      <c r="D3539" s="36"/>
      <c r="E3539" s="36" t="s">
        <v>135</v>
      </c>
      <c r="F3539" s="38">
        <v>14200000</v>
      </c>
      <c r="G3539" s="36" t="s">
        <v>8</v>
      </c>
      <c r="H3539" s="36" t="s">
        <v>228</v>
      </c>
      <c r="I3539" s="36"/>
      <c r="J3539" s="36"/>
    </row>
    <row r="3540" spans="1:10" x14ac:dyDescent="0.25">
      <c r="A3540" s="36">
        <v>1900</v>
      </c>
      <c r="B3540" s="37">
        <v>43586</v>
      </c>
      <c r="C3540" s="36"/>
      <c r="D3540" s="36"/>
      <c r="E3540" s="36" t="s">
        <v>135</v>
      </c>
      <c r="F3540" s="38">
        <v>14200000</v>
      </c>
      <c r="G3540" s="36" t="s">
        <v>8</v>
      </c>
      <c r="H3540" s="36" t="s">
        <v>228</v>
      </c>
      <c r="I3540" s="36"/>
      <c r="J3540" s="36"/>
    </row>
    <row r="3541" spans="1:10" x14ac:dyDescent="0.25">
      <c r="A3541" s="36">
        <v>1900</v>
      </c>
      <c r="B3541" s="37">
        <v>43617</v>
      </c>
      <c r="C3541" s="36"/>
      <c r="D3541" s="36"/>
      <c r="E3541" s="36" t="s">
        <v>135</v>
      </c>
      <c r="F3541" s="38">
        <v>14200000</v>
      </c>
      <c r="G3541" s="36" t="s">
        <v>8</v>
      </c>
      <c r="H3541" s="36" t="s">
        <v>228</v>
      </c>
      <c r="I3541" s="36"/>
      <c r="J3541" s="36"/>
    </row>
    <row r="3542" spans="1:10" x14ac:dyDescent="0.25">
      <c r="A3542" s="36">
        <v>1900</v>
      </c>
      <c r="B3542" s="37">
        <v>43647</v>
      </c>
      <c r="C3542" s="36"/>
      <c r="D3542" s="36"/>
      <c r="E3542" s="36" t="s">
        <v>135</v>
      </c>
      <c r="F3542" s="38">
        <v>14200000</v>
      </c>
      <c r="G3542" s="36" t="s">
        <v>8</v>
      </c>
      <c r="H3542" s="36" t="s">
        <v>228</v>
      </c>
      <c r="I3542" s="36"/>
      <c r="J3542" s="36"/>
    </row>
    <row r="3543" spans="1:10" x14ac:dyDescent="0.25">
      <c r="A3543" s="36">
        <v>1898</v>
      </c>
      <c r="B3543" s="37">
        <v>43556</v>
      </c>
      <c r="C3543" s="36"/>
      <c r="D3543" s="36"/>
      <c r="E3543" s="36" t="s">
        <v>135</v>
      </c>
      <c r="F3543" s="38">
        <v>10000000</v>
      </c>
      <c r="G3543" s="36" t="s">
        <v>8</v>
      </c>
      <c r="H3543" s="36" t="s">
        <v>228</v>
      </c>
      <c r="I3543" s="36"/>
      <c r="J3543" s="36"/>
    </row>
    <row r="3544" spans="1:10" x14ac:dyDescent="0.25">
      <c r="A3544" s="36">
        <v>1898</v>
      </c>
      <c r="B3544" s="37">
        <v>43586</v>
      </c>
      <c r="C3544" s="36"/>
      <c r="D3544" s="36"/>
      <c r="E3544" s="36" t="s">
        <v>135</v>
      </c>
      <c r="F3544" s="38">
        <v>10000000</v>
      </c>
      <c r="G3544" s="36" t="s">
        <v>8</v>
      </c>
      <c r="H3544" s="36" t="s">
        <v>228</v>
      </c>
      <c r="I3544" s="36"/>
      <c r="J3544" s="36"/>
    </row>
    <row r="3545" spans="1:10" x14ac:dyDescent="0.25">
      <c r="A3545" s="36">
        <v>1898</v>
      </c>
      <c r="B3545" s="37">
        <v>43617</v>
      </c>
      <c r="C3545" s="36"/>
      <c r="D3545" s="36"/>
      <c r="E3545" s="36" t="s">
        <v>135</v>
      </c>
      <c r="F3545" s="38">
        <v>10000000</v>
      </c>
      <c r="G3545" s="36" t="s">
        <v>8</v>
      </c>
      <c r="H3545" s="36" t="s">
        <v>228</v>
      </c>
      <c r="I3545" s="36"/>
      <c r="J3545" s="36"/>
    </row>
    <row r="3546" spans="1:10" x14ac:dyDescent="0.25">
      <c r="A3546" s="36">
        <v>1813</v>
      </c>
      <c r="B3546" s="37">
        <v>43497</v>
      </c>
      <c r="C3546" s="36"/>
      <c r="D3546" s="36"/>
      <c r="E3546" s="36" t="s">
        <v>135</v>
      </c>
      <c r="F3546" s="38">
        <v>126579869.80723679</v>
      </c>
      <c r="G3546" s="36" t="s">
        <v>8</v>
      </c>
      <c r="H3546" s="36" t="s">
        <v>8</v>
      </c>
      <c r="I3546" s="36" t="s">
        <v>156</v>
      </c>
      <c r="J3546" s="36"/>
    </row>
    <row r="3547" spans="1:10" x14ac:dyDescent="0.25">
      <c r="A3547" s="36">
        <v>1813</v>
      </c>
      <c r="B3547" s="37">
        <v>43525</v>
      </c>
      <c r="C3547" s="36"/>
      <c r="D3547" s="36"/>
      <c r="E3547" s="36" t="s">
        <v>135</v>
      </c>
      <c r="F3547" s="38">
        <v>126579869.80723679</v>
      </c>
      <c r="G3547" s="36" t="s">
        <v>8</v>
      </c>
      <c r="H3547" s="36" t="s">
        <v>8</v>
      </c>
      <c r="I3547" s="36" t="s">
        <v>156</v>
      </c>
      <c r="J3547" s="36"/>
    </row>
    <row r="3548" spans="1:10" x14ac:dyDescent="0.25">
      <c r="A3548" s="36">
        <v>1751</v>
      </c>
      <c r="B3548" s="37">
        <v>43466</v>
      </c>
      <c r="C3548" s="36"/>
      <c r="D3548" s="36"/>
      <c r="E3548" s="36" t="s">
        <v>135</v>
      </c>
      <c r="F3548" s="38">
        <v>0</v>
      </c>
      <c r="G3548" s="36" t="s">
        <v>8</v>
      </c>
      <c r="H3548" s="36" t="s">
        <v>8</v>
      </c>
      <c r="I3548" s="36" t="s">
        <v>156</v>
      </c>
      <c r="J3548" s="36"/>
    </row>
    <row r="3549" spans="1:10" x14ac:dyDescent="0.25">
      <c r="A3549" s="36">
        <v>1751</v>
      </c>
      <c r="B3549" s="37">
        <v>43466</v>
      </c>
      <c r="C3549" s="36"/>
      <c r="D3549" s="36"/>
      <c r="E3549" s="36" t="s">
        <v>22</v>
      </c>
      <c r="F3549" s="38">
        <v>4141403.4374999995</v>
      </c>
      <c r="G3549" s="36" t="s">
        <v>8</v>
      </c>
      <c r="H3549" s="36" t="s">
        <v>8</v>
      </c>
      <c r="I3549" s="36" t="s">
        <v>156</v>
      </c>
      <c r="J3549" s="36"/>
    </row>
    <row r="3550" spans="1:10" x14ac:dyDescent="0.25">
      <c r="A3550" s="36">
        <v>1751</v>
      </c>
      <c r="B3550" s="37">
        <v>43466</v>
      </c>
      <c r="C3550" s="36"/>
      <c r="D3550" s="36"/>
      <c r="E3550" s="36" t="s">
        <v>21</v>
      </c>
      <c r="F3550" s="38">
        <v>0</v>
      </c>
      <c r="G3550" s="36" t="s">
        <v>8</v>
      </c>
      <c r="H3550" s="36" t="s">
        <v>8</v>
      </c>
      <c r="I3550" s="36" t="s">
        <v>156</v>
      </c>
      <c r="J3550" s="36"/>
    </row>
    <row r="3551" spans="1:10" x14ac:dyDescent="0.25">
      <c r="A3551" s="36">
        <v>1751</v>
      </c>
      <c r="B3551" s="37">
        <v>43497</v>
      </c>
      <c r="C3551" s="36"/>
      <c r="D3551" s="36"/>
      <c r="E3551" s="36" t="s">
        <v>135</v>
      </c>
      <c r="F3551" s="38">
        <v>0</v>
      </c>
      <c r="G3551" s="36" t="s">
        <v>8</v>
      </c>
      <c r="H3551" s="36" t="s">
        <v>8</v>
      </c>
      <c r="I3551" s="36" t="s">
        <v>156</v>
      </c>
      <c r="J3551" s="36"/>
    </row>
    <row r="3552" spans="1:10" x14ac:dyDescent="0.25">
      <c r="A3552" s="36">
        <v>1751</v>
      </c>
      <c r="B3552" s="37">
        <v>43497</v>
      </c>
      <c r="C3552" s="36"/>
      <c r="D3552" s="36"/>
      <c r="E3552" s="36" t="s">
        <v>22</v>
      </c>
      <c r="F3552" s="38">
        <v>4141403.4374999995</v>
      </c>
      <c r="G3552" s="36" t="s">
        <v>8</v>
      </c>
      <c r="H3552" s="36" t="s">
        <v>8</v>
      </c>
      <c r="I3552" s="36" t="s">
        <v>156</v>
      </c>
      <c r="J3552" s="36"/>
    </row>
    <row r="3553" spans="1:10" x14ac:dyDescent="0.25">
      <c r="A3553" s="36">
        <v>1751</v>
      </c>
      <c r="B3553" s="37">
        <v>43497</v>
      </c>
      <c r="C3553" s="36"/>
      <c r="D3553" s="36"/>
      <c r="E3553" s="36" t="s">
        <v>21</v>
      </c>
      <c r="F3553" s="38">
        <v>0</v>
      </c>
      <c r="G3553" s="36" t="s">
        <v>8</v>
      </c>
      <c r="H3553" s="36" t="s">
        <v>8</v>
      </c>
      <c r="I3553" s="36" t="s">
        <v>156</v>
      </c>
      <c r="J3553" s="36"/>
    </row>
    <row r="3554" spans="1:10" x14ac:dyDescent="0.25">
      <c r="A3554" s="36">
        <v>1751</v>
      </c>
      <c r="B3554" s="37">
        <v>43525</v>
      </c>
      <c r="C3554" s="36"/>
      <c r="D3554" s="36"/>
      <c r="E3554" s="36" t="s">
        <v>135</v>
      </c>
      <c r="F3554" s="38">
        <v>15500000</v>
      </c>
      <c r="G3554" s="36" t="s">
        <v>8</v>
      </c>
      <c r="H3554" s="36" t="s">
        <v>8</v>
      </c>
      <c r="I3554" s="36" t="s">
        <v>156</v>
      </c>
      <c r="J3554" s="36"/>
    </row>
    <row r="3555" spans="1:10" x14ac:dyDescent="0.25">
      <c r="A3555" s="36">
        <v>1751</v>
      </c>
      <c r="B3555" s="37">
        <v>43525</v>
      </c>
      <c r="C3555" s="36"/>
      <c r="D3555" s="36"/>
      <c r="E3555" s="36" t="s">
        <v>22</v>
      </c>
      <c r="F3555" s="38">
        <v>4141403.4374999995</v>
      </c>
      <c r="G3555" s="36" t="s">
        <v>8</v>
      </c>
      <c r="H3555" s="36" t="s">
        <v>8</v>
      </c>
      <c r="I3555" s="36" t="s">
        <v>156</v>
      </c>
      <c r="J3555" s="36"/>
    </row>
    <row r="3556" spans="1:10" x14ac:dyDescent="0.25">
      <c r="A3556" s="36">
        <v>1751</v>
      </c>
      <c r="B3556" s="37">
        <v>43525</v>
      </c>
      <c r="C3556" s="36"/>
      <c r="D3556" s="36"/>
      <c r="E3556" s="36" t="s">
        <v>21</v>
      </c>
      <c r="F3556" s="38">
        <v>8365287.65625</v>
      </c>
      <c r="G3556" s="36" t="s">
        <v>8</v>
      </c>
      <c r="H3556" s="36" t="s">
        <v>8</v>
      </c>
      <c r="I3556" s="36" t="s">
        <v>156</v>
      </c>
      <c r="J3556" s="36"/>
    </row>
    <row r="3557" spans="1:10" x14ac:dyDescent="0.25">
      <c r="A3557" s="36">
        <v>1751</v>
      </c>
      <c r="B3557" s="37">
        <v>43556</v>
      </c>
      <c r="C3557" s="36"/>
      <c r="D3557" s="36"/>
      <c r="E3557" s="36" t="s">
        <v>135</v>
      </c>
      <c r="F3557" s="38">
        <v>15500000</v>
      </c>
      <c r="G3557" s="36" t="s">
        <v>8</v>
      </c>
      <c r="H3557" s="36" t="s">
        <v>8</v>
      </c>
      <c r="I3557" s="36" t="s">
        <v>156</v>
      </c>
      <c r="J3557" s="36"/>
    </row>
    <row r="3558" spans="1:10" x14ac:dyDescent="0.25">
      <c r="A3558" s="36">
        <v>1751</v>
      </c>
      <c r="B3558" s="37">
        <v>43556</v>
      </c>
      <c r="C3558" s="36"/>
      <c r="D3558" s="36"/>
      <c r="E3558" s="36" t="s">
        <v>22</v>
      </c>
      <c r="F3558" s="38">
        <v>4141403.4374999995</v>
      </c>
      <c r="G3558" s="36" t="s">
        <v>8</v>
      </c>
      <c r="H3558" s="36" t="s">
        <v>8</v>
      </c>
      <c r="I3558" s="36" t="s">
        <v>156</v>
      </c>
      <c r="J3558" s="36"/>
    </row>
    <row r="3559" spans="1:10" x14ac:dyDescent="0.25">
      <c r="A3559" s="36">
        <v>1751</v>
      </c>
      <c r="B3559" s="37">
        <v>43556</v>
      </c>
      <c r="C3559" s="36"/>
      <c r="D3559" s="36"/>
      <c r="E3559" s="36" t="s">
        <v>21</v>
      </c>
      <c r="F3559" s="38">
        <v>8365287.65625</v>
      </c>
      <c r="G3559" s="36" t="s">
        <v>8</v>
      </c>
      <c r="H3559" s="36" t="s">
        <v>8</v>
      </c>
      <c r="I3559" s="36" t="s">
        <v>156</v>
      </c>
      <c r="J3559" s="36"/>
    </row>
    <row r="3560" spans="1:10" x14ac:dyDescent="0.25">
      <c r="A3560" s="36">
        <v>1723</v>
      </c>
      <c r="B3560" s="37">
        <v>43466</v>
      </c>
      <c r="C3560" s="36"/>
      <c r="D3560" s="36"/>
      <c r="E3560" s="36" t="s">
        <v>115</v>
      </c>
      <c r="F3560" s="38">
        <v>0</v>
      </c>
      <c r="G3560" s="36" t="s">
        <v>8</v>
      </c>
      <c r="H3560" s="36" t="s">
        <v>8</v>
      </c>
      <c r="I3560" s="36" t="s">
        <v>156</v>
      </c>
      <c r="J3560" s="36"/>
    </row>
    <row r="3561" spans="1:10" x14ac:dyDescent="0.25">
      <c r="A3561" s="36">
        <v>1723</v>
      </c>
      <c r="B3561" s="37">
        <v>43466</v>
      </c>
      <c r="C3561" s="36"/>
      <c r="D3561" s="36"/>
      <c r="E3561" s="36" t="s">
        <v>7</v>
      </c>
      <c r="F3561" s="38">
        <v>0</v>
      </c>
      <c r="G3561" s="36" t="s">
        <v>8</v>
      </c>
      <c r="H3561" s="36" t="s">
        <v>8</v>
      </c>
      <c r="I3561" s="36" t="s">
        <v>156</v>
      </c>
      <c r="J3561" s="36"/>
    </row>
    <row r="3562" spans="1:10" x14ac:dyDescent="0.25">
      <c r="A3562" s="36">
        <v>1723</v>
      </c>
      <c r="B3562" s="37">
        <v>43466</v>
      </c>
      <c r="C3562" s="36"/>
      <c r="D3562" s="36"/>
      <c r="E3562" s="36" t="s">
        <v>9</v>
      </c>
      <c r="F3562" s="38">
        <v>0</v>
      </c>
      <c r="G3562" s="36" t="s">
        <v>8</v>
      </c>
      <c r="H3562" s="36" t="s">
        <v>8</v>
      </c>
      <c r="I3562" s="36" t="s">
        <v>156</v>
      </c>
      <c r="J3562" s="36"/>
    </row>
    <row r="3563" spans="1:10" x14ac:dyDescent="0.25">
      <c r="A3563" s="36">
        <v>1723</v>
      </c>
      <c r="B3563" s="37">
        <v>43466</v>
      </c>
      <c r="C3563" s="36"/>
      <c r="D3563" s="36"/>
      <c r="E3563" s="36" t="s">
        <v>113</v>
      </c>
      <c r="F3563" s="38">
        <v>0</v>
      </c>
      <c r="G3563" s="36" t="s">
        <v>8</v>
      </c>
      <c r="H3563" s="36" t="s">
        <v>8</v>
      </c>
      <c r="I3563" s="36" t="s">
        <v>156</v>
      </c>
      <c r="J3563" s="36"/>
    </row>
    <row r="3564" spans="1:10" x14ac:dyDescent="0.25">
      <c r="A3564" s="36">
        <v>1723</v>
      </c>
      <c r="B3564" s="37">
        <v>43466</v>
      </c>
      <c r="C3564" s="36"/>
      <c r="D3564" s="36"/>
      <c r="E3564" s="36" t="s">
        <v>85</v>
      </c>
      <c r="F3564" s="38">
        <v>0</v>
      </c>
      <c r="G3564" s="36" t="s">
        <v>8</v>
      </c>
      <c r="H3564" s="36" t="s">
        <v>8</v>
      </c>
      <c r="I3564" s="36" t="s">
        <v>156</v>
      </c>
      <c r="J3564" s="36"/>
    </row>
    <row r="3565" spans="1:10" x14ac:dyDescent="0.25">
      <c r="A3565" s="36">
        <v>1723</v>
      </c>
      <c r="B3565" s="37">
        <v>43466</v>
      </c>
      <c r="C3565" s="36"/>
      <c r="D3565" s="36"/>
      <c r="E3565" s="36" t="s">
        <v>114</v>
      </c>
      <c r="F3565" s="38">
        <v>0</v>
      </c>
      <c r="G3565" s="36" t="s">
        <v>8</v>
      </c>
      <c r="H3565" s="36" t="s">
        <v>8</v>
      </c>
      <c r="I3565" s="36" t="s">
        <v>156</v>
      </c>
      <c r="J3565" s="36"/>
    </row>
    <row r="3566" spans="1:10" x14ac:dyDescent="0.25">
      <c r="A3566" s="36">
        <v>1723</v>
      </c>
      <c r="B3566" s="37">
        <v>43466</v>
      </c>
      <c r="C3566" s="36"/>
      <c r="D3566" s="36"/>
      <c r="E3566" s="36" t="s">
        <v>135</v>
      </c>
      <c r="F3566" s="38">
        <v>0</v>
      </c>
      <c r="G3566" s="36" t="s">
        <v>8</v>
      </c>
      <c r="H3566" s="36" t="s">
        <v>8</v>
      </c>
      <c r="I3566" s="36" t="s">
        <v>156</v>
      </c>
      <c r="J3566" s="36"/>
    </row>
    <row r="3567" spans="1:10" x14ac:dyDescent="0.25">
      <c r="A3567" s="36">
        <v>1723</v>
      </c>
      <c r="B3567" s="37">
        <v>43466</v>
      </c>
      <c r="C3567" s="36"/>
      <c r="D3567" s="36"/>
      <c r="E3567" s="36" t="s">
        <v>117</v>
      </c>
      <c r="F3567" s="38">
        <v>0</v>
      </c>
      <c r="G3567" s="36" t="s">
        <v>8</v>
      </c>
      <c r="H3567" s="36" t="s">
        <v>8</v>
      </c>
      <c r="I3567" s="36" t="s">
        <v>156</v>
      </c>
      <c r="J3567" s="36"/>
    </row>
    <row r="3568" spans="1:10" x14ac:dyDescent="0.25">
      <c r="A3568" s="36">
        <v>1723</v>
      </c>
      <c r="B3568" s="37">
        <v>43466</v>
      </c>
      <c r="C3568" s="36"/>
      <c r="D3568" s="36"/>
      <c r="E3568" s="36" t="s">
        <v>116</v>
      </c>
      <c r="F3568" s="38">
        <v>0</v>
      </c>
      <c r="G3568" s="36" t="s">
        <v>8</v>
      </c>
      <c r="H3568" s="36" t="s">
        <v>8</v>
      </c>
      <c r="I3568" s="36" t="s">
        <v>156</v>
      </c>
      <c r="J3568" s="36"/>
    </row>
    <row r="3569" spans="1:10" x14ac:dyDescent="0.25">
      <c r="A3569" s="36">
        <v>1723</v>
      </c>
      <c r="B3569" s="37">
        <v>43466</v>
      </c>
      <c r="C3569" s="36"/>
      <c r="D3569" s="36"/>
      <c r="E3569" s="36" t="s">
        <v>27</v>
      </c>
      <c r="F3569" s="38">
        <v>0</v>
      </c>
      <c r="G3569" s="36" t="s">
        <v>8</v>
      </c>
      <c r="H3569" s="36" t="s">
        <v>8</v>
      </c>
      <c r="I3569" s="36" t="s">
        <v>156</v>
      </c>
      <c r="J3569" s="36"/>
    </row>
    <row r="3570" spans="1:10" x14ac:dyDescent="0.25">
      <c r="A3570" s="36">
        <v>1723</v>
      </c>
      <c r="B3570" s="37">
        <v>43466</v>
      </c>
      <c r="C3570" s="36"/>
      <c r="D3570" s="36"/>
      <c r="E3570" s="36" t="s">
        <v>18</v>
      </c>
      <c r="F3570" s="38">
        <v>0</v>
      </c>
      <c r="G3570" s="36" t="s">
        <v>8</v>
      </c>
      <c r="H3570" s="36" t="s">
        <v>8</v>
      </c>
      <c r="I3570" s="36" t="s">
        <v>156</v>
      </c>
      <c r="J3570" s="36"/>
    </row>
    <row r="3571" spans="1:10" x14ac:dyDescent="0.25">
      <c r="A3571" s="36">
        <v>1723</v>
      </c>
      <c r="B3571" s="37">
        <v>43466</v>
      </c>
      <c r="C3571" s="36"/>
      <c r="D3571" s="36"/>
      <c r="E3571" s="36" t="s">
        <v>121</v>
      </c>
      <c r="F3571" s="38">
        <v>0</v>
      </c>
      <c r="G3571" s="36" t="s">
        <v>8</v>
      </c>
      <c r="H3571" s="36" t="s">
        <v>8</v>
      </c>
      <c r="I3571" s="36" t="s">
        <v>156</v>
      </c>
      <c r="J3571" s="36"/>
    </row>
    <row r="3572" spans="1:10" x14ac:dyDescent="0.25">
      <c r="A3572" s="36">
        <v>1723</v>
      </c>
      <c r="B3572" s="37">
        <v>43466</v>
      </c>
      <c r="C3572" s="36"/>
      <c r="D3572" s="36"/>
      <c r="E3572" s="36" t="s">
        <v>65</v>
      </c>
      <c r="F3572" s="38">
        <v>0</v>
      </c>
      <c r="G3572" s="36" t="s">
        <v>8</v>
      </c>
      <c r="H3572" s="36" t="s">
        <v>8</v>
      </c>
      <c r="I3572" s="36" t="s">
        <v>156</v>
      </c>
      <c r="J3572" s="36"/>
    </row>
    <row r="3573" spans="1:10" x14ac:dyDescent="0.25">
      <c r="A3573" s="36">
        <v>1723</v>
      </c>
      <c r="B3573" s="37">
        <v>43466</v>
      </c>
      <c r="C3573" s="36"/>
      <c r="D3573" s="36"/>
      <c r="E3573" s="36" t="s">
        <v>23</v>
      </c>
      <c r="F3573" s="38">
        <v>0</v>
      </c>
      <c r="G3573" s="36" t="s">
        <v>8</v>
      </c>
      <c r="H3573" s="36" t="s">
        <v>8</v>
      </c>
      <c r="I3573" s="36" t="s">
        <v>156</v>
      </c>
      <c r="J3573" s="36"/>
    </row>
    <row r="3574" spans="1:10" x14ac:dyDescent="0.25">
      <c r="A3574" s="36">
        <v>1723</v>
      </c>
      <c r="B3574" s="37">
        <v>43466</v>
      </c>
      <c r="C3574" s="36"/>
      <c r="D3574" s="36"/>
      <c r="E3574" s="36" t="s">
        <v>11</v>
      </c>
      <c r="F3574" s="38">
        <v>0</v>
      </c>
      <c r="G3574" s="36" t="s">
        <v>8</v>
      </c>
      <c r="H3574" s="36" t="s">
        <v>8</v>
      </c>
      <c r="I3574" s="36" t="s">
        <v>156</v>
      </c>
      <c r="J3574" s="36"/>
    </row>
    <row r="3575" spans="1:10" x14ac:dyDescent="0.25">
      <c r="A3575" s="36">
        <v>1723</v>
      </c>
      <c r="B3575" s="37">
        <v>43466</v>
      </c>
      <c r="C3575" s="36"/>
      <c r="D3575" s="36"/>
      <c r="E3575" s="36" t="s">
        <v>118</v>
      </c>
      <c r="F3575" s="38">
        <v>0</v>
      </c>
      <c r="G3575" s="36" t="s">
        <v>8</v>
      </c>
      <c r="H3575" s="36" t="s">
        <v>8</v>
      </c>
      <c r="I3575" s="36" t="s">
        <v>156</v>
      </c>
      <c r="J3575" s="36"/>
    </row>
    <row r="3576" spans="1:10" x14ac:dyDescent="0.25">
      <c r="A3576" s="36">
        <v>1723</v>
      </c>
      <c r="B3576" s="37">
        <v>43466</v>
      </c>
      <c r="C3576" s="36"/>
      <c r="D3576" s="36"/>
      <c r="E3576" s="36" t="s">
        <v>119</v>
      </c>
      <c r="F3576" s="38">
        <v>0</v>
      </c>
      <c r="G3576" s="36" t="s">
        <v>8</v>
      </c>
      <c r="H3576" s="36" t="s">
        <v>8</v>
      </c>
      <c r="I3576" s="36" t="s">
        <v>156</v>
      </c>
      <c r="J3576" s="36"/>
    </row>
    <row r="3577" spans="1:10" x14ac:dyDescent="0.25">
      <c r="A3577" s="36">
        <v>1723</v>
      </c>
      <c r="B3577" s="37">
        <v>43466</v>
      </c>
      <c r="C3577" s="36"/>
      <c r="D3577" s="36"/>
      <c r="E3577" s="36" t="s">
        <v>120</v>
      </c>
      <c r="F3577" s="38">
        <v>0</v>
      </c>
      <c r="G3577" s="36" t="s">
        <v>8</v>
      </c>
      <c r="H3577" s="36" t="s">
        <v>8</v>
      </c>
      <c r="I3577" s="36" t="s">
        <v>156</v>
      </c>
      <c r="J3577" s="36"/>
    </row>
    <row r="3578" spans="1:10" x14ac:dyDescent="0.25">
      <c r="A3578" s="36">
        <v>1723</v>
      </c>
      <c r="B3578" s="37">
        <v>43497</v>
      </c>
      <c r="C3578" s="36"/>
      <c r="D3578" s="36"/>
      <c r="E3578" s="36" t="s">
        <v>115</v>
      </c>
      <c r="F3578" s="38">
        <v>0</v>
      </c>
      <c r="G3578" s="36" t="s">
        <v>8</v>
      </c>
      <c r="H3578" s="36" t="s">
        <v>8</v>
      </c>
      <c r="I3578" s="36" t="s">
        <v>156</v>
      </c>
      <c r="J3578" s="36"/>
    </row>
    <row r="3579" spans="1:10" x14ac:dyDescent="0.25">
      <c r="A3579" s="36">
        <v>1723</v>
      </c>
      <c r="B3579" s="37">
        <v>43497</v>
      </c>
      <c r="C3579" s="36"/>
      <c r="D3579" s="36"/>
      <c r="E3579" s="36" t="s">
        <v>7</v>
      </c>
      <c r="F3579" s="38">
        <v>0</v>
      </c>
      <c r="G3579" s="36" t="s">
        <v>8</v>
      </c>
      <c r="H3579" s="36" t="s">
        <v>8</v>
      </c>
      <c r="I3579" s="36" t="s">
        <v>156</v>
      </c>
      <c r="J3579" s="36"/>
    </row>
    <row r="3580" spans="1:10" x14ac:dyDescent="0.25">
      <c r="A3580" s="36">
        <v>1723</v>
      </c>
      <c r="B3580" s="37">
        <v>43497</v>
      </c>
      <c r="C3580" s="36"/>
      <c r="D3580" s="36"/>
      <c r="E3580" s="36" t="s">
        <v>9</v>
      </c>
      <c r="F3580" s="38">
        <v>0</v>
      </c>
      <c r="G3580" s="36" t="s">
        <v>8</v>
      </c>
      <c r="H3580" s="36" t="s">
        <v>8</v>
      </c>
      <c r="I3580" s="36" t="s">
        <v>156</v>
      </c>
      <c r="J3580" s="36"/>
    </row>
    <row r="3581" spans="1:10" x14ac:dyDescent="0.25">
      <c r="A3581" s="36">
        <v>1723</v>
      </c>
      <c r="B3581" s="37">
        <v>43497</v>
      </c>
      <c r="C3581" s="36"/>
      <c r="D3581" s="36"/>
      <c r="E3581" s="36" t="s">
        <v>113</v>
      </c>
      <c r="F3581" s="38">
        <v>0</v>
      </c>
      <c r="G3581" s="36" t="s">
        <v>8</v>
      </c>
      <c r="H3581" s="36" t="s">
        <v>8</v>
      </c>
      <c r="I3581" s="36" t="s">
        <v>156</v>
      </c>
      <c r="J3581" s="36"/>
    </row>
    <row r="3582" spans="1:10" x14ac:dyDescent="0.25">
      <c r="A3582" s="36">
        <v>1723</v>
      </c>
      <c r="B3582" s="37">
        <v>43497</v>
      </c>
      <c r="C3582" s="36"/>
      <c r="D3582" s="36"/>
      <c r="E3582" s="36" t="s">
        <v>85</v>
      </c>
      <c r="F3582" s="38">
        <v>0</v>
      </c>
      <c r="G3582" s="36" t="s">
        <v>8</v>
      </c>
      <c r="H3582" s="36" t="s">
        <v>8</v>
      </c>
      <c r="I3582" s="36" t="s">
        <v>156</v>
      </c>
      <c r="J3582" s="36"/>
    </row>
    <row r="3583" spans="1:10" x14ac:dyDescent="0.25">
      <c r="A3583" s="36">
        <v>1723</v>
      </c>
      <c r="B3583" s="37">
        <v>43497</v>
      </c>
      <c r="C3583" s="36"/>
      <c r="D3583" s="36"/>
      <c r="E3583" s="36" t="s">
        <v>114</v>
      </c>
      <c r="F3583" s="38">
        <v>0</v>
      </c>
      <c r="G3583" s="36" t="s">
        <v>8</v>
      </c>
      <c r="H3583" s="36" t="s">
        <v>8</v>
      </c>
      <c r="I3583" s="36" t="s">
        <v>156</v>
      </c>
      <c r="J3583" s="36"/>
    </row>
    <row r="3584" spans="1:10" x14ac:dyDescent="0.25">
      <c r="A3584" s="36">
        <v>1723</v>
      </c>
      <c r="B3584" s="37">
        <v>43497</v>
      </c>
      <c r="C3584" s="36"/>
      <c r="D3584" s="36"/>
      <c r="E3584" s="36" t="s">
        <v>135</v>
      </c>
      <c r="F3584" s="38">
        <v>0</v>
      </c>
      <c r="G3584" s="36" t="s">
        <v>8</v>
      </c>
      <c r="H3584" s="36" t="s">
        <v>8</v>
      </c>
      <c r="I3584" s="36" t="s">
        <v>156</v>
      </c>
      <c r="J3584" s="36"/>
    </row>
    <row r="3585" spans="1:10" x14ac:dyDescent="0.25">
      <c r="A3585" s="36">
        <v>1723</v>
      </c>
      <c r="B3585" s="37">
        <v>43497</v>
      </c>
      <c r="C3585" s="36"/>
      <c r="D3585" s="36"/>
      <c r="E3585" s="36" t="s">
        <v>117</v>
      </c>
      <c r="F3585" s="38">
        <v>0</v>
      </c>
      <c r="G3585" s="36" t="s">
        <v>8</v>
      </c>
      <c r="H3585" s="36" t="s">
        <v>8</v>
      </c>
      <c r="I3585" s="36" t="s">
        <v>156</v>
      </c>
      <c r="J3585" s="36"/>
    </row>
    <row r="3586" spans="1:10" x14ac:dyDescent="0.25">
      <c r="A3586" s="36">
        <v>1723</v>
      </c>
      <c r="B3586" s="37">
        <v>43497</v>
      </c>
      <c r="C3586" s="36"/>
      <c r="D3586" s="36"/>
      <c r="E3586" s="36" t="s">
        <v>116</v>
      </c>
      <c r="F3586" s="38">
        <v>0</v>
      </c>
      <c r="G3586" s="36" t="s">
        <v>8</v>
      </c>
      <c r="H3586" s="36" t="s">
        <v>8</v>
      </c>
      <c r="I3586" s="36" t="s">
        <v>156</v>
      </c>
      <c r="J3586" s="36"/>
    </row>
    <row r="3587" spans="1:10" x14ac:dyDescent="0.25">
      <c r="A3587" s="36">
        <v>1723</v>
      </c>
      <c r="B3587" s="37">
        <v>43497</v>
      </c>
      <c r="C3587" s="36"/>
      <c r="D3587" s="36"/>
      <c r="E3587" s="36" t="s">
        <v>27</v>
      </c>
      <c r="F3587" s="38">
        <v>0</v>
      </c>
      <c r="G3587" s="36" t="s">
        <v>8</v>
      </c>
      <c r="H3587" s="36" t="s">
        <v>8</v>
      </c>
      <c r="I3587" s="36" t="s">
        <v>156</v>
      </c>
      <c r="J3587" s="36"/>
    </row>
    <row r="3588" spans="1:10" x14ac:dyDescent="0.25">
      <c r="A3588" s="36">
        <v>1723</v>
      </c>
      <c r="B3588" s="37">
        <v>43497</v>
      </c>
      <c r="C3588" s="36"/>
      <c r="D3588" s="36"/>
      <c r="E3588" s="36" t="s">
        <v>18</v>
      </c>
      <c r="F3588" s="38">
        <v>0</v>
      </c>
      <c r="G3588" s="36" t="s">
        <v>8</v>
      </c>
      <c r="H3588" s="36" t="s">
        <v>8</v>
      </c>
      <c r="I3588" s="36" t="s">
        <v>156</v>
      </c>
      <c r="J3588" s="36"/>
    </row>
    <row r="3589" spans="1:10" x14ac:dyDescent="0.25">
      <c r="A3589" s="36">
        <v>1723</v>
      </c>
      <c r="B3589" s="37">
        <v>43497</v>
      </c>
      <c r="C3589" s="36"/>
      <c r="D3589" s="36"/>
      <c r="E3589" s="36" t="s">
        <v>121</v>
      </c>
      <c r="F3589" s="38">
        <v>0</v>
      </c>
      <c r="G3589" s="36" t="s">
        <v>8</v>
      </c>
      <c r="H3589" s="36" t="s">
        <v>8</v>
      </c>
      <c r="I3589" s="36" t="s">
        <v>156</v>
      </c>
      <c r="J3589" s="36"/>
    </row>
    <row r="3590" spans="1:10" x14ac:dyDescent="0.25">
      <c r="A3590" s="36">
        <v>1723</v>
      </c>
      <c r="B3590" s="37">
        <v>43497</v>
      </c>
      <c r="C3590" s="36"/>
      <c r="D3590" s="36"/>
      <c r="E3590" s="36" t="s">
        <v>65</v>
      </c>
      <c r="F3590" s="38">
        <v>0</v>
      </c>
      <c r="G3590" s="36" t="s">
        <v>8</v>
      </c>
      <c r="H3590" s="36" t="s">
        <v>8</v>
      </c>
      <c r="I3590" s="36" t="s">
        <v>156</v>
      </c>
      <c r="J3590" s="36"/>
    </row>
    <row r="3591" spans="1:10" x14ac:dyDescent="0.25">
      <c r="A3591" s="36">
        <v>1723</v>
      </c>
      <c r="B3591" s="37">
        <v>43497</v>
      </c>
      <c r="C3591" s="36"/>
      <c r="D3591" s="36"/>
      <c r="E3591" s="36" t="s">
        <v>23</v>
      </c>
      <c r="F3591" s="38">
        <v>0</v>
      </c>
      <c r="G3591" s="36" t="s">
        <v>8</v>
      </c>
      <c r="H3591" s="36" t="s">
        <v>8</v>
      </c>
      <c r="I3591" s="36" t="s">
        <v>156</v>
      </c>
      <c r="J3591" s="36"/>
    </row>
    <row r="3592" spans="1:10" x14ac:dyDescent="0.25">
      <c r="A3592" s="36">
        <v>1723</v>
      </c>
      <c r="B3592" s="37">
        <v>43497</v>
      </c>
      <c r="C3592" s="36"/>
      <c r="D3592" s="36"/>
      <c r="E3592" s="36" t="s">
        <v>11</v>
      </c>
      <c r="F3592" s="38">
        <v>0</v>
      </c>
      <c r="G3592" s="36" t="s">
        <v>8</v>
      </c>
      <c r="H3592" s="36" t="s">
        <v>8</v>
      </c>
      <c r="I3592" s="36" t="s">
        <v>156</v>
      </c>
      <c r="J3592" s="36"/>
    </row>
    <row r="3593" spans="1:10" x14ac:dyDescent="0.25">
      <c r="A3593" s="36">
        <v>1723</v>
      </c>
      <c r="B3593" s="37">
        <v>43497</v>
      </c>
      <c r="C3593" s="36"/>
      <c r="D3593" s="36"/>
      <c r="E3593" s="36" t="s">
        <v>118</v>
      </c>
      <c r="F3593" s="38">
        <v>0</v>
      </c>
      <c r="G3593" s="36" t="s">
        <v>8</v>
      </c>
      <c r="H3593" s="36" t="s">
        <v>8</v>
      </c>
      <c r="I3593" s="36" t="s">
        <v>156</v>
      </c>
      <c r="J3593" s="36"/>
    </row>
    <row r="3594" spans="1:10" x14ac:dyDescent="0.25">
      <c r="A3594" s="36">
        <v>1723</v>
      </c>
      <c r="B3594" s="37">
        <v>43497</v>
      </c>
      <c r="C3594" s="36"/>
      <c r="D3594" s="36"/>
      <c r="E3594" s="36" t="s">
        <v>119</v>
      </c>
      <c r="F3594" s="38">
        <v>0</v>
      </c>
      <c r="G3594" s="36" t="s">
        <v>8</v>
      </c>
      <c r="H3594" s="36" t="s">
        <v>8</v>
      </c>
      <c r="I3594" s="36" t="s">
        <v>156</v>
      </c>
      <c r="J3594" s="36"/>
    </row>
    <row r="3595" spans="1:10" x14ac:dyDescent="0.25">
      <c r="A3595" s="36">
        <v>1723</v>
      </c>
      <c r="B3595" s="37">
        <v>43525</v>
      </c>
      <c r="C3595" s="36"/>
      <c r="D3595" s="36"/>
      <c r="E3595" s="36" t="s">
        <v>115</v>
      </c>
      <c r="F3595" s="38">
        <v>0</v>
      </c>
      <c r="G3595" s="36" t="s">
        <v>8</v>
      </c>
      <c r="H3595" s="36" t="s">
        <v>8</v>
      </c>
      <c r="I3595" s="36" t="s">
        <v>156</v>
      </c>
      <c r="J3595" s="36"/>
    </row>
    <row r="3596" spans="1:10" x14ac:dyDescent="0.25">
      <c r="A3596" s="36">
        <v>1723</v>
      </c>
      <c r="B3596" s="37">
        <v>43525</v>
      </c>
      <c r="C3596" s="36"/>
      <c r="D3596" s="36"/>
      <c r="E3596" s="36" t="s">
        <v>7</v>
      </c>
      <c r="F3596" s="38">
        <v>0</v>
      </c>
      <c r="G3596" s="36" t="s">
        <v>8</v>
      </c>
      <c r="H3596" s="36" t="s">
        <v>8</v>
      </c>
      <c r="I3596" s="36" t="s">
        <v>156</v>
      </c>
      <c r="J3596" s="36"/>
    </row>
    <row r="3597" spans="1:10" x14ac:dyDescent="0.25">
      <c r="A3597" s="36">
        <v>1723</v>
      </c>
      <c r="B3597" s="37">
        <v>43525</v>
      </c>
      <c r="C3597" s="36"/>
      <c r="D3597" s="36"/>
      <c r="E3597" s="36" t="s">
        <v>9</v>
      </c>
      <c r="F3597" s="38">
        <v>0</v>
      </c>
      <c r="G3597" s="36" t="s">
        <v>8</v>
      </c>
      <c r="H3597" s="36" t="s">
        <v>8</v>
      </c>
      <c r="I3597" s="36" t="s">
        <v>156</v>
      </c>
      <c r="J3597" s="36"/>
    </row>
    <row r="3598" spans="1:10" x14ac:dyDescent="0.25">
      <c r="A3598" s="36">
        <v>1723</v>
      </c>
      <c r="B3598" s="37">
        <v>43525</v>
      </c>
      <c r="C3598" s="36"/>
      <c r="D3598" s="36"/>
      <c r="E3598" s="36" t="s">
        <v>113</v>
      </c>
      <c r="F3598" s="38">
        <v>0</v>
      </c>
      <c r="G3598" s="36" t="s">
        <v>8</v>
      </c>
      <c r="H3598" s="36" t="s">
        <v>8</v>
      </c>
      <c r="I3598" s="36" t="s">
        <v>156</v>
      </c>
      <c r="J3598" s="36"/>
    </row>
    <row r="3599" spans="1:10" x14ac:dyDescent="0.25">
      <c r="A3599" s="36">
        <v>1723</v>
      </c>
      <c r="B3599" s="37">
        <v>43525</v>
      </c>
      <c r="C3599" s="36"/>
      <c r="D3599" s="36"/>
      <c r="E3599" s="36" t="s">
        <v>85</v>
      </c>
      <c r="F3599" s="38">
        <v>0</v>
      </c>
      <c r="G3599" s="36" t="s">
        <v>8</v>
      </c>
      <c r="H3599" s="36" t="s">
        <v>8</v>
      </c>
      <c r="I3599" s="36" t="s">
        <v>156</v>
      </c>
      <c r="J3599" s="36"/>
    </row>
    <row r="3600" spans="1:10" x14ac:dyDescent="0.25">
      <c r="A3600" s="36">
        <v>1723</v>
      </c>
      <c r="B3600" s="37">
        <v>43525</v>
      </c>
      <c r="C3600" s="36"/>
      <c r="D3600" s="36"/>
      <c r="E3600" s="36" t="s">
        <v>114</v>
      </c>
      <c r="F3600" s="38">
        <v>0</v>
      </c>
      <c r="G3600" s="36" t="s">
        <v>8</v>
      </c>
      <c r="H3600" s="36" t="s">
        <v>8</v>
      </c>
      <c r="I3600" s="36" t="s">
        <v>156</v>
      </c>
      <c r="J3600" s="36"/>
    </row>
    <row r="3601" spans="1:10" x14ac:dyDescent="0.25">
      <c r="A3601" s="36">
        <v>1723</v>
      </c>
      <c r="B3601" s="37">
        <v>43525</v>
      </c>
      <c r="C3601" s="36"/>
      <c r="D3601" s="36"/>
      <c r="E3601" s="36" t="s">
        <v>135</v>
      </c>
      <c r="F3601" s="38">
        <v>0</v>
      </c>
      <c r="G3601" s="36" t="s">
        <v>8</v>
      </c>
      <c r="H3601" s="36" t="s">
        <v>8</v>
      </c>
      <c r="I3601" s="36" t="s">
        <v>156</v>
      </c>
      <c r="J3601" s="36"/>
    </row>
    <row r="3602" spans="1:10" x14ac:dyDescent="0.25">
      <c r="A3602" s="36">
        <v>1723</v>
      </c>
      <c r="B3602" s="37">
        <v>43525</v>
      </c>
      <c r="C3602" s="36"/>
      <c r="D3602" s="36"/>
      <c r="E3602" s="36" t="s">
        <v>117</v>
      </c>
      <c r="F3602" s="38">
        <v>0</v>
      </c>
      <c r="G3602" s="36" t="s">
        <v>8</v>
      </c>
      <c r="H3602" s="36" t="s">
        <v>8</v>
      </c>
      <c r="I3602" s="36" t="s">
        <v>156</v>
      </c>
      <c r="J3602" s="36"/>
    </row>
    <row r="3603" spans="1:10" x14ac:dyDescent="0.25">
      <c r="A3603" s="36">
        <v>1723</v>
      </c>
      <c r="B3603" s="37">
        <v>43525</v>
      </c>
      <c r="C3603" s="36"/>
      <c r="D3603" s="36"/>
      <c r="E3603" s="36" t="s">
        <v>116</v>
      </c>
      <c r="F3603" s="38">
        <v>0</v>
      </c>
      <c r="G3603" s="36" t="s">
        <v>8</v>
      </c>
      <c r="H3603" s="36" t="s">
        <v>8</v>
      </c>
      <c r="I3603" s="36" t="s">
        <v>156</v>
      </c>
      <c r="J3603" s="36"/>
    </row>
    <row r="3604" spans="1:10" x14ac:dyDescent="0.25">
      <c r="A3604" s="36">
        <v>1723</v>
      </c>
      <c r="B3604" s="37">
        <v>43525</v>
      </c>
      <c r="C3604" s="36"/>
      <c r="D3604" s="36"/>
      <c r="E3604" s="36" t="s">
        <v>27</v>
      </c>
      <c r="F3604" s="38">
        <v>0</v>
      </c>
      <c r="G3604" s="36" t="s">
        <v>8</v>
      </c>
      <c r="H3604" s="36" t="s">
        <v>8</v>
      </c>
      <c r="I3604" s="36" t="s">
        <v>156</v>
      </c>
      <c r="J3604" s="36"/>
    </row>
    <row r="3605" spans="1:10" x14ac:dyDescent="0.25">
      <c r="A3605" s="36">
        <v>1723</v>
      </c>
      <c r="B3605" s="37">
        <v>43525</v>
      </c>
      <c r="C3605" s="36"/>
      <c r="D3605" s="36"/>
      <c r="E3605" s="36" t="s">
        <v>18</v>
      </c>
      <c r="F3605" s="38">
        <v>0</v>
      </c>
      <c r="G3605" s="36" t="s">
        <v>8</v>
      </c>
      <c r="H3605" s="36" t="s">
        <v>8</v>
      </c>
      <c r="I3605" s="36" t="s">
        <v>156</v>
      </c>
      <c r="J3605" s="36"/>
    </row>
    <row r="3606" spans="1:10" x14ac:dyDescent="0.25">
      <c r="A3606" s="36">
        <v>1723</v>
      </c>
      <c r="B3606" s="37">
        <v>43525</v>
      </c>
      <c r="C3606" s="36"/>
      <c r="D3606" s="36"/>
      <c r="E3606" s="36" t="s">
        <v>121</v>
      </c>
      <c r="F3606" s="38">
        <v>0</v>
      </c>
      <c r="G3606" s="36" t="s">
        <v>8</v>
      </c>
      <c r="H3606" s="36" t="s">
        <v>8</v>
      </c>
      <c r="I3606" s="36" t="s">
        <v>156</v>
      </c>
      <c r="J3606" s="36"/>
    </row>
    <row r="3607" spans="1:10" x14ac:dyDescent="0.25">
      <c r="A3607" s="36">
        <v>1723</v>
      </c>
      <c r="B3607" s="37">
        <v>43525</v>
      </c>
      <c r="C3607" s="36"/>
      <c r="D3607" s="36"/>
      <c r="E3607" s="36" t="s">
        <v>65</v>
      </c>
      <c r="F3607" s="38">
        <v>0</v>
      </c>
      <c r="G3607" s="36" t="s">
        <v>8</v>
      </c>
      <c r="H3607" s="36" t="s">
        <v>8</v>
      </c>
      <c r="I3607" s="36" t="s">
        <v>156</v>
      </c>
      <c r="J3607" s="36"/>
    </row>
    <row r="3608" spans="1:10" x14ac:dyDescent="0.25">
      <c r="A3608" s="36">
        <v>1723</v>
      </c>
      <c r="B3608" s="37">
        <v>43525</v>
      </c>
      <c r="C3608" s="36"/>
      <c r="D3608" s="36"/>
      <c r="E3608" s="36" t="s">
        <v>23</v>
      </c>
      <c r="F3608" s="38">
        <v>0</v>
      </c>
      <c r="G3608" s="36" t="s">
        <v>8</v>
      </c>
      <c r="H3608" s="36" t="s">
        <v>8</v>
      </c>
      <c r="I3608" s="36" t="s">
        <v>156</v>
      </c>
      <c r="J3608" s="36"/>
    </row>
    <row r="3609" spans="1:10" x14ac:dyDescent="0.25">
      <c r="A3609" s="36">
        <v>1723</v>
      </c>
      <c r="B3609" s="37">
        <v>43525</v>
      </c>
      <c r="C3609" s="36"/>
      <c r="D3609" s="36"/>
      <c r="E3609" s="36" t="s">
        <v>11</v>
      </c>
      <c r="F3609" s="38">
        <v>0</v>
      </c>
      <c r="G3609" s="36" t="s">
        <v>8</v>
      </c>
      <c r="H3609" s="36" t="s">
        <v>8</v>
      </c>
      <c r="I3609" s="36" t="s">
        <v>156</v>
      </c>
      <c r="J3609" s="36"/>
    </row>
    <row r="3610" spans="1:10" x14ac:dyDescent="0.25">
      <c r="A3610" s="36">
        <v>1723</v>
      </c>
      <c r="B3610" s="37">
        <v>43525</v>
      </c>
      <c r="C3610" s="36"/>
      <c r="D3610" s="36"/>
      <c r="E3610" s="36" t="s">
        <v>119</v>
      </c>
      <c r="F3610" s="38">
        <v>0</v>
      </c>
      <c r="G3610" s="36" t="s">
        <v>8</v>
      </c>
      <c r="H3610" s="36" t="s">
        <v>8</v>
      </c>
      <c r="I3610" s="36" t="s">
        <v>156</v>
      </c>
      <c r="J3610" s="36"/>
    </row>
    <row r="3611" spans="1:10" x14ac:dyDescent="0.25">
      <c r="A3611" s="36">
        <v>1723</v>
      </c>
      <c r="B3611" s="37">
        <v>43556</v>
      </c>
      <c r="C3611" s="36"/>
      <c r="D3611" s="36"/>
      <c r="E3611" s="36" t="s">
        <v>115</v>
      </c>
      <c r="F3611" s="38">
        <v>0</v>
      </c>
      <c r="G3611" s="36" t="s">
        <v>8</v>
      </c>
      <c r="H3611" s="36" t="s">
        <v>8</v>
      </c>
      <c r="I3611" s="36" t="s">
        <v>156</v>
      </c>
      <c r="J3611" s="36"/>
    </row>
    <row r="3612" spans="1:10" x14ac:dyDescent="0.25">
      <c r="A3612" s="36">
        <v>1723</v>
      </c>
      <c r="B3612" s="37">
        <v>43556</v>
      </c>
      <c r="C3612" s="36"/>
      <c r="D3612" s="36"/>
      <c r="E3612" s="36" t="s">
        <v>7</v>
      </c>
      <c r="F3612" s="38">
        <v>0</v>
      </c>
      <c r="G3612" s="36" t="s">
        <v>8</v>
      </c>
      <c r="H3612" s="36" t="s">
        <v>8</v>
      </c>
      <c r="I3612" s="36" t="s">
        <v>156</v>
      </c>
      <c r="J3612" s="36"/>
    </row>
    <row r="3613" spans="1:10" x14ac:dyDescent="0.25">
      <c r="A3613" s="36">
        <v>1723</v>
      </c>
      <c r="B3613" s="37">
        <v>43556</v>
      </c>
      <c r="C3613" s="36"/>
      <c r="D3613" s="36"/>
      <c r="E3613" s="36" t="s">
        <v>9</v>
      </c>
      <c r="F3613" s="38">
        <v>0</v>
      </c>
      <c r="G3613" s="36" t="s">
        <v>8</v>
      </c>
      <c r="H3613" s="36" t="s">
        <v>8</v>
      </c>
      <c r="I3613" s="36" t="s">
        <v>156</v>
      </c>
      <c r="J3613" s="36"/>
    </row>
    <row r="3614" spans="1:10" x14ac:dyDescent="0.25">
      <c r="A3614" s="36">
        <v>1723</v>
      </c>
      <c r="B3614" s="37">
        <v>43556</v>
      </c>
      <c r="C3614" s="36"/>
      <c r="D3614" s="36"/>
      <c r="E3614" s="36" t="s">
        <v>113</v>
      </c>
      <c r="F3614" s="38">
        <v>0</v>
      </c>
      <c r="G3614" s="36" t="s">
        <v>8</v>
      </c>
      <c r="H3614" s="36" t="s">
        <v>8</v>
      </c>
      <c r="I3614" s="36" t="s">
        <v>156</v>
      </c>
      <c r="J3614" s="36"/>
    </row>
    <row r="3615" spans="1:10" x14ac:dyDescent="0.25">
      <c r="A3615" s="36">
        <v>1723</v>
      </c>
      <c r="B3615" s="37">
        <v>43556</v>
      </c>
      <c r="C3615" s="36"/>
      <c r="D3615" s="36"/>
      <c r="E3615" s="36" t="s">
        <v>85</v>
      </c>
      <c r="F3615" s="38">
        <v>0</v>
      </c>
      <c r="G3615" s="36" t="s">
        <v>8</v>
      </c>
      <c r="H3615" s="36" t="s">
        <v>8</v>
      </c>
      <c r="I3615" s="36" t="s">
        <v>156</v>
      </c>
      <c r="J3615" s="36"/>
    </row>
    <row r="3616" spans="1:10" x14ac:dyDescent="0.25">
      <c r="A3616" s="36">
        <v>1723</v>
      </c>
      <c r="B3616" s="37">
        <v>43556</v>
      </c>
      <c r="C3616" s="36"/>
      <c r="D3616" s="36"/>
      <c r="E3616" s="36" t="s">
        <v>114</v>
      </c>
      <c r="F3616" s="38">
        <v>0</v>
      </c>
      <c r="G3616" s="36" t="s">
        <v>8</v>
      </c>
      <c r="H3616" s="36" t="s">
        <v>8</v>
      </c>
      <c r="I3616" s="36" t="s">
        <v>156</v>
      </c>
      <c r="J3616" s="36"/>
    </row>
    <row r="3617" spans="1:10" x14ac:dyDescent="0.25">
      <c r="A3617" s="36">
        <v>1723</v>
      </c>
      <c r="B3617" s="37">
        <v>43556</v>
      </c>
      <c r="C3617" s="36"/>
      <c r="D3617" s="36"/>
      <c r="E3617" s="36" t="s">
        <v>135</v>
      </c>
      <c r="F3617" s="38">
        <v>0</v>
      </c>
      <c r="G3617" s="36" t="s">
        <v>8</v>
      </c>
      <c r="H3617" s="36" t="s">
        <v>8</v>
      </c>
      <c r="I3617" s="36" t="s">
        <v>156</v>
      </c>
      <c r="J3617" s="36"/>
    </row>
    <row r="3618" spans="1:10" x14ac:dyDescent="0.25">
      <c r="A3618" s="36">
        <v>1723</v>
      </c>
      <c r="B3618" s="37">
        <v>43556</v>
      </c>
      <c r="C3618" s="36"/>
      <c r="D3618" s="36"/>
      <c r="E3618" s="36" t="s">
        <v>117</v>
      </c>
      <c r="F3618" s="38">
        <v>0</v>
      </c>
      <c r="G3618" s="36" t="s">
        <v>8</v>
      </c>
      <c r="H3618" s="36" t="s">
        <v>8</v>
      </c>
      <c r="I3618" s="36" t="s">
        <v>156</v>
      </c>
      <c r="J3618" s="36"/>
    </row>
    <row r="3619" spans="1:10" x14ac:dyDescent="0.25">
      <c r="A3619" s="36">
        <v>1723</v>
      </c>
      <c r="B3619" s="37">
        <v>43556</v>
      </c>
      <c r="C3619" s="36"/>
      <c r="D3619" s="36"/>
      <c r="E3619" s="36" t="s">
        <v>116</v>
      </c>
      <c r="F3619" s="38">
        <v>0</v>
      </c>
      <c r="G3619" s="36" t="s">
        <v>8</v>
      </c>
      <c r="H3619" s="36" t="s">
        <v>8</v>
      </c>
      <c r="I3619" s="36" t="s">
        <v>156</v>
      </c>
      <c r="J3619" s="36"/>
    </row>
    <row r="3620" spans="1:10" x14ac:dyDescent="0.25">
      <c r="A3620" s="36">
        <v>1723</v>
      </c>
      <c r="B3620" s="37">
        <v>43556</v>
      </c>
      <c r="C3620" s="36"/>
      <c r="D3620" s="36"/>
      <c r="E3620" s="36" t="s">
        <v>27</v>
      </c>
      <c r="F3620" s="38">
        <v>0</v>
      </c>
      <c r="G3620" s="36" t="s">
        <v>8</v>
      </c>
      <c r="H3620" s="36" t="s">
        <v>8</v>
      </c>
      <c r="I3620" s="36" t="s">
        <v>156</v>
      </c>
      <c r="J3620" s="36"/>
    </row>
    <row r="3621" spans="1:10" x14ac:dyDescent="0.25">
      <c r="A3621" s="36">
        <v>1723</v>
      </c>
      <c r="B3621" s="37">
        <v>43556</v>
      </c>
      <c r="C3621" s="36"/>
      <c r="D3621" s="36"/>
      <c r="E3621" s="36" t="s">
        <v>18</v>
      </c>
      <c r="F3621" s="38">
        <v>0</v>
      </c>
      <c r="G3621" s="36" t="s">
        <v>8</v>
      </c>
      <c r="H3621" s="36" t="s">
        <v>8</v>
      </c>
      <c r="I3621" s="36" t="s">
        <v>156</v>
      </c>
      <c r="J3621" s="36"/>
    </row>
    <row r="3622" spans="1:10" x14ac:dyDescent="0.25">
      <c r="A3622" s="36">
        <v>1723</v>
      </c>
      <c r="B3622" s="37">
        <v>43556</v>
      </c>
      <c r="C3622" s="36"/>
      <c r="D3622" s="36"/>
      <c r="E3622" s="36" t="s">
        <v>65</v>
      </c>
      <c r="F3622" s="38">
        <v>0</v>
      </c>
      <c r="G3622" s="36" t="s">
        <v>8</v>
      </c>
      <c r="H3622" s="36" t="s">
        <v>8</v>
      </c>
      <c r="I3622" s="36" t="s">
        <v>156</v>
      </c>
      <c r="J3622" s="36"/>
    </row>
    <row r="3623" spans="1:10" x14ac:dyDescent="0.25">
      <c r="A3623" s="36">
        <v>1723</v>
      </c>
      <c r="B3623" s="37">
        <v>43556</v>
      </c>
      <c r="C3623" s="36"/>
      <c r="D3623" s="36"/>
      <c r="E3623" s="36" t="s">
        <v>23</v>
      </c>
      <c r="F3623" s="38">
        <v>0</v>
      </c>
      <c r="G3623" s="36" t="s">
        <v>8</v>
      </c>
      <c r="H3623" s="36" t="s">
        <v>8</v>
      </c>
      <c r="I3623" s="36" t="s">
        <v>156</v>
      </c>
      <c r="J3623" s="36"/>
    </row>
    <row r="3624" spans="1:10" x14ac:dyDescent="0.25">
      <c r="A3624" s="36">
        <v>1723</v>
      </c>
      <c r="B3624" s="37">
        <v>43556</v>
      </c>
      <c r="C3624" s="36"/>
      <c r="D3624" s="36"/>
      <c r="E3624" s="36" t="s">
        <v>11</v>
      </c>
      <c r="F3624" s="38">
        <v>0</v>
      </c>
      <c r="G3624" s="36" t="s">
        <v>8</v>
      </c>
      <c r="H3624" s="36" t="s">
        <v>8</v>
      </c>
      <c r="I3624" s="36" t="s">
        <v>156</v>
      </c>
      <c r="J3624" s="36"/>
    </row>
    <row r="3625" spans="1:10" x14ac:dyDescent="0.25">
      <c r="A3625" s="36">
        <v>1723</v>
      </c>
      <c r="B3625" s="37">
        <v>43556</v>
      </c>
      <c r="C3625" s="36"/>
      <c r="D3625" s="36"/>
      <c r="E3625" s="36" t="s">
        <v>119</v>
      </c>
      <c r="F3625" s="38">
        <v>0</v>
      </c>
      <c r="G3625" s="36" t="s">
        <v>8</v>
      </c>
      <c r="H3625" s="36" t="s">
        <v>8</v>
      </c>
      <c r="I3625" s="36" t="s">
        <v>156</v>
      </c>
      <c r="J3625" s="36"/>
    </row>
    <row r="3626" spans="1:10" x14ac:dyDescent="0.25">
      <c r="A3626" s="36">
        <v>1723</v>
      </c>
      <c r="B3626" s="37">
        <v>43586</v>
      </c>
      <c r="C3626" s="36"/>
      <c r="D3626" s="36"/>
      <c r="E3626" s="36" t="s">
        <v>115</v>
      </c>
      <c r="F3626" s="38">
        <v>0</v>
      </c>
      <c r="G3626" s="36" t="s">
        <v>8</v>
      </c>
      <c r="H3626" s="36" t="s">
        <v>8</v>
      </c>
      <c r="I3626" s="36" t="s">
        <v>156</v>
      </c>
      <c r="J3626" s="36"/>
    </row>
    <row r="3627" spans="1:10" x14ac:dyDescent="0.25">
      <c r="A3627" s="36">
        <v>1723</v>
      </c>
      <c r="B3627" s="37">
        <v>43586</v>
      </c>
      <c r="C3627" s="36"/>
      <c r="D3627" s="36"/>
      <c r="E3627" s="36" t="s">
        <v>7</v>
      </c>
      <c r="F3627" s="38">
        <v>0</v>
      </c>
      <c r="G3627" s="36" t="s">
        <v>8</v>
      </c>
      <c r="H3627" s="36" t="s">
        <v>8</v>
      </c>
      <c r="I3627" s="36" t="s">
        <v>156</v>
      </c>
      <c r="J3627" s="36"/>
    </row>
    <row r="3628" spans="1:10" x14ac:dyDescent="0.25">
      <c r="A3628" s="36">
        <v>1723</v>
      </c>
      <c r="B3628" s="37">
        <v>43586</v>
      </c>
      <c r="C3628" s="36"/>
      <c r="D3628" s="36"/>
      <c r="E3628" s="36" t="s">
        <v>9</v>
      </c>
      <c r="F3628" s="38">
        <v>0</v>
      </c>
      <c r="G3628" s="36" t="s">
        <v>8</v>
      </c>
      <c r="H3628" s="36" t="s">
        <v>8</v>
      </c>
      <c r="I3628" s="36" t="s">
        <v>156</v>
      </c>
      <c r="J3628" s="36"/>
    </row>
    <row r="3629" spans="1:10" x14ac:dyDescent="0.25">
      <c r="A3629" s="36">
        <v>1723</v>
      </c>
      <c r="B3629" s="37">
        <v>43586</v>
      </c>
      <c r="C3629" s="36"/>
      <c r="D3629" s="36"/>
      <c r="E3629" s="36" t="s">
        <v>113</v>
      </c>
      <c r="F3629" s="38">
        <v>0</v>
      </c>
      <c r="G3629" s="36" t="s">
        <v>8</v>
      </c>
      <c r="H3629" s="36" t="s">
        <v>8</v>
      </c>
      <c r="I3629" s="36" t="s">
        <v>156</v>
      </c>
      <c r="J3629" s="36"/>
    </row>
    <row r="3630" spans="1:10" x14ac:dyDescent="0.25">
      <c r="A3630" s="36">
        <v>1723</v>
      </c>
      <c r="B3630" s="37">
        <v>43586</v>
      </c>
      <c r="C3630" s="36"/>
      <c r="D3630" s="36"/>
      <c r="E3630" s="36" t="s">
        <v>85</v>
      </c>
      <c r="F3630" s="38">
        <v>0</v>
      </c>
      <c r="G3630" s="36" t="s">
        <v>8</v>
      </c>
      <c r="H3630" s="36" t="s">
        <v>8</v>
      </c>
      <c r="I3630" s="36" t="s">
        <v>156</v>
      </c>
      <c r="J3630" s="36"/>
    </row>
    <row r="3631" spans="1:10" x14ac:dyDescent="0.25">
      <c r="A3631" s="36">
        <v>1723</v>
      </c>
      <c r="B3631" s="37">
        <v>43586</v>
      </c>
      <c r="C3631" s="36"/>
      <c r="D3631" s="36"/>
      <c r="E3631" s="36" t="s">
        <v>114</v>
      </c>
      <c r="F3631" s="38">
        <v>0</v>
      </c>
      <c r="G3631" s="36" t="s">
        <v>8</v>
      </c>
      <c r="H3631" s="36" t="s">
        <v>8</v>
      </c>
      <c r="I3631" s="36" t="s">
        <v>156</v>
      </c>
      <c r="J3631" s="36"/>
    </row>
    <row r="3632" spans="1:10" x14ac:dyDescent="0.25">
      <c r="A3632" s="36">
        <v>1723</v>
      </c>
      <c r="B3632" s="37">
        <v>43586</v>
      </c>
      <c r="C3632" s="36"/>
      <c r="D3632" s="36"/>
      <c r="E3632" s="36" t="s">
        <v>135</v>
      </c>
      <c r="F3632" s="38">
        <v>0</v>
      </c>
      <c r="G3632" s="36" t="s">
        <v>8</v>
      </c>
      <c r="H3632" s="36" t="s">
        <v>8</v>
      </c>
      <c r="I3632" s="36" t="s">
        <v>156</v>
      </c>
      <c r="J3632" s="36"/>
    </row>
    <row r="3633" spans="1:10" x14ac:dyDescent="0.25">
      <c r="A3633" s="36">
        <v>1723</v>
      </c>
      <c r="B3633" s="37">
        <v>43586</v>
      </c>
      <c r="C3633" s="36"/>
      <c r="D3633" s="36"/>
      <c r="E3633" s="36" t="s">
        <v>117</v>
      </c>
      <c r="F3633" s="38">
        <v>0</v>
      </c>
      <c r="G3633" s="36" t="s">
        <v>8</v>
      </c>
      <c r="H3633" s="36" t="s">
        <v>8</v>
      </c>
      <c r="I3633" s="36" t="s">
        <v>156</v>
      </c>
      <c r="J3633" s="36"/>
    </row>
    <row r="3634" spans="1:10" x14ac:dyDescent="0.25">
      <c r="A3634" s="36">
        <v>1723</v>
      </c>
      <c r="B3634" s="37">
        <v>43586</v>
      </c>
      <c r="C3634" s="36"/>
      <c r="D3634" s="36"/>
      <c r="E3634" s="36" t="s">
        <v>116</v>
      </c>
      <c r="F3634" s="38">
        <v>0</v>
      </c>
      <c r="G3634" s="36" t="s">
        <v>8</v>
      </c>
      <c r="H3634" s="36" t="s">
        <v>8</v>
      </c>
      <c r="I3634" s="36" t="s">
        <v>156</v>
      </c>
      <c r="J3634" s="36"/>
    </row>
    <row r="3635" spans="1:10" x14ac:dyDescent="0.25">
      <c r="A3635" s="36">
        <v>1723</v>
      </c>
      <c r="B3635" s="37">
        <v>43586</v>
      </c>
      <c r="C3635" s="36"/>
      <c r="D3635" s="36"/>
      <c r="E3635" s="36" t="s">
        <v>27</v>
      </c>
      <c r="F3635" s="38">
        <v>0</v>
      </c>
      <c r="G3635" s="36" t="s">
        <v>8</v>
      </c>
      <c r="H3635" s="36" t="s">
        <v>8</v>
      </c>
      <c r="I3635" s="36" t="s">
        <v>156</v>
      </c>
      <c r="J3635" s="36"/>
    </row>
    <row r="3636" spans="1:10" x14ac:dyDescent="0.25">
      <c r="A3636" s="36">
        <v>1723</v>
      </c>
      <c r="B3636" s="37">
        <v>43586</v>
      </c>
      <c r="C3636" s="36"/>
      <c r="D3636" s="36"/>
      <c r="E3636" s="36" t="s">
        <v>18</v>
      </c>
      <c r="F3636" s="38">
        <v>4123665</v>
      </c>
      <c r="G3636" s="36" t="s">
        <v>8</v>
      </c>
      <c r="H3636" s="36" t="s">
        <v>8</v>
      </c>
      <c r="I3636" s="36" t="s">
        <v>156</v>
      </c>
      <c r="J3636" s="36"/>
    </row>
    <row r="3637" spans="1:10" x14ac:dyDescent="0.25">
      <c r="A3637" s="36">
        <v>1723</v>
      </c>
      <c r="B3637" s="37">
        <v>43586</v>
      </c>
      <c r="C3637" s="36"/>
      <c r="D3637" s="36"/>
      <c r="E3637" s="36" t="s">
        <v>65</v>
      </c>
      <c r="F3637" s="38">
        <v>0</v>
      </c>
      <c r="G3637" s="36" t="s">
        <v>8</v>
      </c>
      <c r="H3637" s="36" t="s">
        <v>8</v>
      </c>
      <c r="I3637" s="36" t="s">
        <v>156</v>
      </c>
      <c r="J3637" s="36"/>
    </row>
    <row r="3638" spans="1:10" x14ac:dyDescent="0.25">
      <c r="A3638" s="36">
        <v>1723</v>
      </c>
      <c r="B3638" s="37">
        <v>43586</v>
      </c>
      <c r="C3638" s="36"/>
      <c r="D3638" s="36"/>
      <c r="E3638" s="36" t="s">
        <v>23</v>
      </c>
      <c r="F3638" s="38">
        <v>0</v>
      </c>
      <c r="G3638" s="36" t="s">
        <v>8</v>
      </c>
      <c r="H3638" s="36" t="s">
        <v>8</v>
      </c>
      <c r="I3638" s="36" t="s">
        <v>156</v>
      </c>
      <c r="J3638" s="36"/>
    </row>
    <row r="3639" spans="1:10" x14ac:dyDescent="0.25">
      <c r="A3639" s="36">
        <v>1723</v>
      </c>
      <c r="B3639" s="37">
        <v>43586</v>
      </c>
      <c r="C3639" s="36"/>
      <c r="D3639" s="36"/>
      <c r="E3639" s="36" t="s">
        <v>11</v>
      </c>
      <c r="F3639" s="38">
        <v>0</v>
      </c>
      <c r="G3639" s="36" t="s">
        <v>8</v>
      </c>
      <c r="H3639" s="36" t="s">
        <v>8</v>
      </c>
      <c r="I3639" s="36" t="s">
        <v>156</v>
      </c>
      <c r="J3639" s="36"/>
    </row>
    <row r="3640" spans="1:10" x14ac:dyDescent="0.25">
      <c r="A3640" s="36">
        <v>1723</v>
      </c>
      <c r="B3640" s="37">
        <v>43586</v>
      </c>
      <c r="C3640" s="36"/>
      <c r="D3640" s="36"/>
      <c r="E3640" s="36" t="s">
        <v>119</v>
      </c>
      <c r="F3640" s="38">
        <v>6221250</v>
      </c>
      <c r="G3640" s="36" t="s">
        <v>8</v>
      </c>
      <c r="H3640" s="36" t="s">
        <v>8</v>
      </c>
      <c r="I3640" s="36" t="s">
        <v>156</v>
      </c>
      <c r="J3640" s="36"/>
    </row>
    <row r="3641" spans="1:10" x14ac:dyDescent="0.25">
      <c r="A3641" s="36">
        <v>1723</v>
      </c>
      <c r="B3641" s="37">
        <v>43617</v>
      </c>
      <c r="C3641" s="36"/>
      <c r="D3641" s="36"/>
      <c r="E3641" s="36" t="s">
        <v>115</v>
      </c>
      <c r="F3641" s="38">
        <v>0</v>
      </c>
      <c r="G3641" s="36" t="s">
        <v>8</v>
      </c>
      <c r="H3641" s="36" t="s">
        <v>8</v>
      </c>
      <c r="I3641" s="36" t="s">
        <v>156</v>
      </c>
      <c r="J3641" s="36"/>
    </row>
    <row r="3642" spans="1:10" x14ac:dyDescent="0.25">
      <c r="A3642" s="36">
        <v>1723</v>
      </c>
      <c r="B3642" s="37">
        <v>43617</v>
      </c>
      <c r="C3642" s="36"/>
      <c r="D3642" s="36"/>
      <c r="E3642" s="36" t="s">
        <v>7</v>
      </c>
      <c r="F3642" s="38">
        <v>0</v>
      </c>
      <c r="G3642" s="36" t="s">
        <v>8</v>
      </c>
      <c r="H3642" s="36" t="s">
        <v>8</v>
      </c>
      <c r="I3642" s="36" t="s">
        <v>156</v>
      </c>
      <c r="J3642" s="36"/>
    </row>
    <row r="3643" spans="1:10" x14ac:dyDescent="0.25">
      <c r="A3643" s="36">
        <v>1723</v>
      </c>
      <c r="B3643" s="37">
        <v>43617</v>
      </c>
      <c r="C3643" s="36"/>
      <c r="D3643" s="36"/>
      <c r="E3643" s="36" t="s">
        <v>9</v>
      </c>
      <c r="F3643" s="38">
        <v>0</v>
      </c>
      <c r="G3643" s="36" t="s">
        <v>8</v>
      </c>
      <c r="H3643" s="36" t="s">
        <v>8</v>
      </c>
      <c r="I3643" s="36" t="s">
        <v>156</v>
      </c>
      <c r="J3643" s="36"/>
    </row>
    <row r="3644" spans="1:10" x14ac:dyDescent="0.25">
      <c r="A3644" s="36">
        <v>1723</v>
      </c>
      <c r="B3644" s="37">
        <v>43617</v>
      </c>
      <c r="C3644" s="36"/>
      <c r="D3644" s="36"/>
      <c r="E3644" s="36" t="s">
        <v>113</v>
      </c>
      <c r="F3644" s="38">
        <v>0</v>
      </c>
      <c r="G3644" s="36" t="s">
        <v>8</v>
      </c>
      <c r="H3644" s="36" t="s">
        <v>8</v>
      </c>
      <c r="I3644" s="36" t="s">
        <v>156</v>
      </c>
      <c r="J3644" s="36"/>
    </row>
    <row r="3645" spans="1:10" x14ac:dyDescent="0.25">
      <c r="A3645" s="36">
        <v>1723</v>
      </c>
      <c r="B3645" s="37">
        <v>43617</v>
      </c>
      <c r="C3645" s="36"/>
      <c r="D3645" s="36"/>
      <c r="E3645" s="36" t="s">
        <v>85</v>
      </c>
      <c r="F3645" s="38">
        <v>0</v>
      </c>
      <c r="G3645" s="36" t="s">
        <v>8</v>
      </c>
      <c r="H3645" s="36" t="s">
        <v>8</v>
      </c>
      <c r="I3645" s="36" t="s">
        <v>156</v>
      </c>
      <c r="J3645" s="36"/>
    </row>
    <row r="3646" spans="1:10" x14ac:dyDescent="0.25">
      <c r="A3646" s="36">
        <v>1723</v>
      </c>
      <c r="B3646" s="37">
        <v>43617</v>
      </c>
      <c r="C3646" s="36"/>
      <c r="D3646" s="36"/>
      <c r="E3646" s="36" t="s">
        <v>114</v>
      </c>
      <c r="F3646" s="38">
        <v>0</v>
      </c>
      <c r="G3646" s="36" t="s">
        <v>8</v>
      </c>
      <c r="H3646" s="36" t="s">
        <v>8</v>
      </c>
      <c r="I3646" s="36" t="s">
        <v>156</v>
      </c>
      <c r="J3646" s="36"/>
    </row>
    <row r="3647" spans="1:10" x14ac:dyDescent="0.25">
      <c r="A3647" s="36">
        <v>1723</v>
      </c>
      <c r="B3647" s="37">
        <v>43617</v>
      </c>
      <c r="C3647" s="36"/>
      <c r="D3647" s="36"/>
      <c r="E3647" s="36" t="s">
        <v>135</v>
      </c>
      <c r="F3647" s="38">
        <v>0</v>
      </c>
      <c r="G3647" s="36" t="s">
        <v>8</v>
      </c>
      <c r="H3647" s="36" t="s">
        <v>8</v>
      </c>
      <c r="I3647" s="36" t="s">
        <v>156</v>
      </c>
      <c r="J3647" s="36"/>
    </row>
    <row r="3648" spans="1:10" x14ac:dyDescent="0.25">
      <c r="A3648" s="36">
        <v>1723</v>
      </c>
      <c r="B3648" s="37">
        <v>43617</v>
      </c>
      <c r="C3648" s="36"/>
      <c r="D3648" s="36"/>
      <c r="E3648" s="36" t="s">
        <v>117</v>
      </c>
      <c r="F3648" s="38">
        <v>0</v>
      </c>
      <c r="G3648" s="36" t="s">
        <v>8</v>
      </c>
      <c r="H3648" s="36" t="s">
        <v>8</v>
      </c>
      <c r="I3648" s="36" t="s">
        <v>156</v>
      </c>
      <c r="J3648" s="36"/>
    </row>
    <row r="3649" spans="1:10" x14ac:dyDescent="0.25">
      <c r="A3649" s="36">
        <v>1723</v>
      </c>
      <c r="B3649" s="37">
        <v>43617</v>
      </c>
      <c r="C3649" s="36"/>
      <c r="D3649" s="36"/>
      <c r="E3649" s="36" t="s">
        <v>116</v>
      </c>
      <c r="F3649" s="38">
        <v>0</v>
      </c>
      <c r="G3649" s="36" t="s">
        <v>8</v>
      </c>
      <c r="H3649" s="36" t="s">
        <v>8</v>
      </c>
      <c r="I3649" s="36" t="s">
        <v>156</v>
      </c>
      <c r="J3649" s="36"/>
    </row>
    <row r="3650" spans="1:10" x14ac:dyDescent="0.25">
      <c r="A3650" s="36">
        <v>1723</v>
      </c>
      <c r="B3650" s="37">
        <v>43617</v>
      </c>
      <c r="C3650" s="36"/>
      <c r="D3650" s="36"/>
      <c r="E3650" s="36" t="s">
        <v>27</v>
      </c>
      <c r="F3650" s="38">
        <v>0</v>
      </c>
      <c r="G3650" s="36" t="s">
        <v>8</v>
      </c>
      <c r="H3650" s="36" t="s">
        <v>8</v>
      </c>
      <c r="I3650" s="36" t="s">
        <v>156</v>
      </c>
      <c r="J3650" s="36"/>
    </row>
    <row r="3651" spans="1:10" x14ac:dyDescent="0.25">
      <c r="A3651" s="36">
        <v>1723</v>
      </c>
      <c r="B3651" s="37">
        <v>43617</v>
      </c>
      <c r="C3651" s="36"/>
      <c r="D3651" s="36"/>
      <c r="E3651" s="36" t="s">
        <v>18</v>
      </c>
      <c r="F3651" s="38">
        <v>4123665</v>
      </c>
      <c r="G3651" s="36" t="s">
        <v>8</v>
      </c>
      <c r="H3651" s="36" t="s">
        <v>8</v>
      </c>
      <c r="I3651" s="36" t="s">
        <v>156</v>
      </c>
      <c r="J3651" s="36"/>
    </row>
    <row r="3652" spans="1:10" x14ac:dyDescent="0.25">
      <c r="A3652" s="36">
        <v>1723</v>
      </c>
      <c r="B3652" s="37">
        <v>43617</v>
      </c>
      <c r="C3652" s="36"/>
      <c r="D3652" s="36"/>
      <c r="E3652" s="36" t="s">
        <v>65</v>
      </c>
      <c r="F3652" s="38">
        <v>0</v>
      </c>
      <c r="G3652" s="36" t="s">
        <v>8</v>
      </c>
      <c r="H3652" s="36" t="s">
        <v>8</v>
      </c>
      <c r="I3652" s="36" t="s">
        <v>156</v>
      </c>
      <c r="J3652" s="36"/>
    </row>
    <row r="3653" spans="1:10" x14ac:dyDescent="0.25">
      <c r="A3653" s="36">
        <v>1723</v>
      </c>
      <c r="B3653" s="37">
        <v>43617</v>
      </c>
      <c r="C3653" s="36"/>
      <c r="D3653" s="36"/>
      <c r="E3653" s="36" t="s">
        <v>23</v>
      </c>
      <c r="F3653" s="38">
        <v>0</v>
      </c>
      <c r="G3653" s="36" t="s">
        <v>8</v>
      </c>
      <c r="H3653" s="36" t="s">
        <v>8</v>
      </c>
      <c r="I3653" s="36" t="s">
        <v>156</v>
      </c>
      <c r="J3653" s="36"/>
    </row>
    <row r="3654" spans="1:10" x14ac:dyDescent="0.25">
      <c r="A3654" s="36">
        <v>1723</v>
      </c>
      <c r="B3654" s="37">
        <v>43617</v>
      </c>
      <c r="C3654" s="36"/>
      <c r="D3654" s="36"/>
      <c r="E3654" s="36" t="s">
        <v>11</v>
      </c>
      <c r="F3654" s="38">
        <v>0</v>
      </c>
      <c r="G3654" s="36" t="s">
        <v>8</v>
      </c>
      <c r="H3654" s="36" t="s">
        <v>8</v>
      </c>
      <c r="I3654" s="36" t="s">
        <v>156</v>
      </c>
      <c r="J3654" s="36"/>
    </row>
    <row r="3655" spans="1:10" x14ac:dyDescent="0.25">
      <c r="A3655" s="36">
        <v>1723</v>
      </c>
      <c r="B3655" s="37">
        <v>43617</v>
      </c>
      <c r="C3655" s="36"/>
      <c r="D3655" s="36"/>
      <c r="E3655" s="36" t="s">
        <v>119</v>
      </c>
      <c r="F3655" s="38">
        <v>6221250</v>
      </c>
      <c r="G3655" s="36" t="s">
        <v>8</v>
      </c>
      <c r="H3655" s="36" t="s">
        <v>8</v>
      </c>
      <c r="I3655" s="36" t="s">
        <v>156</v>
      </c>
      <c r="J3655" s="36"/>
    </row>
    <row r="3656" spans="1:10" x14ac:dyDescent="0.25">
      <c r="A3656" s="36">
        <v>1723</v>
      </c>
      <c r="B3656" s="37">
        <v>43647</v>
      </c>
      <c r="C3656" s="36"/>
      <c r="D3656" s="36"/>
      <c r="E3656" s="36" t="s">
        <v>115</v>
      </c>
      <c r="F3656" s="38">
        <v>2604656.2500000005</v>
      </c>
      <c r="G3656" s="36" t="s">
        <v>8</v>
      </c>
      <c r="H3656" s="36" t="s">
        <v>8</v>
      </c>
      <c r="I3656" s="36" t="s">
        <v>156</v>
      </c>
      <c r="J3656" s="36"/>
    </row>
    <row r="3657" spans="1:10" x14ac:dyDescent="0.25">
      <c r="A3657" s="36">
        <v>1723</v>
      </c>
      <c r="B3657" s="37">
        <v>43647</v>
      </c>
      <c r="C3657" s="36"/>
      <c r="D3657" s="36"/>
      <c r="E3657" s="36" t="s">
        <v>7</v>
      </c>
      <c r="F3657" s="38">
        <v>11711424.646482753</v>
      </c>
      <c r="G3657" s="36" t="s">
        <v>8</v>
      </c>
      <c r="H3657" s="36" t="s">
        <v>8</v>
      </c>
      <c r="I3657" s="36" t="s">
        <v>156</v>
      </c>
      <c r="J3657" s="36"/>
    </row>
    <row r="3658" spans="1:10" x14ac:dyDescent="0.25">
      <c r="A3658" s="36">
        <v>1723</v>
      </c>
      <c r="B3658" s="37">
        <v>43647</v>
      </c>
      <c r="C3658" s="36"/>
      <c r="D3658" s="36"/>
      <c r="E3658" s="36" t="s">
        <v>9</v>
      </c>
      <c r="F3658" s="38">
        <v>11269198.072125001</v>
      </c>
      <c r="G3658" s="36" t="s">
        <v>8</v>
      </c>
      <c r="H3658" s="36" t="s">
        <v>8</v>
      </c>
      <c r="I3658" s="36" t="s">
        <v>156</v>
      </c>
      <c r="J3658" s="36"/>
    </row>
    <row r="3659" spans="1:10" x14ac:dyDescent="0.25">
      <c r="A3659" s="36">
        <v>1723</v>
      </c>
      <c r="B3659" s="37">
        <v>43647</v>
      </c>
      <c r="C3659" s="36"/>
      <c r="D3659" s="36"/>
      <c r="E3659" s="36" t="s">
        <v>113</v>
      </c>
      <c r="F3659" s="38">
        <v>10418625.000000002</v>
      </c>
      <c r="G3659" s="36" t="s">
        <v>8</v>
      </c>
      <c r="H3659" s="36" t="s">
        <v>8</v>
      </c>
      <c r="I3659" s="36" t="s">
        <v>156</v>
      </c>
      <c r="J3659" s="36"/>
    </row>
    <row r="3660" spans="1:10" x14ac:dyDescent="0.25">
      <c r="A3660" s="36">
        <v>1723</v>
      </c>
      <c r="B3660" s="37">
        <v>43647</v>
      </c>
      <c r="C3660" s="36"/>
      <c r="D3660" s="36"/>
      <c r="E3660" s="36" t="s">
        <v>85</v>
      </c>
      <c r="F3660" s="38">
        <v>960135.74937000009</v>
      </c>
      <c r="G3660" s="36" t="s">
        <v>8</v>
      </c>
      <c r="H3660" s="36" t="s">
        <v>8</v>
      </c>
      <c r="I3660" s="36" t="s">
        <v>156</v>
      </c>
      <c r="J3660" s="36"/>
    </row>
    <row r="3661" spans="1:10" x14ac:dyDescent="0.25">
      <c r="A3661" s="36">
        <v>1723</v>
      </c>
      <c r="B3661" s="37">
        <v>43647</v>
      </c>
      <c r="C3661" s="36"/>
      <c r="D3661" s="36"/>
      <c r="E3661" s="36" t="s">
        <v>114</v>
      </c>
      <c r="F3661" s="38">
        <v>887666.85000000009</v>
      </c>
      <c r="G3661" s="36" t="s">
        <v>8</v>
      </c>
      <c r="H3661" s="36" t="s">
        <v>8</v>
      </c>
      <c r="I3661" s="36" t="s">
        <v>156</v>
      </c>
      <c r="J3661" s="36"/>
    </row>
    <row r="3662" spans="1:10" x14ac:dyDescent="0.25">
      <c r="A3662" s="36">
        <v>1723</v>
      </c>
      <c r="B3662" s="37">
        <v>43647</v>
      </c>
      <c r="C3662" s="36"/>
      <c r="D3662" s="36"/>
      <c r="E3662" s="36" t="s">
        <v>135</v>
      </c>
      <c r="F3662" s="38">
        <v>48600000</v>
      </c>
      <c r="G3662" s="36" t="s">
        <v>8</v>
      </c>
      <c r="H3662" s="36" t="s">
        <v>8</v>
      </c>
      <c r="I3662" s="36" t="s">
        <v>156</v>
      </c>
      <c r="J3662" s="36"/>
    </row>
    <row r="3663" spans="1:10" x14ac:dyDescent="0.25">
      <c r="A3663" s="36">
        <v>1723</v>
      </c>
      <c r="B3663" s="37">
        <v>43647</v>
      </c>
      <c r="C3663" s="36"/>
      <c r="D3663" s="36"/>
      <c r="E3663" s="36" t="s">
        <v>117</v>
      </c>
      <c r="F3663" s="38">
        <v>3718059.9750000001</v>
      </c>
      <c r="G3663" s="36" t="s">
        <v>8</v>
      </c>
      <c r="H3663" s="36" t="s">
        <v>8</v>
      </c>
      <c r="I3663" s="36" t="s">
        <v>156</v>
      </c>
      <c r="J3663" s="36"/>
    </row>
    <row r="3664" spans="1:10" x14ac:dyDescent="0.25">
      <c r="A3664" s="36">
        <v>1723</v>
      </c>
      <c r="B3664" s="37">
        <v>43647</v>
      </c>
      <c r="C3664" s="36"/>
      <c r="D3664" s="36"/>
      <c r="E3664" s="36" t="s">
        <v>116</v>
      </c>
      <c r="F3664" s="38">
        <v>3718059.9750000001</v>
      </c>
      <c r="G3664" s="36" t="s">
        <v>8</v>
      </c>
      <c r="H3664" s="36" t="s">
        <v>8</v>
      </c>
      <c r="I3664" s="36" t="s">
        <v>156</v>
      </c>
      <c r="J3664" s="36"/>
    </row>
    <row r="3665" spans="1:10" x14ac:dyDescent="0.25">
      <c r="A3665" s="36">
        <v>1723</v>
      </c>
      <c r="B3665" s="37">
        <v>43647</v>
      </c>
      <c r="C3665" s="36"/>
      <c r="D3665" s="36"/>
      <c r="E3665" s="36" t="s">
        <v>27</v>
      </c>
      <c r="F3665" s="38">
        <v>4049372.25</v>
      </c>
      <c r="G3665" s="36" t="s">
        <v>8</v>
      </c>
      <c r="H3665" s="36" t="s">
        <v>8</v>
      </c>
      <c r="I3665" s="36" t="s">
        <v>156</v>
      </c>
      <c r="J3665" s="36"/>
    </row>
    <row r="3666" spans="1:10" x14ac:dyDescent="0.25">
      <c r="A3666" s="36">
        <v>1723</v>
      </c>
      <c r="B3666" s="37">
        <v>43647</v>
      </c>
      <c r="C3666" s="36"/>
      <c r="D3666" s="36"/>
      <c r="E3666" s="36" t="s">
        <v>18</v>
      </c>
      <c r="F3666" s="38">
        <v>8173037.25</v>
      </c>
      <c r="G3666" s="36" t="s">
        <v>8</v>
      </c>
      <c r="H3666" s="36" t="s">
        <v>8</v>
      </c>
      <c r="I3666" s="36" t="s">
        <v>156</v>
      </c>
      <c r="J3666" s="36"/>
    </row>
    <row r="3667" spans="1:10" x14ac:dyDescent="0.25">
      <c r="A3667" s="36">
        <v>1723</v>
      </c>
      <c r="B3667" s="37">
        <v>43647</v>
      </c>
      <c r="C3667" s="36"/>
      <c r="D3667" s="36"/>
      <c r="E3667" s="36" t="s">
        <v>65</v>
      </c>
      <c r="F3667" s="38">
        <v>4514737.5000000009</v>
      </c>
      <c r="G3667" s="36" t="s">
        <v>8</v>
      </c>
      <c r="H3667" s="36" t="s">
        <v>8</v>
      </c>
      <c r="I3667" s="36" t="s">
        <v>156</v>
      </c>
      <c r="J3667" s="36"/>
    </row>
    <row r="3668" spans="1:10" x14ac:dyDescent="0.25">
      <c r="A3668" s="36">
        <v>1723</v>
      </c>
      <c r="B3668" s="37">
        <v>43647</v>
      </c>
      <c r="C3668" s="36"/>
      <c r="D3668" s="36"/>
      <c r="E3668" s="36" t="s">
        <v>23</v>
      </c>
      <c r="F3668" s="38">
        <v>5903887.5000000009</v>
      </c>
      <c r="G3668" s="36" t="s">
        <v>8</v>
      </c>
      <c r="H3668" s="36" t="s">
        <v>8</v>
      </c>
      <c r="I3668" s="36" t="s">
        <v>156</v>
      </c>
      <c r="J3668" s="36"/>
    </row>
    <row r="3669" spans="1:10" x14ac:dyDescent="0.25">
      <c r="A3669" s="36">
        <v>1723</v>
      </c>
      <c r="B3669" s="37">
        <v>43647</v>
      </c>
      <c r="C3669" s="36"/>
      <c r="D3669" s="36"/>
      <c r="E3669" s="36" t="s">
        <v>11</v>
      </c>
      <c r="F3669" s="38">
        <v>2448376.8750000005</v>
      </c>
      <c r="G3669" s="36" t="s">
        <v>8</v>
      </c>
      <c r="H3669" s="36" t="s">
        <v>8</v>
      </c>
      <c r="I3669" s="36" t="s">
        <v>156</v>
      </c>
      <c r="J3669" s="36"/>
    </row>
    <row r="3670" spans="1:10" x14ac:dyDescent="0.25">
      <c r="A3670" s="36">
        <v>1723</v>
      </c>
      <c r="B3670" s="37">
        <v>43647</v>
      </c>
      <c r="C3670" s="36"/>
      <c r="D3670" s="36"/>
      <c r="E3670" s="36" t="s">
        <v>119</v>
      </c>
      <c r="F3670" s="38">
        <v>6221250</v>
      </c>
      <c r="G3670" s="36" t="s">
        <v>8</v>
      </c>
      <c r="H3670" s="36" t="s">
        <v>8</v>
      </c>
      <c r="I3670" s="36" t="s">
        <v>156</v>
      </c>
      <c r="J3670" s="36"/>
    </row>
    <row r="3671" spans="1:10" x14ac:dyDescent="0.25">
      <c r="A3671" s="36">
        <v>1723</v>
      </c>
      <c r="B3671" s="37">
        <v>43678</v>
      </c>
      <c r="C3671" s="36"/>
      <c r="D3671" s="36"/>
      <c r="E3671" s="36" t="s">
        <v>115</v>
      </c>
      <c r="F3671" s="38">
        <v>2604656.2500000005</v>
      </c>
      <c r="G3671" s="36" t="s">
        <v>8</v>
      </c>
      <c r="H3671" s="36" t="s">
        <v>8</v>
      </c>
      <c r="I3671" s="36" t="s">
        <v>156</v>
      </c>
      <c r="J3671" s="36"/>
    </row>
    <row r="3672" spans="1:10" x14ac:dyDescent="0.25">
      <c r="A3672" s="36">
        <v>1723</v>
      </c>
      <c r="B3672" s="37">
        <v>43678</v>
      </c>
      <c r="C3672" s="36"/>
      <c r="D3672" s="36"/>
      <c r="E3672" s="36" t="s">
        <v>7</v>
      </c>
      <c r="F3672" s="38">
        <v>11711424.646482753</v>
      </c>
      <c r="G3672" s="36" t="s">
        <v>8</v>
      </c>
      <c r="H3672" s="36" t="s">
        <v>8</v>
      </c>
      <c r="I3672" s="36" t="s">
        <v>156</v>
      </c>
      <c r="J3672" s="36"/>
    </row>
    <row r="3673" spans="1:10" x14ac:dyDescent="0.25">
      <c r="A3673" s="36">
        <v>1723</v>
      </c>
      <c r="B3673" s="37">
        <v>43678</v>
      </c>
      <c r="C3673" s="36"/>
      <c r="D3673" s="36"/>
      <c r="E3673" s="36" t="s">
        <v>9</v>
      </c>
      <c r="F3673" s="38">
        <v>11269198.072125001</v>
      </c>
      <c r="G3673" s="36" t="s">
        <v>8</v>
      </c>
      <c r="H3673" s="36" t="s">
        <v>8</v>
      </c>
      <c r="I3673" s="36" t="s">
        <v>156</v>
      </c>
      <c r="J3673" s="36"/>
    </row>
    <row r="3674" spans="1:10" x14ac:dyDescent="0.25">
      <c r="A3674" s="36">
        <v>1723</v>
      </c>
      <c r="B3674" s="37">
        <v>43678</v>
      </c>
      <c r="C3674" s="36"/>
      <c r="D3674" s="36"/>
      <c r="E3674" s="36" t="s">
        <v>113</v>
      </c>
      <c r="F3674" s="38">
        <v>10418625.000000002</v>
      </c>
      <c r="G3674" s="36" t="s">
        <v>8</v>
      </c>
      <c r="H3674" s="36" t="s">
        <v>8</v>
      </c>
      <c r="I3674" s="36" t="s">
        <v>156</v>
      </c>
      <c r="J3674" s="36"/>
    </row>
    <row r="3675" spans="1:10" x14ac:dyDescent="0.25">
      <c r="A3675" s="36">
        <v>1723</v>
      </c>
      <c r="B3675" s="37">
        <v>43678</v>
      </c>
      <c r="C3675" s="36"/>
      <c r="D3675" s="36"/>
      <c r="E3675" s="36" t="s">
        <v>85</v>
      </c>
      <c r="F3675" s="38">
        <v>960135.74937000009</v>
      </c>
      <c r="G3675" s="36" t="s">
        <v>8</v>
      </c>
      <c r="H3675" s="36" t="s">
        <v>8</v>
      </c>
      <c r="I3675" s="36" t="s">
        <v>156</v>
      </c>
      <c r="J3675" s="36"/>
    </row>
    <row r="3676" spans="1:10" x14ac:dyDescent="0.25">
      <c r="A3676" s="36">
        <v>1723</v>
      </c>
      <c r="B3676" s="37">
        <v>43678</v>
      </c>
      <c r="C3676" s="36"/>
      <c r="D3676" s="36"/>
      <c r="E3676" s="36" t="s">
        <v>114</v>
      </c>
      <c r="F3676" s="38">
        <v>887666.85000000009</v>
      </c>
      <c r="G3676" s="36" t="s">
        <v>8</v>
      </c>
      <c r="H3676" s="36" t="s">
        <v>8</v>
      </c>
      <c r="I3676" s="36" t="s">
        <v>156</v>
      </c>
      <c r="J3676" s="36"/>
    </row>
    <row r="3677" spans="1:10" x14ac:dyDescent="0.25">
      <c r="A3677" s="36">
        <v>1723</v>
      </c>
      <c r="B3677" s="37">
        <v>43678</v>
      </c>
      <c r="C3677" s="36"/>
      <c r="D3677" s="36"/>
      <c r="E3677" s="36" t="s">
        <v>135</v>
      </c>
      <c r="F3677" s="38">
        <v>48600000</v>
      </c>
      <c r="G3677" s="36" t="s">
        <v>8</v>
      </c>
      <c r="H3677" s="36" t="s">
        <v>8</v>
      </c>
      <c r="I3677" s="36" t="s">
        <v>156</v>
      </c>
      <c r="J3677" s="36"/>
    </row>
    <row r="3678" spans="1:10" x14ac:dyDescent="0.25">
      <c r="A3678" s="36">
        <v>1723</v>
      </c>
      <c r="B3678" s="37">
        <v>43678</v>
      </c>
      <c r="C3678" s="36"/>
      <c r="D3678" s="36"/>
      <c r="E3678" s="36" t="s">
        <v>117</v>
      </c>
      <c r="F3678" s="38">
        <v>3718059.9750000001</v>
      </c>
      <c r="G3678" s="36" t="s">
        <v>8</v>
      </c>
      <c r="H3678" s="36" t="s">
        <v>8</v>
      </c>
      <c r="I3678" s="36" t="s">
        <v>156</v>
      </c>
      <c r="J3678" s="36"/>
    </row>
    <row r="3679" spans="1:10" x14ac:dyDescent="0.25">
      <c r="A3679" s="36">
        <v>1723</v>
      </c>
      <c r="B3679" s="37">
        <v>43678</v>
      </c>
      <c r="C3679" s="36"/>
      <c r="D3679" s="36"/>
      <c r="E3679" s="36" t="s">
        <v>116</v>
      </c>
      <c r="F3679" s="38">
        <v>3718059.9750000001</v>
      </c>
      <c r="G3679" s="36" t="s">
        <v>8</v>
      </c>
      <c r="H3679" s="36" t="s">
        <v>8</v>
      </c>
      <c r="I3679" s="36" t="s">
        <v>156</v>
      </c>
      <c r="J3679" s="36"/>
    </row>
    <row r="3680" spans="1:10" x14ac:dyDescent="0.25">
      <c r="A3680" s="36">
        <v>1723</v>
      </c>
      <c r="B3680" s="37">
        <v>43678</v>
      </c>
      <c r="C3680" s="36"/>
      <c r="D3680" s="36"/>
      <c r="E3680" s="36" t="s">
        <v>27</v>
      </c>
      <c r="F3680" s="38">
        <v>4049372.25</v>
      </c>
      <c r="G3680" s="36" t="s">
        <v>8</v>
      </c>
      <c r="H3680" s="36" t="s">
        <v>8</v>
      </c>
      <c r="I3680" s="36" t="s">
        <v>156</v>
      </c>
      <c r="J3680" s="36"/>
    </row>
    <row r="3681" spans="1:10" x14ac:dyDescent="0.25">
      <c r="A3681" s="36">
        <v>1723</v>
      </c>
      <c r="B3681" s="37">
        <v>43678</v>
      </c>
      <c r="C3681" s="36"/>
      <c r="D3681" s="36"/>
      <c r="E3681" s="36" t="s">
        <v>18</v>
      </c>
      <c r="F3681" s="38">
        <v>8173037.25</v>
      </c>
      <c r="G3681" s="36" t="s">
        <v>8</v>
      </c>
      <c r="H3681" s="36" t="s">
        <v>8</v>
      </c>
      <c r="I3681" s="36" t="s">
        <v>156</v>
      </c>
      <c r="J3681" s="36"/>
    </row>
    <row r="3682" spans="1:10" x14ac:dyDescent="0.25">
      <c r="A3682" s="36">
        <v>1723</v>
      </c>
      <c r="B3682" s="37">
        <v>43678</v>
      </c>
      <c r="C3682" s="36"/>
      <c r="D3682" s="36"/>
      <c r="E3682" s="36" t="s">
        <v>65</v>
      </c>
      <c r="F3682" s="38">
        <v>4514737.5000000009</v>
      </c>
      <c r="G3682" s="36" t="s">
        <v>8</v>
      </c>
      <c r="H3682" s="36" t="s">
        <v>8</v>
      </c>
      <c r="I3682" s="36" t="s">
        <v>156</v>
      </c>
      <c r="J3682" s="36"/>
    </row>
    <row r="3683" spans="1:10" x14ac:dyDescent="0.25">
      <c r="A3683" s="36">
        <v>1723</v>
      </c>
      <c r="B3683" s="37">
        <v>43678</v>
      </c>
      <c r="C3683" s="36"/>
      <c r="D3683" s="36"/>
      <c r="E3683" s="36" t="s">
        <v>23</v>
      </c>
      <c r="F3683" s="38">
        <v>5903887.5000000009</v>
      </c>
      <c r="G3683" s="36" t="s">
        <v>8</v>
      </c>
      <c r="H3683" s="36" t="s">
        <v>8</v>
      </c>
      <c r="I3683" s="36" t="s">
        <v>156</v>
      </c>
      <c r="J3683" s="36"/>
    </row>
    <row r="3684" spans="1:10" x14ac:dyDescent="0.25">
      <c r="A3684" s="36">
        <v>1723</v>
      </c>
      <c r="B3684" s="37">
        <v>43678</v>
      </c>
      <c r="C3684" s="36"/>
      <c r="D3684" s="36"/>
      <c r="E3684" s="36" t="s">
        <v>11</v>
      </c>
      <c r="F3684" s="38">
        <v>2448376.8750000005</v>
      </c>
      <c r="G3684" s="36" t="s">
        <v>8</v>
      </c>
      <c r="H3684" s="36" t="s">
        <v>8</v>
      </c>
      <c r="I3684" s="36" t="s">
        <v>156</v>
      </c>
      <c r="J3684" s="36"/>
    </row>
    <row r="3685" spans="1:10" x14ac:dyDescent="0.25">
      <c r="A3685" s="36">
        <v>1723</v>
      </c>
      <c r="B3685" s="37">
        <v>43678</v>
      </c>
      <c r="C3685" s="36"/>
      <c r="D3685" s="36"/>
      <c r="E3685" s="36" t="s">
        <v>119</v>
      </c>
      <c r="F3685" s="38">
        <v>6221250</v>
      </c>
      <c r="G3685" s="36" t="s">
        <v>8</v>
      </c>
      <c r="H3685" s="36" t="s">
        <v>8</v>
      </c>
      <c r="I3685" s="36" t="s">
        <v>156</v>
      </c>
      <c r="J3685" s="36"/>
    </row>
    <row r="3686" spans="1:10" x14ac:dyDescent="0.25">
      <c r="A3686" s="36">
        <v>1723</v>
      </c>
      <c r="B3686" s="37">
        <v>43709</v>
      </c>
      <c r="C3686" s="36"/>
      <c r="D3686" s="36"/>
      <c r="E3686" s="36" t="s">
        <v>115</v>
      </c>
      <c r="F3686" s="38">
        <v>2604656.2500000005</v>
      </c>
      <c r="G3686" s="36" t="s">
        <v>8</v>
      </c>
      <c r="H3686" s="36" t="s">
        <v>8</v>
      </c>
      <c r="I3686" s="36" t="s">
        <v>156</v>
      </c>
      <c r="J3686" s="36"/>
    </row>
    <row r="3687" spans="1:10" x14ac:dyDescent="0.25">
      <c r="A3687" s="36">
        <v>1723</v>
      </c>
      <c r="B3687" s="37">
        <v>43709</v>
      </c>
      <c r="C3687" s="36"/>
      <c r="D3687" s="36"/>
      <c r="E3687" s="36" t="s">
        <v>7</v>
      </c>
      <c r="F3687" s="38">
        <v>11711424.646482753</v>
      </c>
      <c r="G3687" s="36" t="s">
        <v>8</v>
      </c>
      <c r="H3687" s="36" t="s">
        <v>8</v>
      </c>
      <c r="I3687" s="36" t="s">
        <v>156</v>
      </c>
      <c r="J3687" s="36"/>
    </row>
    <row r="3688" spans="1:10" x14ac:dyDescent="0.25">
      <c r="A3688" s="36">
        <v>1723</v>
      </c>
      <c r="B3688" s="37">
        <v>43709</v>
      </c>
      <c r="C3688" s="36"/>
      <c r="D3688" s="36"/>
      <c r="E3688" s="36" t="s">
        <v>9</v>
      </c>
      <c r="F3688" s="38">
        <v>11269198.072125001</v>
      </c>
      <c r="G3688" s="36" t="s">
        <v>8</v>
      </c>
      <c r="H3688" s="36" t="s">
        <v>8</v>
      </c>
      <c r="I3688" s="36" t="s">
        <v>156</v>
      </c>
      <c r="J3688" s="36"/>
    </row>
    <row r="3689" spans="1:10" x14ac:dyDescent="0.25">
      <c r="A3689" s="36">
        <v>1723</v>
      </c>
      <c r="B3689" s="37">
        <v>43709</v>
      </c>
      <c r="C3689" s="36"/>
      <c r="D3689" s="36"/>
      <c r="E3689" s="36" t="s">
        <v>113</v>
      </c>
      <c r="F3689" s="38">
        <v>10418625.000000002</v>
      </c>
      <c r="G3689" s="36" t="s">
        <v>8</v>
      </c>
      <c r="H3689" s="36" t="s">
        <v>8</v>
      </c>
      <c r="I3689" s="36" t="s">
        <v>156</v>
      </c>
      <c r="J3689" s="36"/>
    </row>
    <row r="3690" spans="1:10" x14ac:dyDescent="0.25">
      <c r="A3690" s="36">
        <v>1723</v>
      </c>
      <c r="B3690" s="37">
        <v>43709</v>
      </c>
      <c r="C3690" s="36"/>
      <c r="D3690" s="36"/>
      <c r="E3690" s="36" t="s">
        <v>85</v>
      </c>
      <c r="F3690" s="38">
        <v>960135.74937000009</v>
      </c>
      <c r="G3690" s="36" t="s">
        <v>8</v>
      </c>
      <c r="H3690" s="36" t="s">
        <v>8</v>
      </c>
      <c r="I3690" s="36" t="s">
        <v>156</v>
      </c>
      <c r="J3690" s="36"/>
    </row>
    <row r="3691" spans="1:10" x14ac:dyDescent="0.25">
      <c r="A3691" s="36">
        <v>1723</v>
      </c>
      <c r="B3691" s="37">
        <v>43709</v>
      </c>
      <c r="C3691" s="36"/>
      <c r="D3691" s="36"/>
      <c r="E3691" s="36" t="s">
        <v>114</v>
      </c>
      <c r="F3691" s="38">
        <v>887666.85000000009</v>
      </c>
      <c r="G3691" s="36" t="s">
        <v>8</v>
      </c>
      <c r="H3691" s="36" t="s">
        <v>8</v>
      </c>
      <c r="I3691" s="36" t="s">
        <v>156</v>
      </c>
      <c r="J3691" s="36"/>
    </row>
    <row r="3692" spans="1:10" x14ac:dyDescent="0.25">
      <c r="A3692" s="36">
        <v>1723</v>
      </c>
      <c r="B3692" s="37">
        <v>43709</v>
      </c>
      <c r="C3692" s="36"/>
      <c r="D3692" s="36"/>
      <c r="E3692" s="36" t="s">
        <v>135</v>
      </c>
      <c r="F3692" s="38">
        <v>48600000</v>
      </c>
      <c r="G3692" s="36" t="s">
        <v>8</v>
      </c>
      <c r="H3692" s="36" t="s">
        <v>8</v>
      </c>
      <c r="I3692" s="36" t="s">
        <v>156</v>
      </c>
      <c r="J3692" s="36"/>
    </row>
    <row r="3693" spans="1:10" x14ac:dyDescent="0.25">
      <c r="A3693" s="36">
        <v>1723</v>
      </c>
      <c r="B3693" s="37">
        <v>43709</v>
      </c>
      <c r="C3693" s="36"/>
      <c r="D3693" s="36"/>
      <c r="E3693" s="36" t="s">
        <v>117</v>
      </c>
      <c r="F3693" s="38">
        <v>3718059.9750000001</v>
      </c>
      <c r="G3693" s="36" t="s">
        <v>8</v>
      </c>
      <c r="H3693" s="36" t="s">
        <v>8</v>
      </c>
      <c r="I3693" s="36" t="s">
        <v>156</v>
      </c>
      <c r="J3693" s="36"/>
    </row>
    <row r="3694" spans="1:10" x14ac:dyDescent="0.25">
      <c r="A3694" s="36">
        <v>1723</v>
      </c>
      <c r="B3694" s="37">
        <v>43709</v>
      </c>
      <c r="C3694" s="36"/>
      <c r="D3694" s="36"/>
      <c r="E3694" s="36" t="s">
        <v>116</v>
      </c>
      <c r="F3694" s="38">
        <v>3718059.9750000001</v>
      </c>
      <c r="G3694" s="36" t="s">
        <v>8</v>
      </c>
      <c r="H3694" s="36" t="s">
        <v>8</v>
      </c>
      <c r="I3694" s="36" t="s">
        <v>156</v>
      </c>
      <c r="J3694" s="36"/>
    </row>
    <row r="3695" spans="1:10" x14ac:dyDescent="0.25">
      <c r="A3695" s="36">
        <v>1723</v>
      </c>
      <c r="B3695" s="37">
        <v>43709</v>
      </c>
      <c r="C3695" s="36"/>
      <c r="D3695" s="36"/>
      <c r="E3695" s="36" t="s">
        <v>27</v>
      </c>
      <c r="F3695" s="38">
        <v>4049372.25</v>
      </c>
      <c r="G3695" s="36" t="s">
        <v>8</v>
      </c>
      <c r="H3695" s="36" t="s">
        <v>8</v>
      </c>
      <c r="I3695" s="36" t="s">
        <v>156</v>
      </c>
      <c r="J3695" s="36"/>
    </row>
    <row r="3696" spans="1:10" x14ac:dyDescent="0.25">
      <c r="A3696" s="36">
        <v>1723</v>
      </c>
      <c r="B3696" s="37">
        <v>43709</v>
      </c>
      <c r="C3696" s="36"/>
      <c r="D3696" s="36"/>
      <c r="E3696" s="36" t="s">
        <v>18</v>
      </c>
      <c r="F3696" s="38">
        <v>8173037.25</v>
      </c>
      <c r="G3696" s="36" t="s">
        <v>8</v>
      </c>
      <c r="H3696" s="36" t="s">
        <v>8</v>
      </c>
      <c r="I3696" s="36" t="s">
        <v>156</v>
      </c>
      <c r="J3696" s="36"/>
    </row>
    <row r="3697" spans="1:10" x14ac:dyDescent="0.25">
      <c r="A3697" s="36">
        <v>1723</v>
      </c>
      <c r="B3697" s="37">
        <v>43709</v>
      </c>
      <c r="C3697" s="36"/>
      <c r="D3697" s="36"/>
      <c r="E3697" s="36" t="s">
        <v>65</v>
      </c>
      <c r="F3697" s="38">
        <v>4514737.5000000009</v>
      </c>
      <c r="G3697" s="36" t="s">
        <v>8</v>
      </c>
      <c r="H3697" s="36" t="s">
        <v>8</v>
      </c>
      <c r="I3697" s="36" t="s">
        <v>156</v>
      </c>
      <c r="J3697" s="36"/>
    </row>
    <row r="3698" spans="1:10" x14ac:dyDescent="0.25">
      <c r="A3698" s="36">
        <v>1723</v>
      </c>
      <c r="B3698" s="37">
        <v>43709</v>
      </c>
      <c r="C3698" s="36"/>
      <c r="D3698" s="36"/>
      <c r="E3698" s="36" t="s">
        <v>23</v>
      </c>
      <c r="F3698" s="38">
        <v>5903887.5000000009</v>
      </c>
      <c r="G3698" s="36" t="s">
        <v>8</v>
      </c>
      <c r="H3698" s="36" t="s">
        <v>8</v>
      </c>
      <c r="I3698" s="36" t="s">
        <v>156</v>
      </c>
      <c r="J3698" s="36"/>
    </row>
    <row r="3699" spans="1:10" x14ac:dyDescent="0.25">
      <c r="A3699" s="36">
        <v>1723</v>
      </c>
      <c r="B3699" s="37">
        <v>43709</v>
      </c>
      <c r="C3699" s="36"/>
      <c r="D3699" s="36"/>
      <c r="E3699" s="36" t="s">
        <v>11</v>
      </c>
      <c r="F3699" s="38">
        <v>2448376.8750000005</v>
      </c>
      <c r="G3699" s="36" t="s">
        <v>8</v>
      </c>
      <c r="H3699" s="36" t="s">
        <v>8</v>
      </c>
      <c r="I3699" s="36" t="s">
        <v>156</v>
      </c>
      <c r="J3699" s="36"/>
    </row>
    <row r="3700" spans="1:10" x14ac:dyDescent="0.25">
      <c r="A3700" s="36">
        <v>1723</v>
      </c>
      <c r="B3700" s="37">
        <v>43709</v>
      </c>
      <c r="C3700" s="36"/>
      <c r="D3700" s="36"/>
      <c r="E3700" s="36" t="s">
        <v>119</v>
      </c>
      <c r="F3700" s="38">
        <v>6221250</v>
      </c>
      <c r="G3700" s="36" t="s">
        <v>8</v>
      </c>
      <c r="H3700" s="36" t="s">
        <v>8</v>
      </c>
      <c r="I3700" s="36" t="s">
        <v>156</v>
      </c>
      <c r="J3700" s="36"/>
    </row>
    <row r="3701" spans="1:10" x14ac:dyDescent="0.25">
      <c r="A3701" s="36">
        <v>1723</v>
      </c>
      <c r="B3701" s="37">
        <v>43739</v>
      </c>
      <c r="C3701" s="36"/>
      <c r="D3701" s="36"/>
      <c r="E3701" s="36" t="s">
        <v>115</v>
      </c>
      <c r="F3701" s="38">
        <v>2604656.2500000005</v>
      </c>
      <c r="G3701" s="36" t="s">
        <v>8</v>
      </c>
      <c r="H3701" s="36" t="s">
        <v>8</v>
      </c>
      <c r="I3701" s="36" t="s">
        <v>156</v>
      </c>
      <c r="J3701" s="36"/>
    </row>
    <row r="3702" spans="1:10" x14ac:dyDescent="0.25">
      <c r="A3702" s="36">
        <v>1723</v>
      </c>
      <c r="B3702" s="37">
        <v>43739</v>
      </c>
      <c r="C3702" s="36"/>
      <c r="D3702" s="36"/>
      <c r="E3702" s="36" t="s">
        <v>7</v>
      </c>
      <c r="F3702" s="38">
        <v>11711424.646482753</v>
      </c>
      <c r="G3702" s="36" t="s">
        <v>8</v>
      </c>
      <c r="H3702" s="36" t="s">
        <v>8</v>
      </c>
      <c r="I3702" s="36" t="s">
        <v>156</v>
      </c>
      <c r="J3702" s="36"/>
    </row>
    <row r="3703" spans="1:10" x14ac:dyDescent="0.25">
      <c r="A3703" s="36">
        <v>1723</v>
      </c>
      <c r="B3703" s="37">
        <v>43739</v>
      </c>
      <c r="C3703" s="36"/>
      <c r="D3703" s="36"/>
      <c r="E3703" s="36" t="s">
        <v>9</v>
      </c>
      <c r="F3703" s="38">
        <v>11269198.072125001</v>
      </c>
      <c r="G3703" s="36" t="s">
        <v>8</v>
      </c>
      <c r="H3703" s="36" t="s">
        <v>8</v>
      </c>
      <c r="I3703" s="36" t="s">
        <v>156</v>
      </c>
      <c r="J3703" s="36"/>
    </row>
    <row r="3704" spans="1:10" x14ac:dyDescent="0.25">
      <c r="A3704" s="36">
        <v>1723</v>
      </c>
      <c r="B3704" s="37">
        <v>43739</v>
      </c>
      <c r="C3704" s="36"/>
      <c r="D3704" s="36"/>
      <c r="E3704" s="36" t="s">
        <v>113</v>
      </c>
      <c r="F3704" s="38">
        <v>10418625.000000002</v>
      </c>
      <c r="G3704" s="36" t="s">
        <v>8</v>
      </c>
      <c r="H3704" s="36" t="s">
        <v>8</v>
      </c>
      <c r="I3704" s="36" t="s">
        <v>156</v>
      </c>
      <c r="J3704" s="36"/>
    </row>
    <row r="3705" spans="1:10" x14ac:dyDescent="0.25">
      <c r="A3705" s="36">
        <v>1723</v>
      </c>
      <c r="B3705" s="37">
        <v>43739</v>
      </c>
      <c r="C3705" s="36"/>
      <c r="D3705" s="36"/>
      <c r="E3705" s="36" t="s">
        <v>85</v>
      </c>
      <c r="F3705" s="38">
        <v>960135.74937000009</v>
      </c>
      <c r="G3705" s="36" t="s">
        <v>8</v>
      </c>
      <c r="H3705" s="36" t="s">
        <v>8</v>
      </c>
      <c r="I3705" s="36" t="s">
        <v>156</v>
      </c>
      <c r="J3705" s="36"/>
    </row>
    <row r="3706" spans="1:10" x14ac:dyDescent="0.25">
      <c r="A3706" s="36">
        <v>1723</v>
      </c>
      <c r="B3706" s="37">
        <v>43739</v>
      </c>
      <c r="C3706" s="36"/>
      <c r="D3706" s="36"/>
      <c r="E3706" s="36" t="s">
        <v>114</v>
      </c>
      <c r="F3706" s="38">
        <v>887666.85000000009</v>
      </c>
      <c r="G3706" s="36" t="s">
        <v>8</v>
      </c>
      <c r="H3706" s="36" t="s">
        <v>8</v>
      </c>
      <c r="I3706" s="36" t="s">
        <v>156</v>
      </c>
      <c r="J3706" s="36"/>
    </row>
    <row r="3707" spans="1:10" x14ac:dyDescent="0.25">
      <c r="A3707" s="36">
        <v>1618</v>
      </c>
      <c r="B3707" s="37">
        <v>43525</v>
      </c>
      <c r="C3707" s="36"/>
      <c r="D3707" s="36"/>
      <c r="E3707" s="36" t="s">
        <v>65</v>
      </c>
      <c r="F3707" s="38">
        <v>2694198.4714365834</v>
      </c>
      <c r="G3707" s="36" t="s">
        <v>136</v>
      </c>
      <c r="H3707" s="36" t="s">
        <v>136</v>
      </c>
      <c r="I3707" s="36"/>
      <c r="J3707" s="36"/>
    </row>
    <row r="3708" spans="1:10" x14ac:dyDescent="0.25">
      <c r="A3708" s="36">
        <v>1618</v>
      </c>
      <c r="B3708" s="37">
        <v>43525</v>
      </c>
      <c r="C3708" s="36"/>
      <c r="D3708" s="36"/>
      <c r="E3708" s="36" t="s">
        <v>9</v>
      </c>
      <c r="F3708" s="38">
        <v>10573456.644736286</v>
      </c>
      <c r="G3708" s="36" t="s">
        <v>136</v>
      </c>
      <c r="H3708" s="36" t="s">
        <v>136</v>
      </c>
      <c r="I3708" s="36"/>
      <c r="J3708" s="36"/>
    </row>
    <row r="3709" spans="1:10" x14ac:dyDescent="0.25">
      <c r="A3709" s="36">
        <v>1618</v>
      </c>
      <c r="B3709" s="37">
        <v>43556</v>
      </c>
      <c r="C3709" s="36"/>
      <c r="D3709" s="36"/>
      <c r="E3709" s="36" t="s">
        <v>65</v>
      </c>
      <c r="F3709" s="38">
        <v>2694198.4714365834</v>
      </c>
      <c r="G3709" s="36" t="s">
        <v>136</v>
      </c>
      <c r="H3709" s="36" t="s">
        <v>136</v>
      </c>
      <c r="I3709" s="36"/>
      <c r="J3709" s="36"/>
    </row>
    <row r="3710" spans="1:10" x14ac:dyDescent="0.25">
      <c r="A3710" s="36">
        <v>1618</v>
      </c>
      <c r="B3710" s="37">
        <v>43556</v>
      </c>
      <c r="C3710" s="36"/>
      <c r="D3710" s="36"/>
      <c r="E3710" s="36" t="s">
        <v>9</v>
      </c>
      <c r="F3710" s="38">
        <v>10573456.644736286</v>
      </c>
      <c r="G3710" s="36" t="s">
        <v>136</v>
      </c>
      <c r="H3710" s="36" t="s">
        <v>136</v>
      </c>
      <c r="I3710" s="36"/>
      <c r="J3710" s="36"/>
    </row>
    <row r="3711" spans="1:10" x14ac:dyDescent="0.25">
      <c r="A3711" s="36">
        <v>1689</v>
      </c>
      <c r="B3711" s="37">
        <v>43800</v>
      </c>
      <c r="C3711" s="36"/>
      <c r="D3711" s="36"/>
      <c r="E3711" s="36" t="s">
        <v>140</v>
      </c>
      <c r="F3711" s="38">
        <v>3533997.5999999996</v>
      </c>
      <c r="G3711" s="36" t="s">
        <v>136</v>
      </c>
      <c r="H3711" s="36" t="s">
        <v>136</v>
      </c>
      <c r="I3711" s="36"/>
      <c r="J3711" s="36"/>
    </row>
    <row r="3712" spans="1:10" x14ac:dyDescent="0.25">
      <c r="A3712" s="36">
        <v>1689</v>
      </c>
      <c r="B3712" s="37">
        <v>43800</v>
      </c>
      <c r="C3712" s="36"/>
      <c r="D3712" s="36"/>
      <c r="E3712" s="36" t="s">
        <v>9</v>
      </c>
      <c r="F3712" s="38">
        <v>9724050.0000000019</v>
      </c>
      <c r="G3712" s="36" t="s">
        <v>136</v>
      </c>
      <c r="H3712" s="36" t="s">
        <v>136</v>
      </c>
      <c r="I3712" s="36"/>
      <c r="J3712" s="36"/>
    </row>
    <row r="3713" spans="1:10" x14ac:dyDescent="0.25">
      <c r="A3713" s="36">
        <v>1715</v>
      </c>
      <c r="B3713" s="37">
        <v>43556</v>
      </c>
      <c r="C3713" s="36"/>
      <c r="D3713" s="36"/>
      <c r="E3713" s="36" t="s">
        <v>131</v>
      </c>
      <c r="F3713" s="38">
        <v>236250</v>
      </c>
      <c r="G3713" s="36" t="s">
        <v>136</v>
      </c>
      <c r="H3713" s="36" t="s">
        <v>136</v>
      </c>
      <c r="I3713" s="36"/>
      <c r="J3713" s="36"/>
    </row>
    <row r="3714" spans="1:10" x14ac:dyDescent="0.25">
      <c r="A3714" s="36">
        <v>1715</v>
      </c>
      <c r="B3714" s="37">
        <v>43556</v>
      </c>
      <c r="C3714" s="36"/>
      <c r="D3714" s="36"/>
      <c r="E3714" s="36" t="s">
        <v>132</v>
      </c>
      <c r="F3714" s="38">
        <v>441000</v>
      </c>
      <c r="G3714" s="36" t="s">
        <v>136</v>
      </c>
      <c r="H3714" s="36" t="s">
        <v>136</v>
      </c>
      <c r="I3714" s="36"/>
      <c r="J3714" s="36"/>
    </row>
    <row r="3715" spans="1:10" x14ac:dyDescent="0.25">
      <c r="A3715" s="36">
        <v>1715</v>
      </c>
      <c r="B3715" s="37">
        <v>43556</v>
      </c>
      <c r="C3715" s="36"/>
      <c r="D3715" s="36"/>
      <c r="E3715" s="36" t="s">
        <v>65</v>
      </c>
      <c r="F3715" s="38">
        <v>1063125</v>
      </c>
      <c r="G3715" s="36" t="s">
        <v>136</v>
      </c>
      <c r="H3715" s="36" t="s">
        <v>136</v>
      </c>
      <c r="I3715" s="36"/>
      <c r="J3715" s="36"/>
    </row>
    <row r="3716" spans="1:10" x14ac:dyDescent="0.25">
      <c r="A3716" s="36">
        <v>1715</v>
      </c>
      <c r="B3716" s="37">
        <v>43556</v>
      </c>
      <c r="C3716" s="36"/>
      <c r="D3716" s="36"/>
      <c r="E3716" s="36" t="s">
        <v>13</v>
      </c>
      <c r="F3716" s="38">
        <v>1181250</v>
      </c>
      <c r="G3716" s="36" t="s">
        <v>136</v>
      </c>
      <c r="H3716" s="36" t="s">
        <v>136</v>
      </c>
      <c r="I3716" s="36"/>
      <c r="J3716" s="36"/>
    </row>
    <row r="3717" spans="1:10" x14ac:dyDescent="0.25">
      <c r="A3717" s="36">
        <v>1715</v>
      </c>
      <c r="B3717" s="37">
        <v>43556</v>
      </c>
      <c r="C3717" s="36"/>
      <c r="D3717" s="36"/>
      <c r="E3717" s="36" t="s">
        <v>23</v>
      </c>
      <c r="F3717" s="38">
        <v>4095000</v>
      </c>
      <c r="G3717" s="36" t="s">
        <v>136</v>
      </c>
      <c r="H3717" s="36" t="s">
        <v>136</v>
      </c>
      <c r="I3717" s="36"/>
      <c r="J3717" s="36"/>
    </row>
    <row r="3718" spans="1:10" x14ac:dyDescent="0.25">
      <c r="A3718" s="36">
        <v>1715</v>
      </c>
      <c r="B3718" s="37">
        <v>43556</v>
      </c>
      <c r="C3718" s="36"/>
      <c r="D3718" s="36"/>
      <c r="E3718" s="36" t="s">
        <v>9</v>
      </c>
      <c r="F3718" s="38">
        <v>9450000</v>
      </c>
      <c r="G3718" s="36" t="s">
        <v>136</v>
      </c>
      <c r="H3718" s="36" t="s">
        <v>136</v>
      </c>
      <c r="I3718" s="36"/>
      <c r="J3718" s="36"/>
    </row>
    <row r="3719" spans="1:10" x14ac:dyDescent="0.25">
      <c r="A3719" s="36">
        <v>1715</v>
      </c>
      <c r="B3719" s="37">
        <v>43556</v>
      </c>
      <c r="C3719" s="36"/>
      <c r="D3719" s="36"/>
      <c r="E3719" s="36" t="s">
        <v>7</v>
      </c>
      <c r="F3719" s="38">
        <v>9976365</v>
      </c>
      <c r="G3719" s="36" t="s">
        <v>136</v>
      </c>
      <c r="H3719" s="36" t="s">
        <v>136</v>
      </c>
      <c r="I3719" s="36"/>
      <c r="J3719" s="36"/>
    </row>
    <row r="3720" spans="1:10" x14ac:dyDescent="0.25">
      <c r="A3720" s="36">
        <v>1715</v>
      </c>
      <c r="B3720" s="37">
        <v>43556</v>
      </c>
      <c r="C3720" s="36"/>
      <c r="D3720" s="36"/>
      <c r="E3720" s="36" t="s">
        <v>135</v>
      </c>
      <c r="F3720" s="38">
        <v>29406606.749999996</v>
      </c>
      <c r="G3720" s="36" t="s">
        <v>136</v>
      </c>
      <c r="H3720" s="36" t="s">
        <v>136</v>
      </c>
      <c r="I3720" s="36"/>
      <c r="J3720" s="36"/>
    </row>
    <row r="3721" spans="1:10" x14ac:dyDescent="0.25">
      <c r="A3721" s="36">
        <v>1751</v>
      </c>
      <c r="B3721" s="37">
        <v>43525</v>
      </c>
      <c r="C3721" s="36"/>
      <c r="D3721" s="36"/>
      <c r="E3721" s="36" t="s">
        <v>135</v>
      </c>
      <c r="F3721" s="38">
        <v>15500000</v>
      </c>
      <c r="G3721" s="36" t="s">
        <v>136</v>
      </c>
      <c r="H3721" s="36" t="s">
        <v>136</v>
      </c>
      <c r="I3721" s="36"/>
      <c r="J3721" s="36"/>
    </row>
    <row r="3722" spans="1:10" x14ac:dyDescent="0.25">
      <c r="A3722" s="36">
        <v>1751</v>
      </c>
      <c r="B3722" s="37">
        <v>43556</v>
      </c>
      <c r="C3722" s="36"/>
      <c r="D3722" s="36"/>
      <c r="E3722" s="36" t="s">
        <v>135</v>
      </c>
      <c r="F3722" s="38">
        <v>15500000</v>
      </c>
      <c r="G3722" s="36" t="s">
        <v>136</v>
      </c>
      <c r="H3722" s="36" t="s">
        <v>136</v>
      </c>
      <c r="I3722" s="36"/>
      <c r="J3722" s="36"/>
    </row>
    <row r="3723" spans="1:10" x14ac:dyDescent="0.25">
      <c r="A3723" s="36">
        <v>1751</v>
      </c>
      <c r="B3723" s="37">
        <v>43586</v>
      </c>
      <c r="C3723" s="36"/>
      <c r="D3723" s="36"/>
      <c r="E3723" s="36" t="s">
        <v>135</v>
      </c>
      <c r="F3723" s="38">
        <v>15500000</v>
      </c>
      <c r="G3723" s="36" t="s">
        <v>136</v>
      </c>
      <c r="H3723" s="36" t="s">
        <v>136</v>
      </c>
      <c r="I3723" s="36"/>
      <c r="J3723" s="36"/>
    </row>
    <row r="3724" spans="1:10" x14ac:dyDescent="0.25">
      <c r="A3724" s="36">
        <v>1756</v>
      </c>
      <c r="B3724" s="37">
        <v>43617</v>
      </c>
      <c r="C3724" s="36"/>
      <c r="D3724" s="36"/>
      <c r="E3724" s="36" t="s">
        <v>135</v>
      </c>
      <c r="F3724" s="38">
        <v>62778573</v>
      </c>
      <c r="G3724" s="36" t="s">
        <v>136</v>
      </c>
      <c r="H3724" s="36" t="s">
        <v>136</v>
      </c>
      <c r="I3724" s="36"/>
      <c r="J3724" s="36"/>
    </row>
    <row r="3725" spans="1:10" x14ac:dyDescent="0.25">
      <c r="A3725" s="36">
        <v>1756</v>
      </c>
      <c r="B3725" s="37">
        <v>43647</v>
      </c>
      <c r="C3725" s="36"/>
      <c r="D3725" s="36"/>
      <c r="E3725" s="36" t="s">
        <v>135</v>
      </c>
      <c r="F3725" s="38">
        <v>62778573</v>
      </c>
      <c r="G3725" s="36" t="s">
        <v>136</v>
      </c>
      <c r="H3725" s="36" t="s">
        <v>136</v>
      </c>
      <c r="I3725" s="36"/>
      <c r="J3725" s="36"/>
    </row>
    <row r="3726" spans="1:10" x14ac:dyDescent="0.25">
      <c r="A3726" s="36">
        <v>1756</v>
      </c>
      <c r="B3726" s="37">
        <v>43678</v>
      </c>
      <c r="C3726" s="36"/>
      <c r="D3726" s="36"/>
      <c r="E3726" s="36" t="s">
        <v>135</v>
      </c>
      <c r="F3726" s="38">
        <v>62778573</v>
      </c>
      <c r="G3726" s="36" t="s">
        <v>136</v>
      </c>
      <c r="H3726" s="36" t="s">
        <v>136</v>
      </c>
      <c r="I3726" s="36"/>
      <c r="J3726" s="36"/>
    </row>
    <row r="3727" spans="1:10" x14ac:dyDescent="0.25">
      <c r="A3727" s="36">
        <v>1756</v>
      </c>
      <c r="B3727" s="37">
        <v>43709</v>
      </c>
      <c r="C3727" s="36"/>
      <c r="D3727" s="36"/>
      <c r="E3727" s="36" t="s">
        <v>135</v>
      </c>
      <c r="F3727" s="38">
        <v>62778573</v>
      </c>
      <c r="G3727" s="36" t="s">
        <v>136</v>
      </c>
      <c r="H3727" s="36" t="s">
        <v>136</v>
      </c>
      <c r="I3727" s="36"/>
      <c r="J3727" s="36"/>
    </row>
    <row r="3728" spans="1:10" x14ac:dyDescent="0.25">
      <c r="A3728" s="36">
        <v>1804</v>
      </c>
      <c r="B3728" s="37">
        <v>43497</v>
      </c>
      <c r="C3728" s="36"/>
      <c r="D3728" s="36"/>
      <c r="E3728" s="36" t="s">
        <v>135</v>
      </c>
      <c r="F3728" s="38">
        <v>29813870</v>
      </c>
      <c r="G3728" s="36" t="s">
        <v>136</v>
      </c>
      <c r="H3728" s="36" t="s">
        <v>136</v>
      </c>
      <c r="I3728" s="36"/>
      <c r="J3728" s="36"/>
    </row>
    <row r="3729" spans="1:10" x14ac:dyDescent="0.25">
      <c r="A3729" s="36">
        <v>1804</v>
      </c>
      <c r="B3729" s="37">
        <v>43525</v>
      </c>
      <c r="C3729" s="36"/>
      <c r="D3729" s="36"/>
      <c r="E3729" s="36" t="s">
        <v>135</v>
      </c>
      <c r="F3729" s="38">
        <v>29813870</v>
      </c>
      <c r="G3729" s="36" t="s">
        <v>136</v>
      </c>
      <c r="H3729" s="36" t="s">
        <v>136</v>
      </c>
      <c r="I3729" s="36"/>
      <c r="J3729" s="36"/>
    </row>
    <row r="3730" spans="1:10" x14ac:dyDescent="0.25">
      <c r="A3730" s="36">
        <v>1813</v>
      </c>
      <c r="B3730" s="37">
        <v>43586</v>
      </c>
      <c r="C3730" s="36"/>
      <c r="D3730" s="36"/>
      <c r="E3730" s="36" t="s">
        <v>135</v>
      </c>
      <c r="F3730" s="38">
        <v>126579869.80723679</v>
      </c>
      <c r="G3730" s="36" t="s">
        <v>136</v>
      </c>
      <c r="H3730" s="36" t="s">
        <v>136</v>
      </c>
      <c r="I3730" s="36"/>
      <c r="J3730" s="36"/>
    </row>
    <row r="3731" spans="1:10" x14ac:dyDescent="0.25">
      <c r="A3731" s="36">
        <v>1700</v>
      </c>
      <c r="B3731" s="37">
        <v>43617</v>
      </c>
      <c r="C3731" s="36"/>
      <c r="D3731" s="36"/>
      <c r="E3731" s="36" t="s">
        <v>157</v>
      </c>
      <c r="F3731" s="38">
        <v>69749389</v>
      </c>
      <c r="G3731" s="36" t="s">
        <v>158</v>
      </c>
      <c r="H3731" s="36" t="s">
        <v>159</v>
      </c>
      <c r="I3731" s="36" t="s">
        <v>160</v>
      </c>
      <c r="J3731" s="36"/>
    </row>
    <row r="3732" spans="1:10" x14ac:dyDescent="0.25">
      <c r="A3732" s="36">
        <v>1700</v>
      </c>
      <c r="B3732" s="37">
        <v>43556</v>
      </c>
      <c r="C3732" s="36"/>
      <c r="D3732" s="36"/>
      <c r="E3732" s="36" t="s">
        <v>157</v>
      </c>
      <c r="F3732" s="38">
        <v>38577410</v>
      </c>
      <c r="G3732" s="36" t="s">
        <v>158</v>
      </c>
      <c r="H3732" s="36" t="s">
        <v>159</v>
      </c>
      <c r="I3732" s="36" t="s">
        <v>160</v>
      </c>
      <c r="J3732" s="36"/>
    </row>
    <row r="3733" spans="1:10" x14ac:dyDescent="0.25">
      <c r="A3733" s="36">
        <v>1700</v>
      </c>
      <c r="B3733" s="37">
        <v>43586</v>
      </c>
      <c r="C3733" s="36"/>
      <c r="D3733" s="36"/>
      <c r="E3733" s="36" t="s">
        <v>157</v>
      </c>
      <c r="F3733" s="38">
        <v>50563879</v>
      </c>
      <c r="G3733" s="36" t="s">
        <v>158</v>
      </c>
      <c r="H3733" s="36" t="s">
        <v>159</v>
      </c>
      <c r="I3733" s="36" t="s">
        <v>160</v>
      </c>
      <c r="J3733" s="36"/>
    </row>
    <row r="3734" spans="1:10" x14ac:dyDescent="0.25">
      <c r="A3734" s="36">
        <v>1700</v>
      </c>
      <c r="B3734" s="37">
        <v>43617</v>
      </c>
      <c r="C3734" s="36"/>
      <c r="D3734" s="36"/>
      <c r="E3734" s="36" t="s">
        <v>157</v>
      </c>
      <c r="F3734" s="38">
        <v>36061686</v>
      </c>
      <c r="G3734" s="36" t="s">
        <v>158</v>
      </c>
      <c r="H3734" s="36" t="s">
        <v>159</v>
      </c>
      <c r="I3734" s="36" t="s">
        <v>160</v>
      </c>
      <c r="J3734" s="36"/>
    </row>
    <row r="3735" spans="1:10" x14ac:dyDescent="0.25">
      <c r="A3735" s="36">
        <v>1700</v>
      </c>
      <c r="B3735" s="37">
        <v>43556</v>
      </c>
      <c r="C3735" s="36"/>
      <c r="D3735" s="36"/>
      <c r="E3735" s="36" t="s">
        <v>157</v>
      </c>
      <c r="F3735" s="38">
        <v>75354095</v>
      </c>
      <c r="G3735" s="36" t="s">
        <v>158</v>
      </c>
      <c r="H3735" s="36" t="s">
        <v>159</v>
      </c>
      <c r="I3735" s="36" t="s">
        <v>160</v>
      </c>
      <c r="J3735" s="36"/>
    </row>
    <row r="3736" spans="1:10" x14ac:dyDescent="0.25">
      <c r="A3736" s="36">
        <v>1700</v>
      </c>
      <c r="B3736" s="37">
        <v>43586</v>
      </c>
      <c r="C3736" s="36"/>
      <c r="D3736" s="36"/>
      <c r="E3736" s="36" t="s">
        <v>157</v>
      </c>
      <c r="F3736" s="38">
        <v>207659962</v>
      </c>
      <c r="G3736" s="36" t="s">
        <v>158</v>
      </c>
      <c r="H3736" s="36" t="s">
        <v>159</v>
      </c>
      <c r="I3736" s="36" t="s">
        <v>160</v>
      </c>
      <c r="J3736" s="36"/>
    </row>
    <row r="3737" spans="1:10" x14ac:dyDescent="0.25">
      <c r="A3737" s="36">
        <v>1700</v>
      </c>
      <c r="B3737" s="37">
        <v>43586</v>
      </c>
      <c r="C3737" s="36"/>
      <c r="D3737" s="36"/>
      <c r="E3737" s="36" t="s">
        <v>157</v>
      </c>
      <c r="F3737" s="38">
        <v>69053436</v>
      </c>
      <c r="G3737" s="36" t="s">
        <v>158</v>
      </c>
      <c r="H3737" s="36" t="s">
        <v>159</v>
      </c>
      <c r="I3737" s="36" t="s">
        <v>160</v>
      </c>
      <c r="J3737" s="36"/>
    </row>
    <row r="3738" spans="1:10" x14ac:dyDescent="0.25">
      <c r="A3738" s="36">
        <v>1700</v>
      </c>
      <c r="B3738" s="37">
        <v>43586</v>
      </c>
      <c r="C3738" s="36"/>
      <c r="D3738" s="36"/>
      <c r="E3738" s="36" t="s">
        <v>157</v>
      </c>
      <c r="F3738" s="38">
        <v>64848173</v>
      </c>
      <c r="G3738" s="36" t="s">
        <v>158</v>
      </c>
      <c r="H3738" s="36" t="s">
        <v>159</v>
      </c>
      <c r="I3738" s="36" t="s">
        <v>160</v>
      </c>
      <c r="J3738" s="36"/>
    </row>
    <row r="3739" spans="1:10" x14ac:dyDescent="0.25">
      <c r="A3739" s="36">
        <v>1700</v>
      </c>
      <c r="B3739" s="37">
        <v>43586</v>
      </c>
      <c r="C3739" s="36"/>
      <c r="D3739" s="36"/>
      <c r="E3739" s="36" t="s">
        <v>157</v>
      </c>
      <c r="F3739" s="38">
        <v>206729818.78999996</v>
      </c>
      <c r="G3739" s="36" t="s">
        <v>158</v>
      </c>
      <c r="H3739" s="36" t="s">
        <v>159</v>
      </c>
      <c r="I3739" s="36" t="s">
        <v>160</v>
      </c>
      <c r="J3739" s="36"/>
    </row>
    <row r="3740" spans="1:10" x14ac:dyDescent="0.25">
      <c r="A3740" s="36">
        <v>1700</v>
      </c>
      <c r="B3740" s="37">
        <v>43617</v>
      </c>
      <c r="C3740" s="36"/>
      <c r="D3740" s="36"/>
      <c r="E3740" s="36" t="s">
        <v>157</v>
      </c>
      <c r="F3740" s="38">
        <v>55622612</v>
      </c>
      <c r="G3740" s="36" t="s">
        <v>158</v>
      </c>
      <c r="H3740" s="36" t="s">
        <v>159</v>
      </c>
      <c r="I3740" s="36" t="s">
        <v>160</v>
      </c>
      <c r="J3740" s="36"/>
    </row>
    <row r="3741" spans="1:10" x14ac:dyDescent="0.25">
      <c r="A3741" s="36">
        <v>1700</v>
      </c>
      <c r="B3741" s="37">
        <v>43586</v>
      </c>
      <c r="C3741" s="36"/>
      <c r="D3741" s="36"/>
      <c r="E3741" s="36" t="s">
        <v>157</v>
      </c>
      <c r="F3741" s="38">
        <v>37647404</v>
      </c>
      <c r="G3741" s="36" t="s">
        <v>158</v>
      </c>
      <c r="H3741" s="36" t="s">
        <v>159</v>
      </c>
      <c r="I3741" s="36" t="s">
        <v>160</v>
      </c>
      <c r="J3741" s="36"/>
    </row>
    <row r="3742" spans="1:10" x14ac:dyDescent="0.25">
      <c r="A3742" s="36">
        <v>1700</v>
      </c>
      <c r="B3742" s="37">
        <v>43586</v>
      </c>
      <c r="C3742" s="36"/>
      <c r="D3742" s="36"/>
      <c r="E3742" s="36" t="s">
        <v>157</v>
      </c>
      <c r="F3742" s="38">
        <v>250132471</v>
      </c>
      <c r="G3742" s="36" t="s">
        <v>158</v>
      </c>
      <c r="H3742" s="36" t="s">
        <v>159</v>
      </c>
      <c r="I3742" s="36" t="s">
        <v>160</v>
      </c>
      <c r="J3742" s="36"/>
    </row>
    <row r="3743" spans="1:10" x14ac:dyDescent="0.25">
      <c r="A3743" s="36">
        <v>1706</v>
      </c>
      <c r="B3743" s="37">
        <v>43617</v>
      </c>
      <c r="C3743" s="36" t="s">
        <v>212</v>
      </c>
      <c r="D3743" s="36"/>
      <c r="E3743" s="36" t="s">
        <v>157</v>
      </c>
      <c r="F3743" s="38">
        <v>100412415.69184017</v>
      </c>
      <c r="G3743" s="36" t="s">
        <v>172</v>
      </c>
      <c r="H3743" s="36" t="s">
        <v>173</v>
      </c>
      <c r="I3743" s="36"/>
      <c r="J3743" s="36"/>
    </row>
    <row r="3744" spans="1:10" x14ac:dyDescent="0.25">
      <c r="A3744" s="36">
        <v>1706</v>
      </c>
      <c r="B3744" s="37">
        <v>43647</v>
      </c>
      <c r="C3744" s="36" t="s">
        <v>212</v>
      </c>
      <c r="D3744" s="36"/>
      <c r="E3744" s="36" t="s">
        <v>157</v>
      </c>
      <c r="F3744" s="38">
        <v>80851657.317760006</v>
      </c>
      <c r="G3744" s="36" t="s">
        <v>172</v>
      </c>
      <c r="H3744" s="36" t="s">
        <v>173</v>
      </c>
      <c r="I3744" s="36"/>
      <c r="J3744" s="36"/>
    </row>
    <row r="3745" spans="1:10" x14ac:dyDescent="0.25">
      <c r="A3745" s="36">
        <v>1706</v>
      </c>
      <c r="B3745" s="37">
        <v>43678</v>
      </c>
      <c r="C3745" s="36" t="s">
        <v>212</v>
      </c>
      <c r="D3745" s="36"/>
      <c r="E3745" s="36" t="s">
        <v>157</v>
      </c>
      <c r="F3745" s="38">
        <v>90607045.108879998</v>
      </c>
      <c r="G3745" s="36" t="s">
        <v>172</v>
      </c>
      <c r="H3745" s="36" t="s">
        <v>173</v>
      </c>
      <c r="I3745" s="36"/>
      <c r="J3745" s="36"/>
    </row>
    <row r="3746" spans="1:10" x14ac:dyDescent="0.25">
      <c r="A3746" s="36">
        <v>1706</v>
      </c>
      <c r="B3746" s="37">
        <v>43709</v>
      </c>
      <c r="C3746" s="36" t="s">
        <v>212</v>
      </c>
      <c r="D3746" s="36"/>
      <c r="E3746" s="36" t="s">
        <v>157</v>
      </c>
      <c r="F3746" s="38">
        <v>32269325.98776</v>
      </c>
      <c r="G3746" s="36" t="s">
        <v>172</v>
      </c>
      <c r="H3746" s="36" t="s">
        <v>173</v>
      </c>
      <c r="I3746" s="36"/>
      <c r="J3746" s="36"/>
    </row>
    <row r="3747" spans="1:10" x14ac:dyDescent="0.25">
      <c r="A3747" s="36">
        <v>1706</v>
      </c>
      <c r="B3747" s="37">
        <v>43739</v>
      </c>
      <c r="C3747" s="36" t="s">
        <v>212</v>
      </c>
      <c r="D3747" s="36"/>
      <c r="E3747" s="36" t="s">
        <v>157</v>
      </c>
      <c r="F3747" s="38">
        <v>96569065.448880002</v>
      </c>
      <c r="G3747" s="36" t="s">
        <v>172</v>
      </c>
      <c r="H3747" s="36" t="s">
        <v>173</v>
      </c>
      <c r="I3747" s="36"/>
      <c r="J3747" s="36"/>
    </row>
    <row r="3748" spans="1:10" x14ac:dyDescent="0.25">
      <c r="A3748" s="36">
        <v>1706</v>
      </c>
      <c r="B3748" s="37">
        <v>43770</v>
      </c>
      <c r="C3748" s="36" t="s">
        <v>212</v>
      </c>
      <c r="D3748" s="36"/>
      <c r="E3748" s="36" t="s">
        <v>157</v>
      </c>
      <c r="F3748" s="38">
        <v>30889039.550000001</v>
      </c>
      <c r="G3748" s="36" t="s">
        <v>172</v>
      </c>
      <c r="H3748" s="36" t="s">
        <v>173</v>
      </c>
      <c r="I3748" s="36"/>
      <c r="J3748" s="36"/>
    </row>
    <row r="3749" spans="1:10" x14ac:dyDescent="0.25">
      <c r="A3749" s="36">
        <v>1706</v>
      </c>
      <c r="B3749" s="37">
        <v>43800</v>
      </c>
      <c r="C3749" s="36" t="s">
        <v>212</v>
      </c>
      <c r="D3749" s="36"/>
      <c r="E3749" s="36" t="s">
        <v>157</v>
      </c>
      <c r="F3749" s="38">
        <v>31992375.489440002</v>
      </c>
      <c r="G3749" s="36" t="s">
        <v>172</v>
      </c>
      <c r="H3749" s="36" t="s">
        <v>173</v>
      </c>
      <c r="I3749" s="36"/>
      <c r="J3749" s="36"/>
    </row>
    <row r="3750" spans="1:10" x14ac:dyDescent="0.25">
      <c r="A3750" s="36">
        <v>1706</v>
      </c>
      <c r="B3750" s="37">
        <v>43617</v>
      </c>
      <c r="C3750" s="36" t="s">
        <v>212</v>
      </c>
      <c r="D3750" s="36"/>
      <c r="E3750" s="36" t="s">
        <v>157</v>
      </c>
      <c r="F3750" s="38">
        <v>23112411.520000033</v>
      </c>
      <c r="G3750" s="36" t="s">
        <v>172</v>
      </c>
      <c r="H3750" s="36" t="s">
        <v>174</v>
      </c>
      <c r="I3750" s="36"/>
      <c r="J3750" s="36"/>
    </row>
    <row r="3751" spans="1:10" x14ac:dyDescent="0.25">
      <c r="A3751" s="36">
        <v>1706</v>
      </c>
      <c r="B3751" s="37">
        <v>43647</v>
      </c>
      <c r="C3751" s="36" t="s">
        <v>212</v>
      </c>
      <c r="D3751" s="36"/>
      <c r="E3751" s="36" t="s">
        <v>157</v>
      </c>
      <c r="F3751" s="38">
        <v>8029539.8339200029</v>
      </c>
      <c r="G3751" s="36" t="s">
        <v>172</v>
      </c>
      <c r="H3751" s="36" t="s">
        <v>174</v>
      </c>
      <c r="I3751" s="36"/>
      <c r="J3751" s="36"/>
    </row>
    <row r="3752" spans="1:10" x14ac:dyDescent="0.25">
      <c r="A3752" s="36">
        <v>1706</v>
      </c>
      <c r="B3752" s="37">
        <v>43678</v>
      </c>
      <c r="C3752" s="36" t="s">
        <v>212</v>
      </c>
      <c r="D3752" s="36"/>
      <c r="E3752" s="36" t="s">
        <v>157</v>
      </c>
      <c r="F3752" s="38">
        <v>73411687.785920009</v>
      </c>
      <c r="G3752" s="36" t="s">
        <v>172</v>
      </c>
      <c r="H3752" s="36" t="s">
        <v>174</v>
      </c>
      <c r="I3752" s="36"/>
      <c r="J3752" s="36"/>
    </row>
    <row r="3753" spans="1:10" x14ac:dyDescent="0.25">
      <c r="A3753" s="36">
        <v>1706</v>
      </c>
      <c r="B3753" s="37">
        <v>43709</v>
      </c>
      <c r="C3753" s="36" t="s">
        <v>212</v>
      </c>
      <c r="D3753" s="36"/>
      <c r="E3753" s="36" t="s">
        <v>157</v>
      </c>
      <c r="F3753" s="38">
        <v>55864216.662319943</v>
      </c>
      <c r="G3753" s="36" t="s">
        <v>172</v>
      </c>
      <c r="H3753" s="36" t="s">
        <v>174</v>
      </c>
      <c r="I3753" s="36"/>
      <c r="J3753" s="36"/>
    </row>
    <row r="3754" spans="1:10" x14ac:dyDescent="0.25">
      <c r="A3754" s="36">
        <v>1706</v>
      </c>
      <c r="B3754" s="37">
        <v>43739</v>
      </c>
      <c r="C3754" s="36" t="s">
        <v>212</v>
      </c>
      <c r="D3754" s="36"/>
      <c r="E3754" s="36" t="s">
        <v>157</v>
      </c>
      <c r="F3754" s="38">
        <v>55777243.928560019</v>
      </c>
      <c r="G3754" s="36" t="s">
        <v>172</v>
      </c>
      <c r="H3754" s="36" t="s">
        <v>174</v>
      </c>
      <c r="I3754" s="36"/>
      <c r="J3754" s="36"/>
    </row>
    <row r="3755" spans="1:10" x14ac:dyDescent="0.25">
      <c r="A3755" s="36">
        <v>1706</v>
      </c>
      <c r="B3755" s="37">
        <v>43770</v>
      </c>
      <c r="C3755" s="36" t="s">
        <v>212</v>
      </c>
      <c r="D3755" s="36"/>
      <c r="E3755" s="36" t="s">
        <v>157</v>
      </c>
      <c r="F3755" s="38">
        <v>68993499.74440001</v>
      </c>
      <c r="G3755" s="36" t="s">
        <v>172</v>
      </c>
      <c r="H3755" s="36" t="s">
        <v>174</v>
      </c>
      <c r="I3755" s="36"/>
      <c r="J3755" s="36"/>
    </row>
    <row r="3756" spans="1:10" x14ac:dyDescent="0.25">
      <c r="A3756" s="36">
        <v>1706</v>
      </c>
      <c r="B3756" s="37">
        <v>43800</v>
      </c>
      <c r="C3756" s="36" t="s">
        <v>212</v>
      </c>
      <c r="D3756" s="36"/>
      <c r="E3756" s="36" t="s">
        <v>157</v>
      </c>
      <c r="F3756" s="38">
        <v>57631282.712079979</v>
      </c>
      <c r="G3756" s="36" t="s">
        <v>172</v>
      </c>
      <c r="H3756" s="36" t="s">
        <v>174</v>
      </c>
      <c r="I3756" s="36"/>
      <c r="J3756" s="36"/>
    </row>
    <row r="3757" spans="1:10" x14ac:dyDescent="0.25">
      <c r="A3757" s="36">
        <v>1706</v>
      </c>
      <c r="B3757" s="37">
        <v>43617</v>
      </c>
      <c r="C3757" s="36" t="s">
        <v>212</v>
      </c>
      <c r="D3757" s="36"/>
      <c r="E3757" s="36" t="s">
        <v>157</v>
      </c>
      <c r="F3757" s="38">
        <v>447823570.12719947</v>
      </c>
      <c r="G3757" s="36" t="s">
        <v>172</v>
      </c>
      <c r="H3757" s="36" t="s">
        <v>175</v>
      </c>
      <c r="I3757" s="36"/>
      <c r="J3757" s="36"/>
    </row>
    <row r="3758" spans="1:10" x14ac:dyDescent="0.25">
      <c r="A3758" s="36">
        <v>1706</v>
      </c>
      <c r="B3758" s="37">
        <v>43647</v>
      </c>
      <c r="C3758" s="36" t="s">
        <v>212</v>
      </c>
      <c r="D3758" s="36"/>
      <c r="E3758" s="36" t="s">
        <v>157</v>
      </c>
      <c r="F3758" s="38">
        <v>76256819.746079922</v>
      </c>
      <c r="G3758" s="36" t="s">
        <v>172</v>
      </c>
      <c r="H3758" s="36" t="s">
        <v>175</v>
      </c>
      <c r="I3758" s="36"/>
      <c r="J3758" s="36"/>
    </row>
    <row r="3759" spans="1:10" x14ac:dyDescent="0.25">
      <c r="A3759" s="36">
        <v>1706</v>
      </c>
      <c r="B3759" s="37">
        <v>43678</v>
      </c>
      <c r="C3759" s="36" t="s">
        <v>212</v>
      </c>
      <c r="D3759" s="36"/>
      <c r="E3759" s="36" t="s">
        <v>157</v>
      </c>
      <c r="F3759" s="38">
        <v>29703160.83248001</v>
      </c>
      <c r="G3759" s="36" t="s">
        <v>172</v>
      </c>
      <c r="H3759" s="36" t="s">
        <v>175</v>
      </c>
      <c r="I3759" s="36"/>
      <c r="J3759" s="36"/>
    </row>
    <row r="3760" spans="1:10" x14ac:dyDescent="0.25">
      <c r="A3760" s="36">
        <v>1706</v>
      </c>
      <c r="B3760" s="37">
        <v>43709</v>
      </c>
      <c r="C3760" s="36" t="s">
        <v>212</v>
      </c>
      <c r="D3760" s="36"/>
      <c r="E3760" s="36" t="s">
        <v>157</v>
      </c>
      <c r="F3760" s="38">
        <v>114226570.25263992</v>
      </c>
      <c r="G3760" s="36" t="s">
        <v>172</v>
      </c>
      <c r="H3760" s="36" t="s">
        <v>175</v>
      </c>
      <c r="I3760" s="36"/>
      <c r="J3760" s="36"/>
    </row>
    <row r="3761" spans="1:10" x14ac:dyDescent="0.25">
      <c r="A3761" s="36">
        <v>1706</v>
      </c>
      <c r="B3761" s="37">
        <v>43739</v>
      </c>
      <c r="C3761" s="36" t="s">
        <v>212</v>
      </c>
      <c r="D3761" s="36"/>
      <c r="E3761" s="36" t="s">
        <v>157</v>
      </c>
      <c r="F3761" s="38">
        <v>53879978.335039929</v>
      </c>
      <c r="G3761" s="36" t="s">
        <v>172</v>
      </c>
      <c r="H3761" s="36" t="s">
        <v>175</v>
      </c>
      <c r="I3761" s="36"/>
      <c r="J3761" s="36"/>
    </row>
    <row r="3762" spans="1:10" x14ac:dyDescent="0.25">
      <c r="A3762" s="36">
        <v>1706</v>
      </c>
      <c r="B3762" s="37">
        <v>43770</v>
      </c>
      <c r="C3762" s="36" t="s">
        <v>212</v>
      </c>
      <c r="D3762" s="36"/>
      <c r="E3762" s="36" t="s">
        <v>157</v>
      </c>
      <c r="F3762" s="38">
        <v>85239627.54719995</v>
      </c>
      <c r="G3762" s="36" t="s">
        <v>172</v>
      </c>
      <c r="H3762" s="36" t="s">
        <v>175</v>
      </c>
      <c r="I3762" s="36"/>
      <c r="J3762" s="36"/>
    </row>
    <row r="3763" spans="1:10" x14ac:dyDescent="0.25">
      <c r="A3763" s="36">
        <v>1706</v>
      </c>
      <c r="B3763" s="37">
        <v>43800</v>
      </c>
      <c r="C3763" s="36" t="s">
        <v>212</v>
      </c>
      <c r="D3763" s="36"/>
      <c r="E3763" s="36" t="s">
        <v>157</v>
      </c>
      <c r="F3763" s="38">
        <v>110595086.29968001</v>
      </c>
      <c r="G3763" s="36" t="s">
        <v>172</v>
      </c>
      <c r="H3763" s="36" t="s">
        <v>175</v>
      </c>
      <c r="I3763" s="36"/>
      <c r="J3763" s="36"/>
    </row>
    <row r="3764" spans="1:10" x14ac:dyDescent="0.25">
      <c r="A3764" s="36">
        <v>1706</v>
      </c>
      <c r="B3764" s="37">
        <v>43617</v>
      </c>
      <c r="C3764" s="36" t="s">
        <v>212</v>
      </c>
      <c r="D3764" s="36"/>
      <c r="E3764" s="36" t="s">
        <v>157</v>
      </c>
      <c r="F3764" s="38">
        <v>0</v>
      </c>
      <c r="G3764" s="36" t="s">
        <v>172</v>
      </c>
      <c r="H3764" s="36" t="s">
        <v>176</v>
      </c>
      <c r="I3764" s="36"/>
      <c r="J3764" s="36"/>
    </row>
    <row r="3765" spans="1:10" x14ac:dyDescent="0.25">
      <c r="A3765" s="36">
        <v>1706</v>
      </c>
      <c r="B3765" s="37">
        <v>43647</v>
      </c>
      <c r="C3765" s="36" t="s">
        <v>212</v>
      </c>
      <c r="D3765" s="36"/>
      <c r="E3765" s="36" t="s">
        <v>157</v>
      </c>
      <c r="F3765" s="38">
        <v>3962699.4240000038</v>
      </c>
      <c r="G3765" s="36" t="s">
        <v>172</v>
      </c>
      <c r="H3765" s="36" t="s">
        <v>176</v>
      </c>
      <c r="I3765" s="36"/>
      <c r="J3765" s="36"/>
    </row>
    <row r="3766" spans="1:10" x14ac:dyDescent="0.25">
      <c r="A3766" s="36">
        <v>1706</v>
      </c>
      <c r="B3766" s="37">
        <v>43678</v>
      </c>
      <c r="C3766" s="36" t="s">
        <v>212</v>
      </c>
      <c r="D3766" s="36"/>
      <c r="E3766" s="36" t="s">
        <v>157</v>
      </c>
      <c r="F3766" s="38">
        <v>8071950.5331200017</v>
      </c>
      <c r="G3766" s="36" t="s">
        <v>172</v>
      </c>
      <c r="H3766" s="36" t="s">
        <v>176</v>
      </c>
      <c r="I3766" s="36"/>
      <c r="J3766" s="36"/>
    </row>
    <row r="3767" spans="1:10" x14ac:dyDescent="0.25">
      <c r="A3767" s="36">
        <v>1706</v>
      </c>
      <c r="B3767" s="37">
        <v>43709</v>
      </c>
      <c r="C3767" s="36" t="s">
        <v>212</v>
      </c>
      <c r="D3767" s="36"/>
      <c r="E3767" s="36" t="s">
        <v>157</v>
      </c>
      <c r="F3767" s="38">
        <v>9764388.1836799979</v>
      </c>
      <c r="G3767" s="36" t="s">
        <v>172</v>
      </c>
      <c r="H3767" s="36" t="s">
        <v>176</v>
      </c>
      <c r="I3767" s="36"/>
      <c r="J3767" s="36"/>
    </row>
    <row r="3768" spans="1:10" x14ac:dyDescent="0.25">
      <c r="A3768" s="36">
        <v>1706</v>
      </c>
      <c r="B3768" s="37">
        <v>43739</v>
      </c>
      <c r="C3768" s="36" t="s">
        <v>212</v>
      </c>
      <c r="D3768" s="36"/>
      <c r="E3768" s="36" t="s">
        <v>157</v>
      </c>
      <c r="F3768" s="38">
        <v>7394570.1068800036</v>
      </c>
      <c r="G3768" s="36" t="s">
        <v>172</v>
      </c>
      <c r="H3768" s="36" t="s">
        <v>176</v>
      </c>
      <c r="I3768" s="36"/>
      <c r="J3768" s="36"/>
    </row>
    <row r="3769" spans="1:10" x14ac:dyDescent="0.25">
      <c r="A3769" s="36">
        <v>1706</v>
      </c>
      <c r="B3769" s="37">
        <v>43770</v>
      </c>
      <c r="C3769" s="36" t="s">
        <v>212</v>
      </c>
      <c r="D3769" s="36"/>
      <c r="E3769" s="36" t="s">
        <v>157</v>
      </c>
      <c r="F3769" s="38">
        <v>8309732.8851200044</v>
      </c>
      <c r="G3769" s="36" t="s">
        <v>172</v>
      </c>
      <c r="H3769" s="36" t="s">
        <v>176</v>
      </c>
      <c r="I3769" s="36"/>
      <c r="J3769" s="36"/>
    </row>
    <row r="3770" spans="1:10" x14ac:dyDescent="0.25">
      <c r="A3770" s="36">
        <v>1706</v>
      </c>
      <c r="B3770" s="37">
        <v>43800</v>
      </c>
      <c r="C3770" s="36" t="s">
        <v>212</v>
      </c>
      <c r="D3770" s="36"/>
      <c r="E3770" s="36" t="s">
        <v>157</v>
      </c>
      <c r="F3770" s="38">
        <v>6942135.7465600036</v>
      </c>
      <c r="G3770" s="36" t="s">
        <v>172</v>
      </c>
      <c r="H3770" s="36" t="s">
        <v>176</v>
      </c>
      <c r="I3770" s="36"/>
      <c r="J3770" s="36"/>
    </row>
    <row r="3771" spans="1:10" x14ac:dyDescent="0.25">
      <c r="A3771" s="36">
        <v>1706</v>
      </c>
      <c r="B3771" s="37">
        <v>43617</v>
      </c>
      <c r="C3771" s="36" t="s">
        <v>212</v>
      </c>
      <c r="D3771" s="36"/>
      <c r="E3771" s="36" t="s">
        <v>157</v>
      </c>
      <c r="F3771" s="38">
        <v>0</v>
      </c>
      <c r="G3771" s="36" t="s">
        <v>172</v>
      </c>
      <c r="H3771" s="36" t="s">
        <v>177</v>
      </c>
      <c r="I3771" s="36"/>
      <c r="J3771" s="36"/>
    </row>
    <row r="3772" spans="1:10" x14ac:dyDescent="0.25">
      <c r="A3772" s="36">
        <v>1706</v>
      </c>
      <c r="B3772" s="37">
        <v>43647</v>
      </c>
      <c r="C3772" s="36" t="s">
        <v>212</v>
      </c>
      <c r="D3772" s="36"/>
      <c r="E3772" s="36" t="s">
        <v>157</v>
      </c>
      <c r="F3772" s="38">
        <v>0</v>
      </c>
      <c r="G3772" s="36" t="s">
        <v>172</v>
      </c>
      <c r="H3772" s="36" t="s">
        <v>177</v>
      </c>
      <c r="I3772" s="36"/>
      <c r="J3772" s="36"/>
    </row>
    <row r="3773" spans="1:10" x14ac:dyDescent="0.25">
      <c r="A3773" s="36">
        <v>1706</v>
      </c>
      <c r="B3773" s="37">
        <v>43678</v>
      </c>
      <c r="C3773" s="36" t="s">
        <v>212</v>
      </c>
      <c r="D3773" s="36"/>
      <c r="E3773" s="36" t="s">
        <v>157</v>
      </c>
      <c r="F3773" s="38">
        <v>0</v>
      </c>
      <c r="G3773" s="36" t="s">
        <v>172</v>
      </c>
      <c r="H3773" s="36" t="s">
        <v>177</v>
      </c>
      <c r="I3773" s="36"/>
      <c r="J3773" s="36"/>
    </row>
    <row r="3774" spans="1:10" x14ac:dyDescent="0.25">
      <c r="A3774" s="36">
        <v>1706</v>
      </c>
      <c r="B3774" s="37">
        <v>43709</v>
      </c>
      <c r="C3774" s="36" t="s">
        <v>212</v>
      </c>
      <c r="D3774" s="36"/>
      <c r="E3774" s="36" t="s">
        <v>157</v>
      </c>
      <c r="F3774" s="38">
        <v>0</v>
      </c>
      <c r="G3774" s="36" t="s">
        <v>172</v>
      </c>
      <c r="H3774" s="36" t="s">
        <v>177</v>
      </c>
      <c r="I3774" s="36"/>
      <c r="J3774" s="36"/>
    </row>
    <row r="3775" spans="1:10" x14ac:dyDescent="0.25">
      <c r="A3775" s="36">
        <v>1706</v>
      </c>
      <c r="B3775" s="37">
        <v>43739</v>
      </c>
      <c r="C3775" s="36" t="s">
        <v>212</v>
      </c>
      <c r="D3775" s="36"/>
      <c r="E3775" s="36" t="s">
        <v>157</v>
      </c>
      <c r="F3775" s="38">
        <v>1981349.7120000003</v>
      </c>
      <c r="G3775" s="36" t="s">
        <v>172</v>
      </c>
      <c r="H3775" s="36" t="s">
        <v>177</v>
      </c>
      <c r="I3775" s="36"/>
      <c r="J3775" s="36"/>
    </row>
    <row r="3776" spans="1:10" x14ac:dyDescent="0.25">
      <c r="A3776" s="36">
        <v>1706</v>
      </c>
      <c r="B3776" s="37">
        <v>43770</v>
      </c>
      <c r="C3776" s="36" t="s">
        <v>212</v>
      </c>
      <c r="D3776" s="36"/>
      <c r="E3776" s="36" t="s">
        <v>157</v>
      </c>
      <c r="F3776" s="38">
        <v>5742380.5598399974</v>
      </c>
      <c r="G3776" s="36" t="s">
        <v>172</v>
      </c>
      <c r="H3776" s="36" t="s">
        <v>177</v>
      </c>
      <c r="I3776" s="36"/>
      <c r="J3776" s="36"/>
    </row>
    <row r="3777" spans="1:10" x14ac:dyDescent="0.25">
      <c r="A3777" s="36">
        <v>1706</v>
      </c>
      <c r="B3777" s="37">
        <v>43800</v>
      </c>
      <c r="C3777" s="36" t="s">
        <v>212</v>
      </c>
      <c r="D3777" s="36"/>
      <c r="E3777" s="36" t="s">
        <v>157</v>
      </c>
      <c r="F3777" s="38">
        <v>13101075.420640001</v>
      </c>
      <c r="G3777" s="36" t="s">
        <v>172</v>
      </c>
      <c r="H3777" s="36" t="s">
        <v>177</v>
      </c>
      <c r="I3777" s="36"/>
      <c r="J3777" s="36"/>
    </row>
    <row r="3778" spans="1:10" x14ac:dyDescent="0.25">
      <c r="A3778" s="36">
        <v>1706</v>
      </c>
      <c r="B3778" s="37">
        <v>43617</v>
      </c>
      <c r="C3778" s="36" t="s">
        <v>212</v>
      </c>
      <c r="D3778" s="36"/>
      <c r="E3778" s="36" t="s">
        <v>157</v>
      </c>
      <c r="F3778" s="38">
        <v>0</v>
      </c>
      <c r="G3778" s="36" t="s">
        <v>172</v>
      </c>
      <c r="H3778" s="36" t="s">
        <v>178</v>
      </c>
      <c r="I3778" s="36"/>
      <c r="J3778" s="36"/>
    </row>
    <row r="3779" spans="1:10" x14ac:dyDescent="0.25">
      <c r="A3779" s="36">
        <v>1706</v>
      </c>
      <c r="B3779" s="37">
        <v>43647</v>
      </c>
      <c r="C3779" s="36" t="s">
        <v>212</v>
      </c>
      <c r="D3779" s="36"/>
      <c r="E3779" s="36" t="s">
        <v>157</v>
      </c>
      <c r="F3779" s="38">
        <v>0</v>
      </c>
      <c r="G3779" s="36" t="s">
        <v>172</v>
      </c>
      <c r="H3779" s="36" t="s">
        <v>178</v>
      </c>
      <c r="I3779" s="36"/>
      <c r="J3779" s="36"/>
    </row>
    <row r="3780" spans="1:10" x14ac:dyDescent="0.25">
      <c r="A3780" s="36">
        <v>1706</v>
      </c>
      <c r="B3780" s="37">
        <v>43678</v>
      </c>
      <c r="C3780" s="36" t="s">
        <v>212</v>
      </c>
      <c r="D3780" s="36"/>
      <c r="E3780" s="36" t="s">
        <v>157</v>
      </c>
      <c r="F3780" s="38">
        <v>0</v>
      </c>
      <c r="G3780" s="36" t="s">
        <v>172</v>
      </c>
      <c r="H3780" s="36" t="s">
        <v>178</v>
      </c>
      <c r="I3780" s="36"/>
      <c r="J3780" s="36"/>
    </row>
    <row r="3781" spans="1:10" x14ac:dyDescent="0.25">
      <c r="A3781" s="36">
        <v>1706</v>
      </c>
      <c r="B3781" s="37">
        <v>43709</v>
      </c>
      <c r="C3781" s="36" t="s">
        <v>212</v>
      </c>
      <c r="D3781" s="36"/>
      <c r="E3781" s="36" t="s">
        <v>157</v>
      </c>
      <c r="F3781" s="38">
        <v>0</v>
      </c>
      <c r="G3781" s="36" t="s">
        <v>172</v>
      </c>
      <c r="H3781" s="36" t="s">
        <v>178</v>
      </c>
      <c r="I3781" s="36"/>
      <c r="J3781" s="36"/>
    </row>
    <row r="3782" spans="1:10" x14ac:dyDescent="0.25">
      <c r="A3782" s="36">
        <v>1706</v>
      </c>
      <c r="B3782" s="37">
        <v>43739</v>
      </c>
      <c r="C3782" s="36" t="s">
        <v>212</v>
      </c>
      <c r="D3782" s="36"/>
      <c r="E3782" s="36" t="s">
        <v>157</v>
      </c>
      <c r="F3782" s="38">
        <v>0</v>
      </c>
      <c r="G3782" s="36" t="s">
        <v>172</v>
      </c>
      <c r="H3782" s="36" t="s">
        <v>178</v>
      </c>
      <c r="I3782" s="36"/>
      <c r="J3782" s="36"/>
    </row>
    <row r="3783" spans="1:10" x14ac:dyDescent="0.25">
      <c r="A3783" s="36">
        <v>1706</v>
      </c>
      <c r="B3783" s="37">
        <v>43770</v>
      </c>
      <c r="C3783" s="36" t="s">
        <v>212</v>
      </c>
      <c r="D3783" s="36"/>
      <c r="E3783" s="36" t="s">
        <v>157</v>
      </c>
      <c r="F3783" s="38">
        <v>851980.37615999999</v>
      </c>
      <c r="G3783" s="36" t="s">
        <v>172</v>
      </c>
      <c r="H3783" s="36" t="s">
        <v>178</v>
      </c>
      <c r="I3783" s="36"/>
      <c r="J3783" s="36"/>
    </row>
    <row r="3784" spans="1:10" x14ac:dyDescent="0.25">
      <c r="A3784" s="36">
        <v>1706</v>
      </c>
      <c r="B3784" s="37">
        <v>43800</v>
      </c>
      <c r="C3784" s="36" t="s">
        <v>212</v>
      </c>
      <c r="D3784" s="36"/>
      <c r="E3784" s="36" t="s">
        <v>157</v>
      </c>
      <c r="F3784" s="38">
        <v>1135973.83488</v>
      </c>
      <c r="G3784" s="36" t="s">
        <v>172</v>
      </c>
      <c r="H3784" s="36" t="s">
        <v>178</v>
      </c>
      <c r="I3784" s="36"/>
      <c r="J3784" s="36"/>
    </row>
    <row r="3785" spans="1:10" x14ac:dyDescent="0.25">
      <c r="A3785" s="36">
        <v>1706</v>
      </c>
      <c r="B3785" s="37">
        <v>43617</v>
      </c>
      <c r="C3785" s="36" t="s">
        <v>195</v>
      </c>
      <c r="D3785" s="36"/>
      <c r="E3785" s="36" t="s">
        <v>157</v>
      </c>
      <c r="F3785" s="38">
        <v>100412415.69184017</v>
      </c>
      <c r="G3785" s="36" t="s">
        <v>172</v>
      </c>
      <c r="H3785" s="36" t="s">
        <v>173</v>
      </c>
      <c r="I3785" s="36"/>
      <c r="J3785" s="36"/>
    </row>
    <row r="3786" spans="1:10" x14ac:dyDescent="0.25">
      <c r="A3786" s="36">
        <v>1706</v>
      </c>
      <c r="B3786" s="37">
        <v>43647</v>
      </c>
      <c r="C3786" s="36" t="s">
        <v>195</v>
      </c>
      <c r="D3786" s="36"/>
      <c r="E3786" s="36" t="s">
        <v>157</v>
      </c>
      <c r="F3786" s="38">
        <v>80851657.317760006</v>
      </c>
      <c r="G3786" s="36" t="s">
        <v>172</v>
      </c>
      <c r="H3786" s="36" t="s">
        <v>173</v>
      </c>
      <c r="I3786" s="36"/>
      <c r="J3786" s="36"/>
    </row>
    <row r="3787" spans="1:10" x14ac:dyDescent="0.25">
      <c r="A3787" s="36">
        <v>1706</v>
      </c>
      <c r="B3787" s="37">
        <v>43678</v>
      </c>
      <c r="C3787" s="36" t="s">
        <v>195</v>
      </c>
      <c r="D3787" s="36"/>
      <c r="E3787" s="36" t="s">
        <v>157</v>
      </c>
      <c r="F3787" s="38">
        <v>90607045.108879998</v>
      </c>
      <c r="G3787" s="36" t="s">
        <v>172</v>
      </c>
      <c r="H3787" s="36" t="s">
        <v>173</v>
      </c>
      <c r="I3787" s="36"/>
      <c r="J3787" s="36"/>
    </row>
    <row r="3788" spans="1:10" x14ac:dyDescent="0.25">
      <c r="A3788" s="36">
        <v>1706</v>
      </c>
      <c r="B3788" s="37">
        <v>43709</v>
      </c>
      <c r="C3788" s="36" t="s">
        <v>195</v>
      </c>
      <c r="D3788" s="36"/>
      <c r="E3788" s="36" t="s">
        <v>157</v>
      </c>
      <c r="F3788" s="38">
        <v>32269325.98776</v>
      </c>
      <c r="G3788" s="36" t="s">
        <v>172</v>
      </c>
      <c r="H3788" s="36" t="s">
        <v>173</v>
      </c>
      <c r="I3788" s="36"/>
      <c r="J3788" s="36"/>
    </row>
    <row r="3789" spans="1:10" x14ac:dyDescent="0.25">
      <c r="A3789" s="36">
        <v>1706</v>
      </c>
      <c r="B3789" s="37">
        <v>43739</v>
      </c>
      <c r="C3789" s="36" t="s">
        <v>195</v>
      </c>
      <c r="D3789" s="36"/>
      <c r="E3789" s="36" t="s">
        <v>157</v>
      </c>
      <c r="F3789" s="38">
        <v>96569065.448880002</v>
      </c>
      <c r="G3789" s="36" t="s">
        <v>172</v>
      </c>
      <c r="H3789" s="36" t="s">
        <v>173</v>
      </c>
      <c r="I3789" s="36"/>
      <c r="J3789" s="36"/>
    </row>
    <row r="3790" spans="1:10" x14ac:dyDescent="0.25">
      <c r="A3790" s="36">
        <v>1706</v>
      </c>
      <c r="B3790" s="37">
        <v>43770</v>
      </c>
      <c r="C3790" s="36" t="s">
        <v>195</v>
      </c>
      <c r="D3790" s="36"/>
      <c r="E3790" s="36" t="s">
        <v>157</v>
      </c>
      <c r="F3790" s="38">
        <v>30889039.550000001</v>
      </c>
      <c r="G3790" s="36" t="s">
        <v>172</v>
      </c>
      <c r="H3790" s="36" t="s">
        <v>173</v>
      </c>
      <c r="I3790" s="36"/>
      <c r="J3790" s="36"/>
    </row>
    <row r="3791" spans="1:10" x14ac:dyDescent="0.25">
      <c r="A3791" s="36">
        <v>1706</v>
      </c>
      <c r="B3791" s="37">
        <v>43800</v>
      </c>
      <c r="C3791" s="36" t="s">
        <v>195</v>
      </c>
      <c r="D3791" s="36"/>
      <c r="E3791" s="36" t="s">
        <v>157</v>
      </c>
      <c r="F3791" s="38">
        <v>31992375.489440002</v>
      </c>
      <c r="G3791" s="36" t="s">
        <v>172</v>
      </c>
      <c r="H3791" s="36" t="s">
        <v>173</v>
      </c>
      <c r="I3791" s="36"/>
      <c r="J3791" s="36"/>
    </row>
    <row r="3792" spans="1:10" x14ac:dyDescent="0.25">
      <c r="A3792" s="36">
        <v>1706</v>
      </c>
      <c r="B3792" s="37">
        <v>43617</v>
      </c>
      <c r="C3792" s="36" t="s">
        <v>195</v>
      </c>
      <c r="D3792" s="36"/>
      <c r="E3792" s="36" t="s">
        <v>157</v>
      </c>
      <c r="F3792" s="38">
        <v>23112411.520000033</v>
      </c>
      <c r="G3792" s="36" t="s">
        <v>172</v>
      </c>
      <c r="H3792" s="36" t="s">
        <v>174</v>
      </c>
      <c r="I3792" s="36"/>
      <c r="J3792" s="36"/>
    </row>
    <row r="3793" spans="1:10" x14ac:dyDescent="0.25">
      <c r="A3793" s="36">
        <v>1706</v>
      </c>
      <c r="B3793" s="37">
        <v>43647</v>
      </c>
      <c r="C3793" s="36" t="s">
        <v>195</v>
      </c>
      <c r="D3793" s="36"/>
      <c r="E3793" s="36" t="s">
        <v>157</v>
      </c>
      <c r="F3793" s="38">
        <v>8029539.8339200029</v>
      </c>
      <c r="G3793" s="36" t="s">
        <v>172</v>
      </c>
      <c r="H3793" s="36" t="s">
        <v>174</v>
      </c>
      <c r="I3793" s="36"/>
      <c r="J3793" s="36"/>
    </row>
    <row r="3794" spans="1:10" x14ac:dyDescent="0.25">
      <c r="A3794" s="36">
        <v>1706</v>
      </c>
      <c r="B3794" s="37">
        <v>43678</v>
      </c>
      <c r="C3794" s="36" t="s">
        <v>195</v>
      </c>
      <c r="D3794" s="36"/>
      <c r="E3794" s="36" t="s">
        <v>157</v>
      </c>
      <c r="F3794" s="38">
        <v>73411687.785920009</v>
      </c>
      <c r="G3794" s="36" t="s">
        <v>172</v>
      </c>
      <c r="H3794" s="36" t="s">
        <v>174</v>
      </c>
      <c r="I3794" s="36"/>
      <c r="J3794" s="36"/>
    </row>
    <row r="3795" spans="1:10" x14ac:dyDescent="0.25">
      <c r="A3795" s="36">
        <v>1706</v>
      </c>
      <c r="B3795" s="37">
        <v>43709</v>
      </c>
      <c r="C3795" s="36" t="s">
        <v>195</v>
      </c>
      <c r="D3795" s="36"/>
      <c r="E3795" s="36" t="s">
        <v>157</v>
      </c>
      <c r="F3795" s="38">
        <v>55864216.662319943</v>
      </c>
      <c r="G3795" s="36" t="s">
        <v>172</v>
      </c>
      <c r="H3795" s="36" t="s">
        <v>174</v>
      </c>
      <c r="I3795" s="36"/>
      <c r="J3795" s="36"/>
    </row>
    <row r="3796" spans="1:10" x14ac:dyDescent="0.25">
      <c r="A3796" s="36">
        <v>1706</v>
      </c>
      <c r="B3796" s="37">
        <v>43739</v>
      </c>
      <c r="C3796" s="36" t="s">
        <v>195</v>
      </c>
      <c r="D3796" s="36"/>
      <c r="E3796" s="36" t="s">
        <v>157</v>
      </c>
      <c r="F3796" s="38">
        <v>55777243.928560019</v>
      </c>
      <c r="G3796" s="36" t="s">
        <v>172</v>
      </c>
      <c r="H3796" s="36" t="s">
        <v>174</v>
      </c>
      <c r="I3796" s="36"/>
      <c r="J3796" s="36"/>
    </row>
    <row r="3797" spans="1:10" x14ac:dyDescent="0.25">
      <c r="A3797" s="36">
        <v>1706</v>
      </c>
      <c r="B3797" s="37">
        <v>43770</v>
      </c>
      <c r="C3797" s="36" t="s">
        <v>195</v>
      </c>
      <c r="D3797" s="36"/>
      <c r="E3797" s="36" t="s">
        <v>157</v>
      </c>
      <c r="F3797" s="38">
        <v>68993499.74440001</v>
      </c>
      <c r="G3797" s="36" t="s">
        <v>172</v>
      </c>
      <c r="H3797" s="36" t="s">
        <v>174</v>
      </c>
      <c r="I3797" s="36"/>
      <c r="J3797" s="36"/>
    </row>
    <row r="3798" spans="1:10" x14ac:dyDescent="0.25">
      <c r="A3798" s="36">
        <v>1706</v>
      </c>
      <c r="B3798" s="37">
        <v>43800</v>
      </c>
      <c r="C3798" s="36" t="s">
        <v>195</v>
      </c>
      <c r="D3798" s="36"/>
      <c r="E3798" s="36" t="s">
        <v>157</v>
      </c>
      <c r="F3798" s="38">
        <v>57631282.712079979</v>
      </c>
      <c r="G3798" s="36" t="s">
        <v>172</v>
      </c>
      <c r="H3798" s="36" t="s">
        <v>174</v>
      </c>
      <c r="I3798" s="36"/>
      <c r="J3798" s="36"/>
    </row>
    <row r="3799" spans="1:10" x14ac:dyDescent="0.25">
      <c r="A3799" s="36">
        <v>1706</v>
      </c>
      <c r="B3799" s="37">
        <v>43617</v>
      </c>
      <c r="C3799" s="36" t="s">
        <v>195</v>
      </c>
      <c r="D3799" s="36"/>
      <c r="E3799" s="36" t="s">
        <v>157</v>
      </c>
      <c r="F3799" s="38">
        <v>160340221.23119998</v>
      </c>
      <c r="G3799" s="36" t="s">
        <v>172</v>
      </c>
      <c r="H3799" s="36" t="s">
        <v>175</v>
      </c>
      <c r="I3799" s="36"/>
      <c r="J3799" s="36"/>
    </row>
    <row r="3800" spans="1:10" x14ac:dyDescent="0.25">
      <c r="A3800" s="36">
        <v>1706</v>
      </c>
      <c r="B3800" s="37">
        <v>43647</v>
      </c>
      <c r="C3800" s="36" t="s">
        <v>195</v>
      </c>
      <c r="D3800" s="36"/>
      <c r="E3800" s="36" t="s">
        <v>157</v>
      </c>
      <c r="F3800" s="38">
        <v>54078546.226079941</v>
      </c>
      <c r="G3800" s="36" t="s">
        <v>172</v>
      </c>
      <c r="H3800" s="36" t="s">
        <v>175</v>
      </c>
      <c r="I3800" s="36"/>
      <c r="J3800" s="36"/>
    </row>
    <row r="3801" spans="1:10" x14ac:dyDescent="0.25">
      <c r="A3801" s="36">
        <v>1706</v>
      </c>
      <c r="B3801" s="37">
        <v>43678</v>
      </c>
      <c r="C3801" s="36" t="s">
        <v>195</v>
      </c>
      <c r="D3801" s="36"/>
      <c r="E3801" s="36" t="s">
        <v>157</v>
      </c>
      <c r="F3801" s="38">
        <v>29703160.83248001</v>
      </c>
      <c r="G3801" s="36" t="s">
        <v>172</v>
      </c>
      <c r="H3801" s="36" t="s">
        <v>175</v>
      </c>
      <c r="I3801" s="36"/>
      <c r="J3801" s="36"/>
    </row>
    <row r="3802" spans="1:10" x14ac:dyDescent="0.25">
      <c r="A3802" s="36">
        <v>1706</v>
      </c>
      <c r="B3802" s="37">
        <v>43709</v>
      </c>
      <c r="C3802" s="36" t="s">
        <v>195</v>
      </c>
      <c r="D3802" s="36"/>
      <c r="E3802" s="36" t="s">
        <v>157</v>
      </c>
      <c r="F3802" s="38">
        <v>94155827.829599947</v>
      </c>
      <c r="G3802" s="36" t="s">
        <v>172</v>
      </c>
      <c r="H3802" s="36" t="s">
        <v>175</v>
      </c>
      <c r="I3802" s="36"/>
      <c r="J3802" s="36"/>
    </row>
    <row r="3803" spans="1:10" x14ac:dyDescent="0.25">
      <c r="A3803" s="36">
        <v>1706</v>
      </c>
      <c r="B3803" s="37">
        <v>43739</v>
      </c>
      <c r="C3803" s="36" t="s">
        <v>195</v>
      </c>
      <c r="D3803" s="36"/>
      <c r="E3803" s="36" t="s">
        <v>157</v>
      </c>
      <c r="F3803" s="38">
        <v>40081342.919199973</v>
      </c>
      <c r="G3803" s="36" t="s">
        <v>172</v>
      </c>
      <c r="H3803" s="36" t="s">
        <v>175</v>
      </c>
      <c r="I3803" s="36"/>
      <c r="J3803" s="36"/>
    </row>
    <row r="3804" spans="1:10" x14ac:dyDescent="0.25">
      <c r="A3804" s="36">
        <v>1706</v>
      </c>
      <c r="B3804" s="37">
        <v>43770</v>
      </c>
      <c r="C3804" s="36" t="s">
        <v>195</v>
      </c>
      <c r="D3804" s="36"/>
      <c r="E3804" s="36" t="s">
        <v>157</v>
      </c>
      <c r="F3804" s="38">
        <v>65796095.824879982</v>
      </c>
      <c r="G3804" s="36" t="s">
        <v>172</v>
      </c>
      <c r="H3804" s="36" t="s">
        <v>175</v>
      </c>
      <c r="I3804" s="36"/>
      <c r="J3804" s="36"/>
    </row>
    <row r="3805" spans="1:10" x14ac:dyDescent="0.25">
      <c r="A3805" s="36">
        <v>1706</v>
      </c>
      <c r="B3805" s="37">
        <v>43800</v>
      </c>
      <c r="C3805" s="36" t="s">
        <v>195</v>
      </c>
      <c r="D3805" s="36"/>
      <c r="E3805" s="36" t="s">
        <v>157</v>
      </c>
      <c r="F3805" s="38">
        <v>110595086.29968001</v>
      </c>
      <c r="G3805" s="36" t="s">
        <v>172</v>
      </c>
      <c r="H3805" s="36" t="s">
        <v>175</v>
      </c>
      <c r="I3805" s="36"/>
      <c r="J3805" s="36"/>
    </row>
    <row r="3806" spans="1:10" x14ac:dyDescent="0.25">
      <c r="A3806" s="36">
        <v>1706</v>
      </c>
      <c r="B3806" s="37">
        <v>43617</v>
      </c>
      <c r="C3806" s="36" t="s">
        <v>195</v>
      </c>
      <c r="D3806" s="36"/>
      <c r="E3806" s="36" t="s">
        <v>157</v>
      </c>
      <c r="F3806" s="38">
        <v>0</v>
      </c>
      <c r="G3806" s="36" t="s">
        <v>172</v>
      </c>
      <c r="H3806" s="36" t="s">
        <v>176</v>
      </c>
      <c r="I3806" s="36"/>
      <c r="J3806" s="36"/>
    </row>
    <row r="3807" spans="1:10" x14ac:dyDescent="0.25">
      <c r="A3807" s="36">
        <v>1706</v>
      </c>
      <c r="B3807" s="37">
        <v>43647</v>
      </c>
      <c r="C3807" s="36" t="s">
        <v>195</v>
      </c>
      <c r="D3807" s="36"/>
      <c r="E3807" s="36" t="s">
        <v>157</v>
      </c>
      <c r="F3807" s="38">
        <v>0</v>
      </c>
      <c r="G3807" s="36" t="s">
        <v>172</v>
      </c>
      <c r="H3807" s="36" t="s">
        <v>176</v>
      </c>
      <c r="I3807" s="36"/>
      <c r="J3807" s="36"/>
    </row>
    <row r="3808" spans="1:10" x14ac:dyDescent="0.25">
      <c r="A3808" s="36">
        <v>1706</v>
      </c>
      <c r="B3808" s="37">
        <v>43678</v>
      </c>
      <c r="C3808" s="36" t="s">
        <v>195</v>
      </c>
      <c r="D3808" s="36"/>
      <c r="E3808" s="36" t="s">
        <v>157</v>
      </c>
      <c r="F3808" s="38">
        <v>888362.62592000025</v>
      </c>
      <c r="G3808" s="36" t="s">
        <v>172</v>
      </c>
      <c r="H3808" s="36" t="s">
        <v>176</v>
      </c>
      <c r="I3808" s="36"/>
      <c r="J3808" s="36"/>
    </row>
    <row r="3809" spans="1:10" x14ac:dyDescent="0.25">
      <c r="A3809" s="36">
        <v>1706</v>
      </c>
      <c r="B3809" s="37">
        <v>43709</v>
      </c>
      <c r="C3809" s="36" t="s">
        <v>195</v>
      </c>
      <c r="D3809" s="36"/>
      <c r="E3809" s="36" t="s">
        <v>157</v>
      </c>
      <c r="F3809" s="38">
        <v>2337796.3840000019</v>
      </c>
      <c r="G3809" s="36" t="s">
        <v>172</v>
      </c>
      <c r="H3809" s="36" t="s">
        <v>176</v>
      </c>
      <c r="I3809" s="36"/>
      <c r="J3809" s="36"/>
    </row>
    <row r="3810" spans="1:10" x14ac:dyDescent="0.25">
      <c r="A3810" s="36">
        <v>1706</v>
      </c>
      <c r="B3810" s="37">
        <v>43739</v>
      </c>
      <c r="C3810" s="36" t="s">
        <v>195</v>
      </c>
      <c r="D3810" s="36"/>
      <c r="E3810" s="36" t="s">
        <v>157</v>
      </c>
      <c r="F3810" s="38">
        <v>522998.0294399999</v>
      </c>
      <c r="G3810" s="36" t="s">
        <v>172</v>
      </c>
      <c r="H3810" s="36" t="s">
        <v>176</v>
      </c>
      <c r="I3810" s="36"/>
      <c r="J3810" s="36"/>
    </row>
    <row r="3811" spans="1:10" x14ac:dyDescent="0.25">
      <c r="A3811" s="36">
        <v>1706</v>
      </c>
      <c r="B3811" s="37">
        <v>43770</v>
      </c>
      <c r="C3811" s="36" t="s">
        <v>195</v>
      </c>
      <c r="D3811" s="36"/>
      <c r="E3811" s="36" t="s">
        <v>157</v>
      </c>
      <c r="F3811" s="38">
        <v>1007548.8204800002</v>
      </c>
      <c r="G3811" s="36" t="s">
        <v>172</v>
      </c>
      <c r="H3811" s="36" t="s">
        <v>176</v>
      </c>
      <c r="I3811" s="36"/>
      <c r="J3811" s="36"/>
    </row>
    <row r="3812" spans="1:10" x14ac:dyDescent="0.25">
      <c r="A3812" s="36">
        <v>1706</v>
      </c>
      <c r="B3812" s="37">
        <v>43800</v>
      </c>
      <c r="C3812" s="36" t="s">
        <v>195</v>
      </c>
      <c r="D3812" s="36"/>
      <c r="E3812" s="36" t="s">
        <v>157</v>
      </c>
      <c r="F3812" s="38">
        <v>1710956.1216000002</v>
      </c>
      <c r="G3812" s="36" t="s">
        <v>172</v>
      </c>
      <c r="H3812" s="36" t="s">
        <v>176</v>
      </c>
      <c r="I3812" s="36"/>
      <c r="J3812" s="36"/>
    </row>
    <row r="3813" spans="1:10" x14ac:dyDescent="0.25">
      <c r="A3813" s="36">
        <v>1706</v>
      </c>
      <c r="B3813" s="37">
        <v>43617</v>
      </c>
      <c r="C3813" s="36" t="s">
        <v>195</v>
      </c>
      <c r="D3813" s="36"/>
      <c r="E3813" s="36" t="s">
        <v>157</v>
      </c>
      <c r="F3813" s="38">
        <v>0</v>
      </c>
      <c r="G3813" s="36" t="s">
        <v>172</v>
      </c>
      <c r="H3813" s="36" t="s">
        <v>177</v>
      </c>
      <c r="I3813" s="36"/>
      <c r="J3813" s="36"/>
    </row>
    <row r="3814" spans="1:10" x14ac:dyDescent="0.25">
      <c r="A3814" s="36">
        <v>1706</v>
      </c>
      <c r="B3814" s="37">
        <v>43647</v>
      </c>
      <c r="C3814" s="36" t="s">
        <v>195</v>
      </c>
      <c r="D3814" s="36"/>
      <c r="E3814" s="36" t="s">
        <v>157</v>
      </c>
      <c r="F3814" s="38">
        <v>0</v>
      </c>
      <c r="G3814" s="36" t="s">
        <v>172</v>
      </c>
      <c r="H3814" s="36" t="s">
        <v>177</v>
      </c>
      <c r="I3814" s="36"/>
      <c r="J3814" s="36"/>
    </row>
    <row r="3815" spans="1:10" x14ac:dyDescent="0.25">
      <c r="A3815" s="36">
        <v>1706</v>
      </c>
      <c r="B3815" s="37">
        <v>43678</v>
      </c>
      <c r="C3815" s="36" t="s">
        <v>195</v>
      </c>
      <c r="D3815" s="36"/>
      <c r="E3815" s="36" t="s">
        <v>157</v>
      </c>
      <c r="F3815" s="38">
        <v>0</v>
      </c>
      <c r="G3815" s="36" t="s">
        <v>172</v>
      </c>
      <c r="H3815" s="36" t="s">
        <v>177</v>
      </c>
      <c r="I3815" s="36"/>
      <c r="J3815" s="36"/>
    </row>
    <row r="3816" spans="1:10" x14ac:dyDescent="0.25">
      <c r="A3816" s="36">
        <v>1706</v>
      </c>
      <c r="B3816" s="37">
        <v>43709</v>
      </c>
      <c r="C3816" s="36" t="s">
        <v>195</v>
      </c>
      <c r="D3816" s="36"/>
      <c r="E3816" s="36" t="s">
        <v>157</v>
      </c>
      <c r="F3816" s="38">
        <v>0</v>
      </c>
      <c r="G3816" s="36" t="s">
        <v>172</v>
      </c>
      <c r="H3816" s="36" t="s">
        <v>177</v>
      </c>
      <c r="I3816" s="36"/>
      <c r="J3816" s="36"/>
    </row>
    <row r="3817" spans="1:10" x14ac:dyDescent="0.25">
      <c r="A3817" s="36">
        <v>1706</v>
      </c>
      <c r="B3817" s="37">
        <v>43739</v>
      </c>
      <c r="C3817" s="36" t="s">
        <v>195</v>
      </c>
      <c r="D3817" s="36"/>
      <c r="E3817" s="36" t="s">
        <v>157</v>
      </c>
      <c r="F3817" s="38">
        <v>0</v>
      </c>
      <c r="G3817" s="36" t="s">
        <v>172</v>
      </c>
      <c r="H3817" s="36" t="s">
        <v>177</v>
      </c>
      <c r="I3817" s="36"/>
      <c r="J3817" s="36"/>
    </row>
    <row r="3818" spans="1:10" x14ac:dyDescent="0.25">
      <c r="A3818" s="36">
        <v>1706</v>
      </c>
      <c r="B3818" s="37">
        <v>43770</v>
      </c>
      <c r="C3818" s="36" t="s">
        <v>195</v>
      </c>
      <c r="D3818" s="36"/>
      <c r="E3818" s="36" t="s">
        <v>157</v>
      </c>
      <c r="F3818" s="38">
        <v>789006.27984000009</v>
      </c>
      <c r="G3818" s="36" t="s">
        <v>172</v>
      </c>
      <c r="H3818" s="36" t="s">
        <v>177</v>
      </c>
      <c r="I3818" s="36"/>
      <c r="J3818" s="36"/>
    </row>
    <row r="3819" spans="1:10" x14ac:dyDescent="0.25">
      <c r="A3819" s="36">
        <v>1706</v>
      </c>
      <c r="B3819" s="37">
        <v>43800</v>
      </c>
      <c r="C3819" s="36" t="s">
        <v>195</v>
      </c>
      <c r="D3819" s="36"/>
      <c r="E3819" s="36" t="s">
        <v>157</v>
      </c>
      <c r="F3819" s="38">
        <v>3359850.3675199989</v>
      </c>
      <c r="G3819" s="36" t="s">
        <v>172</v>
      </c>
      <c r="H3819" s="36" t="s">
        <v>177</v>
      </c>
      <c r="I3819" s="36"/>
      <c r="J3819" s="36"/>
    </row>
    <row r="3820" spans="1:10" x14ac:dyDescent="0.25">
      <c r="A3820" s="36">
        <v>1706</v>
      </c>
      <c r="B3820" s="37">
        <v>43466</v>
      </c>
      <c r="C3820" s="36" t="s">
        <v>195</v>
      </c>
      <c r="D3820" s="36"/>
      <c r="E3820" s="36" t="s">
        <v>157</v>
      </c>
      <c r="F3820" s="38"/>
      <c r="G3820" s="36" t="s">
        <v>172</v>
      </c>
      <c r="H3820" s="36" t="s">
        <v>180</v>
      </c>
      <c r="I3820" s="36"/>
      <c r="J3820" s="36"/>
    </row>
    <row r="3821" spans="1:10" x14ac:dyDescent="0.25">
      <c r="A3821" s="36">
        <v>1706</v>
      </c>
      <c r="B3821" s="37">
        <v>43497</v>
      </c>
      <c r="C3821" s="36" t="s">
        <v>195</v>
      </c>
      <c r="D3821" s="36"/>
      <c r="E3821" s="36" t="s">
        <v>157</v>
      </c>
      <c r="F3821" s="38">
        <v>446995.64</v>
      </c>
      <c r="G3821" s="36" t="s">
        <v>172</v>
      </c>
      <c r="H3821" s="36" t="s">
        <v>180</v>
      </c>
      <c r="I3821" s="36"/>
      <c r="J3821" s="36"/>
    </row>
    <row r="3822" spans="1:10" x14ac:dyDescent="0.25">
      <c r="A3822" s="36">
        <v>1706</v>
      </c>
      <c r="B3822" s="37">
        <v>43525</v>
      </c>
      <c r="C3822" s="36" t="s">
        <v>195</v>
      </c>
      <c r="D3822" s="36"/>
      <c r="E3822" s="36" t="s">
        <v>157</v>
      </c>
      <c r="F3822" s="38">
        <v>26419973.910000008</v>
      </c>
      <c r="G3822" s="36" t="s">
        <v>172</v>
      </c>
      <c r="H3822" s="36" t="s">
        <v>180</v>
      </c>
      <c r="I3822" s="36"/>
      <c r="J3822" s="36"/>
    </row>
    <row r="3823" spans="1:10" x14ac:dyDescent="0.25">
      <c r="A3823" s="36">
        <v>1706</v>
      </c>
      <c r="B3823" s="37">
        <v>43556</v>
      </c>
      <c r="C3823" s="36" t="s">
        <v>195</v>
      </c>
      <c r="D3823" s="36"/>
      <c r="E3823" s="36" t="s">
        <v>157</v>
      </c>
      <c r="F3823" s="38">
        <v>125966721.60000004</v>
      </c>
      <c r="G3823" s="36" t="s">
        <v>172</v>
      </c>
      <c r="H3823" s="36" t="s">
        <v>180</v>
      </c>
      <c r="I3823" s="36"/>
      <c r="J3823" s="36"/>
    </row>
    <row r="3824" spans="1:10" x14ac:dyDescent="0.25">
      <c r="A3824" s="36">
        <v>1706</v>
      </c>
      <c r="B3824" s="37">
        <v>43586</v>
      </c>
      <c r="C3824" s="36" t="s">
        <v>195</v>
      </c>
      <c r="D3824" s="36"/>
      <c r="E3824" s="36" t="s">
        <v>157</v>
      </c>
      <c r="F3824" s="38">
        <v>160006208.73000008</v>
      </c>
      <c r="G3824" s="36" t="s">
        <v>172</v>
      </c>
      <c r="H3824" s="36" t="s">
        <v>180</v>
      </c>
      <c r="I3824" s="36"/>
      <c r="J3824" s="36"/>
    </row>
    <row r="3825" spans="1:10" x14ac:dyDescent="0.25">
      <c r="A3825" s="36">
        <v>1706</v>
      </c>
      <c r="B3825" s="37">
        <v>43466</v>
      </c>
      <c r="C3825" s="36" t="s">
        <v>195</v>
      </c>
      <c r="D3825" s="36"/>
      <c r="E3825" s="36" t="s">
        <v>157</v>
      </c>
      <c r="F3825" s="38">
        <v>13105734.300000001</v>
      </c>
      <c r="G3825" s="36" t="s">
        <v>172</v>
      </c>
      <c r="H3825" s="36" t="s">
        <v>181</v>
      </c>
      <c r="I3825" s="36"/>
      <c r="J3825" s="36"/>
    </row>
    <row r="3826" spans="1:10" x14ac:dyDescent="0.25">
      <c r="A3826" s="36">
        <v>1706</v>
      </c>
      <c r="B3826" s="37">
        <v>43497</v>
      </c>
      <c r="C3826" s="36" t="s">
        <v>195</v>
      </c>
      <c r="D3826" s="36"/>
      <c r="E3826" s="36" t="s">
        <v>157</v>
      </c>
      <c r="F3826" s="38">
        <v>39244878.899999999</v>
      </c>
      <c r="G3826" s="36" t="s">
        <v>172</v>
      </c>
      <c r="H3826" s="36" t="s">
        <v>181</v>
      </c>
      <c r="I3826" s="36"/>
      <c r="J3826" s="36"/>
    </row>
    <row r="3827" spans="1:10" x14ac:dyDescent="0.25">
      <c r="A3827" s="36">
        <v>1706</v>
      </c>
      <c r="B3827" s="37">
        <v>43525</v>
      </c>
      <c r="C3827" s="36" t="s">
        <v>195</v>
      </c>
      <c r="D3827" s="36"/>
      <c r="E3827" s="36" t="s">
        <v>157</v>
      </c>
      <c r="F3827" s="38"/>
      <c r="G3827" s="36" t="s">
        <v>172</v>
      </c>
      <c r="H3827" s="36" t="s">
        <v>181</v>
      </c>
      <c r="I3827" s="36"/>
      <c r="J3827" s="36"/>
    </row>
    <row r="3828" spans="1:10" x14ac:dyDescent="0.25">
      <c r="A3828" s="36">
        <v>1706</v>
      </c>
      <c r="B3828" s="37">
        <v>43556</v>
      </c>
      <c r="C3828" s="36" t="s">
        <v>195</v>
      </c>
      <c r="D3828" s="36"/>
      <c r="E3828" s="36" t="s">
        <v>157</v>
      </c>
      <c r="F3828" s="38">
        <v>50902097.400000006</v>
      </c>
      <c r="G3828" s="36" t="s">
        <v>172</v>
      </c>
      <c r="H3828" s="36" t="s">
        <v>181</v>
      </c>
      <c r="I3828" s="36"/>
      <c r="J3828" s="36"/>
    </row>
    <row r="3829" spans="1:10" x14ac:dyDescent="0.25">
      <c r="A3829" s="36">
        <v>1706</v>
      </c>
      <c r="B3829" s="37">
        <v>43586</v>
      </c>
      <c r="C3829" s="36" t="s">
        <v>195</v>
      </c>
      <c r="D3829" s="36"/>
      <c r="E3829" s="36" t="s">
        <v>157</v>
      </c>
      <c r="F3829" s="38"/>
      <c r="G3829" s="36" t="s">
        <v>172</v>
      </c>
      <c r="H3829" s="36" t="s">
        <v>181</v>
      </c>
      <c r="I3829" s="36"/>
      <c r="J3829" s="36"/>
    </row>
    <row r="3830" spans="1:10" x14ac:dyDescent="0.25">
      <c r="A3830" s="36">
        <v>1706</v>
      </c>
      <c r="B3830" s="37">
        <v>43466</v>
      </c>
      <c r="C3830" s="36" t="s">
        <v>195</v>
      </c>
      <c r="D3830" s="36"/>
      <c r="E3830" s="36" t="s">
        <v>157</v>
      </c>
      <c r="F3830" s="38">
        <v>0</v>
      </c>
      <c r="G3830" s="36" t="s">
        <v>172</v>
      </c>
      <c r="H3830" s="36" t="s">
        <v>182</v>
      </c>
      <c r="I3830" s="36"/>
      <c r="J3830" s="36"/>
    </row>
    <row r="3831" spans="1:10" x14ac:dyDescent="0.25">
      <c r="A3831" s="36">
        <v>1706</v>
      </c>
      <c r="B3831" s="37">
        <v>43497</v>
      </c>
      <c r="C3831" s="36" t="s">
        <v>195</v>
      </c>
      <c r="D3831" s="36"/>
      <c r="E3831" s="36" t="s">
        <v>157</v>
      </c>
      <c r="F3831" s="38">
        <v>0</v>
      </c>
      <c r="G3831" s="36" t="s">
        <v>172</v>
      </c>
      <c r="H3831" s="36" t="s">
        <v>182</v>
      </c>
      <c r="I3831" s="36"/>
      <c r="J3831" s="36"/>
    </row>
    <row r="3832" spans="1:10" x14ac:dyDescent="0.25">
      <c r="A3832" s="36">
        <v>1706</v>
      </c>
      <c r="B3832" s="37">
        <v>43525</v>
      </c>
      <c r="C3832" s="36" t="s">
        <v>195</v>
      </c>
      <c r="D3832" s="36"/>
      <c r="E3832" s="36" t="s">
        <v>157</v>
      </c>
      <c r="F3832" s="38">
        <v>0</v>
      </c>
      <c r="G3832" s="36" t="s">
        <v>172</v>
      </c>
      <c r="H3832" s="36" t="s">
        <v>182</v>
      </c>
      <c r="I3832" s="36"/>
      <c r="J3832" s="36"/>
    </row>
    <row r="3833" spans="1:10" x14ac:dyDescent="0.25">
      <c r="A3833" s="36">
        <v>1706</v>
      </c>
      <c r="B3833" s="37">
        <v>43556</v>
      </c>
      <c r="C3833" s="36" t="s">
        <v>195</v>
      </c>
      <c r="D3833" s="36"/>
      <c r="E3833" s="36" t="s">
        <v>157</v>
      </c>
      <c r="F3833" s="38">
        <v>0</v>
      </c>
      <c r="G3833" s="36" t="s">
        <v>172</v>
      </c>
      <c r="H3833" s="36" t="s">
        <v>182</v>
      </c>
      <c r="I3833" s="36"/>
      <c r="J3833" s="36"/>
    </row>
    <row r="3834" spans="1:10" x14ac:dyDescent="0.25">
      <c r="A3834" s="36">
        <v>1706</v>
      </c>
      <c r="B3834" s="37">
        <v>43586</v>
      </c>
      <c r="C3834" s="36" t="s">
        <v>195</v>
      </c>
      <c r="D3834" s="36"/>
      <c r="E3834" s="36" t="s">
        <v>157</v>
      </c>
      <c r="F3834" s="38">
        <v>0</v>
      </c>
      <c r="G3834" s="36" t="s">
        <v>172</v>
      </c>
      <c r="H3834" s="36" t="s">
        <v>182</v>
      </c>
      <c r="I3834" s="36"/>
      <c r="J3834" s="36"/>
    </row>
    <row r="3835" spans="1:10" x14ac:dyDescent="0.25">
      <c r="A3835" s="36">
        <v>1706</v>
      </c>
      <c r="B3835" s="37">
        <v>43466</v>
      </c>
      <c r="C3835" s="36" t="s">
        <v>195</v>
      </c>
      <c r="D3835" s="36"/>
      <c r="E3835" s="36" t="s">
        <v>157</v>
      </c>
      <c r="F3835" s="38">
        <v>0</v>
      </c>
      <c r="G3835" s="36" t="s">
        <v>172</v>
      </c>
      <c r="H3835" s="36" t="s">
        <v>182</v>
      </c>
      <c r="I3835" s="36"/>
      <c r="J3835" s="36"/>
    </row>
    <row r="3836" spans="1:10" x14ac:dyDescent="0.25">
      <c r="A3836" s="36">
        <v>1706</v>
      </c>
      <c r="B3836" s="37">
        <v>43497</v>
      </c>
      <c r="C3836" s="36" t="s">
        <v>195</v>
      </c>
      <c r="D3836" s="36"/>
      <c r="E3836" s="36" t="s">
        <v>157</v>
      </c>
      <c r="F3836" s="38">
        <v>0</v>
      </c>
      <c r="G3836" s="36" t="s">
        <v>172</v>
      </c>
      <c r="H3836" s="36" t="s">
        <v>182</v>
      </c>
      <c r="I3836" s="36"/>
      <c r="J3836" s="36"/>
    </row>
    <row r="3837" spans="1:10" x14ac:dyDescent="0.25">
      <c r="A3837" s="36">
        <v>1706</v>
      </c>
      <c r="B3837" s="37">
        <v>43525</v>
      </c>
      <c r="C3837" s="36" t="s">
        <v>195</v>
      </c>
      <c r="D3837" s="36"/>
      <c r="E3837" s="36" t="s">
        <v>157</v>
      </c>
      <c r="F3837" s="38">
        <v>440227603</v>
      </c>
      <c r="G3837" s="36" t="s">
        <v>172</v>
      </c>
      <c r="H3837" s="36" t="s">
        <v>182</v>
      </c>
      <c r="I3837" s="36"/>
      <c r="J3837" s="36"/>
    </row>
    <row r="3838" spans="1:10" x14ac:dyDescent="0.25">
      <c r="A3838" s="36">
        <v>1706</v>
      </c>
      <c r="B3838" s="37">
        <v>43556</v>
      </c>
      <c r="C3838" s="36" t="s">
        <v>195</v>
      </c>
      <c r="D3838" s="36"/>
      <c r="E3838" s="36" t="s">
        <v>157</v>
      </c>
      <c r="F3838" s="38">
        <v>100817841</v>
      </c>
      <c r="G3838" s="36" t="s">
        <v>172</v>
      </c>
      <c r="H3838" s="36" t="s">
        <v>182</v>
      </c>
      <c r="I3838" s="36"/>
      <c r="J3838" s="36"/>
    </row>
    <row r="3839" spans="1:10" x14ac:dyDescent="0.25">
      <c r="A3839" s="36">
        <v>1706</v>
      </c>
      <c r="B3839" s="37">
        <v>43586</v>
      </c>
      <c r="C3839" s="36" t="s">
        <v>195</v>
      </c>
      <c r="D3839" s="36"/>
      <c r="E3839" s="36" t="s">
        <v>157</v>
      </c>
      <c r="F3839" s="38">
        <v>32080408</v>
      </c>
      <c r="G3839" s="36" t="s">
        <v>172</v>
      </c>
      <c r="H3839" s="36" t="s">
        <v>182</v>
      </c>
      <c r="I3839" s="36"/>
      <c r="J3839" s="36"/>
    </row>
    <row r="3840" spans="1:10" x14ac:dyDescent="0.25">
      <c r="A3840" s="36">
        <v>1706</v>
      </c>
      <c r="B3840" s="37">
        <v>43466</v>
      </c>
      <c r="C3840" s="36" t="s">
        <v>195</v>
      </c>
      <c r="D3840" s="36"/>
      <c r="E3840" s="36" t="s">
        <v>157</v>
      </c>
      <c r="F3840" s="38">
        <v>0</v>
      </c>
      <c r="G3840" s="36" t="s">
        <v>172</v>
      </c>
      <c r="H3840" s="36" t="s">
        <v>183</v>
      </c>
      <c r="I3840" s="36"/>
      <c r="J3840" s="36"/>
    </row>
    <row r="3841" spans="1:10" x14ac:dyDescent="0.25">
      <c r="A3841" s="36">
        <v>1706</v>
      </c>
      <c r="B3841" s="37">
        <v>43497</v>
      </c>
      <c r="C3841" s="36" t="s">
        <v>195</v>
      </c>
      <c r="D3841" s="36"/>
      <c r="E3841" s="36" t="s">
        <v>157</v>
      </c>
      <c r="F3841" s="38">
        <v>0</v>
      </c>
      <c r="G3841" s="36" t="s">
        <v>172</v>
      </c>
      <c r="H3841" s="36" t="s">
        <v>183</v>
      </c>
      <c r="I3841" s="36"/>
      <c r="J3841" s="36"/>
    </row>
    <row r="3842" spans="1:10" x14ac:dyDescent="0.25">
      <c r="A3842" s="36">
        <v>1706</v>
      </c>
      <c r="B3842" s="37">
        <v>43525</v>
      </c>
      <c r="C3842" s="36" t="s">
        <v>195</v>
      </c>
      <c r="D3842" s="36"/>
      <c r="E3842" s="36" t="s">
        <v>157</v>
      </c>
      <c r="F3842" s="38">
        <v>0</v>
      </c>
      <c r="G3842" s="36" t="s">
        <v>172</v>
      </c>
      <c r="H3842" s="36" t="s">
        <v>183</v>
      </c>
      <c r="I3842" s="36"/>
      <c r="J3842" s="36"/>
    </row>
    <row r="3843" spans="1:10" x14ac:dyDescent="0.25">
      <c r="A3843" s="36">
        <v>1706</v>
      </c>
      <c r="B3843" s="37">
        <v>43556</v>
      </c>
      <c r="C3843" s="36" t="s">
        <v>195</v>
      </c>
      <c r="D3843" s="36"/>
      <c r="E3843" s="36" t="s">
        <v>157</v>
      </c>
      <c r="F3843" s="38">
        <v>71323</v>
      </c>
      <c r="G3843" s="36" t="s">
        <v>172</v>
      </c>
      <c r="H3843" s="36" t="s">
        <v>183</v>
      </c>
      <c r="I3843" s="36"/>
      <c r="J3843" s="36"/>
    </row>
    <row r="3844" spans="1:10" x14ac:dyDescent="0.25">
      <c r="A3844" s="36">
        <v>1706</v>
      </c>
      <c r="B3844" s="37">
        <v>43586</v>
      </c>
      <c r="C3844" s="36" t="s">
        <v>195</v>
      </c>
      <c r="D3844" s="36"/>
      <c r="E3844" s="36" t="s">
        <v>157</v>
      </c>
      <c r="F3844" s="38">
        <v>1238794</v>
      </c>
      <c r="G3844" s="36" t="s">
        <v>172</v>
      </c>
      <c r="H3844" s="36" t="s">
        <v>183</v>
      </c>
      <c r="I3844" s="36"/>
      <c r="J3844" s="36"/>
    </row>
    <row r="3845" spans="1:10" x14ac:dyDescent="0.25">
      <c r="A3845" s="36">
        <v>1706</v>
      </c>
      <c r="B3845" s="37">
        <v>43466</v>
      </c>
      <c r="C3845" s="36" t="s">
        <v>195</v>
      </c>
      <c r="D3845" s="36"/>
      <c r="E3845" s="36" t="s">
        <v>157</v>
      </c>
      <c r="F3845" s="38">
        <v>0</v>
      </c>
      <c r="G3845" s="36" t="s">
        <v>172</v>
      </c>
      <c r="H3845" s="36" t="s">
        <v>183</v>
      </c>
      <c r="I3845" s="36"/>
      <c r="J3845" s="36"/>
    </row>
    <row r="3846" spans="1:10" x14ac:dyDescent="0.25">
      <c r="A3846" s="36">
        <v>1706</v>
      </c>
      <c r="B3846" s="37">
        <v>43497</v>
      </c>
      <c r="C3846" s="36" t="s">
        <v>195</v>
      </c>
      <c r="D3846" s="36"/>
      <c r="E3846" s="36" t="s">
        <v>157</v>
      </c>
      <c r="F3846" s="38">
        <v>0</v>
      </c>
      <c r="G3846" s="36" t="s">
        <v>172</v>
      </c>
      <c r="H3846" s="36" t="s">
        <v>183</v>
      </c>
      <c r="I3846" s="36"/>
      <c r="J3846" s="36"/>
    </row>
    <row r="3847" spans="1:10" x14ac:dyDescent="0.25">
      <c r="A3847" s="36">
        <v>1706</v>
      </c>
      <c r="B3847" s="37">
        <v>43525</v>
      </c>
      <c r="C3847" s="36" t="s">
        <v>195</v>
      </c>
      <c r="D3847" s="36"/>
      <c r="E3847" s="36" t="s">
        <v>157</v>
      </c>
      <c r="F3847" s="38">
        <v>0</v>
      </c>
      <c r="G3847" s="36" t="s">
        <v>172</v>
      </c>
      <c r="H3847" s="36" t="s">
        <v>183</v>
      </c>
      <c r="I3847" s="36"/>
      <c r="J3847" s="36"/>
    </row>
    <row r="3848" spans="1:10" x14ac:dyDescent="0.25">
      <c r="A3848" s="36">
        <v>1706</v>
      </c>
      <c r="B3848" s="37">
        <v>43556</v>
      </c>
      <c r="C3848" s="36" t="s">
        <v>195</v>
      </c>
      <c r="D3848" s="36"/>
      <c r="E3848" s="36" t="s">
        <v>157</v>
      </c>
      <c r="F3848" s="38">
        <v>0</v>
      </c>
      <c r="G3848" s="36" t="s">
        <v>172</v>
      </c>
      <c r="H3848" s="36" t="s">
        <v>183</v>
      </c>
      <c r="I3848" s="36"/>
      <c r="J3848" s="36"/>
    </row>
    <row r="3849" spans="1:10" x14ac:dyDescent="0.25">
      <c r="A3849" s="36">
        <v>1706</v>
      </c>
      <c r="B3849" s="37">
        <v>43586</v>
      </c>
      <c r="C3849" s="36" t="s">
        <v>195</v>
      </c>
      <c r="D3849" s="36"/>
      <c r="E3849" s="36" t="s">
        <v>157</v>
      </c>
      <c r="F3849" s="38">
        <v>0</v>
      </c>
      <c r="G3849" s="36" t="s">
        <v>172</v>
      </c>
      <c r="H3849" s="36" t="s">
        <v>183</v>
      </c>
      <c r="I3849" s="36"/>
      <c r="J3849" s="36"/>
    </row>
    <row r="3850" spans="1:10" x14ac:dyDescent="0.25">
      <c r="A3850" s="36">
        <v>1706</v>
      </c>
      <c r="B3850" s="37">
        <v>43466</v>
      </c>
      <c r="C3850" s="36" t="s">
        <v>212</v>
      </c>
      <c r="D3850" s="36"/>
      <c r="E3850" s="36" t="s">
        <v>157</v>
      </c>
      <c r="F3850" s="38"/>
      <c r="G3850" s="36" t="s">
        <v>172</v>
      </c>
      <c r="H3850" s="36" t="s">
        <v>180</v>
      </c>
      <c r="I3850" s="36"/>
      <c r="J3850" s="36"/>
    </row>
    <row r="3851" spans="1:10" x14ac:dyDescent="0.25">
      <c r="A3851" s="36">
        <v>1706</v>
      </c>
      <c r="B3851" s="37">
        <v>43497</v>
      </c>
      <c r="C3851" s="36" t="s">
        <v>212</v>
      </c>
      <c r="D3851" s="36"/>
      <c r="E3851" s="36" t="s">
        <v>157</v>
      </c>
      <c r="F3851" s="38">
        <v>446995.64</v>
      </c>
      <c r="G3851" s="36" t="s">
        <v>172</v>
      </c>
      <c r="H3851" s="36" t="s">
        <v>180</v>
      </c>
      <c r="I3851" s="36"/>
      <c r="J3851" s="36"/>
    </row>
    <row r="3852" spans="1:10" x14ac:dyDescent="0.25">
      <c r="A3852" s="36">
        <v>1706</v>
      </c>
      <c r="B3852" s="37">
        <v>43525</v>
      </c>
      <c r="C3852" s="36" t="s">
        <v>212</v>
      </c>
      <c r="D3852" s="36"/>
      <c r="E3852" s="36" t="s">
        <v>157</v>
      </c>
      <c r="F3852" s="38">
        <v>26419973.910000008</v>
      </c>
      <c r="G3852" s="36" t="s">
        <v>172</v>
      </c>
      <c r="H3852" s="36" t="s">
        <v>180</v>
      </c>
      <c r="I3852" s="36"/>
      <c r="J3852" s="36"/>
    </row>
    <row r="3853" spans="1:10" x14ac:dyDescent="0.25">
      <c r="A3853" s="36">
        <v>1706</v>
      </c>
      <c r="B3853" s="37">
        <v>43556</v>
      </c>
      <c r="C3853" s="36" t="s">
        <v>212</v>
      </c>
      <c r="D3853" s="36"/>
      <c r="E3853" s="36" t="s">
        <v>157</v>
      </c>
      <c r="F3853" s="38">
        <v>125966721.60000004</v>
      </c>
      <c r="G3853" s="36" t="s">
        <v>172</v>
      </c>
      <c r="H3853" s="36" t="s">
        <v>180</v>
      </c>
      <c r="I3853" s="36"/>
      <c r="J3853" s="36"/>
    </row>
    <row r="3854" spans="1:10" x14ac:dyDescent="0.25">
      <c r="A3854" s="36">
        <v>1706</v>
      </c>
      <c r="B3854" s="37">
        <v>43586</v>
      </c>
      <c r="C3854" s="36" t="s">
        <v>212</v>
      </c>
      <c r="D3854" s="36"/>
      <c r="E3854" s="36" t="s">
        <v>157</v>
      </c>
      <c r="F3854" s="38">
        <v>160006208.73000008</v>
      </c>
      <c r="G3854" s="36" t="s">
        <v>172</v>
      </c>
      <c r="H3854" s="36" t="s">
        <v>180</v>
      </c>
      <c r="I3854" s="36"/>
      <c r="J3854" s="36"/>
    </row>
    <row r="3855" spans="1:10" x14ac:dyDescent="0.25">
      <c r="A3855" s="36">
        <v>1706</v>
      </c>
      <c r="B3855" s="37">
        <v>43466</v>
      </c>
      <c r="C3855" s="36" t="s">
        <v>212</v>
      </c>
      <c r="D3855" s="36"/>
      <c r="E3855" s="36" t="s">
        <v>157</v>
      </c>
      <c r="F3855" s="38">
        <v>13105734.300000001</v>
      </c>
      <c r="G3855" s="36" t="s">
        <v>172</v>
      </c>
      <c r="H3855" s="36" t="s">
        <v>181</v>
      </c>
      <c r="I3855" s="36"/>
      <c r="J3855" s="36"/>
    </row>
    <row r="3856" spans="1:10" x14ac:dyDescent="0.25">
      <c r="A3856" s="36">
        <v>1706</v>
      </c>
      <c r="B3856" s="37">
        <v>43497</v>
      </c>
      <c r="C3856" s="36" t="s">
        <v>212</v>
      </c>
      <c r="D3856" s="36"/>
      <c r="E3856" s="36" t="s">
        <v>157</v>
      </c>
      <c r="F3856" s="38">
        <v>39244878.899999999</v>
      </c>
      <c r="G3856" s="36" t="s">
        <v>172</v>
      </c>
      <c r="H3856" s="36" t="s">
        <v>181</v>
      </c>
      <c r="I3856" s="36"/>
      <c r="J3856" s="36"/>
    </row>
    <row r="3857" spans="1:10" x14ac:dyDescent="0.25">
      <c r="A3857" s="36">
        <v>1706</v>
      </c>
      <c r="B3857" s="37">
        <v>43525</v>
      </c>
      <c r="C3857" s="36" t="s">
        <v>212</v>
      </c>
      <c r="D3857" s="36"/>
      <c r="E3857" s="36" t="s">
        <v>157</v>
      </c>
      <c r="F3857" s="38"/>
      <c r="G3857" s="36" t="s">
        <v>172</v>
      </c>
      <c r="H3857" s="36" t="s">
        <v>181</v>
      </c>
      <c r="I3857" s="36"/>
      <c r="J3857" s="36"/>
    </row>
    <row r="3858" spans="1:10" x14ac:dyDescent="0.25">
      <c r="A3858" s="36">
        <v>1706</v>
      </c>
      <c r="B3858" s="37">
        <v>43556</v>
      </c>
      <c r="C3858" s="36" t="s">
        <v>212</v>
      </c>
      <c r="D3858" s="36"/>
      <c r="E3858" s="36" t="s">
        <v>157</v>
      </c>
      <c r="F3858" s="38">
        <v>50902097.400000006</v>
      </c>
      <c r="G3858" s="36" t="s">
        <v>172</v>
      </c>
      <c r="H3858" s="36" t="s">
        <v>181</v>
      </c>
      <c r="I3858" s="36"/>
      <c r="J3858" s="36"/>
    </row>
    <row r="3859" spans="1:10" x14ac:dyDescent="0.25">
      <c r="A3859" s="36">
        <v>1706</v>
      </c>
      <c r="B3859" s="37">
        <v>43586</v>
      </c>
      <c r="C3859" s="36" t="s">
        <v>212</v>
      </c>
      <c r="D3859" s="36"/>
      <c r="E3859" s="36" t="s">
        <v>157</v>
      </c>
      <c r="F3859" s="38"/>
      <c r="G3859" s="36" t="s">
        <v>172</v>
      </c>
      <c r="H3859" s="36" t="s">
        <v>181</v>
      </c>
      <c r="I3859" s="36"/>
      <c r="J3859" s="36"/>
    </row>
    <row r="3860" spans="1:10" x14ac:dyDescent="0.25">
      <c r="A3860" s="36">
        <v>1706</v>
      </c>
      <c r="B3860" s="37">
        <v>43466</v>
      </c>
      <c r="C3860" s="36" t="s">
        <v>212</v>
      </c>
      <c r="D3860" s="36"/>
      <c r="E3860" s="36" t="s">
        <v>157</v>
      </c>
      <c r="F3860" s="38">
        <v>0</v>
      </c>
      <c r="G3860" s="36" t="s">
        <v>172</v>
      </c>
      <c r="H3860" s="36" t="s">
        <v>182</v>
      </c>
      <c r="I3860" s="36"/>
      <c r="J3860" s="36"/>
    </row>
    <row r="3861" spans="1:10" x14ac:dyDescent="0.25">
      <c r="A3861" s="36">
        <v>1706</v>
      </c>
      <c r="B3861" s="37">
        <v>43497</v>
      </c>
      <c r="C3861" s="36" t="s">
        <v>212</v>
      </c>
      <c r="D3861" s="36"/>
      <c r="E3861" s="36" t="s">
        <v>157</v>
      </c>
      <c r="F3861" s="38">
        <v>0</v>
      </c>
      <c r="G3861" s="36" t="s">
        <v>172</v>
      </c>
      <c r="H3861" s="36" t="s">
        <v>182</v>
      </c>
      <c r="I3861" s="36"/>
      <c r="J3861" s="36"/>
    </row>
    <row r="3862" spans="1:10" x14ac:dyDescent="0.25">
      <c r="A3862" s="36">
        <v>1706</v>
      </c>
      <c r="B3862" s="37">
        <v>43525</v>
      </c>
      <c r="C3862" s="36" t="s">
        <v>212</v>
      </c>
      <c r="D3862" s="36"/>
      <c r="E3862" s="36" t="s">
        <v>157</v>
      </c>
      <c r="F3862" s="38">
        <v>0</v>
      </c>
      <c r="G3862" s="36" t="s">
        <v>172</v>
      </c>
      <c r="H3862" s="36" t="s">
        <v>182</v>
      </c>
      <c r="I3862" s="36"/>
      <c r="J3862" s="36"/>
    </row>
    <row r="3863" spans="1:10" x14ac:dyDescent="0.25">
      <c r="A3863" s="36">
        <v>1706</v>
      </c>
      <c r="B3863" s="37">
        <v>43556</v>
      </c>
      <c r="C3863" s="36" t="s">
        <v>212</v>
      </c>
      <c r="D3863" s="36"/>
      <c r="E3863" s="36" t="s">
        <v>157</v>
      </c>
      <c r="F3863" s="38">
        <v>0</v>
      </c>
      <c r="G3863" s="36" t="s">
        <v>172</v>
      </c>
      <c r="H3863" s="36" t="s">
        <v>182</v>
      </c>
      <c r="I3863" s="36"/>
      <c r="J3863" s="36"/>
    </row>
    <row r="3864" spans="1:10" x14ac:dyDescent="0.25">
      <c r="A3864" s="36">
        <v>1706</v>
      </c>
      <c r="B3864" s="37">
        <v>43586</v>
      </c>
      <c r="C3864" s="36" t="s">
        <v>212</v>
      </c>
      <c r="D3864" s="36"/>
      <c r="E3864" s="36" t="s">
        <v>157</v>
      </c>
      <c r="F3864" s="38">
        <v>0</v>
      </c>
      <c r="G3864" s="36" t="s">
        <v>172</v>
      </c>
      <c r="H3864" s="36" t="s">
        <v>182</v>
      </c>
      <c r="I3864" s="36"/>
      <c r="J3864" s="36"/>
    </row>
    <row r="3865" spans="1:10" x14ac:dyDescent="0.25">
      <c r="A3865" s="36">
        <v>1706</v>
      </c>
      <c r="B3865" s="37">
        <v>43466</v>
      </c>
      <c r="C3865" s="36" t="s">
        <v>212</v>
      </c>
      <c r="D3865" s="36"/>
      <c r="E3865" s="36" t="s">
        <v>157</v>
      </c>
      <c r="F3865" s="38">
        <v>0</v>
      </c>
      <c r="G3865" s="36" t="s">
        <v>172</v>
      </c>
      <c r="H3865" s="36" t="s">
        <v>182</v>
      </c>
      <c r="I3865" s="36"/>
      <c r="J3865" s="36"/>
    </row>
    <row r="3866" spans="1:10" x14ac:dyDescent="0.25">
      <c r="A3866" s="36">
        <v>1706</v>
      </c>
      <c r="B3866" s="37">
        <v>43497</v>
      </c>
      <c r="C3866" s="36" t="s">
        <v>212</v>
      </c>
      <c r="D3866" s="36"/>
      <c r="E3866" s="36" t="s">
        <v>157</v>
      </c>
      <c r="F3866" s="38">
        <v>0</v>
      </c>
      <c r="G3866" s="36" t="s">
        <v>172</v>
      </c>
      <c r="H3866" s="36" t="s">
        <v>182</v>
      </c>
      <c r="I3866" s="36"/>
      <c r="J3866" s="36"/>
    </row>
    <row r="3867" spans="1:10" x14ac:dyDescent="0.25">
      <c r="A3867" s="36">
        <v>1706</v>
      </c>
      <c r="B3867" s="37">
        <v>43525</v>
      </c>
      <c r="C3867" s="36" t="s">
        <v>212</v>
      </c>
      <c r="D3867" s="36"/>
      <c r="E3867" s="36" t="s">
        <v>157</v>
      </c>
      <c r="F3867" s="38">
        <v>440227603</v>
      </c>
      <c r="G3867" s="36" t="s">
        <v>172</v>
      </c>
      <c r="H3867" s="36" t="s">
        <v>182</v>
      </c>
      <c r="I3867" s="36"/>
      <c r="J3867" s="36"/>
    </row>
    <row r="3868" spans="1:10" x14ac:dyDescent="0.25">
      <c r="A3868" s="36">
        <v>1706</v>
      </c>
      <c r="B3868" s="37">
        <v>43556</v>
      </c>
      <c r="C3868" s="36" t="s">
        <v>212</v>
      </c>
      <c r="D3868" s="36"/>
      <c r="E3868" s="36" t="s">
        <v>157</v>
      </c>
      <c r="F3868" s="38">
        <v>100817841</v>
      </c>
      <c r="G3868" s="36" t="s">
        <v>172</v>
      </c>
      <c r="H3868" s="36" t="s">
        <v>182</v>
      </c>
      <c r="I3868" s="36"/>
      <c r="J3868" s="36"/>
    </row>
    <row r="3869" spans="1:10" x14ac:dyDescent="0.25">
      <c r="A3869" s="36">
        <v>1706</v>
      </c>
      <c r="B3869" s="37">
        <v>43586</v>
      </c>
      <c r="C3869" s="36" t="s">
        <v>212</v>
      </c>
      <c r="D3869" s="36"/>
      <c r="E3869" s="36" t="s">
        <v>157</v>
      </c>
      <c r="F3869" s="38">
        <v>32080408</v>
      </c>
      <c r="G3869" s="36" t="s">
        <v>172</v>
      </c>
      <c r="H3869" s="36" t="s">
        <v>182</v>
      </c>
      <c r="I3869" s="36"/>
      <c r="J3869" s="36"/>
    </row>
    <row r="3870" spans="1:10" x14ac:dyDescent="0.25">
      <c r="A3870" s="36">
        <v>1706</v>
      </c>
      <c r="B3870" s="37">
        <v>43466</v>
      </c>
      <c r="C3870" s="36" t="s">
        <v>212</v>
      </c>
      <c r="D3870" s="36"/>
      <c r="E3870" s="36" t="s">
        <v>157</v>
      </c>
      <c r="F3870" s="38">
        <v>0</v>
      </c>
      <c r="G3870" s="36" t="s">
        <v>172</v>
      </c>
      <c r="H3870" s="36" t="s">
        <v>183</v>
      </c>
      <c r="I3870" s="36"/>
      <c r="J3870" s="36"/>
    </row>
    <row r="3871" spans="1:10" x14ac:dyDescent="0.25">
      <c r="A3871" s="36">
        <v>1706</v>
      </c>
      <c r="B3871" s="37">
        <v>43497</v>
      </c>
      <c r="C3871" s="36" t="s">
        <v>212</v>
      </c>
      <c r="D3871" s="36"/>
      <c r="E3871" s="36" t="s">
        <v>157</v>
      </c>
      <c r="F3871" s="38">
        <v>0</v>
      </c>
      <c r="G3871" s="36" t="s">
        <v>172</v>
      </c>
      <c r="H3871" s="36" t="s">
        <v>183</v>
      </c>
      <c r="I3871" s="36"/>
      <c r="J3871" s="36"/>
    </row>
    <row r="3872" spans="1:10" x14ac:dyDescent="0.25">
      <c r="A3872" s="36">
        <v>1706</v>
      </c>
      <c r="B3872" s="37">
        <v>43525</v>
      </c>
      <c r="C3872" s="36" t="s">
        <v>212</v>
      </c>
      <c r="D3872" s="36"/>
      <c r="E3872" s="36" t="s">
        <v>157</v>
      </c>
      <c r="F3872" s="38">
        <v>0</v>
      </c>
      <c r="G3872" s="36" t="s">
        <v>172</v>
      </c>
      <c r="H3872" s="36" t="s">
        <v>183</v>
      </c>
      <c r="I3872" s="36"/>
      <c r="J3872" s="36"/>
    </row>
    <row r="3873" spans="1:10" x14ac:dyDescent="0.25">
      <c r="A3873" s="36">
        <v>1706</v>
      </c>
      <c r="B3873" s="37">
        <v>43556</v>
      </c>
      <c r="C3873" s="36" t="s">
        <v>212</v>
      </c>
      <c r="D3873" s="36"/>
      <c r="E3873" s="36" t="s">
        <v>157</v>
      </c>
      <c r="F3873" s="38">
        <v>71323</v>
      </c>
      <c r="G3873" s="36" t="s">
        <v>172</v>
      </c>
      <c r="H3873" s="36" t="s">
        <v>183</v>
      </c>
      <c r="I3873" s="36"/>
      <c r="J3873" s="36"/>
    </row>
    <row r="3874" spans="1:10" x14ac:dyDescent="0.25">
      <c r="A3874" s="36">
        <v>1706</v>
      </c>
      <c r="B3874" s="37">
        <v>43586</v>
      </c>
      <c r="C3874" s="36" t="s">
        <v>212</v>
      </c>
      <c r="D3874" s="36"/>
      <c r="E3874" s="36" t="s">
        <v>157</v>
      </c>
      <c r="F3874" s="38">
        <v>1238794</v>
      </c>
      <c r="G3874" s="36" t="s">
        <v>172</v>
      </c>
      <c r="H3874" s="36" t="s">
        <v>183</v>
      </c>
      <c r="I3874" s="36"/>
      <c r="J3874" s="36"/>
    </row>
    <row r="3875" spans="1:10" x14ac:dyDescent="0.25">
      <c r="A3875" s="36">
        <v>1706</v>
      </c>
      <c r="B3875" s="37">
        <v>43466</v>
      </c>
      <c r="C3875" s="36" t="s">
        <v>212</v>
      </c>
      <c r="D3875" s="36"/>
      <c r="E3875" s="36" t="s">
        <v>157</v>
      </c>
      <c r="F3875" s="38">
        <v>0</v>
      </c>
      <c r="G3875" s="36" t="s">
        <v>172</v>
      </c>
      <c r="H3875" s="36" t="s">
        <v>183</v>
      </c>
      <c r="I3875" s="36"/>
      <c r="J3875" s="36"/>
    </row>
    <row r="3876" spans="1:10" x14ac:dyDescent="0.25">
      <c r="A3876" s="36">
        <v>1706</v>
      </c>
      <c r="B3876" s="37">
        <v>43497</v>
      </c>
      <c r="C3876" s="36" t="s">
        <v>212</v>
      </c>
      <c r="D3876" s="36"/>
      <c r="E3876" s="36" t="s">
        <v>157</v>
      </c>
      <c r="F3876" s="38">
        <v>0</v>
      </c>
      <c r="G3876" s="36" t="s">
        <v>172</v>
      </c>
      <c r="H3876" s="36" t="s">
        <v>183</v>
      </c>
      <c r="I3876" s="36"/>
      <c r="J3876" s="36"/>
    </row>
    <row r="3877" spans="1:10" x14ac:dyDescent="0.25">
      <c r="A3877" s="36">
        <v>1706</v>
      </c>
      <c r="B3877" s="37">
        <v>43525</v>
      </c>
      <c r="C3877" s="36" t="s">
        <v>212</v>
      </c>
      <c r="D3877" s="36"/>
      <c r="E3877" s="36" t="s">
        <v>157</v>
      </c>
      <c r="F3877" s="38">
        <v>0</v>
      </c>
      <c r="G3877" s="36" t="s">
        <v>172</v>
      </c>
      <c r="H3877" s="36" t="s">
        <v>183</v>
      </c>
      <c r="I3877" s="36"/>
      <c r="J3877" s="36"/>
    </row>
    <row r="3878" spans="1:10" x14ac:dyDescent="0.25">
      <c r="A3878" s="36">
        <v>1706</v>
      </c>
      <c r="B3878" s="37">
        <v>43556</v>
      </c>
      <c r="C3878" s="36" t="s">
        <v>212</v>
      </c>
      <c r="D3878" s="36"/>
      <c r="E3878" s="36" t="s">
        <v>157</v>
      </c>
      <c r="F3878" s="38">
        <v>0</v>
      </c>
      <c r="G3878" s="36" t="s">
        <v>172</v>
      </c>
      <c r="H3878" s="36" t="s">
        <v>183</v>
      </c>
      <c r="I3878" s="36"/>
      <c r="J3878" s="36"/>
    </row>
    <row r="3879" spans="1:10" x14ac:dyDescent="0.25">
      <c r="A3879" s="36">
        <v>1706</v>
      </c>
      <c r="B3879" s="37">
        <v>43586</v>
      </c>
      <c r="C3879" s="36" t="s">
        <v>212</v>
      </c>
      <c r="D3879" s="36"/>
      <c r="E3879" s="36" t="s">
        <v>157</v>
      </c>
      <c r="F3879" s="38">
        <v>0</v>
      </c>
      <c r="G3879" s="36" t="s">
        <v>172</v>
      </c>
      <c r="H3879" s="36" t="s">
        <v>183</v>
      </c>
      <c r="I3879" s="36"/>
      <c r="J3879" s="36"/>
    </row>
    <row r="3880" spans="1:10" x14ac:dyDescent="0.25">
      <c r="A3880" s="36">
        <v>1670</v>
      </c>
      <c r="B3880" s="37">
        <v>43466</v>
      </c>
      <c r="C3880" s="36"/>
      <c r="D3880" s="36"/>
      <c r="E3880" s="36" t="s">
        <v>157</v>
      </c>
      <c r="F3880" s="38">
        <v>57276497</v>
      </c>
      <c r="G3880" s="36" t="s">
        <v>8</v>
      </c>
      <c r="H3880" s="36" t="s">
        <v>8</v>
      </c>
      <c r="I3880" s="36" t="s">
        <v>197</v>
      </c>
      <c r="J3880" s="36"/>
    </row>
    <row r="3881" spans="1:10" x14ac:dyDescent="0.25">
      <c r="A3881" s="36">
        <v>1670</v>
      </c>
      <c r="B3881" s="37">
        <v>43497</v>
      </c>
      <c r="C3881" s="36"/>
      <c r="D3881" s="36"/>
      <c r="E3881" s="36" t="s">
        <v>157</v>
      </c>
      <c r="F3881" s="38">
        <v>57276497</v>
      </c>
      <c r="G3881" s="36" t="s">
        <v>8</v>
      </c>
      <c r="H3881" s="36" t="s">
        <v>8</v>
      </c>
      <c r="I3881" s="36" t="s">
        <v>197</v>
      </c>
      <c r="J3881" s="36"/>
    </row>
    <row r="3882" spans="1:10" x14ac:dyDescent="0.25">
      <c r="A3882" s="36">
        <v>1670</v>
      </c>
      <c r="B3882" s="37">
        <v>43525</v>
      </c>
      <c r="C3882" s="36"/>
      <c r="D3882" s="36"/>
      <c r="E3882" s="36" t="s">
        <v>157</v>
      </c>
      <c r="F3882" s="38">
        <v>57276497</v>
      </c>
      <c r="G3882" s="36" t="s">
        <v>8</v>
      </c>
      <c r="H3882" s="36" t="s">
        <v>8</v>
      </c>
      <c r="I3882" s="36" t="s">
        <v>197</v>
      </c>
      <c r="J3882" s="36"/>
    </row>
    <row r="3883" spans="1:10" x14ac:dyDescent="0.25">
      <c r="A3883" s="36">
        <v>1670</v>
      </c>
      <c r="B3883" s="37">
        <v>43556</v>
      </c>
      <c r="C3883" s="36"/>
      <c r="D3883" s="36"/>
      <c r="E3883" s="36" t="s">
        <v>157</v>
      </c>
      <c r="F3883" s="38">
        <v>57276497</v>
      </c>
      <c r="G3883" s="36" t="s">
        <v>8</v>
      </c>
      <c r="H3883" s="36" t="s">
        <v>8</v>
      </c>
      <c r="I3883" s="36" t="s">
        <v>197</v>
      </c>
      <c r="J3883" s="36"/>
    </row>
    <row r="3884" spans="1:10" x14ac:dyDescent="0.25">
      <c r="A3884" s="36">
        <v>1670</v>
      </c>
      <c r="B3884" s="37">
        <v>43586</v>
      </c>
      <c r="C3884" s="36"/>
      <c r="D3884" s="36"/>
      <c r="E3884" s="36" t="s">
        <v>157</v>
      </c>
      <c r="F3884" s="38">
        <v>57276497</v>
      </c>
      <c r="G3884" s="36" t="s">
        <v>8</v>
      </c>
      <c r="H3884" s="36" t="s">
        <v>8</v>
      </c>
      <c r="I3884" s="36" t="s">
        <v>197</v>
      </c>
      <c r="J3884" s="36"/>
    </row>
    <row r="3885" spans="1:10" x14ac:dyDescent="0.25">
      <c r="A3885" s="36">
        <v>1670</v>
      </c>
      <c r="B3885" s="37">
        <v>43617</v>
      </c>
      <c r="C3885" s="36"/>
      <c r="D3885" s="36"/>
      <c r="E3885" s="36" t="s">
        <v>157</v>
      </c>
      <c r="F3885" s="38">
        <v>57276497</v>
      </c>
      <c r="G3885" s="36" t="s">
        <v>8</v>
      </c>
      <c r="H3885" s="36" t="s">
        <v>8</v>
      </c>
      <c r="I3885" s="36" t="s">
        <v>197</v>
      </c>
      <c r="J3885" s="36"/>
    </row>
    <row r="3886" spans="1:10" x14ac:dyDescent="0.25">
      <c r="A3886" s="36">
        <v>1670</v>
      </c>
      <c r="B3886" s="37">
        <v>43647</v>
      </c>
      <c r="C3886" s="36"/>
      <c r="D3886" s="36"/>
      <c r="E3886" s="36" t="s">
        <v>157</v>
      </c>
      <c r="F3886" s="38">
        <v>57276497</v>
      </c>
      <c r="G3886" s="36" t="s">
        <v>8</v>
      </c>
      <c r="H3886" s="36" t="s">
        <v>8</v>
      </c>
      <c r="I3886" s="36" t="s">
        <v>197</v>
      </c>
      <c r="J3886" s="36"/>
    </row>
    <row r="3887" spans="1:10" x14ac:dyDescent="0.25">
      <c r="A3887" s="36">
        <v>1670</v>
      </c>
      <c r="B3887" s="37">
        <v>43678</v>
      </c>
      <c r="C3887" s="36"/>
      <c r="D3887" s="36"/>
      <c r="E3887" s="36" t="s">
        <v>157</v>
      </c>
      <c r="F3887" s="38">
        <v>57276497</v>
      </c>
      <c r="G3887" s="36" t="s">
        <v>8</v>
      </c>
      <c r="H3887" s="36" t="s">
        <v>8</v>
      </c>
      <c r="I3887" s="36" t="s">
        <v>197</v>
      </c>
      <c r="J3887" s="36"/>
    </row>
    <row r="3888" spans="1:10" x14ac:dyDescent="0.25">
      <c r="A3888" s="36">
        <v>1670</v>
      </c>
      <c r="B3888" s="37">
        <v>43709</v>
      </c>
      <c r="C3888" s="36"/>
      <c r="D3888" s="36"/>
      <c r="E3888" s="36" t="s">
        <v>157</v>
      </c>
      <c r="F3888" s="38">
        <v>57276497</v>
      </c>
      <c r="G3888" s="36" t="s">
        <v>8</v>
      </c>
      <c r="H3888" s="36" t="s">
        <v>8</v>
      </c>
      <c r="I3888" s="36" t="s">
        <v>197</v>
      </c>
      <c r="J3888" s="36"/>
    </row>
    <row r="3889" spans="1:10" x14ac:dyDescent="0.25">
      <c r="A3889" s="36">
        <v>1670</v>
      </c>
      <c r="B3889" s="37">
        <v>43739</v>
      </c>
      <c r="C3889" s="36"/>
      <c r="D3889" s="36"/>
      <c r="E3889" s="36" t="s">
        <v>157</v>
      </c>
      <c r="F3889" s="38">
        <v>57276497</v>
      </c>
      <c r="G3889" s="36" t="s">
        <v>8</v>
      </c>
      <c r="H3889" s="36" t="s">
        <v>8</v>
      </c>
      <c r="I3889" s="36" t="s">
        <v>197</v>
      </c>
      <c r="J3889" s="36"/>
    </row>
    <row r="3890" spans="1:10" x14ac:dyDescent="0.25">
      <c r="A3890" s="36">
        <v>1670</v>
      </c>
      <c r="B3890" s="37">
        <v>43770</v>
      </c>
      <c r="C3890" s="36"/>
      <c r="D3890" s="36"/>
      <c r="E3890" s="36" t="s">
        <v>157</v>
      </c>
      <c r="F3890" s="38">
        <v>57276497</v>
      </c>
      <c r="G3890" s="36" t="s">
        <v>8</v>
      </c>
      <c r="H3890" s="36" t="s">
        <v>8</v>
      </c>
      <c r="I3890" s="36" t="s">
        <v>197</v>
      </c>
      <c r="J3890" s="36"/>
    </row>
    <row r="3891" spans="1:10" x14ac:dyDescent="0.25">
      <c r="A3891" s="36">
        <v>1670</v>
      </c>
      <c r="B3891" s="37">
        <v>43800</v>
      </c>
      <c r="C3891" s="36"/>
      <c r="D3891" s="36"/>
      <c r="E3891" s="36" t="s">
        <v>157</v>
      </c>
      <c r="F3891" s="38">
        <v>57276497</v>
      </c>
      <c r="G3891" s="36" t="s">
        <v>8</v>
      </c>
      <c r="H3891" s="36" t="s">
        <v>8</v>
      </c>
      <c r="I3891" s="36" t="s">
        <v>197</v>
      </c>
      <c r="J3891" s="36"/>
    </row>
    <row r="3892" spans="1:10" x14ac:dyDescent="0.25">
      <c r="A3892" s="36" t="s">
        <v>157</v>
      </c>
      <c r="B3892" s="37">
        <v>43466</v>
      </c>
      <c r="C3892" s="36"/>
      <c r="D3892" s="36"/>
      <c r="E3892" s="36" t="s">
        <v>157</v>
      </c>
      <c r="F3892" s="38"/>
      <c r="G3892" s="36" t="s">
        <v>8</v>
      </c>
      <c r="H3892" s="36" t="s">
        <v>8</v>
      </c>
      <c r="I3892" s="36" t="s">
        <v>197</v>
      </c>
      <c r="J3892" s="36"/>
    </row>
    <row r="3893" spans="1:10" x14ac:dyDescent="0.25">
      <c r="A3893" s="36" t="s">
        <v>157</v>
      </c>
      <c r="B3893" s="37">
        <v>43497</v>
      </c>
      <c r="C3893" s="36"/>
      <c r="D3893" s="36"/>
      <c r="E3893" s="36" t="s">
        <v>157</v>
      </c>
      <c r="F3893" s="38"/>
      <c r="G3893" s="36" t="s">
        <v>8</v>
      </c>
      <c r="H3893" s="36" t="s">
        <v>8</v>
      </c>
      <c r="I3893" s="36" t="s">
        <v>197</v>
      </c>
      <c r="J3893" s="36"/>
    </row>
    <row r="3894" spans="1:10" x14ac:dyDescent="0.25">
      <c r="A3894" s="36" t="s">
        <v>157</v>
      </c>
      <c r="B3894" s="37">
        <v>43525</v>
      </c>
      <c r="C3894" s="36"/>
      <c r="D3894" s="36"/>
      <c r="E3894" s="36" t="s">
        <v>157</v>
      </c>
      <c r="F3894" s="38"/>
      <c r="G3894" s="36" t="s">
        <v>8</v>
      </c>
      <c r="H3894" s="36" t="s">
        <v>8</v>
      </c>
      <c r="I3894" s="36" t="s">
        <v>197</v>
      </c>
      <c r="J3894" s="36"/>
    </row>
    <row r="3895" spans="1:10" x14ac:dyDescent="0.25">
      <c r="A3895" s="36" t="s">
        <v>157</v>
      </c>
      <c r="B3895" s="37">
        <v>43556</v>
      </c>
      <c r="C3895" s="36"/>
      <c r="D3895" s="36"/>
      <c r="E3895" s="36" t="s">
        <v>157</v>
      </c>
      <c r="F3895" s="38"/>
      <c r="G3895" s="36" t="s">
        <v>8</v>
      </c>
      <c r="H3895" s="36" t="s">
        <v>8</v>
      </c>
      <c r="I3895" s="36" t="s">
        <v>197</v>
      </c>
      <c r="J3895" s="36"/>
    </row>
    <row r="3896" spans="1:10" x14ac:dyDescent="0.25">
      <c r="A3896" s="36" t="s">
        <v>157</v>
      </c>
      <c r="B3896" s="37">
        <v>43586</v>
      </c>
      <c r="C3896" s="36"/>
      <c r="D3896" s="36"/>
      <c r="E3896" s="36" t="s">
        <v>157</v>
      </c>
      <c r="F3896" s="38"/>
      <c r="G3896" s="36" t="s">
        <v>8</v>
      </c>
      <c r="H3896" s="36" t="s">
        <v>8</v>
      </c>
      <c r="I3896" s="36" t="s">
        <v>197</v>
      </c>
      <c r="J3896" s="36"/>
    </row>
    <row r="3897" spans="1:10" x14ac:dyDescent="0.25">
      <c r="A3897" s="36" t="s">
        <v>157</v>
      </c>
      <c r="B3897" s="37">
        <v>43617</v>
      </c>
      <c r="C3897" s="36"/>
      <c r="D3897" s="36"/>
      <c r="E3897" s="36" t="s">
        <v>157</v>
      </c>
      <c r="F3897" s="38"/>
      <c r="G3897" s="36" t="s">
        <v>8</v>
      </c>
      <c r="H3897" s="36" t="s">
        <v>8</v>
      </c>
      <c r="I3897" s="36" t="s">
        <v>197</v>
      </c>
      <c r="J3897" s="36"/>
    </row>
    <row r="3898" spans="1:10" x14ac:dyDescent="0.25">
      <c r="A3898" s="36" t="s">
        <v>157</v>
      </c>
      <c r="B3898" s="37">
        <v>43647</v>
      </c>
      <c r="C3898" s="36"/>
      <c r="D3898" s="36"/>
      <c r="E3898" s="36" t="s">
        <v>157</v>
      </c>
      <c r="F3898" s="38"/>
      <c r="G3898" s="36" t="s">
        <v>8</v>
      </c>
      <c r="H3898" s="36" t="s">
        <v>8</v>
      </c>
      <c r="I3898" s="36" t="s">
        <v>197</v>
      </c>
      <c r="J3898" s="36"/>
    </row>
    <row r="3899" spans="1:10" x14ac:dyDescent="0.25">
      <c r="A3899" s="36" t="s">
        <v>157</v>
      </c>
      <c r="B3899" s="37">
        <v>43678</v>
      </c>
      <c r="C3899" s="36"/>
      <c r="D3899" s="36"/>
      <c r="E3899" s="36" t="s">
        <v>157</v>
      </c>
      <c r="F3899" s="38"/>
      <c r="G3899" s="36" t="s">
        <v>8</v>
      </c>
      <c r="H3899" s="36" t="s">
        <v>8</v>
      </c>
      <c r="I3899" s="36" t="s">
        <v>197</v>
      </c>
      <c r="J3899" s="36"/>
    </row>
    <row r="3900" spans="1:10" x14ac:dyDescent="0.25">
      <c r="A3900" s="36" t="s">
        <v>157</v>
      </c>
      <c r="B3900" s="37">
        <v>43709</v>
      </c>
      <c r="C3900" s="36"/>
      <c r="D3900" s="36"/>
      <c r="E3900" s="36" t="s">
        <v>157</v>
      </c>
      <c r="F3900" s="38"/>
      <c r="G3900" s="36" t="s">
        <v>8</v>
      </c>
      <c r="H3900" s="36" t="s">
        <v>8</v>
      </c>
      <c r="I3900" s="36" t="s">
        <v>197</v>
      </c>
      <c r="J3900" s="36"/>
    </row>
    <row r="3901" spans="1:10" x14ac:dyDescent="0.25">
      <c r="A3901" s="36" t="s">
        <v>157</v>
      </c>
      <c r="B3901" s="37">
        <v>43739</v>
      </c>
      <c r="C3901" s="36"/>
      <c r="D3901" s="36"/>
      <c r="E3901" s="36" t="s">
        <v>157</v>
      </c>
      <c r="F3901" s="38"/>
      <c r="G3901" s="36" t="s">
        <v>8</v>
      </c>
      <c r="H3901" s="36" t="s">
        <v>8</v>
      </c>
      <c r="I3901" s="36" t="s">
        <v>197</v>
      </c>
      <c r="J3901" s="36"/>
    </row>
    <row r="3902" spans="1:10" x14ac:dyDescent="0.25">
      <c r="A3902" s="36" t="s">
        <v>157</v>
      </c>
      <c r="B3902" s="37">
        <v>43770</v>
      </c>
      <c r="C3902" s="36"/>
      <c r="D3902" s="36"/>
      <c r="E3902" s="36" t="s">
        <v>157</v>
      </c>
      <c r="F3902" s="38"/>
      <c r="G3902" s="36" t="s">
        <v>8</v>
      </c>
      <c r="H3902" s="36" t="s">
        <v>8</v>
      </c>
      <c r="I3902" s="36" t="s">
        <v>197</v>
      </c>
      <c r="J3902" s="36"/>
    </row>
    <row r="3903" spans="1:10" x14ac:dyDescent="0.25">
      <c r="A3903" s="36" t="s">
        <v>157</v>
      </c>
      <c r="B3903" s="37">
        <v>43800</v>
      </c>
      <c r="C3903" s="36"/>
      <c r="D3903" s="36"/>
      <c r="E3903" s="36" t="s">
        <v>157</v>
      </c>
      <c r="F3903" s="38"/>
      <c r="G3903" s="36" t="s">
        <v>8</v>
      </c>
      <c r="H3903" s="36" t="s">
        <v>8</v>
      </c>
      <c r="I3903" s="36" t="s">
        <v>197</v>
      </c>
      <c r="J3903" s="36"/>
    </row>
    <row r="3904" spans="1:10" x14ac:dyDescent="0.25">
      <c r="A3904" s="36">
        <v>1837</v>
      </c>
      <c r="B3904" s="37">
        <v>43525</v>
      </c>
      <c r="C3904" s="36"/>
      <c r="D3904" s="36"/>
      <c r="E3904" s="36" t="s">
        <v>133</v>
      </c>
      <c r="F3904" s="38">
        <v>1778395.5</v>
      </c>
      <c r="G3904" s="36" t="s">
        <v>136</v>
      </c>
      <c r="H3904" s="36" t="s">
        <v>136</v>
      </c>
      <c r="I3904" s="36"/>
      <c r="J3904" s="36"/>
    </row>
    <row r="3905" spans="1:10" x14ac:dyDescent="0.25">
      <c r="A3905" s="36">
        <v>1837</v>
      </c>
      <c r="B3905" s="37">
        <v>43556</v>
      </c>
      <c r="C3905" s="36"/>
      <c r="D3905" s="36"/>
      <c r="E3905" s="36" t="s">
        <v>133</v>
      </c>
      <c r="F3905" s="38">
        <v>1778395.5</v>
      </c>
      <c r="G3905" s="36" t="s">
        <v>136</v>
      </c>
      <c r="H3905" s="36" t="s">
        <v>136</v>
      </c>
      <c r="I3905" s="36"/>
      <c r="J3905" s="36"/>
    </row>
    <row r="3906" spans="1:10" x14ac:dyDescent="0.25">
      <c r="A3906" s="36">
        <v>1837</v>
      </c>
      <c r="B3906" s="37">
        <v>43586</v>
      </c>
      <c r="C3906" s="36"/>
      <c r="D3906" s="36"/>
      <c r="E3906" s="36" t="s">
        <v>133</v>
      </c>
      <c r="F3906" s="38">
        <v>1778395.5</v>
      </c>
      <c r="G3906" s="36" t="s">
        <v>136</v>
      </c>
      <c r="H3906" s="36" t="s">
        <v>136</v>
      </c>
      <c r="I3906" s="36"/>
      <c r="J3906" s="36"/>
    </row>
    <row r="3907" spans="1:10" x14ac:dyDescent="0.25">
      <c r="A3907" s="36">
        <v>1837</v>
      </c>
      <c r="B3907" s="37">
        <v>43617</v>
      </c>
      <c r="C3907" s="36"/>
      <c r="D3907" s="36"/>
      <c r="E3907" s="36" t="s">
        <v>133</v>
      </c>
      <c r="F3907" s="38">
        <v>1778395.5</v>
      </c>
      <c r="G3907" s="36" t="s">
        <v>136</v>
      </c>
      <c r="H3907" s="36" t="s">
        <v>136</v>
      </c>
      <c r="I3907" s="36"/>
      <c r="J3907" s="36"/>
    </row>
    <row r="3908" spans="1:10" x14ac:dyDescent="0.25">
      <c r="A3908" s="36">
        <v>1837</v>
      </c>
      <c r="B3908" s="37">
        <v>43525</v>
      </c>
      <c r="C3908" s="36"/>
      <c r="D3908" s="36"/>
      <c r="E3908" s="36" t="s">
        <v>84</v>
      </c>
      <c r="F3908" s="38">
        <v>7426125</v>
      </c>
      <c r="G3908" s="36" t="s">
        <v>136</v>
      </c>
      <c r="H3908" s="36" t="s">
        <v>136</v>
      </c>
      <c r="I3908" s="36"/>
      <c r="J3908" s="36"/>
    </row>
    <row r="3909" spans="1:10" x14ac:dyDescent="0.25">
      <c r="A3909" s="36">
        <v>1837</v>
      </c>
      <c r="B3909" s="37">
        <v>43556</v>
      </c>
      <c r="C3909" s="36"/>
      <c r="D3909" s="36"/>
      <c r="E3909" s="36" t="s">
        <v>84</v>
      </c>
      <c r="F3909" s="38">
        <v>7426125</v>
      </c>
      <c r="G3909" s="36" t="s">
        <v>136</v>
      </c>
      <c r="H3909" s="36" t="s">
        <v>136</v>
      </c>
      <c r="I3909" s="36"/>
      <c r="J3909" s="36"/>
    </row>
    <row r="3910" spans="1:10" x14ac:dyDescent="0.25">
      <c r="A3910" s="36">
        <v>1837</v>
      </c>
      <c r="B3910" s="37">
        <v>43586</v>
      </c>
      <c r="C3910" s="36"/>
      <c r="D3910" s="36"/>
      <c r="E3910" s="36" t="s">
        <v>84</v>
      </c>
      <c r="F3910" s="38">
        <v>7426125</v>
      </c>
      <c r="G3910" s="36" t="s">
        <v>136</v>
      </c>
      <c r="H3910" s="36" t="s">
        <v>136</v>
      </c>
      <c r="I3910" s="36"/>
      <c r="J3910" s="36"/>
    </row>
    <row r="3911" spans="1:10" x14ac:dyDescent="0.25">
      <c r="A3911" s="36">
        <v>1837</v>
      </c>
      <c r="B3911" s="37">
        <v>43617</v>
      </c>
      <c r="C3911" s="36"/>
      <c r="D3911" s="36"/>
      <c r="E3911" s="36" t="s">
        <v>84</v>
      </c>
      <c r="F3911" s="38">
        <v>7426125</v>
      </c>
      <c r="G3911" s="36" t="s">
        <v>136</v>
      </c>
      <c r="H3911" s="36" t="s">
        <v>136</v>
      </c>
      <c r="I3911" s="36"/>
      <c r="J3911" s="36"/>
    </row>
    <row r="3912" spans="1:10" x14ac:dyDescent="0.25">
      <c r="A3912" s="36">
        <v>1837</v>
      </c>
      <c r="B3912" s="37">
        <v>43525</v>
      </c>
      <c r="C3912" s="36"/>
      <c r="D3912" s="36"/>
      <c r="E3912" s="36" t="s">
        <v>134</v>
      </c>
      <c r="F3912" s="38">
        <v>964096.875</v>
      </c>
      <c r="G3912" s="36" t="s">
        <v>136</v>
      </c>
      <c r="H3912" s="36" t="s">
        <v>136</v>
      </c>
      <c r="I3912" s="36"/>
      <c r="J3912" s="36"/>
    </row>
    <row r="3913" spans="1:10" x14ac:dyDescent="0.25">
      <c r="A3913" s="36">
        <v>1837</v>
      </c>
      <c r="B3913" s="37">
        <v>43525</v>
      </c>
      <c r="C3913" s="36"/>
      <c r="D3913" s="36"/>
      <c r="E3913" s="36" t="s">
        <v>74</v>
      </c>
      <c r="F3913" s="38">
        <v>3764722.4999999995</v>
      </c>
      <c r="G3913" s="36" t="s">
        <v>136</v>
      </c>
      <c r="H3913" s="36" t="s">
        <v>136</v>
      </c>
      <c r="I3913" s="36"/>
      <c r="J3913" s="36"/>
    </row>
    <row r="3914" spans="1:10" x14ac:dyDescent="0.25">
      <c r="A3914" s="36">
        <v>1837</v>
      </c>
      <c r="B3914" s="37">
        <v>43556</v>
      </c>
      <c r="C3914" s="36"/>
      <c r="D3914" s="36"/>
      <c r="E3914" s="36" t="s">
        <v>74</v>
      </c>
      <c r="F3914" s="38">
        <v>3764722.4999999995</v>
      </c>
      <c r="G3914" s="36" t="s">
        <v>136</v>
      </c>
      <c r="H3914" s="36" t="s">
        <v>136</v>
      </c>
      <c r="I3914" s="36"/>
      <c r="J3914" s="36"/>
    </row>
    <row r="3915" spans="1:10" x14ac:dyDescent="0.25">
      <c r="A3915" s="36">
        <v>1837</v>
      </c>
      <c r="B3915" s="37">
        <v>43586</v>
      </c>
      <c r="C3915" s="36"/>
      <c r="D3915" s="36"/>
      <c r="E3915" s="36" t="s">
        <v>74</v>
      </c>
      <c r="F3915" s="38">
        <v>3764722.4999999995</v>
      </c>
      <c r="G3915" s="36" t="s">
        <v>136</v>
      </c>
      <c r="H3915" s="36" t="s">
        <v>136</v>
      </c>
      <c r="I3915" s="36"/>
      <c r="J3915" s="36"/>
    </row>
    <row r="3916" spans="1:10" x14ac:dyDescent="0.25">
      <c r="A3916" s="36">
        <v>1837</v>
      </c>
      <c r="B3916" s="37">
        <v>43617</v>
      </c>
      <c r="C3916" s="36"/>
      <c r="D3916" s="36"/>
      <c r="E3916" s="36" t="s">
        <v>74</v>
      </c>
      <c r="F3916" s="38">
        <v>3764722.4999999995</v>
      </c>
      <c r="G3916" s="36" t="s">
        <v>136</v>
      </c>
      <c r="H3916" s="36" t="s">
        <v>136</v>
      </c>
      <c r="I3916" s="36"/>
      <c r="J3916" s="36"/>
    </row>
    <row r="3917" spans="1:10" x14ac:dyDescent="0.25">
      <c r="A3917" s="36">
        <v>1837</v>
      </c>
      <c r="B3917" s="37">
        <v>43525</v>
      </c>
      <c r="C3917" s="36"/>
      <c r="D3917" s="36"/>
      <c r="E3917" s="36" t="s">
        <v>135</v>
      </c>
      <c r="F3917" s="38">
        <v>10500000</v>
      </c>
      <c r="G3917" s="36" t="s">
        <v>136</v>
      </c>
      <c r="H3917" s="36" t="s">
        <v>136</v>
      </c>
      <c r="I3917" s="36"/>
      <c r="J3917" s="36"/>
    </row>
    <row r="3918" spans="1:10" x14ac:dyDescent="0.25">
      <c r="A3918" s="36">
        <v>1837</v>
      </c>
      <c r="B3918" s="37">
        <v>43556</v>
      </c>
      <c r="C3918" s="36"/>
      <c r="D3918" s="36"/>
      <c r="E3918" s="36" t="s">
        <v>135</v>
      </c>
      <c r="F3918" s="38">
        <v>10500000</v>
      </c>
      <c r="G3918" s="36" t="s">
        <v>136</v>
      </c>
      <c r="H3918" s="36" t="s">
        <v>136</v>
      </c>
      <c r="I3918" s="36"/>
      <c r="J3918" s="36"/>
    </row>
    <row r="3919" spans="1:10" x14ac:dyDescent="0.25">
      <c r="A3919" s="36">
        <v>1837</v>
      </c>
      <c r="B3919" s="37">
        <v>43586</v>
      </c>
      <c r="C3919" s="36"/>
      <c r="D3919" s="36"/>
      <c r="E3919" s="36" t="s">
        <v>135</v>
      </c>
      <c r="F3919" s="38">
        <v>10500000</v>
      </c>
      <c r="G3919" s="36" t="s">
        <v>136</v>
      </c>
      <c r="H3919" s="36" t="s">
        <v>136</v>
      </c>
      <c r="I3919" s="36"/>
      <c r="J3919" s="36"/>
    </row>
    <row r="3920" spans="1:10" x14ac:dyDescent="0.25">
      <c r="A3920" s="36">
        <v>1837</v>
      </c>
      <c r="B3920" s="37">
        <v>43617</v>
      </c>
      <c r="C3920" s="36"/>
      <c r="D3920" s="36"/>
      <c r="E3920" s="36" t="s">
        <v>135</v>
      </c>
      <c r="F3920" s="38">
        <v>10500000</v>
      </c>
      <c r="G3920" s="36" t="s">
        <v>136</v>
      </c>
      <c r="H3920" s="36" t="s">
        <v>136</v>
      </c>
      <c r="I3920" s="36"/>
      <c r="J3920" s="36"/>
    </row>
    <row r="3921" spans="1:10" x14ac:dyDescent="0.25">
      <c r="A3921" s="36" t="s">
        <v>157</v>
      </c>
      <c r="B3921" s="37">
        <v>43466</v>
      </c>
      <c r="C3921" s="36"/>
      <c r="D3921" s="39" t="s">
        <v>225</v>
      </c>
      <c r="E3921" s="39" t="s">
        <v>157</v>
      </c>
      <c r="F3921" s="38">
        <v>0</v>
      </c>
      <c r="G3921" s="36" t="s">
        <v>222</v>
      </c>
      <c r="H3921" s="36" t="s">
        <v>222</v>
      </c>
      <c r="I3921" s="36"/>
      <c r="J3921" s="36"/>
    </row>
    <row r="3922" spans="1:10" x14ac:dyDescent="0.25">
      <c r="A3922" s="36" t="s">
        <v>157</v>
      </c>
      <c r="B3922" s="37">
        <v>43497</v>
      </c>
      <c r="C3922" s="36"/>
      <c r="D3922" s="39" t="s">
        <v>225</v>
      </c>
      <c r="E3922" s="39" t="s">
        <v>157</v>
      </c>
      <c r="F3922" s="38">
        <v>65380491.681576155</v>
      </c>
      <c r="G3922" s="36" t="s">
        <v>222</v>
      </c>
      <c r="H3922" s="36" t="s">
        <v>222</v>
      </c>
      <c r="I3922" s="36"/>
      <c r="J3922" s="36"/>
    </row>
    <row r="3923" spans="1:10" x14ac:dyDescent="0.25">
      <c r="A3923" s="36" t="s">
        <v>157</v>
      </c>
      <c r="B3923" s="37">
        <v>43525</v>
      </c>
      <c r="C3923" s="36"/>
      <c r="D3923" s="39" t="s">
        <v>225</v>
      </c>
      <c r="E3923" s="39" t="s">
        <v>157</v>
      </c>
      <c r="F3923" s="38">
        <v>237933985.8693701</v>
      </c>
      <c r="G3923" s="36" t="s">
        <v>222</v>
      </c>
      <c r="H3923" s="36" t="s">
        <v>222</v>
      </c>
      <c r="I3923" s="36"/>
      <c r="J3923" s="36"/>
    </row>
    <row r="3924" spans="1:10" x14ac:dyDescent="0.25">
      <c r="A3924" s="36" t="s">
        <v>157</v>
      </c>
      <c r="B3924" s="37">
        <v>43556</v>
      </c>
      <c r="C3924" s="36"/>
      <c r="D3924" s="39" t="s">
        <v>225</v>
      </c>
      <c r="E3924" s="39" t="s">
        <v>157</v>
      </c>
      <c r="F3924" s="38">
        <v>450459612.7334311</v>
      </c>
      <c r="G3924" s="36" t="s">
        <v>222</v>
      </c>
      <c r="H3924" s="36" t="s">
        <v>222</v>
      </c>
      <c r="I3924" s="36"/>
      <c r="J3924" s="36"/>
    </row>
    <row r="3925" spans="1:10" x14ac:dyDescent="0.25">
      <c r="A3925" s="36" t="s">
        <v>157</v>
      </c>
      <c r="B3925" s="37">
        <v>43586</v>
      </c>
      <c r="C3925" s="36"/>
      <c r="D3925" s="39" t="s">
        <v>225</v>
      </c>
      <c r="E3925" s="39" t="s">
        <v>157</v>
      </c>
      <c r="F3925" s="38">
        <v>668572032.50786221</v>
      </c>
      <c r="G3925" s="36" t="s">
        <v>222</v>
      </c>
      <c r="H3925" s="36" t="s">
        <v>222</v>
      </c>
      <c r="I3925" s="36"/>
      <c r="J3925" s="36"/>
    </row>
    <row r="3926" spans="1:10" x14ac:dyDescent="0.25">
      <c r="A3926" s="36" t="s">
        <v>157</v>
      </c>
      <c r="B3926" s="37">
        <v>43617</v>
      </c>
      <c r="C3926" s="36"/>
      <c r="D3926" s="39" t="s">
        <v>225</v>
      </c>
      <c r="E3926" s="39" t="s">
        <v>157</v>
      </c>
      <c r="F3926" s="38">
        <v>866343539.12683725</v>
      </c>
      <c r="G3926" s="36" t="s">
        <v>222</v>
      </c>
      <c r="H3926" s="36" t="s">
        <v>222</v>
      </c>
      <c r="I3926" s="36"/>
      <c r="J3926" s="36"/>
    </row>
    <row r="3927" spans="1:10" x14ac:dyDescent="0.25">
      <c r="A3927" s="36" t="s">
        <v>157</v>
      </c>
      <c r="B3927" s="37">
        <v>43647</v>
      </c>
      <c r="C3927" s="36"/>
      <c r="D3927" s="39" t="s">
        <v>225</v>
      </c>
      <c r="E3927" s="39" t="s">
        <v>157</v>
      </c>
      <c r="F3927" s="38">
        <v>1060833240.3960474</v>
      </c>
      <c r="G3927" s="36" t="s">
        <v>222</v>
      </c>
      <c r="H3927" s="36" t="s">
        <v>222</v>
      </c>
      <c r="I3927" s="36"/>
      <c r="J3927" s="36"/>
    </row>
    <row r="3928" spans="1:10" x14ac:dyDescent="0.25">
      <c r="A3928" s="36" t="s">
        <v>157</v>
      </c>
      <c r="B3928" s="37">
        <v>43678</v>
      </c>
      <c r="C3928" s="36"/>
      <c r="D3928" s="39" t="s">
        <v>225</v>
      </c>
      <c r="E3928" s="39" t="s">
        <v>157</v>
      </c>
      <c r="F3928" s="38">
        <v>1239967103.8884077</v>
      </c>
      <c r="G3928" s="36" t="s">
        <v>222</v>
      </c>
      <c r="H3928" s="36" t="s">
        <v>222</v>
      </c>
      <c r="I3928" s="36"/>
      <c r="J3928" s="36"/>
    </row>
    <row r="3929" spans="1:10" x14ac:dyDescent="0.25">
      <c r="A3929" s="36" t="s">
        <v>157</v>
      </c>
      <c r="B3929" s="37">
        <v>43709</v>
      </c>
      <c r="C3929" s="36"/>
      <c r="D3929" s="39" t="s">
        <v>225</v>
      </c>
      <c r="E3929" s="39" t="s">
        <v>157</v>
      </c>
      <c r="F3929" s="38">
        <v>1421490223.25789</v>
      </c>
      <c r="G3929" s="36" t="s">
        <v>222</v>
      </c>
      <c r="H3929" s="36" t="s">
        <v>222</v>
      </c>
      <c r="I3929" s="36"/>
      <c r="J3929" s="36"/>
    </row>
    <row r="3930" spans="1:10" x14ac:dyDescent="0.25">
      <c r="A3930" s="36" t="s">
        <v>157</v>
      </c>
      <c r="B3930" s="37">
        <v>43739</v>
      </c>
      <c r="C3930" s="36"/>
      <c r="D3930" s="39" t="s">
        <v>225</v>
      </c>
      <c r="E3930" s="39" t="s">
        <v>157</v>
      </c>
      <c r="F3930" s="38">
        <v>1570359940.4896142</v>
      </c>
      <c r="G3930" s="36" t="s">
        <v>222</v>
      </c>
      <c r="H3930" s="36" t="s">
        <v>222</v>
      </c>
      <c r="I3930" s="36"/>
      <c r="J3930" s="36"/>
    </row>
    <row r="3931" spans="1:10" x14ac:dyDescent="0.25">
      <c r="A3931" s="36" t="s">
        <v>157</v>
      </c>
      <c r="B3931" s="37">
        <v>43770</v>
      </c>
      <c r="C3931" s="36"/>
      <c r="D3931" s="39" t="s">
        <v>225</v>
      </c>
      <c r="E3931" s="39" t="s">
        <v>157</v>
      </c>
      <c r="F3931" s="38">
        <v>1694649963.0432663</v>
      </c>
      <c r="G3931" s="36" t="s">
        <v>222</v>
      </c>
      <c r="H3931" s="36" t="s">
        <v>222</v>
      </c>
      <c r="I3931" s="36"/>
      <c r="J3931" s="36"/>
    </row>
    <row r="3932" spans="1:10" x14ac:dyDescent="0.25">
      <c r="A3932" s="36" t="s">
        <v>157</v>
      </c>
      <c r="B3932" s="37">
        <v>43800</v>
      </c>
      <c r="C3932" s="36"/>
      <c r="D3932" s="39" t="s">
        <v>225</v>
      </c>
      <c r="E3932" s="39" t="s">
        <v>157</v>
      </c>
      <c r="F3932" s="38">
        <v>1806617631.1543489</v>
      </c>
      <c r="G3932" s="36" t="s">
        <v>222</v>
      </c>
      <c r="H3932" s="36" t="s">
        <v>222</v>
      </c>
      <c r="I3932" s="36"/>
      <c r="J3932" s="36"/>
    </row>
    <row r="3933" spans="1:10" x14ac:dyDescent="0.25">
      <c r="A3933" s="36" t="s">
        <v>157</v>
      </c>
      <c r="B3933" s="37">
        <v>43466</v>
      </c>
      <c r="C3933" s="36"/>
      <c r="D3933" s="39" t="s">
        <v>226</v>
      </c>
      <c r="E3933" s="39" t="s">
        <v>157</v>
      </c>
      <c r="F3933" s="38">
        <v>0</v>
      </c>
      <c r="G3933" s="36" t="s">
        <v>222</v>
      </c>
      <c r="H3933" s="36" t="s">
        <v>222</v>
      </c>
      <c r="I3933" s="36"/>
      <c r="J3933" s="36"/>
    </row>
    <row r="3934" spans="1:10" x14ac:dyDescent="0.25">
      <c r="A3934" s="36" t="s">
        <v>157</v>
      </c>
      <c r="B3934" s="37">
        <v>43497</v>
      </c>
      <c r="C3934" s="36"/>
      <c r="D3934" s="39" t="s">
        <v>226</v>
      </c>
      <c r="E3934" s="39" t="s">
        <v>157</v>
      </c>
      <c r="F3934" s="38">
        <v>29723362.07914333</v>
      </c>
      <c r="G3934" s="36" t="s">
        <v>222</v>
      </c>
      <c r="H3934" s="36" t="s">
        <v>222</v>
      </c>
      <c r="I3934" s="36"/>
      <c r="J3934" s="36"/>
    </row>
    <row r="3935" spans="1:10" x14ac:dyDescent="0.25">
      <c r="A3935" s="36" t="s">
        <v>157</v>
      </c>
      <c r="B3935" s="37">
        <v>43525</v>
      </c>
      <c r="C3935" s="36"/>
      <c r="D3935" s="39" t="s">
        <v>226</v>
      </c>
      <c r="E3935" s="39" t="s">
        <v>157</v>
      </c>
      <c r="F3935" s="38">
        <v>106493295.64064981</v>
      </c>
      <c r="G3935" s="36" t="s">
        <v>222</v>
      </c>
      <c r="H3935" s="36" t="s">
        <v>222</v>
      </c>
      <c r="I3935" s="36"/>
      <c r="J3935" s="36"/>
    </row>
    <row r="3936" spans="1:10" x14ac:dyDescent="0.25">
      <c r="A3936" s="36" t="s">
        <v>157</v>
      </c>
      <c r="B3936" s="37">
        <v>43556</v>
      </c>
      <c r="C3936" s="36"/>
      <c r="D3936" s="39" t="s">
        <v>226</v>
      </c>
      <c r="E3936" s="39" t="s">
        <v>157</v>
      </c>
      <c r="F3936" s="38">
        <v>212154874.02579421</v>
      </c>
      <c r="G3936" s="36" t="s">
        <v>222</v>
      </c>
      <c r="H3936" s="36" t="s">
        <v>222</v>
      </c>
      <c r="I3936" s="36"/>
      <c r="J3936" s="36"/>
    </row>
    <row r="3937" spans="1:10" x14ac:dyDescent="0.25">
      <c r="A3937" s="36" t="s">
        <v>157</v>
      </c>
      <c r="B3937" s="37">
        <v>43586</v>
      </c>
      <c r="C3937" s="36"/>
      <c r="D3937" s="39" t="s">
        <v>226</v>
      </c>
      <c r="E3937" s="39" t="s">
        <v>157</v>
      </c>
      <c r="F3937" s="38">
        <v>306283344.13891673</v>
      </c>
      <c r="G3937" s="36" t="s">
        <v>222</v>
      </c>
      <c r="H3937" s="36" t="s">
        <v>222</v>
      </c>
      <c r="I3937" s="36"/>
      <c r="J3937" s="36"/>
    </row>
    <row r="3938" spans="1:10" x14ac:dyDescent="0.25">
      <c r="A3938" s="36" t="s">
        <v>157</v>
      </c>
      <c r="B3938" s="37">
        <v>43617</v>
      </c>
      <c r="C3938" s="36"/>
      <c r="D3938" s="39" t="s">
        <v>226</v>
      </c>
      <c r="E3938" s="39" t="s">
        <v>157</v>
      </c>
      <c r="F3938" s="38">
        <v>402829101.16013914</v>
      </c>
      <c r="G3938" s="36" t="s">
        <v>222</v>
      </c>
      <c r="H3938" s="36" t="s">
        <v>222</v>
      </c>
      <c r="I3938" s="36"/>
      <c r="J3938" s="36"/>
    </row>
    <row r="3939" spans="1:10" x14ac:dyDescent="0.25">
      <c r="A3939" s="36" t="s">
        <v>157</v>
      </c>
      <c r="B3939" s="37">
        <v>43647</v>
      </c>
      <c r="C3939" s="36"/>
      <c r="D3939" s="39" t="s">
        <v>226</v>
      </c>
      <c r="E3939" s="39" t="s">
        <v>157</v>
      </c>
      <c r="F3939" s="38">
        <v>504540568.92664355</v>
      </c>
      <c r="G3939" s="36" t="s">
        <v>222</v>
      </c>
      <c r="H3939" s="36" t="s">
        <v>222</v>
      </c>
      <c r="I3939" s="36"/>
      <c r="J3939" s="36"/>
    </row>
    <row r="3940" spans="1:10" x14ac:dyDescent="0.25">
      <c r="A3940" s="36" t="s">
        <v>157</v>
      </c>
      <c r="B3940" s="37">
        <v>43678</v>
      </c>
      <c r="C3940" s="36"/>
      <c r="D3940" s="39" t="s">
        <v>226</v>
      </c>
      <c r="E3940" s="39" t="s">
        <v>157</v>
      </c>
      <c r="F3940" s="38">
        <v>591722058.84424269</v>
      </c>
      <c r="G3940" s="36" t="s">
        <v>222</v>
      </c>
      <c r="H3940" s="36" t="s">
        <v>222</v>
      </c>
      <c r="I3940" s="36"/>
      <c r="J3940" s="36"/>
    </row>
    <row r="3941" spans="1:10" x14ac:dyDescent="0.25">
      <c r="A3941" s="36" t="s">
        <v>157</v>
      </c>
      <c r="B3941" s="37">
        <v>43709</v>
      </c>
      <c r="C3941" s="36"/>
      <c r="D3941" s="39" t="s">
        <v>226</v>
      </c>
      <c r="E3941" s="39" t="s">
        <v>157</v>
      </c>
      <c r="F3941" s="38">
        <v>657023582.20424581</v>
      </c>
      <c r="G3941" s="36" t="s">
        <v>222</v>
      </c>
      <c r="H3941" s="36" t="s">
        <v>222</v>
      </c>
      <c r="I3941" s="36"/>
      <c r="J3941" s="36"/>
    </row>
    <row r="3942" spans="1:10" x14ac:dyDescent="0.25">
      <c r="A3942" s="36" t="s">
        <v>157</v>
      </c>
      <c r="B3942" s="37">
        <v>43739</v>
      </c>
      <c r="C3942" s="36"/>
      <c r="D3942" s="39" t="s">
        <v>226</v>
      </c>
      <c r="E3942" s="39" t="s">
        <v>157</v>
      </c>
      <c r="F3942" s="38">
        <v>731693920.82438624</v>
      </c>
      <c r="G3942" s="36" t="s">
        <v>222</v>
      </c>
      <c r="H3942" s="36" t="s">
        <v>222</v>
      </c>
      <c r="I3942" s="36"/>
      <c r="J3942" s="36"/>
    </row>
    <row r="3943" spans="1:10" x14ac:dyDescent="0.25">
      <c r="A3943" s="36" t="s">
        <v>157</v>
      </c>
      <c r="B3943" s="37">
        <v>43770</v>
      </c>
      <c r="C3943" s="36"/>
      <c r="D3943" s="39" t="s">
        <v>226</v>
      </c>
      <c r="E3943" s="39" t="s">
        <v>157</v>
      </c>
      <c r="F3943" s="38">
        <v>788166760.38460636</v>
      </c>
      <c r="G3943" s="36" t="s">
        <v>222</v>
      </c>
      <c r="H3943" s="36" t="s">
        <v>222</v>
      </c>
      <c r="I3943" s="36"/>
      <c r="J3943" s="36"/>
    </row>
    <row r="3944" spans="1:10" x14ac:dyDescent="0.25">
      <c r="A3944" s="36" t="s">
        <v>157</v>
      </c>
      <c r="B3944" s="37">
        <v>43800</v>
      </c>
      <c r="C3944" s="36"/>
      <c r="D3944" s="39" t="s">
        <v>226</v>
      </c>
      <c r="E3944" s="39" t="s">
        <v>157</v>
      </c>
      <c r="F3944" s="38">
        <v>862325415.31937265</v>
      </c>
      <c r="G3944" s="36" t="s">
        <v>222</v>
      </c>
      <c r="H3944" s="36" t="s">
        <v>222</v>
      </c>
      <c r="I3944" s="36"/>
      <c r="J3944" s="36"/>
    </row>
    <row r="3945" spans="1:10" x14ac:dyDescent="0.25">
      <c r="A3945" s="36" t="s">
        <v>157</v>
      </c>
      <c r="B3945" s="37">
        <v>43466</v>
      </c>
      <c r="C3945" s="36"/>
      <c r="D3945" s="39" t="s">
        <v>227</v>
      </c>
      <c r="E3945" s="39" t="s">
        <v>157</v>
      </c>
      <c r="F3945" s="38">
        <v>0</v>
      </c>
      <c r="G3945" s="36" t="s">
        <v>222</v>
      </c>
      <c r="H3945" s="36" t="s">
        <v>222</v>
      </c>
      <c r="I3945" s="36"/>
      <c r="J3945" s="36"/>
    </row>
    <row r="3946" spans="1:10" x14ac:dyDescent="0.25">
      <c r="A3946" s="36" t="s">
        <v>157</v>
      </c>
      <c r="B3946" s="37">
        <v>43497</v>
      </c>
      <c r="C3946" s="36"/>
      <c r="D3946" s="39" t="s">
        <v>227</v>
      </c>
      <c r="E3946" s="39" t="s">
        <v>157</v>
      </c>
      <c r="F3946" s="38">
        <v>27644099.01730093</v>
      </c>
      <c r="G3946" s="36" t="s">
        <v>222</v>
      </c>
      <c r="H3946" s="36" t="s">
        <v>222</v>
      </c>
      <c r="I3946" s="36"/>
      <c r="J3946" s="36"/>
    </row>
    <row r="3947" spans="1:10" x14ac:dyDescent="0.25">
      <c r="A3947" s="36" t="s">
        <v>157</v>
      </c>
      <c r="B3947" s="37">
        <v>43525</v>
      </c>
      <c r="C3947" s="36"/>
      <c r="D3947" s="39" t="s">
        <v>227</v>
      </c>
      <c r="E3947" s="39" t="s">
        <v>157</v>
      </c>
      <c r="F3947" s="38">
        <v>108434465.15695676</v>
      </c>
      <c r="G3947" s="36" t="s">
        <v>222</v>
      </c>
      <c r="H3947" s="36" t="s">
        <v>222</v>
      </c>
      <c r="I3947" s="36"/>
      <c r="J3947" s="36"/>
    </row>
    <row r="3948" spans="1:10" x14ac:dyDescent="0.25">
      <c r="A3948" s="36" t="s">
        <v>157</v>
      </c>
      <c r="B3948" s="37">
        <v>43556</v>
      </c>
      <c r="C3948" s="36"/>
      <c r="D3948" s="39" t="s">
        <v>227</v>
      </c>
      <c r="E3948" s="39" t="s">
        <v>157</v>
      </c>
      <c r="F3948" s="38">
        <v>215040164.92998627</v>
      </c>
      <c r="G3948" s="36" t="s">
        <v>222</v>
      </c>
      <c r="H3948" s="36" t="s">
        <v>222</v>
      </c>
      <c r="I3948" s="36"/>
      <c r="J3948" s="36"/>
    </row>
    <row r="3949" spans="1:10" x14ac:dyDescent="0.25">
      <c r="A3949" s="36" t="s">
        <v>157</v>
      </c>
      <c r="B3949" s="37">
        <v>43586</v>
      </c>
      <c r="C3949" s="36"/>
      <c r="D3949" s="39" t="s">
        <v>227</v>
      </c>
      <c r="E3949" s="39" t="s">
        <v>157</v>
      </c>
      <c r="F3949" s="38">
        <v>326103414.20165074</v>
      </c>
      <c r="G3949" s="36" t="s">
        <v>222</v>
      </c>
      <c r="H3949" s="36" t="s">
        <v>222</v>
      </c>
      <c r="I3949" s="36"/>
      <c r="J3949" s="36"/>
    </row>
    <row r="3950" spans="1:10" x14ac:dyDescent="0.25">
      <c r="A3950" s="36" t="s">
        <v>157</v>
      </c>
      <c r="B3950" s="37">
        <v>43617</v>
      </c>
      <c r="C3950" s="36"/>
      <c r="D3950" s="39" t="s">
        <v>227</v>
      </c>
      <c r="E3950" s="39" t="s">
        <v>157</v>
      </c>
      <c r="F3950" s="38">
        <v>433658250.30918729</v>
      </c>
      <c r="G3950" s="36" t="s">
        <v>222</v>
      </c>
      <c r="H3950" s="36" t="s">
        <v>222</v>
      </c>
      <c r="I3950" s="36"/>
      <c r="J3950" s="36"/>
    </row>
    <row r="3951" spans="1:10" x14ac:dyDescent="0.25">
      <c r="A3951" s="36" t="s">
        <v>157</v>
      </c>
      <c r="B3951" s="37">
        <v>43647</v>
      </c>
      <c r="C3951" s="36"/>
      <c r="D3951" s="39" t="s">
        <v>227</v>
      </c>
      <c r="E3951" s="39" t="s">
        <v>157</v>
      </c>
      <c r="F3951" s="38">
        <v>537306402.27573991</v>
      </c>
      <c r="G3951" s="36" t="s">
        <v>222</v>
      </c>
      <c r="H3951" s="36" t="s">
        <v>222</v>
      </c>
      <c r="I3951" s="36"/>
      <c r="J3951" s="36"/>
    </row>
    <row r="3952" spans="1:10" x14ac:dyDescent="0.25">
      <c r="A3952" s="36" t="s">
        <v>157</v>
      </c>
      <c r="B3952" s="37">
        <v>43678</v>
      </c>
      <c r="C3952" s="36"/>
      <c r="D3952" s="39" t="s">
        <v>227</v>
      </c>
      <c r="E3952" s="39" t="s">
        <v>157</v>
      </c>
      <c r="F3952" s="38">
        <v>628784529.53308058</v>
      </c>
      <c r="G3952" s="36" t="s">
        <v>222</v>
      </c>
      <c r="H3952" s="36" t="s">
        <v>222</v>
      </c>
      <c r="I3952" s="36"/>
      <c r="J3952" s="36"/>
    </row>
    <row r="3953" spans="1:10" x14ac:dyDescent="0.25">
      <c r="A3953" s="36" t="s">
        <v>157</v>
      </c>
      <c r="B3953" s="37">
        <v>43709</v>
      </c>
      <c r="C3953" s="36"/>
      <c r="D3953" s="39" t="s">
        <v>227</v>
      </c>
      <c r="E3953" s="39" t="s">
        <v>157</v>
      </c>
      <c r="F3953" s="38">
        <v>703478269.58076894</v>
      </c>
      <c r="G3953" s="36" t="s">
        <v>222</v>
      </c>
      <c r="H3953" s="36" t="s">
        <v>222</v>
      </c>
      <c r="I3953" s="36"/>
      <c r="J3953" s="36"/>
    </row>
    <row r="3954" spans="1:10" x14ac:dyDescent="0.25">
      <c r="A3954" s="36" t="s">
        <v>157</v>
      </c>
      <c r="B3954" s="37">
        <v>43739</v>
      </c>
      <c r="C3954" s="36"/>
      <c r="D3954" s="39" t="s">
        <v>227</v>
      </c>
      <c r="E3954" s="39" t="s">
        <v>157</v>
      </c>
      <c r="F3954" s="38">
        <v>789708741.5707835</v>
      </c>
      <c r="G3954" s="36" t="s">
        <v>222</v>
      </c>
      <c r="H3954" s="36" t="s">
        <v>222</v>
      </c>
      <c r="I3954" s="36"/>
      <c r="J3954" s="36"/>
    </row>
    <row r="3955" spans="1:10" x14ac:dyDescent="0.25">
      <c r="A3955" s="36" t="s">
        <v>157</v>
      </c>
      <c r="B3955" s="37">
        <v>43770</v>
      </c>
      <c r="C3955" s="36"/>
      <c r="D3955" s="39" t="s">
        <v>227</v>
      </c>
      <c r="E3955" s="39" t="s">
        <v>157</v>
      </c>
      <c r="F3955" s="38">
        <v>874060685.94035137</v>
      </c>
      <c r="G3955" s="36" t="s">
        <v>222</v>
      </c>
      <c r="H3955" s="36" t="s">
        <v>222</v>
      </c>
      <c r="I3955" s="36"/>
      <c r="J3955" s="36"/>
    </row>
    <row r="3956" spans="1:10" x14ac:dyDescent="0.25">
      <c r="A3956" s="36" t="s">
        <v>157</v>
      </c>
      <c r="B3956" s="37">
        <v>43800</v>
      </c>
      <c r="C3956" s="36"/>
      <c r="D3956" s="39" t="s">
        <v>227</v>
      </c>
      <c r="E3956" s="39" t="s">
        <v>157</v>
      </c>
      <c r="F3956" s="38">
        <v>922424163.38466382</v>
      </c>
      <c r="G3956" s="36" t="s">
        <v>222</v>
      </c>
      <c r="H3956" s="36" t="s">
        <v>222</v>
      </c>
      <c r="I3956" s="36"/>
      <c r="J3956" s="36"/>
    </row>
    <row r="3957" spans="1:10" x14ac:dyDescent="0.25">
      <c r="A3957" s="36" t="s">
        <v>157</v>
      </c>
      <c r="B3957" s="37">
        <v>43466</v>
      </c>
      <c r="C3957" s="36"/>
      <c r="D3957" s="39" t="s">
        <v>223</v>
      </c>
      <c r="E3957" s="39" t="s">
        <v>157</v>
      </c>
      <c r="F3957" s="38">
        <v>0</v>
      </c>
      <c r="G3957" s="36" t="s">
        <v>222</v>
      </c>
      <c r="H3957" s="36" t="s">
        <v>222</v>
      </c>
      <c r="I3957" s="36"/>
      <c r="J3957" s="36"/>
    </row>
    <row r="3958" spans="1:10" x14ac:dyDescent="0.25">
      <c r="A3958" s="36" t="s">
        <v>157</v>
      </c>
      <c r="B3958" s="37">
        <v>43497</v>
      </c>
      <c r="C3958" s="36"/>
      <c r="D3958" s="39" t="s">
        <v>223</v>
      </c>
      <c r="E3958" s="39" t="s">
        <v>157</v>
      </c>
      <c r="F3958" s="38">
        <v>62946300.296504878</v>
      </c>
      <c r="G3958" s="36" t="s">
        <v>222</v>
      </c>
      <c r="H3958" s="36" t="s">
        <v>222</v>
      </c>
      <c r="I3958" s="36"/>
      <c r="J3958" s="36"/>
    </row>
    <row r="3959" spans="1:10" x14ac:dyDescent="0.25">
      <c r="A3959" s="36" t="s">
        <v>157</v>
      </c>
      <c r="B3959" s="37">
        <v>43525</v>
      </c>
      <c r="C3959" s="36"/>
      <c r="D3959" s="39" t="s">
        <v>223</v>
      </c>
      <c r="E3959" s="39" t="s">
        <v>157</v>
      </c>
      <c r="F3959" s="38">
        <v>223471469.45540509</v>
      </c>
      <c r="G3959" s="36" t="s">
        <v>222</v>
      </c>
      <c r="H3959" s="36" t="s">
        <v>222</v>
      </c>
      <c r="I3959" s="36"/>
      <c r="J3959" s="36"/>
    </row>
    <row r="3960" spans="1:10" x14ac:dyDescent="0.25">
      <c r="A3960" s="36" t="s">
        <v>157</v>
      </c>
      <c r="B3960" s="37">
        <v>43556</v>
      </c>
      <c r="C3960" s="36"/>
      <c r="D3960" s="39" t="s">
        <v>223</v>
      </c>
      <c r="E3960" s="39" t="s">
        <v>157</v>
      </c>
      <c r="F3960" s="38">
        <v>409758312.58426094</v>
      </c>
      <c r="G3960" s="36" t="s">
        <v>222</v>
      </c>
      <c r="H3960" s="36" t="s">
        <v>222</v>
      </c>
      <c r="I3960" s="36"/>
      <c r="J3960" s="36"/>
    </row>
    <row r="3961" spans="1:10" x14ac:dyDescent="0.25">
      <c r="A3961" s="36" t="s">
        <v>157</v>
      </c>
      <c r="B3961" s="37">
        <v>43586</v>
      </c>
      <c r="C3961" s="36"/>
      <c r="D3961" s="39" t="s">
        <v>223</v>
      </c>
      <c r="E3961" s="39" t="s">
        <v>157</v>
      </c>
      <c r="F3961" s="38">
        <v>613286398.99724996</v>
      </c>
      <c r="G3961" s="36" t="s">
        <v>222</v>
      </c>
      <c r="H3961" s="36" t="s">
        <v>222</v>
      </c>
      <c r="I3961" s="36"/>
      <c r="J3961" s="36"/>
    </row>
    <row r="3962" spans="1:10" x14ac:dyDescent="0.25">
      <c r="A3962" s="36" t="s">
        <v>157</v>
      </c>
      <c r="B3962" s="37">
        <v>43617</v>
      </c>
      <c r="C3962" s="36"/>
      <c r="D3962" s="39" t="s">
        <v>223</v>
      </c>
      <c r="E3962" s="39" t="s">
        <v>157</v>
      </c>
      <c r="F3962" s="38">
        <v>807344457.87258947</v>
      </c>
      <c r="G3962" s="36" t="s">
        <v>222</v>
      </c>
      <c r="H3962" s="36" t="s">
        <v>222</v>
      </c>
      <c r="I3962" s="36"/>
      <c r="J3962" s="36"/>
    </row>
    <row r="3963" spans="1:10" x14ac:dyDescent="0.25">
      <c r="A3963" s="36" t="s">
        <v>157</v>
      </c>
      <c r="B3963" s="37">
        <v>43647</v>
      </c>
      <c r="C3963" s="36"/>
      <c r="D3963" s="39" t="s">
        <v>223</v>
      </c>
      <c r="E3963" s="39" t="s">
        <v>157</v>
      </c>
      <c r="F3963" s="38">
        <v>986433993.63619196</v>
      </c>
      <c r="G3963" s="36" t="s">
        <v>222</v>
      </c>
      <c r="H3963" s="36" t="s">
        <v>222</v>
      </c>
      <c r="I3963" s="36"/>
      <c r="J3963" s="36"/>
    </row>
    <row r="3964" spans="1:10" x14ac:dyDescent="0.25">
      <c r="A3964" s="36" t="s">
        <v>157</v>
      </c>
      <c r="B3964" s="37">
        <v>43678</v>
      </c>
      <c r="C3964" s="36"/>
      <c r="D3964" s="39" t="s">
        <v>223</v>
      </c>
      <c r="E3964" s="39" t="s">
        <v>157</v>
      </c>
      <c r="F3964" s="38">
        <v>1136844402.3221123</v>
      </c>
      <c r="G3964" s="36" t="s">
        <v>222</v>
      </c>
      <c r="H3964" s="36" t="s">
        <v>222</v>
      </c>
      <c r="I3964" s="36"/>
      <c r="J3964" s="36"/>
    </row>
    <row r="3965" spans="1:10" x14ac:dyDescent="0.25">
      <c r="A3965" s="36" t="s">
        <v>157</v>
      </c>
      <c r="B3965" s="37">
        <v>43709</v>
      </c>
      <c r="C3965" s="36"/>
      <c r="D3965" s="39" t="s">
        <v>223</v>
      </c>
      <c r="E3965" s="39" t="s">
        <v>157</v>
      </c>
      <c r="F3965" s="38">
        <v>1270257037.0897892</v>
      </c>
      <c r="G3965" s="36" t="s">
        <v>222</v>
      </c>
      <c r="H3965" s="36" t="s">
        <v>222</v>
      </c>
      <c r="I3965" s="36"/>
      <c r="J3965" s="36"/>
    </row>
    <row r="3966" spans="1:10" x14ac:dyDescent="0.25">
      <c r="A3966" s="36" t="s">
        <v>157</v>
      </c>
      <c r="B3966" s="37">
        <v>43739</v>
      </c>
      <c r="C3966" s="36"/>
      <c r="D3966" s="39" t="s">
        <v>223</v>
      </c>
      <c r="E3966" s="39" t="s">
        <v>157</v>
      </c>
      <c r="F3966" s="38">
        <v>1397969735.6108778</v>
      </c>
      <c r="G3966" s="36" t="s">
        <v>222</v>
      </c>
      <c r="H3966" s="36" t="s">
        <v>222</v>
      </c>
      <c r="I3966" s="36"/>
      <c r="J3966" s="36"/>
    </row>
    <row r="3967" spans="1:10" x14ac:dyDescent="0.25">
      <c r="A3967" s="36" t="s">
        <v>157</v>
      </c>
      <c r="B3967" s="37">
        <v>43770</v>
      </c>
      <c r="C3967" s="36"/>
      <c r="D3967" s="39" t="s">
        <v>223</v>
      </c>
      <c r="E3967" s="39" t="s">
        <v>157</v>
      </c>
      <c r="F3967" s="38">
        <v>1518504570.1576886</v>
      </c>
      <c r="G3967" s="36" t="s">
        <v>222</v>
      </c>
      <c r="H3967" s="36" t="s">
        <v>222</v>
      </c>
      <c r="I3967" s="36"/>
      <c r="J3967" s="36"/>
    </row>
    <row r="3968" spans="1:10" x14ac:dyDescent="0.25">
      <c r="A3968" s="36" t="s">
        <v>157</v>
      </c>
      <c r="B3968" s="37">
        <v>43800</v>
      </c>
      <c r="C3968" s="36"/>
      <c r="D3968" s="39" t="s">
        <v>223</v>
      </c>
      <c r="E3968" s="39" t="s">
        <v>157</v>
      </c>
      <c r="F3968" s="38">
        <v>1629046331.4775155</v>
      </c>
      <c r="G3968" s="36" t="s">
        <v>222</v>
      </c>
      <c r="H3968" s="36" t="s">
        <v>222</v>
      </c>
      <c r="I3968" s="36"/>
      <c r="J3968" s="36"/>
    </row>
  </sheetData>
  <autoFilter ref="A1:J3968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1369"/>
  <sheetViews>
    <sheetView zoomScaleNormal="100" workbookViewId="0">
      <pane xSplit="1" ySplit="1" topLeftCell="E1355" activePane="bottomRight" state="frozen"/>
      <selection pane="topRight" activeCell="B1" sqref="B1"/>
      <selection pane="bottomLeft" activeCell="A2" sqref="A2"/>
      <selection pane="bottomRight" sqref="A1:P1369"/>
    </sheetView>
  </sheetViews>
  <sheetFormatPr baseColWidth="10" defaultRowHeight="15" x14ac:dyDescent="0.25"/>
  <cols>
    <col min="1" max="1" width="6.5703125" style="16" bestFit="1" customWidth="1"/>
    <col min="2" max="2" width="10.5703125" style="6" bestFit="1" customWidth="1"/>
    <col min="3" max="3" width="31.140625" style="16" bestFit="1" customWidth="1"/>
    <col min="4" max="4" width="31.140625" style="16" customWidth="1"/>
    <col min="5" max="5" width="15.7109375" style="7" bestFit="1" customWidth="1"/>
    <col min="6" max="6" width="9.7109375" style="7" bestFit="1" customWidth="1"/>
    <col min="7" max="7" width="9.28515625" style="7" bestFit="1" customWidth="1"/>
    <col min="8" max="8" width="15.140625" style="7" bestFit="1" customWidth="1"/>
    <col min="9" max="9" width="13.5703125" style="7" bestFit="1" customWidth="1"/>
    <col min="10" max="10" width="15.140625" style="7" bestFit="1" customWidth="1"/>
    <col min="11" max="13" width="15.140625" style="7" customWidth="1"/>
    <col min="14" max="14" width="9.7109375" style="16" bestFit="1" customWidth="1"/>
    <col min="15" max="15" width="11.28515625" style="16" bestFit="1" customWidth="1"/>
    <col min="16" max="16" width="11.140625" style="16" bestFit="1" customWidth="1"/>
    <col min="17" max="16384" width="11.42578125" style="16"/>
  </cols>
  <sheetData>
    <row r="1" spans="1:16" ht="75" x14ac:dyDescent="0.25">
      <c r="A1" s="1" t="s">
        <v>0</v>
      </c>
      <c r="B1" s="2" t="s">
        <v>1</v>
      </c>
      <c r="C1" s="1" t="s">
        <v>196</v>
      </c>
      <c r="D1" s="1" t="s">
        <v>224</v>
      </c>
      <c r="E1" s="3" t="s">
        <v>189</v>
      </c>
      <c r="F1" s="3" t="s">
        <v>187</v>
      </c>
      <c r="G1" s="3" t="s">
        <v>188</v>
      </c>
      <c r="H1" s="3" t="s">
        <v>190</v>
      </c>
      <c r="I1" s="3" t="s">
        <v>193</v>
      </c>
      <c r="J1" s="3" t="s">
        <v>194</v>
      </c>
      <c r="K1" s="3" t="s">
        <v>211</v>
      </c>
      <c r="L1" s="3" t="s">
        <v>220</v>
      </c>
      <c r="M1" s="3" t="s">
        <v>216</v>
      </c>
      <c r="N1" s="1" t="s">
        <v>4</v>
      </c>
      <c r="O1" s="1" t="s">
        <v>5</v>
      </c>
      <c r="P1" s="1" t="s">
        <v>6</v>
      </c>
    </row>
    <row r="2" spans="1:16" x14ac:dyDescent="0.25">
      <c r="A2" s="36">
        <v>1580</v>
      </c>
      <c r="B2" s="37">
        <v>43466</v>
      </c>
      <c r="C2" s="36" t="s">
        <v>212</v>
      </c>
      <c r="D2" s="36"/>
      <c r="E2" s="38">
        <v>70115372.945178598</v>
      </c>
      <c r="F2" s="40">
        <f>VLOOKUP(A2,'DATOS GENERALES'!A:B,2,0)</f>
        <v>1.74</v>
      </c>
      <c r="G2" s="36">
        <f>F2*0.9954</f>
        <v>1.7319959999999999</v>
      </c>
      <c r="H2" s="38">
        <f>E2/G2</f>
        <v>40482410.435808517</v>
      </c>
      <c r="I2" s="38">
        <f>E2-H2</f>
        <v>29632962.509370081</v>
      </c>
      <c r="J2" s="38">
        <v>8882583.4900828656</v>
      </c>
      <c r="K2" s="38">
        <f>IFERROR(I2-J2,"")</f>
        <v>20750379.019287214</v>
      </c>
      <c r="L2" s="41">
        <f>VLOOKUP(INDICADORES!$B$21,'DATOS GENERALES'!$K:$M,3,0)*E2</f>
        <v>477207.07168423192</v>
      </c>
      <c r="M2" s="38">
        <f>IFERROR(K2-L2,"")</f>
        <v>20273171.947602984</v>
      </c>
      <c r="N2" s="36"/>
      <c r="O2" s="36"/>
      <c r="P2" s="36"/>
    </row>
    <row r="3" spans="1:16" x14ac:dyDescent="0.25">
      <c r="A3" s="36">
        <v>1580</v>
      </c>
      <c r="B3" s="37">
        <v>43497</v>
      </c>
      <c r="C3" s="36" t="s">
        <v>212</v>
      </c>
      <c r="D3" s="36"/>
      <c r="E3" s="38">
        <v>70115372.945178598</v>
      </c>
      <c r="F3" s="40">
        <f>VLOOKUP(A3,'DATOS GENERALES'!A:B,2,0)</f>
        <v>1.74</v>
      </c>
      <c r="G3" s="36">
        <f t="shared" ref="G3:G66" si="0">F3*0.9954</f>
        <v>1.7319959999999999</v>
      </c>
      <c r="H3" s="38">
        <f t="shared" ref="H3:H66" si="1">E3/G3</f>
        <v>40482410.435808517</v>
      </c>
      <c r="I3" s="38">
        <f t="shared" ref="I3:I66" si="2">E3-H3</f>
        <v>29632962.509370081</v>
      </c>
      <c r="J3" s="38">
        <v>8750590.6988490727</v>
      </c>
      <c r="K3" s="38">
        <f t="shared" ref="K3:K66" si="3">IFERROR(I3-J3,"")</f>
        <v>20882371.810521007</v>
      </c>
      <c r="L3" s="41">
        <f>VLOOKUP(INDICADORES!$B$21,'DATOS GENERALES'!$K:$M,3,0)*E3</f>
        <v>477207.07168423192</v>
      </c>
      <c r="M3" s="38">
        <f t="shared" ref="M3:M66" si="4">IFERROR(K3-L3,"")</f>
        <v>20405164.738836776</v>
      </c>
      <c r="N3" s="36"/>
      <c r="O3" s="36"/>
      <c r="P3" s="36"/>
    </row>
    <row r="4" spans="1:16" x14ac:dyDescent="0.25">
      <c r="A4" s="36">
        <v>1580</v>
      </c>
      <c r="B4" s="37">
        <v>43525</v>
      </c>
      <c r="C4" s="36" t="s">
        <v>212</v>
      </c>
      <c r="D4" s="36"/>
      <c r="E4" s="38">
        <v>70115372.945178598</v>
      </c>
      <c r="F4" s="40">
        <f>VLOOKUP(A4,'DATOS GENERALES'!A:B,2,0)</f>
        <v>1.74</v>
      </c>
      <c r="G4" s="36">
        <f t="shared" si="0"/>
        <v>1.7319959999999999</v>
      </c>
      <c r="H4" s="38">
        <f t="shared" si="1"/>
        <v>40482410.435808517</v>
      </c>
      <c r="I4" s="38">
        <f t="shared" si="2"/>
        <v>29632962.509370081</v>
      </c>
      <c r="J4" s="38">
        <v>6330943.8381972862</v>
      </c>
      <c r="K4" s="38">
        <f t="shared" si="3"/>
        <v>23302018.671172794</v>
      </c>
      <c r="L4" s="41">
        <f>VLOOKUP(INDICADORES!$B$21,'DATOS GENERALES'!$K:$M,3,0)*E4</f>
        <v>477207.07168423192</v>
      </c>
      <c r="M4" s="38">
        <f t="shared" si="4"/>
        <v>22824811.599488564</v>
      </c>
      <c r="N4" s="36"/>
      <c r="O4" s="36"/>
      <c r="P4" s="36"/>
    </row>
    <row r="5" spans="1:16" x14ac:dyDescent="0.25">
      <c r="A5" s="36">
        <v>1580</v>
      </c>
      <c r="B5" s="37">
        <v>43556</v>
      </c>
      <c r="C5" s="36" t="s">
        <v>212</v>
      </c>
      <c r="D5" s="36"/>
      <c r="E5" s="38">
        <v>74111007.329178602</v>
      </c>
      <c r="F5" s="40">
        <f>VLOOKUP(A5,'DATOS GENERALES'!A:B,2,0)</f>
        <v>1.74</v>
      </c>
      <c r="G5" s="36">
        <f t="shared" si="0"/>
        <v>1.7319959999999999</v>
      </c>
      <c r="H5" s="38">
        <f t="shared" si="1"/>
        <v>42789364.022306405</v>
      </c>
      <c r="I5" s="38">
        <f t="shared" si="2"/>
        <v>31321643.306872196</v>
      </c>
      <c r="J5" s="38">
        <v>6879595.1676320992</v>
      </c>
      <c r="K5" s="38">
        <f t="shared" si="3"/>
        <v>24442048.139240097</v>
      </c>
      <c r="L5" s="41">
        <f>VLOOKUP(INDICADORES!$B$21,'DATOS GENERALES'!$K:$M,3,0)*E5</f>
        <v>504401.46435187571</v>
      </c>
      <c r="M5" s="38">
        <f t="shared" si="4"/>
        <v>23937646.674888223</v>
      </c>
      <c r="N5" s="36"/>
      <c r="O5" s="36"/>
      <c r="P5" s="36"/>
    </row>
    <row r="6" spans="1:16" x14ac:dyDescent="0.25">
      <c r="A6" s="36">
        <v>1580</v>
      </c>
      <c r="B6" s="37">
        <v>43586</v>
      </c>
      <c r="C6" s="36" t="s">
        <v>212</v>
      </c>
      <c r="D6" s="36"/>
      <c r="E6" s="38">
        <v>74111007.329178602</v>
      </c>
      <c r="F6" s="40">
        <f>VLOOKUP(A6,'DATOS GENERALES'!A:B,2,0)</f>
        <v>1.74</v>
      </c>
      <c r="G6" s="36">
        <f t="shared" si="0"/>
        <v>1.7319959999999999</v>
      </c>
      <c r="H6" s="38">
        <f t="shared" si="1"/>
        <v>42789364.022306405</v>
      </c>
      <c r="I6" s="38">
        <f t="shared" si="2"/>
        <v>31321643.306872196</v>
      </c>
      <c r="J6" s="38">
        <v>5675184.8926217835</v>
      </c>
      <c r="K6" s="38">
        <f t="shared" si="3"/>
        <v>25646458.414250411</v>
      </c>
      <c r="L6" s="41">
        <f>VLOOKUP(INDICADORES!$B$21,'DATOS GENERALES'!$K:$M,3,0)*E6</f>
        <v>504401.46435187571</v>
      </c>
      <c r="M6" s="38">
        <f t="shared" si="4"/>
        <v>25142056.949898534</v>
      </c>
      <c r="N6" s="36"/>
      <c r="O6" s="36"/>
      <c r="P6" s="36"/>
    </row>
    <row r="7" spans="1:16" x14ac:dyDescent="0.25">
      <c r="A7" s="36">
        <v>1580</v>
      </c>
      <c r="B7" s="37">
        <v>43617</v>
      </c>
      <c r="C7" s="36" t="s">
        <v>212</v>
      </c>
      <c r="D7" s="36"/>
      <c r="E7" s="38">
        <v>74111007.329178602</v>
      </c>
      <c r="F7" s="40">
        <f>VLOOKUP(A7,'DATOS GENERALES'!A:B,2,0)</f>
        <v>1.74</v>
      </c>
      <c r="G7" s="36">
        <f t="shared" si="0"/>
        <v>1.7319959999999999</v>
      </c>
      <c r="H7" s="38">
        <f t="shared" si="1"/>
        <v>42789364.022306405</v>
      </c>
      <c r="I7" s="38">
        <f t="shared" si="2"/>
        <v>31321643.306872196</v>
      </c>
      <c r="J7" s="38">
        <v>6374375.5252148733</v>
      </c>
      <c r="K7" s="38">
        <f t="shared" si="3"/>
        <v>24947267.781657323</v>
      </c>
      <c r="L7" s="41">
        <f>VLOOKUP(INDICADORES!$B$21,'DATOS GENERALES'!$K:$M,3,0)*E7</f>
        <v>504401.46435187571</v>
      </c>
      <c r="M7" s="38">
        <f t="shared" si="4"/>
        <v>24442866.317305446</v>
      </c>
      <c r="N7" s="36"/>
      <c r="O7" s="36"/>
      <c r="P7" s="36"/>
    </row>
    <row r="8" spans="1:16" x14ac:dyDescent="0.25">
      <c r="A8" s="36">
        <v>1580</v>
      </c>
      <c r="B8" s="37">
        <v>43647</v>
      </c>
      <c r="C8" s="36" t="s">
        <v>212</v>
      </c>
      <c r="D8" s="36"/>
      <c r="E8" s="38">
        <v>74111007.329178602</v>
      </c>
      <c r="F8" s="40">
        <f>VLOOKUP(A8,'DATOS GENERALES'!A:B,2,0)</f>
        <v>1.74</v>
      </c>
      <c r="G8" s="36">
        <f t="shared" si="0"/>
        <v>1.7319959999999999</v>
      </c>
      <c r="H8" s="38">
        <f t="shared" si="1"/>
        <v>42789364.022306405</v>
      </c>
      <c r="I8" s="38">
        <f t="shared" si="2"/>
        <v>31321643.306872196</v>
      </c>
      <c r="J8" s="38">
        <v>11069215.900658011</v>
      </c>
      <c r="K8" s="38">
        <f t="shared" si="3"/>
        <v>20252427.406214185</v>
      </c>
      <c r="L8" s="41">
        <f>VLOOKUP(INDICADORES!$B$21,'DATOS GENERALES'!$K:$M,3,0)*E8</f>
        <v>504401.46435187571</v>
      </c>
      <c r="M8" s="38">
        <f t="shared" si="4"/>
        <v>19748025.941862307</v>
      </c>
      <c r="N8" s="36"/>
      <c r="O8" s="36"/>
      <c r="P8" s="36"/>
    </row>
    <row r="9" spans="1:16" x14ac:dyDescent="0.25">
      <c r="A9" s="36">
        <v>1580</v>
      </c>
      <c r="B9" s="37">
        <v>43678</v>
      </c>
      <c r="C9" s="36" t="s">
        <v>212</v>
      </c>
      <c r="D9" s="36"/>
      <c r="E9" s="38">
        <v>74111007.329178602</v>
      </c>
      <c r="F9" s="40">
        <f>VLOOKUP(A9,'DATOS GENERALES'!A:B,2,0)</f>
        <v>1.74</v>
      </c>
      <c r="G9" s="36">
        <f t="shared" si="0"/>
        <v>1.7319959999999999</v>
      </c>
      <c r="H9" s="38">
        <f t="shared" si="1"/>
        <v>42789364.022306405</v>
      </c>
      <c r="I9" s="38">
        <f t="shared" si="2"/>
        <v>31321643.306872196</v>
      </c>
      <c r="J9" s="38">
        <v>11115281.850709744</v>
      </c>
      <c r="K9" s="38">
        <f t="shared" si="3"/>
        <v>20206361.456162453</v>
      </c>
      <c r="L9" s="41">
        <f>VLOOKUP(INDICADORES!$B$21,'DATOS GENERALES'!$K:$M,3,0)*E9</f>
        <v>504401.46435187571</v>
      </c>
      <c r="M9" s="38">
        <f t="shared" si="4"/>
        <v>19701959.991810575</v>
      </c>
      <c r="N9" s="36"/>
      <c r="O9" s="36"/>
      <c r="P9" s="36"/>
    </row>
    <row r="10" spans="1:16" x14ac:dyDescent="0.25">
      <c r="A10" s="36">
        <v>1580</v>
      </c>
      <c r="B10" s="37">
        <v>43709</v>
      </c>
      <c r="C10" s="36" t="s">
        <v>212</v>
      </c>
      <c r="D10" s="36"/>
      <c r="E10" s="38">
        <v>74111007.329178602</v>
      </c>
      <c r="F10" s="40">
        <f>VLOOKUP(A10,'DATOS GENERALES'!A:B,2,0)</f>
        <v>1.74</v>
      </c>
      <c r="G10" s="36">
        <f t="shared" si="0"/>
        <v>1.7319959999999999</v>
      </c>
      <c r="H10" s="38">
        <f t="shared" si="1"/>
        <v>42789364.022306405</v>
      </c>
      <c r="I10" s="38">
        <f t="shared" si="2"/>
        <v>31321643.306872196</v>
      </c>
      <c r="J10" s="38">
        <v>12268617.192712884</v>
      </c>
      <c r="K10" s="38">
        <f t="shared" si="3"/>
        <v>19053026.114159312</v>
      </c>
      <c r="L10" s="41">
        <f>VLOOKUP(INDICADORES!$B$21,'DATOS GENERALES'!$K:$M,3,0)*E10</f>
        <v>504401.46435187571</v>
      </c>
      <c r="M10" s="38">
        <f t="shared" si="4"/>
        <v>18548624.649807438</v>
      </c>
      <c r="N10" s="36"/>
      <c r="O10" s="36"/>
      <c r="P10" s="36"/>
    </row>
    <row r="11" spans="1:16" x14ac:dyDescent="0.25">
      <c r="A11" s="36">
        <v>1580</v>
      </c>
      <c r="B11" s="37">
        <v>43739</v>
      </c>
      <c r="C11" s="36" t="s">
        <v>212</v>
      </c>
      <c r="D11" s="36"/>
      <c r="E11" s="38">
        <v>69313527.964878604</v>
      </c>
      <c r="F11" s="40">
        <f>VLOOKUP(A11,'DATOS GENERALES'!A:B,2,0)</f>
        <v>1.74</v>
      </c>
      <c r="G11" s="36">
        <f t="shared" si="0"/>
        <v>1.7319959999999999</v>
      </c>
      <c r="H11" s="38">
        <f t="shared" si="1"/>
        <v>40019450.371062413</v>
      </c>
      <c r="I11" s="38">
        <f t="shared" si="2"/>
        <v>29294077.593816191</v>
      </c>
      <c r="J11" s="38">
        <v>12452541.654586233</v>
      </c>
      <c r="K11" s="38">
        <f t="shared" si="3"/>
        <v>16841535.939229958</v>
      </c>
      <c r="L11" s="41">
        <f>VLOOKUP(INDICADORES!$B$21,'DATOS GENERALES'!$K:$M,3,0)*E11</f>
        <v>471749.69366681995</v>
      </c>
      <c r="M11" s="38">
        <f t="shared" si="4"/>
        <v>16369786.245563138</v>
      </c>
      <c r="N11" s="36"/>
      <c r="O11" s="36"/>
      <c r="P11" s="36"/>
    </row>
    <row r="12" spans="1:16" x14ac:dyDescent="0.25">
      <c r="A12" s="36">
        <v>1580</v>
      </c>
      <c r="B12" s="37">
        <v>43770</v>
      </c>
      <c r="C12" s="36" t="s">
        <v>212</v>
      </c>
      <c r="D12" s="36"/>
      <c r="E12" s="38">
        <v>69313527.964878604</v>
      </c>
      <c r="F12" s="40">
        <f>VLOOKUP(A12,'DATOS GENERALES'!A:B,2,0)</f>
        <v>1.74</v>
      </c>
      <c r="G12" s="36">
        <f t="shared" si="0"/>
        <v>1.7319959999999999</v>
      </c>
      <c r="H12" s="38">
        <f t="shared" si="1"/>
        <v>40019450.371062413</v>
      </c>
      <c r="I12" s="38">
        <f t="shared" si="2"/>
        <v>29294077.593816191</v>
      </c>
      <c r="J12" s="38">
        <v>16341426.624851571</v>
      </c>
      <c r="K12" s="38">
        <f t="shared" si="3"/>
        <v>12952650.96896462</v>
      </c>
      <c r="L12" s="41">
        <f>VLOOKUP(INDICADORES!$B$21,'DATOS GENERALES'!$K:$M,3,0)*E12</f>
        <v>471749.69366681995</v>
      </c>
      <c r="M12" s="38">
        <f t="shared" si="4"/>
        <v>12480901.2752978</v>
      </c>
      <c r="N12" s="36"/>
      <c r="O12" s="36"/>
      <c r="P12" s="36"/>
    </row>
    <row r="13" spans="1:16" x14ac:dyDescent="0.25">
      <c r="A13" s="36">
        <v>1580</v>
      </c>
      <c r="B13" s="37">
        <v>43800</v>
      </c>
      <c r="C13" s="36" t="s">
        <v>212</v>
      </c>
      <c r="D13" s="36"/>
      <c r="E13" s="38">
        <v>69313527.964878604</v>
      </c>
      <c r="F13" s="40">
        <f>VLOOKUP(A13,'DATOS GENERALES'!A:B,2,0)</f>
        <v>1.74</v>
      </c>
      <c r="G13" s="36">
        <f t="shared" si="0"/>
        <v>1.7319959999999999</v>
      </c>
      <c r="H13" s="38">
        <f t="shared" si="1"/>
        <v>40019450.371062413</v>
      </c>
      <c r="I13" s="38">
        <f t="shared" si="2"/>
        <v>29294077.593816191</v>
      </c>
      <c r="J13" s="38">
        <v>14095289.899996761</v>
      </c>
      <c r="K13" s="38">
        <f t="shared" si="3"/>
        <v>15198787.69381943</v>
      </c>
      <c r="L13" s="41">
        <f>VLOOKUP(INDICADORES!$B$21,'DATOS GENERALES'!$K:$M,3,0)*E13</f>
        <v>471749.69366681995</v>
      </c>
      <c r="M13" s="38">
        <f t="shared" si="4"/>
        <v>14727038.00015261</v>
      </c>
      <c r="N13" s="36"/>
      <c r="O13" s="36"/>
      <c r="P13" s="36"/>
    </row>
    <row r="14" spans="1:16" x14ac:dyDescent="0.25">
      <c r="A14" s="36">
        <v>1580</v>
      </c>
      <c r="B14" s="37">
        <v>43831</v>
      </c>
      <c r="C14" s="36" t="s">
        <v>212</v>
      </c>
      <c r="D14" s="36"/>
      <c r="E14" s="38">
        <v>65317893.580878608</v>
      </c>
      <c r="F14" s="40">
        <f>VLOOKUP(A14,'DATOS GENERALES'!A:B,2,0)</f>
        <v>1.74</v>
      </c>
      <c r="G14" s="36">
        <f t="shared" si="0"/>
        <v>1.7319959999999999</v>
      </c>
      <c r="H14" s="38">
        <f t="shared" si="1"/>
        <v>37712496.784564525</v>
      </c>
      <c r="I14" s="38">
        <f t="shared" si="2"/>
        <v>27605396.796314083</v>
      </c>
      <c r="J14" s="38" t="s">
        <v>213</v>
      </c>
      <c r="K14" s="38" t="str">
        <f t="shared" si="3"/>
        <v/>
      </c>
      <c r="L14" s="41">
        <f>VLOOKUP(INDICADORES!$B$21,'DATOS GENERALES'!$K:$M,3,0)*E14</f>
        <v>444555.30099917628</v>
      </c>
      <c r="M14" s="38" t="str">
        <f t="shared" si="4"/>
        <v/>
      </c>
      <c r="N14" s="36"/>
      <c r="O14" s="36"/>
      <c r="P14" s="36"/>
    </row>
    <row r="15" spans="1:16" x14ac:dyDescent="0.25">
      <c r="A15" s="36">
        <v>1580</v>
      </c>
      <c r="B15" s="37">
        <v>43862</v>
      </c>
      <c r="C15" s="36" t="s">
        <v>212</v>
      </c>
      <c r="D15" s="36"/>
      <c r="E15" s="38">
        <v>54776389.5693786</v>
      </c>
      <c r="F15" s="40">
        <f>VLOOKUP(A15,'DATOS GENERALES'!A:B,2,0)</f>
        <v>1.74</v>
      </c>
      <c r="G15" s="36">
        <f t="shared" si="0"/>
        <v>1.7319959999999999</v>
      </c>
      <c r="H15" s="38">
        <f t="shared" si="1"/>
        <v>31626164.015031561</v>
      </c>
      <c r="I15" s="38">
        <f t="shared" si="2"/>
        <v>23150225.554347038</v>
      </c>
      <c r="J15" s="38" t="s">
        <v>213</v>
      </c>
      <c r="K15" s="38" t="str">
        <f t="shared" si="3"/>
        <v/>
      </c>
      <c r="L15" s="41">
        <f>VLOOKUP(INDICADORES!$B$21,'DATOS GENERALES'!$K:$M,3,0)*E15</f>
        <v>372809.54754780827</v>
      </c>
      <c r="M15" s="38" t="str">
        <f t="shared" si="4"/>
        <v/>
      </c>
      <c r="N15" s="36"/>
      <c r="O15" s="36"/>
      <c r="P15" s="36"/>
    </row>
    <row r="16" spans="1:16" x14ac:dyDescent="0.25">
      <c r="A16" s="36">
        <v>1588</v>
      </c>
      <c r="B16" s="37">
        <v>43466</v>
      </c>
      <c r="C16" s="36" t="s">
        <v>212</v>
      </c>
      <c r="D16" s="36"/>
      <c r="E16" s="38">
        <v>68877916.829865009</v>
      </c>
      <c r="F16" s="40">
        <f>VLOOKUP(A16,'DATOS GENERALES'!A:B,2,0)</f>
        <v>1.49</v>
      </c>
      <c r="G16" s="36">
        <f t="shared" si="0"/>
        <v>1.4831459999999999</v>
      </c>
      <c r="H16" s="38">
        <f t="shared" si="1"/>
        <v>46440415.731064245</v>
      </c>
      <c r="I16" s="38">
        <f t="shared" si="2"/>
        <v>22437501.098800763</v>
      </c>
      <c r="J16" s="38">
        <v>10189879.150092591</v>
      </c>
      <c r="K16" s="38">
        <f t="shared" si="3"/>
        <v>12247621.948708173</v>
      </c>
      <c r="L16" s="41">
        <f>VLOOKUP(INDICADORES!$B$21,'DATOS GENERALES'!$K:$M,3,0)*E16</f>
        <v>468784.91282916517</v>
      </c>
      <c r="M16" s="38">
        <f t="shared" si="4"/>
        <v>11778837.035879008</v>
      </c>
      <c r="N16" s="36"/>
      <c r="O16" s="36"/>
      <c r="P16" s="36"/>
    </row>
    <row r="17" spans="1:16" x14ac:dyDescent="0.25">
      <c r="A17" s="36">
        <v>1588</v>
      </c>
      <c r="B17" s="37">
        <v>43497</v>
      </c>
      <c r="C17" s="36" t="s">
        <v>212</v>
      </c>
      <c r="D17" s="36"/>
      <c r="E17" s="38">
        <v>68877916.829865009</v>
      </c>
      <c r="F17" s="40">
        <f>VLOOKUP(A17,'DATOS GENERALES'!A:B,2,0)</f>
        <v>1.49</v>
      </c>
      <c r="G17" s="36">
        <f t="shared" si="0"/>
        <v>1.4831459999999999</v>
      </c>
      <c r="H17" s="38">
        <f t="shared" si="1"/>
        <v>46440415.731064245</v>
      </c>
      <c r="I17" s="38">
        <f t="shared" si="2"/>
        <v>22437501.098800763</v>
      </c>
      <c r="J17" s="38">
        <v>10038460.29848738</v>
      </c>
      <c r="K17" s="38">
        <f t="shared" si="3"/>
        <v>12399040.800313383</v>
      </c>
      <c r="L17" s="41">
        <f>VLOOKUP(INDICADORES!$B$21,'DATOS GENERALES'!$K:$M,3,0)*E17</f>
        <v>468784.91282916517</v>
      </c>
      <c r="M17" s="38">
        <f t="shared" si="4"/>
        <v>11930255.887484219</v>
      </c>
      <c r="N17" s="36"/>
      <c r="O17" s="36"/>
      <c r="P17" s="36"/>
    </row>
    <row r="18" spans="1:16" x14ac:dyDescent="0.25">
      <c r="A18" s="36">
        <v>1588</v>
      </c>
      <c r="B18" s="37">
        <v>43525</v>
      </c>
      <c r="C18" s="36" t="s">
        <v>212</v>
      </c>
      <c r="D18" s="36"/>
      <c r="E18" s="38">
        <v>68877916.829865009</v>
      </c>
      <c r="F18" s="40">
        <f>VLOOKUP(A18,'DATOS GENERALES'!A:B,2,0)</f>
        <v>1.49</v>
      </c>
      <c r="G18" s="36">
        <f t="shared" si="0"/>
        <v>1.4831459999999999</v>
      </c>
      <c r="H18" s="38">
        <f t="shared" si="1"/>
        <v>46440415.731064245</v>
      </c>
      <c r="I18" s="38">
        <f t="shared" si="2"/>
        <v>22437501.098800763</v>
      </c>
      <c r="J18" s="38">
        <v>7262701.5202591531</v>
      </c>
      <c r="K18" s="38">
        <f t="shared" si="3"/>
        <v>15174799.57854161</v>
      </c>
      <c r="L18" s="41">
        <f>VLOOKUP(INDICADORES!$B$21,'DATOS GENERALES'!$K:$M,3,0)*E18</f>
        <v>468784.91282916517</v>
      </c>
      <c r="M18" s="38">
        <f t="shared" si="4"/>
        <v>14706014.665712446</v>
      </c>
      <c r="N18" s="36"/>
      <c r="O18" s="36"/>
      <c r="P18" s="36"/>
    </row>
    <row r="19" spans="1:16" x14ac:dyDescent="0.25">
      <c r="A19" s="36">
        <v>1596</v>
      </c>
      <c r="B19" s="37">
        <v>43466</v>
      </c>
      <c r="C19" s="36" t="s">
        <v>212</v>
      </c>
      <c r="D19" s="36"/>
      <c r="E19" s="38">
        <v>45333415.275986843</v>
      </c>
      <c r="F19" s="40">
        <f>VLOOKUP(A19,'DATOS GENERALES'!A:B,2,0)</f>
        <v>2.4300000000000002</v>
      </c>
      <c r="G19" s="36">
        <f t="shared" si="0"/>
        <v>2.418822</v>
      </c>
      <c r="H19" s="38">
        <f t="shared" si="1"/>
        <v>18741939.372135215</v>
      </c>
      <c r="I19" s="38">
        <f t="shared" si="2"/>
        <v>26591475.903851628</v>
      </c>
      <c r="J19" s="38">
        <v>4112325.3147941511</v>
      </c>
      <c r="K19" s="38">
        <f t="shared" si="3"/>
        <v>22479150.589057475</v>
      </c>
      <c r="L19" s="41">
        <f>VLOOKUP(INDICADORES!$B$21,'DATOS GENERALES'!$K:$M,3,0)*E19</f>
        <v>308540.41623958165</v>
      </c>
      <c r="M19" s="38">
        <f t="shared" si="4"/>
        <v>22170610.172817893</v>
      </c>
      <c r="N19" s="36"/>
      <c r="O19" s="36"/>
      <c r="P19" s="36"/>
    </row>
    <row r="20" spans="1:16" x14ac:dyDescent="0.25">
      <c r="A20" s="36">
        <v>1596</v>
      </c>
      <c r="B20" s="37">
        <v>43497</v>
      </c>
      <c r="C20" s="36" t="s">
        <v>212</v>
      </c>
      <c r="D20" s="36"/>
      <c r="E20" s="38">
        <v>45333415.275986843</v>
      </c>
      <c r="F20" s="40">
        <f>VLOOKUP(A20,'DATOS GENERALES'!A:B,2,0)</f>
        <v>2.4300000000000002</v>
      </c>
      <c r="G20" s="36">
        <f t="shared" si="0"/>
        <v>2.418822</v>
      </c>
      <c r="H20" s="38">
        <f t="shared" si="1"/>
        <v>18741939.372135215</v>
      </c>
      <c r="I20" s="38">
        <f t="shared" si="2"/>
        <v>26591475.903851628</v>
      </c>
      <c r="J20" s="38">
        <v>4051217.2714678957</v>
      </c>
      <c r="K20" s="38">
        <f t="shared" si="3"/>
        <v>22540258.632383734</v>
      </c>
      <c r="L20" s="41">
        <f>VLOOKUP(INDICADORES!$B$21,'DATOS GENERALES'!$K:$M,3,0)*E20</f>
        <v>308540.41623958165</v>
      </c>
      <c r="M20" s="38">
        <f t="shared" si="4"/>
        <v>22231718.216144152</v>
      </c>
      <c r="N20" s="36"/>
      <c r="O20" s="36"/>
      <c r="P20" s="36"/>
    </row>
    <row r="21" spans="1:16" x14ac:dyDescent="0.25">
      <c r="A21" s="36">
        <v>1596</v>
      </c>
      <c r="B21" s="37">
        <v>43525</v>
      </c>
      <c r="C21" s="36" t="s">
        <v>212</v>
      </c>
      <c r="D21" s="36"/>
      <c r="E21" s="38">
        <v>45333415.275986843</v>
      </c>
      <c r="F21" s="40">
        <f>VLOOKUP(A21,'DATOS GENERALES'!A:B,2,0)</f>
        <v>2.4300000000000002</v>
      </c>
      <c r="G21" s="36">
        <f t="shared" si="0"/>
        <v>2.418822</v>
      </c>
      <c r="H21" s="38">
        <f t="shared" si="1"/>
        <v>18741939.372135215</v>
      </c>
      <c r="I21" s="38">
        <f t="shared" si="2"/>
        <v>26591475.903851628</v>
      </c>
      <c r="J21" s="38">
        <v>2931005.4491945864</v>
      </c>
      <c r="K21" s="38">
        <f t="shared" si="3"/>
        <v>23660470.454657041</v>
      </c>
      <c r="L21" s="41">
        <f>VLOOKUP(INDICADORES!$B$21,'DATOS GENERALES'!$K:$M,3,0)*E21</f>
        <v>308540.41623958165</v>
      </c>
      <c r="M21" s="38">
        <f t="shared" si="4"/>
        <v>23351930.038417459</v>
      </c>
      <c r="N21" s="36"/>
      <c r="O21" s="36"/>
      <c r="P21" s="36"/>
    </row>
    <row r="22" spans="1:16" x14ac:dyDescent="0.25">
      <c r="A22" s="36">
        <v>1596</v>
      </c>
      <c r="B22" s="37">
        <v>43556</v>
      </c>
      <c r="C22" s="36" t="s">
        <v>212</v>
      </c>
      <c r="D22" s="36"/>
      <c r="E22" s="38">
        <v>39811433.775986843</v>
      </c>
      <c r="F22" s="40">
        <f>VLOOKUP(A22,'DATOS GENERALES'!A:B,2,0)</f>
        <v>2.4300000000000002</v>
      </c>
      <c r="G22" s="36">
        <f t="shared" si="0"/>
        <v>2.418822</v>
      </c>
      <c r="H22" s="38">
        <f t="shared" si="1"/>
        <v>16459017.561435625</v>
      </c>
      <c r="I22" s="38">
        <f t="shared" si="2"/>
        <v>23352416.214551218</v>
      </c>
      <c r="J22" s="38">
        <v>2646250.5406856723</v>
      </c>
      <c r="K22" s="38">
        <f t="shared" si="3"/>
        <v>20706165.673865546</v>
      </c>
      <c r="L22" s="41">
        <f>VLOOKUP(INDICADORES!$B$21,'DATOS GENERALES'!$K:$M,3,0)*E22</f>
        <v>270957.66497089993</v>
      </c>
      <c r="M22" s="38">
        <f t="shared" si="4"/>
        <v>20435208.008894645</v>
      </c>
      <c r="N22" s="36"/>
      <c r="O22" s="36"/>
      <c r="P22" s="36"/>
    </row>
    <row r="23" spans="1:16" x14ac:dyDescent="0.25">
      <c r="A23" s="36">
        <v>1596</v>
      </c>
      <c r="B23" s="37">
        <v>43586</v>
      </c>
      <c r="C23" s="36" t="s">
        <v>212</v>
      </c>
      <c r="D23" s="36"/>
      <c r="E23" s="38">
        <v>33697792.894736841</v>
      </c>
      <c r="F23" s="40">
        <f>VLOOKUP(A23,'DATOS GENERALES'!A:B,2,0)</f>
        <v>2.4300000000000002</v>
      </c>
      <c r="G23" s="36">
        <f t="shared" si="0"/>
        <v>2.418822</v>
      </c>
      <c r="H23" s="38">
        <f t="shared" si="1"/>
        <v>13931489.334368896</v>
      </c>
      <c r="I23" s="38">
        <f t="shared" si="2"/>
        <v>19766303.560367946</v>
      </c>
      <c r="J23" s="38">
        <v>1847743.7000679735</v>
      </c>
      <c r="K23" s="38">
        <f t="shared" si="3"/>
        <v>17918559.860299971</v>
      </c>
      <c r="L23" s="41">
        <f>VLOOKUP(INDICADORES!$B$21,'DATOS GENERALES'!$K:$M,3,0)*E23</f>
        <v>229348.06439797828</v>
      </c>
      <c r="M23" s="38">
        <f t="shared" si="4"/>
        <v>17689211.795901991</v>
      </c>
      <c r="N23" s="36"/>
      <c r="O23" s="36"/>
      <c r="P23" s="36"/>
    </row>
    <row r="24" spans="1:16" x14ac:dyDescent="0.25">
      <c r="A24" s="36">
        <v>1596</v>
      </c>
      <c r="B24" s="37">
        <v>43617</v>
      </c>
      <c r="C24" s="36" t="s">
        <v>212</v>
      </c>
      <c r="D24" s="36"/>
      <c r="E24" s="38">
        <v>33697792.894736841</v>
      </c>
      <c r="F24" s="40">
        <f>VLOOKUP(A24,'DATOS GENERALES'!A:B,2,0)</f>
        <v>2.4300000000000002</v>
      </c>
      <c r="G24" s="36">
        <f t="shared" si="0"/>
        <v>2.418822</v>
      </c>
      <c r="H24" s="38">
        <f t="shared" si="1"/>
        <v>13931489.334368896</v>
      </c>
      <c r="I24" s="38">
        <f t="shared" si="2"/>
        <v>19766303.560367946</v>
      </c>
      <c r="J24" s="38">
        <v>2075388.2809872725</v>
      </c>
      <c r="K24" s="38">
        <f t="shared" si="3"/>
        <v>17690915.279380672</v>
      </c>
      <c r="L24" s="41">
        <f>VLOOKUP(INDICADORES!$B$21,'DATOS GENERALES'!$K:$M,3,0)*E24</f>
        <v>229348.06439797828</v>
      </c>
      <c r="M24" s="38">
        <f t="shared" si="4"/>
        <v>17461567.214982692</v>
      </c>
      <c r="N24" s="36"/>
      <c r="O24" s="36"/>
      <c r="P24" s="36"/>
    </row>
    <row r="25" spans="1:16" x14ac:dyDescent="0.25">
      <c r="A25" s="36">
        <v>1687</v>
      </c>
      <c r="B25" s="37">
        <v>43466</v>
      </c>
      <c r="C25" s="36" t="s">
        <v>212</v>
      </c>
      <c r="D25" s="36"/>
      <c r="E25" s="38">
        <v>71364366.272</v>
      </c>
      <c r="F25" s="40">
        <f>VLOOKUP(A25,'DATOS GENERALES'!A:B,2,0)</f>
        <v>1.71</v>
      </c>
      <c r="G25" s="36">
        <f t="shared" si="0"/>
        <v>1.7021339999999998</v>
      </c>
      <c r="H25" s="38">
        <f t="shared" si="1"/>
        <v>41926409.008926444</v>
      </c>
      <c r="I25" s="38">
        <f t="shared" si="2"/>
        <v>29437957.263073556</v>
      </c>
      <c r="J25" s="38">
        <v>9199423.2668451443</v>
      </c>
      <c r="K25" s="38">
        <f t="shared" si="3"/>
        <v>20238533.996228412</v>
      </c>
      <c r="L25" s="41">
        <f>VLOOKUP(INDICADORES!$B$21,'DATOS GENERALES'!$K:$M,3,0)*E25</f>
        <v>485707.75310414832</v>
      </c>
      <c r="M25" s="38">
        <f t="shared" si="4"/>
        <v>19752826.243124265</v>
      </c>
      <c r="N25" s="36"/>
      <c r="O25" s="36"/>
      <c r="P25" s="36"/>
    </row>
    <row r="26" spans="1:16" x14ac:dyDescent="0.25">
      <c r="A26" s="36">
        <v>1687</v>
      </c>
      <c r="B26" s="37">
        <v>43497</v>
      </c>
      <c r="C26" s="36" t="s">
        <v>212</v>
      </c>
      <c r="D26" s="36"/>
      <c r="E26" s="38">
        <v>39364366.272</v>
      </c>
      <c r="F26" s="40">
        <f>VLOOKUP(A26,'DATOS GENERALES'!A:B,2,0)</f>
        <v>1.71</v>
      </c>
      <c r="G26" s="36">
        <f t="shared" si="0"/>
        <v>1.7021339999999998</v>
      </c>
      <c r="H26" s="38">
        <f t="shared" si="1"/>
        <v>23126479.038665585</v>
      </c>
      <c r="I26" s="38">
        <f t="shared" si="2"/>
        <v>16237887.233334415</v>
      </c>
      <c r="J26" s="38">
        <v>4998969.9277854618</v>
      </c>
      <c r="K26" s="38">
        <f t="shared" si="3"/>
        <v>11238917.305548953</v>
      </c>
      <c r="L26" s="41">
        <f>VLOOKUP(INDICADORES!$B$21,'DATOS GENERALES'!$K:$M,3,0)*E26</f>
        <v>267914.91178481124</v>
      </c>
      <c r="M26" s="38">
        <f t="shared" si="4"/>
        <v>10971002.393764142</v>
      </c>
      <c r="N26" s="36"/>
      <c r="O26" s="36"/>
      <c r="P26" s="36"/>
    </row>
    <row r="27" spans="1:16" x14ac:dyDescent="0.25">
      <c r="A27" s="36">
        <v>1687</v>
      </c>
      <c r="B27" s="37">
        <v>43525</v>
      </c>
      <c r="C27" s="36" t="s">
        <v>212</v>
      </c>
      <c r="D27" s="36"/>
      <c r="E27" s="38">
        <v>39364366.272</v>
      </c>
      <c r="F27" s="40">
        <f>VLOOKUP(A27,'DATOS GENERALES'!A:B,2,0)</f>
        <v>1.71</v>
      </c>
      <c r="G27" s="36">
        <f t="shared" si="0"/>
        <v>1.7021339999999998</v>
      </c>
      <c r="H27" s="38">
        <f t="shared" si="1"/>
        <v>23126479.038665585</v>
      </c>
      <c r="I27" s="38">
        <f t="shared" si="2"/>
        <v>16237887.233334415</v>
      </c>
      <c r="J27" s="38">
        <v>3616692.7411893979</v>
      </c>
      <c r="K27" s="38">
        <f t="shared" si="3"/>
        <v>12621194.492145017</v>
      </c>
      <c r="L27" s="41">
        <f>VLOOKUP(INDICADORES!$B$21,'DATOS GENERALES'!$K:$M,3,0)*E27</f>
        <v>267914.91178481124</v>
      </c>
      <c r="M27" s="38">
        <f t="shared" si="4"/>
        <v>12353279.580360206</v>
      </c>
      <c r="N27" s="36"/>
      <c r="O27" s="36"/>
      <c r="P27" s="36"/>
    </row>
    <row r="28" spans="1:16" x14ac:dyDescent="0.25">
      <c r="A28" s="36">
        <v>1687</v>
      </c>
      <c r="B28" s="37">
        <v>43556</v>
      </c>
      <c r="C28" s="36" t="s">
        <v>212</v>
      </c>
      <c r="D28" s="36"/>
      <c r="E28" s="38">
        <v>35374979.772</v>
      </c>
      <c r="F28" s="40">
        <f>VLOOKUP(A28,'DATOS GENERALES'!A:B,2,0)</f>
        <v>1.71</v>
      </c>
      <c r="G28" s="36">
        <f t="shared" si="0"/>
        <v>1.7021339999999998</v>
      </c>
      <c r="H28" s="38">
        <f t="shared" si="1"/>
        <v>20782723.200406082</v>
      </c>
      <c r="I28" s="38">
        <f t="shared" si="2"/>
        <v>14592256.571593918</v>
      </c>
      <c r="J28" s="38">
        <v>3341407.972906875</v>
      </c>
      <c r="K28" s="38">
        <f t="shared" si="3"/>
        <v>11250848.598687043</v>
      </c>
      <c r="L28" s="41">
        <f>VLOOKUP(INDICADORES!$B$21,'DATOS GENERALES'!$K:$M,3,0)*E28</f>
        <v>240763.04237993609</v>
      </c>
      <c r="M28" s="38">
        <f t="shared" si="4"/>
        <v>11010085.556307107</v>
      </c>
      <c r="N28" s="36"/>
      <c r="O28" s="36"/>
      <c r="P28" s="36"/>
    </row>
    <row r="29" spans="1:16" x14ac:dyDescent="0.25">
      <c r="A29" s="36">
        <v>1689</v>
      </c>
      <c r="B29" s="37">
        <v>43466</v>
      </c>
      <c r="C29" s="36" t="s">
        <v>212</v>
      </c>
      <c r="D29" s="36"/>
      <c r="E29" s="38">
        <v>36819716.200000003</v>
      </c>
      <c r="F29" s="40">
        <f>VLOOKUP(A29,'DATOS GENERALES'!A:B,2,0)</f>
        <v>2.11</v>
      </c>
      <c r="G29" s="36">
        <f t="shared" si="0"/>
        <v>2.1002939999999999</v>
      </c>
      <c r="H29" s="38">
        <f t="shared" si="1"/>
        <v>17530743.886332106</v>
      </c>
      <c r="I29" s="38">
        <f t="shared" si="2"/>
        <v>19288972.313667897</v>
      </c>
      <c r="J29" s="38">
        <v>3846566.8061075942</v>
      </c>
      <c r="K29" s="38">
        <f t="shared" si="3"/>
        <v>15442405.507560303</v>
      </c>
      <c r="L29" s="41">
        <f>VLOOKUP(INDICADORES!$B$21,'DATOS GENERALES'!$K:$M,3,0)*E29</f>
        <v>250595.95649280079</v>
      </c>
      <c r="M29" s="38">
        <f t="shared" si="4"/>
        <v>15191809.551067503</v>
      </c>
      <c r="N29" s="36"/>
      <c r="O29" s="36"/>
      <c r="P29" s="36"/>
    </row>
    <row r="30" spans="1:16" x14ac:dyDescent="0.25">
      <c r="A30" s="36">
        <v>1689</v>
      </c>
      <c r="B30" s="37">
        <v>43497</v>
      </c>
      <c r="C30" s="36" t="s">
        <v>212</v>
      </c>
      <c r="D30" s="36"/>
      <c r="E30" s="38">
        <v>36819716.200000003</v>
      </c>
      <c r="F30" s="40">
        <f>VLOOKUP(A30,'DATOS GENERALES'!A:B,2,0)</f>
        <v>2.11</v>
      </c>
      <c r="G30" s="36">
        <f t="shared" si="0"/>
        <v>2.1002939999999999</v>
      </c>
      <c r="H30" s="38">
        <f t="shared" si="1"/>
        <v>17530743.886332106</v>
      </c>
      <c r="I30" s="38">
        <f t="shared" si="2"/>
        <v>19288972.313667897</v>
      </c>
      <c r="J30" s="38">
        <v>3789407.8624317762</v>
      </c>
      <c r="K30" s="38">
        <f t="shared" si="3"/>
        <v>15499564.451236121</v>
      </c>
      <c r="L30" s="41">
        <f>VLOOKUP(INDICADORES!$B$21,'DATOS GENERALES'!$K:$M,3,0)*E30</f>
        <v>250595.95649280079</v>
      </c>
      <c r="M30" s="38">
        <f t="shared" si="4"/>
        <v>15248968.494743321</v>
      </c>
      <c r="N30" s="36"/>
      <c r="O30" s="36"/>
      <c r="P30" s="36"/>
    </row>
    <row r="31" spans="1:16" x14ac:dyDescent="0.25">
      <c r="A31" s="36">
        <v>1689</v>
      </c>
      <c r="B31" s="37">
        <v>43525</v>
      </c>
      <c r="C31" s="36" t="s">
        <v>212</v>
      </c>
      <c r="D31" s="36"/>
      <c r="E31" s="38">
        <v>36819716.200000003</v>
      </c>
      <c r="F31" s="40">
        <f>VLOOKUP(A31,'DATOS GENERALES'!A:B,2,0)</f>
        <v>2.11</v>
      </c>
      <c r="G31" s="36">
        <f t="shared" si="0"/>
        <v>2.1002939999999999</v>
      </c>
      <c r="H31" s="38">
        <f t="shared" si="1"/>
        <v>17530743.886332106</v>
      </c>
      <c r="I31" s="38">
        <f t="shared" si="2"/>
        <v>19288972.313667897</v>
      </c>
      <c r="J31" s="38">
        <v>2741589.5889444551</v>
      </c>
      <c r="K31" s="38">
        <f t="shared" si="3"/>
        <v>16547382.724723442</v>
      </c>
      <c r="L31" s="41">
        <f>VLOOKUP(INDICADORES!$B$21,'DATOS GENERALES'!$K:$M,3,0)*E31</f>
        <v>250595.95649280079</v>
      </c>
      <c r="M31" s="38">
        <f t="shared" si="4"/>
        <v>16296786.768230641</v>
      </c>
      <c r="N31" s="36"/>
      <c r="O31" s="36"/>
      <c r="P31" s="36"/>
    </row>
    <row r="32" spans="1:16" x14ac:dyDescent="0.25">
      <c r="A32" s="36">
        <v>1689</v>
      </c>
      <c r="B32" s="37">
        <v>43556</v>
      </c>
      <c r="C32" s="36" t="s">
        <v>212</v>
      </c>
      <c r="D32" s="36"/>
      <c r="E32" s="38">
        <v>36819716.200000003</v>
      </c>
      <c r="F32" s="40">
        <f>VLOOKUP(A32,'DATOS GENERALES'!A:B,2,0)</f>
        <v>2.11</v>
      </c>
      <c r="G32" s="36">
        <f t="shared" si="0"/>
        <v>2.1002939999999999</v>
      </c>
      <c r="H32" s="38">
        <f t="shared" si="1"/>
        <v>17530743.886332106</v>
      </c>
      <c r="I32" s="38">
        <f t="shared" si="2"/>
        <v>19288972.313667897</v>
      </c>
      <c r="J32" s="38">
        <v>2818560.7260377691</v>
      </c>
      <c r="K32" s="38">
        <f t="shared" si="3"/>
        <v>16470411.587630128</v>
      </c>
      <c r="L32" s="41">
        <f>VLOOKUP(INDICADORES!$B$21,'DATOS GENERALES'!$K:$M,3,0)*E32</f>
        <v>250595.95649280079</v>
      </c>
      <c r="M32" s="38">
        <f t="shared" si="4"/>
        <v>16219815.631137328</v>
      </c>
      <c r="N32" s="36"/>
      <c r="O32" s="36"/>
      <c r="P32" s="36"/>
    </row>
    <row r="33" spans="1:16" x14ac:dyDescent="0.25">
      <c r="A33" s="36">
        <v>1689</v>
      </c>
      <c r="B33" s="37">
        <v>43586</v>
      </c>
      <c r="C33" s="36" t="s">
        <v>212</v>
      </c>
      <c r="D33" s="36"/>
      <c r="E33" s="38">
        <v>36819716.200000003</v>
      </c>
      <c r="F33" s="40">
        <f>VLOOKUP(A33,'DATOS GENERALES'!A:B,2,0)</f>
        <v>2.11</v>
      </c>
      <c r="G33" s="36">
        <f t="shared" si="0"/>
        <v>2.1002939999999999</v>
      </c>
      <c r="H33" s="38">
        <f t="shared" si="1"/>
        <v>17530743.886332106</v>
      </c>
      <c r="I33" s="38">
        <f t="shared" si="2"/>
        <v>19288972.313667897</v>
      </c>
      <c r="J33" s="38">
        <v>2325115.484499108</v>
      </c>
      <c r="K33" s="38">
        <f t="shared" si="3"/>
        <v>16963856.829168789</v>
      </c>
      <c r="L33" s="41">
        <f>VLOOKUP(INDICADORES!$B$21,'DATOS GENERALES'!$K:$M,3,0)*E33</f>
        <v>250595.95649280079</v>
      </c>
      <c r="M33" s="38">
        <f t="shared" si="4"/>
        <v>16713260.872675989</v>
      </c>
      <c r="N33" s="36"/>
      <c r="O33" s="36"/>
      <c r="P33" s="36"/>
    </row>
    <row r="34" spans="1:16" x14ac:dyDescent="0.25">
      <c r="A34" s="36">
        <v>1689</v>
      </c>
      <c r="B34" s="37">
        <v>43617</v>
      </c>
      <c r="C34" s="36" t="s">
        <v>212</v>
      </c>
      <c r="D34" s="36"/>
      <c r="E34" s="38">
        <v>36819716.200000003</v>
      </c>
      <c r="F34" s="40">
        <f>VLOOKUP(A34,'DATOS GENERALES'!A:B,2,0)</f>
        <v>2.11</v>
      </c>
      <c r="G34" s="36">
        <f t="shared" si="0"/>
        <v>2.1002939999999999</v>
      </c>
      <c r="H34" s="38">
        <f t="shared" si="1"/>
        <v>17530743.886332106</v>
      </c>
      <c r="I34" s="38">
        <f t="shared" si="2"/>
        <v>19288972.313667897</v>
      </c>
      <c r="J34" s="38">
        <v>2611572.9298895597</v>
      </c>
      <c r="K34" s="38">
        <f t="shared" si="3"/>
        <v>16677399.383778337</v>
      </c>
      <c r="L34" s="41">
        <f>VLOOKUP(INDICADORES!$B$21,'DATOS GENERALES'!$K:$M,3,0)*E34</f>
        <v>250595.95649280079</v>
      </c>
      <c r="M34" s="38">
        <f t="shared" si="4"/>
        <v>16426803.427285537</v>
      </c>
      <c r="N34" s="36"/>
      <c r="O34" s="36"/>
      <c r="P34" s="36"/>
    </row>
    <row r="35" spans="1:16" x14ac:dyDescent="0.25">
      <c r="A35" s="36">
        <v>1689</v>
      </c>
      <c r="B35" s="37">
        <v>43647</v>
      </c>
      <c r="C35" s="36" t="s">
        <v>212</v>
      </c>
      <c r="D35" s="36"/>
      <c r="E35" s="38">
        <v>36819716.200000003</v>
      </c>
      <c r="F35" s="40">
        <f>VLOOKUP(A35,'DATOS GENERALES'!A:B,2,0)</f>
        <v>2.11</v>
      </c>
      <c r="G35" s="36">
        <f t="shared" si="0"/>
        <v>2.1002939999999999</v>
      </c>
      <c r="H35" s="38">
        <f t="shared" si="1"/>
        <v>17530743.886332106</v>
      </c>
      <c r="I35" s="38">
        <f t="shared" si="2"/>
        <v>19288972.313667897</v>
      </c>
      <c r="J35" s="38">
        <v>4535042.6072187023</v>
      </c>
      <c r="K35" s="38">
        <f t="shared" si="3"/>
        <v>14753929.706449196</v>
      </c>
      <c r="L35" s="41">
        <f>VLOOKUP(INDICADORES!$B$21,'DATOS GENERALES'!$K:$M,3,0)*E35</f>
        <v>250595.95649280079</v>
      </c>
      <c r="M35" s="38">
        <f t="shared" si="4"/>
        <v>14503333.749956395</v>
      </c>
      <c r="N35" s="36"/>
      <c r="O35" s="36"/>
      <c r="P35" s="36"/>
    </row>
    <row r="36" spans="1:16" x14ac:dyDescent="0.25">
      <c r="A36" s="36">
        <v>1689</v>
      </c>
      <c r="B36" s="37">
        <v>43678</v>
      </c>
      <c r="C36" s="36" t="s">
        <v>212</v>
      </c>
      <c r="D36" s="36"/>
      <c r="E36" s="38">
        <v>36819716.200000003</v>
      </c>
      <c r="F36" s="40">
        <f>VLOOKUP(A36,'DATOS GENERALES'!A:B,2,0)</f>
        <v>2.11</v>
      </c>
      <c r="G36" s="36">
        <f t="shared" si="0"/>
        <v>2.1002939999999999</v>
      </c>
      <c r="H36" s="38">
        <f t="shared" si="1"/>
        <v>17530743.886332106</v>
      </c>
      <c r="I36" s="38">
        <f t="shared" si="2"/>
        <v>19288972.313667897</v>
      </c>
      <c r="J36" s="38">
        <v>4553915.7639175607</v>
      </c>
      <c r="K36" s="38">
        <f t="shared" si="3"/>
        <v>14735056.549750336</v>
      </c>
      <c r="L36" s="41">
        <f>VLOOKUP(INDICADORES!$B$21,'DATOS GENERALES'!$K:$M,3,0)*E36</f>
        <v>250595.95649280079</v>
      </c>
      <c r="M36" s="38">
        <f t="shared" si="4"/>
        <v>14484460.593257535</v>
      </c>
      <c r="N36" s="36"/>
      <c r="O36" s="36"/>
      <c r="P36" s="36"/>
    </row>
    <row r="37" spans="1:16" x14ac:dyDescent="0.25">
      <c r="A37" s="36">
        <v>1689</v>
      </c>
      <c r="B37" s="37">
        <v>43709</v>
      </c>
      <c r="C37" s="36" t="s">
        <v>212</v>
      </c>
      <c r="D37" s="36"/>
      <c r="E37" s="38">
        <v>28923787.600000001</v>
      </c>
      <c r="F37" s="40">
        <f>VLOOKUP(A37,'DATOS GENERALES'!A:B,2,0)</f>
        <v>2.11</v>
      </c>
      <c r="G37" s="36">
        <f t="shared" si="0"/>
        <v>2.1002939999999999</v>
      </c>
      <c r="H37" s="38">
        <f t="shared" si="1"/>
        <v>13771304.207887087</v>
      </c>
      <c r="I37" s="38">
        <f t="shared" si="2"/>
        <v>15152483.392112914</v>
      </c>
      <c r="J37" s="38">
        <v>3948524.6726940232</v>
      </c>
      <c r="K37" s="38">
        <f t="shared" si="3"/>
        <v>11203958.719418891</v>
      </c>
      <c r="L37" s="41">
        <f>VLOOKUP(INDICADORES!$B$21,'DATOS GENERALES'!$K:$M,3,0)*E37</f>
        <v>196856.05884753156</v>
      </c>
      <c r="M37" s="38">
        <f t="shared" si="4"/>
        <v>11007102.660571359</v>
      </c>
      <c r="N37" s="36"/>
      <c r="O37" s="36"/>
      <c r="P37" s="36"/>
    </row>
    <row r="38" spans="1:16" x14ac:dyDescent="0.25">
      <c r="A38" s="36">
        <v>1689</v>
      </c>
      <c r="B38" s="37">
        <v>43739</v>
      </c>
      <c r="C38" s="36" t="s">
        <v>212</v>
      </c>
      <c r="D38" s="36"/>
      <c r="E38" s="38">
        <v>13258047.600000001</v>
      </c>
      <c r="F38" s="40">
        <f>VLOOKUP(A38,'DATOS GENERALES'!A:B,2,0)</f>
        <v>2.11</v>
      </c>
      <c r="G38" s="36">
        <f t="shared" si="0"/>
        <v>2.1002939999999999</v>
      </c>
      <c r="H38" s="38">
        <f t="shared" si="1"/>
        <v>6312472.2538844571</v>
      </c>
      <c r="I38" s="38">
        <f t="shared" si="2"/>
        <v>6945575.3461155444</v>
      </c>
      <c r="J38" s="38">
        <v>1964202.9802027303</v>
      </c>
      <c r="K38" s="38">
        <f t="shared" si="3"/>
        <v>4981372.3659128137</v>
      </c>
      <c r="L38" s="41">
        <f>VLOOKUP(INDICADORES!$B$21,'DATOS GENERALES'!$K:$M,3,0)*E38</f>
        <v>90234.620535969312</v>
      </c>
      <c r="M38" s="38">
        <f t="shared" si="4"/>
        <v>4891137.745376844</v>
      </c>
      <c r="N38" s="36"/>
      <c r="O38" s="36"/>
      <c r="P38" s="36"/>
    </row>
    <row r="39" spans="1:16" x14ac:dyDescent="0.25">
      <c r="A39" s="36">
        <v>1689</v>
      </c>
      <c r="B39" s="37">
        <v>43770</v>
      </c>
      <c r="C39" s="36" t="s">
        <v>212</v>
      </c>
      <c r="D39" s="36"/>
      <c r="E39" s="38">
        <v>13258047.600000001</v>
      </c>
      <c r="F39" s="40">
        <f>VLOOKUP(A39,'DATOS GENERALES'!A:B,2,0)</f>
        <v>2.11</v>
      </c>
      <c r="G39" s="36">
        <f t="shared" si="0"/>
        <v>2.1002939999999999</v>
      </c>
      <c r="H39" s="38">
        <f t="shared" si="1"/>
        <v>6312472.2538844571</v>
      </c>
      <c r="I39" s="38">
        <f t="shared" si="2"/>
        <v>6945575.3461155444</v>
      </c>
      <c r="J39" s="38">
        <v>2577616.6639423487</v>
      </c>
      <c r="K39" s="38">
        <f t="shared" si="3"/>
        <v>4367958.6821731962</v>
      </c>
      <c r="L39" s="41">
        <f>VLOOKUP(INDICADORES!$B$21,'DATOS GENERALES'!$K:$M,3,0)*E39</f>
        <v>90234.620535969312</v>
      </c>
      <c r="M39" s="38">
        <f t="shared" si="4"/>
        <v>4277724.0616372265</v>
      </c>
      <c r="N39" s="36"/>
      <c r="O39" s="36"/>
      <c r="P39" s="36"/>
    </row>
    <row r="40" spans="1:16" x14ac:dyDescent="0.25">
      <c r="A40" s="36">
        <v>1701</v>
      </c>
      <c r="B40" s="37">
        <v>43466</v>
      </c>
      <c r="C40" s="36" t="s">
        <v>212</v>
      </c>
      <c r="D40" s="36"/>
      <c r="E40" s="38">
        <v>43079526.100000001</v>
      </c>
      <c r="F40" s="40">
        <f>VLOOKUP(A40,'DATOS GENERALES'!A:B,2,0)</f>
        <v>2.1800000000000002</v>
      </c>
      <c r="G40" s="36">
        <f t="shared" si="0"/>
        <v>2.169972</v>
      </c>
      <c r="H40" s="38">
        <f t="shared" si="1"/>
        <v>19852572.337338917</v>
      </c>
      <c r="I40" s="38">
        <f t="shared" si="2"/>
        <v>23226953.762661085</v>
      </c>
      <c r="J40" s="38">
        <v>4356018.561664992</v>
      </c>
      <c r="K40" s="38">
        <f t="shared" si="3"/>
        <v>18870935.200996093</v>
      </c>
      <c r="L40" s="41">
        <f>VLOOKUP(INDICADORES!$B$21,'DATOS GENERALES'!$K:$M,3,0)*E40</f>
        <v>293200.38725029811</v>
      </c>
      <c r="M40" s="38">
        <f t="shared" si="4"/>
        <v>18577734.813745797</v>
      </c>
      <c r="N40" s="36"/>
      <c r="O40" s="36"/>
      <c r="P40" s="36"/>
    </row>
    <row r="41" spans="1:16" x14ac:dyDescent="0.25">
      <c r="A41" s="36">
        <v>1701</v>
      </c>
      <c r="B41" s="37">
        <v>43497</v>
      </c>
      <c r="C41" s="36" t="s">
        <v>212</v>
      </c>
      <c r="D41" s="36"/>
      <c r="E41" s="38">
        <v>39433007.350000001</v>
      </c>
      <c r="F41" s="40">
        <f>VLOOKUP(A41,'DATOS GENERALES'!A:B,2,0)</f>
        <v>2.1800000000000002</v>
      </c>
      <c r="G41" s="36">
        <f t="shared" si="0"/>
        <v>2.169972</v>
      </c>
      <c r="H41" s="38">
        <f t="shared" si="1"/>
        <v>18172127.267079946</v>
      </c>
      <c r="I41" s="38">
        <f t="shared" si="2"/>
        <v>21260880.082920056</v>
      </c>
      <c r="J41" s="38">
        <v>3928047.9133958346</v>
      </c>
      <c r="K41" s="38">
        <f t="shared" si="3"/>
        <v>17332832.169524223</v>
      </c>
      <c r="L41" s="41">
        <f>VLOOKUP(INDICADORES!$B$21,'DATOS GENERALES'!$K:$M,3,0)*E41</f>
        <v>268382.08476633759</v>
      </c>
      <c r="M41" s="38">
        <f t="shared" si="4"/>
        <v>17064450.084757887</v>
      </c>
      <c r="N41" s="36"/>
      <c r="O41" s="36"/>
      <c r="P41" s="36"/>
    </row>
    <row r="42" spans="1:16" x14ac:dyDescent="0.25">
      <c r="A42" s="36">
        <v>1701</v>
      </c>
      <c r="B42" s="37">
        <v>43525</v>
      </c>
      <c r="C42" s="36" t="s">
        <v>212</v>
      </c>
      <c r="D42" s="36"/>
      <c r="E42" s="38">
        <v>39433007.350000001</v>
      </c>
      <c r="F42" s="40">
        <f>VLOOKUP(A42,'DATOS GENERALES'!A:B,2,0)</f>
        <v>2.1800000000000002</v>
      </c>
      <c r="G42" s="36">
        <f t="shared" si="0"/>
        <v>2.169972</v>
      </c>
      <c r="H42" s="38">
        <f t="shared" si="1"/>
        <v>18172127.267079946</v>
      </c>
      <c r="I42" s="38">
        <f t="shared" si="2"/>
        <v>21260880.082920056</v>
      </c>
      <c r="J42" s="38">
        <v>2841893.9462827207</v>
      </c>
      <c r="K42" s="38">
        <f t="shared" si="3"/>
        <v>18418986.136637334</v>
      </c>
      <c r="L42" s="41">
        <f>VLOOKUP(INDICADORES!$B$21,'DATOS GENERALES'!$K:$M,3,0)*E42</f>
        <v>268382.08476633759</v>
      </c>
      <c r="M42" s="38">
        <f t="shared" si="4"/>
        <v>18150604.051870998</v>
      </c>
      <c r="N42" s="36"/>
      <c r="O42" s="36"/>
      <c r="P42" s="36"/>
    </row>
    <row r="43" spans="1:16" x14ac:dyDescent="0.25">
      <c r="A43" s="36">
        <v>1701</v>
      </c>
      <c r="B43" s="37">
        <v>43556</v>
      </c>
      <c r="C43" s="36" t="s">
        <v>212</v>
      </c>
      <c r="D43" s="36"/>
      <c r="E43" s="38">
        <v>39433007.350000001</v>
      </c>
      <c r="F43" s="40">
        <f>VLOOKUP(A43,'DATOS GENERALES'!A:B,2,0)</f>
        <v>2.1800000000000002</v>
      </c>
      <c r="G43" s="36">
        <f t="shared" si="0"/>
        <v>2.169972</v>
      </c>
      <c r="H43" s="38">
        <f t="shared" si="1"/>
        <v>18172127.267079946</v>
      </c>
      <c r="I43" s="38">
        <f t="shared" si="2"/>
        <v>21260880.082920056</v>
      </c>
      <c r="J43" s="38">
        <v>2921681.1651378251</v>
      </c>
      <c r="K43" s="38">
        <f t="shared" si="3"/>
        <v>18339198.917782232</v>
      </c>
      <c r="L43" s="41">
        <f>VLOOKUP(INDICADORES!$B$21,'DATOS GENERALES'!$K:$M,3,0)*E43</f>
        <v>268382.08476633759</v>
      </c>
      <c r="M43" s="38">
        <f t="shared" si="4"/>
        <v>18070816.833015896</v>
      </c>
      <c r="N43" s="36"/>
      <c r="O43" s="36"/>
      <c r="P43" s="36"/>
    </row>
    <row r="44" spans="1:16" x14ac:dyDescent="0.25">
      <c r="A44" s="36">
        <v>1701</v>
      </c>
      <c r="B44" s="37">
        <v>43586</v>
      </c>
      <c r="C44" s="36" t="s">
        <v>212</v>
      </c>
      <c r="D44" s="36"/>
      <c r="E44" s="38">
        <v>39433007.350000001</v>
      </c>
      <c r="F44" s="40">
        <f>VLOOKUP(A44,'DATOS GENERALES'!A:B,2,0)</f>
        <v>2.1800000000000002</v>
      </c>
      <c r="G44" s="36">
        <f t="shared" si="0"/>
        <v>2.169972</v>
      </c>
      <c r="H44" s="38">
        <f t="shared" si="1"/>
        <v>18172127.267079946</v>
      </c>
      <c r="I44" s="38">
        <f t="shared" si="2"/>
        <v>21260880.082920056</v>
      </c>
      <c r="J44" s="38">
        <v>2410182.6350859054</v>
      </c>
      <c r="K44" s="38">
        <f t="shared" si="3"/>
        <v>18850697.447834149</v>
      </c>
      <c r="L44" s="41">
        <f>VLOOKUP(INDICADORES!$B$21,'DATOS GENERALES'!$K:$M,3,0)*E44</f>
        <v>268382.08476633759</v>
      </c>
      <c r="M44" s="38">
        <f t="shared" si="4"/>
        <v>18582315.363067813</v>
      </c>
      <c r="N44" s="36"/>
      <c r="O44" s="36"/>
      <c r="P44" s="36"/>
    </row>
    <row r="45" spans="1:16" x14ac:dyDescent="0.25">
      <c r="A45" s="36">
        <v>1701</v>
      </c>
      <c r="B45" s="37">
        <v>43617</v>
      </c>
      <c r="C45" s="36" t="s">
        <v>212</v>
      </c>
      <c r="D45" s="36"/>
      <c r="E45" s="38">
        <v>22497185.125</v>
      </c>
      <c r="F45" s="40">
        <f>VLOOKUP(A45,'DATOS GENERALES'!A:B,2,0)</f>
        <v>2.1800000000000002</v>
      </c>
      <c r="G45" s="36">
        <f t="shared" si="0"/>
        <v>2.169972</v>
      </c>
      <c r="H45" s="38">
        <f t="shared" si="1"/>
        <v>10367500.191246707</v>
      </c>
      <c r="I45" s="38">
        <f t="shared" si="2"/>
        <v>12129684.933753293</v>
      </c>
      <c r="J45" s="38">
        <v>1544457.1562758503</v>
      </c>
      <c r="K45" s="38">
        <f t="shared" si="3"/>
        <v>10585227.777477443</v>
      </c>
      <c r="L45" s="41">
        <f>VLOOKUP(INDICADORES!$B$21,'DATOS GENERALES'!$K:$M,3,0)*E45</f>
        <v>153116.43343940235</v>
      </c>
      <c r="M45" s="38">
        <f t="shared" si="4"/>
        <v>10432111.344038041</v>
      </c>
      <c r="N45" s="36"/>
      <c r="O45" s="36"/>
      <c r="P45" s="36"/>
    </row>
    <row r="46" spans="1:16" x14ac:dyDescent="0.25">
      <c r="A46" s="36">
        <v>1701</v>
      </c>
      <c r="B46" s="37">
        <v>43647</v>
      </c>
      <c r="C46" s="36" t="s">
        <v>212</v>
      </c>
      <c r="D46" s="36"/>
      <c r="E46" s="38">
        <v>22497185.125</v>
      </c>
      <c r="F46" s="40">
        <f>VLOOKUP(A46,'DATOS GENERALES'!A:B,2,0)</f>
        <v>2.1800000000000002</v>
      </c>
      <c r="G46" s="36">
        <f t="shared" si="0"/>
        <v>2.169972</v>
      </c>
      <c r="H46" s="38">
        <f t="shared" si="1"/>
        <v>10367500.191246707</v>
      </c>
      <c r="I46" s="38">
        <f t="shared" si="2"/>
        <v>12129684.933753293</v>
      </c>
      <c r="J46" s="38">
        <v>2681977.1826287895</v>
      </c>
      <c r="K46" s="38">
        <f t="shared" si="3"/>
        <v>9447707.7511245031</v>
      </c>
      <c r="L46" s="41">
        <f>VLOOKUP(INDICADORES!$B$21,'DATOS GENERALES'!$K:$M,3,0)*E46</f>
        <v>153116.43343940235</v>
      </c>
      <c r="M46" s="38">
        <f t="shared" si="4"/>
        <v>9294591.3176851012</v>
      </c>
      <c r="N46" s="36"/>
      <c r="O46" s="36"/>
      <c r="P46" s="36"/>
    </row>
    <row r="47" spans="1:16" x14ac:dyDescent="0.25">
      <c r="A47" s="36">
        <v>1701</v>
      </c>
      <c r="B47" s="37">
        <v>43678</v>
      </c>
      <c r="C47" s="36" t="s">
        <v>212</v>
      </c>
      <c r="D47" s="36"/>
      <c r="E47" s="38">
        <v>22497185.125</v>
      </c>
      <c r="F47" s="40">
        <f>VLOOKUP(A47,'DATOS GENERALES'!A:B,2,0)</f>
        <v>2.1800000000000002</v>
      </c>
      <c r="G47" s="36">
        <f t="shared" si="0"/>
        <v>2.169972</v>
      </c>
      <c r="H47" s="38">
        <f t="shared" si="1"/>
        <v>10367500.191246707</v>
      </c>
      <c r="I47" s="38">
        <f t="shared" si="2"/>
        <v>12129684.933753293</v>
      </c>
      <c r="J47" s="38">
        <v>2693138.5718404246</v>
      </c>
      <c r="K47" s="38">
        <f t="shared" si="3"/>
        <v>9436546.3619128689</v>
      </c>
      <c r="L47" s="41">
        <f>VLOOKUP(INDICADORES!$B$21,'DATOS GENERALES'!$K:$M,3,0)*E47</f>
        <v>153116.43343940235</v>
      </c>
      <c r="M47" s="38">
        <f t="shared" si="4"/>
        <v>9283429.928473467</v>
      </c>
      <c r="N47" s="36"/>
      <c r="O47" s="36"/>
      <c r="P47" s="36"/>
    </row>
    <row r="48" spans="1:16" x14ac:dyDescent="0.25">
      <c r="A48" s="36">
        <v>1701</v>
      </c>
      <c r="B48" s="37">
        <v>43709</v>
      </c>
      <c r="C48" s="36" t="s">
        <v>212</v>
      </c>
      <c r="D48" s="36"/>
      <c r="E48" s="38">
        <v>22497185.125</v>
      </c>
      <c r="F48" s="40">
        <f>VLOOKUP(A48,'DATOS GENERALES'!A:B,2,0)</f>
        <v>2.1800000000000002</v>
      </c>
      <c r="G48" s="36">
        <f t="shared" si="0"/>
        <v>2.169972</v>
      </c>
      <c r="H48" s="38">
        <f t="shared" si="1"/>
        <v>10367500.191246707</v>
      </c>
      <c r="I48" s="38">
        <f t="shared" si="2"/>
        <v>12129684.933753293</v>
      </c>
      <c r="J48" s="38">
        <v>2972581.9487636192</v>
      </c>
      <c r="K48" s="38">
        <f t="shared" si="3"/>
        <v>9157102.9849896729</v>
      </c>
      <c r="L48" s="41">
        <f>VLOOKUP(INDICADORES!$B$21,'DATOS GENERALES'!$K:$M,3,0)*E48</f>
        <v>153116.43343940235</v>
      </c>
      <c r="M48" s="38">
        <f t="shared" si="4"/>
        <v>9003986.551550271</v>
      </c>
      <c r="N48" s="36"/>
      <c r="O48" s="36"/>
      <c r="P48" s="36"/>
    </row>
    <row r="49" spans="1:16" x14ac:dyDescent="0.25">
      <c r="A49" s="36">
        <v>1701</v>
      </c>
      <c r="B49" s="37">
        <v>43739</v>
      </c>
      <c r="C49" s="36" t="s">
        <v>212</v>
      </c>
      <c r="D49" s="36"/>
      <c r="E49" s="38">
        <v>22497185.125</v>
      </c>
      <c r="F49" s="40">
        <f>VLOOKUP(A49,'DATOS GENERALES'!A:B,2,0)</f>
        <v>2.1800000000000002</v>
      </c>
      <c r="G49" s="36">
        <f t="shared" si="0"/>
        <v>2.169972</v>
      </c>
      <c r="H49" s="38">
        <f t="shared" si="1"/>
        <v>10367500.191246707</v>
      </c>
      <c r="I49" s="38">
        <f t="shared" si="2"/>
        <v>12129684.933753293</v>
      </c>
      <c r="J49" s="38">
        <v>3225974.5395899359</v>
      </c>
      <c r="K49" s="38">
        <f t="shared" si="3"/>
        <v>8903710.3941633571</v>
      </c>
      <c r="L49" s="41">
        <f>VLOOKUP(INDICADORES!$B$21,'DATOS GENERALES'!$K:$M,3,0)*E49</f>
        <v>153116.43343940235</v>
      </c>
      <c r="M49" s="38">
        <f t="shared" si="4"/>
        <v>8750593.9607239552</v>
      </c>
      <c r="N49" s="36"/>
      <c r="O49" s="36"/>
      <c r="P49" s="36"/>
    </row>
    <row r="50" spans="1:16" x14ac:dyDescent="0.25">
      <c r="A50" s="36">
        <v>1701</v>
      </c>
      <c r="B50" s="37">
        <v>43770</v>
      </c>
      <c r="C50" s="36" t="s">
        <v>212</v>
      </c>
      <c r="D50" s="36"/>
      <c r="E50" s="38">
        <v>22497185.125</v>
      </c>
      <c r="F50" s="40">
        <f>VLOOKUP(A50,'DATOS GENERALES'!A:B,2,0)</f>
        <v>2.1800000000000002</v>
      </c>
      <c r="G50" s="36">
        <f t="shared" si="0"/>
        <v>2.169972</v>
      </c>
      <c r="H50" s="38">
        <f t="shared" si="1"/>
        <v>10367500.191246707</v>
      </c>
      <c r="I50" s="38">
        <f t="shared" si="2"/>
        <v>12129684.933753293</v>
      </c>
      <c r="J50" s="38">
        <v>4233435.0443977639</v>
      </c>
      <c r="K50" s="38">
        <f t="shared" si="3"/>
        <v>7896249.8893555291</v>
      </c>
      <c r="L50" s="41">
        <f>VLOOKUP(INDICADORES!$B$21,'DATOS GENERALES'!$K:$M,3,0)*E50</f>
        <v>153116.43343940235</v>
      </c>
      <c r="M50" s="38">
        <f t="shared" si="4"/>
        <v>7743133.4559161272</v>
      </c>
      <c r="N50" s="36"/>
      <c r="O50" s="36"/>
      <c r="P50" s="36"/>
    </row>
    <row r="51" spans="1:16" x14ac:dyDescent="0.25">
      <c r="A51" s="36">
        <v>1701</v>
      </c>
      <c r="B51" s="37">
        <v>43800</v>
      </c>
      <c r="C51" s="36" t="s">
        <v>212</v>
      </c>
      <c r="D51" s="36"/>
      <c r="E51" s="38">
        <v>22497185.125</v>
      </c>
      <c r="F51" s="40">
        <f>VLOOKUP(A51,'DATOS GENERALES'!A:B,2,0)</f>
        <v>2.1800000000000002</v>
      </c>
      <c r="G51" s="36">
        <f t="shared" si="0"/>
        <v>2.169972</v>
      </c>
      <c r="H51" s="38">
        <f t="shared" si="1"/>
        <v>10367500.191246707</v>
      </c>
      <c r="I51" s="38">
        <f t="shared" si="2"/>
        <v>12129684.933753293</v>
      </c>
      <c r="J51" s="38">
        <v>3651547.4195408029</v>
      </c>
      <c r="K51" s="38">
        <f t="shared" si="3"/>
        <v>8478137.5142124891</v>
      </c>
      <c r="L51" s="41">
        <f>VLOOKUP(INDICADORES!$B$21,'DATOS GENERALES'!$K:$M,3,0)*E51</f>
        <v>153116.43343940235</v>
      </c>
      <c r="M51" s="38">
        <f t="shared" si="4"/>
        <v>8325021.0807730872</v>
      </c>
      <c r="N51" s="36"/>
      <c r="O51" s="36"/>
      <c r="P51" s="36"/>
    </row>
    <row r="52" spans="1:16" x14ac:dyDescent="0.25">
      <c r="A52" s="36">
        <v>1701</v>
      </c>
      <c r="B52" s="37">
        <v>43831</v>
      </c>
      <c r="C52" s="36" t="s">
        <v>212</v>
      </c>
      <c r="D52" s="36"/>
      <c r="E52" s="38">
        <v>3497185.125</v>
      </c>
      <c r="F52" s="40">
        <f>VLOOKUP(A52,'DATOS GENERALES'!A:B,2,0)</f>
        <v>2.1800000000000002</v>
      </c>
      <c r="G52" s="36">
        <f t="shared" si="0"/>
        <v>2.169972</v>
      </c>
      <c r="H52" s="38">
        <f t="shared" si="1"/>
        <v>1611626.8435721751</v>
      </c>
      <c r="I52" s="38">
        <f t="shared" si="2"/>
        <v>1885558.2814278249</v>
      </c>
      <c r="J52" s="38" t="s">
        <v>213</v>
      </c>
      <c r="K52" s="38" t="str">
        <f t="shared" si="3"/>
        <v/>
      </c>
      <c r="L52" s="41">
        <f>VLOOKUP(INDICADORES!$B$21,'DATOS GENERALES'!$K:$M,3,0)*E52</f>
        <v>23801.933906045968</v>
      </c>
      <c r="M52" s="38" t="str">
        <f t="shared" si="4"/>
        <v/>
      </c>
      <c r="N52" s="36"/>
      <c r="O52" s="36"/>
      <c r="P52" s="36"/>
    </row>
    <row r="53" spans="1:16" x14ac:dyDescent="0.25">
      <c r="A53" s="36">
        <v>1751</v>
      </c>
      <c r="B53" s="37">
        <v>43466</v>
      </c>
      <c r="C53" s="36" t="s">
        <v>212</v>
      </c>
      <c r="D53" s="36"/>
      <c r="E53" s="38">
        <v>28006691.09375</v>
      </c>
      <c r="F53" s="40">
        <f>VLOOKUP(A53,'DATOS GENERALES'!A:B,2,0)</f>
        <v>2</v>
      </c>
      <c r="G53" s="36">
        <f t="shared" si="0"/>
        <v>1.9907999999999999</v>
      </c>
      <c r="H53" s="38">
        <f t="shared" si="1"/>
        <v>14068058.616510952</v>
      </c>
      <c r="I53" s="38">
        <f t="shared" si="2"/>
        <v>13938632.477239048</v>
      </c>
      <c r="J53" s="38">
        <v>3086790.1357475691</v>
      </c>
      <c r="K53" s="38">
        <f t="shared" si="3"/>
        <v>10851842.341491479</v>
      </c>
      <c r="L53" s="41">
        <f>VLOOKUP(INDICADORES!$B$21,'DATOS GENERALES'!$K:$M,3,0)*E53</f>
        <v>190614.27591439951</v>
      </c>
      <c r="M53" s="38">
        <f t="shared" si="4"/>
        <v>10661228.06557708</v>
      </c>
      <c r="N53" s="36"/>
      <c r="O53" s="36"/>
      <c r="P53" s="36"/>
    </row>
    <row r="54" spans="1:16" x14ac:dyDescent="0.25">
      <c r="A54" s="36">
        <v>1751</v>
      </c>
      <c r="B54" s="37">
        <v>43497</v>
      </c>
      <c r="C54" s="36" t="s">
        <v>212</v>
      </c>
      <c r="D54" s="36"/>
      <c r="E54" s="38">
        <v>28006691.09375</v>
      </c>
      <c r="F54" s="40">
        <f>VLOOKUP(A54,'DATOS GENERALES'!A:B,2,0)</f>
        <v>2</v>
      </c>
      <c r="G54" s="36">
        <f t="shared" si="0"/>
        <v>1.9907999999999999</v>
      </c>
      <c r="H54" s="38">
        <f t="shared" si="1"/>
        <v>14068058.616510952</v>
      </c>
      <c r="I54" s="38">
        <f t="shared" si="2"/>
        <v>13938632.477239048</v>
      </c>
      <c r="J54" s="38">
        <v>3040921.2681568344</v>
      </c>
      <c r="K54" s="38">
        <f t="shared" si="3"/>
        <v>10897711.209082214</v>
      </c>
      <c r="L54" s="41">
        <f>VLOOKUP(INDICADORES!$B$21,'DATOS GENERALES'!$K:$M,3,0)*E54</f>
        <v>190614.27591439951</v>
      </c>
      <c r="M54" s="38">
        <f t="shared" si="4"/>
        <v>10707096.933167815</v>
      </c>
      <c r="N54" s="36"/>
      <c r="O54" s="36"/>
      <c r="P54" s="36"/>
    </row>
    <row r="55" spans="1:16" x14ac:dyDescent="0.25">
      <c r="A55" s="36">
        <v>1758</v>
      </c>
      <c r="B55" s="37">
        <v>43466</v>
      </c>
      <c r="C55" s="36" t="s">
        <v>212</v>
      </c>
      <c r="D55" s="36"/>
      <c r="E55" s="38">
        <v>39944033.964749999</v>
      </c>
      <c r="F55" s="40">
        <f>VLOOKUP(A55,'DATOS GENERALES'!A:B,2,0)</f>
        <v>2.4300000000000002</v>
      </c>
      <c r="G55" s="36">
        <f t="shared" si="0"/>
        <v>2.418822</v>
      </c>
      <c r="H55" s="38">
        <f t="shared" si="1"/>
        <v>16513837.713047922</v>
      </c>
      <c r="I55" s="38">
        <f t="shared" si="2"/>
        <v>23430196.251702078</v>
      </c>
      <c r="J55" s="38">
        <v>3623438.936780239</v>
      </c>
      <c r="K55" s="38">
        <f t="shared" si="3"/>
        <v>19806757.314921837</v>
      </c>
      <c r="L55" s="41">
        <f>VLOOKUP(INDICADORES!$B$21,'DATOS GENERALES'!$K:$M,3,0)*E55</f>
        <v>271860.14534184395</v>
      </c>
      <c r="M55" s="38">
        <f t="shared" si="4"/>
        <v>19534897.169579994</v>
      </c>
      <c r="N55" s="36"/>
      <c r="O55" s="36"/>
      <c r="P55" s="36"/>
    </row>
    <row r="56" spans="1:16" x14ac:dyDescent="0.25">
      <c r="A56" s="36">
        <v>1758</v>
      </c>
      <c r="B56" s="37">
        <v>43497</v>
      </c>
      <c r="C56" s="36" t="s">
        <v>212</v>
      </c>
      <c r="D56" s="36"/>
      <c r="E56" s="38">
        <v>39944033.964749999</v>
      </c>
      <c r="F56" s="40">
        <f>VLOOKUP(A56,'DATOS GENERALES'!A:B,2,0)</f>
        <v>2.4300000000000002</v>
      </c>
      <c r="G56" s="36">
        <f t="shared" si="0"/>
        <v>2.418822</v>
      </c>
      <c r="H56" s="38">
        <f t="shared" si="1"/>
        <v>16513837.713047922</v>
      </c>
      <c r="I56" s="38">
        <f t="shared" si="2"/>
        <v>23430196.251702078</v>
      </c>
      <c r="J56" s="38">
        <v>3569595.612969683</v>
      </c>
      <c r="K56" s="38">
        <f t="shared" si="3"/>
        <v>19860600.638732396</v>
      </c>
      <c r="L56" s="41">
        <f>VLOOKUP(INDICADORES!$B$21,'DATOS GENERALES'!$K:$M,3,0)*E56</f>
        <v>271860.14534184395</v>
      </c>
      <c r="M56" s="38">
        <f t="shared" si="4"/>
        <v>19588740.493390553</v>
      </c>
      <c r="N56" s="36"/>
      <c r="O56" s="36"/>
      <c r="P56" s="36"/>
    </row>
    <row r="57" spans="1:16" x14ac:dyDescent="0.25">
      <c r="A57" s="36">
        <v>1758</v>
      </c>
      <c r="B57" s="37">
        <v>43525</v>
      </c>
      <c r="C57" s="36" t="s">
        <v>212</v>
      </c>
      <c r="D57" s="36"/>
      <c r="E57" s="38">
        <v>39944033.964749999</v>
      </c>
      <c r="F57" s="40">
        <f>VLOOKUP(A57,'DATOS GENERALES'!A:B,2,0)</f>
        <v>2.4300000000000002</v>
      </c>
      <c r="G57" s="36">
        <f t="shared" si="0"/>
        <v>2.418822</v>
      </c>
      <c r="H57" s="38">
        <f t="shared" si="1"/>
        <v>16513837.713047922</v>
      </c>
      <c r="I57" s="38">
        <f t="shared" si="2"/>
        <v>23430196.251702078</v>
      </c>
      <c r="J57" s="38">
        <v>2582558.1527609117</v>
      </c>
      <c r="K57" s="38">
        <f t="shared" si="3"/>
        <v>20847638.098941166</v>
      </c>
      <c r="L57" s="41">
        <f>VLOOKUP(INDICADORES!$B$21,'DATOS GENERALES'!$K:$M,3,0)*E57</f>
        <v>271860.14534184395</v>
      </c>
      <c r="M57" s="38">
        <f t="shared" si="4"/>
        <v>20575777.953599323</v>
      </c>
      <c r="N57" s="36"/>
      <c r="O57" s="36"/>
      <c r="P57" s="36"/>
    </row>
    <row r="58" spans="1:16" x14ac:dyDescent="0.25">
      <c r="A58" s="36">
        <v>1758</v>
      </c>
      <c r="B58" s="37">
        <v>43556</v>
      </c>
      <c r="C58" s="36" t="s">
        <v>212</v>
      </c>
      <c r="D58" s="36"/>
      <c r="E58" s="38">
        <v>39944033.964749999</v>
      </c>
      <c r="F58" s="40">
        <f>VLOOKUP(A58,'DATOS GENERALES'!A:B,2,0)</f>
        <v>2.4300000000000002</v>
      </c>
      <c r="G58" s="36">
        <f t="shared" si="0"/>
        <v>2.418822</v>
      </c>
      <c r="H58" s="38">
        <f t="shared" si="1"/>
        <v>16513837.713047922</v>
      </c>
      <c r="I58" s="38">
        <f t="shared" si="2"/>
        <v>23430196.251702078</v>
      </c>
      <c r="J58" s="38">
        <v>2655064.4237320344</v>
      </c>
      <c r="K58" s="38">
        <f t="shared" si="3"/>
        <v>20775131.827970043</v>
      </c>
      <c r="L58" s="41">
        <f>VLOOKUP(INDICADORES!$B$21,'DATOS GENERALES'!$K:$M,3,0)*E58</f>
        <v>271860.14534184395</v>
      </c>
      <c r="M58" s="38">
        <f t="shared" si="4"/>
        <v>20503271.682628199</v>
      </c>
      <c r="N58" s="36"/>
      <c r="O58" s="36"/>
      <c r="P58" s="36"/>
    </row>
    <row r="59" spans="1:16" x14ac:dyDescent="0.25">
      <c r="A59" s="36">
        <v>1758</v>
      </c>
      <c r="B59" s="37">
        <v>43586</v>
      </c>
      <c r="C59" s="36" t="s">
        <v>212</v>
      </c>
      <c r="D59" s="36"/>
      <c r="E59" s="38">
        <v>39944033.964749999</v>
      </c>
      <c r="F59" s="40">
        <f>VLOOKUP(A59,'DATOS GENERALES'!A:B,2,0)</f>
        <v>2.4300000000000002</v>
      </c>
      <c r="G59" s="36">
        <f t="shared" si="0"/>
        <v>2.418822</v>
      </c>
      <c r="H59" s="38">
        <f t="shared" si="1"/>
        <v>16513837.713047922</v>
      </c>
      <c r="I59" s="38">
        <f t="shared" si="2"/>
        <v>23430196.251702078</v>
      </c>
      <c r="J59" s="38">
        <v>2190242.4691201532</v>
      </c>
      <c r="K59" s="38">
        <f t="shared" si="3"/>
        <v>21239953.782581925</v>
      </c>
      <c r="L59" s="41">
        <f>VLOOKUP(INDICADORES!$B$21,'DATOS GENERALES'!$K:$M,3,0)*E59</f>
        <v>271860.14534184395</v>
      </c>
      <c r="M59" s="38">
        <f t="shared" si="4"/>
        <v>20968093.637240082</v>
      </c>
      <c r="N59" s="36"/>
      <c r="O59" s="36"/>
      <c r="P59" s="36"/>
    </row>
    <row r="60" spans="1:16" x14ac:dyDescent="0.25">
      <c r="A60" s="36">
        <v>1758</v>
      </c>
      <c r="B60" s="37">
        <v>43617</v>
      </c>
      <c r="C60" s="36" t="s">
        <v>212</v>
      </c>
      <c r="D60" s="36"/>
      <c r="E60" s="38">
        <v>39944033.964749999</v>
      </c>
      <c r="F60" s="40">
        <f>VLOOKUP(A60,'DATOS GENERALES'!A:B,2,0)</f>
        <v>2.4300000000000002</v>
      </c>
      <c r="G60" s="36">
        <f t="shared" si="0"/>
        <v>2.418822</v>
      </c>
      <c r="H60" s="38">
        <f t="shared" si="1"/>
        <v>16513837.713047922</v>
      </c>
      <c r="I60" s="38">
        <f t="shared" si="2"/>
        <v>23430196.251702078</v>
      </c>
      <c r="J60" s="38">
        <v>2460083.3723667269</v>
      </c>
      <c r="K60" s="38">
        <f t="shared" si="3"/>
        <v>20970112.879335351</v>
      </c>
      <c r="L60" s="41">
        <f>VLOOKUP(INDICADORES!$B$21,'DATOS GENERALES'!$K:$M,3,0)*E60</f>
        <v>271860.14534184395</v>
      </c>
      <c r="M60" s="38">
        <f t="shared" si="4"/>
        <v>20698252.733993508</v>
      </c>
      <c r="N60" s="36"/>
      <c r="O60" s="36"/>
      <c r="P60" s="36"/>
    </row>
    <row r="61" spans="1:16" x14ac:dyDescent="0.25">
      <c r="A61" s="36">
        <v>1758</v>
      </c>
      <c r="B61" s="37">
        <v>43647</v>
      </c>
      <c r="C61" s="36" t="s">
        <v>212</v>
      </c>
      <c r="D61" s="36"/>
      <c r="E61" s="38">
        <v>39944033.964749999</v>
      </c>
      <c r="F61" s="40">
        <f>VLOOKUP(A61,'DATOS GENERALES'!A:B,2,0)</f>
        <v>2.4300000000000002</v>
      </c>
      <c r="G61" s="36">
        <f t="shared" si="0"/>
        <v>2.418822</v>
      </c>
      <c r="H61" s="38">
        <f t="shared" si="1"/>
        <v>16513837.713047922</v>
      </c>
      <c r="I61" s="38">
        <f t="shared" si="2"/>
        <v>23430196.251702078</v>
      </c>
      <c r="J61" s="38">
        <v>4271978.3098169798</v>
      </c>
      <c r="K61" s="38">
        <f t="shared" si="3"/>
        <v>19158217.941885099</v>
      </c>
      <c r="L61" s="41">
        <f>VLOOKUP(INDICADORES!$B$21,'DATOS GENERALES'!$K:$M,3,0)*E61</f>
        <v>271860.14534184395</v>
      </c>
      <c r="M61" s="38">
        <f t="shared" si="4"/>
        <v>18886357.796543255</v>
      </c>
      <c r="N61" s="36"/>
      <c r="O61" s="36"/>
      <c r="P61" s="36"/>
    </row>
    <row r="62" spans="1:16" x14ac:dyDescent="0.25">
      <c r="A62" s="36">
        <v>1758</v>
      </c>
      <c r="B62" s="37">
        <v>43678</v>
      </c>
      <c r="C62" s="36" t="s">
        <v>212</v>
      </c>
      <c r="D62" s="36"/>
      <c r="E62" s="38">
        <v>39944033.964749999</v>
      </c>
      <c r="F62" s="40">
        <f>VLOOKUP(A62,'DATOS GENERALES'!A:B,2,0)</f>
        <v>2.4300000000000002</v>
      </c>
      <c r="G62" s="36">
        <f t="shared" si="0"/>
        <v>2.418822</v>
      </c>
      <c r="H62" s="38">
        <f t="shared" si="1"/>
        <v>16513837.713047922</v>
      </c>
      <c r="I62" s="38">
        <f t="shared" si="2"/>
        <v>23430196.251702078</v>
      </c>
      <c r="J62" s="38">
        <v>4289756.6909785941</v>
      </c>
      <c r="K62" s="38">
        <f t="shared" si="3"/>
        <v>19140439.560723484</v>
      </c>
      <c r="L62" s="41">
        <f>VLOOKUP(INDICADORES!$B$21,'DATOS GENERALES'!$K:$M,3,0)*E62</f>
        <v>271860.14534184395</v>
      </c>
      <c r="M62" s="38">
        <f t="shared" si="4"/>
        <v>18868579.41538164</v>
      </c>
      <c r="N62" s="36"/>
      <c r="O62" s="36"/>
      <c r="P62" s="36"/>
    </row>
    <row r="63" spans="1:16" x14ac:dyDescent="0.25">
      <c r="A63" s="36">
        <v>1758</v>
      </c>
      <c r="B63" s="37">
        <v>43709</v>
      </c>
      <c r="C63" s="36" t="s">
        <v>212</v>
      </c>
      <c r="D63" s="36"/>
      <c r="E63" s="38">
        <v>39944033.964749999</v>
      </c>
      <c r="F63" s="40">
        <f>VLOOKUP(A63,'DATOS GENERALES'!A:B,2,0)</f>
        <v>2.4300000000000002</v>
      </c>
      <c r="G63" s="36">
        <f t="shared" si="0"/>
        <v>2.418822</v>
      </c>
      <c r="H63" s="38">
        <f t="shared" si="1"/>
        <v>16513837.713047922</v>
      </c>
      <c r="I63" s="38">
        <f t="shared" si="2"/>
        <v>23430196.251702078</v>
      </c>
      <c r="J63" s="38">
        <v>4734867.1314290231</v>
      </c>
      <c r="K63" s="38">
        <f t="shared" si="3"/>
        <v>18695329.120273054</v>
      </c>
      <c r="L63" s="41">
        <f>VLOOKUP(INDICADORES!$B$21,'DATOS GENERALES'!$K:$M,3,0)*E63</f>
        <v>271860.14534184395</v>
      </c>
      <c r="M63" s="38">
        <f t="shared" si="4"/>
        <v>18423468.97493121</v>
      </c>
      <c r="N63" s="36"/>
      <c r="O63" s="36"/>
      <c r="P63" s="36"/>
    </row>
    <row r="64" spans="1:16" x14ac:dyDescent="0.25">
      <c r="A64" s="36">
        <v>1758</v>
      </c>
      <c r="B64" s="37">
        <v>43739</v>
      </c>
      <c r="C64" s="36" t="s">
        <v>212</v>
      </c>
      <c r="D64" s="36"/>
      <c r="E64" s="38">
        <v>39944033.964749999</v>
      </c>
      <c r="F64" s="40">
        <f>VLOOKUP(A64,'DATOS GENERALES'!A:B,2,0)</f>
        <v>2.4300000000000002</v>
      </c>
      <c r="G64" s="36">
        <f t="shared" si="0"/>
        <v>2.418822</v>
      </c>
      <c r="H64" s="38">
        <f t="shared" si="1"/>
        <v>16513837.713047922</v>
      </c>
      <c r="I64" s="38">
        <f t="shared" si="2"/>
        <v>23430196.251702078</v>
      </c>
      <c r="J64" s="38">
        <v>5138482.665106806</v>
      </c>
      <c r="K64" s="38">
        <f t="shared" si="3"/>
        <v>18291713.586595271</v>
      </c>
      <c r="L64" s="41">
        <f>VLOOKUP(INDICADORES!$B$21,'DATOS GENERALES'!$K:$M,3,0)*E64</f>
        <v>271860.14534184395</v>
      </c>
      <c r="M64" s="38">
        <f t="shared" si="4"/>
        <v>18019853.441253427</v>
      </c>
      <c r="N64" s="36"/>
      <c r="O64" s="36"/>
      <c r="P64" s="36"/>
    </row>
    <row r="65" spans="1:16" x14ac:dyDescent="0.25">
      <c r="A65" s="36">
        <v>1758</v>
      </c>
      <c r="B65" s="37">
        <v>43770</v>
      </c>
      <c r="C65" s="36" t="s">
        <v>212</v>
      </c>
      <c r="D65" s="36"/>
      <c r="E65" s="38">
        <v>39944033.964749999</v>
      </c>
      <c r="F65" s="40">
        <f>VLOOKUP(A65,'DATOS GENERALES'!A:B,2,0)</f>
        <v>2.4300000000000002</v>
      </c>
      <c r="G65" s="36">
        <f t="shared" si="0"/>
        <v>2.418822</v>
      </c>
      <c r="H65" s="38">
        <f t="shared" si="1"/>
        <v>16513837.713047922</v>
      </c>
      <c r="I65" s="38">
        <f t="shared" si="2"/>
        <v>23430196.251702078</v>
      </c>
      <c r="J65" s="38">
        <v>6743212.7323170742</v>
      </c>
      <c r="K65" s="38">
        <f t="shared" si="3"/>
        <v>16686983.519385003</v>
      </c>
      <c r="L65" s="41">
        <f>VLOOKUP(INDICADORES!$B$21,'DATOS GENERALES'!$K:$M,3,0)*E65</f>
        <v>271860.14534184395</v>
      </c>
      <c r="M65" s="38">
        <f t="shared" si="4"/>
        <v>16415123.374043159</v>
      </c>
      <c r="N65" s="36"/>
      <c r="O65" s="36"/>
      <c r="P65" s="36"/>
    </row>
    <row r="66" spans="1:16" x14ac:dyDescent="0.25">
      <c r="A66" s="36">
        <v>1758</v>
      </c>
      <c r="B66" s="37">
        <v>43800</v>
      </c>
      <c r="C66" s="36" t="s">
        <v>212</v>
      </c>
      <c r="D66" s="36"/>
      <c r="E66" s="38">
        <v>39944033.964749999</v>
      </c>
      <c r="F66" s="40">
        <f>VLOOKUP(A66,'DATOS GENERALES'!A:B,2,0)</f>
        <v>2.4300000000000002</v>
      </c>
      <c r="G66" s="36">
        <f t="shared" si="0"/>
        <v>2.418822</v>
      </c>
      <c r="H66" s="38">
        <f t="shared" si="1"/>
        <v>16513837.713047922</v>
      </c>
      <c r="I66" s="38">
        <f t="shared" si="2"/>
        <v>23430196.251702078</v>
      </c>
      <c r="J66" s="38">
        <v>5816354.9916023146</v>
      </c>
      <c r="K66" s="38">
        <f t="shared" si="3"/>
        <v>17613841.260099761</v>
      </c>
      <c r="L66" s="41">
        <f>VLOOKUP(INDICADORES!$B$21,'DATOS GENERALES'!$K:$M,3,0)*E66</f>
        <v>271860.14534184395</v>
      </c>
      <c r="M66" s="38">
        <f t="shared" si="4"/>
        <v>17341981.114757918</v>
      </c>
      <c r="N66" s="36"/>
      <c r="O66" s="36"/>
      <c r="P66" s="36"/>
    </row>
    <row r="67" spans="1:16" x14ac:dyDescent="0.25">
      <c r="A67" s="36">
        <v>1789</v>
      </c>
      <c r="B67" s="37">
        <v>43466</v>
      </c>
      <c r="C67" s="36" t="s">
        <v>212</v>
      </c>
      <c r="D67" s="36"/>
      <c r="E67" s="38">
        <v>43502787.700000003</v>
      </c>
      <c r="F67" s="40">
        <f>VLOOKUP(A67,'DATOS GENERALES'!A:B,2,0)</f>
        <v>1.45</v>
      </c>
      <c r="G67" s="36">
        <f t="shared" ref="G67:G130" si="5">F67*0.9954</f>
        <v>1.4433299999999998</v>
      </c>
      <c r="H67" s="38">
        <f t="shared" ref="H67:H130" si="6">E67/G67</f>
        <v>30140569.169905711</v>
      </c>
      <c r="I67" s="38">
        <f t="shared" ref="I67:I130" si="7">E67-H67</f>
        <v>13362218.530094292</v>
      </c>
      <c r="J67" s="38">
        <v>6613393.7976551233</v>
      </c>
      <c r="K67" s="38">
        <f t="shared" ref="K67:K130" si="8">IFERROR(I67-J67,"")</f>
        <v>6748824.7324391687</v>
      </c>
      <c r="L67" s="41">
        <f>VLOOKUP(INDICADORES!$B$21,'DATOS GENERALES'!$K:$M,3,0)*E67</f>
        <v>296081.11682796589</v>
      </c>
      <c r="M67" s="38">
        <f t="shared" ref="M67:M130" si="9">IFERROR(K67-L67,"")</f>
        <v>6452743.615611203</v>
      </c>
      <c r="N67" s="36"/>
      <c r="O67" s="36"/>
      <c r="P67" s="36"/>
    </row>
    <row r="68" spans="1:16" x14ac:dyDescent="0.25">
      <c r="A68" s="36">
        <v>1802</v>
      </c>
      <c r="B68" s="37">
        <v>43466</v>
      </c>
      <c r="C68" s="36" t="s">
        <v>212</v>
      </c>
      <c r="D68" s="36"/>
      <c r="E68" s="38">
        <v>53929329.834749997</v>
      </c>
      <c r="F68" s="40">
        <f>VLOOKUP(A68,'DATOS GENERALES'!A:B,2,0)</f>
        <v>1.95</v>
      </c>
      <c r="G68" s="36">
        <f t="shared" si="5"/>
        <v>1.9410299999999998</v>
      </c>
      <c r="H68" s="38">
        <f t="shared" si="6"/>
        <v>27783872.394939803</v>
      </c>
      <c r="I68" s="38">
        <f t="shared" si="7"/>
        <v>26145457.439810194</v>
      </c>
      <c r="J68" s="38">
        <v>6096291.2921697525</v>
      </c>
      <c r="K68" s="38">
        <f t="shared" si="8"/>
        <v>20049166.147640441</v>
      </c>
      <c r="L68" s="41">
        <f>VLOOKUP(INDICADORES!$B$21,'DATOS GENERALES'!$K:$M,3,0)*E68</f>
        <v>367044.43672368425</v>
      </c>
      <c r="M68" s="38">
        <f t="shared" si="9"/>
        <v>19682121.710916758</v>
      </c>
      <c r="N68" s="36"/>
      <c r="O68" s="36"/>
      <c r="P68" s="36"/>
    </row>
    <row r="69" spans="1:16" x14ac:dyDescent="0.25">
      <c r="A69" s="36">
        <v>1802</v>
      </c>
      <c r="B69" s="37">
        <v>43497</v>
      </c>
      <c r="C69" s="36" t="s">
        <v>212</v>
      </c>
      <c r="D69" s="36"/>
      <c r="E69" s="38">
        <v>53929329.834749997</v>
      </c>
      <c r="F69" s="40">
        <f>VLOOKUP(A69,'DATOS GENERALES'!A:B,2,0)</f>
        <v>1.95</v>
      </c>
      <c r="G69" s="36">
        <f t="shared" si="5"/>
        <v>1.9410299999999998</v>
      </c>
      <c r="H69" s="38">
        <f t="shared" si="6"/>
        <v>27783872.394939803</v>
      </c>
      <c r="I69" s="38">
        <f t="shared" si="7"/>
        <v>26145457.439810194</v>
      </c>
      <c r="J69" s="38">
        <v>6005702.0503431903</v>
      </c>
      <c r="K69" s="38">
        <f t="shared" si="8"/>
        <v>20139755.389467005</v>
      </c>
      <c r="L69" s="41">
        <f>VLOOKUP(INDICADORES!$B$21,'DATOS GENERALES'!$K:$M,3,0)*E69</f>
        <v>367044.43672368425</v>
      </c>
      <c r="M69" s="38">
        <f t="shared" si="9"/>
        <v>19772710.952743322</v>
      </c>
      <c r="N69" s="36"/>
      <c r="O69" s="36"/>
      <c r="P69" s="36"/>
    </row>
    <row r="70" spans="1:16" x14ac:dyDescent="0.25">
      <c r="A70" s="36">
        <v>1802</v>
      </c>
      <c r="B70" s="37">
        <v>43525</v>
      </c>
      <c r="C70" s="36" t="s">
        <v>212</v>
      </c>
      <c r="D70" s="36"/>
      <c r="E70" s="38">
        <v>53929329.834749997</v>
      </c>
      <c r="F70" s="40">
        <f>VLOOKUP(A70,'DATOS GENERALES'!A:B,2,0)</f>
        <v>1.95</v>
      </c>
      <c r="G70" s="36">
        <f t="shared" si="5"/>
        <v>1.9410299999999998</v>
      </c>
      <c r="H70" s="38">
        <f t="shared" si="6"/>
        <v>27783872.394939803</v>
      </c>
      <c r="I70" s="38">
        <f t="shared" si="7"/>
        <v>26145457.439810194</v>
      </c>
      <c r="J70" s="38">
        <v>4345050.9454944413</v>
      </c>
      <c r="K70" s="38">
        <f t="shared" si="8"/>
        <v>21800406.494315751</v>
      </c>
      <c r="L70" s="41">
        <f>VLOOKUP(INDICADORES!$B$21,'DATOS GENERALES'!$K:$M,3,0)*E70</f>
        <v>367044.43672368425</v>
      </c>
      <c r="M70" s="38">
        <f t="shared" si="9"/>
        <v>21433362.057592068</v>
      </c>
      <c r="N70" s="36"/>
      <c r="O70" s="36"/>
      <c r="P70" s="36"/>
    </row>
    <row r="71" spans="1:16" x14ac:dyDescent="0.25">
      <c r="A71" s="36">
        <v>1802</v>
      </c>
      <c r="B71" s="37">
        <v>43556</v>
      </c>
      <c r="C71" s="36" t="s">
        <v>212</v>
      </c>
      <c r="D71" s="36"/>
      <c r="E71" s="38">
        <v>53929329.834749997</v>
      </c>
      <c r="F71" s="40">
        <f>VLOOKUP(A71,'DATOS GENERALES'!A:B,2,0)</f>
        <v>1.95</v>
      </c>
      <c r="G71" s="36">
        <f t="shared" si="5"/>
        <v>1.9410299999999998</v>
      </c>
      <c r="H71" s="38">
        <f t="shared" si="6"/>
        <v>27783872.394939803</v>
      </c>
      <c r="I71" s="38">
        <f t="shared" si="7"/>
        <v>26145457.439810194</v>
      </c>
      <c r="J71" s="38">
        <v>4467039.8505266672</v>
      </c>
      <c r="K71" s="38">
        <f t="shared" si="8"/>
        <v>21678417.589283526</v>
      </c>
      <c r="L71" s="41">
        <f>VLOOKUP(INDICADORES!$B$21,'DATOS GENERALES'!$K:$M,3,0)*E71</f>
        <v>367044.43672368425</v>
      </c>
      <c r="M71" s="38">
        <f t="shared" si="9"/>
        <v>21311373.152559843</v>
      </c>
      <c r="N71" s="36"/>
      <c r="O71" s="36"/>
      <c r="P71" s="36"/>
    </row>
    <row r="72" spans="1:16" x14ac:dyDescent="0.25">
      <c r="A72" s="36">
        <v>1802</v>
      </c>
      <c r="B72" s="37">
        <v>43586</v>
      </c>
      <c r="C72" s="36" t="s">
        <v>212</v>
      </c>
      <c r="D72" s="36"/>
      <c r="E72" s="38">
        <v>53929329.834749997</v>
      </c>
      <c r="F72" s="40">
        <f>VLOOKUP(A72,'DATOS GENERALES'!A:B,2,0)</f>
        <v>1.95</v>
      </c>
      <c r="G72" s="36">
        <f t="shared" si="5"/>
        <v>1.9410299999999998</v>
      </c>
      <c r="H72" s="38">
        <f t="shared" si="6"/>
        <v>27783872.394939803</v>
      </c>
      <c r="I72" s="38">
        <f t="shared" si="7"/>
        <v>26145457.439810194</v>
      </c>
      <c r="J72" s="38">
        <v>3684995.4767286275</v>
      </c>
      <c r="K72" s="38">
        <f t="shared" si="8"/>
        <v>22460461.963081568</v>
      </c>
      <c r="L72" s="41">
        <f>VLOOKUP(INDICADORES!$B$21,'DATOS GENERALES'!$K:$M,3,0)*E72</f>
        <v>367044.43672368425</v>
      </c>
      <c r="M72" s="38">
        <f t="shared" si="9"/>
        <v>22093417.526357885</v>
      </c>
      <c r="N72" s="36"/>
      <c r="O72" s="36"/>
      <c r="P72" s="36"/>
    </row>
    <row r="73" spans="1:16" x14ac:dyDescent="0.25">
      <c r="A73" s="36">
        <v>1802</v>
      </c>
      <c r="B73" s="37">
        <v>43617</v>
      </c>
      <c r="C73" s="36" t="s">
        <v>212</v>
      </c>
      <c r="D73" s="36"/>
      <c r="E73" s="38">
        <v>53929329.834749997</v>
      </c>
      <c r="F73" s="40">
        <f>VLOOKUP(A73,'DATOS GENERALES'!A:B,2,0)</f>
        <v>1.95</v>
      </c>
      <c r="G73" s="36">
        <f t="shared" si="5"/>
        <v>1.9410299999999998</v>
      </c>
      <c r="H73" s="38">
        <f t="shared" si="6"/>
        <v>27783872.394939803</v>
      </c>
      <c r="I73" s="38">
        <f t="shared" si="7"/>
        <v>26145457.439810194</v>
      </c>
      <c r="J73" s="38">
        <v>4138992.0190837933</v>
      </c>
      <c r="K73" s="38">
        <f t="shared" si="8"/>
        <v>22006465.4207264</v>
      </c>
      <c r="L73" s="41">
        <f>VLOOKUP(INDICADORES!$B$21,'DATOS GENERALES'!$K:$M,3,0)*E73</f>
        <v>367044.43672368425</v>
      </c>
      <c r="M73" s="38">
        <f t="shared" si="9"/>
        <v>21639420.984002717</v>
      </c>
      <c r="N73" s="36"/>
      <c r="O73" s="36"/>
      <c r="P73" s="36"/>
    </row>
    <row r="74" spans="1:16" x14ac:dyDescent="0.25">
      <c r="A74" s="36">
        <v>1802</v>
      </c>
      <c r="B74" s="37">
        <v>43647</v>
      </c>
      <c r="C74" s="36" t="s">
        <v>212</v>
      </c>
      <c r="D74" s="36"/>
      <c r="E74" s="38">
        <v>53929329.834749997</v>
      </c>
      <c r="F74" s="40">
        <f>VLOOKUP(A74,'DATOS GENERALES'!A:B,2,0)</f>
        <v>1.95</v>
      </c>
      <c r="G74" s="36">
        <f t="shared" si="5"/>
        <v>1.9410299999999998</v>
      </c>
      <c r="H74" s="38">
        <f t="shared" si="6"/>
        <v>27783872.394939803</v>
      </c>
      <c r="I74" s="38">
        <f t="shared" si="7"/>
        <v>26145457.439810194</v>
      </c>
      <c r="J74" s="38">
        <v>7187432.8848541686</v>
      </c>
      <c r="K74" s="38">
        <f t="shared" si="8"/>
        <v>18958024.554956026</v>
      </c>
      <c r="L74" s="41">
        <f>VLOOKUP(INDICADORES!$B$21,'DATOS GENERALES'!$K:$M,3,0)*E74</f>
        <v>367044.43672368425</v>
      </c>
      <c r="M74" s="38">
        <f t="shared" si="9"/>
        <v>18590980.118232343</v>
      </c>
      <c r="N74" s="36"/>
      <c r="O74" s="36"/>
      <c r="P74" s="36"/>
    </row>
    <row r="75" spans="1:16" x14ac:dyDescent="0.25">
      <c r="A75" s="36">
        <v>1802</v>
      </c>
      <c r="B75" s="37">
        <v>43678</v>
      </c>
      <c r="C75" s="36" t="s">
        <v>212</v>
      </c>
      <c r="D75" s="36"/>
      <c r="E75" s="38">
        <v>45341011.5</v>
      </c>
      <c r="F75" s="40">
        <f>VLOOKUP(A75,'DATOS GENERALES'!A:B,2,0)</f>
        <v>1.95</v>
      </c>
      <c r="G75" s="36">
        <f t="shared" si="5"/>
        <v>1.9410299999999998</v>
      </c>
      <c r="H75" s="38">
        <f t="shared" si="6"/>
        <v>23359253.334569793</v>
      </c>
      <c r="I75" s="38">
        <f t="shared" si="7"/>
        <v>21981758.165430207</v>
      </c>
      <c r="J75" s="38">
        <v>6067972.5106575554</v>
      </c>
      <c r="K75" s="38">
        <f t="shared" si="8"/>
        <v>15913785.65477265</v>
      </c>
      <c r="L75" s="41">
        <f>VLOOKUP(INDICADORES!$B$21,'DATOS GENERALES'!$K:$M,3,0)*E75</f>
        <v>308592.11633992929</v>
      </c>
      <c r="M75" s="38">
        <f t="shared" si="9"/>
        <v>15605193.538432721</v>
      </c>
      <c r="N75" s="36"/>
      <c r="O75" s="36"/>
      <c r="P75" s="36"/>
    </row>
    <row r="76" spans="1:16" x14ac:dyDescent="0.25">
      <c r="A76" s="36">
        <v>1802</v>
      </c>
      <c r="B76" s="37">
        <v>43709</v>
      </c>
      <c r="C76" s="36" t="s">
        <v>212</v>
      </c>
      <c r="D76" s="36"/>
      <c r="E76" s="38">
        <v>28318301.25</v>
      </c>
      <c r="F76" s="40">
        <f>VLOOKUP(A76,'DATOS GENERALES'!A:B,2,0)</f>
        <v>1.95</v>
      </c>
      <c r="G76" s="36">
        <f t="shared" si="5"/>
        <v>1.9410299999999998</v>
      </c>
      <c r="H76" s="38">
        <f t="shared" si="6"/>
        <v>14589316.625709033</v>
      </c>
      <c r="I76" s="38">
        <f t="shared" si="7"/>
        <v>13728984.624290967</v>
      </c>
      <c r="J76" s="38">
        <v>4183066.1631427053</v>
      </c>
      <c r="K76" s="38">
        <f t="shared" si="8"/>
        <v>9545918.461148262</v>
      </c>
      <c r="L76" s="41">
        <f>VLOOKUP(INDICADORES!$B$21,'DATOS GENERALES'!$K:$M,3,0)*E76</f>
        <v>192735.10283045107</v>
      </c>
      <c r="M76" s="38">
        <f t="shared" si="9"/>
        <v>9353183.358317811</v>
      </c>
      <c r="N76" s="36"/>
      <c r="O76" s="36"/>
      <c r="P76" s="36"/>
    </row>
    <row r="77" spans="1:16" x14ac:dyDescent="0.25">
      <c r="A77" s="36">
        <v>1802</v>
      </c>
      <c r="B77" s="37">
        <v>43739</v>
      </c>
      <c r="C77" s="36" t="s">
        <v>212</v>
      </c>
      <c r="D77" s="36"/>
      <c r="E77" s="38">
        <v>28318301.25</v>
      </c>
      <c r="F77" s="40">
        <f>VLOOKUP(A77,'DATOS GENERALES'!A:B,2,0)</f>
        <v>1.95</v>
      </c>
      <c r="G77" s="36">
        <f t="shared" si="5"/>
        <v>1.9410299999999998</v>
      </c>
      <c r="H77" s="38">
        <f t="shared" si="6"/>
        <v>14589316.625709033</v>
      </c>
      <c r="I77" s="38">
        <f t="shared" si="7"/>
        <v>13728984.624290967</v>
      </c>
      <c r="J77" s="38">
        <v>4539644.3806473557</v>
      </c>
      <c r="K77" s="38">
        <f t="shared" si="8"/>
        <v>9189340.2436436117</v>
      </c>
      <c r="L77" s="41">
        <f>VLOOKUP(INDICADORES!$B$21,'DATOS GENERALES'!$K:$M,3,0)*E77</f>
        <v>192735.10283045107</v>
      </c>
      <c r="M77" s="38">
        <f t="shared" si="9"/>
        <v>8996605.1408131607</v>
      </c>
      <c r="N77" s="36"/>
      <c r="O77" s="36"/>
      <c r="P77" s="36"/>
    </row>
    <row r="78" spans="1:16" x14ac:dyDescent="0.25">
      <c r="A78" s="36">
        <v>1802</v>
      </c>
      <c r="B78" s="37">
        <v>43770</v>
      </c>
      <c r="C78" s="36" t="s">
        <v>212</v>
      </c>
      <c r="D78" s="36"/>
      <c r="E78" s="38">
        <v>28318301.25</v>
      </c>
      <c r="F78" s="40">
        <f>VLOOKUP(A78,'DATOS GENERALES'!A:B,2,0)</f>
        <v>1.95</v>
      </c>
      <c r="G78" s="36">
        <f t="shared" si="5"/>
        <v>1.9410299999999998</v>
      </c>
      <c r="H78" s="38">
        <f t="shared" si="6"/>
        <v>14589316.625709033</v>
      </c>
      <c r="I78" s="38">
        <f t="shared" si="7"/>
        <v>13728984.624290967</v>
      </c>
      <c r="J78" s="38">
        <v>5957359.3573924471</v>
      </c>
      <c r="K78" s="38">
        <f t="shared" si="8"/>
        <v>7771625.2668985203</v>
      </c>
      <c r="L78" s="41">
        <f>VLOOKUP(INDICADORES!$B$21,'DATOS GENERALES'!$K:$M,3,0)*E78</f>
        <v>192735.10283045107</v>
      </c>
      <c r="M78" s="38">
        <f t="shared" si="9"/>
        <v>7578890.1640680693</v>
      </c>
      <c r="N78" s="36"/>
      <c r="O78" s="36"/>
      <c r="P78" s="36"/>
    </row>
    <row r="79" spans="1:16" x14ac:dyDescent="0.25">
      <c r="A79" s="36">
        <v>1802</v>
      </c>
      <c r="B79" s="37">
        <v>43800</v>
      </c>
      <c r="C79" s="36" t="s">
        <v>212</v>
      </c>
      <c r="D79" s="36"/>
      <c r="E79" s="38">
        <v>28318301.25</v>
      </c>
      <c r="F79" s="40">
        <f>VLOOKUP(A79,'DATOS GENERALES'!A:B,2,0)</f>
        <v>1.95</v>
      </c>
      <c r="G79" s="36">
        <f t="shared" si="5"/>
        <v>1.9410299999999998</v>
      </c>
      <c r="H79" s="38">
        <f t="shared" si="6"/>
        <v>14589316.625709033</v>
      </c>
      <c r="I79" s="38">
        <f t="shared" si="7"/>
        <v>13728984.624290967</v>
      </c>
      <c r="J79" s="38">
        <v>5138517.5302384375</v>
      </c>
      <c r="K79" s="38">
        <f t="shared" si="8"/>
        <v>8590467.0940525308</v>
      </c>
      <c r="L79" s="41">
        <f>VLOOKUP(INDICADORES!$B$21,'DATOS GENERALES'!$K:$M,3,0)*E79</f>
        <v>192735.10283045107</v>
      </c>
      <c r="M79" s="38">
        <f t="shared" si="9"/>
        <v>8397731.9912220798</v>
      </c>
      <c r="N79" s="36"/>
      <c r="O79" s="36"/>
      <c r="P79" s="36"/>
    </row>
    <row r="80" spans="1:16" x14ac:dyDescent="0.25">
      <c r="A80" s="36">
        <v>1818</v>
      </c>
      <c r="B80" s="37">
        <v>43466</v>
      </c>
      <c r="C80" s="36" t="s">
        <v>212</v>
      </c>
      <c r="D80" s="36"/>
      <c r="E80" s="38">
        <v>37932512.950000003</v>
      </c>
      <c r="F80" s="40">
        <f>VLOOKUP(A80,'DATOS GENERALES'!A:B,2,0)</f>
        <v>1.1100000000000001</v>
      </c>
      <c r="G80" s="36">
        <f t="shared" si="5"/>
        <v>1.104894</v>
      </c>
      <c r="H80" s="38">
        <f t="shared" si="6"/>
        <v>34331359.343068205</v>
      </c>
      <c r="I80" s="38">
        <f t="shared" si="7"/>
        <v>3601153.6069317982</v>
      </c>
      <c r="J80" s="38">
        <v>7532930.0407244712</v>
      </c>
      <c r="K80" s="38">
        <f t="shared" si="8"/>
        <v>-3931776.4337926731</v>
      </c>
      <c r="L80" s="41">
        <f>VLOOKUP(INDICADORES!$B$21,'DATOS GENERALES'!$K:$M,3,0)*E80</f>
        <v>258169.68043009529</v>
      </c>
      <c r="M80" s="38">
        <f t="shared" si="9"/>
        <v>-4189946.1142227682</v>
      </c>
      <c r="N80" s="36"/>
      <c r="O80" s="36"/>
      <c r="P80" s="36"/>
    </row>
    <row r="81" spans="1:16" x14ac:dyDescent="0.25">
      <c r="A81" s="36">
        <v>1818</v>
      </c>
      <c r="B81" s="37">
        <v>43497</v>
      </c>
      <c r="C81" s="36" t="s">
        <v>212</v>
      </c>
      <c r="D81" s="36"/>
      <c r="E81" s="38">
        <v>37932512.950000003</v>
      </c>
      <c r="F81" s="40">
        <f>VLOOKUP(A81,'DATOS GENERALES'!A:B,2,0)</f>
        <v>1.1100000000000001</v>
      </c>
      <c r="G81" s="36">
        <f t="shared" si="5"/>
        <v>1.104894</v>
      </c>
      <c r="H81" s="38">
        <f t="shared" si="6"/>
        <v>34331359.343068205</v>
      </c>
      <c r="I81" s="38">
        <f t="shared" si="7"/>
        <v>3601153.6069317982</v>
      </c>
      <c r="J81" s="38">
        <v>7420992.7351698196</v>
      </c>
      <c r="K81" s="38">
        <f t="shared" si="8"/>
        <v>-3819839.1282380214</v>
      </c>
      <c r="L81" s="41">
        <f>VLOOKUP(INDICADORES!$B$21,'DATOS GENERALES'!$K:$M,3,0)*E81</f>
        <v>258169.68043009529</v>
      </c>
      <c r="M81" s="38">
        <f t="shared" si="9"/>
        <v>-4078008.8086681166</v>
      </c>
      <c r="N81" s="36"/>
      <c r="O81" s="36"/>
      <c r="P81" s="36"/>
    </row>
    <row r="82" spans="1:16" x14ac:dyDescent="0.25">
      <c r="A82" s="36">
        <v>1818</v>
      </c>
      <c r="B82" s="37">
        <v>43525</v>
      </c>
      <c r="C82" s="36" t="s">
        <v>212</v>
      </c>
      <c r="D82" s="36"/>
      <c r="E82" s="38">
        <v>37932512.950000003</v>
      </c>
      <c r="F82" s="40">
        <f>VLOOKUP(A82,'DATOS GENERALES'!A:B,2,0)</f>
        <v>1.1100000000000001</v>
      </c>
      <c r="G82" s="36">
        <f t="shared" si="5"/>
        <v>1.104894</v>
      </c>
      <c r="H82" s="38">
        <f t="shared" si="6"/>
        <v>34331359.343068205</v>
      </c>
      <c r="I82" s="38">
        <f t="shared" si="7"/>
        <v>3601153.6069317982</v>
      </c>
      <c r="J82" s="38">
        <v>5368996.2023031786</v>
      </c>
      <c r="K82" s="38">
        <f t="shared" si="8"/>
        <v>-1767842.5953713804</v>
      </c>
      <c r="L82" s="41">
        <f>VLOOKUP(INDICADORES!$B$21,'DATOS GENERALES'!$K:$M,3,0)*E82</f>
        <v>258169.68043009529</v>
      </c>
      <c r="M82" s="38">
        <f t="shared" si="9"/>
        <v>-2026012.2758014756</v>
      </c>
      <c r="N82" s="36"/>
      <c r="O82" s="36"/>
      <c r="P82" s="36"/>
    </row>
    <row r="83" spans="1:16" x14ac:dyDescent="0.25">
      <c r="A83" s="36">
        <v>1818</v>
      </c>
      <c r="B83" s="37">
        <v>43556</v>
      </c>
      <c r="C83" s="36" t="s">
        <v>212</v>
      </c>
      <c r="D83" s="36"/>
      <c r="E83" s="38">
        <v>37932512.950000003</v>
      </c>
      <c r="F83" s="40">
        <f>VLOOKUP(A83,'DATOS GENERALES'!A:B,2,0)</f>
        <v>1.1100000000000001</v>
      </c>
      <c r="G83" s="36">
        <f t="shared" si="5"/>
        <v>1.104894</v>
      </c>
      <c r="H83" s="38">
        <f t="shared" si="6"/>
        <v>34331359.343068205</v>
      </c>
      <c r="I83" s="38">
        <f t="shared" si="7"/>
        <v>3601153.6069317982</v>
      </c>
      <c r="J83" s="38">
        <v>5519732.7474109624</v>
      </c>
      <c r="K83" s="38">
        <f t="shared" si="8"/>
        <v>-1918579.1404791642</v>
      </c>
      <c r="L83" s="41">
        <f>VLOOKUP(INDICADORES!$B$21,'DATOS GENERALES'!$K:$M,3,0)*E83</f>
        <v>258169.68043009529</v>
      </c>
      <c r="M83" s="38">
        <f t="shared" si="9"/>
        <v>-2176748.8209092594</v>
      </c>
      <c r="N83" s="36"/>
      <c r="O83" s="36"/>
      <c r="P83" s="36"/>
    </row>
    <row r="84" spans="1:16" x14ac:dyDescent="0.25">
      <c r="A84" s="36">
        <v>1818</v>
      </c>
      <c r="B84" s="37">
        <v>43586</v>
      </c>
      <c r="C84" s="36" t="s">
        <v>212</v>
      </c>
      <c r="D84" s="36"/>
      <c r="E84" s="38">
        <v>37932512.950000003</v>
      </c>
      <c r="F84" s="40">
        <f>VLOOKUP(A84,'DATOS GENERALES'!A:B,2,0)</f>
        <v>1.1100000000000001</v>
      </c>
      <c r="G84" s="36">
        <f t="shared" si="5"/>
        <v>1.104894</v>
      </c>
      <c r="H84" s="38">
        <f t="shared" si="6"/>
        <v>34331359.343068205</v>
      </c>
      <c r="I84" s="38">
        <f t="shared" si="7"/>
        <v>3601153.6069317982</v>
      </c>
      <c r="J84" s="38">
        <v>4553393.4971639346</v>
      </c>
      <c r="K84" s="38">
        <f t="shared" si="8"/>
        <v>-952239.89023213647</v>
      </c>
      <c r="L84" s="41">
        <f>VLOOKUP(INDICADORES!$B$21,'DATOS GENERALES'!$K:$M,3,0)*E84</f>
        <v>258169.68043009529</v>
      </c>
      <c r="M84" s="38">
        <f t="shared" si="9"/>
        <v>-1210409.5706622317</v>
      </c>
      <c r="N84" s="36"/>
      <c r="O84" s="36"/>
      <c r="P84" s="36"/>
    </row>
    <row r="85" spans="1:16" x14ac:dyDescent="0.25">
      <c r="A85" s="36">
        <v>1818</v>
      </c>
      <c r="B85" s="37">
        <v>43617</v>
      </c>
      <c r="C85" s="36" t="s">
        <v>212</v>
      </c>
      <c r="D85" s="36"/>
      <c r="E85" s="38">
        <v>37932512.950000003</v>
      </c>
      <c r="F85" s="40">
        <f>VLOOKUP(A85,'DATOS GENERALES'!A:B,2,0)</f>
        <v>1.1100000000000001</v>
      </c>
      <c r="G85" s="36">
        <f t="shared" si="5"/>
        <v>1.104894</v>
      </c>
      <c r="H85" s="38">
        <f t="shared" si="6"/>
        <v>34331359.343068205</v>
      </c>
      <c r="I85" s="38">
        <f t="shared" si="7"/>
        <v>3601153.6069317982</v>
      </c>
      <c r="J85" s="38">
        <v>5114377.8774026074</v>
      </c>
      <c r="K85" s="38">
        <f t="shared" si="8"/>
        <v>-1513224.2704708092</v>
      </c>
      <c r="L85" s="41">
        <f>VLOOKUP(INDICADORES!$B$21,'DATOS GENERALES'!$K:$M,3,0)*E85</f>
        <v>258169.68043009529</v>
      </c>
      <c r="M85" s="38">
        <f t="shared" si="9"/>
        <v>-1771393.9509009044</v>
      </c>
      <c r="N85" s="36"/>
      <c r="O85" s="36"/>
      <c r="P85" s="36"/>
    </row>
    <row r="86" spans="1:16" x14ac:dyDescent="0.25">
      <c r="A86" s="36">
        <v>1818</v>
      </c>
      <c r="B86" s="37">
        <v>43647</v>
      </c>
      <c r="C86" s="36" t="s">
        <v>212</v>
      </c>
      <c r="D86" s="36"/>
      <c r="E86" s="38">
        <v>35575919.200000003</v>
      </c>
      <c r="F86" s="40">
        <f>VLOOKUP(A86,'DATOS GENERALES'!A:B,2,0)</f>
        <v>1.1100000000000001</v>
      </c>
      <c r="G86" s="36">
        <f t="shared" si="5"/>
        <v>1.104894</v>
      </c>
      <c r="H86" s="38">
        <f t="shared" si="6"/>
        <v>32198490.714946412</v>
      </c>
      <c r="I86" s="38">
        <f t="shared" si="7"/>
        <v>3377428.4850535914</v>
      </c>
      <c r="J86" s="38">
        <v>8329454.1422320269</v>
      </c>
      <c r="K86" s="38">
        <f t="shared" si="8"/>
        <v>-4952025.6571784355</v>
      </c>
      <c r="L86" s="41">
        <f>VLOOKUP(INDICADORES!$B$21,'DATOS GENERALES'!$K:$M,3,0)*E86</f>
        <v>242130.64140984867</v>
      </c>
      <c r="M86" s="38">
        <f t="shared" si="9"/>
        <v>-5194156.2985882843</v>
      </c>
      <c r="N86" s="36"/>
      <c r="O86" s="36"/>
      <c r="P86" s="36"/>
    </row>
    <row r="87" spans="1:16" x14ac:dyDescent="0.25">
      <c r="A87" s="36">
        <v>1818</v>
      </c>
      <c r="B87" s="37">
        <v>43678</v>
      </c>
      <c r="C87" s="36" t="s">
        <v>212</v>
      </c>
      <c r="D87" s="36"/>
      <c r="E87" s="38">
        <v>35575919.200000003</v>
      </c>
      <c r="F87" s="40">
        <f>VLOOKUP(A87,'DATOS GENERALES'!A:B,2,0)</f>
        <v>1.1100000000000001</v>
      </c>
      <c r="G87" s="36">
        <f t="shared" si="5"/>
        <v>1.104894</v>
      </c>
      <c r="H87" s="38">
        <f t="shared" si="6"/>
        <v>32198490.714946412</v>
      </c>
      <c r="I87" s="38">
        <f t="shared" si="7"/>
        <v>3377428.4850535914</v>
      </c>
      <c r="J87" s="38">
        <v>8364118.2252093451</v>
      </c>
      <c r="K87" s="38">
        <f t="shared" si="8"/>
        <v>-4986689.7401557537</v>
      </c>
      <c r="L87" s="41">
        <f>VLOOKUP(INDICADORES!$B$21,'DATOS GENERALES'!$K:$M,3,0)*E87</f>
        <v>242130.64140984867</v>
      </c>
      <c r="M87" s="38">
        <f t="shared" si="9"/>
        <v>-5228820.3815656025</v>
      </c>
      <c r="N87" s="36"/>
      <c r="O87" s="36"/>
      <c r="P87" s="36"/>
    </row>
    <row r="88" spans="1:16" x14ac:dyDescent="0.25">
      <c r="A88" s="36">
        <v>1818</v>
      </c>
      <c r="B88" s="37">
        <v>43709</v>
      </c>
      <c r="C88" s="36" t="s">
        <v>212</v>
      </c>
      <c r="D88" s="36"/>
      <c r="E88" s="38">
        <v>35195556.700000003</v>
      </c>
      <c r="F88" s="40">
        <f>VLOOKUP(A88,'DATOS GENERALES'!A:B,2,0)</f>
        <v>1.1100000000000001</v>
      </c>
      <c r="G88" s="36">
        <f t="shared" si="5"/>
        <v>1.104894</v>
      </c>
      <c r="H88" s="38">
        <f t="shared" si="6"/>
        <v>31854238.234617982</v>
      </c>
      <c r="I88" s="38">
        <f t="shared" si="7"/>
        <v>3341318.4653820209</v>
      </c>
      <c r="J88" s="38">
        <v>9133284.9598389827</v>
      </c>
      <c r="K88" s="38">
        <f t="shared" si="8"/>
        <v>-5791966.4944569618</v>
      </c>
      <c r="L88" s="41">
        <f>VLOOKUP(INDICADORES!$B$21,'DATOS GENERALES'!$K:$M,3,0)*E88</f>
        <v>239541.88423465099</v>
      </c>
      <c r="M88" s="38">
        <f t="shared" si="9"/>
        <v>-6031508.3786916127</v>
      </c>
      <c r="N88" s="36"/>
      <c r="O88" s="36"/>
      <c r="P88" s="36"/>
    </row>
    <row r="89" spans="1:16" x14ac:dyDescent="0.25">
      <c r="A89" s="36">
        <v>1818</v>
      </c>
      <c r="B89" s="37">
        <v>43739</v>
      </c>
      <c r="C89" s="36" t="s">
        <v>212</v>
      </c>
      <c r="D89" s="36"/>
      <c r="E89" s="38">
        <v>35195556.700000003</v>
      </c>
      <c r="F89" s="40">
        <f>VLOOKUP(A89,'DATOS GENERALES'!A:B,2,0)</f>
        <v>1.1100000000000001</v>
      </c>
      <c r="G89" s="36">
        <f t="shared" si="5"/>
        <v>1.104894</v>
      </c>
      <c r="H89" s="38">
        <f t="shared" si="6"/>
        <v>31854238.234617982</v>
      </c>
      <c r="I89" s="38">
        <f t="shared" si="7"/>
        <v>3341318.4653820209</v>
      </c>
      <c r="J89" s="38">
        <v>9911835.9900944196</v>
      </c>
      <c r="K89" s="38">
        <f t="shared" si="8"/>
        <v>-6570517.5247123986</v>
      </c>
      <c r="L89" s="41">
        <f>VLOOKUP(INDICADORES!$B$21,'DATOS GENERALES'!$K:$M,3,0)*E89</f>
        <v>239541.88423465099</v>
      </c>
      <c r="M89" s="38">
        <f t="shared" si="9"/>
        <v>-6810059.4089470496</v>
      </c>
      <c r="N89" s="36"/>
      <c r="O89" s="36"/>
      <c r="P89" s="36"/>
    </row>
    <row r="90" spans="1:16" x14ac:dyDescent="0.25">
      <c r="A90" s="36">
        <v>1818</v>
      </c>
      <c r="B90" s="37">
        <v>43770</v>
      </c>
      <c r="C90" s="36" t="s">
        <v>212</v>
      </c>
      <c r="D90" s="36"/>
      <c r="E90" s="38">
        <v>35195556.700000003</v>
      </c>
      <c r="F90" s="40">
        <f>VLOOKUP(A90,'DATOS GENERALES'!A:B,2,0)</f>
        <v>1.1100000000000001</v>
      </c>
      <c r="G90" s="36">
        <f t="shared" si="5"/>
        <v>1.104894</v>
      </c>
      <c r="H90" s="38">
        <f t="shared" si="6"/>
        <v>31854238.234617982</v>
      </c>
      <c r="I90" s="38">
        <f t="shared" si="7"/>
        <v>3341318.4653820209</v>
      </c>
      <c r="J90" s="38">
        <v>13007267.515546644</v>
      </c>
      <c r="K90" s="38">
        <f t="shared" si="8"/>
        <v>-9665949.0501646232</v>
      </c>
      <c r="L90" s="41">
        <f>VLOOKUP(INDICADORES!$B$21,'DATOS GENERALES'!$K:$M,3,0)*E90</f>
        <v>239541.88423465099</v>
      </c>
      <c r="M90" s="38">
        <f t="shared" si="9"/>
        <v>-9905490.9343992732</v>
      </c>
      <c r="N90" s="36"/>
      <c r="O90" s="36"/>
      <c r="P90" s="36"/>
    </row>
    <row r="91" spans="1:16" x14ac:dyDescent="0.25">
      <c r="A91" s="36">
        <v>1818</v>
      </c>
      <c r="B91" s="37">
        <v>43800</v>
      </c>
      <c r="C91" s="36" t="s">
        <v>212</v>
      </c>
      <c r="D91" s="36"/>
      <c r="E91" s="38">
        <v>31409130.699999999</v>
      </c>
      <c r="F91" s="40">
        <f>VLOOKUP(A91,'DATOS GENERALES'!A:B,2,0)</f>
        <v>1.1100000000000001</v>
      </c>
      <c r="G91" s="36">
        <f t="shared" si="5"/>
        <v>1.104894</v>
      </c>
      <c r="H91" s="38">
        <f t="shared" si="6"/>
        <v>28427279.630444184</v>
      </c>
      <c r="I91" s="38">
        <f t="shared" si="7"/>
        <v>2981851.0695558153</v>
      </c>
      <c r="J91" s="38">
        <v>10012400.064072801</v>
      </c>
      <c r="K91" s="38">
        <f t="shared" si="8"/>
        <v>-7030548.9945169855</v>
      </c>
      <c r="L91" s="41">
        <f>VLOOKUP(INDICADORES!$B$21,'DATOS GENERALES'!$K:$M,3,0)*E91</f>
        <v>213771.36932885682</v>
      </c>
      <c r="M91" s="38">
        <f t="shared" si="9"/>
        <v>-7244320.363845842</v>
      </c>
      <c r="N91" s="36"/>
      <c r="O91" s="36"/>
      <c r="P91" s="36"/>
    </row>
    <row r="92" spans="1:16" x14ac:dyDescent="0.25">
      <c r="A92" s="36">
        <v>1829</v>
      </c>
      <c r="B92" s="37">
        <v>43466</v>
      </c>
      <c r="C92" s="36" t="s">
        <v>212</v>
      </c>
      <c r="D92" s="36"/>
      <c r="E92" s="38">
        <v>71699753.276983202</v>
      </c>
      <c r="F92" s="40">
        <f>VLOOKUP(A92,'DATOS GENERALES'!A:B,2,0)</f>
        <v>1.35</v>
      </c>
      <c r="G92" s="36">
        <f t="shared" si="5"/>
        <v>1.34379</v>
      </c>
      <c r="H92" s="38">
        <f t="shared" si="6"/>
        <v>53356367.644485518</v>
      </c>
      <c r="I92" s="38">
        <f t="shared" si="7"/>
        <v>18343385.632497683</v>
      </c>
      <c r="J92" s="38">
        <v>11707365.871437222</v>
      </c>
      <c r="K92" s="38">
        <f t="shared" si="8"/>
        <v>6636019.7610604614</v>
      </c>
      <c r="L92" s="41">
        <f>VLOOKUP(INDICADORES!$B$21,'DATOS GENERALES'!$K:$M,3,0)*E92</f>
        <v>487990.40587780066</v>
      </c>
      <c r="M92" s="38">
        <f t="shared" si="9"/>
        <v>6148029.3551826607</v>
      </c>
      <c r="N92" s="36"/>
      <c r="O92" s="36"/>
      <c r="P92" s="36"/>
    </row>
    <row r="93" spans="1:16" x14ac:dyDescent="0.25">
      <c r="A93" s="36">
        <v>1829</v>
      </c>
      <c r="B93" s="37">
        <v>43497</v>
      </c>
      <c r="C93" s="36" t="s">
        <v>212</v>
      </c>
      <c r="D93" s="36"/>
      <c r="E93" s="38">
        <v>71699753.276983202</v>
      </c>
      <c r="F93" s="40">
        <f>VLOOKUP(A93,'DATOS GENERALES'!A:B,2,0)</f>
        <v>1.35</v>
      </c>
      <c r="G93" s="36">
        <f t="shared" si="5"/>
        <v>1.34379</v>
      </c>
      <c r="H93" s="38">
        <f t="shared" si="6"/>
        <v>53356367.644485518</v>
      </c>
      <c r="I93" s="38">
        <f t="shared" si="7"/>
        <v>18343385.632497683</v>
      </c>
      <c r="J93" s="38">
        <v>11533397.577067515</v>
      </c>
      <c r="K93" s="38">
        <f t="shared" si="8"/>
        <v>6809988.0554301683</v>
      </c>
      <c r="L93" s="41">
        <f>VLOOKUP(INDICADORES!$B$21,'DATOS GENERALES'!$K:$M,3,0)*E93</f>
        <v>487990.40587780066</v>
      </c>
      <c r="M93" s="38">
        <f t="shared" si="9"/>
        <v>6321997.6495523676</v>
      </c>
      <c r="N93" s="36"/>
      <c r="O93" s="36"/>
      <c r="P93" s="36"/>
    </row>
    <row r="94" spans="1:16" x14ac:dyDescent="0.25">
      <c r="A94" s="36">
        <v>1829</v>
      </c>
      <c r="B94" s="37">
        <v>43525</v>
      </c>
      <c r="C94" s="36" t="s">
        <v>212</v>
      </c>
      <c r="D94" s="36"/>
      <c r="E94" s="38">
        <v>71699753.276983202</v>
      </c>
      <c r="F94" s="40">
        <f>VLOOKUP(A94,'DATOS GENERALES'!A:B,2,0)</f>
        <v>1.35</v>
      </c>
      <c r="G94" s="36">
        <f t="shared" si="5"/>
        <v>1.34379</v>
      </c>
      <c r="H94" s="38">
        <f t="shared" si="6"/>
        <v>53356367.644485518</v>
      </c>
      <c r="I94" s="38">
        <f t="shared" si="7"/>
        <v>18343385.632497683</v>
      </c>
      <c r="J94" s="38">
        <v>8344270.0998023758</v>
      </c>
      <c r="K94" s="38">
        <f t="shared" si="8"/>
        <v>9999115.5326953083</v>
      </c>
      <c r="L94" s="41">
        <f>VLOOKUP(INDICADORES!$B$21,'DATOS GENERALES'!$K:$M,3,0)*E94</f>
        <v>487990.40587780066</v>
      </c>
      <c r="M94" s="38">
        <f t="shared" si="9"/>
        <v>9511125.1268175077</v>
      </c>
      <c r="N94" s="36"/>
      <c r="O94" s="36"/>
      <c r="P94" s="36"/>
    </row>
    <row r="95" spans="1:16" x14ac:dyDescent="0.25">
      <c r="A95" s="36">
        <v>1829</v>
      </c>
      <c r="B95" s="37">
        <v>43556</v>
      </c>
      <c r="C95" s="36" t="s">
        <v>212</v>
      </c>
      <c r="D95" s="36"/>
      <c r="E95" s="38">
        <v>71699753.276983202</v>
      </c>
      <c r="F95" s="40">
        <f>VLOOKUP(A95,'DATOS GENERALES'!A:B,2,0)</f>
        <v>1.35</v>
      </c>
      <c r="G95" s="36">
        <f t="shared" si="5"/>
        <v>1.34379</v>
      </c>
      <c r="H95" s="38">
        <f t="shared" si="6"/>
        <v>53356367.644485518</v>
      </c>
      <c r="I95" s="38">
        <f t="shared" si="7"/>
        <v>18343385.632497683</v>
      </c>
      <c r="J95" s="38">
        <v>8578538.5550027788</v>
      </c>
      <c r="K95" s="38">
        <f t="shared" si="8"/>
        <v>9764847.0774949044</v>
      </c>
      <c r="L95" s="41">
        <f>VLOOKUP(INDICADORES!$B$21,'DATOS GENERALES'!$K:$M,3,0)*E95</f>
        <v>487990.40587780066</v>
      </c>
      <c r="M95" s="38">
        <f t="shared" si="9"/>
        <v>9276856.6716171037</v>
      </c>
      <c r="N95" s="36"/>
      <c r="O95" s="36"/>
      <c r="P95" s="36"/>
    </row>
    <row r="96" spans="1:16" x14ac:dyDescent="0.25">
      <c r="A96" s="36">
        <v>1829</v>
      </c>
      <c r="B96" s="37">
        <v>43586</v>
      </c>
      <c r="C96" s="36" t="s">
        <v>212</v>
      </c>
      <c r="D96" s="36"/>
      <c r="E96" s="38">
        <v>71699753.276983202</v>
      </c>
      <c r="F96" s="40">
        <f>VLOOKUP(A96,'DATOS GENERALES'!A:B,2,0)</f>
        <v>1.35</v>
      </c>
      <c r="G96" s="36">
        <f t="shared" si="5"/>
        <v>1.34379</v>
      </c>
      <c r="H96" s="38">
        <f t="shared" si="6"/>
        <v>53356367.644485518</v>
      </c>
      <c r="I96" s="38">
        <f t="shared" si="7"/>
        <v>18343385.632497683</v>
      </c>
      <c r="J96" s="38">
        <v>7076694.3725385191</v>
      </c>
      <c r="K96" s="38">
        <f t="shared" si="8"/>
        <v>11266691.259959165</v>
      </c>
      <c r="L96" s="41">
        <f>VLOOKUP(INDICADORES!$B$21,'DATOS GENERALES'!$K:$M,3,0)*E96</f>
        <v>487990.40587780066</v>
      </c>
      <c r="M96" s="38">
        <f t="shared" si="9"/>
        <v>10778700.854081364</v>
      </c>
      <c r="N96" s="36"/>
      <c r="O96" s="36"/>
      <c r="P96" s="36"/>
    </row>
    <row r="97" spans="1:16" x14ac:dyDescent="0.25">
      <c r="A97" s="36">
        <v>1829</v>
      </c>
      <c r="B97" s="37">
        <v>43617</v>
      </c>
      <c r="C97" s="36" t="s">
        <v>212</v>
      </c>
      <c r="D97" s="36"/>
      <c r="E97" s="38">
        <v>71699753.276983202</v>
      </c>
      <c r="F97" s="40">
        <f>VLOOKUP(A97,'DATOS GENERALES'!A:B,2,0)</f>
        <v>1.35</v>
      </c>
      <c r="G97" s="36">
        <f t="shared" si="5"/>
        <v>1.34379</v>
      </c>
      <c r="H97" s="38">
        <f t="shared" si="6"/>
        <v>53356367.644485518</v>
      </c>
      <c r="I97" s="38">
        <f t="shared" si="7"/>
        <v>18343385.632497683</v>
      </c>
      <c r="J97" s="38">
        <v>7948552.9125899505</v>
      </c>
      <c r="K97" s="38">
        <f t="shared" si="8"/>
        <v>10394832.719907733</v>
      </c>
      <c r="L97" s="41">
        <f>VLOOKUP(INDICADORES!$B$21,'DATOS GENERALES'!$K:$M,3,0)*E97</f>
        <v>487990.40587780066</v>
      </c>
      <c r="M97" s="38">
        <f t="shared" si="9"/>
        <v>9906842.314029932</v>
      </c>
      <c r="N97" s="36"/>
      <c r="O97" s="36"/>
      <c r="P97" s="36"/>
    </row>
    <row r="98" spans="1:16" x14ac:dyDescent="0.25">
      <c r="A98" s="36">
        <v>1829</v>
      </c>
      <c r="B98" s="37">
        <v>43647</v>
      </c>
      <c r="C98" s="36" t="s">
        <v>212</v>
      </c>
      <c r="D98" s="36"/>
      <c r="E98" s="38">
        <v>71699753.276983202</v>
      </c>
      <c r="F98" s="40">
        <f>VLOOKUP(A98,'DATOS GENERALES'!A:B,2,0)</f>
        <v>1.35</v>
      </c>
      <c r="G98" s="36">
        <f t="shared" si="5"/>
        <v>1.34379</v>
      </c>
      <c r="H98" s="38">
        <f t="shared" si="6"/>
        <v>53356367.644485518</v>
      </c>
      <c r="I98" s="38">
        <f t="shared" si="7"/>
        <v>18343385.632497683</v>
      </c>
      <c r="J98" s="38">
        <v>13802802.790520627</v>
      </c>
      <c r="K98" s="38">
        <f t="shared" si="8"/>
        <v>4540582.8419770561</v>
      </c>
      <c r="L98" s="41">
        <f>VLOOKUP(INDICADORES!$B$21,'DATOS GENERALES'!$K:$M,3,0)*E98</f>
        <v>487990.40587780066</v>
      </c>
      <c r="M98" s="38">
        <f t="shared" si="9"/>
        <v>4052592.4360992555</v>
      </c>
      <c r="N98" s="36"/>
      <c r="O98" s="36"/>
      <c r="P98" s="36"/>
    </row>
    <row r="99" spans="1:16" x14ac:dyDescent="0.25">
      <c r="A99" s="36">
        <v>1829</v>
      </c>
      <c r="B99" s="37">
        <v>43678</v>
      </c>
      <c r="C99" s="36" t="s">
        <v>212</v>
      </c>
      <c r="D99" s="36"/>
      <c r="E99" s="38">
        <v>71699753.276983202</v>
      </c>
      <c r="F99" s="40">
        <f>VLOOKUP(A99,'DATOS GENERALES'!A:B,2,0)</f>
        <v>1.35</v>
      </c>
      <c r="G99" s="36">
        <f t="shared" si="5"/>
        <v>1.34379</v>
      </c>
      <c r="H99" s="38">
        <f t="shared" si="6"/>
        <v>53356367.644485518</v>
      </c>
      <c r="I99" s="38">
        <f t="shared" si="7"/>
        <v>18343385.632497683</v>
      </c>
      <c r="J99" s="38">
        <v>13860244.910145761</v>
      </c>
      <c r="K99" s="38">
        <f t="shared" si="8"/>
        <v>4483140.7223519217</v>
      </c>
      <c r="L99" s="41">
        <f>VLOOKUP(INDICADORES!$B$21,'DATOS GENERALES'!$K:$M,3,0)*E99</f>
        <v>487990.40587780066</v>
      </c>
      <c r="M99" s="38">
        <f t="shared" si="9"/>
        <v>3995150.3164741211</v>
      </c>
      <c r="N99" s="36"/>
      <c r="O99" s="36"/>
      <c r="P99" s="36"/>
    </row>
    <row r="100" spans="1:16" x14ac:dyDescent="0.25">
      <c r="A100" s="36">
        <v>1829</v>
      </c>
      <c r="B100" s="37">
        <v>43709</v>
      </c>
      <c r="C100" s="36" t="s">
        <v>212</v>
      </c>
      <c r="D100" s="36"/>
      <c r="E100" s="38">
        <v>71699753.276983202</v>
      </c>
      <c r="F100" s="40">
        <f>VLOOKUP(A100,'DATOS GENERALES'!A:B,2,0)</f>
        <v>1.35</v>
      </c>
      <c r="G100" s="36">
        <f t="shared" si="5"/>
        <v>1.34379</v>
      </c>
      <c r="H100" s="38">
        <f t="shared" si="6"/>
        <v>53356367.644485518</v>
      </c>
      <c r="I100" s="38">
        <f t="shared" si="7"/>
        <v>18343385.632497683</v>
      </c>
      <c r="J100" s="38">
        <v>15298401.001767455</v>
      </c>
      <c r="K100" s="38">
        <f t="shared" si="8"/>
        <v>3044984.6307302285</v>
      </c>
      <c r="L100" s="41">
        <f>VLOOKUP(INDICADORES!$B$21,'DATOS GENERALES'!$K:$M,3,0)*E100</f>
        <v>487990.40587780066</v>
      </c>
      <c r="M100" s="38">
        <f t="shared" si="9"/>
        <v>2556994.2248524278</v>
      </c>
      <c r="N100" s="36"/>
      <c r="O100" s="36"/>
      <c r="P100" s="36"/>
    </row>
    <row r="101" spans="1:16" x14ac:dyDescent="0.25">
      <c r="A101" s="36">
        <v>1829</v>
      </c>
      <c r="B101" s="37">
        <v>43739</v>
      </c>
      <c r="C101" s="36" t="s">
        <v>212</v>
      </c>
      <c r="D101" s="36"/>
      <c r="E101" s="38">
        <v>71699753.276983202</v>
      </c>
      <c r="F101" s="40">
        <f>VLOOKUP(A101,'DATOS GENERALES'!A:B,2,0)</f>
        <v>1.35</v>
      </c>
      <c r="G101" s="36">
        <f t="shared" si="5"/>
        <v>1.34379</v>
      </c>
      <c r="H101" s="38">
        <f t="shared" si="6"/>
        <v>53356367.644485518</v>
      </c>
      <c r="I101" s="38">
        <f t="shared" si="7"/>
        <v>18343385.632497683</v>
      </c>
      <c r="J101" s="38">
        <v>16602486.652610525</v>
      </c>
      <c r="K101" s="38">
        <f t="shared" si="8"/>
        <v>1740898.9798871577</v>
      </c>
      <c r="L101" s="41">
        <f>VLOOKUP(INDICADORES!$B$21,'DATOS GENERALES'!$K:$M,3,0)*E101</f>
        <v>487990.40587780066</v>
      </c>
      <c r="M101" s="38">
        <f t="shared" si="9"/>
        <v>1252908.574009357</v>
      </c>
      <c r="N101" s="36"/>
      <c r="O101" s="36"/>
      <c r="P101" s="36"/>
    </row>
    <row r="102" spans="1:16" x14ac:dyDescent="0.25">
      <c r="A102" s="36">
        <v>1829</v>
      </c>
      <c r="B102" s="37">
        <v>43770</v>
      </c>
      <c r="C102" s="36" t="s">
        <v>212</v>
      </c>
      <c r="D102" s="36"/>
      <c r="E102" s="38">
        <v>71699753.276983202</v>
      </c>
      <c r="F102" s="40">
        <f>VLOOKUP(A102,'DATOS GENERALES'!A:B,2,0)</f>
        <v>1.35</v>
      </c>
      <c r="G102" s="36">
        <f t="shared" si="5"/>
        <v>1.34379</v>
      </c>
      <c r="H102" s="38">
        <f t="shared" si="6"/>
        <v>53356367.644485518</v>
      </c>
      <c r="I102" s="38">
        <f t="shared" si="7"/>
        <v>18343385.632497683</v>
      </c>
      <c r="J102" s="38">
        <v>21787384.852777466</v>
      </c>
      <c r="K102" s="38">
        <f t="shared" si="8"/>
        <v>-3443999.220279783</v>
      </c>
      <c r="L102" s="41">
        <f>VLOOKUP(INDICADORES!$B$21,'DATOS GENERALES'!$K:$M,3,0)*E102</f>
        <v>487990.40587780066</v>
      </c>
      <c r="M102" s="38">
        <f t="shared" si="9"/>
        <v>-3931989.6261575837</v>
      </c>
      <c r="N102" s="36"/>
      <c r="O102" s="36"/>
      <c r="P102" s="36"/>
    </row>
    <row r="103" spans="1:16" x14ac:dyDescent="0.25">
      <c r="A103" s="36">
        <v>1829</v>
      </c>
      <c r="B103" s="37">
        <v>43800</v>
      </c>
      <c r="C103" s="36" t="s">
        <v>212</v>
      </c>
      <c r="D103" s="36"/>
      <c r="E103" s="38">
        <v>71699753.276983202</v>
      </c>
      <c r="F103" s="40">
        <f>VLOOKUP(A103,'DATOS GENERALES'!A:B,2,0)</f>
        <v>1.35</v>
      </c>
      <c r="G103" s="36">
        <f t="shared" si="5"/>
        <v>1.34379</v>
      </c>
      <c r="H103" s="38">
        <f t="shared" si="6"/>
        <v>53356367.644485518</v>
      </c>
      <c r="I103" s="38">
        <f t="shared" si="7"/>
        <v>18343385.632497683</v>
      </c>
      <c r="J103" s="38">
        <v>18792698.624957781</v>
      </c>
      <c r="K103" s="38">
        <f t="shared" si="8"/>
        <v>-449312.99246009812</v>
      </c>
      <c r="L103" s="41">
        <f>VLOOKUP(INDICADORES!$B$21,'DATOS GENERALES'!$K:$M,3,0)*E103</f>
        <v>487990.40587780066</v>
      </c>
      <c r="M103" s="38">
        <f t="shared" si="9"/>
        <v>-937303.39833789878</v>
      </c>
      <c r="N103" s="36"/>
      <c r="O103" s="36"/>
      <c r="P103" s="36"/>
    </row>
    <row r="104" spans="1:16" x14ac:dyDescent="0.25">
      <c r="A104" s="36">
        <v>1829</v>
      </c>
      <c r="B104" s="37">
        <v>43831</v>
      </c>
      <c r="C104" s="36" t="s">
        <v>212</v>
      </c>
      <c r="D104" s="36"/>
      <c r="E104" s="38">
        <v>65878695.026983202</v>
      </c>
      <c r="F104" s="40">
        <f>VLOOKUP(A104,'DATOS GENERALES'!A:B,2,0)</f>
        <v>1.35</v>
      </c>
      <c r="G104" s="36">
        <f t="shared" si="5"/>
        <v>1.34379</v>
      </c>
      <c r="H104" s="38">
        <f t="shared" si="6"/>
        <v>49024546.266145155</v>
      </c>
      <c r="I104" s="38">
        <f t="shared" si="7"/>
        <v>16854148.760838047</v>
      </c>
      <c r="J104" s="38" t="s">
        <v>213</v>
      </c>
      <c r="K104" s="38" t="str">
        <f t="shared" si="8"/>
        <v/>
      </c>
      <c r="L104" s="41">
        <f>VLOOKUP(INDICADORES!$B$21,'DATOS GENERALES'!$K:$M,3,0)*E104</f>
        <v>448372.13038552355</v>
      </c>
      <c r="M104" s="38" t="str">
        <f t="shared" si="9"/>
        <v/>
      </c>
      <c r="N104" s="36"/>
      <c r="O104" s="36"/>
      <c r="P104" s="36"/>
    </row>
    <row r="105" spans="1:16" x14ac:dyDescent="0.25">
      <c r="A105" s="36">
        <v>1829</v>
      </c>
      <c r="B105" s="37">
        <v>43862</v>
      </c>
      <c r="C105" s="36" t="s">
        <v>212</v>
      </c>
      <c r="D105" s="36"/>
      <c r="E105" s="38">
        <v>65878695.026983202</v>
      </c>
      <c r="F105" s="40">
        <f>VLOOKUP(A105,'DATOS GENERALES'!A:B,2,0)</f>
        <v>1.35</v>
      </c>
      <c r="G105" s="36">
        <f t="shared" si="5"/>
        <v>1.34379</v>
      </c>
      <c r="H105" s="38">
        <f t="shared" si="6"/>
        <v>49024546.266145155</v>
      </c>
      <c r="I105" s="38">
        <f t="shared" si="7"/>
        <v>16854148.760838047</v>
      </c>
      <c r="J105" s="38" t="s">
        <v>213</v>
      </c>
      <c r="K105" s="38" t="str">
        <f t="shared" si="8"/>
        <v/>
      </c>
      <c r="L105" s="41">
        <f>VLOOKUP(INDICADORES!$B$21,'DATOS GENERALES'!$K:$M,3,0)*E105</f>
        <v>448372.13038552355</v>
      </c>
      <c r="M105" s="38" t="str">
        <f t="shared" si="9"/>
        <v/>
      </c>
      <c r="N105" s="36"/>
      <c r="O105" s="36"/>
      <c r="P105" s="36"/>
    </row>
    <row r="106" spans="1:16" x14ac:dyDescent="0.25">
      <c r="A106" s="36">
        <v>1829</v>
      </c>
      <c r="B106" s="37">
        <v>43891</v>
      </c>
      <c r="C106" s="36" t="s">
        <v>212</v>
      </c>
      <c r="D106" s="36"/>
      <c r="E106" s="38">
        <v>61723893.851983197</v>
      </c>
      <c r="F106" s="40">
        <f>VLOOKUP(A106,'DATOS GENERALES'!A:B,2,0)</f>
        <v>1.35</v>
      </c>
      <c r="G106" s="36">
        <f t="shared" si="5"/>
        <v>1.34379</v>
      </c>
      <c r="H106" s="38">
        <f t="shared" si="6"/>
        <v>45932693.242235169</v>
      </c>
      <c r="I106" s="38">
        <f t="shared" si="7"/>
        <v>15791200.609748028</v>
      </c>
      <c r="J106" s="38" t="s">
        <v>213</v>
      </c>
      <c r="K106" s="38" t="str">
        <f t="shared" si="8"/>
        <v/>
      </c>
      <c r="L106" s="41">
        <f>VLOOKUP(INDICADORES!$B$21,'DATOS GENERALES'!$K:$M,3,0)*E106</f>
        <v>420094.44435364316</v>
      </c>
      <c r="M106" s="38" t="str">
        <f t="shared" si="9"/>
        <v/>
      </c>
      <c r="N106" s="36"/>
      <c r="O106" s="36"/>
      <c r="P106" s="36"/>
    </row>
    <row r="107" spans="1:16" x14ac:dyDescent="0.25">
      <c r="A107" s="36">
        <v>1829</v>
      </c>
      <c r="B107" s="37">
        <v>43922</v>
      </c>
      <c r="C107" s="36" t="s">
        <v>212</v>
      </c>
      <c r="D107" s="36"/>
      <c r="E107" s="38">
        <v>49714833.851983197</v>
      </c>
      <c r="F107" s="40">
        <f>VLOOKUP(A107,'DATOS GENERALES'!A:B,2,0)</f>
        <v>1.35</v>
      </c>
      <c r="G107" s="36">
        <f t="shared" si="5"/>
        <v>1.34379</v>
      </c>
      <c r="H107" s="38">
        <f t="shared" si="6"/>
        <v>36995984.381475672</v>
      </c>
      <c r="I107" s="38">
        <f t="shared" si="7"/>
        <v>12718849.470507525</v>
      </c>
      <c r="J107" s="38" t="s">
        <v>213</v>
      </c>
      <c r="K107" s="38" t="str">
        <f t="shared" si="8"/>
        <v/>
      </c>
      <c r="L107" s="41">
        <f>VLOOKUP(INDICADORES!$B$21,'DATOS GENERALES'!$K:$M,3,0)*E107</f>
        <v>338360.46626069321</v>
      </c>
      <c r="M107" s="38" t="str">
        <f t="shared" si="9"/>
        <v/>
      </c>
      <c r="N107" s="36"/>
      <c r="O107" s="36"/>
      <c r="P107" s="36"/>
    </row>
    <row r="108" spans="1:16" x14ac:dyDescent="0.25">
      <c r="A108" s="36">
        <v>1829</v>
      </c>
      <c r="B108" s="37">
        <v>43952</v>
      </c>
      <c r="C108" s="36" t="s">
        <v>212</v>
      </c>
      <c r="D108" s="36"/>
      <c r="E108" s="38">
        <v>48046908.851983197</v>
      </c>
      <c r="F108" s="40">
        <f>VLOOKUP(A108,'DATOS GENERALES'!A:B,2,0)</f>
        <v>1.35</v>
      </c>
      <c r="G108" s="36">
        <f t="shared" si="5"/>
        <v>1.34379</v>
      </c>
      <c r="H108" s="38">
        <f t="shared" si="6"/>
        <v>35754774.817481302</v>
      </c>
      <c r="I108" s="38">
        <f t="shared" si="7"/>
        <v>12292134.034501895</v>
      </c>
      <c r="J108" s="38" t="s">
        <v>213</v>
      </c>
      <c r="K108" s="38" t="str">
        <f t="shared" si="8"/>
        <v/>
      </c>
      <c r="L108" s="41">
        <f>VLOOKUP(INDICADORES!$B$21,'DATOS GENERALES'!$K:$M,3,0)*E108</f>
        <v>327008.52485889464</v>
      </c>
      <c r="M108" s="38" t="str">
        <f t="shared" si="9"/>
        <v/>
      </c>
      <c r="N108" s="36"/>
      <c r="O108" s="36"/>
      <c r="P108" s="36"/>
    </row>
    <row r="109" spans="1:16" x14ac:dyDescent="0.25">
      <c r="A109" s="36">
        <v>1829</v>
      </c>
      <c r="B109" s="37">
        <v>43983</v>
      </c>
      <c r="C109" s="36" t="s">
        <v>212</v>
      </c>
      <c r="D109" s="36"/>
      <c r="E109" s="38">
        <v>40541246.351983197</v>
      </c>
      <c r="F109" s="40">
        <f>VLOOKUP(A109,'DATOS GENERALES'!A:B,2,0)</f>
        <v>1.35</v>
      </c>
      <c r="G109" s="36">
        <f t="shared" si="5"/>
        <v>1.34379</v>
      </c>
      <c r="H109" s="38">
        <f t="shared" si="6"/>
        <v>30169331.779506616</v>
      </c>
      <c r="I109" s="38">
        <f t="shared" si="7"/>
        <v>10371914.572476581</v>
      </c>
      <c r="J109" s="38" t="s">
        <v>213</v>
      </c>
      <c r="K109" s="38" t="str">
        <f t="shared" si="8"/>
        <v/>
      </c>
      <c r="L109" s="41">
        <f>VLOOKUP(INDICADORES!$B$21,'DATOS GENERALES'!$K:$M,3,0)*E109</f>
        <v>275924.78855080093</v>
      </c>
      <c r="M109" s="38" t="str">
        <f t="shared" si="9"/>
        <v/>
      </c>
      <c r="N109" s="36"/>
      <c r="O109" s="36"/>
      <c r="P109" s="36"/>
    </row>
    <row r="110" spans="1:16" x14ac:dyDescent="0.25">
      <c r="A110" s="36">
        <v>1838</v>
      </c>
      <c r="B110" s="37">
        <v>43466</v>
      </c>
      <c r="C110" s="36" t="s">
        <v>212</v>
      </c>
      <c r="D110" s="36"/>
      <c r="E110" s="38">
        <v>15824227.25</v>
      </c>
      <c r="F110" s="40">
        <f>VLOOKUP(A110,'DATOS GENERALES'!A:B,2,0)</f>
        <v>1.92</v>
      </c>
      <c r="G110" s="36">
        <f t="shared" si="5"/>
        <v>1.9111679999999998</v>
      </c>
      <c r="H110" s="38">
        <f t="shared" si="6"/>
        <v>8279872.4392622737</v>
      </c>
      <c r="I110" s="38">
        <f t="shared" si="7"/>
        <v>7544354.8107377263</v>
      </c>
      <c r="J110" s="38">
        <v>1816755.9055210776</v>
      </c>
      <c r="K110" s="38">
        <f t="shared" si="8"/>
        <v>5727598.9052166492</v>
      </c>
      <c r="L110" s="41">
        <f>VLOOKUP(INDICADORES!$B$21,'DATOS GENERALES'!$K:$M,3,0)*E110</f>
        <v>107700.10670188686</v>
      </c>
      <c r="M110" s="38">
        <f t="shared" si="9"/>
        <v>5619898.798514762</v>
      </c>
      <c r="N110" s="36"/>
      <c r="O110" s="36"/>
      <c r="P110" s="36"/>
    </row>
    <row r="111" spans="1:16" x14ac:dyDescent="0.25">
      <c r="A111" s="36">
        <v>1838</v>
      </c>
      <c r="B111" s="37">
        <v>43497</v>
      </c>
      <c r="C111" s="36" t="s">
        <v>212</v>
      </c>
      <c r="D111" s="36"/>
      <c r="E111" s="38">
        <v>15824227.25</v>
      </c>
      <c r="F111" s="40">
        <f>VLOOKUP(A111,'DATOS GENERALES'!A:B,2,0)</f>
        <v>1.92</v>
      </c>
      <c r="G111" s="36">
        <f t="shared" si="5"/>
        <v>1.9111679999999998</v>
      </c>
      <c r="H111" s="38">
        <f t="shared" si="6"/>
        <v>8279872.4392622737</v>
      </c>
      <c r="I111" s="38">
        <f t="shared" si="7"/>
        <v>7544354.8107377263</v>
      </c>
      <c r="J111" s="38">
        <v>1789759.4035205129</v>
      </c>
      <c r="K111" s="38">
        <f t="shared" si="8"/>
        <v>5754595.4072172139</v>
      </c>
      <c r="L111" s="41">
        <f>VLOOKUP(INDICADORES!$B$21,'DATOS GENERALES'!$K:$M,3,0)*E111</f>
        <v>107700.10670188686</v>
      </c>
      <c r="M111" s="38">
        <f t="shared" si="9"/>
        <v>5646895.3005153267</v>
      </c>
      <c r="N111" s="36"/>
      <c r="O111" s="36"/>
      <c r="P111" s="36"/>
    </row>
    <row r="112" spans="1:16" x14ac:dyDescent="0.25">
      <c r="A112" s="36">
        <v>1838</v>
      </c>
      <c r="B112" s="37">
        <v>43525</v>
      </c>
      <c r="C112" s="36" t="s">
        <v>212</v>
      </c>
      <c r="D112" s="36"/>
      <c r="E112" s="38">
        <v>15824227.25</v>
      </c>
      <c r="F112" s="40">
        <f>VLOOKUP(A112,'DATOS GENERALES'!A:B,2,0)</f>
        <v>1.92</v>
      </c>
      <c r="G112" s="36">
        <f t="shared" si="5"/>
        <v>1.9111679999999998</v>
      </c>
      <c r="H112" s="38">
        <f t="shared" si="6"/>
        <v>8279872.4392622737</v>
      </c>
      <c r="I112" s="38">
        <f t="shared" si="7"/>
        <v>7544354.8107377263</v>
      </c>
      <c r="J112" s="38">
        <v>1294868.7302977319</v>
      </c>
      <c r="K112" s="38">
        <f t="shared" si="8"/>
        <v>6249486.0804399941</v>
      </c>
      <c r="L112" s="41">
        <f>VLOOKUP(INDICADORES!$B$21,'DATOS GENERALES'!$K:$M,3,0)*E112</f>
        <v>107700.10670188686</v>
      </c>
      <c r="M112" s="38">
        <f t="shared" si="9"/>
        <v>6141785.9737381069</v>
      </c>
      <c r="N112" s="36"/>
      <c r="O112" s="36"/>
      <c r="P112" s="36"/>
    </row>
    <row r="113" spans="1:16" x14ac:dyDescent="0.25">
      <c r="A113" s="36">
        <v>1846</v>
      </c>
      <c r="B113" s="37">
        <v>43466</v>
      </c>
      <c r="C113" s="36" t="s">
        <v>212</v>
      </c>
      <c r="D113" s="36"/>
      <c r="E113" s="38">
        <v>153017477.52499998</v>
      </c>
      <c r="F113" s="40">
        <f>VLOOKUP(A113,'DATOS GENERALES'!A:B,2,0)</f>
        <v>1.72</v>
      </c>
      <c r="G113" s="36">
        <f t="shared" si="5"/>
        <v>1.7120879999999998</v>
      </c>
      <c r="H113" s="38">
        <f t="shared" si="6"/>
        <v>89374773.682777986</v>
      </c>
      <c r="I113" s="38">
        <f t="shared" si="7"/>
        <v>63642703.84222199</v>
      </c>
      <c r="J113" s="38">
        <v>19610464.905575749</v>
      </c>
      <c r="K113" s="38">
        <f t="shared" si="8"/>
        <v>44032238.936646238</v>
      </c>
      <c r="L113" s="41">
        <f>VLOOKUP(INDICADORES!$B$21,'DATOS GENERALES'!$K:$M,3,0)*E113</f>
        <v>1041440.9750527359</v>
      </c>
      <c r="M113" s="38">
        <f t="shared" si="9"/>
        <v>42990797.961593501</v>
      </c>
      <c r="N113" s="36"/>
      <c r="O113" s="36"/>
      <c r="P113" s="36"/>
    </row>
    <row r="114" spans="1:16" x14ac:dyDescent="0.25">
      <c r="A114" s="36">
        <v>1846</v>
      </c>
      <c r="B114" s="37">
        <v>43497</v>
      </c>
      <c r="C114" s="36" t="s">
        <v>212</v>
      </c>
      <c r="D114" s="36"/>
      <c r="E114" s="38">
        <v>151568477.52499998</v>
      </c>
      <c r="F114" s="40">
        <f>VLOOKUP(A114,'DATOS GENERALES'!A:B,2,0)</f>
        <v>1.72</v>
      </c>
      <c r="G114" s="36">
        <f t="shared" si="5"/>
        <v>1.7120879999999998</v>
      </c>
      <c r="H114" s="38">
        <f t="shared" si="6"/>
        <v>88528438.681306094</v>
      </c>
      <c r="I114" s="38">
        <f t="shared" si="7"/>
        <v>63040038.843693882</v>
      </c>
      <c r="J114" s="38">
        <v>19136116.742273621</v>
      </c>
      <c r="K114" s="38">
        <f t="shared" si="8"/>
        <v>43903922.101420261</v>
      </c>
      <c r="L114" s="41">
        <f>VLOOKUP(INDICADORES!$B$21,'DATOS GENERALES'!$K:$M,3,0)*E114</f>
        <v>1031579.0429567446</v>
      </c>
      <c r="M114" s="38">
        <f t="shared" si="9"/>
        <v>42872343.058463514</v>
      </c>
      <c r="N114" s="36"/>
      <c r="O114" s="36"/>
      <c r="P114" s="36"/>
    </row>
    <row r="115" spans="1:16" x14ac:dyDescent="0.25">
      <c r="A115" s="36">
        <v>1846</v>
      </c>
      <c r="B115" s="37">
        <v>43525</v>
      </c>
      <c r="C115" s="36" t="s">
        <v>212</v>
      </c>
      <c r="D115" s="36"/>
      <c r="E115" s="38">
        <v>98609116.699999988</v>
      </c>
      <c r="F115" s="40">
        <f>VLOOKUP(A115,'DATOS GENERALES'!A:B,2,0)</f>
        <v>1.72</v>
      </c>
      <c r="G115" s="36">
        <f t="shared" si="5"/>
        <v>1.7120879999999998</v>
      </c>
      <c r="H115" s="38">
        <f t="shared" si="6"/>
        <v>57595822.586222202</v>
      </c>
      <c r="I115" s="38">
        <f t="shared" si="7"/>
        <v>41013294.113777786</v>
      </c>
      <c r="J115" s="38">
        <v>9007267.9512584209</v>
      </c>
      <c r="K115" s="38">
        <f t="shared" si="8"/>
        <v>32006026.162519366</v>
      </c>
      <c r="L115" s="41">
        <f>VLOOKUP(INDICADORES!$B$21,'DATOS GENERALES'!$K:$M,3,0)*E115</f>
        <v>671136.24081509653</v>
      </c>
      <c r="M115" s="38">
        <f t="shared" si="9"/>
        <v>31334889.92170427</v>
      </c>
      <c r="N115" s="36"/>
      <c r="O115" s="36"/>
      <c r="P115" s="36"/>
    </row>
    <row r="116" spans="1:16" x14ac:dyDescent="0.25">
      <c r="A116" s="36">
        <v>1856</v>
      </c>
      <c r="B116" s="37">
        <v>43466</v>
      </c>
      <c r="C116" s="36" t="s">
        <v>212</v>
      </c>
      <c r="D116" s="36"/>
      <c r="E116" s="38">
        <v>51152180.402000003</v>
      </c>
      <c r="F116" s="40">
        <f>VLOOKUP(A116,'DATOS GENERALES'!A:B,2,0)</f>
        <v>1.69</v>
      </c>
      <c r="G116" s="36">
        <f t="shared" si="5"/>
        <v>1.6822259999999998</v>
      </c>
      <c r="H116" s="38">
        <f t="shared" si="6"/>
        <v>30407436.576298315</v>
      </c>
      <c r="I116" s="38">
        <f t="shared" si="7"/>
        <v>20744743.825701687</v>
      </c>
      <c r="J116" s="38">
        <v>6671949.4022385757</v>
      </c>
      <c r="K116" s="38">
        <f t="shared" si="8"/>
        <v>14072794.423463112</v>
      </c>
      <c r="L116" s="41">
        <f>VLOOKUP(INDICADORES!$B$21,'DATOS GENERALES'!$K:$M,3,0)*E116</f>
        <v>348143.08466971532</v>
      </c>
      <c r="M116" s="38">
        <f t="shared" si="9"/>
        <v>13724651.338793397</v>
      </c>
      <c r="N116" s="36"/>
      <c r="O116" s="36"/>
      <c r="P116" s="36"/>
    </row>
    <row r="117" spans="1:16" x14ac:dyDescent="0.25">
      <c r="A117" s="36">
        <v>1856</v>
      </c>
      <c r="B117" s="37">
        <v>43497</v>
      </c>
      <c r="C117" s="36" t="s">
        <v>212</v>
      </c>
      <c r="D117" s="36"/>
      <c r="E117" s="38">
        <v>47167910.304499999</v>
      </c>
      <c r="F117" s="40">
        <f>VLOOKUP(A117,'DATOS GENERALES'!A:B,2,0)</f>
        <v>1.69</v>
      </c>
      <c r="G117" s="36">
        <f t="shared" si="5"/>
        <v>1.6822259999999998</v>
      </c>
      <c r="H117" s="38">
        <f t="shared" si="6"/>
        <v>28038985.430316739</v>
      </c>
      <c r="I117" s="38">
        <f t="shared" si="7"/>
        <v>19128924.87418326</v>
      </c>
      <c r="J117" s="38">
        <v>6060846.7349232845</v>
      </c>
      <c r="K117" s="38">
        <f t="shared" si="8"/>
        <v>13068078.139259975</v>
      </c>
      <c r="L117" s="41">
        <f>VLOOKUP(INDICADORES!$B$21,'DATOS GENERALES'!$K:$M,3,0)*E117</f>
        <v>321026.03763477161</v>
      </c>
      <c r="M117" s="38">
        <f t="shared" si="9"/>
        <v>12747052.101625204</v>
      </c>
      <c r="N117" s="36"/>
      <c r="O117" s="36"/>
      <c r="P117" s="36"/>
    </row>
    <row r="118" spans="1:16" x14ac:dyDescent="0.25">
      <c r="A118" s="36">
        <v>1856</v>
      </c>
      <c r="B118" s="37">
        <v>43525</v>
      </c>
      <c r="C118" s="36" t="s">
        <v>212</v>
      </c>
      <c r="D118" s="36"/>
      <c r="E118" s="38">
        <v>47167910.304499999</v>
      </c>
      <c r="F118" s="40">
        <f>VLOOKUP(A118,'DATOS GENERALES'!A:B,2,0)</f>
        <v>1.69</v>
      </c>
      <c r="G118" s="36">
        <f t="shared" si="5"/>
        <v>1.6822259999999998</v>
      </c>
      <c r="H118" s="38">
        <f t="shared" si="6"/>
        <v>28038985.430316739</v>
      </c>
      <c r="I118" s="38">
        <f t="shared" si="7"/>
        <v>19128924.87418326</v>
      </c>
      <c r="J118" s="38">
        <v>4384947.4408359034</v>
      </c>
      <c r="K118" s="38">
        <f t="shared" si="8"/>
        <v>14743977.433347356</v>
      </c>
      <c r="L118" s="41">
        <f>VLOOKUP(INDICADORES!$B$21,'DATOS GENERALES'!$K:$M,3,0)*E118</f>
        <v>321026.03763477161</v>
      </c>
      <c r="M118" s="38">
        <f t="shared" si="9"/>
        <v>14422951.395712584</v>
      </c>
      <c r="N118" s="36"/>
      <c r="O118" s="36"/>
      <c r="P118" s="36"/>
    </row>
    <row r="119" spans="1:16" x14ac:dyDescent="0.25">
      <c r="A119" s="36">
        <v>1856</v>
      </c>
      <c r="B119" s="37">
        <v>43556</v>
      </c>
      <c r="C119" s="36" t="s">
        <v>212</v>
      </c>
      <c r="D119" s="36"/>
      <c r="E119" s="38">
        <v>53612578.7795</v>
      </c>
      <c r="F119" s="40">
        <f>VLOOKUP(A119,'DATOS GENERALES'!A:B,2,0)</f>
        <v>1.69</v>
      </c>
      <c r="G119" s="36">
        <f t="shared" si="5"/>
        <v>1.6822259999999998</v>
      </c>
      <c r="H119" s="38">
        <f t="shared" si="6"/>
        <v>31870021.495030992</v>
      </c>
      <c r="I119" s="38">
        <f t="shared" si="7"/>
        <v>21742557.284469008</v>
      </c>
      <c r="J119" s="38">
        <v>5124003.3797942931</v>
      </c>
      <c r="K119" s="38">
        <f t="shared" si="8"/>
        <v>16618553.904674716</v>
      </c>
      <c r="L119" s="41">
        <f>VLOOKUP(INDICADORES!$B$21,'DATOS GENERALES'!$K:$M,3,0)*E119</f>
        <v>364888.62071387819</v>
      </c>
      <c r="M119" s="38">
        <f t="shared" si="9"/>
        <v>16253665.283960838</v>
      </c>
      <c r="N119" s="36"/>
      <c r="O119" s="36"/>
      <c r="P119" s="36"/>
    </row>
    <row r="120" spans="1:16" x14ac:dyDescent="0.25">
      <c r="A120" s="36">
        <v>1856</v>
      </c>
      <c r="B120" s="37">
        <v>43586</v>
      </c>
      <c r="C120" s="36" t="s">
        <v>212</v>
      </c>
      <c r="D120" s="36"/>
      <c r="E120" s="38">
        <v>53612578.7795</v>
      </c>
      <c r="F120" s="40">
        <f>VLOOKUP(A120,'DATOS GENERALES'!A:B,2,0)</f>
        <v>1.69</v>
      </c>
      <c r="G120" s="36">
        <f t="shared" si="5"/>
        <v>1.6822259999999998</v>
      </c>
      <c r="H120" s="38">
        <f t="shared" si="6"/>
        <v>31870021.495030992</v>
      </c>
      <c r="I120" s="38">
        <f t="shared" si="7"/>
        <v>21742557.284469008</v>
      </c>
      <c r="J120" s="38">
        <v>4226944.4439941533</v>
      </c>
      <c r="K120" s="38">
        <f t="shared" si="8"/>
        <v>17515612.840474855</v>
      </c>
      <c r="L120" s="41">
        <f>VLOOKUP(INDICADORES!$B$21,'DATOS GENERALES'!$K:$M,3,0)*E120</f>
        <v>364888.62071387819</v>
      </c>
      <c r="M120" s="38">
        <f t="shared" si="9"/>
        <v>17150724.219760977</v>
      </c>
      <c r="N120" s="36"/>
      <c r="O120" s="36"/>
      <c r="P120" s="36"/>
    </row>
    <row r="121" spans="1:16" x14ac:dyDescent="0.25">
      <c r="A121" s="36">
        <v>1856</v>
      </c>
      <c r="B121" s="37">
        <v>43617</v>
      </c>
      <c r="C121" s="36" t="s">
        <v>212</v>
      </c>
      <c r="D121" s="36"/>
      <c r="E121" s="38">
        <v>53612578.7795</v>
      </c>
      <c r="F121" s="40">
        <f>VLOOKUP(A121,'DATOS GENERALES'!A:B,2,0)</f>
        <v>1.69</v>
      </c>
      <c r="G121" s="36">
        <f t="shared" si="5"/>
        <v>1.6822259999999998</v>
      </c>
      <c r="H121" s="38">
        <f t="shared" si="6"/>
        <v>31870021.495030992</v>
      </c>
      <c r="I121" s="38">
        <f t="shared" si="7"/>
        <v>21742557.284469008</v>
      </c>
      <c r="J121" s="38">
        <v>4747709.8491132781</v>
      </c>
      <c r="K121" s="38">
        <f t="shared" si="8"/>
        <v>16994847.43535573</v>
      </c>
      <c r="L121" s="41">
        <f>VLOOKUP(INDICADORES!$B$21,'DATOS GENERALES'!$K:$M,3,0)*E121</f>
        <v>364888.62071387819</v>
      </c>
      <c r="M121" s="38">
        <f t="shared" si="9"/>
        <v>16629958.814641852</v>
      </c>
      <c r="N121" s="36"/>
      <c r="O121" s="36"/>
      <c r="P121" s="36"/>
    </row>
    <row r="122" spans="1:16" x14ac:dyDescent="0.25">
      <c r="A122" s="36">
        <v>1856</v>
      </c>
      <c r="B122" s="37">
        <v>43647</v>
      </c>
      <c r="C122" s="36" t="s">
        <v>212</v>
      </c>
      <c r="D122" s="36"/>
      <c r="E122" s="38">
        <v>53612578.7795</v>
      </c>
      <c r="F122" s="40">
        <f>VLOOKUP(A122,'DATOS GENERALES'!A:B,2,0)</f>
        <v>1.69</v>
      </c>
      <c r="G122" s="36">
        <f t="shared" si="5"/>
        <v>1.6822259999999998</v>
      </c>
      <c r="H122" s="38">
        <f t="shared" si="6"/>
        <v>31870021.495030992</v>
      </c>
      <c r="I122" s="38">
        <f t="shared" si="7"/>
        <v>21742557.284469008</v>
      </c>
      <c r="J122" s="38">
        <v>8244482.1685876166</v>
      </c>
      <c r="K122" s="38">
        <f t="shared" si="8"/>
        <v>13498075.115881391</v>
      </c>
      <c r="L122" s="41">
        <f>VLOOKUP(INDICADORES!$B$21,'DATOS GENERALES'!$K:$M,3,0)*E122</f>
        <v>364888.62071387819</v>
      </c>
      <c r="M122" s="38">
        <f t="shared" si="9"/>
        <v>13133186.495167512</v>
      </c>
      <c r="N122" s="36"/>
      <c r="O122" s="36"/>
      <c r="P122" s="36"/>
    </row>
    <row r="123" spans="1:16" x14ac:dyDescent="0.25">
      <c r="A123" s="36">
        <v>1856</v>
      </c>
      <c r="B123" s="37">
        <v>43678</v>
      </c>
      <c r="C123" s="36" t="s">
        <v>212</v>
      </c>
      <c r="D123" s="36"/>
      <c r="E123" s="38">
        <v>53612578.7795</v>
      </c>
      <c r="F123" s="40">
        <f>VLOOKUP(A123,'DATOS GENERALES'!A:B,2,0)</f>
        <v>1.69</v>
      </c>
      <c r="G123" s="36">
        <f t="shared" si="5"/>
        <v>1.6822259999999998</v>
      </c>
      <c r="H123" s="38">
        <f t="shared" si="6"/>
        <v>31870021.495030992</v>
      </c>
      <c r="I123" s="38">
        <f t="shared" si="7"/>
        <v>21742557.284469008</v>
      </c>
      <c r="J123" s="38">
        <v>8278792.6298875874</v>
      </c>
      <c r="K123" s="38">
        <f t="shared" si="8"/>
        <v>13463764.65458142</v>
      </c>
      <c r="L123" s="41">
        <f>VLOOKUP(INDICADORES!$B$21,'DATOS GENERALES'!$K:$M,3,0)*E123</f>
        <v>364888.62071387819</v>
      </c>
      <c r="M123" s="38">
        <f t="shared" si="9"/>
        <v>13098876.033867542</v>
      </c>
      <c r="N123" s="36"/>
      <c r="O123" s="36"/>
      <c r="P123" s="36"/>
    </row>
    <row r="124" spans="1:16" x14ac:dyDescent="0.25">
      <c r="A124" s="36">
        <v>1856</v>
      </c>
      <c r="B124" s="37">
        <v>43709</v>
      </c>
      <c r="C124" s="36" t="s">
        <v>212</v>
      </c>
      <c r="D124" s="36"/>
      <c r="E124" s="38">
        <v>49351847.829500005</v>
      </c>
      <c r="F124" s="40">
        <f>VLOOKUP(A124,'DATOS GENERALES'!A:B,2,0)</f>
        <v>1.69</v>
      </c>
      <c r="G124" s="36">
        <f t="shared" si="5"/>
        <v>1.6822259999999998</v>
      </c>
      <c r="H124" s="38">
        <f t="shared" si="6"/>
        <v>29337228.071317416</v>
      </c>
      <c r="I124" s="38">
        <f t="shared" si="7"/>
        <v>20014619.758182589</v>
      </c>
      <c r="J124" s="38">
        <v>8411604.8211109489</v>
      </c>
      <c r="K124" s="38">
        <f t="shared" si="8"/>
        <v>11603014.93707164</v>
      </c>
      <c r="L124" s="41">
        <f>VLOOKUP(INDICADORES!$B$21,'DATOS GENERALES'!$K:$M,3,0)*E124</f>
        <v>335889.97384832386</v>
      </c>
      <c r="M124" s="38">
        <f t="shared" si="9"/>
        <v>11267124.963223316</v>
      </c>
      <c r="N124" s="36"/>
      <c r="O124" s="36"/>
      <c r="P124" s="36"/>
    </row>
    <row r="125" spans="1:16" x14ac:dyDescent="0.25">
      <c r="A125" s="36">
        <v>1856</v>
      </c>
      <c r="B125" s="37">
        <v>43739</v>
      </c>
      <c r="C125" s="36" t="s">
        <v>212</v>
      </c>
      <c r="D125" s="36"/>
      <c r="E125" s="38">
        <v>49351847.829500005</v>
      </c>
      <c r="F125" s="40">
        <f>VLOOKUP(A125,'DATOS GENERALES'!A:B,2,0)</f>
        <v>1.69</v>
      </c>
      <c r="G125" s="36">
        <f t="shared" si="5"/>
        <v>1.6822259999999998</v>
      </c>
      <c r="H125" s="38">
        <f t="shared" si="6"/>
        <v>29337228.071317416</v>
      </c>
      <c r="I125" s="38">
        <f t="shared" si="7"/>
        <v>20014619.758182589</v>
      </c>
      <c r="J125" s="38">
        <v>9128637.480047388</v>
      </c>
      <c r="K125" s="38">
        <f t="shared" si="8"/>
        <v>10885982.278135201</v>
      </c>
      <c r="L125" s="41">
        <f>VLOOKUP(INDICADORES!$B$21,'DATOS GENERALES'!$K:$M,3,0)*E125</f>
        <v>335889.97384832386</v>
      </c>
      <c r="M125" s="38">
        <f t="shared" si="9"/>
        <v>10550092.304286877</v>
      </c>
      <c r="N125" s="36"/>
      <c r="O125" s="36"/>
      <c r="P125" s="36"/>
    </row>
    <row r="126" spans="1:16" x14ac:dyDescent="0.25">
      <c r="A126" s="36">
        <v>1856</v>
      </c>
      <c r="B126" s="37">
        <v>43770</v>
      </c>
      <c r="C126" s="36" t="s">
        <v>212</v>
      </c>
      <c r="D126" s="36"/>
      <c r="E126" s="38">
        <v>49351847.829500005</v>
      </c>
      <c r="F126" s="40">
        <f>VLOOKUP(A126,'DATOS GENERALES'!A:B,2,0)</f>
        <v>1.69</v>
      </c>
      <c r="G126" s="36">
        <f t="shared" si="5"/>
        <v>1.6822259999999998</v>
      </c>
      <c r="H126" s="38">
        <f t="shared" si="6"/>
        <v>29337228.071317416</v>
      </c>
      <c r="I126" s="38">
        <f t="shared" si="7"/>
        <v>20014619.758182589</v>
      </c>
      <c r="J126" s="38">
        <v>11979478.864872832</v>
      </c>
      <c r="K126" s="38">
        <f t="shared" si="8"/>
        <v>8035140.8933097571</v>
      </c>
      <c r="L126" s="41">
        <f>VLOOKUP(INDICADORES!$B$21,'DATOS GENERALES'!$K:$M,3,0)*E126</f>
        <v>335889.97384832386</v>
      </c>
      <c r="M126" s="38">
        <f t="shared" si="9"/>
        <v>7699250.9194614328</v>
      </c>
      <c r="N126" s="36"/>
      <c r="O126" s="36"/>
      <c r="P126" s="36"/>
    </row>
    <row r="127" spans="1:16" x14ac:dyDescent="0.25">
      <c r="A127" s="36">
        <v>1856</v>
      </c>
      <c r="B127" s="37">
        <v>43800</v>
      </c>
      <c r="C127" s="36" t="s">
        <v>212</v>
      </c>
      <c r="D127" s="36"/>
      <c r="E127" s="38">
        <v>49351847.829500005</v>
      </c>
      <c r="F127" s="40">
        <f>VLOOKUP(A127,'DATOS GENERALES'!A:B,2,0)</f>
        <v>1.69</v>
      </c>
      <c r="G127" s="36">
        <f t="shared" si="5"/>
        <v>1.6822259999999998</v>
      </c>
      <c r="H127" s="38">
        <f t="shared" si="6"/>
        <v>29337228.071317416</v>
      </c>
      <c r="I127" s="38">
        <f t="shared" si="7"/>
        <v>20014619.758182589</v>
      </c>
      <c r="J127" s="38">
        <v>10332893.897677086</v>
      </c>
      <c r="K127" s="38">
        <f t="shared" si="8"/>
        <v>9681725.8605055027</v>
      </c>
      <c r="L127" s="41">
        <f>VLOOKUP(INDICADORES!$B$21,'DATOS GENERALES'!$K:$M,3,0)*E127</f>
        <v>335889.97384832386</v>
      </c>
      <c r="M127" s="38">
        <f t="shared" si="9"/>
        <v>9345835.8866571784</v>
      </c>
      <c r="N127" s="36"/>
      <c r="O127" s="36"/>
      <c r="P127" s="36"/>
    </row>
    <row r="128" spans="1:16" x14ac:dyDescent="0.25">
      <c r="A128" s="36">
        <v>1856</v>
      </c>
      <c r="B128" s="37">
        <v>43831</v>
      </c>
      <c r="C128" s="36" t="s">
        <v>212</v>
      </c>
      <c r="D128" s="36"/>
      <c r="E128" s="38">
        <v>49351847.829500005</v>
      </c>
      <c r="F128" s="40">
        <f>VLOOKUP(A128,'DATOS GENERALES'!A:B,2,0)</f>
        <v>1.69</v>
      </c>
      <c r="G128" s="36">
        <f t="shared" si="5"/>
        <v>1.6822259999999998</v>
      </c>
      <c r="H128" s="38">
        <f t="shared" si="6"/>
        <v>29337228.071317416</v>
      </c>
      <c r="I128" s="38">
        <f t="shared" si="7"/>
        <v>20014619.758182589</v>
      </c>
      <c r="J128" s="38" t="s">
        <v>213</v>
      </c>
      <c r="K128" s="38" t="str">
        <f t="shared" si="8"/>
        <v/>
      </c>
      <c r="L128" s="41">
        <f>VLOOKUP(INDICADORES!$B$21,'DATOS GENERALES'!$K:$M,3,0)*E128</f>
        <v>335889.97384832386</v>
      </c>
      <c r="M128" s="38" t="str">
        <f t="shared" si="9"/>
        <v/>
      </c>
      <c r="N128" s="36"/>
      <c r="O128" s="36"/>
      <c r="P128" s="36"/>
    </row>
    <row r="129" spans="1:16" x14ac:dyDescent="0.25">
      <c r="A129" s="36">
        <v>1856</v>
      </c>
      <c r="B129" s="37">
        <v>43862</v>
      </c>
      <c r="C129" s="36" t="s">
        <v>212</v>
      </c>
      <c r="D129" s="36"/>
      <c r="E129" s="38">
        <v>49351847.829500005</v>
      </c>
      <c r="F129" s="40">
        <f>VLOOKUP(A129,'DATOS GENERALES'!A:B,2,0)</f>
        <v>1.69</v>
      </c>
      <c r="G129" s="36">
        <f t="shared" si="5"/>
        <v>1.6822259999999998</v>
      </c>
      <c r="H129" s="38">
        <f t="shared" si="6"/>
        <v>29337228.071317416</v>
      </c>
      <c r="I129" s="38">
        <f t="shared" si="7"/>
        <v>20014619.758182589</v>
      </c>
      <c r="J129" s="38" t="s">
        <v>213</v>
      </c>
      <c r="K129" s="38" t="str">
        <f t="shared" si="8"/>
        <v/>
      </c>
      <c r="L129" s="41">
        <f>VLOOKUP(INDICADORES!$B$21,'DATOS GENERALES'!$K:$M,3,0)*E129</f>
        <v>335889.97384832386</v>
      </c>
      <c r="M129" s="38" t="str">
        <f t="shared" si="9"/>
        <v/>
      </c>
      <c r="N129" s="36"/>
      <c r="O129" s="36"/>
      <c r="P129" s="36"/>
    </row>
    <row r="130" spans="1:16" x14ac:dyDescent="0.25">
      <c r="A130" s="36">
        <v>1856</v>
      </c>
      <c r="B130" s="37">
        <v>43891</v>
      </c>
      <c r="C130" s="36" t="s">
        <v>212</v>
      </c>
      <c r="D130" s="36"/>
      <c r="E130" s="38">
        <v>49351847.829500005</v>
      </c>
      <c r="F130" s="40">
        <f>VLOOKUP(A130,'DATOS GENERALES'!A:B,2,0)</f>
        <v>1.69</v>
      </c>
      <c r="G130" s="36">
        <f t="shared" si="5"/>
        <v>1.6822259999999998</v>
      </c>
      <c r="H130" s="38">
        <f t="shared" si="6"/>
        <v>29337228.071317416</v>
      </c>
      <c r="I130" s="38">
        <f t="shared" si="7"/>
        <v>20014619.758182589</v>
      </c>
      <c r="J130" s="38" t="s">
        <v>213</v>
      </c>
      <c r="K130" s="38" t="str">
        <f t="shared" si="8"/>
        <v/>
      </c>
      <c r="L130" s="41">
        <f>VLOOKUP(INDICADORES!$B$21,'DATOS GENERALES'!$K:$M,3,0)*E130</f>
        <v>335889.97384832386</v>
      </c>
      <c r="M130" s="38" t="str">
        <f t="shared" si="9"/>
        <v/>
      </c>
      <c r="N130" s="36"/>
      <c r="O130" s="36"/>
      <c r="P130" s="36"/>
    </row>
    <row r="131" spans="1:16" x14ac:dyDescent="0.25">
      <c r="A131" s="36">
        <v>1856</v>
      </c>
      <c r="B131" s="37">
        <v>43922</v>
      </c>
      <c r="C131" s="36" t="s">
        <v>212</v>
      </c>
      <c r="D131" s="36"/>
      <c r="E131" s="38">
        <v>49351847.829500005</v>
      </c>
      <c r="F131" s="40">
        <f>VLOOKUP(A131,'DATOS GENERALES'!A:B,2,0)</f>
        <v>1.69</v>
      </c>
      <c r="G131" s="36">
        <f t="shared" ref="G131:G194" si="10">F131*0.9954</f>
        <v>1.6822259999999998</v>
      </c>
      <c r="H131" s="38">
        <f t="shared" ref="H131:H194" si="11">E131/G131</f>
        <v>29337228.071317416</v>
      </c>
      <c r="I131" s="38">
        <f t="shared" ref="I131:I194" si="12">E131-H131</f>
        <v>20014619.758182589</v>
      </c>
      <c r="J131" s="38" t="s">
        <v>213</v>
      </c>
      <c r="K131" s="38" t="str">
        <f t="shared" ref="K131:K194" si="13">IFERROR(I131-J131,"")</f>
        <v/>
      </c>
      <c r="L131" s="41">
        <f>VLOOKUP(INDICADORES!$B$21,'DATOS GENERALES'!$K:$M,3,0)*E131</f>
        <v>335889.97384832386</v>
      </c>
      <c r="M131" s="38" t="str">
        <f t="shared" ref="M131:M194" si="14">IFERROR(K131-L131,"")</f>
        <v/>
      </c>
      <c r="N131" s="36"/>
      <c r="O131" s="36"/>
      <c r="P131" s="36"/>
    </row>
    <row r="132" spans="1:16" x14ac:dyDescent="0.25">
      <c r="A132" s="36">
        <v>1856</v>
      </c>
      <c r="B132" s="37">
        <v>43952</v>
      </c>
      <c r="C132" s="36" t="s">
        <v>212</v>
      </c>
      <c r="D132" s="36"/>
      <c r="E132" s="38">
        <v>49351847.829500005</v>
      </c>
      <c r="F132" s="40">
        <f>VLOOKUP(A132,'DATOS GENERALES'!A:B,2,0)</f>
        <v>1.69</v>
      </c>
      <c r="G132" s="36">
        <f t="shared" si="10"/>
        <v>1.6822259999999998</v>
      </c>
      <c r="H132" s="38">
        <f t="shared" si="11"/>
        <v>29337228.071317416</v>
      </c>
      <c r="I132" s="38">
        <f t="shared" si="12"/>
        <v>20014619.758182589</v>
      </c>
      <c r="J132" s="38" t="s">
        <v>213</v>
      </c>
      <c r="K132" s="38" t="str">
        <f t="shared" si="13"/>
        <v/>
      </c>
      <c r="L132" s="41">
        <f>VLOOKUP(INDICADORES!$B$21,'DATOS GENERALES'!$K:$M,3,0)*E132</f>
        <v>335889.97384832386</v>
      </c>
      <c r="M132" s="38" t="str">
        <f t="shared" si="14"/>
        <v/>
      </c>
      <c r="N132" s="36"/>
      <c r="O132" s="36"/>
      <c r="P132" s="36"/>
    </row>
    <row r="133" spans="1:16" x14ac:dyDescent="0.25">
      <c r="A133" s="36">
        <v>1856</v>
      </c>
      <c r="B133" s="37">
        <v>43983</v>
      </c>
      <c r="C133" s="36" t="s">
        <v>212</v>
      </c>
      <c r="D133" s="36"/>
      <c r="E133" s="38">
        <v>49351847.829500005</v>
      </c>
      <c r="F133" s="40">
        <f>VLOOKUP(A133,'DATOS GENERALES'!A:B,2,0)</f>
        <v>1.69</v>
      </c>
      <c r="G133" s="36">
        <f t="shared" si="10"/>
        <v>1.6822259999999998</v>
      </c>
      <c r="H133" s="38">
        <f t="shared" si="11"/>
        <v>29337228.071317416</v>
      </c>
      <c r="I133" s="38">
        <f t="shared" si="12"/>
        <v>20014619.758182589</v>
      </c>
      <c r="J133" s="38" t="s">
        <v>213</v>
      </c>
      <c r="K133" s="38" t="str">
        <f t="shared" si="13"/>
        <v/>
      </c>
      <c r="L133" s="41">
        <f>VLOOKUP(INDICADORES!$B$21,'DATOS GENERALES'!$K:$M,3,0)*E133</f>
        <v>335889.97384832386</v>
      </c>
      <c r="M133" s="38" t="str">
        <f t="shared" si="14"/>
        <v/>
      </c>
      <c r="N133" s="36"/>
      <c r="O133" s="36"/>
      <c r="P133" s="36"/>
    </row>
    <row r="134" spans="1:16" x14ac:dyDescent="0.25">
      <c r="A134" s="36">
        <v>1856</v>
      </c>
      <c r="B134" s="37">
        <v>44013</v>
      </c>
      <c r="C134" s="36" t="s">
        <v>212</v>
      </c>
      <c r="D134" s="36"/>
      <c r="E134" s="38">
        <v>49351847.829500005</v>
      </c>
      <c r="F134" s="40">
        <f>VLOOKUP(A134,'DATOS GENERALES'!A:B,2,0)</f>
        <v>1.69</v>
      </c>
      <c r="G134" s="36">
        <f t="shared" si="10"/>
        <v>1.6822259999999998</v>
      </c>
      <c r="H134" s="38">
        <f t="shared" si="11"/>
        <v>29337228.071317416</v>
      </c>
      <c r="I134" s="38">
        <f t="shared" si="12"/>
        <v>20014619.758182589</v>
      </c>
      <c r="J134" s="38" t="s">
        <v>213</v>
      </c>
      <c r="K134" s="38" t="str">
        <f t="shared" si="13"/>
        <v/>
      </c>
      <c r="L134" s="41">
        <f>VLOOKUP(INDICADORES!$B$21,'DATOS GENERALES'!$K:$M,3,0)*E134</f>
        <v>335889.97384832386</v>
      </c>
      <c r="M134" s="38" t="str">
        <f t="shared" si="14"/>
        <v/>
      </c>
      <c r="N134" s="36"/>
      <c r="O134" s="36"/>
      <c r="P134" s="36"/>
    </row>
    <row r="135" spans="1:16" x14ac:dyDescent="0.25">
      <c r="A135" s="36">
        <v>1856</v>
      </c>
      <c r="B135" s="37">
        <v>44044</v>
      </c>
      <c r="C135" s="36" t="s">
        <v>212</v>
      </c>
      <c r="D135" s="36"/>
      <c r="E135" s="38">
        <v>49351847.829500005</v>
      </c>
      <c r="F135" s="40">
        <f>VLOOKUP(A135,'DATOS GENERALES'!A:B,2,0)</f>
        <v>1.69</v>
      </c>
      <c r="G135" s="36">
        <f t="shared" si="10"/>
        <v>1.6822259999999998</v>
      </c>
      <c r="H135" s="38">
        <f t="shared" si="11"/>
        <v>29337228.071317416</v>
      </c>
      <c r="I135" s="38">
        <f t="shared" si="12"/>
        <v>20014619.758182589</v>
      </c>
      <c r="J135" s="38" t="s">
        <v>213</v>
      </c>
      <c r="K135" s="38" t="str">
        <f t="shared" si="13"/>
        <v/>
      </c>
      <c r="L135" s="41">
        <f>VLOOKUP(INDICADORES!$B$21,'DATOS GENERALES'!$K:$M,3,0)*E135</f>
        <v>335889.97384832386</v>
      </c>
      <c r="M135" s="38" t="str">
        <f t="shared" si="14"/>
        <v/>
      </c>
      <c r="N135" s="36"/>
      <c r="O135" s="36"/>
      <c r="P135" s="36"/>
    </row>
    <row r="136" spans="1:16" x14ac:dyDescent="0.25">
      <c r="A136" s="36">
        <v>1856</v>
      </c>
      <c r="B136" s="37">
        <v>44075</v>
      </c>
      <c r="C136" s="36" t="s">
        <v>212</v>
      </c>
      <c r="D136" s="36"/>
      <c r="E136" s="38">
        <v>49351847.829500005</v>
      </c>
      <c r="F136" s="40">
        <f>VLOOKUP(A136,'DATOS GENERALES'!A:B,2,0)</f>
        <v>1.69</v>
      </c>
      <c r="G136" s="36">
        <f t="shared" si="10"/>
        <v>1.6822259999999998</v>
      </c>
      <c r="H136" s="38">
        <f t="shared" si="11"/>
        <v>29337228.071317416</v>
      </c>
      <c r="I136" s="38">
        <f t="shared" si="12"/>
        <v>20014619.758182589</v>
      </c>
      <c r="J136" s="38" t="s">
        <v>213</v>
      </c>
      <c r="K136" s="38" t="str">
        <f t="shared" si="13"/>
        <v/>
      </c>
      <c r="L136" s="41">
        <f>VLOOKUP(INDICADORES!$B$21,'DATOS GENERALES'!$K:$M,3,0)*E136</f>
        <v>335889.97384832386</v>
      </c>
      <c r="M136" s="38" t="str">
        <f t="shared" si="14"/>
        <v/>
      </c>
      <c r="N136" s="36"/>
      <c r="O136" s="36"/>
      <c r="P136" s="36"/>
    </row>
    <row r="137" spans="1:16" x14ac:dyDescent="0.25">
      <c r="A137" s="36">
        <v>1856</v>
      </c>
      <c r="B137" s="37">
        <v>44105</v>
      </c>
      <c r="C137" s="36" t="s">
        <v>212</v>
      </c>
      <c r="D137" s="36"/>
      <c r="E137" s="38">
        <v>49351847.829500005</v>
      </c>
      <c r="F137" s="40">
        <f>VLOOKUP(A137,'DATOS GENERALES'!A:B,2,0)</f>
        <v>1.69</v>
      </c>
      <c r="G137" s="36">
        <f t="shared" si="10"/>
        <v>1.6822259999999998</v>
      </c>
      <c r="H137" s="38">
        <f t="shared" si="11"/>
        <v>29337228.071317416</v>
      </c>
      <c r="I137" s="38">
        <f t="shared" si="12"/>
        <v>20014619.758182589</v>
      </c>
      <c r="J137" s="38" t="s">
        <v>213</v>
      </c>
      <c r="K137" s="38" t="str">
        <f t="shared" si="13"/>
        <v/>
      </c>
      <c r="L137" s="41">
        <f>VLOOKUP(INDICADORES!$B$21,'DATOS GENERALES'!$K:$M,3,0)*E137</f>
        <v>335889.97384832386</v>
      </c>
      <c r="M137" s="38" t="str">
        <f t="shared" si="14"/>
        <v/>
      </c>
      <c r="N137" s="36"/>
      <c r="O137" s="36"/>
      <c r="P137" s="36"/>
    </row>
    <row r="138" spans="1:16" x14ac:dyDescent="0.25">
      <c r="A138" s="36">
        <v>1856</v>
      </c>
      <c r="B138" s="37">
        <v>44136</v>
      </c>
      <c r="C138" s="36" t="s">
        <v>212</v>
      </c>
      <c r="D138" s="36"/>
      <c r="E138" s="38">
        <v>49351847.829500005</v>
      </c>
      <c r="F138" s="40">
        <f>VLOOKUP(A138,'DATOS GENERALES'!A:B,2,0)</f>
        <v>1.69</v>
      </c>
      <c r="G138" s="36">
        <f t="shared" si="10"/>
        <v>1.6822259999999998</v>
      </c>
      <c r="H138" s="38">
        <f t="shared" si="11"/>
        <v>29337228.071317416</v>
      </c>
      <c r="I138" s="38">
        <f t="shared" si="12"/>
        <v>20014619.758182589</v>
      </c>
      <c r="J138" s="38" t="s">
        <v>213</v>
      </c>
      <c r="K138" s="38" t="str">
        <f t="shared" si="13"/>
        <v/>
      </c>
      <c r="L138" s="41">
        <f>VLOOKUP(INDICADORES!$B$21,'DATOS GENERALES'!$K:$M,3,0)*E138</f>
        <v>335889.97384832386</v>
      </c>
      <c r="M138" s="38" t="str">
        <f t="shared" si="14"/>
        <v/>
      </c>
      <c r="N138" s="36"/>
      <c r="O138" s="36"/>
      <c r="P138" s="36"/>
    </row>
    <row r="139" spans="1:16" x14ac:dyDescent="0.25">
      <c r="A139" s="36">
        <v>1856</v>
      </c>
      <c r="B139" s="37">
        <v>44166</v>
      </c>
      <c r="C139" s="36" t="s">
        <v>212</v>
      </c>
      <c r="D139" s="36"/>
      <c r="E139" s="38">
        <v>49351847.829500005</v>
      </c>
      <c r="F139" s="40">
        <f>VLOOKUP(A139,'DATOS GENERALES'!A:B,2,0)</f>
        <v>1.69</v>
      </c>
      <c r="G139" s="36">
        <f t="shared" si="10"/>
        <v>1.6822259999999998</v>
      </c>
      <c r="H139" s="38">
        <f t="shared" si="11"/>
        <v>29337228.071317416</v>
      </c>
      <c r="I139" s="38">
        <f t="shared" si="12"/>
        <v>20014619.758182589</v>
      </c>
      <c r="J139" s="38" t="s">
        <v>213</v>
      </c>
      <c r="K139" s="38" t="str">
        <f t="shared" si="13"/>
        <v/>
      </c>
      <c r="L139" s="41">
        <f>VLOOKUP(INDICADORES!$B$21,'DATOS GENERALES'!$K:$M,3,0)*E139</f>
        <v>335889.97384832386</v>
      </c>
      <c r="M139" s="38" t="str">
        <f t="shared" si="14"/>
        <v/>
      </c>
      <c r="N139" s="36"/>
      <c r="O139" s="36"/>
      <c r="P139" s="36"/>
    </row>
    <row r="140" spans="1:16" x14ac:dyDescent="0.25">
      <c r="A140" s="36">
        <v>1856</v>
      </c>
      <c r="B140" s="37">
        <v>44197</v>
      </c>
      <c r="C140" s="36" t="s">
        <v>212</v>
      </c>
      <c r="D140" s="36"/>
      <c r="E140" s="38">
        <v>49351847.829500005</v>
      </c>
      <c r="F140" s="40">
        <f>VLOOKUP(A140,'DATOS GENERALES'!A:B,2,0)</f>
        <v>1.69</v>
      </c>
      <c r="G140" s="36">
        <f t="shared" si="10"/>
        <v>1.6822259999999998</v>
      </c>
      <c r="H140" s="38">
        <f t="shared" si="11"/>
        <v>29337228.071317416</v>
      </c>
      <c r="I140" s="38">
        <f t="shared" si="12"/>
        <v>20014619.758182589</v>
      </c>
      <c r="J140" s="38" t="s">
        <v>213</v>
      </c>
      <c r="K140" s="38" t="str">
        <f t="shared" si="13"/>
        <v/>
      </c>
      <c r="L140" s="41">
        <f>VLOOKUP(INDICADORES!$B$21,'DATOS GENERALES'!$K:$M,3,0)*E140</f>
        <v>335889.97384832386</v>
      </c>
      <c r="M140" s="38" t="str">
        <f t="shared" si="14"/>
        <v/>
      </c>
      <c r="N140" s="36"/>
      <c r="O140" s="36"/>
      <c r="P140" s="36"/>
    </row>
    <row r="141" spans="1:16" x14ac:dyDescent="0.25">
      <c r="A141" s="36">
        <v>1856</v>
      </c>
      <c r="B141" s="37">
        <v>44228</v>
      </c>
      <c r="C141" s="36" t="s">
        <v>212</v>
      </c>
      <c r="D141" s="36"/>
      <c r="E141" s="38">
        <v>9910003.9500000011</v>
      </c>
      <c r="F141" s="40">
        <f>VLOOKUP(A141,'DATOS GENERALES'!A:B,2,0)</f>
        <v>1.69</v>
      </c>
      <c r="G141" s="36">
        <f t="shared" si="10"/>
        <v>1.6822259999999998</v>
      </c>
      <c r="H141" s="38">
        <f t="shared" si="11"/>
        <v>5891006.291663547</v>
      </c>
      <c r="I141" s="38">
        <f t="shared" si="12"/>
        <v>4018997.6583364541</v>
      </c>
      <c r="J141" s="38" t="s">
        <v>213</v>
      </c>
      <c r="K141" s="38" t="str">
        <f t="shared" si="13"/>
        <v/>
      </c>
      <c r="L141" s="41">
        <f>VLOOKUP(INDICADORES!$B$21,'DATOS GENERALES'!$K:$M,3,0)*E141</f>
        <v>67447.747429886062</v>
      </c>
      <c r="M141" s="38" t="str">
        <f t="shared" si="14"/>
        <v/>
      </c>
      <c r="N141" s="36"/>
      <c r="O141" s="36"/>
      <c r="P141" s="36"/>
    </row>
    <row r="142" spans="1:16" x14ac:dyDescent="0.25">
      <c r="A142" s="36">
        <v>1860</v>
      </c>
      <c r="B142" s="37">
        <v>43466</v>
      </c>
      <c r="C142" s="36" t="s">
        <v>212</v>
      </c>
      <c r="D142" s="36"/>
      <c r="E142" s="38">
        <v>20348195</v>
      </c>
      <c r="F142" s="40">
        <f>VLOOKUP(A142,'DATOS GENERALES'!A:B,2,0)</f>
        <v>1.61</v>
      </c>
      <c r="G142" s="36">
        <f t="shared" si="10"/>
        <v>1.6025940000000001</v>
      </c>
      <c r="H142" s="38">
        <f t="shared" si="11"/>
        <v>12697036.804081382</v>
      </c>
      <c r="I142" s="38">
        <f t="shared" si="12"/>
        <v>7651158.1959186178</v>
      </c>
      <c r="J142" s="38">
        <v>2785962.7990221307</v>
      </c>
      <c r="K142" s="38">
        <f t="shared" si="13"/>
        <v>4865195.3968964871</v>
      </c>
      <c r="L142" s="41">
        <f>VLOOKUP(INDICADORES!$B$21,'DATOS GENERALES'!$K:$M,3,0)*E142</f>
        <v>138490.35014906025</v>
      </c>
      <c r="M142" s="38">
        <f t="shared" si="14"/>
        <v>4726705.0467474265</v>
      </c>
      <c r="N142" s="36"/>
      <c r="O142" s="36"/>
      <c r="P142" s="36"/>
    </row>
    <row r="143" spans="1:16" x14ac:dyDescent="0.25">
      <c r="A143" s="36">
        <v>1860</v>
      </c>
      <c r="B143" s="37">
        <v>43497</v>
      </c>
      <c r="C143" s="36" t="s">
        <v>212</v>
      </c>
      <c r="D143" s="36"/>
      <c r="E143" s="38">
        <v>20348195</v>
      </c>
      <c r="F143" s="40">
        <f>VLOOKUP(A143,'DATOS GENERALES'!A:B,2,0)</f>
        <v>1.61</v>
      </c>
      <c r="G143" s="36">
        <f t="shared" si="10"/>
        <v>1.6025940000000001</v>
      </c>
      <c r="H143" s="38">
        <f t="shared" si="11"/>
        <v>12697036.804081382</v>
      </c>
      <c r="I143" s="38">
        <f t="shared" si="12"/>
        <v>7651158.1959186178</v>
      </c>
      <c r="J143" s="38">
        <v>2744564.1443934408</v>
      </c>
      <c r="K143" s="38">
        <f t="shared" si="13"/>
        <v>4906594.0515251774</v>
      </c>
      <c r="L143" s="41">
        <f>VLOOKUP(INDICADORES!$B$21,'DATOS GENERALES'!$K:$M,3,0)*E143</f>
        <v>138490.35014906025</v>
      </c>
      <c r="M143" s="38">
        <f t="shared" si="14"/>
        <v>4768103.7013761168</v>
      </c>
      <c r="N143" s="36"/>
      <c r="O143" s="36"/>
      <c r="P143" s="36"/>
    </row>
    <row r="144" spans="1:16" x14ac:dyDescent="0.25">
      <c r="A144" s="36">
        <v>1860</v>
      </c>
      <c r="B144" s="37">
        <v>43525</v>
      </c>
      <c r="C144" s="36" t="s">
        <v>212</v>
      </c>
      <c r="D144" s="36"/>
      <c r="E144" s="38">
        <v>20348195</v>
      </c>
      <c r="F144" s="40">
        <f>VLOOKUP(A144,'DATOS GENERALES'!A:B,2,0)</f>
        <v>1.61</v>
      </c>
      <c r="G144" s="36">
        <f t="shared" si="10"/>
        <v>1.6025940000000001</v>
      </c>
      <c r="H144" s="38">
        <f t="shared" si="11"/>
        <v>12697036.804081382</v>
      </c>
      <c r="I144" s="38">
        <f t="shared" si="12"/>
        <v>7651158.1959186178</v>
      </c>
      <c r="J144" s="38">
        <v>1985658.1180022748</v>
      </c>
      <c r="K144" s="38">
        <f t="shared" si="13"/>
        <v>5665500.0779163428</v>
      </c>
      <c r="L144" s="41">
        <f>VLOOKUP(INDICADORES!$B$21,'DATOS GENERALES'!$K:$M,3,0)*E144</f>
        <v>138490.35014906025</v>
      </c>
      <c r="M144" s="38">
        <f t="shared" si="14"/>
        <v>5527009.7277672822</v>
      </c>
      <c r="N144" s="36"/>
      <c r="O144" s="36"/>
      <c r="P144" s="36"/>
    </row>
    <row r="145" spans="1:16" x14ac:dyDescent="0.25">
      <c r="A145" s="36">
        <v>1860</v>
      </c>
      <c r="B145" s="37">
        <v>43556</v>
      </c>
      <c r="C145" s="36" t="s">
        <v>212</v>
      </c>
      <c r="D145" s="36"/>
      <c r="E145" s="38">
        <v>20348195</v>
      </c>
      <c r="F145" s="40">
        <f>VLOOKUP(A145,'DATOS GENERALES'!A:B,2,0)</f>
        <v>1.61</v>
      </c>
      <c r="G145" s="36">
        <f t="shared" si="10"/>
        <v>1.6025940000000001</v>
      </c>
      <c r="H145" s="38">
        <f t="shared" si="11"/>
        <v>12697036.804081382</v>
      </c>
      <c r="I145" s="38">
        <f t="shared" si="12"/>
        <v>7651158.1959186178</v>
      </c>
      <c r="J145" s="38">
        <v>2041406.2007341066</v>
      </c>
      <c r="K145" s="38">
        <f t="shared" si="13"/>
        <v>5609751.9951845109</v>
      </c>
      <c r="L145" s="41">
        <f>VLOOKUP(INDICADORES!$B$21,'DATOS GENERALES'!$K:$M,3,0)*E145</f>
        <v>138490.35014906025</v>
      </c>
      <c r="M145" s="38">
        <f t="shared" si="14"/>
        <v>5471261.6450354503</v>
      </c>
      <c r="N145" s="36"/>
      <c r="O145" s="36"/>
      <c r="P145" s="36"/>
    </row>
    <row r="146" spans="1:16" x14ac:dyDescent="0.25">
      <c r="A146" s="36">
        <v>1860</v>
      </c>
      <c r="B146" s="37">
        <v>43586</v>
      </c>
      <c r="C146" s="36" t="s">
        <v>212</v>
      </c>
      <c r="D146" s="36"/>
      <c r="E146" s="38">
        <v>20348195</v>
      </c>
      <c r="F146" s="40">
        <f>VLOOKUP(A146,'DATOS GENERALES'!A:B,2,0)</f>
        <v>1.61</v>
      </c>
      <c r="G146" s="36">
        <f t="shared" si="10"/>
        <v>1.6025940000000001</v>
      </c>
      <c r="H146" s="38">
        <f t="shared" si="11"/>
        <v>12697036.804081382</v>
      </c>
      <c r="I146" s="38">
        <f t="shared" si="12"/>
        <v>7651158.1959186178</v>
      </c>
      <c r="J146" s="38">
        <v>1684017.3509945383</v>
      </c>
      <c r="K146" s="38">
        <f t="shared" si="13"/>
        <v>5967140.8449240793</v>
      </c>
      <c r="L146" s="41">
        <f>VLOOKUP(INDICADORES!$B$21,'DATOS GENERALES'!$K:$M,3,0)*E146</f>
        <v>138490.35014906025</v>
      </c>
      <c r="M146" s="38">
        <f t="shared" si="14"/>
        <v>5828650.4947750187</v>
      </c>
      <c r="N146" s="36"/>
      <c r="O146" s="36"/>
      <c r="P146" s="36"/>
    </row>
    <row r="147" spans="1:16" x14ac:dyDescent="0.25">
      <c r="A147" s="36">
        <v>1860</v>
      </c>
      <c r="B147" s="37">
        <v>43617</v>
      </c>
      <c r="C147" s="36" t="s">
        <v>212</v>
      </c>
      <c r="D147" s="36"/>
      <c r="E147" s="38">
        <v>20348195</v>
      </c>
      <c r="F147" s="40">
        <f>VLOOKUP(A147,'DATOS GENERALES'!A:B,2,0)</f>
        <v>1.61</v>
      </c>
      <c r="G147" s="36">
        <f t="shared" si="10"/>
        <v>1.6025940000000001</v>
      </c>
      <c r="H147" s="38">
        <f t="shared" si="11"/>
        <v>12697036.804081382</v>
      </c>
      <c r="I147" s="38">
        <f t="shared" si="12"/>
        <v>7651158.1959186178</v>
      </c>
      <c r="J147" s="38">
        <v>1891490.6191290077</v>
      </c>
      <c r="K147" s="38">
        <f t="shared" si="13"/>
        <v>5759667.5767896101</v>
      </c>
      <c r="L147" s="41">
        <f>VLOOKUP(INDICADORES!$B$21,'DATOS GENERALES'!$K:$M,3,0)*E147</f>
        <v>138490.35014906025</v>
      </c>
      <c r="M147" s="38">
        <f t="shared" si="14"/>
        <v>5621177.2266405495</v>
      </c>
      <c r="N147" s="36"/>
      <c r="O147" s="36"/>
      <c r="P147" s="36"/>
    </row>
    <row r="148" spans="1:16" x14ac:dyDescent="0.25">
      <c r="A148" s="36">
        <v>1860</v>
      </c>
      <c r="B148" s="37">
        <v>43647</v>
      </c>
      <c r="C148" s="36" t="s">
        <v>212</v>
      </c>
      <c r="D148" s="36"/>
      <c r="E148" s="38">
        <v>20348195</v>
      </c>
      <c r="F148" s="40">
        <f>VLOOKUP(A148,'DATOS GENERALES'!A:B,2,0)</f>
        <v>1.61</v>
      </c>
      <c r="G148" s="36">
        <f t="shared" si="10"/>
        <v>1.6025940000000001</v>
      </c>
      <c r="H148" s="38">
        <f t="shared" si="11"/>
        <v>12697036.804081382</v>
      </c>
      <c r="I148" s="38">
        <f t="shared" si="12"/>
        <v>7651158.1959186178</v>
      </c>
      <c r="J148" s="38">
        <v>3284606.93198688</v>
      </c>
      <c r="K148" s="38">
        <f t="shared" si="13"/>
        <v>4366551.2639317382</v>
      </c>
      <c r="L148" s="41">
        <f>VLOOKUP(INDICADORES!$B$21,'DATOS GENERALES'!$K:$M,3,0)*E148</f>
        <v>138490.35014906025</v>
      </c>
      <c r="M148" s="38">
        <f t="shared" si="14"/>
        <v>4228060.9137826776</v>
      </c>
      <c r="N148" s="36"/>
      <c r="O148" s="36"/>
      <c r="P148" s="36"/>
    </row>
    <row r="149" spans="1:16" x14ac:dyDescent="0.25">
      <c r="A149" s="36">
        <v>1860</v>
      </c>
      <c r="B149" s="37">
        <v>43678</v>
      </c>
      <c r="C149" s="36" t="s">
        <v>212</v>
      </c>
      <c r="D149" s="36"/>
      <c r="E149" s="38">
        <v>20348195</v>
      </c>
      <c r="F149" s="40">
        <f>VLOOKUP(A149,'DATOS GENERALES'!A:B,2,0)</f>
        <v>1.61</v>
      </c>
      <c r="G149" s="36">
        <f t="shared" si="10"/>
        <v>1.6025940000000001</v>
      </c>
      <c r="H149" s="38">
        <f t="shared" si="11"/>
        <v>12697036.804081382</v>
      </c>
      <c r="I149" s="38">
        <f t="shared" si="12"/>
        <v>7651158.1959186178</v>
      </c>
      <c r="J149" s="38">
        <v>3298276.2415591581</v>
      </c>
      <c r="K149" s="38">
        <f t="shared" si="13"/>
        <v>4352881.9543594597</v>
      </c>
      <c r="L149" s="41">
        <f>VLOOKUP(INDICADORES!$B$21,'DATOS GENERALES'!$K:$M,3,0)*E149</f>
        <v>138490.35014906025</v>
      </c>
      <c r="M149" s="38">
        <f t="shared" si="14"/>
        <v>4214391.6042103991</v>
      </c>
      <c r="N149" s="36"/>
      <c r="O149" s="36"/>
      <c r="P149" s="36"/>
    </row>
    <row r="150" spans="1:16" x14ac:dyDescent="0.25">
      <c r="A150" s="36">
        <v>1860</v>
      </c>
      <c r="B150" s="37">
        <v>43709</v>
      </c>
      <c r="C150" s="36" t="s">
        <v>212</v>
      </c>
      <c r="D150" s="36"/>
      <c r="E150" s="38">
        <v>20348195</v>
      </c>
      <c r="F150" s="40">
        <f>VLOOKUP(A150,'DATOS GENERALES'!A:B,2,0)</f>
        <v>1.61</v>
      </c>
      <c r="G150" s="36">
        <f t="shared" si="10"/>
        <v>1.6025940000000001</v>
      </c>
      <c r="H150" s="38">
        <f t="shared" si="11"/>
        <v>12697036.804081382</v>
      </c>
      <c r="I150" s="38">
        <f t="shared" si="12"/>
        <v>7651158.1959186178</v>
      </c>
      <c r="J150" s="38">
        <v>3640509.448793266</v>
      </c>
      <c r="K150" s="38">
        <f t="shared" si="13"/>
        <v>4010648.7471253518</v>
      </c>
      <c r="L150" s="41">
        <f>VLOOKUP(INDICADORES!$B$21,'DATOS GENERALES'!$K:$M,3,0)*E150</f>
        <v>138490.35014906025</v>
      </c>
      <c r="M150" s="38">
        <f t="shared" si="14"/>
        <v>3872158.3969762917</v>
      </c>
      <c r="N150" s="36"/>
      <c r="O150" s="36"/>
      <c r="P150" s="36"/>
    </row>
    <row r="151" spans="1:16" x14ac:dyDescent="0.25">
      <c r="A151" s="36">
        <v>1860</v>
      </c>
      <c r="B151" s="37">
        <v>43739</v>
      </c>
      <c r="C151" s="36" t="s">
        <v>212</v>
      </c>
      <c r="D151" s="36"/>
      <c r="E151" s="38">
        <v>20348195</v>
      </c>
      <c r="F151" s="40">
        <f>VLOOKUP(A151,'DATOS GENERALES'!A:B,2,0)</f>
        <v>1.61</v>
      </c>
      <c r="G151" s="36">
        <f t="shared" si="10"/>
        <v>1.6025940000000001</v>
      </c>
      <c r="H151" s="38">
        <f t="shared" si="11"/>
        <v>12697036.804081382</v>
      </c>
      <c r="I151" s="38">
        <f t="shared" si="12"/>
        <v>7651158.1959186178</v>
      </c>
      <c r="J151" s="38">
        <v>3950838.3605129574</v>
      </c>
      <c r="K151" s="38">
        <f t="shared" si="13"/>
        <v>3700319.8354056603</v>
      </c>
      <c r="L151" s="41">
        <f>VLOOKUP(INDICADORES!$B$21,'DATOS GENERALES'!$K:$M,3,0)*E151</f>
        <v>138490.35014906025</v>
      </c>
      <c r="M151" s="38">
        <f t="shared" si="14"/>
        <v>3561829.4852566002</v>
      </c>
      <c r="N151" s="36"/>
      <c r="O151" s="36"/>
      <c r="P151" s="36"/>
    </row>
    <row r="152" spans="1:16" x14ac:dyDescent="0.25">
      <c r="A152" s="36">
        <v>1860</v>
      </c>
      <c r="B152" s="37">
        <v>43770</v>
      </c>
      <c r="C152" s="36" t="s">
        <v>212</v>
      </c>
      <c r="D152" s="36"/>
      <c r="E152" s="38">
        <v>20348195</v>
      </c>
      <c r="F152" s="40">
        <f>VLOOKUP(A152,'DATOS GENERALES'!A:B,2,0)</f>
        <v>1.61</v>
      </c>
      <c r="G152" s="36">
        <f t="shared" si="10"/>
        <v>1.6025940000000001</v>
      </c>
      <c r="H152" s="38">
        <f t="shared" si="11"/>
        <v>12697036.804081382</v>
      </c>
      <c r="I152" s="38">
        <f t="shared" si="12"/>
        <v>7651158.1959186178</v>
      </c>
      <c r="J152" s="38">
        <v>5184671.2876638537</v>
      </c>
      <c r="K152" s="38">
        <f t="shared" si="13"/>
        <v>2466486.908254764</v>
      </c>
      <c r="L152" s="41">
        <f>VLOOKUP(INDICADORES!$B$21,'DATOS GENERALES'!$K:$M,3,0)*E152</f>
        <v>138490.35014906025</v>
      </c>
      <c r="M152" s="38">
        <f t="shared" si="14"/>
        <v>2327996.5581057039</v>
      </c>
      <c r="N152" s="36"/>
      <c r="O152" s="36"/>
      <c r="P152" s="36"/>
    </row>
    <row r="153" spans="1:16" x14ac:dyDescent="0.25">
      <c r="A153" s="36">
        <v>1860</v>
      </c>
      <c r="B153" s="37">
        <v>43800</v>
      </c>
      <c r="C153" s="36" t="s">
        <v>212</v>
      </c>
      <c r="D153" s="36"/>
      <c r="E153" s="38">
        <v>20348195</v>
      </c>
      <c r="F153" s="40">
        <f>VLOOKUP(A153,'DATOS GENERALES'!A:B,2,0)</f>
        <v>1.61</v>
      </c>
      <c r="G153" s="36">
        <f t="shared" si="10"/>
        <v>1.6025940000000001</v>
      </c>
      <c r="H153" s="38">
        <f t="shared" si="11"/>
        <v>12697036.804081382</v>
      </c>
      <c r="I153" s="38">
        <f t="shared" si="12"/>
        <v>7651158.1959186178</v>
      </c>
      <c r="J153" s="38">
        <v>4472035.7967201211</v>
      </c>
      <c r="K153" s="38">
        <f t="shared" si="13"/>
        <v>3179122.3991984967</v>
      </c>
      <c r="L153" s="41">
        <f>VLOOKUP(INDICADORES!$B$21,'DATOS GENERALES'!$K:$M,3,0)*E153</f>
        <v>138490.35014906025</v>
      </c>
      <c r="M153" s="38">
        <f t="shared" si="14"/>
        <v>3040632.0490494366</v>
      </c>
      <c r="N153" s="36"/>
      <c r="O153" s="36"/>
      <c r="P153" s="36"/>
    </row>
    <row r="154" spans="1:16" x14ac:dyDescent="0.25">
      <c r="A154" s="36">
        <v>1860</v>
      </c>
      <c r="B154" s="37">
        <v>43831</v>
      </c>
      <c r="C154" s="36" t="s">
        <v>212</v>
      </c>
      <c r="D154" s="36"/>
      <c r="E154" s="38">
        <v>20348195</v>
      </c>
      <c r="F154" s="40">
        <f>VLOOKUP(A154,'DATOS GENERALES'!A:B,2,0)</f>
        <v>1.61</v>
      </c>
      <c r="G154" s="36">
        <f t="shared" si="10"/>
        <v>1.6025940000000001</v>
      </c>
      <c r="H154" s="38">
        <f t="shared" si="11"/>
        <v>12697036.804081382</v>
      </c>
      <c r="I154" s="38">
        <f t="shared" si="12"/>
        <v>7651158.1959186178</v>
      </c>
      <c r="J154" s="38" t="s">
        <v>213</v>
      </c>
      <c r="K154" s="38" t="str">
        <f t="shared" si="13"/>
        <v/>
      </c>
      <c r="L154" s="41">
        <f>VLOOKUP(INDICADORES!$B$21,'DATOS GENERALES'!$K:$M,3,0)*E154</f>
        <v>138490.35014906025</v>
      </c>
      <c r="M154" s="38" t="str">
        <f t="shared" si="14"/>
        <v/>
      </c>
      <c r="N154" s="36"/>
      <c r="O154" s="36"/>
      <c r="P154" s="36"/>
    </row>
    <row r="155" spans="1:16" x14ac:dyDescent="0.25">
      <c r="A155" s="36">
        <v>1860</v>
      </c>
      <c r="B155" s="37">
        <v>43862</v>
      </c>
      <c r="C155" s="36" t="s">
        <v>212</v>
      </c>
      <c r="D155" s="36"/>
      <c r="E155" s="38">
        <v>20348195</v>
      </c>
      <c r="F155" s="40">
        <f>VLOOKUP(A155,'DATOS GENERALES'!A:B,2,0)</f>
        <v>1.61</v>
      </c>
      <c r="G155" s="36">
        <f t="shared" si="10"/>
        <v>1.6025940000000001</v>
      </c>
      <c r="H155" s="38">
        <f t="shared" si="11"/>
        <v>12697036.804081382</v>
      </c>
      <c r="I155" s="38">
        <f t="shared" si="12"/>
        <v>7651158.1959186178</v>
      </c>
      <c r="J155" s="38" t="s">
        <v>213</v>
      </c>
      <c r="K155" s="38" t="str">
        <f t="shared" si="13"/>
        <v/>
      </c>
      <c r="L155" s="41">
        <f>VLOOKUP(INDICADORES!$B$21,'DATOS GENERALES'!$K:$M,3,0)*E155</f>
        <v>138490.35014906025</v>
      </c>
      <c r="M155" s="38" t="str">
        <f t="shared" si="14"/>
        <v/>
      </c>
      <c r="N155" s="36"/>
      <c r="O155" s="36"/>
      <c r="P155" s="36"/>
    </row>
    <row r="156" spans="1:16" x14ac:dyDescent="0.25">
      <c r="A156" s="36">
        <v>1860</v>
      </c>
      <c r="B156" s="37">
        <v>43891</v>
      </c>
      <c r="C156" s="36" t="s">
        <v>212</v>
      </c>
      <c r="D156" s="36"/>
      <c r="E156" s="38">
        <v>20348195</v>
      </c>
      <c r="F156" s="40">
        <f>VLOOKUP(A156,'DATOS GENERALES'!A:B,2,0)</f>
        <v>1.61</v>
      </c>
      <c r="G156" s="36">
        <f t="shared" si="10"/>
        <v>1.6025940000000001</v>
      </c>
      <c r="H156" s="38">
        <f t="shared" si="11"/>
        <v>12697036.804081382</v>
      </c>
      <c r="I156" s="38">
        <f t="shared" si="12"/>
        <v>7651158.1959186178</v>
      </c>
      <c r="J156" s="38" t="s">
        <v>213</v>
      </c>
      <c r="K156" s="38" t="str">
        <f t="shared" si="13"/>
        <v/>
      </c>
      <c r="L156" s="41">
        <f>VLOOKUP(INDICADORES!$B$21,'DATOS GENERALES'!$K:$M,3,0)*E156</f>
        <v>138490.35014906025</v>
      </c>
      <c r="M156" s="38" t="str">
        <f t="shared" si="14"/>
        <v/>
      </c>
      <c r="N156" s="36"/>
      <c r="O156" s="36"/>
      <c r="P156" s="36"/>
    </row>
    <row r="157" spans="1:16" x14ac:dyDescent="0.25">
      <c r="A157" s="36">
        <v>1860</v>
      </c>
      <c r="B157" s="37">
        <v>43922</v>
      </c>
      <c r="C157" s="36" t="s">
        <v>212</v>
      </c>
      <c r="D157" s="36"/>
      <c r="E157" s="38">
        <v>20348195</v>
      </c>
      <c r="F157" s="40">
        <f>VLOOKUP(A157,'DATOS GENERALES'!A:B,2,0)</f>
        <v>1.61</v>
      </c>
      <c r="G157" s="36">
        <f t="shared" si="10"/>
        <v>1.6025940000000001</v>
      </c>
      <c r="H157" s="38">
        <f t="shared" si="11"/>
        <v>12697036.804081382</v>
      </c>
      <c r="I157" s="38">
        <f t="shared" si="12"/>
        <v>7651158.1959186178</v>
      </c>
      <c r="J157" s="38" t="s">
        <v>213</v>
      </c>
      <c r="K157" s="38" t="str">
        <f t="shared" si="13"/>
        <v/>
      </c>
      <c r="L157" s="41">
        <f>VLOOKUP(INDICADORES!$B$21,'DATOS GENERALES'!$K:$M,3,0)*E157</f>
        <v>138490.35014906025</v>
      </c>
      <c r="M157" s="38" t="str">
        <f t="shared" si="14"/>
        <v/>
      </c>
      <c r="N157" s="36"/>
      <c r="O157" s="36"/>
      <c r="P157" s="36"/>
    </row>
    <row r="158" spans="1:16" x14ac:dyDescent="0.25">
      <c r="A158" s="36">
        <v>1860</v>
      </c>
      <c r="B158" s="37">
        <v>43952</v>
      </c>
      <c r="C158" s="36" t="s">
        <v>212</v>
      </c>
      <c r="D158" s="36"/>
      <c r="E158" s="38">
        <v>20348195</v>
      </c>
      <c r="F158" s="40">
        <f>VLOOKUP(A158,'DATOS GENERALES'!A:B,2,0)</f>
        <v>1.61</v>
      </c>
      <c r="G158" s="36">
        <f t="shared" si="10"/>
        <v>1.6025940000000001</v>
      </c>
      <c r="H158" s="38">
        <f t="shared" si="11"/>
        <v>12697036.804081382</v>
      </c>
      <c r="I158" s="38">
        <f t="shared" si="12"/>
        <v>7651158.1959186178</v>
      </c>
      <c r="J158" s="38" t="s">
        <v>213</v>
      </c>
      <c r="K158" s="38" t="str">
        <f t="shared" si="13"/>
        <v/>
      </c>
      <c r="L158" s="41">
        <f>VLOOKUP(INDICADORES!$B$21,'DATOS GENERALES'!$K:$M,3,0)*E158</f>
        <v>138490.35014906025</v>
      </c>
      <c r="M158" s="38" t="str">
        <f t="shared" si="14"/>
        <v/>
      </c>
      <c r="N158" s="36"/>
      <c r="O158" s="36"/>
      <c r="P158" s="36"/>
    </row>
    <row r="159" spans="1:16" x14ac:dyDescent="0.25">
      <c r="A159" s="36">
        <v>1860</v>
      </c>
      <c r="B159" s="37">
        <v>43983</v>
      </c>
      <c r="C159" s="36" t="s">
        <v>212</v>
      </c>
      <c r="D159" s="36"/>
      <c r="E159" s="38">
        <v>20348195</v>
      </c>
      <c r="F159" s="40">
        <f>VLOOKUP(A159,'DATOS GENERALES'!A:B,2,0)</f>
        <v>1.61</v>
      </c>
      <c r="G159" s="36">
        <f t="shared" si="10"/>
        <v>1.6025940000000001</v>
      </c>
      <c r="H159" s="38">
        <f t="shared" si="11"/>
        <v>12697036.804081382</v>
      </c>
      <c r="I159" s="38">
        <f t="shared" si="12"/>
        <v>7651158.1959186178</v>
      </c>
      <c r="J159" s="38" t="s">
        <v>213</v>
      </c>
      <c r="K159" s="38" t="str">
        <f t="shared" si="13"/>
        <v/>
      </c>
      <c r="L159" s="41">
        <f>VLOOKUP(INDICADORES!$B$21,'DATOS GENERALES'!$K:$M,3,0)*E159</f>
        <v>138490.35014906025</v>
      </c>
      <c r="M159" s="38" t="str">
        <f t="shared" si="14"/>
        <v/>
      </c>
      <c r="N159" s="36"/>
      <c r="O159" s="36"/>
      <c r="P159" s="36"/>
    </row>
    <row r="160" spans="1:16" x14ac:dyDescent="0.25">
      <c r="A160" s="36">
        <v>1860</v>
      </c>
      <c r="B160" s="37">
        <v>44013</v>
      </c>
      <c r="C160" s="36" t="s">
        <v>212</v>
      </c>
      <c r="D160" s="36"/>
      <c r="E160" s="38">
        <v>20348195</v>
      </c>
      <c r="F160" s="40">
        <f>VLOOKUP(A160,'DATOS GENERALES'!A:B,2,0)</f>
        <v>1.61</v>
      </c>
      <c r="G160" s="36">
        <f t="shared" si="10"/>
        <v>1.6025940000000001</v>
      </c>
      <c r="H160" s="38">
        <f t="shared" si="11"/>
        <v>12697036.804081382</v>
      </c>
      <c r="I160" s="38">
        <f t="shared" si="12"/>
        <v>7651158.1959186178</v>
      </c>
      <c r="J160" s="38" t="s">
        <v>213</v>
      </c>
      <c r="K160" s="38" t="str">
        <f t="shared" si="13"/>
        <v/>
      </c>
      <c r="L160" s="41">
        <f>VLOOKUP(INDICADORES!$B$21,'DATOS GENERALES'!$K:$M,3,0)*E160</f>
        <v>138490.35014906025</v>
      </c>
      <c r="M160" s="38" t="str">
        <f t="shared" si="14"/>
        <v/>
      </c>
      <c r="N160" s="36"/>
      <c r="O160" s="36"/>
      <c r="P160" s="36"/>
    </row>
    <row r="161" spans="1:16" x14ac:dyDescent="0.25">
      <c r="A161" s="36">
        <v>1860</v>
      </c>
      <c r="B161" s="37">
        <v>44044</v>
      </c>
      <c r="C161" s="36" t="s">
        <v>212</v>
      </c>
      <c r="D161" s="36"/>
      <c r="E161" s="38">
        <v>24271520</v>
      </c>
      <c r="F161" s="40">
        <f>VLOOKUP(A161,'DATOS GENERALES'!A:B,2,0)</f>
        <v>1.61</v>
      </c>
      <c r="G161" s="36">
        <f t="shared" si="10"/>
        <v>1.6025940000000001</v>
      </c>
      <c r="H161" s="38">
        <f t="shared" si="11"/>
        <v>15145145.932157489</v>
      </c>
      <c r="I161" s="38">
        <f t="shared" si="12"/>
        <v>9126374.0678425115</v>
      </c>
      <c r="J161" s="38" t="s">
        <v>213</v>
      </c>
      <c r="K161" s="38" t="str">
        <f t="shared" si="13"/>
        <v/>
      </c>
      <c r="L161" s="41">
        <f>VLOOKUP(INDICADORES!$B$21,'DATOS GENERALES'!$K:$M,3,0)*E161</f>
        <v>165192.60324809738</v>
      </c>
      <c r="M161" s="38" t="str">
        <f t="shared" si="14"/>
        <v/>
      </c>
      <c r="N161" s="36"/>
      <c r="O161" s="36"/>
      <c r="P161" s="36"/>
    </row>
    <row r="162" spans="1:16" x14ac:dyDescent="0.25">
      <c r="A162" s="36">
        <v>1860</v>
      </c>
      <c r="B162" s="37">
        <v>44075</v>
      </c>
      <c r="C162" s="36" t="s">
        <v>212</v>
      </c>
      <c r="D162" s="36"/>
      <c r="E162" s="38">
        <v>24271520</v>
      </c>
      <c r="F162" s="40">
        <f>VLOOKUP(A162,'DATOS GENERALES'!A:B,2,0)</f>
        <v>1.61</v>
      </c>
      <c r="G162" s="36">
        <f t="shared" si="10"/>
        <v>1.6025940000000001</v>
      </c>
      <c r="H162" s="38">
        <f t="shared" si="11"/>
        <v>15145145.932157489</v>
      </c>
      <c r="I162" s="38">
        <f t="shared" si="12"/>
        <v>9126374.0678425115</v>
      </c>
      <c r="J162" s="38" t="s">
        <v>213</v>
      </c>
      <c r="K162" s="38" t="str">
        <f t="shared" si="13"/>
        <v/>
      </c>
      <c r="L162" s="41">
        <f>VLOOKUP(INDICADORES!$B$21,'DATOS GENERALES'!$K:$M,3,0)*E162</f>
        <v>165192.60324809738</v>
      </c>
      <c r="M162" s="38" t="str">
        <f t="shared" si="14"/>
        <v/>
      </c>
      <c r="N162" s="36"/>
      <c r="O162" s="36"/>
      <c r="P162" s="36"/>
    </row>
    <row r="163" spans="1:16" x14ac:dyDescent="0.25">
      <c r="A163" s="36">
        <v>1860</v>
      </c>
      <c r="B163" s="37">
        <v>44105</v>
      </c>
      <c r="C163" s="36" t="s">
        <v>212</v>
      </c>
      <c r="D163" s="36"/>
      <c r="E163" s="38">
        <v>24271520</v>
      </c>
      <c r="F163" s="40">
        <f>VLOOKUP(A163,'DATOS GENERALES'!A:B,2,0)</f>
        <v>1.61</v>
      </c>
      <c r="G163" s="36">
        <f t="shared" si="10"/>
        <v>1.6025940000000001</v>
      </c>
      <c r="H163" s="38">
        <f t="shared" si="11"/>
        <v>15145145.932157489</v>
      </c>
      <c r="I163" s="38">
        <f t="shared" si="12"/>
        <v>9126374.0678425115</v>
      </c>
      <c r="J163" s="38" t="s">
        <v>213</v>
      </c>
      <c r="K163" s="38" t="str">
        <f t="shared" si="13"/>
        <v/>
      </c>
      <c r="L163" s="41">
        <f>VLOOKUP(INDICADORES!$B$21,'DATOS GENERALES'!$K:$M,3,0)*E163</f>
        <v>165192.60324809738</v>
      </c>
      <c r="M163" s="38" t="str">
        <f t="shared" si="14"/>
        <v/>
      </c>
      <c r="N163" s="36"/>
      <c r="O163" s="36"/>
      <c r="P163" s="36"/>
    </row>
    <row r="164" spans="1:16" x14ac:dyDescent="0.25">
      <c r="A164" s="36">
        <v>1860</v>
      </c>
      <c r="B164" s="37">
        <v>44136</v>
      </c>
      <c r="C164" s="36" t="s">
        <v>212</v>
      </c>
      <c r="D164" s="36"/>
      <c r="E164" s="38">
        <v>24271520</v>
      </c>
      <c r="F164" s="40">
        <f>VLOOKUP(A164,'DATOS GENERALES'!A:B,2,0)</f>
        <v>1.61</v>
      </c>
      <c r="G164" s="36">
        <f t="shared" si="10"/>
        <v>1.6025940000000001</v>
      </c>
      <c r="H164" s="38">
        <f t="shared" si="11"/>
        <v>15145145.932157489</v>
      </c>
      <c r="I164" s="38">
        <f t="shared" si="12"/>
        <v>9126374.0678425115</v>
      </c>
      <c r="J164" s="38" t="s">
        <v>213</v>
      </c>
      <c r="K164" s="38" t="str">
        <f t="shared" si="13"/>
        <v/>
      </c>
      <c r="L164" s="41">
        <f>VLOOKUP(INDICADORES!$B$21,'DATOS GENERALES'!$K:$M,3,0)*E164</f>
        <v>165192.60324809738</v>
      </c>
      <c r="M164" s="38" t="str">
        <f t="shared" si="14"/>
        <v/>
      </c>
      <c r="N164" s="36"/>
      <c r="O164" s="36"/>
      <c r="P164" s="36"/>
    </row>
    <row r="165" spans="1:16" x14ac:dyDescent="0.25">
      <c r="A165" s="36">
        <v>1860</v>
      </c>
      <c r="B165" s="37">
        <v>44166</v>
      </c>
      <c r="C165" s="36" t="s">
        <v>212</v>
      </c>
      <c r="D165" s="36"/>
      <c r="E165" s="38">
        <v>24271520</v>
      </c>
      <c r="F165" s="40">
        <f>VLOOKUP(A165,'DATOS GENERALES'!A:B,2,0)</f>
        <v>1.61</v>
      </c>
      <c r="G165" s="36">
        <f t="shared" si="10"/>
        <v>1.6025940000000001</v>
      </c>
      <c r="H165" s="38">
        <f t="shared" si="11"/>
        <v>15145145.932157489</v>
      </c>
      <c r="I165" s="38">
        <f t="shared" si="12"/>
        <v>9126374.0678425115</v>
      </c>
      <c r="J165" s="38" t="s">
        <v>213</v>
      </c>
      <c r="K165" s="38" t="str">
        <f t="shared" si="13"/>
        <v/>
      </c>
      <c r="L165" s="41">
        <f>VLOOKUP(INDICADORES!$B$21,'DATOS GENERALES'!$K:$M,3,0)*E165</f>
        <v>165192.60324809738</v>
      </c>
      <c r="M165" s="38" t="str">
        <f t="shared" si="14"/>
        <v/>
      </c>
      <c r="N165" s="36"/>
      <c r="O165" s="36"/>
      <c r="P165" s="36"/>
    </row>
    <row r="166" spans="1:16" x14ac:dyDescent="0.25">
      <c r="A166" s="36">
        <v>1860</v>
      </c>
      <c r="B166" s="37">
        <v>44197</v>
      </c>
      <c r="C166" s="36" t="s">
        <v>212</v>
      </c>
      <c r="D166" s="36"/>
      <c r="E166" s="38">
        <v>24271520</v>
      </c>
      <c r="F166" s="40">
        <f>VLOOKUP(A166,'DATOS GENERALES'!A:B,2,0)</f>
        <v>1.61</v>
      </c>
      <c r="G166" s="36">
        <f t="shared" si="10"/>
        <v>1.6025940000000001</v>
      </c>
      <c r="H166" s="38">
        <f t="shared" si="11"/>
        <v>15145145.932157489</v>
      </c>
      <c r="I166" s="38">
        <f t="shared" si="12"/>
        <v>9126374.0678425115</v>
      </c>
      <c r="J166" s="38" t="s">
        <v>213</v>
      </c>
      <c r="K166" s="38" t="str">
        <f t="shared" si="13"/>
        <v/>
      </c>
      <c r="L166" s="41">
        <f>VLOOKUP(INDICADORES!$B$21,'DATOS GENERALES'!$K:$M,3,0)*E166</f>
        <v>165192.60324809738</v>
      </c>
      <c r="M166" s="38" t="str">
        <f t="shared" si="14"/>
        <v/>
      </c>
      <c r="N166" s="36"/>
      <c r="O166" s="36"/>
      <c r="P166" s="36"/>
    </row>
    <row r="167" spans="1:16" x14ac:dyDescent="0.25">
      <c r="A167" s="36">
        <v>1860</v>
      </c>
      <c r="B167" s="37">
        <v>44228</v>
      </c>
      <c r="C167" s="36" t="s">
        <v>212</v>
      </c>
      <c r="D167" s="36"/>
      <c r="E167" s="38">
        <v>24271520</v>
      </c>
      <c r="F167" s="40">
        <f>VLOOKUP(A167,'DATOS GENERALES'!A:B,2,0)</f>
        <v>1.61</v>
      </c>
      <c r="G167" s="36">
        <f t="shared" si="10"/>
        <v>1.6025940000000001</v>
      </c>
      <c r="H167" s="38">
        <f t="shared" si="11"/>
        <v>15145145.932157489</v>
      </c>
      <c r="I167" s="38">
        <f t="shared" si="12"/>
        <v>9126374.0678425115</v>
      </c>
      <c r="J167" s="38" t="s">
        <v>213</v>
      </c>
      <c r="K167" s="38" t="str">
        <f t="shared" si="13"/>
        <v/>
      </c>
      <c r="L167" s="41">
        <f>VLOOKUP(INDICADORES!$B$21,'DATOS GENERALES'!$K:$M,3,0)*E167</f>
        <v>165192.60324809738</v>
      </c>
      <c r="M167" s="38" t="str">
        <f t="shared" si="14"/>
        <v/>
      </c>
      <c r="N167" s="36"/>
      <c r="O167" s="36"/>
      <c r="P167" s="36"/>
    </row>
    <row r="168" spans="1:16" x14ac:dyDescent="0.25">
      <c r="A168" s="36">
        <v>1860</v>
      </c>
      <c r="B168" s="37">
        <v>44256</v>
      </c>
      <c r="C168" s="36" t="s">
        <v>212</v>
      </c>
      <c r="D168" s="36"/>
      <c r="E168" s="38">
        <v>24271520</v>
      </c>
      <c r="F168" s="40">
        <f>VLOOKUP(A168,'DATOS GENERALES'!A:B,2,0)</f>
        <v>1.61</v>
      </c>
      <c r="G168" s="36">
        <f t="shared" si="10"/>
        <v>1.6025940000000001</v>
      </c>
      <c r="H168" s="38">
        <f t="shared" si="11"/>
        <v>15145145.932157489</v>
      </c>
      <c r="I168" s="38">
        <f t="shared" si="12"/>
        <v>9126374.0678425115</v>
      </c>
      <c r="J168" s="38" t="s">
        <v>213</v>
      </c>
      <c r="K168" s="38" t="str">
        <f t="shared" si="13"/>
        <v/>
      </c>
      <c r="L168" s="41">
        <f>VLOOKUP(INDICADORES!$B$21,'DATOS GENERALES'!$K:$M,3,0)*E168</f>
        <v>165192.60324809738</v>
      </c>
      <c r="M168" s="38" t="str">
        <f t="shared" si="14"/>
        <v/>
      </c>
      <c r="N168" s="36"/>
      <c r="O168" s="36"/>
      <c r="P168" s="36"/>
    </row>
    <row r="169" spans="1:16" x14ac:dyDescent="0.25">
      <c r="A169" s="36">
        <v>1860</v>
      </c>
      <c r="B169" s="37">
        <v>44287</v>
      </c>
      <c r="C169" s="36" t="s">
        <v>212</v>
      </c>
      <c r="D169" s="36"/>
      <c r="E169" s="38">
        <v>19513445</v>
      </c>
      <c r="F169" s="40">
        <f>VLOOKUP(A169,'DATOS GENERALES'!A:B,2,0)</f>
        <v>1.61</v>
      </c>
      <c r="G169" s="36">
        <f t="shared" si="10"/>
        <v>1.6025940000000001</v>
      </c>
      <c r="H169" s="38">
        <f t="shared" si="11"/>
        <v>12176162.521511998</v>
      </c>
      <c r="I169" s="38">
        <f t="shared" si="12"/>
        <v>7337282.478488002</v>
      </c>
      <c r="J169" s="38" t="s">
        <v>213</v>
      </c>
      <c r="K169" s="38" t="str">
        <f t="shared" si="13"/>
        <v/>
      </c>
      <c r="L169" s="41">
        <f>VLOOKUP(INDICADORES!$B$21,'DATOS GENERALES'!$K:$M,3,0)*E169</f>
        <v>132809.0197024566</v>
      </c>
      <c r="M169" s="38" t="str">
        <f t="shared" si="14"/>
        <v/>
      </c>
      <c r="N169" s="36"/>
      <c r="O169" s="36"/>
      <c r="P169" s="36"/>
    </row>
    <row r="170" spans="1:16" x14ac:dyDescent="0.25">
      <c r="A170" s="36">
        <v>1860</v>
      </c>
      <c r="B170" s="37">
        <v>44317</v>
      </c>
      <c r="C170" s="36" t="s">
        <v>212</v>
      </c>
      <c r="D170" s="36"/>
      <c r="E170" s="38">
        <v>3923324.9999999995</v>
      </c>
      <c r="F170" s="40">
        <f>VLOOKUP(A170,'DATOS GENERALES'!A:B,2,0)</f>
        <v>1.61</v>
      </c>
      <c r="G170" s="36">
        <f t="shared" si="10"/>
        <v>1.6025940000000001</v>
      </c>
      <c r="H170" s="38">
        <f t="shared" si="11"/>
        <v>2448109.1280761063</v>
      </c>
      <c r="I170" s="38">
        <f t="shared" si="12"/>
        <v>1475215.8719238932</v>
      </c>
      <c r="J170" s="38" t="s">
        <v>213</v>
      </c>
      <c r="K170" s="38" t="str">
        <f t="shared" si="13"/>
        <v/>
      </c>
      <c r="L170" s="41">
        <f>VLOOKUP(INDICADORES!$B$21,'DATOS GENERALES'!$K:$M,3,0)*E170</f>
        <v>26702.253099037127</v>
      </c>
      <c r="M170" s="38" t="str">
        <f t="shared" si="14"/>
        <v/>
      </c>
      <c r="N170" s="36"/>
      <c r="O170" s="36"/>
      <c r="P170" s="36"/>
    </row>
    <row r="171" spans="1:16" x14ac:dyDescent="0.25">
      <c r="A171" s="36">
        <v>1860</v>
      </c>
      <c r="B171" s="37">
        <v>44348</v>
      </c>
      <c r="C171" s="36" t="s">
        <v>212</v>
      </c>
      <c r="D171" s="36"/>
      <c r="E171" s="38">
        <v>3923324.9999999995</v>
      </c>
      <c r="F171" s="40">
        <f>VLOOKUP(A171,'DATOS GENERALES'!A:B,2,0)</f>
        <v>1.61</v>
      </c>
      <c r="G171" s="36">
        <f t="shared" si="10"/>
        <v>1.6025940000000001</v>
      </c>
      <c r="H171" s="38">
        <f t="shared" si="11"/>
        <v>2448109.1280761063</v>
      </c>
      <c r="I171" s="38">
        <f t="shared" si="12"/>
        <v>1475215.8719238932</v>
      </c>
      <c r="J171" s="38" t="s">
        <v>213</v>
      </c>
      <c r="K171" s="38" t="str">
        <f t="shared" si="13"/>
        <v/>
      </c>
      <c r="L171" s="41">
        <f>VLOOKUP(INDICADORES!$B$21,'DATOS GENERALES'!$K:$M,3,0)*E171</f>
        <v>26702.253099037127</v>
      </c>
      <c r="M171" s="38" t="str">
        <f t="shared" si="14"/>
        <v/>
      </c>
      <c r="N171" s="36"/>
      <c r="O171" s="36"/>
      <c r="P171" s="36"/>
    </row>
    <row r="172" spans="1:16" x14ac:dyDescent="0.25">
      <c r="A172" s="36">
        <v>1860</v>
      </c>
      <c r="B172" s="37">
        <v>44378</v>
      </c>
      <c r="C172" s="36" t="s">
        <v>212</v>
      </c>
      <c r="D172" s="36"/>
      <c r="E172" s="38">
        <v>3923324.9999999995</v>
      </c>
      <c r="F172" s="40">
        <f>VLOOKUP(A172,'DATOS GENERALES'!A:B,2,0)</f>
        <v>1.61</v>
      </c>
      <c r="G172" s="36">
        <f t="shared" si="10"/>
        <v>1.6025940000000001</v>
      </c>
      <c r="H172" s="38">
        <f t="shared" si="11"/>
        <v>2448109.1280761063</v>
      </c>
      <c r="I172" s="38">
        <f t="shared" si="12"/>
        <v>1475215.8719238932</v>
      </c>
      <c r="J172" s="38" t="s">
        <v>213</v>
      </c>
      <c r="K172" s="38" t="str">
        <f t="shared" si="13"/>
        <v/>
      </c>
      <c r="L172" s="41">
        <f>VLOOKUP(INDICADORES!$B$21,'DATOS GENERALES'!$K:$M,3,0)*E172</f>
        <v>26702.253099037127</v>
      </c>
      <c r="M172" s="38" t="str">
        <f t="shared" si="14"/>
        <v/>
      </c>
      <c r="N172" s="36"/>
      <c r="O172" s="36"/>
      <c r="P172" s="36"/>
    </row>
    <row r="173" spans="1:16" x14ac:dyDescent="0.25">
      <c r="A173" s="36">
        <v>1861</v>
      </c>
      <c r="B173" s="37">
        <v>43466</v>
      </c>
      <c r="C173" s="36" t="s">
        <v>212</v>
      </c>
      <c r="D173" s="36"/>
      <c r="E173" s="38">
        <v>195728607.46069998</v>
      </c>
      <c r="F173" s="40">
        <f>VLOOKUP(A173,'DATOS GENERALES'!A:B,2,0)</f>
        <v>2.2200000000000002</v>
      </c>
      <c r="G173" s="36">
        <f t="shared" si="10"/>
        <v>2.2097880000000001</v>
      </c>
      <c r="H173" s="38">
        <f t="shared" si="11"/>
        <v>88573477.392718196</v>
      </c>
      <c r="I173" s="38">
        <f t="shared" si="12"/>
        <v>107155130.06798178</v>
      </c>
      <c r="J173" s="38">
        <v>19434645.79994132</v>
      </c>
      <c r="K173" s="38">
        <f t="shared" si="13"/>
        <v>87720484.268040463</v>
      </c>
      <c r="L173" s="41">
        <f>VLOOKUP(INDICADORES!$B$21,'DATOS GENERALES'!$K:$M,3,0)*E173</f>
        <v>1332134.0483232201</v>
      </c>
      <c r="M173" s="38">
        <f t="shared" si="14"/>
        <v>86388350.219717249</v>
      </c>
      <c r="N173" s="36"/>
      <c r="O173" s="36"/>
      <c r="P173" s="36"/>
    </row>
    <row r="174" spans="1:16" x14ac:dyDescent="0.25">
      <c r="A174" s="36">
        <v>1861</v>
      </c>
      <c r="B174" s="37">
        <v>43497</v>
      </c>
      <c r="C174" s="36" t="s">
        <v>212</v>
      </c>
      <c r="D174" s="36"/>
      <c r="E174" s="38">
        <v>195728607.46069998</v>
      </c>
      <c r="F174" s="40">
        <f>VLOOKUP(A174,'DATOS GENERALES'!A:B,2,0)</f>
        <v>2.2200000000000002</v>
      </c>
      <c r="G174" s="36">
        <f t="shared" si="10"/>
        <v>2.2097880000000001</v>
      </c>
      <c r="H174" s="38">
        <f t="shared" si="11"/>
        <v>88573477.392718196</v>
      </c>
      <c r="I174" s="38">
        <f t="shared" si="12"/>
        <v>107155130.06798178</v>
      </c>
      <c r="J174" s="38">
        <v>19145852.213183776</v>
      </c>
      <c r="K174" s="38">
        <f t="shared" si="13"/>
        <v>88009277.854798004</v>
      </c>
      <c r="L174" s="41">
        <f>VLOOKUP(INDICADORES!$B$21,'DATOS GENERALES'!$K:$M,3,0)*E174</f>
        <v>1332134.0483232201</v>
      </c>
      <c r="M174" s="38">
        <f t="shared" si="14"/>
        <v>86677143.80647479</v>
      </c>
      <c r="N174" s="36"/>
      <c r="O174" s="36"/>
      <c r="P174" s="36"/>
    </row>
    <row r="175" spans="1:16" x14ac:dyDescent="0.25">
      <c r="A175" s="36">
        <v>1861</v>
      </c>
      <c r="B175" s="37">
        <v>43525</v>
      </c>
      <c r="C175" s="36" t="s">
        <v>212</v>
      </c>
      <c r="D175" s="36"/>
      <c r="E175" s="38">
        <v>195728607.46069998</v>
      </c>
      <c r="F175" s="40">
        <f>VLOOKUP(A175,'DATOS GENERALES'!A:B,2,0)</f>
        <v>2.2200000000000002</v>
      </c>
      <c r="G175" s="36">
        <f t="shared" si="10"/>
        <v>2.2097880000000001</v>
      </c>
      <c r="H175" s="38">
        <f t="shared" si="11"/>
        <v>88573477.392718196</v>
      </c>
      <c r="I175" s="38">
        <f t="shared" si="12"/>
        <v>107155130.06798178</v>
      </c>
      <c r="J175" s="38">
        <v>13851786.612763651</v>
      </c>
      <c r="K175" s="38">
        <f t="shared" si="13"/>
        <v>93303343.455218136</v>
      </c>
      <c r="L175" s="41">
        <f>VLOOKUP(INDICADORES!$B$21,'DATOS GENERALES'!$K:$M,3,0)*E175</f>
        <v>1332134.0483232201</v>
      </c>
      <c r="M175" s="38">
        <f t="shared" si="14"/>
        <v>91971209.406894922</v>
      </c>
      <c r="N175" s="36"/>
      <c r="O175" s="36"/>
      <c r="P175" s="36"/>
    </row>
    <row r="176" spans="1:16" x14ac:dyDescent="0.25">
      <c r="A176" s="36">
        <v>1861</v>
      </c>
      <c r="B176" s="37">
        <v>43556</v>
      </c>
      <c r="C176" s="36" t="s">
        <v>212</v>
      </c>
      <c r="D176" s="36"/>
      <c r="E176" s="38">
        <v>131698607.46069999</v>
      </c>
      <c r="F176" s="40">
        <f>VLOOKUP(A176,'DATOS GENERALES'!A:B,2,0)</f>
        <v>2.2200000000000002</v>
      </c>
      <c r="G176" s="36">
        <f t="shared" si="10"/>
        <v>2.2097880000000001</v>
      </c>
      <c r="H176" s="38">
        <f t="shared" si="11"/>
        <v>59597847.151265182</v>
      </c>
      <c r="I176" s="38">
        <f t="shared" si="12"/>
        <v>72100760.309434801</v>
      </c>
      <c r="J176" s="38">
        <v>9582032.1388600152</v>
      </c>
      <c r="K176" s="38">
        <f t="shared" si="13"/>
        <v>62518728.170574784</v>
      </c>
      <c r="L176" s="41">
        <f>VLOOKUP(INDICADORES!$B$21,'DATOS GENERALES'!$K:$M,3,0)*E176</f>
        <v>896344.18489580916</v>
      </c>
      <c r="M176" s="38">
        <f t="shared" si="14"/>
        <v>61622383.985678978</v>
      </c>
      <c r="N176" s="36"/>
      <c r="O176" s="36"/>
      <c r="P176" s="36"/>
    </row>
    <row r="177" spans="1:16" x14ac:dyDescent="0.25">
      <c r="A177" s="36">
        <v>1861</v>
      </c>
      <c r="B177" s="37">
        <v>43586</v>
      </c>
      <c r="C177" s="36" t="s">
        <v>212</v>
      </c>
      <c r="D177" s="36"/>
      <c r="E177" s="38">
        <v>131698607.46069999</v>
      </c>
      <c r="F177" s="40">
        <f>VLOOKUP(A177,'DATOS GENERALES'!A:B,2,0)</f>
        <v>2.2200000000000002</v>
      </c>
      <c r="G177" s="36">
        <f t="shared" si="10"/>
        <v>2.2097880000000001</v>
      </c>
      <c r="H177" s="38">
        <f t="shared" si="11"/>
        <v>59597847.151265182</v>
      </c>
      <c r="I177" s="38">
        <f t="shared" si="12"/>
        <v>72100760.309434801</v>
      </c>
      <c r="J177" s="38">
        <v>7904506.4004531894</v>
      </c>
      <c r="K177" s="38">
        <f t="shared" si="13"/>
        <v>64196253.908981614</v>
      </c>
      <c r="L177" s="41">
        <f>VLOOKUP(INDICADORES!$B$21,'DATOS GENERALES'!$K:$M,3,0)*E177</f>
        <v>896344.18489580916</v>
      </c>
      <c r="M177" s="38">
        <f t="shared" si="14"/>
        <v>63299909.724085808</v>
      </c>
      <c r="N177" s="36"/>
      <c r="O177" s="36"/>
      <c r="P177" s="36"/>
    </row>
    <row r="178" spans="1:16" x14ac:dyDescent="0.25">
      <c r="A178" s="36">
        <v>1861</v>
      </c>
      <c r="B178" s="37">
        <v>43617</v>
      </c>
      <c r="C178" s="36" t="s">
        <v>212</v>
      </c>
      <c r="D178" s="36"/>
      <c r="E178" s="38">
        <v>131698607.46069999</v>
      </c>
      <c r="F178" s="40">
        <f>VLOOKUP(A178,'DATOS GENERALES'!A:B,2,0)</f>
        <v>2.2200000000000002</v>
      </c>
      <c r="G178" s="36">
        <f t="shared" si="10"/>
        <v>2.2097880000000001</v>
      </c>
      <c r="H178" s="38">
        <f t="shared" si="11"/>
        <v>59597847.151265182</v>
      </c>
      <c r="I178" s="38">
        <f t="shared" si="12"/>
        <v>72100760.309434801</v>
      </c>
      <c r="J178" s="38">
        <v>8878352.5279431026</v>
      </c>
      <c r="K178" s="38">
        <f t="shared" si="13"/>
        <v>63222407.781491697</v>
      </c>
      <c r="L178" s="41">
        <f>VLOOKUP(INDICADORES!$B$21,'DATOS GENERALES'!$K:$M,3,0)*E178</f>
        <v>896344.18489580916</v>
      </c>
      <c r="M178" s="38">
        <f t="shared" si="14"/>
        <v>62326063.596595891</v>
      </c>
      <c r="N178" s="36"/>
      <c r="O178" s="36"/>
      <c r="P178" s="36"/>
    </row>
    <row r="179" spans="1:16" x14ac:dyDescent="0.25">
      <c r="A179" s="36">
        <v>1861</v>
      </c>
      <c r="B179" s="37">
        <v>43647</v>
      </c>
      <c r="C179" s="36" t="s">
        <v>212</v>
      </c>
      <c r="D179" s="36"/>
      <c r="E179" s="38">
        <v>131698607.46069999</v>
      </c>
      <c r="F179" s="40">
        <f>VLOOKUP(A179,'DATOS GENERALES'!A:B,2,0)</f>
        <v>2.2200000000000002</v>
      </c>
      <c r="G179" s="36">
        <f t="shared" si="10"/>
        <v>2.2097880000000001</v>
      </c>
      <c r="H179" s="38">
        <f t="shared" si="11"/>
        <v>59597847.151265182</v>
      </c>
      <c r="I179" s="38">
        <f t="shared" si="12"/>
        <v>72100760.309434801</v>
      </c>
      <c r="J179" s="38">
        <v>15417416.276340617</v>
      </c>
      <c r="K179" s="38">
        <f t="shared" si="13"/>
        <v>56683344.033094183</v>
      </c>
      <c r="L179" s="41">
        <f>VLOOKUP(INDICADORES!$B$21,'DATOS GENERALES'!$K:$M,3,0)*E179</f>
        <v>896344.18489580916</v>
      </c>
      <c r="M179" s="38">
        <f t="shared" si="14"/>
        <v>55786999.848198377</v>
      </c>
      <c r="N179" s="36"/>
      <c r="O179" s="36"/>
      <c r="P179" s="36"/>
    </row>
    <row r="180" spans="1:16" x14ac:dyDescent="0.25">
      <c r="A180" s="36">
        <v>1861</v>
      </c>
      <c r="B180" s="37">
        <v>43678</v>
      </c>
      <c r="C180" s="36" t="s">
        <v>212</v>
      </c>
      <c r="D180" s="36"/>
      <c r="E180" s="38">
        <v>131698607.46069999</v>
      </c>
      <c r="F180" s="40">
        <f>VLOOKUP(A180,'DATOS GENERALES'!A:B,2,0)</f>
        <v>2.2200000000000002</v>
      </c>
      <c r="G180" s="36">
        <f t="shared" si="10"/>
        <v>2.2097880000000001</v>
      </c>
      <c r="H180" s="38">
        <f t="shared" si="11"/>
        <v>59597847.151265182</v>
      </c>
      <c r="I180" s="38">
        <f t="shared" si="12"/>
        <v>72100760.309434801</v>
      </c>
      <c r="J180" s="38">
        <v>15481577.81537704</v>
      </c>
      <c r="K180" s="38">
        <f t="shared" si="13"/>
        <v>56619182.49405776</v>
      </c>
      <c r="L180" s="41">
        <f>VLOOKUP(INDICADORES!$B$21,'DATOS GENERALES'!$K:$M,3,0)*E180</f>
        <v>896344.18489580916</v>
      </c>
      <c r="M180" s="38">
        <f t="shared" si="14"/>
        <v>55722838.309161954</v>
      </c>
      <c r="N180" s="36"/>
      <c r="O180" s="36"/>
      <c r="P180" s="36"/>
    </row>
    <row r="181" spans="1:16" x14ac:dyDescent="0.25">
      <c r="A181" s="36">
        <v>1861</v>
      </c>
      <c r="B181" s="37">
        <v>43709</v>
      </c>
      <c r="C181" s="36" t="s">
        <v>212</v>
      </c>
      <c r="D181" s="36"/>
      <c r="E181" s="38">
        <v>131698607.46069999</v>
      </c>
      <c r="F181" s="40">
        <f>VLOOKUP(A181,'DATOS GENERALES'!A:B,2,0)</f>
        <v>2.2200000000000002</v>
      </c>
      <c r="G181" s="36">
        <f t="shared" si="10"/>
        <v>2.2097880000000001</v>
      </c>
      <c r="H181" s="38">
        <f t="shared" si="11"/>
        <v>59597847.151265182</v>
      </c>
      <c r="I181" s="38">
        <f t="shared" si="12"/>
        <v>72100760.309434801</v>
      </c>
      <c r="J181" s="38">
        <v>17087965.407186598</v>
      </c>
      <c r="K181" s="38">
        <f t="shared" si="13"/>
        <v>55012794.902248204</v>
      </c>
      <c r="L181" s="41">
        <f>VLOOKUP(INDICADORES!$B$21,'DATOS GENERALES'!$K:$M,3,0)*E181</f>
        <v>896344.18489580916</v>
      </c>
      <c r="M181" s="38">
        <f t="shared" si="14"/>
        <v>54116450.717352398</v>
      </c>
      <c r="N181" s="36"/>
      <c r="O181" s="36"/>
      <c r="P181" s="36"/>
    </row>
    <row r="182" spans="1:16" x14ac:dyDescent="0.25">
      <c r="A182" s="36">
        <v>1861</v>
      </c>
      <c r="B182" s="37">
        <v>43739</v>
      </c>
      <c r="C182" s="36" t="s">
        <v>212</v>
      </c>
      <c r="D182" s="36"/>
      <c r="E182" s="38">
        <v>131698607.46069999</v>
      </c>
      <c r="F182" s="40">
        <f>VLOOKUP(A182,'DATOS GENERALES'!A:B,2,0)</f>
        <v>2.2200000000000002</v>
      </c>
      <c r="G182" s="36">
        <f t="shared" si="10"/>
        <v>2.2097880000000001</v>
      </c>
      <c r="H182" s="38">
        <f t="shared" si="11"/>
        <v>59597847.151265182</v>
      </c>
      <c r="I182" s="38">
        <f t="shared" si="12"/>
        <v>72100760.309434801</v>
      </c>
      <c r="J182" s="38">
        <v>18544599.370895635</v>
      </c>
      <c r="K182" s="38">
        <f t="shared" si="13"/>
        <v>53556160.938539162</v>
      </c>
      <c r="L182" s="41">
        <f>VLOOKUP(INDICADORES!$B$21,'DATOS GENERALES'!$K:$M,3,0)*E182</f>
        <v>896344.18489580916</v>
      </c>
      <c r="M182" s="38">
        <f t="shared" si="14"/>
        <v>52659816.753643356</v>
      </c>
      <c r="N182" s="36"/>
      <c r="O182" s="36"/>
      <c r="P182" s="36"/>
    </row>
    <row r="183" spans="1:16" x14ac:dyDescent="0.25">
      <c r="A183" s="36">
        <v>1861</v>
      </c>
      <c r="B183" s="37">
        <v>43770</v>
      </c>
      <c r="C183" s="36" t="s">
        <v>212</v>
      </c>
      <c r="D183" s="36"/>
      <c r="E183" s="38">
        <v>131698607.46069999</v>
      </c>
      <c r="F183" s="40">
        <f>VLOOKUP(A183,'DATOS GENERALES'!A:B,2,0)</f>
        <v>2.2200000000000002</v>
      </c>
      <c r="G183" s="36">
        <f t="shared" si="10"/>
        <v>2.2097880000000001</v>
      </c>
      <c r="H183" s="38">
        <f t="shared" si="11"/>
        <v>59597847.151265182</v>
      </c>
      <c r="I183" s="38">
        <f t="shared" si="12"/>
        <v>72100760.309434801</v>
      </c>
      <c r="J183" s="38">
        <v>24336012.543684129</v>
      </c>
      <c r="K183" s="38">
        <f t="shared" si="13"/>
        <v>47764747.765750676</v>
      </c>
      <c r="L183" s="41">
        <f>VLOOKUP(INDICADORES!$B$21,'DATOS GENERALES'!$K:$M,3,0)*E183</f>
        <v>896344.18489580916</v>
      </c>
      <c r="M183" s="38">
        <f t="shared" si="14"/>
        <v>46868403.58085487</v>
      </c>
      <c r="N183" s="36"/>
      <c r="O183" s="36"/>
      <c r="P183" s="36"/>
    </row>
    <row r="184" spans="1:16" x14ac:dyDescent="0.25">
      <c r="A184" s="36">
        <v>1861</v>
      </c>
      <c r="B184" s="37">
        <v>43800</v>
      </c>
      <c r="C184" s="36" t="s">
        <v>212</v>
      </c>
      <c r="D184" s="36"/>
      <c r="E184" s="38">
        <v>131698607.46069999</v>
      </c>
      <c r="F184" s="40">
        <f>VLOOKUP(A184,'DATOS GENERALES'!A:B,2,0)</f>
        <v>2.2200000000000002</v>
      </c>
      <c r="G184" s="36">
        <f t="shared" si="10"/>
        <v>2.2097880000000001</v>
      </c>
      <c r="H184" s="38">
        <f t="shared" si="11"/>
        <v>59597847.151265182</v>
      </c>
      <c r="I184" s="38">
        <f t="shared" si="12"/>
        <v>72100760.309434801</v>
      </c>
      <c r="J184" s="38">
        <v>20991016.248943992</v>
      </c>
      <c r="K184" s="38">
        <f t="shared" si="13"/>
        <v>51109744.060490809</v>
      </c>
      <c r="L184" s="41">
        <f>VLOOKUP(INDICADORES!$B$21,'DATOS GENERALES'!$K:$M,3,0)*E184</f>
        <v>896344.18489580916</v>
      </c>
      <c r="M184" s="38">
        <f t="shared" si="14"/>
        <v>50213399.875595003</v>
      </c>
      <c r="N184" s="36"/>
      <c r="O184" s="36"/>
      <c r="P184" s="36"/>
    </row>
    <row r="185" spans="1:16" x14ac:dyDescent="0.25">
      <c r="A185" s="36">
        <v>1861</v>
      </c>
      <c r="B185" s="37">
        <v>43831</v>
      </c>
      <c r="C185" s="36" t="s">
        <v>212</v>
      </c>
      <c r="D185" s="36"/>
      <c r="E185" s="38">
        <v>127335452.6857</v>
      </c>
      <c r="F185" s="40">
        <f>VLOOKUP(A185,'DATOS GENERALES'!A:B,2,0)</f>
        <v>2.2200000000000002</v>
      </c>
      <c r="G185" s="36">
        <f t="shared" si="10"/>
        <v>2.2097880000000001</v>
      </c>
      <c r="H185" s="38">
        <f t="shared" si="11"/>
        <v>57623379.566591904</v>
      </c>
      <c r="I185" s="38">
        <f t="shared" si="12"/>
        <v>69712073.119108096</v>
      </c>
      <c r="J185" s="38" t="s">
        <v>213</v>
      </c>
      <c r="K185" s="38" t="str">
        <f t="shared" si="13"/>
        <v/>
      </c>
      <c r="L185" s="41">
        <f>VLOOKUP(INDICADORES!$B$21,'DATOS GENERALES'!$K:$M,3,0)*E185</f>
        <v>866648.4387844567</v>
      </c>
      <c r="M185" s="38" t="str">
        <f t="shared" si="14"/>
        <v/>
      </c>
      <c r="N185" s="36"/>
      <c r="O185" s="36"/>
      <c r="P185" s="36"/>
    </row>
    <row r="186" spans="1:16" x14ac:dyDescent="0.25">
      <c r="A186" s="36">
        <v>1861</v>
      </c>
      <c r="B186" s="37">
        <v>43862</v>
      </c>
      <c r="C186" s="36" t="s">
        <v>212</v>
      </c>
      <c r="D186" s="36"/>
      <c r="E186" s="38">
        <v>127335452.6857</v>
      </c>
      <c r="F186" s="40">
        <f>VLOOKUP(A186,'DATOS GENERALES'!A:B,2,0)</f>
        <v>2.2200000000000002</v>
      </c>
      <c r="G186" s="36">
        <f t="shared" si="10"/>
        <v>2.2097880000000001</v>
      </c>
      <c r="H186" s="38">
        <f t="shared" si="11"/>
        <v>57623379.566591904</v>
      </c>
      <c r="I186" s="38">
        <f t="shared" si="12"/>
        <v>69712073.119108096</v>
      </c>
      <c r="J186" s="38" t="s">
        <v>213</v>
      </c>
      <c r="K186" s="38" t="str">
        <f t="shared" si="13"/>
        <v/>
      </c>
      <c r="L186" s="41">
        <f>VLOOKUP(INDICADORES!$B$21,'DATOS GENERALES'!$K:$M,3,0)*E186</f>
        <v>866648.4387844567</v>
      </c>
      <c r="M186" s="38" t="str">
        <f t="shared" si="14"/>
        <v/>
      </c>
      <c r="N186" s="36"/>
      <c r="O186" s="36"/>
      <c r="P186" s="36"/>
    </row>
    <row r="187" spans="1:16" x14ac:dyDescent="0.25">
      <c r="A187" s="36">
        <v>1861</v>
      </c>
      <c r="B187" s="37">
        <v>43891</v>
      </c>
      <c r="C187" s="36" t="s">
        <v>212</v>
      </c>
      <c r="D187" s="36"/>
      <c r="E187" s="38">
        <v>127335452.6857</v>
      </c>
      <c r="F187" s="40">
        <f>VLOOKUP(A187,'DATOS GENERALES'!A:B,2,0)</f>
        <v>2.2200000000000002</v>
      </c>
      <c r="G187" s="36">
        <f t="shared" si="10"/>
        <v>2.2097880000000001</v>
      </c>
      <c r="H187" s="38">
        <f t="shared" si="11"/>
        <v>57623379.566591904</v>
      </c>
      <c r="I187" s="38">
        <f t="shared" si="12"/>
        <v>69712073.119108096</v>
      </c>
      <c r="J187" s="38" t="s">
        <v>213</v>
      </c>
      <c r="K187" s="38" t="str">
        <f t="shared" si="13"/>
        <v/>
      </c>
      <c r="L187" s="41">
        <f>VLOOKUP(INDICADORES!$B$21,'DATOS GENERALES'!$K:$M,3,0)*E187</f>
        <v>866648.4387844567</v>
      </c>
      <c r="M187" s="38" t="str">
        <f t="shared" si="14"/>
        <v/>
      </c>
      <c r="N187" s="36"/>
      <c r="O187" s="36"/>
      <c r="P187" s="36"/>
    </row>
    <row r="188" spans="1:16" x14ac:dyDescent="0.25">
      <c r="A188" s="36">
        <v>1861</v>
      </c>
      <c r="B188" s="37">
        <v>43922</v>
      </c>
      <c r="C188" s="36" t="s">
        <v>212</v>
      </c>
      <c r="D188" s="36"/>
      <c r="E188" s="38">
        <v>127335452.6857</v>
      </c>
      <c r="F188" s="40">
        <f>VLOOKUP(A188,'DATOS GENERALES'!A:B,2,0)</f>
        <v>2.2200000000000002</v>
      </c>
      <c r="G188" s="36">
        <f t="shared" si="10"/>
        <v>2.2097880000000001</v>
      </c>
      <c r="H188" s="38">
        <f t="shared" si="11"/>
        <v>57623379.566591904</v>
      </c>
      <c r="I188" s="38">
        <f t="shared" si="12"/>
        <v>69712073.119108096</v>
      </c>
      <c r="J188" s="38" t="s">
        <v>213</v>
      </c>
      <c r="K188" s="38" t="str">
        <f t="shared" si="13"/>
        <v/>
      </c>
      <c r="L188" s="41">
        <f>VLOOKUP(INDICADORES!$B$21,'DATOS GENERALES'!$K:$M,3,0)*E188</f>
        <v>866648.4387844567</v>
      </c>
      <c r="M188" s="38" t="str">
        <f t="shared" si="14"/>
        <v/>
      </c>
      <c r="N188" s="36"/>
      <c r="O188" s="36"/>
      <c r="P188" s="36"/>
    </row>
    <row r="189" spans="1:16" x14ac:dyDescent="0.25">
      <c r="A189" s="36">
        <v>1861</v>
      </c>
      <c r="B189" s="37">
        <v>43952</v>
      </c>
      <c r="C189" s="36" t="s">
        <v>212</v>
      </c>
      <c r="D189" s="36"/>
      <c r="E189" s="38">
        <v>127335452.6857</v>
      </c>
      <c r="F189" s="40">
        <f>VLOOKUP(A189,'DATOS GENERALES'!A:B,2,0)</f>
        <v>2.2200000000000002</v>
      </c>
      <c r="G189" s="36">
        <f t="shared" si="10"/>
        <v>2.2097880000000001</v>
      </c>
      <c r="H189" s="38">
        <f t="shared" si="11"/>
        <v>57623379.566591904</v>
      </c>
      <c r="I189" s="38">
        <f t="shared" si="12"/>
        <v>69712073.119108096</v>
      </c>
      <c r="J189" s="38" t="s">
        <v>213</v>
      </c>
      <c r="K189" s="38" t="str">
        <f t="shared" si="13"/>
        <v/>
      </c>
      <c r="L189" s="41">
        <f>VLOOKUP(INDICADORES!$B$21,'DATOS GENERALES'!$K:$M,3,0)*E189</f>
        <v>866648.4387844567</v>
      </c>
      <c r="M189" s="38" t="str">
        <f t="shared" si="14"/>
        <v/>
      </c>
      <c r="N189" s="36"/>
      <c r="O189" s="36"/>
      <c r="P189" s="36"/>
    </row>
    <row r="190" spans="1:16" x14ac:dyDescent="0.25">
      <c r="A190" s="36">
        <v>1861</v>
      </c>
      <c r="B190" s="37">
        <v>43983</v>
      </c>
      <c r="C190" s="36" t="s">
        <v>212</v>
      </c>
      <c r="D190" s="36"/>
      <c r="E190" s="38">
        <v>115277855.6902</v>
      </c>
      <c r="F190" s="40">
        <f>VLOOKUP(A190,'DATOS GENERALES'!A:B,2,0)</f>
        <v>2.2200000000000002</v>
      </c>
      <c r="G190" s="36">
        <f t="shared" si="10"/>
        <v>2.2097880000000001</v>
      </c>
      <c r="H190" s="38">
        <f t="shared" si="11"/>
        <v>52166929.900153317</v>
      </c>
      <c r="I190" s="38">
        <f t="shared" si="12"/>
        <v>63110925.790046684</v>
      </c>
      <c r="J190" s="38" t="s">
        <v>213</v>
      </c>
      <c r="K190" s="38" t="str">
        <f t="shared" si="13"/>
        <v/>
      </c>
      <c r="L190" s="41">
        <f>VLOOKUP(INDICADORES!$B$21,'DATOS GENERALES'!$K:$M,3,0)*E190</f>
        <v>784584.11662403645</v>
      </c>
      <c r="M190" s="38" t="str">
        <f t="shared" si="14"/>
        <v/>
      </c>
      <c r="N190" s="36"/>
      <c r="O190" s="36"/>
      <c r="P190" s="36"/>
    </row>
    <row r="191" spans="1:16" x14ac:dyDescent="0.25">
      <c r="A191" s="36">
        <v>1861</v>
      </c>
      <c r="B191" s="37">
        <v>44013</v>
      </c>
      <c r="C191" s="36" t="s">
        <v>212</v>
      </c>
      <c r="D191" s="36"/>
      <c r="E191" s="38">
        <v>115277855.6902</v>
      </c>
      <c r="F191" s="40">
        <f>VLOOKUP(A191,'DATOS GENERALES'!A:B,2,0)</f>
        <v>2.2200000000000002</v>
      </c>
      <c r="G191" s="36">
        <f t="shared" si="10"/>
        <v>2.2097880000000001</v>
      </c>
      <c r="H191" s="38">
        <f t="shared" si="11"/>
        <v>52166929.900153317</v>
      </c>
      <c r="I191" s="38">
        <f t="shared" si="12"/>
        <v>63110925.790046684</v>
      </c>
      <c r="J191" s="38" t="s">
        <v>213</v>
      </c>
      <c r="K191" s="38" t="str">
        <f t="shared" si="13"/>
        <v/>
      </c>
      <c r="L191" s="41">
        <f>VLOOKUP(INDICADORES!$B$21,'DATOS GENERALES'!$K:$M,3,0)*E191</f>
        <v>784584.11662403645</v>
      </c>
      <c r="M191" s="38" t="str">
        <f t="shared" si="14"/>
        <v/>
      </c>
      <c r="N191" s="36"/>
      <c r="O191" s="36"/>
      <c r="P191" s="36"/>
    </row>
    <row r="192" spans="1:16" x14ac:dyDescent="0.25">
      <c r="A192" s="36">
        <v>1861</v>
      </c>
      <c r="B192" s="37">
        <v>44044</v>
      </c>
      <c r="C192" s="36" t="s">
        <v>212</v>
      </c>
      <c r="D192" s="36"/>
      <c r="E192" s="38">
        <v>109546785.0652</v>
      </c>
      <c r="F192" s="40">
        <f>VLOOKUP(A192,'DATOS GENERALES'!A:B,2,0)</f>
        <v>2.2200000000000002</v>
      </c>
      <c r="G192" s="36">
        <f t="shared" si="10"/>
        <v>2.2097880000000001</v>
      </c>
      <c r="H192" s="38">
        <f t="shared" si="11"/>
        <v>49573436.485852942</v>
      </c>
      <c r="I192" s="38">
        <f t="shared" si="12"/>
        <v>59973348.579347059</v>
      </c>
      <c r="J192" s="38" t="s">
        <v>213</v>
      </c>
      <c r="K192" s="38" t="str">
        <f t="shared" si="13"/>
        <v/>
      </c>
      <c r="L192" s="41">
        <f>VLOOKUP(INDICADORES!$B$21,'DATOS GENERALES'!$K:$M,3,0)*E192</f>
        <v>745578.29927339463</v>
      </c>
      <c r="M192" s="38" t="str">
        <f t="shared" si="14"/>
        <v/>
      </c>
      <c r="N192" s="36"/>
      <c r="O192" s="36"/>
      <c r="P192" s="36"/>
    </row>
    <row r="193" spans="1:16" x14ac:dyDescent="0.25">
      <c r="A193" s="36">
        <v>1861</v>
      </c>
      <c r="B193" s="37">
        <v>44075</v>
      </c>
      <c r="C193" s="36" t="s">
        <v>212</v>
      </c>
      <c r="D193" s="36"/>
      <c r="E193" s="38">
        <v>103283498.605</v>
      </c>
      <c r="F193" s="40">
        <f>VLOOKUP(A193,'DATOS GENERALES'!A:B,2,0)</f>
        <v>2.2200000000000002</v>
      </c>
      <c r="G193" s="36">
        <f t="shared" si="10"/>
        <v>2.2097880000000001</v>
      </c>
      <c r="H193" s="38">
        <f t="shared" si="11"/>
        <v>46739098.323006548</v>
      </c>
      <c r="I193" s="38">
        <f t="shared" si="12"/>
        <v>56544400.281993456</v>
      </c>
      <c r="J193" s="38" t="s">
        <v>213</v>
      </c>
      <c r="K193" s="38" t="str">
        <f t="shared" si="13"/>
        <v/>
      </c>
      <c r="L193" s="41">
        <f>VLOOKUP(INDICADORES!$B$21,'DATOS GENERALES'!$K:$M,3,0)*E193</f>
        <v>702950.20695577306</v>
      </c>
      <c r="M193" s="38" t="str">
        <f t="shared" si="14"/>
        <v/>
      </c>
      <c r="N193" s="36"/>
      <c r="O193" s="36"/>
      <c r="P193" s="36"/>
    </row>
    <row r="194" spans="1:16" x14ac:dyDescent="0.25">
      <c r="A194" s="36">
        <v>1861</v>
      </c>
      <c r="B194" s="37">
        <v>44105</v>
      </c>
      <c r="C194" s="36" t="s">
        <v>212</v>
      </c>
      <c r="D194" s="36"/>
      <c r="E194" s="38">
        <v>92003446.254999995</v>
      </c>
      <c r="F194" s="40">
        <f>VLOOKUP(A194,'DATOS GENERALES'!A:B,2,0)</f>
        <v>2.2200000000000002</v>
      </c>
      <c r="G194" s="36">
        <f t="shared" si="10"/>
        <v>2.2097880000000001</v>
      </c>
      <c r="H194" s="38">
        <f t="shared" si="11"/>
        <v>41634512.566363826</v>
      </c>
      <c r="I194" s="38">
        <f t="shared" si="12"/>
        <v>50368933.688636169</v>
      </c>
      <c r="J194" s="38" t="s">
        <v>213</v>
      </c>
      <c r="K194" s="38" t="str">
        <f t="shared" si="13"/>
        <v/>
      </c>
      <c r="L194" s="41">
        <f>VLOOKUP(INDICADORES!$B$21,'DATOS GENERALES'!$K:$M,3,0)*E194</f>
        <v>626177.87409523036</v>
      </c>
      <c r="M194" s="38" t="str">
        <f t="shared" si="14"/>
        <v/>
      </c>
      <c r="N194" s="36"/>
      <c r="O194" s="36"/>
      <c r="P194" s="36"/>
    </row>
    <row r="195" spans="1:16" x14ac:dyDescent="0.25">
      <c r="A195" s="36">
        <v>1861</v>
      </c>
      <c r="B195" s="37">
        <v>44136</v>
      </c>
      <c r="C195" s="36" t="s">
        <v>212</v>
      </c>
      <c r="D195" s="36"/>
      <c r="E195" s="38">
        <v>92003446.254999995</v>
      </c>
      <c r="F195" s="40">
        <f>VLOOKUP(A195,'DATOS GENERALES'!A:B,2,0)</f>
        <v>2.2200000000000002</v>
      </c>
      <c r="G195" s="36">
        <f t="shared" ref="G195:G258" si="15">F195*0.9954</f>
        <v>2.2097880000000001</v>
      </c>
      <c r="H195" s="38">
        <f t="shared" ref="H195:H258" si="16">E195/G195</f>
        <v>41634512.566363826</v>
      </c>
      <c r="I195" s="38">
        <f t="shared" ref="I195:I258" si="17">E195-H195</f>
        <v>50368933.688636169</v>
      </c>
      <c r="J195" s="38" t="s">
        <v>213</v>
      </c>
      <c r="K195" s="38" t="str">
        <f t="shared" ref="K195:K258" si="18">IFERROR(I195-J195,"")</f>
        <v/>
      </c>
      <c r="L195" s="41">
        <f>VLOOKUP(INDICADORES!$B$21,'DATOS GENERALES'!$K:$M,3,0)*E195</f>
        <v>626177.87409523036</v>
      </c>
      <c r="M195" s="38" t="str">
        <f t="shared" ref="M195:M258" si="19">IFERROR(K195-L195,"")</f>
        <v/>
      </c>
      <c r="N195" s="36"/>
      <c r="O195" s="36"/>
      <c r="P195" s="36"/>
    </row>
    <row r="196" spans="1:16" x14ac:dyDescent="0.25">
      <c r="A196" s="36">
        <v>1861</v>
      </c>
      <c r="B196" s="37">
        <v>44166</v>
      </c>
      <c r="C196" s="36" t="s">
        <v>212</v>
      </c>
      <c r="D196" s="36"/>
      <c r="E196" s="38">
        <v>54343675.75</v>
      </c>
      <c r="F196" s="40">
        <f>VLOOKUP(A196,'DATOS GENERALES'!A:B,2,0)</f>
        <v>2.2200000000000002</v>
      </c>
      <c r="G196" s="36">
        <f t="shared" si="15"/>
        <v>2.2097880000000001</v>
      </c>
      <c r="H196" s="38">
        <f t="shared" si="16"/>
        <v>24592257.605706971</v>
      </c>
      <c r="I196" s="38">
        <f t="shared" si="17"/>
        <v>29751418.144293029</v>
      </c>
      <c r="J196" s="38" t="s">
        <v>213</v>
      </c>
      <c r="K196" s="38" t="str">
        <f t="shared" si="18"/>
        <v/>
      </c>
      <c r="L196" s="41">
        <f>VLOOKUP(INDICADORES!$B$21,'DATOS GENERALES'!$K:$M,3,0)*E196</f>
        <v>369864.48591653927</v>
      </c>
      <c r="M196" s="38" t="str">
        <f t="shared" si="19"/>
        <v/>
      </c>
      <c r="N196" s="36"/>
      <c r="O196" s="36"/>
      <c r="P196" s="36"/>
    </row>
    <row r="197" spans="1:16" x14ac:dyDescent="0.25">
      <c r="A197" s="36">
        <v>1873</v>
      </c>
      <c r="B197" s="37">
        <v>43466</v>
      </c>
      <c r="C197" s="36" t="s">
        <v>212</v>
      </c>
      <c r="D197" s="36"/>
      <c r="E197" s="38">
        <v>23358981.669500001</v>
      </c>
      <c r="F197" s="40">
        <f>VLOOKUP(A197,'DATOS GENERALES'!A:B,2,0)</f>
        <v>1.83</v>
      </c>
      <c r="G197" s="36">
        <f t="shared" si="15"/>
        <v>1.821582</v>
      </c>
      <c r="H197" s="38">
        <f t="shared" si="16"/>
        <v>12823458.767982995</v>
      </c>
      <c r="I197" s="38">
        <f t="shared" si="17"/>
        <v>10535522.901517006</v>
      </c>
      <c r="J197" s="38">
        <v>2813702.0970838638</v>
      </c>
      <c r="K197" s="38">
        <f t="shared" si="18"/>
        <v>7721820.8044331418</v>
      </c>
      <c r="L197" s="41">
        <f>VLOOKUP(INDICADORES!$B$21,'DATOS GENERALES'!$K:$M,3,0)*E197</f>
        <v>158981.84337895989</v>
      </c>
      <c r="M197" s="38">
        <f t="shared" si="19"/>
        <v>7562838.9610541817</v>
      </c>
      <c r="N197" s="36"/>
      <c r="O197" s="36"/>
      <c r="P197" s="36"/>
    </row>
    <row r="198" spans="1:16" x14ac:dyDescent="0.25">
      <c r="A198" s="36">
        <v>1873</v>
      </c>
      <c r="B198" s="37">
        <v>43497</v>
      </c>
      <c r="C198" s="36" t="s">
        <v>212</v>
      </c>
      <c r="D198" s="36"/>
      <c r="E198" s="38">
        <v>23358981.669500001</v>
      </c>
      <c r="F198" s="40">
        <f>VLOOKUP(A198,'DATOS GENERALES'!A:B,2,0)</f>
        <v>1.83</v>
      </c>
      <c r="G198" s="36">
        <f t="shared" si="15"/>
        <v>1.821582</v>
      </c>
      <c r="H198" s="38">
        <f t="shared" si="16"/>
        <v>12823458.767982995</v>
      </c>
      <c r="I198" s="38">
        <f t="shared" si="17"/>
        <v>10535522.901517006</v>
      </c>
      <c r="J198" s="38">
        <v>2771891.2439791202</v>
      </c>
      <c r="K198" s="38">
        <f t="shared" si="18"/>
        <v>7763631.657537885</v>
      </c>
      <c r="L198" s="41">
        <f>VLOOKUP(INDICADORES!$B$21,'DATOS GENERALES'!$K:$M,3,0)*E198</f>
        <v>158981.84337895989</v>
      </c>
      <c r="M198" s="38">
        <f t="shared" si="19"/>
        <v>7604649.8141589249</v>
      </c>
      <c r="N198" s="36"/>
      <c r="O198" s="36"/>
      <c r="P198" s="36"/>
    </row>
    <row r="199" spans="1:16" x14ac:dyDescent="0.25">
      <c r="A199" s="36">
        <v>1873</v>
      </c>
      <c r="B199" s="37">
        <v>43525</v>
      </c>
      <c r="C199" s="36" t="s">
        <v>212</v>
      </c>
      <c r="D199" s="36"/>
      <c r="E199" s="38">
        <v>19235315</v>
      </c>
      <c r="F199" s="40">
        <f>VLOOKUP(A199,'DATOS GENERALES'!A:B,2,0)</f>
        <v>1.83</v>
      </c>
      <c r="G199" s="36">
        <f t="shared" si="15"/>
        <v>1.821582</v>
      </c>
      <c r="H199" s="38">
        <f t="shared" si="16"/>
        <v>10559675.600659207</v>
      </c>
      <c r="I199" s="38">
        <f t="shared" si="17"/>
        <v>8675639.3993407935</v>
      </c>
      <c r="J199" s="38">
        <v>1651401.4965428391</v>
      </c>
      <c r="K199" s="38">
        <f t="shared" si="18"/>
        <v>7024237.9027979542</v>
      </c>
      <c r="L199" s="41">
        <f>VLOOKUP(INDICADORES!$B$21,'DATOS GENERALES'!$K:$M,3,0)*E199</f>
        <v>130916.05961007701</v>
      </c>
      <c r="M199" s="38">
        <f t="shared" si="19"/>
        <v>6893321.843187877</v>
      </c>
      <c r="N199" s="36"/>
      <c r="O199" s="36"/>
      <c r="P199" s="36"/>
    </row>
    <row r="200" spans="1:16" x14ac:dyDescent="0.25">
      <c r="A200" s="36">
        <v>1873</v>
      </c>
      <c r="B200" s="37">
        <v>43556</v>
      </c>
      <c r="C200" s="36" t="s">
        <v>212</v>
      </c>
      <c r="D200" s="36"/>
      <c r="E200" s="38">
        <v>19235315</v>
      </c>
      <c r="F200" s="40">
        <f>VLOOKUP(A200,'DATOS GENERALES'!A:B,2,0)</f>
        <v>1.83</v>
      </c>
      <c r="G200" s="36">
        <f t="shared" si="15"/>
        <v>1.821582</v>
      </c>
      <c r="H200" s="38">
        <f t="shared" si="16"/>
        <v>10559675.600659207</v>
      </c>
      <c r="I200" s="38">
        <f t="shared" si="17"/>
        <v>8675639.3993407935</v>
      </c>
      <c r="J200" s="38">
        <v>1697765.2015623935</v>
      </c>
      <c r="K200" s="38">
        <f t="shared" si="18"/>
        <v>6977874.1977784</v>
      </c>
      <c r="L200" s="41">
        <f>VLOOKUP(INDICADORES!$B$21,'DATOS GENERALES'!$K:$M,3,0)*E200</f>
        <v>130916.05961007701</v>
      </c>
      <c r="M200" s="38">
        <f t="shared" si="19"/>
        <v>6846958.1381683229</v>
      </c>
      <c r="N200" s="36"/>
      <c r="O200" s="36"/>
      <c r="P200" s="36"/>
    </row>
    <row r="201" spans="1:16" x14ac:dyDescent="0.25">
      <c r="A201" s="36">
        <v>1873</v>
      </c>
      <c r="B201" s="37">
        <v>43586</v>
      </c>
      <c r="C201" s="36" t="s">
        <v>212</v>
      </c>
      <c r="D201" s="36"/>
      <c r="E201" s="38">
        <v>19235315</v>
      </c>
      <c r="F201" s="40">
        <f>VLOOKUP(A201,'DATOS GENERALES'!A:B,2,0)</f>
        <v>1.83</v>
      </c>
      <c r="G201" s="36">
        <f t="shared" si="15"/>
        <v>1.821582</v>
      </c>
      <c r="H201" s="38">
        <f t="shared" si="16"/>
        <v>10559675.600659207</v>
      </c>
      <c r="I201" s="38">
        <f t="shared" si="17"/>
        <v>8675639.3993407935</v>
      </c>
      <c r="J201" s="38">
        <v>1400537.5590206722</v>
      </c>
      <c r="K201" s="38">
        <f t="shared" si="18"/>
        <v>7275101.8403201215</v>
      </c>
      <c r="L201" s="41">
        <f>VLOOKUP(INDICADORES!$B$21,'DATOS GENERALES'!$K:$M,3,0)*E201</f>
        <v>130916.05961007701</v>
      </c>
      <c r="M201" s="38">
        <f t="shared" si="19"/>
        <v>7144185.7807100443</v>
      </c>
      <c r="N201" s="36"/>
      <c r="O201" s="36"/>
      <c r="P201" s="36"/>
    </row>
    <row r="202" spans="1:16" x14ac:dyDescent="0.25">
      <c r="A202" s="36">
        <v>1873</v>
      </c>
      <c r="B202" s="37">
        <v>43617</v>
      </c>
      <c r="C202" s="36" t="s">
        <v>212</v>
      </c>
      <c r="D202" s="36"/>
      <c r="E202" s="38">
        <v>19235315</v>
      </c>
      <c r="F202" s="40">
        <f>VLOOKUP(A202,'DATOS GENERALES'!A:B,2,0)</f>
        <v>1.83</v>
      </c>
      <c r="G202" s="36">
        <f t="shared" si="15"/>
        <v>1.821582</v>
      </c>
      <c r="H202" s="38">
        <f t="shared" si="16"/>
        <v>10559675.600659207</v>
      </c>
      <c r="I202" s="38">
        <f t="shared" si="17"/>
        <v>8675639.3993407935</v>
      </c>
      <c r="J202" s="38">
        <v>1573085.7244795884</v>
      </c>
      <c r="K202" s="38">
        <f t="shared" si="18"/>
        <v>7102553.6748612048</v>
      </c>
      <c r="L202" s="41">
        <f>VLOOKUP(INDICADORES!$B$21,'DATOS GENERALES'!$K:$M,3,0)*E202</f>
        <v>130916.05961007701</v>
      </c>
      <c r="M202" s="38">
        <f t="shared" si="19"/>
        <v>6971637.6152511276</v>
      </c>
      <c r="N202" s="36"/>
      <c r="O202" s="36"/>
      <c r="P202" s="36"/>
    </row>
    <row r="203" spans="1:16" x14ac:dyDescent="0.25">
      <c r="A203" s="36">
        <v>1873</v>
      </c>
      <c r="B203" s="37">
        <v>43647</v>
      </c>
      <c r="C203" s="36" t="s">
        <v>212</v>
      </c>
      <c r="D203" s="36"/>
      <c r="E203" s="38">
        <v>19235315</v>
      </c>
      <c r="F203" s="40">
        <f>VLOOKUP(A203,'DATOS GENERALES'!A:B,2,0)</f>
        <v>1.83</v>
      </c>
      <c r="G203" s="36">
        <f t="shared" si="15"/>
        <v>1.821582</v>
      </c>
      <c r="H203" s="38">
        <f t="shared" si="16"/>
        <v>10559675.600659207</v>
      </c>
      <c r="I203" s="38">
        <f t="shared" si="17"/>
        <v>8675639.3993407935</v>
      </c>
      <c r="J203" s="38">
        <v>2731691.1979265013</v>
      </c>
      <c r="K203" s="38">
        <f t="shared" si="18"/>
        <v>5943948.2014142927</v>
      </c>
      <c r="L203" s="41">
        <f>VLOOKUP(INDICADORES!$B$21,'DATOS GENERALES'!$K:$M,3,0)*E203</f>
        <v>130916.05961007701</v>
      </c>
      <c r="M203" s="38">
        <f t="shared" si="19"/>
        <v>5813032.1418042155</v>
      </c>
      <c r="N203" s="36"/>
      <c r="O203" s="36"/>
      <c r="P203" s="36"/>
    </row>
    <row r="204" spans="1:16" x14ac:dyDescent="0.25">
      <c r="A204" s="36">
        <v>1873</v>
      </c>
      <c r="B204" s="37">
        <v>43678</v>
      </c>
      <c r="C204" s="36" t="s">
        <v>212</v>
      </c>
      <c r="D204" s="36"/>
      <c r="E204" s="38">
        <v>19235315</v>
      </c>
      <c r="F204" s="40">
        <f>VLOOKUP(A204,'DATOS GENERALES'!A:B,2,0)</f>
        <v>1.83</v>
      </c>
      <c r="G204" s="36">
        <f t="shared" si="15"/>
        <v>1.821582</v>
      </c>
      <c r="H204" s="38">
        <f t="shared" si="16"/>
        <v>10559675.600659207</v>
      </c>
      <c r="I204" s="38">
        <f t="shared" si="17"/>
        <v>8675639.3993407935</v>
      </c>
      <c r="J204" s="38">
        <v>2743059.4783367659</v>
      </c>
      <c r="K204" s="38">
        <f t="shared" si="18"/>
        <v>5932579.9210040271</v>
      </c>
      <c r="L204" s="41">
        <f>VLOOKUP(INDICADORES!$B$21,'DATOS GENERALES'!$K:$M,3,0)*E204</f>
        <v>130916.05961007701</v>
      </c>
      <c r="M204" s="38">
        <f t="shared" si="19"/>
        <v>5801663.8613939499</v>
      </c>
      <c r="N204" s="36"/>
      <c r="O204" s="36"/>
      <c r="P204" s="36"/>
    </row>
    <row r="205" spans="1:16" x14ac:dyDescent="0.25">
      <c r="A205" s="36">
        <v>1873</v>
      </c>
      <c r="B205" s="37">
        <v>43709</v>
      </c>
      <c r="C205" s="36" t="s">
        <v>212</v>
      </c>
      <c r="D205" s="36"/>
      <c r="E205" s="38">
        <v>15111650</v>
      </c>
      <c r="F205" s="40">
        <f>VLOOKUP(A205,'DATOS GENERALES'!A:B,2,0)</f>
        <v>1.83</v>
      </c>
      <c r="G205" s="36">
        <f t="shared" si="15"/>
        <v>1.821582</v>
      </c>
      <c r="H205" s="38">
        <f t="shared" si="16"/>
        <v>8295893.3498464515</v>
      </c>
      <c r="I205" s="38">
        <f t="shared" si="17"/>
        <v>6815756.6501535485</v>
      </c>
      <c r="J205" s="38">
        <v>2378608.3786564451</v>
      </c>
      <c r="K205" s="38">
        <f t="shared" si="18"/>
        <v>4437148.2714971034</v>
      </c>
      <c r="L205" s="41">
        <f>VLOOKUP(INDICADORES!$B$21,'DATOS GENERALES'!$K:$M,3,0)*E205</f>
        <v>102850.287203855</v>
      </c>
      <c r="M205" s="38">
        <f t="shared" si="19"/>
        <v>4334297.9842932485</v>
      </c>
      <c r="N205" s="36"/>
      <c r="O205" s="36"/>
      <c r="P205" s="36"/>
    </row>
    <row r="206" spans="1:16" x14ac:dyDescent="0.25">
      <c r="A206" s="36">
        <v>1873</v>
      </c>
      <c r="B206" s="37">
        <v>43739</v>
      </c>
      <c r="C206" s="36" t="s">
        <v>212</v>
      </c>
      <c r="D206" s="36"/>
      <c r="E206" s="38">
        <v>15111650</v>
      </c>
      <c r="F206" s="40">
        <f>VLOOKUP(A206,'DATOS GENERALES'!A:B,2,0)</f>
        <v>1.83</v>
      </c>
      <c r="G206" s="36">
        <f t="shared" si="15"/>
        <v>1.821582</v>
      </c>
      <c r="H206" s="38">
        <f t="shared" si="16"/>
        <v>8295893.3498464515</v>
      </c>
      <c r="I206" s="38">
        <f t="shared" si="17"/>
        <v>6815756.6501535485</v>
      </c>
      <c r="J206" s="38">
        <v>2581368.7230363977</v>
      </c>
      <c r="K206" s="38">
        <f t="shared" si="18"/>
        <v>4234387.9271171503</v>
      </c>
      <c r="L206" s="41">
        <f>VLOOKUP(INDICADORES!$B$21,'DATOS GENERALES'!$K:$M,3,0)*E206</f>
        <v>102850.287203855</v>
      </c>
      <c r="M206" s="38">
        <f t="shared" si="19"/>
        <v>4131537.6399132954</v>
      </c>
      <c r="N206" s="36"/>
      <c r="O206" s="36"/>
      <c r="P206" s="36"/>
    </row>
    <row r="207" spans="1:16" x14ac:dyDescent="0.25">
      <c r="A207" s="36">
        <v>1873</v>
      </c>
      <c r="B207" s="37">
        <v>43770</v>
      </c>
      <c r="C207" s="36" t="s">
        <v>212</v>
      </c>
      <c r="D207" s="36"/>
      <c r="E207" s="38">
        <v>15111650</v>
      </c>
      <c r="F207" s="40">
        <f>VLOOKUP(A207,'DATOS GENERALES'!A:B,2,0)</f>
        <v>1.83</v>
      </c>
      <c r="G207" s="36">
        <f t="shared" si="15"/>
        <v>1.821582</v>
      </c>
      <c r="H207" s="38">
        <f t="shared" si="16"/>
        <v>8295893.3498464515</v>
      </c>
      <c r="I207" s="38">
        <f t="shared" si="17"/>
        <v>6815756.6501535485</v>
      </c>
      <c r="J207" s="38">
        <v>3387521.09804428</v>
      </c>
      <c r="K207" s="38">
        <f t="shared" si="18"/>
        <v>3428235.5521092685</v>
      </c>
      <c r="L207" s="41">
        <f>VLOOKUP(INDICADORES!$B$21,'DATOS GENERALES'!$K:$M,3,0)*E207</f>
        <v>102850.287203855</v>
      </c>
      <c r="M207" s="38">
        <f t="shared" si="19"/>
        <v>3325385.2649054136</v>
      </c>
      <c r="N207" s="36"/>
      <c r="O207" s="36"/>
      <c r="P207" s="36"/>
    </row>
    <row r="208" spans="1:16" x14ac:dyDescent="0.25">
      <c r="A208" s="36">
        <v>1874</v>
      </c>
      <c r="B208" s="37">
        <v>43466</v>
      </c>
      <c r="C208" s="36" t="s">
        <v>212</v>
      </c>
      <c r="D208" s="36"/>
      <c r="E208" s="38">
        <v>45806040.531499997</v>
      </c>
      <c r="F208" s="40">
        <f>VLOOKUP(A208,'DATOS GENERALES'!A:B,2,0)</f>
        <v>2.48</v>
      </c>
      <c r="G208" s="36">
        <f t="shared" si="15"/>
        <v>2.4685919999999997</v>
      </c>
      <c r="H208" s="38">
        <f t="shared" si="16"/>
        <v>18555533.085864332</v>
      </c>
      <c r="I208" s="38">
        <f t="shared" si="17"/>
        <v>27250507.445635665</v>
      </c>
      <c r="J208" s="38">
        <v>4071424.3560060649</v>
      </c>
      <c r="K208" s="38">
        <f t="shared" si="18"/>
        <v>23179083.089629602</v>
      </c>
      <c r="L208" s="41">
        <f>VLOOKUP(INDICADORES!$B$21,'DATOS GENERALES'!$K:$M,3,0)*E208</f>
        <v>311757.11615450314</v>
      </c>
      <c r="M208" s="38">
        <f t="shared" si="19"/>
        <v>22867325.973475099</v>
      </c>
      <c r="N208" s="36"/>
      <c r="O208" s="36"/>
      <c r="P208" s="36"/>
    </row>
    <row r="209" spans="1:16" x14ac:dyDescent="0.25">
      <c r="A209" s="36">
        <v>1874</v>
      </c>
      <c r="B209" s="37">
        <v>43497</v>
      </c>
      <c r="C209" s="36" t="s">
        <v>212</v>
      </c>
      <c r="D209" s="36"/>
      <c r="E209" s="38">
        <v>45806040.531499997</v>
      </c>
      <c r="F209" s="40">
        <f>VLOOKUP(A209,'DATOS GENERALES'!A:B,2,0)</f>
        <v>2.48</v>
      </c>
      <c r="G209" s="36">
        <f t="shared" si="15"/>
        <v>2.4685919999999997</v>
      </c>
      <c r="H209" s="38">
        <f t="shared" si="16"/>
        <v>18555533.085864332</v>
      </c>
      <c r="I209" s="38">
        <f t="shared" si="17"/>
        <v>27250507.445635665</v>
      </c>
      <c r="J209" s="38">
        <v>4010924.0898789321</v>
      </c>
      <c r="K209" s="38">
        <f t="shared" si="18"/>
        <v>23239583.355756734</v>
      </c>
      <c r="L209" s="41">
        <f>VLOOKUP(INDICADORES!$B$21,'DATOS GENERALES'!$K:$M,3,0)*E209</f>
        <v>311757.11615450314</v>
      </c>
      <c r="M209" s="38">
        <f t="shared" si="19"/>
        <v>22927826.23960223</v>
      </c>
      <c r="N209" s="36"/>
      <c r="O209" s="36"/>
      <c r="P209" s="36"/>
    </row>
    <row r="210" spans="1:16" x14ac:dyDescent="0.25">
      <c r="A210" s="36">
        <v>1874</v>
      </c>
      <c r="B210" s="37">
        <v>43525</v>
      </c>
      <c r="C210" s="36" t="s">
        <v>212</v>
      </c>
      <c r="D210" s="36"/>
      <c r="E210" s="38">
        <v>45806040.531499997</v>
      </c>
      <c r="F210" s="40">
        <f>VLOOKUP(A210,'DATOS GENERALES'!A:B,2,0)</f>
        <v>2.48</v>
      </c>
      <c r="G210" s="36">
        <f t="shared" si="15"/>
        <v>2.4685919999999997</v>
      </c>
      <c r="H210" s="38">
        <f t="shared" si="16"/>
        <v>18555533.085864332</v>
      </c>
      <c r="I210" s="38">
        <f t="shared" si="17"/>
        <v>27250507.445635665</v>
      </c>
      <c r="J210" s="38">
        <v>2901853.8320659776</v>
      </c>
      <c r="K210" s="38">
        <f t="shared" si="18"/>
        <v>24348653.613569688</v>
      </c>
      <c r="L210" s="41">
        <f>VLOOKUP(INDICADORES!$B$21,'DATOS GENERALES'!$K:$M,3,0)*E210</f>
        <v>311757.11615450314</v>
      </c>
      <c r="M210" s="38">
        <f t="shared" si="19"/>
        <v>24036896.497415185</v>
      </c>
      <c r="N210" s="36"/>
      <c r="O210" s="36"/>
      <c r="P210" s="36"/>
    </row>
    <row r="211" spans="1:16" x14ac:dyDescent="0.25">
      <c r="A211" s="36">
        <v>1874</v>
      </c>
      <c r="B211" s="37">
        <v>43556</v>
      </c>
      <c r="C211" s="36" t="s">
        <v>212</v>
      </c>
      <c r="D211" s="36"/>
      <c r="E211" s="38">
        <v>45806040.531499997</v>
      </c>
      <c r="F211" s="40">
        <f>VLOOKUP(A211,'DATOS GENERALES'!A:B,2,0)</f>
        <v>2.48</v>
      </c>
      <c r="G211" s="36">
        <f t="shared" si="15"/>
        <v>2.4685919999999997</v>
      </c>
      <c r="H211" s="38">
        <f t="shared" si="16"/>
        <v>18555533.085864332</v>
      </c>
      <c r="I211" s="38">
        <f t="shared" si="17"/>
        <v>27250507.445635665</v>
      </c>
      <c r="J211" s="38">
        <v>2983324.4467901546</v>
      </c>
      <c r="K211" s="38">
        <f t="shared" si="18"/>
        <v>24267182.99884551</v>
      </c>
      <c r="L211" s="41">
        <f>VLOOKUP(INDICADORES!$B$21,'DATOS GENERALES'!$K:$M,3,0)*E211</f>
        <v>311757.11615450314</v>
      </c>
      <c r="M211" s="38">
        <f t="shared" si="19"/>
        <v>23955425.882691007</v>
      </c>
      <c r="N211" s="36"/>
      <c r="O211" s="36"/>
      <c r="P211" s="36"/>
    </row>
    <row r="212" spans="1:16" x14ac:dyDescent="0.25">
      <c r="A212" s="36">
        <v>1874</v>
      </c>
      <c r="B212" s="37">
        <v>43586</v>
      </c>
      <c r="C212" s="36" t="s">
        <v>212</v>
      </c>
      <c r="D212" s="36"/>
      <c r="E212" s="38">
        <v>45806040.531499997</v>
      </c>
      <c r="F212" s="40">
        <f>VLOOKUP(A212,'DATOS GENERALES'!A:B,2,0)</f>
        <v>2.48</v>
      </c>
      <c r="G212" s="36">
        <f t="shared" si="15"/>
        <v>2.4685919999999997</v>
      </c>
      <c r="H212" s="38">
        <f t="shared" si="16"/>
        <v>18555533.085864332</v>
      </c>
      <c r="I212" s="38">
        <f t="shared" si="17"/>
        <v>27250507.445635665</v>
      </c>
      <c r="J212" s="38">
        <v>2461034.0314603439</v>
      </c>
      <c r="K212" s="38">
        <f t="shared" si="18"/>
        <v>24789473.41417532</v>
      </c>
      <c r="L212" s="41">
        <f>VLOOKUP(INDICADORES!$B$21,'DATOS GENERALES'!$K:$M,3,0)*E212</f>
        <v>311757.11615450314</v>
      </c>
      <c r="M212" s="38">
        <f t="shared" si="19"/>
        <v>24477716.298020817</v>
      </c>
      <c r="N212" s="36"/>
      <c r="O212" s="36"/>
      <c r="P212" s="36"/>
    </row>
    <row r="213" spans="1:16" x14ac:dyDescent="0.25">
      <c r="A213" s="36">
        <v>1874</v>
      </c>
      <c r="B213" s="37">
        <v>43617</v>
      </c>
      <c r="C213" s="36" t="s">
        <v>212</v>
      </c>
      <c r="D213" s="36"/>
      <c r="E213" s="38">
        <v>45806040.531499997</v>
      </c>
      <c r="F213" s="40">
        <f>VLOOKUP(A213,'DATOS GENERALES'!A:B,2,0)</f>
        <v>2.48</v>
      </c>
      <c r="G213" s="36">
        <f t="shared" si="15"/>
        <v>2.4685919999999997</v>
      </c>
      <c r="H213" s="38">
        <f t="shared" si="16"/>
        <v>18555533.085864332</v>
      </c>
      <c r="I213" s="38">
        <f t="shared" si="17"/>
        <v>27250507.445635665</v>
      </c>
      <c r="J213" s="38">
        <v>2764236.829932509</v>
      </c>
      <c r="K213" s="38">
        <f t="shared" si="18"/>
        <v>24486270.615703158</v>
      </c>
      <c r="L213" s="41">
        <f>VLOOKUP(INDICADORES!$B$21,'DATOS GENERALES'!$K:$M,3,0)*E213</f>
        <v>311757.11615450314</v>
      </c>
      <c r="M213" s="38">
        <f t="shared" si="19"/>
        <v>24174513.499548655</v>
      </c>
      <c r="N213" s="36"/>
      <c r="O213" s="36"/>
      <c r="P213" s="36"/>
    </row>
    <row r="214" spans="1:16" x14ac:dyDescent="0.25">
      <c r="A214" s="36">
        <v>1874</v>
      </c>
      <c r="B214" s="37">
        <v>43647</v>
      </c>
      <c r="C214" s="36" t="s">
        <v>212</v>
      </c>
      <c r="D214" s="36"/>
      <c r="E214" s="38">
        <v>45806040.531499997</v>
      </c>
      <c r="F214" s="40">
        <f>VLOOKUP(A214,'DATOS GENERALES'!A:B,2,0)</f>
        <v>2.48</v>
      </c>
      <c r="G214" s="36">
        <f t="shared" si="15"/>
        <v>2.4685919999999997</v>
      </c>
      <c r="H214" s="38">
        <f t="shared" si="16"/>
        <v>18555533.085864332</v>
      </c>
      <c r="I214" s="38">
        <f t="shared" si="17"/>
        <v>27250507.445635665</v>
      </c>
      <c r="J214" s="38">
        <v>4800146.1711878041</v>
      </c>
      <c r="K214" s="38">
        <f t="shared" si="18"/>
        <v>22450361.274447862</v>
      </c>
      <c r="L214" s="41">
        <f>VLOOKUP(INDICADORES!$B$21,'DATOS GENERALES'!$K:$M,3,0)*E214</f>
        <v>311757.11615450314</v>
      </c>
      <c r="M214" s="38">
        <f t="shared" si="19"/>
        <v>22138604.158293359</v>
      </c>
      <c r="N214" s="36"/>
      <c r="O214" s="36"/>
      <c r="P214" s="36"/>
    </row>
    <row r="215" spans="1:16" x14ac:dyDescent="0.25">
      <c r="A215" s="36">
        <v>1874</v>
      </c>
      <c r="B215" s="37">
        <v>43678</v>
      </c>
      <c r="C215" s="36" t="s">
        <v>212</v>
      </c>
      <c r="D215" s="36"/>
      <c r="E215" s="38">
        <v>45806040.531499997</v>
      </c>
      <c r="F215" s="40">
        <f>VLOOKUP(A215,'DATOS GENERALES'!A:B,2,0)</f>
        <v>2.48</v>
      </c>
      <c r="G215" s="36">
        <f t="shared" si="15"/>
        <v>2.4685919999999997</v>
      </c>
      <c r="H215" s="38">
        <f t="shared" si="16"/>
        <v>18555533.085864332</v>
      </c>
      <c r="I215" s="38">
        <f t="shared" si="17"/>
        <v>27250507.445635665</v>
      </c>
      <c r="J215" s="38">
        <v>4820122.5900911344</v>
      </c>
      <c r="K215" s="38">
        <f t="shared" si="18"/>
        <v>22430384.85554453</v>
      </c>
      <c r="L215" s="41">
        <f>VLOOKUP(INDICADORES!$B$21,'DATOS GENERALES'!$K:$M,3,0)*E215</f>
        <v>311757.11615450314</v>
      </c>
      <c r="M215" s="38">
        <f t="shared" si="19"/>
        <v>22118627.739390027</v>
      </c>
      <c r="N215" s="36"/>
      <c r="O215" s="36"/>
      <c r="P215" s="36"/>
    </row>
    <row r="216" spans="1:16" x14ac:dyDescent="0.25">
      <c r="A216" s="36">
        <v>1874</v>
      </c>
      <c r="B216" s="37">
        <v>43709</v>
      </c>
      <c r="C216" s="36" t="s">
        <v>212</v>
      </c>
      <c r="D216" s="36"/>
      <c r="E216" s="38">
        <v>33732090.531499997</v>
      </c>
      <c r="F216" s="40">
        <f>VLOOKUP(A216,'DATOS GENERALES'!A:B,2,0)</f>
        <v>2.48</v>
      </c>
      <c r="G216" s="36">
        <f t="shared" si="15"/>
        <v>2.4685919999999997</v>
      </c>
      <c r="H216" s="38">
        <f t="shared" si="16"/>
        <v>13664506.136088913</v>
      </c>
      <c r="I216" s="38">
        <f t="shared" si="17"/>
        <v>20067584.395411082</v>
      </c>
      <c r="J216" s="38">
        <v>3917903.4029053766</v>
      </c>
      <c r="K216" s="38">
        <f t="shared" si="18"/>
        <v>16149680.992505705</v>
      </c>
      <c r="L216" s="41">
        <f>VLOOKUP(INDICADORES!$B$21,'DATOS GENERALES'!$K:$M,3,0)*E216</f>
        <v>229581.49501551536</v>
      </c>
      <c r="M216" s="38">
        <f t="shared" si="19"/>
        <v>15920099.49749019</v>
      </c>
      <c r="N216" s="36"/>
      <c r="O216" s="36"/>
      <c r="P216" s="36"/>
    </row>
    <row r="217" spans="1:16" x14ac:dyDescent="0.25">
      <c r="A217" s="36">
        <v>1874</v>
      </c>
      <c r="B217" s="37">
        <v>43739</v>
      </c>
      <c r="C217" s="36" t="s">
        <v>212</v>
      </c>
      <c r="D217" s="36"/>
      <c r="E217" s="38">
        <v>33732090.531499997</v>
      </c>
      <c r="F217" s="40">
        <f>VLOOKUP(A217,'DATOS GENERALES'!A:B,2,0)</f>
        <v>2.48</v>
      </c>
      <c r="G217" s="36">
        <f t="shared" si="15"/>
        <v>2.4685919999999997</v>
      </c>
      <c r="H217" s="38">
        <f t="shared" si="16"/>
        <v>13664506.136088913</v>
      </c>
      <c r="I217" s="38">
        <f t="shared" si="17"/>
        <v>20067584.395411082</v>
      </c>
      <c r="J217" s="38">
        <v>4251878.2809679834</v>
      </c>
      <c r="K217" s="38">
        <f t="shared" si="18"/>
        <v>15815706.114443097</v>
      </c>
      <c r="L217" s="41">
        <f>VLOOKUP(INDICADORES!$B$21,'DATOS GENERALES'!$K:$M,3,0)*E217</f>
        <v>229581.49501551536</v>
      </c>
      <c r="M217" s="38">
        <f t="shared" si="19"/>
        <v>15586124.619427582</v>
      </c>
      <c r="N217" s="36"/>
      <c r="O217" s="36"/>
      <c r="P217" s="36"/>
    </row>
    <row r="218" spans="1:16" x14ac:dyDescent="0.25">
      <c r="A218" s="36">
        <v>1881</v>
      </c>
      <c r="B218" s="37">
        <v>43466</v>
      </c>
      <c r="C218" s="36" t="s">
        <v>212</v>
      </c>
      <c r="D218" s="36"/>
      <c r="E218" s="38">
        <v>18731301.130000003</v>
      </c>
      <c r="F218" s="40">
        <f>VLOOKUP(A218,'DATOS GENERALES'!A:B,2,0)</f>
        <v>1.96</v>
      </c>
      <c r="G218" s="36">
        <f t="shared" si="15"/>
        <v>1.9509839999999998</v>
      </c>
      <c r="H218" s="38">
        <f t="shared" si="16"/>
        <v>9600950.6638701316</v>
      </c>
      <c r="I218" s="38">
        <f t="shared" si="17"/>
        <v>9130350.4661298711</v>
      </c>
      <c r="J218" s="38">
        <v>2106624.7028748528</v>
      </c>
      <c r="K218" s="38">
        <f t="shared" si="18"/>
        <v>7023725.7632550187</v>
      </c>
      <c r="L218" s="41">
        <f>VLOOKUP(INDICADORES!$B$21,'DATOS GENERALES'!$K:$M,3,0)*E218</f>
        <v>127485.72795971281</v>
      </c>
      <c r="M218" s="38">
        <f t="shared" si="19"/>
        <v>6896240.0352953058</v>
      </c>
      <c r="N218" s="36"/>
      <c r="O218" s="36"/>
      <c r="P218" s="36"/>
    </row>
    <row r="219" spans="1:16" x14ac:dyDescent="0.25">
      <c r="A219" s="36">
        <v>1881</v>
      </c>
      <c r="B219" s="37">
        <v>43497</v>
      </c>
      <c r="C219" s="36" t="s">
        <v>212</v>
      </c>
      <c r="D219" s="36"/>
      <c r="E219" s="38">
        <v>18731301.130000003</v>
      </c>
      <c r="F219" s="40">
        <f>VLOOKUP(A219,'DATOS GENERALES'!A:B,2,0)</f>
        <v>1.96</v>
      </c>
      <c r="G219" s="36">
        <f t="shared" si="15"/>
        <v>1.9509839999999998</v>
      </c>
      <c r="H219" s="38">
        <f t="shared" si="16"/>
        <v>9600950.6638701316</v>
      </c>
      <c r="I219" s="38">
        <f t="shared" si="17"/>
        <v>9130350.4661298711</v>
      </c>
      <c r="J219" s="38">
        <v>2075320.8288471047</v>
      </c>
      <c r="K219" s="38">
        <f t="shared" si="18"/>
        <v>7055029.6372827664</v>
      </c>
      <c r="L219" s="41">
        <f>VLOOKUP(INDICADORES!$B$21,'DATOS GENERALES'!$K:$M,3,0)*E219</f>
        <v>127485.72795971281</v>
      </c>
      <c r="M219" s="38">
        <f t="shared" si="19"/>
        <v>6927543.9093230534</v>
      </c>
      <c r="N219" s="36"/>
      <c r="O219" s="36"/>
      <c r="P219" s="36"/>
    </row>
    <row r="220" spans="1:16" x14ac:dyDescent="0.25">
      <c r="A220" s="36">
        <v>1881</v>
      </c>
      <c r="B220" s="37">
        <v>43525</v>
      </c>
      <c r="C220" s="36" t="s">
        <v>212</v>
      </c>
      <c r="D220" s="36"/>
      <c r="E220" s="38">
        <v>18731301.130000003</v>
      </c>
      <c r="F220" s="40">
        <f>VLOOKUP(A220,'DATOS GENERALES'!A:B,2,0)</f>
        <v>1.96</v>
      </c>
      <c r="G220" s="36">
        <f t="shared" si="15"/>
        <v>1.9509839999999998</v>
      </c>
      <c r="H220" s="38">
        <f t="shared" si="16"/>
        <v>9600950.6638701316</v>
      </c>
      <c r="I220" s="38">
        <f t="shared" si="17"/>
        <v>9130350.4661298711</v>
      </c>
      <c r="J220" s="38">
        <v>1501468.8797409006</v>
      </c>
      <c r="K220" s="38">
        <f t="shared" si="18"/>
        <v>7628881.5863889707</v>
      </c>
      <c r="L220" s="41">
        <f>VLOOKUP(INDICADORES!$B$21,'DATOS GENERALES'!$K:$M,3,0)*E220</f>
        <v>127485.72795971281</v>
      </c>
      <c r="M220" s="38">
        <f t="shared" si="19"/>
        <v>7501395.8584292578</v>
      </c>
      <c r="N220" s="36"/>
      <c r="O220" s="36"/>
      <c r="P220" s="36"/>
    </row>
    <row r="221" spans="1:16" x14ac:dyDescent="0.25">
      <c r="A221" s="36">
        <v>1881</v>
      </c>
      <c r="B221" s="37">
        <v>43556</v>
      </c>
      <c r="C221" s="36" t="s">
        <v>212</v>
      </c>
      <c r="D221" s="36"/>
      <c r="E221" s="38">
        <v>18731301.130000003</v>
      </c>
      <c r="F221" s="40">
        <f>VLOOKUP(A221,'DATOS GENERALES'!A:B,2,0)</f>
        <v>1.96</v>
      </c>
      <c r="G221" s="36">
        <f t="shared" si="15"/>
        <v>1.9509839999999998</v>
      </c>
      <c r="H221" s="38">
        <f t="shared" si="16"/>
        <v>9600950.6638701316</v>
      </c>
      <c r="I221" s="38">
        <f t="shared" si="17"/>
        <v>9130350.4661298711</v>
      </c>
      <c r="J221" s="38">
        <v>1543623.1713423568</v>
      </c>
      <c r="K221" s="38">
        <f t="shared" si="18"/>
        <v>7586727.294787514</v>
      </c>
      <c r="L221" s="41">
        <f>VLOOKUP(INDICADORES!$B$21,'DATOS GENERALES'!$K:$M,3,0)*E221</f>
        <v>127485.72795971281</v>
      </c>
      <c r="M221" s="38">
        <f t="shared" si="19"/>
        <v>7459241.5668278011</v>
      </c>
      <c r="N221" s="36"/>
      <c r="O221" s="36"/>
      <c r="P221" s="36"/>
    </row>
    <row r="222" spans="1:16" x14ac:dyDescent="0.25">
      <c r="A222" s="36">
        <v>1881</v>
      </c>
      <c r="B222" s="37">
        <v>43586</v>
      </c>
      <c r="C222" s="36" t="s">
        <v>212</v>
      </c>
      <c r="D222" s="36"/>
      <c r="E222" s="38">
        <v>18731301.130000003</v>
      </c>
      <c r="F222" s="40">
        <f>VLOOKUP(A222,'DATOS GENERALES'!A:B,2,0)</f>
        <v>1.96</v>
      </c>
      <c r="G222" s="36">
        <f t="shared" si="15"/>
        <v>1.9509839999999998</v>
      </c>
      <c r="H222" s="38">
        <f t="shared" si="16"/>
        <v>9600950.6638701316</v>
      </c>
      <c r="I222" s="38">
        <f t="shared" si="17"/>
        <v>9130350.4661298711</v>
      </c>
      <c r="J222" s="38">
        <v>1273381.1639265846</v>
      </c>
      <c r="K222" s="38">
        <f t="shared" si="18"/>
        <v>7856969.3022032864</v>
      </c>
      <c r="L222" s="41">
        <f>VLOOKUP(INDICADORES!$B$21,'DATOS GENERALES'!$K:$M,3,0)*E222</f>
        <v>127485.72795971281</v>
      </c>
      <c r="M222" s="38">
        <f t="shared" si="19"/>
        <v>7729483.5742435735</v>
      </c>
      <c r="N222" s="36"/>
      <c r="O222" s="36"/>
      <c r="P222" s="36"/>
    </row>
    <row r="223" spans="1:16" x14ac:dyDescent="0.25">
      <c r="A223" s="36">
        <v>1881</v>
      </c>
      <c r="B223" s="37">
        <v>43617</v>
      </c>
      <c r="C223" s="36" t="s">
        <v>212</v>
      </c>
      <c r="D223" s="36"/>
      <c r="E223" s="38">
        <v>18731301.130000003</v>
      </c>
      <c r="F223" s="40">
        <f>VLOOKUP(A223,'DATOS GENERALES'!A:B,2,0)</f>
        <v>1.96</v>
      </c>
      <c r="G223" s="36">
        <f t="shared" si="15"/>
        <v>1.9509839999999998</v>
      </c>
      <c r="H223" s="38">
        <f t="shared" si="16"/>
        <v>9600950.6638701316</v>
      </c>
      <c r="I223" s="38">
        <f t="shared" si="17"/>
        <v>9130350.4661298711</v>
      </c>
      <c r="J223" s="38">
        <v>1430263.4855396592</v>
      </c>
      <c r="K223" s="38">
        <f t="shared" si="18"/>
        <v>7700086.9805902122</v>
      </c>
      <c r="L223" s="41">
        <f>VLOOKUP(INDICADORES!$B$21,'DATOS GENERALES'!$K:$M,3,0)*E223</f>
        <v>127485.72795971281</v>
      </c>
      <c r="M223" s="38">
        <f t="shared" si="19"/>
        <v>7572601.2526304992</v>
      </c>
      <c r="N223" s="36"/>
      <c r="O223" s="36"/>
      <c r="P223" s="36"/>
    </row>
    <row r="224" spans="1:16" x14ac:dyDescent="0.25">
      <c r="A224" s="36">
        <v>1881</v>
      </c>
      <c r="B224" s="37">
        <v>43647</v>
      </c>
      <c r="C224" s="36" t="s">
        <v>212</v>
      </c>
      <c r="D224" s="36"/>
      <c r="E224" s="38">
        <v>18731301.130000003</v>
      </c>
      <c r="F224" s="40">
        <f>VLOOKUP(A224,'DATOS GENERALES'!A:B,2,0)</f>
        <v>1.96</v>
      </c>
      <c r="G224" s="36">
        <f t="shared" si="15"/>
        <v>1.9509839999999998</v>
      </c>
      <c r="H224" s="38">
        <f t="shared" si="16"/>
        <v>9600950.6638701316</v>
      </c>
      <c r="I224" s="38">
        <f t="shared" si="17"/>
        <v>9130350.4661298711</v>
      </c>
      <c r="J224" s="38">
        <v>2483677.8526210957</v>
      </c>
      <c r="K224" s="38">
        <f t="shared" si="18"/>
        <v>6646672.6135087758</v>
      </c>
      <c r="L224" s="41">
        <f>VLOOKUP(INDICADORES!$B$21,'DATOS GENERALES'!$K:$M,3,0)*E224</f>
        <v>127485.72795971281</v>
      </c>
      <c r="M224" s="38">
        <f t="shared" si="19"/>
        <v>6519186.8855490629</v>
      </c>
      <c r="N224" s="36"/>
      <c r="O224" s="36"/>
      <c r="P224" s="36"/>
    </row>
    <row r="225" spans="1:16" x14ac:dyDescent="0.25">
      <c r="A225" s="36">
        <v>1881</v>
      </c>
      <c r="B225" s="37">
        <v>43678</v>
      </c>
      <c r="C225" s="36" t="s">
        <v>212</v>
      </c>
      <c r="D225" s="36"/>
      <c r="E225" s="38">
        <v>18731301.130000003</v>
      </c>
      <c r="F225" s="40">
        <f>VLOOKUP(A225,'DATOS GENERALES'!A:B,2,0)</f>
        <v>1.96</v>
      </c>
      <c r="G225" s="36">
        <f t="shared" si="15"/>
        <v>1.9509839999999998</v>
      </c>
      <c r="H225" s="38">
        <f t="shared" si="16"/>
        <v>9600950.6638701316</v>
      </c>
      <c r="I225" s="38">
        <f t="shared" si="17"/>
        <v>9130350.4661298711</v>
      </c>
      <c r="J225" s="38">
        <v>2494013.9939458519</v>
      </c>
      <c r="K225" s="38">
        <f t="shared" si="18"/>
        <v>6636336.4721840192</v>
      </c>
      <c r="L225" s="41">
        <f>VLOOKUP(INDICADORES!$B$21,'DATOS GENERALES'!$K:$M,3,0)*E225</f>
        <v>127485.72795971281</v>
      </c>
      <c r="M225" s="38">
        <f t="shared" si="19"/>
        <v>6508850.7442243062</v>
      </c>
      <c r="N225" s="36"/>
      <c r="O225" s="36"/>
      <c r="P225" s="36"/>
    </row>
    <row r="226" spans="1:16" x14ac:dyDescent="0.25">
      <c r="A226" s="36">
        <v>1881</v>
      </c>
      <c r="B226" s="37">
        <v>43709</v>
      </c>
      <c r="C226" s="36" t="s">
        <v>212</v>
      </c>
      <c r="D226" s="36"/>
      <c r="E226" s="38">
        <v>18731301.130000003</v>
      </c>
      <c r="F226" s="40">
        <f>VLOOKUP(A226,'DATOS GENERALES'!A:B,2,0)</f>
        <v>1.96</v>
      </c>
      <c r="G226" s="36">
        <f t="shared" si="15"/>
        <v>1.9509839999999998</v>
      </c>
      <c r="H226" s="38">
        <f t="shared" si="16"/>
        <v>9600950.6638701316</v>
      </c>
      <c r="I226" s="38">
        <f t="shared" si="17"/>
        <v>9130350.4661298711</v>
      </c>
      <c r="J226" s="38">
        <v>2752795.9592888621</v>
      </c>
      <c r="K226" s="38">
        <f t="shared" si="18"/>
        <v>6377554.5068410095</v>
      </c>
      <c r="L226" s="41">
        <f>VLOOKUP(INDICADORES!$B$21,'DATOS GENERALES'!$K:$M,3,0)*E226</f>
        <v>127485.72795971281</v>
      </c>
      <c r="M226" s="38">
        <f t="shared" si="19"/>
        <v>6250068.7788812965</v>
      </c>
      <c r="N226" s="36"/>
      <c r="O226" s="36"/>
      <c r="P226" s="36"/>
    </row>
    <row r="227" spans="1:16" x14ac:dyDescent="0.25">
      <c r="A227" s="36">
        <v>1881</v>
      </c>
      <c r="B227" s="37">
        <v>43739</v>
      </c>
      <c r="C227" s="36" t="s">
        <v>212</v>
      </c>
      <c r="D227" s="36"/>
      <c r="E227" s="38">
        <v>18731301.130000003</v>
      </c>
      <c r="F227" s="40">
        <f>VLOOKUP(A227,'DATOS GENERALES'!A:B,2,0)</f>
        <v>1.96</v>
      </c>
      <c r="G227" s="36">
        <f t="shared" si="15"/>
        <v>1.9509839999999998</v>
      </c>
      <c r="H227" s="38">
        <f t="shared" si="16"/>
        <v>9600950.6638701316</v>
      </c>
      <c r="I227" s="38">
        <f t="shared" si="17"/>
        <v>9130350.4661298711</v>
      </c>
      <c r="J227" s="38">
        <v>2987453.2747686077</v>
      </c>
      <c r="K227" s="38">
        <f t="shared" si="18"/>
        <v>6142897.1913612634</v>
      </c>
      <c r="L227" s="41">
        <f>VLOOKUP(INDICADORES!$B$21,'DATOS GENERALES'!$K:$M,3,0)*E227</f>
        <v>127485.72795971281</v>
      </c>
      <c r="M227" s="38">
        <f t="shared" si="19"/>
        <v>6015411.4634015504</v>
      </c>
      <c r="N227" s="36"/>
      <c r="O227" s="36"/>
      <c r="P227" s="36"/>
    </row>
    <row r="228" spans="1:16" x14ac:dyDescent="0.25">
      <c r="A228" s="36">
        <v>1881</v>
      </c>
      <c r="B228" s="37">
        <v>43770</v>
      </c>
      <c r="C228" s="36" t="s">
        <v>212</v>
      </c>
      <c r="D228" s="36"/>
      <c r="E228" s="38">
        <v>18731301.130000003</v>
      </c>
      <c r="F228" s="40">
        <f>VLOOKUP(A228,'DATOS GENERALES'!A:B,2,0)</f>
        <v>1.96</v>
      </c>
      <c r="G228" s="36">
        <f t="shared" si="15"/>
        <v>1.9509839999999998</v>
      </c>
      <c r="H228" s="38">
        <f t="shared" si="16"/>
        <v>9600950.6638701316</v>
      </c>
      <c r="I228" s="38">
        <f t="shared" si="17"/>
        <v>9130350.4661298711</v>
      </c>
      <c r="J228" s="38">
        <v>3920424.427315508</v>
      </c>
      <c r="K228" s="38">
        <f t="shared" si="18"/>
        <v>5209926.0388143631</v>
      </c>
      <c r="L228" s="41">
        <f>VLOOKUP(INDICADORES!$B$21,'DATOS GENERALES'!$K:$M,3,0)*E228</f>
        <v>127485.72795971281</v>
      </c>
      <c r="M228" s="38">
        <f t="shared" si="19"/>
        <v>5082440.3108546501</v>
      </c>
      <c r="N228" s="36"/>
      <c r="O228" s="36"/>
      <c r="P228" s="36"/>
    </row>
    <row r="229" spans="1:16" x14ac:dyDescent="0.25">
      <c r="A229" s="36">
        <v>1881</v>
      </c>
      <c r="B229" s="37">
        <v>43800</v>
      </c>
      <c r="C229" s="36" t="s">
        <v>212</v>
      </c>
      <c r="D229" s="36"/>
      <c r="E229" s="38">
        <v>18731301.130000003</v>
      </c>
      <c r="F229" s="40">
        <f>VLOOKUP(A229,'DATOS GENERALES'!A:B,2,0)</f>
        <v>1.96</v>
      </c>
      <c r="G229" s="36">
        <f t="shared" si="15"/>
        <v>1.9509839999999998</v>
      </c>
      <c r="H229" s="38">
        <f t="shared" si="16"/>
        <v>9600950.6638701316</v>
      </c>
      <c r="I229" s="38">
        <f t="shared" si="17"/>
        <v>9130350.4661298711</v>
      </c>
      <c r="J229" s="38">
        <v>3381560.2580256839</v>
      </c>
      <c r="K229" s="38">
        <f t="shared" si="18"/>
        <v>5748790.2081041876</v>
      </c>
      <c r="L229" s="41">
        <f>VLOOKUP(INDICADORES!$B$21,'DATOS GENERALES'!$K:$M,3,0)*E229</f>
        <v>127485.72795971281</v>
      </c>
      <c r="M229" s="38">
        <f t="shared" si="19"/>
        <v>5621304.4801444747</v>
      </c>
      <c r="N229" s="36"/>
      <c r="O229" s="36"/>
      <c r="P229" s="36"/>
    </row>
    <row r="230" spans="1:16" x14ac:dyDescent="0.25">
      <c r="A230" s="36">
        <v>1881</v>
      </c>
      <c r="B230" s="37">
        <v>43831</v>
      </c>
      <c r="C230" s="36" t="s">
        <v>212</v>
      </c>
      <c r="D230" s="36"/>
      <c r="E230" s="38">
        <v>18731301.130000003</v>
      </c>
      <c r="F230" s="40">
        <f>VLOOKUP(A230,'DATOS GENERALES'!A:B,2,0)</f>
        <v>1.96</v>
      </c>
      <c r="G230" s="36">
        <f t="shared" si="15"/>
        <v>1.9509839999999998</v>
      </c>
      <c r="H230" s="38">
        <f t="shared" si="16"/>
        <v>9600950.6638701316</v>
      </c>
      <c r="I230" s="38">
        <f t="shared" si="17"/>
        <v>9130350.4661298711</v>
      </c>
      <c r="J230" s="38" t="s">
        <v>213</v>
      </c>
      <c r="K230" s="38" t="str">
        <f t="shared" si="18"/>
        <v/>
      </c>
      <c r="L230" s="41">
        <f>VLOOKUP(INDICADORES!$B$21,'DATOS GENERALES'!$K:$M,3,0)*E230</f>
        <v>127485.72795971281</v>
      </c>
      <c r="M230" s="38" t="str">
        <f t="shared" si="19"/>
        <v/>
      </c>
      <c r="N230" s="36"/>
      <c r="O230" s="36"/>
      <c r="P230" s="36"/>
    </row>
    <row r="231" spans="1:16" x14ac:dyDescent="0.25">
      <c r="A231" s="36">
        <v>1881</v>
      </c>
      <c r="B231" s="37">
        <v>43862</v>
      </c>
      <c r="C231" s="36" t="s">
        <v>212</v>
      </c>
      <c r="D231" s="36"/>
      <c r="E231" s="38">
        <v>18731301.130000003</v>
      </c>
      <c r="F231" s="40">
        <f>VLOOKUP(A231,'DATOS GENERALES'!A:B,2,0)</f>
        <v>1.96</v>
      </c>
      <c r="G231" s="36">
        <f t="shared" si="15"/>
        <v>1.9509839999999998</v>
      </c>
      <c r="H231" s="38">
        <f t="shared" si="16"/>
        <v>9600950.6638701316</v>
      </c>
      <c r="I231" s="38">
        <f t="shared" si="17"/>
        <v>9130350.4661298711</v>
      </c>
      <c r="J231" s="38" t="s">
        <v>213</v>
      </c>
      <c r="K231" s="38" t="str">
        <f t="shared" si="18"/>
        <v/>
      </c>
      <c r="L231" s="41">
        <f>VLOOKUP(INDICADORES!$B$21,'DATOS GENERALES'!$K:$M,3,0)*E231</f>
        <v>127485.72795971281</v>
      </c>
      <c r="M231" s="38" t="str">
        <f t="shared" si="19"/>
        <v/>
      </c>
      <c r="N231" s="36"/>
      <c r="O231" s="36"/>
      <c r="P231" s="36"/>
    </row>
    <row r="232" spans="1:16" x14ac:dyDescent="0.25">
      <c r="A232" s="36">
        <v>1881</v>
      </c>
      <c r="B232" s="37">
        <v>43891</v>
      </c>
      <c r="C232" s="36" t="s">
        <v>212</v>
      </c>
      <c r="D232" s="36"/>
      <c r="E232" s="38">
        <v>18731301.130000003</v>
      </c>
      <c r="F232" s="40">
        <f>VLOOKUP(A232,'DATOS GENERALES'!A:B,2,0)</f>
        <v>1.96</v>
      </c>
      <c r="G232" s="36">
        <f t="shared" si="15"/>
        <v>1.9509839999999998</v>
      </c>
      <c r="H232" s="38">
        <f t="shared" si="16"/>
        <v>9600950.6638701316</v>
      </c>
      <c r="I232" s="38">
        <f t="shared" si="17"/>
        <v>9130350.4661298711</v>
      </c>
      <c r="J232" s="38" t="s">
        <v>213</v>
      </c>
      <c r="K232" s="38" t="str">
        <f t="shared" si="18"/>
        <v/>
      </c>
      <c r="L232" s="41">
        <f>VLOOKUP(INDICADORES!$B$21,'DATOS GENERALES'!$K:$M,3,0)*E232</f>
        <v>127485.72795971281</v>
      </c>
      <c r="M232" s="38" t="str">
        <f t="shared" si="19"/>
        <v/>
      </c>
      <c r="N232" s="36"/>
      <c r="O232" s="36"/>
      <c r="P232" s="36"/>
    </row>
    <row r="233" spans="1:16" x14ac:dyDescent="0.25">
      <c r="A233" s="36">
        <v>1881</v>
      </c>
      <c r="B233" s="37">
        <v>43922</v>
      </c>
      <c r="C233" s="36" t="s">
        <v>212</v>
      </c>
      <c r="D233" s="36"/>
      <c r="E233" s="38">
        <v>18731301.130000003</v>
      </c>
      <c r="F233" s="40">
        <f>VLOOKUP(A233,'DATOS GENERALES'!A:B,2,0)</f>
        <v>1.96</v>
      </c>
      <c r="G233" s="36">
        <f t="shared" si="15"/>
        <v>1.9509839999999998</v>
      </c>
      <c r="H233" s="38">
        <f t="shared" si="16"/>
        <v>9600950.6638701316</v>
      </c>
      <c r="I233" s="38">
        <f t="shared" si="17"/>
        <v>9130350.4661298711</v>
      </c>
      <c r="J233" s="38" t="s">
        <v>213</v>
      </c>
      <c r="K233" s="38" t="str">
        <f t="shared" si="18"/>
        <v/>
      </c>
      <c r="L233" s="41">
        <f>VLOOKUP(INDICADORES!$B$21,'DATOS GENERALES'!$K:$M,3,0)*E233</f>
        <v>127485.72795971281</v>
      </c>
      <c r="M233" s="38" t="str">
        <f t="shared" si="19"/>
        <v/>
      </c>
      <c r="N233" s="36"/>
      <c r="O233" s="36"/>
      <c r="P233" s="36"/>
    </row>
    <row r="234" spans="1:16" x14ac:dyDescent="0.25">
      <c r="A234" s="36">
        <v>1881</v>
      </c>
      <c r="B234" s="37">
        <v>43952</v>
      </c>
      <c r="C234" s="36" t="s">
        <v>212</v>
      </c>
      <c r="D234" s="36"/>
      <c r="E234" s="38">
        <v>18731301.130000003</v>
      </c>
      <c r="F234" s="40">
        <f>VLOOKUP(A234,'DATOS GENERALES'!A:B,2,0)</f>
        <v>1.96</v>
      </c>
      <c r="G234" s="36">
        <f t="shared" si="15"/>
        <v>1.9509839999999998</v>
      </c>
      <c r="H234" s="38">
        <f t="shared" si="16"/>
        <v>9600950.6638701316</v>
      </c>
      <c r="I234" s="38">
        <f t="shared" si="17"/>
        <v>9130350.4661298711</v>
      </c>
      <c r="J234" s="38" t="s">
        <v>213</v>
      </c>
      <c r="K234" s="38" t="str">
        <f t="shared" si="18"/>
        <v/>
      </c>
      <c r="L234" s="41">
        <f>VLOOKUP(INDICADORES!$B$21,'DATOS GENERALES'!$K:$M,3,0)*E234</f>
        <v>127485.72795971281</v>
      </c>
      <c r="M234" s="38" t="str">
        <f t="shared" si="19"/>
        <v/>
      </c>
      <c r="N234" s="36"/>
      <c r="O234" s="36"/>
      <c r="P234" s="36"/>
    </row>
    <row r="235" spans="1:16" x14ac:dyDescent="0.25">
      <c r="A235" s="36">
        <v>1881</v>
      </c>
      <c r="B235" s="37">
        <v>43983</v>
      </c>
      <c r="C235" s="36" t="s">
        <v>212</v>
      </c>
      <c r="D235" s="36"/>
      <c r="E235" s="38">
        <v>18731301.130000003</v>
      </c>
      <c r="F235" s="40">
        <f>VLOOKUP(A235,'DATOS GENERALES'!A:B,2,0)</f>
        <v>1.96</v>
      </c>
      <c r="G235" s="36">
        <f t="shared" si="15"/>
        <v>1.9509839999999998</v>
      </c>
      <c r="H235" s="38">
        <f t="shared" si="16"/>
        <v>9600950.6638701316</v>
      </c>
      <c r="I235" s="38">
        <f t="shared" si="17"/>
        <v>9130350.4661298711</v>
      </c>
      <c r="J235" s="38" t="s">
        <v>213</v>
      </c>
      <c r="K235" s="38" t="str">
        <f t="shared" si="18"/>
        <v/>
      </c>
      <c r="L235" s="41">
        <f>VLOOKUP(INDICADORES!$B$21,'DATOS GENERALES'!$K:$M,3,0)*E235</f>
        <v>127485.72795971281</v>
      </c>
      <c r="M235" s="38" t="str">
        <f t="shared" si="19"/>
        <v/>
      </c>
      <c r="N235" s="36"/>
      <c r="O235" s="36"/>
      <c r="P235" s="36"/>
    </row>
    <row r="236" spans="1:16" x14ac:dyDescent="0.25">
      <c r="A236" s="36">
        <v>1881</v>
      </c>
      <c r="B236" s="37">
        <v>44013</v>
      </c>
      <c r="C236" s="36" t="s">
        <v>212</v>
      </c>
      <c r="D236" s="36"/>
      <c r="E236" s="38">
        <v>18731301.130000003</v>
      </c>
      <c r="F236" s="40">
        <f>VLOOKUP(A236,'DATOS GENERALES'!A:B,2,0)</f>
        <v>1.96</v>
      </c>
      <c r="G236" s="36">
        <f t="shared" si="15"/>
        <v>1.9509839999999998</v>
      </c>
      <c r="H236" s="38">
        <f t="shared" si="16"/>
        <v>9600950.6638701316</v>
      </c>
      <c r="I236" s="38">
        <f t="shared" si="17"/>
        <v>9130350.4661298711</v>
      </c>
      <c r="J236" s="38" t="s">
        <v>213</v>
      </c>
      <c r="K236" s="38" t="str">
        <f t="shared" si="18"/>
        <v/>
      </c>
      <c r="L236" s="41">
        <f>VLOOKUP(INDICADORES!$B$21,'DATOS GENERALES'!$K:$M,3,0)*E236</f>
        <v>127485.72795971281</v>
      </c>
      <c r="M236" s="38" t="str">
        <f t="shared" si="19"/>
        <v/>
      </c>
      <c r="N236" s="36"/>
      <c r="O236" s="36"/>
      <c r="P236" s="36"/>
    </row>
    <row r="237" spans="1:16" x14ac:dyDescent="0.25">
      <c r="A237" s="36">
        <v>1880</v>
      </c>
      <c r="B237" s="37">
        <v>43466</v>
      </c>
      <c r="C237" s="36" t="s">
        <v>212</v>
      </c>
      <c r="D237" s="36"/>
      <c r="E237" s="38">
        <v>28582181.75662316</v>
      </c>
      <c r="F237" s="40">
        <f>VLOOKUP(A237,'DATOS GENERALES'!A:B,2,0)</f>
        <v>2.16</v>
      </c>
      <c r="G237" s="36">
        <f t="shared" si="15"/>
        <v>2.150064</v>
      </c>
      <c r="H237" s="38">
        <f t="shared" si="16"/>
        <v>13293642.308611818</v>
      </c>
      <c r="I237" s="38">
        <f t="shared" si="17"/>
        <v>15288539.448011342</v>
      </c>
      <c r="J237" s="38">
        <v>2916868.99130625</v>
      </c>
      <c r="K237" s="38">
        <f t="shared" si="18"/>
        <v>12371670.456705093</v>
      </c>
      <c r="L237" s="41">
        <f>VLOOKUP(INDICADORES!$B$21,'DATOS GENERALES'!$K:$M,3,0)*E237</f>
        <v>194531.0804962712</v>
      </c>
      <c r="M237" s="38">
        <f t="shared" si="19"/>
        <v>12177139.376208821</v>
      </c>
      <c r="N237" s="36"/>
      <c r="O237" s="36"/>
      <c r="P237" s="36"/>
    </row>
    <row r="238" spans="1:16" x14ac:dyDescent="0.25">
      <c r="A238" s="36">
        <v>1880</v>
      </c>
      <c r="B238" s="37">
        <v>43497</v>
      </c>
      <c r="C238" s="36" t="s">
        <v>212</v>
      </c>
      <c r="D238" s="36"/>
      <c r="E238" s="38">
        <v>28582181.75662316</v>
      </c>
      <c r="F238" s="40">
        <f>VLOOKUP(A238,'DATOS GENERALES'!A:B,2,0)</f>
        <v>2.16</v>
      </c>
      <c r="G238" s="36">
        <f t="shared" si="15"/>
        <v>2.150064</v>
      </c>
      <c r="H238" s="38">
        <f t="shared" si="16"/>
        <v>13293642.308611818</v>
      </c>
      <c r="I238" s="38">
        <f t="shared" si="17"/>
        <v>15288539.448011342</v>
      </c>
      <c r="J238" s="38">
        <v>2873525.1060215631</v>
      </c>
      <c r="K238" s="38">
        <f t="shared" si="18"/>
        <v>12415014.34198978</v>
      </c>
      <c r="L238" s="41">
        <f>VLOOKUP(INDICADORES!$B$21,'DATOS GENERALES'!$K:$M,3,0)*E238</f>
        <v>194531.0804962712</v>
      </c>
      <c r="M238" s="38">
        <f t="shared" si="19"/>
        <v>12220483.261493508</v>
      </c>
      <c r="N238" s="36"/>
      <c r="O238" s="36"/>
      <c r="P238" s="36"/>
    </row>
    <row r="239" spans="1:16" x14ac:dyDescent="0.25">
      <c r="A239" s="36">
        <v>1880</v>
      </c>
      <c r="B239" s="37">
        <v>43525</v>
      </c>
      <c r="C239" s="36" t="s">
        <v>212</v>
      </c>
      <c r="D239" s="36"/>
      <c r="E239" s="38">
        <v>25155129.655423157</v>
      </c>
      <c r="F239" s="40">
        <f>VLOOKUP(A239,'DATOS GENERALES'!A:B,2,0)</f>
        <v>2.16</v>
      </c>
      <c r="G239" s="36">
        <f t="shared" si="15"/>
        <v>2.150064</v>
      </c>
      <c r="H239" s="38">
        <f t="shared" si="16"/>
        <v>11699712.034350213</v>
      </c>
      <c r="I239" s="38">
        <f t="shared" si="17"/>
        <v>13455417.621072944</v>
      </c>
      <c r="J239" s="38">
        <v>1829688.9689906822</v>
      </c>
      <c r="K239" s="38">
        <f t="shared" si="18"/>
        <v>11625728.652082263</v>
      </c>
      <c r="L239" s="41">
        <f>VLOOKUP(INDICADORES!$B$21,'DATOS GENERALES'!$K:$M,3,0)*E239</f>
        <v>171206.47379409143</v>
      </c>
      <c r="M239" s="38">
        <f t="shared" si="19"/>
        <v>11454522.178288171</v>
      </c>
      <c r="N239" s="36"/>
      <c r="O239" s="36"/>
      <c r="P239" s="36"/>
    </row>
    <row r="240" spans="1:16" x14ac:dyDescent="0.25">
      <c r="A240" s="36">
        <v>1880</v>
      </c>
      <c r="B240" s="37">
        <v>43556</v>
      </c>
      <c r="C240" s="36" t="s">
        <v>212</v>
      </c>
      <c r="D240" s="36"/>
      <c r="E240" s="38">
        <v>25155129.655423157</v>
      </c>
      <c r="F240" s="40">
        <f>VLOOKUP(A240,'DATOS GENERALES'!A:B,2,0)</f>
        <v>2.16</v>
      </c>
      <c r="G240" s="36">
        <f t="shared" si="15"/>
        <v>2.150064</v>
      </c>
      <c r="H240" s="38">
        <f t="shared" si="16"/>
        <v>11699712.034350213</v>
      </c>
      <c r="I240" s="38">
        <f t="shared" si="17"/>
        <v>13455417.621072944</v>
      </c>
      <c r="J240" s="38">
        <v>1881058.160440132</v>
      </c>
      <c r="K240" s="38">
        <f t="shared" si="18"/>
        <v>11574359.460632812</v>
      </c>
      <c r="L240" s="41">
        <f>VLOOKUP(INDICADORES!$B$21,'DATOS GENERALES'!$K:$M,3,0)*E240</f>
        <v>171206.47379409143</v>
      </c>
      <c r="M240" s="38">
        <f t="shared" si="19"/>
        <v>11403152.986838721</v>
      </c>
      <c r="N240" s="36"/>
      <c r="O240" s="36"/>
      <c r="P240" s="36"/>
    </row>
    <row r="241" spans="1:16" x14ac:dyDescent="0.25">
      <c r="A241" s="36">
        <v>1880</v>
      </c>
      <c r="B241" s="37">
        <v>43586</v>
      </c>
      <c r="C241" s="36" t="s">
        <v>212</v>
      </c>
      <c r="D241" s="36"/>
      <c r="E241" s="38">
        <v>19133530.631668162</v>
      </c>
      <c r="F241" s="40">
        <f>VLOOKUP(A241,'DATOS GENERALES'!A:B,2,0)</f>
        <v>2.16</v>
      </c>
      <c r="G241" s="36">
        <f t="shared" si="15"/>
        <v>2.150064</v>
      </c>
      <c r="H241" s="38">
        <f t="shared" si="16"/>
        <v>8899051.6708656866</v>
      </c>
      <c r="I241" s="38">
        <f t="shared" si="17"/>
        <v>10234478.960802475</v>
      </c>
      <c r="J241" s="38">
        <v>1180287.7830768789</v>
      </c>
      <c r="K241" s="38">
        <f t="shared" si="18"/>
        <v>9054191.1777255964</v>
      </c>
      <c r="L241" s="41">
        <f>VLOOKUP(INDICADORES!$B$21,'DATOS GENERALES'!$K:$M,3,0)*E241</f>
        <v>130223.31252317435</v>
      </c>
      <c r="M241" s="38">
        <f t="shared" si="19"/>
        <v>8923967.8652024213</v>
      </c>
      <c r="N241" s="36"/>
      <c r="O241" s="36"/>
      <c r="P241" s="36"/>
    </row>
    <row r="242" spans="1:16" x14ac:dyDescent="0.25">
      <c r="A242" s="36">
        <v>1880</v>
      </c>
      <c r="B242" s="37">
        <v>43617</v>
      </c>
      <c r="C242" s="36" t="s">
        <v>212</v>
      </c>
      <c r="D242" s="36"/>
      <c r="E242" s="38">
        <v>15168446</v>
      </c>
      <c r="F242" s="40">
        <f>VLOOKUP(A242,'DATOS GENERALES'!A:B,2,0)</f>
        <v>2.16</v>
      </c>
      <c r="G242" s="36">
        <f t="shared" si="15"/>
        <v>2.150064</v>
      </c>
      <c r="H242" s="38">
        <f t="shared" si="16"/>
        <v>7054881.1570260236</v>
      </c>
      <c r="I242" s="38">
        <f t="shared" si="17"/>
        <v>8113564.8429739764</v>
      </c>
      <c r="J242" s="38">
        <v>1050972.8949746215</v>
      </c>
      <c r="K242" s="38">
        <f t="shared" si="18"/>
        <v>7062591.9479993545</v>
      </c>
      <c r="L242" s="41">
        <f>VLOOKUP(INDICADORES!$B$21,'DATOS GENERALES'!$K:$M,3,0)*E242</f>
        <v>103236.84227309166</v>
      </c>
      <c r="M242" s="38">
        <f t="shared" si="19"/>
        <v>6959355.1057262626</v>
      </c>
      <c r="N242" s="36"/>
      <c r="O242" s="36"/>
      <c r="P242" s="36"/>
    </row>
    <row r="243" spans="1:16" x14ac:dyDescent="0.25">
      <c r="A243" s="36">
        <v>1877</v>
      </c>
      <c r="B243" s="37">
        <v>43466</v>
      </c>
      <c r="C243" s="36" t="s">
        <v>212</v>
      </c>
      <c r="D243" s="36"/>
      <c r="E243" s="38">
        <v>103091506.81246251</v>
      </c>
      <c r="F243" s="40">
        <f>VLOOKUP(A243,'DATOS GENERALES'!A:B,2,0)</f>
        <v>1.82</v>
      </c>
      <c r="G243" s="36">
        <f t="shared" si="15"/>
        <v>1.811628</v>
      </c>
      <c r="H243" s="38">
        <f t="shared" si="16"/>
        <v>56905450.132401638</v>
      </c>
      <c r="I243" s="38">
        <f t="shared" si="17"/>
        <v>46186056.680060871</v>
      </c>
      <c r="J243" s="38">
        <v>12486099.676384287</v>
      </c>
      <c r="K243" s="38">
        <f t="shared" si="18"/>
        <v>33699957.003676586</v>
      </c>
      <c r="L243" s="41">
        <f>VLOOKUP(INDICADORES!$B$21,'DATOS GENERALES'!$K:$M,3,0)*E243</f>
        <v>701643.50576806266</v>
      </c>
      <c r="M243" s="38">
        <f t="shared" si="19"/>
        <v>32998313.497908521</v>
      </c>
      <c r="N243" s="36"/>
      <c r="O243" s="36"/>
      <c r="P243" s="36"/>
    </row>
    <row r="244" spans="1:16" x14ac:dyDescent="0.25">
      <c r="A244" s="36">
        <v>1877</v>
      </c>
      <c r="B244" s="37">
        <v>43497</v>
      </c>
      <c r="C244" s="36" t="s">
        <v>212</v>
      </c>
      <c r="D244" s="36"/>
      <c r="E244" s="38">
        <v>103091506.81246251</v>
      </c>
      <c r="F244" s="40">
        <f>VLOOKUP(A244,'DATOS GENERALES'!A:B,2,0)</f>
        <v>1.82</v>
      </c>
      <c r="G244" s="36">
        <f t="shared" si="15"/>
        <v>1.811628</v>
      </c>
      <c r="H244" s="38">
        <f t="shared" si="16"/>
        <v>56905450.132401638</v>
      </c>
      <c r="I244" s="38">
        <f t="shared" si="17"/>
        <v>46186056.680060871</v>
      </c>
      <c r="J244" s="38">
        <v>12300559.608030375</v>
      </c>
      <c r="K244" s="38">
        <f t="shared" si="18"/>
        <v>33885497.0720305</v>
      </c>
      <c r="L244" s="41">
        <f>VLOOKUP(INDICADORES!$B$21,'DATOS GENERALES'!$K:$M,3,0)*E244</f>
        <v>701643.50576806266</v>
      </c>
      <c r="M244" s="38">
        <f t="shared" si="19"/>
        <v>33183853.566262435</v>
      </c>
      <c r="N244" s="36"/>
      <c r="O244" s="36"/>
      <c r="P244" s="36"/>
    </row>
    <row r="245" spans="1:16" x14ac:dyDescent="0.25">
      <c r="A245" s="36">
        <v>1877</v>
      </c>
      <c r="B245" s="37">
        <v>43525</v>
      </c>
      <c r="C245" s="36" t="s">
        <v>212</v>
      </c>
      <c r="D245" s="36"/>
      <c r="E245" s="38">
        <v>93763648.062462509</v>
      </c>
      <c r="F245" s="40">
        <f>VLOOKUP(A245,'DATOS GENERALES'!A:B,2,0)</f>
        <v>1.82</v>
      </c>
      <c r="G245" s="36">
        <f t="shared" si="15"/>
        <v>1.811628</v>
      </c>
      <c r="H245" s="38">
        <f t="shared" si="16"/>
        <v>51756568.159943715</v>
      </c>
      <c r="I245" s="38">
        <f t="shared" si="17"/>
        <v>42007079.902518794</v>
      </c>
      <c r="J245" s="38">
        <v>8094081.4232888781</v>
      </c>
      <c r="K245" s="38">
        <f t="shared" si="18"/>
        <v>33912998.479229912</v>
      </c>
      <c r="L245" s="41">
        <f>VLOOKUP(INDICADORES!$B$21,'DATOS GENERALES'!$K:$M,3,0)*E245</f>
        <v>638157.85387468955</v>
      </c>
      <c r="M245" s="38">
        <f t="shared" si="19"/>
        <v>33274840.625355221</v>
      </c>
      <c r="N245" s="36"/>
      <c r="O245" s="36"/>
      <c r="P245" s="36"/>
    </row>
    <row r="246" spans="1:16" x14ac:dyDescent="0.25">
      <c r="A246" s="36">
        <v>1877</v>
      </c>
      <c r="B246" s="37">
        <v>43556</v>
      </c>
      <c r="C246" s="36" t="s">
        <v>212</v>
      </c>
      <c r="D246" s="36"/>
      <c r="E246" s="38">
        <v>93763648.062462509</v>
      </c>
      <c r="F246" s="40">
        <f>VLOOKUP(A246,'DATOS GENERALES'!A:B,2,0)</f>
        <v>1.82</v>
      </c>
      <c r="G246" s="36">
        <f t="shared" si="15"/>
        <v>1.811628</v>
      </c>
      <c r="H246" s="38">
        <f t="shared" si="16"/>
        <v>51756568.159943715</v>
      </c>
      <c r="I246" s="38">
        <f t="shared" si="17"/>
        <v>42007079.902518794</v>
      </c>
      <c r="J246" s="38">
        <v>8321325.7392830448</v>
      </c>
      <c r="K246" s="38">
        <f t="shared" si="18"/>
        <v>33685754.163235746</v>
      </c>
      <c r="L246" s="41">
        <f>VLOOKUP(INDICADORES!$B$21,'DATOS GENERALES'!$K:$M,3,0)*E246</f>
        <v>638157.85387468955</v>
      </c>
      <c r="M246" s="38">
        <f t="shared" si="19"/>
        <v>33047596.309361055</v>
      </c>
      <c r="N246" s="36"/>
      <c r="O246" s="36"/>
      <c r="P246" s="36"/>
    </row>
    <row r="247" spans="1:16" x14ac:dyDescent="0.25">
      <c r="A247" s="36">
        <v>1877</v>
      </c>
      <c r="B247" s="37">
        <v>43586</v>
      </c>
      <c r="C247" s="36" t="s">
        <v>212</v>
      </c>
      <c r="D247" s="36"/>
      <c r="E247" s="38">
        <v>93763648.062462509</v>
      </c>
      <c r="F247" s="40">
        <f>VLOOKUP(A247,'DATOS GENERALES'!A:B,2,0)</f>
        <v>1.82</v>
      </c>
      <c r="G247" s="36">
        <f t="shared" si="15"/>
        <v>1.811628</v>
      </c>
      <c r="H247" s="38">
        <f t="shared" si="16"/>
        <v>51756568.159943715</v>
      </c>
      <c r="I247" s="38">
        <f t="shared" si="17"/>
        <v>42007079.902518794</v>
      </c>
      <c r="J247" s="38">
        <v>6864511.7876054347</v>
      </c>
      <c r="K247" s="38">
        <f t="shared" si="18"/>
        <v>35142568.114913359</v>
      </c>
      <c r="L247" s="41">
        <f>VLOOKUP(INDICADORES!$B$21,'DATOS GENERALES'!$K:$M,3,0)*E247</f>
        <v>638157.85387468955</v>
      </c>
      <c r="M247" s="38">
        <f t="shared" si="19"/>
        <v>34504410.261038668</v>
      </c>
      <c r="N247" s="36"/>
      <c r="O247" s="36"/>
      <c r="P247" s="36"/>
    </row>
    <row r="248" spans="1:16" x14ac:dyDescent="0.25">
      <c r="A248" s="36">
        <v>1877</v>
      </c>
      <c r="B248" s="37">
        <v>43617</v>
      </c>
      <c r="C248" s="36" t="s">
        <v>212</v>
      </c>
      <c r="D248" s="36"/>
      <c r="E248" s="38">
        <v>93763648.062462509</v>
      </c>
      <c r="F248" s="40">
        <f>VLOOKUP(A248,'DATOS GENERALES'!A:B,2,0)</f>
        <v>1.82</v>
      </c>
      <c r="G248" s="36">
        <f t="shared" si="15"/>
        <v>1.811628</v>
      </c>
      <c r="H248" s="38">
        <f t="shared" si="16"/>
        <v>51756568.159943715</v>
      </c>
      <c r="I248" s="38">
        <f t="shared" si="17"/>
        <v>42007079.902518794</v>
      </c>
      <c r="J248" s="38">
        <v>7710229.1395561071</v>
      </c>
      <c r="K248" s="38">
        <f t="shared" si="18"/>
        <v>34296850.762962684</v>
      </c>
      <c r="L248" s="41">
        <f>VLOOKUP(INDICADORES!$B$21,'DATOS GENERALES'!$K:$M,3,0)*E248</f>
        <v>638157.85387468955</v>
      </c>
      <c r="M248" s="38">
        <f t="shared" si="19"/>
        <v>33658692.909087993</v>
      </c>
      <c r="N248" s="36"/>
      <c r="O248" s="36"/>
      <c r="P248" s="36"/>
    </row>
    <row r="249" spans="1:16" x14ac:dyDescent="0.25">
      <c r="A249" s="36">
        <v>1877</v>
      </c>
      <c r="B249" s="37">
        <v>43647</v>
      </c>
      <c r="C249" s="36" t="s">
        <v>212</v>
      </c>
      <c r="D249" s="36"/>
      <c r="E249" s="38">
        <v>93763648.062462509</v>
      </c>
      <c r="F249" s="40">
        <f>VLOOKUP(A249,'DATOS GENERALES'!A:B,2,0)</f>
        <v>1.82</v>
      </c>
      <c r="G249" s="36">
        <f t="shared" si="15"/>
        <v>1.811628</v>
      </c>
      <c r="H249" s="38">
        <f t="shared" si="16"/>
        <v>51756568.159943715</v>
      </c>
      <c r="I249" s="38">
        <f t="shared" si="17"/>
        <v>42007079.902518794</v>
      </c>
      <c r="J249" s="38">
        <v>13388949.341263399</v>
      </c>
      <c r="K249" s="38">
        <f t="shared" si="18"/>
        <v>28618130.561255395</v>
      </c>
      <c r="L249" s="41">
        <f>VLOOKUP(INDICADORES!$B$21,'DATOS GENERALES'!$K:$M,3,0)*E249</f>
        <v>638157.85387468955</v>
      </c>
      <c r="M249" s="38">
        <f t="shared" si="19"/>
        <v>27979972.707380705</v>
      </c>
      <c r="N249" s="36"/>
      <c r="O249" s="36"/>
      <c r="P249" s="36"/>
    </row>
    <row r="250" spans="1:16" x14ac:dyDescent="0.25">
      <c r="A250" s="36">
        <v>1877</v>
      </c>
      <c r="B250" s="37">
        <v>43678</v>
      </c>
      <c r="C250" s="36" t="s">
        <v>212</v>
      </c>
      <c r="D250" s="36"/>
      <c r="E250" s="38">
        <v>88864260.739212513</v>
      </c>
      <c r="F250" s="40">
        <f>VLOOKUP(A250,'DATOS GENERALES'!A:B,2,0)</f>
        <v>1.82</v>
      </c>
      <c r="G250" s="36">
        <f t="shared" si="15"/>
        <v>1.811628</v>
      </c>
      <c r="H250" s="38">
        <f t="shared" si="16"/>
        <v>49052156.811007842</v>
      </c>
      <c r="I250" s="38">
        <f t="shared" si="17"/>
        <v>39812103.928204671</v>
      </c>
      <c r="J250" s="38">
        <v>12742151.251776779</v>
      </c>
      <c r="K250" s="38">
        <f t="shared" si="18"/>
        <v>27069952.676427893</v>
      </c>
      <c r="L250" s="41">
        <f>VLOOKUP(INDICADORES!$B$21,'DATOS GENERALES'!$K:$M,3,0)*E250</f>
        <v>604812.49494173459</v>
      </c>
      <c r="M250" s="38">
        <f t="shared" si="19"/>
        <v>26465140.18148616</v>
      </c>
      <c r="N250" s="36"/>
      <c r="O250" s="36"/>
      <c r="P250" s="36"/>
    </row>
    <row r="251" spans="1:16" x14ac:dyDescent="0.25">
      <c r="A251" s="36">
        <v>1877</v>
      </c>
      <c r="B251" s="37">
        <v>43709</v>
      </c>
      <c r="C251" s="36" t="s">
        <v>212</v>
      </c>
      <c r="D251" s="36"/>
      <c r="E251" s="38">
        <v>70971349.444212496</v>
      </c>
      <c r="F251" s="40">
        <f>VLOOKUP(A251,'DATOS GENERALES'!A:B,2,0)</f>
        <v>1.82</v>
      </c>
      <c r="G251" s="36">
        <f t="shared" si="15"/>
        <v>1.811628</v>
      </c>
      <c r="H251" s="38">
        <f t="shared" si="16"/>
        <v>39175454.035934806</v>
      </c>
      <c r="I251" s="38">
        <f t="shared" si="17"/>
        <v>31795895.40827769</v>
      </c>
      <c r="J251" s="38">
        <v>11232432.635994496</v>
      </c>
      <c r="K251" s="38">
        <f t="shared" si="18"/>
        <v>20563462.772283196</v>
      </c>
      <c r="L251" s="41">
        <f>VLOOKUP(INDICADORES!$B$21,'DATOS GENERALES'!$K:$M,3,0)*E251</f>
        <v>483032.87024133105</v>
      </c>
      <c r="M251" s="38">
        <f t="shared" si="19"/>
        <v>20080429.902041864</v>
      </c>
      <c r="N251" s="36"/>
      <c r="O251" s="36"/>
      <c r="P251" s="36"/>
    </row>
    <row r="252" spans="1:16" x14ac:dyDescent="0.25">
      <c r="A252" s="36">
        <v>1877</v>
      </c>
      <c r="B252" s="37">
        <v>43739</v>
      </c>
      <c r="C252" s="36" t="s">
        <v>212</v>
      </c>
      <c r="D252" s="36"/>
      <c r="E252" s="38">
        <v>70971349.444212496</v>
      </c>
      <c r="F252" s="40">
        <f>VLOOKUP(A252,'DATOS GENERALES'!A:B,2,0)</f>
        <v>1.82</v>
      </c>
      <c r="G252" s="36">
        <f t="shared" si="15"/>
        <v>1.811628</v>
      </c>
      <c r="H252" s="38">
        <f t="shared" si="16"/>
        <v>39175454.035934806</v>
      </c>
      <c r="I252" s="38">
        <f t="shared" si="17"/>
        <v>31795895.40827769</v>
      </c>
      <c r="J252" s="38">
        <v>12189921.867906351</v>
      </c>
      <c r="K252" s="38">
        <f t="shared" si="18"/>
        <v>19605973.54037134</v>
      </c>
      <c r="L252" s="41">
        <f>VLOOKUP(INDICADORES!$B$21,'DATOS GENERALES'!$K:$M,3,0)*E252</f>
        <v>483032.87024133105</v>
      </c>
      <c r="M252" s="38">
        <f t="shared" si="19"/>
        <v>19122940.670130007</v>
      </c>
      <c r="N252" s="36"/>
      <c r="O252" s="36"/>
      <c r="P252" s="36"/>
    </row>
    <row r="253" spans="1:16" x14ac:dyDescent="0.25">
      <c r="A253" s="36">
        <v>1877</v>
      </c>
      <c r="B253" s="37">
        <v>43770</v>
      </c>
      <c r="C253" s="36" t="s">
        <v>212</v>
      </c>
      <c r="D253" s="36"/>
      <c r="E253" s="38">
        <v>60371192.323249996</v>
      </c>
      <c r="F253" s="40">
        <f>VLOOKUP(A253,'DATOS GENERALES'!A:B,2,0)</f>
        <v>1.82</v>
      </c>
      <c r="G253" s="36">
        <f t="shared" si="15"/>
        <v>1.811628</v>
      </c>
      <c r="H253" s="38">
        <f t="shared" si="16"/>
        <v>33324276.464732271</v>
      </c>
      <c r="I253" s="38">
        <f t="shared" si="17"/>
        <v>27046915.858517725</v>
      </c>
      <c r="J253" s="38">
        <v>13607538.674955415</v>
      </c>
      <c r="K253" s="38">
        <f t="shared" si="18"/>
        <v>13439377.18356231</v>
      </c>
      <c r="L253" s="41">
        <f>VLOOKUP(INDICADORES!$B$21,'DATOS GENERALES'!$K:$M,3,0)*E253</f>
        <v>410887.92218489898</v>
      </c>
      <c r="M253" s="38">
        <f t="shared" si="19"/>
        <v>13028489.261377411</v>
      </c>
      <c r="N253" s="36"/>
      <c r="O253" s="36"/>
      <c r="P253" s="36"/>
    </row>
    <row r="254" spans="1:16" x14ac:dyDescent="0.25">
      <c r="A254" s="36">
        <v>1877</v>
      </c>
      <c r="B254" s="37">
        <v>43800</v>
      </c>
      <c r="C254" s="36" t="s">
        <v>212</v>
      </c>
      <c r="D254" s="36"/>
      <c r="E254" s="38">
        <v>60371192.323249996</v>
      </c>
      <c r="F254" s="40">
        <f>VLOOKUP(A254,'DATOS GENERALES'!A:B,2,0)</f>
        <v>1.82</v>
      </c>
      <c r="G254" s="36">
        <f t="shared" si="15"/>
        <v>1.811628</v>
      </c>
      <c r="H254" s="38">
        <f t="shared" si="16"/>
        <v>33324276.464732271</v>
      </c>
      <c r="I254" s="38">
        <f t="shared" si="17"/>
        <v>27046915.858517725</v>
      </c>
      <c r="J254" s="38">
        <v>11737176.126179038</v>
      </c>
      <c r="K254" s="38">
        <f t="shared" si="18"/>
        <v>15309739.732338687</v>
      </c>
      <c r="L254" s="41">
        <f>VLOOKUP(INDICADORES!$B$21,'DATOS GENERALES'!$K:$M,3,0)*E254</f>
        <v>410887.92218489898</v>
      </c>
      <c r="M254" s="38">
        <f t="shared" si="19"/>
        <v>14898851.810153788</v>
      </c>
      <c r="N254" s="36"/>
      <c r="O254" s="36"/>
      <c r="P254" s="36"/>
    </row>
    <row r="255" spans="1:16" x14ac:dyDescent="0.25">
      <c r="A255" s="36">
        <v>1877</v>
      </c>
      <c r="B255" s="37">
        <v>43831</v>
      </c>
      <c r="C255" s="36" t="s">
        <v>212</v>
      </c>
      <c r="D255" s="36"/>
      <c r="E255" s="38">
        <v>48562280</v>
      </c>
      <c r="F255" s="40">
        <f>VLOOKUP(A255,'DATOS GENERALES'!A:B,2,0)</f>
        <v>1.82</v>
      </c>
      <c r="G255" s="36">
        <f t="shared" si="15"/>
        <v>1.811628</v>
      </c>
      <c r="H255" s="38">
        <f t="shared" si="16"/>
        <v>26805878.469531272</v>
      </c>
      <c r="I255" s="38">
        <f t="shared" si="17"/>
        <v>21756401.530468728</v>
      </c>
      <c r="J255" s="38" t="s">
        <v>213</v>
      </c>
      <c r="K255" s="38" t="str">
        <f t="shared" si="18"/>
        <v/>
      </c>
      <c r="L255" s="41">
        <f>VLOOKUP(INDICADORES!$B$21,'DATOS GENERALES'!$K:$M,3,0)*E255</f>
        <v>330516.15444203804</v>
      </c>
      <c r="M255" s="38" t="str">
        <f t="shared" si="19"/>
        <v/>
      </c>
      <c r="N255" s="36"/>
      <c r="O255" s="36"/>
      <c r="P255" s="36"/>
    </row>
    <row r="256" spans="1:16" x14ac:dyDescent="0.25">
      <c r="A256" s="36">
        <v>1877</v>
      </c>
      <c r="B256" s="37">
        <v>43862</v>
      </c>
      <c r="C256" s="36" t="s">
        <v>212</v>
      </c>
      <c r="D256" s="36"/>
      <c r="E256" s="38">
        <v>48562280</v>
      </c>
      <c r="F256" s="40">
        <f>VLOOKUP(A256,'DATOS GENERALES'!A:B,2,0)</f>
        <v>1.82</v>
      </c>
      <c r="G256" s="36">
        <f t="shared" si="15"/>
        <v>1.811628</v>
      </c>
      <c r="H256" s="38">
        <f t="shared" si="16"/>
        <v>26805878.469531272</v>
      </c>
      <c r="I256" s="38">
        <f t="shared" si="17"/>
        <v>21756401.530468728</v>
      </c>
      <c r="J256" s="38" t="s">
        <v>213</v>
      </c>
      <c r="K256" s="38" t="str">
        <f t="shared" si="18"/>
        <v/>
      </c>
      <c r="L256" s="41">
        <f>VLOOKUP(INDICADORES!$B$21,'DATOS GENERALES'!$K:$M,3,0)*E256</f>
        <v>330516.15444203804</v>
      </c>
      <c r="M256" s="38" t="str">
        <f t="shared" si="19"/>
        <v/>
      </c>
      <c r="N256" s="36"/>
      <c r="O256" s="36"/>
      <c r="P256" s="36"/>
    </row>
    <row r="257" spans="1:16" x14ac:dyDescent="0.25">
      <c r="A257" s="36">
        <v>1877</v>
      </c>
      <c r="B257" s="37">
        <v>43891</v>
      </c>
      <c r="C257" s="36" t="s">
        <v>212</v>
      </c>
      <c r="D257" s="36"/>
      <c r="E257" s="38">
        <v>48562280</v>
      </c>
      <c r="F257" s="40">
        <f>VLOOKUP(A257,'DATOS GENERALES'!A:B,2,0)</f>
        <v>1.82</v>
      </c>
      <c r="G257" s="36">
        <f t="shared" si="15"/>
        <v>1.811628</v>
      </c>
      <c r="H257" s="38">
        <f t="shared" si="16"/>
        <v>26805878.469531272</v>
      </c>
      <c r="I257" s="38">
        <f t="shared" si="17"/>
        <v>21756401.530468728</v>
      </c>
      <c r="J257" s="38" t="s">
        <v>213</v>
      </c>
      <c r="K257" s="38" t="str">
        <f t="shared" si="18"/>
        <v/>
      </c>
      <c r="L257" s="41">
        <f>VLOOKUP(INDICADORES!$B$21,'DATOS GENERALES'!$K:$M,3,0)*E257</f>
        <v>330516.15444203804</v>
      </c>
      <c r="M257" s="38" t="str">
        <f t="shared" si="19"/>
        <v/>
      </c>
      <c r="N257" s="36"/>
      <c r="O257" s="36"/>
      <c r="P257" s="36"/>
    </row>
    <row r="258" spans="1:16" x14ac:dyDescent="0.25">
      <c r="A258" s="36">
        <v>1753</v>
      </c>
      <c r="B258" s="37">
        <v>43466</v>
      </c>
      <c r="C258" s="36" t="s">
        <v>212</v>
      </c>
      <c r="D258" s="36"/>
      <c r="E258" s="38">
        <v>28159952.859999999</v>
      </c>
      <c r="F258" s="40">
        <f>VLOOKUP(A258,'DATOS GENERALES'!A:B,2,0)</f>
        <v>2.42</v>
      </c>
      <c r="G258" s="36">
        <f t="shared" si="15"/>
        <v>2.408868</v>
      </c>
      <c r="H258" s="38">
        <f t="shared" si="16"/>
        <v>11690118.703058863</v>
      </c>
      <c r="I258" s="38">
        <f t="shared" si="17"/>
        <v>16469834.156941136</v>
      </c>
      <c r="J258" s="38">
        <v>2565026.4959778627</v>
      </c>
      <c r="K258" s="38">
        <f t="shared" si="18"/>
        <v>13904807.660963275</v>
      </c>
      <c r="L258" s="41">
        <f>VLOOKUP(INDICADORES!$B$21,'DATOS GENERALES'!$K:$M,3,0)*E258</f>
        <v>191657.37952493725</v>
      </c>
      <c r="M258" s="38">
        <f t="shared" si="19"/>
        <v>13713150.281438338</v>
      </c>
      <c r="N258" s="36"/>
      <c r="O258" s="36"/>
      <c r="P258" s="36"/>
    </row>
    <row r="259" spans="1:16" x14ac:dyDescent="0.25">
      <c r="A259" s="36">
        <v>1723</v>
      </c>
      <c r="B259" s="37">
        <v>43466</v>
      </c>
      <c r="C259" s="36" t="s">
        <v>212</v>
      </c>
      <c r="D259" s="36"/>
      <c r="E259" s="38">
        <v>141764652.89297777</v>
      </c>
      <c r="F259" s="40">
        <f>VLOOKUP(A259,'DATOS GENERALES'!A:B,2,0)</f>
        <v>1.82</v>
      </c>
      <c r="G259" s="36">
        <f t="shared" ref="G259:G322" si="20">F259*0.9954</f>
        <v>1.811628</v>
      </c>
      <c r="H259" s="38">
        <f t="shared" ref="H259:H322" si="21">E259/G259</f>
        <v>78252628.515886143</v>
      </c>
      <c r="I259" s="38">
        <f t="shared" ref="I259:I322" si="22">E259-H259</f>
        <v>63512024.377091631</v>
      </c>
      <c r="J259" s="38">
        <v>17170062.222776227</v>
      </c>
      <c r="K259" s="38">
        <f t="shared" ref="K259:K322" si="23">IFERROR(I259-J259,"")</f>
        <v>46341962.154315405</v>
      </c>
      <c r="L259" s="41">
        <f>VLOOKUP(INDICADORES!$B$21,'DATOS GENERALES'!$K:$M,3,0)*E259</f>
        <v>964853.9547566002</v>
      </c>
      <c r="M259" s="38">
        <f t="shared" ref="M259:M322" si="24">IFERROR(K259-L259,"")</f>
        <v>45377108.199558802</v>
      </c>
      <c r="N259" s="36"/>
      <c r="O259" s="36"/>
      <c r="P259" s="36"/>
    </row>
    <row r="260" spans="1:16" x14ac:dyDescent="0.25">
      <c r="A260" s="36">
        <v>1723</v>
      </c>
      <c r="B260" s="37">
        <v>43497</v>
      </c>
      <c r="C260" s="36" t="s">
        <v>212</v>
      </c>
      <c r="D260" s="36"/>
      <c r="E260" s="38">
        <v>135543402.89297777</v>
      </c>
      <c r="F260" s="40">
        <f>VLOOKUP(A260,'DATOS GENERALES'!A:B,2,0)</f>
        <v>1.82</v>
      </c>
      <c r="G260" s="36">
        <f t="shared" si="20"/>
        <v>1.811628</v>
      </c>
      <c r="H260" s="38">
        <f t="shared" si="21"/>
        <v>74818562.581820205</v>
      </c>
      <c r="I260" s="38">
        <f t="shared" si="22"/>
        <v>60724840.311157569</v>
      </c>
      <c r="J260" s="38">
        <v>16172619.435986342</v>
      </c>
      <c r="K260" s="38">
        <f t="shared" si="23"/>
        <v>44552220.875171229</v>
      </c>
      <c r="L260" s="41">
        <f>VLOOKUP(INDICADORES!$B$21,'DATOS GENERALES'!$K:$M,3,0)*E260</f>
        <v>922511.96369229001</v>
      </c>
      <c r="M260" s="38">
        <f t="shared" si="24"/>
        <v>43629708.911478937</v>
      </c>
      <c r="N260" s="36"/>
      <c r="O260" s="36"/>
      <c r="P260" s="36"/>
    </row>
    <row r="261" spans="1:16" x14ac:dyDescent="0.25">
      <c r="A261" s="36">
        <v>1723</v>
      </c>
      <c r="B261" s="37">
        <v>43525</v>
      </c>
      <c r="C261" s="36" t="s">
        <v>212</v>
      </c>
      <c r="D261" s="36"/>
      <c r="E261" s="38">
        <v>129322152.89297776</v>
      </c>
      <c r="F261" s="40">
        <f>VLOOKUP(A261,'DATOS GENERALES'!A:B,2,0)</f>
        <v>1.82</v>
      </c>
      <c r="G261" s="36">
        <f t="shared" si="20"/>
        <v>1.811628</v>
      </c>
      <c r="H261" s="38">
        <f t="shared" si="21"/>
        <v>71384496.647754267</v>
      </c>
      <c r="I261" s="38">
        <f t="shared" si="22"/>
        <v>57937656.245223492</v>
      </c>
      <c r="J261" s="38">
        <v>11163644.514486745</v>
      </c>
      <c r="K261" s="38">
        <f t="shared" si="23"/>
        <v>46774011.730736747</v>
      </c>
      <c r="L261" s="41">
        <f>VLOOKUP(INDICADORES!$B$21,'DATOS GENERALES'!$K:$M,3,0)*E261</f>
        <v>880169.97262797982</v>
      </c>
      <c r="M261" s="38">
        <f t="shared" si="24"/>
        <v>45893841.758108765</v>
      </c>
      <c r="N261" s="36"/>
      <c r="O261" s="36"/>
      <c r="P261" s="36"/>
    </row>
    <row r="262" spans="1:16" x14ac:dyDescent="0.25">
      <c r="A262" s="36">
        <v>1723</v>
      </c>
      <c r="B262" s="37">
        <v>43556</v>
      </c>
      <c r="C262" s="36" t="s">
        <v>212</v>
      </c>
      <c r="D262" s="36"/>
      <c r="E262" s="38">
        <v>125198487.89297776</v>
      </c>
      <c r="F262" s="40">
        <f>VLOOKUP(A262,'DATOS GENERALES'!A:B,2,0)</f>
        <v>1.82</v>
      </c>
      <c r="G262" s="36">
        <f t="shared" si="20"/>
        <v>1.811628</v>
      </c>
      <c r="H262" s="38">
        <f t="shared" si="21"/>
        <v>69108276.032926053</v>
      </c>
      <c r="I262" s="38">
        <f t="shared" si="22"/>
        <v>56090211.860051706</v>
      </c>
      <c r="J262" s="38">
        <v>11111101.384719215</v>
      </c>
      <c r="K262" s="38">
        <f t="shared" si="23"/>
        <v>44979110.475332491</v>
      </c>
      <c r="L262" s="41">
        <f>VLOOKUP(INDICADORES!$B$21,'DATOS GENERALES'!$K:$M,3,0)*E262</f>
        <v>852104.20022175775</v>
      </c>
      <c r="M262" s="38">
        <f t="shared" si="24"/>
        <v>44127006.275110736</v>
      </c>
      <c r="N262" s="36"/>
      <c r="O262" s="36"/>
      <c r="P262" s="36"/>
    </row>
    <row r="263" spans="1:16" x14ac:dyDescent="0.25">
      <c r="A263" s="36">
        <v>1723</v>
      </c>
      <c r="B263" s="37">
        <v>43586</v>
      </c>
      <c r="C263" s="36" t="s">
        <v>212</v>
      </c>
      <c r="D263" s="36"/>
      <c r="E263" s="38">
        <v>125198487.89297776</v>
      </c>
      <c r="F263" s="40">
        <f>VLOOKUP(A263,'DATOS GENERALES'!A:B,2,0)</f>
        <v>1.82</v>
      </c>
      <c r="G263" s="36">
        <f t="shared" si="20"/>
        <v>1.811628</v>
      </c>
      <c r="H263" s="38">
        <f t="shared" si="21"/>
        <v>69108276.032926053</v>
      </c>
      <c r="I263" s="38">
        <f t="shared" si="22"/>
        <v>56090211.860051706</v>
      </c>
      <c r="J263" s="38">
        <v>9165881.5936768819</v>
      </c>
      <c r="K263" s="38">
        <f t="shared" si="23"/>
        <v>46924330.266374826</v>
      </c>
      <c r="L263" s="41">
        <f>VLOOKUP(INDICADORES!$B$21,'DATOS GENERALES'!$K:$M,3,0)*E263</f>
        <v>852104.20022175775</v>
      </c>
      <c r="M263" s="38">
        <f t="shared" si="24"/>
        <v>46072226.066153072</v>
      </c>
      <c r="N263" s="36"/>
      <c r="O263" s="36"/>
      <c r="P263" s="36"/>
    </row>
    <row r="264" spans="1:16" x14ac:dyDescent="0.25">
      <c r="A264" s="36">
        <v>1723</v>
      </c>
      <c r="B264" s="37">
        <v>43617</v>
      </c>
      <c r="C264" s="36" t="s">
        <v>212</v>
      </c>
      <c r="D264" s="36"/>
      <c r="E264" s="38">
        <v>125198487.89297776</v>
      </c>
      <c r="F264" s="40">
        <f>VLOOKUP(A264,'DATOS GENERALES'!A:B,2,0)</f>
        <v>1.82</v>
      </c>
      <c r="G264" s="36">
        <f t="shared" si="20"/>
        <v>1.811628</v>
      </c>
      <c r="H264" s="38">
        <f t="shared" si="21"/>
        <v>69108276.032926053</v>
      </c>
      <c r="I264" s="38">
        <f t="shared" si="22"/>
        <v>56090211.860051706</v>
      </c>
      <c r="J264" s="38">
        <v>10295130.890574351</v>
      </c>
      <c r="K264" s="38">
        <f t="shared" si="23"/>
        <v>45795080.969477355</v>
      </c>
      <c r="L264" s="41">
        <f>VLOOKUP(INDICADORES!$B$21,'DATOS GENERALES'!$K:$M,3,0)*E264</f>
        <v>852104.20022175775</v>
      </c>
      <c r="M264" s="38">
        <f t="shared" si="24"/>
        <v>44942976.769255601</v>
      </c>
      <c r="N264" s="36"/>
      <c r="O264" s="36"/>
      <c r="P264" s="36"/>
    </row>
    <row r="265" spans="1:16" x14ac:dyDescent="0.25">
      <c r="A265" s="36">
        <v>1577</v>
      </c>
      <c r="B265" s="37">
        <v>43466</v>
      </c>
      <c r="C265" s="36" t="s">
        <v>212</v>
      </c>
      <c r="D265" s="36"/>
      <c r="E265" s="38">
        <v>121885113.19781627</v>
      </c>
      <c r="F265" s="40">
        <f>VLOOKUP(A265,'DATOS GENERALES'!A:B,2,0)</f>
        <v>1.41</v>
      </c>
      <c r="G265" s="36">
        <f t="shared" si="20"/>
        <v>1.4035139999999999</v>
      </c>
      <c r="H265" s="38">
        <f t="shared" si="21"/>
        <v>86842819.663940847</v>
      </c>
      <c r="I265" s="38">
        <f t="shared" si="22"/>
        <v>35042293.533875421</v>
      </c>
      <c r="J265" s="38">
        <v>19054907.74573138</v>
      </c>
      <c r="K265" s="38">
        <f t="shared" si="23"/>
        <v>15987385.788144041</v>
      </c>
      <c r="L265" s="41">
        <f>VLOOKUP(INDICADORES!$B$21,'DATOS GENERALES'!$K:$M,3,0)*E265</f>
        <v>829553.28493379487</v>
      </c>
      <c r="M265" s="38">
        <f t="shared" si="24"/>
        <v>15157832.503210247</v>
      </c>
      <c r="N265" s="36"/>
      <c r="O265" s="36"/>
      <c r="P265" s="36"/>
    </row>
    <row r="266" spans="1:16" x14ac:dyDescent="0.25">
      <c r="A266" s="36">
        <v>1577</v>
      </c>
      <c r="B266" s="37">
        <v>43497</v>
      </c>
      <c r="C266" s="36" t="s">
        <v>212</v>
      </c>
      <c r="D266" s="36"/>
      <c r="E266" s="38">
        <v>106137074.99812877</v>
      </c>
      <c r="F266" s="40">
        <f>VLOOKUP(A266,'DATOS GENERALES'!A:B,2,0)</f>
        <v>1.41</v>
      </c>
      <c r="G266" s="36">
        <f t="shared" si="20"/>
        <v>1.4035139999999999</v>
      </c>
      <c r="H266" s="38">
        <f t="shared" si="21"/>
        <v>75622384.242785454</v>
      </c>
      <c r="I266" s="38">
        <f t="shared" si="22"/>
        <v>30514690.755343318</v>
      </c>
      <c r="J266" s="38">
        <v>16346371.7959435</v>
      </c>
      <c r="K266" s="38">
        <f t="shared" si="23"/>
        <v>14168318.959399818</v>
      </c>
      <c r="L266" s="41">
        <f>VLOOKUP(INDICADORES!$B$21,'DATOS GENERALES'!$K:$M,3,0)*E266</f>
        <v>722371.72291143867</v>
      </c>
      <c r="M266" s="38">
        <f t="shared" si="24"/>
        <v>13445947.23648838</v>
      </c>
      <c r="N266" s="36"/>
      <c r="O266" s="36"/>
      <c r="P266" s="36"/>
    </row>
    <row r="267" spans="1:16" x14ac:dyDescent="0.25">
      <c r="A267" s="36">
        <v>1577</v>
      </c>
      <c r="B267" s="37">
        <v>43525</v>
      </c>
      <c r="C267" s="36" t="s">
        <v>212</v>
      </c>
      <c r="D267" s="36"/>
      <c r="E267" s="38">
        <v>106137074.99812877</v>
      </c>
      <c r="F267" s="40">
        <f>VLOOKUP(A267,'DATOS GENERALES'!A:B,2,0)</f>
        <v>1.41</v>
      </c>
      <c r="G267" s="36">
        <f t="shared" si="20"/>
        <v>1.4035139999999999</v>
      </c>
      <c r="H267" s="38">
        <f t="shared" si="21"/>
        <v>75622384.242785454</v>
      </c>
      <c r="I267" s="38">
        <f t="shared" si="22"/>
        <v>30514690.755343318</v>
      </c>
      <c r="J267" s="38">
        <v>11826397.252475962</v>
      </c>
      <c r="K267" s="38">
        <f t="shared" si="23"/>
        <v>18688293.502867356</v>
      </c>
      <c r="L267" s="41">
        <f>VLOOKUP(INDICADORES!$B$21,'DATOS GENERALES'!$K:$M,3,0)*E267</f>
        <v>722371.72291143867</v>
      </c>
      <c r="M267" s="38">
        <f t="shared" si="24"/>
        <v>17965921.779955916</v>
      </c>
      <c r="N267" s="36"/>
      <c r="O267" s="36"/>
      <c r="P267" s="36"/>
    </row>
    <row r="268" spans="1:16" x14ac:dyDescent="0.25">
      <c r="A268" s="36">
        <v>1577</v>
      </c>
      <c r="B268" s="37">
        <v>43556</v>
      </c>
      <c r="C268" s="36" t="s">
        <v>212</v>
      </c>
      <c r="D268" s="36"/>
      <c r="E268" s="38">
        <v>99367677.590628773</v>
      </c>
      <c r="F268" s="40">
        <f>VLOOKUP(A268,'DATOS GENERALES'!A:B,2,0)</f>
        <v>1.41</v>
      </c>
      <c r="G268" s="36">
        <f t="shared" si="20"/>
        <v>1.4035139999999999</v>
      </c>
      <c r="H268" s="38">
        <f t="shared" si="21"/>
        <v>70799206.556278586</v>
      </c>
      <c r="I268" s="38">
        <f t="shared" si="22"/>
        <v>28568471.034350187</v>
      </c>
      <c r="J268" s="38">
        <v>11382966.081076784</v>
      </c>
      <c r="K268" s="38">
        <f t="shared" si="23"/>
        <v>17185504.953273401</v>
      </c>
      <c r="L268" s="41">
        <f>VLOOKUP(INDICADORES!$B$21,'DATOS GENERALES'!$K:$M,3,0)*E268</f>
        <v>676299.02618021437</v>
      </c>
      <c r="M268" s="38">
        <f t="shared" si="24"/>
        <v>16509205.927093185</v>
      </c>
      <c r="N268" s="36"/>
      <c r="O268" s="36"/>
      <c r="P268" s="36"/>
    </row>
    <row r="269" spans="1:16" x14ac:dyDescent="0.25">
      <c r="A269" s="36">
        <v>1577</v>
      </c>
      <c r="B269" s="37">
        <v>43586</v>
      </c>
      <c r="C269" s="36" t="s">
        <v>212</v>
      </c>
      <c r="D269" s="36"/>
      <c r="E269" s="38">
        <v>99367677.590628773</v>
      </c>
      <c r="F269" s="40">
        <f>VLOOKUP(A269,'DATOS GENERALES'!A:B,2,0)</f>
        <v>1.41</v>
      </c>
      <c r="G269" s="36">
        <f t="shared" si="20"/>
        <v>1.4035139999999999</v>
      </c>
      <c r="H269" s="38">
        <f t="shared" si="21"/>
        <v>70799206.556278586</v>
      </c>
      <c r="I269" s="38">
        <f t="shared" si="22"/>
        <v>28568471.034350187</v>
      </c>
      <c r="J269" s="38">
        <v>9390150.9554650281</v>
      </c>
      <c r="K269" s="38">
        <f t="shared" si="23"/>
        <v>19178320.07888516</v>
      </c>
      <c r="L269" s="41">
        <f>VLOOKUP(INDICADORES!$B$21,'DATOS GENERALES'!$K:$M,3,0)*E269</f>
        <v>676299.02618021437</v>
      </c>
      <c r="M269" s="38">
        <f t="shared" si="24"/>
        <v>18502021.052704945</v>
      </c>
      <c r="N269" s="36"/>
      <c r="O269" s="36"/>
      <c r="P269" s="36"/>
    </row>
    <row r="270" spans="1:16" x14ac:dyDescent="0.25">
      <c r="A270" s="36">
        <v>1577</v>
      </c>
      <c r="B270" s="37">
        <v>43617</v>
      </c>
      <c r="C270" s="36" t="s">
        <v>212</v>
      </c>
      <c r="D270" s="36"/>
      <c r="E270" s="38">
        <v>38237656.60828501</v>
      </c>
      <c r="F270" s="40">
        <f>VLOOKUP(A270,'DATOS GENERALES'!A:B,2,0)</f>
        <v>1.41</v>
      </c>
      <c r="G270" s="36">
        <f t="shared" si="20"/>
        <v>1.4035139999999999</v>
      </c>
      <c r="H270" s="38">
        <f t="shared" si="21"/>
        <v>27244228.848650608</v>
      </c>
      <c r="I270" s="38">
        <f t="shared" si="22"/>
        <v>10993427.759634402</v>
      </c>
      <c r="J270" s="38">
        <v>4058600.7655000109</v>
      </c>
      <c r="K270" s="38">
        <f t="shared" si="23"/>
        <v>6934826.9941343907</v>
      </c>
      <c r="L270" s="41">
        <f>VLOOKUP(INDICADORES!$B$21,'DATOS GENERALES'!$K:$M,3,0)*E270</f>
        <v>260246.49619098494</v>
      </c>
      <c r="M270" s="38">
        <f t="shared" si="24"/>
        <v>6674580.497943406</v>
      </c>
      <c r="N270" s="36"/>
      <c r="O270" s="36"/>
      <c r="P270" s="36"/>
    </row>
    <row r="271" spans="1:16" x14ac:dyDescent="0.25">
      <c r="A271" s="36">
        <v>1577</v>
      </c>
      <c r="B271" s="37">
        <v>43647</v>
      </c>
      <c r="C271" s="36" t="s">
        <v>212</v>
      </c>
      <c r="D271" s="36"/>
      <c r="E271" s="38">
        <v>38237656.60828501</v>
      </c>
      <c r="F271" s="40">
        <f>VLOOKUP(A271,'DATOS GENERALES'!A:B,2,0)</f>
        <v>1.41</v>
      </c>
      <c r="G271" s="36">
        <f t="shared" si="20"/>
        <v>1.4035139999999999</v>
      </c>
      <c r="H271" s="38">
        <f t="shared" si="21"/>
        <v>27244228.848650608</v>
      </c>
      <c r="I271" s="38">
        <f t="shared" si="22"/>
        <v>10993427.759634402</v>
      </c>
      <c r="J271" s="38">
        <v>7047832.0504001239</v>
      </c>
      <c r="K271" s="38">
        <f t="shared" si="23"/>
        <v>3945595.7092342777</v>
      </c>
      <c r="L271" s="41">
        <f>VLOOKUP(INDICADORES!$B$21,'DATOS GENERALES'!$K:$M,3,0)*E271</f>
        <v>260246.49619098494</v>
      </c>
      <c r="M271" s="38">
        <f t="shared" si="24"/>
        <v>3685349.213043293</v>
      </c>
      <c r="N271" s="36"/>
      <c r="O271" s="36"/>
      <c r="P271" s="36"/>
    </row>
    <row r="272" spans="1:16" x14ac:dyDescent="0.25">
      <c r="A272" s="36">
        <v>1622</v>
      </c>
      <c r="B272" s="37">
        <v>43466</v>
      </c>
      <c r="C272" s="36" t="s">
        <v>212</v>
      </c>
      <c r="D272" s="36"/>
      <c r="E272" s="38">
        <v>180800040.98000002</v>
      </c>
      <c r="F272" s="40">
        <f>VLOOKUP(A272,'DATOS GENERALES'!A:B,2,0)</f>
        <v>0.95</v>
      </c>
      <c r="G272" s="36">
        <f t="shared" si="20"/>
        <v>0.94562999999999986</v>
      </c>
      <c r="H272" s="38">
        <f t="shared" si="21"/>
        <v>191195331.13374159</v>
      </c>
      <c r="I272" s="38">
        <f t="shared" si="22"/>
        <v>-10395290.153741568</v>
      </c>
      <c r="J272" s="38">
        <v>41951763.084919199</v>
      </c>
      <c r="K272" s="38">
        <f t="shared" si="23"/>
        <v>-52347053.238660768</v>
      </c>
      <c r="L272" s="41">
        <f>VLOOKUP(INDICADORES!$B$21,'DATOS GENERALES'!$K:$M,3,0)*E272</f>
        <v>1230529.832365212</v>
      </c>
      <c r="M272" s="38">
        <f t="shared" si="24"/>
        <v>-53577583.071025982</v>
      </c>
      <c r="N272" s="36"/>
      <c r="O272" s="36"/>
      <c r="P272" s="36"/>
    </row>
    <row r="273" spans="1:16" x14ac:dyDescent="0.25">
      <c r="A273" s="36">
        <v>1622</v>
      </c>
      <c r="B273" s="37">
        <v>43497</v>
      </c>
      <c r="C273" s="36" t="s">
        <v>212</v>
      </c>
      <c r="D273" s="36"/>
      <c r="E273" s="38">
        <v>159566345.48000002</v>
      </c>
      <c r="F273" s="40">
        <f>VLOOKUP(A273,'DATOS GENERALES'!A:B,2,0)</f>
        <v>0.95</v>
      </c>
      <c r="G273" s="36">
        <f t="shared" si="20"/>
        <v>0.94562999999999986</v>
      </c>
      <c r="H273" s="38">
        <f t="shared" si="21"/>
        <v>168740781.78568789</v>
      </c>
      <c r="I273" s="38">
        <f t="shared" si="22"/>
        <v>-9174436.3056878746</v>
      </c>
      <c r="J273" s="38">
        <v>36474644.165562302</v>
      </c>
      <c r="K273" s="38">
        <f t="shared" si="23"/>
        <v>-45649080.471250176</v>
      </c>
      <c r="L273" s="41">
        <f>VLOOKUP(INDICADORES!$B$21,'DATOS GENERALES'!$K:$M,3,0)*E273</f>
        <v>1086012.7425322551</v>
      </c>
      <c r="M273" s="38">
        <f t="shared" si="24"/>
        <v>-46735093.21378243</v>
      </c>
      <c r="N273" s="36"/>
      <c r="O273" s="36"/>
      <c r="P273" s="36"/>
    </row>
    <row r="274" spans="1:16" x14ac:dyDescent="0.25">
      <c r="A274" s="36">
        <v>1622</v>
      </c>
      <c r="B274" s="37">
        <v>43525</v>
      </c>
      <c r="C274" s="36" t="s">
        <v>212</v>
      </c>
      <c r="D274" s="36"/>
      <c r="E274" s="38">
        <v>147730918.13</v>
      </c>
      <c r="F274" s="40">
        <f>VLOOKUP(A274,'DATOS GENERALES'!A:B,2,0)</f>
        <v>0.95</v>
      </c>
      <c r="G274" s="36">
        <f t="shared" si="20"/>
        <v>0.94562999999999986</v>
      </c>
      <c r="H274" s="38">
        <f t="shared" si="21"/>
        <v>156224863.98485667</v>
      </c>
      <c r="I274" s="38">
        <f t="shared" si="22"/>
        <v>-8493945.8548566699</v>
      </c>
      <c r="J274" s="38">
        <v>24431619.297631484</v>
      </c>
      <c r="K274" s="38">
        <f t="shared" si="23"/>
        <v>-32925565.152488153</v>
      </c>
      <c r="L274" s="41">
        <f>VLOOKUP(INDICADORES!$B$21,'DATOS GENERALES'!$K:$M,3,0)*E274</f>
        <v>1005460.5128202208</v>
      </c>
      <c r="M274" s="38">
        <f t="shared" si="24"/>
        <v>-33931025.665308371</v>
      </c>
      <c r="N274" s="36"/>
      <c r="O274" s="36"/>
      <c r="P274" s="36"/>
    </row>
    <row r="275" spans="1:16" x14ac:dyDescent="0.25">
      <c r="A275" s="36">
        <v>1622</v>
      </c>
      <c r="B275" s="37">
        <v>43556</v>
      </c>
      <c r="C275" s="36" t="s">
        <v>212</v>
      </c>
      <c r="D275" s="36"/>
      <c r="E275" s="38">
        <v>207125397.61500004</v>
      </c>
      <c r="F275" s="40">
        <f>VLOOKUP(A275,'DATOS GENERALES'!A:B,2,0)</f>
        <v>0.95</v>
      </c>
      <c r="G275" s="36">
        <f t="shared" si="20"/>
        <v>0.94562999999999986</v>
      </c>
      <c r="H275" s="38">
        <f t="shared" si="21"/>
        <v>219034292.07512459</v>
      </c>
      <c r="I275" s="38">
        <f t="shared" si="22"/>
        <v>-11908894.460124552</v>
      </c>
      <c r="J275" s="38">
        <v>35215930.213877551</v>
      </c>
      <c r="K275" s="38">
        <f t="shared" si="23"/>
        <v>-47124824.674002104</v>
      </c>
      <c r="L275" s="41">
        <f>VLOOKUP(INDICADORES!$B$21,'DATOS GENERALES'!$K:$M,3,0)*E275</f>
        <v>1409700.9017490095</v>
      </c>
      <c r="M275" s="38">
        <f t="shared" si="24"/>
        <v>-48534525.575751111</v>
      </c>
      <c r="N275" s="36"/>
      <c r="O275" s="36"/>
      <c r="P275" s="36"/>
    </row>
    <row r="276" spans="1:16" x14ac:dyDescent="0.25">
      <c r="A276" s="36">
        <v>1622</v>
      </c>
      <c r="B276" s="37">
        <v>43586</v>
      </c>
      <c r="C276" s="36" t="s">
        <v>212</v>
      </c>
      <c r="D276" s="36"/>
      <c r="E276" s="38">
        <v>142765645.45500004</v>
      </c>
      <c r="F276" s="40">
        <f>VLOOKUP(A276,'DATOS GENERALES'!A:B,2,0)</f>
        <v>0.95</v>
      </c>
      <c r="G276" s="36">
        <f t="shared" si="20"/>
        <v>0.94562999999999986</v>
      </c>
      <c r="H276" s="38">
        <f t="shared" si="21"/>
        <v>150974107.69011143</v>
      </c>
      <c r="I276" s="38">
        <f t="shared" si="22"/>
        <v>-8208462.2351113856</v>
      </c>
      <c r="J276" s="38">
        <v>20023807.194080181</v>
      </c>
      <c r="K276" s="38">
        <f t="shared" si="23"/>
        <v>-28232269.429191567</v>
      </c>
      <c r="L276" s="41">
        <f>VLOOKUP(INDICADORES!$B$21,'DATOS GENERALES'!$K:$M,3,0)*E276</f>
        <v>971666.73645104875</v>
      </c>
      <c r="M276" s="38">
        <f t="shared" si="24"/>
        <v>-29203936.165642615</v>
      </c>
      <c r="N276" s="36"/>
      <c r="O276" s="36"/>
      <c r="P276" s="36"/>
    </row>
    <row r="277" spans="1:16" x14ac:dyDescent="0.25">
      <c r="A277" s="36">
        <v>1622</v>
      </c>
      <c r="B277" s="37">
        <v>43617</v>
      </c>
      <c r="C277" s="36" t="s">
        <v>212</v>
      </c>
      <c r="D277" s="36"/>
      <c r="E277" s="38">
        <v>142765645.45500004</v>
      </c>
      <c r="F277" s="40">
        <f>VLOOKUP(A277,'DATOS GENERALES'!A:B,2,0)</f>
        <v>0.95</v>
      </c>
      <c r="G277" s="36">
        <f t="shared" si="20"/>
        <v>0.94562999999999986</v>
      </c>
      <c r="H277" s="38">
        <f t="shared" si="21"/>
        <v>150974107.69011143</v>
      </c>
      <c r="I277" s="38">
        <f t="shared" si="22"/>
        <v>-8208462.2351113856</v>
      </c>
      <c r="J277" s="38">
        <v>22490767.951103751</v>
      </c>
      <c r="K277" s="38">
        <f t="shared" si="23"/>
        <v>-30699230.186215136</v>
      </c>
      <c r="L277" s="41">
        <f>VLOOKUP(INDICADORES!$B$21,'DATOS GENERALES'!$K:$M,3,0)*E277</f>
        <v>971666.73645104875</v>
      </c>
      <c r="M277" s="38">
        <f t="shared" si="24"/>
        <v>-31670896.922666185</v>
      </c>
      <c r="N277" s="36"/>
      <c r="O277" s="36"/>
      <c r="P277" s="36"/>
    </row>
    <row r="278" spans="1:16" x14ac:dyDescent="0.25">
      <c r="A278" s="36">
        <v>1622</v>
      </c>
      <c r="B278" s="37">
        <v>43647</v>
      </c>
      <c r="C278" s="36" t="s">
        <v>212</v>
      </c>
      <c r="D278" s="36"/>
      <c r="E278" s="38">
        <v>138859487.68500003</v>
      </c>
      <c r="F278" s="40">
        <f>VLOOKUP(A278,'DATOS GENERALES'!A:B,2,0)</f>
        <v>0.95</v>
      </c>
      <c r="G278" s="36">
        <f t="shared" si="20"/>
        <v>0.94562999999999986</v>
      </c>
      <c r="H278" s="38">
        <f t="shared" si="21"/>
        <v>146843361.23536694</v>
      </c>
      <c r="I278" s="38">
        <f t="shared" si="22"/>
        <v>-7983873.5503669083</v>
      </c>
      <c r="J278" s="38">
        <v>37987030.33410915</v>
      </c>
      <c r="K278" s="38">
        <f t="shared" si="23"/>
        <v>-45970903.884476058</v>
      </c>
      <c r="L278" s="41">
        <f>VLOOKUP(INDICADORES!$B$21,'DATOS GENERALES'!$K:$M,3,0)*E278</f>
        <v>945081.32397073915</v>
      </c>
      <c r="M278" s="38">
        <f t="shared" si="24"/>
        <v>-46915985.208446801</v>
      </c>
      <c r="N278" s="36"/>
      <c r="O278" s="36"/>
      <c r="P278" s="36"/>
    </row>
    <row r="279" spans="1:16" x14ac:dyDescent="0.25">
      <c r="A279" s="36">
        <v>1622</v>
      </c>
      <c r="B279" s="37">
        <v>43678</v>
      </c>
      <c r="C279" s="36" t="s">
        <v>212</v>
      </c>
      <c r="D279" s="36"/>
      <c r="E279" s="38">
        <v>138859487.68500003</v>
      </c>
      <c r="F279" s="40">
        <f>VLOOKUP(A279,'DATOS GENERALES'!A:B,2,0)</f>
        <v>0.95</v>
      </c>
      <c r="G279" s="36">
        <f t="shared" si="20"/>
        <v>0.94562999999999986</v>
      </c>
      <c r="H279" s="38">
        <f t="shared" si="21"/>
        <v>146843361.23536694</v>
      </c>
      <c r="I279" s="38">
        <f t="shared" si="22"/>
        <v>-7983873.5503669083</v>
      </c>
      <c r="J279" s="38">
        <v>38145118.19305864</v>
      </c>
      <c r="K279" s="38">
        <f t="shared" si="23"/>
        <v>-46128991.743425548</v>
      </c>
      <c r="L279" s="41">
        <f>VLOOKUP(INDICADORES!$B$21,'DATOS GENERALES'!$K:$M,3,0)*E279</f>
        <v>945081.32397073915</v>
      </c>
      <c r="M279" s="38">
        <f t="shared" si="24"/>
        <v>-47074073.067396291</v>
      </c>
      <c r="N279" s="36"/>
      <c r="O279" s="36"/>
      <c r="P279" s="36"/>
    </row>
    <row r="280" spans="1:16" x14ac:dyDescent="0.25">
      <c r="A280" s="36">
        <v>1622</v>
      </c>
      <c r="B280" s="37">
        <v>43709</v>
      </c>
      <c r="C280" s="36" t="s">
        <v>212</v>
      </c>
      <c r="D280" s="36"/>
      <c r="E280" s="38">
        <v>125986492.18499999</v>
      </c>
      <c r="F280" s="40">
        <f>VLOOKUP(A280,'DATOS GENERALES'!A:B,2,0)</f>
        <v>0.95</v>
      </c>
      <c r="G280" s="36">
        <f t="shared" si="20"/>
        <v>0.94562999999999986</v>
      </c>
      <c r="H280" s="38">
        <f t="shared" si="21"/>
        <v>133230219.20307097</v>
      </c>
      <c r="I280" s="38">
        <f t="shared" si="22"/>
        <v>-7243727.0180709809</v>
      </c>
      <c r="J280" s="38">
        <v>38199926.436195679</v>
      </c>
      <c r="K280" s="38">
        <f t="shared" si="23"/>
        <v>-45443653.45426666</v>
      </c>
      <c r="L280" s="41">
        <f>VLOOKUP(INDICADORES!$B$21,'DATOS GENERALES'!$K:$M,3,0)*E280</f>
        <v>857467.37815086253</v>
      </c>
      <c r="M280" s="38">
        <f t="shared" si="24"/>
        <v>-46301120.832417525</v>
      </c>
      <c r="N280" s="36"/>
      <c r="O280" s="36"/>
      <c r="P280" s="36"/>
    </row>
    <row r="281" spans="1:16" x14ac:dyDescent="0.25">
      <c r="A281" s="36">
        <v>1622</v>
      </c>
      <c r="B281" s="37">
        <v>43739</v>
      </c>
      <c r="C281" s="36" t="s">
        <v>212</v>
      </c>
      <c r="D281" s="36"/>
      <c r="E281" s="38">
        <v>125986492.18499999</v>
      </c>
      <c r="F281" s="40">
        <f>VLOOKUP(A281,'DATOS GENERALES'!A:B,2,0)</f>
        <v>0.95</v>
      </c>
      <c r="G281" s="36">
        <f t="shared" si="20"/>
        <v>0.94562999999999986</v>
      </c>
      <c r="H281" s="38">
        <f t="shared" si="21"/>
        <v>133230219.20307097</v>
      </c>
      <c r="I281" s="38">
        <f t="shared" si="22"/>
        <v>-7243727.0180709809</v>
      </c>
      <c r="J281" s="38">
        <v>41456212.888809159</v>
      </c>
      <c r="K281" s="38">
        <f t="shared" si="23"/>
        <v>-48699939.90688014</v>
      </c>
      <c r="L281" s="41">
        <f>VLOOKUP(INDICADORES!$B$21,'DATOS GENERALES'!$K:$M,3,0)*E281</f>
        <v>857467.37815086253</v>
      </c>
      <c r="M281" s="38">
        <f t="shared" si="24"/>
        <v>-49557407.285031006</v>
      </c>
      <c r="N281" s="36"/>
      <c r="O281" s="36"/>
      <c r="P281" s="36"/>
    </row>
    <row r="282" spans="1:16" x14ac:dyDescent="0.25">
      <c r="A282" s="36">
        <v>1622</v>
      </c>
      <c r="B282" s="37">
        <v>43770</v>
      </c>
      <c r="C282" s="36" t="s">
        <v>212</v>
      </c>
      <c r="D282" s="36"/>
      <c r="E282" s="38">
        <v>18409623</v>
      </c>
      <c r="F282" s="40">
        <f>VLOOKUP(A282,'DATOS GENERALES'!A:B,2,0)</f>
        <v>0.95</v>
      </c>
      <c r="G282" s="36">
        <f t="shared" si="20"/>
        <v>0.94562999999999986</v>
      </c>
      <c r="H282" s="38">
        <f t="shared" si="21"/>
        <v>19468103.803813335</v>
      </c>
      <c r="I282" s="38">
        <f t="shared" si="22"/>
        <v>-1058480.8038133346</v>
      </c>
      <c r="J282" s="38">
        <v>7949549.2038304005</v>
      </c>
      <c r="K282" s="38">
        <f t="shared" si="23"/>
        <v>-9008030.007643735</v>
      </c>
      <c r="L282" s="41">
        <f>VLOOKUP(INDICADORES!$B$21,'DATOS GENERALES'!$K:$M,3,0)*E282</f>
        <v>125296.37814961931</v>
      </c>
      <c r="M282" s="38">
        <f t="shared" si="24"/>
        <v>-9133326.3857933544</v>
      </c>
      <c r="N282" s="36"/>
      <c r="O282" s="36"/>
      <c r="P282" s="36"/>
    </row>
    <row r="283" spans="1:16" x14ac:dyDescent="0.25">
      <c r="A283" s="36">
        <v>1622</v>
      </c>
      <c r="B283" s="37">
        <v>43800</v>
      </c>
      <c r="C283" s="36" t="s">
        <v>212</v>
      </c>
      <c r="D283" s="36"/>
      <c r="E283" s="38">
        <v>18409623</v>
      </c>
      <c r="F283" s="40">
        <f>VLOOKUP(A283,'DATOS GENERALES'!A:B,2,0)</f>
        <v>0.95</v>
      </c>
      <c r="G283" s="36">
        <f t="shared" si="20"/>
        <v>0.94562999999999986</v>
      </c>
      <c r="H283" s="38">
        <f t="shared" si="21"/>
        <v>19468103.803813335</v>
      </c>
      <c r="I283" s="38">
        <f t="shared" si="22"/>
        <v>-1058480.8038133346</v>
      </c>
      <c r="J283" s="38">
        <v>6856879.9514648048</v>
      </c>
      <c r="K283" s="38">
        <f t="shared" si="23"/>
        <v>-7915360.7552781394</v>
      </c>
      <c r="L283" s="41">
        <f>VLOOKUP(INDICADORES!$B$21,'DATOS GENERALES'!$K:$M,3,0)*E283</f>
        <v>125296.37814961931</v>
      </c>
      <c r="M283" s="38">
        <f t="shared" si="24"/>
        <v>-8040657.1334277587</v>
      </c>
      <c r="N283" s="36"/>
      <c r="O283" s="36"/>
      <c r="P283" s="36"/>
    </row>
    <row r="284" spans="1:16" x14ac:dyDescent="0.25">
      <c r="A284" s="36">
        <v>1622</v>
      </c>
      <c r="B284" s="37">
        <v>43831</v>
      </c>
      <c r="C284" s="36" t="s">
        <v>212</v>
      </c>
      <c r="D284" s="36"/>
      <c r="E284" s="38">
        <v>18409623</v>
      </c>
      <c r="F284" s="40">
        <f>VLOOKUP(A284,'DATOS GENERALES'!A:B,2,0)</f>
        <v>0.95</v>
      </c>
      <c r="G284" s="36">
        <f t="shared" si="20"/>
        <v>0.94562999999999986</v>
      </c>
      <c r="H284" s="38">
        <f t="shared" si="21"/>
        <v>19468103.803813335</v>
      </c>
      <c r="I284" s="38">
        <f t="shared" si="22"/>
        <v>-1058480.8038133346</v>
      </c>
      <c r="J284" s="38" t="s">
        <v>213</v>
      </c>
      <c r="K284" s="38" t="str">
        <f t="shared" si="23"/>
        <v/>
      </c>
      <c r="L284" s="41">
        <f>VLOOKUP(INDICADORES!$B$21,'DATOS GENERALES'!$K:$M,3,0)*E284</f>
        <v>125296.37814961931</v>
      </c>
      <c r="M284" s="38" t="str">
        <f t="shared" si="24"/>
        <v/>
      </c>
      <c r="N284" s="36"/>
      <c r="O284" s="36"/>
      <c r="P284" s="36"/>
    </row>
    <row r="285" spans="1:16" x14ac:dyDescent="0.25">
      <c r="A285" s="36">
        <v>1622</v>
      </c>
      <c r="B285" s="37">
        <v>43862</v>
      </c>
      <c r="C285" s="36" t="s">
        <v>212</v>
      </c>
      <c r="D285" s="36"/>
      <c r="E285" s="38">
        <v>10956546</v>
      </c>
      <c r="F285" s="40">
        <f>VLOOKUP(A285,'DATOS GENERALES'!A:B,2,0)</f>
        <v>0.95</v>
      </c>
      <c r="G285" s="36">
        <f t="shared" si="20"/>
        <v>0.94562999999999986</v>
      </c>
      <c r="H285" s="38">
        <f t="shared" si="21"/>
        <v>11586504.235271726</v>
      </c>
      <c r="I285" s="38">
        <f t="shared" si="22"/>
        <v>-629958.2352717258</v>
      </c>
      <c r="J285" s="38" t="s">
        <v>213</v>
      </c>
      <c r="K285" s="38" t="str">
        <f t="shared" si="23"/>
        <v/>
      </c>
      <c r="L285" s="41">
        <f>VLOOKUP(INDICADORES!$B$21,'DATOS GENERALES'!$K:$M,3,0)*E285</f>
        <v>74570.540137063042</v>
      </c>
      <c r="M285" s="38" t="str">
        <f t="shared" si="24"/>
        <v/>
      </c>
      <c r="N285" s="36"/>
      <c r="O285" s="36"/>
      <c r="P285" s="36"/>
    </row>
    <row r="286" spans="1:16" x14ac:dyDescent="0.25">
      <c r="A286" s="36">
        <v>1622</v>
      </c>
      <c r="B286" s="37">
        <v>43891</v>
      </c>
      <c r="C286" s="36" t="s">
        <v>212</v>
      </c>
      <c r="D286" s="36"/>
      <c r="E286" s="38">
        <v>10956546</v>
      </c>
      <c r="F286" s="40">
        <f>VLOOKUP(A286,'DATOS GENERALES'!A:B,2,0)</f>
        <v>0.95</v>
      </c>
      <c r="G286" s="36">
        <f t="shared" si="20"/>
        <v>0.94562999999999986</v>
      </c>
      <c r="H286" s="38">
        <f t="shared" si="21"/>
        <v>11586504.235271726</v>
      </c>
      <c r="I286" s="38">
        <f t="shared" si="22"/>
        <v>-629958.2352717258</v>
      </c>
      <c r="J286" s="38" t="s">
        <v>213</v>
      </c>
      <c r="K286" s="38" t="str">
        <f t="shared" si="23"/>
        <v/>
      </c>
      <c r="L286" s="41">
        <f>VLOOKUP(INDICADORES!$B$21,'DATOS GENERALES'!$K:$M,3,0)*E286</f>
        <v>74570.540137063042</v>
      </c>
      <c r="M286" s="38" t="str">
        <f t="shared" si="24"/>
        <v/>
      </c>
      <c r="N286" s="36"/>
      <c r="O286" s="36"/>
      <c r="P286" s="36"/>
    </row>
    <row r="287" spans="1:16" x14ac:dyDescent="0.25">
      <c r="A287" s="36">
        <v>1622</v>
      </c>
      <c r="B287" s="37">
        <v>43922</v>
      </c>
      <c r="C287" s="36" t="s">
        <v>212</v>
      </c>
      <c r="D287" s="36"/>
      <c r="E287" s="38">
        <v>10956546</v>
      </c>
      <c r="F287" s="40">
        <f>VLOOKUP(A287,'DATOS GENERALES'!A:B,2,0)</f>
        <v>0.95</v>
      </c>
      <c r="G287" s="36">
        <f t="shared" si="20"/>
        <v>0.94562999999999986</v>
      </c>
      <c r="H287" s="38">
        <f t="shared" si="21"/>
        <v>11586504.235271726</v>
      </c>
      <c r="I287" s="38">
        <f t="shared" si="22"/>
        <v>-629958.2352717258</v>
      </c>
      <c r="J287" s="38" t="s">
        <v>213</v>
      </c>
      <c r="K287" s="38" t="str">
        <f t="shared" si="23"/>
        <v/>
      </c>
      <c r="L287" s="41">
        <f>VLOOKUP(INDICADORES!$B$21,'DATOS GENERALES'!$K:$M,3,0)*E287</f>
        <v>74570.540137063042</v>
      </c>
      <c r="M287" s="38" t="str">
        <f t="shared" si="24"/>
        <v/>
      </c>
      <c r="N287" s="36"/>
      <c r="O287" s="36"/>
      <c r="P287" s="36"/>
    </row>
    <row r="288" spans="1:16" x14ac:dyDescent="0.25">
      <c r="A288" s="36">
        <v>1622</v>
      </c>
      <c r="B288" s="37">
        <v>43952</v>
      </c>
      <c r="C288" s="36" t="s">
        <v>212</v>
      </c>
      <c r="D288" s="36"/>
      <c r="E288" s="38">
        <v>10956546</v>
      </c>
      <c r="F288" s="40">
        <f>VLOOKUP(A288,'DATOS GENERALES'!A:B,2,0)</f>
        <v>0.95</v>
      </c>
      <c r="G288" s="36">
        <f t="shared" si="20"/>
        <v>0.94562999999999986</v>
      </c>
      <c r="H288" s="38">
        <f t="shared" si="21"/>
        <v>11586504.235271726</v>
      </c>
      <c r="I288" s="38">
        <f t="shared" si="22"/>
        <v>-629958.2352717258</v>
      </c>
      <c r="J288" s="38" t="s">
        <v>213</v>
      </c>
      <c r="K288" s="38" t="str">
        <f t="shared" si="23"/>
        <v/>
      </c>
      <c r="L288" s="41">
        <f>VLOOKUP(INDICADORES!$B$21,'DATOS GENERALES'!$K:$M,3,0)*E288</f>
        <v>74570.540137063042</v>
      </c>
      <c r="M288" s="38" t="str">
        <f t="shared" si="24"/>
        <v/>
      </c>
      <c r="N288" s="36"/>
      <c r="O288" s="36"/>
      <c r="P288" s="36"/>
    </row>
    <row r="289" spans="1:16" x14ac:dyDescent="0.25">
      <c r="A289" s="36">
        <v>1622</v>
      </c>
      <c r="B289" s="37">
        <v>43983</v>
      </c>
      <c r="C289" s="36" t="s">
        <v>212</v>
      </c>
      <c r="D289" s="36"/>
      <c r="E289" s="38">
        <v>10956546</v>
      </c>
      <c r="F289" s="40">
        <f>VLOOKUP(A289,'DATOS GENERALES'!A:B,2,0)</f>
        <v>0.95</v>
      </c>
      <c r="G289" s="36">
        <f t="shared" si="20"/>
        <v>0.94562999999999986</v>
      </c>
      <c r="H289" s="38">
        <f t="shared" si="21"/>
        <v>11586504.235271726</v>
      </c>
      <c r="I289" s="38">
        <f t="shared" si="22"/>
        <v>-629958.2352717258</v>
      </c>
      <c r="J289" s="38" t="s">
        <v>213</v>
      </c>
      <c r="K289" s="38" t="str">
        <f t="shared" si="23"/>
        <v/>
      </c>
      <c r="L289" s="41">
        <f>VLOOKUP(INDICADORES!$B$21,'DATOS GENERALES'!$K:$M,3,0)*E289</f>
        <v>74570.540137063042</v>
      </c>
      <c r="M289" s="38" t="str">
        <f t="shared" si="24"/>
        <v/>
      </c>
      <c r="N289" s="36"/>
      <c r="O289" s="36"/>
      <c r="P289" s="36"/>
    </row>
    <row r="290" spans="1:16" x14ac:dyDescent="0.25">
      <c r="A290" s="36">
        <v>1622</v>
      </c>
      <c r="B290" s="37">
        <v>44013</v>
      </c>
      <c r="C290" s="36" t="s">
        <v>212</v>
      </c>
      <c r="D290" s="36"/>
      <c r="E290" s="38">
        <v>10956546</v>
      </c>
      <c r="F290" s="40">
        <f>VLOOKUP(A290,'DATOS GENERALES'!A:B,2,0)</f>
        <v>0.95</v>
      </c>
      <c r="G290" s="36">
        <f t="shared" si="20"/>
        <v>0.94562999999999986</v>
      </c>
      <c r="H290" s="38">
        <f t="shared" si="21"/>
        <v>11586504.235271726</v>
      </c>
      <c r="I290" s="38">
        <f t="shared" si="22"/>
        <v>-629958.2352717258</v>
      </c>
      <c r="J290" s="38" t="s">
        <v>213</v>
      </c>
      <c r="K290" s="38" t="str">
        <f t="shared" si="23"/>
        <v/>
      </c>
      <c r="L290" s="41">
        <f>VLOOKUP(INDICADORES!$B$21,'DATOS GENERALES'!$K:$M,3,0)*E290</f>
        <v>74570.540137063042</v>
      </c>
      <c r="M290" s="38" t="str">
        <f t="shared" si="24"/>
        <v/>
      </c>
      <c r="N290" s="36"/>
      <c r="O290" s="36"/>
      <c r="P290" s="36"/>
    </row>
    <row r="291" spans="1:16" x14ac:dyDescent="0.25">
      <c r="A291" s="36">
        <v>1622</v>
      </c>
      <c r="B291" s="37">
        <v>44044</v>
      </c>
      <c r="C291" s="36" t="s">
        <v>212</v>
      </c>
      <c r="D291" s="36"/>
      <c r="E291" s="38">
        <v>10956546</v>
      </c>
      <c r="F291" s="40">
        <f>VLOOKUP(A291,'DATOS GENERALES'!A:B,2,0)</f>
        <v>0.95</v>
      </c>
      <c r="G291" s="36">
        <f t="shared" si="20"/>
        <v>0.94562999999999986</v>
      </c>
      <c r="H291" s="38">
        <f t="shared" si="21"/>
        <v>11586504.235271726</v>
      </c>
      <c r="I291" s="38">
        <f t="shared" si="22"/>
        <v>-629958.2352717258</v>
      </c>
      <c r="J291" s="38" t="s">
        <v>213</v>
      </c>
      <c r="K291" s="38" t="str">
        <f t="shared" si="23"/>
        <v/>
      </c>
      <c r="L291" s="41">
        <f>VLOOKUP(INDICADORES!$B$21,'DATOS GENERALES'!$K:$M,3,0)*E291</f>
        <v>74570.540137063042</v>
      </c>
      <c r="M291" s="38" t="str">
        <f t="shared" si="24"/>
        <v/>
      </c>
      <c r="N291" s="36"/>
      <c r="O291" s="36"/>
      <c r="P291" s="36"/>
    </row>
    <row r="292" spans="1:16" x14ac:dyDescent="0.25">
      <c r="A292" s="36">
        <v>1622</v>
      </c>
      <c r="B292" s="37">
        <v>44075</v>
      </c>
      <c r="C292" s="36" t="s">
        <v>212</v>
      </c>
      <c r="D292" s="36"/>
      <c r="E292" s="38">
        <v>10956546</v>
      </c>
      <c r="F292" s="40">
        <f>VLOOKUP(A292,'DATOS GENERALES'!A:B,2,0)</f>
        <v>0.95</v>
      </c>
      <c r="G292" s="36">
        <f t="shared" si="20"/>
        <v>0.94562999999999986</v>
      </c>
      <c r="H292" s="38">
        <f t="shared" si="21"/>
        <v>11586504.235271726</v>
      </c>
      <c r="I292" s="38">
        <f t="shared" si="22"/>
        <v>-629958.2352717258</v>
      </c>
      <c r="J292" s="38" t="s">
        <v>213</v>
      </c>
      <c r="K292" s="38" t="str">
        <f t="shared" si="23"/>
        <v/>
      </c>
      <c r="L292" s="41">
        <f>VLOOKUP(INDICADORES!$B$21,'DATOS GENERALES'!$K:$M,3,0)*E292</f>
        <v>74570.540137063042</v>
      </c>
      <c r="M292" s="38" t="str">
        <f t="shared" si="24"/>
        <v/>
      </c>
      <c r="N292" s="36"/>
      <c r="O292" s="36"/>
      <c r="P292" s="36"/>
    </row>
    <row r="293" spans="1:16" x14ac:dyDescent="0.25">
      <c r="A293" s="36">
        <v>1622</v>
      </c>
      <c r="B293" s="37">
        <v>44105</v>
      </c>
      <c r="C293" s="36" t="s">
        <v>212</v>
      </c>
      <c r="D293" s="36"/>
      <c r="E293" s="38">
        <v>10956546</v>
      </c>
      <c r="F293" s="40">
        <f>VLOOKUP(A293,'DATOS GENERALES'!A:B,2,0)</f>
        <v>0.95</v>
      </c>
      <c r="G293" s="36">
        <f t="shared" si="20"/>
        <v>0.94562999999999986</v>
      </c>
      <c r="H293" s="38">
        <f t="shared" si="21"/>
        <v>11586504.235271726</v>
      </c>
      <c r="I293" s="38">
        <f t="shared" si="22"/>
        <v>-629958.2352717258</v>
      </c>
      <c r="J293" s="38" t="s">
        <v>213</v>
      </c>
      <c r="K293" s="38" t="str">
        <f t="shared" si="23"/>
        <v/>
      </c>
      <c r="L293" s="41">
        <f>VLOOKUP(INDICADORES!$B$21,'DATOS GENERALES'!$K:$M,3,0)*E293</f>
        <v>74570.540137063042</v>
      </c>
      <c r="M293" s="38" t="str">
        <f t="shared" si="24"/>
        <v/>
      </c>
      <c r="N293" s="36"/>
      <c r="O293" s="36"/>
      <c r="P293" s="36"/>
    </row>
    <row r="294" spans="1:16" x14ac:dyDescent="0.25">
      <c r="A294" s="36">
        <v>1622</v>
      </c>
      <c r="B294" s="37">
        <v>44136</v>
      </c>
      <c r="C294" s="36" t="s">
        <v>212</v>
      </c>
      <c r="D294" s="36"/>
      <c r="E294" s="38">
        <v>10956546</v>
      </c>
      <c r="F294" s="40">
        <f>VLOOKUP(A294,'DATOS GENERALES'!A:B,2,0)</f>
        <v>0.95</v>
      </c>
      <c r="G294" s="36">
        <f t="shared" si="20"/>
        <v>0.94562999999999986</v>
      </c>
      <c r="H294" s="38">
        <f t="shared" si="21"/>
        <v>11586504.235271726</v>
      </c>
      <c r="I294" s="38">
        <f t="shared" si="22"/>
        <v>-629958.2352717258</v>
      </c>
      <c r="J294" s="38" t="s">
        <v>213</v>
      </c>
      <c r="K294" s="38" t="str">
        <f t="shared" si="23"/>
        <v/>
      </c>
      <c r="L294" s="41">
        <f>VLOOKUP(INDICADORES!$B$21,'DATOS GENERALES'!$K:$M,3,0)*E294</f>
        <v>74570.540137063042</v>
      </c>
      <c r="M294" s="38" t="str">
        <f t="shared" si="24"/>
        <v/>
      </c>
      <c r="N294" s="36"/>
      <c r="O294" s="36"/>
      <c r="P294" s="36"/>
    </row>
    <row r="295" spans="1:16" x14ac:dyDescent="0.25">
      <c r="A295" s="36">
        <v>1622</v>
      </c>
      <c r="B295" s="37">
        <v>44166</v>
      </c>
      <c r="C295" s="36" t="s">
        <v>212</v>
      </c>
      <c r="D295" s="36"/>
      <c r="E295" s="38">
        <v>10956546</v>
      </c>
      <c r="F295" s="40">
        <f>VLOOKUP(A295,'DATOS GENERALES'!A:B,2,0)</f>
        <v>0.95</v>
      </c>
      <c r="G295" s="36">
        <f t="shared" si="20"/>
        <v>0.94562999999999986</v>
      </c>
      <c r="H295" s="38">
        <f t="shared" si="21"/>
        <v>11586504.235271726</v>
      </c>
      <c r="I295" s="38">
        <f t="shared" si="22"/>
        <v>-629958.2352717258</v>
      </c>
      <c r="J295" s="38" t="s">
        <v>213</v>
      </c>
      <c r="K295" s="38" t="str">
        <f t="shared" si="23"/>
        <v/>
      </c>
      <c r="L295" s="41">
        <f>VLOOKUP(INDICADORES!$B$21,'DATOS GENERALES'!$K:$M,3,0)*E295</f>
        <v>74570.540137063042</v>
      </c>
      <c r="M295" s="38" t="str">
        <f t="shared" si="24"/>
        <v/>
      </c>
      <c r="N295" s="36"/>
      <c r="O295" s="36"/>
      <c r="P295" s="36"/>
    </row>
    <row r="296" spans="1:16" x14ac:dyDescent="0.25">
      <c r="A296" s="36">
        <v>1622</v>
      </c>
      <c r="B296" s="37">
        <v>44197</v>
      </c>
      <c r="C296" s="36" t="s">
        <v>212</v>
      </c>
      <c r="D296" s="36"/>
      <c r="E296" s="38">
        <v>10956546</v>
      </c>
      <c r="F296" s="40">
        <f>VLOOKUP(A296,'DATOS GENERALES'!A:B,2,0)</f>
        <v>0.95</v>
      </c>
      <c r="G296" s="36">
        <f t="shared" si="20"/>
        <v>0.94562999999999986</v>
      </c>
      <c r="H296" s="38">
        <f t="shared" si="21"/>
        <v>11586504.235271726</v>
      </c>
      <c r="I296" s="38">
        <f t="shared" si="22"/>
        <v>-629958.2352717258</v>
      </c>
      <c r="J296" s="38" t="s">
        <v>213</v>
      </c>
      <c r="K296" s="38" t="str">
        <f t="shared" si="23"/>
        <v/>
      </c>
      <c r="L296" s="41">
        <f>VLOOKUP(INDICADORES!$B$21,'DATOS GENERALES'!$K:$M,3,0)*E296</f>
        <v>74570.540137063042</v>
      </c>
      <c r="M296" s="38" t="str">
        <f t="shared" si="24"/>
        <v/>
      </c>
      <c r="N296" s="36"/>
      <c r="O296" s="36"/>
      <c r="P296" s="36"/>
    </row>
    <row r="297" spans="1:16" x14ac:dyDescent="0.25">
      <c r="A297" s="36">
        <v>1622</v>
      </c>
      <c r="B297" s="37">
        <v>44228</v>
      </c>
      <c r="C297" s="36" t="s">
        <v>212</v>
      </c>
      <c r="D297" s="36"/>
      <c r="E297" s="38">
        <v>10956546</v>
      </c>
      <c r="F297" s="40">
        <f>VLOOKUP(A297,'DATOS GENERALES'!A:B,2,0)</f>
        <v>0.95</v>
      </c>
      <c r="G297" s="36">
        <f t="shared" si="20"/>
        <v>0.94562999999999986</v>
      </c>
      <c r="H297" s="38">
        <f t="shared" si="21"/>
        <v>11586504.235271726</v>
      </c>
      <c r="I297" s="38">
        <f t="shared" si="22"/>
        <v>-629958.2352717258</v>
      </c>
      <c r="J297" s="38" t="s">
        <v>213</v>
      </c>
      <c r="K297" s="38" t="str">
        <f t="shared" si="23"/>
        <v/>
      </c>
      <c r="L297" s="41">
        <f>VLOOKUP(INDICADORES!$B$21,'DATOS GENERALES'!$K:$M,3,0)*E297</f>
        <v>74570.540137063042</v>
      </c>
      <c r="M297" s="38" t="str">
        <f t="shared" si="24"/>
        <v/>
      </c>
      <c r="N297" s="36"/>
      <c r="O297" s="36"/>
      <c r="P297" s="36"/>
    </row>
    <row r="298" spans="1:16" x14ac:dyDescent="0.25">
      <c r="A298" s="36">
        <v>1622</v>
      </c>
      <c r="B298" s="37">
        <v>44256</v>
      </c>
      <c r="C298" s="36" t="s">
        <v>212</v>
      </c>
      <c r="D298" s="36"/>
      <c r="E298" s="38">
        <v>10956546</v>
      </c>
      <c r="F298" s="40">
        <f>VLOOKUP(A298,'DATOS GENERALES'!A:B,2,0)</f>
        <v>0.95</v>
      </c>
      <c r="G298" s="36">
        <f t="shared" si="20"/>
        <v>0.94562999999999986</v>
      </c>
      <c r="H298" s="38">
        <f t="shared" si="21"/>
        <v>11586504.235271726</v>
      </c>
      <c r="I298" s="38">
        <f t="shared" si="22"/>
        <v>-629958.2352717258</v>
      </c>
      <c r="J298" s="38" t="s">
        <v>213</v>
      </c>
      <c r="K298" s="38" t="str">
        <f t="shared" si="23"/>
        <v/>
      </c>
      <c r="L298" s="41">
        <f>VLOOKUP(INDICADORES!$B$21,'DATOS GENERALES'!$K:$M,3,0)*E298</f>
        <v>74570.540137063042</v>
      </c>
      <c r="M298" s="38" t="str">
        <f t="shared" si="24"/>
        <v/>
      </c>
      <c r="N298" s="36"/>
      <c r="O298" s="36"/>
      <c r="P298" s="36"/>
    </row>
    <row r="299" spans="1:16" x14ac:dyDescent="0.25">
      <c r="A299" s="36">
        <v>1622</v>
      </c>
      <c r="B299" s="37">
        <v>44287</v>
      </c>
      <c r="C299" s="36" t="s">
        <v>212</v>
      </c>
      <c r="D299" s="36"/>
      <c r="E299" s="38">
        <v>10956546</v>
      </c>
      <c r="F299" s="40">
        <f>VLOOKUP(A299,'DATOS GENERALES'!A:B,2,0)</f>
        <v>0.95</v>
      </c>
      <c r="G299" s="36">
        <f t="shared" si="20"/>
        <v>0.94562999999999986</v>
      </c>
      <c r="H299" s="38">
        <f t="shared" si="21"/>
        <v>11586504.235271726</v>
      </c>
      <c r="I299" s="38">
        <f t="shared" si="22"/>
        <v>-629958.2352717258</v>
      </c>
      <c r="J299" s="38" t="s">
        <v>213</v>
      </c>
      <c r="K299" s="38" t="str">
        <f t="shared" si="23"/>
        <v/>
      </c>
      <c r="L299" s="41">
        <f>VLOOKUP(INDICADORES!$B$21,'DATOS GENERALES'!$K:$M,3,0)*E299</f>
        <v>74570.540137063042</v>
      </c>
      <c r="M299" s="38" t="str">
        <f t="shared" si="24"/>
        <v/>
      </c>
      <c r="N299" s="36"/>
      <c r="O299" s="36"/>
      <c r="P299" s="36"/>
    </row>
    <row r="300" spans="1:16" x14ac:dyDescent="0.25">
      <c r="A300" s="36">
        <v>1622</v>
      </c>
      <c r="B300" s="37">
        <v>44317</v>
      </c>
      <c r="C300" s="36" t="s">
        <v>212</v>
      </c>
      <c r="D300" s="36"/>
      <c r="E300" s="38">
        <v>10956546</v>
      </c>
      <c r="F300" s="40">
        <f>VLOOKUP(A300,'DATOS GENERALES'!A:B,2,0)</f>
        <v>0.95</v>
      </c>
      <c r="G300" s="36">
        <f t="shared" si="20"/>
        <v>0.94562999999999986</v>
      </c>
      <c r="H300" s="38">
        <f t="shared" si="21"/>
        <v>11586504.235271726</v>
      </c>
      <c r="I300" s="38">
        <f t="shared" si="22"/>
        <v>-629958.2352717258</v>
      </c>
      <c r="J300" s="38" t="s">
        <v>213</v>
      </c>
      <c r="K300" s="38" t="str">
        <f t="shared" si="23"/>
        <v/>
      </c>
      <c r="L300" s="41">
        <f>VLOOKUP(INDICADORES!$B$21,'DATOS GENERALES'!$K:$M,3,0)*E300</f>
        <v>74570.540137063042</v>
      </c>
      <c r="M300" s="38" t="str">
        <f t="shared" si="24"/>
        <v/>
      </c>
      <c r="N300" s="36"/>
      <c r="O300" s="36"/>
      <c r="P300" s="36"/>
    </row>
    <row r="301" spans="1:16" x14ac:dyDescent="0.25">
      <c r="A301" s="36">
        <v>1622</v>
      </c>
      <c r="B301" s="37">
        <v>44348</v>
      </c>
      <c r="C301" s="36" t="s">
        <v>212</v>
      </c>
      <c r="D301" s="36"/>
      <c r="E301" s="38">
        <v>10956546</v>
      </c>
      <c r="F301" s="40">
        <f>VLOOKUP(A301,'DATOS GENERALES'!A:B,2,0)</f>
        <v>0.95</v>
      </c>
      <c r="G301" s="36">
        <f t="shared" si="20"/>
        <v>0.94562999999999986</v>
      </c>
      <c r="H301" s="38">
        <f t="shared" si="21"/>
        <v>11586504.235271726</v>
      </c>
      <c r="I301" s="38">
        <f t="shared" si="22"/>
        <v>-629958.2352717258</v>
      </c>
      <c r="J301" s="38" t="s">
        <v>213</v>
      </c>
      <c r="K301" s="38" t="str">
        <f t="shared" si="23"/>
        <v/>
      </c>
      <c r="L301" s="41">
        <f>VLOOKUP(INDICADORES!$B$21,'DATOS GENERALES'!$K:$M,3,0)*E301</f>
        <v>74570.540137063042</v>
      </c>
      <c r="M301" s="38" t="str">
        <f t="shared" si="24"/>
        <v/>
      </c>
      <c r="N301" s="36"/>
      <c r="O301" s="36"/>
      <c r="P301" s="36"/>
    </row>
    <row r="302" spans="1:16" x14ac:dyDescent="0.25">
      <c r="A302" s="36">
        <v>1622</v>
      </c>
      <c r="B302" s="37">
        <v>44378</v>
      </c>
      <c r="C302" s="36" t="s">
        <v>212</v>
      </c>
      <c r="D302" s="36"/>
      <c r="E302" s="38">
        <v>10956546</v>
      </c>
      <c r="F302" s="40">
        <f>VLOOKUP(A302,'DATOS GENERALES'!A:B,2,0)</f>
        <v>0.95</v>
      </c>
      <c r="G302" s="36">
        <f t="shared" si="20"/>
        <v>0.94562999999999986</v>
      </c>
      <c r="H302" s="38">
        <f t="shared" si="21"/>
        <v>11586504.235271726</v>
      </c>
      <c r="I302" s="38">
        <f t="shared" si="22"/>
        <v>-629958.2352717258</v>
      </c>
      <c r="J302" s="38" t="s">
        <v>213</v>
      </c>
      <c r="K302" s="38" t="str">
        <f t="shared" si="23"/>
        <v/>
      </c>
      <c r="L302" s="41">
        <f>VLOOKUP(INDICADORES!$B$21,'DATOS GENERALES'!$K:$M,3,0)*E302</f>
        <v>74570.540137063042</v>
      </c>
      <c r="M302" s="38" t="str">
        <f t="shared" si="24"/>
        <v/>
      </c>
      <c r="N302" s="36"/>
      <c r="O302" s="36"/>
      <c r="P302" s="36"/>
    </row>
    <row r="303" spans="1:16" x14ac:dyDescent="0.25">
      <c r="A303" s="36">
        <v>1622</v>
      </c>
      <c r="B303" s="37">
        <v>44409</v>
      </c>
      <c r="C303" s="36" t="s">
        <v>212</v>
      </c>
      <c r="D303" s="36"/>
      <c r="E303" s="38">
        <v>10956546</v>
      </c>
      <c r="F303" s="40">
        <f>VLOOKUP(A303,'DATOS GENERALES'!A:B,2,0)</f>
        <v>0.95</v>
      </c>
      <c r="G303" s="36">
        <f t="shared" si="20"/>
        <v>0.94562999999999986</v>
      </c>
      <c r="H303" s="38">
        <f t="shared" si="21"/>
        <v>11586504.235271726</v>
      </c>
      <c r="I303" s="38">
        <f t="shared" si="22"/>
        <v>-629958.2352717258</v>
      </c>
      <c r="J303" s="38" t="s">
        <v>213</v>
      </c>
      <c r="K303" s="38" t="str">
        <f t="shared" si="23"/>
        <v/>
      </c>
      <c r="L303" s="41">
        <f>VLOOKUP(INDICADORES!$B$21,'DATOS GENERALES'!$K:$M,3,0)*E303</f>
        <v>74570.540137063042</v>
      </c>
      <c r="M303" s="38" t="str">
        <f t="shared" si="24"/>
        <v/>
      </c>
      <c r="N303" s="36"/>
      <c r="O303" s="36"/>
      <c r="P303" s="36"/>
    </row>
    <row r="304" spans="1:16" x14ac:dyDescent="0.25">
      <c r="A304" s="36">
        <v>1622</v>
      </c>
      <c r="B304" s="37">
        <v>44440</v>
      </c>
      <c r="C304" s="36" t="s">
        <v>212</v>
      </c>
      <c r="D304" s="36"/>
      <c r="E304" s="38">
        <v>10956546</v>
      </c>
      <c r="F304" s="40">
        <f>VLOOKUP(A304,'DATOS GENERALES'!A:B,2,0)</f>
        <v>0.95</v>
      </c>
      <c r="G304" s="36">
        <f t="shared" si="20"/>
        <v>0.94562999999999986</v>
      </c>
      <c r="H304" s="38">
        <f t="shared" si="21"/>
        <v>11586504.235271726</v>
      </c>
      <c r="I304" s="38">
        <f t="shared" si="22"/>
        <v>-629958.2352717258</v>
      </c>
      <c r="J304" s="38" t="s">
        <v>213</v>
      </c>
      <c r="K304" s="38" t="str">
        <f t="shared" si="23"/>
        <v/>
      </c>
      <c r="L304" s="41">
        <f>VLOOKUP(INDICADORES!$B$21,'DATOS GENERALES'!$K:$M,3,0)*E304</f>
        <v>74570.540137063042</v>
      </c>
      <c r="M304" s="38" t="str">
        <f t="shared" si="24"/>
        <v/>
      </c>
      <c r="N304" s="36"/>
      <c r="O304" s="36"/>
      <c r="P304" s="36"/>
    </row>
    <row r="305" spans="1:16" x14ac:dyDescent="0.25">
      <c r="A305" s="36">
        <v>1622</v>
      </c>
      <c r="B305" s="37">
        <v>44470</v>
      </c>
      <c r="C305" s="36" t="s">
        <v>212</v>
      </c>
      <c r="D305" s="36"/>
      <c r="E305" s="38">
        <v>10956546</v>
      </c>
      <c r="F305" s="40">
        <f>VLOOKUP(A305,'DATOS GENERALES'!A:B,2,0)</f>
        <v>0.95</v>
      </c>
      <c r="G305" s="36">
        <f t="shared" si="20"/>
        <v>0.94562999999999986</v>
      </c>
      <c r="H305" s="38">
        <f t="shared" si="21"/>
        <v>11586504.235271726</v>
      </c>
      <c r="I305" s="38">
        <f t="shared" si="22"/>
        <v>-629958.2352717258</v>
      </c>
      <c r="J305" s="38" t="s">
        <v>213</v>
      </c>
      <c r="K305" s="38" t="str">
        <f t="shared" si="23"/>
        <v/>
      </c>
      <c r="L305" s="41">
        <f>VLOOKUP(INDICADORES!$B$21,'DATOS GENERALES'!$K:$M,3,0)*E305</f>
        <v>74570.540137063042</v>
      </c>
      <c r="M305" s="38" t="str">
        <f t="shared" si="24"/>
        <v/>
      </c>
      <c r="N305" s="36"/>
      <c r="O305" s="36"/>
      <c r="P305" s="36"/>
    </row>
    <row r="306" spans="1:16" x14ac:dyDescent="0.25">
      <c r="A306" s="36">
        <v>1734</v>
      </c>
      <c r="B306" s="37">
        <v>43466</v>
      </c>
      <c r="C306" s="36" t="s">
        <v>212</v>
      </c>
      <c r="D306" s="36"/>
      <c r="E306" s="38">
        <v>56127548.580235153</v>
      </c>
      <c r="F306" s="40">
        <f>VLOOKUP(A306,'DATOS GENERALES'!A:B,2,0)</f>
        <v>1.73</v>
      </c>
      <c r="G306" s="36">
        <f t="shared" si="20"/>
        <v>1.7220419999999999</v>
      </c>
      <c r="H306" s="38">
        <f t="shared" si="21"/>
        <v>32593600.260757379</v>
      </c>
      <c r="I306" s="38">
        <f t="shared" si="22"/>
        <v>23533948.319477774</v>
      </c>
      <c r="J306" s="38">
        <v>7151633.8192765992</v>
      </c>
      <c r="K306" s="38">
        <f t="shared" si="23"/>
        <v>16382314.500201175</v>
      </c>
      <c r="L306" s="41">
        <f>VLOOKUP(INDICADORES!$B$21,'DATOS GENERALES'!$K:$M,3,0)*E306</f>
        <v>382005.57129932928</v>
      </c>
      <c r="M306" s="38">
        <f t="shared" si="24"/>
        <v>16000308.928901846</v>
      </c>
      <c r="N306" s="36"/>
      <c r="O306" s="36"/>
      <c r="P306" s="36"/>
    </row>
    <row r="307" spans="1:16" x14ac:dyDescent="0.25">
      <c r="A307" s="36">
        <v>1734</v>
      </c>
      <c r="B307" s="37">
        <v>43497</v>
      </c>
      <c r="C307" s="36" t="s">
        <v>212</v>
      </c>
      <c r="D307" s="36"/>
      <c r="E307" s="38">
        <v>60393607.013095886</v>
      </c>
      <c r="F307" s="40">
        <f>VLOOKUP(A307,'DATOS GENERALES'!A:B,2,0)</f>
        <v>1.73</v>
      </c>
      <c r="G307" s="36">
        <f t="shared" si="20"/>
        <v>1.7220419999999999</v>
      </c>
      <c r="H307" s="38">
        <f t="shared" si="21"/>
        <v>35070925.68769861</v>
      </c>
      <c r="I307" s="38">
        <f t="shared" si="22"/>
        <v>25322681.325397275</v>
      </c>
      <c r="J307" s="38">
        <v>7580855.804261677</v>
      </c>
      <c r="K307" s="38">
        <f t="shared" si="23"/>
        <v>17741825.521135598</v>
      </c>
      <c r="L307" s="41">
        <f>VLOOKUP(INDICADORES!$B$21,'DATOS GENERALES'!$K:$M,3,0)*E307</f>
        <v>411040.47715329984</v>
      </c>
      <c r="M307" s="38">
        <f t="shared" si="24"/>
        <v>17330785.043982297</v>
      </c>
      <c r="N307" s="36"/>
      <c r="O307" s="36"/>
      <c r="P307" s="36"/>
    </row>
    <row r="308" spans="1:16" x14ac:dyDescent="0.25">
      <c r="A308" s="36">
        <v>1734</v>
      </c>
      <c r="B308" s="37">
        <v>43525</v>
      </c>
      <c r="C308" s="36" t="s">
        <v>212</v>
      </c>
      <c r="D308" s="36"/>
      <c r="E308" s="38">
        <v>60987214.319031961</v>
      </c>
      <c r="F308" s="40">
        <f>VLOOKUP(A308,'DATOS GENERALES'!A:B,2,0)</f>
        <v>1.73</v>
      </c>
      <c r="G308" s="36">
        <f t="shared" si="20"/>
        <v>1.7220419999999999</v>
      </c>
      <c r="H308" s="38">
        <f t="shared" si="21"/>
        <v>35415636.969964705</v>
      </c>
      <c r="I308" s="38">
        <f t="shared" si="22"/>
        <v>25571577.349067256</v>
      </c>
      <c r="J308" s="38">
        <v>5538563.6931466488</v>
      </c>
      <c r="K308" s="38">
        <f t="shared" si="23"/>
        <v>20033013.655920606</v>
      </c>
      <c r="L308" s="41">
        <f>VLOOKUP(INDICADORES!$B$21,'DATOS GENERALES'!$K:$M,3,0)*E308</f>
        <v>415080.58408416656</v>
      </c>
      <c r="M308" s="38">
        <f t="shared" si="24"/>
        <v>19617933.071836438</v>
      </c>
      <c r="N308" s="36"/>
      <c r="O308" s="36"/>
      <c r="P308" s="36"/>
    </row>
    <row r="309" spans="1:16" x14ac:dyDescent="0.25">
      <c r="A309" s="36">
        <v>1734</v>
      </c>
      <c r="B309" s="37">
        <v>43556</v>
      </c>
      <c r="C309" s="36" t="s">
        <v>212</v>
      </c>
      <c r="D309" s="36"/>
      <c r="E309" s="38">
        <v>64608218.885242015</v>
      </c>
      <c r="F309" s="40">
        <f>VLOOKUP(A309,'DATOS GENERALES'!A:B,2,0)</f>
        <v>1.73</v>
      </c>
      <c r="G309" s="36">
        <f t="shared" si="20"/>
        <v>1.7220419999999999</v>
      </c>
      <c r="H309" s="38">
        <f t="shared" si="21"/>
        <v>37518375.7917879</v>
      </c>
      <c r="I309" s="38">
        <f t="shared" si="22"/>
        <v>27089843.093454115</v>
      </c>
      <c r="J309" s="38">
        <v>6032135.3843921097</v>
      </c>
      <c r="K309" s="38">
        <f t="shared" si="23"/>
        <v>21057707.709062006</v>
      </c>
      <c r="L309" s="41">
        <f>VLOOKUP(INDICADORES!$B$21,'DATOS GENERALES'!$K:$M,3,0)*E309</f>
        <v>439725.23636245349</v>
      </c>
      <c r="M309" s="38">
        <f t="shared" si="24"/>
        <v>20617982.472699553</v>
      </c>
      <c r="N309" s="36"/>
      <c r="O309" s="36"/>
      <c r="P309" s="36"/>
    </row>
    <row r="310" spans="1:16" x14ac:dyDescent="0.25">
      <c r="A310" s="36">
        <v>1734</v>
      </c>
      <c r="B310" s="37">
        <v>43586</v>
      </c>
      <c r="C310" s="36" t="s">
        <v>212</v>
      </c>
      <c r="D310" s="36"/>
      <c r="E310" s="38">
        <v>67101369.570173509</v>
      </c>
      <c r="F310" s="40">
        <f>VLOOKUP(A310,'DATOS GENERALES'!A:B,2,0)</f>
        <v>1.73</v>
      </c>
      <c r="G310" s="36">
        <f t="shared" si="20"/>
        <v>1.7220419999999999</v>
      </c>
      <c r="H310" s="38">
        <f t="shared" si="21"/>
        <v>38966163.177305497</v>
      </c>
      <c r="I310" s="38">
        <f t="shared" si="22"/>
        <v>28135206.392868012</v>
      </c>
      <c r="J310" s="38">
        <v>5168110.9462621929</v>
      </c>
      <c r="K310" s="38">
        <f t="shared" si="23"/>
        <v>22967095.44660582</v>
      </c>
      <c r="L310" s="41">
        <f>VLOOKUP(INDICADORES!$B$21,'DATOS GENERALES'!$K:$M,3,0)*E310</f>
        <v>456693.68547209352</v>
      </c>
      <c r="M310" s="38">
        <f t="shared" si="24"/>
        <v>22510401.761133727</v>
      </c>
      <c r="N310" s="36"/>
      <c r="O310" s="36"/>
      <c r="P310" s="36"/>
    </row>
    <row r="311" spans="1:16" x14ac:dyDescent="0.25">
      <c r="A311" s="36">
        <v>1734</v>
      </c>
      <c r="B311" s="37">
        <v>43617</v>
      </c>
      <c r="C311" s="36" t="s">
        <v>212</v>
      </c>
      <c r="D311" s="36"/>
      <c r="E311" s="38">
        <v>68644748.565607309</v>
      </c>
      <c r="F311" s="40">
        <f>VLOOKUP(A311,'DATOS GENERALES'!A:B,2,0)</f>
        <v>1.73</v>
      </c>
      <c r="G311" s="36">
        <f t="shared" si="20"/>
        <v>1.7220419999999999</v>
      </c>
      <c r="H311" s="38">
        <f t="shared" si="21"/>
        <v>39862412.511197358</v>
      </c>
      <c r="I311" s="38">
        <f t="shared" si="22"/>
        <v>28782336.054409951</v>
      </c>
      <c r="J311" s="38">
        <v>5938344.5511116376</v>
      </c>
      <c r="K311" s="38">
        <f t="shared" si="23"/>
        <v>22843991.503298312</v>
      </c>
      <c r="L311" s="41">
        <f>VLOOKUP(INDICADORES!$B$21,'DATOS GENERALES'!$K:$M,3,0)*E311</f>
        <v>467197.96349234699</v>
      </c>
      <c r="M311" s="38">
        <f t="shared" si="24"/>
        <v>22376793.539805964</v>
      </c>
      <c r="N311" s="36"/>
      <c r="O311" s="36"/>
      <c r="P311" s="36"/>
    </row>
    <row r="312" spans="1:16" x14ac:dyDescent="0.25">
      <c r="A312" s="36">
        <v>1734</v>
      </c>
      <c r="B312" s="37">
        <v>43647</v>
      </c>
      <c r="C312" s="36" t="s">
        <v>212</v>
      </c>
      <c r="D312" s="36"/>
      <c r="E312" s="38">
        <v>85079795.189299077</v>
      </c>
      <c r="F312" s="40">
        <f>VLOOKUP(A312,'DATOS GENERALES'!A:B,2,0)</f>
        <v>1.73</v>
      </c>
      <c r="G312" s="36">
        <f t="shared" si="20"/>
        <v>1.7220419999999999</v>
      </c>
      <c r="H312" s="38">
        <f t="shared" si="21"/>
        <v>49406341.534816854</v>
      </c>
      <c r="I312" s="38">
        <f t="shared" si="22"/>
        <v>35673453.654482223</v>
      </c>
      <c r="J312" s="38">
        <v>12780967.275546269</v>
      </c>
      <c r="K312" s="38">
        <f t="shared" si="23"/>
        <v>22892486.378935955</v>
      </c>
      <c r="L312" s="41">
        <f>VLOOKUP(INDICADORES!$B$21,'DATOS GENERALES'!$K:$M,3,0)*E312</f>
        <v>579055.32291077229</v>
      </c>
      <c r="M312" s="38">
        <f t="shared" si="24"/>
        <v>22313431.056025185</v>
      </c>
      <c r="N312" s="36"/>
      <c r="O312" s="36"/>
      <c r="P312" s="36"/>
    </row>
    <row r="313" spans="1:16" x14ac:dyDescent="0.25">
      <c r="A313" s="36">
        <v>1734</v>
      </c>
      <c r="B313" s="37">
        <v>43678</v>
      </c>
      <c r="C313" s="36" t="s">
        <v>212</v>
      </c>
      <c r="D313" s="36"/>
      <c r="E313" s="38">
        <v>89917694.732678071</v>
      </c>
      <c r="F313" s="40">
        <f>VLOOKUP(A313,'DATOS GENERALES'!A:B,2,0)</f>
        <v>1.73</v>
      </c>
      <c r="G313" s="36">
        <f t="shared" si="20"/>
        <v>1.7220419999999999</v>
      </c>
      <c r="H313" s="38">
        <f t="shared" si="21"/>
        <v>52215738.485285535</v>
      </c>
      <c r="I313" s="38">
        <f t="shared" si="22"/>
        <v>37701956.247392535</v>
      </c>
      <c r="J313" s="38">
        <v>13563946.638803456</v>
      </c>
      <c r="K313" s="38">
        <f t="shared" si="23"/>
        <v>24138009.608589079</v>
      </c>
      <c r="L313" s="41">
        <f>VLOOKUP(INDICADORES!$B$21,'DATOS GENERALES'!$K:$M,3,0)*E313</f>
        <v>611982.19439733576</v>
      </c>
      <c r="M313" s="38">
        <f t="shared" si="24"/>
        <v>23526027.414191745</v>
      </c>
      <c r="N313" s="36"/>
      <c r="O313" s="36"/>
      <c r="P313" s="36"/>
    </row>
    <row r="314" spans="1:16" x14ac:dyDescent="0.25">
      <c r="A314" s="36">
        <v>1734</v>
      </c>
      <c r="B314" s="37">
        <v>43709</v>
      </c>
      <c r="C314" s="36" t="s">
        <v>212</v>
      </c>
      <c r="D314" s="36"/>
      <c r="E314" s="38">
        <v>87216781.490668952</v>
      </c>
      <c r="F314" s="40">
        <f>VLOOKUP(A314,'DATOS GENERALES'!A:B,2,0)</f>
        <v>1.73</v>
      </c>
      <c r="G314" s="36">
        <f t="shared" si="20"/>
        <v>1.7220419999999999</v>
      </c>
      <c r="H314" s="38">
        <f t="shared" si="21"/>
        <v>50647302.15097481</v>
      </c>
      <c r="I314" s="38">
        <f t="shared" si="22"/>
        <v>36569479.339694142</v>
      </c>
      <c r="J314" s="38">
        <v>14521654.531019621</v>
      </c>
      <c r="K314" s="38">
        <f t="shared" si="23"/>
        <v>22047824.808674522</v>
      </c>
      <c r="L314" s="41">
        <f>VLOOKUP(INDICADORES!$B$21,'DATOS GENERALES'!$K:$M,3,0)*E314</f>
        <v>593599.70786189241</v>
      </c>
      <c r="M314" s="38">
        <f t="shared" si="24"/>
        <v>21454225.100812629</v>
      </c>
      <c r="N314" s="36"/>
      <c r="O314" s="36"/>
      <c r="P314" s="36"/>
    </row>
    <row r="315" spans="1:16" x14ac:dyDescent="0.25">
      <c r="A315" s="36">
        <v>1734</v>
      </c>
      <c r="B315" s="37">
        <v>43739</v>
      </c>
      <c r="C315" s="36" t="s">
        <v>212</v>
      </c>
      <c r="D315" s="36"/>
      <c r="E315" s="38">
        <v>88225913.910760283</v>
      </c>
      <c r="F315" s="40">
        <f>VLOOKUP(A315,'DATOS GENERALES'!A:B,2,0)</f>
        <v>1.73</v>
      </c>
      <c r="G315" s="36">
        <f t="shared" si="20"/>
        <v>1.7220419999999999</v>
      </c>
      <c r="H315" s="38">
        <f t="shared" si="21"/>
        <v>51233311.330827177</v>
      </c>
      <c r="I315" s="38">
        <f t="shared" si="22"/>
        <v>36992602.579933107</v>
      </c>
      <c r="J315" s="38">
        <v>15941871.703236323</v>
      </c>
      <c r="K315" s="38">
        <f t="shared" si="23"/>
        <v>21050730.876696784</v>
      </c>
      <c r="L315" s="41">
        <f>VLOOKUP(INDICADORES!$B$21,'DATOS GENERALES'!$K:$M,3,0)*E315</f>
        <v>600467.88964436587</v>
      </c>
      <c r="M315" s="38">
        <f t="shared" si="24"/>
        <v>20450262.987052418</v>
      </c>
      <c r="N315" s="36"/>
      <c r="O315" s="36"/>
      <c r="P315" s="36"/>
    </row>
    <row r="316" spans="1:16" x14ac:dyDescent="0.25">
      <c r="A316" s="36">
        <v>1734</v>
      </c>
      <c r="B316" s="37">
        <v>43770</v>
      </c>
      <c r="C316" s="36" t="s">
        <v>212</v>
      </c>
      <c r="D316" s="36"/>
      <c r="E316" s="38">
        <v>89977055.463271677</v>
      </c>
      <c r="F316" s="40">
        <f>VLOOKUP(A316,'DATOS GENERALES'!A:B,2,0)</f>
        <v>1.73</v>
      </c>
      <c r="G316" s="36">
        <f t="shared" si="20"/>
        <v>1.7220419999999999</v>
      </c>
      <c r="H316" s="38">
        <f t="shared" si="21"/>
        <v>52250209.613512151</v>
      </c>
      <c r="I316" s="38">
        <f t="shared" si="22"/>
        <v>37726845.849759527</v>
      </c>
      <c r="J316" s="38">
        <v>21335699.481513288</v>
      </c>
      <c r="K316" s="38">
        <f t="shared" si="23"/>
        <v>16391146.368246239</v>
      </c>
      <c r="L316" s="41">
        <f>VLOOKUP(INDICADORES!$B$21,'DATOS GENERALES'!$K:$M,3,0)*E316</f>
        <v>612386.20509042253</v>
      </c>
      <c r="M316" s="38">
        <f t="shared" si="24"/>
        <v>15778760.163155816</v>
      </c>
      <c r="N316" s="36"/>
      <c r="O316" s="36"/>
      <c r="P316" s="36"/>
    </row>
    <row r="317" spans="1:16" x14ac:dyDescent="0.25">
      <c r="A317" s="36">
        <v>1734</v>
      </c>
      <c r="B317" s="37">
        <v>43800</v>
      </c>
      <c r="C317" s="36" t="s">
        <v>212</v>
      </c>
      <c r="D317" s="36"/>
      <c r="E317" s="38">
        <v>84456507.518066227</v>
      </c>
      <c r="F317" s="40">
        <f>VLOOKUP(A317,'DATOS GENERALES'!A:B,2,0)</f>
        <v>1.73</v>
      </c>
      <c r="G317" s="36">
        <f t="shared" si="20"/>
        <v>1.7220419999999999</v>
      </c>
      <c r="H317" s="38">
        <f t="shared" si="21"/>
        <v>49044394.688437469</v>
      </c>
      <c r="I317" s="38">
        <f t="shared" si="22"/>
        <v>35412112.829628758</v>
      </c>
      <c r="J317" s="38">
        <v>17273974.397290938</v>
      </c>
      <c r="K317" s="38">
        <f t="shared" si="23"/>
        <v>18138138.432337821</v>
      </c>
      <c r="L317" s="41">
        <f>VLOOKUP(INDICADORES!$B$21,'DATOS GENERALES'!$K:$M,3,0)*E317</f>
        <v>574813.21063336241</v>
      </c>
      <c r="M317" s="38">
        <f t="shared" si="24"/>
        <v>17563325.221704457</v>
      </c>
      <c r="N317" s="36"/>
      <c r="O317" s="36"/>
      <c r="P317" s="36"/>
    </row>
    <row r="318" spans="1:16" x14ac:dyDescent="0.25">
      <c r="A318" s="36">
        <v>1734</v>
      </c>
      <c r="B318" s="37">
        <v>43831</v>
      </c>
      <c r="C318" s="36" t="s">
        <v>212</v>
      </c>
      <c r="D318" s="36"/>
      <c r="E318" s="38">
        <v>84812671.901627824</v>
      </c>
      <c r="F318" s="40">
        <f>VLOOKUP(A318,'DATOS GENERALES'!A:B,2,0)</f>
        <v>1.73</v>
      </c>
      <c r="G318" s="36">
        <f t="shared" si="20"/>
        <v>1.7220419999999999</v>
      </c>
      <c r="H318" s="38">
        <f t="shared" si="21"/>
        <v>49251221.457797095</v>
      </c>
      <c r="I318" s="38">
        <f t="shared" si="22"/>
        <v>35561450.443830729</v>
      </c>
      <c r="J318" s="38" t="s">
        <v>213</v>
      </c>
      <c r="K318" s="38" t="str">
        <f t="shared" si="23"/>
        <v/>
      </c>
      <c r="L318" s="41">
        <f>VLOOKUP(INDICADORES!$B$21,'DATOS GENERALES'!$K:$M,3,0)*E318</f>
        <v>577237.27479188202</v>
      </c>
      <c r="M318" s="38" t="str">
        <f t="shared" si="24"/>
        <v/>
      </c>
      <c r="N318" s="36"/>
      <c r="O318" s="36"/>
      <c r="P318" s="36"/>
    </row>
    <row r="319" spans="1:16" x14ac:dyDescent="0.25">
      <c r="A319" s="36">
        <v>1734</v>
      </c>
      <c r="B319" s="37">
        <v>43862</v>
      </c>
      <c r="C319" s="36" t="s">
        <v>212</v>
      </c>
      <c r="D319" s="36"/>
      <c r="E319" s="38">
        <v>87038699.298888147</v>
      </c>
      <c r="F319" s="40">
        <f>VLOOKUP(A319,'DATOS GENERALES'!A:B,2,0)</f>
        <v>1.73</v>
      </c>
      <c r="G319" s="36">
        <f t="shared" si="20"/>
        <v>1.7220419999999999</v>
      </c>
      <c r="H319" s="38">
        <f t="shared" si="21"/>
        <v>50543888.766294986</v>
      </c>
      <c r="I319" s="38">
        <f t="shared" si="22"/>
        <v>36494810.532593161</v>
      </c>
      <c r="J319" s="38" t="s">
        <v>213</v>
      </c>
      <c r="K319" s="38" t="str">
        <f t="shared" si="23"/>
        <v/>
      </c>
      <c r="L319" s="41">
        <f>VLOOKUP(INDICADORES!$B$21,'DATOS GENERALES'!$K:$M,3,0)*E319</f>
        <v>592387.67578263255</v>
      </c>
      <c r="M319" s="38" t="str">
        <f t="shared" si="24"/>
        <v/>
      </c>
      <c r="N319" s="36"/>
      <c r="O319" s="36"/>
      <c r="P319" s="36"/>
    </row>
    <row r="320" spans="1:16" x14ac:dyDescent="0.25">
      <c r="A320" s="36">
        <v>1734</v>
      </c>
      <c r="B320" s="37">
        <v>43891</v>
      </c>
      <c r="C320" s="36" t="s">
        <v>212</v>
      </c>
      <c r="D320" s="36"/>
      <c r="E320" s="38">
        <v>84219064.595691785</v>
      </c>
      <c r="F320" s="40">
        <f>VLOOKUP(A320,'DATOS GENERALES'!A:B,2,0)</f>
        <v>1.73</v>
      </c>
      <c r="G320" s="36">
        <f t="shared" si="20"/>
        <v>1.7220419999999999</v>
      </c>
      <c r="H320" s="38">
        <f t="shared" si="21"/>
        <v>48906510.175531022</v>
      </c>
      <c r="I320" s="38">
        <f t="shared" si="22"/>
        <v>35312554.420160763</v>
      </c>
      <c r="J320" s="38" t="s">
        <v>213</v>
      </c>
      <c r="K320" s="38" t="str">
        <f t="shared" si="23"/>
        <v/>
      </c>
      <c r="L320" s="41">
        <f>VLOOKUP(INDICADORES!$B$21,'DATOS GENERALES'!$K:$M,3,0)*E320</f>
        <v>573197.16786101565</v>
      </c>
      <c r="M320" s="38" t="str">
        <f t="shared" si="24"/>
        <v/>
      </c>
      <c r="N320" s="36"/>
      <c r="O320" s="36"/>
      <c r="P320" s="36"/>
    </row>
    <row r="321" spans="1:16" x14ac:dyDescent="0.25">
      <c r="A321" s="36">
        <v>1734</v>
      </c>
      <c r="B321" s="37">
        <v>43922</v>
      </c>
      <c r="C321" s="36" t="s">
        <v>212</v>
      </c>
      <c r="D321" s="36"/>
      <c r="E321" s="38">
        <v>86415411.627655238</v>
      </c>
      <c r="F321" s="40">
        <f>VLOOKUP(A321,'DATOS GENERALES'!A:B,2,0)</f>
        <v>1.73</v>
      </c>
      <c r="G321" s="36">
        <f t="shared" si="20"/>
        <v>1.7220419999999999</v>
      </c>
      <c r="H321" s="38">
        <f t="shared" si="21"/>
        <v>50181941.919915572</v>
      </c>
      <c r="I321" s="38">
        <f t="shared" si="22"/>
        <v>36233469.707739666</v>
      </c>
      <c r="J321" s="38" t="s">
        <v>213</v>
      </c>
      <c r="K321" s="38" t="str">
        <f t="shared" si="23"/>
        <v/>
      </c>
      <c r="L321" s="41">
        <f>VLOOKUP(INDICADORES!$B$21,'DATOS GENERALES'!$K:$M,3,0)*E321</f>
        <v>588145.56350522232</v>
      </c>
      <c r="M321" s="38" t="str">
        <f t="shared" si="24"/>
        <v/>
      </c>
      <c r="N321" s="36"/>
      <c r="O321" s="36"/>
      <c r="P321" s="36"/>
    </row>
    <row r="322" spans="1:16" x14ac:dyDescent="0.25">
      <c r="A322" s="36">
        <v>1734</v>
      </c>
      <c r="B322" s="37">
        <v>43952</v>
      </c>
      <c r="C322" s="36" t="s">
        <v>212</v>
      </c>
      <c r="D322" s="36"/>
      <c r="E322" s="38">
        <v>86919977.837700903</v>
      </c>
      <c r="F322" s="40">
        <f>VLOOKUP(A322,'DATOS GENERALES'!A:B,2,0)</f>
        <v>1.73</v>
      </c>
      <c r="G322" s="36">
        <f t="shared" si="20"/>
        <v>1.7220419999999999</v>
      </c>
      <c r="H322" s="38">
        <f t="shared" si="21"/>
        <v>50474946.509841755</v>
      </c>
      <c r="I322" s="38">
        <f t="shared" si="22"/>
        <v>36445031.327859148</v>
      </c>
      <c r="J322" s="38" t="s">
        <v>213</v>
      </c>
      <c r="K322" s="38" t="str">
        <f t="shared" si="23"/>
        <v/>
      </c>
      <c r="L322" s="41">
        <f>VLOOKUP(INDICADORES!$B$21,'DATOS GENERALES'!$K:$M,3,0)*E322</f>
        <v>591579.65439645899</v>
      </c>
      <c r="M322" s="38" t="str">
        <f t="shared" si="24"/>
        <v/>
      </c>
      <c r="N322" s="36"/>
      <c r="O322" s="36"/>
      <c r="P322" s="36"/>
    </row>
    <row r="323" spans="1:16" x14ac:dyDescent="0.25">
      <c r="A323" s="36">
        <v>1734</v>
      </c>
      <c r="B323" s="37">
        <v>43983</v>
      </c>
      <c r="C323" s="36" t="s">
        <v>212</v>
      </c>
      <c r="D323" s="36"/>
      <c r="E323" s="38">
        <v>82467923.043180406</v>
      </c>
      <c r="F323" s="40">
        <f>VLOOKUP(A323,'DATOS GENERALES'!A:B,2,0)</f>
        <v>1.73</v>
      </c>
      <c r="G323" s="36">
        <f t="shared" ref="G323:G386" si="25">F323*0.9954</f>
        <v>1.7220419999999999</v>
      </c>
      <c r="H323" s="38">
        <f t="shared" ref="H323:H386" si="26">E323/G323</f>
        <v>47889611.892846063</v>
      </c>
      <c r="I323" s="38">
        <f t="shared" ref="I323:I386" si="27">E323-H323</f>
        <v>34578311.150334343</v>
      </c>
      <c r="J323" s="38" t="s">
        <v>213</v>
      </c>
      <c r="K323" s="38" t="str">
        <f t="shared" ref="K323:K386" si="28">IFERROR(I323-J323,"")</f>
        <v/>
      </c>
      <c r="L323" s="41">
        <f>VLOOKUP(INDICADORES!$B$21,'DATOS GENERALES'!$K:$M,3,0)*E323</f>
        <v>561278.85241495911</v>
      </c>
      <c r="M323" s="38" t="str">
        <f t="shared" ref="M323:M386" si="29">IFERROR(K323-L323,"")</f>
        <v/>
      </c>
      <c r="N323" s="36"/>
      <c r="O323" s="36"/>
      <c r="P323" s="36"/>
    </row>
    <row r="324" spans="1:16" x14ac:dyDescent="0.25">
      <c r="A324" s="36">
        <v>1734</v>
      </c>
      <c r="B324" s="37">
        <v>44013</v>
      </c>
      <c r="C324" s="36" t="s">
        <v>212</v>
      </c>
      <c r="D324" s="36"/>
      <c r="E324" s="38">
        <v>81013585.143636942</v>
      </c>
      <c r="F324" s="40">
        <f>VLOOKUP(A324,'DATOS GENERALES'!A:B,2,0)</f>
        <v>1.73</v>
      </c>
      <c r="G324" s="36">
        <f t="shared" si="25"/>
        <v>1.7220419999999999</v>
      </c>
      <c r="H324" s="38">
        <f t="shared" si="26"/>
        <v>47045069.251294076</v>
      </c>
      <c r="I324" s="38">
        <f t="shared" si="27"/>
        <v>33968515.892342865</v>
      </c>
      <c r="J324" s="38" t="s">
        <v>213</v>
      </c>
      <c r="K324" s="38" t="str">
        <f t="shared" si="28"/>
        <v/>
      </c>
      <c r="L324" s="41">
        <f>VLOOKUP(INDICADORES!$B$21,'DATOS GENERALES'!$K:$M,3,0)*E324</f>
        <v>551380.59043433517</v>
      </c>
      <c r="M324" s="38" t="str">
        <f t="shared" si="29"/>
        <v/>
      </c>
      <c r="N324" s="36"/>
      <c r="O324" s="36"/>
      <c r="P324" s="36"/>
    </row>
    <row r="325" spans="1:16" x14ac:dyDescent="0.25">
      <c r="A325" s="36">
        <v>1734</v>
      </c>
      <c r="B325" s="37">
        <v>44044</v>
      </c>
      <c r="C325" s="36" t="s">
        <v>212</v>
      </c>
      <c r="D325" s="36"/>
      <c r="E325" s="38">
        <v>80894863.682449803</v>
      </c>
      <c r="F325" s="40">
        <f>VLOOKUP(A325,'DATOS GENERALES'!A:B,2,0)</f>
        <v>1.73</v>
      </c>
      <c r="G325" s="36">
        <f t="shared" si="25"/>
        <v>1.7220419999999999</v>
      </c>
      <c r="H325" s="38">
        <f t="shared" si="26"/>
        <v>46976126.994840898</v>
      </c>
      <c r="I325" s="38">
        <f t="shared" si="27"/>
        <v>33918736.687608905</v>
      </c>
      <c r="J325" s="38" t="s">
        <v>213</v>
      </c>
      <c r="K325" s="38" t="str">
        <f t="shared" si="28"/>
        <v/>
      </c>
      <c r="L325" s="41">
        <f>VLOOKUP(INDICADORES!$B$21,'DATOS GENERALES'!$K:$M,3,0)*E325</f>
        <v>550572.56904816232</v>
      </c>
      <c r="M325" s="38" t="str">
        <f t="shared" si="29"/>
        <v/>
      </c>
      <c r="N325" s="36"/>
      <c r="O325" s="36"/>
      <c r="P325" s="36"/>
    </row>
    <row r="326" spans="1:16" x14ac:dyDescent="0.25">
      <c r="A326" s="36">
        <v>1734</v>
      </c>
      <c r="B326" s="37">
        <v>44075</v>
      </c>
      <c r="C326" s="36" t="s">
        <v>212</v>
      </c>
      <c r="D326" s="36"/>
      <c r="E326" s="38">
        <v>78609475.554595888</v>
      </c>
      <c r="F326" s="40">
        <f>VLOOKUP(A326,'DATOS GENERALES'!A:B,2,0)</f>
        <v>1.73</v>
      </c>
      <c r="G326" s="36">
        <f t="shared" si="25"/>
        <v>1.7220419999999999</v>
      </c>
      <c r="H326" s="38">
        <f t="shared" si="26"/>
        <v>45648988.558116406</v>
      </c>
      <c r="I326" s="38">
        <f t="shared" si="27"/>
        <v>32960486.996479481</v>
      </c>
      <c r="J326" s="38" t="s">
        <v>213</v>
      </c>
      <c r="K326" s="38" t="str">
        <f t="shared" si="28"/>
        <v/>
      </c>
      <c r="L326" s="41">
        <f>VLOOKUP(INDICADORES!$B$21,'DATOS GENERALES'!$K:$M,3,0)*E326</f>
        <v>535018.15736432525</v>
      </c>
      <c r="M326" s="38" t="str">
        <f t="shared" si="29"/>
        <v/>
      </c>
      <c r="N326" s="36"/>
      <c r="O326" s="36"/>
      <c r="P326" s="36"/>
    </row>
    <row r="327" spans="1:16" x14ac:dyDescent="0.25">
      <c r="A327" s="36">
        <v>1888</v>
      </c>
      <c r="B327" s="37">
        <v>43525</v>
      </c>
      <c r="C327" s="36" t="s">
        <v>212</v>
      </c>
      <c r="D327" s="36"/>
      <c r="E327" s="38">
        <v>50337339</v>
      </c>
      <c r="F327" s="40">
        <f>VLOOKUP(A327,'DATOS GENERALES'!A:B,2,0)</f>
        <v>1</v>
      </c>
      <c r="G327" s="36">
        <f t="shared" si="25"/>
        <v>0.99539999999999995</v>
      </c>
      <c r="H327" s="38">
        <f t="shared" si="26"/>
        <v>50569960.819770947</v>
      </c>
      <c r="I327" s="38">
        <f t="shared" si="27"/>
        <v>-232621.8197709471</v>
      </c>
      <c r="J327" s="38">
        <v>7908510.8421956766</v>
      </c>
      <c r="K327" s="38">
        <f t="shared" si="28"/>
        <v>-8141132.6619666237</v>
      </c>
      <c r="L327" s="41">
        <f>VLOOKUP(INDICADORES!$B$21,'DATOS GENERALES'!$K:$M,3,0)*E327</f>
        <v>342597.25266452116</v>
      </c>
      <c r="M327" s="38">
        <f t="shared" si="29"/>
        <v>-8483729.9146311451</v>
      </c>
      <c r="N327" s="36"/>
      <c r="O327" s="36"/>
      <c r="P327" s="36"/>
    </row>
    <row r="328" spans="1:16" x14ac:dyDescent="0.25">
      <c r="A328" s="36">
        <v>1888</v>
      </c>
      <c r="B328" s="37">
        <v>43556</v>
      </c>
      <c r="C328" s="36" t="s">
        <v>212</v>
      </c>
      <c r="D328" s="36"/>
      <c r="E328" s="38">
        <v>50337339</v>
      </c>
      <c r="F328" s="40">
        <f>VLOOKUP(A328,'DATOS GENERALES'!A:B,2,0)</f>
        <v>1</v>
      </c>
      <c r="G328" s="36">
        <f t="shared" si="25"/>
        <v>0.99539999999999995</v>
      </c>
      <c r="H328" s="38">
        <f t="shared" si="26"/>
        <v>50569960.819770947</v>
      </c>
      <c r="I328" s="38">
        <f t="shared" si="27"/>
        <v>-232621.8197709471</v>
      </c>
      <c r="J328" s="38">
        <v>8130545.1958032735</v>
      </c>
      <c r="K328" s="38">
        <f t="shared" si="28"/>
        <v>-8363167.0155742206</v>
      </c>
      <c r="L328" s="41">
        <f>VLOOKUP(INDICADORES!$B$21,'DATOS GENERALES'!$K:$M,3,0)*E328</f>
        <v>342597.25266452116</v>
      </c>
      <c r="M328" s="38">
        <f t="shared" si="29"/>
        <v>-8705764.2682387419</v>
      </c>
      <c r="N328" s="36"/>
      <c r="O328" s="36"/>
      <c r="P328" s="36"/>
    </row>
    <row r="329" spans="1:16" x14ac:dyDescent="0.25">
      <c r="A329" s="36">
        <v>1888</v>
      </c>
      <c r="B329" s="37">
        <v>43586</v>
      </c>
      <c r="C329" s="36" t="s">
        <v>212</v>
      </c>
      <c r="D329" s="36"/>
      <c r="E329" s="38">
        <v>50337339</v>
      </c>
      <c r="F329" s="40">
        <f>VLOOKUP(A329,'DATOS GENERALES'!A:B,2,0)</f>
        <v>1</v>
      </c>
      <c r="G329" s="36">
        <f t="shared" si="25"/>
        <v>0.99539999999999995</v>
      </c>
      <c r="H329" s="38">
        <f t="shared" si="26"/>
        <v>50569960.819770947</v>
      </c>
      <c r="I329" s="38">
        <f t="shared" si="27"/>
        <v>-232621.8197709471</v>
      </c>
      <c r="J329" s="38">
        <v>6707131.1813661829</v>
      </c>
      <c r="K329" s="38">
        <f t="shared" si="28"/>
        <v>-6939753.00113713</v>
      </c>
      <c r="L329" s="41">
        <f>VLOOKUP(INDICADORES!$B$21,'DATOS GENERALES'!$K:$M,3,0)*E329</f>
        <v>342597.25266452116</v>
      </c>
      <c r="M329" s="38">
        <f t="shared" si="29"/>
        <v>-7282350.2538016513</v>
      </c>
      <c r="N329" s="36"/>
      <c r="O329" s="36"/>
      <c r="P329" s="36"/>
    </row>
    <row r="330" spans="1:16" x14ac:dyDescent="0.25">
      <c r="A330" s="36">
        <v>1888</v>
      </c>
      <c r="B330" s="37">
        <v>43617</v>
      </c>
      <c r="C330" s="36" t="s">
        <v>212</v>
      </c>
      <c r="D330" s="36"/>
      <c r="E330" s="38">
        <v>50337339</v>
      </c>
      <c r="F330" s="40">
        <f>VLOOKUP(A330,'DATOS GENERALES'!A:B,2,0)</f>
        <v>1</v>
      </c>
      <c r="G330" s="36">
        <f t="shared" si="25"/>
        <v>0.99539999999999995</v>
      </c>
      <c r="H330" s="38">
        <f t="shared" si="26"/>
        <v>50569960.819770947</v>
      </c>
      <c r="I330" s="38">
        <f t="shared" si="27"/>
        <v>-232621.8197709471</v>
      </c>
      <c r="J330" s="38">
        <v>7533459.0248309979</v>
      </c>
      <c r="K330" s="38">
        <f t="shared" si="28"/>
        <v>-7766080.844601945</v>
      </c>
      <c r="L330" s="41">
        <f>VLOOKUP(INDICADORES!$B$21,'DATOS GENERALES'!$K:$M,3,0)*E330</f>
        <v>342597.25266452116</v>
      </c>
      <c r="M330" s="38">
        <f t="shared" si="29"/>
        <v>-8108678.0972664664</v>
      </c>
      <c r="N330" s="36"/>
      <c r="O330" s="36"/>
      <c r="P330" s="36"/>
    </row>
    <row r="331" spans="1:16" x14ac:dyDescent="0.25">
      <c r="A331" s="36">
        <v>1888</v>
      </c>
      <c r="B331" s="37">
        <v>43647</v>
      </c>
      <c r="C331" s="36" t="s">
        <v>212</v>
      </c>
      <c r="D331" s="36"/>
      <c r="E331" s="38">
        <v>39863714</v>
      </c>
      <c r="F331" s="40">
        <f>VLOOKUP(A331,'DATOS GENERALES'!A:B,2,0)</f>
        <v>1</v>
      </c>
      <c r="G331" s="36">
        <f t="shared" si="25"/>
        <v>0.99539999999999995</v>
      </c>
      <c r="H331" s="38">
        <f t="shared" si="26"/>
        <v>40047934.498693995</v>
      </c>
      <c r="I331" s="38">
        <f t="shared" si="27"/>
        <v>-184220.49869399518</v>
      </c>
      <c r="J331" s="38">
        <v>10360033.234201822</v>
      </c>
      <c r="K331" s="38">
        <f t="shared" si="28"/>
        <v>-10544253.732895818</v>
      </c>
      <c r="L331" s="41">
        <f>VLOOKUP(INDICADORES!$B$21,'DATOS GENERALES'!$K:$M,3,0)*E331</f>
        <v>271313.48555004486</v>
      </c>
      <c r="M331" s="38">
        <f t="shared" si="29"/>
        <v>-10815567.218445862</v>
      </c>
      <c r="N331" s="36"/>
      <c r="O331" s="36"/>
      <c r="P331" s="36"/>
    </row>
    <row r="332" spans="1:16" x14ac:dyDescent="0.25">
      <c r="A332" s="36">
        <v>1888</v>
      </c>
      <c r="B332" s="37">
        <v>43678</v>
      </c>
      <c r="C332" s="36" t="s">
        <v>212</v>
      </c>
      <c r="D332" s="36"/>
      <c r="E332" s="38">
        <v>39863714</v>
      </c>
      <c r="F332" s="40">
        <f>VLOOKUP(A332,'DATOS GENERALES'!A:B,2,0)</f>
        <v>1</v>
      </c>
      <c r="G332" s="36">
        <f t="shared" si="25"/>
        <v>0.99539999999999995</v>
      </c>
      <c r="H332" s="38">
        <f t="shared" si="26"/>
        <v>40047934.498693995</v>
      </c>
      <c r="I332" s="38">
        <f t="shared" si="27"/>
        <v>-184220.49869399518</v>
      </c>
      <c r="J332" s="38">
        <v>10403147.830374137</v>
      </c>
      <c r="K332" s="38">
        <f t="shared" si="28"/>
        <v>-10587368.329068132</v>
      </c>
      <c r="L332" s="41">
        <f>VLOOKUP(INDICADORES!$B$21,'DATOS GENERALES'!$K:$M,3,0)*E332</f>
        <v>271313.48555004486</v>
      </c>
      <c r="M332" s="38">
        <f t="shared" si="29"/>
        <v>-10858681.814618176</v>
      </c>
      <c r="N332" s="36"/>
      <c r="O332" s="36"/>
      <c r="P332" s="36"/>
    </row>
    <row r="333" spans="1:16" x14ac:dyDescent="0.25">
      <c r="A333" s="36">
        <v>1888</v>
      </c>
      <c r="B333" s="37">
        <v>43709</v>
      </c>
      <c r="C333" s="36" t="s">
        <v>212</v>
      </c>
      <c r="D333" s="36"/>
      <c r="E333" s="38">
        <v>39863714</v>
      </c>
      <c r="F333" s="40">
        <f>VLOOKUP(A333,'DATOS GENERALES'!A:B,2,0)</f>
        <v>1</v>
      </c>
      <c r="G333" s="36">
        <f t="shared" si="25"/>
        <v>0.99539999999999995</v>
      </c>
      <c r="H333" s="38">
        <f t="shared" si="26"/>
        <v>40047934.498693995</v>
      </c>
      <c r="I333" s="38">
        <f t="shared" si="27"/>
        <v>-184220.49869399518</v>
      </c>
      <c r="J333" s="38">
        <v>11482591.268876566</v>
      </c>
      <c r="K333" s="38">
        <f t="shared" si="28"/>
        <v>-11666811.767570561</v>
      </c>
      <c r="L333" s="41">
        <f>VLOOKUP(INDICADORES!$B$21,'DATOS GENERALES'!$K:$M,3,0)*E333</f>
        <v>271313.48555004486</v>
      </c>
      <c r="M333" s="38">
        <f t="shared" si="29"/>
        <v>-11938125.253120605</v>
      </c>
      <c r="N333" s="36"/>
      <c r="O333" s="36"/>
      <c r="P333" s="36"/>
    </row>
    <row r="334" spans="1:16" x14ac:dyDescent="0.25">
      <c r="A334" s="36">
        <v>1888</v>
      </c>
      <c r="B334" s="37">
        <v>43739</v>
      </c>
      <c r="C334" s="36" t="s">
        <v>212</v>
      </c>
      <c r="D334" s="36"/>
      <c r="E334" s="38">
        <v>39863714</v>
      </c>
      <c r="F334" s="40">
        <f>VLOOKUP(A334,'DATOS GENERALES'!A:B,2,0)</f>
        <v>1</v>
      </c>
      <c r="G334" s="36">
        <f t="shared" si="25"/>
        <v>0.99539999999999995</v>
      </c>
      <c r="H334" s="38">
        <f t="shared" si="26"/>
        <v>40047934.498693995</v>
      </c>
      <c r="I334" s="38">
        <f t="shared" si="27"/>
        <v>-184220.49869399518</v>
      </c>
      <c r="J334" s="38">
        <v>12461404.839426056</v>
      </c>
      <c r="K334" s="38">
        <f t="shared" si="28"/>
        <v>-12645625.338120051</v>
      </c>
      <c r="L334" s="41">
        <f>VLOOKUP(INDICADORES!$B$21,'DATOS GENERALES'!$K:$M,3,0)*E334</f>
        <v>271313.48555004486</v>
      </c>
      <c r="M334" s="38">
        <f t="shared" si="29"/>
        <v>-12916938.823670095</v>
      </c>
      <c r="N334" s="36"/>
      <c r="O334" s="36"/>
      <c r="P334" s="36"/>
    </row>
    <row r="335" spans="1:16" x14ac:dyDescent="0.25">
      <c r="A335" s="36">
        <v>1888</v>
      </c>
      <c r="B335" s="37">
        <v>43770</v>
      </c>
      <c r="C335" s="36" t="s">
        <v>212</v>
      </c>
      <c r="D335" s="36"/>
      <c r="E335" s="38">
        <v>39863714</v>
      </c>
      <c r="F335" s="40">
        <f>VLOOKUP(A335,'DATOS GENERALES'!A:B,2,0)</f>
        <v>1</v>
      </c>
      <c r="G335" s="36">
        <f t="shared" si="25"/>
        <v>0.99539999999999995</v>
      </c>
      <c r="H335" s="38">
        <f t="shared" si="26"/>
        <v>40047934.498693995</v>
      </c>
      <c r="I335" s="38">
        <f t="shared" si="27"/>
        <v>-184220.49869399518</v>
      </c>
      <c r="J335" s="38">
        <v>16353057.751150122</v>
      </c>
      <c r="K335" s="38">
        <f t="shared" si="28"/>
        <v>-16537278.249844117</v>
      </c>
      <c r="L335" s="41">
        <f>VLOOKUP(INDICADORES!$B$21,'DATOS GENERALES'!$K:$M,3,0)*E335</f>
        <v>271313.48555004486</v>
      </c>
      <c r="M335" s="38">
        <f t="shared" si="29"/>
        <v>-16808591.735394161</v>
      </c>
      <c r="N335" s="36"/>
      <c r="O335" s="36"/>
      <c r="P335" s="36"/>
    </row>
    <row r="336" spans="1:16" x14ac:dyDescent="0.25">
      <c r="A336" s="36">
        <v>1888</v>
      </c>
      <c r="B336" s="37">
        <v>43800</v>
      </c>
      <c r="C336" s="36" t="s">
        <v>212</v>
      </c>
      <c r="D336" s="36"/>
      <c r="E336" s="38">
        <v>39863714</v>
      </c>
      <c r="F336" s="40">
        <f>VLOOKUP(A336,'DATOS GENERALES'!A:B,2,0)</f>
        <v>1</v>
      </c>
      <c r="G336" s="36">
        <f t="shared" si="25"/>
        <v>0.99539999999999995</v>
      </c>
      <c r="H336" s="38">
        <f t="shared" si="26"/>
        <v>40047934.498693995</v>
      </c>
      <c r="I336" s="38">
        <f t="shared" si="27"/>
        <v>-184220.49869399518</v>
      </c>
      <c r="J336" s="38">
        <v>14105322.32255112</v>
      </c>
      <c r="K336" s="38">
        <f t="shared" si="28"/>
        <v>-14289542.821245115</v>
      </c>
      <c r="L336" s="41">
        <f>VLOOKUP(INDICADORES!$B$21,'DATOS GENERALES'!$K:$M,3,0)*E336</f>
        <v>271313.48555004486</v>
      </c>
      <c r="M336" s="38">
        <f t="shared" si="29"/>
        <v>-14560856.306795159</v>
      </c>
      <c r="N336" s="36"/>
      <c r="O336" s="36"/>
      <c r="P336" s="36"/>
    </row>
    <row r="337" spans="1:16" x14ac:dyDescent="0.25">
      <c r="A337" s="36">
        <v>1888</v>
      </c>
      <c r="B337" s="37">
        <v>43831</v>
      </c>
      <c r="C337" s="36" t="s">
        <v>212</v>
      </c>
      <c r="D337" s="36"/>
      <c r="E337" s="38">
        <v>39863714</v>
      </c>
      <c r="F337" s="40">
        <f>VLOOKUP(A337,'DATOS GENERALES'!A:B,2,0)</f>
        <v>1</v>
      </c>
      <c r="G337" s="36">
        <f t="shared" si="25"/>
        <v>0.99539999999999995</v>
      </c>
      <c r="H337" s="38">
        <f t="shared" si="26"/>
        <v>40047934.498693995</v>
      </c>
      <c r="I337" s="38">
        <f t="shared" si="27"/>
        <v>-184220.49869399518</v>
      </c>
      <c r="J337" s="38" t="s">
        <v>213</v>
      </c>
      <c r="K337" s="38" t="str">
        <f t="shared" si="28"/>
        <v/>
      </c>
      <c r="L337" s="41">
        <f>VLOOKUP(INDICADORES!$B$21,'DATOS GENERALES'!$K:$M,3,0)*E337</f>
        <v>271313.48555004486</v>
      </c>
      <c r="M337" s="38" t="str">
        <f t="shared" si="29"/>
        <v/>
      </c>
      <c r="N337" s="36"/>
      <c r="O337" s="36"/>
      <c r="P337" s="36"/>
    </row>
    <row r="338" spans="1:16" x14ac:dyDescent="0.25">
      <c r="A338" s="36">
        <v>1888</v>
      </c>
      <c r="B338" s="37">
        <v>43862</v>
      </c>
      <c r="C338" s="36" t="s">
        <v>212</v>
      </c>
      <c r="D338" s="36"/>
      <c r="E338" s="38">
        <v>35856914</v>
      </c>
      <c r="F338" s="40">
        <f>VLOOKUP(A338,'DATOS GENERALES'!A:B,2,0)</f>
        <v>1</v>
      </c>
      <c r="G338" s="36">
        <f t="shared" si="25"/>
        <v>0.99539999999999995</v>
      </c>
      <c r="H338" s="38">
        <f t="shared" si="26"/>
        <v>36022618.042997792</v>
      </c>
      <c r="I338" s="38">
        <f t="shared" si="27"/>
        <v>-165704.04299779236</v>
      </c>
      <c r="J338" s="38" t="s">
        <v>213</v>
      </c>
      <c r="K338" s="38" t="str">
        <f t="shared" si="28"/>
        <v/>
      </c>
      <c r="L338" s="41">
        <f>VLOOKUP(INDICADORES!$B$21,'DATOS GENERALES'!$K:$M,3,0)*E338</f>
        <v>244043.09940634738</v>
      </c>
      <c r="M338" s="38" t="str">
        <f t="shared" si="29"/>
        <v/>
      </c>
      <c r="N338" s="36"/>
      <c r="O338" s="36"/>
      <c r="P338" s="36"/>
    </row>
    <row r="339" spans="1:16" x14ac:dyDescent="0.25">
      <c r="A339" s="36">
        <v>1888</v>
      </c>
      <c r="B339" s="37">
        <v>43891</v>
      </c>
      <c r="C339" s="36" t="s">
        <v>212</v>
      </c>
      <c r="D339" s="36"/>
      <c r="E339" s="38">
        <v>3170664</v>
      </c>
      <c r="F339" s="40">
        <f>VLOOKUP(A339,'DATOS GENERALES'!A:B,2,0)</f>
        <v>1</v>
      </c>
      <c r="G339" s="36">
        <f t="shared" si="25"/>
        <v>0.99539999999999995</v>
      </c>
      <c r="H339" s="38">
        <f t="shared" si="26"/>
        <v>3185316.4556962028</v>
      </c>
      <c r="I339" s="38">
        <f t="shared" si="27"/>
        <v>-14652.455696202815</v>
      </c>
      <c r="J339" s="38" t="s">
        <v>213</v>
      </c>
      <c r="K339" s="38" t="str">
        <f t="shared" si="28"/>
        <v/>
      </c>
      <c r="L339" s="41">
        <f>VLOOKUP(INDICADORES!$B$21,'DATOS GENERALES'!$K:$M,3,0)*E339</f>
        <v>21579.622544654205</v>
      </c>
      <c r="M339" s="38" t="str">
        <f t="shared" si="29"/>
        <v/>
      </c>
      <c r="N339" s="36"/>
      <c r="O339" s="36"/>
      <c r="P339" s="36"/>
    </row>
    <row r="340" spans="1:16" x14ac:dyDescent="0.25">
      <c r="A340" s="36">
        <v>1888</v>
      </c>
      <c r="B340" s="37">
        <v>43922</v>
      </c>
      <c r="C340" s="36" t="s">
        <v>212</v>
      </c>
      <c r="D340" s="36"/>
      <c r="E340" s="38">
        <v>3170664</v>
      </c>
      <c r="F340" s="40">
        <f>VLOOKUP(A340,'DATOS GENERALES'!A:B,2,0)</f>
        <v>1</v>
      </c>
      <c r="G340" s="36">
        <f t="shared" si="25"/>
        <v>0.99539999999999995</v>
      </c>
      <c r="H340" s="38">
        <f t="shared" si="26"/>
        <v>3185316.4556962028</v>
      </c>
      <c r="I340" s="38">
        <f t="shared" si="27"/>
        <v>-14652.455696202815</v>
      </c>
      <c r="J340" s="38" t="s">
        <v>213</v>
      </c>
      <c r="K340" s="38" t="str">
        <f t="shared" si="28"/>
        <v/>
      </c>
      <c r="L340" s="41">
        <f>VLOOKUP(INDICADORES!$B$21,'DATOS GENERALES'!$K:$M,3,0)*E340</f>
        <v>21579.622544654205</v>
      </c>
      <c r="M340" s="38" t="str">
        <f t="shared" si="29"/>
        <v/>
      </c>
      <c r="N340" s="36"/>
      <c r="O340" s="36"/>
      <c r="P340" s="36"/>
    </row>
    <row r="341" spans="1:16" x14ac:dyDescent="0.25">
      <c r="A341" s="36">
        <v>1888</v>
      </c>
      <c r="B341" s="37">
        <v>43952</v>
      </c>
      <c r="C341" s="36" t="s">
        <v>212</v>
      </c>
      <c r="D341" s="36"/>
      <c r="E341" s="38">
        <v>3170664</v>
      </c>
      <c r="F341" s="40">
        <f>VLOOKUP(A341,'DATOS GENERALES'!A:B,2,0)</f>
        <v>1</v>
      </c>
      <c r="G341" s="36">
        <f t="shared" si="25"/>
        <v>0.99539999999999995</v>
      </c>
      <c r="H341" s="38">
        <f t="shared" si="26"/>
        <v>3185316.4556962028</v>
      </c>
      <c r="I341" s="38">
        <f t="shared" si="27"/>
        <v>-14652.455696202815</v>
      </c>
      <c r="J341" s="38" t="s">
        <v>213</v>
      </c>
      <c r="K341" s="38" t="str">
        <f t="shared" si="28"/>
        <v/>
      </c>
      <c r="L341" s="41">
        <f>VLOOKUP(INDICADORES!$B$21,'DATOS GENERALES'!$K:$M,3,0)*E341</f>
        <v>21579.622544654205</v>
      </c>
      <c r="M341" s="38" t="str">
        <f t="shared" si="29"/>
        <v/>
      </c>
      <c r="N341" s="36"/>
      <c r="O341" s="36"/>
      <c r="P341" s="36"/>
    </row>
    <row r="342" spans="1:16" x14ac:dyDescent="0.25">
      <c r="A342" s="36">
        <v>1891</v>
      </c>
      <c r="B342" s="37">
        <v>43497</v>
      </c>
      <c r="C342" s="36" t="s">
        <v>212</v>
      </c>
      <c r="D342" s="36"/>
      <c r="E342" s="38">
        <v>71835513.627000004</v>
      </c>
      <c r="F342" s="40">
        <f>VLOOKUP(A342,'DATOS GENERALES'!A:B,2,0)</f>
        <v>2.79</v>
      </c>
      <c r="G342" s="36">
        <f t="shared" si="25"/>
        <v>2.7771659999999998</v>
      </c>
      <c r="H342" s="38">
        <f t="shared" si="26"/>
        <v>25866481.739658345</v>
      </c>
      <c r="I342" s="38">
        <f t="shared" si="27"/>
        <v>45969031.887341663</v>
      </c>
      <c r="J342" s="38">
        <v>5591243.0136025101</v>
      </c>
      <c r="K342" s="38">
        <f t="shared" si="28"/>
        <v>40377788.873739153</v>
      </c>
      <c r="L342" s="41">
        <f>VLOOKUP(INDICADORES!$B$21,'DATOS GENERALES'!$K:$M,3,0)*E342</f>
        <v>488914.3943893215</v>
      </c>
      <c r="M342" s="38">
        <f t="shared" si="29"/>
        <v>39888874.479349829</v>
      </c>
      <c r="N342" s="36"/>
      <c r="O342" s="36"/>
      <c r="P342" s="36"/>
    </row>
    <row r="343" spans="1:16" x14ac:dyDescent="0.25">
      <c r="A343" s="36">
        <v>1891</v>
      </c>
      <c r="B343" s="37">
        <v>43525</v>
      </c>
      <c r="C343" s="36" t="s">
        <v>212</v>
      </c>
      <c r="D343" s="36"/>
      <c r="E343" s="38">
        <v>71835513.627000004</v>
      </c>
      <c r="F343" s="40">
        <f>VLOOKUP(A343,'DATOS GENERALES'!A:B,2,0)</f>
        <v>2.79</v>
      </c>
      <c r="G343" s="36">
        <f t="shared" si="25"/>
        <v>2.7771659999999998</v>
      </c>
      <c r="H343" s="38">
        <f t="shared" si="26"/>
        <v>25866481.739658345</v>
      </c>
      <c r="I343" s="38">
        <f t="shared" si="27"/>
        <v>45969031.887341663</v>
      </c>
      <c r="J343" s="38">
        <v>4045194.9728932194</v>
      </c>
      <c r="K343" s="38">
        <f t="shared" si="28"/>
        <v>41923836.91444844</v>
      </c>
      <c r="L343" s="41">
        <f>VLOOKUP(INDICADORES!$B$21,'DATOS GENERALES'!$K:$M,3,0)*E343</f>
        <v>488914.3943893215</v>
      </c>
      <c r="M343" s="38">
        <f t="shared" si="29"/>
        <v>41434922.520059116</v>
      </c>
      <c r="N343" s="36"/>
      <c r="O343" s="36"/>
      <c r="P343" s="36"/>
    </row>
    <row r="344" spans="1:16" x14ac:dyDescent="0.25">
      <c r="A344" s="36">
        <v>1891</v>
      </c>
      <c r="B344" s="37">
        <v>43556</v>
      </c>
      <c r="C344" s="36" t="s">
        <v>212</v>
      </c>
      <c r="D344" s="36"/>
      <c r="E344" s="38">
        <v>71835513.627000004</v>
      </c>
      <c r="F344" s="40">
        <f>VLOOKUP(A344,'DATOS GENERALES'!A:B,2,0)</f>
        <v>2.79</v>
      </c>
      <c r="G344" s="36">
        <f t="shared" si="25"/>
        <v>2.7771659999999998</v>
      </c>
      <c r="H344" s="38">
        <f t="shared" si="26"/>
        <v>25866481.739658345</v>
      </c>
      <c r="I344" s="38">
        <f t="shared" si="27"/>
        <v>45969031.887341663</v>
      </c>
      <c r="J344" s="38">
        <v>4158765.311095308</v>
      </c>
      <c r="K344" s="38">
        <f t="shared" si="28"/>
        <v>41810266.576246358</v>
      </c>
      <c r="L344" s="41">
        <f>VLOOKUP(INDICADORES!$B$21,'DATOS GENERALES'!$K:$M,3,0)*E344</f>
        <v>488914.3943893215</v>
      </c>
      <c r="M344" s="38">
        <f t="shared" si="29"/>
        <v>41321352.181857035</v>
      </c>
      <c r="N344" s="36"/>
      <c r="O344" s="36"/>
      <c r="P344" s="36"/>
    </row>
    <row r="345" spans="1:16" x14ac:dyDescent="0.25">
      <c r="A345" s="36">
        <v>1891</v>
      </c>
      <c r="B345" s="37">
        <v>43586</v>
      </c>
      <c r="C345" s="36" t="s">
        <v>212</v>
      </c>
      <c r="D345" s="36"/>
      <c r="E345" s="38">
        <v>71835513.627000004</v>
      </c>
      <c r="F345" s="40">
        <f>VLOOKUP(A345,'DATOS GENERALES'!A:B,2,0)</f>
        <v>2.79</v>
      </c>
      <c r="G345" s="36">
        <f t="shared" si="25"/>
        <v>2.7771659999999998</v>
      </c>
      <c r="H345" s="38">
        <f t="shared" si="26"/>
        <v>25866481.739658345</v>
      </c>
      <c r="I345" s="38">
        <f t="shared" si="27"/>
        <v>45969031.887341663</v>
      </c>
      <c r="J345" s="38">
        <v>3430690.5407067961</v>
      </c>
      <c r="K345" s="38">
        <f t="shared" si="28"/>
        <v>42538341.346634865</v>
      </c>
      <c r="L345" s="41">
        <f>VLOOKUP(INDICADORES!$B$21,'DATOS GENERALES'!$K:$M,3,0)*E345</f>
        <v>488914.3943893215</v>
      </c>
      <c r="M345" s="38">
        <f t="shared" si="29"/>
        <v>42049426.952245541</v>
      </c>
      <c r="N345" s="36"/>
      <c r="O345" s="36"/>
      <c r="P345" s="36"/>
    </row>
    <row r="346" spans="1:16" x14ac:dyDescent="0.25">
      <c r="A346" s="36">
        <v>1891</v>
      </c>
      <c r="B346" s="37">
        <v>43617</v>
      </c>
      <c r="C346" s="36" t="s">
        <v>212</v>
      </c>
      <c r="D346" s="36"/>
      <c r="E346" s="38">
        <v>71835513.627000004</v>
      </c>
      <c r="F346" s="40">
        <f>VLOOKUP(A346,'DATOS GENERALES'!A:B,2,0)</f>
        <v>2.79</v>
      </c>
      <c r="G346" s="36">
        <f t="shared" si="25"/>
        <v>2.7771659999999998</v>
      </c>
      <c r="H346" s="38">
        <f t="shared" si="26"/>
        <v>25866481.739658345</v>
      </c>
      <c r="I346" s="38">
        <f t="shared" si="27"/>
        <v>45969031.887341663</v>
      </c>
      <c r="J346" s="38">
        <v>3853356.3630144414</v>
      </c>
      <c r="K346" s="38">
        <f t="shared" si="28"/>
        <v>42115675.524327219</v>
      </c>
      <c r="L346" s="41">
        <f>VLOOKUP(INDICADORES!$B$21,'DATOS GENERALES'!$K:$M,3,0)*E346</f>
        <v>488914.3943893215</v>
      </c>
      <c r="M346" s="38">
        <f t="shared" si="29"/>
        <v>41626761.129937895</v>
      </c>
      <c r="N346" s="36"/>
      <c r="O346" s="36"/>
      <c r="P346" s="36"/>
    </row>
    <row r="347" spans="1:16" x14ac:dyDescent="0.25">
      <c r="A347" s="36">
        <v>1891</v>
      </c>
      <c r="B347" s="37">
        <v>43647</v>
      </c>
      <c r="C347" s="36" t="s">
        <v>212</v>
      </c>
      <c r="D347" s="36"/>
      <c r="E347" s="38">
        <v>71835513.627000004</v>
      </c>
      <c r="F347" s="40">
        <f>VLOOKUP(A347,'DATOS GENERALES'!A:B,2,0)</f>
        <v>2.79</v>
      </c>
      <c r="G347" s="36">
        <f t="shared" si="25"/>
        <v>2.7771659999999998</v>
      </c>
      <c r="H347" s="38">
        <f t="shared" si="26"/>
        <v>25866481.739658345</v>
      </c>
      <c r="I347" s="38">
        <f t="shared" si="27"/>
        <v>45969031.887341663</v>
      </c>
      <c r="J347" s="38">
        <v>6691421.5134734111</v>
      </c>
      <c r="K347" s="38">
        <f t="shared" si="28"/>
        <v>39277610.373868249</v>
      </c>
      <c r="L347" s="41">
        <f>VLOOKUP(INDICADORES!$B$21,'DATOS GENERALES'!$K:$M,3,0)*E347</f>
        <v>488914.3943893215</v>
      </c>
      <c r="M347" s="38">
        <f t="shared" si="29"/>
        <v>38788695.979478925</v>
      </c>
      <c r="N347" s="36"/>
      <c r="O347" s="36"/>
      <c r="P347" s="36"/>
    </row>
    <row r="348" spans="1:16" x14ac:dyDescent="0.25">
      <c r="A348" s="36">
        <v>1891</v>
      </c>
      <c r="B348" s="37">
        <v>43678</v>
      </c>
      <c r="C348" s="36" t="s">
        <v>212</v>
      </c>
      <c r="D348" s="36"/>
      <c r="E348" s="38">
        <v>71835513.627000004</v>
      </c>
      <c r="F348" s="40">
        <f>VLOOKUP(A348,'DATOS GENERALES'!A:B,2,0)</f>
        <v>2.79</v>
      </c>
      <c r="G348" s="36">
        <f t="shared" si="25"/>
        <v>2.7771659999999998</v>
      </c>
      <c r="H348" s="38">
        <f t="shared" si="26"/>
        <v>25866481.739658345</v>
      </c>
      <c r="I348" s="38">
        <f t="shared" si="27"/>
        <v>45969031.887341663</v>
      </c>
      <c r="J348" s="38">
        <v>6719268.7152970219</v>
      </c>
      <c r="K348" s="38">
        <f t="shared" si="28"/>
        <v>39249763.172044642</v>
      </c>
      <c r="L348" s="41">
        <f>VLOOKUP(INDICADORES!$B$21,'DATOS GENERALES'!$K:$M,3,0)*E348</f>
        <v>488914.3943893215</v>
      </c>
      <c r="M348" s="38">
        <f t="shared" si="29"/>
        <v>38760848.777655318</v>
      </c>
      <c r="N348" s="36"/>
      <c r="O348" s="36"/>
      <c r="P348" s="36"/>
    </row>
    <row r="349" spans="1:16" x14ac:dyDescent="0.25">
      <c r="A349" s="36">
        <v>1891</v>
      </c>
      <c r="B349" s="37">
        <v>43709</v>
      </c>
      <c r="C349" s="36" t="s">
        <v>212</v>
      </c>
      <c r="D349" s="36"/>
      <c r="E349" s="38">
        <v>71835513.627000004</v>
      </c>
      <c r="F349" s="40">
        <f>VLOOKUP(A349,'DATOS GENERALES'!A:B,2,0)</f>
        <v>2.79</v>
      </c>
      <c r="G349" s="36">
        <f t="shared" si="25"/>
        <v>2.7771659999999998</v>
      </c>
      <c r="H349" s="38">
        <f t="shared" si="26"/>
        <v>25866481.739658345</v>
      </c>
      <c r="I349" s="38">
        <f t="shared" si="27"/>
        <v>45969031.887341663</v>
      </c>
      <c r="J349" s="38">
        <v>7416468.3172372347</v>
      </c>
      <c r="K349" s="38">
        <f t="shared" si="28"/>
        <v>38552563.570104428</v>
      </c>
      <c r="L349" s="41">
        <f>VLOOKUP(INDICADORES!$B$21,'DATOS GENERALES'!$K:$M,3,0)*E349</f>
        <v>488914.3943893215</v>
      </c>
      <c r="M349" s="38">
        <f t="shared" si="29"/>
        <v>38063649.175715104</v>
      </c>
      <c r="N349" s="36"/>
      <c r="O349" s="36"/>
      <c r="P349" s="36"/>
    </row>
    <row r="350" spans="1:16" x14ac:dyDescent="0.25">
      <c r="A350" s="36">
        <v>1891</v>
      </c>
      <c r="B350" s="37">
        <v>43739</v>
      </c>
      <c r="C350" s="36" t="s">
        <v>212</v>
      </c>
      <c r="D350" s="36"/>
      <c r="E350" s="38">
        <v>71835513.627000004</v>
      </c>
      <c r="F350" s="40">
        <f>VLOOKUP(A350,'DATOS GENERALES'!A:B,2,0)</f>
        <v>2.79</v>
      </c>
      <c r="G350" s="36">
        <f t="shared" si="25"/>
        <v>2.7771659999999998</v>
      </c>
      <c r="H350" s="38">
        <f t="shared" si="26"/>
        <v>25866481.739658345</v>
      </c>
      <c r="I350" s="38">
        <f t="shared" si="27"/>
        <v>45969031.887341663</v>
      </c>
      <c r="J350" s="38">
        <v>8048672.2914515305</v>
      </c>
      <c r="K350" s="38">
        <f t="shared" si="28"/>
        <v>37920359.595890135</v>
      </c>
      <c r="L350" s="41">
        <f>VLOOKUP(INDICADORES!$B$21,'DATOS GENERALES'!$K:$M,3,0)*E350</f>
        <v>488914.3943893215</v>
      </c>
      <c r="M350" s="38">
        <f t="shared" si="29"/>
        <v>37431445.201500811</v>
      </c>
      <c r="N350" s="36"/>
      <c r="O350" s="36"/>
      <c r="P350" s="36"/>
    </row>
    <row r="351" spans="1:16" x14ac:dyDescent="0.25">
      <c r="A351" s="36">
        <v>1891</v>
      </c>
      <c r="B351" s="37">
        <v>43770</v>
      </c>
      <c r="C351" s="36" t="s">
        <v>212</v>
      </c>
      <c r="D351" s="36"/>
      <c r="E351" s="38">
        <v>71835513.627000004</v>
      </c>
      <c r="F351" s="40">
        <f>VLOOKUP(A351,'DATOS GENERALES'!A:B,2,0)</f>
        <v>2.79</v>
      </c>
      <c r="G351" s="36">
        <f t="shared" si="25"/>
        <v>2.7771659999999998</v>
      </c>
      <c r="H351" s="38">
        <f t="shared" si="26"/>
        <v>25866481.739658345</v>
      </c>
      <c r="I351" s="38">
        <f t="shared" si="27"/>
        <v>45969031.887341663</v>
      </c>
      <c r="J351" s="38">
        <v>10562244.345497953</v>
      </c>
      <c r="K351" s="38">
        <f t="shared" si="28"/>
        <v>35406787.541843712</v>
      </c>
      <c r="L351" s="41">
        <f>VLOOKUP(INDICADORES!$B$21,'DATOS GENERALES'!$K:$M,3,0)*E351</f>
        <v>488914.3943893215</v>
      </c>
      <c r="M351" s="38">
        <f t="shared" si="29"/>
        <v>34917873.147454388</v>
      </c>
      <c r="N351" s="36"/>
      <c r="O351" s="36"/>
      <c r="P351" s="36"/>
    </row>
    <row r="352" spans="1:16" x14ac:dyDescent="0.25">
      <c r="A352" s="36">
        <v>1891</v>
      </c>
      <c r="B352" s="37">
        <v>43800</v>
      </c>
      <c r="C352" s="36" t="s">
        <v>212</v>
      </c>
      <c r="D352" s="36"/>
      <c r="E352" s="38">
        <v>67834346.519999996</v>
      </c>
      <c r="F352" s="40">
        <f>VLOOKUP(A352,'DATOS GENERALES'!A:B,2,0)</f>
        <v>2.79</v>
      </c>
      <c r="G352" s="36">
        <f t="shared" si="25"/>
        <v>2.7771659999999998</v>
      </c>
      <c r="H352" s="38">
        <f t="shared" si="26"/>
        <v>24425744.273118712</v>
      </c>
      <c r="I352" s="38">
        <f t="shared" si="27"/>
        <v>43408602.246881284</v>
      </c>
      <c r="J352" s="38">
        <v>8603015.3677908685</v>
      </c>
      <c r="K352" s="38">
        <f t="shared" si="28"/>
        <v>34805586.879090413</v>
      </c>
      <c r="L352" s="41">
        <f>VLOOKUP(INDICADORES!$B$21,'DATOS GENERALES'!$K:$M,3,0)*E352</f>
        <v>461682.34586347762</v>
      </c>
      <c r="M352" s="38">
        <f t="shared" si="29"/>
        <v>34343904.533226937</v>
      </c>
      <c r="N352" s="36"/>
      <c r="O352" s="36"/>
      <c r="P352" s="36"/>
    </row>
    <row r="353" spans="1:16" x14ac:dyDescent="0.25">
      <c r="A353" s="36">
        <v>1891</v>
      </c>
      <c r="B353" s="37">
        <v>43831</v>
      </c>
      <c r="C353" s="36" t="s">
        <v>212</v>
      </c>
      <c r="D353" s="36"/>
      <c r="E353" s="38">
        <v>67834346.519999996</v>
      </c>
      <c r="F353" s="40">
        <f>VLOOKUP(A353,'DATOS GENERALES'!A:B,2,0)</f>
        <v>2.79</v>
      </c>
      <c r="G353" s="36">
        <f t="shared" si="25"/>
        <v>2.7771659999999998</v>
      </c>
      <c r="H353" s="38">
        <f t="shared" si="26"/>
        <v>24425744.273118712</v>
      </c>
      <c r="I353" s="38">
        <f t="shared" si="27"/>
        <v>43408602.246881284</v>
      </c>
      <c r="J353" s="38" t="s">
        <v>213</v>
      </c>
      <c r="K353" s="38" t="str">
        <f t="shared" si="28"/>
        <v/>
      </c>
      <c r="L353" s="41">
        <f>VLOOKUP(INDICADORES!$B$21,'DATOS GENERALES'!$K:$M,3,0)*E353</f>
        <v>461682.34586347762</v>
      </c>
      <c r="M353" s="38" t="str">
        <f t="shared" si="29"/>
        <v/>
      </c>
      <c r="N353" s="36"/>
      <c r="O353" s="36"/>
      <c r="P353" s="36"/>
    </row>
    <row r="354" spans="1:16" x14ac:dyDescent="0.25">
      <c r="A354" s="36">
        <v>1891</v>
      </c>
      <c r="B354" s="37">
        <v>43862</v>
      </c>
      <c r="C354" s="36" t="s">
        <v>212</v>
      </c>
      <c r="D354" s="36"/>
      <c r="E354" s="38">
        <v>67834346.519999996</v>
      </c>
      <c r="F354" s="40">
        <f>VLOOKUP(A354,'DATOS GENERALES'!A:B,2,0)</f>
        <v>2.79</v>
      </c>
      <c r="G354" s="36">
        <f t="shared" si="25"/>
        <v>2.7771659999999998</v>
      </c>
      <c r="H354" s="38">
        <f t="shared" si="26"/>
        <v>24425744.273118712</v>
      </c>
      <c r="I354" s="38">
        <f t="shared" si="27"/>
        <v>43408602.246881284</v>
      </c>
      <c r="J354" s="38" t="s">
        <v>213</v>
      </c>
      <c r="K354" s="38" t="str">
        <f t="shared" si="28"/>
        <v/>
      </c>
      <c r="L354" s="41">
        <f>VLOOKUP(INDICADORES!$B$21,'DATOS GENERALES'!$K:$M,3,0)*E354</f>
        <v>461682.34586347762</v>
      </c>
      <c r="M354" s="38" t="str">
        <f t="shared" si="29"/>
        <v/>
      </c>
      <c r="N354" s="36"/>
      <c r="O354" s="36"/>
      <c r="P354" s="36"/>
    </row>
    <row r="355" spans="1:16" x14ac:dyDescent="0.25">
      <c r="A355" s="36">
        <v>1891</v>
      </c>
      <c r="B355" s="37">
        <v>43891</v>
      </c>
      <c r="C355" s="36" t="s">
        <v>212</v>
      </c>
      <c r="D355" s="36"/>
      <c r="E355" s="38">
        <v>67834346.519999996</v>
      </c>
      <c r="F355" s="40">
        <f>VLOOKUP(A355,'DATOS GENERALES'!A:B,2,0)</f>
        <v>2.79</v>
      </c>
      <c r="G355" s="36">
        <f t="shared" si="25"/>
        <v>2.7771659999999998</v>
      </c>
      <c r="H355" s="38">
        <f t="shared" si="26"/>
        <v>24425744.273118712</v>
      </c>
      <c r="I355" s="38">
        <f t="shared" si="27"/>
        <v>43408602.246881284</v>
      </c>
      <c r="J355" s="38" t="s">
        <v>213</v>
      </c>
      <c r="K355" s="38" t="str">
        <f t="shared" si="28"/>
        <v/>
      </c>
      <c r="L355" s="41">
        <f>VLOOKUP(INDICADORES!$B$21,'DATOS GENERALES'!$K:$M,3,0)*E355</f>
        <v>461682.34586347762</v>
      </c>
      <c r="M355" s="38" t="str">
        <f t="shared" si="29"/>
        <v/>
      </c>
      <c r="N355" s="36"/>
      <c r="O355" s="36"/>
      <c r="P355" s="36"/>
    </row>
    <row r="356" spans="1:16" x14ac:dyDescent="0.25">
      <c r="A356" s="36">
        <v>1891</v>
      </c>
      <c r="B356" s="37">
        <v>43922</v>
      </c>
      <c r="C356" s="36" t="s">
        <v>212</v>
      </c>
      <c r="D356" s="36"/>
      <c r="E356" s="38">
        <v>60294326.969999999</v>
      </c>
      <c r="F356" s="40">
        <f>VLOOKUP(A356,'DATOS GENERALES'!A:B,2,0)</f>
        <v>2.79</v>
      </c>
      <c r="G356" s="36">
        <f t="shared" si="25"/>
        <v>2.7771659999999998</v>
      </c>
      <c r="H356" s="38">
        <f t="shared" si="26"/>
        <v>21710739.282419562</v>
      </c>
      <c r="I356" s="38">
        <f t="shared" si="27"/>
        <v>38583587.687580436</v>
      </c>
      <c r="J356" s="38" t="s">
        <v>213</v>
      </c>
      <c r="K356" s="38" t="str">
        <f t="shared" si="28"/>
        <v/>
      </c>
      <c r="L356" s="41">
        <f>VLOOKUP(INDICADORES!$B$21,'DATOS GENERALES'!$K:$M,3,0)*E356</f>
        <v>410364.77456979483</v>
      </c>
      <c r="M356" s="38" t="str">
        <f t="shared" si="29"/>
        <v/>
      </c>
      <c r="N356" s="36"/>
      <c r="O356" s="36"/>
      <c r="P356" s="36"/>
    </row>
    <row r="357" spans="1:16" x14ac:dyDescent="0.25">
      <c r="A357" s="36">
        <v>1891</v>
      </c>
      <c r="B357" s="37">
        <v>43952</v>
      </c>
      <c r="C357" s="36" t="s">
        <v>212</v>
      </c>
      <c r="D357" s="36"/>
      <c r="E357" s="38">
        <v>60294326.969999999</v>
      </c>
      <c r="F357" s="40">
        <f>VLOOKUP(A357,'DATOS GENERALES'!A:B,2,0)</f>
        <v>2.79</v>
      </c>
      <c r="G357" s="36">
        <f t="shared" si="25"/>
        <v>2.7771659999999998</v>
      </c>
      <c r="H357" s="38">
        <f t="shared" si="26"/>
        <v>21710739.282419562</v>
      </c>
      <c r="I357" s="38">
        <f t="shared" si="27"/>
        <v>38583587.687580436</v>
      </c>
      <c r="J357" s="38" t="s">
        <v>213</v>
      </c>
      <c r="K357" s="38" t="str">
        <f t="shared" si="28"/>
        <v/>
      </c>
      <c r="L357" s="41">
        <f>VLOOKUP(INDICADORES!$B$21,'DATOS GENERALES'!$K:$M,3,0)*E357</f>
        <v>410364.77456979483</v>
      </c>
      <c r="M357" s="38" t="str">
        <f t="shared" si="29"/>
        <v/>
      </c>
      <c r="N357" s="36"/>
      <c r="O357" s="36"/>
      <c r="P357" s="36"/>
    </row>
    <row r="358" spans="1:16" x14ac:dyDescent="0.25">
      <c r="A358" s="36">
        <v>1891</v>
      </c>
      <c r="B358" s="37">
        <v>43983</v>
      </c>
      <c r="C358" s="36" t="s">
        <v>212</v>
      </c>
      <c r="D358" s="36"/>
      <c r="E358" s="38">
        <v>60294326.969999999</v>
      </c>
      <c r="F358" s="40">
        <f>VLOOKUP(A358,'DATOS GENERALES'!A:B,2,0)</f>
        <v>2.79</v>
      </c>
      <c r="G358" s="36">
        <f t="shared" si="25"/>
        <v>2.7771659999999998</v>
      </c>
      <c r="H358" s="38">
        <f t="shared" si="26"/>
        <v>21710739.282419562</v>
      </c>
      <c r="I358" s="38">
        <f t="shared" si="27"/>
        <v>38583587.687580436</v>
      </c>
      <c r="J358" s="38" t="s">
        <v>213</v>
      </c>
      <c r="K358" s="38" t="str">
        <f t="shared" si="28"/>
        <v/>
      </c>
      <c r="L358" s="41">
        <f>VLOOKUP(INDICADORES!$B$21,'DATOS GENERALES'!$K:$M,3,0)*E358</f>
        <v>410364.77456979483</v>
      </c>
      <c r="M358" s="38" t="str">
        <f t="shared" si="29"/>
        <v/>
      </c>
      <c r="N358" s="36"/>
      <c r="O358" s="36"/>
      <c r="P358" s="36"/>
    </row>
    <row r="359" spans="1:16" x14ac:dyDescent="0.25">
      <c r="A359" s="36">
        <v>1891</v>
      </c>
      <c r="B359" s="37">
        <v>44013</v>
      </c>
      <c r="C359" s="36" t="s">
        <v>212</v>
      </c>
      <c r="D359" s="36"/>
      <c r="E359" s="38">
        <v>42670815.644999996</v>
      </c>
      <c r="F359" s="40">
        <f>VLOOKUP(A359,'DATOS GENERALES'!A:B,2,0)</f>
        <v>2.79</v>
      </c>
      <c r="G359" s="36">
        <f t="shared" si="25"/>
        <v>2.7771659999999998</v>
      </c>
      <c r="H359" s="38">
        <f t="shared" si="26"/>
        <v>15364877.592841048</v>
      </c>
      <c r="I359" s="38">
        <f t="shared" si="27"/>
        <v>27305938.052158948</v>
      </c>
      <c r="J359" s="38" t="s">
        <v>213</v>
      </c>
      <c r="K359" s="38" t="str">
        <f t="shared" si="28"/>
        <v/>
      </c>
      <c r="L359" s="41">
        <f>VLOOKUP(INDICADORES!$B$21,'DATOS GENERALES'!$K:$M,3,0)*E359</f>
        <v>290418.6931480678</v>
      </c>
      <c r="M359" s="38" t="str">
        <f t="shared" si="29"/>
        <v/>
      </c>
      <c r="N359" s="36"/>
      <c r="O359" s="36"/>
      <c r="P359" s="36"/>
    </row>
    <row r="360" spans="1:16" x14ac:dyDescent="0.25">
      <c r="A360" s="36">
        <v>1891</v>
      </c>
      <c r="B360" s="37">
        <v>44044</v>
      </c>
      <c r="C360" s="36" t="s">
        <v>212</v>
      </c>
      <c r="D360" s="36"/>
      <c r="E360" s="38">
        <v>37747146.719999999</v>
      </c>
      <c r="F360" s="40">
        <f>VLOOKUP(A360,'DATOS GENERALES'!A:B,2,0)</f>
        <v>2.79</v>
      </c>
      <c r="G360" s="36">
        <f t="shared" si="25"/>
        <v>2.7771659999999998</v>
      </c>
      <c r="H360" s="38">
        <f t="shared" si="26"/>
        <v>13591966.313860966</v>
      </c>
      <c r="I360" s="38">
        <f t="shared" si="27"/>
        <v>24155180.406139031</v>
      </c>
      <c r="J360" s="38" t="s">
        <v>213</v>
      </c>
      <c r="K360" s="38" t="str">
        <f t="shared" si="28"/>
        <v/>
      </c>
      <c r="L360" s="41">
        <f>VLOOKUP(INDICADORES!$B$21,'DATOS GENERALES'!$K:$M,3,0)*E360</f>
        <v>256908.07299520919</v>
      </c>
      <c r="M360" s="38" t="str">
        <f t="shared" si="29"/>
        <v/>
      </c>
      <c r="N360" s="36"/>
      <c r="O360" s="36"/>
      <c r="P360" s="36"/>
    </row>
    <row r="361" spans="1:16" x14ac:dyDescent="0.25">
      <c r="A361" s="36">
        <v>1891</v>
      </c>
      <c r="B361" s="37">
        <v>44075</v>
      </c>
      <c r="C361" s="36" t="s">
        <v>212</v>
      </c>
      <c r="D361" s="36"/>
      <c r="E361" s="38">
        <v>37747146.719999999</v>
      </c>
      <c r="F361" s="40">
        <f>VLOOKUP(A361,'DATOS GENERALES'!A:B,2,0)</f>
        <v>2.79</v>
      </c>
      <c r="G361" s="36">
        <f t="shared" si="25"/>
        <v>2.7771659999999998</v>
      </c>
      <c r="H361" s="38">
        <f t="shared" si="26"/>
        <v>13591966.313860966</v>
      </c>
      <c r="I361" s="38">
        <f t="shared" si="27"/>
        <v>24155180.406139031</v>
      </c>
      <c r="J361" s="38" t="s">
        <v>213</v>
      </c>
      <c r="K361" s="38" t="str">
        <f t="shared" si="28"/>
        <v/>
      </c>
      <c r="L361" s="41">
        <f>VLOOKUP(INDICADORES!$B$21,'DATOS GENERALES'!$K:$M,3,0)*E361</f>
        <v>256908.07299520919</v>
      </c>
      <c r="M361" s="38" t="str">
        <f t="shared" si="29"/>
        <v/>
      </c>
      <c r="N361" s="36"/>
      <c r="O361" s="36"/>
      <c r="P361" s="36"/>
    </row>
    <row r="362" spans="1:16" x14ac:dyDescent="0.25">
      <c r="A362" s="36">
        <v>1891</v>
      </c>
      <c r="B362" s="37">
        <v>44105</v>
      </c>
      <c r="C362" s="36" t="s">
        <v>212</v>
      </c>
      <c r="D362" s="36"/>
      <c r="E362" s="38">
        <v>33878898.524999999</v>
      </c>
      <c r="F362" s="40">
        <f>VLOOKUP(A362,'DATOS GENERALES'!A:B,2,0)</f>
        <v>2.79</v>
      </c>
      <c r="G362" s="36">
        <f t="shared" si="25"/>
        <v>2.7771659999999998</v>
      </c>
      <c r="H362" s="38">
        <f t="shared" si="26"/>
        <v>12199090.196624905</v>
      </c>
      <c r="I362" s="38">
        <f t="shared" si="27"/>
        <v>21679808.328375094</v>
      </c>
      <c r="J362" s="38" t="s">
        <v>213</v>
      </c>
      <c r="K362" s="38" t="str">
        <f t="shared" si="28"/>
        <v/>
      </c>
      <c r="L362" s="41">
        <f>VLOOKUP(INDICADORES!$B$21,'DATOS GENERALES'!$K:$M,3,0)*E362</f>
        <v>230580.67407903899</v>
      </c>
      <c r="M362" s="38" t="str">
        <f t="shared" si="29"/>
        <v/>
      </c>
      <c r="N362" s="36"/>
      <c r="O362" s="36"/>
      <c r="P362" s="36"/>
    </row>
    <row r="363" spans="1:16" x14ac:dyDescent="0.25">
      <c r="A363" s="36">
        <v>1891</v>
      </c>
      <c r="B363" s="37">
        <v>44136</v>
      </c>
      <c r="C363" s="36" t="s">
        <v>212</v>
      </c>
      <c r="D363" s="36"/>
      <c r="E363" s="38">
        <v>33878898.524999999</v>
      </c>
      <c r="F363" s="40">
        <f>VLOOKUP(A363,'DATOS GENERALES'!A:B,2,0)</f>
        <v>2.79</v>
      </c>
      <c r="G363" s="36">
        <f t="shared" si="25"/>
        <v>2.7771659999999998</v>
      </c>
      <c r="H363" s="38">
        <f t="shared" si="26"/>
        <v>12199090.196624905</v>
      </c>
      <c r="I363" s="38">
        <f t="shared" si="27"/>
        <v>21679808.328375094</v>
      </c>
      <c r="J363" s="38" t="s">
        <v>213</v>
      </c>
      <c r="K363" s="38" t="str">
        <f t="shared" si="28"/>
        <v/>
      </c>
      <c r="L363" s="41">
        <f>VLOOKUP(INDICADORES!$B$21,'DATOS GENERALES'!$K:$M,3,0)*E363</f>
        <v>230580.67407903899</v>
      </c>
      <c r="M363" s="38" t="str">
        <f t="shared" si="29"/>
        <v/>
      </c>
      <c r="N363" s="36"/>
      <c r="O363" s="36"/>
      <c r="P363" s="36"/>
    </row>
    <row r="364" spans="1:16" x14ac:dyDescent="0.25">
      <c r="A364" s="36">
        <v>1891</v>
      </c>
      <c r="B364" s="37">
        <v>44166</v>
      </c>
      <c r="C364" s="36" t="s">
        <v>212</v>
      </c>
      <c r="D364" s="36"/>
      <c r="E364" s="38">
        <v>33878898.524999999</v>
      </c>
      <c r="F364" s="40">
        <f>VLOOKUP(A364,'DATOS GENERALES'!A:B,2,0)</f>
        <v>2.79</v>
      </c>
      <c r="G364" s="36">
        <f t="shared" si="25"/>
        <v>2.7771659999999998</v>
      </c>
      <c r="H364" s="38">
        <f t="shared" si="26"/>
        <v>12199090.196624905</v>
      </c>
      <c r="I364" s="38">
        <f t="shared" si="27"/>
        <v>21679808.328375094</v>
      </c>
      <c r="J364" s="38" t="s">
        <v>213</v>
      </c>
      <c r="K364" s="38" t="str">
        <f t="shared" si="28"/>
        <v/>
      </c>
      <c r="L364" s="41">
        <f>VLOOKUP(INDICADORES!$B$21,'DATOS GENERALES'!$K:$M,3,0)*E364</f>
        <v>230580.67407903899</v>
      </c>
      <c r="M364" s="38" t="str">
        <f t="shared" si="29"/>
        <v/>
      </c>
      <c r="N364" s="36"/>
      <c r="O364" s="36"/>
      <c r="P364" s="36"/>
    </row>
    <row r="365" spans="1:16" x14ac:dyDescent="0.25">
      <c r="A365" s="36">
        <v>1895</v>
      </c>
      <c r="B365" s="37">
        <v>43466</v>
      </c>
      <c r="C365" s="36" t="s">
        <v>212</v>
      </c>
      <c r="D365" s="36"/>
      <c r="E365" s="38">
        <v>18830171.789000001</v>
      </c>
      <c r="F365" s="40">
        <f>VLOOKUP(A365,'DATOS GENERALES'!A:B,2,0)</f>
        <v>5.94</v>
      </c>
      <c r="G365" s="36">
        <f t="shared" si="25"/>
        <v>5.9126760000000003</v>
      </c>
      <c r="H365" s="38">
        <f t="shared" si="26"/>
        <v>3184712.2671697214</v>
      </c>
      <c r="I365" s="38">
        <f t="shared" si="27"/>
        <v>15645459.521830279</v>
      </c>
      <c r="J365" s="38">
        <v>698784.29422778916</v>
      </c>
      <c r="K365" s="38">
        <f t="shared" si="28"/>
        <v>14946675.227602489</v>
      </c>
      <c r="L365" s="41">
        <f>VLOOKUP(INDICADORES!$B$21,'DATOS GENERALES'!$K:$M,3,0)*E365</f>
        <v>128158.64426429795</v>
      </c>
      <c r="M365" s="38">
        <f t="shared" si="29"/>
        <v>14818516.583338192</v>
      </c>
      <c r="N365" s="36"/>
      <c r="O365" s="36"/>
      <c r="P365" s="36"/>
    </row>
    <row r="366" spans="1:16" x14ac:dyDescent="0.25">
      <c r="A366" s="36">
        <v>1846</v>
      </c>
      <c r="B366" s="37">
        <v>43556</v>
      </c>
      <c r="C366" s="36" t="s">
        <v>212</v>
      </c>
      <c r="D366" s="36"/>
      <c r="E366" s="38">
        <v>19561500</v>
      </c>
      <c r="F366" s="40">
        <f>VLOOKUP(A366,'DATOS GENERALES'!A:B,2,0)</f>
        <v>1.72</v>
      </c>
      <c r="G366" s="36">
        <f t="shared" si="25"/>
        <v>1.7120879999999998</v>
      </c>
      <c r="H366" s="38">
        <f t="shared" si="26"/>
        <v>11425522.519870475</v>
      </c>
      <c r="I366" s="38">
        <f t="shared" si="27"/>
        <v>8135977.4801295251</v>
      </c>
      <c r="J366" s="38">
        <v>1836974.4751148054</v>
      </c>
      <c r="K366" s="38">
        <f t="shared" si="28"/>
        <v>6299003.0050147194</v>
      </c>
      <c r="L366" s="41">
        <f>VLOOKUP(INDICADORES!$B$21,'DATOS GENERALES'!$K:$M,3,0)*E366</f>
        <v>133136.08329588163</v>
      </c>
      <c r="M366" s="38">
        <f t="shared" si="29"/>
        <v>6165866.9217188377</v>
      </c>
      <c r="N366" s="36"/>
      <c r="O366" s="36"/>
      <c r="P366" s="36"/>
    </row>
    <row r="367" spans="1:16" x14ac:dyDescent="0.25">
      <c r="A367" s="36">
        <v>1893</v>
      </c>
      <c r="B367" s="37">
        <v>43466</v>
      </c>
      <c r="C367" s="36" t="s">
        <v>212</v>
      </c>
      <c r="D367" s="36"/>
      <c r="E367" s="38">
        <v>37763484.710000001</v>
      </c>
      <c r="F367" s="40">
        <f>VLOOKUP(A367,'DATOS GENERALES'!A:B,2,0)</f>
        <v>1.87</v>
      </c>
      <c r="G367" s="36">
        <f t="shared" si="25"/>
        <v>1.8613980000000001</v>
      </c>
      <c r="H367" s="38">
        <f t="shared" si="26"/>
        <v>20287700.271516353</v>
      </c>
      <c r="I367" s="38">
        <f t="shared" si="27"/>
        <v>17475784.438483648</v>
      </c>
      <c r="J367" s="38">
        <v>4451493.6127449432</v>
      </c>
      <c r="K367" s="38">
        <f t="shared" si="28"/>
        <v>13024290.825738706</v>
      </c>
      <c r="L367" s="41">
        <f>VLOOKUP(INDICADORES!$B$21,'DATOS GENERALES'!$K:$M,3,0)*E367</f>
        <v>257019.26978469506</v>
      </c>
      <c r="M367" s="38">
        <f t="shared" si="29"/>
        <v>12767271.555954011</v>
      </c>
      <c r="N367" s="36"/>
      <c r="O367" s="36"/>
      <c r="P367" s="36"/>
    </row>
    <row r="368" spans="1:16" x14ac:dyDescent="0.25">
      <c r="A368" s="36">
        <v>1893</v>
      </c>
      <c r="B368" s="37">
        <v>43497</v>
      </c>
      <c r="C368" s="36" t="s">
        <v>212</v>
      </c>
      <c r="D368" s="36"/>
      <c r="E368" s="38">
        <v>37763484.710000001</v>
      </c>
      <c r="F368" s="40">
        <f>VLOOKUP(A368,'DATOS GENERALES'!A:B,2,0)</f>
        <v>1.87</v>
      </c>
      <c r="G368" s="36">
        <f t="shared" si="25"/>
        <v>1.8613980000000001</v>
      </c>
      <c r="H368" s="38">
        <f t="shared" si="26"/>
        <v>20287700.271516353</v>
      </c>
      <c r="I368" s="38">
        <f t="shared" si="27"/>
        <v>17475784.438483648</v>
      </c>
      <c r="J368" s="38">
        <v>4385345.6201297762</v>
      </c>
      <c r="K368" s="38">
        <f t="shared" si="28"/>
        <v>13090438.818353873</v>
      </c>
      <c r="L368" s="41">
        <f>VLOOKUP(INDICADORES!$B$21,'DATOS GENERALES'!$K:$M,3,0)*E368</f>
        <v>257019.26978469506</v>
      </c>
      <c r="M368" s="38">
        <f t="shared" si="29"/>
        <v>12833419.548569178</v>
      </c>
      <c r="N368" s="36"/>
      <c r="O368" s="36"/>
      <c r="P368" s="36"/>
    </row>
    <row r="369" spans="1:16" x14ac:dyDescent="0.25">
      <c r="A369" s="36">
        <v>1893</v>
      </c>
      <c r="B369" s="37">
        <v>43525</v>
      </c>
      <c r="C369" s="36" t="s">
        <v>212</v>
      </c>
      <c r="D369" s="36"/>
      <c r="E369" s="38">
        <v>37763484.710000001</v>
      </c>
      <c r="F369" s="40">
        <f>VLOOKUP(A369,'DATOS GENERALES'!A:B,2,0)</f>
        <v>1.87</v>
      </c>
      <c r="G369" s="36">
        <f t="shared" si="25"/>
        <v>1.8613980000000001</v>
      </c>
      <c r="H369" s="38">
        <f t="shared" si="26"/>
        <v>20287700.271516353</v>
      </c>
      <c r="I369" s="38">
        <f t="shared" si="27"/>
        <v>17475784.438483648</v>
      </c>
      <c r="J369" s="38">
        <v>3172743.1653017043</v>
      </c>
      <c r="K369" s="38">
        <f t="shared" si="28"/>
        <v>14303041.273181943</v>
      </c>
      <c r="L369" s="41">
        <f>VLOOKUP(INDICADORES!$B$21,'DATOS GENERALES'!$K:$M,3,0)*E369</f>
        <v>257019.26978469506</v>
      </c>
      <c r="M369" s="38">
        <f t="shared" si="29"/>
        <v>14046022.003397249</v>
      </c>
      <c r="N369" s="36"/>
      <c r="O369" s="36"/>
      <c r="P369" s="36"/>
    </row>
    <row r="370" spans="1:16" x14ac:dyDescent="0.25">
      <c r="A370" s="36">
        <v>1893</v>
      </c>
      <c r="B370" s="37">
        <v>43556</v>
      </c>
      <c r="C370" s="36" t="s">
        <v>212</v>
      </c>
      <c r="D370" s="36"/>
      <c r="E370" s="38">
        <v>37763484.710000001</v>
      </c>
      <c r="F370" s="40">
        <f>VLOOKUP(A370,'DATOS GENERALES'!A:B,2,0)</f>
        <v>1.87</v>
      </c>
      <c r="G370" s="36">
        <f t="shared" si="25"/>
        <v>1.8613980000000001</v>
      </c>
      <c r="H370" s="38">
        <f t="shared" si="26"/>
        <v>20287700.271516353</v>
      </c>
      <c r="I370" s="38">
        <f t="shared" si="27"/>
        <v>17475784.438483648</v>
      </c>
      <c r="J370" s="38">
        <v>3261819.0977910506</v>
      </c>
      <c r="K370" s="38">
        <f t="shared" si="28"/>
        <v>14213965.340692598</v>
      </c>
      <c r="L370" s="41">
        <f>VLOOKUP(INDICADORES!$B$21,'DATOS GENERALES'!$K:$M,3,0)*E370</f>
        <v>257019.26978469506</v>
      </c>
      <c r="M370" s="38">
        <f t="shared" si="29"/>
        <v>13956946.070907904</v>
      </c>
      <c r="N370" s="36"/>
      <c r="O370" s="36"/>
      <c r="P370" s="36"/>
    </row>
    <row r="371" spans="1:16" x14ac:dyDescent="0.25">
      <c r="A371" s="36">
        <v>1893</v>
      </c>
      <c r="B371" s="37">
        <v>43586</v>
      </c>
      <c r="C371" s="36" t="s">
        <v>212</v>
      </c>
      <c r="D371" s="36"/>
      <c r="E371" s="38">
        <v>37763484.710000001</v>
      </c>
      <c r="F371" s="40">
        <f>VLOOKUP(A371,'DATOS GENERALES'!A:B,2,0)</f>
        <v>1.87</v>
      </c>
      <c r="G371" s="36">
        <f t="shared" si="25"/>
        <v>1.8613980000000001</v>
      </c>
      <c r="H371" s="38">
        <f t="shared" si="26"/>
        <v>20287700.271516353</v>
      </c>
      <c r="I371" s="38">
        <f t="shared" si="27"/>
        <v>17475784.438483648</v>
      </c>
      <c r="J371" s="38">
        <v>2690772.6421670346</v>
      </c>
      <c r="K371" s="38">
        <f t="shared" si="28"/>
        <v>14785011.796316613</v>
      </c>
      <c r="L371" s="41">
        <f>VLOOKUP(INDICADORES!$B$21,'DATOS GENERALES'!$K:$M,3,0)*E371</f>
        <v>257019.26978469506</v>
      </c>
      <c r="M371" s="38">
        <f t="shared" si="29"/>
        <v>14527992.526531918</v>
      </c>
      <c r="N371" s="36"/>
      <c r="O371" s="36"/>
      <c r="P371" s="36"/>
    </row>
    <row r="372" spans="1:16" x14ac:dyDescent="0.25">
      <c r="A372" s="36">
        <v>1893</v>
      </c>
      <c r="B372" s="37">
        <v>43617</v>
      </c>
      <c r="C372" s="36" t="s">
        <v>212</v>
      </c>
      <c r="D372" s="36"/>
      <c r="E372" s="38">
        <v>37763484.710000001</v>
      </c>
      <c r="F372" s="40">
        <f>VLOOKUP(A372,'DATOS GENERALES'!A:B,2,0)</f>
        <v>1.87</v>
      </c>
      <c r="G372" s="36">
        <f t="shared" si="25"/>
        <v>1.8613980000000001</v>
      </c>
      <c r="H372" s="38">
        <f t="shared" si="26"/>
        <v>20287700.271516353</v>
      </c>
      <c r="I372" s="38">
        <f t="shared" si="27"/>
        <v>17475784.438483648</v>
      </c>
      <c r="J372" s="38">
        <v>3022279.5554108443</v>
      </c>
      <c r="K372" s="38">
        <f t="shared" si="28"/>
        <v>14453504.883072805</v>
      </c>
      <c r="L372" s="41">
        <f>VLOOKUP(INDICADORES!$B$21,'DATOS GENERALES'!$K:$M,3,0)*E372</f>
        <v>257019.26978469506</v>
      </c>
      <c r="M372" s="38">
        <f t="shared" si="29"/>
        <v>14196485.61328811</v>
      </c>
      <c r="N372" s="36"/>
      <c r="O372" s="36"/>
      <c r="P372" s="36"/>
    </row>
    <row r="373" spans="1:16" x14ac:dyDescent="0.25">
      <c r="A373" s="36">
        <v>1893</v>
      </c>
      <c r="B373" s="37">
        <v>43647</v>
      </c>
      <c r="C373" s="36" t="s">
        <v>212</v>
      </c>
      <c r="D373" s="36"/>
      <c r="E373" s="38">
        <v>37763484.710000001</v>
      </c>
      <c r="F373" s="40">
        <f>VLOOKUP(A373,'DATOS GENERALES'!A:B,2,0)</f>
        <v>1.87</v>
      </c>
      <c r="G373" s="36">
        <f t="shared" si="25"/>
        <v>1.8613980000000001</v>
      </c>
      <c r="H373" s="38">
        <f t="shared" si="26"/>
        <v>20287700.271516353</v>
      </c>
      <c r="I373" s="38">
        <f t="shared" si="27"/>
        <v>17475784.438483648</v>
      </c>
      <c r="J373" s="38">
        <v>5248241.9303120105</v>
      </c>
      <c r="K373" s="38">
        <f t="shared" si="28"/>
        <v>12227542.508171637</v>
      </c>
      <c r="L373" s="41">
        <f>VLOOKUP(INDICADORES!$B$21,'DATOS GENERALES'!$K:$M,3,0)*E373</f>
        <v>257019.26978469506</v>
      </c>
      <c r="M373" s="38">
        <f t="shared" si="29"/>
        <v>11970523.238386942</v>
      </c>
      <c r="N373" s="36"/>
      <c r="O373" s="36"/>
      <c r="P373" s="36"/>
    </row>
    <row r="374" spans="1:16" x14ac:dyDescent="0.25">
      <c r="A374" s="36">
        <v>1893</v>
      </c>
      <c r="B374" s="37">
        <v>43678</v>
      </c>
      <c r="C374" s="36" t="s">
        <v>212</v>
      </c>
      <c r="D374" s="36"/>
      <c r="E374" s="38">
        <v>37763484.710000001</v>
      </c>
      <c r="F374" s="40">
        <f>VLOOKUP(A374,'DATOS GENERALES'!A:B,2,0)</f>
        <v>1.87</v>
      </c>
      <c r="G374" s="36">
        <f t="shared" si="25"/>
        <v>1.8613980000000001</v>
      </c>
      <c r="H374" s="38">
        <f t="shared" si="26"/>
        <v>20287700.271516353</v>
      </c>
      <c r="I374" s="38">
        <f t="shared" si="27"/>
        <v>17475784.438483648</v>
      </c>
      <c r="J374" s="38">
        <v>5270083.1567178294</v>
      </c>
      <c r="K374" s="38">
        <f t="shared" si="28"/>
        <v>12205701.281765819</v>
      </c>
      <c r="L374" s="41">
        <f>VLOOKUP(INDICADORES!$B$21,'DATOS GENERALES'!$K:$M,3,0)*E374</f>
        <v>257019.26978469506</v>
      </c>
      <c r="M374" s="38">
        <f t="shared" si="29"/>
        <v>11948682.011981124</v>
      </c>
      <c r="N374" s="36"/>
      <c r="O374" s="36"/>
      <c r="P374" s="36"/>
    </row>
    <row r="375" spans="1:16" x14ac:dyDescent="0.25">
      <c r="A375" s="36">
        <v>1893</v>
      </c>
      <c r="B375" s="37">
        <v>43709</v>
      </c>
      <c r="C375" s="36" t="s">
        <v>212</v>
      </c>
      <c r="D375" s="36"/>
      <c r="E375" s="38">
        <v>37763484.710000001</v>
      </c>
      <c r="F375" s="40">
        <f>VLOOKUP(A375,'DATOS GENERALES'!A:B,2,0)</f>
        <v>1.87</v>
      </c>
      <c r="G375" s="36">
        <f t="shared" si="25"/>
        <v>1.8613980000000001</v>
      </c>
      <c r="H375" s="38">
        <f t="shared" si="26"/>
        <v>20287700.271516353</v>
      </c>
      <c r="I375" s="38">
        <f t="shared" si="27"/>
        <v>17475784.438483648</v>
      </c>
      <c r="J375" s="38">
        <v>5816913.479293054</v>
      </c>
      <c r="K375" s="38">
        <f t="shared" si="28"/>
        <v>11658870.959190594</v>
      </c>
      <c r="L375" s="41">
        <f>VLOOKUP(INDICADORES!$B$21,'DATOS GENERALES'!$K:$M,3,0)*E375</f>
        <v>257019.26978469506</v>
      </c>
      <c r="M375" s="38">
        <f t="shared" si="29"/>
        <v>11401851.689405899</v>
      </c>
      <c r="N375" s="36"/>
      <c r="O375" s="36"/>
      <c r="P375" s="36"/>
    </row>
    <row r="376" spans="1:16" x14ac:dyDescent="0.25">
      <c r="A376" s="36">
        <v>1893</v>
      </c>
      <c r="B376" s="37">
        <v>43739</v>
      </c>
      <c r="C376" s="36" t="s">
        <v>212</v>
      </c>
      <c r="D376" s="36"/>
      <c r="E376" s="38">
        <v>37763484.710000001</v>
      </c>
      <c r="F376" s="40">
        <f>VLOOKUP(A376,'DATOS GENERALES'!A:B,2,0)</f>
        <v>1.87</v>
      </c>
      <c r="G376" s="36">
        <f t="shared" si="25"/>
        <v>1.8613980000000001</v>
      </c>
      <c r="H376" s="38">
        <f t="shared" si="26"/>
        <v>20287700.271516353</v>
      </c>
      <c r="I376" s="38">
        <f t="shared" si="27"/>
        <v>17475784.438483648</v>
      </c>
      <c r="J376" s="38">
        <v>6312766.1765563386</v>
      </c>
      <c r="K376" s="38">
        <f t="shared" si="28"/>
        <v>11163018.26192731</v>
      </c>
      <c r="L376" s="41">
        <f>VLOOKUP(INDICADORES!$B$21,'DATOS GENERALES'!$K:$M,3,0)*E376</f>
        <v>257019.26978469506</v>
      </c>
      <c r="M376" s="38">
        <f t="shared" si="29"/>
        <v>10905998.992142616</v>
      </c>
      <c r="N376" s="36"/>
      <c r="O376" s="36"/>
      <c r="P376" s="36"/>
    </row>
    <row r="377" spans="1:16" x14ac:dyDescent="0.25">
      <c r="A377" s="36">
        <v>1893</v>
      </c>
      <c r="B377" s="37">
        <v>43770</v>
      </c>
      <c r="C377" s="36" t="s">
        <v>212</v>
      </c>
      <c r="D377" s="36"/>
      <c r="E377" s="38">
        <v>37763484.710000001</v>
      </c>
      <c r="F377" s="40">
        <f>VLOOKUP(A377,'DATOS GENERALES'!A:B,2,0)</f>
        <v>1.87</v>
      </c>
      <c r="G377" s="36">
        <f t="shared" si="25"/>
        <v>1.8613980000000001</v>
      </c>
      <c r="H377" s="38">
        <f t="shared" si="26"/>
        <v>20287700.271516353</v>
      </c>
      <c r="I377" s="38">
        <f t="shared" si="27"/>
        <v>17475784.438483648</v>
      </c>
      <c r="J377" s="38">
        <v>8284220.8551092744</v>
      </c>
      <c r="K377" s="38">
        <f t="shared" si="28"/>
        <v>9191563.5833743736</v>
      </c>
      <c r="L377" s="41">
        <f>VLOOKUP(INDICADORES!$B$21,'DATOS GENERALES'!$K:$M,3,0)*E377</f>
        <v>257019.26978469506</v>
      </c>
      <c r="M377" s="38">
        <f t="shared" si="29"/>
        <v>8934544.3135896791</v>
      </c>
      <c r="N377" s="36"/>
      <c r="O377" s="36"/>
      <c r="P377" s="36"/>
    </row>
    <row r="378" spans="1:16" x14ac:dyDescent="0.25">
      <c r="A378" s="36">
        <v>1893</v>
      </c>
      <c r="B378" s="37">
        <v>43800</v>
      </c>
      <c r="C378" s="36" t="s">
        <v>212</v>
      </c>
      <c r="D378" s="36"/>
      <c r="E378" s="38">
        <v>37763484.710000001</v>
      </c>
      <c r="F378" s="40">
        <f>VLOOKUP(A378,'DATOS GENERALES'!A:B,2,0)</f>
        <v>1.87</v>
      </c>
      <c r="G378" s="36">
        <f t="shared" si="25"/>
        <v>1.8613980000000001</v>
      </c>
      <c r="H378" s="38">
        <f t="shared" si="26"/>
        <v>20287700.271516353</v>
      </c>
      <c r="I378" s="38">
        <f t="shared" si="27"/>
        <v>17475784.438483648</v>
      </c>
      <c r="J378" s="38">
        <v>7145550.8279054472</v>
      </c>
      <c r="K378" s="38">
        <f t="shared" si="28"/>
        <v>10330233.610578202</v>
      </c>
      <c r="L378" s="41">
        <f>VLOOKUP(INDICADORES!$B$21,'DATOS GENERALES'!$K:$M,3,0)*E378</f>
        <v>257019.26978469506</v>
      </c>
      <c r="M378" s="38">
        <f t="shared" si="29"/>
        <v>10073214.340793507</v>
      </c>
      <c r="N378" s="36"/>
      <c r="O378" s="36"/>
      <c r="P378" s="36"/>
    </row>
    <row r="379" spans="1:16" x14ac:dyDescent="0.25">
      <c r="A379" s="36">
        <v>1893</v>
      </c>
      <c r="B379" s="37">
        <v>43831</v>
      </c>
      <c r="C379" s="36" t="s">
        <v>212</v>
      </c>
      <c r="D379" s="36"/>
      <c r="E379" s="38">
        <v>37763484.710000001</v>
      </c>
      <c r="F379" s="40">
        <f>VLOOKUP(A379,'DATOS GENERALES'!A:B,2,0)</f>
        <v>1.87</v>
      </c>
      <c r="G379" s="36">
        <f t="shared" si="25"/>
        <v>1.8613980000000001</v>
      </c>
      <c r="H379" s="38">
        <f t="shared" si="26"/>
        <v>20287700.271516353</v>
      </c>
      <c r="I379" s="38">
        <f t="shared" si="27"/>
        <v>17475784.438483648</v>
      </c>
      <c r="J379" s="38" t="s">
        <v>213</v>
      </c>
      <c r="K379" s="38" t="str">
        <f t="shared" si="28"/>
        <v/>
      </c>
      <c r="L379" s="41">
        <f>VLOOKUP(INDICADORES!$B$21,'DATOS GENERALES'!$K:$M,3,0)*E379</f>
        <v>257019.26978469506</v>
      </c>
      <c r="M379" s="38" t="str">
        <f t="shared" si="29"/>
        <v/>
      </c>
      <c r="N379" s="36"/>
      <c r="O379" s="36"/>
      <c r="P379" s="36"/>
    </row>
    <row r="380" spans="1:16" x14ac:dyDescent="0.25">
      <c r="A380" s="36">
        <v>1893</v>
      </c>
      <c r="B380" s="37">
        <v>43862</v>
      </c>
      <c r="C380" s="36" t="s">
        <v>212</v>
      </c>
      <c r="D380" s="36"/>
      <c r="E380" s="38">
        <v>37763484.710000001</v>
      </c>
      <c r="F380" s="40">
        <f>VLOOKUP(A380,'DATOS GENERALES'!A:B,2,0)</f>
        <v>1.87</v>
      </c>
      <c r="G380" s="36">
        <f t="shared" si="25"/>
        <v>1.8613980000000001</v>
      </c>
      <c r="H380" s="38">
        <f t="shared" si="26"/>
        <v>20287700.271516353</v>
      </c>
      <c r="I380" s="38">
        <f t="shared" si="27"/>
        <v>17475784.438483648</v>
      </c>
      <c r="J380" s="38" t="s">
        <v>213</v>
      </c>
      <c r="K380" s="38" t="str">
        <f t="shared" si="28"/>
        <v/>
      </c>
      <c r="L380" s="41">
        <f>VLOOKUP(INDICADORES!$B$21,'DATOS GENERALES'!$K:$M,3,0)*E380</f>
        <v>257019.26978469506</v>
      </c>
      <c r="M380" s="38" t="str">
        <f t="shared" si="29"/>
        <v/>
      </c>
      <c r="N380" s="36"/>
      <c r="O380" s="36"/>
      <c r="P380" s="36"/>
    </row>
    <row r="381" spans="1:16" x14ac:dyDescent="0.25">
      <c r="A381" s="36">
        <v>1893</v>
      </c>
      <c r="B381" s="37">
        <v>43891</v>
      </c>
      <c r="C381" s="36" t="s">
        <v>212</v>
      </c>
      <c r="D381" s="36"/>
      <c r="E381" s="38">
        <v>37763484.710000001</v>
      </c>
      <c r="F381" s="40">
        <f>VLOOKUP(A381,'DATOS GENERALES'!A:B,2,0)</f>
        <v>1.87</v>
      </c>
      <c r="G381" s="36">
        <f t="shared" si="25"/>
        <v>1.8613980000000001</v>
      </c>
      <c r="H381" s="38">
        <f t="shared" si="26"/>
        <v>20287700.271516353</v>
      </c>
      <c r="I381" s="38">
        <f t="shared" si="27"/>
        <v>17475784.438483648</v>
      </c>
      <c r="J381" s="38" t="s">
        <v>213</v>
      </c>
      <c r="K381" s="38" t="str">
        <f t="shared" si="28"/>
        <v/>
      </c>
      <c r="L381" s="41">
        <f>VLOOKUP(INDICADORES!$B$21,'DATOS GENERALES'!$K:$M,3,0)*E381</f>
        <v>257019.26978469506</v>
      </c>
      <c r="M381" s="38" t="str">
        <f t="shared" si="29"/>
        <v/>
      </c>
      <c r="N381" s="36"/>
      <c r="O381" s="36"/>
      <c r="P381" s="36"/>
    </row>
    <row r="382" spans="1:16" x14ac:dyDescent="0.25">
      <c r="A382" s="36">
        <v>1890</v>
      </c>
      <c r="B382" s="37">
        <v>43466</v>
      </c>
      <c r="C382" s="36" t="s">
        <v>212</v>
      </c>
      <c r="D382" s="36"/>
      <c r="E382" s="38">
        <v>25318074</v>
      </c>
      <c r="F382" s="40">
        <f>VLOOKUP(A382,'DATOS GENERALES'!A:B,2,0)</f>
        <v>1.1100000000000001</v>
      </c>
      <c r="G382" s="36">
        <f t="shared" si="25"/>
        <v>1.104894</v>
      </c>
      <c r="H382" s="38">
        <f t="shared" si="26"/>
        <v>22914482.294229127</v>
      </c>
      <c r="I382" s="38">
        <f t="shared" si="27"/>
        <v>2403591.7057708725</v>
      </c>
      <c r="J382" s="38">
        <v>5027857.7762374459</v>
      </c>
      <c r="K382" s="38">
        <f t="shared" si="28"/>
        <v>-2624266.0704665734</v>
      </c>
      <c r="L382" s="41">
        <f>VLOOKUP(INDICADORES!$B$21,'DATOS GENERALES'!$K:$M,3,0)*E382</f>
        <v>172315.47728728855</v>
      </c>
      <c r="M382" s="38">
        <f t="shared" si="29"/>
        <v>-2796581.5477538621</v>
      </c>
      <c r="N382" s="36"/>
      <c r="O382" s="36"/>
      <c r="P382" s="36"/>
    </row>
    <row r="383" spans="1:16" x14ac:dyDescent="0.25">
      <c r="A383" s="36">
        <v>1890</v>
      </c>
      <c r="B383" s="37">
        <v>43497</v>
      </c>
      <c r="C383" s="36" t="s">
        <v>212</v>
      </c>
      <c r="D383" s="36"/>
      <c r="E383" s="38">
        <v>29324874</v>
      </c>
      <c r="F383" s="40">
        <f>VLOOKUP(A383,'DATOS GENERALES'!A:B,2,0)</f>
        <v>1.1100000000000001</v>
      </c>
      <c r="G383" s="36">
        <f t="shared" si="25"/>
        <v>1.104894</v>
      </c>
      <c r="H383" s="38">
        <f t="shared" si="26"/>
        <v>26540893.515577059</v>
      </c>
      <c r="I383" s="38">
        <f t="shared" si="27"/>
        <v>2783980.4844229408</v>
      </c>
      <c r="J383" s="38">
        <v>5737022.4113709899</v>
      </c>
      <c r="K383" s="38">
        <f t="shared" si="28"/>
        <v>-2953041.9269480491</v>
      </c>
      <c r="L383" s="41">
        <f>VLOOKUP(INDICADORES!$B$21,'DATOS GENERALES'!$K:$M,3,0)*E383</f>
        <v>199585.86343098604</v>
      </c>
      <c r="M383" s="38">
        <f t="shared" si="29"/>
        <v>-3152627.7903790353</v>
      </c>
      <c r="N383" s="36"/>
      <c r="O383" s="36"/>
      <c r="P383" s="36"/>
    </row>
    <row r="384" spans="1:16" x14ac:dyDescent="0.25">
      <c r="A384" s="36">
        <v>1890</v>
      </c>
      <c r="B384" s="37">
        <v>43525</v>
      </c>
      <c r="C384" s="36" t="s">
        <v>212</v>
      </c>
      <c r="D384" s="36"/>
      <c r="E384" s="38">
        <v>29324874</v>
      </c>
      <c r="F384" s="40">
        <f>VLOOKUP(A384,'DATOS GENERALES'!A:B,2,0)</f>
        <v>1.1100000000000001</v>
      </c>
      <c r="G384" s="36">
        <f t="shared" si="25"/>
        <v>1.104894</v>
      </c>
      <c r="H384" s="38">
        <f t="shared" si="26"/>
        <v>26540893.515577059</v>
      </c>
      <c r="I384" s="38">
        <f t="shared" si="27"/>
        <v>2783980.4844229408</v>
      </c>
      <c r="J384" s="38">
        <v>4150664.5590961091</v>
      </c>
      <c r="K384" s="38">
        <f t="shared" si="28"/>
        <v>-1366684.0746731684</v>
      </c>
      <c r="L384" s="41">
        <f>VLOOKUP(INDICADORES!$B$21,'DATOS GENERALES'!$K:$M,3,0)*E384</f>
        <v>199585.86343098604</v>
      </c>
      <c r="M384" s="38">
        <f t="shared" si="29"/>
        <v>-1566269.9381041543</v>
      </c>
      <c r="N384" s="36"/>
      <c r="O384" s="36"/>
      <c r="P384" s="36"/>
    </row>
    <row r="385" spans="1:16" x14ac:dyDescent="0.25">
      <c r="A385" s="36">
        <v>1890</v>
      </c>
      <c r="B385" s="37">
        <v>43556</v>
      </c>
      <c r="C385" s="36" t="s">
        <v>212</v>
      </c>
      <c r="D385" s="36"/>
      <c r="E385" s="38">
        <v>29324874</v>
      </c>
      <c r="F385" s="40">
        <f>VLOOKUP(A385,'DATOS GENERALES'!A:B,2,0)</f>
        <v>1.1100000000000001</v>
      </c>
      <c r="G385" s="36">
        <f t="shared" si="25"/>
        <v>1.104894</v>
      </c>
      <c r="H385" s="38">
        <f t="shared" si="26"/>
        <v>26540893.515577059</v>
      </c>
      <c r="I385" s="38">
        <f t="shared" si="27"/>
        <v>2783980.4844229408</v>
      </c>
      <c r="J385" s="38">
        <v>4267195.9947620686</v>
      </c>
      <c r="K385" s="38">
        <f t="shared" si="28"/>
        <v>-1483215.5103391279</v>
      </c>
      <c r="L385" s="41">
        <f>VLOOKUP(INDICADORES!$B$21,'DATOS GENERALES'!$K:$M,3,0)*E385</f>
        <v>199585.86343098604</v>
      </c>
      <c r="M385" s="38">
        <f t="shared" si="29"/>
        <v>-1682801.3737701138</v>
      </c>
      <c r="N385" s="36"/>
      <c r="O385" s="36"/>
      <c r="P385" s="36"/>
    </row>
    <row r="386" spans="1:16" x14ac:dyDescent="0.25">
      <c r="A386" s="36">
        <v>1890</v>
      </c>
      <c r="B386" s="37">
        <v>43586</v>
      </c>
      <c r="C386" s="36" t="s">
        <v>212</v>
      </c>
      <c r="D386" s="36"/>
      <c r="E386" s="38">
        <v>29324874</v>
      </c>
      <c r="F386" s="40">
        <f>VLOOKUP(A386,'DATOS GENERALES'!A:B,2,0)</f>
        <v>1.1100000000000001</v>
      </c>
      <c r="G386" s="36">
        <f t="shared" si="25"/>
        <v>1.104894</v>
      </c>
      <c r="H386" s="38">
        <f t="shared" si="26"/>
        <v>26540893.515577059</v>
      </c>
      <c r="I386" s="38">
        <f t="shared" si="27"/>
        <v>2783980.4844229408</v>
      </c>
      <c r="J386" s="38">
        <v>3520138.271692114</v>
      </c>
      <c r="K386" s="38">
        <f t="shared" si="28"/>
        <v>-736157.78726917319</v>
      </c>
      <c r="L386" s="41">
        <f>VLOOKUP(INDICADORES!$B$21,'DATOS GENERALES'!$K:$M,3,0)*E386</f>
        <v>199585.86343098604</v>
      </c>
      <c r="M386" s="38">
        <f t="shared" si="29"/>
        <v>-935743.65070015925</v>
      </c>
      <c r="N386" s="36"/>
      <c r="O386" s="36"/>
      <c r="P386" s="36"/>
    </row>
    <row r="387" spans="1:16" x14ac:dyDescent="0.25">
      <c r="A387" s="36">
        <v>1890</v>
      </c>
      <c r="B387" s="37">
        <v>43617</v>
      </c>
      <c r="C387" s="36" t="s">
        <v>212</v>
      </c>
      <c r="D387" s="36"/>
      <c r="E387" s="38">
        <v>29324874</v>
      </c>
      <c r="F387" s="40">
        <f>VLOOKUP(A387,'DATOS GENERALES'!A:B,2,0)</f>
        <v>1.1100000000000001</v>
      </c>
      <c r="G387" s="36">
        <f t="shared" ref="G387:G450" si="30">F387*0.9954</f>
        <v>1.104894</v>
      </c>
      <c r="H387" s="38">
        <f t="shared" ref="H387:H450" si="31">E387/G387</f>
        <v>26540893.515577059</v>
      </c>
      <c r="I387" s="38">
        <f t="shared" ref="I387:I450" si="32">E387-H387</f>
        <v>2783980.4844229408</v>
      </c>
      <c r="J387" s="38">
        <v>3953824.1782428203</v>
      </c>
      <c r="K387" s="38">
        <f t="shared" ref="K387:K450" si="33">IFERROR(I387-J387,"")</f>
        <v>-1169843.6938198796</v>
      </c>
      <c r="L387" s="41">
        <f>VLOOKUP(INDICADORES!$B$21,'DATOS GENERALES'!$K:$M,3,0)*E387</f>
        <v>199585.86343098604</v>
      </c>
      <c r="M387" s="38">
        <f t="shared" ref="M387:M450" si="34">IFERROR(K387-L387,"")</f>
        <v>-1369429.5572508655</v>
      </c>
      <c r="N387" s="36"/>
      <c r="O387" s="36"/>
      <c r="P387" s="36"/>
    </row>
    <row r="388" spans="1:16" x14ac:dyDescent="0.25">
      <c r="A388" s="36">
        <v>1890</v>
      </c>
      <c r="B388" s="37">
        <v>43647</v>
      </c>
      <c r="C388" s="36" t="s">
        <v>212</v>
      </c>
      <c r="D388" s="36"/>
      <c r="E388" s="38">
        <v>29324874</v>
      </c>
      <c r="F388" s="40">
        <f>VLOOKUP(A388,'DATOS GENERALES'!A:B,2,0)</f>
        <v>1.1100000000000001</v>
      </c>
      <c r="G388" s="36">
        <f t="shared" si="30"/>
        <v>1.104894</v>
      </c>
      <c r="H388" s="38">
        <f t="shared" si="31"/>
        <v>26540893.515577059</v>
      </c>
      <c r="I388" s="38">
        <f t="shared" si="32"/>
        <v>2783980.4844229408</v>
      </c>
      <c r="J388" s="38">
        <v>6865885.6524986783</v>
      </c>
      <c r="K388" s="38">
        <f t="shared" si="33"/>
        <v>-4081905.1680757375</v>
      </c>
      <c r="L388" s="41">
        <f>VLOOKUP(INDICADORES!$B$21,'DATOS GENERALES'!$K:$M,3,0)*E388</f>
        <v>199585.86343098604</v>
      </c>
      <c r="M388" s="38">
        <f t="shared" si="34"/>
        <v>-4281491.0315067237</v>
      </c>
      <c r="N388" s="36"/>
      <c r="O388" s="36"/>
      <c r="P388" s="36"/>
    </row>
    <row r="389" spans="1:16" x14ac:dyDescent="0.25">
      <c r="A389" s="36">
        <v>1890</v>
      </c>
      <c r="B389" s="37">
        <v>43678</v>
      </c>
      <c r="C389" s="36" t="s">
        <v>212</v>
      </c>
      <c r="D389" s="36"/>
      <c r="E389" s="38">
        <v>29324874</v>
      </c>
      <c r="F389" s="40">
        <f>VLOOKUP(A389,'DATOS GENERALES'!A:B,2,0)</f>
        <v>1.1100000000000001</v>
      </c>
      <c r="G389" s="36">
        <f t="shared" si="30"/>
        <v>1.104894</v>
      </c>
      <c r="H389" s="38">
        <f t="shared" si="31"/>
        <v>26540893.515577059</v>
      </c>
      <c r="I389" s="38">
        <f t="shared" si="32"/>
        <v>2783980.4844229408</v>
      </c>
      <c r="J389" s="38">
        <v>6894458.9090298936</v>
      </c>
      <c r="K389" s="38">
        <f t="shared" si="33"/>
        <v>-4110478.4246069528</v>
      </c>
      <c r="L389" s="41">
        <f>VLOOKUP(INDICADORES!$B$21,'DATOS GENERALES'!$K:$M,3,0)*E389</f>
        <v>199585.86343098604</v>
      </c>
      <c r="M389" s="38">
        <f t="shared" si="34"/>
        <v>-4310064.288037939</v>
      </c>
      <c r="N389" s="36"/>
      <c r="O389" s="36"/>
      <c r="P389" s="36"/>
    </row>
    <row r="390" spans="1:16" x14ac:dyDescent="0.25">
      <c r="A390" s="36">
        <v>1890</v>
      </c>
      <c r="B390" s="37">
        <v>43709</v>
      </c>
      <c r="C390" s="36" t="s">
        <v>212</v>
      </c>
      <c r="D390" s="36"/>
      <c r="E390" s="38">
        <v>29324874</v>
      </c>
      <c r="F390" s="40">
        <f>VLOOKUP(A390,'DATOS GENERALES'!A:B,2,0)</f>
        <v>1.1100000000000001</v>
      </c>
      <c r="G390" s="36">
        <f t="shared" si="30"/>
        <v>1.104894</v>
      </c>
      <c r="H390" s="38">
        <f t="shared" si="31"/>
        <v>26540893.515577059</v>
      </c>
      <c r="I390" s="38">
        <f t="shared" si="32"/>
        <v>2783980.4844229408</v>
      </c>
      <c r="J390" s="38">
        <v>7609836.4613557365</v>
      </c>
      <c r="K390" s="38">
        <f t="shared" si="33"/>
        <v>-4825855.9769327957</v>
      </c>
      <c r="L390" s="41">
        <f>VLOOKUP(INDICADORES!$B$21,'DATOS GENERALES'!$K:$M,3,0)*E390</f>
        <v>199585.86343098604</v>
      </c>
      <c r="M390" s="38">
        <f t="shared" si="34"/>
        <v>-5025441.8403637819</v>
      </c>
      <c r="N390" s="36"/>
      <c r="O390" s="36"/>
      <c r="P390" s="36"/>
    </row>
    <row r="391" spans="1:16" x14ac:dyDescent="0.25">
      <c r="A391" s="36">
        <v>1890</v>
      </c>
      <c r="B391" s="37">
        <v>43739</v>
      </c>
      <c r="C391" s="36" t="s">
        <v>212</v>
      </c>
      <c r="D391" s="36"/>
      <c r="E391" s="38">
        <v>29324874</v>
      </c>
      <c r="F391" s="40">
        <f>VLOOKUP(A391,'DATOS GENERALES'!A:B,2,0)</f>
        <v>1.1100000000000001</v>
      </c>
      <c r="G391" s="36">
        <f t="shared" si="30"/>
        <v>1.104894</v>
      </c>
      <c r="H391" s="38">
        <f t="shared" si="31"/>
        <v>26540893.515577059</v>
      </c>
      <c r="I391" s="38">
        <f t="shared" si="32"/>
        <v>2783980.4844229408</v>
      </c>
      <c r="J391" s="38">
        <v>8258523.7675238736</v>
      </c>
      <c r="K391" s="38">
        <f t="shared" si="33"/>
        <v>-5474543.2831009328</v>
      </c>
      <c r="L391" s="41">
        <f>VLOOKUP(INDICADORES!$B$21,'DATOS GENERALES'!$K:$M,3,0)*E391</f>
        <v>199585.86343098604</v>
      </c>
      <c r="M391" s="38">
        <f t="shared" si="34"/>
        <v>-5674129.146531919</v>
      </c>
      <c r="N391" s="36"/>
      <c r="O391" s="36"/>
      <c r="P391" s="36"/>
    </row>
    <row r="392" spans="1:16" x14ac:dyDescent="0.25">
      <c r="A392" s="36">
        <v>1890</v>
      </c>
      <c r="B392" s="37">
        <v>43770</v>
      </c>
      <c r="C392" s="36" t="s">
        <v>212</v>
      </c>
      <c r="D392" s="36"/>
      <c r="E392" s="38">
        <v>29324874</v>
      </c>
      <c r="F392" s="40">
        <f>VLOOKUP(A392,'DATOS GENERALES'!A:B,2,0)</f>
        <v>1.1100000000000001</v>
      </c>
      <c r="G392" s="36">
        <f t="shared" si="30"/>
        <v>1.104894</v>
      </c>
      <c r="H392" s="38">
        <f t="shared" si="31"/>
        <v>26540893.515577059</v>
      </c>
      <c r="I392" s="38">
        <f t="shared" si="32"/>
        <v>2783980.4844229408</v>
      </c>
      <c r="J392" s="38">
        <v>10837631.69962015</v>
      </c>
      <c r="K392" s="38">
        <f t="shared" si="33"/>
        <v>-8053651.2151972093</v>
      </c>
      <c r="L392" s="41">
        <f>VLOOKUP(INDICADORES!$B$21,'DATOS GENERALES'!$K:$M,3,0)*E392</f>
        <v>199585.86343098604</v>
      </c>
      <c r="M392" s="38">
        <f t="shared" si="34"/>
        <v>-8253237.0786281954</v>
      </c>
      <c r="N392" s="36"/>
      <c r="O392" s="36"/>
      <c r="P392" s="36"/>
    </row>
    <row r="393" spans="1:16" x14ac:dyDescent="0.25">
      <c r="A393" s="36">
        <v>1890</v>
      </c>
      <c r="B393" s="37">
        <v>43800</v>
      </c>
      <c r="C393" s="36" t="s">
        <v>212</v>
      </c>
      <c r="D393" s="36"/>
      <c r="E393" s="38">
        <v>29324874</v>
      </c>
      <c r="F393" s="40">
        <f>VLOOKUP(A393,'DATOS GENERALES'!A:B,2,0)</f>
        <v>1.1100000000000001</v>
      </c>
      <c r="G393" s="36">
        <f t="shared" si="30"/>
        <v>1.104894</v>
      </c>
      <c r="H393" s="38">
        <f t="shared" si="31"/>
        <v>26540893.515577059</v>
      </c>
      <c r="I393" s="38">
        <f t="shared" si="32"/>
        <v>2783980.4844229408</v>
      </c>
      <c r="J393" s="38">
        <v>9347994.1587981246</v>
      </c>
      <c r="K393" s="38">
        <f t="shared" si="33"/>
        <v>-6564013.6743751839</v>
      </c>
      <c r="L393" s="41">
        <f>VLOOKUP(INDICADORES!$B$21,'DATOS GENERALES'!$K:$M,3,0)*E393</f>
        <v>199585.86343098604</v>
      </c>
      <c r="M393" s="38">
        <f t="shared" si="34"/>
        <v>-6763599.5378061701</v>
      </c>
      <c r="N393" s="36"/>
      <c r="O393" s="36"/>
      <c r="P393" s="36"/>
    </row>
    <row r="394" spans="1:16" x14ac:dyDescent="0.25">
      <c r="A394" s="36">
        <v>1890</v>
      </c>
      <c r="B394" s="37">
        <v>43831</v>
      </c>
      <c r="C394" s="36" t="s">
        <v>212</v>
      </c>
      <c r="D394" s="36"/>
      <c r="E394" s="38">
        <v>43647924</v>
      </c>
      <c r="F394" s="40">
        <f>VLOOKUP(A394,'DATOS GENERALES'!A:B,2,0)</f>
        <v>1.1100000000000001</v>
      </c>
      <c r="G394" s="36">
        <f t="shared" si="30"/>
        <v>1.104894</v>
      </c>
      <c r="H394" s="38">
        <f t="shared" si="31"/>
        <v>39504173.251008689</v>
      </c>
      <c r="I394" s="38">
        <f t="shared" si="32"/>
        <v>4143750.7489913106</v>
      </c>
      <c r="J394" s="38" t="s">
        <v>213</v>
      </c>
      <c r="K394" s="38" t="str">
        <f t="shared" si="33"/>
        <v/>
      </c>
      <c r="L394" s="41">
        <f>VLOOKUP(INDICADORES!$B$21,'DATOS GENERALES'!$K:$M,3,0)*E394</f>
        <v>297068.91830157762</v>
      </c>
      <c r="M394" s="38" t="str">
        <f t="shared" si="34"/>
        <v/>
      </c>
      <c r="N394" s="36"/>
      <c r="O394" s="36"/>
      <c r="P394" s="36"/>
    </row>
    <row r="395" spans="1:16" x14ac:dyDescent="0.25">
      <c r="A395" s="36">
        <v>1890</v>
      </c>
      <c r="B395" s="37">
        <v>43862</v>
      </c>
      <c r="C395" s="36" t="s">
        <v>212</v>
      </c>
      <c r="D395" s="36"/>
      <c r="E395" s="38">
        <v>43647924</v>
      </c>
      <c r="F395" s="40">
        <f>VLOOKUP(A395,'DATOS GENERALES'!A:B,2,0)</f>
        <v>1.1100000000000001</v>
      </c>
      <c r="G395" s="36">
        <f t="shared" si="30"/>
        <v>1.104894</v>
      </c>
      <c r="H395" s="38">
        <f t="shared" si="31"/>
        <v>39504173.251008689</v>
      </c>
      <c r="I395" s="38">
        <f t="shared" si="32"/>
        <v>4143750.7489913106</v>
      </c>
      <c r="J395" s="38" t="s">
        <v>213</v>
      </c>
      <c r="K395" s="38" t="str">
        <f t="shared" si="33"/>
        <v/>
      </c>
      <c r="L395" s="41">
        <f>VLOOKUP(INDICADORES!$B$21,'DATOS GENERALES'!$K:$M,3,0)*E395</f>
        <v>297068.91830157762</v>
      </c>
      <c r="M395" s="38" t="str">
        <f t="shared" si="34"/>
        <v/>
      </c>
      <c r="N395" s="36"/>
      <c r="O395" s="36"/>
      <c r="P395" s="36"/>
    </row>
    <row r="396" spans="1:16" x14ac:dyDescent="0.25">
      <c r="A396" s="36">
        <v>1890</v>
      </c>
      <c r="B396" s="37">
        <v>43891</v>
      </c>
      <c r="C396" s="36" t="s">
        <v>212</v>
      </c>
      <c r="D396" s="36"/>
      <c r="E396" s="38">
        <v>43647924</v>
      </c>
      <c r="F396" s="40">
        <f>VLOOKUP(A396,'DATOS GENERALES'!A:B,2,0)</f>
        <v>1.1100000000000001</v>
      </c>
      <c r="G396" s="36">
        <f t="shared" si="30"/>
        <v>1.104894</v>
      </c>
      <c r="H396" s="38">
        <f t="shared" si="31"/>
        <v>39504173.251008689</v>
      </c>
      <c r="I396" s="38">
        <f t="shared" si="32"/>
        <v>4143750.7489913106</v>
      </c>
      <c r="J396" s="38" t="s">
        <v>213</v>
      </c>
      <c r="K396" s="38" t="str">
        <f t="shared" si="33"/>
        <v/>
      </c>
      <c r="L396" s="41">
        <f>VLOOKUP(INDICADORES!$B$21,'DATOS GENERALES'!$K:$M,3,0)*E396</f>
        <v>297068.91830157762</v>
      </c>
      <c r="M396" s="38" t="str">
        <f t="shared" si="34"/>
        <v/>
      </c>
      <c r="N396" s="36"/>
      <c r="O396" s="36"/>
      <c r="P396" s="36"/>
    </row>
    <row r="397" spans="1:16" x14ac:dyDescent="0.25">
      <c r="A397" s="36">
        <v>1890</v>
      </c>
      <c r="B397" s="37">
        <v>43922</v>
      </c>
      <c r="C397" s="36" t="s">
        <v>212</v>
      </c>
      <c r="D397" s="36"/>
      <c r="E397" s="38">
        <v>43647924</v>
      </c>
      <c r="F397" s="40">
        <f>VLOOKUP(A397,'DATOS GENERALES'!A:B,2,0)</f>
        <v>1.1100000000000001</v>
      </c>
      <c r="G397" s="36">
        <f t="shared" si="30"/>
        <v>1.104894</v>
      </c>
      <c r="H397" s="38">
        <f t="shared" si="31"/>
        <v>39504173.251008689</v>
      </c>
      <c r="I397" s="38">
        <f t="shared" si="32"/>
        <v>4143750.7489913106</v>
      </c>
      <c r="J397" s="38" t="s">
        <v>213</v>
      </c>
      <c r="K397" s="38" t="str">
        <f t="shared" si="33"/>
        <v/>
      </c>
      <c r="L397" s="41">
        <f>VLOOKUP(INDICADORES!$B$21,'DATOS GENERALES'!$K:$M,3,0)*E397</f>
        <v>297068.91830157762</v>
      </c>
      <c r="M397" s="38" t="str">
        <f t="shared" si="34"/>
        <v/>
      </c>
      <c r="N397" s="36"/>
      <c r="O397" s="36"/>
      <c r="P397" s="36"/>
    </row>
    <row r="398" spans="1:16" x14ac:dyDescent="0.25">
      <c r="A398" s="36">
        <v>1890</v>
      </c>
      <c r="B398" s="37">
        <v>43952</v>
      </c>
      <c r="C398" s="36" t="s">
        <v>212</v>
      </c>
      <c r="D398" s="36"/>
      <c r="E398" s="38">
        <v>43647924</v>
      </c>
      <c r="F398" s="40">
        <f>VLOOKUP(A398,'DATOS GENERALES'!A:B,2,0)</f>
        <v>1.1100000000000001</v>
      </c>
      <c r="G398" s="36">
        <f t="shared" si="30"/>
        <v>1.104894</v>
      </c>
      <c r="H398" s="38">
        <f t="shared" si="31"/>
        <v>39504173.251008689</v>
      </c>
      <c r="I398" s="38">
        <f t="shared" si="32"/>
        <v>4143750.7489913106</v>
      </c>
      <c r="J398" s="38" t="s">
        <v>213</v>
      </c>
      <c r="K398" s="38" t="str">
        <f t="shared" si="33"/>
        <v/>
      </c>
      <c r="L398" s="41">
        <f>VLOOKUP(INDICADORES!$B$21,'DATOS GENERALES'!$K:$M,3,0)*E398</f>
        <v>297068.91830157762</v>
      </c>
      <c r="M398" s="38" t="str">
        <f t="shared" si="34"/>
        <v/>
      </c>
      <c r="N398" s="36"/>
      <c r="O398" s="36"/>
      <c r="P398" s="36"/>
    </row>
    <row r="399" spans="1:16" x14ac:dyDescent="0.25">
      <c r="A399" s="36">
        <v>1890</v>
      </c>
      <c r="B399" s="37">
        <v>43983</v>
      </c>
      <c r="C399" s="36" t="s">
        <v>212</v>
      </c>
      <c r="D399" s="36"/>
      <c r="E399" s="38">
        <v>43647924</v>
      </c>
      <c r="F399" s="40">
        <f>VLOOKUP(A399,'DATOS GENERALES'!A:B,2,0)</f>
        <v>1.1100000000000001</v>
      </c>
      <c r="G399" s="36">
        <f t="shared" si="30"/>
        <v>1.104894</v>
      </c>
      <c r="H399" s="38">
        <f t="shared" si="31"/>
        <v>39504173.251008689</v>
      </c>
      <c r="I399" s="38">
        <f t="shared" si="32"/>
        <v>4143750.7489913106</v>
      </c>
      <c r="J399" s="38" t="s">
        <v>213</v>
      </c>
      <c r="K399" s="38" t="str">
        <f t="shared" si="33"/>
        <v/>
      </c>
      <c r="L399" s="41">
        <f>VLOOKUP(INDICADORES!$B$21,'DATOS GENERALES'!$K:$M,3,0)*E399</f>
        <v>297068.91830157762</v>
      </c>
      <c r="M399" s="38" t="str">
        <f t="shared" si="34"/>
        <v/>
      </c>
      <c r="N399" s="36"/>
      <c r="O399" s="36"/>
      <c r="P399" s="36"/>
    </row>
    <row r="400" spans="1:16" x14ac:dyDescent="0.25">
      <c r="A400" s="36">
        <v>1890</v>
      </c>
      <c r="B400" s="37">
        <v>44013</v>
      </c>
      <c r="C400" s="36" t="s">
        <v>212</v>
      </c>
      <c r="D400" s="36"/>
      <c r="E400" s="38">
        <v>43647924</v>
      </c>
      <c r="F400" s="40">
        <f>VLOOKUP(A400,'DATOS GENERALES'!A:B,2,0)</f>
        <v>1.1100000000000001</v>
      </c>
      <c r="G400" s="36">
        <f t="shared" si="30"/>
        <v>1.104894</v>
      </c>
      <c r="H400" s="38">
        <f t="shared" si="31"/>
        <v>39504173.251008689</v>
      </c>
      <c r="I400" s="38">
        <f t="shared" si="32"/>
        <v>4143750.7489913106</v>
      </c>
      <c r="J400" s="38" t="s">
        <v>213</v>
      </c>
      <c r="K400" s="38" t="str">
        <f t="shared" si="33"/>
        <v/>
      </c>
      <c r="L400" s="41">
        <f>VLOOKUP(INDICADORES!$B$21,'DATOS GENERALES'!$K:$M,3,0)*E400</f>
        <v>297068.91830157762</v>
      </c>
      <c r="M400" s="38" t="str">
        <f t="shared" si="34"/>
        <v/>
      </c>
      <c r="N400" s="36"/>
      <c r="O400" s="36"/>
      <c r="P400" s="36"/>
    </row>
    <row r="401" spans="1:16" x14ac:dyDescent="0.25">
      <c r="A401" s="36">
        <v>1890</v>
      </c>
      <c r="B401" s="37">
        <v>44044</v>
      </c>
      <c r="C401" s="36" t="s">
        <v>212</v>
      </c>
      <c r="D401" s="36"/>
      <c r="E401" s="38">
        <v>43647924</v>
      </c>
      <c r="F401" s="40">
        <f>VLOOKUP(A401,'DATOS GENERALES'!A:B,2,0)</f>
        <v>1.1100000000000001</v>
      </c>
      <c r="G401" s="36">
        <f t="shared" si="30"/>
        <v>1.104894</v>
      </c>
      <c r="H401" s="38">
        <f t="shared" si="31"/>
        <v>39504173.251008689</v>
      </c>
      <c r="I401" s="38">
        <f t="shared" si="32"/>
        <v>4143750.7489913106</v>
      </c>
      <c r="J401" s="38" t="s">
        <v>213</v>
      </c>
      <c r="K401" s="38" t="str">
        <f t="shared" si="33"/>
        <v/>
      </c>
      <c r="L401" s="41">
        <f>VLOOKUP(INDICADORES!$B$21,'DATOS GENERALES'!$K:$M,3,0)*E401</f>
        <v>297068.91830157762</v>
      </c>
      <c r="M401" s="38" t="str">
        <f t="shared" si="34"/>
        <v/>
      </c>
      <c r="N401" s="36"/>
      <c r="O401" s="36"/>
      <c r="P401" s="36"/>
    </row>
    <row r="402" spans="1:16" x14ac:dyDescent="0.25">
      <c r="A402" s="36">
        <v>1890</v>
      </c>
      <c r="B402" s="37">
        <v>44075</v>
      </c>
      <c r="C402" s="36" t="s">
        <v>212</v>
      </c>
      <c r="D402" s="36"/>
      <c r="E402" s="38">
        <v>43647924</v>
      </c>
      <c r="F402" s="40">
        <f>VLOOKUP(A402,'DATOS GENERALES'!A:B,2,0)</f>
        <v>1.1100000000000001</v>
      </c>
      <c r="G402" s="36">
        <f t="shared" si="30"/>
        <v>1.104894</v>
      </c>
      <c r="H402" s="38">
        <f t="shared" si="31"/>
        <v>39504173.251008689</v>
      </c>
      <c r="I402" s="38">
        <f t="shared" si="32"/>
        <v>4143750.7489913106</v>
      </c>
      <c r="J402" s="38" t="s">
        <v>213</v>
      </c>
      <c r="K402" s="38" t="str">
        <f t="shared" si="33"/>
        <v/>
      </c>
      <c r="L402" s="41">
        <f>VLOOKUP(INDICADORES!$B$21,'DATOS GENERALES'!$K:$M,3,0)*E402</f>
        <v>297068.91830157762</v>
      </c>
      <c r="M402" s="38" t="str">
        <f t="shared" si="34"/>
        <v/>
      </c>
      <c r="N402" s="36"/>
      <c r="O402" s="36"/>
      <c r="P402" s="36"/>
    </row>
    <row r="403" spans="1:16" x14ac:dyDescent="0.25">
      <c r="A403" s="36">
        <v>1890</v>
      </c>
      <c r="B403" s="37">
        <v>44105</v>
      </c>
      <c r="C403" s="36" t="s">
        <v>212</v>
      </c>
      <c r="D403" s="36"/>
      <c r="E403" s="38">
        <v>43647924</v>
      </c>
      <c r="F403" s="40">
        <f>VLOOKUP(A403,'DATOS GENERALES'!A:B,2,0)</f>
        <v>1.1100000000000001</v>
      </c>
      <c r="G403" s="36">
        <f t="shared" si="30"/>
        <v>1.104894</v>
      </c>
      <c r="H403" s="38">
        <f t="shared" si="31"/>
        <v>39504173.251008689</v>
      </c>
      <c r="I403" s="38">
        <f t="shared" si="32"/>
        <v>4143750.7489913106</v>
      </c>
      <c r="J403" s="38" t="s">
        <v>213</v>
      </c>
      <c r="K403" s="38" t="str">
        <f t="shared" si="33"/>
        <v/>
      </c>
      <c r="L403" s="41">
        <f>VLOOKUP(INDICADORES!$B$21,'DATOS GENERALES'!$K:$M,3,0)*E403</f>
        <v>297068.91830157762</v>
      </c>
      <c r="M403" s="38" t="str">
        <f t="shared" si="34"/>
        <v/>
      </c>
      <c r="N403" s="36"/>
      <c r="O403" s="36"/>
      <c r="P403" s="36"/>
    </row>
    <row r="404" spans="1:16" x14ac:dyDescent="0.25">
      <c r="A404" s="36">
        <v>1890</v>
      </c>
      <c r="B404" s="37">
        <v>44136</v>
      </c>
      <c r="C404" s="36" t="s">
        <v>212</v>
      </c>
      <c r="D404" s="36"/>
      <c r="E404" s="38">
        <v>29413074</v>
      </c>
      <c r="F404" s="40">
        <f>VLOOKUP(A404,'DATOS GENERALES'!A:B,2,0)</f>
        <v>1.1100000000000001</v>
      </c>
      <c r="G404" s="36">
        <f t="shared" si="30"/>
        <v>1.104894</v>
      </c>
      <c r="H404" s="38">
        <f t="shared" si="31"/>
        <v>26620720.177682202</v>
      </c>
      <c r="I404" s="38">
        <f t="shared" si="32"/>
        <v>2792353.8223177977</v>
      </c>
      <c r="J404" s="38" t="s">
        <v>213</v>
      </c>
      <c r="K404" s="38" t="str">
        <f t="shared" si="33"/>
        <v/>
      </c>
      <c r="L404" s="41">
        <f>VLOOKUP(INDICADORES!$B$21,'DATOS GENERALES'!$K:$M,3,0)*E404</f>
        <v>200186.15494987246</v>
      </c>
      <c r="M404" s="38" t="str">
        <f t="shared" si="34"/>
        <v/>
      </c>
      <c r="N404" s="36"/>
      <c r="O404" s="36"/>
      <c r="P404" s="36"/>
    </row>
    <row r="405" spans="1:16" x14ac:dyDescent="0.25">
      <c r="A405" s="36">
        <v>1890</v>
      </c>
      <c r="B405" s="37">
        <v>44166</v>
      </c>
      <c r="C405" s="36" t="s">
        <v>212</v>
      </c>
      <c r="D405" s="36"/>
      <c r="E405" s="38">
        <v>29413074</v>
      </c>
      <c r="F405" s="40">
        <f>VLOOKUP(A405,'DATOS GENERALES'!A:B,2,0)</f>
        <v>1.1100000000000001</v>
      </c>
      <c r="G405" s="36">
        <f t="shared" si="30"/>
        <v>1.104894</v>
      </c>
      <c r="H405" s="38">
        <f t="shared" si="31"/>
        <v>26620720.177682202</v>
      </c>
      <c r="I405" s="38">
        <f t="shared" si="32"/>
        <v>2792353.8223177977</v>
      </c>
      <c r="J405" s="38" t="s">
        <v>213</v>
      </c>
      <c r="K405" s="38" t="str">
        <f t="shared" si="33"/>
        <v/>
      </c>
      <c r="L405" s="41">
        <f>VLOOKUP(INDICADORES!$B$21,'DATOS GENERALES'!$K:$M,3,0)*E405</f>
        <v>200186.15494987246</v>
      </c>
      <c r="M405" s="38" t="str">
        <f t="shared" si="34"/>
        <v/>
      </c>
      <c r="N405" s="36"/>
      <c r="O405" s="36"/>
      <c r="P405" s="36"/>
    </row>
    <row r="406" spans="1:16" x14ac:dyDescent="0.25">
      <c r="A406" s="36">
        <v>1618</v>
      </c>
      <c r="B406" s="37">
        <v>43466</v>
      </c>
      <c r="C406" s="36" t="s">
        <v>212</v>
      </c>
      <c r="D406" s="36"/>
      <c r="E406" s="38">
        <v>33554950.015926875</v>
      </c>
      <c r="F406" s="40">
        <f>VLOOKUP(A406,'DATOS GENERALES'!A:B,2,0)</f>
        <v>1.97</v>
      </c>
      <c r="G406" s="36">
        <f t="shared" si="30"/>
        <v>1.9609379999999998</v>
      </c>
      <c r="H406" s="38">
        <f t="shared" si="31"/>
        <v>17111683.294386093</v>
      </c>
      <c r="I406" s="38">
        <f t="shared" si="32"/>
        <v>16443266.721540783</v>
      </c>
      <c r="J406" s="38">
        <v>3754617.2246648986</v>
      </c>
      <c r="K406" s="38">
        <f t="shared" si="33"/>
        <v>12688649.496875884</v>
      </c>
      <c r="L406" s="41">
        <f>VLOOKUP(INDICADORES!$B$21,'DATOS GENERALES'!$K:$M,3,0)*E406</f>
        <v>228375.87200928279</v>
      </c>
      <c r="M406" s="38">
        <f t="shared" si="34"/>
        <v>12460273.624866601</v>
      </c>
      <c r="N406" s="36"/>
      <c r="O406" s="36"/>
      <c r="P406" s="36"/>
    </row>
    <row r="407" spans="1:16" x14ac:dyDescent="0.25">
      <c r="A407" s="36">
        <v>1618</v>
      </c>
      <c r="B407" s="37">
        <v>43497</v>
      </c>
      <c r="C407" s="36" t="s">
        <v>212</v>
      </c>
      <c r="D407" s="36"/>
      <c r="E407" s="38">
        <v>13267655.116172869</v>
      </c>
      <c r="F407" s="40">
        <f>VLOOKUP(A407,'DATOS GENERALES'!A:B,2,0)</f>
        <v>1.97</v>
      </c>
      <c r="G407" s="36">
        <f t="shared" si="30"/>
        <v>1.9609379999999998</v>
      </c>
      <c r="H407" s="38">
        <f t="shared" si="31"/>
        <v>6765973.7922223294</v>
      </c>
      <c r="I407" s="38">
        <f t="shared" si="32"/>
        <v>6501681.3239505393</v>
      </c>
      <c r="J407" s="38">
        <v>1462518.3307391868</v>
      </c>
      <c r="K407" s="38">
        <f t="shared" si="33"/>
        <v>5039162.9932113523</v>
      </c>
      <c r="L407" s="41">
        <f>VLOOKUP(INDICADORES!$B$21,'DATOS GENERALES'!$K:$M,3,0)*E407</f>
        <v>90300.009543635257</v>
      </c>
      <c r="M407" s="38">
        <f t="shared" si="34"/>
        <v>4948862.9836677173</v>
      </c>
      <c r="N407" s="36"/>
      <c r="O407" s="36"/>
      <c r="P407" s="36"/>
    </row>
    <row r="408" spans="1:16" x14ac:dyDescent="0.25">
      <c r="A408" s="36">
        <v>1715</v>
      </c>
      <c r="B408" s="37">
        <v>43466</v>
      </c>
      <c r="C408" s="36" t="s">
        <v>212</v>
      </c>
      <c r="D408" s="36"/>
      <c r="E408" s="38">
        <v>55849596.75</v>
      </c>
      <c r="F408" s="40">
        <f>VLOOKUP(A408,'DATOS GENERALES'!A:B,2,0)</f>
        <v>1.93</v>
      </c>
      <c r="G408" s="36">
        <f t="shared" si="30"/>
        <v>1.9211219999999998</v>
      </c>
      <c r="H408" s="38">
        <f t="shared" si="31"/>
        <v>29071343.074515834</v>
      </c>
      <c r="I408" s="38">
        <f t="shared" si="32"/>
        <v>26778253.675484166</v>
      </c>
      <c r="J408" s="38">
        <v>6378785.977620896</v>
      </c>
      <c r="K408" s="38">
        <f t="shared" si="33"/>
        <v>20399467.69786327</v>
      </c>
      <c r="L408" s="41">
        <f>VLOOKUP(INDICADORES!$B$21,'DATOS GENERALES'!$K:$M,3,0)*E408</f>
        <v>380113.82383505354</v>
      </c>
      <c r="M408" s="38">
        <f t="shared" si="34"/>
        <v>20019353.874028217</v>
      </c>
      <c r="N408" s="36"/>
      <c r="O408" s="36"/>
      <c r="P408" s="36"/>
    </row>
    <row r="409" spans="1:16" x14ac:dyDescent="0.25">
      <c r="A409" s="36">
        <v>1715</v>
      </c>
      <c r="B409" s="37">
        <v>43497</v>
      </c>
      <c r="C409" s="36" t="s">
        <v>212</v>
      </c>
      <c r="D409" s="36"/>
      <c r="E409" s="38">
        <v>55849596.75</v>
      </c>
      <c r="F409" s="40">
        <f>VLOOKUP(A409,'DATOS GENERALES'!A:B,2,0)</f>
        <v>1.93</v>
      </c>
      <c r="G409" s="36">
        <f t="shared" si="30"/>
        <v>1.9211219999999998</v>
      </c>
      <c r="H409" s="38">
        <f t="shared" si="31"/>
        <v>29071343.074515834</v>
      </c>
      <c r="I409" s="38">
        <f t="shared" si="32"/>
        <v>26778253.675484166</v>
      </c>
      <c r="J409" s="38">
        <v>6283998.9410780743</v>
      </c>
      <c r="K409" s="38">
        <f t="shared" si="33"/>
        <v>20494254.734406091</v>
      </c>
      <c r="L409" s="41">
        <f>VLOOKUP(INDICADORES!$B$21,'DATOS GENERALES'!$K:$M,3,0)*E409</f>
        <v>380113.82383505354</v>
      </c>
      <c r="M409" s="38">
        <f t="shared" si="34"/>
        <v>20114140.910571039</v>
      </c>
      <c r="N409" s="36"/>
      <c r="O409" s="36"/>
      <c r="P409" s="36"/>
    </row>
    <row r="410" spans="1:16" x14ac:dyDescent="0.25">
      <c r="A410" s="36">
        <v>1715</v>
      </c>
      <c r="B410" s="37">
        <v>43525</v>
      </c>
      <c r="C410" s="36" t="s">
        <v>212</v>
      </c>
      <c r="D410" s="36"/>
      <c r="E410" s="38">
        <v>55849596.75</v>
      </c>
      <c r="F410" s="40">
        <f>VLOOKUP(A410,'DATOS GENERALES'!A:B,2,0)</f>
        <v>1.93</v>
      </c>
      <c r="G410" s="36">
        <f t="shared" si="30"/>
        <v>1.9211219999999998</v>
      </c>
      <c r="H410" s="38">
        <f t="shared" si="31"/>
        <v>29071343.074515834</v>
      </c>
      <c r="I410" s="38">
        <f t="shared" si="32"/>
        <v>26778253.675484166</v>
      </c>
      <c r="J410" s="38">
        <v>4546395.294261572</v>
      </c>
      <c r="K410" s="38">
        <f t="shared" si="33"/>
        <v>22231858.381222595</v>
      </c>
      <c r="L410" s="41">
        <f>VLOOKUP(INDICADORES!$B$21,'DATOS GENERALES'!$K:$M,3,0)*E410</f>
        <v>380113.82383505354</v>
      </c>
      <c r="M410" s="38">
        <f t="shared" si="34"/>
        <v>21851744.557387542</v>
      </c>
      <c r="N410" s="36"/>
      <c r="O410" s="36"/>
      <c r="P410" s="36"/>
    </row>
    <row r="411" spans="1:16" x14ac:dyDescent="0.25">
      <c r="A411" s="36">
        <v>1837</v>
      </c>
      <c r="B411" s="37">
        <v>43466</v>
      </c>
      <c r="C411" s="36" t="s">
        <v>212</v>
      </c>
      <c r="D411" s="36"/>
      <c r="E411" s="38">
        <v>24433339.875</v>
      </c>
      <c r="F411" s="40">
        <f>VLOOKUP(A411,'DATOS GENERALES'!A:B,2,0)</f>
        <v>1.98</v>
      </c>
      <c r="G411" s="36">
        <f t="shared" si="30"/>
        <v>1.9708919999999999</v>
      </c>
      <c r="H411" s="38">
        <f t="shared" si="31"/>
        <v>12397097.291480204</v>
      </c>
      <c r="I411" s="38">
        <f t="shared" si="32"/>
        <v>12036242.583519796</v>
      </c>
      <c r="J411" s="38">
        <v>2720150.5676363707</v>
      </c>
      <c r="K411" s="38">
        <f t="shared" si="33"/>
        <v>9316092.0158834253</v>
      </c>
      <c r="L411" s="41">
        <f>VLOOKUP(INDICADORES!$B$21,'DATOS GENERALES'!$K:$M,3,0)*E411</f>
        <v>166293.95357179083</v>
      </c>
      <c r="M411" s="38">
        <f t="shared" si="34"/>
        <v>9149798.0623116344</v>
      </c>
      <c r="N411" s="36"/>
      <c r="O411" s="36"/>
      <c r="P411" s="36"/>
    </row>
    <row r="412" spans="1:16" x14ac:dyDescent="0.25">
      <c r="A412" s="36">
        <v>1837</v>
      </c>
      <c r="B412" s="37">
        <v>43497</v>
      </c>
      <c r="C412" s="36" t="s">
        <v>212</v>
      </c>
      <c r="D412" s="36"/>
      <c r="E412" s="38">
        <v>24433339.875</v>
      </c>
      <c r="F412" s="40">
        <f>VLOOKUP(A412,'DATOS GENERALES'!A:B,2,0)</f>
        <v>1.98</v>
      </c>
      <c r="G412" s="36">
        <f t="shared" si="30"/>
        <v>1.9708919999999999</v>
      </c>
      <c r="H412" s="38">
        <f t="shared" si="31"/>
        <v>12397097.291480204</v>
      </c>
      <c r="I412" s="38">
        <f t="shared" si="32"/>
        <v>12036242.583519796</v>
      </c>
      <c r="J412" s="38">
        <v>2679729.8649883894</v>
      </c>
      <c r="K412" s="38">
        <f t="shared" si="33"/>
        <v>9356512.7185314074</v>
      </c>
      <c r="L412" s="41">
        <f>VLOOKUP(INDICADORES!$B$21,'DATOS GENERALES'!$K:$M,3,0)*E412</f>
        <v>166293.95357179083</v>
      </c>
      <c r="M412" s="38">
        <f t="shared" si="34"/>
        <v>9190218.7649596166</v>
      </c>
      <c r="N412" s="36"/>
      <c r="O412" s="36"/>
      <c r="P412" s="36"/>
    </row>
    <row r="413" spans="1:16" x14ac:dyDescent="0.25">
      <c r="A413" s="36">
        <v>1845</v>
      </c>
      <c r="B413" s="37">
        <v>43497</v>
      </c>
      <c r="C413" s="36" t="s">
        <v>212</v>
      </c>
      <c r="D413" s="36"/>
      <c r="E413" s="38">
        <v>43907512.694785044</v>
      </c>
      <c r="F413" s="40">
        <f>VLOOKUP(A413,'DATOS GENERALES'!A:B,2,0)</f>
        <v>1</v>
      </c>
      <c r="G413" s="36">
        <f t="shared" si="30"/>
        <v>0.99539999999999995</v>
      </c>
      <c r="H413" s="38">
        <f t="shared" si="31"/>
        <v>44110420.62968158</v>
      </c>
      <c r="I413" s="38">
        <f t="shared" si="32"/>
        <v>-202907.93489653617</v>
      </c>
      <c r="J413" s="38">
        <v>9534813.5728346948</v>
      </c>
      <c r="K413" s="38">
        <f t="shared" si="33"/>
        <v>-9737721.5077312309</v>
      </c>
      <c r="L413" s="41">
        <f>VLOOKUP(INDICADORES!$B$21,'DATOS GENERALES'!$K:$M,3,0)*E413</f>
        <v>298835.68578319054</v>
      </c>
      <c r="M413" s="38">
        <f t="shared" si="34"/>
        <v>-10036557.193514422</v>
      </c>
      <c r="N413" s="36"/>
      <c r="O413" s="36"/>
      <c r="P413" s="36"/>
    </row>
    <row r="414" spans="1:16" x14ac:dyDescent="0.25">
      <c r="A414" s="36">
        <v>1845</v>
      </c>
      <c r="B414" s="37">
        <v>43525</v>
      </c>
      <c r="C414" s="36" t="s">
        <v>212</v>
      </c>
      <c r="D414" s="36"/>
      <c r="E414" s="38">
        <v>43907512.694785044</v>
      </c>
      <c r="F414" s="40">
        <f>VLOOKUP(A414,'DATOS GENERALES'!A:B,2,0)</f>
        <v>1</v>
      </c>
      <c r="G414" s="36">
        <f t="shared" si="30"/>
        <v>0.99539999999999995</v>
      </c>
      <c r="H414" s="38">
        <f t="shared" si="31"/>
        <v>44110420.62968158</v>
      </c>
      <c r="I414" s="38">
        <f t="shared" si="32"/>
        <v>-202907.93489653617</v>
      </c>
      <c r="J414" s="38">
        <v>6898319.3609132143</v>
      </c>
      <c r="K414" s="38">
        <f t="shared" si="33"/>
        <v>-7101227.2958097504</v>
      </c>
      <c r="L414" s="41">
        <f>VLOOKUP(INDICADORES!$B$21,'DATOS GENERALES'!$K:$M,3,0)*E414</f>
        <v>298835.68578319054</v>
      </c>
      <c r="M414" s="38">
        <f t="shared" si="34"/>
        <v>-7400062.9815929411</v>
      </c>
      <c r="N414" s="36"/>
      <c r="O414" s="36"/>
      <c r="P414" s="36"/>
    </row>
    <row r="415" spans="1:16" x14ac:dyDescent="0.25">
      <c r="A415" s="36">
        <v>1845</v>
      </c>
      <c r="B415" s="37">
        <v>43556</v>
      </c>
      <c r="C415" s="36" t="s">
        <v>212</v>
      </c>
      <c r="D415" s="36"/>
      <c r="E415" s="38">
        <v>43907512.694785044</v>
      </c>
      <c r="F415" s="40">
        <f>VLOOKUP(A415,'DATOS GENERALES'!A:B,2,0)</f>
        <v>1</v>
      </c>
      <c r="G415" s="36">
        <f t="shared" si="30"/>
        <v>0.99539999999999995</v>
      </c>
      <c r="H415" s="38">
        <f t="shared" si="31"/>
        <v>44110420.62968158</v>
      </c>
      <c r="I415" s="38">
        <f t="shared" si="32"/>
        <v>-202907.93489653617</v>
      </c>
      <c r="J415" s="38">
        <v>7091992.2167569455</v>
      </c>
      <c r="K415" s="38">
        <f t="shared" si="33"/>
        <v>-7294900.1516534816</v>
      </c>
      <c r="L415" s="41">
        <f>VLOOKUP(INDICADORES!$B$21,'DATOS GENERALES'!$K:$M,3,0)*E415</f>
        <v>298835.68578319054</v>
      </c>
      <c r="M415" s="38">
        <f t="shared" si="34"/>
        <v>-7593735.8374366723</v>
      </c>
      <c r="N415" s="36"/>
      <c r="O415" s="36"/>
      <c r="P415" s="36"/>
    </row>
    <row r="416" spans="1:16" x14ac:dyDescent="0.25">
      <c r="A416" s="36">
        <v>1845</v>
      </c>
      <c r="B416" s="37">
        <v>43586</v>
      </c>
      <c r="C416" s="36" t="s">
        <v>212</v>
      </c>
      <c r="D416" s="36"/>
      <c r="E416" s="38">
        <v>43907512.694785044</v>
      </c>
      <c r="F416" s="40">
        <f>VLOOKUP(A416,'DATOS GENERALES'!A:B,2,0)</f>
        <v>1</v>
      </c>
      <c r="G416" s="36">
        <f t="shared" si="30"/>
        <v>0.99539999999999995</v>
      </c>
      <c r="H416" s="38">
        <f t="shared" si="31"/>
        <v>44110420.62968158</v>
      </c>
      <c r="I416" s="38">
        <f t="shared" si="32"/>
        <v>-202907.93489653617</v>
      </c>
      <c r="J416" s="38">
        <v>5850397.6042798823</v>
      </c>
      <c r="K416" s="38">
        <f t="shared" si="33"/>
        <v>-6053305.5391764184</v>
      </c>
      <c r="L416" s="41">
        <f>VLOOKUP(INDICADORES!$B$21,'DATOS GENERALES'!$K:$M,3,0)*E416</f>
        <v>298835.68578319054</v>
      </c>
      <c r="M416" s="38">
        <f t="shared" si="34"/>
        <v>-6352141.2249596091</v>
      </c>
      <c r="N416" s="36"/>
      <c r="O416" s="36"/>
      <c r="P416" s="36"/>
    </row>
    <row r="417" spans="1:16" x14ac:dyDescent="0.25">
      <c r="A417" s="36">
        <v>1845</v>
      </c>
      <c r="B417" s="37">
        <v>43617</v>
      </c>
      <c r="C417" s="36" t="s">
        <v>212</v>
      </c>
      <c r="D417" s="36"/>
      <c r="E417" s="38">
        <v>43907512.694785044</v>
      </c>
      <c r="F417" s="40">
        <f>VLOOKUP(A417,'DATOS GENERALES'!A:B,2,0)</f>
        <v>1</v>
      </c>
      <c r="G417" s="36">
        <f t="shared" si="30"/>
        <v>0.99539999999999995</v>
      </c>
      <c r="H417" s="38">
        <f t="shared" si="31"/>
        <v>44110420.62968158</v>
      </c>
      <c r="I417" s="38">
        <f t="shared" si="32"/>
        <v>-202907.93489653617</v>
      </c>
      <c r="J417" s="38">
        <v>6571174.6854240745</v>
      </c>
      <c r="K417" s="38">
        <f t="shared" si="33"/>
        <v>-6774082.6203206107</v>
      </c>
      <c r="L417" s="41">
        <f>VLOOKUP(INDICADORES!$B$21,'DATOS GENERALES'!$K:$M,3,0)*E417</f>
        <v>298835.68578319054</v>
      </c>
      <c r="M417" s="38">
        <f t="shared" si="34"/>
        <v>-7072918.3061038014</v>
      </c>
      <c r="N417" s="36"/>
      <c r="O417" s="36"/>
      <c r="P417" s="36"/>
    </row>
    <row r="418" spans="1:16" x14ac:dyDescent="0.25">
      <c r="A418" s="36">
        <v>1845</v>
      </c>
      <c r="B418" s="37">
        <v>43647</v>
      </c>
      <c r="C418" s="36" t="s">
        <v>212</v>
      </c>
      <c r="D418" s="36"/>
      <c r="E418" s="38">
        <v>43907512.694785044</v>
      </c>
      <c r="F418" s="40">
        <f>VLOOKUP(A418,'DATOS GENERALES'!A:B,2,0)</f>
        <v>1</v>
      </c>
      <c r="G418" s="36">
        <f t="shared" si="30"/>
        <v>0.99539999999999995</v>
      </c>
      <c r="H418" s="38">
        <f t="shared" si="31"/>
        <v>44110420.62968158</v>
      </c>
      <c r="I418" s="38">
        <f t="shared" si="32"/>
        <v>-202907.93489653617</v>
      </c>
      <c r="J418" s="38">
        <v>11410961.124924572</v>
      </c>
      <c r="K418" s="38">
        <f t="shared" si="33"/>
        <v>-11613869.059821108</v>
      </c>
      <c r="L418" s="41">
        <f>VLOOKUP(INDICADORES!$B$21,'DATOS GENERALES'!$K:$M,3,0)*E418</f>
        <v>298835.68578319054</v>
      </c>
      <c r="M418" s="38">
        <f t="shared" si="34"/>
        <v>-11912704.745604299</v>
      </c>
      <c r="N418" s="36"/>
      <c r="O418" s="36"/>
      <c r="P418" s="36"/>
    </row>
    <row r="419" spans="1:16" x14ac:dyDescent="0.25">
      <c r="A419" s="36">
        <v>1845</v>
      </c>
      <c r="B419" s="37">
        <v>43678</v>
      </c>
      <c r="C419" s="36" t="s">
        <v>212</v>
      </c>
      <c r="D419" s="36"/>
      <c r="E419" s="38">
        <v>43907512.694785044</v>
      </c>
      <c r="F419" s="40">
        <f>VLOOKUP(A419,'DATOS GENERALES'!A:B,2,0)</f>
        <v>1</v>
      </c>
      <c r="G419" s="36">
        <f t="shared" si="30"/>
        <v>0.99539999999999995</v>
      </c>
      <c r="H419" s="38">
        <f t="shared" si="31"/>
        <v>44110420.62968158</v>
      </c>
      <c r="I419" s="38">
        <f t="shared" si="32"/>
        <v>-202907.93489653617</v>
      </c>
      <c r="J419" s="38">
        <v>11458449.291199455</v>
      </c>
      <c r="K419" s="38">
        <f t="shared" si="33"/>
        <v>-11661357.226095991</v>
      </c>
      <c r="L419" s="41">
        <f>VLOOKUP(INDICADORES!$B$21,'DATOS GENERALES'!$K:$M,3,0)*E419</f>
        <v>298835.68578319054</v>
      </c>
      <c r="M419" s="38">
        <f t="shared" si="34"/>
        <v>-11960192.911879182</v>
      </c>
      <c r="N419" s="36"/>
      <c r="O419" s="36"/>
      <c r="P419" s="36"/>
    </row>
    <row r="420" spans="1:16" x14ac:dyDescent="0.25">
      <c r="A420" s="36">
        <v>1385</v>
      </c>
      <c r="B420" s="37">
        <v>43466</v>
      </c>
      <c r="C420" s="36" t="s">
        <v>212</v>
      </c>
      <c r="D420" s="36"/>
      <c r="E420" s="38">
        <v>134267225.40000004</v>
      </c>
      <c r="F420" s="40">
        <f>VLOOKUP(A420,'DATOS GENERALES'!A:B,2,0)</f>
        <v>1.64</v>
      </c>
      <c r="G420" s="36">
        <f t="shared" si="30"/>
        <v>1.6324559999999999</v>
      </c>
      <c r="H420" s="38">
        <f t="shared" si="31"/>
        <v>82248602.963877767</v>
      </c>
      <c r="I420" s="38">
        <f t="shared" si="32"/>
        <v>52018622.436122268</v>
      </c>
      <c r="J420" s="38">
        <v>18046852.321893618</v>
      </c>
      <c r="K420" s="38">
        <f t="shared" si="33"/>
        <v>33971770.114228651</v>
      </c>
      <c r="L420" s="41">
        <f>VLOOKUP(INDICADORES!$B$21,'DATOS GENERALES'!$K:$M,3,0)*E420</f>
        <v>913826.26612280845</v>
      </c>
      <c r="M420" s="38">
        <f t="shared" si="34"/>
        <v>33057943.848105844</v>
      </c>
      <c r="N420" s="36"/>
      <c r="O420" s="36"/>
      <c r="P420" s="36"/>
    </row>
    <row r="421" spans="1:16" x14ac:dyDescent="0.25">
      <c r="A421" s="36">
        <v>1385</v>
      </c>
      <c r="B421" s="37">
        <v>43497</v>
      </c>
      <c r="C421" s="36" t="s">
        <v>212</v>
      </c>
      <c r="D421" s="36"/>
      <c r="E421" s="38">
        <v>134267225.40000004</v>
      </c>
      <c r="F421" s="40">
        <f>VLOOKUP(A421,'DATOS GENERALES'!A:B,2,0)</f>
        <v>1.64</v>
      </c>
      <c r="G421" s="36">
        <f t="shared" si="30"/>
        <v>1.6324559999999999</v>
      </c>
      <c r="H421" s="38">
        <f t="shared" si="31"/>
        <v>82248602.963877767</v>
      </c>
      <c r="I421" s="38">
        <f t="shared" si="32"/>
        <v>52018622.436122268</v>
      </c>
      <c r="J421" s="38">
        <v>17778680.971338872</v>
      </c>
      <c r="K421" s="38">
        <f t="shared" si="33"/>
        <v>34239941.4647834</v>
      </c>
      <c r="L421" s="41">
        <f>VLOOKUP(INDICADORES!$B$21,'DATOS GENERALES'!$K:$M,3,0)*E421</f>
        <v>913826.26612280845</v>
      </c>
      <c r="M421" s="38">
        <f t="shared" si="34"/>
        <v>33326115.198660593</v>
      </c>
      <c r="N421" s="36"/>
      <c r="O421" s="36"/>
      <c r="P421" s="36"/>
    </row>
    <row r="422" spans="1:16" x14ac:dyDescent="0.25">
      <c r="A422" s="36">
        <v>1385</v>
      </c>
      <c r="B422" s="37">
        <v>43525</v>
      </c>
      <c r="C422" s="36" t="s">
        <v>212</v>
      </c>
      <c r="D422" s="36"/>
      <c r="E422" s="38">
        <v>134267225.40000004</v>
      </c>
      <c r="F422" s="40">
        <f>VLOOKUP(A422,'DATOS GENERALES'!A:B,2,0)</f>
        <v>1.64</v>
      </c>
      <c r="G422" s="36">
        <f t="shared" si="30"/>
        <v>1.6324559999999999</v>
      </c>
      <c r="H422" s="38">
        <f t="shared" si="31"/>
        <v>82248602.963877767</v>
      </c>
      <c r="I422" s="38">
        <f t="shared" si="32"/>
        <v>52018622.436122268</v>
      </c>
      <c r="J422" s="38">
        <v>12862655.1761331</v>
      </c>
      <c r="K422" s="38">
        <f t="shared" si="33"/>
        <v>39155967.259989172</v>
      </c>
      <c r="L422" s="41">
        <f>VLOOKUP(INDICADORES!$B$21,'DATOS GENERALES'!$K:$M,3,0)*E422</f>
        <v>913826.26612280845</v>
      </c>
      <c r="M422" s="38">
        <f t="shared" si="34"/>
        <v>38242140.993866362</v>
      </c>
      <c r="N422" s="36"/>
      <c r="O422" s="36"/>
      <c r="P422" s="36"/>
    </row>
    <row r="423" spans="1:16" x14ac:dyDescent="0.25">
      <c r="A423" s="36">
        <v>1385</v>
      </c>
      <c r="B423" s="37">
        <v>43556</v>
      </c>
      <c r="C423" s="36" t="s">
        <v>212</v>
      </c>
      <c r="D423" s="36"/>
      <c r="E423" s="38">
        <v>134267225.40000004</v>
      </c>
      <c r="F423" s="40">
        <f>VLOOKUP(A423,'DATOS GENERALES'!A:B,2,0)</f>
        <v>1.64</v>
      </c>
      <c r="G423" s="36">
        <f t="shared" si="30"/>
        <v>1.6324559999999999</v>
      </c>
      <c r="H423" s="38">
        <f t="shared" si="31"/>
        <v>82248602.963877767</v>
      </c>
      <c r="I423" s="38">
        <f t="shared" si="32"/>
        <v>52018622.436122268</v>
      </c>
      <c r="J423" s="38">
        <v>13223778.955906186</v>
      </c>
      <c r="K423" s="38">
        <f t="shared" si="33"/>
        <v>38794843.480216086</v>
      </c>
      <c r="L423" s="41">
        <f>VLOOKUP(INDICADORES!$B$21,'DATOS GENERALES'!$K:$M,3,0)*E423</f>
        <v>913826.26612280845</v>
      </c>
      <c r="M423" s="38">
        <f t="shared" si="34"/>
        <v>37881017.214093275</v>
      </c>
      <c r="N423" s="36"/>
      <c r="O423" s="36"/>
      <c r="P423" s="36"/>
    </row>
    <row r="424" spans="1:16" x14ac:dyDescent="0.25">
      <c r="A424" s="36">
        <v>1385</v>
      </c>
      <c r="B424" s="37">
        <v>43586</v>
      </c>
      <c r="C424" s="36" t="s">
        <v>212</v>
      </c>
      <c r="D424" s="36"/>
      <c r="E424" s="38">
        <v>134267225.40000004</v>
      </c>
      <c r="F424" s="40">
        <f>VLOOKUP(A424,'DATOS GENERALES'!A:B,2,0)</f>
        <v>1.64</v>
      </c>
      <c r="G424" s="36">
        <f t="shared" si="30"/>
        <v>1.6324559999999999</v>
      </c>
      <c r="H424" s="38">
        <f t="shared" si="31"/>
        <v>82248602.963877767</v>
      </c>
      <c r="I424" s="38">
        <f t="shared" si="32"/>
        <v>52018622.436122268</v>
      </c>
      <c r="J424" s="38">
        <v>10908692.840971244</v>
      </c>
      <c r="K424" s="38">
        <f t="shared" si="33"/>
        <v>41109929.595151022</v>
      </c>
      <c r="L424" s="41">
        <f>VLOOKUP(INDICADORES!$B$21,'DATOS GENERALES'!$K:$M,3,0)*E424</f>
        <v>913826.26612280845</v>
      </c>
      <c r="M424" s="38">
        <f t="shared" si="34"/>
        <v>40196103.329028212</v>
      </c>
      <c r="N424" s="36"/>
      <c r="O424" s="36"/>
      <c r="P424" s="36"/>
    </row>
    <row r="425" spans="1:16" x14ac:dyDescent="0.25">
      <c r="A425" s="36">
        <v>1899</v>
      </c>
      <c r="B425" s="37">
        <v>43525</v>
      </c>
      <c r="C425" s="36" t="s">
        <v>212</v>
      </c>
      <c r="D425" s="36"/>
      <c r="E425" s="38">
        <v>63859391.18</v>
      </c>
      <c r="F425" s="40">
        <f>VLOOKUP(A425,'DATOS GENERALES'!A:B,2,0)</f>
        <v>0.75</v>
      </c>
      <c r="G425" s="36">
        <f t="shared" si="30"/>
        <v>0.74654999999999994</v>
      </c>
      <c r="H425" s="38">
        <f t="shared" si="31"/>
        <v>85539335.851583958</v>
      </c>
      <c r="I425" s="38">
        <f t="shared" si="32"/>
        <v>-21679944.671583958</v>
      </c>
      <c r="J425" s="38">
        <v>13377284.736831108</v>
      </c>
      <c r="K425" s="38">
        <f t="shared" si="33"/>
        <v>-35057229.408415064</v>
      </c>
      <c r="L425" s="41">
        <f>VLOOKUP(INDICADORES!$B$21,'DATOS GENERALES'!$K:$M,3,0)*E425</f>
        <v>434628.69531297544</v>
      </c>
      <c r="M425" s="38">
        <f t="shared" si="34"/>
        <v>-35491858.103728041</v>
      </c>
      <c r="N425" s="36"/>
      <c r="O425" s="36"/>
      <c r="P425" s="36"/>
    </row>
    <row r="426" spans="1:16" x14ac:dyDescent="0.25">
      <c r="A426" s="36">
        <v>1899</v>
      </c>
      <c r="B426" s="37">
        <v>43556</v>
      </c>
      <c r="C426" s="36" t="s">
        <v>212</v>
      </c>
      <c r="D426" s="36"/>
      <c r="E426" s="38">
        <v>63859391.18</v>
      </c>
      <c r="F426" s="40">
        <f>VLOOKUP(A426,'DATOS GENERALES'!A:B,2,0)</f>
        <v>0.75</v>
      </c>
      <c r="G426" s="36">
        <f t="shared" si="30"/>
        <v>0.74654999999999994</v>
      </c>
      <c r="H426" s="38">
        <f t="shared" si="31"/>
        <v>85539335.851583958</v>
      </c>
      <c r="I426" s="38">
        <f t="shared" si="32"/>
        <v>-21679944.671583958</v>
      </c>
      <c r="J426" s="38">
        <v>13752856.930994334</v>
      </c>
      <c r="K426" s="38">
        <f t="shared" si="33"/>
        <v>-35432801.60257829</v>
      </c>
      <c r="L426" s="41">
        <f>VLOOKUP(INDICADORES!$B$21,'DATOS GENERALES'!$K:$M,3,0)*E426</f>
        <v>434628.69531297544</v>
      </c>
      <c r="M426" s="38">
        <f t="shared" si="34"/>
        <v>-35867430.297891267</v>
      </c>
      <c r="N426" s="36"/>
      <c r="O426" s="36"/>
      <c r="P426" s="36"/>
    </row>
    <row r="427" spans="1:16" x14ac:dyDescent="0.25">
      <c r="A427" s="36">
        <v>1899</v>
      </c>
      <c r="B427" s="37">
        <v>43586</v>
      </c>
      <c r="C427" s="36" t="s">
        <v>212</v>
      </c>
      <c r="D427" s="36"/>
      <c r="E427" s="38">
        <v>63859391.18</v>
      </c>
      <c r="F427" s="40">
        <f>VLOOKUP(A427,'DATOS GENERALES'!A:B,2,0)</f>
        <v>0.75</v>
      </c>
      <c r="G427" s="36">
        <f t="shared" si="30"/>
        <v>0.74654999999999994</v>
      </c>
      <c r="H427" s="38">
        <f t="shared" si="31"/>
        <v>85539335.851583958</v>
      </c>
      <c r="I427" s="38">
        <f t="shared" si="32"/>
        <v>-21679944.671583958</v>
      </c>
      <c r="J427" s="38">
        <v>11345145.169644045</v>
      </c>
      <c r="K427" s="38">
        <f t="shared" si="33"/>
        <v>-33025089.841228001</v>
      </c>
      <c r="L427" s="41">
        <f>VLOOKUP(INDICADORES!$B$21,'DATOS GENERALES'!$K:$M,3,0)*E427</f>
        <v>434628.69531297544</v>
      </c>
      <c r="M427" s="38">
        <f t="shared" si="34"/>
        <v>-33459718.536540978</v>
      </c>
      <c r="N427" s="36"/>
      <c r="O427" s="36"/>
      <c r="P427" s="36"/>
    </row>
    <row r="428" spans="1:16" x14ac:dyDescent="0.25">
      <c r="A428" s="36">
        <v>1899</v>
      </c>
      <c r="B428" s="37">
        <v>43617</v>
      </c>
      <c r="C428" s="36" t="s">
        <v>212</v>
      </c>
      <c r="D428" s="36"/>
      <c r="E428" s="38">
        <v>60800628.68</v>
      </c>
      <c r="F428" s="40">
        <f>VLOOKUP(A428,'DATOS GENERALES'!A:B,2,0)</f>
        <v>0.75</v>
      </c>
      <c r="G428" s="36">
        <f t="shared" si="30"/>
        <v>0.74654999999999994</v>
      </c>
      <c r="H428" s="38">
        <f t="shared" si="31"/>
        <v>81442138.744893178</v>
      </c>
      <c r="I428" s="38">
        <f t="shared" si="32"/>
        <v>-20641510.064893179</v>
      </c>
      <c r="J428" s="38">
        <v>12132519.092033435</v>
      </c>
      <c r="K428" s="38">
        <f t="shared" si="33"/>
        <v>-32774029.156926613</v>
      </c>
      <c r="L428" s="41">
        <f>VLOOKUP(INDICADORES!$B$21,'DATOS GENERALES'!$K:$M,3,0)*E428</f>
        <v>413810.6773193492</v>
      </c>
      <c r="M428" s="38">
        <f t="shared" si="34"/>
        <v>-33187839.834245961</v>
      </c>
      <c r="N428" s="36"/>
      <c r="O428" s="36"/>
      <c r="P428" s="36"/>
    </row>
    <row r="429" spans="1:16" x14ac:dyDescent="0.25">
      <c r="A429" s="36">
        <v>1899</v>
      </c>
      <c r="B429" s="37">
        <v>43647</v>
      </c>
      <c r="C429" s="36" t="s">
        <v>212</v>
      </c>
      <c r="D429" s="36"/>
      <c r="E429" s="38">
        <v>60800628.68</v>
      </c>
      <c r="F429" s="40">
        <f>VLOOKUP(A429,'DATOS GENERALES'!A:B,2,0)</f>
        <v>0.75</v>
      </c>
      <c r="G429" s="36">
        <f t="shared" si="30"/>
        <v>0.74654999999999994</v>
      </c>
      <c r="H429" s="38">
        <f t="shared" si="31"/>
        <v>81442138.744893178</v>
      </c>
      <c r="I429" s="38">
        <f t="shared" si="32"/>
        <v>-20641510.064893179</v>
      </c>
      <c r="J429" s="38">
        <v>21068334.100703359</v>
      </c>
      <c r="K429" s="38">
        <f t="shared" si="33"/>
        <v>-41709844.165596537</v>
      </c>
      <c r="L429" s="41">
        <f>VLOOKUP(INDICADORES!$B$21,'DATOS GENERALES'!$K:$M,3,0)*E429</f>
        <v>413810.6773193492</v>
      </c>
      <c r="M429" s="38">
        <f t="shared" si="34"/>
        <v>-42123654.842915885</v>
      </c>
      <c r="N429" s="36"/>
      <c r="O429" s="36"/>
      <c r="P429" s="36"/>
    </row>
    <row r="430" spans="1:16" x14ac:dyDescent="0.25">
      <c r="A430" s="36">
        <v>1899</v>
      </c>
      <c r="B430" s="37">
        <v>43678</v>
      </c>
      <c r="C430" s="36" t="s">
        <v>212</v>
      </c>
      <c r="D430" s="36"/>
      <c r="E430" s="38">
        <v>64680316.519999996</v>
      </c>
      <c r="F430" s="40">
        <f>VLOOKUP(A430,'DATOS GENERALES'!A:B,2,0)</f>
        <v>0.75</v>
      </c>
      <c r="G430" s="36">
        <f t="shared" si="30"/>
        <v>0.74654999999999994</v>
      </c>
      <c r="H430" s="38">
        <f t="shared" si="31"/>
        <v>86638961.248409346</v>
      </c>
      <c r="I430" s="38">
        <f t="shared" si="32"/>
        <v>-21958644.72840935</v>
      </c>
      <c r="J430" s="38">
        <v>22505977.724435486</v>
      </c>
      <c r="K430" s="38">
        <f t="shared" si="33"/>
        <v>-44464622.452844836</v>
      </c>
      <c r="L430" s="41">
        <f>VLOOKUP(INDICADORES!$B$21,'DATOS GENERALES'!$K:$M,3,0)*E430</f>
        <v>440215.93476015172</v>
      </c>
      <c r="M430" s="38">
        <f t="shared" si="34"/>
        <v>-44904838.387604989</v>
      </c>
      <c r="N430" s="36"/>
      <c r="O430" s="36"/>
      <c r="P430" s="36"/>
    </row>
    <row r="431" spans="1:16" x14ac:dyDescent="0.25">
      <c r="A431" s="36">
        <v>1899</v>
      </c>
      <c r="B431" s="37">
        <v>43709</v>
      </c>
      <c r="C431" s="36" t="s">
        <v>212</v>
      </c>
      <c r="D431" s="36"/>
      <c r="E431" s="38">
        <v>64680316.519999996</v>
      </c>
      <c r="F431" s="40">
        <f>VLOOKUP(A431,'DATOS GENERALES'!A:B,2,0)</f>
        <v>0.75</v>
      </c>
      <c r="G431" s="36">
        <f t="shared" si="30"/>
        <v>0.74654999999999994</v>
      </c>
      <c r="H431" s="38">
        <f t="shared" si="31"/>
        <v>86638961.248409346</v>
      </c>
      <c r="I431" s="38">
        <f t="shared" si="32"/>
        <v>-21958644.72840935</v>
      </c>
      <c r="J431" s="38">
        <v>24841225.706857946</v>
      </c>
      <c r="K431" s="38">
        <f t="shared" si="33"/>
        <v>-46799870.435267299</v>
      </c>
      <c r="L431" s="41">
        <f>VLOOKUP(INDICADORES!$B$21,'DATOS GENERALES'!$K:$M,3,0)*E431</f>
        <v>440215.93476015172</v>
      </c>
      <c r="M431" s="38">
        <f t="shared" si="34"/>
        <v>-47240086.370027453</v>
      </c>
      <c r="N431" s="36"/>
      <c r="O431" s="36"/>
      <c r="P431" s="36"/>
    </row>
    <row r="432" spans="1:16" x14ac:dyDescent="0.25">
      <c r="A432" s="36">
        <v>1899</v>
      </c>
      <c r="B432" s="37">
        <v>43739</v>
      </c>
      <c r="C432" s="36" t="s">
        <v>212</v>
      </c>
      <c r="D432" s="36"/>
      <c r="E432" s="38">
        <v>60757039.519999996</v>
      </c>
      <c r="F432" s="40">
        <f>VLOOKUP(A432,'DATOS GENERALES'!A:B,2,0)</f>
        <v>0.75</v>
      </c>
      <c r="G432" s="36">
        <f t="shared" si="30"/>
        <v>0.74654999999999994</v>
      </c>
      <c r="H432" s="38">
        <f t="shared" si="31"/>
        <v>81383751.282566473</v>
      </c>
      <c r="I432" s="38">
        <f t="shared" si="32"/>
        <v>-20626711.762566477</v>
      </c>
      <c r="J432" s="38">
        <v>25323550.010208219</v>
      </c>
      <c r="K432" s="38">
        <f t="shared" si="33"/>
        <v>-45950261.772774696</v>
      </c>
      <c r="L432" s="41">
        <f>VLOOKUP(INDICADORES!$B$21,'DATOS GENERALES'!$K:$M,3,0)*E432</f>
        <v>413514.00835037656</v>
      </c>
      <c r="M432" s="38">
        <f t="shared" si="34"/>
        <v>-46363775.781125076</v>
      </c>
      <c r="N432" s="36"/>
      <c r="O432" s="36"/>
      <c r="P432" s="36"/>
    </row>
    <row r="433" spans="1:16" x14ac:dyDescent="0.25">
      <c r="A433" s="36">
        <v>1899</v>
      </c>
      <c r="B433" s="37">
        <v>43770</v>
      </c>
      <c r="C433" s="36" t="s">
        <v>212</v>
      </c>
      <c r="D433" s="36"/>
      <c r="E433" s="38">
        <v>60757039.519999996</v>
      </c>
      <c r="F433" s="40">
        <f>VLOOKUP(A433,'DATOS GENERALES'!A:B,2,0)</f>
        <v>0.75</v>
      </c>
      <c r="G433" s="36">
        <f t="shared" si="30"/>
        <v>0.74654999999999994</v>
      </c>
      <c r="H433" s="38">
        <f t="shared" si="31"/>
        <v>81383751.282566473</v>
      </c>
      <c r="I433" s="38">
        <f t="shared" si="32"/>
        <v>-20626711.762566477</v>
      </c>
      <c r="J433" s="38">
        <v>33232005.629964478</v>
      </c>
      <c r="K433" s="38">
        <f t="shared" si="33"/>
        <v>-53858717.392530955</v>
      </c>
      <c r="L433" s="41">
        <f>VLOOKUP(INDICADORES!$B$21,'DATOS GENERALES'!$K:$M,3,0)*E433</f>
        <v>413514.00835037656</v>
      </c>
      <c r="M433" s="38">
        <f t="shared" si="34"/>
        <v>-54272231.400881335</v>
      </c>
      <c r="N433" s="36"/>
      <c r="O433" s="36"/>
      <c r="P433" s="36"/>
    </row>
    <row r="434" spans="1:16" x14ac:dyDescent="0.25">
      <c r="A434" s="36">
        <v>1899</v>
      </c>
      <c r="B434" s="37">
        <v>43800</v>
      </c>
      <c r="C434" s="36" t="s">
        <v>212</v>
      </c>
      <c r="D434" s="36"/>
      <c r="E434" s="38">
        <v>60757039.519999996</v>
      </c>
      <c r="F434" s="40">
        <f>VLOOKUP(A434,'DATOS GENERALES'!A:B,2,0)</f>
        <v>0.75</v>
      </c>
      <c r="G434" s="36">
        <f t="shared" si="30"/>
        <v>0.74654999999999994</v>
      </c>
      <c r="H434" s="38">
        <f t="shared" si="31"/>
        <v>81383751.282566473</v>
      </c>
      <c r="I434" s="38">
        <f t="shared" si="32"/>
        <v>-20626711.762566477</v>
      </c>
      <c r="J434" s="38">
        <v>28664250.929005306</v>
      </c>
      <c r="K434" s="38">
        <f t="shared" si="33"/>
        <v>-49290962.691571787</v>
      </c>
      <c r="L434" s="41">
        <f>VLOOKUP(INDICADORES!$B$21,'DATOS GENERALES'!$K:$M,3,0)*E434</f>
        <v>413514.00835037656</v>
      </c>
      <c r="M434" s="38">
        <f t="shared" si="34"/>
        <v>-49704476.699922167</v>
      </c>
      <c r="N434" s="36"/>
      <c r="O434" s="36"/>
      <c r="P434" s="36"/>
    </row>
    <row r="435" spans="1:16" x14ac:dyDescent="0.25">
      <c r="A435" s="36">
        <v>1899</v>
      </c>
      <c r="B435" s="37">
        <v>43831</v>
      </c>
      <c r="C435" s="36" t="s">
        <v>212</v>
      </c>
      <c r="D435" s="36"/>
      <c r="E435" s="38">
        <v>60757039.519999996</v>
      </c>
      <c r="F435" s="40">
        <f>VLOOKUP(A435,'DATOS GENERALES'!A:B,2,0)</f>
        <v>0.75</v>
      </c>
      <c r="G435" s="36">
        <f t="shared" si="30"/>
        <v>0.74654999999999994</v>
      </c>
      <c r="H435" s="38">
        <f t="shared" si="31"/>
        <v>81383751.282566473</v>
      </c>
      <c r="I435" s="38">
        <f t="shared" si="32"/>
        <v>-20626711.762566477</v>
      </c>
      <c r="J435" s="38" t="s">
        <v>213</v>
      </c>
      <c r="K435" s="38" t="str">
        <f t="shared" si="33"/>
        <v/>
      </c>
      <c r="L435" s="41">
        <f>VLOOKUP(INDICADORES!$B$21,'DATOS GENERALES'!$K:$M,3,0)*E435</f>
        <v>413514.00835037656</v>
      </c>
      <c r="M435" s="38" t="str">
        <f t="shared" si="34"/>
        <v/>
      </c>
      <c r="N435" s="36"/>
      <c r="O435" s="36"/>
      <c r="P435" s="36"/>
    </row>
    <row r="436" spans="1:16" x14ac:dyDescent="0.25">
      <c r="A436" s="36">
        <v>1899</v>
      </c>
      <c r="B436" s="37">
        <v>43862</v>
      </c>
      <c r="C436" s="36" t="s">
        <v>212</v>
      </c>
      <c r="D436" s="36"/>
      <c r="E436" s="38">
        <v>60757039.519999996</v>
      </c>
      <c r="F436" s="40">
        <f>VLOOKUP(A436,'DATOS GENERALES'!A:B,2,0)</f>
        <v>0.75</v>
      </c>
      <c r="G436" s="36">
        <f t="shared" si="30"/>
        <v>0.74654999999999994</v>
      </c>
      <c r="H436" s="38">
        <f t="shared" si="31"/>
        <v>81383751.282566473</v>
      </c>
      <c r="I436" s="38">
        <f t="shared" si="32"/>
        <v>-20626711.762566477</v>
      </c>
      <c r="J436" s="38" t="s">
        <v>213</v>
      </c>
      <c r="K436" s="38" t="str">
        <f t="shared" si="33"/>
        <v/>
      </c>
      <c r="L436" s="41">
        <f>VLOOKUP(INDICADORES!$B$21,'DATOS GENERALES'!$K:$M,3,0)*E436</f>
        <v>413514.00835037656</v>
      </c>
      <c r="M436" s="38" t="str">
        <f t="shared" si="34"/>
        <v/>
      </c>
      <c r="N436" s="36"/>
      <c r="O436" s="36"/>
      <c r="P436" s="36"/>
    </row>
    <row r="437" spans="1:16" x14ac:dyDescent="0.25">
      <c r="A437" s="36">
        <v>1899</v>
      </c>
      <c r="B437" s="37">
        <v>43891</v>
      </c>
      <c r="C437" s="36" t="s">
        <v>212</v>
      </c>
      <c r="D437" s="36"/>
      <c r="E437" s="38">
        <v>54757039.519999996</v>
      </c>
      <c r="F437" s="40">
        <f>VLOOKUP(A437,'DATOS GENERALES'!A:B,2,0)</f>
        <v>0.75</v>
      </c>
      <c r="G437" s="36">
        <f t="shared" si="30"/>
        <v>0.74654999999999994</v>
      </c>
      <c r="H437" s="38">
        <f t="shared" si="31"/>
        <v>73346781.220279962</v>
      </c>
      <c r="I437" s="38">
        <f t="shared" si="32"/>
        <v>-18589741.700279966</v>
      </c>
      <c r="J437" s="38" t="s">
        <v>213</v>
      </c>
      <c r="K437" s="38" t="str">
        <f t="shared" si="33"/>
        <v/>
      </c>
      <c r="L437" s="41">
        <f>VLOOKUP(INDICADORES!$B$21,'DATOS GENERALES'!$K:$M,3,0)*E437</f>
        <v>372677.8506030009</v>
      </c>
      <c r="M437" s="38" t="str">
        <f t="shared" si="34"/>
        <v/>
      </c>
      <c r="N437" s="36"/>
      <c r="O437" s="36"/>
      <c r="P437" s="36"/>
    </row>
    <row r="438" spans="1:16" x14ac:dyDescent="0.25">
      <c r="A438" s="36">
        <v>1899</v>
      </c>
      <c r="B438" s="37">
        <v>43922</v>
      </c>
      <c r="C438" s="36" t="s">
        <v>212</v>
      </c>
      <c r="D438" s="36"/>
      <c r="E438" s="38">
        <v>54757039.519999996</v>
      </c>
      <c r="F438" s="40">
        <f>VLOOKUP(A438,'DATOS GENERALES'!A:B,2,0)</f>
        <v>0.75</v>
      </c>
      <c r="G438" s="36">
        <f t="shared" si="30"/>
        <v>0.74654999999999994</v>
      </c>
      <c r="H438" s="38">
        <f t="shared" si="31"/>
        <v>73346781.220279962</v>
      </c>
      <c r="I438" s="38">
        <f t="shared" si="32"/>
        <v>-18589741.700279966</v>
      </c>
      <c r="J438" s="38" t="s">
        <v>213</v>
      </c>
      <c r="K438" s="38" t="str">
        <f t="shared" si="33"/>
        <v/>
      </c>
      <c r="L438" s="41">
        <f>VLOOKUP(INDICADORES!$B$21,'DATOS GENERALES'!$K:$M,3,0)*E438</f>
        <v>372677.8506030009</v>
      </c>
      <c r="M438" s="38" t="str">
        <f t="shared" si="34"/>
        <v/>
      </c>
      <c r="N438" s="36"/>
      <c r="O438" s="36"/>
      <c r="P438" s="36"/>
    </row>
    <row r="439" spans="1:16" x14ac:dyDescent="0.25">
      <c r="A439" s="36">
        <v>1899</v>
      </c>
      <c r="B439" s="37">
        <v>43952</v>
      </c>
      <c r="C439" s="36" t="s">
        <v>212</v>
      </c>
      <c r="D439" s="36"/>
      <c r="E439" s="38">
        <v>48757039.519999996</v>
      </c>
      <c r="F439" s="40">
        <f>VLOOKUP(A439,'DATOS GENERALES'!A:B,2,0)</f>
        <v>0.75</v>
      </c>
      <c r="G439" s="36">
        <f t="shared" si="30"/>
        <v>0.74654999999999994</v>
      </c>
      <c r="H439" s="38">
        <f t="shared" si="31"/>
        <v>65309811.157993436</v>
      </c>
      <c r="I439" s="38">
        <f t="shared" si="32"/>
        <v>-16552771.63799344</v>
      </c>
      <c r="J439" s="38" t="s">
        <v>213</v>
      </c>
      <c r="K439" s="38" t="str">
        <f t="shared" si="33"/>
        <v/>
      </c>
      <c r="L439" s="41">
        <f>VLOOKUP(INDICADORES!$B$21,'DATOS GENERALES'!$K:$M,3,0)*E439</f>
        <v>331841.69285562518</v>
      </c>
      <c r="M439" s="38" t="str">
        <f t="shared" si="34"/>
        <v/>
      </c>
      <c r="N439" s="36"/>
      <c r="O439" s="36"/>
      <c r="P439" s="36"/>
    </row>
    <row r="440" spans="1:16" x14ac:dyDescent="0.25">
      <c r="A440" s="36">
        <v>1899</v>
      </c>
      <c r="B440" s="37">
        <v>43983</v>
      </c>
      <c r="C440" s="36" t="s">
        <v>212</v>
      </c>
      <c r="D440" s="36"/>
      <c r="E440" s="38">
        <v>48757039.519999996</v>
      </c>
      <c r="F440" s="40">
        <f>VLOOKUP(A440,'DATOS GENERALES'!A:B,2,0)</f>
        <v>0.75</v>
      </c>
      <c r="G440" s="36">
        <f t="shared" si="30"/>
        <v>0.74654999999999994</v>
      </c>
      <c r="H440" s="38">
        <f t="shared" si="31"/>
        <v>65309811.157993436</v>
      </c>
      <c r="I440" s="38">
        <f t="shared" si="32"/>
        <v>-16552771.63799344</v>
      </c>
      <c r="J440" s="38" t="s">
        <v>213</v>
      </c>
      <c r="K440" s="38" t="str">
        <f t="shared" si="33"/>
        <v/>
      </c>
      <c r="L440" s="41">
        <f>VLOOKUP(INDICADORES!$B$21,'DATOS GENERALES'!$K:$M,3,0)*E440</f>
        <v>331841.69285562518</v>
      </c>
      <c r="M440" s="38" t="str">
        <f t="shared" si="34"/>
        <v/>
      </c>
      <c r="N440" s="36"/>
      <c r="O440" s="36"/>
      <c r="P440" s="36"/>
    </row>
    <row r="441" spans="1:16" x14ac:dyDescent="0.25">
      <c r="A441" s="36">
        <v>1899</v>
      </c>
      <c r="B441" s="37">
        <v>44013</v>
      </c>
      <c r="C441" s="36" t="s">
        <v>212</v>
      </c>
      <c r="D441" s="36"/>
      <c r="E441" s="38">
        <v>48757039.519999996</v>
      </c>
      <c r="F441" s="40">
        <f>VLOOKUP(A441,'DATOS GENERALES'!A:B,2,0)</f>
        <v>0.75</v>
      </c>
      <c r="G441" s="36">
        <f t="shared" si="30"/>
        <v>0.74654999999999994</v>
      </c>
      <c r="H441" s="38">
        <f t="shared" si="31"/>
        <v>65309811.157993436</v>
      </c>
      <c r="I441" s="38">
        <f t="shared" si="32"/>
        <v>-16552771.63799344</v>
      </c>
      <c r="J441" s="38" t="s">
        <v>213</v>
      </c>
      <c r="K441" s="38" t="str">
        <f t="shared" si="33"/>
        <v/>
      </c>
      <c r="L441" s="41">
        <f>VLOOKUP(INDICADORES!$B$21,'DATOS GENERALES'!$K:$M,3,0)*E441</f>
        <v>331841.69285562518</v>
      </c>
      <c r="M441" s="38" t="str">
        <f t="shared" si="34"/>
        <v/>
      </c>
      <c r="N441" s="36"/>
      <c r="O441" s="36"/>
      <c r="P441" s="36"/>
    </row>
    <row r="442" spans="1:16" x14ac:dyDescent="0.25">
      <c r="A442" s="36">
        <v>1899</v>
      </c>
      <c r="B442" s="37">
        <v>44044</v>
      </c>
      <c r="C442" s="36" t="s">
        <v>212</v>
      </c>
      <c r="D442" s="36"/>
      <c r="E442" s="38">
        <v>48757039.519999996</v>
      </c>
      <c r="F442" s="40">
        <f>VLOOKUP(A442,'DATOS GENERALES'!A:B,2,0)</f>
        <v>0.75</v>
      </c>
      <c r="G442" s="36">
        <f t="shared" si="30"/>
        <v>0.74654999999999994</v>
      </c>
      <c r="H442" s="38">
        <f t="shared" si="31"/>
        <v>65309811.157993436</v>
      </c>
      <c r="I442" s="38">
        <f t="shared" si="32"/>
        <v>-16552771.63799344</v>
      </c>
      <c r="J442" s="38" t="s">
        <v>213</v>
      </c>
      <c r="K442" s="38" t="str">
        <f t="shared" si="33"/>
        <v/>
      </c>
      <c r="L442" s="41">
        <f>VLOOKUP(INDICADORES!$B$21,'DATOS GENERALES'!$K:$M,3,0)*E442</f>
        <v>331841.69285562518</v>
      </c>
      <c r="M442" s="38" t="str">
        <f t="shared" si="34"/>
        <v/>
      </c>
      <c r="N442" s="36"/>
      <c r="O442" s="36"/>
      <c r="P442" s="36"/>
    </row>
    <row r="443" spans="1:16" x14ac:dyDescent="0.25">
      <c r="A443" s="36">
        <v>1899</v>
      </c>
      <c r="B443" s="37">
        <v>44075</v>
      </c>
      <c r="C443" s="36" t="s">
        <v>212</v>
      </c>
      <c r="D443" s="36"/>
      <c r="E443" s="38">
        <v>48757039.519999996</v>
      </c>
      <c r="F443" s="40">
        <f>VLOOKUP(A443,'DATOS GENERALES'!A:B,2,0)</f>
        <v>0.75</v>
      </c>
      <c r="G443" s="36">
        <f t="shared" si="30"/>
        <v>0.74654999999999994</v>
      </c>
      <c r="H443" s="38">
        <f t="shared" si="31"/>
        <v>65309811.157993436</v>
      </c>
      <c r="I443" s="38">
        <f t="shared" si="32"/>
        <v>-16552771.63799344</v>
      </c>
      <c r="J443" s="38" t="s">
        <v>213</v>
      </c>
      <c r="K443" s="38" t="str">
        <f t="shared" si="33"/>
        <v/>
      </c>
      <c r="L443" s="41">
        <f>VLOOKUP(INDICADORES!$B$21,'DATOS GENERALES'!$K:$M,3,0)*E443</f>
        <v>331841.69285562518</v>
      </c>
      <c r="M443" s="38" t="str">
        <f t="shared" si="34"/>
        <v/>
      </c>
      <c r="N443" s="36"/>
      <c r="O443" s="36"/>
      <c r="P443" s="36"/>
    </row>
    <row r="444" spans="1:16" x14ac:dyDescent="0.25">
      <c r="A444" s="36">
        <v>1899</v>
      </c>
      <c r="B444" s="37">
        <v>44105</v>
      </c>
      <c r="C444" s="36" t="s">
        <v>212</v>
      </c>
      <c r="D444" s="36"/>
      <c r="E444" s="38">
        <v>48757039.519999996</v>
      </c>
      <c r="F444" s="40">
        <f>VLOOKUP(A444,'DATOS GENERALES'!A:B,2,0)</f>
        <v>0.75</v>
      </c>
      <c r="G444" s="36">
        <f t="shared" si="30"/>
        <v>0.74654999999999994</v>
      </c>
      <c r="H444" s="38">
        <f t="shared" si="31"/>
        <v>65309811.157993436</v>
      </c>
      <c r="I444" s="38">
        <f t="shared" si="32"/>
        <v>-16552771.63799344</v>
      </c>
      <c r="J444" s="38" t="s">
        <v>213</v>
      </c>
      <c r="K444" s="38" t="str">
        <f t="shared" si="33"/>
        <v/>
      </c>
      <c r="L444" s="41">
        <f>VLOOKUP(INDICADORES!$B$21,'DATOS GENERALES'!$K:$M,3,0)*E444</f>
        <v>331841.69285562518</v>
      </c>
      <c r="M444" s="38" t="str">
        <f t="shared" si="34"/>
        <v/>
      </c>
      <c r="N444" s="36"/>
      <c r="O444" s="36"/>
      <c r="P444" s="36"/>
    </row>
    <row r="445" spans="1:16" x14ac:dyDescent="0.25">
      <c r="A445" s="36">
        <v>1899</v>
      </c>
      <c r="B445" s="37">
        <v>44136</v>
      </c>
      <c r="C445" s="36" t="s">
        <v>212</v>
      </c>
      <c r="D445" s="36"/>
      <c r="E445" s="38">
        <v>44678689.519999996</v>
      </c>
      <c r="F445" s="40">
        <f>VLOOKUP(A445,'DATOS GENERALES'!A:B,2,0)</f>
        <v>0.75</v>
      </c>
      <c r="G445" s="36">
        <f t="shared" si="30"/>
        <v>0.74654999999999994</v>
      </c>
      <c r="H445" s="38">
        <f t="shared" si="31"/>
        <v>59846881.682405733</v>
      </c>
      <c r="I445" s="38">
        <f t="shared" si="32"/>
        <v>-15168192.162405737</v>
      </c>
      <c r="J445" s="38" t="s">
        <v>213</v>
      </c>
      <c r="K445" s="38" t="str">
        <f t="shared" si="33"/>
        <v/>
      </c>
      <c r="L445" s="41">
        <f>VLOOKUP(INDICADORES!$B$21,'DATOS GENERALES'!$K:$M,3,0)*E445</f>
        <v>304084.33553079021</v>
      </c>
      <c r="M445" s="38" t="str">
        <f t="shared" si="34"/>
        <v/>
      </c>
      <c r="N445" s="36"/>
      <c r="O445" s="36"/>
      <c r="P445" s="36"/>
    </row>
    <row r="446" spans="1:16" x14ac:dyDescent="0.25">
      <c r="A446" s="36">
        <v>1899</v>
      </c>
      <c r="B446" s="37">
        <v>44166</v>
      </c>
      <c r="C446" s="36" t="s">
        <v>212</v>
      </c>
      <c r="D446" s="36"/>
      <c r="E446" s="38">
        <v>44678689.519999996</v>
      </c>
      <c r="F446" s="40">
        <f>VLOOKUP(A446,'DATOS GENERALES'!A:B,2,0)</f>
        <v>0.75</v>
      </c>
      <c r="G446" s="36">
        <f t="shared" si="30"/>
        <v>0.74654999999999994</v>
      </c>
      <c r="H446" s="38">
        <f t="shared" si="31"/>
        <v>59846881.682405733</v>
      </c>
      <c r="I446" s="38">
        <f t="shared" si="32"/>
        <v>-15168192.162405737</v>
      </c>
      <c r="J446" s="38" t="s">
        <v>213</v>
      </c>
      <c r="K446" s="38" t="str">
        <f t="shared" si="33"/>
        <v/>
      </c>
      <c r="L446" s="41">
        <f>VLOOKUP(INDICADORES!$B$21,'DATOS GENERALES'!$K:$M,3,0)*E446</f>
        <v>304084.33553079021</v>
      </c>
      <c r="M446" s="38" t="str">
        <f t="shared" si="34"/>
        <v/>
      </c>
      <c r="N446" s="36"/>
      <c r="O446" s="36"/>
      <c r="P446" s="36"/>
    </row>
    <row r="447" spans="1:16" x14ac:dyDescent="0.25">
      <c r="A447" s="36">
        <v>1899</v>
      </c>
      <c r="B447" s="37">
        <v>44197</v>
      </c>
      <c r="C447" s="36" t="s">
        <v>212</v>
      </c>
      <c r="D447" s="36"/>
      <c r="E447" s="38">
        <v>44678689.519999996</v>
      </c>
      <c r="F447" s="40">
        <f>VLOOKUP(A447,'DATOS GENERALES'!A:B,2,0)</f>
        <v>0.75</v>
      </c>
      <c r="G447" s="36">
        <f t="shared" si="30"/>
        <v>0.74654999999999994</v>
      </c>
      <c r="H447" s="38">
        <f t="shared" si="31"/>
        <v>59846881.682405733</v>
      </c>
      <c r="I447" s="38">
        <f t="shared" si="32"/>
        <v>-15168192.162405737</v>
      </c>
      <c r="J447" s="38" t="s">
        <v>213</v>
      </c>
      <c r="K447" s="38" t="str">
        <f t="shared" si="33"/>
        <v/>
      </c>
      <c r="L447" s="41">
        <f>VLOOKUP(INDICADORES!$B$21,'DATOS GENERALES'!$K:$M,3,0)*E447</f>
        <v>304084.33553079021</v>
      </c>
      <c r="M447" s="38" t="str">
        <f t="shared" si="34"/>
        <v/>
      </c>
      <c r="N447" s="36"/>
      <c r="O447" s="36"/>
      <c r="P447" s="36"/>
    </row>
    <row r="448" spans="1:16" x14ac:dyDescent="0.25">
      <c r="A448" s="36">
        <v>1899</v>
      </c>
      <c r="B448" s="37">
        <v>44228</v>
      </c>
      <c r="C448" s="36" t="s">
        <v>212</v>
      </c>
      <c r="D448" s="36"/>
      <c r="E448" s="38">
        <v>44678689.519999996</v>
      </c>
      <c r="F448" s="40">
        <f>VLOOKUP(A448,'DATOS GENERALES'!A:B,2,0)</f>
        <v>0.75</v>
      </c>
      <c r="G448" s="36">
        <f t="shared" si="30"/>
        <v>0.74654999999999994</v>
      </c>
      <c r="H448" s="38">
        <f t="shared" si="31"/>
        <v>59846881.682405733</v>
      </c>
      <c r="I448" s="38">
        <f t="shared" si="32"/>
        <v>-15168192.162405737</v>
      </c>
      <c r="J448" s="38" t="s">
        <v>213</v>
      </c>
      <c r="K448" s="38" t="str">
        <f t="shared" si="33"/>
        <v/>
      </c>
      <c r="L448" s="41">
        <f>VLOOKUP(INDICADORES!$B$21,'DATOS GENERALES'!$K:$M,3,0)*E448</f>
        <v>304084.33553079021</v>
      </c>
      <c r="M448" s="38" t="str">
        <f t="shared" si="34"/>
        <v/>
      </c>
      <c r="N448" s="36"/>
      <c r="O448" s="36"/>
      <c r="P448" s="36"/>
    </row>
    <row r="449" spans="1:16" x14ac:dyDescent="0.25">
      <c r="A449" s="36">
        <v>1899</v>
      </c>
      <c r="B449" s="37">
        <v>44256</v>
      </c>
      <c r="C449" s="36" t="s">
        <v>212</v>
      </c>
      <c r="D449" s="36"/>
      <c r="E449" s="38">
        <v>40862689.519999996</v>
      </c>
      <c r="F449" s="40">
        <f>VLOOKUP(A449,'DATOS GENERALES'!A:B,2,0)</f>
        <v>0.75</v>
      </c>
      <c r="G449" s="36">
        <f t="shared" si="30"/>
        <v>0.74654999999999994</v>
      </c>
      <c r="H449" s="38">
        <f t="shared" si="31"/>
        <v>54735368.722791508</v>
      </c>
      <c r="I449" s="38">
        <f t="shared" si="32"/>
        <v>-13872679.202791512</v>
      </c>
      <c r="J449" s="38" t="s">
        <v>213</v>
      </c>
      <c r="K449" s="38" t="str">
        <f t="shared" si="33"/>
        <v/>
      </c>
      <c r="L449" s="41">
        <f>VLOOKUP(INDICADORES!$B$21,'DATOS GENERALES'!$K:$M,3,0)*E449</f>
        <v>278112.53920345928</v>
      </c>
      <c r="M449" s="38" t="str">
        <f t="shared" si="34"/>
        <v/>
      </c>
      <c r="N449" s="36"/>
      <c r="O449" s="36"/>
      <c r="P449" s="36"/>
    </row>
    <row r="450" spans="1:16" x14ac:dyDescent="0.25">
      <c r="A450" s="36">
        <v>1900</v>
      </c>
      <c r="B450" s="37">
        <v>43556</v>
      </c>
      <c r="C450" s="36" t="s">
        <v>212</v>
      </c>
      <c r="D450" s="36"/>
      <c r="E450" s="38">
        <v>89776746.567000002</v>
      </c>
      <c r="F450" s="40">
        <f>VLOOKUP(A450,'DATOS GENERALES'!A:B,2,0)</f>
        <v>1</v>
      </c>
      <c r="G450" s="36">
        <f t="shared" si="30"/>
        <v>0.99539999999999995</v>
      </c>
      <c r="H450" s="38">
        <f t="shared" si="31"/>
        <v>90191628.05605787</v>
      </c>
      <c r="I450" s="38">
        <f t="shared" si="32"/>
        <v>-414881.48905786872</v>
      </c>
      <c r="J450" s="38">
        <v>14500843.906253565</v>
      </c>
      <c r="K450" s="38">
        <f t="shared" si="33"/>
        <v>-14915725.395311434</v>
      </c>
      <c r="L450" s="41">
        <f>VLOOKUP(INDICADORES!$B$21,'DATOS GENERALES'!$K:$M,3,0)*E450</f>
        <v>611022.89747603028</v>
      </c>
      <c r="M450" s="38">
        <f t="shared" si="34"/>
        <v>-15526748.292787464</v>
      </c>
      <c r="N450" s="36"/>
      <c r="O450" s="36"/>
      <c r="P450" s="36"/>
    </row>
    <row r="451" spans="1:16" x14ac:dyDescent="0.25">
      <c r="A451" s="36">
        <v>1900</v>
      </c>
      <c r="B451" s="37">
        <v>43586</v>
      </c>
      <c r="C451" s="36" t="s">
        <v>212</v>
      </c>
      <c r="D451" s="36"/>
      <c r="E451" s="38">
        <v>68117355.567000002</v>
      </c>
      <c r="F451" s="40">
        <f>VLOOKUP(A451,'DATOS GENERALES'!A:B,2,0)</f>
        <v>1</v>
      </c>
      <c r="G451" s="36">
        <f t="shared" ref="G451:G514" si="35">F451*0.9954</f>
        <v>0.99539999999999995</v>
      </c>
      <c r="H451" s="38">
        <f t="shared" ref="H451:H514" si="36">E451/G451</f>
        <v>68432143.426763117</v>
      </c>
      <c r="I451" s="38">
        <f t="shared" ref="I451:I514" si="37">E451-H451</f>
        <v>-314787.85976311564</v>
      </c>
      <c r="J451" s="38">
        <v>9076205.6277077552</v>
      </c>
      <c r="K451" s="38">
        <f t="shared" ref="K451:K514" si="38">IFERROR(I451-J451,"")</f>
        <v>-9390993.4874708708</v>
      </c>
      <c r="L451" s="41">
        <f>VLOOKUP(INDICADORES!$B$21,'DATOS GENERALES'!$K:$M,3,0)*E451</f>
        <v>463608.5128780154</v>
      </c>
      <c r="M451" s="38">
        <f t="shared" ref="M451:M514" si="39">IFERROR(K451-L451,"")</f>
        <v>-9854602.0003488865</v>
      </c>
      <c r="N451" s="36"/>
      <c r="O451" s="36"/>
      <c r="P451" s="36"/>
    </row>
    <row r="452" spans="1:16" x14ac:dyDescent="0.25">
      <c r="A452" s="36">
        <v>1900</v>
      </c>
      <c r="B452" s="37">
        <v>43617</v>
      </c>
      <c r="C452" s="36" t="s">
        <v>212</v>
      </c>
      <c r="D452" s="36"/>
      <c r="E452" s="38">
        <v>68117355.567000002</v>
      </c>
      <c r="F452" s="40">
        <f>VLOOKUP(A452,'DATOS GENERALES'!A:B,2,0)</f>
        <v>1</v>
      </c>
      <c r="G452" s="36">
        <f t="shared" si="35"/>
        <v>0.99539999999999995</v>
      </c>
      <c r="H452" s="38">
        <f t="shared" si="36"/>
        <v>68432143.426763117</v>
      </c>
      <c r="I452" s="38">
        <f t="shared" si="37"/>
        <v>-314787.85976311564</v>
      </c>
      <c r="J452" s="38">
        <v>10194406.721496308</v>
      </c>
      <c r="K452" s="38">
        <f t="shared" si="38"/>
        <v>-10509194.581259424</v>
      </c>
      <c r="L452" s="41">
        <f>VLOOKUP(INDICADORES!$B$21,'DATOS GENERALES'!$K:$M,3,0)*E452</f>
        <v>463608.5128780154</v>
      </c>
      <c r="M452" s="38">
        <f t="shared" si="39"/>
        <v>-10972803.09413744</v>
      </c>
      <c r="N452" s="36"/>
      <c r="O452" s="36"/>
      <c r="P452" s="36"/>
    </row>
    <row r="453" spans="1:16" x14ac:dyDescent="0.25">
      <c r="A453" s="36">
        <v>1900</v>
      </c>
      <c r="B453" s="37">
        <v>43647</v>
      </c>
      <c r="C453" s="36" t="s">
        <v>212</v>
      </c>
      <c r="D453" s="36"/>
      <c r="E453" s="38">
        <v>62912767.068000004</v>
      </c>
      <c r="F453" s="40">
        <f>VLOOKUP(A453,'DATOS GENERALES'!A:B,2,0)</f>
        <v>1</v>
      </c>
      <c r="G453" s="36">
        <f t="shared" si="35"/>
        <v>0.99539999999999995</v>
      </c>
      <c r="H453" s="38">
        <f t="shared" si="36"/>
        <v>63203503.18264015</v>
      </c>
      <c r="I453" s="38">
        <f t="shared" si="37"/>
        <v>-290736.11464014649</v>
      </c>
      <c r="J453" s="38">
        <v>16350166.411490859</v>
      </c>
      <c r="K453" s="38">
        <f t="shared" si="38"/>
        <v>-16640902.526131006</v>
      </c>
      <c r="L453" s="41">
        <f>VLOOKUP(INDICADORES!$B$21,'DATOS GENERALES'!$K:$M,3,0)*E453</f>
        <v>428185.94671879185</v>
      </c>
      <c r="M453" s="38">
        <f t="shared" si="39"/>
        <v>-17069088.472849797</v>
      </c>
      <c r="N453" s="36"/>
      <c r="O453" s="36"/>
      <c r="P453" s="36"/>
    </row>
    <row r="454" spans="1:16" x14ac:dyDescent="0.25">
      <c r="A454" s="36">
        <v>1900</v>
      </c>
      <c r="B454" s="37">
        <v>43678</v>
      </c>
      <c r="C454" s="36" t="s">
        <v>212</v>
      </c>
      <c r="D454" s="36"/>
      <c r="E454" s="38">
        <v>41200017.068000004</v>
      </c>
      <c r="F454" s="40">
        <f>VLOOKUP(A454,'DATOS GENERALES'!A:B,2,0)</f>
        <v>1</v>
      </c>
      <c r="G454" s="36">
        <f t="shared" si="35"/>
        <v>0.99539999999999995</v>
      </c>
      <c r="H454" s="38">
        <f t="shared" si="36"/>
        <v>41390412.967651203</v>
      </c>
      <c r="I454" s="38">
        <f t="shared" si="37"/>
        <v>-190395.89965119958</v>
      </c>
      <c r="J454" s="38">
        <v>10751879.97215567</v>
      </c>
      <c r="K454" s="38">
        <f t="shared" si="38"/>
        <v>-10942275.871806869</v>
      </c>
      <c r="L454" s="41">
        <f>VLOOKUP(INDICADORES!$B$21,'DATOS GENERALES'!$K:$M,3,0)*E454</f>
        <v>280408.39936390327</v>
      </c>
      <c r="M454" s="38">
        <f t="shared" si="39"/>
        <v>-11222684.271170773</v>
      </c>
      <c r="N454" s="36"/>
      <c r="O454" s="36"/>
      <c r="P454" s="36"/>
    </row>
    <row r="455" spans="1:16" x14ac:dyDescent="0.25">
      <c r="A455" s="36">
        <v>1900</v>
      </c>
      <c r="B455" s="37">
        <v>43709</v>
      </c>
      <c r="C455" s="36" t="s">
        <v>212</v>
      </c>
      <c r="D455" s="36"/>
      <c r="E455" s="38">
        <v>41200017.068000004</v>
      </c>
      <c r="F455" s="40">
        <f>VLOOKUP(A455,'DATOS GENERALES'!A:B,2,0)</f>
        <v>1</v>
      </c>
      <c r="G455" s="36">
        <f t="shared" si="35"/>
        <v>0.99539999999999995</v>
      </c>
      <c r="H455" s="38">
        <f t="shared" si="36"/>
        <v>41390412.967651203</v>
      </c>
      <c r="I455" s="38">
        <f t="shared" si="37"/>
        <v>-190395.89965119958</v>
      </c>
      <c r="J455" s="38">
        <v>11867508.287426064</v>
      </c>
      <c r="K455" s="38">
        <f t="shared" si="38"/>
        <v>-12057904.187077263</v>
      </c>
      <c r="L455" s="41">
        <f>VLOOKUP(INDICADORES!$B$21,'DATOS GENERALES'!$K:$M,3,0)*E455</f>
        <v>280408.39936390327</v>
      </c>
      <c r="M455" s="38">
        <f t="shared" si="39"/>
        <v>-12338312.586441167</v>
      </c>
      <c r="N455" s="36"/>
      <c r="O455" s="36"/>
      <c r="P455" s="36"/>
    </row>
    <row r="456" spans="1:16" x14ac:dyDescent="0.25">
      <c r="A456" s="36">
        <v>1900</v>
      </c>
      <c r="B456" s="37">
        <v>43739</v>
      </c>
      <c r="C456" s="36" t="s">
        <v>212</v>
      </c>
      <c r="D456" s="36"/>
      <c r="E456" s="38">
        <v>41200017.068000004</v>
      </c>
      <c r="F456" s="40">
        <f>VLOOKUP(A456,'DATOS GENERALES'!A:B,2,0)</f>
        <v>1</v>
      </c>
      <c r="G456" s="36">
        <f t="shared" si="35"/>
        <v>0.99539999999999995</v>
      </c>
      <c r="H456" s="38">
        <f t="shared" si="36"/>
        <v>41390412.967651203</v>
      </c>
      <c r="I456" s="38">
        <f t="shared" si="37"/>
        <v>-190395.89965119958</v>
      </c>
      <c r="J456" s="38">
        <v>12879133.441395134</v>
      </c>
      <c r="K456" s="38">
        <f t="shared" si="38"/>
        <v>-13069529.341046333</v>
      </c>
      <c r="L456" s="41">
        <f>VLOOKUP(INDICADORES!$B$21,'DATOS GENERALES'!$K:$M,3,0)*E456</f>
        <v>280408.39936390327</v>
      </c>
      <c r="M456" s="38">
        <f t="shared" si="39"/>
        <v>-13349937.740410237</v>
      </c>
      <c r="N456" s="36"/>
      <c r="O456" s="36"/>
      <c r="P456" s="36"/>
    </row>
    <row r="457" spans="1:16" x14ac:dyDescent="0.25">
      <c r="A457" s="36">
        <v>1900</v>
      </c>
      <c r="B457" s="37">
        <v>43770</v>
      </c>
      <c r="C457" s="36" t="s">
        <v>212</v>
      </c>
      <c r="D457" s="36"/>
      <c r="E457" s="38">
        <v>39238378.568000004</v>
      </c>
      <c r="F457" s="40">
        <f>VLOOKUP(A457,'DATOS GENERALES'!A:B,2,0)</f>
        <v>1</v>
      </c>
      <c r="G457" s="36">
        <f t="shared" si="35"/>
        <v>0.99539999999999995</v>
      </c>
      <c r="H457" s="38">
        <f t="shared" si="36"/>
        <v>39419709.230460122</v>
      </c>
      <c r="I457" s="38">
        <f t="shared" si="37"/>
        <v>-181330.66246011853</v>
      </c>
      <c r="J457" s="38">
        <v>16096530.06200063</v>
      </c>
      <c r="K457" s="38">
        <f t="shared" si="38"/>
        <v>-16277860.724460749</v>
      </c>
      <c r="L457" s="41">
        <f>VLOOKUP(INDICADORES!$B$21,'DATOS GENERALES'!$K:$M,3,0)*E457</f>
        <v>267057.43615901569</v>
      </c>
      <c r="M457" s="38">
        <f t="shared" si="39"/>
        <v>-16544918.160619766</v>
      </c>
      <c r="N457" s="36"/>
      <c r="O457" s="36"/>
      <c r="P457" s="36"/>
    </row>
    <row r="458" spans="1:16" x14ac:dyDescent="0.25">
      <c r="A458" s="36">
        <v>1900</v>
      </c>
      <c r="B458" s="37">
        <v>43800</v>
      </c>
      <c r="C458" s="36" t="s">
        <v>212</v>
      </c>
      <c r="D458" s="36"/>
      <c r="E458" s="38">
        <v>39238378.568000004</v>
      </c>
      <c r="F458" s="40">
        <f>VLOOKUP(A458,'DATOS GENERALES'!A:B,2,0)</f>
        <v>1</v>
      </c>
      <c r="G458" s="36">
        <f t="shared" si="35"/>
        <v>0.99539999999999995</v>
      </c>
      <c r="H458" s="38">
        <f t="shared" si="36"/>
        <v>39419709.230460122</v>
      </c>
      <c r="I458" s="38">
        <f t="shared" si="37"/>
        <v>-181330.66246011853</v>
      </c>
      <c r="J458" s="38">
        <v>13884054.484133663</v>
      </c>
      <c r="K458" s="38">
        <f t="shared" si="38"/>
        <v>-14065385.146593781</v>
      </c>
      <c r="L458" s="41">
        <f>VLOOKUP(INDICADORES!$B$21,'DATOS GENERALES'!$K:$M,3,0)*E458</f>
        <v>267057.43615901569</v>
      </c>
      <c r="M458" s="38">
        <f t="shared" si="39"/>
        <v>-14332442.582752798</v>
      </c>
      <c r="N458" s="36"/>
      <c r="O458" s="36"/>
      <c r="P458" s="36"/>
    </row>
    <row r="459" spans="1:16" x14ac:dyDescent="0.25">
      <c r="A459" s="36">
        <v>1900</v>
      </c>
      <c r="B459" s="37">
        <v>43831</v>
      </c>
      <c r="C459" s="36" t="s">
        <v>212</v>
      </c>
      <c r="D459" s="36"/>
      <c r="E459" s="38">
        <v>34612077.68</v>
      </c>
      <c r="F459" s="40">
        <f>VLOOKUP(A459,'DATOS GENERALES'!A:B,2,0)</f>
        <v>1</v>
      </c>
      <c r="G459" s="36">
        <f t="shared" si="35"/>
        <v>0.99539999999999995</v>
      </c>
      <c r="H459" s="38">
        <f t="shared" si="36"/>
        <v>34772029.013461925</v>
      </c>
      <c r="I459" s="38">
        <f t="shared" si="37"/>
        <v>-159951.33346192539</v>
      </c>
      <c r="J459" s="38" t="s">
        <v>213</v>
      </c>
      <c r="K459" s="38" t="str">
        <f t="shared" si="38"/>
        <v/>
      </c>
      <c r="L459" s="41">
        <f>VLOOKUP(INDICADORES!$B$21,'DATOS GENERALES'!$K:$M,3,0)*E459</f>
        <v>235570.71068415025</v>
      </c>
      <c r="M459" s="38" t="str">
        <f t="shared" si="39"/>
        <v/>
      </c>
      <c r="N459" s="36"/>
      <c r="O459" s="36"/>
      <c r="P459" s="36"/>
    </row>
    <row r="460" spans="1:16" x14ac:dyDescent="0.25">
      <c r="A460" s="36">
        <v>1790</v>
      </c>
      <c r="B460" s="37">
        <v>43556</v>
      </c>
      <c r="C460" s="36" t="s">
        <v>212</v>
      </c>
      <c r="D460" s="36"/>
      <c r="E460" s="38">
        <v>83414508.689999998</v>
      </c>
      <c r="F460" s="40">
        <f>VLOOKUP(A460,'DATOS GENERALES'!A:B,2,0)</f>
        <v>1</v>
      </c>
      <c r="G460" s="36">
        <f t="shared" si="35"/>
        <v>0.99539999999999995</v>
      </c>
      <c r="H460" s="38">
        <f t="shared" si="36"/>
        <v>83799988.637733579</v>
      </c>
      <c r="I460" s="38">
        <f t="shared" si="37"/>
        <v>-385479.94773358107</v>
      </c>
      <c r="J460" s="38">
        <v>13473207.888278918</v>
      </c>
      <c r="K460" s="38">
        <f t="shared" si="38"/>
        <v>-13858687.836012499</v>
      </c>
      <c r="L460" s="41">
        <f>VLOOKUP(INDICADORES!$B$21,'DATOS GENERALES'!$K:$M,3,0)*E460</f>
        <v>567721.33921411354</v>
      </c>
      <c r="M460" s="38">
        <f t="shared" si="39"/>
        <v>-14426409.175226614</v>
      </c>
      <c r="N460" s="36"/>
      <c r="O460" s="36"/>
      <c r="P460" s="36"/>
    </row>
    <row r="461" spans="1:16" x14ac:dyDescent="0.25">
      <c r="A461" s="36">
        <v>1790</v>
      </c>
      <c r="B461" s="37">
        <v>43586</v>
      </c>
      <c r="C461" s="36" t="s">
        <v>212</v>
      </c>
      <c r="D461" s="36"/>
      <c r="E461" s="38">
        <v>83414508.689999998</v>
      </c>
      <c r="F461" s="40">
        <f>VLOOKUP(A461,'DATOS GENERALES'!A:B,2,0)</f>
        <v>1</v>
      </c>
      <c r="G461" s="36">
        <f t="shared" si="35"/>
        <v>0.99539999999999995</v>
      </c>
      <c r="H461" s="38">
        <f t="shared" si="36"/>
        <v>83799988.637733579</v>
      </c>
      <c r="I461" s="38">
        <f t="shared" si="37"/>
        <v>-385479.94773358107</v>
      </c>
      <c r="J461" s="38">
        <v>11114454.266504621</v>
      </c>
      <c r="K461" s="38">
        <f t="shared" si="38"/>
        <v>-11499934.214238202</v>
      </c>
      <c r="L461" s="41">
        <f>VLOOKUP(INDICADORES!$B$21,'DATOS GENERALES'!$K:$M,3,0)*E461</f>
        <v>567721.33921411354</v>
      </c>
      <c r="M461" s="38">
        <f t="shared" si="39"/>
        <v>-12067655.553452317</v>
      </c>
      <c r="N461" s="36"/>
      <c r="O461" s="36"/>
      <c r="P461" s="36"/>
    </row>
    <row r="462" spans="1:16" x14ac:dyDescent="0.25">
      <c r="A462" s="36">
        <v>1790</v>
      </c>
      <c r="B462" s="37">
        <v>43617</v>
      </c>
      <c r="C462" s="36" t="s">
        <v>212</v>
      </c>
      <c r="D462" s="36"/>
      <c r="E462" s="38">
        <v>83414508.689999998</v>
      </c>
      <c r="F462" s="40">
        <f>VLOOKUP(A462,'DATOS GENERALES'!A:B,2,0)</f>
        <v>1</v>
      </c>
      <c r="G462" s="36">
        <f t="shared" si="35"/>
        <v>0.99539999999999995</v>
      </c>
      <c r="H462" s="38">
        <f t="shared" si="36"/>
        <v>83799988.637733579</v>
      </c>
      <c r="I462" s="38">
        <f t="shared" si="37"/>
        <v>-385479.94773358107</v>
      </c>
      <c r="J462" s="38">
        <v>12483770.413301431</v>
      </c>
      <c r="K462" s="38">
        <f t="shared" si="38"/>
        <v>-12869250.361035012</v>
      </c>
      <c r="L462" s="41">
        <f>VLOOKUP(INDICADORES!$B$21,'DATOS GENERALES'!$K:$M,3,0)*E462</f>
        <v>567721.33921411354</v>
      </c>
      <c r="M462" s="38">
        <f t="shared" si="39"/>
        <v>-13436971.700249124</v>
      </c>
      <c r="N462" s="36"/>
      <c r="O462" s="36"/>
      <c r="P462" s="36"/>
    </row>
    <row r="463" spans="1:16" x14ac:dyDescent="0.25">
      <c r="A463" s="36">
        <v>1790</v>
      </c>
      <c r="B463" s="37">
        <v>43647</v>
      </c>
      <c r="C463" s="36" t="s">
        <v>212</v>
      </c>
      <c r="D463" s="36"/>
      <c r="E463" s="38">
        <v>83414508.689999998</v>
      </c>
      <c r="F463" s="40">
        <f>VLOOKUP(A463,'DATOS GENERALES'!A:B,2,0)</f>
        <v>1</v>
      </c>
      <c r="G463" s="36">
        <f t="shared" si="35"/>
        <v>0.99539999999999995</v>
      </c>
      <c r="H463" s="38">
        <f t="shared" si="36"/>
        <v>83799988.637733579</v>
      </c>
      <c r="I463" s="38">
        <f t="shared" si="37"/>
        <v>-385479.94773358107</v>
      </c>
      <c r="J463" s="38">
        <v>21678288.235838152</v>
      </c>
      <c r="K463" s="38">
        <f t="shared" si="38"/>
        <v>-22063768.183571734</v>
      </c>
      <c r="L463" s="41">
        <f>VLOOKUP(INDICADORES!$B$21,'DATOS GENERALES'!$K:$M,3,0)*E463</f>
        <v>567721.33921411354</v>
      </c>
      <c r="M463" s="38">
        <f t="shared" si="39"/>
        <v>-22631489.522785846</v>
      </c>
      <c r="N463" s="36"/>
      <c r="O463" s="36"/>
      <c r="P463" s="36"/>
    </row>
    <row r="464" spans="1:16" x14ac:dyDescent="0.25">
      <c r="A464" s="36">
        <v>1790</v>
      </c>
      <c r="B464" s="37">
        <v>43678</v>
      </c>
      <c r="C464" s="36" t="s">
        <v>212</v>
      </c>
      <c r="D464" s="36"/>
      <c r="E464" s="38">
        <v>82688276.189999998</v>
      </c>
      <c r="F464" s="40">
        <f>VLOOKUP(A464,'DATOS GENERALES'!A:B,2,0)</f>
        <v>1</v>
      </c>
      <c r="G464" s="36">
        <f t="shared" si="35"/>
        <v>0.99539999999999995</v>
      </c>
      <c r="H464" s="38">
        <f t="shared" si="36"/>
        <v>83070400.030138642</v>
      </c>
      <c r="I464" s="38">
        <f t="shared" si="37"/>
        <v>-382123.84013864398</v>
      </c>
      <c r="J464" s="38">
        <v>21578981.85410862</v>
      </c>
      <c r="K464" s="38">
        <f t="shared" si="38"/>
        <v>-21961105.694247264</v>
      </c>
      <c r="L464" s="41">
        <f>VLOOKUP(INDICADORES!$B$21,'DATOS GENERALES'!$K:$M,3,0)*E464</f>
        <v>562778.58172556839</v>
      </c>
      <c r="M464" s="38">
        <f t="shared" si="39"/>
        <v>-22523884.275972832</v>
      </c>
      <c r="N464" s="36"/>
      <c r="O464" s="36"/>
      <c r="P464" s="36"/>
    </row>
    <row r="465" spans="1:16" x14ac:dyDescent="0.25">
      <c r="A465" s="36">
        <v>1790</v>
      </c>
      <c r="B465" s="37">
        <v>43709</v>
      </c>
      <c r="C465" s="36" t="s">
        <v>212</v>
      </c>
      <c r="D465" s="36"/>
      <c r="E465" s="38">
        <v>82688276.189999998</v>
      </c>
      <c r="F465" s="40">
        <f>VLOOKUP(A465,'DATOS GENERALES'!A:B,2,0)</f>
        <v>1</v>
      </c>
      <c r="G465" s="36">
        <f t="shared" si="35"/>
        <v>0.99539999999999995</v>
      </c>
      <c r="H465" s="38">
        <f t="shared" si="36"/>
        <v>83070400.030138642</v>
      </c>
      <c r="I465" s="38">
        <f t="shared" si="37"/>
        <v>-382123.84013864398</v>
      </c>
      <c r="J465" s="38">
        <v>23818043.602704655</v>
      </c>
      <c r="K465" s="38">
        <f t="shared" si="38"/>
        <v>-24200167.442843299</v>
      </c>
      <c r="L465" s="41">
        <f>VLOOKUP(INDICADORES!$B$21,'DATOS GENERALES'!$K:$M,3,0)*E465</f>
        <v>562778.58172556839</v>
      </c>
      <c r="M465" s="38">
        <f t="shared" si="39"/>
        <v>-24762946.024568867</v>
      </c>
      <c r="N465" s="36"/>
      <c r="O465" s="36"/>
      <c r="P465" s="36"/>
    </row>
    <row r="466" spans="1:16" x14ac:dyDescent="0.25">
      <c r="A466" s="36">
        <v>1790</v>
      </c>
      <c r="B466" s="37">
        <v>43739</v>
      </c>
      <c r="C466" s="36" t="s">
        <v>212</v>
      </c>
      <c r="D466" s="36"/>
      <c r="E466" s="38">
        <v>82688276.189999998</v>
      </c>
      <c r="F466" s="40">
        <f>VLOOKUP(A466,'DATOS GENERALES'!A:B,2,0)</f>
        <v>1</v>
      </c>
      <c r="G466" s="36">
        <f t="shared" si="35"/>
        <v>0.99539999999999995</v>
      </c>
      <c r="H466" s="38">
        <f t="shared" si="36"/>
        <v>83070400.030138642</v>
      </c>
      <c r="I466" s="38">
        <f t="shared" si="37"/>
        <v>-382123.84013864398</v>
      </c>
      <c r="J466" s="38">
        <v>25848371.405581135</v>
      </c>
      <c r="K466" s="38">
        <f t="shared" si="38"/>
        <v>-26230495.245719779</v>
      </c>
      <c r="L466" s="41">
        <f>VLOOKUP(INDICADORES!$B$21,'DATOS GENERALES'!$K:$M,3,0)*E466</f>
        <v>562778.58172556839</v>
      </c>
      <c r="M466" s="38">
        <f t="shared" si="39"/>
        <v>-26793273.827445347</v>
      </c>
      <c r="N466" s="36"/>
      <c r="O466" s="36"/>
      <c r="P466" s="36"/>
    </row>
    <row r="467" spans="1:16" x14ac:dyDescent="0.25">
      <c r="A467" s="36">
        <v>1790</v>
      </c>
      <c r="B467" s="37">
        <v>43770</v>
      </c>
      <c r="C467" s="36" t="s">
        <v>212</v>
      </c>
      <c r="D467" s="36"/>
      <c r="E467" s="38">
        <v>82688276.189999998</v>
      </c>
      <c r="F467" s="40">
        <f>VLOOKUP(A467,'DATOS GENERALES'!A:B,2,0)</f>
        <v>1</v>
      </c>
      <c r="G467" s="36">
        <f t="shared" si="35"/>
        <v>0.99539999999999995</v>
      </c>
      <c r="H467" s="38">
        <f t="shared" si="36"/>
        <v>83070400.030138642</v>
      </c>
      <c r="I467" s="38">
        <f t="shared" si="37"/>
        <v>-382123.84013864398</v>
      </c>
      <c r="J467" s="38">
        <v>33920726.901615888</v>
      </c>
      <c r="K467" s="38">
        <f t="shared" si="38"/>
        <v>-34302850.741754532</v>
      </c>
      <c r="L467" s="41">
        <f>VLOOKUP(INDICADORES!$B$21,'DATOS GENERALES'!$K:$M,3,0)*E467</f>
        <v>562778.58172556839</v>
      </c>
      <c r="M467" s="38">
        <f t="shared" si="39"/>
        <v>-34865629.323480099</v>
      </c>
      <c r="N467" s="36"/>
      <c r="O467" s="36"/>
      <c r="P467" s="36"/>
    </row>
    <row r="468" spans="1:16" x14ac:dyDescent="0.25">
      <c r="A468" s="36">
        <v>1790</v>
      </c>
      <c r="B468" s="37">
        <v>43800</v>
      </c>
      <c r="C468" s="36" t="s">
        <v>212</v>
      </c>
      <c r="D468" s="36"/>
      <c r="E468" s="38">
        <v>82688276.189999998</v>
      </c>
      <c r="F468" s="40">
        <f>VLOOKUP(A468,'DATOS GENERALES'!A:B,2,0)</f>
        <v>1</v>
      </c>
      <c r="G468" s="36">
        <f t="shared" si="35"/>
        <v>0.99539999999999995</v>
      </c>
      <c r="H468" s="38">
        <f t="shared" si="36"/>
        <v>83070400.030138642</v>
      </c>
      <c r="I468" s="38">
        <f t="shared" si="37"/>
        <v>-382123.84013864398</v>
      </c>
      <c r="J468" s="38">
        <v>29258307.140074283</v>
      </c>
      <c r="K468" s="38">
        <f t="shared" si="38"/>
        <v>-29640430.980212927</v>
      </c>
      <c r="L468" s="41">
        <f>VLOOKUP(INDICADORES!$B$21,'DATOS GENERALES'!$K:$M,3,0)*E468</f>
        <v>562778.58172556839</v>
      </c>
      <c r="M468" s="38">
        <f t="shared" si="39"/>
        <v>-30203209.561938494</v>
      </c>
      <c r="N468" s="36"/>
      <c r="O468" s="36"/>
      <c r="P468" s="36"/>
    </row>
    <row r="469" spans="1:16" x14ac:dyDescent="0.25">
      <c r="A469" s="36">
        <v>1790</v>
      </c>
      <c r="B469" s="37">
        <v>43831</v>
      </c>
      <c r="C469" s="36" t="s">
        <v>212</v>
      </c>
      <c r="D469" s="36"/>
      <c r="E469" s="38">
        <v>79010033.789999992</v>
      </c>
      <c r="F469" s="40">
        <f>VLOOKUP(A469,'DATOS GENERALES'!A:B,2,0)</f>
        <v>1</v>
      </c>
      <c r="G469" s="36">
        <f t="shared" si="35"/>
        <v>0.99539999999999995</v>
      </c>
      <c r="H469" s="38">
        <f t="shared" si="36"/>
        <v>79375159.523809522</v>
      </c>
      <c r="I469" s="38">
        <f t="shared" si="37"/>
        <v>-365125.73380953074</v>
      </c>
      <c r="J469" s="38" t="s">
        <v>213</v>
      </c>
      <c r="K469" s="38" t="str">
        <f t="shared" si="38"/>
        <v/>
      </c>
      <c r="L469" s="41">
        <f>VLOOKUP(INDICADORES!$B$21,'DATOS GENERALES'!$K:$M,3,0)*E469</f>
        <v>537744.36724565399</v>
      </c>
      <c r="M469" s="38" t="str">
        <f t="shared" si="39"/>
        <v/>
      </c>
      <c r="N469" s="36"/>
      <c r="O469" s="36"/>
      <c r="P469" s="36"/>
    </row>
    <row r="470" spans="1:16" x14ac:dyDescent="0.25">
      <c r="A470" s="36">
        <v>1790</v>
      </c>
      <c r="B470" s="37">
        <v>43862</v>
      </c>
      <c r="C470" s="36" t="s">
        <v>212</v>
      </c>
      <c r="D470" s="36"/>
      <c r="E470" s="38">
        <v>79010033.789999992</v>
      </c>
      <c r="F470" s="40">
        <f>VLOOKUP(A470,'DATOS GENERALES'!A:B,2,0)</f>
        <v>1</v>
      </c>
      <c r="G470" s="36">
        <f t="shared" si="35"/>
        <v>0.99539999999999995</v>
      </c>
      <c r="H470" s="38">
        <f t="shared" si="36"/>
        <v>79375159.523809522</v>
      </c>
      <c r="I470" s="38">
        <f t="shared" si="37"/>
        <v>-365125.73380953074</v>
      </c>
      <c r="J470" s="38" t="s">
        <v>213</v>
      </c>
      <c r="K470" s="38" t="str">
        <f t="shared" si="38"/>
        <v/>
      </c>
      <c r="L470" s="41">
        <f>VLOOKUP(INDICADORES!$B$21,'DATOS GENERALES'!$K:$M,3,0)*E470</f>
        <v>537744.36724565399</v>
      </c>
      <c r="M470" s="38" t="str">
        <f t="shared" si="39"/>
        <v/>
      </c>
      <c r="N470" s="36"/>
      <c r="O470" s="36"/>
      <c r="P470" s="36"/>
    </row>
    <row r="471" spans="1:16" x14ac:dyDescent="0.25">
      <c r="A471" s="36">
        <v>1790</v>
      </c>
      <c r="B471" s="37">
        <v>43891</v>
      </c>
      <c r="C471" s="36" t="s">
        <v>212</v>
      </c>
      <c r="D471" s="36"/>
      <c r="E471" s="38">
        <v>79010033.789999992</v>
      </c>
      <c r="F471" s="40">
        <f>VLOOKUP(A471,'DATOS GENERALES'!A:B,2,0)</f>
        <v>1</v>
      </c>
      <c r="G471" s="36">
        <f t="shared" si="35"/>
        <v>0.99539999999999995</v>
      </c>
      <c r="H471" s="38">
        <f t="shared" si="36"/>
        <v>79375159.523809522</v>
      </c>
      <c r="I471" s="38">
        <f t="shared" si="37"/>
        <v>-365125.73380953074</v>
      </c>
      <c r="J471" s="38" t="s">
        <v>213</v>
      </c>
      <c r="K471" s="38" t="str">
        <f t="shared" si="38"/>
        <v/>
      </c>
      <c r="L471" s="41">
        <f>VLOOKUP(INDICADORES!$B$21,'DATOS GENERALES'!$K:$M,3,0)*E471</f>
        <v>537744.36724565399</v>
      </c>
      <c r="M471" s="38" t="str">
        <f t="shared" si="39"/>
        <v/>
      </c>
      <c r="N471" s="36"/>
      <c r="O471" s="36"/>
      <c r="P471" s="36"/>
    </row>
    <row r="472" spans="1:16" x14ac:dyDescent="0.25">
      <c r="A472" s="36">
        <v>1790</v>
      </c>
      <c r="B472" s="37">
        <v>43922</v>
      </c>
      <c r="C472" s="36" t="s">
        <v>212</v>
      </c>
      <c r="D472" s="36"/>
      <c r="E472" s="38">
        <v>79010033.789999992</v>
      </c>
      <c r="F472" s="40">
        <f>VLOOKUP(A472,'DATOS GENERALES'!A:B,2,0)</f>
        <v>1</v>
      </c>
      <c r="G472" s="36">
        <f t="shared" si="35"/>
        <v>0.99539999999999995</v>
      </c>
      <c r="H472" s="38">
        <f t="shared" si="36"/>
        <v>79375159.523809522</v>
      </c>
      <c r="I472" s="38">
        <f t="shared" si="37"/>
        <v>-365125.73380953074</v>
      </c>
      <c r="J472" s="38" t="s">
        <v>213</v>
      </c>
      <c r="K472" s="38" t="str">
        <f t="shared" si="38"/>
        <v/>
      </c>
      <c r="L472" s="41">
        <f>VLOOKUP(INDICADORES!$B$21,'DATOS GENERALES'!$K:$M,3,0)*E472</f>
        <v>537744.36724565399</v>
      </c>
      <c r="M472" s="38" t="str">
        <f t="shared" si="39"/>
        <v/>
      </c>
      <c r="N472" s="36"/>
      <c r="O472" s="36"/>
      <c r="P472" s="36"/>
    </row>
    <row r="473" spans="1:16" x14ac:dyDescent="0.25">
      <c r="A473" s="36">
        <v>1507</v>
      </c>
      <c r="B473" s="37">
        <v>43617</v>
      </c>
      <c r="C473" s="36" t="s">
        <v>212</v>
      </c>
      <c r="D473" s="36"/>
      <c r="E473" s="38">
        <v>577000000</v>
      </c>
      <c r="F473" s="40">
        <f>VLOOKUP(A473,'DATOS GENERALES'!A:B,2,0)</f>
        <v>1.87</v>
      </c>
      <c r="G473" s="36">
        <f t="shared" si="35"/>
        <v>1.8613980000000001</v>
      </c>
      <c r="H473" s="38">
        <f t="shared" si="36"/>
        <v>309982067.24193317</v>
      </c>
      <c r="I473" s="38">
        <f t="shared" si="37"/>
        <v>267017932.75806683</v>
      </c>
      <c r="J473" s="38">
        <v>46178347.068968281</v>
      </c>
      <c r="K473" s="38">
        <f t="shared" si="38"/>
        <v>220839585.68909854</v>
      </c>
      <c r="L473" s="41">
        <f>VLOOKUP(INDICADORES!$B$21,'DATOS GENERALES'!$K:$M,3,0)*E473</f>
        <v>3927077.1700392966</v>
      </c>
      <c r="M473" s="38">
        <f t="shared" si="39"/>
        <v>216912508.51905924</v>
      </c>
      <c r="N473" s="36"/>
      <c r="O473" s="36"/>
      <c r="P473" s="36"/>
    </row>
    <row r="474" spans="1:16" x14ac:dyDescent="0.25">
      <c r="A474" s="36">
        <v>1744</v>
      </c>
      <c r="B474" s="37">
        <v>43466</v>
      </c>
      <c r="C474" s="36" t="s">
        <v>212</v>
      </c>
      <c r="D474" s="36"/>
      <c r="E474" s="38">
        <v>35458635</v>
      </c>
      <c r="F474" s="40">
        <f>VLOOKUP(A474,'DATOS GENERALES'!A:B,2,0)</f>
        <v>2.2200000000000002</v>
      </c>
      <c r="G474" s="36">
        <f t="shared" si="35"/>
        <v>2.2097880000000001</v>
      </c>
      <c r="H474" s="38">
        <f t="shared" si="36"/>
        <v>16046170.492373023</v>
      </c>
      <c r="I474" s="38">
        <f t="shared" si="37"/>
        <v>19412464.507626977</v>
      </c>
      <c r="J474" s="38">
        <v>3520824.1693170522</v>
      </c>
      <c r="K474" s="38">
        <f t="shared" si="38"/>
        <v>15891640.338309925</v>
      </c>
      <c r="L474" s="41">
        <f>VLOOKUP(INDICADORES!$B$21,'DATOS GENERALES'!$K:$M,3,0)*E474</f>
        <v>241332.40206110285</v>
      </c>
      <c r="M474" s="38">
        <f t="shared" si="39"/>
        <v>15650307.936248822</v>
      </c>
      <c r="N474" s="36"/>
      <c r="O474" s="36"/>
      <c r="P474" s="36"/>
    </row>
    <row r="475" spans="1:16" x14ac:dyDescent="0.25">
      <c r="A475" s="36">
        <v>1744</v>
      </c>
      <c r="B475" s="37">
        <v>43497</v>
      </c>
      <c r="C475" s="36" t="s">
        <v>212</v>
      </c>
      <c r="D475" s="36"/>
      <c r="E475" s="38">
        <v>35458635</v>
      </c>
      <c r="F475" s="40">
        <f>VLOOKUP(A475,'DATOS GENERALES'!A:B,2,0)</f>
        <v>2.2200000000000002</v>
      </c>
      <c r="G475" s="36">
        <f t="shared" si="35"/>
        <v>2.2097880000000001</v>
      </c>
      <c r="H475" s="38">
        <f t="shared" si="36"/>
        <v>16046170.492373023</v>
      </c>
      <c r="I475" s="38">
        <f t="shared" si="37"/>
        <v>19412464.507626977</v>
      </c>
      <c r="J475" s="38">
        <v>3468505.6732319426</v>
      </c>
      <c r="K475" s="38">
        <f t="shared" si="38"/>
        <v>15943958.834395034</v>
      </c>
      <c r="L475" s="41">
        <f>VLOOKUP(INDICADORES!$B$21,'DATOS GENERALES'!$K:$M,3,0)*E475</f>
        <v>241332.40206110285</v>
      </c>
      <c r="M475" s="38">
        <f t="shared" si="39"/>
        <v>15702626.432333931</v>
      </c>
      <c r="N475" s="36"/>
      <c r="O475" s="36"/>
      <c r="P475" s="36"/>
    </row>
    <row r="476" spans="1:16" x14ac:dyDescent="0.25">
      <c r="A476" s="36">
        <v>1744</v>
      </c>
      <c r="B476" s="37">
        <v>43525</v>
      </c>
      <c r="C476" s="36" t="s">
        <v>212</v>
      </c>
      <c r="D476" s="36"/>
      <c r="E476" s="38">
        <v>35458635</v>
      </c>
      <c r="F476" s="40">
        <f>VLOOKUP(A476,'DATOS GENERALES'!A:B,2,0)</f>
        <v>2.2200000000000002</v>
      </c>
      <c r="G476" s="36">
        <f t="shared" si="35"/>
        <v>2.2097880000000001</v>
      </c>
      <c r="H476" s="38">
        <f t="shared" si="36"/>
        <v>16046170.492373023</v>
      </c>
      <c r="I476" s="38">
        <f t="shared" si="37"/>
        <v>19412464.507626977</v>
      </c>
      <c r="J476" s="38">
        <v>2509420.8351658201</v>
      </c>
      <c r="K476" s="38">
        <f t="shared" si="38"/>
        <v>16903043.672461156</v>
      </c>
      <c r="L476" s="41">
        <f>VLOOKUP(INDICADORES!$B$21,'DATOS GENERALES'!$K:$M,3,0)*E476</f>
        <v>241332.40206110285</v>
      </c>
      <c r="M476" s="38">
        <f t="shared" si="39"/>
        <v>16661711.270400053</v>
      </c>
      <c r="N476" s="36"/>
      <c r="O476" s="36"/>
      <c r="P476" s="36"/>
    </row>
    <row r="477" spans="1:16" x14ac:dyDescent="0.25">
      <c r="A477" s="36">
        <v>1744</v>
      </c>
      <c r="B477" s="37">
        <v>43556</v>
      </c>
      <c r="C477" s="36" t="s">
        <v>212</v>
      </c>
      <c r="D477" s="36"/>
      <c r="E477" s="38">
        <v>35458635</v>
      </c>
      <c r="F477" s="40">
        <f>VLOOKUP(A477,'DATOS GENERALES'!A:B,2,0)</f>
        <v>2.2200000000000002</v>
      </c>
      <c r="G477" s="36">
        <f t="shared" si="35"/>
        <v>2.2097880000000001</v>
      </c>
      <c r="H477" s="38">
        <f t="shared" si="36"/>
        <v>16046170.492373023</v>
      </c>
      <c r="I477" s="38">
        <f t="shared" si="37"/>
        <v>19412464.507626977</v>
      </c>
      <c r="J477" s="38">
        <v>2579873.7490181564</v>
      </c>
      <c r="K477" s="38">
        <f t="shared" si="38"/>
        <v>16832590.758608822</v>
      </c>
      <c r="L477" s="41">
        <f>VLOOKUP(INDICADORES!$B$21,'DATOS GENERALES'!$K:$M,3,0)*E477</f>
        <v>241332.40206110285</v>
      </c>
      <c r="M477" s="38">
        <f t="shared" si="39"/>
        <v>16591258.356547719</v>
      </c>
      <c r="N477" s="36"/>
      <c r="O477" s="36"/>
      <c r="P477" s="36"/>
    </row>
    <row r="478" spans="1:16" x14ac:dyDescent="0.25">
      <c r="A478" s="36">
        <v>1744</v>
      </c>
      <c r="B478" s="37">
        <v>43586</v>
      </c>
      <c r="C478" s="36" t="s">
        <v>212</v>
      </c>
      <c r="D478" s="36"/>
      <c r="E478" s="38">
        <v>35458635</v>
      </c>
      <c r="F478" s="40">
        <f>VLOOKUP(A478,'DATOS GENERALES'!A:B,2,0)</f>
        <v>2.2200000000000002</v>
      </c>
      <c r="G478" s="36">
        <f t="shared" si="35"/>
        <v>2.2097880000000001</v>
      </c>
      <c r="H478" s="38">
        <f t="shared" si="36"/>
        <v>16046170.492373023</v>
      </c>
      <c r="I478" s="38">
        <f t="shared" si="37"/>
        <v>19412464.507626977</v>
      </c>
      <c r="J478" s="38">
        <v>2128215.4208993614</v>
      </c>
      <c r="K478" s="38">
        <f t="shared" si="38"/>
        <v>17284249.086727615</v>
      </c>
      <c r="L478" s="41">
        <f>VLOOKUP(INDICADORES!$B$21,'DATOS GENERALES'!$K:$M,3,0)*E478</f>
        <v>241332.40206110285</v>
      </c>
      <c r="M478" s="38">
        <f t="shared" si="39"/>
        <v>17042916.684666514</v>
      </c>
      <c r="N478" s="36"/>
      <c r="O478" s="36"/>
      <c r="P478" s="36"/>
    </row>
    <row r="479" spans="1:16" x14ac:dyDescent="0.25">
      <c r="A479" s="36">
        <v>1744</v>
      </c>
      <c r="B479" s="37">
        <v>43617</v>
      </c>
      <c r="C479" s="36" t="s">
        <v>212</v>
      </c>
      <c r="D479" s="36"/>
      <c r="E479" s="38">
        <v>35458635</v>
      </c>
      <c r="F479" s="40">
        <f>VLOOKUP(A479,'DATOS GENERALES'!A:B,2,0)</f>
        <v>2.2200000000000002</v>
      </c>
      <c r="G479" s="36">
        <f t="shared" si="35"/>
        <v>2.2097880000000001</v>
      </c>
      <c r="H479" s="38">
        <f t="shared" si="36"/>
        <v>16046170.492373023</v>
      </c>
      <c r="I479" s="38">
        <f t="shared" si="37"/>
        <v>19412464.507626977</v>
      </c>
      <c r="J479" s="38">
        <v>2390414.5059666261</v>
      </c>
      <c r="K479" s="38">
        <f t="shared" si="38"/>
        <v>17022050.001660351</v>
      </c>
      <c r="L479" s="41">
        <f>VLOOKUP(INDICADORES!$B$21,'DATOS GENERALES'!$K:$M,3,0)*E479</f>
        <v>241332.40206110285</v>
      </c>
      <c r="M479" s="38">
        <f t="shared" si="39"/>
        <v>16780717.59959925</v>
      </c>
      <c r="N479" s="36"/>
      <c r="O479" s="36"/>
      <c r="P479" s="36"/>
    </row>
    <row r="480" spans="1:16" x14ac:dyDescent="0.25">
      <c r="A480" s="36">
        <v>1744</v>
      </c>
      <c r="B480" s="37">
        <v>43647</v>
      </c>
      <c r="C480" s="36" t="s">
        <v>212</v>
      </c>
      <c r="D480" s="36"/>
      <c r="E480" s="38">
        <v>35458635</v>
      </c>
      <c r="F480" s="40">
        <f>VLOOKUP(A480,'DATOS GENERALES'!A:B,2,0)</f>
        <v>2.2200000000000002</v>
      </c>
      <c r="G480" s="36">
        <f t="shared" si="35"/>
        <v>2.2097880000000001</v>
      </c>
      <c r="H480" s="38">
        <f t="shared" si="36"/>
        <v>16046170.492373023</v>
      </c>
      <c r="I480" s="38">
        <f t="shared" si="37"/>
        <v>19412464.507626977</v>
      </c>
      <c r="J480" s="38">
        <v>4150997.0904510529</v>
      </c>
      <c r="K480" s="38">
        <f t="shared" si="38"/>
        <v>15261467.417175924</v>
      </c>
      <c r="L480" s="41">
        <f>VLOOKUP(INDICADORES!$B$21,'DATOS GENERALES'!$K:$M,3,0)*E480</f>
        <v>241332.40206110285</v>
      </c>
      <c r="M480" s="38">
        <f t="shared" si="39"/>
        <v>15020135.015114821</v>
      </c>
      <c r="N480" s="36"/>
      <c r="O480" s="36"/>
      <c r="P480" s="36"/>
    </row>
    <row r="481" spans="1:16" x14ac:dyDescent="0.25">
      <c r="A481" s="36">
        <v>1744</v>
      </c>
      <c r="B481" s="37">
        <v>43678</v>
      </c>
      <c r="C481" s="36" t="s">
        <v>212</v>
      </c>
      <c r="D481" s="36"/>
      <c r="E481" s="38">
        <v>35458635</v>
      </c>
      <c r="F481" s="40">
        <f>VLOOKUP(A481,'DATOS GENERALES'!A:B,2,0)</f>
        <v>2.2200000000000002</v>
      </c>
      <c r="G481" s="36">
        <f t="shared" si="35"/>
        <v>2.2097880000000001</v>
      </c>
      <c r="H481" s="38">
        <f t="shared" si="36"/>
        <v>16046170.492373023</v>
      </c>
      <c r="I481" s="38">
        <f t="shared" si="37"/>
        <v>19412464.507626977</v>
      </c>
      <c r="J481" s="38">
        <v>4168271.9928786261</v>
      </c>
      <c r="K481" s="38">
        <f t="shared" si="38"/>
        <v>15244192.51474835</v>
      </c>
      <c r="L481" s="41">
        <f>VLOOKUP(INDICADORES!$B$21,'DATOS GENERALES'!$K:$M,3,0)*E481</f>
        <v>241332.40206110285</v>
      </c>
      <c r="M481" s="38">
        <f t="shared" si="39"/>
        <v>15002860.112687247</v>
      </c>
      <c r="N481" s="36"/>
      <c r="O481" s="36"/>
      <c r="P481" s="36"/>
    </row>
    <row r="482" spans="1:16" x14ac:dyDescent="0.25">
      <c r="A482" s="36">
        <v>1756</v>
      </c>
      <c r="B482" s="37">
        <v>43466</v>
      </c>
      <c r="C482" s="36" t="s">
        <v>212</v>
      </c>
      <c r="D482" s="36"/>
      <c r="E482" s="38">
        <v>62778573</v>
      </c>
      <c r="F482" s="40">
        <f>VLOOKUP(A482,'DATOS GENERALES'!A:B,2,0)</f>
        <v>1.72</v>
      </c>
      <c r="G482" s="36">
        <f t="shared" si="35"/>
        <v>1.7120879999999998</v>
      </c>
      <c r="H482" s="38">
        <f t="shared" si="36"/>
        <v>36667842.423987553</v>
      </c>
      <c r="I482" s="38">
        <f t="shared" si="37"/>
        <v>26110730.576012447</v>
      </c>
      <c r="J482" s="38">
        <v>8045597.2909204792</v>
      </c>
      <c r="K482" s="38">
        <f t="shared" si="38"/>
        <v>18065133.285091966</v>
      </c>
      <c r="L482" s="41">
        <f>VLOOKUP(INDICADORES!$B$21,'DATOS GENERALES'!$K:$M,3,0)*E482</f>
        <v>427272.61836385686</v>
      </c>
      <c r="M482" s="38">
        <f t="shared" si="39"/>
        <v>17637860.666728109</v>
      </c>
      <c r="N482" s="36"/>
      <c r="O482" s="36"/>
      <c r="P482" s="36"/>
    </row>
    <row r="483" spans="1:16" x14ac:dyDescent="0.25">
      <c r="A483" s="36">
        <v>1756</v>
      </c>
      <c r="B483" s="37">
        <v>43497</v>
      </c>
      <c r="C483" s="36" t="s">
        <v>212</v>
      </c>
      <c r="D483" s="36"/>
      <c r="E483" s="38">
        <v>62778573</v>
      </c>
      <c r="F483" s="40">
        <f>VLOOKUP(A483,'DATOS GENERALES'!A:B,2,0)</f>
        <v>1.72</v>
      </c>
      <c r="G483" s="36">
        <f t="shared" si="35"/>
        <v>1.7120879999999998</v>
      </c>
      <c r="H483" s="38">
        <f t="shared" si="36"/>
        <v>36667842.423987553</v>
      </c>
      <c r="I483" s="38">
        <f t="shared" si="37"/>
        <v>26110730.576012447</v>
      </c>
      <c r="J483" s="38">
        <v>7926041.8885133658</v>
      </c>
      <c r="K483" s="38">
        <f t="shared" si="38"/>
        <v>18184688.687499084</v>
      </c>
      <c r="L483" s="41">
        <f>VLOOKUP(INDICADORES!$B$21,'DATOS GENERALES'!$K:$M,3,0)*E483</f>
        <v>427272.61836385686</v>
      </c>
      <c r="M483" s="38">
        <f t="shared" si="39"/>
        <v>17757416.069135226</v>
      </c>
      <c r="N483" s="36"/>
      <c r="O483" s="36"/>
      <c r="P483" s="36"/>
    </row>
    <row r="484" spans="1:16" x14ac:dyDescent="0.25">
      <c r="A484" s="36">
        <v>1756</v>
      </c>
      <c r="B484" s="37">
        <v>43525</v>
      </c>
      <c r="C484" s="36" t="s">
        <v>212</v>
      </c>
      <c r="D484" s="36"/>
      <c r="E484" s="38">
        <v>62778573</v>
      </c>
      <c r="F484" s="40">
        <f>VLOOKUP(A484,'DATOS GENERALES'!A:B,2,0)</f>
        <v>1.72</v>
      </c>
      <c r="G484" s="36">
        <f t="shared" si="35"/>
        <v>1.7120879999999998</v>
      </c>
      <c r="H484" s="38">
        <f t="shared" si="36"/>
        <v>36667842.423987553</v>
      </c>
      <c r="I484" s="38">
        <f t="shared" si="37"/>
        <v>26110730.576012447</v>
      </c>
      <c r="J484" s="38">
        <v>5734393.0006893296</v>
      </c>
      <c r="K484" s="38">
        <f t="shared" si="38"/>
        <v>20376337.57532312</v>
      </c>
      <c r="L484" s="41">
        <f>VLOOKUP(INDICADORES!$B$21,'DATOS GENERALES'!$K:$M,3,0)*E484</f>
        <v>427272.61836385686</v>
      </c>
      <c r="M484" s="38">
        <f t="shared" si="39"/>
        <v>19949064.956959262</v>
      </c>
      <c r="N484" s="36"/>
      <c r="O484" s="36"/>
      <c r="P484" s="36"/>
    </row>
    <row r="485" spans="1:16" x14ac:dyDescent="0.25">
      <c r="A485" s="36">
        <v>1756</v>
      </c>
      <c r="B485" s="37">
        <v>43556</v>
      </c>
      <c r="C485" s="36" t="s">
        <v>212</v>
      </c>
      <c r="D485" s="36"/>
      <c r="E485" s="38">
        <v>62778573</v>
      </c>
      <c r="F485" s="40">
        <f>VLOOKUP(A485,'DATOS GENERALES'!A:B,2,0)</f>
        <v>1.72</v>
      </c>
      <c r="G485" s="36">
        <f t="shared" si="35"/>
        <v>1.7120879999999998</v>
      </c>
      <c r="H485" s="38">
        <f t="shared" si="36"/>
        <v>36667842.423987553</v>
      </c>
      <c r="I485" s="38">
        <f t="shared" si="37"/>
        <v>26110730.576012447</v>
      </c>
      <c r="J485" s="38">
        <v>5895388.1954416325</v>
      </c>
      <c r="K485" s="38">
        <f t="shared" si="38"/>
        <v>20215342.380570814</v>
      </c>
      <c r="L485" s="41">
        <f>VLOOKUP(INDICADORES!$B$21,'DATOS GENERALES'!$K:$M,3,0)*E485</f>
        <v>427272.61836385686</v>
      </c>
      <c r="M485" s="38">
        <f t="shared" si="39"/>
        <v>19788069.762206957</v>
      </c>
      <c r="N485" s="36"/>
      <c r="O485" s="36"/>
      <c r="P485" s="36"/>
    </row>
    <row r="486" spans="1:16" x14ac:dyDescent="0.25">
      <c r="A486" s="36">
        <v>1756</v>
      </c>
      <c r="B486" s="37">
        <v>43586</v>
      </c>
      <c r="C486" s="36" t="s">
        <v>212</v>
      </c>
      <c r="D486" s="36"/>
      <c r="E486" s="38">
        <v>62778573</v>
      </c>
      <c r="F486" s="40">
        <f>VLOOKUP(A486,'DATOS GENERALES'!A:B,2,0)</f>
        <v>1.72</v>
      </c>
      <c r="G486" s="36">
        <f t="shared" si="35"/>
        <v>1.7120879999999998</v>
      </c>
      <c r="H486" s="38">
        <f t="shared" si="36"/>
        <v>36667842.423987553</v>
      </c>
      <c r="I486" s="38">
        <f t="shared" si="37"/>
        <v>26110730.576012447</v>
      </c>
      <c r="J486" s="38">
        <v>4863282.9705337035</v>
      </c>
      <c r="K486" s="38">
        <f t="shared" si="38"/>
        <v>21247447.605478745</v>
      </c>
      <c r="L486" s="41">
        <f>VLOOKUP(INDICADORES!$B$21,'DATOS GENERALES'!$K:$M,3,0)*E486</f>
        <v>427272.61836385686</v>
      </c>
      <c r="M486" s="38">
        <f t="shared" si="39"/>
        <v>20820174.987114888</v>
      </c>
      <c r="N486" s="36"/>
      <c r="O486" s="36"/>
      <c r="P486" s="36"/>
    </row>
    <row r="487" spans="1:16" x14ac:dyDescent="0.25">
      <c r="A487" s="36">
        <v>1802</v>
      </c>
      <c r="B487" s="37">
        <v>43831</v>
      </c>
      <c r="C487" s="36" t="s">
        <v>212</v>
      </c>
      <c r="D487" s="36"/>
      <c r="E487" s="38">
        <v>21063300</v>
      </c>
      <c r="F487" s="40">
        <f>VLOOKUP(A487,'DATOS GENERALES'!A:B,2,0)</f>
        <v>1.95</v>
      </c>
      <c r="G487" s="36">
        <f t="shared" si="35"/>
        <v>1.9410299999999998</v>
      </c>
      <c r="H487" s="38">
        <f t="shared" si="36"/>
        <v>10851609.712369207</v>
      </c>
      <c r="I487" s="38">
        <f t="shared" si="37"/>
        <v>10211690.287630793</v>
      </c>
      <c r="J487" s="38" t="s">
        <v>213</v>
      </c>
      <c r="K487" s="38" t="str">
        <f t="shared" si="38"/>
        <v/>
      </c>
      <c r="L487" s="41">
        <f>VLOOKUP(INDICADORES!$B$21,'DATOS GENERALES'!$K:$M,3,0)*E487</f>
        <v>143357.37358004975</v>
      </c>
      <c r="M487" s="38" t="str">
        <f t="shared" si="39"/>
        <v/>
      </c>
      <c r="N487" s="36"/>
      <c r="O487" s="36"/>
      <c r="P487" s="36"/>
    </row>
    <row r="488" spans="1:16" x14ac:dyDescent="0.25">
      <c r="A488" s="36">
        <v>1802</v>
      </c>
      <c r="B488" s="37">
        <v>43862</v>
      </c>
      <c r="C488" s="36" t="s">
        <v>212</v>
      </c>
      <c r="D488" s="36"/>
      <c r="E488" s="38">
        <v>21063300</v>
      </c>
      <c r="F488" s="40">
        <f>VLOOKUP(A488,'DATOS GENERALES'!A:B,2,0)</f>
        <v>1.95</v>
      </c>
      <c r="G488" s="36">
        <f t="shared" si="35"/>
        <v>1.9410299999999998</v>
      </c>
      <c r="H488" s="38">
        <f t="shared" si="36"/>
        <v>10851609.712369207</v>
      </c>
      <c r="I488" s="38">
        <f t="shared" si="37"/>
        <v>10211690.287630793</v>
      </c>
      <c r="J488" s="38" t="s">
        <v>213</v>
      </c>
      <c r="K488" s="38" t="str">
        <f t="shared" si="38"/>
        <v/>
      </c>
      <c r="L488" s="41">
        <f>VLOOKUP(INDICADORES!$B$21,'DATOS GENERALES'!$K:$M,3,0)*E488</f>
        <v>143357.37358004975</v>
      </c>
      <c r="M488" s="38" t="str">
        <f t="shared" si="39"/>
        <v/>
      </c>
      <c r="N488" s="36"/>
      <c r="O488" s="36"/>
      <c r="P488" s="36"/>
    </row>
    <row r="489" spans="1:16" x14ac:dyDescent="0.25">
      <c r="A489" s="36">
        <v>1804</v>
      </c>
      <c r="B489" s="37">
        <v>43466</v>
      </c>
      <c r="C489" s="36" t="s">
        <v>212</v>
      </c>
      <c r="D489" s="36"/>
      <c r="E489" s="38">
        <v>29813870</v>
      </c>
      <c r="F489" s="40">
        <f>VLOOKUP(A489,'DATOS GENERALES'!A:B,2,0)</f>
        <v>2.27</v>
      </c>
      <c r="G489" s="36">
        <f t="shared" si="35"/>
        <v>2.2595579999999997</v>
      </c>
      <c r="H489" s="38">
        <f t="shared" si="36"/>
        <v>13194558.404785363</v>
      </c>
      <c r="I489" s="38">
        <f t="shared" si="37"/>
        <v>16619311.595214637</v>
      </c>
      <c r="J489" s="38">
        <v>2895128.1651354027</v>
      </c>
      <c r="K489" s="38">
        <f t="shared" si="38"/>
        <v>13724183.430079235</v>
      </c>
      <c r="L489" s="41">
        <f>VLOOKUP(INDICADORES!$B$21,'DATOS GENERALES'!$K:$M,3,0)*E489</f>
        <v>202913.98306329199</v>
      </c>
      <c r="M489" s="38">
        <f t="shared" si="39"/>
        <v>13521269.447015943</v>
      </c>
      <c r="N489" s="36"/>
      <c r="O489" s="36"/>
      <c r="P489" s="36"/>
    </row>
    <row r="490" spans="1:16" x14ac:dyDescent="0.25">
      <c r="A490" s="36">
        <v>1813</v>
      </c>
      <c r="B490" s="37">
        <v>43466</v>
      </c>
      <c r="C490" s="36" t="s">
        <v>212</v>
      </c>
      <c r="D490" s="36"/>
      <c r="E490" s="38">
        <v>126579869.80723679</v>
      </c>
      <c r="F490" s="40">
        <f>VLOOKUP(A490,'DATOS GENERALES'!A:B,2,0)</f>
        <v>2.5499999999999998</v>
      </c>
      <c r="G490" s="36">
        <f t="shared" si="35"/>
        <v>2.5382699999999998</v>
      </c>
      <c r="H490" s="38">
        <f t="shared" si="36"/>
        <v>49868560.006318003</v>
      </c>
      <c r="I490" s="38">
        <f t="shared" si="37"/>
        <v>76711309.800918788</v>
      </c>
      <c r="J490" s="38">
        <v>10942076.892597962</v>
      </c>
      <c r="K490" s="38">
        <f t="shared" si="38"/>
        <v>65769232.908320829</v>
      </c>
      <c r="L490" s="41">
        <f>VLOOKUP(INDICADORES!$B$21,'DATOS GENERALES'!$K:$M,3,0)*E490</f>
        <v>861505.92184843333</v>
      </c>
      <c r="M490" s="38">
        <f t="shared" si="39"/>
        <v>64907726.986472398</v>
      </c>
      <c r="N490" s="36"/>
      <c r="O490" s="36"/>
      <c r="P490" s="36"/>
    </row>
    <row r="491" spans="1:16" x14ac:dyDescent="0.25">
      <c r="A491" s="36">
        <v>1813</v>
      </c>
      <c r="B491" s="37">
        <v>43497</v>
      </c>
      <c r="C491" s="36" t="s">
        <v>212</v>
      </c>
      <c r="D491" s="36"/>
      <c r="E491" s="38">
        <v>253159739.61447358</v>
      </c>
      <c r="F491" s="40">
        <f>VLOOKUP(A491,'DATOS GENERALES'!A:B,2,0)</f>
        <v>2.5499999999999998</v>
      </c>
      <c r="G491" s="36">
        <f t="shared" si="35"/>
        <v>2.5382699999999998</v>
      </c>
      <c r="H491" s="38">
        <f t="shared" si="36"/>
        <v>99737120.012636006</v>
      </c>
      <c r="I491" s="38">
        <f t="shared" si="37"/>
        <v>153422619.60183758</v>
      </c>
      <c r="J491" s="38">
        <v>21558961.171456628</v>
      </c>
      <c r="K491" s="38">
        <f t="shared" si="38"/>
        <v>131863658.43038094</v>
      </c>
      <c r="L491" s="41">
        <f>VLOOKUP(INDICADORES!$B$21,'DATOS GENERALES'!$K:$M,3,0)*E491</f>
        <v>1723011.8436968667</v>
      </c>
      <c r="M491" s="38">
        <f t="shared" si="39"/>
        <v>130140646.58668408</v>
      </c>
      <c r="N491" s="36"/>
      <c r="O491" s="36"/>
      <c r="P491" s="36"/>
    </row>
    <row r="492" spans="1:16" x14ac:dyDescent="0.25">
      <c r="A492" s="36">
        <v>1813</v>
      </c>
      <c r="B492" s="37">
        <v>43525</v>
      </c>
      <c r="C492" s="36" t="s">
        <v>212</v>
      </c>
      <c r="D492" s="36"/>
      <c r="E492" s="38">
        <v>253159739.61447358</v>
      </c>
      <c r="F492" s="40">
        <f>VLOOKUP(A492,'DATOS GENERALES'!A:B,2,0)</f>
        <v>2.5499999999999998</v>
      </c>
      <c r="G492" s="36">
        <f t="shared" si="35"/>
        <v>2.5382699999999998</v>
      </c>
      <c r="H492" s="38">
        <f t="shared" si="36"/>
        <v>99737120.012636006</v>
      </c>
      <c r="I492" s="38">
        <f t="shared" si="37"/>
        <v>153422619.60183758</v>
      </c>
      <c r="J492" s="38">
        <v>15597641.014602548</v>
      </c>
      <c r="K492" s="38">
        <f t="shared" si="38"/>
        <v>137824978.58723503</v>
      </c>
      <c r="L492" s="41">
        <f>VLOOKUP(INDICADORES!$B$21,'DATOS GENERALES'!$K:$M,3,0)*E492</f>
        <v>1723011.8436968667</v>
      </c>
      <c r="M492" s="38">
        <f t="shared" si="39"/>
        <v>136101966.74353817</v>
      </c>
      <c r="N492" s="36"/>
      <c r="O492" s="36"/>
      <c r="P492" s="36"/>
    </row>
    <row r="493" spans="1:16" x14ac:dyDescent="0.25">
      <c r="A493" s="36">
        <v>1813</v>
      </c>
      <c r="B493" s="37">
        <v>43556</v>
      </c>
      <c r="C493" s="36" t="s">
        <v>212</v>
      </c>
      <c r="D493" s="36"/>
      <c r="E493" s="38">
        <v>126579869.80723679</v>
      </c>
      <c r="F493" s="40">
        <f>VLOOKUP(A493,'DATOS GENERALES'!A:B,2,0)</f>
        <v>2.5499999999999998</v>
      </c>
      <c r="G493" s="36">
        <f t="shared" si="35"/>
        <v>2.5382699999999998</v>
      </c>
      <c r="H493" s="38">
        <f t="shared" si="36"/>
        <v>49868560.006318003</v>
      </c>
      <c r="I493" s="38">
        <f t="shared" si="37"/>
        <v>76711309.800918788</v>
      </c>
      <c r="J493" s="38">
        <v>8017775.2643715153</v>
      </c>
      <c r="K493" s="38">
        <f t="shared" si="38"/>
        <v>68693534.536547273</v>
      </c>
      <c r="L493" s="41">
        <f>VLOOKUP(INDICADORES!$B$21,'DATOS GENERALES'!$K:$M,3,0)*E493</f>
        <v>861505.92184843333</v>
      </c>
      <c r="M493" s="38">
        <f t="shared" si="39"/>
        <v>67832028.614698842</v>
      </c>
      <c r="N493" s="36"/>
      <c r="O493" s="36"/>
      <c r="P493" s="36"/>
    </row>
    <row r="494" spans="1:16" x14ac:dyDescent="0.25">
      <c r="A494" s="36">
        <v>1857</v>
      </c>
      <c r="B494" s="37">
        <v>43466</v>
      </c>
      <c r="C494" s="36" t="s">
        <v>212</v>
      </c>
      <c r="D494" s="36"/>
      <c r="E494" s="38">
        <v>9800000</v>
      </c>
      <c r="F494" s="40">
        <f>VLOOKUP(A494,'DATOS GENERALES'!A:B,2,0)</f>
        <v>1.85</v>
      </c>
      <c r="G494" s="36">
        <f t="shared" si="35"/>
        <v>1.8414900000000001</v>
      </c>
      <c r="H494" s="38">
        <f t="shared" si="36"/>
        <v>5321777.4736762075</v>
      </c>
      <c r="I494" s="38">
        <f t="shared" si="37"/>
        <v>4478222.5263237925</v>
      </c>
      <c r="J494" s="38">
        <v>1167695.6045027827</v>
      </c>
      <c r="K494" s="38">
        <f t="shared" si="38"/>
        <v>3310526.9218210098</v>
      </c>
      <c r="L494" s="41">
        <f>VLOOKUP(INDICADORES!$B$21,'DATOS GENERALES'!$K:$M,3,0)*E494</f>
        <v>66699.057654046977</v>
      </c>
      <c r="M494" s="38">
        <f t="shared" si="39"/>
        <v>3243827.8641669629</v>
      </c>
      <c r="N494" s="36"/>
      <c r="O494" s="36"/>
      <c r="P494" s="36"/>
    </row>
    <row r="495" spans="1:16" x14ac:dyDescent="0.25">
      <c r="A495" s="36">
        <v>1857</v>
      </c>
      <c r="B495" s="37">
        <v>43497</v>
      </c>
      <c r="C495" s="36" t="s">
        <v>212</v>
      </c>
      <c r="D495" s="36"/>
      <c r="E495" s="38">
        <v>9800000</v>
      </c>
      <c r="F495" s="40">
        <f>VLOOKUP(A495,'DATOS GENERALES'!A:B,2,0)</f>
        <v>1.85</v>
      </c>
      <c r="G495" s="36">
        <f t="shared" si="35"/>
        <v>1.8414900000000001</v>
      </c>
      <c r="H495" s="38">
        <f t="shared" si="36"/>
        <v>5321777.4736762075</v>
      </c>
      <c r="I495" s="38">
        <f t="shared" si="37"/>
        <v>4478222.5263237925</v>
      </c>
      <c r="J495" s="38">
        <v>1150343.9632464035</v>
      </c>
      <c r="K495" s="38">
        <f t="shared" si="38"/>
        <v>3327878.5630773893</v>
      </c>
      <c r="L495" s="41">
        <f>VLOOKUP(INDICADORES!$B$21,'DATOS GENERALES'!$K:$M,3,0)*E495</f>
        <v>66699.057654046977</v>
      </c>
      <c r="M495" s="38">
        <f t="shared" si="39"/>
        <v>3261179.5054233423</v>
      </c>
      <c r="N495" s="36"/>
      <c r="O495" s="36"/>
      <c r="P495" s="36"/>
    </row>
    <row r="496" spans="1:16" x14ac:dyDescent="0.25">
      <c r="A496" s="36">
        <v>1857</v>
      </c>
      <c r="B496" s="37">
        <v>43525</v>
      </c>
      <c r="C496" s="36" t="s">
        <v>212</v>
      </c>
      <c r="D496" s="36"/>
      <c r="E496" s="38">
        <v>9800000</v>
      </c>
      <c r="F496" s="40">
        <f>VLOOKUP(A496,'DATOS GENERALES'!A:B,2,0)</f>
        <v>1.85</v>
      </c>
      <c r="G496" s="36">
        <f t="shared" si="35"/>
        <v>1.8414900000000001</v>
      </c>
      <c r="H496" s="38">
        <f t="shared" si="36"/>
        <v>5321777.4736762075</v>
      </c>
      <c r="I496" s="38">
        <f t="shared" si="37"/>
        <v>4478222.5263237925</v>
      </c>
      <c r="J496" s="38">
        <v>832259.58984461869</v>
      </c>
      <c r="K496" s="38">
        <f t="shared" si="38"/>
        <v>3645962.9364791736</v>
      </c>
      <c r="L496" s="41">
        <f>VLOOKUP(INDICADORES!$B$21,'DATOS GENERALES'!$K:$M,3,0)*E496</f>
        <v>66699.057654046977</v>
      </c>
      <c r="M496" s="38">
        <f t="shared" si="39"/>
        <v>3579263.8788251267</v>
      </c>
      <c r="N496" s="36"/>
      <c r="O496" s="36"/>
      <c r="P496" s="36"/>
    </row>
    <row r="497" spans="1:16" x14ac:dyDescent="0.25">
      <c r="A497" s="36">
        <v>1857</v>
      </c>
      <c r="B497" s="37">
        <v>43556</v>
      </c>
      <c r="C497" s="36" t="s">
        <v>212</v>
      </c>
      <c r="D497" s="36"/>
      <c r="E497" s="38">
        <v>9800000</v>
      </c>
      <c r="F497" s="40">
        <f>VLOOKUP(A497,'DATOS GENERALES'!A:B,2,0)</f>
        <v>1.85</v>
      </c>
      <c r="G497" s="36">
        <f t="shared" si="35"/>
        <v>1.8414900000000001</v>
      </c>
      <c r="H497" s="38">
        <f t="shared" si="36"/>
        <v>5321777.4736762075</v>
      </c>
      <c r="I497" s="38">
        <f t="shared" si="37"/>
        <v>4478222.5263237925</v>
      </c>
      <c r="J497" s="38">
        <v>855625.58424636256</v>
      </c>
      <c r="K497" s="38">
        <f t="shared" si="38"/>
        <v>3622596.94207743</v>
      </c>
      <c r="L497" s="41">
        <f>VLOOKUP(INDICADORES!$B$21,'DATOS GENERALES'!$K:$M,3,0)*E497</f>
        <v>66699.057654046977</v>
      </c>
      <c r="M497" s="38">
        <f t="shared" si="39"/>
        <v>3555897.884423383</v>
      </c>
      <c r="N497" s="36"/>
      <c r="O497" s="36"/>
      <c r="P497" s="36"/>
    </row>
    <row r="498" spans="1:16" x14ac:dyDescent="0.25">
      <c r="A498" s="36">
        <v>1857</v>
      </c>
      <c r="B498" s="37">
        <v>43586</v>
      </c>
      <c r="C498" s="36" t="s">
        <v>212</v>
      </c>
      <c r="D498" s="36"/>
      <c r="E498" s="38">
        <v>9800000</v>
      </c>
      <c r="F498" s="40">
        <f>VLOOKUP(A498,'DATOS GENERALES'!A:B,2,0)</f>
        <v>1.85</v>
      </c>
      <c r="G498" s="36">
        <f t="shared" si="35"/>
        <v>1.8414900000000001</v>
      </c>
      <c r="H498" s="38">
        <f t="shared" si="36"/>
        <v>5321777.4736762075</v>
      </c>
      <c r="I498" s="38">
        <f t="shared" si="37"/>
        <v>4478222.5263237925</v>
      </c>
      <c r="J498" s="38">
        <v>705831.26930228679</v>
      </c>
      <c r="K498" s="38">
        <f t="shared" si="38"/>
        <v>3772391.2570215059</v>
      </c>
      <c r="L498" s="41">
        <f>VLOOKUP(INDICADORES!$B$21,'DATOS GENERALES'!$K:$M,3,0)*E498</f>
        <v>66699.057654046977</v>
      </c>
      <c r="M498" s="38">
        <f t="shared" si="39"/>
        <v>3705692.1993674589</v>
      </c>
      <c r="N498" s="36"/>
      <c r="O498" s="36"/>
      <c r="P498" s="36"/>
    </row>
    <row r="499" spans="1:16" x14ac:dyDescent="0.25">
      <c r="A499" s="36">
        <v>1857</v>
      </c>
      <c r="B499" s="37">
        <v>43617</v>
      </c>
      <c r="C499" s="36" t="s">
        <v>212</v>
      </c>
      <c r="D499" s="36"/>
      <c r="E499" s="38">
        <v>9800000</v>
      </c>
      <c r="F499" s="40">
        <f>VLOOKUP(A499,'DATOS GENERALES'!A:B,2,0)</f>
        <v>1.85</v>
      </c>
      <c r="G499" s="36">
        <f t="shared" si="35"/>
        <v>1.8414900000000001</v>
      </c>
      <c r="H499" s="38">
        <f t="shared" si="36"/>
        <v>5321777.4736762075</v>
      </c>
      <c r="I499" s="38">
        <f t="shared" si="37"/>
        <v>4478222.5263237925</v>
      </c>
      <c r="J499" s="38">
        <v>792790.65847197792</v>
      </c>
      <c r="K499" s="38">
        <f t="shared" si="38"/>
        <v>3685431.8678518147</v>
      </c>
      <c r="L499" s="41">
        <f>VLOOKUP(INDICADORES!$B$21,'DATOS GENERALES'!$K:$M,3,0)*E499</f>
        <v>66699.057654046977</v>
      </c>
      <c r="M499" s="38">
        <f t="shared" si="39"/>
        <v>3618732.8101977678</v>
      </c>
      <c r="N499" s="36"/>
      <c r="O499" s="36"/>
      <c r="P499" s="36"/>
    </row>
    <row r="500" spans="1:16" x14ac:dyDescent="0.25">
      <c r="A500" s="36">
        <v>1857</v>
      </c>
      <c r="B500" s="37">
        <v>43647</v>
      </c>
      <c r="C500" s="36" t="s">
        <v>212</v>
      </c>
      <c r="D500" s="36"/>
      <c r="E500" s="38">
        <v>9800000</v>
      </c>
      <c r="F500" s="40">
        <f>VLOOKUP(A500,'DATOS GENERALES'!A:B,2,0)</f>
        <v>1.85</v>
      </c>
      <c r="G500" s="36">
        <f t="shared" si="35"/>
        <v>1.8414900000000001</v>
      </c>
      <c r="H500" s="38">
        <f t="shared" si="36"/>
        <v>5321777.4736762075</v>
      </c>
      <c r="I500" s="38">
        <f t="shared" si="37"/>
        <v>4478222.5263237925</v>
      </c>
      <c r="J500" s="38">
        <v>1376695.0076816094</v>
      </c>
      <c r="K500" s="38">
        <f t="shared" si="38"/>
        <v>3101527.5186421834</v>
      </c>
      <c r="L500" s="41">
        <f>VLOOKUP(INDICADORES!$B$21,'DATOS GENERALES'!$K:$M,3,0)*E500</f>
        <v>66699.057654046977</v>
      </c>
      <c r="M500" s="38">
        <f t="shared" si="39"/>
        <v>3034828.4609881365</v>
      </c>
      <c r="N500" s="36"/>
      <c r="O500" s="36"/>
      <c r="P500" s="36"/>
    </row>
    <row r="501" spans="1:16" x14ac:dyDescent="0.25">
      <c r="A501" s="36">
        <v>1857</v>
      </c>
      <c r="B501" s="37">
        <v>43678</v>
      </c>
      <c r="C501" s="36" t="s">
        <v>212</v>
      </c>
      <c r="D501" s="36"/>
      <c r="E501" s="38">
        <v>9800000</v>
      </c>
      <c r="F501" s="40">
        <f>VLOOKUP(A501,'DATOS GENERALES'!A:B,2,0)</f>
        <v>1.85</v>
      </c>
      <c r="G501" s="36">
        <f t="shared" si="35"/>
        <v>1.8414900000000001</v>
      </c>
      <c r="H501" s="38">
        <f t="shared" si="36"/>
        <v>5321777.4736762075</v>
      </c>
      <c r="I501" s="38">
        <f t="shared" si="37"/>
        <v>4478222.5263237925</v>
      </c>
      <c r="J501" s="38">
        <v>1382424.2990812433</v>
      </c>
      <c r="K501" s="38">
        <f t="shared" si="38"/>
        <v>3095798.227242549</v>
      </c>
      <c r="L501" s="41">
        <f>VLOOKUP(INDICADORES!$B$21,'DATOS GENERALES'!$K:$M,3,0)*E501</f>
        <v>66699.057654046977</v>
      </c>
      <c r="M501" s="38">
        <f t="shared" si="39"/>
        <v>3029099.169588502</v>
      </c>
      <c r="N501" s="36"/>
      <c r="O501" s="36"/>
      <c r="P501" s="36"/>
    </row>
    <row r="502" spans="1:16" x14ac:dyDescent="0.25">
      <c r="A502" s="36">
        <v>1857</v>
      </c>
      <c r="B502" s="37">
        <v>43709</v>
      </c>
      <c r="C502" s="36" t="s">
        <v>212</v>
      </c>
      <c r="D502" s="36"/>
      <c r="E502" s="38">
        <v>9800000</v>
      </c>
      <c r="F502" s="40">
        <f>VLOOKUP(A502,'DATOS GENERALES'!A:B,2,0)</f>
        <v>1.85</v>
      </c>
      <c r="G502" s="36">
        <f t="shared" si="35"/>
        <v>1.8414900000000001</v>
      </c>
      <c r="H502" s="38">
        <f t="shared" si="36"/>
        <v>5321777.4736762075</v>
      </c>
      <c r="I502" s="38">
        <f t="shared" si="37"/>
        <v>4478222.5263237925</v>
      </c>
      <c r="J502" s="38">
        <v>1525866.3478919545</v>
      </c>
      <c r="K502" s="38">
        <f t="shared" si="38"/>
        <v>2952356.1784318378</v>
      </c>
      <c r="L502" s="41">
        <f>VLOOKUP(INDICADORES!$B$21,'DATOS GENERALES'!$K:$M,3,0)*E502</f>
        <v>66699.057654046977</v>
      </c>
      <c r="M502" s="38">
        <f t="shared" si="39"/>
        <v>2885657.1207777909</v>
      </c>
      <c r="N502" s="36"/>
      <c r="O502" s="36"/>
      <c r="P502" s="36"/>
    </row>
    <row r="503" spans="1:16" x14ac:dyDescent="0.25">
      <c r="A503" s="36">
        <v>1873</v>
      </c>
      <c r="B503" s="37">
        <v>43800</v>
      </c>
      <c r="C503" s="36" t="s">
        <v>212</v>
      </c>
      <c r="D503" s="36"/>
      <c r="E503" s="38">
        <v>6950000</v>
      </c>
      <c r="F503" s="40">
        <f>VLOOKUP(A503,'DATOS GENERALES'!A:B,2,0)</f>
        <v>1.83</v>
      </c>
      <c r="G503" s="36">
        <f t="shared" si="35"/>
        <v>1.821582</v>
      </c>
      <c r="H503" s="38">
        <f t="shared" si="36"/>
        <v>3815364.8861264549</v>
      </c>
      <c r="I503" s="38">
        <f t="shared" si="37"/>
        <v>3134635.1138735451</v>
      </c>
      <c r="J503" s="38">
        <v>1343813.4118680258</v>
      </c>
      <c r="K503" s="38">
        <f t="shared" si="38"/>
        <v>1790821.7020055193</v>
      </c>
      <c r="L503" s="41">
        <f>VLOOKUP(INDICADORES!$B$21,'DATOS GENERALES'!$K:$M,3,0)*E503</f>
        <v>47301.88272404352</v>
      </c>
      <c r="M503" s="38">
        <f t="shared" si="39"/>
        <v>1743519.8192814759</v>
      </c>
      <c r="N503" s="36"/>
      <c r="O503" s="36"/>
      <c r="P503" s="36"/>
    </row>
    <row r="504" spans="1:16" x14ac:dyDescent="0.25">
      <c r="A504" s="36">
        <v>1883</v>
      </c>
      <c r="B504" s="37">
        <v>43466</v>
      </c>
      <c r="C504" s="36" t="s">
        <v>212</v>
      </c>
      <c r="D504" s="36"/>
      <c r="E504" s="38">
        <v>11029019</v>
      </c>
      <c r="F504" s="40">
        <f>VLOOKUP(A504,'DATOS GENERALES'!A:B,2,0)</f>
        <v>5.27</v>
      </c>
      <c r="G504" s="36">
        <f t="shared" si="35"/>
        <v>5.2457579999999995</v>
      </c>
      <c r="H504" s="38">
        <f t="shared" si="36"/>
        <v>2102464.3149760244</v>
      </c>
      <c r="I504" s="38">
        <f t="shared" si="37"/>
        <v>8926554.6850239746</v>
      </c>
      <c r="J504" s="38">
        <v>461319.23992784927</v>
      </c>
      <c r="K504" s="38">
        <f t="shared" si="38"/>
        <v>8465235.4450961258</v>
      </c>
      <c r="L504" s="41">
        <f>VLOOKUP(INDICADORES!$B$21,'DATOS GENERALES'!$K:$M,3,0)*E504</f>
        <v>75063.793280467304</v>
      </c>
      <c r="M504" s="38">
        <f t="shared" si="39"/>
        <v>8390171.6518156584</v>
      </c>
      <c r="N504" s="36"/>
      <c r="O504" s="36"/>
      <c r="P504" s="36"/>
    </row>
    <row r="505" spans="1:16" x14ac:dyDescent="0.25">
      <c r="A505" s="36">
        <v>1883</v>
      </c>
      <c r="B505" s="37">
        <v>43497</v>
      </c>
      <c r="C505" s="36" t="s">
        <v>212</v>
      </c>
      <c r="D505" s="36"/>
      <c r="E505" s="38">
        <v>11029019</v>
      </c>
      <c r="F505" s="40">
        <f>VLOOKUP(A505,'DATOS GENERALES'!A:B,2,0)</f>
        <v>5.27</v>
      </c>
      <c r="G505" s="36">
        <f t="shared" si="35"/>
        <v>5.2457579999999995</v>
      </c>
      <c r="H505" s="38">
        <f t="shared" si="36"/>
        <v>2102464.3149760244</v>
      </c>
      <c r="I505" s="38">
        <f t="shared" si="37"/>
        <v>8926554.6850239746</v>
      </c>
      <c r="J505" s="38">
        <v>454464.16063747031</v>
      </c>
      <c r="K505" s="38">
        <f t="shared" si="38"/>
        <v>8472090.5243865047</v>
      </c>
      <c r="L505" s="41">
        <f>VLOOKUP(INDICADORES!$B$21,'DATOS GENERALES'!$K:$M,3,0)*E505</f>
        <v>75063.793280467304</v>
      </c>
      <c r="M505" s="38">
        <f t="shared" si="39"/>
        <v>8397026.7311060373</v>
      </c>
      <c r="N505" s="36"/>
      <c r="O505" s="36"/>
      <c r="P505" s="36"/>
    </row>
    <row r="506" spans="1:16" x14ac:dyDescent="0.25">
      <c r="A506" s="36">
        <v>1883</v>
      </c>
      <c r="B506" s="37">
        <v>43525</v>
      </c>
      <c r="C506" s="36" t="s">
        <v>212</v>
      </c>
      <c r="D506" s="36"/>
      <c r="E506" s="38">
        <v>11029019</v>
      </c>
      <c r="F506" s="40">
        <f>VLOOKUP(A506,'DATOS GENERALES'!A:B,2,0)</f>
        <v>5.27</v>
      </c>
      <c r="G506" s="36">
        <f t="shared" si="35"/>
        <v>5.2457579999999995</v>
      </c>
      <c r="H506" s="38">
        <f t="shared" si="36"/>
        <v>2102464.3149760244</v>
      </c>
      <c r="I506" s="38">
        <f t="shared" si="37"/>
        <v>8926554.6850239746</v>
      </c>
      <c r="J506" s="38">
        <v>328799.18356228434</v>
      </c>
      <c r="K506" s="38">
        <f t="shared" si="38"/>
        <v>8597755.5014616903</v>
      </c>
      <c r="L506" s="41">
        <f>VLOOKUP(INDICADORES!$B$21,'DATOS GENERALES'!$K:$M,3,0)*E506</f>
        <v>75063.793280467304</v>
      </c>
      <c r="M506" s="38">
        <f t="shared" si="39"/>
        <v>8522691.7081812229</v>
      </c>
      <c r="N506" s="36"/>
      <c r="O506" s="36"/>
      <c r="P506" s="36"/>
    </row>
    <row r="507" spans="1:16" x14ac:dyDescent="0.25">
      <c r="A507" s="36">
        <v>1883</v>
      </c>
      <c r="B507" s="37">
        <v>43556</v>
      </c>
      <c r="C507" s="36" t="s">
        <v>212</v>
      </c>
      <c r="D507" s="36"/>
      <c r="E507" s="38">
        <v>11029019</v>
      </c>
      <c r="F507" s="40">
        <f>VLOOKUP(A507,'DATOS GENERALES'!A:B,2,0)</f>
        <v>5.27</v>
      </c>
      <c r="G507" s="36">
        <f t="shared" si="35"/>
        <v>5.2457579999999995</v>
      </c>
      <c r="H507" s="38">
        <f t="shared" si="36"/>
        <v>2102464.3149760244</v>
      </c>
      <c r="I507" s="38">
        <f t="shared" si="37"/>
        <v>8926554.6850239746</v>
      </c>
      <c r="J507" s="38">
        <v>338030.3416963091</v>
      </c>
      <c r="K507" s="38">
        <f t="shared" si="38"/>
        <v>8588524.3433276657</v>
      </c>
      <c r="L507" s="41">
        <f>VLOOKUP(INDICADORES!$B$21,'DATOS GENERALES'!$K:$M,3,0)*E507</f>
        <v>75063.793280467304</v>
      </c>
      <c r="M507" s="38">
        <f t="shared" si="39"/>
        <v>8513460.5500471983</v>
      </c>
      <c r="N507" s="36"/>
      <c r="O507" s="36"/>
      <c r="P507" s="36"/>
    </row>
    <row r="508" spans="1:16" x14ac:dyDescent="0.25">
      <c r="A508" s="36">
        <v>1883</v>
      </c>
      <c r="B508" s="37">
        <v>43586</v>
      </c>
      <c r="C508" s="36" t="s">
        <v>212</v>
      </c>
      <c r="D508" s="36"/>
      <c r="E508" s="38">
        <v>11029019</v>
      </c>
      <c r="F508" s="40">
        <f>VLOOKUP(A508,'DATOS GENERALES'!A:B,2,0)</f>
        <v>5.27</v>
      </c>
      <c r="G508" s="36">
        <f t="shared" si="35"/>
        <v>5.2457579999999995</v>
      </c>
      <c r="H508" s="38">
        <f t="shared" si="36"/>
        <v>2102464.3149760244</v>
      </c>
      <c r="I508" s="38">
        <f t="shared" si="37"/>
        <v>8926554.6850239746</v>
      </c>
      <c r="J508" s="38">
        <v>278851.39193487825</v>
      </c>
      <c r="K508" s="38">
        <f t="shared" si="38"/>
        <v>8647703.2930890955</v>
      </c>
      <c r="L508" s="41">
        <f>VLOOKUP(INDICADORES!$B$21,'DATOS GENERALES'!$K:$M,3,0)*E508</f>
        <v>75063.793280467304</v>
      </c>
      <c r="M508" s="38">
        <f t="shared" si="39"/>
        <v>8572639.4998086281</v>
      </c>
      <c r="N508" s="36"/>
      <c r="O508" s="36"/>
      <c r="P508" s="36"/>
    </row>
    <row r="509" spans="1:16" x14ac:dyDescent="0.25">
      <c r="A509" s="36">
        <v>1883</v>
      </c>
      <c r="B509" s="37">
        <v>43617</v>
      </c>
      <c r="C509" s="36" t="s">
        <v>212</v>
      </c>
      <c r="D509" s="36"/>
      <c r="E509" s="38">
        <v>11029019</v>
      </c>
      <c r="F509" s="40">
        <f>VLOOKUP(A509,'DATOS GENERALES'!A:B,2,0)</f>
        <v>5.27</v>
      </c>
      <c r="G509" s="36">
        <f t="shared" si="35"/>
        <v>5.2457579999999995</v>
      </c>
      <c r="H509" s="38">
        <f t="shared" si="36"/>
        <v>2102464.3149760244</v>
      </c>
      <c r="I509" s="38">
        <f t="shared" si="37"/>
        <v>8926554.6850239746</v>
      </c>
      <c r="J509" s="38">
        <v>313206.26932043949</v>
      </c>
      <c r="K509" s="38">
        <f t="shared" si="38"/>
        <v>8613348.4157035351</v>
      </c>
      <c r="L509" s="41">
        <f>VLOOKUP(INDICADORES!$B$21,'DATOS GENERALES'!$K:$M,3,0)*E509</f>
        <v>75063.793280467304</v>
      </c>
      <c r="M509" s="38">
        <f t="shared" si="39"/>
        <v>8538284.6224230677</v>
      </c>
      <c r="N509" s="36"/>
      <c r="O509" s="36"/>
      <c r="P509" s="36"/>
    </row>
    <row r="510" spans="1:16" x14ac:dyDescent="0.25">
      <c r="A510" s="36">
        <v>1883</v>
      </c>
      <c r="B510" s="37">
        <v>43647</v>
      </c>
      <c r="C510" s="36" t="s">
        <v>212</v>
      </c>
      <c r="D510" s="36"/>
      <c r="E510" s="38">
        <v>11029019</v>
      </c>
      <c r="F510" s="40">
        <f>VLOOKUP(A510,'DATOS GENERALES'!A:B,2,0)</f>
        <v>5.27</v>
      </c>
      <c r="G510" s="36">
        <f t="shared" si="35"/>
        <v>5.2457579999999995</v>
      </c>
      <c r="H510" s="38">
        <f t="shared" si="36"/>
        <v>2102464.3149760244</v>
      </c>
      <c r="I510" s="38">
        <f t="shared" si="37"/>
        <v>8926554.6850239746</v>
      </c>
      <c r="J510" s="38">
        <v>543888.22918158991</v>
      </c>
      <c r="K510" s="38">
        <f t="shared" si="38"/>
        <v>8382666.4558423851</v>
      </c>
      <c r="L510" s="41">
        <f>VLOOKUP(INDICADORES!$B$21,'DATOS GENERALES'!$K:$M,3,0)*E510</f>
        <v>75063.793280467304</v>
      </c>
      <c r="M510" s="38">
        <f t="shared" si="39"/>
        <v>8307602.6625619177</v>
      </c>
      <c r="N510" s="36"/>
      <c r="O510" s="36"/>
      <c r="P510" s="36"/>
    </row>
    <row r="511" spans="1:16" x14ac:dyDescent="0.25">
      <c r="A511" s="36">
        <v>1883</v>
      </c>
      <c r="B511" s="37">
        <v>43678</v>
      </c>
      <c r="C511" s="36" t="s">
        <v>212</v>
      </c>
      <c r="D511" s="36"/>
      <c r="E511" s="38">
        <v>11029019</v>
      </c>
      <c r="F511" s="40">
        <f>VLOOKUP(A511,'DATOS GENERALES'!A:B,2,0)</f>
        <v>5.27</v>
      </c>
      <c r="G511" s="36">
        <f t="shared" si="35"/>
        <v>5.2457579999999995</v>
      </c>
      <c r="H511" s="38">
        <f t="shared" si="36"/>
        <v>2102464.3149760244</v>
      </c>
      <c r="I511" s="38">
        <f t="shared" si="37"/>
        <v>8926554.6850239746</v>
      </c>
      <c r="J511" s="38">
        <v>546151.68923368945</v>
      </c>
      <c r="K511" s="38">
        <f t="shared" si="38"/>
        <v>8380402.9957902851</v>
      </c>
      <c r="L511" s="41">
        <f>VLOOKUP(INDICADORES!$B$21,'DATOS GENERALES'!$K:$M,3,0)*E511</f>
        <v>75063.793280467304</v>
      </c>
      <c r="M511" s="38">
        <f t="shared" si="39"/>
        <v>8305339.2025098177</v>
      </c>
      <c r="N511" s="36"/>
      <c r="O511" s="36"/>
      <c r="P511" s="36"/>
    </row>
    <row r="512" spans="1:16" x14ac:dyDescent="0.25">
      <c r="A512" s="36">
        <v>1883</v>
      </c>
      <c r="B512" s="37">
        <v>43709</v>
      </c>
      <c r="C512" s="36" t="s">
        <v>212</v>
      </c>
      <c r="D512" s="36"/>
      <c r="E512" s="38">
        <v>11029019</v>
      </c>
      <c r="F512" s="40">
        <f>VLOOKUP(A512,'DATOS GENERALES'!A:B,2,0)</f>
        <v>5.27</v>
      </c>
      <c r="G512" s="36">
        <f t="shared" si="35"/>
        <v>5.2457579999999995</v>
      </c>
      <c r="H512" s="38">
        <f t="shared" si="36"/>
        <v>2102464.3149760244</v>
      </c>
      <c r="I512" s="38">
        <f t="shared" si="37"/>
        <v>8926554.6850239746</v>
      </c>
      <c r="J512" s="38">
        <v>602821.06152205018</v>
      </c>
      <c r="K512" s="38">
        <f t="shared" si="38"/>
        <v>8323733.6235019248</v>
      </c>
      <c r="L512" s="41">
        <f>VLOOKUP(INDICADORES!$B$21,'DATOS GENERALES'!$K:$M,3,0)*E512</f>
        <v>75063.793280467304</v>
      </c>
      <c r="M512" s="38">
        <f t="shared" si="39"/>
        <v>8248669.8302214574</v>
      </c>
      <c r="N512" s="36"/>
      <c r="O512" s="36"/>
      <c r="P512" s="36"/>
    </row>
    <row r="513" spans="1:16" x14ac:dyDescent="0.25">
      <c r="A513" s="36">
        <v>1883</v>
      </c>
      <c r="B513" s="37">
        <v>43739</v>
      </c>
      <c r="C513" s="36" t="s">
        <v>212</v>
      </c>
      <c r="D513" s="36"/>
      <c r="E513" s="38">
        <v>11029019</v>
      </c>
      <c r="F513" s="40">
        <f>VLOOKUP(A513,'DATOS GENERALES'!A:B,2,0)</f>
        <v>5.27</v>
      </c>
      <c r="G513" s="36">
        <f t="shared" si="35"/>
        <v>5.2457579999999995</v>
      </c>
      <c r="H513" s="38">
        <f t="shared" si="36"/>
        <v>2102464.3149760244</v>
      </c>
      <c r="I513" s="38">
        <f t="shared" si="37"/>
        <v>8926554.6850239746</v>
      </c>
      <c r="J513" s="38">
        <v>654207.49702377839</v>
      </c>
      <c r="K513" s="38">
        <f t="shared" si="38"/>
        <v>8272347.1880001966</v>
      </c>
      <c r="L513" s="41">
        <f>VLOOKUP(INDICADORES!$B$21,'DATOS GENERALES'!$K:$M,3,0)*E513</f>
        <v>75063.793280467304</v>
      </c>
      <c r="M513" s="38">
        <f t="shared" si="39"/>
        <v>8197283.3947197292</v>
      </c>
      <c r="N513" s="36"/>
      <c r="O513" s="36"/>
      <c r="P513" s="36"/>
    </row>
    <row r="514" spans="1:16" x14ac:dyDescent="0.25">
      <c r="A514" s="36">
        <v>1883</v>
      </c>
      <c r="B514" s="37">
        <v>43770</v>
      </c>
      <c r="C514" s="36" t="s">
        <v>212</v>
      </c>
      <c r="D514" s="36"/>
      <c r="E514" s="38">
        <v>11029019</v>
      </c>
      <c r="F514" s="40">
        <f>VLOOKUP(A514,'DATOS GENERALES'!A:B,2,0)</f>
        <v>5.27</v>
      </c>
      <c r="G514" s="36">
        <f t="shared" si="35"/>
        <v>5.2457579999999995</v>
      </c>
      <c r="H514" s="38">
        <f t="shared" si="36"/>
        <v>2102464.3149760244</v>
      </c>
      <c r="I514" s="38">
        <f t="shared" si="37"/>
        <v>8926554.6850239746</v>
      </c>
      <c r="J514" s="38">
        <v>858514.19787096477</v>
      </c>
      <c r="K514" s="38">
        <f t="shared" si="38"/>
        <v>8068040.4871530095</v>
      </c>
      <c r="L514" s="41">
        <f>VLOOKUP(INDICADORES!$B$21,'DATOS GENERALES'!$K:$M,3,0)*E514</f>
        <v>75063.793280467304</v>
      </c>
      <c r="M514" s="38">
        <f t="shared" si="39"/>
        <v>7992976.6938725421</v>
      </c>
      <c r="N514" s="36"/>
      <c r="O514" s="36"/>
      <c r="P514" s="36"/>
    </row>
    <row r="515" spans="1:16" x14ac:dyDescent="0.25">
      <c r="A515" s="36">
        <v>1883</v>
      </c>
      <c r="B515" s="37">
        <v>43800</v>
      </c>
      <c r="C515" s="36" t="s">
        <v>212</v>
      </c>
      <c r="D515" s="36"/>
      <c r="E515" s="38">
        <v>11029019</v>
      </c>
      <c r="F515" s="40">
        <f>VLOOKUP(A515,'DATOS GENERALES'!A:B,2,0)</f>
        <v>5.27</v>
      </c>
      <c r="G515" s="36">
        <f t="shared" ref="G515:G578" si="40">F515*0.9954</f>
        <v>5.2457579999999995</v>
      </c>
      <c r="H515" s="38">
        <f t="shared" ref="H515:H578" si="41">E515/G515</f>
        <v>2102464.3149760244</v>
      </c>
      <c r="I515" s="38">
        <f t="shared" ref="I515:I578" si="42">E515-H515</f>
        <v>8926554.6850239746</v>
      </c>
      <c r="J515" s="38">
        <v>740511.02024663903</v>
      </c>
      <c r="K515" s="38">
        <f t="shared" ref="K515:K578" si="43">IFERROR(I515-J515,"")</f>
        <v>8186043.6647773357</v>
      </c>
      <c r="L515" s="41">
        <f>VLOOKUP(INDICADORES!$B$21,'DATOS GENERALES'!$K:$M,3,0)*E515</f>
        <v>75063.793280467304</v>
      </c>
      <c r="M515" s="38">
        <f t="shared" ref="M515:M578" si="44">IFERROR(K515-L515,"")</f>
        <v>8110979.8714968683</v>
      </c>
      <c r="N515" s="36"/>
      <c r="O515" s="36"/>
      <c r="P515" s="36"/>
    </row>
    <row r="516" spans="1:16" x14ac:dyDescent="0.25">
      <c r="A516" s="36">
        <v>1883</v>
      </c>
      <c r="B516" s="37">
        <v>43831</v>
      </c>
      <c r="C516" s="36" t="s">
        <v>212</v>
      </c>
      <c r="D516" s="36"/>
      <c r="E516" s="38">
        <v>11029019</v>
      </c>
      <c r="F516" s="40">
        <f>VLOOKUP(A516,'DATOS GENERALES'!A:B,2,0)</f>
        <v>5.27</v>
      </c>
      <c r="G516" s="36">
        <f t="shared" si="40"/>
        <v>5.2457579999999995</v>
      </c>
      <c r="H516" s="38">
        <f t="shared" si="41"/>
        <v>2102464.3149760244</v>
      </c>
      <c r="I516" s="38">
        <f t="shared" si="42"/>
        <v>8926554.6850239746</v>
      </c>
      <c r="J516" s="38" t="s">
        <v>213</v>
      </c>
      <c r="K516" s="38" t="str">
        <f t="shared" si="43"/>
        <v/>
      </c>
      <c r="L516" s="41">
        <f>VLOOKUP(INDICADORES!$B$21,'DATOS GENERALES'!$K:$M,3,0)*E516</f>
        <v>75063.793280467304</v>
      </c>
      <c r="M516" s="38" t="str">
        <f t="shared" si="44"/>
        <v/>
      </c>
      <c r="N516" s="36"/>
      <c r="O516" s="36"/>
      <c r="P516" s="36"/>
    </row>
    <row r="517" spans="1:16" x14ac:dyDescent="0.25">
      <c r="A517" s="36">
        <v>1883</v>
      </c>
      <c r="B517" s="37">
        <v>43862</v>
      </c>
      <c r="C517" s="36" t="s">
        <v>212</v>
      </c>
      <c r="D517" s="36"/>
      <c r="E517" s="38">
        <v>11029019</v>
      </c>
      <c r="F517" s="40">
        <f>VLOOKUP(A517,'DATOS GENERALES'!A:B,2,0)</f>
        <v>5.27</v>
      </c>
      <c r="G517" s="36">
        <f t="shared" si="40"/>
        <v>5.2457579999999995</v>
      </c>
      <c r="H517" s="38">
        <f t="shared" si="41"/>
        <v>2102464.3149760244</v>
      </c>
      <c r="I517" s="38">
        <f t="shared" si="42"/>
        <v>8926554.6850239746</v>
      </c>
      <c r="J517" s="38" t="s">
        <v>213</v>
      </c>
      <c r="K517" s="38" t="str">
        <f t="shared" si="43"/>
        <v/>
      </c>
      <c r="L517" s="41">
        <f>VLOOKUP(INDICADORES!$B$21,'DATOS GENERALES'!$K:$M,3,0)*E517</f>
        <v>75063.793280467304</v>
      </c>
      <c r="M517" s="38" t="str">
        <f t="shared" si="44"/>
        <v/>
      </c>
      <c r="N517" s="36"/>
      <c r="O517" s="36"/>
      <c r="P517" s="36"/>
    </row>
    <row r="518" spans="1:16" x14ac:dyDescent="0.25">
      <c r="A518" s="36">
        <v>1883</v>
      </c>
      <c r="B518" s="37">
        <v>43891</v>
      </c>
      <c r="C518" s="36" t="s">
        <v>212</v>
      </c>
      <c r="D518" s="36"/>
      <c r="E518" s="38">
        <v>11029019</v>
      </c>
      <c r="F518" s="40">
        <f>VLOOKUP(A518,'DATOS GENERALES'!A:B,2,0)</f>
        <v>5.27</v>
      </c>
      <c r="G518" s="36">
        <f t="shared" si="40"/>
        <v>5.2457579999999995</v>
      </c>
      <c r="H518" s="38">
        <f t="shared" si="41"/>
        <v>2102464.3149760244</v>
      </c>
      <c r="I518" s="38">
        <f t="shared" si="42"/>
        <v>8926554.6850239746</v>
      </c>
      <c r="J518" s="38" t="s">
        <v>213</v>
      </c>
      <c r="K518" s="38" t="str">
        <f t="shared" si="43"/>
        <v/>
      </c>
      <c r="L518" s="41">
        <f>VLOOKUP(INDICADORES!$B$21,'DATOS GENERALES'!$K:$M,3,0)*E518</f>
        <v>75063.793280467304</v>
      </c>
      <c r="M518" s="38" t="str">
        <f t="shared" si="44"/>
        <v/>
      </c>
      <c r="N518" s="36"/>
      <c r="O518" s="36"/>
      <c r="P518" s="36"/>
    </row>
    <row r="519" spans="1:16" x14ac:dyDescent="0.25">
      <c r="A519" s="36">
        <v>1883</v>
      </c>
      <c r="B519" s="37">
        <v>43922</v>
      </c>
      <c r="C519" s="36" t="s">
        <v>212</v>
      </c>
      <c r="D519" s="36"/>
      <c r="E519" s="38">
        <v>11029019</v>
      </c>
      <c r="F519" s="40">
        <f>VLOOKUP(A519,'DATOS GENERALES'!A:B,2,0)</f>
        <v>5.27</v>
      </c>
      <c r="G519" s="36">
        <f t="shared" si="40"/>
        <v>5.2457579999999995</v>
      </c>
      <c r="H519" s="38">
        <f t="shared" si="41"/>
        <v>2102464.3149760244</v>
      </c>
      <c r="I519" s="38">
        <f t="shared" si="42"/>
        <v>8926554.6850239746</v>
      </c>
      <c r="J519" s="38" t="s">
        <v>213</v>
      </c>
      <c r="K519" s="38" t="str">
        <f t="shared" si="43"/>
        <v/>
      </c>
      <c r="L519" s="41">
        <f>VLOOKUP(INDICADORES!$B$21,'DATOS GENERALES'!$K:$M,3,0)*E519</f>
        <v>75063.793280467304</v>
      </c>
      <c r="M519" s="38" t="str">
        <f t="shared" si="44"/>
        <v/>
      </c>
      <c r="N519" s="36"/>
      <c r="O519" s="36"/>
      <c r="P519" s="36"/>
    </row>
    <row r="520" spans="1:16" x14ac:dyDescent="0.25">
      <c r="A520" s="36">
        <v>1883</v>
      </c>
      <c r="B520" s="37">
        <v>43952</v>
      </c>
      <c r="C520" s="36" t="s">
        <v>212</v>
      </c>
      <c r="D520" s="36"/>
      <c r="E520" s="38">
        <v>11029019</v>
      </c>
      <c r="F520" s="40">
        <f>VLOOKUP(A520,'DATOS GENERALES'!A:B,2,0)</f>
        <v>5.27</v>
      </c>
      <c r="G520" s="36">
        <f t="shared" si="40"/>
        <v>5.2457579999999995</v>
      </c>
      <c r="H520" s="38">
        <f t="shared" si="41"/>
        <v>2102464.3149760244</v>
      </c>
      <c r="I520" s="38">
        <f t="shared" si="42"/>
        <v>8926554.6850239746</v>
      </c>
      <c r="J520" s="38" t="s">
        <v>213</v>
      </c>
      <c r="K520" s="38" t="str">
        <f t="shared" si="43"/>
        <v/>
      </c>
      <c r="L520" s="41">
        <f>VLOOKUP(INDICADORES!$B$21,'DATOS GENERALES'!$K:$M,3,0)*E520</f>
        <v>75063.793280467304</v>
      </c>
      <c r="M520" s="38" t="str">
        <f t="shared" si="44"/>
        <v/>
      </c>
      <c r="N520" s="36"/>
      <c r="O520" s="36"/>
      <c r="P520" s="36"/>
    </row>
    <row r="521" spans="1:16" x14ac:dyDescent="0.25">
      <c r="A521" s="36">
        <v>1883</v>
      </c>
      <c r="B521" s="37">
        <v>43983</v>
      </c>
      <c r="C521" s="36" t="s">
        <v>212</v>
      </c>
      <c r="D521" s="36"/>
      <c r="E521" s="38">
        <v>11029019</v>
      </c>
      <c r="F521" s="40">
        <f>VLOOKUP(A521,'DATOS GENERALES'!A:B,2,0)</f>
        <v>5.27</v>
      </c>
      <c r="G521" s="36">
        <f t="shared" si="40"/>
        <v>5.2457579999999995</v>
      </c>
      <c r="H521" s="38">
        <f t="shared" si="41"/>
        <v>2102464.3149760244</v>
      </c>
      <c r="I521" s="38">
        <f t="shared" si="42"/>
        <v>8926554.6850239746</v>
      </c>
      <c r="J521" s="38" t="s">
        <v>213</v>
      </c>
      <c r="K521" s="38" t="str">
        <f t="shared" si="43"/>
        <v/>
      </c>
      <c r="L521" s="41">
        <f>VLOOKUP(INDICADORES!$B$21,'DATOS GENERALES'!$K:$M,3,0)*E521</f>
        <v>75063.793280467304</v>
      </c>
      <c r="M521" s="38" t="str">
        <f t="shared" si="44"/>
        <v/>
      </c>
      <c r="N521" s="36"/>
      <c r="O521" s="36"/>
      <c r="P521" s="36"/>
    </row>
    <row r="522" spans="1:16" x14ac:dyDescent="0.25">
      <c r="A522" s="36">
        <v>1883</v>
      </c>
      <c r="B522" s="37">
        <v>44013</v>
      </c>
      <c r="C522" s="36" t="s">
        <v>212</v>
      </c>
      <c r="D522" s="36"/>
      <c r="E522" s="38">
        <v>11029019</v>
      </c>
      <c r="F522" s="40">
        <f>VLOOKUP(A522,'DATOS GENERALES'!A:B,2,0)</f>
        <v>5.27</v>
      </c>
      <c r="G522" s="36">
        <f t="shared" si="40"/>
        <v>5.2457579999999995</v>
      </c>
      <c r="H522" s="38">
        <f t="shared" si="41"/>
        <v>2102464.3149760244</v>
      </c>
      <c r="I522" s="38">
        <f t="shared" si="42"/>
        <v>8926554.6850239746</v>
      </c>
      <c r="J522" s="38" t="s">
        <v>213</v>
      </c>
      <c r="K522" s="38" t="str">
        <f t="shared" si="43"/>
        <v/>
      </c>
      <c r="L522" s="41">
        <f>VLOOKUP(INDICADORES!$B$21,'DATOS GENERALES'!$K:$M,3,0)*E522</f>
        <v>75063.793280467304</v>
      </c>
      <c r="M522" s="38" t="str">
        <f t="shared" si="44"/>
        <v/>
      </c>
      <c r="N522" s="36"/>
      <c r="O522" s="36"/>
      <c r="P522" s="36"/>
    </row>
    <row r="523" spans="1:16" x14ac:dyDescent="0.25">
      <c r="A523" s="36">
        <v>1883</v>
      </c>
      <c r="B523" s="37">
        <v>44044</v>
      </c>
      <c r="C523" s="36" t="s">
        <v>212</v>
      </c>
      <c r="D523" s="36"/>
      <c r="E523" s="38">
        <v>11029019</v>
      </c>
      <c r="F523" s="40">
        <f>VLOOKUP(A523,'DATOS GENERALES'!A:B,2,0)</f>
        <v>5.27</v>
      </c>
      <c r="G523" s="36">
        <f t="shared" si="40"/>
        <v>5.2457579999999995</v>
      </c>
      <c r="H523" s="38">
        <f t="shared" si="41"/>
        <v>2102464.3149760244</v>
      </c>
      <c r="I523" s="38">
        <f t="shared" si="42"/>
        <v>8926554.6850239746</v>
      </c>
      <c r="J523" s="38" t="s">
        <v>213</v>
      </c>
      <c r="K523" s="38" t="str">
        <f t="shared" si="43"/>
        <v/>
      </c>
      <c r="L523" s="41">
        <f>VLOOKUP(INDICADORES!$B$21,'DATOS GENERALES'!$K:$M,3,0)*E523</f>
        <v>75063.793280467304</v>
      </c>
      <c r="M523" s="38" t="str">
        <f t="shared" si="44"/>
        <v/>
      </c>
      <c r="N523" s="36"/>
      <c r="O523" s="36"/>
      <c r="P523" s="36"/>
    </row>
    <row r="524" spans="1:16" x14ac:dyDescent="0.25">
      <c r="A524" s="36">
        <v>1883</v>
      </c>
      <c r="B524" s="37">
        <v>44075</v>
      </c>
      <c r="C524" s="36" t="s">
        <v>212</v>
      </c>
      <c r="D524" s="36"/>
      <c r="E524" s="38">
        <v>11029019</v>
      </c>
      <c r="F524" s="40">
        <f>VLOOKUP(A524,'DATOS GENERALES'!A:B,2,0)</f>
        <v>5.27</v>
      </c>
      <c r="G524" s="36">
        <f t="shared" si="40"/>
        <v>5.2457579999999995</v>
      </c>
      <c r="H524" s="38">
        <f t="shared" si="41"/>
        <v>2102464.3149760244</v>
      </c>
      <c r="I524" s="38">
        <f t="shared" si="42"/>
        <v>8926554.6850239746</v>
      </c>
      <c r="J524" s="38" t="s">
        <v>213</v>
      </c>
      <c r="K524" s="38" t="str">
        <f t="shared" si="43"/>
        <v/>
      </c>
      <c r="L524" s="41">
        <f>VLOOKUP(INDICADORES!$B$21,'DATOS GENERALES'!$K:$M,3,0)*E524</f>
        <v>75063.793280467304</v>
      </c>
      <c r="M524" s="38" t="str">
        <f t="shared" si="44"/>
        <v/>
      </c>
      <c r="N524" s="36"/>
      <c r="O524" s="36"/>
      <c r="P524" s="36"/>
    </row>
    <row r="525" spans="1:16" x14ac:dyDescent="0.25">
      <c r="A525" s="36">
        <v>1883</v>
      </c>
      <c r="B525" s="37">
        <v>44105</v>
      </c>
      <c r="C525" s="36" t="s">
        <v>212</v>
      </c>
      <c r="D525" s="36"/>
      <c r="E525" s="38">
        <v>11029019</v>
      </c>
      <c r="F525" s="40">
        <f>VLOOKUP(A525,'DATOS GENERALES'!A:B,2,0)</f>
        <v>5.27</v>
      </c>
      <c r="G525" s="36">
        <f t="shared" si="40"/>
        <v>5.2457579999999995</v>
      </c>
      <c r="H525" s="38">
        <f t="shared" si="41"/>
        <v>2102464.3149760244</v>
      </c>
      <c r="I525" s="38">
        <f t="shared" si="42"/>
        <v>8926554.6850239746</v>
      </c>
      <c r="J525" s="38" t="s">
        <v>213</v>
      </c>
      <c r="K525" s="38" t="str">
        <f t="shared" si="43"/>
        <v/>
      </c>
      <c r="L525" s="41">
        <f>VLOOKUP(INDICADORES!$B$21,'DATOS GENERALES'!$K:$M,3,0)*E525</f>
        <v>75063.793280467304</v>
      </c>
      <c r="M525" s="38" t="str">
        <f t="shared" si="44"/>
        <v/>
      </c>
      <c r="N525" s="36"/>
      <c r="O525" s="36"/>
      <c r="P525" s="36"/>
    </row>
    <row r="526" spans="1:16" x14ac:dyDescent="0.25">
      <c r="A526" s="36">
        <v>1883</v>
      </c>
      <c r="B526" s="37">
        <v>44136</v>
      </c>
      <c r="C526" s="36" t="s">
        <v>212</v>
      </c>
      <c r="D526" s="36"/>
      <c r="E526" s="38">
        <v>11029019</v>
      </c>
      <c r="F526" s="40">
        <f>VLOOKUP(A526,'DATOS GENERALES'!A:B,2,0)</f>
        <v>5.27</v>
      </c>
      <c r="G526" s="36">
        <f t="shared" si="40"/>
        <v>5.2457579999999995</v>
      </c>
      <c r="H526" s="38">
        <f t="shared" si="41"/>
        <v>2102464.3149760244</v>
      </c>
      <c r="I526" s="38">
        <f t="shared" si="42"/>
        <v>8926554.6850239746</v>
      </c>
      <c r="J526" s="38" t="s">
        <v>213</v>
      </c>
      <c r="K526" s="38" t="str">
        <f t="shared" si="43"/>
        <v/>
      </c>
      <c r="L526" s="41">
        <f>VLOOKUP(INDICADORES!$B$21,'DATOS GENERALES'!$K:$M,3,0)*E526</f>
        <v>75063.793280467304</v>
      </c>
      <c r="M526" s="38" t="str">
        <f t="shared" si="44"/>
        <v/>
      </c>
      <c r="N526" s="36"/>
      <c r="O526" s="36"/>
      <c r="P526" s="36"/>
    </row>
    <row r="527" spans="1:16" x14ac:dyDescent="0.25">
      <c r="A527" s="36">
        <v>1883</v>
      </c>
      <c r="B527" s="37">
        <v>44166</v>
      </c>
      <c r="C527" s="36" t="s">
        <v>212</v>
      </c>
      <c r="D527" s="36"/>
      <c r="E527" s="38">
        <v>11029019</v>
      </c>
      <c r="F527" s="40">
        <f>VLOOKUP(A527,'DATOS GENERALES'!A:B,2,0)</f>
        <v>5.27</v>
      </c>
      <c r="G527" s="36">
        <f t="shared" si="40"/>
        <v>5.2457579999999995</v>
      </c>
      <c r="H527" s="38">
        <f t="shared" si="41"/>
        <v>2102464.3149760244</v>
      </c>
      <c r="I527" s="38">
        <f t="shared" si="42"/>
        <v>8926554.6850239746</v>
      </c>
      <c r="J527" s="38" t="s">
        <v>213</v>
      </c>
      <c r="K527" s="38" t="str">
        <f t="shared" si="43"/>
        <v/>
      </c>
      <c r="L527" s="41">
        <f>VLOOKUP(INDICADORES!$B$21,'DATOS GENERALES'!$K:$M,3,0)*E527</f>
        <v>75063.793280467304</v>
      </c>
      <c r="M527" s="38" t="str">
        <f t="shared" si="44"/>
        <v/>
      </c>
      <c r="N527" s="36"/>
      <c r="O527" s="36"/>
      <c r="P527" s="36"/>
    </row>
    <row r="528" spans="1:16" x14ac:dyDescent="0.25">
      <c r="A528" s="36">
        <v>1883</v>
      </c>
      <c r="B528" s="37">
        <v>44197</v>
      </c>
      <c r="C528" s="36" t="s">
        <v>212</v>
      </c>
      <c r="D528" s="36"/>
      <c r="E528" s="38">
        <v>11029019</v>
      </c>
      <c r="F528" s="40">
        <f>VLOOKUP(A528,'DATOS GENERALES'!A:B,2,0)</f>
        <v>5.27</v>
      </c>
      <c r="G528" s="36">
        <f t="shared" si="40"/>
        <v>5.2457579999999995</v>
      </c>
      <c r="H528" s="38">
        <f t="shared" si="41"/>
        <v>2102464.3149760244</v>
      </c>
      <c r="I528" s="38">
        <f t="shared" si="42"/>
        <v>8926554.6850239746</v>
      </c>
      <c r="J528" s="38" t="s">
        <v>213</v>
      </c>
      <c r="K528" s="38" t="str">
        <f t="shared" si="43"/>
        <v/>
      </c>
      <c r="L528" s="41">
        <f>VLOOKUP(INDICADORES!$B$21,'DATOS GENERALES'!$K:$M,3,0)*E528</f>
        <v>75063.793280467304</v>
      </c>
      <c r="M528" s="38" t="str">
        <f t="shared" si="44"/>
        <v/>
      </c>
      <c r="N528" s="36"/>
      <c r="O528" s="36"/>
      <c r="P528" s="36"/>
    </row>
    <row r="529" spans="1:16" x14ac:dyDescent="0.25">
      <c r="A529" s="36">
        <v>1883</v>
      </c>
      <c r="B529" s="37">
        <v>44228</v>
      </c>
      <c r="C529" s="36" t="s">
        <v>212</v>
      </c>
      <c r="D529" s="36"/>
      <c r="E529" s="38">
        <v>11029019</v>
      </c>
      <c r="F529" s="40">
        <f>VLOOKUP(A529,'DATOS GENERALES'!A:B,2,0)</f>
        <v>5.27</v>
      </c>
      <c r="G529" s="36">
        <f t="shared" si="40"/>
        <v>5.2457579999999995</v>
      </c>
      <c r="H529" s="38">
        <f t="shared" si="41"/>
        <v>2102464.3149760244</v>
      </c>
      <c r="I529" s="38">
        <f t="shared" si="42"/>
        <v>8926554.6850239746</v>
      </c>
      <c r="J529" s="38" t="s">
        <v>213</v>
      </c>
      <c r="K529" s="38" t="str">
        <f t="shared" si="43"/>
        <v/>
      </c>
      <c r="L529" s="41">
        <f>VLOOKUP(INDICADORES!$B$21,'DATOS GENERALES'!$K:$M,3,0)*E529</f>
        <v>75063.793280467304</v>
      </c>
      <c r="M529" s="38" t="str">
        <f t="shared" si="44"/>
        <v/>
      </c>
      <c r="N529" s="36"/>
      <c r="O529" s="36"/>
      <c r="P529" s="36"/>
    </row>
    <row r="530" spans="1:16" x14ac:dyDescent="0.25">
      <c r="A530" s="36">
        <v>1884</v>
      </c>
      <c r="B530" s="37">
        <v>43466</v>
      </c>
      <c r="C530" s="36" t="s">
        <v>212</v>
      </c>
      <c r="D530" s="36"/>
      <c r="E530" s="38">
        <v>10920000</v>
      </c>
      <c r="F530" s="40">
        <f>VLOOKUP(A530,'DATOS GENERALES'!A:B,2,0)</f>
        <v>5.0599999999999996</v>
      </c>
      <c r="G530" s="36">
        <f t="shared" si="40"/>
        <v>5.0367239999999995</v>
      </c>
      <c r="H530" s="38">
        <f t="shared" si="41"/>
        <v>2168075.9160120748</v>
      </c>
      <c r="I530" s="38">
        <f t="shared" si="42"/>
        <v>8751924.0839879252</v>
      </c>
      <c r="J530" s="38">
        <v>475715.62882482097</v>
      </c>
      <c r="K530" s="38">
        <f t="shared" si="43"/>
        <v>8276208.4551631045</v>
      </c>
      <c r="L530" s="41">
        <f>VLOOKUP(INDICADORES!$B$21,'DATOS GENERALES'!$K:$M,3,0)*E530</f>
        <v>74321.80710022377</v>
      </c>
      <c r="M530" s="38">
        <f t="shared" si="44"/>
        <v>8201886.6480628811</v>
      </c>
      <c r="N530" s="36"/>
      <c r="O530" s="36"/>
      <c r="P530" s="36"/>
    </row>
    <row r="531" spans="1:16" x14ac:dyDescent="0.25">
      <c r="A531" s="36">
        <v>1884</v>
      </c>
      <c r="B531" s="37">
        <v>43497</v>
      </c>
      <c r="C531" s="36" t="s">
        <v>212</v>
      </c>
      <c r="D531" s="36"/>
      <c r="E531" s="38">
        <v>10920000</v>
      </c>
      <c r="F531" s="40">
        <f>VLOOKUP(A531,'DATOS GENERALES'!A:B,2,0)</f>
        <v>5.0599999999999996</v>
      </c>
      <c r="G531" s="36">
        <f t="shared" si="40"/>
        <v>5.0367239999999995</v>
      </c>
      <c r="H531" s="38">
        <f t="shared" si="41"/>
        <v>2168075.9160120748</v>
      </c>
      <c r="I531" s="38">
        <f t="shared" si="42"/>
        <v>8751924.0839879252</v>
      </c>
      <c r="J531" s="38">
        <v>468646.62308429158</v>
      </c>
      <c r="K531" s="38">
        <f t="shared" si="43"/>
        <v>8283277.4609036334</v>
      </c>
      <c r="L531" s="41">
        <f>VLOOKUP(INDICADORES!$B$21,'DATOS GENERALES'!$K:$M,3,0)*E531</f>
        <v>74321.80710022377</v>
      </c>
      <c r="M531" s="38">
        <f t="shared" si="44"/>
        <v>8208955.65380341</v>
      </c>
      <c r="N531" s="36"/>
      <c r="O531" s="36"/>
      <c r="P531" s="36"/>
    </row>
    <row r="532" spans="1:16" x14ac:dyDescent="0.25">
      <c r="A532" s="36">
        <v>1884</v>
      </c>
      <c r="B532" s="37">
        <v>43525</v>
      </c>
      <c r="C532" s="36" t="s">
        <v>212</v>
      </c>
      <c r="D532" s="36"/>
      <c r="E532" s="38">
        <v>10920000</v>
      </c>
      <c r="F532" s="40">
        <f>VLOOKUP(A532,'DATOS GENERALES'!A:B,2,0)</f>
        <v>5.0599999999999996</v>
      </c>
      <c r="G532" s="36">
        <f t="shared" si="40"/>
        <v>5.0367239999999995</v>
      </c>
      <c r="H532" s="38">
        <f t="shared" si="41"/>
        <v>2168075.9160120748</v>
      </c>
      <c r="I532" s="38">
        <f t="shared" si="42"/>
        <v>8751924.0839879252</v>
      </c>
      <c r="J532" s="38">
        <v>339060.01923935203</v>
      </c>
      <c r="K532" s="38">
        <f t="shared" si="43"/>
        <v>8412864.064748574</v>
      </c>
      <c r="L532" s="41">
        <f>VLOOKUP(INDICADORES!$B$21,'DATOS GENERALES'!$K:$M,3,0)*E532</f>
        <v>74321.80710022377</v>
      </c>
      <c r="M532" s="38">
        <f t="shared" si="44"/>
        <v>8338542.2576483507</v>
      </c>
      <c r="N532" s="36"/>
      <c r="O532" s="36"/>
      <c r="P532" s="36"/>
    </row>
    <row r="533" spans="1:16" x14ac:dyDescent="0.25">
      <c r="A533" s="36">
        <v>1884</v>
      </c>
      <c r="B533" s="37">
        <v>43556</v>
      </c>
      <c r="C533" s="36" t="s">
        <v>212</v>
      </c>
      <c r="D533" s="36"/>
      <c r="E533" s="38">
        <v>10920000</v>
      </c>
      <c r="F533" s="40">
        <f>VLOOKUP(A533,'DATOS GENERALES'!A:B,2,0)</f>
        <v>5.0599999999999996</v>
      </c>
      <c r="G533" s="36">
        <f t="shared" si="40"/>
        <v>5.0367239999999995</v>
      </c>
      <c r="H533" s="38">
        <f t="shared" si="41"/>
        <v>2168075.9160120748</v>
      </c>
      <c r="I533" s="38">
        <f t="shared" si="42"/>
        <v>8751924.0839879252</v>
      </c>
      <c r="J533" s="38">
        <v>348579.25411278976</v>
      </c>
      <c r="K533" s="38">
        <f t="shared" si="43"/>
        <v>8403344.8298751358</v>
      </c>
      <c r="L533" s="41">
        <f>VLOOKUP(INDICADORES!$B$21,'DATOS GENERALES'!$K:$M,3,0)*E533</f>
        <v>74321.80710022377</v>
      </c>
      <c r="M533" s="38">
        <f t="shared" si="44"/>
        <v>8329023.0227749124</v>
      </c>
      <c r="N533" s="36"/>
      <c r="O533" s="36"/>
      <c r="P533" s="36"/>
    </row>
    <row r="534" spans="1:16" x14ac:dyDescent="0.25">
      <c r="A534" s="36">
        <v>1884</v>
      </c>
      <c r="B534" s="37">
        <v>43586</v>
      </c>
      <c r="C534" s="36" t="s">
        <v>212</v>
      </c>
      <c r="D534" s="36"/>
      <c r="E534" s="38">
        <v>10920000</v>
      </c>
      <c r="F534" s="40">
        <f>VLOOKUP(A534,'DATOS GENERALES'!A:B,2,0)</f>
        <v>5.0599999999999996</v>
      </c>
      <c r="G534" s="36">
        <f t="shared" si="40"/>
        <v>5.0367239999999995</v>
      </c>
      <c r="H534" s="38">
        <f t="shared" si="41"/>
        <v>2168075.9160120748</v>
      </c>
      <c r="I534" s="38">
        <f t="shared" si="42"/>
        <v>8751924.0839879252</v>
      </c>
      <c r="J534" s="38">
        <v>287553.50694613217</v>
      </c>
      <c r="K534" s="38">
        <f t="shared" si="43"/>
        <v>8464370.5770417936</v>
      </c>
      <c r="L534" s="41">
        <f>VLOOKUP(INDICADORES!$B$21,'DATOS GENERALES'!$K:$M,3,0)*E534</f>
        <v>74321.80710022377</v>
      </c>
      <c r="M534" s="38">
        <f t="shared" si="44"/>
        <v>8390048.7699415702</v>
      </c>
      <c r="N534" s="36"/>
      <c r="O534" s="36"/>
      <c r="P534" s="36"/>
    </row>
    <row r="535" spans="1:16" x14ac:dyDescent="0.25">
      <c r="A535" s="36">
        <v>1884</v>
      </c>
      <c r="B535" s="37">
        <v>43617</v>
      </c>
      <c r="C535" s="36" t="s">
        <v>212</v>
      </c>
      <c r="D535" s="36"/>
      <c r="E535" s="38">
        <v>10920000</v>
      </c>
      <c r="F535" s="40">
        <f>VLOOKUP(A535,'DATOS GENERALES'!A:B,2,0)</f>
        <v>5.0599999999999996</v>
      </c>
      <c r="G535" s="36">
        <f t="shared" si="40"/>
        <v>5.0367239999999995</v>
      </c>
      <c r="H535" s="38">
        <f t="shared" si="41"/>
        <v>2168075.9160120748</v>
      </c>
      <c r="I535" s="38">
        <f t="shared" si="42"/>
        <v>8751924.0839879252</v>
      </c>
      <c r="J535" s="38">
        <v>322980.49694383523</v>
      </c>
      <c r="K535" s="38">
        <f t="shared" si="43"/>
        <v>8428943.58704409</v>
      </c>
      <c r="L535" s="41">
        <f>VLOOKUP(INDICADORES!$B$21,'DATOS GENERALES'!$K:$M,3,0)*E535</f>
        <v>74321.80710022377</v>
      </c>
      <c r="M535" s="38">
        <f t="shared" si="44"/>
        <v>8354621.7799438667</v>
      </c>
      <c r="N535" s="36"/>
      <c r="O535" s="36"/>
      <c r="P535" s="36"/>
    </row>
    <row r="536" spans="1:16" x14ac:dyDescent="0.25">
      <c r="A536" s="36">
        <v>1884</v>
      </c>
      <c r="B536" s="37">
        <v>43647</v>
      </c>
      <c r="C536" s="36" t="s">
        <v>212</v>
      </c>
      <c r="D536" s="36"/>
      <c r="E536" s="38">
        <v>10920000</v>
      </c>
      <c r="F536" s="40">
        <f>VLOOKUP(A536,'DATOS GENERALES'!A:B,2,0)</f>
        <v>5.0599999999999996</v>
      </c>
      <c r="G536" s="36">
        <f t="shared" si="40"/>
        <v>5.0367239999999995</v>
      </c>
      <c r="H536" s="38">
        <f t="shared" si="41"/>
        <v>2168075.9160120748</v>
      </c>
      <c r="I536" s="38">
        <f t="shared" si="42"/>
        <v>8751924.0839879252</v>
      </c>
      <c r="J536" s="38">
        <v>560861.34841461398</v>
      </c>
      <c r="K536" s="38">
        <f t="shared" si="43"/>
        <v>8191062.7355733113</v>
      </c>
      <c r="L536" s="41">
        <f>VLOOKUP(INDICADORES!$B$21,'DATOS GENERALES'!$K:$M,3,0)*E536</f>
        <v>74321.80710022377</v>
      </c>
      <c r="M536" s="38">
        <f t="shared" si="44"/>
        <v>8116740.928473088</v>
      </c>
      <c r="N536" s="36"/>
      <c r="O536" s="36"/>
      <c r="P536" s="36"/>
    </row>
    <row r="537" spans="1:16" x14ac:dyDescent="0.25">
      <c r="A537" s="36">
        <v>1884</v>
      </c>
      <c r="B537" s="37">
        <v>43678</v>
      </c>
      <c r="C537" s="36" t="s">
        <v>212</v>
      </c>
      <c r="D537" s="36"/>
      <c r="E537" s="38">
        <v>10920000</v>
      </c>
      <c r="F537" s="40">
        <f>VLOOKUP(A537,'DATOS GENERALES'!A:B,2,0)</f>
        <v>5.0599999999999996</v>
      </c>
      <c r="G537" s="36">
        <f t="shared" si="40"/>
        <v>5.0367239999999995</v>
      </c>
      <c r="H537" s="38">
        <f t="shared" si="41"/>
        <v>2168075.9160120748</v>
      </c>
      <c r="I537" s="38">
        <f t="shared" si="42"/>
        <v>8751924.0839879252</v>
      </c>
      <c r="J537" s="38">
        <v>563195.44426150038</v>
      </c>
      <c r="K537" s="38">
        <f t="shared" si="43"/>
        <v>8188728.6397264246</v>
      </c>
      <c r="L537" s="41">
        <f>VLOOKUP(INDICADORES!$B$21,'DATOS GENERALES'!$K:$M,3,0)*E537</f>
        <v>74321.80710022377</v>
      </c>
      <c r="M537" s="38">
        <f t="shared" si="44"/>
        <v>8114406.8326262012</v>
      </c>
      <c r="N537" s="36"/>
      <c r="O537" s="36"/>
      <c r="P537" s="36"/>
    </row>
    <row r="538" spans="1:16" x14ac:dyDescent="0.25">
      <c r="A538" s="36">
        <v>1884</v>
      </c>
      <c r="B538" s="37">
        <v>43709</v>
      </c>
      <c r="C538" s="36" t="s">
        <v>212</v>
      </c>
      <c r="D538" s="36"/>
      <c r="E538" s="38">
        <v>10920000</v>
      </c>
      <c r="F538" s="40">
        <f>VLOOKUP(A538,'DATOS GENERALES'!A:B,2,0)</f>
        <v>5.0599999999999996</v>
      </c>
      <c r="G538" s="36">
        <f t="shared" si="40"/>
        <v>5.0367239999999995</v>
      </c>
      <c r="H538" s="38">
        <f t="shared" si="41"/>
        <v>2168075.9160120748</v>
      </c>
      <c r="I538" s="38">
        <f t="shared" si="42"/>
        <v>8751924.0839879252</v>
      </c>
      <c r="J538" s="38">
        <v>621633.29757427739</v>
      </c>
      <c r="K538" s="38">
        <f t="shared" si="43"/>
        <v>8130290.7864136482</v>
      </c>
      <c r="L538" s="41">
        <f>VLOOKUP(INDICADORES!$B$21,'DATOS GENERALES'!$K:$M,3,0)*E538</f>
        <v>74321.80710022377</v>
      </c>
      <c r="M538" s="38">
        <f t="shared" si="44"/>
        <v>8055968.9793134248</v>
      </c>
      <c r="N538" s="36"/>
      <c r="O538" s="36"/>
      <c r="P538" s="36"/>
    </row>
    <row r="539" spans="1:16" x14ac:dyDescent="0.25">
      <c r="A539" s="36">
        <v>1884</v>
      </c>
      <c r="B539" s="37">
        <v>43739</v>
      </c>
      <c r="C539" s="36" t="s">
        <v>212</v>
      </c>
      <c r="D539" s="36"/>
      <c r="E539" s="38">
        <v>10920000</v>
      </c>
      <c r="F539" s="40">
        <f>VLOOKUP(A539,'DATOS GENERALES'!A:B,2,0)</f>
        <v>5.0599999999999996</v>
      </c>
      <c r="G539" s="36">
        <f t="shared" si="40"/>
        <v>5.0367239999999995</v>
      </c>
      <c r="H539" s="38">
        <f t="shared" si="41"/>
        <v>2168075.9160120748</v>
      </c>
      <c r="I539" s="38">
        <f t="shared" si="42"/>
        <v>8751924.0839879252</v>
      </c>
      <c r="J539" s="38">
        <v>674623.34949926089</v>
      </c>
      <c r="K539" s="38">
        <f t="shared" si="43"/>
        <v>8077300.7344886642</v>
      </c>
      <c r="L539" s="41">
        <f>VLOOKUP(INDICADORES!$B$21,'DATOS GENERALES'!$K:$M,3,0)*E539</f>
        <v>74321.80710022377</v>
      </c>
      <c r="M539" s="38">
        <f t="shared" si="44"/>
        <v>8002978.9273884408</v>
      </c>
      <c r="N539" s="36"/>
      <c r="O539" s="36"/>
      <c r="P539" s="36"/>
    </row>
    <row r="540" spans="1:16" x14ac:dyDescent="0.25">
      <c r="A540" s="36">
        <v>1884</v>
      </c>
      <c r="B540" s="37">
        <v>43770</v>
      </c>
      <c r="C540" s="36" t="s">
        <v>212</v>
      </c>
      <c r="D540" s="36"/>
      <c r="E540" s="38">
        <v>10920000</v>
      </c>
      <c r="F540" s="40">
        <f>VLOOKUP(A540,'DATOS GENERALES'!A:B,2,0)</f>
        <v>5.0599999999999996</v>
      </c>
      <c r="G540" s="36">
        <f t="shared" si="40"/>
        <v>5.0367239999999995</v>
      </c>
      <c r="H540" s="38">
        <f t="shared" si="41"/>
        <v>2168075.9160120748</v>
      </c>
      <c r="I540" s="38">
        <f t="shared" si="42"/>
        <v>8751924.0839879252</v>
      </c>
      <c r="J540" s="38">
        <v>885305.84928367217</v>
      </c>
      <c r="K540" s="38">
        <f t="shared" si="43"/>
        <v>7866618.2347042533</v>
      </c>
      <c r="L540" s="41">
        <f>VLOOKUP(INDICADORES!$B$21,'DATOS GENERALES'!$K:$M,3,0)*E540</f>
        <v>74321.80710022377</v>
      </c>
      <c r="M540" s="38">
        <f t="shared" si="44"/>
        <v>7792296.4276040299</v>
      </c>
      <c r="N540" s="36"/>
      <c r="O540" s="36"/>
      <c r="P540" s="36"/>
    </row>
    <row r="541" spans="1:16" x14ac:dyDescent="0.25">
      <c r="A541" s="36">
        <v>1884</v>
      </c>
      <c r="B541" s="37">
        <v>43800</v>
      </c>
      <c r="C541" s="36" t="s">
        <v>212</v>
      </c>
      <c r="D541" s="36"/>
      <c r="E541" s="38">
        <v>10920000</v>
      </c>
      <c r="F541" s="40">
        <f>VLOOKUP(A541,'DATOS GENERALES'!A:B,2,0)</f>
        <v>5.0599999999999996</v>
      </c>
      <c r="G541" s="36">
        <f t="shared" si="40"/>
        <v>5.0367239999999995</v>
      </c>
      <c r="H541" s="38">
        <f t="shared" si="41"/>
        <v>2168075.9160120748</v>
      </c>
      <c r="I541" s="38">
        <f t="shared" si="42"/>
        <v>8751924.0839879252</v>
      </c>
      <c r="J541" s="38">
        <v>763620.14665470144</v>
      </c>
      <c r="K541" s="38">
        <f t="shared" si="43"/>
        <v>7988303.9373332234</v>
      </c>
      <c r="L541" s="41">
        <f>VLOOKUP(INDICADORES!$B$21,'DATOS GENERALES'!$K:$M,3,0)*E541</f>
        <v>74321.80710022377</v>
      </c>
      <c r="M541" s="38">
        <f t="shared" si="44"/>
        <v>7913982.130233</v>
      </c>
      <c r="N541" s="36"/>
      <c r="O541" s="36"/>
      <c r="P541" s="36"/>
    </row>
    <row r="542" spans="1:16" x14ac:dyDescent="0.25">
      <c r="A542" s="36">
        <v>1884</v>
      </c>
      <c r="B542" s="37">
        <v>43831</v>
      </c>
      <c r="C542" s="36" t="s">
        <v>212</v>
      </c>
      <c r="D542" s="36"/>
      <c r="E542" s="38">
        <v>10920000</v>
      </c>
      <c r="F542" s="40">
        <f>VLOOKUP(A542,'DATOS GENERALES'!A:B,2,0)</f>
        <v>5.0599999999999996</v>
      </c>
      <c r="G542" s="36">
        <f t="shared" si="40"/>
        <v>5.0367239999999995</v>
      </c>
      <c r="H542" s="38">
        <f t="shared" si="41"/>
        <v>2168075.9160120748</v>
      </c>
      <c r="I542" s="38">
        <f t="shared" si="42"/>
        <v>8751924.0839879252</v>
      </c>
      <c r="J542" s="38" t="s">
        <v>213</v>
      </c>
      <c r="K542" s="38" t="str">
        <f t="shared" si="43"/>
        <v/>
      </c>
      <c r="L542" s="41">
        <f>VLOOKUP(INDICADORES!$B$21,'DATOS GENERALES'!$K:$M,3,0)*E542</f>
        <v>74321.80710022377</v>
      </c>
      <c r="M542" s="38" t="str">
        <f t="shared" si="44"/>
        <v/>
      </c>
      <c r="N542" s="36"/>
      <c r="O542" s="36"/>
      <c r="P542" s="36"/>
    </row>
    <row r="543" spans="1:16" x14ac:dyDescent="0.25">
      <c r="A543" s="36">
        <v>1791</v>
      </c>
      <c r="B543" s="37">
        <v>43466</v>
      </c>
      <c r="C543" s="36" t="s">
        <v>212</v>
      </c>
      <c r="D543" s="36"/>
      <c r="E543" s="38">
        <v>60561853.894285716</v>
      </c>
      <c r="F543" s="40">
        <f>VLOOKUP(A543,'DATOS GENERALES'!A:B,2,0)</f>
        <v>2.06</v>
      </c>
      <c r="G543" s="36">
        <f t="shared" si="40"/>
        <v>2.0505239999999998</v>
      </c>
      <c r="H543" s="38">
        <f t="shared" si="41"/>
        <v>29534818.365591295</v>
      </c>
      <c r="I543" s="38">
        <f t="shared" si="42"/>
        <v>31027035.528694421</v>
      </c>
      <c r="J543" s="38">
        <v>6480480.9588299869</v>
      </c>
      <c r="K543" s="38">
        <f t="shared" si="43"/>
        <v>24546554.569864433</v>
      </c>
      <c r="L543" s="41">
        <f>VLOOKUP(INDICADORES!$B$21,'DATOS GENERALES'!$K:$M,3,0)*E543</f>
        <v>412185.56985009514</v>
      </c>
      <c r="M543" s="38">
        <f t="shared" si="44"/>
        <v>24134369.000014339</v>
      </c>
      <c r="N543" s="36"/>
      <c r="O543" s="36"/>
      <c r="P543" s="36"/>
    </row>
    <row r="544" spans="1:16" x14ac:dyDescent="0.25">
      <c r="A544" s="36">
        <v>1791</v>
      </c>
      <c r="B544" s="37">
        <v>43497</v>
      </c>
      <c r="C544" s="36" t="s">
        <v>212</v>
      </c>
      <c r="D544" s="36"/>
      <c r="E544" s="38">
        <v>60561853.894285716</v>
      </c>
      <c r="F544" s="40">
        <f>VLOOKUP(A544,'DATOS GENERALES'!A:B,2,0)</f>
        <v>2.06</v>
      </c>
      <c r="G544" s="36">
        <f t="shared" si="40"/>
        <v>2.0505239999999998</v>
      </c>
      <c r="H544" s="38">
        <f t="shared" si="41"/>
        <v>29534818.365591295</v>
      </c>
      <c r="I544" s="38">
        <f t="shared" si="42"/>
        <v>31027035.528694421</v>
      </c>
      <c r="J544" s="38">
        <v>6384182.7623369945</v>
      </c>
      <c r="K544" s="38">
        <f t="shared" si="43"/>
        <v>24642852.766357426</v>
      </c>
      <c r="L544" s="41">
        <f>VLOOKUP(INDICADORES!$B$21,'DATOS GENERALES'!$K:$M,3,0)*E544</f>
        <v>412185.56985009514</v>
      </c>
      <c r="M544" s="38">
        <f t="shared" si="44"/>
        <v>24230667.196507331</v>
      </c>
      <c r="N544" s="36"/>
      <c r="O544" s="36"/>
      <c r="P544" s="36"/>
    </row>
    <row r="545" spans="1:16" x14ac:dyDescent="0.25">
      <c r="A545" s="36">
        <v>1791</v>
      </c>
      <c r="B545" s="37">
        <v>43525</v>
      </c>
      <c r="C545" s="36" t="s">
        <v>212</v>
      </c>
      <c r="D545" s="36"/>
      <c r="E545" s="38">
        <v>60561853.894285716</v>
      </c>
      <c r="F545" s="40">
        <f>VLOOKUP(A545,'DATOS GENERALES'!A:B,2,0)</f>
        <v>2.06</v>
      </c>
      <c r="G545" s="36">
        <f t="shared" si="40"/>
        <v>2.0505239999999998</v>
      </c>
      <c r="H545" s="38">
        <f t="shared" si="41"/>
        <v>29534818.365591295</v>
      </c>
      <c r="I545" s="38">
        <f t="shared" si="42"/>
        <v>31027035.528694421</v>
      </c>
      <c r="J545" s="38">
        <v>4618877.0463757049</v>
      </c>
      <c r="K545" s="38">
        <f t="shared" si="43"/>
        <v>26408158.482318714</v>
      </c>
      <c r="L545" s="41">
        <f>VLOOKUP(INDICADORES!$B$21,'DATOS GENERALES'!$K:$M,3,0)*E545</f>
        <v>412185.56985009514</v>
      </c>
      <c r="M545" s="38">
        <f t="shared" si="44"/>
        <v>25995972.91246862</v>
      </c>
      <c r="N545" s="36"/>
      <c r="O545" s="36"/>
      <c r="P545" s="36"/>
    </row>
    <row r="546" spans="1:16" x14ac:dyDescent="0.25">
      <c r="A546" s="36">
        <v>1791</v>
      </c>
      <c r="B546" s="37">
        <v>43556</v>
      </c>
      <c r="C546" s="36" t="s">
        <v>212</v>
      </c>
      <c r="D546" s="36"/>
      <c r="E546" s="38">
        <v>60561853.894285716</v>
      </c>
      <c r="F546" s="40">
        <f>VLOOKUP(A546,'DATOS GENERALES'!A:B,2,0)</f>
        <v>2.06</v>
      </c>
      <c r="G546" s="36">
        <f t="shared" si="40"/>
        <v>2.0505239999999998</v>
      </c>
      <c r="H546" s="38">
        <f t="shared" si="41"/>
        <v>29534818.365591295</v>
      </c>
      <c r="I546" s="38">
        <f t="shared" si="42"/>
        <v>31027035.528694421</v>
      </c>
      <c r="J546" s="38">
        <v>4748553.7200059919</v>
      </c>
      <c r="K546" s="38">
        <f t="shared" si="43"/>
        <v>26278481.808688428</v>
      </c>
      <c r="L546" s="41">
        <f>VLOOKUP(INDICADORES!$B$21,'DATOS GENERALES'!$K:$M,3,0)*E546</f>
        <v>412185.56985009514</v>
      </c>
      <c r="M546" s="38">
        <f t="shared" si="44"/>
        <v>25866296.238838334</v>
      </c>
      <c r="N546" s="36"/>
      <c r="O546" s="36"/>
      <c r="P546" s="36"/>
    </row>
    <row r="547" spans="1:16" x14ac:dyDescent="0.25">
      <c r="A547" s="36">
        <v>1791</v>
      </c>
      <c r="B547" s="37">
        <v>43586</v>
      </c>
      <c r="C547" s="36" t="s">
        <v>212</v>
      </c>
      <c r="D547" s="36"/>
      <c r="E547" s="38">
        <v>60561853.894285716</v>
      </c>
      <c r="F547" s="40">
        <f>VLOOKUP(A547,'DATOS GENERALES'!A:B,2,0)</f>
        <v>2.06</v>
      </c>
      <c r="G547" s="36">
        <f t="shared" si="40"/>
        <v>2.0505239999999998</v>
      </c>
      <c r="H547" s="38">
        <f t="shared" si="41"/>
        <v>29534818.365591295</v>
      </c>
      <c r="I547" s="38">
        <f t="shared" si="42"/>
        <v>31027035.528694421</v>
      </c>
      <c r="J547" s="38">
        <v>3917224.7315326519</v>
      </c>
      <c r="K547" s="38">
        <f t="shared" si="43"/>
        <v>27109810.797161769</v>
      </c>
      <c r="L547" s="41">
        <f>VLOOKUP(INDICADORES!$B$21,'DATOS GENERALES'!$K:$M,3,0)*E547</f>
        <v>412185.56985009514</v>
      </c>
      <c r="M547" s="38">
        <f t="shared" si="44"/>
        <v>26697625.227311675</v>
      </c>
      <c r="N547" s="36"/>
      <c r="O547" s="36"/>
      <c r="P547" s="36"/>
    </row>
    <row r="548" spans="1:16" x14ac:dyDescent="0.25">
      <c r="A548" s="36">
        <v>1791</v>
      </c>
      <c r="B548" s="37">
        <v>43617</v>
      </c>
      <c r="C548" s="36" t="s">
        <v>212</v>
      </c>
      <c r="D548" s="36"/>
      <c r="E548" s="38">
        <v>60561853.894285716</v>
      </c>
      <c r="F548" s="40">
        <f>VLOOKUP(A548,'DATOS GENERALES'!A:B,2,0)</f>
        <v>2.06</v>
      </c>
      <c r="G548" s="36">
        <f t="shared" si="40"/>
        <v>2.0505239999999998</v>
      </c>
      <c r="H548" s="38">
        <f t="shared" si="41"/>
        <v>29534818.365591295</v>
      </c>
      <c r="I548" s="38">
        <f t="shared" si="42"/>
        <v>31027035.528694421</v>
      </c>
      <c r="J548" s="38">
        <v>4399832.2394590266</v>
      </c>
      <c r="K548" s="38">
        <f t="shared" si="43"/>
        <v>26627203.289235394</v>
      </c>
      <c r="L548" s="41">
        <f>VLOOKUP(INDICADORES!$B$21,'DATOS GENERALES'!$K:$M,3,0)*E548</f>
        <v>412185.56985009514</v>
      </c>
      <c r="M548" s="38">
        <f t="shared" si="44"/>
        <v>26215017.7193853</v>
      </c>
      <c r="N548" s="36"/>
      <c r="O548" s="36"/>
      <c r="P548" s="36"/>
    </row>
    <row r="549" spans="1:16" x14ac:dyDescent="0.25">
      <c r="A549" s="36">
        <v>1791</v>
      </c>
      <c r="B549" s="37">
        <v>43647</v>
      </c>
      <c r="C549" s="36" t="s">
        <v>212</v>
      </c>
      <c r="D549" s="36"/>
      <c r="E549" s="38">
        <v>60561853.894285716</v>
      </c>
      <c r="F549" s="40">
        <f>VLOOKUP(A549,'DATOS GENERALES'!A:B,2,0)</f>
        <v>2.06</v>
      </c>
      <c r="G549" s="36">
        <f t="shared" si="40"/>
        <v>2.0505239999999998</v>
      </c>
      <c r="H549" s="38">
        <f t="shared" si="41"/>
        <v>29534818.365591295</v>
      </c>
      <c r="I549" s="38">
        <f t="shared" si="42"/>
        <v>31027035.528694421</v>
      </c>
      <c r="J549" s="38">
        <v>7640386.5433713822</v>
      </c>
      <c r="K549" s="38">
        <f t="shared" si="43"/>
        <v>23386648.985323038</v>
      </c>
      <c r="L549" s="41">
        <f>VLOOKUP(INDICADORES!$B$21,'DATOS GENERALES'!$K:$M,3,0)*E549</f>
        <v>412185.56985009514</v>
      </c>
      <c r="M549" s="38">
        <f t="shared" si="44"/>
        <v>22974463.415472943</v>
      </c>
      <c r="N549" s="36"/>
      <c r="O549" s="36"/>
      <c r="P549" s="36"/>
    </row>
    <row r="550" spans="1:16" x14ac:dyDescent="0.25">
      <c r="A550" s="36">
        <v>1791</v>
      </c>
      <c r="B550" s="37">
        <v>43678</v>
      </c>
      <c r="C550" s="36" t="s">
        <v>212</v>
      </c>
      <c r="D550" s="36"/>
      <c r="E550" s="38">
        <v>60561853.894285716</v>
      </c>
      <c r="F550" s="40">
        <f>VLOOKUP(A550,'DATOS GENERALES'!A:B,2,0)</f>
        <v>2.06</v>
      </c>
      <c r="G550" s="36">
        <f t="shared" si="40"/>
        <v>2.0505239999999998</v>
      </c>
      <c r="H550" s="38">
        <f t="shared" si="41"/>
        <v>29534818.365591295</v>
      </c>
      <c r="I550" s="38">
        <f t="shared" si="42"/>
        <v>31027035.528694421</v>
      </c>
      <c r="J550" s="38">
        <v>7672182.9838818572</v>
      </c>
      <c r="K550" s="38">
        <f t="shared" si="43"/>
        <v>23354852.544812564</v>
      </c>
      <c r="L550" s="41">
        <f>VLOOKUP(INDICADORES!$B$21,'DATOS GENERALES'!$K:$M,3,0)*E550</f>
        <v>412185.56985009514</v>
      </c>
      <c r="M550" s="38">
        <f t="shared" si="44"/>
        <v>22942666.974962469</v>
      </c>
      <c r="N550" s="36"/>
      <c r="O550" s="36"/>
      <c r="P550" s="36"/>
    </row>
    <row r="551" spans="1:16" x14ac:dyDescent="0.25">
      <c r="A551" s="36">
        <v>1791</v>
      </c>
      <c r="B551" s="37">
        <v>43709</v>
      </c>
      <c r="C551" s="36" t="s">
        <v>212</v>
      </c>
      <c r="D551" s="36"/>
      <c r="E551" s="38">
        <v>60561853.894285716</v>
      </c>
      <c r="F551" s="40">
        <f>VLOOKUP(A551,'DATOS GENERALES'!A:B,2,0)</f>
        <v>2.06</v>
      </c>
      <c r="G551" s="36">
        <f t="shared" si="40"/>
        <v>2.0505239999999998</v>
      </c>
      <c r="H551" s="38">
        <f t="shared" si="41"/>
        <v>29534818.365591295</v>
      </c>
      <c r="I551" s="38">
        <f t="shared" si="42"/>
        <v>31027035.528694421</v>
      </c>
      <c r="J551" s="38">
        <v>8468258.1445905399</v>
      </c>
      <c r="K551" s="38">
        <f t="shared" si="43"/>
        <v>22558777.384103879</v>
      </c>
      <c r="L551" s="41">
        <f>VLOOKUP(INDICADORES!$B$21,'DATOS GENERALES'!$K:$M,3,0)*E551</f>
        <v>412185.56985009514</v>
      </c>
      <c r="M551" s="38">
        <f t="shared" si="44"/>
        <v>22146591.814253785</v>
      </c>
      <c r="N551" s="36"/>
      <c r="O551" s="36"/>
      <c r="P551" s="36"/>
    </row>
    <row r="552" spans="1:16" x14ac:dyDescent="0.25">
      <c r="A552" s="36">
        <v>1791</v>
      </c>
      <c r="B552" s="37">
        <v>43739</v>
      </c>
      <c r="C552" s="36" t="s">
        <v>212</v>
      </c>
      <c r="D552" s="36"/>
      <c r="E552" s="38">
        <v>60561853.894285716</v>
      </c>
      <c r="F552" s="40">
        <f>VLOOKUP(A552,'DATOS GENERALES'!A:B,2,0)</f>
        <v>2.06</v>
      </c>
      <c r="G552" s="36">
        <f t="shared" si="40"/>
        <v>2.0505239999999998</v>
      </c>
      <c r="H552" s="38">
        <f t="shared" si="41"/>
        <v>29534818.365591295</v>
      </c>
      <c r="I552" s="38">
        <f t="shared" si="42"/>
        <v>31027035.528694421</v>
      </c>
      <c r="J552" s="38">
        <v>9190120.1177941225</v>
      </c>
      <c r="K552" s="38">
        <f t="shared" si="43"/>
        <v>21836915.410900299</v>
      </c>
      <c r="L552" s="41">
        <f>VLOOKUP(INDICADORES!$B$21,'DATOS GENERALES'!$K:$M,3,0)*E552</f>
        <v>412185.56985009514</v>
      </c>
      <c r="M552" s="38">
        <f t="shared" si="44"/>
        <v>21424729.841050204</v>
      </c>
      <c r="N552" s="36"/>
      <c r="O552" s="36"/>
      <c r="P552" s="36"/>
    </row>
    <row r="553" spans="1:16" x14ac:dyDescent="0.25">
      <c r="A553" s="36">
        <v>1791</v>
      </c>
      <c r="B553" s="37">
        <v>43770</v>
      </c>
      <c r="C553" s="36" t="s">
        <v>212</v>
      </c>
      <c r="D553" s="36"/>
      <c r="E553" s="38">
        <v>60561853.894285716</v>
      </c>
      <c r="F553" s="40">
        <f>VLOOKUP(A553,'DATOS GENERALES'!A:B,2,0)</f>
        <v>2.06</v>
      </c>
      <c r="G553" s="36">
        <f t="shared" si="40"/>
        <v>2.0505239999999998</v>
      </c>
      <c r="H553" s="38">
        <f t="shared" si="41"/>
        <v>29534818.365591295</v>
      </c>
      <c r="I553" s="38">
        <f t="shared" si="42"/>
        <v>31027035.528694421</v>
      </c>
      <c r="J553" s="38">
        <v>12060162.314188624</v>
      </c>
      <c r="K553" s="38">
        <f t="shared" si="43"/>
        <v>18966873.214505799</v>
      </c>
      <c r="L553" s="41">
        <f>VLOOKUP(INDICADORES!$B$21,'DATOS GENERALES'!$K:$M,3,0)*E553</f>
        <v>412185.56985009514</v>
      </c>
      <c r="M553" s="38">
        <f t="shared" si="44"/>
        <v>18554687.644655704</v>
      </c>
      <c r="N553" s="36"/>
      <c r="O553" s="36"/>
      <c r="P553" s="36"/>
    </row>
    <row r="554" spans="1:16" x14ac:dyDescent="0.25">
      <c r="A554" s="36">
        <v>1791</v>
      </c>
      <c r="B554" s="37">
        <v>43800</v>
      </c>
      <c r="C554" s="36" t="s">
        <v>212</v>
      </c>
      <c r="D554" s="36"/>
      <c r="E554" s="38">
        <v>60561853.894285716</v>
      </c>
      <c r="F554" s="40">
        <f>VLOOKUP(A554,'DATOS GENERALES'!A:B,2,0)</f>
        <v>2.06</v>
      </c>
      <c r="G554" s="36">
        <f t="shared" si="40"/>
        <v>2.0505239999999998</v>
      </c>
      <c r="H554" s="38">
        <f t="shared" si="41"/>
        <v>29534818.365591295</v>
      </c>
      <c r="I554" s="38">
        <f t="shared" si="42"/>
        <v>31027035.528694421</v>
      </c>
      <c r="J554" s="38">
        <v>10402487.369186377</v>
      </c>
      <c r="K554" s="38">
        <f t="shared" si="43"/>
        <v>20624548.159508042</v>
      </c>
      <c r="L554" s="41">
        <f>VLOOKUP(INDICADORES!$B$21,'DATOS GENERALES'!$K:$M,3,0)*E554</f>
        <v>412185.56985009514</v>
      </c>
      <c r="M554" s="38">
        <f t="shared" si="44"/>
        <v>20212362.589657947</v>
      </c>
      <c r="N554" s="36"/>
      <c r="O554" s="36"/>
      <c r="P554" s="36"/>
    </row>
    <row r="555" spans="1:16" x14ac:dyDescent="0.25">
      <c r="A555" s="36">
        <v>1453</v>
      </c>
      <c r="B555" s="37">
        <v>43466</v>
      </c>
      <c r="C555" s="36" t="s">
        <v>212</v>
      </c>
      <c r="D555" s="36"/>
      <c r="E555" s="38">
        <v>15250000</v>
      </c>
      <c r="F555" s="40">
        <f>VLOOKUP(A555,'DATOS GENERALES'!A:B,2,0)</f>
        <v>2.0299999999999998</v>
      </c>
      <c r="G555" s="36">
        <f t="shared" si="40"/>
        <v>2.0206619999999997</v>
      </c>
      <c r="H555" s="38">
        <f t="shared" si="41"/>
        <v>7547031.6163712693</v>
      </c>
      <c r="I555" s="38">
        <f t="shared" si="42"/>
        <v>7702968.3836287307</v>
      </c>
      <c r="J555" s="38">
        <v>1655957.1851832091</v>
      </c>
      <c r="K555" s="38">
        <f t="shared" si="43"/>
        <v>6047011.1984455213</v>
      </c>
      <c r="L555" s="41">
        <f>VLOOKUP(INDICADORES!$B$21,'DATOS GENERALES'!$K:$M,3,0)*E555</f>
        <v>103791.90094124657</v>
      </c>
      <c r="M555" s="38">
        <f t="shared" si="44"/>
        <v>5943219.2975042751</v>
      </c>
      <c r="N555" s="36"/>
      <c r="O555" s="36"/>
      <c r="P555" s="36"/>
    </row>
    <row r="556" spans="1:16" x14ac:dyDescent="0.25">
      <c r="A556" s="36">
        <v>1453</v>
      </c>
      <c r="B556" s="37">
        <v>43497</v>
      </c>
      <c r="C556" s="36" t="s">
        <v>212</v>
      </c>
      <c r="D556" s="36"/>
      <c r="E556" s="38">
        <v>15250000</v>
      </c>
      <c r="F556" s="40">
        <f>VLOOKUP(A556,'DATOS GENERALES'!A:B,2,0)</f>
        <v>2.0299999999999998</v>
      </c>
      <c r="G556" s="36">
        <f t="shared" si="40"/>
        <v>2.0206619999999997</v>
      </c>
      <c r="H556" s="38">
        <f t="shared" si="41"/>
        <v>7547031.6163712693</v>
      </c>
      <c r="I556" s="38">
        <f t="shared" si="42"/>
        <v>7702968.3836287307</v>
      </c>
      <c r="J556" s="38">
        <v>1631350.1087307313</v>
      </c>
      <c r="K556" s="38">
        <f t="shared" si="43"/>
        <v>6071618.2748979991</v>
      </c>
      <c r="L556" s="41">
        <f>VLOOKUP(INDICADORES!$B$21,'DATOS GENERALES'!$K:$M,3,0)*E556</f>
        <v>103791.90094124657</v>
      </c>
      <c r="M556" s="38">
        <f t="shared" si="44"/>
        <v>5967826.3739567529</v>
      </c>
      <c r="N556" s="36"/>
      <c r="O556" s="36"/>
      <c r="P556" s="36"/>
    </row>
    <row r="557" spans="1:16" x14ac:dyDescent="0.25">
      <c r="A557" s="36">
        <v>1453</v>
      </c>
      <c r="B557" s="37">
        <v>43525</v>
      </c>
      <c r="C557" s="36" t="s">
        <v>212</v>
      </c>
      <c r="D557" s="36"/>
      <c r="E557" s="38">
        <v>15250000</v>
      </c>
      <c r="F557" s="40">
        <f>VLOOKUP(A557,'DATOS GENERALES'!A:B,2,0)</f>
        <v>2.0299999999999998</v>
      </c>
      <c r="G557" s="36">
        <f t="shared" si="40"/>
        <v>2.0206619999999997</v>
      </c>
      <c r="H557" s="38">
        <f t="shared" si="41"/>
        <v>7547031.6163712693</v>
      </c>
      <c r="I557" s="38">
        <f t="shared" si="42"/>
        <v>7702968.3836287307</v>
      </c>
      <c r="J557" s="38">
        <v>1180261.5702468739</v>
      </c>
      <c r="K557" s="38">
        <f t="shared" si="43"/>
        <v>6522706.8133818563</v>
      </c>
      <c r="L557" s="41">
        <f>VLOOKUP(INDICADORES!$B$21,'DATOS GENERALES'!$K:$M,3,0)*E557</f>
        <v>103791.90094124657</v>
      </c>
      <c r="M557" s="38">
        <f t="shared" si="44"/>
        <v>6418914.9124406101</v>
      </c>
      <c r="N557" s="36"/>
      <c r="O557" s="36"/>
      <c r="P557" s="36"/>
    </row>
    <row r="558" spans="1:16" x14ac:dyDescent="0.25">
      <c r="A558" s="36">
        <v>1453</v>
      </c>
      <c r="B558" s="37">
        <v>43556</v>
      </c>
      <c r="C558" s="36" t="s">
        <v>212</v>
      </c>
      <c r="D558" s="36"/>
      <c r="E558" s="38">
        <v>15250000</v>
      </c>
      <c r="F558" s="40">
        <f>VLOOKUP(A558,'DATOS GENERALES'!A:B,2,0)</f>
        <v>2.0299999999999998</v>
      </c>
      <c r="G558" s="36">
        <f t="shared" si="40"/>
        <v>2.0206619999999997</v>
      </c>
      <c r="H558" s="38">
        <f t="shared" si="41"/>
        <v>7547031.6163712693</v>
      </c>
      <c r="I558" s="38">
        <f t="shared" si="42"/>
        <v>7702968.3836287307</v>
      </c>
      <c r="J558" s="38">
        <v>1213397.8483739072</v>
      </c>
      <c r="K558" s="38">
        <f t="shared" si="43"/>
        <v>6489570.535254823</v>
      </c>
      <c r="L558" s="41">
        <f>VLOOKUP(INDICADORES!$B$21,'DATOS GENERALES'!$K:$M,3,0)*E558</f>
        <v>103791.90094124657</v>
      </c>
      <c r="M558" s="38">
        <f t="shared" si="44"/>
        <v>6385778.6343135769</v>
      </c>
      <c r="N558" s="36"/>
      <c r="O558" s="36"/>
      <c r="P558" s="36"/>
    </row>
    <row r="559" spans="1:16" x14ac:dyDescent="0.25">
      <c r="A559" s="36">
        <v>1453</v>
      </c>
      <c r="B559" s="37">
        <v>43586</v>
      </c>
      <c r="C559" s="36" t="s">
        <v>212</v>
      </c>
      <c r="D559" s="36"/>
      <c r="E559" s="38">
        <v>15250000</v>
      </c>
      <c r="F559" s="40">
        <f>VLOOKUP(A559,'DATOS GENERALES'!A:B,2,0)</f>
        <v>2.0299999999999998</v>
      </c>
      <c r="G559" s="36">
        <f t="shared" si="40"/>
        <v>2.0206619999999997</v>
      </c>
      <c r="H559" s="38">
        <f t="shared" si="41"/>
        <v>7547031.6163712693</v>
      </c>
      <c r="I559" s="38">
        <f t="shared" si="42"/>
        <v>7702968.3836287307</v>
      </c>
      <c r="J559" s="38">
        <v>1000968.3666025319</v>
      </c>
      <c r="K559" s="38">
        <f t="shared" si="43"/>
        <v>6702000.017026199</v>
      </c>
      <c r="L559" s="41">
        <f>VLOOKUP(INDICADORES!$B$21,'DATOS GENERALES'!$K:$M,3,0)*E559</f>
        <v>103791.90094124657</v>
      </c>
      <c r="M559" s="38">
        <f t="shared" si="44"/>
        <v>6598208.1160849528</v>
      </c>
      <c r="N559" s="36"/>
      <c r="O559" s="36"/>
      <c r="P559" s="36"/>
    </row>
    <row r="560" spans="1:16" x14ac:dyDescent="0.25">
      <c r="A560" s="36">
        <v>1453</v>
      </c>
      <c r="B560" s="37">
        <v>43617</v>
      </c>
      <c r="C560" s="36" t="s">
        <v>212</v>
      </c>
      <c r="D560" s="36"/>
      <c r="E560" s="38">
        <v>15250000</v>
      </c>
      <c r="F560" s="40">
        <f>VLOOKUP(A560,'DATOS GENERALES'!A:B,2,0)</f>
        <v>2.0299999999999998</v>
      </c>
      <c r="G560" s="36">
        <f t="shared" si="40"/>
        <v>2.0206619999999997</v>
      </c>
      <c r="H560" s="38">
        <f t="shared" si="41"/>
        <v>7547031.6163712693</v>
      </c>
      <c r="I560" s="38">
        <f t="shared" si="42"/>
        <v>7702968.3836287307</v>
      </c>
      <c r="J560" s="38">
        <v>1124289.054596395</v>
      </c>
      <c r="K560" s="38">
        <f t="shared" si="43"/>
        <v>6578679.3290323354</v>
      </c>
      <c r="L560" s="41">
        <f>VLOOKUP(INDICADORES!$B$21,'DATOS GENERALES'!$K:$M,3,0)*E560</f>
        <v>103791.90094124657</v>
      </c>
      <c r="M560" s="38">
        <f t="shared" si="44"/>
        <v>6474887.4280910892</v>
      </c>
      <c r="N560" s="36"/>
      <c r="O560" s="36"/>
      <c r="P560" s="36"/>
    </row>
    <row r="561" spans="1:16" x14ac:dyDescent="0.25">
      <c r="A561" s="36">
        <v>1453</v>
      </c>
      <c r="B561" s="37">
        <v>43647</v>
      </c>
      <c r="C561" s="36" t="s">
        <v>212</v>
      </c>
      <c r="D561" s="36"/>
      <c r="E561" s="38">
        <v>15250000</v>
      </c>
      <c r="F561" s="40">
        <f>VLOOKUP(A561,'DATOS GENERALES'!A:B,2,0)</f>
        <v>2.0299999999999998</v>
      </c>
      <c r="G561" s="36">
        <f t="shared" si="40"/>
        <v>2.0206619999999997</v>
      </c>
      <c r="H561" s="38">
        <f t="shared" si="41"/>
        <v>7547031.6163712693</v>
      </c>
      <c r="I561" s="38">
        <f t="shared" si="42"/>
        <v>7702968.3836287307</v>
      </c>
      <c r="J561" s="38">
        <v>1952347.8387562789</v>
      </c>
      <c r="K561" s="38">
        <f t="shared" si="43"/>
        <v>5750620.5448724516</v>
      </c>
      <c r="L561" s="41">
        <f>VLOOKUP(INDICADORES!$B$21,'DATOS GENERALES'!$K:$M,3,0)*E561</f>
        <v>103791.90094124657</v>
      </c>
      <c r="M561" s="38">
        <f t="shared" si="44"/>
        <v>5646828.6439312054</v>
      </c>
      <c r="N561" s="36"/>
      <c r="O561" s="36"/>
      <c r="P561" s="36"/>
    </row>
    <row r="562" spans="1:16" x14ac:dyDescent="0.25">
      <c r="A562" s="36">
        <v>1453</v>
      </c>
      <c r="B562" s="37">
        <v>43678</v>
      </c>
      <c r="C562" s="36" t="s">
        <v>212</v>
      </c>
      <c r="D562" s="36"/>
      <c r="E562" s="38">
        <v>15250000</v>
      </c>
      <c r="F562" s="40">
        <f>VLOOKUP(A562,'DATOS GENERALES'!A:B,2,0)</f>
        <v>2.0299999999999998</v>
      </c>
      <c r="G562" s="36">
        <f t="shared" si="40"/>
        <v>2.0206619999999997</v>
      </c>
      <c r="H562" s="38">
        <f t="shared" si="41"/>
        <v>7547031.6163712693</v>
      </c>
      <c r="I562" s="38">
        <f t="shared" si="42"/>
        <v>7702968.3836287307</v>
      </c>
      <c r="J562" s="38">
        <v>1960472.7826394683</v>
      </c>
      <c r="K562" s="38">
        <f t="shared" si="43"/>
        <v>5742495.6009892626</v>
      </c>
      <c r="L562" s="41">
        <f>VLOOKUP(INDICADORES!$B$21,'DATOS GENERALES'!$K:$M,3,0)*E562</f>
        <v>103791.90094124657</v>
      </c>
      <c r="M562" s="38">
        <f t="shared" si="44"/>
        <v>5638703.7000480164</v>
      </c>
      <c r="N562" s="36"/>
      <c r="O562" s="36"/>
      <c r="P562" s="36"/>
    </row>
    <row r="563" spans="1:16" x14ac:dyDescent="0.25">
      <c r="A563" s="36">
        <v>1453</v>
      </c>
      <c r="B563" s="37">
        <v>43709</v>
      </c>
      <c r="C563" s="36" t="s">
        <v>212</v>
      </c>
      <c r="D563" s="36"/>
      <c r="E563" s="38">
        <v>15250000</v>
      </c>
      <c r="F563" s="40">
        <f>VLOOKUP(A563,'DATOS GENERALES'!A:B,2,0)</f>
        <v>2.0299999999999998</v>
      </c>
      <c r="G563" s="36">
        <f t="shared" si="40"/>
        <v>2.0206619999999997</v>
      </c>
      <c r="H563" s="38">
        <f t="shared" si="41"/>
        <v>7547031.6163712693</v>
      </c>
      <c r="I563" s="38">
        <f t="shared" si="42"/>
        <v>7702968.3836287307</v>
      </c>
      <c r="J563" s="38">
        <v>2163893.8544235332</v>
      </c>
      <c r="K563" s="38">
        <f t="shared" si="43"/>
        <v>5539074.5292051975</v>
      </c>
      <c r="L563" s="41">
        <f>VLOOKUP(INDICADORES!$B$21,'DATOS GENERALES'!$K:$M,3,0)*E563</f>
        <v>103791.90094124657</v>
      </c>
      <c r="M563" s="38">
        <f t="shared" si="44"/>
        <v>5435282.6282639513</v>
      </c>
      <c r="N563" s="36"/>
      <c r="O563" s="36"/>
      <c r="P563" s="36"/>
    </row>
    <row r="564" spans="1:16" x14ac:dyDescent="0.25">
      <c r="A564" s="36">
        <v>1453</v>
      </c>
      <c r="B564" s="37">
        <v>43739</v>
      </c>
      <c r="C564" s="36" t="s">
        <v>212</v>
      </c>
      <c r="D564" s="36"/>
      <c r="E564" s="38">
        <v>15250000</v>
      </c>
      <c r="F564" s="40">
        <f>VLOOKUP(A564,'DATOS GENERALES'!A:B,2,0)</f>
        <v>2.0299999999999998</v>
      </c>
      <c r="G564" s="36">
        <f t="shared" si="40"/>
        <v>2.0206619999999997</v>
      </c>
      <c r="H564" s="38">
        <f t="shared" si="41"/>
        <v>7547031.6163712693</v>
      </c>
      <c r="I564" s="38">
        <f t="shared" si="42"/>
        <v>7702968.3836287307</v>
      </c>
      <c r="J564" s="38">
        <v>2348351.2317125206</v>
      </c>
      <c r="K564" s="38">
        <f t="shared" si="43"/>
        <v>5354617.1519162096</v>
      </c>
      <c r="L564" s="41">
        <f>VLOOKUP(INDICADORES!$B$21,'DATOS GENERALES'!$K:$M,3,0)*E564</f>
        <v>103791.90094124657</v>
      </c>
      <c r="M564" s="38">
        <f t="shared" si="44"/>
        <v>5250825.2509749634</v>
      </c>
      <c r="N564" s="36"/>
      <c r="O564" s="36"/>
      <c r="P564" s="36"/>
    </row>
    <row r="565" spans="1:16" x14ac:dyDescent="0.25">
      <c r="A565" s="36">
        <v>1453</v>
      </c>
      <c r="B565" s="37">
        <v>43770</v>
      </c>
      <c r="C565" s="36" t="s">
        <v>212</v>
      </c>
      <c r="D565" s="36"/>
      <c r="E565" s="38">
        <v>15250000</v>
      </c>
      <c r="F565" s="40">
        <f>VLOOKUP(A565,'DATOS GENERALES'!A:B,2,0)</f>
        <v>2.0299999999999998</v>
      </c>
      <c r="G565" s="36">
        <f t="shared" si="40"/>
        <v>2.0206619999999997</v>
      </c>
      <c r="H565" s="38">
        <f t="shared" si="41"/>
        <v>7547031.6163712693</v>
      </c>
      <c r="I565" s="38">
        <f t="shared" si="42"/>
        <v>7702968.3836287307</v>
      </c>
      <c r="J565" s="38">
        <v>3081733.063569109</v>
      </c>
      <c r="K565" s="38">
        <f t="shared" si="43"/>
        <v>4621235.3200596217</v>
      </c>
      <c r="L565" s="41">
        <f>VLOOKUP(INDICADORES!$B$21,'DATOS GENERALES'!$K:$M,3,0)*E565</f>
        <v>103791.90094124657</v>
      </c>
      <c r="M565" s="38">
        <f t="shared" si="44"/>
        <v>4517443.4191183755</v>
      </c>
      <c r="N565" s="36"/>
      <c r="O565" s="36"/>
      <c r="P565" s="36"/>
    </row>
    <row r="566" spans="1:16" x14ac:dyDescent="0.25">
      <c r="A566" s="36">
        <v>1453</v>
      </c>
      <c r="B566" s="37">
        <v>43800</v>
      </c>
      <c r="C566" s="36" t="s">
        <v>212</v>
      </c>
      <c r="D566" s="36"/>
      <c r="E566" s="38">
        <v>15250000</v>
      </c>
      <c r="F566" s="40">
        <f>VLOOKUP(A566,'DATOS GENERALES'!A:B,2,0)</f>
        <v>2.0299999999999998</v>
      </c>
      <c r="G566" s="36">
        <f t="shared" si="40"/>
        <v>2.0206619999999997</v>
      </c>
      <c r="H566" s="38">
        <f t="shared" si="41"/>
        <v>7547031.6163712693</v>
      </c>
      <c r="I566" s="38">
        <f t="shared" si="42"/>
        <v>7702968.3836287307</v>
      </c>
      <c r="J566" s="38">
        <v>2658147.4140912876</v>
      </c>
      <c r="K566" s="38">
        <f t="shared" si="43"/>
        <v>5044820.9695374426</v>
      </c>
      <c r="L566" s="41">
        <f>VLOOKUP(INDICADORES!$B$21,'DATOS GENERALES'!$K:$M,3,0)*E566</f>
        <v>103791.90094124657</v>
      </c>
      <c r="M566" s="38">
        <f t="shared" si="44"/>
        <v>4941029.0685961964</v>
      </c>
      <c r="N566" s="36"/>
      <c r="O566" s="36"/>
      <c r="P566" s="36"/>
    </row>
    <row r="567" spans="1:16" x14ac:dyDescent="0.25">
      <c r="A567" s="36">
        <v>1826</v>
      </c>
      <c r="B567" s="37">
        <v>43466</v>
      </c>
      <c r="C567" s="36" t="s">
        <v>212</v>
      </c>
      <c r="D567" s="36"/>
      <c r="E567" s="38">
        <v>20341421</v>
      </c>
      <c r="F567" s="40">
        <f>VLOOKUP(A567,'DATOS GENERALES'!A:B,2,0)</f>
        <v>2.62</v>
      </c>
      <c r="G567" s="36">
        <f t="shared" si="40"/>
        <v>2.6079479999999999</v>
      </c>
      <c r="H567" s="38">
        <f t="shared" si="41"/>
        <v>7799780.1336529721</v>
      </c>
      <c r="I567" s="38">
        <f t="shared" si="42"/>
        <v>12541640.866347028</v>
      </c>
      <c r="J567" s="38">
        <v>1711414.8464879699</v>
      </c>
      <c r="K567" s="38">
        <f t="shared" si="43"/>
        <v>10830226.019859059</v>
      </c>
      <c r="L567" s="41">
        <f>VLOOKUP(INDICADORES!$B$21,'DATOS GENERALES'!$K:$M,3,0)*E567</f>
        <v>138444.24612696347</v>
      </c>
      <c r="M567" s="38">
        <f t="shared" si="44"/>
        <v>10691781.773732096</v>
      </c>
      <c r="N567" s="36"/>
      <c r="O567" s="36"/>
      <c r="P567" s="36"/>
    </row>
    <row r="568" spans="1:16" x14ac:dyDescent="0.25">
      <c r="A568" s="36">
        <v>1826</v>
      </c>
      <c r="B568" s="37">
        <v>43497</v>
      </c>
      <c r="C568" s="36" t="s">
        <v>212</v>
      </c>
      <c r="D568" s="36"/>
      <c r="E568" s="38">
        <v>20341421</v>
      </c>
      <c r="F568" s="40">
        <f>VLOOKUP(A568,'DATOS GENERALES'!A:B,2,0)</f>
        <v>2.62</v>
      </c>
      <c r="G568" s="36">
        <f t="shared" si="40"/>
        <v>2.6079479999999999</v>
      </c>
      <c r="H568" s="38">
        <f t="shared" si="41"/>
        <v>7799780.1336529721</v>
      </c>
      <c r="I568" s="38">
        <f t="shared" si="42"/>
        <v>12541640.866347028</v>
      </c>
      <c r="J568" s="38">
        <v>1685983.6841691348</v>
      </c>
      <c r="K568" s="38">
        <f t="shared" si="43"/>
        <v>10855657.182177894</v>
      </c>
      <c r="L568" s="41">
        <f>VLOOKUP(INDICADORES!$B$21,'DATOS GENERALES'!$K:$M,3,0)*E568</f>
        <v>138444.24612696347</v>
      </c>
      <c r="M568" s="38">
        <f t="shared" si="44"/>
        <v>10717212.936050931</v>
      </c>
      <c r="N568" s="36"/>
      <c r="O568" s="36"/>
      <c r="P568" s="36"/>
    </row>
    <row r="569" spans="1:16" x14ac:dyDescent="0.25">
      <c r="A569" s="36">
        <v>1826</v>
      </c>
      <c r="B569" s="37">
        <v>43525</v>
      </c>
      <c r="C569" s="36" t="s">
        <v>212</v>
      </c>
      <c r="D569" s="36"/>
      <c r="E569" s="38">
        <v>20341421</v>
      </c>
      <c r="F569" s="40">
        <f>VLOOKUP(A569,'DATOS GENERALES'!A:B,2,0)</f>
        <v>2.62</v>
      </c>
      <c r="G569" s="36">
        <f t="shared" si="40"/>
        <v>2.6079479999999999</v>
      </c>
      <c r="H569" s="38">
        <f t="shared" si="41"/>
        <v>7799780.1336529721</v>
      </c>
      <c r="I569" s="38">
        <f t="shared" si="42"/>
        <v>12541640.866347028</v>
      </c>
      <c r="J569" s="38">
        <v>1219788.2844635427</v>
      </c>
      <c r="K569" s="38">
        <f t="shared" si="43"/>
        <v>11321852.581883484</v>
      </c>
      <c r="L569" s="41">
        <f>VLOOKUP(INDICADORES!$B$21,'DATOS GENERALES'!$K:$M,3,0)*E569</f>
        <v>138444.24612696347</v>
      </c>
      <c r="M569" s="38">
        <f t="shared" si="44"/>
        <v>11183408.335756522</v>
      </c>
      <c r="N569" s="36"/>
      <c r="O569" s="36"/>
      <c r="P569" s="36"/>
    </row>
    <row r="570" spans="1:16" x14ac:dyDescent="0.25">
      <c r="A570" s="36">
        <v>1858</v>
      </c>
      <c r="B570" s="37">
        <v>43466</v>
      </c>
      <c r="C570" s="36" t="s">
        <v>212</v>
      </c>
      <c r="D570" s="36"/>
      <c r="E570" s="38">
        <v>118601976.15000001</v>
      </c>
      <c r="F570" s="40">
        <f>VLOOKUP(A570,'DATOS GENERALES'!A:B,2,0)</f>
        <v>0.73</v>
      </c>
      <c r="G570" s="36">
        <f t="shared" si="40"/>
        <v>0.7266419999999999</v>
      </c>
      <c r="H570" s="38">
        <f t="shared" si="41"/>
        <v>163219269.11739209</v>
      </c>
      <c r="I570" s="38">
        <f t="shared" si="42"/>
        <v>-44617292.967392087</v>
      </c>
      <c r="J570" s="38">
        <v>35813301.864137962</v>
      </c>
      <c r="K570" s="38">
        <f t="shared" si="43"/>
        <v>-80430594.831530049</v>
      </c>
      <c r="L570" s="41">
        <f>VLOOKUP(INDICADORES!$B$21,'DATOS GENERALES'!$K:$M,3,0)*E570</f>
        <v>807208.16786864842</v>
      </c>
      <c r="M570" s="38">
        <f t="shared" si="44"/>
        <v>-81237802.999398693</v>
      </c>
      <c r="N570" s="36"/>
      <c r="O570" s="36"/>
      <c r="P570" s="36"/>
    </row>
    <row r="571" spans="1:16" x14ac:dyDescent="0.25">
      <c r="A571" s="36">
        <v>1858</v>
      </c>
      <c r="B571" s="37">
        <v>43497</v>
      </c>
      <c r="C571" s="36" t="s">
        <v>212</v>
      </c>
      <c r="D571" s="36"/>
      <c r="E571" s="38">
        <v>197669960.25</v>
      </c>
      <c r="F571" s="40">
        <f>VLOOKUP(A571,'DATOS GENERALES'!A:B,2,0)</f>
        <v>0.73</v>
      </c>
      <c r="G571" s="36">
        <f t="shared" si="40"/>
        <v>0.7266419999999999</v>
      </c>
      <c r="H571" s="38">
        <f t="shared" si="41"/>
        <v>272032115.19565344</v>
      </c>
      <c r="I571" s="38">
        <f t="shared" si="42"/>
        <v>-74362154.945653439</v>
      </c>
      <c r="J571" s="38">
        <v>58801876.454315983</v>
      </c>
      <c r="K571" s="38">
        <f t="shared" si="43"/>
        <v>-133164031.39996943</v>
      </c>
      <c r="L571" s="41">
        <f>VLOOKUP(INDICADORES!$B$21,'DATOS GENERALES'!$K:$M,3,0)*E571</f>
        <v>1345346.9464477473</v>
      </c>
      <c r="M571" s="38">
        <f t="shared" si="44"/>
        <v>-134509378.34641719</v>
      </c>
      <c r="N571" s="36"/>
      <c r="O571" s="36"/>
      <c r="P571" s="36"/>
    </row>
    <row r="572" spans="1:16" x14ac:dyDescent="0.25">
      <c r="A572" s="36">
        <v>1858</v>
      </c>
      <c r="B572" s="37">
        <v>43525</v>
      </c>
      <c r="C572" s="36" t="s">
        <v>212</v>
      </c>
      <c r="D572" s="36"/>
      <c r="E572" s="38">
        <v>171313965.55000007</v>
      </c>
      <c r="F572" s="40">
        <f>VLOOKUP(A572,'DATOS GENERALES'!A:B,2,0)</f>
        <v>0.73</v>
      </c>
      <c r="G572" s="36">
        <f t="shared" si="40"/>
        <v>0.7266419999999999</v>
      </c>
      <c r="H572" s="38">
        <f t="shared" si="41"/>
        <v>235761166.50289977</v>
      </c>
      <c r="I572" s="38">
        <f t="shared" si="42"/>
        <v>-64447200.952899694</v>
      </c>
      <c r="J572" s="38">
        <v>36870104.529088855</v>
      </c>
      <c r="K572" s="38">
        <f t="shared" si="43"/>
        <v>-101317305.48198855</v>
      </c>
      <c r="L572" s="41">
        <f>VLOOKUP(INDICADORES!$B$21,'DATOS GENERALES'!$K:$M,3,0)*E572</f>
        <v>1165967.3535880481</v>
      </c>
      <c r="M572" s="38">
        <f t="shared" si="44"/>
        <v>-102483272.83557659</v>
      </c>
      <c r="N572" s="36"/>
      <c r="O572" s="36"/>
      <c r="P572" s="36"/>
    </row>
    <row r="573" spans="1:16" x14ac:dyDescent="0.25">
      <c r="A573" s="36">
        <v>1858</v>
      </c>
      <c r="B573" s="37">
        <v>43556</v>
      </c>
      <c r="C573" s="36" t="s">
        <v>212</v>
      </c>
      <c r="D573" s="36"/>
      <c r="E573" s="38">
        <v>210847957.5999999</v>
      </c>
      <c r="F573" s="40">
        <f>VLOOKUP(A573,'DATOS GENERALES'!A:B,2,0)</f>
        <v>0.73</v>
      </c>
      <c r="G573" s="36">
        <f t="shared" si="40"/>
        <v>0.7266419999999999</v>
      </c>
      <c r="H573" s="38">
        <f t="shared" si="41"/>
        <v>290167589.54203022</v>
      </c>
      <c r="I573" s="38">
        <f t="shared" si="42"/>
        <v>-79319631.942030311</v>
      </c>
      <c r="J573" s="38">
        <v>46652610.816467233</v>
      </c>
      <c r="K573" s="38">
        <f t="shared" si="43"/>
        <v>-125972242.75849754</v>
      </c>
      <c r="L573" s="41">
        <f>VLOOKUP(INDICADORES!$B$21,'DATOS GENERALES'!$K:$M,3,0)*E573</f>
        <v>1435036.7428775965</v>
      </c>
      <c r="M573" s="38">
        <f t="shared" si="44"/>
        <v>-127407279.50137514</v>
      </c>
      <c r="N573" s="36"/>
      <c r="O573" s="36"/>
      <c r="P573" s="36"/>
    </row>
    <row r="574" spans="1:16" x14ac:dyDescent="0.25">
      <c r="A574" s="36">
        <v>1848</v>
      </c>
      <c r="B574" s="37">
        <v>43466</v>
      </c>
      <c r="C574" s="36" t="s">
        <v>212</v>
      </c>
      <c r="D574" s="36"/>
      <c r="E574" s="38">
        <v>12773052.833333334</v>
      </c>
      <c r="F574" s="40">
        <f>VLOOKUP(A574,'DATOS GENERALES'!A:B,2,0)</f>
        <v>2.2999999999999998</v>
      </c>
      <c r="G574" s="36">
        <f t="shared" si="40"/>
        <v>2.2894199999999998</v>
      </c>
      <c r="H574" s="38">
        <f t="shared" si="41"/>
        <v>5579165.3926904351</v>
      </c>
      <c r="I574" s="38">
        <f t="shared" si="42"/>
        <v>7193887.4406428989</v>
      </c>
      <c r="J574" s="38">
        <v>1224171.2356564121</v>
      </c>
      <c r="K574" s="38">
        <f t="shared" si="43"/>
        <v>5969716.2049864866</v>
      </c>
      <c r="L574" s="41">
        <f>VLOOKUP(INDICADORES!$B$21,'DATOS GENERALES'!$K:$M,3,0)*E574</f>
        <v>86933.733402927362</v>
      </c>
      <c r="M574" s="38">
        <f t="shared" si="44"/>
        <v>5882782.4715835592</v>
      </c>
      <c r="N574" s="36"/>
      <c r="O574" s="36"/>
      <c r="P574" s="36"/>
    </row>
    <row r="575" spans="1:16" x14ac:dyDescent="0.25">
      <c r="A575" s="36">
        <v>1848</v>
      </c>
      <c r="B575" s="37">
        <v>43497</v>
      </c>
      <c r="C575" s="36" t="s">
        <v>212</v>
      </c>
      <c r="D575" s="36"/>
      <c r="E575" s="38">
        <v>12773052.833333334</v>
      </c>
      <c r="F575" s="40">
        <f>VLOOKUP(A575,'DATOS GENERALES'!A:B,2,0)</f>
        <v>2.2999999999999998</v>
      </c>
      <c r="G575" s="36">
        <f t="shared" si="40"/>
        <v>2.2894199999999998</v>
      </c>
      <c r="H575" s="38">
        <f t="shared" si="41"/>
        <v>5579165.3926904351</v>
      </c>
      <c r="I575" s="38">
        <f t="shared" si="42"/>
        <v>7193887.4406428989</v>
      </c>
      <c r="J575" s="38">
        <v>1205980.3817767035</v>
      </c>
      <c r="K575" s="38">
        <f t="shared" si="43"/>
        <v>5987907.0588661954</v>
      </c>
      <c r="L575" s="41">
        <f>VLOOKUP(INDICADORES!$B$21,'DATOS GENERALES'!$K:$M,3,0)*E575</f>
        <v>86933.733402927362</v>
      </c>
      <c r="M575" s="38">
        <f t="shared" si="44"/>
        <v>5900973.325463268</v>
      </c>
      <c r="N575" s="36"/>
      <c r="O575" s="36"/>
      <c r="P575" s="36"/>
    </row>
    <row r="576" spans="1:16" x14ac:dyDescent="0.25">
      <c r="A576" s="36">
        <v>1806</v>
      </c>
      <c r="B576" s="37">
        <v>43466</v>
      </c>
      <c r="C576" s="36" t="s">
        <v>212</v>
      </c>
      <c r="D576" s="36"/>
      <c r="E576" s="38">
        <v>50000000</v>
      </c>
      <c r="F576" s="40">
        <f>VLOOKUP(A576,'DATOS GENERALES'!A:B,2,0)</f>
        <v>2</v>
      </c>
      <c r="G576" s="36">
        <f t="shared" si="40"/>
        <v>1.9907999999999999</v>
      </c>
      <c r="H576" s="38">
        <f t="shared" si="41"/>
        <v>25115531.444645371</v>
      </c>
      <c r="I576" s="38">
        <f t="shared" si="42"/>
        <v>24884468.555354629</v>
      </c>
      <c r="J576" s="38">
        <v>5510808.337576909</v>
      </c>
      <c r="K576" s="38">
        <f t="shared" si="43"/>
        <v>19373660.217777722</v>
      </c>
      <c r="L576" s="41">
        <f>VLOOKUP(INDICADORES!$B$21,'DATOS GENERALES'!$K:$M,3,0)*E576</f>
        <v>340301.31456146418</v>
      </c>
      <c r="M576" s="38">
        <f t="shared" si="44"/>
        <v>19033358.903216258</v>
      </c>
      <c r="N576" s="36"/>
      <c r="O576" s="36"/>
      <c r="P576" s="36"/>
    </row>
    <row r="577" spans="1:16" x14ac:dyDescent="0.25">
      <c r="A577" s="36">
        <v>1806</v>
      </c>
      <c r="B577" s="37">
        <v>43497</v>
      </c>
      <c r="C577" s="36" t="s">
        <v>212</v>
      </c>
      <c r="D577" s="36"/>
      <c r="E577" s="38">
        <v>50000000</v>
      </c>
      <c r="F577" s="40">
        <f>VLOOKUP(A577,'DATOS GENERALES'!A:B,2,0)</f>
        <v>2</v>
      </c>
      <c r="G577" s="36">
        <f t="shared" si="40"/>
        <v>1.9907999999999999</v>
      </c>
      <c r="H577" s="38">
        <f t="shared" si="41"/>
        <v>25115531.444645371</v>
      </c>
      <c r="I577" s="38">
        <f t="shared" si="42"/>
        <v>24884468.555354629</v>
      </c>
      <c r="J577" s="38">
        <v>5428919.2143006306</v>
      </c>
      <c r="K577" s="38">
        <f t="shared" si="43"/>
        <v>19455549.341054</v>
      </c>
      <c r="L577" s="41">
        <f>VLOOKUP(INDICADORES!$B$21,'DATOS GENERALES'!$K:$M,3,0)*E577</f>
        <v>340301.31456146418</v>
      </c>
      <c r="M577" s="38">
        <f t="shared" si="44"/>
        <v>19115248.026492536</v>
      </c>
      <c r="N577" s="36"/>
      <c r="O577" s="36"/>
      <c r="P577" s="36"/>
    </row>
    <row r="578" spans="1:16" x14ac:dyDescent="0.25">
      <c r="A578" s="36">
        <v>1806</v>
      </c>
      <c r="B578" s="37">
        <v>43525</v>
      </c>
      <c r="C578" s="36" t="s">
        <v>212</v>
      </c>
      <c r="D578" s="36"/>
      <c r="E578" s="38">
        <v>50000000</v>
      </c>
      <c r="F578" s="40">
        <f>VLOOKUP(A578,'DATOS GENERALES'!A:B,2,0)</f>
        <v>2</v>
      </c>
      <c r="G578" s="36">
        <f t="shared" si="40"/>
        <v>1.9907999999999999</v>
      </c>
      <c r="H578" s="38">
        <f t="shared" si="41"/>
        <v>25115531.444645371</v>
      </c>
      <c r="I578" s="38">
        <f t="shared" si="42"/>
        <v>24884468.555354629</v>
      </c>
      <c r="J578" s="38">
        <v>3927755.7173789409</v>
      </c>
      <c r="K578" s="38">
        <f t="shared" si="43"/>
        <v>20956712.837975688</v>
      </c>
      <c r="L578" s="41">
        <f>VLOOKUP(INDICADORES!$B$21,'DATOS GENERALES'!$K:$M,3,0)*E578</f>
        <v>340301.31456146418</v>
      </c>
      <c r="M578" s="38">
        <f t="shared" si="44"/>
        <v>20616411.523414224</v>
      </c>
      <c r="N578" s="36"/>
      <c r="O578" s="36"/>
      <c r="P578" s="36"/>
    </row>
    <row r="579" spans="1:16" x14ac:dyDescent="0.25">
      <c r="A579" s="36">
        <v>1806</v>
      </c>
      <c r="B579" s="37">
        <v>43556</v>
      </c>
      <c r="C579" s="36" t="s">
        <v>212</v>
      </c>
      <c r="D579" s="36"/>
      <c r="E579" s="38">
        <v>50000000</v>
      </c>
      <c r="F579" s="40">
        <f>VLOOKUP(A579,'DATOS GENERALES'!A:B,2,0)</f>
        <v>2</v>
      </c>
      <c r="G579" s="36">
        <f t="shared" ref="G579:G642" si="45">F579*0.9954</f>
        <v>1.9907999999999999</v>
      </c>
      <c r="H579" s="38">
        <f t="shared" ref="H579:H642" si="46">E579/G579</f>
        <v>25115531.444645371</v>
      </c>
      <c r="I579" s="38">
        <f t="shared" ref="I579:I642" si="47">E579-H579</f>
        <v>24884468.555354629</v>
      </c>
      <c r="J579" s="38">
        <v>4038028.9052443136</v>
      </c>
      <c r="K579" s="38">
        <f t="shared" ref="K579:K642" si="48">IFERROR(I579-J579,"")</f>
        <v>20846439.650110316</v>
      </c>
      <c r="L579" s="41">
        <f>VLOOKUP(INDICADORES!$B$21,'DATOS GENERALES'!$K:$M,3,0)*E579</f>
        <v>340301.31456146418</v>
      </c>
      <c r="M579" s="38">
        <f t="shared" ref="M579:M642" si="49">IFERROR(K579-L579,"")</f>
        <v>20506138.335548852</v>
      </c>
      <c r="N579" s="36"/>
      <c r="O579" s="36"/>
      <c r="P579" s="36"/>
    </row>
    <row r="580" spans="1:16" x14ac:dyDescent="0.25">
      <c r="A580" s="36">
        <v>1806</v>
      </c>
      <c r="B580" s="37">
        <v>43586</v>
      </c>
      <c r="C580" s="36" t="s">
        <v>212</v>
      </c>
      <c r="D580" s="36"/>
      <c r="E580" s="38">
        <v>50000000</v>
      </c>
      <c r="F580" s="40">
        <f>VLOOKUP(A580,'DATOS GENERALES'!A:B,2,0)</f>
        <v>2</v>
      </c>
      <c r="G580" s="36">
        <f t="shared" si="45"/>
        <v>1.9907999999999999</v>
      </c>
      <c r="H580" s="38">
        <f t="shared" si="46"/>
        <v>25115531.444645371</v>
      </c>
      <c r="I580" s="38">
        <f t="shared" si="47"/>
        <v>24884468.555354629</v>
      </c>
      <c r="J580" s="38">
        <v>3331091.4495133436</v>
      </c>
      <c r="K580" s="38">
        <f t="shared" si="48"/>
        <v>21553377.105841286</v>
      </c>
      <c r="L580" s="41">
        <f>VLOOKUP(INDICADORES!$B$21,'DATOS GENERALES'!$K:$M,3,0)*E580</f>
        <v>340301.31456146418</v>
      </c>
      <c r="M580" s="38">
        <f t="shared" si="49"/>
        <v>21213075.791279823</v>
      </c>
      <c r="N580" s="36"/>
      <c r="O580" s="36"/>
      <c r="P580" s="36"/>
    </row>
    <row r="581" spans="1:16" x14ac:dyDescent="0.25">
      <c r="A581" s="36">
        <v>1824</v>
      </c>
      <c r="B581" s="37">
        <v>43466</v>
      </c>
      <c r="C581" s="36" t="s">
        <v>212</v>
      </c>
      <c r="D581" s="36"/>
      <c r="E581" s="38">
        <v>48166666.666666664</v>
      </c>
      <c r="F581" s="40">
        <f>VLOOKUP(A581,'DATOS GENERALES'!A:B,2,0)</f>
        <v>2.44</v>
      </c>
      <c r="G581" s="36">
        <f t="shared" si="45"/>
        <v>2.428776</v>
      </c>
      <c r="H581" s="38">
        <f t="shared" si="46"/>
        <v>19831662.80738391</v>
      </c>
      <c r="I581" s="38">
        <f t="shared" si="47"/>
        <v>28335003.859282754</v>
      </c>
      <c r="J581" s="38">
        <v>4351430.627212367</v>
      </c>
      <c r="K581" s="38">
        <f t="shared" si="48"/>
        <v>23983573.232070386</v>
      </c>
      <c r="L581" s="41">
        <f>VLOOKUP(INDICADORES!$B$21,'DATOS GENERALES'!$K:$M,3,0)*E581</f>
        <v>327823.59969421045</v>
      </c>
      <c r="M581" s="38">
        <f t="shared" si="49"/>
        <v>23655749.632376175</v>
      </c>
      <c r="N581" s="36"/>
      <c r="O581" s="36"/>
      <c r="P581" s="36"/>
    </row>
    <row r="582" spans="1:16" x14ac:dyDescent="0.25">
      <c r="A582" s="36">
        <v>1824</v>
      </c>
      <c r="B582" s="37">
        <v>43497</v>
      </c>
      <c r="C582" s="36" t="s">
        <v>212</v>
      </c>
      <c r="D582" s="36"/>
      <c r="E582" s="38">
        <v>48166666.666666664</v>
      </c>
      <c r="F582" s="40">
        <f>VLOOKUP(A582,'DATOS GENERALES'!A:B,2,0)</f>
        <v>2.44</v>
      </c>
      <c r="G582" s="36">
        <f t="shared" si="45"/>
        <v>2.428776</v>
      </c>
      <c r="H582" s="38">
        <f t="shared" si="46"/>
        <v>19831662.80738391</v>
      </c>
      <c r="I582" s="38">
        <f t="shared" si="47"/>
        <v>28335003.859282754</v>
      </c>
      <c r="J582" s="38">
        <v>4286769.5435324647</v>
      </c>
      <c r="K582" s="38">
        <f t="shared" si="48"/>
        <v>24048234.31575029</v>
      </c>
      <c r="L582" s="41">
        <f>VLOOKUP(INDICADORES!$B$21,'DATOS GENERALES'!$K:$M,3,0)*E582</f>
        <v>327823.59969421045</v>
      </c>
      <c r="M582" s="38">
        <f t="shared" si="49"/>
        <v>23720410.716056079</v>
      </c>
      <c r="N582" s="36"/>
      <c r="O582" s="36"/>
      <c r="P582" s="36"/>
    </row>
    <row r="583" spans="1:16" x14ac:dyDescent="0.25">
      <c r="A583" s="36">
        <v>1824</v>
      </c>
      <c r="B583" s="37">
        <v>43525</v>
      </c>
      <c r="C583" s="36" t="s">
        <v>212</v>
      </c>
      <c r="D583" s="36"/>
      <c r="E583" s="38">
        <v>48166666.666666664</v>
      </c>
      <c r="F583" s="40">
        <f>VLOOKUP(A583,'DATOS GENERALES'!A:B,2,0)</f>
        <v>2.44</v>
      </c>
      <c r="G583" s="36">
        <f t="shared" si="45"/>
        <v>2.428776</v>
      </c>
      <c r="H583" s="38">
        <f t="shared" si="46"/>
        <v>19831662.80738391</v>
      </c>
      <c r="I583" s="38">
        <f t="shared" si="47"/>
        <v>28335003.859282754</v>
      </c>
      <c r="J583" s="38">
        <v>3101424.5965096005</v>
      </c>
      <c r="K583" s="38">
        <f t="shared" si="48"/>
        <v>25233579.262773152</v>
      </c>
      <c r="L583" s="41">
        <f>VLOOKUP(INDICADORES!$B$21,'DATOS GENERALES'!$K:$M,3,0)*E583</f>
        <v>327823.59969421045</v>
      </c>
      <c r="M583" s="38">
        <f t="shared" si="49"/>
        <v>24905755.663078941</v>
      </c>
      <c r="N583" s="36"/>
      <c r="O583" s="36"/>
      <c r="P583" s="36"/>
    </row>
    <row r="584" spans="1:16" x14ac:dyDescent="0.25">
      <c r="A584" s="36">
        <v>1824</v>
      </c>
      <c r="B584" s="37">
        <v>43556</v>
      </c>
      <c r="C584" s="36" t="s">
        <v>212</v>
      </c>
      <c r="D584" s="36"/>
      <c r="E584" s="38">
        <v>48166666.666666664</v>
      </c>
      <c r="F584" s="40">
        <f>VLOOKUP(A584,'DATOS GENERALES'!A:B,2,0)</f>
        <v>2.44</v>
      </c>
      <c r="G584" s="36">
        <f t="shared" si="45"/>
        <v>2.428776</v>
      </c>
      <c r="H584" s="38">
        <f t="shared" si="46"/>
        <v>19831662.80738391</v>
      </c>
      <c r="I584" s="38">
        <f t="shared" si="47"/>
        <v>28335003.859282754</v>
      </c>
      <c r="J584" s="38">
        <v>3188498.2339224215</v>
      </c>
      <c r="K584" s="38">
        <f t="shared" si="48"/>
        <v>25146505.625360332</v>
      </c>
      <c r="L584" s="41">
        <f>VLOOKUP(INDICADORES!$B$21,'DATOS GENERALES'!$K:$M,3,0)*E584</f>
        <v>327823.59969421045</v>
      </c>
      <c r="M584" s="38">
        <f t="shared" si="49"/>
        <v>24818682.025666121</v>
      </c>
      <c r="N584" s="36"/>
      <c r="O584" s="36"/>
      <c r="P584" s="36"/>
    </row>
    <row r="585" spans="1:16" x14ac:dyDescent="0.25">
      <c r="A585" s="36">
        <v>1824</v>
      </c>
      <c r="B585" s="37">
        <v>43586</v>
      </c>
      <c r="C585" s="36" t="s">
        <v>212</v>
      </c>
      <c r="D585" s="36"/>
      <c r="E585" s="38">
        <v>48166666.666666664</v>
      </c>
      <c r="F585" s="40">
        <f>VLOOKUP(A585,'DATOS GENERALES'!A:B,2,0)</f>
        <v>2.44</v>
      </c>
      <c r="G585" s="36">
        <f t="shared" si="45"/>
        <v>2.428776</v>
      </c>
      <c r="H585" s="38">
        <f t="shared" si="46"/>
        <v>19831662.80738391</v>
      </c>
      <c r="I585" s="38">
        <f t="shared" si="47"/>
        <v>28335003.859282754</v>
      </c>
      <c r="J585" s="38">
        <v>2630288.0571293887</v>
      </c>
      <c r="K585" s="38">
        <f t="shared" si="48"/>
        <v>25704715.802153364</v>
      </c>
      <c r="L585" s="41">
        <f>VLOOKUP(INDICADORES!$B$21,'DATOS GENERALES'!$K:$M,3,0)*E585</f>
        <v>327823.59969421045</v>
      </c>
      <c r="M585" s="38">
        <f t="shared" si="49"/>
        <v>25376892.202459153</v>
      </c>
      <c r="N585" s="36"/>
      <c r="O585" s="36"/>
      <c r="P585" s="36"/>
    </row>
    <row r="586" spans="1:16" x14ac:dyDescent="0.25">
      <c r="A586" s="36">
        <v>1824</v>
      </c>
      <c r="B586" s="37">
        <v>43617</v>
      </c>
      <c r="C586" s="36" t="s">
        <v>212</v>
      </c>
      <c r="D586" s="36"/>
      <c r="E586" s="38">
        <v>48166666.666666664</v>
      </c>
      <c r="F586" s="40">
        <f>VLOOKUP(A586,'DATOS GENERALES'!A:B,2,0)</f>
        <v>2.44</v>
      </c>
      <c r="G586" s="36">
        <f t="shared" si="45"/>
        <v>2.428776</v>
      </c>
      <c r="H586" s="38">
        <f t="shared" si="46"/>
        <v>19831662.80738391</v>
      </c>
      <c r="I586" s="38">
        <f t="shared" si="47"/>
        <v>28335003.859282754</v>
      </c>
      <c r="J586" s="38">
        <v>2954343.1857926492</v>
      </c>
      <c r="K586" s="38">
        <f t="shared" si="48"/>
        <v>25380660.673490107</v>
      </c>
      <c r="L586" s="41">
        <f>VLOOKUP(INDICADORES!$B$21,'DATOS GENERALES'!$K:$M,3,0)*E586</f>
        <v>327823.59969421045</v>
      </c>
      <c r="M586" s="38">
        <f t="shared" si="49"/>
        <v>25052837.073795896</v>
      </c>
      <c r="N586" s="36"/>
      <c r="O586" s="36"/>
      <c r="P586" s="36"/>
    </row>
    <row r="587" spans="1:16" x14ac:dyDescent="0.25">
      <c r="A587" s="36">
        <v>1866</v>
      </c>
      <c r="B587" s="37">
        <v>43497</v>
      </c>
      <c r="C587" s="36" t="s">
        <v>212</v>
      </c>
      <c r="D587" s="36"/>
      <c r="E587" s="38">
        <v>9800000</v>
      </c>
      <c r="F587" s="40">
        <f>VLOOKUP(A587,'DATOS GENERALES'!A:B,2,0)</f>
        <v>1</v>
      </c>
      <c r="G587" s="36">
        <f t="shared" si="45"/>
        <v>0.99539999999999995</v>
      </c>
      <c r="H587" s="38">
        <f t="shared" si="46"/>
        <v>9845288.3263009842</v>
      </c>
      <c r="I587" s="38">
        <f t="shared" si="47"/>
        <v>-45288.326300984249</v>
      </c>
      <c r="J587" s="38">
        <v>2128136.3320058468</v>
      </c>
      <c r="K587" s="38">
        <f t="shared" si="48"/>
        <v>-2173424.658306831</v>
      </c>
      <c r="L587" s="41">
        <f>VLOOKUP(INDICADORES!$B$21,'DATOS GENERALES'!$K:$M,3,0)*E587</f>
        <v>66699.057654046977</v>
      </c>
      <c r="M587" s="38">
        <f t="shared" si="49"/>
        <v>-2240123.7159608779</v>
      </c>
      <c r="N587" s="36"/>
      <c r="O587" s="36"/>
      <c r="P587" s="36"/>
    </row>
    <row r="588" spans="1:16" x14ac:dyDescent="0.25">
      <c r="A588" s="36">
        <v>1866</v>
      </c>
      <c r="B588" s="37">
        <v>43525</v>
      </c>
      <c r="C588" s="36" t="s">
        <v>212</v>
      </c>
      <c r="D588" s="36"/>
      <c r="E588" s="38">
        <v>9800000</v>
      </c>
      <c r="F588" s="40">
        <f>VLOOKUP(A588,'DATOS GENERALES'!A:B,2,0)</f>
        <v>1</v>
      </c>
      <c r="G588" s="36">
        <f t="shared" si="45"/>
        <v>0.99539999999999995</v>
      </c>
      <c r="H588" s="38">
        <f t="shared" si="46"/>
        <v>9845288.3263009842</v>
      </c>
      <c r="I588" s="38">
        <f t="shared" si="47"/>
        <v>-45288.326300984249</v>
      </c>
      <c r="J588" s="38">
        <v>1539680.2412125445</v>
      </c>
      <c r="K588" s="38">
        <f t="shared" si="48"/>
        <v>-1584968.5675135287</v>
      </c>
      <c r="L588" s="41">
        <f>VLOOKUP(INDICADORES!$B$21,'DATOS GENERALES'!$K:$M,3,0)*E588</f>
        <v>66699.057654046977</v>
      </c>
      <c r="M588" s="38">
        <f t="shared" si="49"/>
        <v>-1651667.6251675757</v>
      </c>
      <c r="N588" s="36"/>
      <c r="O588" s="36"/>
      <c r="P588" s="36"/>
    </row>
    <row r="589" spans="1:16" x14ac:dyDescent="0.25">
      <c r="A589" s="36">
        <v>1866</v>
      </c>
      <c r="B589" s="37">
        <v>43556</v>
      </c>
      <c r="C589" s="36" t="s">
        <v>212</v>
      </c>
      <c r="D589" s="36"/>
      <c r="E589" s="38">
        <v>9800000</v>
      </c>
      <c r="F589" s="40">
        <f>VLOOKUP(A589,'DATOS GENERALES'!A:B,2,0)</f>
        <v>1</v>
      </c>
      <c r="G589" s="36">
        <f t="shared" si="45"/>
        <v>0.99539999999999995</v>
      </c>
      <c r="H589" s="38">
        <f t="shared" si="46"/>
        <v>9845288.3263009842</v>
      </c>
      <c r="I589" s="38">
        <f t="shared" si="47"/>
        <v>-45288.326300984249</v>
      </c>
      <c r="J589" s="38">
        <v>1582907.3308557707</v>
      </c>
      <c r="K589" s="38">
        <f t="shared" si="48"/>
        <v>-1628195.657156755</v>
      </c>
      <c r="L589" s="41">
        <f>VLOOKUP(INDICADORES!$B$21,'DATOS GENERALES'!$K:$M,3,0)*E589</f>
        <v>66699.057654046977</v>
      </c>
      <c r="M589" s="38">
        <f t="shared" si="49"/>
        <v>-1694894.7148108019</v>
      </c>
      <c r="N589" s="36"/>
      <c r="O589" s="36"/>
      <c r="P589" s="36"/>
    </row>
    <row r="590" spans="1:16" x14ac:dyDescent="0.25">
      <c r="A590" s="36">
        <v>1866</v>
      </c>
      <c r="B590" s="37">
        <v>43586</v>
      </c>
      <c r="C590" s="36" t="s">
        <v>212</v>
      </c>
      <c r="D590" s="36"/>
      <c r="E590" s="38">
        <v>9800000</v>
      </c>
      <c r="F590" s="40">
        <f>VLOOKUP(A590,'DATOS GENERALES'!A:B,2,0)</f>
        <v>1</v>
      </c>
      <c r="G590" s="36">
        <f t="shared" si="45"/>
        <v>0.99539999999999995</v>
      </c>
      <c r="H590" s="38">
        <f t="shared" si="46"/>
        <v>9845288.3263009842</v>
      </c>
      <c r="I590" s="38">
        <f t="shared" si="47"/>
        <v>-45288.326300984249</v>
      </c>
      <c r="J590" s="38">
        <v>1305787.8482092305</v>
      </c>
      <c r="K590" s="38">
        <f t="shared" si="48"/>
        <v>-1351076.1745102147</v>
      </c>
      <c r="L590" s="41">
        <f>VLOOKUP(INDICADORES!$B$21,'DATOS GENERALES'!$K:$M,3,0)*E590</f>
        <v>66699.057654046977</v>
      </c>
      <c r="M590" s="38">
        <f t="shared" si="49"/>
        <v>-1417775.2321642616</v>
      </c>
      <c r="N590" s="36"/>
      <c r="O590" s="36"/>
      <c r="P590" s="36"/>
    </row>
    <row r="591" spans="1:16" x14ac:dyDescent="0.25">
      <c r="A591" s="36">
        <v>1866</v>
      </c>
      <c r="B591" s="37">
        <v>43617</v>
      </c>
      <c r="C591" s="36" t="s">
        <v>212</v>
      </c>
      <c r="D591" s="36"/>
      <c r="E591" s="38">
        <v>9800000</v>
      </c>
      <c r="F591" s="40">
        <f>VLOOKUP(A591,'DATOS GENERALES'!A:B,2,0)</f>
        <v>1</v>
      </c>
      <c r="G591" s="36">
        <f t="shared" si="45"/>
        <v>0.99539999999999995</v>
      </c>
      <c r="H591" s="38">
        <f t="shared" si="46"/>
        <v>9845288.3263009842</v>
      </c>
      <c r="I591" s="38">
        <f t="shared" si="47"/>
        <v>-45288.326300984249</v>
      </c>
      <c r="J591" s="38">
        <v>1466662.7181731593</v>
      </c>
      <c r="K591" s="38">
        <f t="shared" si="48"/>
        <v>-1511951.0444741435</v>
      </c>
      <c r="L591" s="41">
        <f>VLOOKUP(INDICADORES!$B$21,'DATOS GENERALES'!$K:$M,3,0)*E591</f>
        <v>66699.057654046977</v>
      </c>
      <c r="M591" s="38">
        <f t="shared" si="49"/>
        <v>-1578650.1021281905</v>
      </c>
      <c r="N591" s="36"/>
      <c r="O591" s="36"/>
      <c r="P591" s="36"/>
    </row>
    <row r="592" spans="1:16" x14ac:dyDescent="0.25">
      <c r="A592" s="36">
        <v>1866</v>
      </c>
      <c r="B592" s="37">
        <v>43647</v>
      </c>
      <c r="C592" s="36" t="s">
        <v>212</v>
      </c>
      <c r="D592" s="36"/>
      <c r="E592" s="38">
        <v>9800000</v>
      </c>
      <c r="F592" s="40">
        <f>VLOOKUP(A592,'DATOS GENERALES'!A:B,2,0)</f>
        <v>1</v>
      </c>
      <c r="G592" s="36">
        <f t="shared" si="45"/>
        <v>0.99539999999999995</v>
      </c>
      <c r="H592" s="38">
        <f t="shared" si="46"/>
        <v>9845288.3263009842</v>
      </c>
      <c r="I592" s="38">
        <f t="shared" si="47"/>
        <v>-45288.326300984249</v>
      </c>
      <c r="J592" s="38">
        <v>2546885.7642109776</v>
      </c>
      <c r="K592" s="38">
        <f t="shared" si="48"/>
        <v>-2592174.0905119618</v>
      </c>
      <c r="L592" s="41">
        <f>VLOOKUP(INDICADORES!$B$21,'DATOS GENERALES'!$K:$M,3,0)*E592</f>
        <v>66699.057654046977</v>
      </c>
      <c r="M592" s="38">
        <f t="shared" si="49"/>
        <v>-2658873.1481660088</v>
      </c>
      <c r="N592" s="36"/>
      <c r="O592" s="36"/>
      <c r="P592" s="36"/>
    </row>
    <row r="593" spans="1:16" x14ac:dyDescent="0.25">
      <c r="A593" s="36">
        <v>1866</v>
      </c>
      <c r="B593" s="37">
        <v>43678</v>
      </c>
      <c r="C593" s="36" t="s">
        <v>212</v>
      </c>
      <c r="D593" s="36"/>
      <c r="E593" s="38">
        <v>9800000</v>
      </c>
      <c r="F593" s="40">
        <f>VLOOKUP(A593,'DATOS GENERALES'!A:B,2,0)</f>
        <v>1</v>
      </c>
      <c r="G593" s="36">
        <f t="shared" si="45"/>
        <v>0.99539999999999995</v>
      </c>
      <c r="H593" s="38">
        <f t="shared" si="46"/>
        <v>9845288.3263009842</v>
      </c>
      <c r="I593" s="38">
        <f t="shared" si="47"/>
        <v>-45288.326300984249</v>
      </c>
      <c r="J593" s="38">
        <v>2557484.9533003001</v>
      </c>
      <c r="K593" s="38">
        <f t="shared" si="48"/>
        <v>-2602773.2796012843</v>
      </c>
      <c r="L593" s="41">
        <f>VLOOKUP(INDICADORES!$B$21,'DATOS GENERALES'!$K:$M,3,0)*E593</f>
        <v>66699.057654046977</v>
      </c>
      <c r="M593" s="38">
        <f t="shared" si="49"/>
        <v>-2669472.3372553312</v>
      </c>
      <c r="N593" s="36"/>
      <c r="O593" s="36"/>
      <c r="P593" s="36"/>
    </row>
    <row r="594" spans="1:16" x14ac:dyDescent="0.25">
      <c r="A594" s="36">
        <v>1866</v>
      </c>
      <c r="B594" s="37">
        <v>43709</v>
      </c>
      <c r="C594" s="36" t="s">
        <v>212</v>
      </c>
      <c r="D594" s="36"/>
      <c r="E594" s="38">
        <v>9800000</v>
      </c>
      <c r="F594" s="40">
        <f>VLOOKUP(A594,'DATOS GENERALES'!A:B,2,0)</f>
        <v>1</v>
      </c>
      <c r="G594" s="36">
        <f t="shared" si="45"/>
        <v>0.99539999999999995</v>
      </c>
      <c r="H594" s="38">
        <f t="shared" si="46"/>
        <v>9845288.3263009842</v>
      </c>
      <c r="I594" s="38">
        <f t="shared" si="47"/>
        <v>-45288.326300984249</v>
      </c>
      <c r="J594" s="38">
        <v>2822852.7436001156</v>
      </c>
      <c r="K594" s="38">
        <f t="shared" si="48"/>
        <v>-2868141.0699010999</v>
      </c>
      <c r="L594" s="41">
        <f>VLOOKUP(INDICADORES!$B$21,'DATOS GENERALES'!$K:$M,3,0)*E594</f>
        <v>66699.057654046977</v>
      </c>
      <c r="M594" s="38">
        <f t="shared" si="49"/>
        <v>-2934840.1275551468</v>
      </c>
      <c r="N594" s="36"/>
      <c r="O594" s="36"/>
      <c r="P594" s="36"/>
    </row>
    <row r="595" spans="1:16" x14ac:dyDescent="0.25">
      <c r="A595" s="36">
        <v>1866</v>
      </c>
      <c r="B595" s="37">
        <v>43739</v>
      </c>
      <c r="C595" s="36" t="s">
        <v>212</v>
      </c>
      <c r="D595" s="36"/>
      <c r="E595" s="38">
        <v>9800000</v>
      </c>
      <c r="F595" s="40">
        <f>VLOOKUP(A595,'DATOS GENERALES'!A:B,2,0)</f>
        <v>1</v>
      </c>
      <c r="G595" s="36">
        <f t="shared" si="45"/>
        <v>0.99539999999999995</v>
      </c>
      <c r="H595" s="38">
        <f t="shared" si="46"/>
        <v>9845288.3263009842</v>
      </c>
      <c r="I595" s="38">
        <f t="shared" si="47"/>
        <v>-45288.326300984249</v>
      </c>
      <c r="J595" s="38">
        <v>3063481.9281107462</v>
      </c>
      <c r="K595" s="38">
        <f t="shared" si="48"/>
        <v>-3108770.2544117304</v>
      </c>
      <c r="L595" s="41">
        <f>VLOOKUP(INDICADORES!$B$21,'DATOS GENERALES'!$K:$M,3,0)*E595</f>
        <v>66699.057654046977</v>
      </c>
      <c r="M595" s="38">
        <f t="shared" si="49"/>
        <v>-3175469.3120657774</v>
      </c>
      <c r="N595" s="36"/>
      <c r="O595" s="36"/>
      <c r="P595" s="36"/>
    </row>
    <row r="596" spans="1:16" x14ac:dyDescent="0.25">
      <c r="A596" s="36">
        <v>1866</v>
      </c>
      <c r="B596" s="37">
        <v>43770</v>
      </c>
      <c r="C596" s="36" t="s">
        <v>212</v>
      </c>
      <c r="D596" s="36"/>
      <c r="E596" s="38">
        <v>9800000</v>
      </c>
      <c r="F596" s="40">
        <f>VLOOKUP(A596,'DATOS GENERALES'!A:B,2,0)</f>
        <v>1</v>
      </c>
      <c r="G596" s="36">
        <f t="shared" si="45"/>
        <v>0.99539999999999995</v>
      </c>
      <c r="H596" s="38">
        <f t="shared" si="46"/>
        <v>9845288.3263009842</v>
      </c>
      <c r="I596" s="38">
        <f t="shared" si="47"/>
        <v>-45288.326300984249</v>
      </c>
      <c r="J596" s="38">
        <v>4020196.5617471365</v>
      </c>
      <c r="K596" s="38">
        <f t="shared" si="48"/>
        <v>-4065484.8880481208</v>
      </c>
      <c r="L596" s="41">
        <f>VLOOKUP(INDICADORES!$B$21,'DATOS GENERALES'!$K:$M,3,0)*E596</f>
        <v>66699.057654046977</v>
      </c>
      <c r="M596" s="38">
        <f t="shared" si="49"/>
        <v>-4132183.9457021677</v>
      </c>
      <c r="N596" s="36"/>
      <c r="O596" s="36"/>
      <c r="P596" s="36"/>
    </row>
    <row r="597" spans="1:16" x14ac:dyDescent="0.25">
      <c r="A597" s="36">
        <v>1866</v>
      </c>
      <c r="B597" s="37">
        <v>43800</v>
      </c>
      <c r="C597" s="36" t="s">
        <v>212</v>
      </c>
      <c r="D597" s="36"/>
      <c r="E597" s="38">
        <v>9800000</v>
      </c>
      <c r="F597" s="40">
        <f>VLOOKUP(A597,'DATOS GENERALES'!A:B,2,0)</f>
        <v>1</v>
      </c>
      <c r="G597" s="36">
        <f t="shared" si="45"/>
        <v>0.99539999999999995</v>
      </c>
      <c r="H597" s="38">
        <f t="shared" si="46"/>
        <v>9845288.3263009842</v>
      </c>
      <c r="I597" s="38">
        <f t="shared" si="47"/>
        <v>-45288.326300984249</v>
      </c>
      <c r="J597" s="38">
        <v>3467618.6659627589</v>
      </c>
      <c r="K597" s="38">
        <f t="shared" si="48"/>
        <v>-3512906.9922637432</v>
      </c>
      <c r="L597" s="41">
        <f>VLOOKUP(INDICADORES!$B$21,'DATOS GENERALES'!$K:$M,3,0)*E597</f>
        <v>66699.057654046977</v>
      </c>
      <c r="M597" s="38">
        <f t="shared" si="49"/>
        <v>-3579606.0499177901</v>
      </c>
      <c r="N597" s="36"/>
      <c r="O597" s="36"/>
      <c r="P597" s="36"/>
    </row>
    <row r="598" spans="1:16" x14ac:dyDescent="0.25">
      <c r="A598" s="36">
        <v>1866</v>
      </c>
      <c r="B598" s="37">
        <v>43831</v>
      </c>
      <c r="C598" s="36" t="s">
        <v>212</v>
      </c>
      <c r="D598" s="36"/>
      <c r="E598" s="38">
        <v>9800000</v>
      </c>
      <c r="F598" s="40">
        <f>VLOOKUP(A598,'DATOS GENERALES'!A:B,2,0)</f>
        <v>1</v>
      </c>
      <c r="G598" s="36">
        <f t="shared" si="45"/>
        <v>0.99539999999999995</v>
      </c>
      <c r="H598" s="38">
        <f t="shared" si="46"/>
        <v>9845288.3263009842</v>
      </c>
      <c r="I598" s="38">
        <f t="shared" si="47"/>
        <v>-45288.326300984249</v>
      </c>
      <c r="J598" s="38" t="s">
        <v>213</v>
      </c>
      <c r="K598" s="38" t="str">
        <f t="shared" si="48"/>
        <v/>
      </c>
      <c r="L598" s="41">
        <f>VLOOKUP(INDICADORES!$B$21,'DATOS GENERALES'!$K:$M,3,0)*E598</f>
        <v>66699.057654046977</v>
      </c>
      <c r="M598" s="38" t="str">
        <f t="shared" si="49"/>
        <v/>
      </c>
      <c r="N598" s="36"/>
      <c r="O598" s="36"/>
      <c r="P598" s="36"/>
    </row>
    <row r="599" spans="1:16" x14ac:dyDescent="0.25">
      <c r="A599" s="36">
        <v>1866</v>
      </c>
      <c r="B599" s="37">
        <v>43862</v>
      </c>
      <c r="C599" s="36" t="s">
        <v>212</v>
      </c>
      <c r="D599" s="36"/>
      <c r="E599" s="38">
        <v>9800000</v>
      </c>
      <c r="F599" s="40">
        <f>VLOOKUP(A599,'DATOS GENERALES'!A:B,2,0)</f>
        <v>1</v>
      </c>
      <c r="G599" s="36">
        <f t="shared" si="45"/>
        <v>0.99539999999999995</v>
      </c>
      <c r="H599" s="38">
        <f t="shared" si="46"/>
        <v>9845288.3263009842</v>
      </c>
      <c r="I599" s="38">
        <f t="shared" si="47"/>
        <v>-45288.326300984249</v>
      </c>
      <c r="J599" s="38" t="s">
        <v>213</v>
      </c>
      <c r="K599" s="38" t="str">
        <f t="shared" si="48"/>
        <v/>
      </c>
      <c r="L599" s="41">
        <f>VLOOKUP(INDICADORES!$B$21,'DATOS GENERALES'!$K:$M,3,0)*E599</f>
        <v>66699.057654046977</v>
      </c>
      <c r="M599" s="38" t="str">
        <f t="shared" si="49"/>
        <v/>
      </c>
      <c r="N599" s="36"/>
      <c r="O599" s="36"/>
      <c r="P599" s="36"/>
    </row>
    <row r="600" spans="1:16" x14ac:dyDescent="0.25">
      <c r="A600" s="36">
        <v>1866</v>
      </c>
      <c r="B600" s="37">
        <v>43891</v>
      </c>
      <c r="C600" s="36" t="s">
        <v>212</v>
      </c>
      <c r="D600" s="36"/>
      <c r="E600" s="38">
        <v>9800000</v>
      </c>
      <c r="F600" s="40">
        <f>VLOOKUP(A600,'DATOS GENERALES'!A:B,2,0)</f>
        <v>1</v>
      </c>
      <c r="G600" s="36">
        <f t="shared" si="45"/>
        <v>0.99539999999999995</v>
      </c>
      <c r="H600" s="38">
        <f t="shared" si="46"/>
        <v>9845288.3263009842</v>
      </c>
      <c r="I600" s="38">
        <f t="shared" si="47"/>
        <v>-45288.326300984249</v>
      </c>
      <c r="J600" s="38" t="s">
        <v>213</v>
      </c>
      <c r="K600" s="38" t="str">
        <f t="shared" si="48"/>
        <v/>
      </c>
      <c r="L600" s="41">
        <f>VLOOKUP(INDICADORES!$B$21,'DATOS GENERALES'!$K:$M,3,0)*E600</f>
        <v>66699.057654046977</v>
      </c>
      <c r="M600" s="38" t="str">
        <f t="shared" si="49"/>
        <v/>
      </c>
      <c r="N600" s="36"/>
      <c r="O600" s="36"/>
      <c r="P600" s="36"/>
    </row>
    <row r="601" spans="1:16" x14ac:dyDescent="0.25">
      <c r="A601" s="36">
        <v>1848</v>
      </c>
      <c r="B601" s="37">
        <v>43525</v>
      </c>
      <c r="C601" s="36" t="s">
        <v>212</v>
      </c>
      <c r="D601" s="36"/>
      <c r="E601" s="38">
        <v>12773052.833333334</v>
      </c>
      <c r="F601" s="40">
        <f>VLOOKUP(A601,'DATOS GENERALES'!A:B,2,0)</f>
        <v>2.2999999999999998</v>
      </c>
      <c r="G601" s="36">
        <f t="shared" si="45"/>
        <v>2.2894199999999998</v>
      </c>
      <c r="H601" s="38">
        <f t="shared" si="46"/>
        <v>5579165.3926904351</v>
      </c>
      <c r="I601" s="38">
        <f t="shared" si="47"/>
        <v>7193887.4406428989</v>
      </c>
      <c r="J601" s="38">
        <v>872511.84860014403</v>
      </c>
      <c r="K601" s="38">
        <f t="shared" si="48"/>
        <v>6321375.5920427553</v>
      </c>
      <c r="L601" s="41">
        <f>VLOOKUP(INDICADORES!$B$21,'DATOS GENERALES'!$K:$M,3,0)*E601</f>
        <v>86933.733402927362</v>
      </c>
      <c r="M601" s="38">
        <f t="shared" si="49"/>
        <v>6234441.8586398279</v>
      </c>
      <c r="N601" s="36"/>
      <c r="O601" s="36"/>
      <c r="P601" s="36"/>
    </row>
    <row r="602" spans="1:16" x14ac:dyDescent="0.25">
      <c r="A602" s="36">
        <v>1848</v>
      </c>
      <c r="B602" s="37">
        <v>43556</v>
      </c>
      <c r="C602" s="36" t="s">
        <v>212</v>
      </c>
      <c r="D602" s="36"/>
      <c r="E602" s="38">
        <v>12773052.833333334</v>
      </c>
      <c r="F602" s="40">
        <f>VLOOKUP(A602,'DATOS GENERALES'!A:B,2,0)</f>
        <v>2.2999999999999998</v>
      </c>
      <c r="G602" s="36">
        <f t="shared" si="45"/>
        <v>2.2894199999999998</v>
      </c>
      <c r="H602" s="38">
        <f t="shared" si="46"/>
        <v>5579165.3926904351</v>
      </c>
      <c r="I602" s="38">
        <f t="shared" si="47"/>
        <v>7193887.4406428989</v>
      </c>
      <c r="J602" s="38">
        <v>897007.93998630915</v>
      </c>
      <c r="K602" s="38">
        <f t="shared" si="48"/>
        <v>6296879.5006565899</v>
      </c>
      <c r="L602" s="41">
        <f>VLOOKUP(INDICADORES!$B$21,'DATOS GENERALES'!$K:$M,3,0)*E602</f>
        <v>86933.733402927362</v>
      </c>
      <c r="M602" s="38">
        <f t="shared" si="49"/>
        <v>6209945.7672536625</v>
      </c>
      <c r="N602" s="36"/>
      <c r="O602" s="36"/>
      <c r="P602" s="36"/>
    </row>
    <row r="603" spans="1:16" x14ac:dyDescent="0.25">
      <c r="A603" s="36">
        <v>1848</v>
      </c>
      <c r="B603" s="37">
        <v>43586</v>
      </c>
      <c r="C603" s="36" t="s">
        <v>212</v>
      </c>
      <c r="D603" s="36"/>
      <c r="E603" s="38">
        <v>12773052.833333334</v>
      </c>
      <c r="F603" s="40">
        <f>VLOOKUP(A603,'DATOS GENERALES'!A:B,2,0)</f>
        <v>2.2999999999999998</v>
      </c>
      <c r="G603" s="36">
        <f t="shared" si="45"/>
        <v>2.2894199999999998</v>
      </c>
      <c r="H603" s="38">
        <f t="shared" si="46"/>
        <v>5579165.3926904351</v>
      </c>
      <c r="I603" s="38">
        <f t="shared" si="47"/>
        <v>7193887.4406428989</v>
      </c>
      <c r="J603" s="38">
        <v>739968.81873563235</v>
      </c>
      <c r="K603" s="38">
        <f t="shared" si="48"/>
        <v>6453918.6219072668</v>
      </c>
      <c r="L603" s="41">
        <f>VLOOKUP(INDICADORES!$B$21,'DATOS GENERALES'!$K:$M,3,0)*E603</f>
        <v>86933.733402927362</v>
      </c>
      <c r="M603" s="38">
        <f t="shared" si="49"/>
        <v>6366984.8885043394</v>
      </c>
      <c r="N603" s="36"/>
      <c r="O603" s="36"/>
      <c r="P603" s="36"/>
    </row>
    <row r="604" spans="1:16" x14ac:dyDescent="0.25">
      <c r="A604" s="36">
        <v>1848</v>
      </c>
      <c r="B604" s="37">
        <v>43617</v>
      </c>
      <c r="C604" s="36" t="s">
        <v>212</v>
      </c>
      <c r="D604" s="36"/>
      <c r="E604" s="38">
        <v>12773052.833333334</v>
      </c>
      <c r="F604" s="40">
        <f>VLOOKUP(A604,'DATOS GENERALES'!A:B,2,0)</f>
        <v>2.2999999999999998</v>
      </c>
      <c r="G604" s="36">
        <f t="shared" si="45"/>
        <v>2.2894199999999998</v>
      </c>
      <c r="H604" s="38">
        <f t="shared" si="46"/>
        <v>5579165.3926904351</v>
      </c>
      <c r="I604" s="38">
        <f t="shared" si="47"/>
        <v>7193887.4406428989</v>
      </c>
      <c r="J604" s="38">
        <v>831134.00123806763</v>
      </c>
      <c r="K604" s="38">
        <f t="shared" si="48"/>
        <v>6362753.4394048313</v>
      </c>
      <c r="L604" s="41">
        <f>VLOOKUP(INDICADORES!$B$21,'DATOS GENERALES'!$K:$M,3,0)*E604</f>
        <v>86933.733402927362</v>
      </c>
      <c r="M604" s="38">
        <f t="shared" si="49"/>
        <v>6275819.7060019039</v>
      </c>
      <c r="N604" s="36"/>
      <c r="O604" s="36"/>
      <c r="P604" s="36"/>
    </row>
    <row r="605" spans="1:16" x14ac:dyDescent="0.25">
      <c r="A605" s="36">
        <v>1848</v>
      </c>
      <c r="B605" s="37">
        <v>43647</v>
      </c>
      <c r="C605" s="36" t="s">
        <v>212</v>
      </c>
      <c r="D605" s="36"/>
      <c r="E605" s="38">
        <v>12773052.833333334</v>
      </c>
      <c r="F605" s="40">
        <f>VLOOKUP(A605,'DATOS GENERALES'!A:B,2,0)</f>
        <v>2.2999999999999998</v>
      </c>
      <c r="G605" s="36">
        <f t="shared" si="45"/>
        <v>2.2894199999999998</v>
      </c>
      <c r="H605" s="38">
        <f t="shared" si="46"/>
        <v>5579165.3926904351</v>
      </c>
      <c r="I605" s="38">
        <f t="shared" si="47"/>
        <v>7193887.4406428989</v>
      </c>
      <c r="J605" s="38">
        <v>1443278.9009197589</v>
      </c>
      <c r="K605" s="38">
        <f t="shared" si="48"/>
        <v>5750608.5397231402</v>
      </c>
      <c r="L605" s="41">
        <f>VLOOKUP(INDICADORES!$B$21,'DATOS GENERALES'!$K:$M,3,0)*E605</f>
        <v>86933.733402927362</v>
      </c>
      <c r="M605" s="38">
        <f t="shared" si="49"/>
        <v>5663674.8063202128</v>
      </c>
      <c r="N605" s="36"/>
      <c r="O605" s="36"/>
      <c r="P605" s="36"/>
    </row>
    <row r="606" spans="1:16" x14ac:dyDescent="0.25">
      <c r="A606" s="36">
        <v>1848</v>
      </c>
      <c r="B606" s="37">
        <v>43678</v>
      </c>
      <c r="C606" s="36" t="s">
        <v>212</v>
      </c>
      <c r="D606" s="36"/>
      <c r="E606" s="38">
        <v>12773052.833333334</v>
      </c>
      <c r="F606" s="40">
        <f>VLOOKUP(A606,'DATOS GENERALES'!A:B,2,0)</f>
        <v>2.2999999999999998</v>
      </c>
      <c r="G606" s="36">
        <f t="shared" si="45"/>
        <v>2.2894199999999998</v>
      </c>
      <c r="H606" s="38">
        <f t="shared" si="46"/>
        <v>5579165.3926904351</v>
      </c>
      <c r="I606" s="38">
        <f t="shared" si="47"/>
        <v>7193887.4406428989</v>
      </c>
      <c r="J606" s="38">
        <v>1449285.289661037</v>
      </c>
      <c r="K606" s="38">
        <f t="shared" si="48"/>
        <v>5744602.1509818621</v>
      </c>
      <c r="L606" s="41">
        <f>VLOOKUP(INDICADORES!$B$21,'DATOS GENERALES'!$K:$M,3,0)*E606</f>
        <v>86933.733402927362</v>
      </c>
      <c r="M606" s="38">
        <f t="shared" si="49"/>
        <v>5657668.4175789347</v>
      </c>
      <c r="N606" s="36"/>
      <c r="O606" s="36"/>
      <c r="P606" s="36"/>
    </row>
    <row r="607" spans="1:16" x14ac:dyDescent="0.25">
      <c r="A607" s="36">
        <v>1848</v>
      </c>
      <c r="B607" s="37">
        <v>43709</v>
      </c>
      <c r="C607" s="36" t="s">
        <v>212</v>
      </c>
      <c r="D607" s="36"/>
      <c r="E607" s="38">
        <v>12773052.833333334</v>
      </c>
      <c r="F607" s="40">
        <f>VLOOKUP(A607,'DATOS GENERALES'!A:B,2,0)</f>
        <v>2.2999999999999998</v>
      </c>
      <c r="G607" s="36">
        <f t="shared" si="45"/>
        <v>2.2894199999999998</v>
      </c>
      <c r="H607" s="38">
        <f t="shared" si="46"/>
        <v>5579165.3926904351</v>
      </c>
      <c r="I607" s="38">
        <f t="shared" si="47"/>
        <v>7193887.4406428989</v>
      </c>
      <c r="J607" s="38">
        <v>1599664.9172459731</v>
      </c>
      <c r="K607" s="38">
        <f t="shared" si="48"/>
        <v>5594222.523396926</v>
      </c>
      <c r="L607" s="41">
        <f>VLOOKUP(INDICADORES!$B$21,'DATOS GENERALES'!$K:$M,3,0)*E607</f>
        <v>86933.733402927362</v>
      </c>
      <c r="M607" s="38">
        <f t="shared" si="49"/>
        <v>5507288.7899939986</v>
      </c>
      <c r="N607" s="36"/>
      <c r="O607" s="36"/>
      <c r="P607" s="36"/>
    </row>
    <row r="608" spans="1:16" x14ac:dyDescent="0.25">
      <c r="A608" s="36">
        <v>1848</v>
      </c>
      <c r="B608" s="37">
        <v>43739</v>
      </c>
      <c r="C608" s="36" t="s">
        <v>212</v>
      </c>
      <c r="D608" s="36"/>
      <c r="E608" s="38">
        <v>12773052.833333334</v>
      </c>
      <c r="F608" s="40">
        <f>VLOOKUP(A608,'DATOS GENERALES'!A:B,2,0)</f>
        <v>2.2999999999999998</v>
      </c>
      <c r="G608" s="36">
        <f t="shared" si="45"/>
        <v>2.2894199999999998</v>
      </c>
      <c r="H608" s="38">
        <f t="shared" si="46"/>
        <v>5579165.3926904351</v>
      </c>
      <c r="I608" s="38">
        <f t="shared" si="47"/>
        <v>7193887.4406428989</v>
      </c>
      <c r="J608" s="38">
        <v>1736025.57771608</v>
      </c>
      <c r="K608" s="38">
        <f t="shared" si="48"/>
        <v>5457861.8629268184</v>
      </c>
      <c r="L608" s="41">
        <f>VLOOKUP(INDICADORES!$B$21,'DATOS GENERALES'!$K:$M,3,0)*E608</f>
        <v>86933.733402927362</v>
      </c>
      <c r="M608" s="38">
        <f t="shared" si="49"/>
        <v>5370928.129523891</v>
      </c>
      <c r="N608" s="36"/>
      <c r="O608" s="36"/>
      <c r="P608" s="36"/>
    </row>
    <row r="609" spans="1:16" x14ac:dyDescent="0.25">
      <c r="A609" s="36">
        <v>1848</v>
      </c>
      <c r="B609" s="37">
        <v>43770</v>
      </c>
      <c r="C609" s="36" t="s">
        <v>212</v>
      </c>
      <c r="D609" s="36"/>
      <c r="E609" s="38">
        <v>12773052.833333334</v>
      </c>
      <c r="F609" s="40">
        <f>VLOOKUP(A609,'DATOS GENERALES'!A:B,2,0)</f>
        <v>2.2999999999999998</v>
      </c>
      <c r="G609" s="36">
        <f t="shared" si="45"/>
        <v>2.2894199999999998</v>
      </c>
      <c r="H609" s="38">
        <f t="shared" si="46"/>
        <v>5579165.3926904351</v>
      </c>
      <c r="I609" s="38">
        <f t="shared" si="47"/>
        <v>7193887.4406428989</v>
      </c>
      <c r="J609" s="38">
        <v>2278180.2610284477</v>
      </c>
      <c r="K609" s="38">
        <f t="shared" si="48"/>
        <v>4915707.1796144508</v>
      </c>
      <c r="L609" s="41">
        <f>VLOOKUP(INDICADORES!$B$21,'DATOS GENERALES'!$K:$M,3,0)*E609</f>
        <v>86933.733402927362</v>
      </c>
      <c r="M609" s="38">
        <f t="shared" si="49"/>
        <v>4828773.4462115234</v>
      </c>
      <c r="N609" s="36"/>
      <c r="O609" s="36"/>
      <c r="P609" s="36"/>
    </row>
    <row r="610" spans="1:16" x14ac:dyDescent="0.25">
      <c r="A610" s="36">
        <v>1898</v>
      </c>
      <c r="B610" s="37">
        <v>43556</v>
      </c>
      <c r="C610" s="36" t="s">
        <v>212</v>
      </c>
      <c r="D610" s="36"/>
      <c r="E610" s="38">
        <v>10000000</v>
      </c>
      <c r="F610" s="40">
        <f>VLOOKUP(A610,'DATOS GENERALES'!A:B,2,0)</f>
        <v>1</v>
      </c>
      <c r="G610" s="36">
        <f t="shared" si="45"/>
        <v>0.99539999999999995</v>
      </c>
      <c r="H610" s="38">
        <f t="shared" si="46"/>
        <v>10046212.577858148</v>
      </c>
      <c r="I610" s="38">
        <f t="shared" si="47"/>
        <v>-46212.577858148143</v>
      </c>
      <c r="J610" s="38">
        <v>1615211.5620977255</v>
      </c>
      <c r="K610" s="38">
        <f t="shared" si="48"/>
        <v>-1661424.1399558736</v>
      </c>
      <c r="L610" s="41">
        <f>VLOOKUP(INDICADORES!$B$21,'DATOS GENERALES'!$K:$M,3,0)*E610</f>
        <v>68060.262912292834</v>
      </c>
      <c r="M610" s="38">
        <f t="shared" si="49"/>
        <v>-1729484.4028681663</v>
      </c>
      <c r="N610" s="36"/>
      <c r="O610" s="36"/>
      <c r="P610" s="36"/>
    </row>
    <row r="611" spans="1:16" x14ac:dyDescent="0.25">
      <c r="A611" s="36">
        <v>1898</v>
      </c>
      <c r="B611" s="37">
        <v>43586</v>
      </c>
      <c r="C611" s="36" t="s">
        <v>212</v>
      </c>
      <c r="D611" s="36"/>
      <c r="E611" s="38">
        <v>10000000</v>
      </c>
      <c r="F611" s="40">
        <f>VLOOKUP(A611,'DATOS GENERALES'!A:B,2,0)</f>
        <v>1</v>
      </c>
      <c r="G611" s="36">
        <f t="shared" si="45"/>
        <v>0.99539999999999995</v>
      </c>
      <c r="H611" s="38">
        <f t="shared" si="46"/>
        <v>10046212.577858148</v>
      </c>
      <c r="I611" s="38">
        <f t="shared" si="47"/>
        <v>-46212.577858148143</v>
      </c>
      <c r="J611" s="38">
        <v>1332436.5798053374</v>
      </c>
      <c r="K611" s="38">
        <f t="shared" si="48"/>
        <v>-1378649.1576634855</v>
      </c>
      <c r="L611" s="41">
        <f>VLOOKUP(INDICADORES!$B$21,'DATOS GENERALES'!$K:$M,3,0)*E611</f>
        <v>68060.262912292834</v>
      </c>
      <c r="M611" s="38">
        <f t="shared" si="49"/>
        <v>-1446709.4205757782</v>
      </c>
      <c r="N611" s="36"/>
      <c r="O611" s="36"/>
      <c r="P611" s="36"/>
    </row>
    <row r="612" spans="1:16" x14ac:dyDescent="0.25">
      <c r="A612" s="36">
        <v>1898</v>
      </c>
      <c r="B612" s="37">
        <v>43617</v>
      </c>
      <c r="C612" s="36" t="s">
        <v>212</v>
      </c>
      <c r="D612" s="36"/>
      <c r="E612" s="38">
        <v>10000000</v>
      </c>
      <c r="F612" s="40">
        <f>VLOOKUP(A612,'DATOS GENERALES'!A:B,2,0)</f>
        <v>1</v>
      </c>
      <c r="G612" s="36">
        <f t="shared" si="45"/>
        <v>0.99539999999999995</v>
      </c>
      <c r="H612" s="38">
        <f t="shared" si="46"/>
        <v>10046212.577858148</v>
      </c>
      <c r="I612" s="38">
        <f t="shared" si="47"/>
        <v>-46212.577858148143</v>
      </c>
      <c r="J612" s="38">
        <v>1496594.6103807748</v>
      </c>
      <c r="K612" s="38">
        <f t="shared" si="48"/>
        <v>-1542807.188238923</v>
      </c>
      <c r="L612" s="41">
        <f>VLOOKUP(INDICADORES!$B$21,'DATOS GENERALES'!$K:$M,3,0)*E612</f>
        <v>68060.262912292834</v>
      </c>
      <c r="M612" s="38">
        <f t="shared" si="49"/>
        <v>-1610867.4511512157</v>
      </c>
      <c r="N612" s="36"/>
      <c r="O612" s="36"/>
      <c r="P612" s="36"/>
    </row>
    <row r="613" spans="1:16" x14ac:dyDescent="0.25">
      <c r="A613" s="36">
        <v>1751</v>
      </c>
      <c r="B613" s="37">
        <v>43525</v>
      </c>
      <c r="C613" s="36" t="s">
        <v>212</v>
      </c>
      <c r="D613" s="36"/>
      <c r="E613" s="38">
        <v>43506691.09375</v>
      </c>
      <c r="F613" s="40">
        <f>VLOOKUP(A613,'DATOS GENERALES'!A:B,2,0)</f>
        <v>2</v>
      </c>
      <c r="G613" s="36">
        <f t="shared" si="45"/>
        <v>1.9907999999999999</v>
      </c>
      <c r="H613" s="38">
        <f t="shared" si="46"/>
        <v>21853873.364351016</v>
      </c>
      <c r="I613" s="38">
        <f t="shared" si="47"/>
        <v>21652817.729398984</v>
      </c>
      <c r="J613" s="38">
        <v>3417673.0937543199</v>
      </c>
      <c r="K613" s="38">
        <f t="shared" si="48"/>
        <v>18235144.635644663</v>
      </c>
      <c r="L613" s="41">
        <f>VLOOKUP(INDICADORES!$B$21,'DATOS GENERALES'!$K:$M,3,0)*E613</f>
        <v>296107.6834284534</v>
      </c>
      <c r="M613" s="38">
        <f t="shared" si="49"/>
        <v>17939036.952216208</v>
      </c>
      <c r="N613" s="36"/>
      <c r="O613" s="36"/>
      <c r="P613" s="36"/>
    </row>
    <row r="614" spans="1:16" x14ac:dyDescent="0.25">
      <c r="A614" s="36">
        <v>1751</v>
      </c>
      <c r="B614" s="37">
        <v>43556</v>
      </c>
      <c r="C614" s="36" t="s">
        <v>212</v>
      </c>
      <c r="D614" s="36"/>
      <c r="E614" s="38">
        <v>43506691.09375</v>
      </c>
      <c r="F614" s="40">
        <f>VLOOKUP(A614,'DATOS GENERALES'!A:B,2,0)</f>
        <v>2</v>
      </c>
      <c r="G614" s="36">
        <f t="shared" si="45"/>
        <v>1.9907999999999999</v>
      </c>
      <c r="H614" s="38">
        <f t="shared" si="46"/>
        <v>21853873.364351016</v>
      </c>
      <c r="I614" s="38">
        <f t="shared" si="47"/>
        <v>21652817.729398984</v>
      </c>
      <c r="J614" s="38">
        <v>3513625.5241619558</v>
      </c>
      <c r="K614" s="38">
        <f t="shared" si="48"/>
        <v>18139192.205237027</v>
      </c>
      <c r="L614" s="41">
        <f>VLOOKUP(INDICADORES!$B$21,'DATOS GENERALES'!$K:$M,3,0)*E614</f>
        <v>296107.6834284534</v>
      </c>
      <c r="M614" s="38">
        <f t="shared" si="49"/>
        <v>17843084.521808572</v>
      </c>
      <c r="N614" s="36"/>
      <c r="O614" s="36"/>
      <c r="P614" s="36"/>
    </row>
    <row r="615" spans="1:16" x14ac:dyDescent="0.25">
      <c r="A615" s="36">
        <v>1723</v>
      </c>
      <c r="B615" s="37">
        <v>43647</v>
      </c>
      <c r="C615" s="36" t="s">
        <v>212</v>
      </c>
      <c r="D615" s="36"/>
      <c r="E615" s="38">
        <v>125198487.89297774</v>
      </c>
      <c r="F615" s="40">
        <f>VLOOKUP(A615,'DATOS GENERALES'!A:B,2,0)</f>
        <v>1.82</v>
      </c>
      <c r="G615" s="36">
        <f t="shared" si="45"/>
        <v>1.811628</v>
      </c>
      <c r="H615" s="38">
        <f t="shared" si="46"/>
        <v>69108276.032926038</v>
      </c>
      <c r="I615" s="38">
        <f t="shared" si="47"/>
        <v>56090211.860051706</v>
      </c>
      <c r="J615" s="38">
        <v>17877676.974398151</v>
      </c>
      <c r="K615" s="38">
        <f t="shared" si="48"/>
        <v>38212534.885653555</v>
      </c>
      <c r="L615" s="41">
        <f>VLOOKUP(INDICADORES!$B$21,'DATOS GENERALES'!$K:$M,3,0)*E615</f>
        <v>852104.20022175764</v>
      </c>
      <c r="M615" s="38">
        <f t="shared" si="49"/>
        <v>37360430.685431801</v>
      </c>
      <c r="N615" s="36"/>
      <c r="O615" s="36"/>
      <c r="P615" s="36"/>
    </row>
    <row r="616" spans="1:16" x14ac:dyDescent="0.25">
      <c r="A616" s="36">
        <v>1723</v>
      </c>
      <c r="B616" s="37">
        <v>43678</v>
      </c>
      <c r="C616" s="36" t="s">
        <v>212</v>
      </c>
      <c r="D616" s="36"/>
      <c r="E616" s="38">
        <v>125198487.89297774</v>
      </c>
      <c r="F616" s="40">
        <f>VLOOKUP(A616,'DATOS GENERALES'!A:B,2,0)</f>
        <v>1.82</v>
      </c>
      <c r="G616" s="36">
        <f t="shared" si="45"/>
        <v>1.811628</v>
      </c>
      <c r="H616" s="38">
        <f t="shared" si="46"/>
        <v>69108276.032926038</v>
      </c>
      <c r="I616" s="38">
        <f t="shared" si="47"/>
        <v>56090211.860051706</v>
      </c>
      <c r="J616" s="38">
        <v>17952077.201291788</v>
      </c>
      <c r="K616" s="38">
        <f t="shared" si="48"/>
        <v>38138134.658759922</v>
      </c>
      <c r="L616" s="41">
        <f>VLOOKUP(INDICADORES!$B$21,'DATOS GENERALES'!$K:$M,3,0)*E616</f>
        <v>852104.20022175764</v>
      </c>
      <c r="M616" s="38">
        <f t="shared" si="49"/>
        <v>37286030.458538167</v>
      </c>
      <c r="N616" s="36"/>
      <c r="O616" s="36"/>
      <c r="P616" s="36"/>
    </row>
    <row r="617" spans="1:16" x14ac:dyDescent="0.25">
      <c r="A617" s="36">
        <v>1723</v>
      </c>
      <c r="B617" s="37">
        <v>43709</v>
      </c>
      <c r="C617" s="36" t="s">
        <v>212</v>
      </c>
      <c r="D617" s="36"/>
      <c r="E617" s="38">
        <v>125198487.89297774</v>
      </c>
      <c r="F617" s="40">
        <f>VLOOKUP(A617,'DATOS GENERALES'!A:B,2,0)</f>
        <v>1.82</v>
      </c>
      <c r="G617" s="36">
        <f t="shared" si="45"/>
        <v>1.811628</v>
      </c>
      <c r="H617" s="38">
        <f t="shared" si="46"/>
        <v>69108276.032926038</v>
      </c>
      <c r="I617" s="38">
        <f t="shared" si="47"/>
        <v>56090211.860051706</v>
      </c>
      <c r="J617" s="38">
        <v>19814806.853738397</v>
      </c>
      <c r="K617" s="38">
        <f t="shared" si="48"/>
        <v>36275405.006313309</v>
      </c>
      <c r="L617" s="41">
        <f>VLOOKUP(INDICADORES!$B$21,'DATOS GENERALES'!$K:$M,3,0)*E617</f>
        <v>852104.20022175764</v>
      </c>
      <c r="M617" s="38">
        <f t="shared" si="49"/>
        <v>35423300.806091554</v>
      </c>
      <c r="N617" s="36"/>
      <c r="O617" s="36"/>
      <c r="P617" s="36"/>
    </row>
    <row r="618" spans="1:16" x14ac:dyDescent="0.25">
      <c r="A618" s="36">
        <v>1723</v>
      </c>
      <c r="B618" s="37">
        <v>43739</v>
      </c>
      <c r="C618" s="36" t="s">
        <v>212</v>
      </c>
      <c r="D618" s="36"/>
      <c r="E618" s="38">
        <v>37851706.567977756</v>
      </c>
      <c r="F618" s="40">
        <f>VLOOKUP(A618,'DATOS GENERALES'!A:B,2,0)</f>
        <v>1.82</v>
      </c>
      <c r="G618" s="36">
        <f t="shared" si="45"/>
        <v>1.811628</v>
      </c>
      <c r="H618" s="38">
        <f t="shared" si="46"/>
        <v>20893752.231682088</v>
      </c>
      <c r="I618" s="38">
        <f t="shared" si="47"/>
        <v>16957954.336295668</v>
      </c>
      <c r="J618" s="38">
        <v>6501346.6595173078</v>
      </c>
      <c r="K618" s="38">
        <f t="shared" si="48"/>
        <v>10456607.676778361</v>
      </c>
      <c r="L618" s="41">
        <f>VLOOKUP(INDICADORES!$B$21,'DATOS GENERALES'!$K:$M,3,0)*E618</f>
        <v>257619.71006955276</v>
      </c>
      <c r="M618" s="38">
        <f t="shared" si="49"/>
        <v>10198987.966708809</v>
      </c>
      <c r="N618" s="36"/>
      <c r="O618" s="36"/>
      <c r="P618" s="36"/>
    </row>
    <row r="619" spans="1:16" x14ac:dyDescent="0.25">
      <c r="A619" s="36">
        <v>1618</v>
      </c>
      <c r="B619" s="37">
        <v>43525</v>
      </c>
      <c r="C619" s="36" t="s">
        <v>212</v>
      </c>
      <c r="D619" s="36"/>
      <c r="E619" s="38">
        <v>13267655.116172869</v>
      </c>
      <c r="F619" s="40">
        <f>VLOOKUP(A619,'DATOS GENERALES'!A:B,2,0)</f>
        <v>1.97</v>
      </c>
      <c r="G619" s="36">
        <f t="shared" si="45"/>
        <v>1.9609379999999998</v>
      </c>
      <c r="H619" s="38">
        <f t="shared" si="46"/>
        <v>6765973.7922223294</v>
      </c>
      <c r="I619" s="38">
        <f t="shared" si="47"/>
        <v>6501681.3239505393</v>
      </c>
      <c r="J619" s="38">
        <v>1058113.872868222</v>
      </c>
      <c r="K619" s="38">
        <f t="shared" si="48"/>
        <v>5443567.4510823172</v>
      </c>
      <c r="L619" s="41">
        <f>VLOOKUP(INDICADORES!$B$21,'DATOS GENERALES'!$K:$M,3,0)*E619</f>
        <v>90300.009543635257</v>
      </c>
      <c r="M619" s="38">
        <f t="shared" si="49"/>
        <v>5353267.4415386822</v>
      </c>
      <c r="N619" s="36"/>
      <c r="O619" s="36"/>
      <c r="P619" s="36"/>
    </row>
    <row r="620" spans="1:16" x14ac:dyDescent="0.25">
      <c r="A620" s="36">
        <v>1618</v>
      </c>
      <c r="B620" s="37">
        <v>43556</v>
      </c>
      <c r="C620" s="36" t="s">
        <v>212</v>
      </c>
      <c r="D620" s="36"/>
      <c r="E620" s="38">
        <v>13267655.116172869</v>
      </c>
      <c r="F620" s="40">
        <f>VLOOKUP(A620,'DATOS GENERALES'!A:B,2,0)</f>
        <v>1.97</v>
      </c>
      <c r="G620" s="36">
        <f t="shared" si="45"/>
        <v>1.9609379999999998</v>
      </c>
      <c r="H620" s="38">
        <f t="shared" si="46"/>
        <v>6765973.7922223294</v>
      </c>
      <c r="I620" s="38">
        <f t="shared" si="47"/>
        <v>6501681.3239505393</v>
      </c>
      <c r="J620" s="38">
        <v>1087820.8094196678</v>
      </c>
      <c r="K620" s="38">
        <f t="shared" si="48"/>
        <v>5413860.5145308711</v>
      </c>
      <c r="L620" s="41">
        <f>VLOOKUP(INDICADORES!$B$21,'DATOS GENERALES'!$K:$M,3,0)*E620</f>
        <v>90300.009543635257</v>
      </c>
      <c r="M620" s="38">
        <f t="shared" si="49"/>
        <v>5323560.5049872361</v>
      </c>
      <c r="N620" s="36"/>
      <c r="O620" s="36"/>
      <c r="P620" s="36"/>
    </row>
    <row r="621" spans="1:16" x14ac:dyDescent="0.25">
      <c r="A621" s="36">
        <v>1689</v>
      </c>
      <c r="B621" s="37">
        <v>43800</v>
      </c>
      <c r="C621" s="36" t="s">
        <v>212</v>
      </c>
      <c r="D621" s="36"/>
      <c r="E621" s="38">
        <v>13258047.600000001</v>
      </c>
      <c r="F621" s="40">
        <f>VLOOKUP(A621,'DATOS GENERALES'!A:B,2,0)</f>
        <v>2.11</v>
      </c>
      <c r="G621" s="36">
        <f t="shared" si="45"/>
        <v>2.1002939999999999</v>
      </c>
      <c r="H621" s="38">
        <f t="shared" si="46"/>
        <v>6312472.2538844571</v>
      </c>
      <c r="I621" s="38">
        <f t="shared" si="47"/>
        <v>6945575.3461155444</v>
      </c>
      <c r="J621" s="38">
        <v>2223322.0491335122</v>
      </c>
      <c r="K621" s="38">
        <f t="shared" si="48"/>
        <v>4722253.2969820322</v>
      </c>
      <c r="L621" s="41">
        <f>VLOOKUP(INDICADORES!$B$21,'DATOS GENERALES'!$K:$M,3,0)*E621</f>
        <v>90234.620535969312</v>
      </c>
      <c r="M621" s="38">
        <f t="shared" si="49"/>
        <v>4632018.6764460625</v>
      </c>
      <c r="N621" s="36"/>
      <c r="O621" s="36"/>
      <c r="P621" s="36"/>
    </row>
    <row r="622" spans="1:16" x14ac:dyDescent="0.25">
      <c r="A622" s="36">
        <v>1715</v>
      </c>
      <c r="B622" s="37">
        <v>43556</v>
      </c>
      <c r="C622" s="36" t="s">
        <v>212</v>
      </c>
      <c r="D622" s="36"/>
      <c r="E622" s="38">
        <v>55849596.75</v>
      </c>
      <c r="F622" s="40">
        <f>VLOOKUP(A622,'DATOS GENERALES'!A:B,2,0)</f>
        <v>1.93</v>
      </c>
      <c r="G622" s="36">
        <f t="shared" si="45"/>
        <v>1.9211219999999998</v>
      </c>
      <c r="H622" s="38">
        <f t="shared" si="46"/>
        <v>29071343.074515834</v>
      </c>
      <c r="I622" s="38">
        <f t="shared" si="47"/>
        <v>26778253.675484166</v>
      </c>
      <c r="J622" s="38">
        <v>4674037.0160153136</v>
      </c>
      <c r="K622" s="38">
        <f t="shared" si="48"/>
        <v>22104216.659468852</v>
      </c>
      <c r="L622" s="41">
        <f>VLOOKUP(INDICADORES!$B$21,'DATOS GENERALES'!$K:$M,3,0)*E622</f>
        <v>380113.82383505354</v>
      </c>
      <c r="M622" s="38">
        <f t="shared" si="49"/>
        <v>21724102.835633799</v>
      </c>
      <c r="N622" s="36"/>
      <c r="O622" s="36"/>
      <c r="P622" s="36"/>
    </row>
    <row r="623" spans="1:16" x14ac:dyDescent="0.25">
      <c r="A623" s="36">
        <v>1751</v>
      </c>
      <c r="B623" s="37">
        <v>43586</v>
      </c>
      <c r="C623" s="36" t="s">
        <v>212</v>
      </c>
      <c r="D623" s="36"/>
      <c r="E623" s="38">
        <v>15500000</v>
      </c>
      <c r="F623" s="40">
        <f>VLOOKUP(A623,'DATOS GENERALES'!A:B,2,0)</f>
        <v>2</v>
      </c>
      <c r="G623" s="36">
        <f t="shared" si="45"/>
        <v>1.9907999999999999</v>
      </c>
      <c r="H623" s="38">
        <f t="shared" si="46"/>
        <v>7785814.7478400646</v>
      </c>
      <c r="I623" s="38">
        <f t="shared" si="47"/>
        <v>7714185.2521599354</v>
      </c>
      <c r="J623" s="38">
        <v>1032638.3493491366</v>
      </c>
      <c r="K623" s="38">
        <f t="shared" si="48"/>
        <v>6681546.902810799</v>
      </c>
      <c r="L623" s="41">
        <f>VLOOKUP(INDICADORES!$B$21,'DATOS GENERALES'!$K:$M,3,0)*E623</f>
        <v>105493.40751405389</v>
      </c>
      <c r="M623" s="38">
        <f t="shared" si="49"/>
        <v>6576053.4952967446</v>
      </c>
      <c r="N623" s="36"/>
      <c r="O623" s="36"/>
      <c r="P623" s="36"/>
    </row>
    <row r="624" spans="1:16" x14ac:dyDescent="0.25">
      <c r="A624" s="36">
        <v>1756</v>
      </c>
      <c r="B624" s="37">
        <v>43617</v>
      </c>
      <c r="C624" s="36" t="s">
        <v>212</v>
      </c>
      <c r="D624" s="36"/>
      <c r="E624" s="38">
        <v>62778573</v>
      </c>
      <c r="F624" s="40">
        <f>VLOOKUP(A624,'DATOS GENERALES'!A:B,2,0)</f>
        <v>1.72</v>
      </c>
      <c r="G624" s="36">
        <f t="shared" si="45"/>
        <v>1.7120879999999998</v>
      </c>
      <c r="H624" s="38">
        <f t="shared" si="46"/>
        <v>36667842.423987553</v>
      </c>
      <c r="I624" s="38">
        <f t="shared" si="47"/>
        <v>26110730.576012447</v>
      </c>
      <c r="J624" s="38">
        <v>5462446.1627439549</v>
      </c>
      <c r="K624" s="38">
        <f t="shared" si="48"/>
        <v>20648284.413268492</v>
      </c>
      <c r="L624" s="41">
        <f>VLOOKUP(INDICADORES!$B$21,'DATOS GENERALES'!$K:$M,3,0)*E624</f>
        <v>427272.61836385686</v>
      </c>
      <c r="M624" s="38">
        <f t="shared" si="49"/>
        <v>20221011.794904634</v>
      </c>
      <c r="N624" s="36"/>
      <c r="O624" s="36"/>
      <c r="P624" s="36"/>
    </row>
    <row r="625" spans="1:16" x14ac:dyDescent="0.25">
      <c r="A625" s="36">
        <v>1756</v>
      </c>
      <c r="B625" s="37">
        <v>43647</v>
      </c>
      <c r="C625" s="36" t="s">
        <v>212</v>
      </c>
      <c r="D625" s="36"/>
      <c r="E625" s="38">
        <v>62778573</v>
      </c>
      <c r="F625" s="40">
        <f>VLOOKUP(A625,'DATOS GENERALES'!A:B,2,0)</f>
        <v>1.72</v>
      </c>
      <c r="G625" s="36">
        <f t="shared" si="45"/>
        <v>1.7120879999999998</v>
      </c>
      <c r="H625" s="38">
        <f t="shared" si="46"/>
        <v>36667842.423987553</v>
      </c>
      <c r="I625" s="38">
        <f t="shared" si="47"/>
        <v>26110730.576012447</v>
      </c>
      <c r="J625" s="38">
        <v>9485634.4252005015</v>
      </c>
      <c r="K625" s="38">
        <f t="shared" si="48"/>
        <v>16625096.150811946</v>
      </c>
      <c r="L625" s="41">
        <f>VLOOKUP(INDICADORES!$B$21,'DATOS GENERALES'!$K:$M,3,0)*E625</f>
        <v>427272.61836385686</v>
      </c>
      <c r="M625" s="38">
        <f t="shared" si="49"/>
        <v>16197823.532448089</v>
      </c>
      <c r="N625" s="36"/>
      <c r="O625" s="36"/>
      <c r="P625" s="36"/>
    </row>
    <row r="626" spans="1:16" x14ac:dyDescent="0.25">
      <c r="A626" s="36">
        <v>1756</v>
      </c>
      <c r="B626" s="37">
        <v>43678</v>
      </c>
      <c r="C626" s="36" t="s">
        <v>212</v>
      </c>
      <c r="D626" s="36"/>
      <c r="E626" s="38">
        <v>62778573</v>
      </c>
      <c r="F626" s="40">
        <f>VLOOKUP(A626,'DATOS GENERALES'!A:B,2,0)</f>
        <v>1.72</v>
      </c>
      <c r="G626" s="36">
        <f t="shared" si="45"/>
        <v>1.7120879999999998</v>
      </c>
      <c r="H626" s="38">
        <f t="shared" si="46"/>
        <v>36667842.423987553</v>
      </c>
      <c r="I626" s="38">
        <f t="shared" si="47"/>
        <v>26110730.576012447</v>
      </c>
      <c r="J626" s="38">
        <v>9525110.0994995553</v>
      </c>
      <c r="K626" s="38">
        <f t="shared" si="48"/>
        <v>16585620.476512892</v>
      </c>
      <c r="L626" s="41">
        <f>VLOOKUP(INDICADORES!$B$21,'DATOS GENERALES'!$K:$M,3,0)*E626</f>
        <v>427272.61836385686</v>
      </c>
      <c r="M626" s="38">
        <f t="shared" si="49"/>
        <v>16158347.858149035</v>
      </c>
      <c r="N626" s="36"/>
      <c r="O626" s="36"/>
      <c r="P626" s="36"/>
    </row>
    <row r="627" spans="1:16" x14ac:dyDescent="0.25">
      <c r="A627" s="36">
        <v>1756</v>
      </c>
      <c r="B627" s="37">
        <v>43709</v>
      </c>
      <c r="C627" s="36" t="s">
        <v>212</v>
      </c>
      <c r="D627" s="36"/>
      <c r="E627" s="38">
        <v>62778573</v>
      </c>
      <c r="F627" s="40">
        <f>VLOOKUP(A627,'DATOS GENERALES'!A:B,2,0)</f>
        <v>1.72</v>
      </c>
      <c r="G627" s="36">
        <f t="shared" si="45"/>
        <v>1.7120879999999998</v>
      </c>
      <c r="H627" s="38">
        <f t="shared" si="46"/>
        <v>36667842.423987553</v>
      </c>
      <c r="I627" s="38">
        <f t="shared" si="47"/>
        <v>26110730.576012447</v>
      </c>
      <c r="J627" s="38">
        <v>10513447.261055421</v>
      </c>
      <c r="K627" s="38">
        <f t="shared" si="48"/>
        <v>15597283.314957026</v>
      </c>
      <c r="L627" s="41">
        <f>VLOOKUP(INDICADORES!$B$21,'DATOS GENERALES'!$K:$M,3,0)*E627</f>
        <v>427272.61836385686</v>
      </c>
      <c r="M627" s="38">
        <f t="shared" si="49"/>
        <v>15170010.696593169</v>
      </c>
      <c r="N627" s="36"/>
      <c r="O627" s="36"/>
      <c r="P627" s="36"/>
    </row>
    <row r="628" spans="1:16" x14ac:dyDescent="0.25">
      <c r="A628" s="36">
        <v>1804</v>
      </c>
      <c r="B628" s="37">
        <v>43497</v>
      </c>
      <c r="C628" s="36" t="s">
        <v>212</v>
      </c>
      <c r="D628" s="36"/>
      <c r="E628" s="38">
        <v>29813870</v>
      </c>
      <c r="F628" s="40">
        <f>VLOOKUP(A628,'DATOS GENERALES'!A:B,2,0)</f>
        <v>2.27</v>
      </c>
      <c r="G628" s="36">
        <f t="shared" si="45"/>
        <v>2.2595579999999997</v>
      </c>
      <c r="H628" s="38">
        <f t="shared" si="46"/>
        <v>13194558.404785363</v>
      </c>
      <c r="I628" s="38">
        <f t="shared" si="47"/>
        <v>16619311.595214637</v>
      </c>
      <c r="J628" s="38">
        <v>2852107.3426548219</v>
      </c>
      <c r="K628" s="38">
        <f t="shared" si="48"/>
        <v>13767204.252559815</v>
      </c>
      <c r="L628" s="41">
        <f>VLOOKUP(INDICADORES!$B$21,'DATOS GENERALES'!$K:$M,3,0)*E628</f>
        <v>202913.98306329199</v>
      </c>
      <c r="M628" s="38">
        <f t="shared" si="49"/>
        <v>13564290.269496523</v>
      </c>
      <c r="N628" s="36"/>
      <c r="O628" s="36"/>
      <c r="P628" s="36"/>
    </row>
    <row r="629" spans="1:16" x14ac:dyDescent="0.25">
      <c r="A629" s="36">
        <v>1804</v>
      </c>
      <c r="B629" s="37">
        <v>43525</v>
      </c>
      <c r="C629" s="36" t="s">
        <v>212</v>
      </c>
      <c r="D629" s="36"/>
      <c r="E629" s="38">
        <v>29813870</v>
      </c>
      <c r="F629" s="40">
        <f>VLOOKUP(A629,'DATOS GENERALES'!A:B,2,0)</f>
        <v>2.27</v>
      </c>
      <c r="G629" s="36">
        <f t="shared" si="45"/>
        <v>2.2595579999999997</v>
      </c>
      <c r="H629" s="38">
        <f t="shared" si="46"/>
        <v>13194558.404785363</v>
      </c>
      <c r="I629" s="38">
        <f t="shared" si="47"/>
        <v>16619311.595214637</v>
      </c>
      <c r="J629" s="38">
        <v>2063464.288100308</v>
      </c>
      <c r="K629" s="38">
        <f t="shared" si="48"/>
        <v>14555847.307114329</v>
      </c>
      <c r="L629" s="41">
        <f>VLOOKUP(INDICADORES!$B$21,'DATOS GENERALES'!$K:$M,3,0)*E629</f>
        <v>202913.98306329199</v>
      </c>
      <c r="M629" s="38">
        <f t="shared" si="49"/>
        <v>14352933.324051037</v>
      </c>
      <c r="N629" s="36"/>
      <c r="O629" s="36"/>
      <c r="P629" s="36"/>
    </row>
    <row r="630" spans="1:16" x14ac:dyDescent="0.25">
      <c r="A630" s="36">
        <v>1813</v>
      </c>
      <c r="B630" s="37">
        <v>43586</v>
      </c>
      <c r="C630" s="36" t="s">
        <v>212</v>
      </c>
      <c r="D630" s="36"/>
      <c r="E630" s="38">
        <v>126579869.80723679</v>
      </c>
      <c r="F630" s="40">
        <f>VLOOKUP(A630,'DATOS GENERALES'!A:B,2,0)</f>
        <v>2.5499999999999998</v>
      </c>
      <c r="G630" s="36">
        <f t="shared" si="45"/>
        <v>2.5382699999999998</v>
      </c>
      <c r="H630" s="38">
        <f t="shared" si="46"/>
        <v>49868560.006318003</v>
      </c>
      <c r="I630" s="38">
        <f t="shared" si="47"/>
        <v>76711309.800918788</v>
      </c>
      <c r="J630" s="38">
        <v>6614103.8744376274</v>
      </c>
      <c r="K630" s="38">
        <f t="shared" si="48"/>
        <v>70097205.926481158</v>
      </c>
      <c r="L630" s="41">
        <f>VLOOKUP(INDICADORES!$B$21,'DATOS GENERALES'!$K:$M,3,0)*E630</f>
        <v>861505.92184843333</v>
      </c>
      <c r="M630" s="38">
        <f t="shared" si="49"/>
        <v>69235700.004632726</v>
      </c>
      <c r="N630" s="36"/>
      <c r="O630" s="36"/>
      <c r="P630" s="36"/>
    </row>
    <row r="631" spans="1:16" x14ac:dyDescent="0.25">
      <c r="A631" s="36">
        <v>1700</v>
      </c>
      <c r="B631" s="37">
        <v>43617</v>
      </c>
      <c r="C631" s="36" t="s">
        <v>212</v>
      </c>
      <c r="D631" s="36"/>
      <c r="E631" s="38">
        <v>161433687</v>
      </c>
      <c r="F631" s="40">
        <f>VLOOKUP(A631,'DATOS GENERALES'!A:B,2,0)</f>
        <v>0.75</v>
      </c>
      <c r="G631" s="36">
        <f t="shared" si="45"/>
        <v>0.74654999999999994</v>
      </c>
      <c r="H631" s="38">
        <f t="shared" si="46"/>
        <v>216239618.24392205</v>
      </c>
      <c r="I631" s="38">
        <f t="shared" si="47"/>
        <v>-54805931.243922055</v>
      </c>
      <c r="J631" s="38">
        <v>32213438.119746257</v>
      </c>
      <c r="K631" s="38">
        <f t="shared" si="48"/>
        <v>-87019369.363668308</v>
      </c>
      <c r="L631" s="41">
        <f>VLOOKUP(INDICADORES!$B$21,'DATOS GENERALES'!$K:$M,3,0)*E631</f>
        <v>1098721.9180120791</v>
      </c>
      <c r="M631" s="38">
        <f t="shared" si="49"/>
        <v>-88118091.28168039</v>
      </c>
      <c r="N631" s="36"/>
      <c r="O631" s="36"/>
      <c r="P631" s="36"/>
    </row>
    <row r="632" spans="1:16" x14ac:dyDescent="0.25">
      <c r="A632" s="36">
        <v>1700</v>
      </c>
      <c r="B632" s="37">
        <v>43556</v>
      </c>
      <c r="C632" s="36" t="s">
        <v>212</v>
      </c>
      <c r="D632" s="36"/>
      <c r="E632" s="38">
        <v>113931505</v>
      </c>
      <c r="F632" s="40">
        <f>VLOOKUP(A632,'DATOS GENERALES'!A:B,2,0)</f>
        <v>0.75</v>
      </c>
      <c r="G632" s="36">
        <f t="shared" si="45"/>
        <v>0.74654999999999994</v>
      </c>
      <c r="H632" s="38">
        <f t="shared" si="46"/>
        <v>152610682.47270781</v>
      </c>
      <c r="I632" s="38">
        <f t="shared" si="47"/>
        <v>-38679177.472707808</v>
      </c>
      <c r="J632" s="38">
        <v>24536464.55509264</v>
      </c>
      <c r="K632" s="38">
        <f t="shared" si="48"/>
        <v>-63215642.027800448</v>
      </c>
      <c r="L632" s="41">
        <f>VLOOKUP(INDICADORES!$B$21,'DATOS GENERALES'!$K:$M,3,0)*E632</f>
        <v>775420.81842932058</v>
      </c>
      <c r="M632" s="38">
        <f t="shared" si="49"/>
        <v>-63991062.846229769</v>
      </c>
      <c r="N632" s="36"/>
      <c r="O632" s="36"/>
      <c r="P632" s="36"/>
    </row>
    <row r="633" spans="1:16" x14ac:dyDescent="0.25">
      <c r="A633" s="36">
        <v>1700</v>
      </c>
      <c r="B633" s="37">
        <v>43586</v>
      </c>
      <c r="C633" s="36" t="s">
        <v>212</v>
      </c>
      <c r="D633" s="36"/>
      <c r="E633" s="38">
        <v>886635143.78999996</v>
      </c>
      <c r="F633" s="40">
        <f>VLOOKUP(A633,'DATOS GENERALES'!A:B,2,0)</f>
        <v>0.75</v>
      </c>
      <c r="G633" s="36">
        <f t="shared" si="45"/>
        <v>0.74654999999999994</v>
      </c>
      <c r="H633" s="38">
        <f t="shared" si="46"/>
        <v>1187643351.135222</v>
      </c>
      <c r="I633" s="38">
        <f t="shared" si="47"/>
        <v>-301008207.345222</v>
      </c>
      <c r="J633" s="38">
        <v>157518013.13690147</v>
      </c>
      <c r="K633" s="38">
        <f t="shared" si="48"/>
        <v>-458526220.48212349</v>
      </c>
      <c r="L633" s="41">
        <f>VLOOKUP(INDICADORES!$B$21,'DATOS GENERALES'!$K:$M,3,0)*E633</f>
        <v>6034462.0993625959</v>
      </c>
      <c r="M633" s="38">
        <f t="shared" si="49"/>
        <v>-464560682.58148611</v>
      </c>
      <c r="N633" s="36"/>
      <c r="O633" s="36"/>
      <c r="P633" s="36"/>
    </row>
    <row r="634" spans="1:16" x14ac:dyDescent="0.25">
      <c r="A634" s="36">
        <v>1670</v>
      </c>
      <c r="B634" s="37">
        <v>43466</v>
      </c>
      <c r="C634" s="36" t="s">
        <v>212</v>
      </c>
      <c r="D634" s="36"/>
      <c r="E634" s="38">
        <v>57276497</v>
      </c>
      <c r="F634" s="40">
        <f>VLOOKUP(A634,'DATOS GENERALES'!A:B,2,0)</f>
        <v>2.36</v>
      </c>
      <c r="G634" s="36">
        <f t="shared" si="45"/>
        <v>2.3491439999999999</v>
      </c>
      <c r="H634" s="38">
        <f t="shared" si="46"/>
        <v>24381858.668519258</v>
      </c>
      <c r="I634" s="38">
        <f t="shared" si="47"/>
        <v>32894638.331480742</v>
      </c>
      <c r="J634" s="38">
        <v>5349827.0714372685</v>
      </c>
      <c r="K634" s="38">
        <f t="shared" si="48"/>
        <v>27544811.260043472</v>
      </c>
      <c r="L634" s="41">
        <f>VLOOKUP(INDICADORES!$B$21,'DATOS GENERALES'!$K:$M,3,0)*E634</f>
        <v>389825.34445151518</v>
      </c>
      <c r="M634" s="38">
        <f t="shared" si="49"/>
        <v>27154985.915591955</v>
      </c>
      <c r="N634" s="36"/>
      <c r="O634" s="36"/>
      <c r="P634" s="36"/>
    </row>
    <row r="635" spans="1:16" x14ac:dyDescent="0.25">
      <c r="A635" s="36">
        <v>1670</v>
      </c>
      <c r="B635" s="37">
        <v>43497</v>
      </c>
      <c r="C635" s="36" t="s">
        <v>212</v>
      </c>
      <c r="D635" s="36"/>
      <c r="E635" s="38">
        <v>57276497</v>
      </c>
      <c r="F635" s="40">
        <f>VLOOKUP(A635,'DATOS GENERALES'!A:B,2,0)</f>
        <v>2.36</v>
      </c>
      <c r="G635" s="36">
        <f t="shared" si="45"/>
        <v>2.3491439999999999</v>
      </c>
      <c r="H635" s="38">
        <f t="shared" si="46"/>
        <v>24381858.668519258</v>
      </c>
      <c r="I635" s="38">
        <f t="shared" si="47"/>
        <v>32894638.331480742</v>
      </c>
      <c r="J635" s="38">
        <v>5270330.08629038</v>
      </c>
      <c r="K635" s="38">
        <f t="shared" si="48"/>
        <v>27624308.24519036</v>
      </c>
      <c r="L635" s="41">
        <f>VLOOKUP(INDICADORES!$B$21,'DATOS GENERALES'!$K:$M,3,0)*E635</f>
        <v>389825.34445151518</v>
      </c>
      <c r="M635" s="38">
        <f t="shared" si="49"/>
        <v>27234482.900738843</v>
      </c>
      <c r="N635" s="36"/>
      <c r="O635" s="36"/>
      <c r="P635" s="36"/>
    </row>
    <row r="636" spans="1:16" x14ac:dyDescent="0.25">
      <c r="A636" s="36">
        <v>1670</v>
      </c>
      <c r="B636" s="37">
        <v>43525</v>
      </c>
      <c r="C636" s="36" t="s">
        <v>212</v>
      </c>
      <c r="D636" s="36"/>
      <c r="E636" s="38">
        <v>57276497</v>
      </c>
      <c r="F636" s="40">
        <f>VLOOKUP(A636,'DATOS GENERALES'!A:B,2,0)</f>
        <v>2.36</v>
      </c>
      <c r="G636" s="36">
        <f t="shared" si="45"/>
        <v>2.3491439999999999</v>
      </c>
      <c r="H636" s="38">
        <f t="shared" si="46"/>
        <v>24381858.668519258</v>
      </c>
      <c r="I636" s="38">
        <f t="shared" si="47"/>
        <v>32894638.331480742</v>
      </c>
      <c r="J636" s="38">
        <v>3813018.4502235213</v>
      </c>
      <c r="K636" s="38">
        <f t="shared" si="48"/>
        <v>29081619.881257221</v>
      </c>
      <c r="L636" s="41">
        <f>VLOOKUP(INDICADORES!$B$21,'DATOS GENERALES'!$K:$M,3,0)*E636</f>
        <v>389825.34445151518</v>
      </c>
      <c r="M636" s="38">
        <f t="shared" si="49"/>
        <v>28691794.536805704</v>
      </c>
      <c r="N636" s="36"/>
      <c r="O636" s="36"/>
      <c r="P636" s="36"/>
    </row>
    <row r="637" spans="1:16" x14ac:dyDescent="0.25">
      <c r="A637" s="36">
        <v>1670</v>
      </c>
      <c r="B637" s="37">
        <v>43556</v>
      </c>
      <c r="C637" s="36" t="s">
        <v>212</v>
      </c>
      <c r="D637" s="36"/>
      <c r="E637" s="38">
        <v>57276497</v>
      </c>
      <c r="F637" s="40">
        <f>VLOOKUP(A637,'DATOS GENERALES'!A:B,2,0)</f>
        <v>2.36</v>
      </c>
      <c r="G637" s="36">
        <f t="shared" si="45"/>
        <v>2.3491439999999999</v>
      </c>
      <c r="H637" s="38">
        <f t="shared" si="46"/>
        <v>24381858.668519258</v>
      </c>
      <c r="I637" s="38">
        <f t="shared" si="47"/>
        <v>32894638.331480742</v>
      </c>
      <c r="J637" s="38">
        <v>3920070.3470701561</v>
      </c>
      <c r="K637" s="38">
        <f t="shared" si="48"/>
        <v>28974567.984410584</v>
      </c>
      <c r="L637" s="41">
        <f>VLOOKUP(INDICADORES!$B$21,'DATOS GENERALES'!$K:$M,3,0)*E637</f>
        <v>389825.34445151518</v>
      </c>
      <c r="M637" s="38">
        <f t="shared" si="49"/>
        <v>28584742.639959067</v>
      </c>
      <c r="N637" s="36"/>
      <c r="O637" s="36"/>
      <c r="P637" s="36"/>
    </row>
    <row r="638" spans="1:16" x14ac:dyDescent="0.25">
      <c r="A638" s="36">
        <v>1670</v>
      </c>
      <c r="B638" s="37">
        <v>43586</v>
      </c>
      <c r="C638" s="36" t="s">
        <v>212</v>
      </c>
      <c r="D638" s="36"/>
      <c r="E638" s="38">
        <v>57276497</v>
      </c>
      <c r="F638" s="40">
        <f>VLOOKUP(A638,'DATOS GENERALES'!A:B,2,0)</f>
        <v>2.36</v>
      </c>
      <c r="G638" s="36">
        <f t="shared" si="45"/>
        <v>2.3491439999999999</v>
      </c>
      <c r="H638" s="38">
        <f t="shared" si="46"/>
        <v>24381858.668519258</v>
      </c>
      <c r="I638" s="38">
        <f t="shared" si="47"/>
        <v>32894638.331480742</v>
      </c>
      <c r="J638" s="38">
        <v>3233783.8883860451</v>
      </c>
      <c r="K638" s="38">
        <f t="shared" si="48"/>
        <v>29660854.443094697</v>
      </c>
      <c r="L638" s="41">
        <f>VLOOKUP(INDICADORES!$B$21,'DATOS GENERALES'!$K:$M,3,0)*E638</f>
        <v>389825.34445151518</v>
      </c>
      <c r="M638" s="38">
        <f t="shared" si="49"/>
        <v>29271029.09864318</v>
      </c>
      <c r="N638" s="36"/>
      <c r="O638" s="36"/>
      <c r="P638" s="36"/>
    </row>
    <row r="639" spans="1:16" x14ac:dyDescent="0.25">
      <c r="A639" s="36">
        <v>1670</v>
      </c>
      <c r="B639" s="37">
        <v>43617</v>
      </c>
      <c r="C639" s="36" t="s">
        <v>212</v>
      </c>
      <c r="D639" s="36"/>
      <c r="E639" s="38">
        <v>57276497</v>
      </c>
      <c r="F639" s="40">
        <f>VLOOKUP(A639,'DATOS GENERALES'!A:B,2,0)</f>
        <v>2.36</v>
      </c>
      <c r="G639" s="36">
        <f t="shared" si="45"/>
        <v>2.3491439999999999</v>
      </c>
      <c r="H639" s="38">
        <f t="shared" si="46"/>
        <v>24381858.668519258</v>
      </c>
      <c r="I639" s="38">
        <f t="shared" si="47"/>
        <v>32894638.331480742</v>
      </c>
      <c r="J639" s="38">
        <v>3632190.5386309586</v>
      </c>
      <c r="K639" s="38">
        <f t="shared" si="48"/>
        <v>29262447.792849783</v>
      </c>
      <c r="L639" s="41">
        <f>VLOOKUP(INDICADORES!$B$21,'DATOS GENERALES'!$K:$M,3,0)*E639</f>
        <v>389825.34445151518</v>
      </c>
      <c r="M639" s="38">
        <f t="shared" si="49"/>
        <v>28872622.448398266</v>
      </c>
      <c r="N639" s="36"/>
      <c r="O639" s="36"/>
      <c r="P639" s="36"/>
    </row>
    <row r="640" spans="1:16" x14ac:dyDescent="0.25">
      <c r="A640" s="36">
        <v>1670</v>
      </c>
      <c r="B640" s="37">
        <v>43647</v>
      </c>
      <c r="C640" s="36" t="s">
        <v>212</v>
      </c>
      <c r="D640" s="36"/>
      <c r="E640" s="38">
        <v>57276497</v>
      </c>
      <c r="F640" s="40">
        <f>VLOOKUP(A640,'DATOS GENERALES'!A:B,2,0)</f>
        <v>2.36</v>
      </c>
      <c r="G640" s="36">
        <f t="shared" si="45"/>
        <v>2.3491439999999999</v>
      </c>
      <c r="H640" s="38">
        <f t="shared" si="46"/>
        <v>24381858.668519258</v>
      </c>
      <c r="I640" s="38">
        <f t="shared" si="47"/>
        <v>32894638.331480742</v>
      </c>
      <c r="J640" s="38">
        <v>6307363.1456750603</v>
      </c>
      <c r="K640" s="38">
        <f t="shared" si="48"/>
        <v>26587275.185805682</v>
      </c>
      <c r="L640" s="41">
        <f>VLOOKUP(INDICADORES!$B$21,'DATOS GENERALES'!$K:$M,3,0)*E640</f>
        <v>389825.34445151518</v>
      </c>
      <c r="M640" s="38">
        <f t="shared" si="49"/>
        <v>26197449.841354165</v>
      </c>
      <c r="N640" s="36"/>
      <c r="O640" s="36"/>
      <c r="P640" s="36"/>
    </row>
    <row r="641" spans="1:16" x14ac:dyDescent="0.25">
      <c r="A641" s="36">
        <v>1670</v>
      </c>
      <c r="B641" s="37">
        <v>43678</v>
      </c>
      <c r="C641" s="36" t="s">
        <v>212</v>
      </c>
      <c r="D641" s="36"/>
      <c r="E641" s="38">
        <v>57276497</v>
      </c>
      <c r="F641" s="40">
        <f>VLOOKUP(A641,'DATOS GENERALES'!A:B,2,0)</f>
        <v>2.36</v>
      </c>
      <c r="G641" s="36">
        <f t="shared" si="45"/>
        <v>2.3491439999999999</v>
      </c>
      <c r="H641" s="38">
        <f t="shared" si="46"/>
        <v>24381858.668519258</v>
      </c>
      <c r="I641" s="38">
        <f t="shared" si="47"/>
        <v>32894638.331480742</v>
      </c>
      <c r="J641" s="38">
        <v>6333612.0397461867</v>
      </c>
      <c r="K641" s="38">
        <f t="shared" si="48"/>
        <v>26561026.291734554</v>
      </c>
      <c r="L641" s="41">
        <f>VLOOKUP(INDICADORES!$B$21,'DATOS GENERALES'!$K:$M,3,0)*E641</f>
        <v>389825.34445151518</v>
      </c>
      <c r="M641" s="38">
        <f t="shared" si="49"/>
        <v>26171200.947283037</v>
      </c>
      <c r="N641" s="36"/>
      <c r="O641" s="36"/>
      <c r="P641" s="36"/>
    </row>
    <row r="642" spans="1:16" x14ac:dyDescent="0.25">
      <c r="A642" s="36">
        <v>1670</v>
      </c>
      <c r="B642" s="37">
        <v>43709</v>
      </c>
      <c r="C642" s="36" t="s">
        <v>212</v>
      </c>
      <c r="D642" s="36"/>
      <c r="E642" s="38">
        <v>57276497</v>
      </c>
      <c r="F642" s="40">
        <f>VLOOKUP(A642,'DATOS GENERALES'!A:B,2,0)</f>
        <v>2.36</v>
      </c>
      <c r="G642" s="36">
        <f t="shared" si="45"/>
        <v>2.3491439999999999</v>
      </c>
      <c r="H642" s="38">
        <f t="shared" si="46"/>
        <v>24381858.668519258</v>
      </c>
      <c r="I642" s="38">
        <f t="shared" si="47"/>
        <v>32894638.331480742</v>
      </c>
      <c r="J642" s="38">
        <v>6990795.4297930561</v>
      </c>
      <c r="K642" s="38">
        <f t="shared" si="48"/>
        <v>25903842.901687685</v>
      </c>
      <c r="L642" s="41">
        <f>VLOOKUP(INDICADORES!$B$21,'DATOS GENERALES'!$K:$M,3,0)*E642</f>
        <v>389825.34445151518</v>
      </c>
      <c r="M642" s="38">
        <f t="shared" si="49"/>
        <v>25514017.557236169</v>
      </c>
      <c r="N642" s="36"/>
      <c r="O642" s="36"/>
      <c r="P642" s="36"/>
    </row>
    <row r="643" spans="1:16" x14ac:dyDescent="0.25">
      <c r="A643" s="36">
        <v>1670</v>
      </c>
      <c r="B643" s="37">
        <v>43739</v>
      </c>
      <c r="C643" s="36" t="s">
        <v>212</v>
      </c>
      <c r="D643" s="36"/>
      <c r="E643" s="38">
        <v>57276497</v>
      </c>
      <c r="F643" s="40">
        <f>VLOOKUP(A643,'DATOS GENERALES'!A:B,2,0)</f>
        <v>2.36</v>
      </c>
      <c r="G643" s="36">
        <f t="shared" ref="G643:G706" si="50">F643*0.9954</f>
        <v>2.3491439999999999</v>
      </c>
      <c r="H643" s="38">
        <f t="shared" ref="H643:H706" si="51">E643/G643</f>
        <v>24381858.668519258</v>
      </c>
      <c r="I643" s="38">
        <f t="shared" ref="I643:I706" si="52">E643-H643</f>
        <v>32894638.331480742</v>
      </c>
      <c r="J643" s="38">
        <v>7586713.657254816</v>
      </c>
      <c r="K643" s="38">
        <f t="shared" ref="K643:K706" si="53">IFERROR(I643-J643,"")</f>
        <v>25307924.674225926</v>
      </c>
      <c r="L643" s="41">
        <f>VLOOKUP(INDICADORES!$B$21,'DATOS GENERALES'!$K:$M,3,0)*E643</f>
        <v>389825.34445151518</v>
      </c>
      <c r="M643" s="38">
        <f t="shared" ref="M643:M706" si="54">IFERROR(K643-L643,"")</f>
        <v>24918099.32977441</v>
      </c>
      <c r="N643" s="36"/>
      <c r="O643" s="36"/>
      <c r="P643" s="36"/>
    </row>
    <row r="644" spans="1:16" x14ac:dyDescent="0.25">
      <c r="A644" s="36">
        <v>1670</v>
      </c>
      <c r="B644" s="37">
        <v>43770</v>
      </c>
      <c r="C644" s="36" t="s">
        <v>212</v>
      </c>
      <c r="D644" s="36"/>
      <c r="E644" s="38">
        <v>57276497</v>
      </c>
      <c r="F644" s="40">
        <f>VLOOKUP(A644,'DATOS GENERALES'!A:B,2,0)</f>
        <v>2.36</v>
      </c>
      <c r="G644" s="36">
        <f t="shared" si="50"/>
        <v>2.3491439999999999</v>
      </c>
      <c r="H644" s="38">
        <f t="shared" si="51"/>
        <v>24381858.668519258</v>
      </c>
      <c r="I644" s="38">
        <f t="shared" si="52"/>
        <v>32894638.331480742</v>
      </c>
      <c r="J644" s="38">
        <v>9956017.6542857233</v>
      </c>
      <c r="K644" s="38">
        <f t="shared" si="53"/>
        <v>22938620.67719502</v>
      </c>
      <c r="L644" s="41">
        <f>VLOOKUP(INDICADORES!$B$21,'DATOS GENERALES'!$K:$M,3,0)*E644</f>
        <v>389825.34445151518</v>
      </c>
      <c r="M644" s="38">
        <f t="shared" si="54"/>
        <v>22548795.332743503</v>
      </c>
      <c r="N644" s="36"/>
      <c r="O644" s="36"/>
      <c r="P644" s="36"/>
    </row>
    <row r="645" spans="1:16" x14ac:dyDescent="0.25">
      <c r="A645" s="36">
        <v>1670</v>
      </c>
      <c r="B645" s="37">
        <v>43800</v>
      </c>
      <c r="C645" s="36" t="s">
        <v>212</v>
      </c>
      <c r="D645" s="36"/>
      <c r="E645" s="38">
        <v>57276497</v>
      </c>
      <c r="F645" s="40">
        <f>VLOOKUP(A645,'DATOS GENERALES'!A:B,2,0)</f>
        <v>2.36</v>
      </c>
      <c r="G645" s="36">
        <f t="shared" si="50"/>
        <v>2.3491439999999999</v>
      </c>
      <c r="H645" s="38">
        <f t="shared" si="51"/>
        <v>24381858.668519258</v>
      </c>
      <c r="I645" s="38">
        <f t="shared" si="52"/>
        <v>32894638.331480742</v>
      </c>
      <c r="J645" s="38">
        <v>8587558.3759149071</v>
      </c>
      <c r="K645" s="38">
        <f t="shared" si="53"/>
        <v>24307079.955565833</v>
      </c>
      <c r="L645" s="41">
        <f>VLOOKUP(INDICADORES!$B$21,'DATOS GENERALES'!$K:$M,3,0)*E645</f>
        <v>389825.34445151518</v>
      </c>
      <c r="M645" s="38">
        <f t="shared" si="54"/>
        <v>23917254.611114316</v>
      </c>
      <c r="N645" s="36"/>
      <c r="O645" s="36"/>
      <c r="P645" s="36"/>
    </row>
    <row r="646" spans="1:16" x14ac:dyDescent="0.25">
      <c r="A646" s="36">
        <v>1837</v>
      </c>
      <c r="B646" s="37">
        <v>43525</v>
      </c>
      <c r="C646" s="36" t="s">
        <v>212</v>
      </c>
      <c r="D646" s="36"/>
      <c r="E646" s="38">
        <v>24433339.875</v>
      </c>
      <c r="F646" s="40">
        <f>VLOOKUP(A646,'DATOS GENERALES'!A:B,2,0)</f>
        <v>1.98</v>
      </c>
      <c r="G646" s="36">
        <f t="shared" si="50"/>
        <v>1.9708919999999999</v>
      </c>
      <c r="H646" s="38">
        <f t="shared" si="51"/>
        <v>12397097.291480204</v>
      </c>
      <c r="I646" s="38">
        <f t="shared" si="52"/>
        <v>12036242.583519796</v>
      </c>
      <c r="J646" s="38">
        <v>1938751.3209837195</v>
      </c>
      <c r="K646" s="38">
        <f t="shared" si="53"/>
        <v>10097491.262536077</v>
      </c>
      <c r="L646" s="41">
        <f>VLOOKUP(INDICADORES!$B$21,'DATOS GENERALES'!$K:$M,3,0)*E646</f>
        <v>166293.95357179083</v>
      </c>
      <c r="M646" s="38">
        <f t="shared" si="54"/>
        <v>9931197.308964286</v>
      </c>
      <c r="N646" s="36"/>
      <c r="O646" s="36"/>
      <c r="P646" s="36"/>
    </row>
    <row r="647" spans="1:16" x14ac:dyDescent="0.25">
      <c r="A647" s="36">
        <v>1837</v>
      </c>
      <c r="B647" s="37">
        <v>43556</v>
      </c>
      <c r="C647" s="36" t="s">
        <v>212</v>
      </c>
      <c r="D647" s="36"/>
      <c r="E647" s="38">
        <v>23469243</v>
      </c>
      <c r="F647" s="40">
        <f>VLOOKUP(A647,'DATOS GENERALES'!A:B,2,0)</f>
        <v>1.98</v>
      </c>
      <c r="G647" s="36">
        <f t="shared" si="50"/>
        <v>1.9708919999999999</v>
      </c>
      <c r="H647" s="38">
        <f t="shared" si="51"/>
        <v>11907929.506030772</v>
      </c>
      <c r="I647" s="38">
        <f t="shared" si="52"/>
        <v>11561313.493969228</v>
      </c>
      <c r="J647" s="38">
        <v>1914534.9821859144</v>
      </c>
      <c r="K647" s="38">
        <f t="shared" si="53"/>
        <v>9646778.511783313</v>
      </c>
      <c r="L647" s="41">
        <f>VLOOKUP(INDICADORES!$B$21,'DATOS GENERALES'!$K:$M,3,0)*E647</f>
        <v>159732.28489324881</v>
      </c>
      <c r="M647" s="38">
        <f t="shared" si="54"/>
        <v>9487046.2268900648</v>
      </c>
      <c r="N647" s="36"/>
      <c r="O647" s="36"/>
      <c r="P647" s="36"/>
    </row>
    <row r="648" spans="1:16" x14ac:dyDescent="0.25">
      <c r="A648" s="36">
        <v>1837</v>
      </c>
      <c r="B648" s="37">
        <v>43586</v>
      </c>
      <c r="C648" s="36" t="s">
        <v>212</v>
      </c>
      <c r="D648" s="36"/>
      <c r="E648" s="38">
        <v>23469243</v>
      </c>
      <c r="F648" s="40">
        <f>VLOOKUP(A648,'DATOS GENERALES'!A:B,2,0)</f>
        <v>1.98</v>
      </c>
      <c r="G648" s="36">
        <f t="shared" si="50"/>
        <v>1.9708919999999999</v>
      </c>
      <c r="H648" s="38">
        <f t="shared" si="51"/>
        <v>11907929.506030772</v>
      </c>
      <c r="I648" s="38">
        <f t="shared" si="52"/>
        <v>11561313.493969228</v>
      </c>
      <c r="J648" s="38">
        <v>1579357.468360624</v>
      </c>
      <c r="K648" s="38">
        <f t="shared" si="53"/>
        <v>9981956.0256086048</v>
      </c>
      <c r="L648" s="41">
        <f>VLOOKUP(INDICADORES!$B$21,'DATOS GENERALES'!$K:$M,3,0)*E648</f>
        <v>159732.28489324881</v>
      </c>
      <c r="M648" s="38">
        <f t="shared" si="54"/>
        <v>9822223.7407153565</v>
      </c>
      <c r="N648" s="36"/>
      <c r="O648" s="36"/>
      <c r="P648" s="36"/>
    </row>
    <row r="649" spans="1:16" x14ac:dyDescent="0.25">
      <c r="A649" s="36">
        <v>1837</v>
      </c>
      <c r="B649" s="37">
        <v>43617</v>
      </c>
      <c r="C649" s="36" t="s">
        <v>212</v>
      </c>
      <c r="D649" s="36"/>
      <c r="E649" s="38">
        <v>23469243</v>
      </c>
      <c r="F649" s="40">
        <f>VLOOKUP(A649,'DATOS GENERALES'!A:B,2,0)</f>
        <v>1.98</v>
      </c>
      <c r="G649" s="36">
        <f t="shared" si="50"/>
        <v>1.9708919999999999</v>
      </c>
      <c r="H649" s="38">
        <f t="shared" si="51"/>
        <v>11907929.506030772</v>
      </c>
      <c r="I649" s="38">
        <f t="shared" si="52"/>
        <v>11561313.493969228</v>
      </c>
      <c r="J649" s="38">
        <v>1773936.4941170064</v>
      </c>
      <c r="K649" s="38">
        <f t="shared" si="53"/>
        <v>9787376.9998522215</v>
      </c>
      <c r="L649" s="41">
        <f>VLOOKUP(INDICADORES!$B$21,'DATOS GENERALES'!$K:$M,3,0)*E649</f>
        <v>159732.28489324881</v>
      </c>
      <c r="M649" s="38">
        <f t="shared" si="54"/>
        <v>9627644.7149589732</v>
      </c>
      <c r="N649" s="36"/>
      <c r="O649" s="36"/>
      <c r="P649" s="36"/>
    </row>
    <row r="650" spans="1:16" x14ac:dyDescent="0.25">
      <c r="A650" s="36">
        <v>1706</v>
      </c>
      <c r="B650" s="37">
        <v>43617</v>
      </c>
      <c r="C650" s="36" t="s">
        <v>212</v>
      </c>
      <c r="D650" s="36"/>
      <c r="E650" s="38">
        <v>571348397.33903968</v>
      </c>
      <c r="F650" s="40">
        <f>VLOOKUP(A650,'DATOS GENERALES'!A:B,2,0)</f>
        <v>0.65</v>
      </c>
      <c r="G650" s="36">
        <f t="shared" si="50"/>
        <v>0.64700999999999997</v>
      </c>
      <c r="H650" s="38">
        <f t="shared" si="51"/>
        <v>883059608.56716239</v>
      </c>
      <c r="I650" s="38">
        <f t="shared" si="52"/>
        <v>-311711211.22812271</v>
      </c>
      <c r="J650" s="38">
        <v>131550297.24727696</v>
      </c>
      <c r="K650" s="38">
        <f t="shared" si="53"/>
        <v>-443261508.47539967</v>
      </c>
      <c r="L650" s="41">
        <f>VLOOKUP(INDICADORES!$B$21,'DATOS GENERALES'!$K:$M,3,0)*E650</f>
        <v>3888612.2137412191</v>
      </c>
      <c r="M650" s="38">
        <f t="shared" si="54"/>
        <v>-447150120.68914092</v>
      </c>
      <c r="N650" s="36"/>
      <c r="O650" s="36"/>
      <c r="P650" s="36"/>
    </row>
    <row r="651" spans="1:16" x14ac:dyDescent="0.25">
      <c r="A651" s="36">
        <v>1706</v>
      </c>
      <c r="B651" s="37">
        <v>43647</v>
      </c>
      <c r="C651" s="36" t="s">
        <v>212</v>
      </c>
      <c r="D651" s="36"/>
      <c r="E651" s="38">
        <v>169100716.32175991</v>
      </c>
      <c r="F651" s="40">
        <f>VLOOKUP(A651,'DATOS GENERALES'!A:B,2,0)</f>
        <v>0.65</v>
      </c>
      <c r="G651" s="36">
        <f t="shared" si="50"/>
        <v>0.64700999999999997</v>
      </c>
      <c r="H651" s="38">
        <f t="shared" si="51"/>
        <v>261357191.26715183</v>
      </c>
      <c r="I651" s="38">
        <f t="shared" si="52"/>
        <v>-92256474.945391923</v>
      </c>
      <c r="J651" s="38">
        <v>67610707.553809926</v>
      </c>
      <c r="K651" s="38">
        <f t="shared" si="53"/>
        <v>-159867182.49920183</v>
      </c>
      <c r="L651" s="41">
        <f>VLOOKUP(INDICADORES!$B$21,'DATOS GENERALES'!$K:$M,3,0)*E651</f>
        <v>1150903.9211516029</v>
      </c>
      <c r="M651" s="38">
        <f t="shared" si="54"/>
        <v>-161018086.42035344</v>
      </c>
      <c r="N651" s="36"/>
      <c r="O651" s="36"/>
      <c r="P651" s="36"/>
    </row>
    <row r="652" spans="1:16" x14ac:dyDescent="0.25">
      <c r="A652" s="36">
        <v>1706</v>
      </c>
      <c r="B652" s="37">
        <v>43678</v>
      </c>
      <c r="C652" s="36" t="s">
        <v>212</v>
      </c>
      <c r="D652" s="36"/>
      <c r="E652" s="38">
        <v>201793844.26040003</v>
      </c>
      <c r="F652" s="40">
        <f>VLOOKUP(A652,'DATOS GENERALES'!A:B,2,0)</f>
        <v>0.65</v>
      </c>
      <c r="G652" s="36">
        <f t="shared" si="50"/>
        <v>0.64700999999999997</v>
      </c>
      <c r="H652" s="38">
        <f t="shared" si="51"/>
        <v>311886747.12971985</v>
      </c>
      <c r="I652" s="38">
        <f t="shared" si="52"/>
        <v>-110092902.86931983</v>
      </c>
      <c r="J652" s="38">
        <v>81018009.476388887</v>
      </c>
      <c r="K652" s="38">
        <f t="shared" si="53"/>
        <v>-191110912.34570873</v>
      </c>
      <c r="L652" s="41">
        <f>VLOOKUP(INDICADORES!$B$21,'DATOS GENERALES'!$K:$M,3,0)*E652</f>
        <v>1373414.2094445101</v>
      </c>
      <c r="M652" s="38">
        <f t="shared" si="54"/>
        <v>-192484326.55515325</v>
      </c>
      <c r="N652" s="36"/>
      <c r="O652" s="36"/>
      <c r="P652" s="36"/>
    </row>
    <row r="653" spans="1:16" x14ac:dyDescent="0.25">
      <c r="A653" s="36">
        <v>1706</v>
      </c>
      <c r="B653" s="37">
        <v>43709</v>
      </c>
      <c r="C653" s="36" t="s">
        <v>212</v>
      </c>
      <c r="D653" s="36"/>
      <c r="E653" s="38">
        <v>212124501.08639985</v>
      </c>
      <c r="F653" s="40">
        <f>VLOOKUP(A653,'DATOS GENERALES'!A:B,2,0)</f>
        <v>0.65</v>
      </c>
      <c r="G653" s="36">
        <f t="shared" si="50"/>
        <v>0.64700999999999997</v>
      </c>
      <c r="H653" s="38">
        <f t="shared" si="51"/>
        <v>327853512.44401145</v>
      </c>
      <c r="I653" s="38">
        <f t="shared" si="52"/>
        <v>-115729011.3576116</v>
      </c>
      <c r="J653" s="38">
        <v>94002547.861310765</v>
      </c>
      <c r="K653" s="38">
        <f t="shared" si="53"/>
        <v>-209731559.21892238</v>
      </c>
      <c r="L653" s="41">
        <f>VLOOKUP(INDICADORES!$B$21,'DATOS GENERALES'!$K:$M,3,0)*E653</f>
        <v>1443724.9314079322</v>
      </c>
      <c r="M653" s="38">
        <f t="shared" si="54"/>
        <v>-211175284.15033031</v>
      </c>
      <c r="N653" s="36"/>
      <c r="O653" s="36"/>
      <c r="P653" s="36"/>
    </row>
    <row r="654" spans="1:16" x14ac:dyDescent="0.25">
      <c r="A654" s="36">
        <v>1706</v>
      </c>
      <c r="B654" s="37">
        <v>43739</v>
      </c>
      <c r="C654" s="36" t="s">
        <v>212</v>
      </c>
      <c r="D654" s="36"/>
      <c r="E654" s="38">
        <v>215602207.53135997</v>
      </c>
      <c r="F654" s="40">
        <f>VLOOKUP(A654,'DATOS GENERALES'!A:B,2,0)</f>
        <v>0.65</v>
      </c>
      <c r="G654" s="36">
        <f t="shared" si="50"/>
        <v>0.64700999999999997</v>
      </c>
      <c r="H654" s="38">
        <f t="shared" si="51"/>
        <v>333228555.24854326</v>
      </c>
      <c r="I654" s="38">
        <f t="shared" si="52"/>
        <v>-117626347.71718329</v>
      </c>
      <c r="J654" s="38">
        <v>103688142.29719058</v>
      </c>
      <c r="K654" s="38">
        <f t="shared" si="53"/>
        <v>-221314490.01437387</v>
      </c>
      <c r="L654" s="41">
        <f>VLOOKUP(INDICADORES!$B$21,'DATOS GENERALES'!$K:$M,3,0)*E654</f>
        <v>1467394.2929055083</v>
      </c>
      <c r="M654" s="38">
        <f t="shared" si="54"/>
        <v>-222781884.30727938</v>
      </c>
      <c r="N654" s="36"/>
      <c r="O654" s="36"/>
      <c r="P654" s="36"/>
    </row>
    <row r="655" spans="1:16" x14ac:dyDescent="0.25">
      <c r="A655" s="36">
        <v>1706</v>
      </c>
      <c r="B655" s="37">
        <v>43770</v>
      </c>
      <c r="C655" s="36" t="s">
        <v>212</v>
      </c>
      <c r="D655" s="36"/>
      <c r="E655" s="38">
        <v>200026260.66271994</v>
      </c>
      <c r="F655" s="40">
        <f>VLOOKUP(A655,'DATOS GENERALES'!A:B,2,0)</f>
        <v>0.65</v>
      </c>
      <c r="G655" s="36">
        <f t="shared" si="50"/>
        <v>0.64700999999999997</v>
      </c>
      <c r="H655" s="38">
        <f t="shared" si="51"/>
        <v>309154820.88796145</v>
      </c>
      <c r="I655" s="38">
        <f t="shared" si="52"/>
        <v>-109128560.22524151</v>
      </c>
      <c r="J655" s="38">
        <v>126239385.45924699</v>
      </c>
      <c r="K655" s="38">
        <f t="shared" si="53"/>
        <v>-235367945.68448851</v>
      </c>
      <c r="L655" s="41">
        <f>VLOOKUP(INDICADORES!$B$21,'DATOS GENERALES'!$K:$M,3,0)*E655</f>
        <v>1361383.9890067538</v>
      </c>
      <c r="M655" s="38">
        <f t="shared" si="54"/>
        <v>-236729329.67349526</v>
      </c>
      <c r="N655" s="36"/>
      <c r="O655" s="36"/>
      <c r="P655" s="36"/>
    </row>
    <row r="656" spans="1:16" x14ac:dyDescent="0.25">
      <c r="A656" s="36">
        <v>1706</v>
      </c>
      <c r="B656" s="37">
        <v>43800</v>
      </c>
      <c r="C656" s="36" t="s">
        <v>212</v>
      </c>
      <c r="D656" s="36"/>
      <c r="E656" s="38">
        <v>221397929.50327998</v>
      </c>
      <c r="F656" s="40">
        <f>VLOOKUP(A656,'DATOS GENERALES'!A:B,2,0)</f>
        <v>0.65</v>
      </c>
      <c r="G656" s="36">
        <f t="shared" si="50"/>
        <v>0.64700999999999997</v>
      </c>
      <c r="H656" s="38">
        <f t="shared" si="51"/>
        <v>342186256.01347739</v>
      </c>
      <c r="I656" s="38">
        <f t="shared" si="52"/>
        <v>-120788326.5101974</v>
      </c>
      <c r="J656" s="38">
        <v>120521757.13517751</v>
      </c>
      <c r="K656" s="38">
        <f t="shared" si="53"/>
        <v>-241310083.64537489</v>
      </c>
      <c r="L656" s="41">
        <f>VLOOKUP(INDICADORES!$B$21,'DATOS GENERALES'!$K:$M,3,0)*E656</f>
        <v>1506840.1290230511</v>
      </c>
      <c r="M656" s="38">
        <f t="shared" si="54"/>
        <v>-242816923.77439794</v>
      </c>
      <c r="N656" s="36"/>
      <c r="O656" s="36"/>
      <c r="P656" s="36"/>
    </row>
    <row r="657" spans="1:16" x14ac:dyDescent="0.25">
      <c r="A657" s="36">
        <v>1706</v>
      </c>
      <c r="B657" s="37">
        <v>43466</v>
      </c>
      <c r="C657" s="36" t="s">
        <v>212</v>
      </c>
      <c r="D657" s="36"/>
      <c r="E657" s="38">
        <v>13105734.300000001</v>
      </c>
      <c r="F657" s="40">
        <f>VLOOKUP(A657,'DATOS GENERALES'!A:B,2,0)</f>
        <v>0.65</v>
      </c>
      <c r="G657" s="36">
        <f t="shared" si="50"/>
        <v>0.64700999999999997</v>
      </c>
      <c r="H657" s="38">
        <f t="shared" si="51"/>
        <v>20255845.041034918</v>
      </c>
      <c r="I657" s="38">
        <f t="shared" si="52"/>
        <v>-7150110.7410349175</v>
      </c>
      <c r="J657" s="38">
        <v>4444503.9908004729</v>
      </c>
      <c r="K657" s="38">
        <f t="shared" si="53"/>
        <v>-11594614.731835391</v>
      </c>
      <c r="L657" s="41">
        <f>VLOOKUP(INDICADORES!$B$21,'DATOS GENERALES'!$K:$M,3,0)*E657</f>
        <v>89197.972211665416</v>
      </c>
      <c r="M657" s="38">
        <f t="shared" si="54"/>
        <v>-11683812.704047056</v>
      </c>
      <c r="N657" s="36"/>
      <c r="O657" s="36"/>
      <c r="P657" s="36"/>
    </row>
    <row r="658" spans="1:16" x14ac:dyDescent="0.25">
      <c r="A658" s="36">
        <v>1706</v>
      </c>
      <c r="B658" s="37">
        <v>43497</v>
      </c>
      <c r="C658" s="36" t="s">
        <v>212</v>
      </c>
      <c r="D658" s="36"/>
      <c r="E658" s="38">
        <v>39691874.539999999</v>
      </c>
      <c r="F658" s="40">
        <f>VLOOKUP(A658,'DATOS GENERALES'!A:B,2,0)</f>
        <v>0.65</v>
      </c>
      <c r="G658" s="36">
        <f t="shared" si="50"/>
        <v>0.64700999999999997</v>
      </c>
      <c r="H658" s="38">
        <f t="shared" si="51"/>
        <v>61346616.806540862</v>
      </c>
      <c r="I658" s="38">
        <f t="shared" si="52"/>
        <v>-21654742.266540863</v>
      </c>
      <c r="J658" s="38">
        <v>13260552.636419445</v>
      </c>
      <c r="K658" s="38">
        <f t="shared" si="53"/>
        <v>-34915294.902960308</v>
      </c>
      <c r="L658" s="41">
        <f>VLOOKUP(INDICADORES!$B$21,'DATOS GENERALES'!$K:$M,3,0)*E658</f>
        <v>270143.94166741421</v>
      </c>
      <c r="M658" s="38">
        <f t="shared" si="54"/>
        <v>-35185438.844627723</v>
      </c>
      <c r="N658" s="36"/>
      <c r="O658" s="36"/>
      <c r="P658" s="36"/>
    </row>
    <row r="659" spans="1:16" x14ac:dyDescent="0.25">
      <c r="A659" s="36">
        <v>1706</v>
      </c>
      <c r="B659" s="37">
        <v>43525</v>
      </c>
      <c r="C659" s="36" t="s">
        <v>212</v>
      </c>
      <c r="D659" s="36"/>
      <c r="E659" s="38">
        <v>466647576.91000003</v>
      </c>
      <c r="F659" s="40">
        <f>VLOOKUP(A659,'DATOS GENERALES'!A:B,2,0)</f>
        <v>0.65</v>
      </c>
      <c r="G659" s="36">
        <f t="shared" si="50"/>
        <v>0.64700999999999997</v>
      </c>
      <c r="H659" s="38">
        <f t="shared" si="51"/>
        <v>721237039.47388768</v>
      </c>
      <c r="I659" s="38">
        <f t="shared" si="52"/>
        <v>-254589462.56388766</v>
      </c>
      <c r="J659" s="38">
        <v>112792473.12057118</v>
      </c>
      <c r="K659" s="38">
        <f t="shared" si="53"/>
        <v>-367381935.68445885</v>
      </c>
      <c r="L659" s="41">
        <f>VLOOKUP(INDICADORES!$B$21,'DATOS GENERALES'!$K:$M,3,0)*E659</f>
        <v>3176015.6771878991</v>
      </c>
      <c r="M659" s="38">
        <f t="shared" si="54"/>
        <v>-370557951.36164677</v>
      </c>
      <c r="N659" s="36"/>
      <c r="O659" s="36"/>
      <c r="P659" s="36"/>
    </row>
    <row r="660" spans="1:16" x14ac:dyDescent="0.25">
      <c r="A660" s="36">
        <v>1706</v>
      </c>
      <c r="B660" s="37">
        <v>43556</v>
      </c>
      <c r="C660" s="36" t="s">
        <v>212</v>
      </c>
      <c r="D660" s="36"/>
      <c r="E660" s="38">
        <v>277757983.00000006</v>
      </c>
      <c r="F660" s="40">
        <f>VLOOKUP(A660,'DATOS GENERALES'!A:B,2,0)</f>
        <v>0.65</v>
      </c>
      <c r="G660" s="36">
        <f t="shared" si="50"/>
        <v>0.64700999999999997</v>
      </c>
      <c r="H660" s="38">
        <f t="shared" si="51"/>
        <v>429294729.60232466</v>
      </c>
      <c r="I660" s="38">
        <f t="shared" si="52"/>
        <v>-151536746.6023246</v>
      </c>
      <c r="J660" s="38">
        <v>69021216.247160539</v>
      </c>
      <c r="K660" s="38">
        <f t="shared" si="53"/>
        <v>-220557962.84948516</v>
      </c>
      <c r="L660" s="41">
        <f>VLOOKUP(INDICADORES!$B$21,'DATOS GENERALES'!$K:$M,3,0)*E660</f>
        <v>1890428.1348968167</v>
      </c>
      <c r="M660" s="38">
        <f t="shared" si="54"/>
        <v>-222448390.98438197</v>
      </c>
      <c r="N660" s="36"/>
      <c r="O660" s="36"/>
      <c r="P660" s="36"/>
    </row>
    <row r="661" spans="1:16" x14ac:dyDescent="0.25">
      <c r="A661" s="36">
        <v>1706</v>
      </c>
      <c r="B661" s="37">
        <v>43586</v>
      </c>
      <c r="C661" s="36" t="s">
        <v>212</v>
      </c>
      <c r="D661" s="36"/>
      <c r="E661" s="38">
        <v>193325410.73000008</v>
      </c>
      <c r="F661" s="40">
        <f>VLOOKUP(A661,'DATOS GENERALES'!A:B,2,0)</f>
        <v>0.65</v>
      </c>
      <c r="G661" s="36">
        <f t="shared" si="50"/>
        <v>0.64700999999999997</v>
      </c>
      <c r="H661" s="38">
        <f t="shared" si="51"/>
        <v>298798180.44543374</v>
      </c>
      <c r="I661" s="38">
        <f t="shared" si="52"/>
        <v>-105472769.71543366</v>
      </c>
      <c r="J661" s="38">
        <v>39629822.93269898</v>
      </c>
      <c r="K661" s="38">
        <f t="shared" si="53"/>
        <v>-145102592.64813262</v>
      </c>
      <c r="L661" s="41">
        <f>VLOOKUP(INDICADORES!$B$21,'DATOS GENERALES'!$K:$M,3,0)*E661</f>
        <v>1315777.8281910804</v>
      </c>
      <c r="M661" s="38">
        <f t="shared" si="54"/>
        <v>-146418370.47632369</v>
      </c>
      <c r="N661" s="36"/>
      <c r="O661" s="36"/>
      <c r="P661" s="36"/>
    </row>
    <row r="662" spans="1:16" x14ac:dyDescent="0.25">
      <c r="A662" s="36">
        <v>1580</v>
      </c>
      <c r="B662" s="37">
        <v>43466</v>
      </c>
      <c r="C662" s="36" t="s">
        <v>195</v>
      </c>
      <c r="D662" s="36"/>
      <c r="E662" s="38">
        <v>70115372.945178598</v>
      </c>
      <c r="F662" s="40">
        <f>VLOOKUP(A662,'DATOS GENERALES'!A:B,2,0)</f>
        <v>1.74</v>
      </c>
      <c r="G662" s="36">
        <f t="shared" si="50"/>
        <v>1.7319959999999999</v>
      </c>
      <c r="H662" s="38">
        <f t="shared" si="51"/>
        <v>40482410.435808517</v>
      </c>
      <c r="I662" s="38">
        <f t="shared" si="52"/>
        <v>29632962.509370081</v>
      </c>
      <c r="J662" s="38">
        <v>8882583.4900828656</v>
      </c>
      <c r="K662" s="38">
        <f t="shared" si="53"/>
        <v>20750379.019287214</v>
      </c>
      <c r="L662" s="41">
        <f>VLOOKUP(INDICADORES!$B$21,'DATOS GENERALES'!$K:$M,3,0)*E662</f>
        <v>477207.07168423192</v>
      </c>
      <c r="M662" s="38">
        <f t="shared" si="54"/>
        <v>20273171.947602984</v>
      </c>
      <c r="N662" s="36"/>
      <c r="O662" s="36"/>
      <c r="P662" s="36"/>
    </row>
    <row r="663" spans="1:16" x14ac:dyDescent="0.25">
      <c r="A663" s="36">
        <v>1580</v>
      </c>
      <c r="B663" s="37">
        <v>43497</v>
      </c>
      <c r="C663" s="36" t="s">
        <v>195</v>
      </c>
      <c r="D663" s="36"/>
      <c r="E663" s="38">
        <v>70115372.945178598</v>
      </c>
      <c r="F663" s="40">
        <f>VLOOKUP(A663,'DATOS GENERALES'!A:B,2,0)</f>
        <v>1.74</v>
      </c>
      <c r="G663" s="36">
        <f t="shared" si="50"/>
        <v>1.7319959999999999</v>
      </c>
      <c r="H663" s="38">
        <f t="shared" si="51"/>
        <v>40482410.435808517</v>
      </c>
      <c r="I663" s="38">
        <f t="shared" si="52"/>
        <v>29632962.509370081</v>
      </c>
      <c r="J663" s="38">
        <v>8750590.6988490727</v>
      </c>
      <c r="K663" s="38">
        <f t="shared" si="53"/>
        <v>20882371.810521007</v>
      </c>
      <c r="L663" s="41">
        <f>VLOOKUP(INDICADORES!$B$21,'DATOS GENERALES'!$K:$M,3,0)*E663</f>
        <v>477207.07168423192</v>
      </c>
      <c r="M663" s="38">
        <f t="shared" si="54"/>
        <v>20405164.738836776</v>
      </c>
      <c r="N663" s="36"/>
      <c r="O663" s="36"/>
      <c r="P663" s="36"/>
    </row>
    <row r="664" spans="1:16" x14ac:dyDescent="0.25">
      <c r="A664" s="36">
        <v>1580</v>
      </c>
      <c r="B664" s="37">
        <v>43525</v>
      </c>
      <c r="C664" s="36" t="s">
        <v>195</v>
      </c>
      <c r="D664" s="36"/>
      <c r="E664" s="38">
        <v>70115372.945178598</v>
      </c>
      <c r="F664" s="40">
        <f>VLOOKUP(A664,'DATOS GENERALES'!A:B,2,0)</f>
        <v>1.74</v>
      </c>
      <c r="G664" s="36">
        <f t="shared" si="50"/>
        <v>1.7319959999999999</v>
      </c>
      <c r="H664" s="38">
        <f t="shared" si="51"/>
        <v>40482410.435808517</v>
      </c>
      <c r="I664" s="38">
        <f t="shared" si="52"/>
        <v>29632962.509370081</v>
      </c>
      <c r="J664" s="38">
        <v>6330943.8381972862</v>
      </c>
      <c r="K664" s="38">
        <f t="shared" si="53"/>
        <v>23302018.671172794</v>
      </c>
      <c r="L664" s="41">
        <f>VLOOKUP(INDICADORES!$B$21,'DATOS GENERALES'!$K:$M,3,0)*E664</f>
        <v>477207.07168423192</v>
      </c>
      <c r="M664" s="38">
        <f t="shared" si="54"/>
        <v>22824811.599488564</v>
      </c>
      <c r="N664" s="36"/>
      <c r="O664" s="36"/>
      <c r="P664" s="36"/>
    </row>
    <row r="665" spans="1:16" x14ac:dyDescent="0.25">
      <c r="A665" s="36">
        <v>1580</v>
      </c>
      <c r="B665" s="37">
        <v>43556</v>
      </c>
      <c r="C665" s="36" t="s">
        <v>195</v>
      </c>
      <c r="D665" s="36"/>
      <c r="E665" s="38">
        <v>74111007.329178602</v>
      </c>
      <c r="F665" s="40">
        <f>VLOOKUP(A665,'DATOS GENERALES'!A:B,2,0)</f>
        <v>1.74</v>
      </c>
      <c r="G665" s="36">
        <f t="shared" si="50"/>
        <v>1.7319959999999999</v>
      </c>
      <c r="H665" s="38">
        <f t="shared" si="51"/>
        <v>42789364.022306405</v>
      </c>
      <c r="I665" s="38">
        <f t="shared" si="52"/>
        <v>31321643.306872196</v>
      </c>
      <c r="J665" s="38">
        <v>6879595.1676320992</v>
      </c>
      <c r="K665" s="38">
        <f t="shared" si="53"/>
        <v>24442048.139240097</v>
      </c>
      <c r="L665" s="41">
        <f>VLOOKUP(INDICADORES!$B$21,'DATOS GENERALES'!$K:$M,3,0)*E665</f>
        <v>504401.46435187571</v>
      </c>
      <c r="M665" s="38">
        <f t="shared" si="54"/>
        <v>23937646.674888223</v>
      </c>
      <c r="N665" s="36"/>
      <c r="O665" s="36"/>
      <c r="P665" s="36"/>
    </row>
    <row r="666" spans="1:16" x14ac:dyDescent="0.25">
      <c r="A666" s="36">
        <v>1580</v>
      </c>
      <c r="B666" s="37">
        <v>43586</v>
      </c>
      <c r="C666" s="36" t="s">
        <v>195</v>
      </c>
      <c r="D666" s="36"/>
      <c r="E666" s="38">
        <v>74111007.329178602</v>
      </c>
      <c r="F666" s="40">
        <f>VLOOKUP(A666,'DATOS GENERALES'!A:B,2,0)</f>
        <v>1.74</v>
      </c>
      <c r="G666" s="36">
        <f t="shared" si="50"/>
        <v>1.7319959999999999</v>
      </c>
      <c r="H666" s="38">
        <f t="shared" si="51"/>
        <v>42789364.022306405</v>
      </c>
      <c r="I666" s="38">
        <f t="shared" si="52"/>
        <v>31321643.306872196</v>
      </c>
      <c r="J666" s="38">
        <v>5675184.8926217835</v>
      </c>
      <c r="K666" s="38">
        <f t="shared" si="53"/>
        <v>25646458.414250411</v>
      </c>
      <c r="L666" s="41">
        <f>VLOOKUP(INDICADORES!$B$21,'DATOS GENERALES'!$K:$M,3,0)*E666</f>
        <v>504401.46435187571</v>
      </c>
      <c r="M666" s="38">
        <f t="shared" si="54"/>
        <v>25142056.949898534</v>
      </c>
      <c r="N666" s="36"/>
      <c r="O666" s="36"/>
      <c r="P666" s="36"/>
    </row>
    <row r="667" spans="1:16" x14ac:dyDescent="0.25">
      <c r="A667" s="36">
        <v>1580</v>
      </c>
      <c r="B667" s="37">
        <v>43617</v>
      </c>
      <c r="C667" s="36" t="s">
        <v>195</v>
      </c>
      <c r="D667" s="36"/>
      <c r="E667" s="38">
        <v>74111007.329178602</v>
      </c>
      <c r="F667" s="40">
        <f>VLOOKUP(A667,'DATOS GENERALES'!A:B,2,0)</f>
        <v>1.74</v>
      </c>
      <c r="G667" s="36">
        <f t="shared" si="50"/>
        <v>1.7319959999999999</v>
      </c>
      <c r="H667" s="38">
        <f t="shared" si="51"/>
        <v>42789364.022306405</v>
      </c>
      <c r="I667" s="38">
        <f t="shared" si="52"/>
        <v>31321643.306872196</v>
      </c>
      <c r="J667" s="38">
        <v>7631794.6404278073</v>
      </c>
      <c r="K667" s="38">
        <f t="shared" si="53"/>
        <v>23689848.666444391</v>
      </c>
      <c r="L667" s="41">
        <f>VLOOKUP(INDICADORES!$B$21,'DATOS GENERALES'!$K:$M,3,0)*E667</f>
        <v>504401.46435187571</v>
      </c>
      <c r="M667" s="38">
        <f t="shared" si="54"/>
        <v>23185447.202092513</v>
      </c>
      <c r="N667" s="36"/>
      <c r="O667" s="36"/>
      <c r="P667" s="36"/>
    </row>
    <row r="668" spans="1:16" x14ac:dyDescent="0.25">
      <c r="A668" s="36">
        <v>1580</v>
      </c>
      <c r="B668" s="37">
        <v>43647</v>
      </c>
      <c r="C668" s="36" t="s">
        <v>195</v>
      </c>
      <c r="D668" s="36"/>
      <c r="E668" s="38">
        <v>74111007.329178602</v>
      </c>
      <c r="F668" s="40">
        <f>VLOOKUP(A668,'DATOS GENERALES'!A:B,2,0)</f>
        <v>1.74</v>
      </c>
      <c r="G668" s="36">
        <f t="shared" si="50"/>
        <v>1.7319959999999999</v>
      </c>
      <c r="H668" s="38">
        <f t="shared" si="51"/>
        <v>42789364.022306405</v>
      </c>
      <c r="I668" s="38">
        <f t="shared" si="52"/>
        <v>31321643.306872196</v>
      </c>
      <c r="J668" s="38">
        <v>11381257.374176994</v>
      </c>
      <c r="K668" s="38">
        <f t="shared" si="53"/>
        <v>19940385.932695203</v>
      </c>
      <c r="L668" s="41">
        <f>VLOOKUP(INDICADORES!$B$21,'DATOS GENERALES'!$K:$M,3,0)*E668</f>
        <v>504401.46435187571</v>
      </c>
      <c r="M668" s="38">
        <f t="shared" si="54"/>
        <v>19435984.468343325</v>
      </c>
      <c r="N668" s="36"/>
      <c r="O668" s="36"/>
      <c r="P668" s="36"/>
    </row>
    <row r="669" spans="1:16" x14ac:dyDescent="0.25">
      <c r="A669" s="36">
        <v>1580</v>
      </c>
      <c r="B669" s="37">
        <v>43678</v>
      </c>
      <c r="C669" s="36" t="s">
        <v>195</v>
      </c>
      <c r="D669" s="36"/>
      <c r="E669" s="38">
        <v>74111007.329178602</v>
      </c>
      <c r="F669" s="40">
        <f>VLOOKUP(A669,'DATOS GENERALES'!A:B,2,0)</f>
        <v>1.74</v>
      </c>
      <c r="G669" s="36">
        <f t="shared" si="50"/>
        <v>1.7319959999999999</v>
      </c>
      <c r="H669" s="38">
        <f t="shared" si="51"/>
        <v>42789364.022306405</v>
      </c>
      <c r="I669" s="38">
        <f t="shared" si="52"/>
        <v>31321643.306872196</v>
      </c>
      <c r="J669" s="38">
        <v>11199569.892076371</v>
      </c>
      <c r="K669" s="38">
        <f t="shared" si="53"/>
        <v>20122073.414795823</v>
      </c>
      <c r="L669" s="41">
        <f>VLOOKUP(INDICADORES!$B$21,'DATOS GENERALES'!$K:$M,3,0)*E669</f>
        <v>504401.46435187571</v>
      </c>
      <c r="M669" s="38">
        <f t="shared" si="54"/>
        <v>19617671.950443946</v>
      </c>
      <c r="N669" s="36"/>
      <c r="O669" s="36"/>
      <c r="P669" s="36"/>
    </row>
    <row r="670" spans="1:16" x14ac:dyDescent="0.25">
      <c r="A670" s="36">
        <v>1580</v>
      </c>
      <c r="B670" s="37">
        <v>43709</v>
      </c>
      <c r="C670" s="36" t="s">
        <v>195</v>
      </c>
      <c r="D670" s="36"/>
      <c r="E670" s="38">
        <v>74111007.329178602</v>
      </c>
      <c r="F670" s="40">
        <f>VLOOKUP(A670,'DATOS GENERALES'!A:B,2,0)</f>
        <v>1.74</v>
      </c>
      <c r="G670" s="36">
        <f t="shared" si="50"/>
        <v>1.7319959999999999</v>
      </c>
      <c r="H670" s="38">
        <f t="shared" si="51"/>
        <v>42789364.022306405</v>
      </c>
      <c r="I670" s="38">
        <f t="shared" si="52"/>
        <v>31321643.306872196</v>
      </c>
      <c r="J670" s="38">
        <v>12657452.027099146</v>
      </c>
      <c r="K670" s="38">
        <f t="shared" si="53"/>
        <v>18664191.279773049</v>
      </c>
      <c r="L670" s="41">
        <f>VLOOKUP(INDICADORES!$B$21,'DATOS GENERALES'!$K:$M,3,0)*E670</f>
        <v>504401.46435187571</v>
      </c>
      <c r="M670" s="38">
        <f t="shared" si="54"/>
        <v>18159789.815421171</v>
      </c>
      <c r="N670" s="36"/>
      <c r="O670" s="36"/>
      <c r="P670" s="36"/>
    </row>
    <row r="671" spans="1:16" x14ac:dyDescent="0.25">
      <c r="A671" s="36">
        <v>1580</v>
      </c>
      <c r="B671" s="37">
        <v>43739</v>
      </c>
      <c r="C671" s="36" t="s">
        <v>195</v>
      </c>
      <c r="D671" s="36"/>
      <c r="E671" s="38">
        <v>69313527.964878604</v>
      </c>
      <c r="F671" s="40">
        <f>VLOOKUP(A671,'DATOS GENERALES'!A:B,2,0)</f>
        <v>1.74</v>
      </c>
      <c r="G671" s="36">
        <f t="shared" si="50"/>
        <v>1.7319959999999999</v>
      </c>
      <c r="H671" s="38">
        <f t="shared" si="51"/>
        <v>40019450.371062413</v>
      </c>
      <c r="I671" s="38">
        <f t="shared" si="52"/>
        <v>29294077.593816191</v>
      </c>
      <c r="J671" s="38">
        <v>12801670.196617555</v>
      </c>
      <c r="K671" s="38">
        <f t="shared" si="53"/>
        <v>16492407.397198636</v>
      </c>
      <c r="L671" s="41">
        <f>VLOOKUP(INDICADORES!$B$21,'DATOS GENERALES'!$K:$M,3,0)*E671</f>
        <v>471749.69366681995</v>
      </c>
      <c r="M671" s="38">
        <f t="shared" si="54"/>
        <v>16020657.703531817</v>
      </c>
      <c r="N671" s="36"/>
      <c r="O671" s="36"/>
      <c r="P671" s="36"/>
    </row>
    <row r="672" spans="1:16" x14ac:dyDescent="0.25">
      <c r="A672" s="36">
        <v>1580</v>
      </c>
      <c r="B672" s="37">
        <v>43770</v>
      </c>
      <c r="C672" s="36" t="s">
        <v>195</v>
      </c>
      <c r="D672" s="36"/>
      <c r="E672" s="38">
        <v>69313527.964878604</v>
      </c>
      <c r="F672" s="40">
        <f>VLOOKUP(A672,'DATOS GENERALES'!A:B,2,0)</f>
        <v>1.74</v>
      </c>
      <c r="G672" s="36">
        <f t="shared" si="50"/>
        <v>1.7319959999999999</v>
      </c>
      <c r="H672" s="38">
        <f t="shared" si="51"/>
        <v>40019450.371062413</v>
      </c>
      <c r="I672" s="38">
        <f t="shared" si="52"/>
        <v>29294077.593816191</v>
      </c>
      <c r="J672" s="38">
        <v>17121291.079351015</v>
      </c>
      <c r="K672" s="38">
        <f t="shared" si="53"/>
        <v>12172786.514465176</v>
      </c>
      <c r="L672" s="41">
        <f>VLOOKUP(INDICADORES!$B$21,'DATOS GENERALES'!$K:$M,3,0)*E672</f>
        <v>471749.69366681995</v>
      </c>
      <c r="M672" s="38">
        <f t="shared" si="54"/>
        <v>11701036.820798356</v>
      </c>
      <c r="N672" s="36"/>
      <c r="O672" s="36"/>
      <c r="P672" s="36"/>
    </row>
    <row r="673" spans="1:16" x14ac:dyDescent="0.25">
      <c r="A673" s="36">
        <v>1580</v>
      </c>
      <c r="B673" s="37">
        <v>43800</v>
      </c>
      <c r="C673" s="36" t="s">
        <v>195</v>
      </c>
      <c r="D673" s="36"/>
      <c r="E673" s="38">
        <v>69313527.964878604</v>
      </c>
      <c r="F673" s="40">
        <f>VLOOKUP(A673,'DATOS GENERALES'!A:B,2,0)</f>
        <v>1.74</v>
      </c>
      <c r="G673" s="36">
        <f t="shared" si="50"/>
        <v>1.7319959999999999</v>
      </c>
      <c r="H673" s="38">
        <f t="shared" si="51"/>
        <v>40019450.371062413</v>
      </c>
      <c r="I673" s="38">
        <f t="shared" si="52"/>
        <v>29294077.593816191</v>
      </c>
      <c r="J673" s="38">
        <v>14415911.258550359</v>
      </c>
      <c r="K673" s="38">
        <f t="shared" si="53"/>
        <v>14878166.335265832</v>
      </c>
      <c r="L673" s="41">
        <f>VLOOKUP(INDICADORES!$B$21,'DATOS GENERALES'!$K:$M,3,0)*E673</f>
        <v>471749.69366681995</v>
      </c>
      <c r="M673" s="38">
        <f t="shared" si="54"/>
        <v>14406416.641599013</v>
      </c>
      <c r="N673" s="36"/>
      <c r="O673" s="36"/>
      <c r="P673" s="36"/>
    </row>
    <row r="674" spans="1:16" x14ac:dyDescent="0.25">
      <c r="A674" s="36">
        <v>1580</v>
      </c>
      <c r="B674" s="37">
        <v>43831</v>
      </c>
      <c r="C674" s="36" t="s">
        <v>195</v>
      </c>
      <c r="D674" s="36"/>
      <c r="E674" s="38">
        <v>65317893.580878608</v>
      </c>
      <c r="F674" s="40">
        <f>VLOOKUP(A674,'DATOS GENERALES'!A:B,2,0)</f>
        <v>1.74</v>
      </c>
      <c r="G674" s="36">
        <f t="shared" si="50"/>
        <v>1.7319959999999999</v>
      </c>
      <c r="H674" s="38">
        <f t="shared" si="51"/>
        <v>37712496.784564525</v>
      </c>
      <c r="I674" s="38">
        <f t="shared" si="52"/>
        <v>27605396.796314083</v>
      </c>
      <c r="J674" s="38" t="s">
        <v>213</v>
      </c>
      <c r="K674" s="38" t="str">
        <f t="shared" si="53"/>
        <v/>
      </c>
      <c r="L674" s="41">
        <f>VLOOKUP(INDICADORES!$B$21,'DATOS GENERALES'!$K:$M,3,0)*E674</f>
        <v>444555.30099917628</v>
      </c>
      <c r="M674" s="38" t="str">
        <f t="shared" si="54"/>
        <v/>
      </c>
      <c r="N674" s="36"/>
      <c r="O674" s="36"/>
      <c r="P674" s="36"/>
    </row>
    <row r="675" spans="1:16" x14ac:dyDescent="0.25">
      <c r="A675" s="36">
        <v>1580</v>
      </c>
      <c r="B675" s="37">
        <v>43862</v>
      </c>
      <c r="C675" s="36" t="s">
        <v>195</v>
      </c>
      <c r="D675" s="36"/>
      <c r="E675" s="38">
        <v>54776389.5693786</v>
      </c>
      <c r="F675" s="40">
        <f>VLOOKUP(A675,'DATOS GENERALES'!A:B,2,0)</f>
        <v>1.74</v>
      </c>
      <c r="G675" s="36">
        <f t="shared" si="50"/>
        <v>1.7319959999999999</v>
      </c>
      <c r="H675" s="38">
        <f t="shared" si="51"/>
        <v>31626164.015031561</v>
      </c>
      <c r="I675" s="38">
        <f t="shared" si="52"/>
        <v>23150225.554347038</v>
      </c>
      <c r="J675" s="38" t="s">
        <v>213</v>
      </c>
      <c r="K675" s="38" t="str">
        <f t="shared" si="53"/>
        <v/>
      </c>
      <c r="L675" s="41">
        <f>VLOOKUP(INDICADORES!$B$21,'DATOS GENERALES'!$K:$M,3,0)*E675</f>
        <v>372809.54754780827</v>
      </c>
      <c r="M675" s="38" t="str">
        <f t="shared" si="54"/>
        <v/>
      </c>
      <c r="N675" s="36"/>
      <c r="O675" s="36"/>
      <c r="P675" s="36"/>
    </row>
    <row r="676" spans="1:16" x14ac:dyDescent="0.25">
      <c r="A676" s="36">
        <v>1588</v>
      </c>
      <c r="B676" s="37">
        <v>43466</v>
      </c>
      <c r="C676" s="36" t="s">
        <v>195</v>
      </c>
      <c r="D676" s="36"/>
      <c r="E676" s="38">
        <v>68877916.829865009</v>
      </c>
      <c r="F676" s="40">
        <f>VLOOKUP(A676,'DATOS GENERALES'!A:B,2,0)</f>
        <v>1.49</v>
      </c>
      <c r="G676" s="36">
        <f t="shared" si="50"/>
        <v>1.4831459999999999</v>
      </c>
      <c r="H676" s="38">
        <f t="shared" si="51"/>
        <v>46440415.731064245</v>
      </c>
      <c r="I676" s="38">
        <f t="shared" si="52"/>
        <v>22437501.098800763</v>
      </c>
      <c r="J676" s="38">
        <v>10189879.150092591</v>
      </c>
      <c r="K676" s="38">
        <f t="shared" si="53"/>
        <v>12247621.948708173</v>
      </c>
      <c r="L676" s="41">
        <f>VLOOKUP(INDICADORES!$B$21,'DATOS GENERALES'!$K:$M,3,0)*E676</f>
        <v>468784.91282916517</v>
      </c>
      <c r="M676" s="38">
        <f t="shared" si="54"/>
        <v>11778837.035879008</v>
      </c>
      <c r="N676" s="36"/>
      <c r="O676" s="36"/>
      <c r="P676" s="36"/>
    </row>
    <row r="677" spans="1:16" x14ac:dyDescent="0.25">
      <c r="A677" s="36">
        <v>1588</v>
      </c>
      <c r="B677" s="37">
        <v>43497</v>
      </c>
      <c r="C677" s="36" t="s">
        <v>195</v>
      </c>
      <c r="D677" s="36"/>
      <c r="E677" s="38">
        <v>68877916.829865009</v>
      </c>
      <c r="F677" s="40">
        <f>VLOOKUP(A677,'DATOS GENERALES'!A:B,2,0)</f>
        <v>1.49</v>
      </c>
      <c r="G677" s="36">
        <f t="shared" si="50"/>
        <v>1.4831459999999999</v>
      </c>
      <c r="H677" s="38">
        <f t="shared" si="51"/>
        <v>46440415.731064245</v>
      </c>
      <c r="I677" s="38">
        <f t="shared" si="52"/>
        <v>22437501.098800763</v>
      </c>
      <c r="J677" s="38">
        <v>10038460.29848738</v>
      </c>
      <c r="K677" s="38">
        <f t="shared" si="53"/>
        <v>12399040.800313383</v>
      </c>
      <c r="L677" s="41">
        <f>VLOOKUP(INDICADORES!$B$21,'DATOS GENERALES'!$K:$M,3,0)*E677</f>
        <v>468784.91282916517</v>
      </c>
      <c r="M677" s="38">
        <f t="shared" si="54"/>
        <v>11930255.887484219</v>
      </c>
      <c r="N677" s="36"/>
      <c r="O677" s="36"/>
      <c r="P677" s="36"/>
    </row>
    <row r="678" spans="1:16" x14ac:dyDescent="0.25">
      <c r="A678" s="36">
        <v>1588</v>
      </c>
      <c r="B678" s="37">
        <v>43525</v>
      </c>
      <c r="C678" s="36" t="s">
        <v>195</v>
      </c>
      <c r="D678" s="36"/>
      <c r="E678" s="38">
        <v>68877916.829865009</v>
      </c>
      <c r="F678" s="40">
        <f>VLOOKUP(A678,'DATOS GENERALES'!A:B,2,0)</f>
        <v>1.49</v>
      </c>
      <c r="G678" s="36">
        <f t="shared" si="50"/>
        <v>1.4831459999999999</v>
      </c>
      <c r="H678" s="38">
        <f t="shared" si="51"/>
        <v>46440415.731064245</v>
      </c>
      <c r="I678" s="38">
        <f t="shared" si="52"/>
        <v>22437501.098800763</v>
      </c>
      <c r="J678" s="38">
        <v>7262701.5202591531</v>
      </c>
      <c r="K678" s="38">
        <f t="shared" si="53"/>
        <v>15174799.57854161</v>
      </c>
      <c r="L678" s="41">
        <f>VLOOKUP(INDICADORES!$B$21,'DATOS GENERALES'!$K:$M,3,0)*E678</f>
        <v>468784.91282916517</v>
      </c>
      <c r="M678" s="38">
        <f t="shared" si="54"/>
        <v>14706014.665712446</v>
      </c>
      <c r="N678" s="36"/>
      <c r="O678" s="36"/>
      <c r="P678" s="36"/>
    </row>
    <row r="679" spans="1:16" x14ac:dyDescent="0.25">
      <c r="A679" s="36">
        <v>1596</v>
      </c>
      <c r="B679" s="37">
        <v>43466</v>
      </c>
      <c r="C679" s="36" t="s">
        <v>195</v>
      </c>
      <c r="D679" s="36"/>
      <c r="E679" s="38">
        <v>45333415.275986843</v>
      </c>
      <c r="F679" s="40">
        <f>VLOOKUP(A679,'DATOS GENERALES'!A:B,2,0)</f>
        <v>2.4300000000000002</v>
      </c>
      <c r="G679" s="36">
        <f t="shared" si="50"/>
        <v>2.418822</v>
      </c>
      <c r="H679" s="38">
        <f t="shared" si="51"/>
        <v>18741939.372135215</v>
      </c>
      <c r="I679" s="38">
        <f t="shared" si="52"/>
        <v>26591475.903851628</v>
      </c>
      <c r="J679" s="38">
        <v>4112325.3147941511</v>
      </c>
      <c r="K679" s="38">
        <f t="shared" si="53"/>
        <v>22479150.589057475</v>
      </c>
      <c r="L679" s="41">
        <f>VLOOKUP(INDICADORES!$B$21,'DATOS GENERALES'!$K:$M,3,0)*E679</f>
        <v>308540.41623958165</v>
      </c>
      <c r="M679" s="38">
        <f t="shared" si="54"/>
        <v>22170610.172817893</v>
      </c>
      <c r="N679" s="36"/>
      <c r="O679" s="36"/>
      <c r="P679" s="36"/>
    </row>
    <row r="680" spans="1:16" x14ac:dyDescent="0.25">
      <c r="A680" s="36">
        <v>1596</v>
      </c>
      <c r="B680" s="37">
        <v>43497</v>
      </c>
      <c r="C680" s="36" t="s">
        <v>195</v>
      </c>
      <c r="D680" s="36"/>
      <c r="E680" s="38">
        <v>45333415.275986843</v>
      </c>
      <c r="F680" s="40">
        <f>VLOOKUP(A680,'DATOS GENERALES'!A:B,2,0)</f>
        <v>2.4300000000000002</v>
      </c>
      <c r="G680" s="36">
        <f t="shared" si="50"/>
        <v>2.418822</v>
      </c>
      <c r="H680" s="38">
        <f t="shared" si="51"/>
        <v>18741939.372135215</v>
      </c>
      <c r="I680" s="38">
        <f t="shared" si="52"/>
        <v>26591475.903851628</v>
      </c>
      <c r="J680" s="38">
        <v>4051217.2714678957</v>
      </c>
      <c r="K680" s="38">
        <f t="shared" si="53"/>
        <v>22540258.632383734</v>
      </c>
      <c r="L680" s="41">
        <f>VLOOKUP(INDICADORES!$B$21,'DATOS GENERALES'!$K:$M,3,0)*E680</f>
        <v>308540.41623958165</v>
      </c>
      <c r="M680" s="38">
        <f t="shared" si="54"/>
        <v>22231718.216144152</v>
      </c>
      <c r="N680" s="36"/>
      <c r="O680" s="36"/>
      <c r="P680" s="36"/>
    </row>
    <row r="681" spans="1:16" x14ac:dyDescent="0.25">
      <c r="A681" s="36">
        <v>1596</v>
      </c>
      <c r="B681" s="37">
        <v>43525</v>
      </c>
      <c r="C681" s="36" t="s">
        <v>195</v>
      </c>
      <c r="D681" s="36"/>
      <c r="E681" s="38">
        <v>45333415.275986843</v>
      </c>
      <c r="F681" s="40">
        <f>VLOOKUP(A681,'DATOS GENERALES'!A:B,2,0)</f>
        <v>2.4300000000000002</v>
      </c>
      <c r="G681" s="36">
        <f t="shared" si="50"/>
        <v>2.418822</v>
      </c>
      <c r="H681" s="38">
        <f t="shared" si="51"/>
        <v>18741939.372135215</v>
      </c>
      <c r="I681" s="38">
        <f t="shared" si="52"/>
        <v>26591475.903851628</v>
      </c>
      <c r="J681" s="38">
        <v>2931005.4491945864</v>
      </c>
      <c r="K681" s="38">
        <f t="shared" si="53"/>
        <v>23660470.454657041</v>
      </c>
      <c r="L681" s="41">
        <f>VLOOKUP(INDICADORES!$B$21,'DATOS GENERALES'!$K:$M,3,0)*E681</f>
        <v>308540.41623958165</v>
      </c>
      <c r="M681" s="38">
        <f t="shared" si="54"/>
        <v>23351930.038417459</v>
      </c>
      <c r="N681" s="36"/>
      <c r="O681" s="36"/>
      <c r="P681" s="36"/>
    </row>
    <row r="682" spans="1:16" x14ac:dyDescent="0.25">
      <c r="A682" s="36">
        <v>1596</v>
      </c>
      <c r="B682" s="37">
        <v>43556</v>
      </c>
      <c r="C682" s="36" t="s">
        <v>195</v>
      </c>
      <c r="D682" s="36"/>
      <c r="E682" s="38">
        <v>39811433.775986843</v>
      </c>
      <c r="F682" s="40">
        <f>VLOOKUP(A682,'DATOS GENERALES'!A:B,2,0)</f>
        <v>2.4300000000000002</v>
      </c>
      <c r="G682" s="36">
        <f t="shared" si="50"/>
        <v>2.418822</v>
      </c>
      <c r="H682" s="38">
        <f t="shared" si="51"/>
        <v>16459017.561435625</v>
      </c>
      <c r="I682" s="38">
        <f t="shared" si="52"/>
        <v>23352416.214551218</v>
      </c>
      <c r="J682" s="38">
        <v>2646250.5406856723</v>
      </c>
      <c r="K682" s="38">
        <f t="shared" si="53"/>
        <v>20706165.673865546</v>
      </c>
      <c r="L682" s="41">
        <f>VLOOKUP(INDICADORES!$B$21,'DATOS GENERALES'!$K:$M,3,0)*E682</f>
        <v>270957.66497089993</v>
      </c>
      <c r="M682" s="38">
        <f t="shared" si="54"/>
        <v>20435208.008894645</v>
      </c>
      <c r="N682" s="36"/>
      <c r="O682" s="36"/>
      <c r="P682" s="36"/>
    </row>
    <row r="683" spans="1:16" x14ac:dyDescent="0.25">
      <c r="A683" s="36">
        <v>1596</v>
      </c>
      <c r="B683" s="37">
        <v>43586</v>
      </c>
      <c r="C683" s="36" t="s">
        <v>195</v>
      </c>
      <c r="D683" s="36"/>
      <c r="E683" s="38">
        <v>33697792.894736841</v>
      </c>
      <c r="F683" s="40">
        <f>VLOOKUP(A683,'DATOS GENERALES'!A:B,2,0)</f>
        <v>2.4300000000000002</v>
      </c>
      <c r="G683" s="36">
        <f t="shared" si="50"/>
        <v>2.418822</v>
      </c>
      <c r="H683" s="38">
        <f t="shared" si="51"/>
        <v>13931489.334368896</v>
      </c>
      <c r="I683" s="38">
        <f t="shared" si="52"/>
        <v>19766303.560367946</v>
      </c>
      <c r="J683" s="38">
        <v>1847743.7000679735</v>
      </c>
      <c r="K683" s="38">
        <f t="shared" si="53"/>
        <v>17918559.860299971</v>
      </c>
      <c r="L683" s="41">
        <f>VLOOKUP(INDICADORES!$B$21,'DATOS GENERALES'!$K:$M,3,0)*E683</f>
        <v>229348.06439797828</v>
      </c>
      <c r="M683" s="38">
        <f t="shared" si="54"/>
        <v>17689211.795901991</v>
      </c>
      <c r="N683" s="36"/>
      <c r="O683" s="36"/>
      <c r="P683" s="36"/>
    </row>
    <row r="684" spans="1:16" x14ac:dyDescent="0.25">
      <c r="A684" s="36">
        <v>1596</v>
      </c>
      <c r="B684" s="37">
        <v>43617</v>
      </c>
      <c r="C684" s="36" t="s">
        <v>195</v>
      </c>
      <c r="D684" s="36"/>
      <c r="E684" s="38">
        <v>33697792.894736841</v>
      </c>
      <c r="F684" s="40">
        <f>VLOOKUP(A684,'DATOS GENERALES'!A:B,2,0)</f>
        <v>2.4300000000000002</v>
      </c>
      <c r="G684" s="36">
        <f t="shared" si="50"/>
        <v>2.418822</v>
      </c>
      <c r="H684" s="38">
        <f t="shared" si="51"/>
        <v>13931489.334368896</v>
      </c>
      <c r="I684" s="38">
        <f t="shared" si="52"/>
        <v>19766303.560367946</v>
      </c>
      <c r="J684" s="38">
        <v>2484782.5637181038</v>
      </c>
      <c r="K684" s="38">
        <f t="shared" si="53"/>
        <v>17281520.996649843</v>
      </c>
      <c r="L684" s="41">
        <f>VLOOKUP(INDICADORES!$B$21,'DATOS GENERALES'!$K:$M,3,0)*E684</f>
        <v>229348.06439797828</v>
      </c>
      <c r="M684" s="38">
        <f t="shared" si="54"/>
        <v>17052172.932251863</v>
      </c>
      <c r="N684" s="36"/>
      <c r="O684" s="36"/>
      <c r="P684" s="36"/>
    </row>
    <row r="685" spans="1:16" x14ac:dyDescent="0.25">
      <c r="A685" s="36">
        <v>1687</v>
      </c>
      <c r="B685" s="37">
        <v>43466</v>
      </c>
      <c r="C685" s="36" t="s">
        <v>195</v>
      </c>
      <c r="D685" s="36"/>
      <c r="E685" s="38">
        <v>71364366.272</v>
      </c>
      <c r="F685" s="40">
        <f>VLOOKUP(A685,'DATOS GENERALES'!A:B,2,0)</f>
        <v>1.71</v>
      </c>
      <c r="G685" s="36">
        <f t="shared" si="50"/>
        <v>1.7021339999999998</v>
      </c>
      <c r="H685" s="38">
        <f t="shared" si="51"/>
        <v>41926409.008926444</v>
      </c>
      <c r="I685" s="38">
        <f t="shared" si="52"/>
        <v>29437957.263073556</v>
      </c>
      <c r="J685" s="38">
        <v>9199423.2668451443</v>
      </c>
      <c r="K685" s="38">
        <f t="shared" si="53"/>
        <v>20238533.996228412</v>
      </c>
      <c r="L685" s="41">
        <f>VLOOKUP(INDICADORES!$B$21,'DATOS GENERALES'!$K:$M,3,0)*E685</f>
        <v>485707.75310414832</v>
      </c>
      <c r="M685" s="38">
        <f t="shared" si="54"/>
        <v>19752826.243124265</v>
      </c>
      <c r="N685" s="36"/>
      <c r="O685" s="36"/>
      <c r="P685" s="36"/>
    </row>
    <row r="686" spans="1:16" x14ac:dyDescent="0.25">
      <c r="A686" s="36">
        <v>1687</v>
      </c>
      <c r="B686" s="37">
        <v>43497</v>
      </c>
      <c r="C686" s="36" t="s">
        <v>195</v>
      </c>
      <c r="D686" s="36"/>
      <c r="E686" s="38">
        <v>39364366.272</v>
      </c>
      <c r="F686" s="40">
        <f>VLOOKUP(A686,'DATOS GENERALES'!A:B,2,0)</f>
        <v>1.71</v>
      </c>
      <c r="G686" s="36">
        <f t="shared" si="50"/>
        <v>1.7021339999999998</v>
      </c>
      <c r="H686" s="38">
        <f t="shared" si="51"/>
        <v>23126479.038665585</v>
      </c>
      <c r="I686" s="38">
        <f t="shared" si="52"/>
        <v>16237887.233334415</v>
      </c>
      <c r="J686" s="38">
        <v>4998969.9277854618</v>
      </c>
      <c r="K686" s="38">
        <f t="shared" si="53"/>
        <v>11238917.305548953</v>
      </c>
      <c r="L686" s="41">
        <f>VLOOKUP(INDICADORES!$B$21,'DATOS GENERALES'!$K:$M,3,0)*E686</f>
        <v>267914.91178481124</v>
      </c>
      <c r="M686" s="38">
        <f t="shared" si="54"/>
        <v>10971002.393764142</v>
      </c>
      <c r="N686" s="36"/>
      <c r="O686" s="36"/>
      <c r="P686" s="36"/>
    </row>
    <row r="687" spans="1:16" x14ac:dyDescent="0.25">
      <c r="A687" s="36">
        <v>1687</v>
      </c>
      <c r="B687" s="37">
        <v>43525</v>
      </c>
      <c r="C687" s="36" t="s">
        <v>195</v>
      </c>
      <c r="D687" s="36"/>
      <c r="E687" s="38">
        <v>39364366.272</v>
      </c>
      <c r="F687" s="40">
        <f>VLOOKUP(A687,'DATOS GENERALES'!A:B,2,0)</f>
        <v>1.71</v>
      </c>
      <c r="G687" s="36">
        <f t="shared" si="50"/>
        <v>1.7021339999999998</v>
      </c>
      <c r="H687" s="38">
        <f t="shared" si="51"/>
        <v>23126479.038665585</v>
      </c>
      <c r="I687" s="38">
        <f t="shared" si="52"/>
        <v>16237887.233334415</v>
      </c>
      <c r="J687" s="38">
        <v>3616692.7411893979</v>
      </c>
      <c r="K687" s="38">
        <f t="shared" si="53"/>
        <v>12621194.492145017</v>
      </c>
      <c r="L687" s="41">
        <f>VLOOKUP(INDICADORES!$B$21,'DATOS GENERALES'!$K:$M,3,0)*E687</f>
        <v>267914.91178481124</v>
      </c>
      <c r="M687" s="38">
        <f t="shared" si="54"/>
        <v>12353279.580360206</v>
      </c>
      <c r="N687" s="36"/>
      <c r="O687" s="36"/>
      <c r="P687" s="36"/>
    </row>
    <row r="688" spans="1:16" x14ac:dyDescent="0.25">
      <c r="A688" s="36">
        <v>1687</v>
      </c>
      <c r="B688" s="37">
        <v>43556</v>
      </c>
      <c r="C688" s="36" t="s">
        <v>195</v>
      </c>
      <c r="D688" s="36"/>
      <c r="E688" s="38">
        <v>35374979.772</v>
      </c>
      <c r="F688" s="40">
        <f>VLOOKUP(A688,'DATOS GENERALES'!A:B,2,0)</f>
        <v>1.71</v>
      </c>
      <c r="G688" s="36">
        <f t="shared" si="50"/>
        <v>1.7021339999999998</v>
      </c>
      <c r="H688" s="38">
        <f t="shared" si="51"/>
        <v>20782723.200406082</v>
      </c>
      <c r="I688" s="38">
        <f t="shared" si="52"/>
        <v>14592256.571593918</v>
      </c>
      <c r="J688" s="38">
        <v>3341407.972906875</v>
      </c>
      <c r="K688" s="38">
        <f t="shared" si="53"/>
        <v>11250848.598687043</v>
      </c>
      <c r="L688" s="41">
        <f>VLOOKUP(INDICADORES!$B$21,'DATOS GENERALES'!$K:$M,3,0)*E688</f>
        <v>240763.04237993609</v>
      </c>
      <c r="M688" s="38">
        <f t="shared" si="54"/>
        <v>11010085.556307107</v>
      </c>
      <c r="N688" s="36"/>
      <c r="O688" s="36"/>
      <c r="P688" s="36"/>
    </row>
    <row r="689" spans="1:16" x14ac:dyDescent="0.25">
      <c r="A689" s="36">
        <v>1689</v>
      </c>
      <c r="B689" s="37">
        <v>43466</v>
      </c>
      <c r="C689" s="36" t="s">
        <v>195</v>
      </c>
      <c r="D689" s="36"/>
      <c r="E689" s="38">
        <v>36819716.200000003</v>
      </c>
      <c r="F689" s="40">
        <f>VLOOKUP(A689,'DATOS GENERALES'!A:B,2,0)</f>
        <v>2.11</v>
      </c>
      <c r="G689" s="36">
        <f t="shared" si="50"/>
        <v>2.1002939999999999</v>
      </c>
      <c r="H689" s="38">
        <f t="shared" si="51"/>
        <v>17530743.886332106</v>
      </c>
      <c r="I689" s="38">
        <f t="shared" si="52"/>
        <v>19288972.313667897</v>
      </c>
      <c r="J689" s="38">
        <v>3846566.8061075942</v>
      </c>
      <c r="K689" s="38">
        <f t="shared" si="53"/>
        <v>15442405.507560303</v>
      </c>
      <c r="L689" s="41">
        <f>VLOOKUP(INDICADORES!$B$21,'DATOS GENERALES'!$K:$M,3,0)*E689</f>
        <v>250595.95649280079</v>
      </c>
      <c r="M689" s="38">
        <f t="shared" si="54"/>
        <v>15191809.551067503</v>
      </c>
      <c r="N689" s="36"/>
      <c r="O689" s="36"/>
      <c r="P689" s="36"/>
    </row>
    <row r="690" spans="1:16" x14ac:dyDescent="0.25">
      <c r="A690" s="36">
        <v>1689</v>
      </c>
      <c r="B690" s="37">
        <v>43497</v>
      </c>
      <c r="C690" s="36" t="s">
        <v>195</v>
      </c>
      <c r="D690" s="36"/>
      <c r="E690" s="38">
        <v>36819716.200000003</v>
      </c>
      <c r="F690" s="40">
        <f>VLOOKUP(A690,'DATOS GENERALES'!A:B,2,0)</f>
        <v>2.11</v>
      </c>
      <c r="G690" s="36">
        <f t="shared" si="50"/>
        <v>2.1002939999999999</v>
      </c>
      <c r="H690" s="38">
        <f t="shared" si="51"/>
        <v>17530743.886332106</v>
      </c>
      <c r="I690" s="38">
        <f t="shared" si="52"/>
        <v>19288972.313667897</v>
      </c>
      <c r="J690" s="38">
        <v>3789407.8624317762</v>
      </c>
      <c r="K690" s="38">
        <f t="shared" si="53"/>
        <v>15499564.451236121</v>
      </c>
      <c r="L690" s="41">
        <f>VLOOKUP(INDICADORES!$B$21,'DATOS GENERALES'!$K:$M,3,0)*E690</f>
        <v>250595.95649280079</v>
      </c>
      <c r="M690" s="38">
        <f t="shared" si="54"/>
        <v>15248968.494743321</v>
      </c>
      <c r="N690" s="36"/>
      <c r="O690" s="36"/>
      <c r="P690" s="36"/>
    </row>
    <row r="691" spans="1:16" x14ac:dyDescent="0.25">
      <c r="A691" s="36">
        <v>1689</v>
      </c>
      <c r="B691" s="37">
        <v>43525</v>
      </c>
      <c r="C691" s="36" t="s">
        <v>195</v>
      </c>
      <c r="D691" s="36"/>
      <c r="E691" s="38">
        <v>36819716.200000003</v>
      </c>
      <c r="F691" s="40">
        <f>VLOOKUP(A691,'DATOS GENERALES'!A:B,2,0)</f>
        <v>2.11</v>
      </c>
      <c r="G691" s="36">
        <f t="shared" si="50"/>
        <v>2.1002939999999999</v>
      </c>
      <c r="H691" s="38">
        <f t="shared" si="51"/>
        <v>17530743.886332106</v>
      </c>
      <c r="I691" s="38">
        <f t="shared" si="52"/>
        <v>19288972.313667897</v>
      </c>
      <c r="J691" s="38">
        <v>2741589.5889444551</v>
      </c>
      <c r="K691" s="38">
        <f t="shared" si="53"/>
        <v>16547382.724723442</v>
      </c>
      <c r="L691" s="41">
        <f>VLOOKUP(INDICADORES!$B$21,'DATOS GENERALES'!$K:$M,3,0)*E691</f>
        <v>250595.95649280079</v>
      </c>
      <c r="M691" s="38">
        <f t="shared" si="54"/>
        <v>16296786.768230641</v>
      </c>
      <c r="N691" s="36"/>
      <c r="O691" s="36"/>
      <c r="P691" s="36"/>
    </row>
    <row r="692" spans="1:16" x14ac:dyDescent="0.25">
      <c r="A692" s="36">
        <v>1689</v>
      </c>
      <c r="B692" s="37">
        <v>43556</v>
      </c>
      <c r="C692" s="36" t="s">
        <v>195</v>
      </c>
      <c r="D692" s="36"/>
      <c r="E692" s="38">
        <v>36819716.200000003</v>
      </c>
      <c r="F692" s="40">
        <f>VLOOKUP(A692,'DATOS GENERALES'!A:B,2,0)</f>
        <v>2.11</v>
      </c>
      <c r="G692" s="36">
        <f t="shared" si="50"/>
        <v>2.1002939999999999</v>
      </c>
      <c r="H692" s="38">
        <f t="shared" si="51"/>
        <v>17530743.886332106</v>
      </c>
      <c r="I692" s="38">
        <f t="shared" si="52"/>
        <v>19288972.313667897</v>
      </c>
      <c r="J692" s="38">
        <v>2818560.7260377691</v>
      </c>
      <c r="K692" s="38">
        <f t="shared" si="53"/>
        <v>16470411.587630128</v>
      </c>
      <c r="L692" s="41">
        <f>VLOOKUP(INDICADORES!$B$21,'DATOS GENERALES'!$K:$M,3,0)*E692</f>
        <v>250595.95649280079</v>
      </c>
      <c r="M692" s="38">
        <f t="shared" si="54"/>
        <v>16219815.631137328</v>
      </c>
      <c r="N692" s="36"/>
      <c r="O692" s="36"/>
      <c r="P692" s="36"/>
    </row>
    <row r="693" spans="1:16" x14ac:dyDescent="0.25">
      <c r="A693" s="36">
        <v>1689</v>
      </c>
      <c r="B693" s="37">
        <v>43586</v>
      </c>
      <c r="C693" s="36" t="s">
        <v>195</v>
      </c>
      <c r="D693" s="36"/>
      <c r="E693" s="38">
        <v>36819716.200000003</v>
      </c>
      <c r="F693" s="40">
        <f>VLOOKUP(A693,'DATOS GENERALES'!A:B,2,0)</f>
        <v>2.11</v>
      </c>
      <c r="G693" s="36">
        <f t="shared" si="50"/>
        <v>2.1002939999999999</v>
      </c>
      <c r="H693" s="38">
        <f t="shared" si="51"/>
        <v>17530743.886332106</v>
      </c>
      <c r="I693" s="38">
        <f t="shared" si="52"/>
        <v>19288972.313667897</v>
      </c>
      <c r="J693" s="38">
        <v>2325115.484499108</v>
      </c>
      <c r="K693" s="38">
        <f t="shared" si="53"/>
        <v>16963856.829168789</v>
      </c>
      <c r="L693" s="41">
        <f>VLOOKUP(INDICADORES!$B$21,'DATOS GENERALES'!$K:$M,3,0)*E693</f>
        <v>250595.95649280079</v>
      </c>
      <c r="M693" s="38">
        <f t="shared" si="54"/>
        <v>16713260.872675989</v>
      </c>
      <c r="N693" s="36"/>
      <c r="O693" s="36"/>
      <c r="P693" s="36"/>
    </row>
    <row r="694" spans="1:16" x14ac:dyDescent="0.25">
      <c r="A694" s="36">
        <v>1689</v>
      </c>
      <c r="B694" s="37">
        <v>43617</v>
      </c>
      <c r="C694" s="36" t="s">
        <v>195</v>
      </c>
      <c r="D694" s="36"/>
      <c r="E694" s="38">
        <v>36819716.200000003</v>
      </c>
      <c r="F694" s="40">
        <f>VLOOKUP(A694,'DATOS GENERALES'!A:B,2,0)</f>
        <v>2.11</v>
      </c>
      <c r="G694" s="36">
        <f t="shared" si="50"/>
        <v>2.1002939999999999</v>
      </c>
      <c r="H694" s="38">
        <f t="shared" si="51"/>
        <v>17530743.886332106</v>
      </c>
      <c r="I694" s="38">
        <f t="shared" si="52"/>
        <v>19288972.313667897</v>
      </c>
      <c r="J694" s="38">
        <v>3126735.820721142</v>
      </c>
      <c r="K694" s="38">
        <f t="shared" si="53"/>
        <v>16162236.492946755</v>
      </c>
      <c r="L694" s="41">
        <f>VLOOKUP(INDICADORES!$B$21,'DATOS GENERALES'!$K:$M,3,0)*E694</f>
        <v>250595.95649280079</v>
      </c>
      <c r="M694" s="38">
        <f t="shared" si="54"/>
        <v>15911640.536453955</v>
      </c>
      <c r="N694" s="36"/>
      <c r="O694" s="36"/>
      <c r="P694" s="36"/>
    </row>
    <row r="695" spans="1:16" x14ac:dyDescent="0.25">
      <c r="A695" s="36">
        <v>1689</v>
      </c>
      <c r="B695" s="37">
        <v>43647</v>
      </c>
      <c r="C695" s="36" t="s">
        <v>195</v>
      </c>
      <c r="D695" s="36"/>
      <c r="E695" s="38">
        <v>36819716.200000003</v>
      </c>
      <c r="F695" s="40">
        <f>VLOOKUP(A695,'DATOS GENERALES'!A:B,2,0)</f>
        <v>2.11</v>
      </c>
      <c r="G695" s="36">
        <f t="shared" si="50"/>
        <v>2.1002939999999999</v>
      </c>
      <c r="H695" s="38">
        <f t="shared" si="51"/>
        <v>17530743.886332106</v>
      </c>
      <c r="I695" s="38">
        <f t="shared" si="52"/>
        <v>19288972.313667897</v>
      </c>
      <c r="J695" s="38">
        <v>4662885.5719172023</v>
      </c>
      <c r="K695" s="38">
        <f t="shared" si="53"/>
        <v>14626086.741750695</v>
      </c>
      <c r="L695" s="41">
        <f>VLOOKUP(INDICADORES!$B$21,'DATOS GENERALES'!$K:$M,3,0)*E695</f>
        <v>250595.95649280079</v>
      </c>
      <c r="M695" s="38">
        <f t="shared" si="54"/>
        <v>14375490.785257895</v>
      </c>
      <c r="N695" s="36"/>
      <c r="O695" s="36"/>
      <c r="P695" s="36"/>
    </row>
    <row r="696" spans="1:16" x14ac:dyDescent="0.25">
      <c r="A696" s="36">
        <v>1689</v>
      </c>
      <c r="B696" s="37">
        <v>43678</v>
      </c>
      <c r="C696" s="36" t="s">
        <v>195</v>
      </c>
      <c r="D696" s="36"/>
      <c r="E696" s="38">
        <v>36819716.200000003</v>
      </c>
      <c r="F696" s="40">
        <f>VLOOKUP(A696,'DATOS GENERALES'!A:B,2,0)</f>
        <v>2.11</v>
      </c>
      <c r="G696" s="36">
        <f t="shared" si="50"/>
        <v>2.1002939999999999</v>
      </c>
      <c r="H696" s="38">
        <f t="shared" si="51"/>
        <v>17530743.886332106</v>
      </c>
      <c r="I696" s="38">
        <f t="shared" si="52"/>
        <v>19288972.313667897</v>
      </c>
      <c r="J696" s="38">
        <v>4588448.4591244496</v>
      </c>
      <c r="K696" s="38">
        <f t="shared" si="53"/>
        <v>14700523.854543447</v>
      </c>
      <c r="L696" s="41">
        <f>VLOOKUP(INDICADORES!$B$21,'DATOS GENERALES'!$K:$M,3,0)*E696</f>
        <v>250595.95649280079</v>
      </c>
      <c r="M696" s="38">
        <f t="shared" si="54"/>
        <v>14449927.898050647</v>
      </c>
      <c r="N696" s="36"/>
      <c r="O696" s="36"/>
      <c r="P696" s="36"/>
    </row>
    <row r="697" spans="1:16" x14ac:dyDescent="0.25">
      <c r="A697" s="36">
        <v>1689</v>
      </c>
      <c r="B697" s="37">
        <v>43709</v>
      </c>
      <c r="C697" s="36" t="s">
        <v>195</v>
      </c>
      <c r="D697" s="36"/>
      <c r="E697" s="38">
        <v>28923787.600000001</v>
      </c>
      <c r="F697" s="40">
        <f>VLOOKUP(A697,'DATOS GENERALES'!A:B,2,0)</f>
        <v>2.11</v>
      </c>
      <c r="G697" s="36">
        <f t="shared" si="50"/>
        <v>2.1002939999999999</v>
      </c>
      <c r="H697" s="38">
        <f t="shared" si="51"/>
        <v>13771304.207887087</v>
      </c>
      <c r="I697" s="38">
        <f t="shared" si="52"/>
        <v>15152483.392112914</v>
      </c>
      <c r="J697" s="38">
        <v>4073667.0512571894</v>
      </c>
      <c r="K697" s="38">
        <f t="shared" si="53"/>
        <v>11078816.340855725</v>
      </c>
      <c r="L697" s="41">
        <f>VLOOKUP(INDICADORES!$B$21,'DATOS GENERALES'!$K:$M,3,0)*E697</f>
        <v>196856.05884753156</v>
      </c>
      <c r="M697" s="38">
        <f t="shared" si="54"/>
        <v>10881960.282008193</v>
      </c>
      <c r="N697" s="36"/>
      <c r="O697" s="36"/>
      <c r="P697" s="36"/>
    </row>
    <row r="698" spans="1:16" x14ac:dyDescent="0.25">
      <c r="A698" s="36">
        <v>1689</v>
      </c>
      <c r="B698" s="37">
        <v>43739</v>
      </c>
      <c r="C698" s="36" t="s">
        <v>195</v>
      </c>
      <c r="D698" s="36"/>
      <c r="E698" s="38">
        <v>13258047.600000001</v>
      </c>
      <c r="F698" s="40">
        <f>VLOOKUP(A698,'DATOS GENERALES'!A:B,2,0)</f>
        <v>2.11</v>
      </c>
      <c r="G698" s="36">
        <f t="shared" si="50"/>
        <v>2.1002939999999999</v>
      </c>
      <c r="H698" s="38">
        <f t="shared" si="51"/>
        <v>6312472.2538844571</v>
      </c>
      <c r="I698" s="38">
        <f t="shared" si="52"/>
        <v>6945575.3461155444</v>
      </c>
      <c r="J698" s="38">
        <v>2019272.8078534727</v>
      </c>
      <c r="K698" s="38">
        <f t="shared" si="53"/>
        <v>4926302.538262072</v>
      </c>
      <c r="L698" s="41">
        <f>VLOOKUP(INDICADORES!$B$21,'DATOS GENERALES'!$K:$M,3,0)*E698</f>
        <v>90234.620535969312</v>
      </c>
      <c r="M698" s="38">
        <f t="shared" si="54"/>
        <v>4836067.9177261023</v>
      </c>
      <c r="N698" s="36"/>
      <c r="O698" s="36"/>
      <c r="P698" s="36"/>
    </row>
    <row r="699" spans="1:16" x14ac:dyDescent="0.25">
      <c r="A699" s="36">
        <v>1689</v>
      </c>
      <c r="B699" s="37">
        <v>43770</v>
      </c>
      <c r="C699" s="36" t="s">
        <v>195</v>
      </c>
      <c r="D699" s="36"/>
      <c r="E699" s="38">
        <v>13258047.600000001</v>
      </c>
      <c r="F699" s="40">
        <f>VLOOKUP(A699,'DATOS GENERALES'!A:B,2,0)</f>
        <v>2.11</v>
      </c>
      <c r="G699" s="36">
        <f t="shared" si="50"/>
        <v>2.1002939999999999</v>
      </c>
      <c r="H699" s="38">
        <f t="shared" si="51"/>
        <v>6312472.2538844571</v>
      </c>
      <c r="I699" s="38">
        <f t="shared" si="52"/>
        <v>6945575.3461155444</v>
      </c>
      <c r="J699" s="38">
        <v>2700628.6664854456</v>
      </c>
      <c r="K699" s="38">
        <f t="shared" si="53"/>
        <v>4244946.6796300989</v>
      </c>
      <c r="L699" s="41">
        <f>VLOOKUP(INDICADORES!$B$21,'DATOS GENERALES'!$K:$M,3,0)*E699</f>
        <v>90234.620535969312</v>
      </c>
      <c r="M699" s="38">
        <f t="shared" si="54"/>
        <v>4154712.0590941296</v>
      </c>
      <c r="N699" s="36"/>
      <c r="O699" s="36"/>
      <c r="P699" s="36"/>
    </row>
    <row r="700" spans="1:16" x14ac:dyDescent="0.25">
      <c r="A700" s="36">
        <v>1701</v>
      </c>
      <c r="B700" s="37">
        <v>43466</v>
      </c>
      <c r="C700" s="36" t="s">
        <v>195</v>
      </c>
      <c r="D700" s="36"/>
      <c r="E700" s="38">
        <v>43079526.100000001</v>
      </c>
      <c r="F700" s="40">
        <f>VLOOKUP(A700,'DATOS GENERALES'!A:B,2,0)</f>
        <v>2.1800000000000002</v>
      </c>
      <c r="G700" s="36">
        <f t="shared" si="50"/>
        <v>2.169972</v>
      </c>
      <c r="H700" s="38">
        <f t="shared" si="51"/>
        <v>19852572.337338917</v>
      </c>
      <c r="I700" s="38">
        <f t="shared" si="52"/>
        <v>23226953.762661085</v>
      </c>
      <c r="J700" s="38">
        <v>4356018.561664992</v>
      </c>
      <c r="K700" s="38">
        <f t="shared" si="53"/>
        <v>18870935.200996093</v>
      </c>
      <c r="L700" s="41">
        <f>VLOOKUP(INDICADORES!$B$21,'DATOS GENERALES'!$K:$M,3,0)*E700</f>
        <v>293200.38725029811</v>
      </c>
      <c r="M700" s="38">
        <f t="shared" si="54"/>
        <v>18577734.813745797</v>
      </c>
      <c r="N700" s="36"/>
      <c r="O700" s="36"/>
      <c r="P700" s="36"/>
    </row>
    <row r="701" spans="1:16" x14ac:dyDescent="0.25">
      <c r="A701" s="36">
        <v>1701</v>
      </c>
      <c r="B701" s="37">
        <v>43497</v>
      </c>
      <c r="C701" s="36" t="s">
        <v>195</v>
      </c>
      <c r="D701" s="36"/>
      <c r="E701" s="38">
        <v>39433007.350000001</v>
      </c>
      <c r="F701" s="40">
        <f>VLOOKUP(A701,'DATOS GENERALES'!A:B,2,0)</f>
        <v>2.1800000000000002</v>
      </c>
      <c r="G701" s="36">
        <f t="shared" si="50"/>
        <v>2.169972</v>
      </c>
      <c r="H701" s="38">
        <f t="shared" si="51"/>
        <v>18172127.267079946</v>
      </c>
      <c r="I701" s="38">
        <f t="shared" si="52"/>
        <v>21260880.082920056</v>
      </c>
      <c r="J701" s="38">
        <v>3928047.9133958346</v>
      </c>
      <c r="K701" s="38">
        <f t="shared" si="53"/>
        <v>17332832.169524223</v>
      </c>
      <c r="L701" s="41">
        <f>VLOOKUP(INDICADORES!$B$21,'DATOS GENERALES'!$K:$M,3,0)*E701</f>
        <v>268382.08476633759</v>
      </c>
      <c r="M701" s="38">
        <f t="shared" si="54"/>
        <v>17064450.084757887</v>
      </c>
      <c r="N701" s="36"/>
      <c r="O701" s="36"/>
      <c r="P701" s="36"/>
    </row>
    <row r="702" spans="1:16" x14ac:dyDescent="0.25">
      <c r="A702" s="36">
        <v>1701</v>
      </c>
      <c r="B702" s="37">
        <v>43525</v>
      </c>
      <c r="C702" s="36" t="s">
        <v>195</v>
      </c>
      <c r="D702" s="36"/>
      <c r="E702" s="38">
        <v>39433007.350000001</v>
      </c>
      <c r="F702" s="40">
        <f>VLOOKUP(A702,'DATOS GENERALES'!A:B,2,0)</f>
        <v>2.1800000000000002</v>
      </c>
      <c r="G702" s="36">
        <f t="shared" si="50"/>
        <v>2.169972</v>
      </c>
      <c r="H702" s="38">
        <f t="shared" si="51"/>
        <v>18172127.267079946</v>
      </c>
      <c r="I702" s="38">
        <f t="shared" si="52"/>
        <v>21260880.082920056</v>
      </c>
      <c r="J702" s="38">
        <v>2841893.9462827207</v>
      </c>
      <c r="K702" s="38">
        <f t="shared" si="53"/>
        <v>18418986.136637334</v>
      </c>
      <c r="L702" s="41">
        <f>VLOOKUP(INDICADORES!$B$21,'DATOS GENERALES'!$K:$M,3,0)*E702</f>
        <v>268382.08476633759</v>
      </c>
      <c r="M702" s="38">
        <f t="shared" si="54"/>
        <v>18150604.051870998</v>
      </c>
      <c r="N702" s="36"/>
      <c r="O702" s="36"/>
      <c r="P702" s="36"/>
    </row>
    <row r="703" spans="1:16" x14ac:dyDescent="0.25">
      <c r="A703" s="36">
        <v>1701</v>
      </c>
      <c r="B703" s="37">
        <v>43556</v>
      </c>
      <c r="C703" s="36" t="s">
        <v>195</v>
      </c>
      <c r="D703" s="36"/>
      <c r="E703" s="38">
        <v>39433007.350000001</v>
      </c>
      <c r="F703" s="40">
        <f>VLOOKUP(A703,'DATOS GENERALES'!A:B,2,0)</f>
        <v>2.1800000000000002</v>
      </c>
      <c r="G703" s="36">
        <f t="shared" si="50"/>
        <v>2.169972</v>
      </c>
      <c r="H703" s="38">
        <f t="shared" si="51"/>
        <v>18172127.267079946</v>
      </c>
      <c r="I703" s="38">
        <f t="shared" si="52"/>
        <v>21260880.082920056</v>
      </c>
      <c r="J703" s="38">
        <v>2921681.1651378251</v>
      </c>
      <c r="K703" s="38">
        <f t="shared" si="53"/>
        <v>18339198.917782232</v>
      </c>
      <c r="L703" s="41">
        <f>VLOOKUP(INDICADORES!$B$21,'DATOS GENERALES'!$K:$M,3,0)*E703</f>
        <v>268382.08476633759</v>
      </c>
      <c r="M703" s="38">
        <f t="shared" si="54"/>
        <v>18070816.833015896</v>
      </c>
      <c r="N703" s="36"/>
      <c r="O703" s="36"/>
      <c r="P703" s="36"/>
    </row>
    <row r="704" spans="1:16" x14ac:dyDescent="0.25">
      <c r="A704" s="36">
        <v>1701</v>
      </c>
      <c r="B704" s="37">
        <v>43586</v>
      </c>
      <c r="C704" s="36" t="s">
        <v>195</v>
      </c>
      <c r="D704" s="36"/>
      <c r="E704" s="38">
        <v>39433007.350000001</v>
      </c>
      <c r="F704" s="40">
        <f>VLOOKUP(A704,'DATOS GENERALES'!A:B,2,0)</f>
        <v>2.1800000000000002</v>
      </c>
      <c r="G704" s="36">
        <f t="shared" si="50"/>
        <v>2.169972</v>
      </c>
      <c r="H704" s="38">
        <f t="shared" si="51"/>
        <v>18172127.267079946</v>
      </c>
      <c r="I704" s="38">
        <f t="shared" si="52"/>
        <v>21260880.082920056</v>
      </c>
      <c r="J704" s="38">
        <v>2410182.6350859054</v>
      </c>
      <c r="K704" s="38">
        <f t="shared" si="53"/>
        <v>18850697.447834149</v>
      </c>
      <c r="L704" s="41">
        <f>VLOOKUP(INDICADORES!$B$21,'DATOS GENERALES'!$K:$M,3,0)*E704</f>
        <v>268382.08476633759</v>
      </c>
      <c r="M704" s="38">
        <f t="shared" si="54"/>
        <v>18582315.363067813</v>
      </c>
      <c r="N704" s="36"/>
      <c r="O704" s="36"/>
      <c r="P704" s="36"/>
    </row>
    <row r="705" spans="1:16" x14ac:dyDescent="0.25">
      <c r="A705" s="36">
        <v>1701</v>
      </c>
      <c r="B705" s="37">
        <v>43617</v>
      </c>
      <c r="C705" s="36" t="s">
        <v>195</v>
      </c>
      <c r="D705" s="36"/>
      <c r="E705" s="38">
        <v>22497185.125</v>
      </c>
      <c r="F705" s="40">
        <f>VLOOKUP(A705,'DATOS GENERALES'!A:B,2,0)</f>
        <v>2.1800000000000002</v>
      </c>
      <c r="G705" s="36">
        <f t="shared" si="50"/>
        <v>2.169972</v>
      </c>
      <c r="H705" s="38">
        <f t="shared" si="51"/>
        <v>10367500.191246707</v>
      </c>
      <c r="I705" s="38">
        <f t="shared" si="52"/>
        <v>12129684.933753293</v>
      </c>
      <c r="J705" s="38">
        <v>1849119.1491638832</v>
      </c>
      <c r="K705" s="38">
        <f t="shared" si="53"/>
        <v>10280565.78458941</v>
      </c>
      <c r="L705" s="41">
        <f>VLOOKUP(INDICADORES!$B$21,'DATOS GENERALES'!$K:$M,3,0)*E705</f>
        <v>153116.43343940235</v>
      </c>
      <c r="M705" s="38">
        <f t="shared" si="54"/>
        <v>10127449.351150008</v>
      </c>
      <c r="N705" s="36"/>
      <c r="O705" s="36"/>
      <c r="P705" s="36"/>
    </row>
    <row r="706" spans="1:16" x14ac:dyDescent="0.25">
      <c r="A706" s="36">
        <v>1701</v>
      </c>
      <c r="B706" s="37">
        <v>43647</v>
      </c>
      <c r="C706" s="36" t="s">
        <v>195</v>
      </c>
      <c r="D706" s="36"/>
      <c r="E706" s="38">
        <v>22497185.125</v>
      </c>
      <c r="F706" s="40">
        <f>VLOOKUP(A706,'DATOS GENERALES'!A:B,2,0)</f>
        <v>2.1800000000000002</v>
      </c>
      <c r="G706" s="36">
        <f t="shared" si="50"/>
        <v>2.169972</v>
      </c>
      <c r="H706" s="38">
        <f t="shared" si="51"/>
        <v>10367500.191246707</v>
      </c>
      <c r="I706" s="38">
        <f t="shared" si="52"/>
        <v>12129684.933753293</v>
      </c>
      <c r="J706" s="38">
        <v>2757582.1865895516</v>
      </c>
      <c r="K706" s="38">
        <f t="shared" si="53"/>
        <v>9372102.7471637409</v>
      </c>
      <c r="L706" s="41">
        <f>VLOOKUP(INDICADORES!$B$21,'DATOS GENERALES'!$K:$M,3,0)*E706</f>
        <v>153116.43343940235</v>
      </c>
      <c r="M706" s="38">
        <f t="shared" si="54"/>
        <v>9218986.313724339</v>
      </c>
      <c r="N706" s="36"/>
      <c r="O706" s="36"/>
      <c r="P706" s="36"/>
    </row>
    <row r="707" spans="1:16" x14ac:dyDescent="0.25">
      <c r="A707" s="36">
        <v>1701</v>
      </c>
      <c r="B707" s="37">
        <v>43678</v>
      </c>
      <c r="C707" s="36" t="s">
        <v>195</v>
      </c>
      <c r="D707" s="36"/>
      <c r="E707" s="38">
        <v>22497185.125</v>
      </c>
      <c r="F707" s="40">
        <f>VLOOKUP(A707,'DATOS GENERALES'!A:B,2,0)</f>
        <v>2.1800000000000002</v>
      </c>
      <c r="G707" s="36">
        <f t="shared" ref="G707:G770" si="55">F707*0.9954</f>
        <v>2.169972</v>
      </c>
      <c r="H707" s="38">
        <f t="shared" ref="H707:H770" si="56">E707/G707</f>
        <v>10367500.191246707</v>
      </c>
      <c r="I707" s="38">
        <f t="shared" ref="I707:I770" si="57">E707-H707</f>
        <v>12129684.933753293</v>
      </c>
      <c r="J707" s="38">
        <v>2713560.8497815686</v>
      </c>
      <c r="K707" s="38">
        <f t="shared" ref="K707:K770" si="58">IFERROR(I707-J707,"")</f>
        <v>9416124.0839717239</v>
      </c>
      <c r="L707" s="41">
        <f>VLOOKUP(INDICADORES!$B$21,'DATOS GENERALES'!$K:$M,3,0)*E707</f>
        <v>153116.43343940235</v>
      </c>
      <c r="M707" s="38">
        <f t="shared" ref="M707:M770" si="59">IFERROR(K707-L707,"")</f>
        <v>9263007.650532322</v>
      </c>
      <c r="N707" s="36"/>
      <c r="O707" s="36"/>
      <c r="P707" s="36"/>
    </row>
    <row r="708" spans="1:16" x14ac:dyDescent="0.25">
      <c r="A708" s="36">
        <v>1701</v>
      </c>
      <c r="B708" s="37">
        <v>43709</v>
      </c>
      <c r="C708" s="36" t="s">
        <v>195</v>
      </c>
      <c r="D708" s="36"/>
      <c r="E708" s="38">
        <v>22497185.125</v>
      </c>
      <c r="F708" s="40">
        <f>VLOOKUP(A708,'DATOS GENERALES'!A:B,2,0)</f>
        <v>2.1800000000000002</v>
      </c>
      <c r="G708" s="36">
        <f t="shared" si="55"/>
        <v>2.169972</v>
      </c>
      <c r="H708" s="38">
        <f t="shared" si="56"/>
        <v>10367500.191246707</v>
      </c>
      <c r="I708" s="38">
        <f t="shared" si="57"/>
        <v>12129684.933753293</v>
      </c>
      <c r="J708" s="38">
        <v>3066793.3331104727</v>
      </c>
      <c r="K708" s="38">
        <f t="shared" si="58"/>
        <v>9062891.6006428208</v>
      </c>
      <c r="L708" s="41">
        <f>VLOOKUP(INDICADORES!$B$21,'DATOS GENERALES'!$K:$M,3,0)*E708</f>
        <v>153116.43343940235</v>
      </c>
      <c r="M708" s="38">
        <f t="shared" si="59"/>
        <v>8909775.1672034189</v>
      </c>
      <c r="N708" s="36"/>
      <c r="O708" s="36"/>
      <c r="P708" s="36"/>
    </row>
    <row r="709" spans="1:16" x14ac:dyDescent="0.25">
      <c r="A709" s="36">
        <v>1701</v>
      </c>
      <c r="B709" s="37">
        <v>43739</v>
      </c>
      <c r="C709" s="36" t="s">
        <v>195</v>
      </c>
      <c r="D709" s="36"/>
      <c r="E709" s="38">
        <v>22497185.125</v>
      </c>
      <c r="F709" s="40">
        <f>VLOOKUP(A709,'DATOS GENERALES'!A:B,2,0)</f>
        <v>2.1800000000000002</v>
      </c>
      <c r="G709" s="36">
        <f t="shared" si="55"/>
        <v>2.169972</v>
      </c>
      <c r="H709" s="38">
        <f t="shared" si="56"/>
        <v>10367500.191246707</v>
      </c>
      <c r="I709" s="38">
        <f t="shared" si="57"/>
        <v>12129684.933753293</v>
      </c>
      <c r="J709" s="38">
        <v>3316420.3151495298</v>
      </c>
      <c r="K709" s="38">
        <f t="shared" si="58"/>
        <v>8813264.6186037622</v>
      </c>
      <c r="L709" s="41">
        <f>VLOOKUP(INDICADORES!$B$21,'DATOS GENERALES'!$K:$M,3,0)*E709</f>
        <v>153116.43343940235</v>
      </c>
      <c r="M709" s="38">
        <f t="shared" si="59"/>
        <v>8660148.1851643603</v>
      </c>
      <c r="N709" s="36"/>
      <c r="O709" s="36"/>
      <c r="P709" s="36"/>
    </row>
    <row r="710" spans="1:16" x14ac:dyDescent="0.25">
      <c r="A710" s="36">
        <v>1701</v>
      </c>
      <c r="B710" s="37">
        <v>43770</v>
      </c>
      <c r="C710" s="36" t="s">
        <v>195</v>
      </c>
      <c r="D710" s="36"/>
      <c r="E710" s="38">
        <v>22497185.125</v>
      </c>
      <c r="F710" s="40">
        <f>VLOOKUP(A710,'DATOS GENERALES'!A:B,2,0)</f>
        <v>2.1800000000000002</v>
      </c>
      <c r="G710" s="36">
        <f t="shared" si="55"/>
        <v>2.169972</v>
      </c>
      <c r="H710" s="38">
        <f t="shared" si="56"/>
        <v>10367500.191246707</v>
      </c>
      <c r="I710" s="38">
        <f t="shared" si="57"/>
        <v>12129684.933753293</v>
      </c>
      <c r="J710" s="38">
        <v>4435467.9260641197</v>
      </c>
      <c r="K710" s="38">
        <f t="shared" si="58"/>
        <v>7694217.0076891733</v>
      </c>
      <c r="L710" s="41">
        <f>VLOOKUP(INDICADORES!$B$21,'DATOS GENERALES'!$K:$M,3,0)*E710</f>
        <v>153116.43343940235</v>
      </c>
      <c r="M710" s="38">
        <f t="shared" si="59"/>
        <v>7541100.5742497714</v>
      </c>
      <c r="N710" s="36"/>
      <c r="O710" s="36"/>
      <c r="P710" s="36"/>
    </row>
    <row r="711" spans="1:16" x14ac:dyDescent="0.25">
      <c r="A711" s="36">
        <v>1701</v>
      </c>
      <c r="B711" s="37">
        <v>43800</v>
      </c>
      <c r="C711" s="36" t="s">
        <v>195</v>
      </c>
      <c r="D711" s="36"/>
      <c r="E711" s="38">
        <v>22497185.125</v>
      </c>
      <c r="F711" s="40">
        <f>VLOOKUP(A711,'DATOS GENERALES'!A:B,2,0)</f>
        <v>2.1800000000000002</v>
      </c>
      <c r="G711" s="36">
        <f t="shared" si="55"/>
        <v>2.169972</v>
      </c>
      <c r="H711" s="38">
        <f t="shared" si="56"/>
        <v>10367500.191246707</v>
      </c>
      <c r="I711" s="38">
        <f t="shared" si="57"/>
        <v>12129684.933753293</v>
      </c>
      <c r="J711" s="38">
        <v>3734608.0804269849</v>
      </c>
      <c r="K711" s="38">
        <f t="shared" si="58"/>
        <v>8395076.8533263076</v>
      </c>
      <c r="L711" s="41">
        <f>VLOOKUP(INDICADORES!$B$21,'DATOS GENERALES'!$K:$M,3,0)*E711</f>
        <v>153116.43343940235</v>
      </c>
      <c r="M711" s="38">
        <f t="shared" si="59"/>
        <v>8241960.4198869057</v>
      </c>
      <c r="N711" s="36"/>
      <c r="O711" s="36"/>
      <c r="P711" s="36"/>
    </row>
    <row r="712" spans="1:16" x14ac:dyDescent="0.25">
      <c r="A712" s="36">
        <v>1701</v>
      </c>
      <c r="B712" s="37">
        <v>43831</v>
      </c>
      <c r="C712" s="36" t="s">
        <v>195</v>
      </c>
      <c r="D712" s="36"/>
      <c r="E712" s="38">
        <v>3497185.125</v>
      </c>
      <c r="F712" s="40">
        <f>VLOOKUP(A712,'DATOS GENERALES'!A:B,2,0)</f>
        <v>2.1800000000000002</v>
      </c>
      <c r="G712" s="36">
        <f t="shared" si="55"/>
        <v>2.169972</v>
      </c>
      <c r="H712" s="38">
        <f t="shared" si="56"/>
        <v>1611626.8435721751</v>
      </c>
      <c r="I712" s="38">
        <f t="shared" si="57"/>
        <v>1885558.2814278249</v>
      </c>
      <c r="J712" s="38" t="s">
        <v>213</v>
      </c>
      <c r="K712" s="38" t="str">
        <f t="shared" si="58"/>
        <v/>
      </c>
      <c r="L712" s="41">
        <f>VLOOKUP(INDICADORES!$B$21,'DATOS GENERALES'!$K:$M,3,0)*E712</f>
        <v>23801.933906045968</v>
      </c>
      <c r="M712" s="38" t="str">
        <f t="shared" si="59"/>
        <v/>
      </c>
      <c r="N712" s="36"/>
      <c r="O712" s="36"/>
      <c r="P712" s="36"/>
    </row>
    <row r="713" spans="1:16" x14ac:dyDescent="0.25">
      <c r="A713" s="36">
        <v>1751</v>
      </c>
      <c r="B713" s="37">
        <v>43466</v>
      </c>
      <c r="C713" s="36" t="s">
        <v>195</v>
      </c>
      <c r="D713" s="36"/>
      <c r="E713" s="38">
        <v>28006691.09375</v>
      </c>
      <c r="F713" s="40">
        <f>VLOOKUP(A713,'DATOS GENERALES'!A:B,2,0)</f>
        <v>2</v>
      </c>
      <c r="G713" s="36">
        <f t="shared" si="55"/>
        <v>1.9907999999999999</v>
      </c>
      <c r="H713" s="38">
        <f t="shared" si="56"/>
        <v>14068058.616510952</v>
      </c>
      <c r="I713" s="38">
        <f t="shared" si="57"/>
        <v>13938632.477239048</v>
      </c>
      <c r="J713" s="38">
        <v>3086790.1357475691</v>
      </c>
      <c r="K713" s="38">
        <f t="shared" si="58"/>
        <v>10851842.341491479</v>
      </c>
      <c r="L713" s="41">
        <f>VLOOKUP(INDICADORES!$B$21,'DATOS GENERALES'!$K:$M,3,0)*E713</f>
        <v>190614.27591439951</v>
      </c>
      <c r="M713" s="38">
        <f t="shared" si="59"/>
        <v>10661228.06557708</v>
      </c>
      <c r="N713" s="36"/>
      <c r="O713" s="36"/>
      <c r="P713" s="36"/>
    </row>
    <row r="714" spans="1:16" x14ac:dyDescent="0.25">
      <c r="A714" s="36">
        <v>1751</v>
      </c>
      <c r="B714" s="37">
        <v>43497</v>
      </c>
      <c r="C714" s="36" t="s">
        <v>195</v>
      </c>
      <c r="D714" s="36"/>
      <c r="E714" s="38">
        <v>28006691.09375</v>
      </c>
      <c r="F714" s="40">
        <f>VLOOKUP(A714,'DATOS GENERALES'!A:B,2,0)</f>
        <v>2</v>
      </c>
      <c r="G714" s="36">
        <f t="shared" si="55"/>
        <v>1.9907999999999999</v>
      </c>
      <c r="H714" s="38">
        <f t="shared" si="56"/>
        <v>14068058.616510952</v>
      </c>
      <c r="I714" s="38">
        <f t="shared" si="57"/>
        <v>13938632.477239048</v>
      </c>
      <c r="J714" s="38">
        <v>3040921.2681568344</v>
      </c>
      <c r="K714" s="38">
        <f t="shared" si="58"/>
        <v>10897711.209082214</v>
      </c>
      <c r="L714" s="41">
        <f>VLOOKUP(INDICADORES!$B$21,'DATOS GENERALES'!$K:$M,3,0)*E714</f>
        <v>190614.27591439951</v>
      </c>
      <c r="M714" s="38">
        <f t="shared" si="59"/>
        <v>10707096.933167815</v>
      </c>
      <c r="N714" s="36"/>
      <c r="O714" s="36"/>
      <c r="P714" s="36"/>
    </row>
    <row r="715" spans="1:16" x14ac:dyDescent="0.25">
      <c r="A715" s="36">
        <v>1758</v>
      </c>
      <c r="B715" s="37">
        <v>43466</v>
      </c>
      <c r="C715" s="36" t="s">
        <v>195</v>
      </c>
      <c r="D715" s="36"/>
      <c r="E715" s="38">
        <v>39944033.964749999</v>
      </c>
      <c r="F715" s="40">
        <f>VLOOKUP(A715,'DATOS GENERALES'!A:B,2,0)</f>
        <v>2.4300000000000002</v>
      </c>
      <c r="G715" s="36">
        <f t="shared" si="55"/>
        <v>2.418822</v>
      </c>
      <c r="H715" s="38">
        <f t="shared" si="56"/>
        <v>16513837.713047922</v>
      </c>
      <c r="I715" s="38">
        <f t="shared" si="57"/>
        <v>23430196.251702078</v>
      </c>
      <c r="J715" s="38">
        <v>3623438.936780239</v>
      </c>
      <c r="K715" s="38">
        <f t="shared" si="58"/>
        <v>19806757.314921837</v>
      </c>
      <c r="L715" s="41">
        <f>VLOOKUP(INDICADORES!$B$21,'DATOS GENERALES'!$K:$M,3,0)*E715</f>
        <v>271860.14534184395</v>
      </c>
      <c r="M715" s="38">
        <f t="shared" si="59"/>
        <v>19534897.169579994</v>
      </c>
      <c r="N715" s="36"/>
      <c r="O715" s="36"/>
      <c r="P715" s="36"/>
    </row>
    <row r="716" spans="1:16" x14ac:dyDescent="0.25">
      <c r="A716" s="36">
        <v>1758</v>
      </c>
      <c r="B716" s="37">
        <v>43497</v>
      </c>
      <c r="C716" s="36" t="s">
        <v>195</v>
      </c>
      <c r="D716" s="36"/>
      <c r="E716" s="38">
        <v>39944033.964749999</v>
      </c>
      <c r="F716" s="40">
        <f>VLOOKUP(A716,'DATOS GENERALES'!A:B,2,0)</f>
        <v>2.4300000000000002</v>
      </c>
      <c r="G716" s="36">
        <f t="shared" si="55"/>
        <v>2.418822</v>
      </c>
      <c r="H716" s="38">
        <f t="shared" si="56"/>
        <v>16513837.713047922</v>
      </c>
      <c r="I716" s="38">
        <f t="shared" si="57"/>
        <v>23430196.251702078</v>
      </c>
      <c r="J716" s="38">
        <v>3569595.612969683</v>
      </c>
      <c r="K716" s="38">
        <f t="shared" si="58"/>
        <v>19860600.638732396</v>
      </c>
      <c r="L716" s="41">
        <f>VLOOKUP(INDICADORES!$B$21,'DATOS GENERALES'!$K:$M,3,0)*E716</f>
        <v>271860.14534184395</v>
      </c>
      <c r="M716" s="38">
        <f t="shared" si="59"/>
        <v>19588740.493390553</v>
      </c>
      <c r="N716" s="36"/>
      <c r="O716" s="36"/>
      <c r="P716" s="36"/>
    </row>
    <row r="717" spans="1:16" x14ac:dyDescent="0.25">
      <c r="A717" s="36">
        <v>1758</v>
      </c>
      <c r="B717" s="37">
        <v>43525</v>
      </c>
      <c r="C717" s="36" t="s">
        <v>195</v>
      </c>
      <c r="D717" s="36"/>
      <c r="E717" s="38">
        <v>39944033.964749999</v>
      </c>
      <c r="F717" s="40">
        <f>VLOOKUP(A717,'DATOS GENERALES'!A:B,2,0)</f>
        <v>2.4300000000000002</v>
      </c>
      <c r="G717" s="36">
        <f t="shared" si="55"/>
        <v>2.418822</v>
      </c>
      <c r="H717" s="38">
        <f t="shared" si="56"/>
        <v>16513837.713047922</v>
      </c>
      <c r="I717" s="38">
        <f t="shared" si="57"/>
        <v>23430196.251702078</v>
      </c>
      <c r="J717" s="38">
        <v>2582558.1527609117</v>
      </c>
      <c r="K717" s="38">
        <f t="shared" si="58"/>
        <v>20847638.098941166</v>
      </c>
      <c r="L717" s="41">
        <f>VLOOKUP(INDICADORES!$B$21,'DATOS GENERALES'!$K:$M,3,0)*E717</f>
        <v>271860.14534184395</v>
      </c>
      <c r="M717" s="38">
        <f t="shared" si="59"/>
        <v>20575777.953599323</v>
      </c>
      <c r="N717" s="36"/>
      <c r="O717" s="36"/>
      <c r="P717" s="36"/>
    </row>
    <row r="718" spans="1:16" x14ac:dyDescent="0.25">
      <c r="A718" s="36">
        <v>1758</v>
      </c>
      <c r="B718" s="37">
        <v>43556</v>
      </c>
      <c r="C718" s="36" t="s">
        <v>195</v>
      </c>
      <c r="D718" s="36"/>
      <c r="E718" s="38">
        <v>39944033.964749999</v>
      </c>
      <c r="F718" s="40">
        <f>VLOOKUP(A718,'DATOS GENERALES'!A:B,2,0)</f>
        <v>2.4300000000000002</v>
      </c>
      <c r="G718" s="36">
        <f t="shared" si="55"/>
        <v>2.418822</v>
      </c>
      <c r="H718" s="38">
        <f t="shared" si="56"/>
        <v>16513837.713047922</v>
      </c>
      <c r="I718" s="38">
        <f t="shared" si="57"/>
        <v>23430196.251702078</v>
      </c>
      <c r="J718" s="38">
        <v>2655064.4237320344</v>
      </c>
      <c r="K718" s="38">
        <f t="shared" si="58"/>
        <v>20775131.827970043</v>
      </c>
      <c r="L718" s="41">
        <f>VLOOKUP(INDICADORES!$B$21,'DATOS GENERALES'!$K:$M,3,0)*E718</f>
        <v>271860.14534184395</v>
      </c>
      <c r="M718" s="38">
        <f t="shared" si="59"/>
        <v>20503271.682628199</v>
      </c>
      <c r="N718" s="36"/>
      <c r="O718" s="36"/>
      <c r="P718" s="36"/>
    </row>
    <row r="719" spans="1:16" x14ac:dyDescent="0.25">
      <c r="A719" s="36">
        <v>1758</v>
      </c>
      <c r="B719" s="37">
        <v>43586</v>
      </c>
      <c r="C719" s="36" t="s">
        <v>195</v>
      </c>
      <c r="D719" s="36"/>
      <c r="E719" s="38">
        <v>39944033.964749999</v>
      </c>
      <c r="F719" s="40">
        <f>VLOOKUP(A719,'DATOS GENERALES'!A:B,2,0)</f>
        <v>2.4300000000000002</v>
      </c>
      <c r="G719" s="36">
        <f t="shared" si="55"/>
        <v>2.418822</v>
      </c>
      <c r="H719" s="38">
        <f t="shared" si="56"/>
        <v>16513837.713047922</v>
      </c>
      <c r="I719" s="38">
        <f t="shared" si="57"/>
        <v>23430196.251702078</v>
      </c>
      <c r="J719" s="38">
        <v>2190242.4691201532</v>
      </c>
      <c r="K719" s="38">
        <f t="shared" si="58"/>
        <v>21239953.782581925</v>
      </c>
      <c r="L719" s="41">
        <f>VLOOKUP(INDICADORES!$B$21,'DATOS GENERALES'!$K:$M,3,0)*E719</f>
        <v>271860.14534184395</v>
      </c>
      <c r="M719" s="38">
        <f t="shared" si="59"/>
        <v>20968093.637240082</v>
      </c>
      <c r="N719" s="36"/>
      <c r="O719" s="36"/>
      <c r="P719" s="36"/>
    </row>
    <row r="720" spans="1:16" x14ac:dyDescent="0.25">
      <c r="A720" s="36">
        <v>1758</v>
      </c>
      <c r="B720" s="37">
        <v>43617</v>
      </c>
      <c r="C720" s="36" t="s">
        <v>195</v>
      </c>
      <c r="D720" s="36"/>
      <c r="E720" s="38">
        <v>39944033.964749999</v>
      </c>
      <c r="F720" s="40">
        <f>VLOOKUP(A720,'DATOS GENERALES'!A:B,2,0)</f>
        <v>2.4300000000000002</v>
      </c>
      <c r="G720" s="36">
        <f t="shared" si="55"/>
        <v>2.418822</v>
      </c>
      <c r="H720" s="38">
        <f t="shared" si="56"/>
        <v>16513837.713047922</v>
      </c>
      <c r="I720" s="38">
        <f t="shared" si="57"/>
        <v>23430196.251702078</v>
      </c>
      <c r="J720" s="38">
        <v>2945363.2002016502</v>
      </c>
      <c r="K720" s="38">
        <f t="shared" si="58"/>
        <v>20484833.051500428</v>
      </c>
      <c r="L720" s="41">
        <f>VLOOKUP(INDICADORES!$B$21,'DATOS GENERALES'!$K:$M,3,0)*E720</f>
        <v>271860.14534184395</v>
      </c>
      <c r="M720" s="38">
        <f t="shared" si="59"/>
        <v>20212972.906158585</v>
      </c>
      <c r="N720" s="36"/>
      <c r="O720" s="36"/>
      <c r="P720" s="36"/>
    </row>
    <row r="721" spans="1:16" x14ac:dyDescent="0.25">
      <c r="A721" s="36">
        <v>1758</v>
      </c>
      <c r="B721" s="37">
        <v>43647</v>
      </c>
      <c r="C721" s="36" t="s">
        <v>195</v>
      </c>
      <c r="D721" s="36"/>
      <c r="E721" s="38">
        <v>39944033.964749999</v>
      </c>
      <c r="F721" s="40">
        <f>VLOOKUP(A721,'DATOS GENERALES'!A:B,2,0)</f>
        <v>2.4300000000000002</v>
      </c>
      <c r="G721" s="36">
        <f t="shared" si="55"/>
        <v>2.418822</v>
      </c>
      <c r="H721" s="38">
        <f t="shared" si="56"/>
        <v>16513837.713047922</v>
      </c>
      <c r="I721" s="38">
        <f t="shared" si="57"/>
        <v>23430196.251702078</v>
      </c>
      <c r="J721" s="38">
        <v>4392405.4853820689</v>
      </c>
      <c r="K721" s="38">
        <f t="shared" si="58"/>
        <v>19037790.766320009</v>
      </c>
      <c r="L721" s="41">
        <f>VLOOKUP(INDICADORES!$B$21,'DATOS GENERALES'!$K:$M,3,0)*E721</f>
        <v>271860.14534184395</v>
      </c>
      <c r="M721" s="38">
        <f t="shared" si="59"/>
        <v>18765930.620978165</v>
      </c>
      <c r="N721" s="36"/>
      <c r="O721" s="36"/>
      <c r="P721" s="36"/>
    </row>
    <row r="722" spans="1:16" x14ac:dyDescent="0.25">
      <c r="A722" s="36">
        <v>1758</v>
      </c>
      <c r="B722" s="37">
        <v>43678</v>
      </c>
      <c r="C722" s="36" t="s">
        <v>195</v>
      </c>
      <c r="D722" s="36"/>
      <c r="E722" s="38">
        <v>39944033.964749999</v>
      </c>
      <c r="F722" s="40">
        <f>VLOOKUP(A722,'DATOS GENERALES'!A:B,2,0)</f>
        <v>2.4300000000000002</v>
      </c>
      <c r="G722" s="36">
        <f t="shared" si="55"/>
        <v>2.418822</v>
      </c>
      <c r="H722" s="38">
        <f t="shared" si="56"/>
        <v>16513837.713047922</v>
      </c>
      <c r="I722" s="38">
        <f t="shared" si="57"/>
        <v>23430196.251702078</v>
      </c>
      <c r="J722" s="38">
        <v>4322286.2475187099</v>
      </c>
      <c r="K722" s="38">
        <f t="shared" si="58"/>
        <v>19107910.004183367</v>
      </c>
      <c r="L722" s="41">
        <f>VLOOKUP(INDICADORES!$B$21,'DATOS GENERALES'!$K:$M,3,0)*E722</f>
        <v>271860.14534184395</v>
      </c>
      <c r="M722" s="38">
        <f t="shared" si="59"/>
        <v>18836049.858841524</v>
      </c>
      <c r="N722" s="36"/>
      <c r="O722" s="36"/>
      <c r="P722" s="36"/>
    </row>
    <row r="723" spans="1:16" x14ac:dyDescent="0.25">
      <c r="A723" s="36">
        <v>1758</v>
      </c>
      <c r="B723" s="37">
        <v>43709</v>
      </c>
      <c r="C723" s="36" t="s">
        <v>195</v>
      </c>
      <c r="D723" s="36"/>
      <c r="E723" s="38">
        <v>39944033.964749999</v>
      </c>
      <c r="F723" s="40">
        <f>VLOOKUP(A723,'DATOS GENERALES'!A:B,2,0)</f>
        <v>2.4300000000000002</v>
      </c>
      <c r="G723" s="36">
        <f t="shared" si="55"/>
        <v>2.418822</v>
      </c>
      <c r="H723" s="38">
        <f t="shared" si="56"/>
        <v>16513837.713047922</v>
      </c>
      <c r="I723" s="38">
        <f t="shared" si="57"/>
        <v>23430196.251702078</v>
      </c>
      <c r="J723" s="38">
        <v>4884931.41723816</v>
      </c>
      <c r="K723" s="38">
        <f t="shared" si="58"/>
        <v>18545264.834463917</v>
      </c>
      <c r="L723" s="41">
        <f>VLOOKUP(INDICADORES!$B$21,'DATOS GENERALES'!$K:$M,3,0)*E723</f>
        <v>271860.14534184395</v>
      </c>
      <c r="M723" s="38">
        <f t="shared" si="59"/>
        <v>18273404.689122073</v>
      </c>
      <c r="N723" s="36"/>
      <c r="O723" s="36"/>
      <c r="P723" s="36"/>
    </row>
    <row r="724" spans="1:16" x14ac:dyDescent="0.25">
      <c r="A724" s="36">
        <v>1758</v>
      </c>
      <c r="B724" s="37">
        <v>43739</v>
      </c>
      <c r="C724" s="36" t="s">
        <v>195</v>
      </c>
      <c r="D724" s="36"/>
      <c r="E724" s="38">
        <v>39944033.964749999</v>
      </c>
      <c r="F724" s="40">
        <f>VLOOKUP(A724,'DATOS GENERALES'!A:B,2,0)</f>
        <v>2.4300000000000002</v>
      </c>
      <c r="G724" s="36">
        <f t="shared" si="55"/>
        <v>2.418822</v>
      </c>
      <c r="H724" s="38">
        <f t="shared" si="56"/>
        <v>16513837.713047922</v>
      </c>
      <c r="I724" s="38">
        <f t="shared" si="57"/>
        <v>23430196.251702078</v>
      </c>
      <c r="J724" s="38">
        <v>5282548.9136594646</v>
      </c>
      <c r="K724" s="38">
        <f t="shared" si="58"/>
        <v>18147647.338042613</v>
      </c>
      <c r="L724" s="41">
        <f>VLOOKUP(INDICADORES!$B$21,'DATOS GENERALES'!$K:$M,3,0)*E724</f>
        <v>271860.14534184395</v>
      </c>
      <c r="M724" s="38">
        <f t="shared" si="59"/>
        <v>17875787.19270077</v>
      </c>
      <c r="N724" s="36"/>
      <c r="O724" s="36"/>
      <c r="P724" s="36"/>
    </row>
    <row r="725" spans="1:16" x14ac:dyDescent="0.25">
      <c r="A725" s="36">
        <v>1758</v>
      </c>
      <c r="B725" s="37">
        <v>43770</v>
      </c>
      <c r="C725" s="36" t="s">
        <v>195</v>
      </c>
      <c r="D725" s="36"/>
      <c r="E725" s="38">
        <v>39944033.964749999</v>
      </c>
      <c r="F725" s="40">
        <f>VLOOKUP(A725,'DATOS GENERALES'!A:B,2,0)</f>
        <v>2.4300000000000002</v>
      </c>
      <c r="G725" s="36">
        <f t="shared" si="55"/>
        <v>2.418822</v>
      </c>
      <c r="H725" s="38">
        <f t="shared" si="56"/>
        <v>16513837.713047922</v>
      </c>
      <c r="I725" s="38">
        <f t="shared" si="57"/>
        <v>23430196.251702078</v>
      </c>
      <c r="J725" s="38">
        <v>7065020.1264808578</v>
      </c>
      <c r="K725" s="38">
        <f t="shared" si="58"/>
        <v>16365176.125221219</v>
      </c>
      <c r="L725" s="41">
        <f>VLOOKUP(INDICADORES!$B$21,'DATOS GENERALES'!$K:$M,3,0)*E725</f>
        <v>271860.14534184395</v>
      </c>
      <c r="M725" s="38">
        <f t="shared" si="59"/>
        <v>16093315.979879376</v>
      </c>
      <c r="N725" s="36"/>
      <c r="O725" s="36"/>
      <c r="P725" s="36"/>
    </row>
    <row r="726" spans="1:16" x14ac:dyDescent="0.25">
      <c r="A726" s="36">
        <v>1758</v>
      </c>
      <c r="B726" s="37">
        <v>43800</v>
      </c>
      <c r="C726" s="36" t="s">
        <v>195</v>
      </c>
      <c r="D726" s="36"/>
      <c r="E726" s="38">
        <v>39944033.964749999</v>
      </c>
      <c r="F726" s="40">
        <f>VLOOKUP(A726,'DATOS GENERALES'!A:B,2,0)</f>
        <v>2.4300000000000002</v>
      </c>
      <c r="G726" s="36">
        <f t="shared" si="55"/>
        <v>2.418822</v>
      </c>
      <c r="H726" s="38">
        <f t="shared" si="56"/>
        <v>16513837.713047922</v>
      </c>
      <c r="I726" s="38">
        <f t="shared" si="57"/>
        <v>23430196.251702078</v>
      </c>
      <c r="J726" s="38">
        <v>5948657.8851552848</v>
      </c>
      <c r="K726" s="38">
        <f t="shared" si="58"/>
        <v>17481538.366546795</v>
      </c>
      <c r="L726" s="41">
        <f>VLOOKUP(INDICADORES!$B$21,'DATOS GENERALES'!$K:$M,3,0)*E726</f>
        <v>271860.14534184395</v>
      </c>
      <c r="M726" s="38">
        <f t="shared" si="59"/>
        <v>17209678.221204951</v>
      </c>
      <c r="N726" s="36"/>
      <c r="O726" s="36"/>
      <c r="P726" s="36"/>
    </row>
    <row r="727" spans="1:16" x14ac:dyDescent="0.25">
      <c r="A727" s="36">
        <v>1789</v>
      </c>
      <c r="B727" s="37">
        <v>43466</v>
      </c>
      <c r="C727" s="36" t="s">
        <v>195</v>
      </c>
      <c r="D727" s="36"/>
      <c r="E727" s="38">
        <v>43502787.700000003</v>
      </c>
      <c r="F727" s="40">
        <f>VLOOKUP(A727,'DATOS GENERALES'!A:B,2,0)</f>
        <v>1.45</v>
      </c>
      <c r="G727" s="36">
        <f t="shared" si="55"/>
        <v>1.4433299999999998</v>
      </c>
      <c r="H727" s="38">
        <f t="shared" si="56"/>
        <v>30140569.169905711</v>
      </c>
      <c r="I727" s="38">
        <f t="shared" si="57"/>
        <v>13362218.530094292</v>
      </c>
      <c r="J727" s="38">
        <v>6613393.7976551233</v>
      </c>
      <c r="K727" s="38">
        <f t="shared" si="58"/>
        <v>6748824.7324391687</v>
      </c>
      <c r="L727" s="41">
        <f>VLOOKUP(INDICADORES!$B$21,'DATOS GENERALES'!$K:$M,3,0)*E727</f>
        <v>296081.11682796589</v>
      </c>
      <c r="M727" s="38">
        <f t="shared" si="59"/>
        <v>6452743.615611203</v>
      </c>
      <c r="N727" s="36"/>
      <c r="O727" s="36"/>
      <c r="P727" s="36"/>
    </row>
    <row r="728" spans="1:16" x14ac:dyDescent="0.25">
      <c r="A728" s="36">
        <v>1802</v>
      </c>
      <c r="B728" s="37">
        <v>43466</v>
      </c>
      <c r="C728" s="36" t="s">
        <v>195</v>
      </c>
      <c r="D728" s="36"/>
      <c r="E728" s="38">
        <v>53929329.834749997</v>
      </c>
      <c r="F728" s="40">
        <f>VLOOKUP(A728,'DATOS GENERALES'!A:B,2,0)</f>
        <v>1.95</v>
      </c>
      <c r="G728" s="36">
        <f t="shared" si="55"/>
        <v>1.9410299999999998</v>
      </c>
      <c r="H728" s="38">
        <f t="shared" si="56"/>
        <v>27783872.394939803</v>
      </c>
      <c r="I728" s="38">
        <f t="shared" si="57"/>
        <v>26145457.439810194</v>
      </c>
      <c r="J728" s="38">
        <v>6096291.2921697525</v>
      </c>
      <c r="K728" s="38">
        <f t="shared" si="58"/>
        <v>20049166.147640441</v>
      </c>
      <c r="L728" s="41">
        <f>VLOOKUP(INDICADORES!$B$21,'DATOS GENERALES'!$K:$M,3,0)*E728</f>
        <v>367044.43672368425</v>
      </c>
      <c r="M728" s="38">
        <f t="shared" si="59"/>
        <v>19682121.710916758</v>
      </c>
      <c r="N728" s="36"/>
      <c r="O728" s="36"/>
      <c r="P728" s="36"/>
    </row>
    <row r="729" spans="1:16" x14ac:dyDescent="0.25">
      <c r="A729" s="36">
        <v>1802</v>
      </c>
      <c r="B729" s="37">
        <v>43497</v>
      </c>
      <c r="C729" s="36" t="s">
        <v>195</v>
      </c>
      <c r="D729" s="36"/>
      <c r="E729" s="38">
        <v>53929329.834749997</v>
      </c>
      <c r="F729" s="40">
        <f>VLOOKUP(A729,'DATOS GENERALES'!A:B,2,0)</f>
        <v>1.95</v>
      </c>
      <c r="G729" s="36">
        <f t="shared" si="55"/>
        <v>1.9410299999999998</v>
      </c>
      <c r="H729" s="38">
        <f t="shared" si="56"/>
        <v>27783872.394939803</v>
      </c>
      <c r="I729" s="38">
        <f t="shared" si="57"/>
        <v>26145457.439810194</v>
      </c>
      <c r="J729" s="38">
        <v>6005702.0503431903</v>
      </c>
      <c r="K729" s="38">
        <f t="shared" si="58"/>
        <v>20139755.389467005</v>
      </c>
      <c r="L729" s="41">
        <f>VLOOKUP(INDICADORES!$B$21,'DATOS GENERALES'!$K:$M,3,0)*E729</f>
        <v>367044.43672368425</v>
      </c>
      <c r="M729" s="38">
        <f t="shared" si="59"/>
        <v>19772710.952743322</v>
      </c>
      <c r="N729" s="36"/>
      <c r="O729" s="36"/>
      <c r="P729" s="36"/>
    </row>
    <row r="730" spans="1:16" x14ac:dyDescent="0.25">
      <c r="A730" s="36">
        <v>1802</v>
      </c>
      <c r="B730" s="37">
        <v>43525</v>
      </c>
      <c r="C730" s="36" t="s">
        <v>195</v>
      </c>
      <c r="D730" s="36"/>
      <c r="E730" s="38">
        <v>53929329.834749997</v>
      </c>
      <c r="F730" s="40">
        <f>VLOOKUP(A730,'DATOS GENERALES'!A:B,2,0)</f>
        <v>1.95</v>
      </c>
      <c r="G730" s="36">
        <f t="shared" si="55"/>
        <v>1.9410299999999998</v>
      </c>
      <c r="H730" s="38">
        <f t="shared" si="56"/>
        <v>27783872.394939803</v>
      </c>
      <c r="I730" s="38">
        <f t="shared" si="57"/>
        <v>26145457.439810194</v>
      </c>
      <c r="J730" s="38">
        <v>4345050.9454944413</v>
      </c>
      <c r="K730" s="38">
        <f t="shared" si="58"/>
        <v>21800406.494315751</v>
      </c>
      <c r="L730" s="41">
        <f>VLOOKUP(INDICADORES!$B$21,'DATOS GENERALES'!$K:$M,3,0)*E730</f>
        <v>367044.43672368425</v>
      </c>
      <c r="M730" s="38">
        <f t="shared" si="59"/>
        <v>21433362.057592068</v>
      </c>
      <c r="N730" s="36"/>
      <c r="O730" s="36"/>
      <c r="P730" s="36"/>
    </row>
    <row r="731" spans="1:16" x14ac:dyDescent="0.25">
      <c r="A731" s="36">
        <v>1802</v>
      </c>
      <c r="B731" s="37">
        <v>43556</v>
      </c>
      <c r="C731" s="36" t="s">
        <v>195</v>
      </c>
      <c r="D731" s="36"/>
      <c r="E731" s="38">
        <v>53929329.834749997</v>
      </c>
      <c r="F731" s="40">
        <f>VLOOKUP(A731,'DATOS GENERALES'!A:B,2,0)</f>
        <v>1.95</v>
      </c>
      <c r="G731" s="36">
        <f t="shared" si="55"/>
        <v>1.9410299999999998</v>
      </c>
      <c r="H731" s="38">
        <f t="shared" si="56"/>
        <v>27783872.394939803</v>
      </c>
      <c r="I731" s="38">
        <f t="shared" si="57"/>
        <v>26145457.439810194</v>
      </c>
      <c r="J731" s="38">
        <v>4467039.8505266672</v>
      </c>
      <c r="K731" s="38">
        <f t="shared" si="58"/>
        <v>21678417.589283526</v>
      </c>
      <c r="L731" s="41">
        <f>VLOOKUP(INDICADORES!$B$21,'DATOS GENERALES'!$K:$M,3,0)*E731</f>
        <v>367044.43672368425</v>
      </c>
      <c r="M731" s="38">
        <f t="shared" si="59"/>
        <v>21311373.152559843</v>
      </c>
      <c r="N731" s="36"/>
      <c r="O731" s="36"/>
      <c r="P731" s="36"/>
    </row>
    <row r="732" spans="1:16" x14ac:dyDescent="0.25">
      <c r="A732" s="36">
        <v>1802</v>
      </c>
      <c r="B732" s="37">
        <v>43586</v>
      </c>
      <c r="C732" s="36" t="s">
        <v>195</v>
      </c>
      <c r="D732" s="36"/>
      <c r="E732" s="38">
        <v>53929329.834749997</v>
      </c>
      <c r="F732" s="40">
        <f>VLOOKUP(A732,'DATOS GENERALES'!A:B,2,0)</f>
        <v>1.95</v>
      </c>
      <c r="G732" s="36">
        <f t="shared" si="55"/>
        <v>1.9410299999999998</v>
      </c>
      <c r="H732" s="38">
        <f t="shared" si="56"/>
        <v>27783872.394939803</v>
      </c>
      <c r="I732" s="38">
        <f t="shared" si="57"/>
        <v>26145457.439810194</v>
      </c>
      <c r="J732" s="38">
        <v>3684995.4767286275</v>
      </c>
      <c r="K732" s="38">
        <f t="shared" si="58"/>
        <v>22460461.963081568</v>
      </c>
      <c r="L732" s="41">
        <f>VLOOKUP(INDICADORES!$B$21,'DATOS GENERALES'!$K:$M,3,0)*E732</f>
        <v>367044.43672368425</v>
      </c>
      <c r="M732" s="38">
        <f t="shared" si="59"/>
        <v>22093417.526357885</v>
      </c>
      <c r="N732" s="36"/>
      <c r="O732" s="36"/>
      <c r="P732" s="36"/>
    </row>
    <row r="733" spans="1:16" x14ac:dyDescent="0.25">
      <c r="A733" s="36">
        <v>1802</v>
      </c>
      <c r="B733" s="37">
        <v>43617</v>
      </c>
      <c r="C733" s="36" t="s">
        <v>195</v>
      </c>
      <c r="D733" s="36"/>
      <c r="E733" s="38">
        <v>53929329.834749997</v>
      </c>
      <c r="F733" s="40">
        <f>VLOOKUP(A733,'DATOS GENERALES'!A:B,2,0)</f>
        <v>1.95</v>
      </c>
      <c r="G733" s="36">
        <f t="shared" si="55"/>
        <v>1.9410299999999998</v>
      </c>
      <c r="H733" s="38">
        <f t="shared" si="56"/>
        <v>27783872.394939803</v>
      </c>
      <c r="I733" s="38">
        <f t="shared" si="57"/>
        <v>26145457.439810194</v>
      </c>
      <c r="J733" s="38">
        <v>4955455.9474988524</v>
      </c>
      <c r="K733" s="38">
        <f t="shared" si="58"/>
        <v>21190001.492311344</v>
      </c>
      <c r="L733" s="41">
        <f>VLOOKUP(INDICADORES!$B$21,'DATOS GENERALES'!$K:$M,3,0)*E733</f>
        <v>367044.43672368425</v>
      </c>
      <c r="M733" s="38">
        <f t="shared" si="59"/>
        <v>20822957.055587661</v>
      </c>
      <c r="N733" s="36"/>
      <c r="O733" s="36"/>
      <c r="P733" s="36"/>
    </row>
    <row r="734" spans="1:16" x14ac:dyDescent="0.25">
      <c r="A734" s="36">
        <v>1802</v>
      </c>
      <c r="B734" s="37">
        <v>43647</v>
      </c>
      <c r="C734" s="36" t="s">
        <v>195</v>
      </c>
      <c r="D734" s="36"/>
      <c r="E734" s="38">
        <v>53929329.834749997</v>
      </c>
      <c r="F734" s="40">
        <f>VLOOKUP(A734,'DATOS GENERALES'!A:B,2,0)</f>
        <v>1.95</v>
      </c>
      <c r="G734" s="36">
        <f t="shared" si="55"/>
        <v>1.9410299999999998</v>
      </c>
      <c r="H734" s="38">
        <f t="shared" si="56"/>
        <v>27783872.394939803</v>
      </c>
      <c r="I734" s="38">
        <f t="shared" si="57"/>
        <v>26145457.439810194</v>
      </c>
      <c r="J734" s="38">
        <v>7390046.7979205279</v>
      </c>
      <c r="K734" s="38">
        <f t="shared" si="58"/>
        <v>18755410.641889665</v>
      </c>
      <c r="L734" s="41">
        <f>VLOOKUP(INDICADORES!$B$21,'DATOS GENERALES'!$K:$M,3,0)*E734</f>
        <v>367044.43672368425</v>
      </c>
      <c r="M734" s="38">
        <f t="shared" si="59"/>
        <v>18388366.205165982</v>
      </c>
      <c r="N734" s="36"/>
      <c r="O734" s="36"/>
      <c r="P734" s="36"/>
    </row>
    <row r="735" spans="1:16" x14ac:dyDescent="0.25">
      <c r="A735" s="36">
        <v>1802</v>
      </c>
      <c r="B735" s="37">
        <v>43678</v>
      </c>
      <c r="C735" s="36" t="s">
        <v>195</v>
      </c>
      <c r="D735" s="36"/>
      <c r="E735" s="38">
        <v>45341011.5</v>
      </c>
      <c r="F735" s="40">
        <f>VLOOKUP(A735,'DATOS GENERALES'!A:B,2,0)</f>
        <v>1.95</v>
      </c>
      <c r="G735" s="36">
        <f t="shared" si="55"/>
        <v>1.9410299999999998</v>
      </c>
      <c r="H735" s="38">
        <f t="shared" si="56"/>
        <v>23359253.334569793</v>
      </c>
      <c r="I735" s="38">
        <f t="shared" si="57"/>
        <v>21981758.165430207</v>
      </c>
      <c r="J735" s="38">
        <v>6113986.4151954064</v>
      </c>
      <c r="K735" s="38">
        <f t="shared" si="58"/>
        <v>15867771.750234801</v>
      </c>
      <c r="L735" s="41">
        <f>VLOOKUP(INDICADORES!$B$21,'DATOS GENERALES'!$K:$M,3,0)*E735</f>
        <v>308592.11633992929</v>
      </c>
      <c r="M735" s="38">
        <f t="shared" si="59"/>
        <v>15559179.633894872</v>
      </c>
      <c r="N735" s="36"/>
      <c r="O735" s="36"/>
      <c r="P735" s="36"/>
    </row>
    <row r="736" spans="1:16" x14ac:dyDescent="0.25">
      <c r="A736" s="36">
        <v>1802</v>
      </c>
      <c r="B736" s="37">
        <v>43709</v>
      </c>
      <c r="C736" s="36" t="s">
        <v>195</v>
      </c>
      <c r="D736" s="36"/>
      <c r="E736" s="38">
        <v>28318301.25</v>
      </c>
      <c r="F736" s="40">
        <f>VLOOKUP(A736,'DATOS GENERALES'!A:B,2,0)</f>
        <v>1.95</v>
      </c>
      <c r="G736" s="36">
        <f t="shared" si="55"/>
        <v>1.9410299999999998</v>
      </c>
      <c r="H736" s="38">
        <f t="shared" si="56"/>
        <v>14589316.625709033</v>
      </c>
      <c r="I736" s="38">
        <f t="shared" si="57"/>
        <v>13728984.624290967</v>
      </c>
      <c r="J736" s="38">
        <v>4315641.9712572871</v>
      </c>
      <c r="K736" s="38">
        <f t="shared" si="58"/>
        <v>9413342.6530336812</v>
      </c>
      <c r="L736" s="41">
        <f>VLOOKUP(INDICADORES!$B$21,'DATOS GENERALES'!$K:$M,3,0)*E736</f>
        <v>192735.10283045107</v>
      </c>
      <c r="M736" s="38">
        <f t="shared" si="59"/>
        <v>9220607.5502032302</v>
      </c>
      <c r="N736" s="36"/>
      <c r="O736" s="36"/>
      <c r="P736" s="36"/>
    </row>
    <row r="737" spans="1:16" x14ac:dyDescent="0.25">
      <c r="A737" s="36">
        <v>1802</v>
      </c>
      <c r="B737" s="37">
        <v>43739</v>
      </c>
      <c r="C737" s="36" t="s">
        <v>195</v>
      </c>
      <c r="D737" s="36"/>
      <c r="E737" s="38">
        <v>28318301.25</v>
      </c>
      <c r="F737" s="40">
        <f>VLOOKUP(A737,'DATOS GENERALES'!A:B,2,0)</f>
        <v>1.95</v>
      </c>
      <c r="G737" s="36">
        <f t="shared" si="55"/>
        <v>1.9410299999999998</v>
      </c>
      <c r="H737" s="38">
        <f t="shared" si="56"/>
        <v>14589316.625709033</v>
      </c>
      <c r="I737" s="38">
        <f t="shared" si="57"/>
        <v>13728984.624290967</v>
      </c>
      <c r="J737" s="38">
        <v>4666921.1622008123</v>
      </c>
      <c r="K737" s="38">
        <f t="shared" si="58"/>
        <v>9062063.4620901551</v>
      </c>
      <c r="L737" s="41">
        <f>VLOOKUP(INDICADORES!$B$21,'DATOS GENERALES'!$K:$M,3,0)*E737</f>
        <v>192735.10283045107</v>
      </c>
      <c r="M737" s="38">
        <f t="shared" si="59"/>
        <v>8869328.3592597041</v>
      </c>
      <c r="N737" s="36"/>
      <c r="O737" s="36"/>
      <c r="P737" s="36"/>
    </row>
    <row r="738" spans="1:16" x14ac:dyDescent="0.25">
      <c r="A738" s="36">
        <v>1802</v>
      </c>
      <c r="B738" s="37">
        <v>43770</v>
      </c>
      <c r="C738" s="36" t="s">
        <v>195</v>
      </c>
      <c r="D738" s="36"/>
      <c r="E738" s="38">
        <v>28318301.25</v>
      </c>
      <c r="F738" s="40">
        <f>VLOOKUP(A738,'DATOS GENERALES'!A:B,2,0)</f>
        <v>1.95</v>
      </c>
      <c r="G738" s="36">
        <f t="shared" si="55"/>
        <v>1.9410299999999998</v>
      </c>
      <c r="H738" s="38">
        <f t="shared" si="56"/>
        <v>14589316.625709033</v>
      </c>
      <c r="I738" s="38">
        <f t="shared" si="57"/>
        <v>13728984.624290967</v>
      </c>
      <c r="J738" s="38">
        <v>6241663.3482352411</v>
      </c>
      <c r="K738" s="38">
        <f t="shared" si="58"/>
        <v>7487321.2760557262</v>
      </c>
      <c r="L738" s="41">
        <f>VLOOKUP(INDICADORES!$B$21,'DATOS GENERALES'!$K:$M,3,0)*E738</f>
        <v>192735.10283045107</v>
      </c>
      <c r="M738" s="38">
        <f t="shared" si="59"/>
        <v>7294586.1732252752</v>
      </c>
      <c r="N738" s="36"/>
      <c r="O738" s="36"/>
      <c r="P738" s="36"/>
    </row>
    <row r="739" spans="1:16" x14ac:dyDescent="0.25">
      <c r="A739" s="36">
        <v>1802</v>
      </c>
      <c r="B739" s="37">
        <v>43800</v>
      </c>
      <c r="C739" s="36" t="s">
        <v>195</v>
      </c>
      <c r="D739" s="36"/>
      <c r="E739" s="38">
        <v>28318301.25</v>
      </c>
      <c r="F739" s="40">
        <f>VLOOKUP(A739,'DATOS GENERALES'!A:B,2,0)</f>
        <v>1.95</v>
      </c>
      <c r="G739" s="36">
        <f t="shared" si="55"/>
        <v>1.9410299999999998</v>
      </c>
      <c r="H739" s="38">
        <f t="shared" si="56"/>
        <v>14589316.625709033</v>
      </c>
      <c r="I739" s="38">
        <f t="shared" si="57"/>
        <v>13728984.624290967</v>
      </c>
      <c r="J739" s="38">
        <v>5255401.8570728153</v>
      </c>
      <c r="K739" s="38">
        <f t="shared" si="58"/>
        <v>8473582.7672181521</v>
      </c>
      <c r="L739" s="41">
        <f>VLOOKUP(INDICADORES!$B$21,'DATOS GENERALES'!$K:$M,3,0)*E739</f>
        <v>192735.10283045107</v>
      </c>
      <c r="M739" s="38">
        <f t="shared" si="59"/>
        <v>8280847.6643877011</v>
      </c>
      <c r="N739" s="36"/>
      <c r="O739" s="36"/>
      <c r="P739" s="36"/>
    </row>
    <row r="740" spans="1:16" x14ac:dyDescent="0.25">
      <c r="A740" s="36">
        <v>1818</v>
      </c>
      <c r="B740" s="37">
        <v>43466</v>
      </c>
      <c r="C740" s="36" t="s">
        <v>195</v>
      </c>
      <c r="D740" s="36"/>
      <c r="E740" s="38">
        <v>37932512.950000003</v>
      </c>
      <c r="F740" s="40">
        <f>VLOOKUP(A740,'DATOS GENERALES'!A:B,2,0)</f>
        <v>1.1100000000000001</v>
      </c>
      <c r="G740" s="36">
        <f t="shared" si="55"/>
        <v>1.104894</v>
      </c>
      <c r="H740" s="38">
        <f t="shared" si="56"/>
        <v>34331359.343068205</v>
      </c>
      <c r="I740" s="38">
        <f t="shared" si="57"/>
        <v>3601153.6069317982</v>
      </c>
      <c r="J740" s="38">
        <v>7532930.0407244712</v>
      </c>
      <c r="K740" s="38">
        <f t="shared" si="58"/>
        <v>-3931776.4337926731</v>
      </c>
      <c r="L740" s="41">
        <f>VLOOKUP(INDICADORES!$B$21,'DATOS GENERALES'!$K:$M,3,0)*E740</f>
        <v>258169.68043009529</v>
      </c>
      <c r="M740" s="38">
        <f t="shared" si="59"/>
        <v>-4189946.1142227682</v>
      </c>
      <c r="N740" s="36"/>
      <c r="O740" s="36"/>
      <c r="P740" s="36"/>
    </row>
    <row r="741" spans="1:16" x14ac:dyDescent="0.25">
      <c r="A741" s="36">
        <v>1818</v>
      </c>
      <c r="B741" s="37">
        <v>43497</v>
      </c>
      <c r="C741" s="36" t="s">
        <v>195</v>
      </c>
      <c r="D741" s="36"/>
      <c r="E741" s="38">
        <v>37932512.950000003</v>
      </c>
      <c r="F741" s="40">
        <f>VLOOKUP(A741,'DATOS GENERALES'!A:B,2,0)</f>
        <v>1.1100000000000001</v>
      </c>
      <c r="G741" s="36">
        <f t="shared" si="55"/>
        <v>1.104894</v>
      </c>
      <c r="H741" s="38">
        <f t="shared" si="56"/>
        <v>34331359.343068205</v>
      </c>
      <c r="I741" s="38">
        <f t="shared" si="57"/>
        <v>3601153.6069317982</v>
      </c>
      <c r="J741" s="38">
        <v>7420992.7351698196</v>
      </c>
      <c r="K741" s="38">
        <f t="shared" si="58"/>
        <v>-3819839.1282380214</v>
      </c>
      <c r="L741" s="41">
        <f>VLOOKUP(INDICADORES!$B$21,'DATOS GENERALES'!$K:$M,3,0)*E741</f>
        <v>258169.68043009529</v>
      </c>
      <c r="M741" s="38">
        <f t="shared" si="59"/>
        <v>-4078008.8086681166</v>
      </c>
      <c r="N741" s="36"/>
      <c r="O741" s="36"/>
      <c r="P741" s="36"/>
    </row>
    <row r="742" spans="1:16" x14ac:dyDescent="0.25">
      <c r="A742" s="36">
        <v>1818</v>
      </c>
      <c r="B742" s="37">
        <v>43525</v>
      </c>
      <c r="C742" s="36" t="s">
        <v>195</v>
      </c>
      <c r="D742" s="36"/>
      <c r="E742" s="38">
        <v>37932512.950000003</v>
      </c>
      <c r="F742" s="40">
        <f>VLOOKUP(A742,'DATOS GENERALES'!A:B,2,0)</f>
        <v>1.1100000000000001</v>
      </c>
      <c r="G742" s="36">
        <f t="shared" si="55"/>
        <v>1.104894</v>
      </c>
      <c r="H742" s="38">
        <f t="shared" si="56"/>
        <v>34331359.343068205</v>
      </c>
      <c r="I742" s="38">
        <f t="shared" si="57"/>
        <v>3601153.6069317982</v>
      </c>
      <c r="J742" s="38">
        <v>5368996.2023031786</v>
      </c>
      <c r="K742" s="38">
        <f t="shared" si="58"/>
        <v>-1767842.5953713804</v>
      </c>
      <c r="L742" s="41">
        <f>VLOOKUP(INDICADORES!$B$21,'DATOS GENERALES'!$K:$M,3,0)*E742</f>
        <v>258169.68043009529</v>
      </c>
      <c r="M742" s="38">
        <f t="shared" si="59"/>
        <v>-2026012.2758014756</v>
      </c>
      <c r="N742" s="36"/>
      <c r="O742" s="36"/>
      <c r="P742" s="36"/>
    </row>
    <row r="743" spans="1:16" x14ac:dyDescent="0.25">
      <c r="A743" s="36">
        <v>1818</v>
      </c>
      <c r="B743" s="37">
        <v>43556</v>
      </c>
      <c r="C743" s="36" t="s">
        <v>195</v>
      </c>
      <c r="D743" s="36"/>
      <c r="E743" s="38">
        <v>37932512.950000003</v>
      </c>
      <c r="F743" s="40">
        <f>VLOOKUP(A743,'DATOS GENERALES'!A:B,2,0)</f>
        <v>1.1100000000000001</v>
      </c>
      <c r="G743" s="36">
        <f t="shared" si="55"/>
        <v>1.104894</v>
      </c>
      <c r="H743" s="38">
        <f t="shared" si="56"/>
        <v>34331359.343068205</v>
      </c>
      <c r="I743" s="38">
        <f t="shared" si="57"/>
        <v>3601153.6069317982</v>
      </c>
      <c r="J743" s="38">
        <v>5519732.7474109624</v>
      </c>
      <c r="K743" s="38">
        <f t="shared" si="58"/>
        <v>-1918579.1404791642</v>
      </c>
      <c r="L743" s="41">
        <f>VLOOKUP(INDICADORES!$B$21,'DATOS GENERALES'!$K:$M,3,0)*E743</f>
        <v>258169.68043009529</v>
      </c>
      <c r="M743" s="38">
        <f t="shared" si="59"/>
        <v>-2176748.8209092594</v>
      </c>
      <c r="N743" s="36"/>
      <c r="O743" s="36"/>
      <c r="P743" s="36"/>
    </row>
    <row r="744" spans="1:16" x14ac:dyDescent="0.25">
      <c r="A744" s="36">
        <v>1818</v>
      </c>
      <c r="B744" s="37">
        <v>43586</v>
      </c>
      <c r="C744" s="36" t="s">
        <v>195</v>
      </c>
      <c r="D744" s="36"/>
      <c r="E744" s="38">
        <v>37932512.950000003</v>
      </c>
      <c r="F744" s="40">
        <f>VLOOKUP(A744,'DATOS GENERALES'!A:B,2,0)</f>
        <v>1.1100000000000001</v>
      </c>
      <c r="G744" s="36">
        <f t="shared" si="55"/>
        <v>1.104894</v>
      </c>
      <c r="H744" s="38">
        <f t="shared" si="56"/>
        <v>34331359.343068205</v>
      </c>
      <c r="I744" s="38">
        <f t="shared" si="57"/>
        <v>3601153.6069317982</v>
      </c>
      <c r="J744" s="38">
        <v>4553393.4971639346</v>
      </c>
      <c r="K744" s="38">
        <f t="shared" si="58"/>
        <v>-952239.89023213647</v>
      </c>
      <c r="L744" s="41">
        <f>VLOOKUP(INDICADORES!$B$21,'DATOS GENERALES'!$K:$M,3,0)*E744</f>
        <v>258169.68043009529</v>
      </c>
      <c r="M744" s="38">
        <f t="shared" si="59"/>
        <v>-1210409.5706622317</v>
      </c>
      <c r="N744" s="36"/>
      <c r="O744" s="36"/>
      <c r="P744" s="36"/>
    </row>
    <row r="745" spans="1:16" x14ac:dyDescent="0.25">
      <c r="A745" s="36">
        <v>1818</v>
      </c>
      <c r="B745" s="37">
        <v>43617</v>
      </c>
      <c r="C745" s="36" t="s">
        <v>195</v>
      </c>
      <c r="D745" s="36"/>
      <c r="E745" s="38">
        <v>37932512.950000003</v>
      </c>
      <c r="F745" s="40">
        <f>VLOOKUP(A745,'DATOS GENERALES'!A:B,2,0)</f>
        <v>1.1100000000000001</v>
      </c>
      <c r="G745" s="36">
        <f t="shared" si="55"/>
        <v>1.104894</v>
      </c>
      <c r="H745" s="38">
        <f t="shared" si="56"/>
        <v>34331359.343068205</v>
      </c>
      <c r="I745" s="38">
        <f t="shared" si="57"/>
        <v>3601153.6069317982</v>
      </c>
      <c r="J745" s="38">
        <v>6123247.9196568895</v>
      </c>
      <c r="K745" s="38">
        <f t="shared" si="58"/>
        <v>-2522094.3127250914</v>
      </c>
      <c r="L745" s="41">
        <f>VLOOKUP(INDICADORES!$B$21,'DATOS GENERALES'!$K:$M,3,0)*E745</f>
        <v>258169.68043009529</v>
      </c>
      <c r="M745" s="38">
        <f t="shared" si="59"/>
        <v>-2780263.9931551865</v>
      </c>
      <c r="N745" s="36"/>
      <c r="O745" s="36"/>
      <c r="P745" s="36"/>
    </row>
    <row r="746" spans="1:16" x14ac:dyDescent="0.25">
      <c r="A746" s="36">
        <v>1818</v>
      </c>
      <c r="B746" s="37">
        <v>43647</v>
      </c>
      <c r="C746" s="36" t="s">
        <v>195</v>
      </c>
      <c r="D746" s="36"/>
      <c r="E746" s="38">
        <v>35575919.200000003</v>
      </c>
      <c r="F746" s="40">
        <f>VLOOKUP(A746,'DATOS GENERALES'!A:B,2,0)</f>
        <v>1.1100000000000001</v>
      </c>
      <c r="G746" s="36">
        <f t="shared" si="55"/>
        <v>1.104894</v>
      </c>
      <c r="H746" s="38">
        <f t="shared" si="56"/>
        <v>32198490.714946412</v>
      </c>
      <c r="I746" s="38">
        <f t="shared" si="57"/>
        <v>3377428.4850535914</v>
      </c>
      <c r="J746" s="38">
        <v>8564261.6631510444</v>
      </c>
      <c r="K746" s="38">
        <f t="shared" si="58"/>
        <v>-5186833.178097453</v>
      </c>
      <c r="L746" s="41">
        <f>VLOOKUP(INDICADORES!$B$21,'DATOS GENERALES'!$K:$M,3,0)*E746</f>
        <v>242130.64140984867</v>
      </c>
      <c r="M746" s="38">
        <f t="shared" si="59"/>
        <v>-5428963.8195073018</v>
      </c>
      <c r="N746" s="36"/>
      <c r="O746" s="36"/>
      <c r="P746" s="36"/>
    </row>
    <row r="747" spans="1:16" x14ac:dyDescent="0.25">
      <c r="A747" s="36">
        <v>1818</v>
      </c>
      <c r="B747" s="37">
        <v>43678</v>
      </c>
      <c r="C747" s="36" t="s">
        <v>195</v>
      </c>
      <c r="D747" s="36"/>
      <c r="E747" s="38">
        <v>35575919.200000003</v>
      </c>
      <c r="F747" s="40">
        <f>VLOOKUP(A747,'DATOS GENERALES'!A:B,2,0)</f>
        <v>1.1100000000000001</v>
      </c>
      <c r="G747" s="36">
        <f t="shared" si="55"/>
        <v>1.104894</v>
      </c>
      <c r="H747" s="38">
        <f t="shared" si="56"/>
        <v>32198490.714946412</v>
      </c>
      <c r="I747" s="38">
        <f t="shared" si="57"/>
        <v>3377428.4850535914</v>
      </c>
      <c r="J747" s="38">
        <v>8427543.9801682066</v>
      </c>
      <c r="K747" s="38">
        <f t="shared" si="58"/>
        <v>-5050115.4951146152</v>
      </c>
      <c r="L747" s="41">
        <f>VLOOKUP(INDICADORES!$B$21,'DATOS GENERALES'!$K:$M,3,0)*E747</f>
        <v>242130.64140984867</v>
      </c>
      <c r="M747" s="38">
        <f t="shared" si="59"/>
        <v>-5292246.136524464</v>
      </c>
      <c r="N747" s="36"/>
      <c r="O747" s="36"/>
      <c r="P747" s="36"/>
    </row>
    <row r="748" spans="1:16" x14ac:dyDescent="0.25">
      <c r="A748" s="36">
        <v>1818</v>
      </c>
      <c r="B748" s="37">
        <v>43709</v>
      </c>
      <c r="C748" s="36" t="s">
        <v>195</v>
      </c>
      <c r="D748" s="36"/>
      <c r="E748" s="38">
        <v>35195556.700000003</v>
      </c>
      <c r="F748" s="40">
        <f>VLOOKUP(A748,'DATOS GENERALES'!A:B,2,0)</f>
        <v>1.1100000000000001</v>
      </c>
      <c r="G748" s="36">
        <f t="shared" si="55"/>
        <v>1.104894</v>
      </c>
      <c r="H748" s="38">
        <f t="shared" si="56"/>
        <v>31854238.234617982</v>
      </c>
      <c r="I748" s="38">
        <f t="shared" si="57"/>
        <v>3341318.4653820209</v>
      </c>
      <c r="J748" s="38">
        <v>9422750.2915041409</v>
      </c>
      <c r="K748" s="38">
        <f t="shared" si="58"/>
        <v>-6081431.82612212</v>
      </c>
      <c r="L748" s="41">
        <f>VLOOKUP(INDICADORES!$B$21,'DATOS GENERALES'!$K:$M,3,0)*E748</f>
        <v>239541.88423465099</v>
      </c>
      <c r="M748" s="38">
        <f t="shared" si="59"/>
        <v>-6320973.710356771</v>
      </c>
      <c r="N748" s="36"/>
      <c r="O748" s="36"/>
      <c r="P748" s="36"/>
    </row>
    <row r="749" spans="1:16" x14ac:dyDescent="0.25">
      <c r="A749" s="36">
        <v>1818</v>
      </c>
      <c r="B749" s="37">
        <v>43739</v>
      </c>
      <c r="C749" s="36" t="s">
        <v>195</v>
      </c>
      <c r="D749" s="36"/>
      <c r="E749" s="38">
        <v>35195556.700000003</v>
      </c>
      <c r="F749" s="40">
        <f>VLOOKUP(A749,'DATOS GENERALES'!A:B,2,0)</f>
        <v>1.1100000000000001</v>
      </c>
      <c r="G749" s="36">
        <f t="shared" si="55"/>
        <v>1.104894</v>
      </c>
      <c r="H749" s="38">
        <f t="shared" si="56"/>
        <v>31854238.234617982</v>
      </c>
      <c r="I749" s="38">
        <f t="shared" si="57"/>
        <v>3341318.4653820209</v>
      </c>
      <c r="J749" s="38">
        <v>10189731.454656126</v>
      </c>
      <c r="K749" s="38">
        <f t="shared" si="58"/>
        <v>-6848412.9892741051</v>
      </c>
      <c r="L749" s="41">
        <f>VLOOKUP(INDICADORES!$B$21,'DATOS GENERALES'!$K:$M,3,0)*E749</f>
        <v>239541.88423465099</v>
      </c>
      <c r="M749" s="38">
        <f t="shared" si="59"/>
        <v>-7087954.873508756</v>
      </c>
      <c r="N749" s="36"/>
      <c r="O749" s="36"/>
      <c r="P749" s="36"/>
    </row>
    <row r="750" spans="1:16" x14ac:dyDescent="0.25">
      <c r="A750" s="36">
        <v>1818</v>
      </c>
      <c r="B750" s="37">
        <v>43770</v>
      </c>
      <c r="C750" s="36" t="s">
        <v>195</v>
      </c>
      <c r="D750" s="36"/>
      <c r="E750" s="38">
        <v>35195556.700000003</v>
      </c>
      <c r="F750" s="40">
        <f>VLOOKUP(A750,'DATOS GENERALES'!A:B,2,0)</f>
        <v>1.1100000000000001</v>
      </c>
      <c r="G750" s="36">
        <f t="shared" si="55"/>
        <v>1.104894</v>
      </c>
      <c r="H750" s="38">
        <f t="shared" si="56"/>
        <v>31854238.234617982</v>
      </c>
      <c r="I750" s="38">
        <f t="shared" si="57"/>
        <v>3341318.4653820209</v>
      </c>
      <c r="J750" s="38">
        <v>13628015.374250336</v>
      </c>
      <c r="K750" s="38">
        <f t="shared" si="58"/>
        <v>-10286696.908868315</v>
      </c>
      <c r="L750" s="41">
        <f>VLOOKUP(INDICADORES!$B$21,'DATOS GENERALES'!$K:$M,3,0)*E750</f>
        <v>239541.88423465099</v>
      </c>
      <c r="M750" s="38">
        <f t="shared" si="59"/>
        <v>-10526238.793102965</v>
      </c>
      <c r="N750" s="36"/>
      <c r="O750" s="36"/>
      <c r="P750" s="36"/>
    </row>
    <row r="751" spans="1:16" x14ac:dyDescent="0.25">
      <c r="A751" s="36">
        <v>1818</v>
      </c>
      <c r="B751" s="37">
        <v>43800</v>
      </c>
      <c r="C751" s="36" t="s">
        <v>195</v>
      </c>
      <c r="D751" s="36"/>
      <c r="E751" s="38">
        <v>31409130.699999999</v>
      </c>
      <c r="F751" s="40">
        <f>VLOOKUP(A751,'DATOS GENERALES'!A:B,2,0)</f>
        <v>1.1100000000000001</v>
      </c>
      <c r="G751" s="36">
        <f t="shared" si="55"/>
        <v>1.104894</v>
      </c>
      <c r="H751" s="38">
        <f t="shared" si="56"/>
        <v>28427279.630444184</v>
      </c>
      <c r="I751" s="38">
        <f t="shared" si="57"/>
        <v>2981851.0695558153</v>
      </c>
      <c r="J751" s="38">
        <v>10240149.144347189</v>
      </c>
      <c r="K751" s="38">
        <f t="shared" si="58"/>
        <v>-7258298.0747913737</v>
      </c>
      <c r="L751" s="41">
        <f>VLOOKUP(INDICADORES!$B$21,'DATOS GENERALES'!$K:$M,3,0)*E751</f>
        <v>213771.36932885682</v>
      </c>
      <c r="M751" s="38">
        <f t="shared" si="59"/>
        <v>-7472069.4441202302</v>
      </c>
      <c r="N751" s="36"/>
      <c r="O751" s="36"/>
      <c r="P751" s="36"/>
    </row>
    <row r="752" spans="1:16" x14ac:dyDescent="0.25">
      <c r="A752" s="36">
        <v>1829</v>
      </c>
      <c r="B752" s="37">
        <v>43466</v>
      </c>
      <c r="C752" s="36" t="s">
        <v>195</v>
      </c>
      <c r="D752" s="36"/>
      <c r="E752" s="38">
        <v>71699753.276983202</v>
      </c>
      <c r="F752" s="40">
        <f>VLOOKUP(A752,'DATOS GENERALES'!A:B,2,0)</f>
        <v>1.35</v>
      </c>
      <c r="G752" s="36">
        <f t="shared" si="55"/>
        <v>1.34379</v>
      </c>
      <c r="H752" s="38">
        <f t="shared" si="56"/>
        <v>53356367.644485518</v>
      </c>
      <c r="I752" s="38">
        <f t="shared" si="57"/>
        <v>18343385.632497683</v>
      </c>
      <c r="J752" s="38">
        <v>11707365.871437222</v>
      </c>
      <c r="K752" s="38">
        <f t="shared" si="58"/>
        <v>6636019.7610604614</v>
      </c>
      <c r="L752" s="41">
        <f>VLOOKUP(INDICADORES!$B$21,'DATOS GENERALES'!$K:$M,3,0)*E752</f>
        <v>487990.40587780066</v>
      </c>
      <c r="M752" s="38">
        <f t="shared" si="59"/>
        <v>6148029.3551826607</v>
      </c>
      <c r="N752" s="36"/>
      <c r="O752" s="36"/>
      <c r="P752" s="36"/>
    </row>
    <row r="753" spans="1:16" x14ac:dyDescent="0.25">
      <c r="A753" s="36">
        <v>1829</v>
      </c>
      <c r="B753" s="37">
        <v>43497</v>
      </c>
      <c r="C753" s="36" t="s">
        <v>195</v>
      </c>
      <c r="D753" s="36"/>
      <c r="E753" s="38">
        <v>71699753.276983202</v>
      </c>
      <c r="F753" s="40">
        <f>VLOOKUP(A753,'DATOS GENERALES'!A:B,2,0)</f>
        <v>1.35</v>
      </c>
      <c r="G753" s="36">
        <f t="shared" si="55"/>
        <v>1.34379</v>
      </c>
      <c r="H753" s="38">
        <f t="shared" si="56"/>
        <v>53356367.644485518</v>
      </c>
      <c r="I753" s="38">
        <f t="shared" si="57"/>
        <v>18343385.632497683</v>
      </c>
      <c r="J753" s="38">
        <v>11533397.577067515</v>
      </c>
      <c r="K753" s="38">
        <f t="shared" si="58"/>
        <v>6809988.0554301683</v>
      </c>
      <c r="L753" s="41">
        <f>VLOOKUP(INDICADORES!$B$21,'DATOS GENERALES'!$K:$M,3,0)*E753</f>
        <v>487990.40587780066</v>
      </c>
      <c r="M753" s="38">
        <f t="shared" si="59"/>
        <v>6321997.6495523676</v>
      </c>
      <c r="N753" s="36"/>
      <c r="O753" s="36"/>
      <c r="P753" s="36"/>
    </row>
    <row r="754" spans="1:16" x14ac:dyDescent="0.25">
      <c r="A754" s="36">
        <v>1829</v>
      </c>
      <c r="B754" s="37">
        <v>43525</v>
      </c>
      <c r="C754" s="36" t="s">
        <v>195</v>
      </c>
      <c r="D754" s="36"/>
      <c r="E754" s="38">
        <v>71699753.276983202</v>
      </c>
      <c r="F754" s="40">
        <f>VLOOKUP(A754,'DATOS GENERALES'!A:B,2,0)</f>
        <v>1.35</v>
      </c>
      <c r="G754" s="36">
        <f t="shared" si="55"/>
        <v>1.34379</v>
      </c>
      <c r="H754" s="38">
        <f t="shared" si="56"/>
        <v>53356367.644485518</v>
      </c>
      <c r="I754" s="38">
        <f t="shared" si="57"/>
        <v>18343385.632497683</v>
      </c>
      <c r="J754" s="38">
        <v>8344270.0998023758</v>
      </c>
      <c r="K754" s="38">
        <f t="shared" si="58"/>
        <v>9999115.5326953083</v>
      </c>
      <c r="L754" s="41">
        <f>VLOOKUP(INDICADORES!$B$21,'DATOS GENERALES'!$K:$M,3,0)*E754</f>
        <v>487990.40587780066</v>
      </c>
      <c r="M754" s="38">
        <f t="shared" si="59"/>
        <v>9511125.1268175077</v>
      </c>
      <c r="N754" s="36"/>
      <c r="O754" s="36"/>
      <c r="P754" s="36"/>
    </row>
    <row r="755" spans="1:16" x14ac:dyDescent="0.25">
      <c r="A755" s="36">
        <v>1829</v>
      </c>
      <c r="B755" s="37">
        <v>43556</v>
      </c>
      <c r="C755" s="36" t="s">
        <v>195</v>
      </c>
      <c r="D755" s="36"/>
      <c r="E755" s="38">
        <v>71699753.276983202</v>
      </c>
      <c r="F755" s="40">
        <f>VLOOKUP(A755,'DATOS GENERALES'!A:B,2,0)</f>
        <v>1.35</v>
      </c>
      <c r="G755" s="36">
        <f t="shared" si="55"/>
        <v>1.34379</v>
      </c>
      <c r="H755" s="38">
        <f t="shared" si="56"/>
        <v>53356367.644485518</v>
      </c>
      <c r="I755" s="38">
        <f t="shared" si="57"/>
        <v>18343385.632497683</v>
      </c>
      <c r="J755" s="38">
        <v>8578538.5550027788</v>
      </c>
      <c r="K755" s="38">
        <f t="shared" si="58"/>
        <v>9764847.0774949044</v>
      </c>
      <c r="L755" s="41">
        <f>VLOOKUP(INDICADORES!$B$21,'DATOS GENERALES'!$K:$M,3,0)*E755</f>
        <v>487990.40587780066</v>
      </c>
      <c r="M755" s="38">
        <f t="shared" si="59"/>
        <v>9276856.6716171037</v>
      </c>
      <c r="N755" s="36"/>
      <c r="O755" s="36"/>
      <c r="P755" s="36"/>
    </row>
    <row r="756" spans="1:16" x14ac:dyDescent="0.25">
      <c r="A756" s="36">
        <v>1829</v>
      </c>
      <c r="B756" s="37">
        <v>43586</v>
      </c>
      <c r="C756" s="36" t="s">
        <v>195</v>
      </c>
      <c r="D756" s="36"/>
      <c r="E756" s="38">
        <v>71699753.276983202</v>
      </c>
      <c r="F756" s="40">
        <f>VLOOKUP(A756,'DATOS GENERALES'!A:B,2,0)</f>
        <v>1.35</v>
      </c>
      <c r="G756" s="36">
        <f t="shared" si="55"/>
        <v>1.34379</v>
      </c>
      <c r="H756" s="38">
        <f t="shared" si="56"/>
        <v>53356367.644485518</v>
      </c>
      <c r="I756" s="38">
        <f t="shared" si="57"/>
        <v>18343385.632497683</v>
      </c>
      <c r="J756" s="38">
        <v>7076694.3725385191</v>
      </c>
      <c r="K756" s="38">
        <f t="shared" si="58"/>
        <v>11266691.259959165</v>
      </c>
      <c r="L756" s="41">
        <f>VLOOKUP(INDICADORES!$B$21,'DATOS GENERALES'!$K:$M,3,0)*E756</f>
        <v>487990.40587780066</v>
      </c>
      <c r="M756" s="38">
        <f t="shared" si="59"/>
        <v>10778700.854081364</v>
      </c>
      <c r="N756" s="36"/>
      <c r="O756" s="36"/>
      <c r="P756" s="36"/>
    </row>
    <row r="757" spans="1:16" x14ac:dyDescent="0.25">
      <c r="A757" s="36">
        <v>1829</v>
      </c>
      <c r="B757" s="37">
        <v>43617</v>
      </c>
      <c r="C757" s="36" t="s">
        <v>195</v>
      </c>
      <c r="D757" s="36"/>
      <c r="E757" s="38">
        <v>71699753.276983202</v>
      </c>
      <c r="F757" s="40">
        <f>VLOOKUP(A757,'DATOS GENERALES'!A:B,2,0)</f>
        <v>1.35</v>
      </c>
      <c r="G757" s="36">
        <f t="shared" si="55"/>
        <v>1.34379</v>
      </c>
      <c r="H757" s="38">
        <f t="shared" si="56"/>
        <v>53356367.644485518</v>
      </c>
      <c r="I757" s="38">
        <f t="shared" si="57"/>
        <v>18343385.632497683</v>
      </c>
      <c r="J757" s="38">
        <v>9516496.6791654453</v>
      </c>
      <c r="K757" s="38">
        <f t="shared" si="58"/>
        <v>8826888.9533322379</v>
      </c>
      <c r="L757" s="41">
        <f>VLOOKUP(INDICADORES!$B$21,'DATOS GENERALES'!$K:$M,3,0)*E757</f>
        <v>487990.40587780066</v>
      </c>
      <c r="M757" s="38">
        <f t="shared" si="59"/>
        <v>8338898.5474544372</v>
      </c>
      <c r="N757" s="36"/>
      <c r="O757" s="36"/>
      <c r="P757" s="36"/>
    </row>
    <row r="758" spans="1:16" x14ac:dyDescent="0.25">
      <c r="A758" s="36">
        <v>1829</v>
      </c>
      <c r="B758" s="37">
        <v>43647</v>
      </c>
      <c r="C758" s="36" t="s">
        <v>195</v>
      </c>
      <c r="D758" s="36"/>
      <c r="E758" s="38">
        <v>71699753.276983202</v>
      </c>
      <c r="F758" s="40">
        <f>VLOOKUP(A758,'DATOS GENERALES'!A:B,2,0)</f>
        <v>1.35</v>
      </c>
      <c r="G758" s="36">
        <f t="shared" si="55"/>
        <v>1.34379</v>
      </c>
      <c r="H758" s="38">
        <f t="shared" si="56"/>
        <v>53356367.644485518</v>
      </c>
      <c r="I758" s="38">
        <f t="shared" si="57"/>
        <v>18343385.632497683</v>
      </c>
      <c r="J758" s="38">
        <v>14191904.146940095</v>
      </c>
      <c r="K758" s="38">
        <f t="shared" si="58"/>
        <v>4151481.4855575878</v>
      </c>
      <c r="L758" s="41">
        <f>VLOOKUP(INDICADORES!$B$21,'DATOS GENERALES'!$K:$M,3,0)*E758</f>
        <v>487990.40587780066</v>
      </c>
      <c r="M758" s="38">
        <f t="shared" si="59"/>
        <v>3663491.0796797872</v>
      </c>
      <c r="N758" s="36"/>
      <c r="O758" s="36"/>
      <c r="P758" s="36"/>
    </row>
    <row r="759" spans="1:16" x14ac:dyDescent="0.25">
      <c r="A759" s="36">
        <v>1829</v>
      </c>
      <c r="B759" s="37">
        <v>43678</v>
      </c>
      <c r="C759" s="36" t="s">
        <v>195</v>
      </c>
      <c r="D759" s="36"/>
      <c r="E759" s="38">
        <v>71699753.276983202</v>
      </c>
      <c r="F759" s="40">
        <f>VLOOKUP(A759,'DATOS GENERALES'!A:B,2,0)</f>
        <v>1.35</v>
      </c>
      <c r="G759" s="36">
        <f t="shared" si="55"/>
        <v>1.34379</v>
      </c>
      <c r="H759" s="38">
        <f t="shared" si="56"/>
        <v>53356367.644485518</v>
      </c>
      <c r="I759" s="38">
        <f t="shared" si="57"/>
        <v>18343385.632497683</v>
      </c>
      <c r="J759" s="38">
        <v>13965348.218548449</v>
      </c>
      <c r="K759" s="38">
        <f t="shared" si="58"/>
        <v>4378037.4139492344</v>
      </c>
      <c r="L759" s="41">
        <f>VLOOKUP(INDICADORES!$B$21,'DATOS GENERALES'!$K:$M,3,0)*E759</f>
        <v>487990.40587780066</v>
      </c>
      <c r="M759" s="38">
        <f t="shared" si="59"/>
        <v>3890047.0080714338</v>
      </c>
      <c r="N759" s="36"/>
      <c r="O759" s="36"/>
      <c r="P759" s="36"/>
    </row>
    <row r="760" spans="1:16" x14ac:dyDescent="0.25">
      <c r="A760" s="36">
        <v>1829</v>
      </c>
      <c r="B760" s="37">
        <v>43709</v>
      </c>
      <c r="C760" s="36" t="s">
        <v>195</v>
      </c>
      <c r="D760" s="36"/>
      <c r="E760" s="38">
        <v>71699753.276983202</v>
      </c>
      <c r="F760" s="40">
        <f>VLOOKUP(A760,'DATOS GENERALES'!A:B,2,0)</f>
        <v>1.35</v>
      </c>
      <c r="G760" s="36">
        <f t="shared" si="55"/>
        <v>1.34379</v>
      </c>
      <c r="H760" s="38">
        <f t="shared" si="56"/>
        <v>53356367.644485518</v>
      </c>
      <c r="I760" s="38">
        <f t="shared" si="57"/>
        <v>18343385.632497683</v>
      </c>
      <c r="J760" s="38">
        <v>15783260.144933978</v>
      </c>
      <c r="K760" s="38">
        <f t="shared" si="58"/>
        <v>2560125.4875637051</v>
      </c>
      <c r="L760" s="41">
        <f>VLOOKUP(INDICADORES!$B$21,'DATOS GENERALES'!$K:$M,3,0)*E760</f>
        <v>487990.40587780066</v>
      </c>
      <c r="M760" s="38">
        <f t="shared" si="59"/>
        <v>2072135.0816859044</v>
      </c>
      <c r="N760" s="36"/>
      <c r="O760" s="36"/>
      <c r="P760" s="36"/>
    </row>
    <row r="761" spans="1:16" x14ac:dyDescent="0.25">
      <c r="A761" s="36">
        <v>1829</v>
      </c>
      <c r="B761" s="37">
        <v>43739</v>
      </c>
      <c r="C761" s="36" t="s">
        <v>195</v>
      </c>
      <c r="D761" s="36"/>
      <c r="E761" s="38">
        <v>71699753.276983202</v>
      </c>
      <c r="F761" s="40">
        <f>VLOOKUP(A761,'DATOS GENERALES'!A:B,2,0)</f>
        <v>1.35</v>
      </c>
      <c r="G761" s="36">
        <f t="shared" si="55"/>
        <v>1.34379</v>
      </c>
      <c r="H761" s="38">
        <f t="shared" si="56"/>
        <v>53356367.644485518</v>
      </c>
      <c r="I761" s="38">
        <f t="shared" si="57"/>
        <v>18343385.632497683</v>
      </c>
      <c r="J761" s="38">
        <v>17067966.080016065</v>
      </c>
      <c r="K761" s="38">
        <f t="shared" si="58"/>
        <v>1275419.5524816178</v>
      </c>
      <c r="L761" s="41">
        <f>VLOOKUP(INDICADORES!$B$21,'DATOS GENERALES'!$K:$M,3,0)*E761</f>
        <v>487990.40587780066</v>
      </c>
      <c r="M761" s="38">
        <f t="shared" si="59"/>
        <v>787429.14660381712</v>
      </c>
      <c r="N761" s="36"/>
      <c r="O761" s="36"/>
      <c r="P761" s="36"/>
    </row>
    <row r="762" spans="1:16" x14ac:dyDescent="0.25">
      <c r="A762" s="36">
        <v>1829</v>
      </c>
      <c r="B762" s="37">
        <v>43770</v>
      </c>
      <c r="C762" s="36" t="s">
        <v>195</v>
      </c>
      <c r="D762" s="36"/>
      <c r="E762" s="38">
        <v>71699753.276983202</v>
      </c>
      <c r="F762" s="40">
        <f>VLOOKUP(A762,'DATOS GENERALES'!A:B,2,0)</f>
        <v>1.35</v>
      </c>
      <c r="G762" s="36">
        <f t="shared" si="55"/>
        <v>1.34379</v>
      </c>
      <c r="H762" s="38">
        <f t="shared" si="56"/>
        <v>53356367.644485518</v>
      </c>
      <c r="I762" s="38">
        <f t="shared" si="57"/>
        <v>18343385.632497683</v>
      </c>
      <c r="J762" s="38">
        <v>22827147.622163888</v>
      </c>
      <c r="K762" s="38">
        <f t="shared" si="58"/>
        <v>-4483761.9896662049</v>
      </c>
      <c r="L762" s="41">
        <f>VLOOKUP(INDICADORES!$B$21,'DATOS GENERALES'!$K:$M,3,0)*E762</f>
        <v>487990.40587780066</v>
      </c>
      <c r="M762" s="38">
        <f t="shared" si="59"/>
        <v>-4971752.3955440056</v>
      </c>
      <c r="N762" s="36"/>
      <c r="O762" s="36"/>
      <c r="P762" s="36"/>
    </row>
    <row r="763" spans="1:16" x14ac:dyDescent="0.25">
      <c r="A763" s="36">
        <v>1829</v>
      </c>
      <c r="B763" s="37">
        <v>43800</v>
      </c>
      <c r="C763" s="36" t="s">
        <v>195</v>
      </c>
      <c r="D763" s="36"/>
      <c r="E763" s="38">
        <v>71699753.276983202</v>
      </c>
      <c r="F763" s="40">
        <f>VLOOKUP(A763,'DATOS GENERALES'!A:B,2,0)</f>
        <v>1.35</v>
      </c>
      <c r="G763" s="36">
        <f t="shared" si="55"/>
        <v>1.34379</v>
      </c>
      <c r="H763" s="38">
        <f t="shared" si="56"/>
        <v>53356367.644485518</v>
      </c>
      <c r="I763" s="38">
        <f t="shared" si="57"/>
        <v>18343385.632497683</v>
      </c>
      <c r="J763" s="38">
        <v>19220170.539815214</v>
      </c>
      <c r="K763" s="38">
        <f t="shared" si="58"/>
        <v>-876784.90731753036</v>
      </c>
      <c r="L763" s="41">
        <f>VLOOKUP(INDICADORES!$B$21,'DATOS GENERALES'!$K:$M,3,0)*E763</f>
        <v>487990.40587780066</v>
      </c>
      <c r="M763" s="38">
        <f t="shared" si="59"/>
        <v>-1364775.313195331</v>
      </c>
      <c r="N763" s="36"/>
      <c r="O763" s="36"/>
      <c r="P763" s="36"/>
    </row>
    <row r="764" spans="1:16" x14ac:dyDescent="0.25">
      <c r="A764" s="36">
        <v>1829</v>
      </c>
      <c r="B764" s="37">
        <v>43831</v>
      </c>
      <c r="C764" s="36" t="s">
        <v>195</v>
      </c>
      <c r="D764" s="36"/>
      <c r="E764" s="38">
        <v>65878695.026983202</v>
      </c>
      <c r="F764" s="40">
        <f>VLOOKUP(A764,'DATOS GENERALES'!A:B,2,0)</f>
        <v>1.35</v>
      </c>
      <c r="G764" s="36">
        <f t="shared" si="55"/>
        <v>1.34379</v>
      </c>
      <c r="H764" s="38">
        <f t="shared" si="56"/>
        <v>49024546.266145155</v>
      </c>
      <c r="I764" s="38">
        <f t="shared" si="57"/>
        <v>16854148.760838047</v>
      </c>
      <c r="J764" s="38" t="s">
        <v>213</v>
      </c>
      <c r="K764" s="38" t="str">
        <f t="shared" si="58"/>
        <v/>
      </c>
      <c r="L764" s="41">
        <f>VLOOKUP(INDICADORES!$B$21,'DATOS GENERALES'!$K:$M,3,0)*E764</f>
        <v>448372.13038552355</v>
      </c>
      <c r="M764" s="38" t="str">
        <f t="shared" si="59"/>
        <v/>
      </c>
      <c r="N764" s="36"/>
      <c r="O764" s="36"/>
      <c r="P764" s="36"/>
    </row>
    <row r="765" spans="1:16" x14ac:dyDescent="0.25">
      <c r="A765" s="36">
        <v>1829</v>
      </c>
      <c r="B765" s="37">
        <v>43862</v>
      </c>
      <c r="C765" s="36" t="s">
        <v>195</v>
      </c>
      <c r="D765" s="36"/>
      <c r="E765" s="38">
        <v>65878695.026983202</v>
      </c>
      <c r="F765" s="40">
        <f>VLOOKUP(A765,'DATOS GENERALES'!A:B,2,0)</f>
        <v>1.35</v>
      </c>
      <c r="G765" s="36">
        <f t="shared" si="55"/>
        <v>1.34379</v>
      </c>
      <c r="H765" s="38">
        <f t="shared" si="56"/>
        <v>49024546.266145155</v>
      </c>
      <c r="I765" s="38">
        <f t="shared" si="57"/>
        <v>16854148.760838047</v>
      </c>
      <c r="J765" s="38" t="s">
        <v>213</v>
      </c>
      <c r="K765" s="38" t="str">
        <f t="shared" si="58"/>
        <v/>
      </c>
      <c r="L765" s="41">
        <f>VLOOKUP(INDICADORES!$B$21,'DATOS GENERALES'!$K:$M,3,0)*E765</f>
        <v>448372.13038552355</v>
      </c>
      <c r="M765" s="38" t="str">
        <f t="shared" si="59"/>
        <v/>
      </c>
      <c r="N765" s="36"/>
      <c r="O765" s="36"/>
      <c r="P765" s="36"/>
    </row>
    <row r="766" spans="1:16" x14ac:dyDescent="0.25">
      <c r="A766" s="36">
        <v>1829</v>
      </c>
      <c r="B766" s="37">
        <v>43891</v>
      </c>
      <c r="C766" s="36" t="s">
        <v>195</v>
      </c>
      <c r="D766" s="36"/>
      <c r="E766" s="38">
        <v>61723893.851983197</v>
      </c>
      <c r="F766" s="40">
        <f>VLOOKUP(A766,'DATOS GENERALES'!A:B,2,0)</f>
        <v>1.35</v>
      </c>
      <c r="G766" s="36">
        <f t="shared" si="55"/>
        <v>1.34379</v>
      </c>
      <c r="H766" s="38">
        <f t="shared" si="56"/>
        <v>45932693.242235169</v>
      </c>
      <c r="I766" s="38">
        <f t="shared" si="57"/>
        <v>15791200.609748028</v>
      </c>
      <c r="J766" s="38" t="s">
        <v>213</v>
      </c>
      <c r="K766" s="38" t="str">
        <f t="shared" si="58"/>
        <v/>
      </c>
      <c r="L766" s="41">
        <f>VLOOKUP(INDICADORES!$B$21,'DATOS GENERALES'!$K:$M,3,0)*E766</f>
        <v>420094.44435364316</v>
      </c>
      <c r="M766" s="38" t="str">
        <f t="shared" si="59"/>
        <v/>
      </c>
      <c r="N766" s="36"/>
      <c r="O766" s="36"/>
      <c r="P766" s="36"/>
    </row>
    <row r="767" spans="1:16" x14ac:dyDescent="0.25">
      <c r="A767" s="36">
        <v>1829</v>
      </c>
      <c r="B767" s="37">
        <v>43922</v>
      </c>
      <c r="C767" s="36" t="s">
        <v>195</v>
      </c>
      <c r="D767" s="36"/>
      <c r="E767" s="38">
        <v>49714833.851983197</v>
      </c>
      <c r="F767" s="40">
        <f>VLOOKUP(A767,'DATOS GENERALES'!A:B,2,0)</f>
        <v>1.35</v>
      </c>
      <c r="G767" s="36">
        <f t="shared" si="55"/>
        <v>1.34379</v>
      </c>
      <c r="H767" s="38">
        <f t="shared" si="56"/>
        <v>36995984.381475672</v>
      </c>
      <c r="I767" s="38">
        <f t="shared" si="57"/>
        <v>12718849.470507525</v>
      </c>
      <c r="J767" s="38" t="s">
        <v>213</v>
      </c>
      <c r="K767" s="38" t="str">
        <f t="shared" si="58"/>
        <v/>
      </c>
      <c r="L767" s="41">
        <f>VLOOKUP(INDICADORES!$B$21,'DATOS GENERALES'!$K:$M,3,0)*E767</f>
        <v>338360.46626069321</v>
      </c>
      <c r="M767" s="38" t="str">
        <f t="shared" si="59"/>
        <v/>
      </c>
      <c r="N767" s="36"/>
      <c r="O767" s="36"/>
      <c r="P767" s="36"/>
    </row>
    <row r="768" spans="1:16" x14ac:dyDescent="0.25">
      <c r="A768" s="36">
        <v>1829</v>
      </c>
      <c r="B768" s="37">
        <v>43952</v>
      </c>
      <c r="C768" s="36" t="s">
        <v>195</v>
      </c>
      <c r="D768" s="36"/>
      <c r="E768" s="38">
        <v>48046908.851983197</v>
      </c>
      <c r="F768" s="40">
        <f>VLOOKUP(A768,'DATOS GENERALES'!A:B,2,0)</f>
        <v>1.35</v>
      </c>
      <c r="G768" s="36">
        <f t="shared" si="55"/>
        <v>1.34379</v>
      </c>
      <c r="H768" s="38">
        <f t="shared" si="56"/>
        <v>35754774.817481302</v>
      </c>
      <c r="I768" s="38">
        <f t="shared" si="57"/>
        <v>12292134.034501895</v>
      </c>
      <c r="J768" s="38" t="s">
        <v>213</v>
      </c>
      <c r="K768" s="38" t="str">
        <f t="shared" si="58"/>
        <v/>
      </c>
      <c r="L768" s="41">
        <f>VLOOKUP(INDICADORES!$B$21,'DATOS GENERALES'!$K:$M,3,0)*E768</f>
        <v>327008.52485889464</v>
      </c>
      <c r="M768" s="38" t="str">
        <f t="shared" si="59"/>
        <v/>
      </c>
      <c r="N768" s="36"/>
      <c r="O768" s="36"/>
      <c r="P768" s="36"/>
    </row>
    <row r="769" spans="1:16" x14ac:dyDescent="0.25">
      <c r="A769" s="36">
        <v>1829</v>
      </c>
      <c r="B769" s="37">
        <v>43983</v>
      </c>
      <c r="C769" s="36" t="s">
        <v>195</v>
      </c>
      <c r="D769" s="36"/>
      <c r="E769" s="38">
        <v>40541246.351983197</v>
      </c>
      <c r="F769" s="40">
        <f>VLOOKUP(A769,'DATOS GENERALES'!A:B,2,0)</f>
        <v>1.35</v>
      </c>
      <c r="G769" s="36">
        <f t="shared" si="55"/>
        <v>1.34379</v>
      </c>
      <c r="H769" s="38">
        <f t="shared" si="56"/>
        <v>30169331.779506616</v>
      </c>
      <c r="I769" s="38">
        <f t="shared" si="57"/>
        <v>10371914.572476581</v>
      </c>
      <c r="J769" s="38" t="s">
        <v>213</v>
      </c>
      <c r="K769" s="38" t="str">
        <f t="shared" si="58"/>
        <v/>
      </c>
      <c r="L769" s="41">
        <f>VLOOKUP(INDICADORES!$B$21,'DATOS GENERALES'!$K:$M,3,0)*E769</f>
        <v>275924.78855080093</v>
      </c>
      <c r="M769" s="38" t="str">
        <f t="shared" si="59"/>
        <v/>
      </c>
      <c r="N769" s="36"/>
      <c r="O769" s="36"/>
      <c r="P769" s="36"/>
    </row>
    <row r="770" spans="1:16" x14ac:dyDescent="0.25">
      <c r="A770" s="36">
        <v>1838</v>
      </c>
      <c r="B770" s="37">
        <v>43466</v>
      </c>
      <c r="C770" s="36" t="s">
        <v>195</v>
      </c>
      <c r="D770" s="36"/>
      <c r="E770" s="38">
        <v>15824227.25</v>
      </c>
      <c r="F770" s="40">
        <f>VLOOKUP(A770,'DATOS GENERALES'!A:B,2,0)</f>
        <v>1.92</v>
      </c>
      <c r="G770" s="36">
        <f t="shared" si="55"/>
        <v>1.9111679999999998</v>
      </c>
      <c r="H770" s="38">
        <f t="shared" si="56"/>
        <v>8279872.4392622737</v>
      </c>
      <c r="I770" s="38">
        <f t="shared" si="57"/>
        <v>7544354.8107377263</v>
      </c>
      <c r="J770" s="38">
        <v>1816755.9055210776</v>
      </c>
      <c r="K770" s="38">
        <f t="shared" si="58"/>
        <v>5727598.9052166492</v>
      </c>
      <c r="L770" s="41">
        <f>VLOOKUP(INDICADORES!$B$21,'DATOS GENERALES'!$K:$M,3,0)*E770</f>
        <v>107700.10670188686</v>
      </c>
      <c r="M770" s="38">
        <f t="shared" si="59"/>
        <v>5619898.798514762</v>
      </c>
      <c r="N770" s="36"/>
      <c r="O770" s="36"/>
      <c r="P770" s="36"/>
    </row>
    <row r="771" spans="1:16" x14ac:dyDescent="0.25">
      <c r="A771" s="36">
        <v>1838</v>
      </c>
      <c r="B771" s="37">
        <v>43497</v>
      </c>
      <c r="C771" s="36" t="s">
        <v>195</v>
      </c>
      <c r="D771" s="36"/>
      <c r="E771" s="38">
        <v>15824227.25</v>
      </c>
      <c r="F771" s="40">
        <f>VLOOKUP(A771,'DATOS GENERALES'!A:B,2,0)</f>
        <v>1.92</v>
      </c>
      <c r="G771" s="36">
        <f t="shared" ref="G771:G834" si="60">F771*0.9954</f>
        <v>1.9111679999999998</v>
      </c>
      <c r="H771" s="38">
        <f t="shared" ref="H771:H834" si="61">E771/G771</f>
        <v>8279872.4392622737</v>
      </c>
      <c r="I771" s="38">
        <f t="shared" ref="I771:I834" si="62">E771-H771</f>
        <v>7544354.8107377263</v>
      </c>
      <c r="J771" s="38">
        <v>1789759.4035205129</v>
      </c>
      <c r="K771" s="38">
        <f t="shared" ref="K771:K834" si="63">IFERROR(I771-J771,"")</f>
        <v>5754595.4072172139</v>
      </c>
      <c r="L771" s="41">
        <f>VLOOKUP(INDICADORES!$B$21,'DATOS GENERALES'!$K:$M,3,0)*E771</f>
        <v>107700.10670188686</v>
      </c>
      <c r="M771" s="38">
        <f t="shared" ref="M771:M834" si="64">IFERROR(K771-L771,"")</f>
        <v>5646895.3005153267</v>
      </c>
      <c r="N771" s="36"/>
      <c r="O771" s="36"/>
      <c r="P771" s="36"/>
    </row>
    <row r="772" spans="1:16" x14ac:dyDescent="0.25">
      <c r="A772" s="36">
        <v>1838</v>
      </c>
      <c r="B772" s="37">
        <v>43525</v>
      </c>
      <c r="C772" s="36" t="s">
        <v>195</v>
      </c>
      <c r="D772" s="36"/>
      <c r="E772" s="38">
        <v>15824227.25</v>
      </c>
      <c r="F772" s="40">
        <f>VLOOKUP(A772,'DATOS GENERALES'!A:B,2,0)</f>
        <v>1.92</v>
      </c>
      <c r="G772" s="36">
        <f t="shared" si="60"/>
        <v>1.9111679999999998</v>
      </c>
      <c r="H772" s="38">
        <f t="shared" si="61"/>
        <v>8279872.4392622737</v>
      </c>
      <c r="I772" s="38">
        <f t="shared" si="62"/>
        <v>7544354.8107377263</v>
      </c>
      <c r="J772" s="38">
        <v>1294868.7302977319</v>
      </c>
      <c r="K772" s="38">
        <f t="shared" si="63"/>
        <v>6249486.0804399941</v>
      </c>
      <c r="L772" s="41">
        <f>VLOOKUP(INDICADORES!$B$21,'DATOS GENERALES'!$K:$M,3,0)*E772</f>
        <v>107700.10670188686</v>
      </c>
      <c r="M772" s="38">
        <f t="shared" si="64"/>
        <v>6141785.9737381069</v>
      </c>
      <c r="N772" s="36"/>
      <c r="O772" s="36"/>
      <c r="P772" s="36"/>
    </row>
    <row r="773" spans="1:16" x14ac:dyDescent="0.25">
      <c r="A773" s="36">
        <v>1846</v>
      </c>
      <c r="B773" s="37">
        <v>43466</v>
      </c>
      <c r="C773" s="36" t="s">
        <v>195</v>
      </c>
      <c r="D773" s="36"/>
      <c r="E773" s="38">
        <v>153017477.52499998</v>
      </c>
      <c r="F773" s="40">
        <f>VLOOKUP(A773,'DATOS GENERALES'!A:B,2,0)</f>
        <v>1.72</v>
      </c>
      <c r="G773" s="36">
        <f t="shared" si="60"/>
        <v>1.7120879999999998</v>
      </c>
      <c r="H773" s="38">
        <f t="shared" si="61"/>
        <v>89374773.682777986</v>
      </c>
      <c r="I773" s="38">
        <f t="shared" si="62"/>
        <v>63642703.84222199</v>
      </c>
      <c r="J773" s="38">
        <v>19610464.905575749</v>
      </c>
      <c r="K773" s="38">
        <f t="shared" si="63"/>
        <v>44032238.936646238</v>
      </c>
      <c r="L773" s="41">
        <f>VLOOKUP(INDICADORES!$B$21,'DATOS GENERALES'!$K:$M,3,0)*E773</f>
        <v>1041440.9750527359</v>
      </c>
      <c r="M773" s="38">
        <f t="shared" si="64"/>
        <v>42990797.961593501</v>
      </c>
      <c r="N773" s="36"/>
      <c r="O773" s="36"/>
      <c r="P773" s="36"/>
    </row>
    <row r="774" spans="1:16" x14ac:dyDescent="0.25">
      <c r="A774" s="36">
        <v>1846</v>
      </c>
      <c r="B774" s="37">
        <v>43497</v>
      </c>
      <c r="C774" s="36" t="s">
        <v>195</v>
      </c>
      <c r="D774" s="36"/>
      <c r="E774" s="38">
        <v>151568477.52499998</v>
      </c>
      <c r="F774" s="40">
        <f>VLOOKUP(A774,'DATOS GENERALES'!A:B,2,0)</f>
        <v>1.72</v>
      </c>
      <c r="G774" s="36">
        <f t="shared" si="60"/>
        <v>1.7120879999999998</v>
      </c>
      <c r="H774" s="38">
        <f t="shared" si="61"/>
        <v>88528438.681306094</v>
      </c>
      <c r="I774" s="38">
        <f t="shared" si="62"/>
        <v>63040038.843693882</v>
      </c>
      <c r="J774" s="38">
        <v>19136116.742273621</v>
      </c>
      <c r="K774" s="38">
        <f t="shared" si="63"/>
        <v>43903922.101420261</v>
      </c>
      <c r="L774" s="41">
        <f>VLOOKUP(INDICADORES!$B$21,'DATOS GENERALES'!$K:$M,3,0)*E774</f>
        <v>1031579.0429567446</v>
      </c>
      <c r="M774" s="38">
        <f t="shared" si="64"/>
        <v>42872343.058463514</v>
      </c>
      <c r="N774" s="36"/>
      <c r="O774" s="36"/>
      <c r="P774" s="36"/>
    </row>
    <row r="775" spans="1:16" x14ac:dyDescent="0.25">
      <c r="A775" s="36">
        <v>1846</v>
      </c>
      <c r="B775" s="37">
        <v>43525</v>
      </c>
      <c r="C775" s="36" t="s">
        <v>195</v>
      </c>
      <c r="D775" s="36"/>
      <c r="E775" s="38">
        <v>98609116.699999988</v>
      </c>
      <c r="F775" s="40">
        <f>VLOOKUP(A775,'DATOS GENERALES'!A:B,2,0)</f>
        <v>1.72</v>
      </c>
      <c r="G775" s="36">
        <f t="shared" si="60"/>
        <v>1.7120879999999998</v>
      </c>
      <c r="H775" s="38">
        <f t="shared" si="61"/>
        <v>57595822.586222202</v>
      </c>
      <c r="I775" s="38">
        <f t="shared" si="62"/>
        <v>41013294.113777786</v>
      </c>
      <c r="J775" s="38">
        <v>9007267.9512584209</v>
      </c>
      <c r="K775" s="38">
        <f t="shared" si="63"/>
        <v>32006026.162519366</v>
      </c>
      <c r="L775" s="41">
        <f>VLOOKUP(INDICADORES!$B$21,'DATOS GENERALES'!$K:$M,3,0)*E775</f>
        <v>671136.24081509653</v>
      </c>
      <c r="M775" s="38">
        <f t="shared" si="64"/>
        <v>31334889.92170427</v>
      </c>
      <c r="N775" s="36"/>
      <c r="O775" s="36"/>
      <c r="P775" s="36"/>
    </row>
    <row r="776" spans="1:16" x14ac:dyDescent="0.25">
      <c r="A776" s="36">
        <v>1856</v>
      </c>
      <c r="B776" s="37">
        <v>43466</v>
      </c>
      <c r="C776" s="36" t="s">
        <v>195</v>
      </c>
      <c r="D776" s="36"/>
      <c r="E776" s="38">
        <v>51152180.402000003</v>
      </c>
      <c r="F776" s="40">
        <f>VLOOKUP(A776,'DATOS GENERALES'!A:B,2,0)</f>
        <v>1.69</v>
      </c>
      <c r="G776" s="36">
        <f t="shared" si="60"/>
        <v>1.6822259999999998</v>
      </c>
      <c r="H776" s="38">
        <f t="shared" si="61"/>
        <v>30407436.576298315</v>
      </c>
      <c r="I776" s="38">
        <f t="shared" si="62"/>
        <v>20744743.825701687</v>
      </c>
      <c r="J776" s="38">
        <v>6671949.4022385757</v>
      </c>
      <c r="K776" s="38">
        <f t="shared" si="63"/>
        <v>14072794.423463112</v>
      </c>
      <c r="L776" s="41">
        <f>VLOOKUP(INDICADORES!$B$21,'DATOS GENERALES'!$K:$M,3,0)*E776</f>
        <v>348143.08466971532</v>
      </c>
      <c r="M776" s="38">
        <f t="shared" si="64"/>
        <v>13724651.338793397</v>
      </c>
      <c r="N776" s="36"/>
      <c r="O776" s="36"/>
      <c r="P776" s="36"/>
    </row>
    <row r="777" spans="1:16" x14ac:dyDescent="0.25">
      <c r="A777" s="36">
        <v>1856</v>
      </c>
      <c r="B777" s="37">
        <v>43497</v>
      </c>
      <c r="C777" s="36" t="s">
        <v>195</v>
      </c>
      <c r="D777" s="36"/>
      <c r="E777" s="38">
        <v>47167910.304499999</v>
      </c>
      <c r="F777" s="40">
        <f>VLOOKUP(A777,'DATOS GENERALES'!A:B,2,0)</f>
        <v>1.69</v>
      </c>
      <c r="G777" s="36">
        <f t="shared" si="60"/>
        <v>1.6822259999999998</v>
      </c>
      <c r="H777" s="38">
        <f t="shared" si="61"/>
        <v>28038985.430316739</v>
      </c>
      <c r="I777" s="38">
        <f t="shared" si="62"/>
        <v>19128924.87418326</v>
      </c>
      <c r="J777" s="38">
        <v>6060846.7349232845</v>
      </c>
      <c r="K777" s="38">
        <f t="shared" si="63"/>
        <v>13068078.139259975</v>
      </c>
      <c r="L777" s="41">
        <f>VLOOKUP(INDICADORES!$B$21,'DATOS GENERALES'!$K:$M,3,0)*E777</f>
        <v>321026.03763477161</v>
      </c>
      <c r="M777" s="38">
        <f t="shared" si="64"/>
        <v>12747052.101625204</v>
      </c>
      <c r="N777" s="36"/>
      <c r="O777" s="36"/>
      <c r="P777" s="36"/>
    </row>
    <row r="778" spans="1:16" x14ac:dyDescent="0.25">
      <c r="A778" s="36">
        <v>1856</v>
      </c>
      <c r="B778" s="37">
        <v>43525</v>
      </c>
      <c r="C778" s="36" t="s">
        <v>195</v>
      </c>
      <c r="D778" s="36"/>
      <c r="E778" s="38">
        <v>47167910.304499999</v>
      </c>
      <c r="F778" s="40">
        <f>VLOOKUP(A778,'DATOS GENERALES'!A:B,2,0)</f>
        <v>1.69</v>
      </c>
      <c r="G778" s="36">
        <f t="shared" si="60"/>
        <v>1.6822259999999998</v>
      </c>
      <c r="H778" s="38">
        <f t="shared" si="61"/>
        <v>28038985.430316739</v>
      </c>
      <c r="I778" s="38">
        <f t="shared" si="62"/>
        <v>19128924.87418326</v>
      </c>
      <c r="J778" s="38">
        <v>4384947.4408359034</v>
      </c>
      <c r="K778" s="38">
        <f t="shared" si="63"/>
        <v>14743977.433347356</v>
      </c>
      <c r="L778" s="41">
        <f>VLOOKUP(INDICADORES!$B$21,'DATOS GENERALES'!$K:$M,3,0)*E778</f>
        <v>321026.03763477161</v>
      </c>
      <c r="M778" s="38">
        <f t="shared" si="64"/>
        <v>14422951.395712584</v>
      </c>
      <c r="N778" s="36"/>
      <c r="O778" s="36"/>
      <c r="P778" s="36"/>
    </row>
    <row r="779" spans="1:16" x14ac:dyDescent="0.25">
      <c r="A779" s="36">
        <v>1856</v>
      </c>
      <c r="B779" s="37">
        <v>43556</v>
      </c>
      <c r="C779" s="36" t="s">
        <v>195</v>
      </c>
      <c r="D779" s="36"/>
      <c r="E779" s="38">
        <v>53612578.7795</v>
      </c>
      <c r="F779" s="40">
        <f>VLOOKUP(A779,'DATOS GENERALES'!A:B,2,0)</f>
        <v>1.69</v>
      </c>
      <c r="G779" s="36">
        <f t="shared" si="60"/>
        <v>1.6822259999999998</v>
      </c>
      <c r="H779" s="38">
        <f t="shared" si="61"/>
        <v>31870021.495030992</v>
      </c>
      <c r="I779" s="38">
        <f t="shared" si="62"/>
        <v>21742557.284469008</v>
      </c>
      <c r="J779" s="38">
        <v>5124003.3797942931</v>
      </c>
      <c r="K779" s="38">
        <f t="shared" si="63"/>
        <v>16618553.904674716</v>
      </c>
      <c r="L779" s="41">
        <f>VLOOKUP(INDICADORES!$B$21,'DATOS GENERALES'!$K:$M,3,0)*E779</f>
        <v>364888.62071387819</v>
      </c>
      <c r="M779" s="38">
        <f t="shared" si="64"/>
        <v>16253665.283960838</v>
      </c>
      <c r="N779" s="36"/>
      <c r="O779" s="36"/>
      <c r="P779" s="36"/>
    </row>
    <row r="780" spans="1:16" x14ac:dyDescent="0.25">
      <c r="A780" s="36">
        <v>1856</v>
      </c>
      <c r="B780" s="37">
        <v>43586</v>
      </c>
      <c r="C780" s="36" t="s">
        <v>195</v>
      </c>
      <c r="D780" s="36"/>
      <c r="E780" s="38">
        <v>53612578.7795</v>
      </c>
      <c r="F780" s="40">
        <f>VLOOKUP(A780,'DATOS GENERALES'!A:B,2,0)</f>
        <v>1.69</v>
      </c>
      <c r="G780" s="36">
        <f t="shared" si="60"/>
        <v>1.6822259999999998</v>
      </c>
      <c r="H780" s="38">
        <f t="shared" si="61"/>
        <v>31870021.495030992</v>
      </c>
      <c r="I780" s="38">
        <f t="shared" si="62"/>
        <v>21742557.284469008</v>
      </c>
      <c r="J780" s="38">
        <v>4226944.4439941533</v>
      </c>
      <c r="K780" s="38">
        <f t="shared" si="63"/>
        <v>17515612.840474855</v>
      </c>
      <c r="L780" s="41">
        <f>VLOOKUP(INDICADORES!$B$21,'DATOS GENERALES'!$K:$M,3,0)*E780</f>
        <v>364888.62071387819</v>
      </c>
      <c r="M780" s="38">
        <f t="shared" si="64"/>
        <v>17150724.219760977</v>
      </c>
      <c r="N780" s="36"/>
      <c r="O780" s="36"/>
      <c r="P780" s="36"/>
    </row>
    <row r="781" spans="1:16" x14ac:dyDescent="0.25">
      <c r="A781" s="36">
        <v>1856</v>
      </c>
      <c r="B781" s="37">
        <v>43617</v>
      </c>
      <c r="C781" s="36" t="s">
        <v>195</v>
      </c>
      <c r="D781" s="36"/>
      <c r="E781" s="38">
        <v>53612578.7795</v>
      </c>
      <c r="F781" s="40">
        <f>VLOOKUP(A781,'DATOS GENERALES'!A:B,2,0)</f>
        <v>1.69</v>
      </c>
      <c r="G781" s="36">
        <f t="shared" si="60"/>
        <v>1.6822259999999998</v>
      </c>
      <c r="H781" s="38">
        <f t="shared" si="61"/>
        <v>31870021.495030992</v>
      </c>
      <c r="I781" s="38">
        <f t="shared" si="62"/>
        <v>21742557.284469008</v>
      </c>
      <c r="J781" s="38">
        <v>5684250.3924410138</v>
      </c>
      <c r="K781" s="38">
        <f t="shared" si="63"/>
        <v>16058306.892027995</v>
      </c>
      <c r="L781" s="41">
        <f>VLOOKUP(INDICADORES!$B$21,'DATOS GENERALES'!$K:$M,3,0)*E781</f>
        <v>364888.62071387819</v>
      </c>
      <c r="M781" s="38">
        <f t="shared" si="64"/>
        <v>15693418.271314116</v>
      </c>
      <c r="N781" s="36"/>
      <c r="O781" s="36"/>
      <c r="P781" s="36"/>
    </row>
    <row r="782" spans="1:16" x14ac:dyDescent="0.25">
      <c r="A782" s="36">
        <v>1856</v>
      </c>
      <c r="B782" s="37">
        <v>43647</v>
      </c>
      <c r="C782" s="36" t="s">
        <v>195</v>
      </c>
      <c r="D782" s="36"/>
      <c r="E782" s="38">
        <v>53612578.7795</v>
      </c>
      <c r="F782" s="40">
        <f>VLOOKUP(A782,'DATOS GENERALES'!A:B,2,0)</f>
        <v>1.69</v>
      </c>
      <c r="G782" s="36">
        <f t="shared" si="60"/>
        <v>1.6822259999999998</v>
      </c>
      <c r="H782" s="38">
        <f t="shared" si="61"/>
        <v>31870021.495030992</v>
      </c>
      <c r="I782" s="38">
        <f t="shared" si="62"/>
        <v>21742557.284469008</v>
      </c>
      <c r="J782" s="38">
        <v>8476894.3274410851</v>
      </c>
      <c r="K782" s="38">
        <f t="shared" si="63"/>
        <v>13265662.957027923</v>
      </c>
      <c r="L782" s="41">
        <f>VLOOKUP(INDICADORES!$B$21,'DATOS GENERALES'!$K:$M,3,0)*E782</f>
        <v>364888.62071387819</v>
      </c>
      <c r="M782" s="38">
        <f t="shared" si="64"/>
        <v>12900774.336314045</v>
      </c>
      <c r="N782" s="36"/>
      <c r="O782" s="36"/>
      <c r="P782" s="36"/>
    </row>
    <row r="783" spans="1:16" x14ac:dyDescent="0.25">
      <c r="A783" s="36">
        <v>1856</v>
      </c>
      <c r="B783" s="37">
        <v>43678</v>
      </c>
      <c r="C783" s="36" t="s">
        <v>195</v>
      </c>
      <c r="D783" s="36"/>
      <c r="E783" s="38">
        <v>53612578.7795</v>
      </c>
      <c r="F783" s="40">
        <f>VLOOKUP(A783,'DATOS GENERALES'!A:B,2,0)</f>
        <v>1.69</v>
      </c>
      <c r="G783" s="36">
        <f t="shared" si="60"/>
        <v>1.6822259999999998</v>
      </c>
      <c r="H783" s="38">
        <f t="shared" si="61"/>
        <v>31870021.495030992</v>
      </c>
      <c r="I783" s="38">
        <f t="shared" si="62"/>
        <v>21742557.284469008</v>
      </c>
      <c r="J783" s="38">
        <v>8341571.3542623688</v>
      </c>
      <c r="K783" s="38">
        <f t="shared" si="63"/>
        <v>13400985.93020664</v>
      </c>
      <c r="L783" s="41">
        <f>VLOOKUP(INDICADORES!$B$21,'DATOS GENERALES'!$K:$M,3,0)*E783</f>
        <v>364888.62071387819</v>
      </c>
      <c r="M783" s="38">
        <f t="shared" si="64"/>
        <v>13036097.309492761</v>
      </c>
      <c r="N783" s="36"/>
      <c r="O783" s="36"/>
      <c r="P783" s="36"/>
    </row>
    <row r="784" spans="1:16" x14ac:dyDescent="0.25">
      <c r="A784" s="36">
        <v>1856</v>
      </c>
      <c r="B784" s="37">
        <v>43709</v>
      </c>
      <c r="C784" s="36" t="s">
        <v>195</v>
      </c>
      <c r="D784" s="36"/>
      <c r="E784" s="38">
        <v>49351847.829500005</v>
      </c>
      <c r="F784" s="40">
        <f>VLOOKUP(A784,'DATOS GENERALES'!A:B,2,0)</f>
        <v>1.69</v>
      </c>
      <c r="G784" s="36">
        <f t="shared" si="60"/>
        <v>1.6822259999999998</v>
      </c>
      <c r="H784" s="38">
        <f t="shared" si="61"/>
        <v>29337228.071317416</v>
      </c>
      <c r="I784" s="38">
        <f t="shared" si="62"/>
        <v>20014619.758182589</v>
      </c>
      <c r="J784" s="38">
        <v>8678197.6176880579</v>
      </c>
      <c r="K784" s="38">
        <f t="shared" si="63"/>
        <v>11336422.140494531</v>
      </c>
      <c r="L784" s="41">
        <f>VLOOKUP(INDICADORES!$B$21,'DATOS GENERALES'!$K:$M,3,0)*E784</f>
        <v>335889.97384832386</v>
      </c>
      <c r="M784" s="38">
        <f t="shared" si="64"/>
        <v>11000532.166646207</v>
      </c>
      <c r="N784" s="36"/>
      <c r="O784" s="36"/>
      <c r="P784" s="36"/>
    </row>
    <row r="785" spans="1:16" x14ac:dyDescent="0.25">
      <c r="A785" s="36">
        <v>1856</v>
      </c>
      <c r="B785" s="37">
        <v>43739</v>
      </c>
      <c r="C785" s="36" t="s">
        <v>195</v>
      </c>
      <c r="D785" s="36"/>
      <c r="E785" s="38">
        <v>49351847.829500005</v>
      </c>
      <c r="F785" s="40">
        <f>VLOOKUP(A785,'DATOS GENERALES'!A:B,2,0)</f>
        <v>1.69</v>
      </c>
      <c r="G785" s="36">
        <f t="shared" si="60"/>
        <v>1.6822259999999998</v>
      </c>
      <c r="H785" s="38">
        <f t="shared" si="61"/>
        <v>29337228.071317416</v>
      </c>
      <c r="I785" s="38">
        <f t="shared" si="62"/>
        <v>20014619.758182589</v>
      </c>
      <c r="J785" s="38">
        <v>9384574.6198334359</v>
      </c>
      <c r="K785" s="38">
        <f t="shared" si="63"/>
        <v>10630045.138349153</v>
      </c>
      <c r="L785" s="41">
        <f>VLOOKUP(INDICADORES!$B$21,'DATOS GENERALES'!$K:$M,3,0)*E785</f>
        <v>335889.97384832386</v>
      </c>
      <c r="M785" s="38">
        <f t="shared" si="64"/>
        <v>10294155.164500829</v>
      </c>
      <c r="N785" s="36"/>
      <c r="O785" s="36"/>
      <c r="P785" s="36"/>
    </row>
    <row r="786" spans="1:16" x14ac:dyDescent="0.25">
      <c r="A786" s="36">
        <v>1856</v>
      </c>
      <c r="B786" s="37">
        <v>43770</v>
      </c>
      <c r="C786" s="36" t="s">
        <v>195</v>
      </c>
      <c r="D786" s="36"/>
      <c r="E786" s="38">
        <v>49351847.829500005</v>
      </c>
      <c r="F786" s="40">
        <f>VLOOKUP(A786,'DATOS GENERALES'!A:B,2,0)</f>
        <v>1.69</v>
      </c>
      <c r="G786" s="36">
        <f t="shared" si="60"/>
        <v>1.6822259999999998</v>
      </c>
      <c r="H786" s="38">
        <f t="shared" si="61"/>
        <v>29337228.071317416</v>
      </c>
      <c r="I786" s="38">
        <f t="shared" si="62"/>
        <v>20014619.758182589</v>
      </c>
      <c r="J786" s="38">
        <v>12551177.405313239</v>
      </c>
      <c r="K786" s="38">
        <f t="shared" si="63"/>
        <v>7463442.3528693505</v>
      </c>
      <c r="L786" s="41">
        <f>VLOOKUP(INDICADORES!$B$21,'DATOS GENERALES'!$K:$M,3,0)*E786</f>
        <v>335889.97384832386</v>
      </c>
      <c r="M786" s="38">
        <f t="shared" si="64"/>
        <v>7127552.3790210262</v>
      </c>
      <c r="N786" s="36"/>
      <c r="O786" s="36"/>
      <c r="P786" s="36"/>
    </row>
    <row r="787" spans="1:16" x14ac:dyDescent="0.25">
      <c r="A787" s="36">
        <v>1856</v>
      </c>
      <c r="B787" s="37">
        <v>43800</v>
      </c>
      <c r="C787" s="36" t="s">
        <v>195</v>
      </c>
      <c r="D787" s="36"/>
      <c r="E787" s="38">
        <v>49351847.829500005</v>
      </c>
      <c r="F787" s="40">
        <f>VLOOKUP(A787,'DATOS GENERALES'!A:B,2,0)</f>
        <v>1.69</v>
      </c>
      <c r="G787" s="36">
        <f t="shared" si="60"/>
        <v>1.6822259999999998</v>
      </c>
      <c r="H787" s="38">
        <f t="shared" si="61"/>
        <v>29337228.071317416</v>
      </c>
      <c r="I787" s="38">
        <f t="shared" si="62"/>
        <v>20014619.758182589</v>
      </c>
      <c r="J787" s="38">
        <v>10567933.155668095</v>
      </c>
      <c r="K787" s="38">
        <f t="shared" si="63"/>
        <v>9446686.6025144942</v>
      </c>
      <c r="L787" s="41">
        <f>VLOOKUP(INDICADORES!$B$21,'DATOS GENERALES'!$K:$M,3,0)*E787</f>
        <v>335889.97384832386</v>
      </c>
      <c r="M787" s="38">
        <f t="shared" si="64"/>
        <v>9110796.6286661699</v>
      </c>
      <c r="N787" s="36"/>
      <c r="O787" s="36"/>
      <c r="P787" s="36"/>
    </row>
    <row r="788" spans="1:16" x14ac:dyDescent="0.25">
      <c r="A788" s="36">
        <v>1856</v>
      </c>
      <c r="B788" s="37">
        <v>43831</v>
      </c>
      <c r="C788" s="36" t="s">
        <v>195</v>
      </c>
      <c r="D788" s="36"/>
      <c r="E788" s="38">
        <v>49351847.829500005</v>
      </c>
      <c r="F788" s="40">
        <f>VLOOKUP(A788,'DATOS GENERALES'!A:B,2,0)</f>
        <v>1.69</v>
      </c>
      <c r="G788" s="36">
        <f t="shared" si="60"/>
        <v>1.6822259999999998</v>
      </c>
      <c r="H788" s="38">
        <f t="shared" si="61"/>
        <v>29337228.071317416</v>
      </c>
      <c r="I788" s="38">
        <f t="shared" si="62"/>
        <v>20014619.758182589</v>
      </c>
      <c r="J788" s="38" t="s">
        <v>213</v>
      </c>
      <c r="K788" s="38" t="str">
        <f t="shared" si="63"/>
        <v/>
      </c>
      <c r="L788" s="41">
        <f>VLOOKUP(INDICADORES!$B$21,'DATOS GENERALES'!$K:$M,3,0)*E788</f>
        <v>335889.97384832386</v>
      </c>
      <c r="M788" s="38" t="str">
        <f t="shared" si="64"/>
        <v/>
      </c>
      <c r="N788" s="36"/>
      <c r="O788" s="36"/>
      <c r="P788" s="36"/>
    </row>
    <row r="789" spans="1:16" x14ac:dyDescent="0.25">
      <c r="A789" s="36">
        <v>1856</v>
      </c>
      <c r="B789" s="37">
        <v>43862</v>
      </c>
      <c r="C789" s="36" t="s">
        <v>195</v>
      </c>
      <c r="D789" s="36"/>
      <c r="E789" s="38">
        <v>49351847.829500005</v>
      </c>
      <c r="F789" s="40">
        <f>VLOOKUP(A789,'DATOS GENERALES'!A:B,2,0)</f>
        <v>1.69</v>
      </c>
      <c r="G789" s="36">
        <f t="shared" si="60"/>
        <v>1.6822259999999998</v>
      </c>
      <c r="H789" s="38">
        <f t="shared" si="61"/>
        <v>29337228.071317416</v>
      </c>
      <c r="I789" s="38">
        <f t="shared" si="62"/>
        <v>20014619.758182589</v>
      </c>
      <c r="J789" s="38" t="s">
        <v>213</v>
      </c>
      <c r="K789" s="38" t="str">
        <f t="shared" si="63"/>
        <v/>
      </c>
      <c r="L789" s="41">
        <f>VLOOKUP(INDICADORES!$B$21,'DATOS GENERALES'!$K:$M,3,0)*E789</f>
        <v>335889.97384832386</v>
      </c>
      <c r="M789" s="38" t="str">
        <f t="shared" si="64"/>
        <v/>
      </c>
      <c r="N789" s="36"/>
      <c r="O789" s="36"/>
      <c r="P789" s="36"/>
    </row>
    <row r="790" spans="1:16" x14ac:dyDescent="0.25">
      <c r="A790" s="36">
        <v>1856</v>
      </c>
      <c r="B790" s="37">
        <v>43891</v>
      </c>
      <c r="C790" s="36" t="s">
        <v>195</v>
      </c>
      <c r="D790" s="36"/>
      <c r="E790" s="38">
        <v>49351847.829500005</v>
      </c>
      <c r="F790" s="40">
        <f>VLOOKUP(A790,'DATOS GENERALES'!A:B,2,0)</f>
        <v>1.69</v>
      </c>
      <c r="G790" s="36">
        <f t="shared" si="60"/>
        <v>1.6822259999999998</v>
      </c>
      <c r="H790" s="38">
        <f t="shared" si="61"/>
        <v>29337228.071317416</v>
      </c>
      <c r="I790" s="38">
        <f t="shared" si="62"/>
        <v>20014619.758182589</v>
      </c>
      <c r="J790" s="38" t="s">
        <v>213</v>
      </c>
      <c r="K790" s="38" t="str">
        <f t="shared" si="63"/>
        <v/>
      </c>
      <c r="L790" s="41">
        <f>VLOOKUP(INDICADORES!$B$21,'DATOS GENERALES'!$K:$M,3,0)*E790</f>
        <v>335889.97384832386</v>
      </c>
      <c r="M790" s="38" t="str">
        <f t="shared" si="64"/>
        <v/>
      </c>
      <c r="N790" s="36"/>
      <c r="O790" s="36"/>
      <c r="P790" s="36"/>
    </row>
    <row r="791" spans="1:16" x14ac:dyDescent="0.25">
      <c r="A791" s="36">
        <v>1856</v>
      </c>
      <c r="B791" s="37">
        <v>43922</v>
      </c>
      <c r="C791" s="36" t="s">
        <v>195</v>
      </c>
      <c r="D791" s="36"/>
      <c r="E791" s="38">
        <v>49351847.829500005</v>
      </c>
      <c r="F791" s="40">
        <f>VLOOKUP(A791,'DATOS GENERALES'!A:B,2,0)</f>
        <v>1.69</v>
      </c>
      <c r="G791" s="36">
        <f t="shared" si="60"/>
        <v>1.6822259999999998</v>
      </c>
      <c r="H791" s="38">
        <f t="shared" si="61"/>
        <v>29337228.071317416</v>
      </c>
      <c r="I791" s="38">
        <f t="shared" si="62"/>
        <v>20014619.758182589</v>
      </c>
      <c r="J791" s="38" t="s">
        <v>213</v>
      </c>
      <c r="K791" s="38" t="str">
        <f t="shared" si="63"/>
        <v/>
      </c>
      <c r="L791" s="41">
        <f>VLOOKUP(INDICADORES!$B$21,'DATOS GENERALES'!$K:$M,3,0)*E791</f>
        <v>335889.97384832386</v>
      </c>
      <c r="M791" s="38" t="str">
        <f t="shared" si="64"/>
        <v/>
      </c>
      <c r="N791" s="36"/>
      <c r="O791" s="36"/>
      <c r="P791" s="36"/>
    </row>
    <row r="792" spans="1:16" x14ac:dyDescent="0.25">
      <c r="A792" s="36">
        <v>1856</v>
      </c>
      <c r="B792" s="37">
        <v>43952</v>
      </c>
      <c r="C792" s="36" t="s">
        <v>195</v>
      </c>
      <c r="D792" s="36"/>
      <c r="E792" s="38">
        <v>49351847.829500005</v>
      </c>
      <c r="F792" s="40">
        <f>VLOOKUP(A792,'DATOS GENERALES'!A:B,2,0)</f>
        <v>1.69</v>
      </c>
      <c r="G792" s="36">
        <f t="shared" si="60"/>
        <v>1.6822259999999998</v>
      </c>
      <c r="H792" s="38">
        <f t="shared" si="61"/>
        <v>29337228.071317416</v>
      </c>
      <c r="I792" s="38">
        <f t="shared" si="62"/>
        <v>20014619.758182589</v>
      </c>
      <c r="J792" s="38" t="s">
        <v>213</v>
      </c>
      <c r="K792" s="38" t="str">
        <f t="shared" si="63"/>
        <v/>
      </c>
      <c r="L792" s="41">
        <f>VLOOKUP(INDICADORES!$B$21,'DATOS GENERALES'!$K:$M,3,0)*E792</f>
        <v>335889.97384832386</v>
      </c>
      <c r="M792" s="38" t="str">
        <f t="shared" si="64"/>
        <v/>
      </c>
      <c r="N792" s="36"/>
      <c r="O792" s="36"/>
      <c r="P792" s="36"/>
    </row>
    <row r="793" spans="1:16" x14ac:dyDescent="0.25">
      <c r="A793" s="36">
        <v>1856</v>
      </c>
      <c r="B793" s="37">
        <v>43983</v>
      </c>
      <c r="C793" s="36" t="s">
        <v>195</v>
      </c>
      <c r="D793" s="36"/>
      <c r="E793" s="38">
        <v>49351847.829500005</v>
      </c>
      <c r="F793" s="40">
        <f>VLOOKUP(A793,'DATOS GENERALES'!A:B,2,0)</f>
        <v>1.69</v>
      </c>
      <c r="G793" s="36">
        <f t="shared" si="60"/>
        <v>1.6822259999999998</v>
      </c>
      <c r="H793" s="38">
        <f t="shared" si="61"/>
        <v>29337228.071317416</v>
      </c>
      <c r="I793" s="38">
        <f t="shared" si="62"/>
        <v>20014619.758182589</v>
      </c>
      <c r="J793" s="38" t="s">
        <v>213</v>
      </c>
      <c r="K793" s="38" t="str">
        <f t="shared" si="63"/>
        <v/>
      </c>
      <c r="L793" s="41">
        <f>VLOOKUP(INDICADORES!$B$21,'DATOS GENERALES'!$K:$M,3,0)*E793</f>
        <v>335889.97384832386</v>
      </c>
      <c r="M793" s="38" t="str">
        <f t="shared" si="64"/>
        <v/>
      </c>
      <c r="N793" s="36"/>
      <c r="O793" s="36"/>
      <c r="P793" s="36"/>
    </row>
    <row r="794" spans="1:16" x14ac:dyDescent="0.25">
      <c r="A794" s="36">
        <v>1856</v>
      </c>
      <c r="B794" s="37">
        <v>44013</v>
      </c>
      <c r="C794" s="36" t="s">
        <v>195</v>
      </c>
      <c r="D794" s="36"/>
      <c r="E794" s="38">
        <v>49351847.829500005</v>
      </c>
      <c r="F794" s="40">
        <f>VLOOKUP(A794,'DATOS GENERALES'!A:B,2,0)</f>
        <v>1.69</v>
      </c>
      <c r="G794" s="36">
        <f t="shared" si="60"/>
        <v>1.6822259999999998</v>
      </c>
      <c r="H794" s="38">
        <f t="shared" si="61"/>
        <v>29337228.071317416</v>
      </c>
      <c r="I794" s="38">
        <f t="shared" si="62"/>
        <v>20014619.758182589</v>
      </c>
      <c r="J794" s="38" t="s">
        <v>213</v>
      </c>
      <c r="K794" s="38" t="str">
        <f t="shared" si="63"/>
        <v/>
      </c>
      <c r="L794" s="41">
        <f>VLOOKUP(INDICADORES!$B$21,'DATOS GENERALES'!$K:$M,3,0)*E794</f>
        <v>335889.97384832386</v>
      </c>
      <c r="M794" s="38" t="str">
        <f t="shared" si="64"/>
        <v/>
      </c>
      <c r="N794" s="36"/>
      <c r="O794" s="36"/>
      <c r="P794" s="36"/>
    </row>
    <row r="795" spans="1:16" x14ac:dyDescent="0.25">
      <c r="A795" s="36">
        <v>1856</v>
      </c>
      <c r="B795" s="37">
        <v>44044</v>
      </c>
      <c r="C795" s="36" t="s">
        <v>195</v>
      </c>
      <c r="D795" s="36"/>
      <c r="E795" s="38">
        <v>49351847.829500005</v>
      </c>
      <c r="F795" s="40">
        <f>VLOOKUP(A795,'DATOS GENERALES'!A:B,2,0)</f>
        <v>1.69</v>
      </c>
      <c r="G795" s="36">
        <f t="shared" si="60"/>
        <v>1.6822259999999998</v>
      </c>
      <c r="H795" s="38">
        <f t="shared" si="61"/>
        <v>29337228.071317416</v>
      </c>
      <c r="I795" s="38">
        <f t="shared" si="62"/>
        <v>20014619.758182589</v>
      </c>
      <c r="J795" s="38" t="s">
        <v>213</v>
      </c>
      <c r="K795" s="38" t="str">
        <f t="shared" si="63"/>
        <v/>
      </c>
      <c r="L795" s="41">
        <f>VLOOKUP(INDICADORES!$B$21,'DATOS GENERALES'!$K:$M,3,0)*E795</f>
        <v>335889.97384832386</v>
      </c>
      <c r="M795" s="38" t="str">
        <f t="shared" si="64"/>
        <v/>
      </c>
      <c r="N795" s="36"/>
      <c r="O795" s="36"/>
      <c r="P795" s="36"/>
    </row>
    <row r="796" spans="1:16" x14ac:dyDescent="0.25">
      <c r="A796" s="36">
        <v>1856</v>
      </c>
      <c r="B796" s="37">
        <v>44075</v>
      </c>
      <c r="C796" s="36" t="s">
        <v>195</v>
      </c>
      <c r="D796" s="36"/>
      <c r="E796" s="38">
        <v>49351847.829500005</v>
      </c>
      <c r="F796" s="40">
        <f>VLOOKUP(A796,'DATOS GENERALES'!A:B,2,0)</f>
        <v>1.69</v>
      </c>
      <c r="G796" s="36">
        <f t="shared" si="60"/>
        <v>1.6822259999999998</v>
      </c>
      <c r="H796" s="38">
        <f t="shared" si="61"/>
        <v>29337228.071317416</v>
      </c>
      <c r="I796" s="38">
        <f t="shared" si="62"/>
        <v>20014619.758182589</v>
      </c>
      <c r="J796" s="38" t="s">
        <v>213</v>
      </c>
      <c r="K796" s="38" t="str">
        <f t="shared" si="63"/>
        <v/>
      </c>
      <c r="L796" s="41">
        <f>VLOOKUP(INDICADORES!$B$21,'DATOS GENERALES'!$K:$M,3,0)*E796</f>
        <v>335889.97384832386</v>
      </c>
      <c r="M796" s="38" t="str">
        <f t="shared" si="64"/>
        <v/>
      </c>
      <c r="N796" s="36"/>
      <c r="O796" s="36"/>
      <c r="P796" s="36"/>
    </row>
    <row r="797" spans="1:16" x14ac:dyDescent="0.25">
      <c r="A797" s="36">
        <v>1856</v>
      </c>
      <c r="B797" s="37">
        <v>44105</v>
      </c>
      <c r="C797" s="36" t="s">
        <v>195</v>
      </c>
      <c r="D797" s="36"/>
      <c r="E797" s="38">
        <v>49351847.829500005</v>
      </c>
      <c r="F797" s="40">
        <f>VLOOKUP(A797,'DATOS GENERALES'!A:B,2,0)</f>
        <v>1.69</v>
      </c>
      <c r="G797" s="36">
        <f t="shared" si="60"/>
        <v>1.6822259999999998</v>
      </c>
      <c r="H797" s="38">
        <f t="shared" si="61"/>
        <v>29337228.071317416</v>
      </c>
      <c r="I797" s="38">
        <f t="shared" si="62"/>
        <v>20014619.758182589</v>
      </c>
      <c r="J797" s="38" t="s">
        <v>213</v>
      </c>
      <c r="K797" s="38" t="str">
        <f t="shared" si="63"/>
        <v/>
      </c>
      <c r="L797" s="41">
        <f>VLOOKUP(INDICADORES!$B$21,'DATOS GENERALES'!$K:$M,3,0)*E797</f>
        <v>335889.97384832386</v>
      </c>
      <c r="M797" s="38" t="str">
        <f t="shared" si="64"/>
        <v/>
      </c>
      <c r="N797" s="36"/>
      <c r="O797" s="36"/>
      <c r="P797" s="36"/>
    </row>
    <row r="798" spans="1:16" x14ac:dyDescent="0.25">
      <c r="A798" s="36">
        <v>1856</v>
      </c>
      <c r="B798" s="37">
        <v>44136</v>
      </c>
      <c r="C798" s="36" t="s">
        <v>195</v>
      </c>
      <c r="D798" s="36"/>
      <c r="E798" s="38">
        <v>49351847.829500005</v>
      </c>
      <c r="F798" s="40">
        <f>VLOOKUP(A798,'DATOS GENERALES'!A:B,2,0)</f>
        <v>1.69</v>
      </c>
      <c r="G798" s="36">
        <f t="shared" si="60"/>
        <v>1.6822259999999998</v>
      </c>
      <c r="H798" s="38">
        <f t="shared" si="61"/>
        <v>29337228.071317416</v>
      </c>
      <c r="I798" s="38">
        <f t="shared" si="62"/>
        <v>20014619.758182589</v>
      </c>
      <c r="J798" s="38" t="s">
        <v>213</v>
      </c>
      <c r="K798" s="38" t="str">
        <f t="shared" si="63"/>
        <v/>
      </c>
      <c r="L798" s="41">
        <f>VLOOKUP(INDICADORES!$B$21,'DATOS GENERALES'!$K:$M,3,0)*E798</f>
        <v>335889.97384832386</v>
      </c>
      <c r="M798" s="38" t="str">
        <f t="shared" si="64"/>
        <v/>
      </c>
      <c r="N798" s="36"/>
      <c r="O798" s="36"/>
      <c r="P798" s="36"/>
    </row>
    <row r="799" spans="1:16" x14ac:dyDescent="0.25">
      <c r="A799" s="36">
        <v>1856</v>
      </c>
      <c r="B799" s="37">
        <v>44166</v>
      </c>
      <c r="C799" s="36" t="s">
        <v>195</v>
      </c>
      <c r="D799" s="36"/>
      <c r="E799" s="38">
        <v>49351847.829500005</v>
      </c>
      <c r="F799" s="40">
        <f>VLOOKUP(A799,'DATOS GENERALES'!A:B,2,0)</f>
        <v>1.69</v>
      </c>
      <c r="G799" s="36">
        <f t="shared" si="60"/>
        <v>1.6822259999999998</v>
      </c>
      <c r="H799" s="38">
        <f t="shared" si="61"/>
        <v>29337228.071317416</v>
      </c>
      <c r="I799" s="38">
        <f t="shared" si="62"/>
        <v>20014619.758182589</v>
      </c>
      <c r="J799" s="38" t="s">
        <v>213</v>
      </c>
      <c r="K799" s="38" t="str">
        <f t="shared" si="63"/>
        <v/>
      </c>
      <c r="L799" s="41">
        <f>VLOOKUP(INDICADORES!$B$21,'DATOS GENERALES'!$K:$M,3,0)*E799</f>
        <v>335889.97384832386</v>
      </c>
      <c r="M799" s="38" t="str">
        <f t="shared" si="64"/>
        <v/>
      </c>
      <c r="N799" s="36"/>
      <c r="O799" s="36"/>
      <c r="P799" s="36"/>
    </row>
    <row r="800" spans="1:16" x14ac:dyDescent="0.25">
      <c r="A800" s="36">
        <v>1856</v>
      </c>
      <c r="B800" s="37">
        <v>44197</v>
      </c>
      <c r="C800" s="36" t="s">
        <v>195</v>
      </c>
      <c r="D800" s="36"/>
      <c r="E800" s="38">
        <v>49351847.829500005</v>
      </c>
      <c r="F800" s="40">
        <f>VLOOKUP(A800,'DATOS GENERALES'!A:B,2,0)</f>
        <v>1.69</v>
      </c>
      <c r="G800" s="36">
        <f t="shared" si="60"/>
        <v>1.6822259999999998</v>
      </c>
      <c r="H800" s="38">
        <f t="shared" si="61"/>
        <v>29337228.071317416</v>
      </c>
      <c r="I800" s="38">
        <f t="shared" si="62"/>
        <v>20014619.758182589</v>
      </c>
      <c r="J800" s="38" t="s">
        <v>213</v>
      </c>
      <c r="K800" s="38" t="str">
        <f t="shared" si="63"/>
        <v/>
      </c>
      <c r="L800" s="41">
        <f>VLOOKUP(INDICADORES!$B$21,'DATOS GENERALES'!$K:$M,3,0)*E800</f>
        <v>335889.97384832386</v>
      </c>
      <c r="M800" s="38" t="str">
        <f t="shared" si="64"/>
        <v/>
      </c>
      <c r="N800" s="36"/>
      <c r="O800" s="36"/>
      <c r="P800" s="36"/>
    </row>
    <row r="801" spans="1:16" x14ac:dyDescent="0.25">
      <c r="A801" s="36">
        <v>1856</v>
      </c>
      <c r="B801" s="37">
        <v>44228</v>
      </c>
      <c r="C801" s="36" t="s">
        <v>195</v>
      </c>
      <c r="D801" s="36"/>
      <c r="E801" s="38">
        <v>9910003.9500000011</v>
      </c>
      <c r="F801" s="40">
        <f>VLOOKUP(A801,'DATOS GENERALES'!A:B,2,0)</f>
        <v>1.69</v>
      </c>
      <c r="G801" s="36">
        <f t="shared" si="60"/>
        <v>1.6822259999999998</v>
      </c>
      <c r="H801" s="38">
        <f t="shared" si="61"/>
        <v>5891006.291663547</v>
      </c>
      <c r="I801" s="38">
        <f t="shared" si="62"/>
        <v>4018997.6583364541</v>
      </c>
      <c r="J801" s="38" t="s">
        <v>213</v>
      </c>
      <c r="K801" s="38" t="str">
        <f t="shared" si="63"/>
        <v/>
      </c>
      <c r="L801" s="41">
        <f>VLOOKUP(INDICADORES!$B$21,'DATOS GENERALES'!$K:$M,3,0)*E801</f>
        <v>67447.747429886062</v>
      </c>
      <c r="M801" s="38" t="str">
        <f t="shared" si="64"/>
        <v/>
      </c>
      <c r="N801" s="36"/>
      <c r="O801" s="36"/>
      <c r="P801" s="36"/>
    </row>
    <row r="802" spans="1:16" x14ac:dyDescent="0.25">
      <c r="A802" s="36">
        <v>1860</v>
      </c>
      <c r="B802" s="37">
        <v>43466</v>
      </c>
      <c r="C802" s="36" t="s">
        <v>195</v>
      </c>
      <c r="D802" s="36"/>
      <c r="E802" s="38">
        <v>20348195</v>
      </c>
      <c r="F802" s="40">
        <f>VLOOKUP(A802,'DATOS GENERALES'!A:B,2,0)</f>
        <v>1.61</v>
      </c>
      <c r="G802" s="36">
        <f t="shared" si="60"/>
        <v>1.6025940000000001</v>
      </c>
      <c r="H802" s="38">
        <f t="shared" si="61"/>
        <v>12697036.804081382</v>
      </c>
      <c r="I802" s="38">
        <f t="shared" si="62"/>
        <v>7651158.1959186178</v>
      </c>
      <c r="J802" s="38">
        <v>2785962.7990221307</v>
      </c>
      <c r="K802" s="38">
        <f t="shared" si="63"/>
        <v>4865195.3968964871</v>
      </c>
      <c r="L802" s="41">
        <f>VLOOKUP(INDICADORES!$B$21,'DATOS GENERALES'!$K:$M,3,0)*E802</f>
        <v>138490.35014906025</v>
      </c>
      <c r="M802" s="38">
        <f t="shared" si="64"/>
        <v>4726705.0467474265</v>
      </c>
      <c r="N802" s="36"/>
      <c r="O802" s="36"/>
      <c r="P802" s="36"/>
    </row>
    <row r="803" spans="1:16" x14ac:dyDescent="0.25">
      <c r="A803" s="36">
        <v>1860</v>
      </c>
      <c r="B803" s="37">
        <v>43497</v>
      </c>
      <c r="C803" s="36" t="s">
        <v>195</v>
      </c>
      <c r="D803" s="36"/>
      <c r="E803" s="38">
        <v>20348195</v>
      </c>
      <c r="F803" s="40">
        <f>VLOOKUP(A803,'DATOS GENERALES'!A:B,2,0)</f>
        <v>1.61</v>
      </c>
      <c r="G803" s="36">
        <f t="shared" si="60"/>
        <v>1.6025940000000001</v>
      </c>
      <c r="H803" s="38">
        <f t="shared" si="61"/>
        <v>12697036.804081382</v>
      </c>
      <c r="I803" s="38">
        <f t="shared" si="62"/>
        <v>7651158.1959186178</v>
      </c>
      <c r="J803" s="38">
        <v>2744564.1443934408</v>
      </c>
      <c r="K803" s="38">
        <f t="shared" si="63"/>
        <v>4906594.0515251774</v>
      </c>
      <c r="L803" s="41">
        <f>VLOOKUP(INDICADORES!$B$21,'DATOS GENERALES'!$K:$M,3,0)*E803</f>
        <v>138490.35014906025</v>
      </c>
      <c r="M803" s="38">
        <f t="shared" si="64"/>
        <v>4768103.7013761168</v>
      </c>
      <c r="N803" s="36"/>
      <c r="O803" s="36"/>
      <c r="P803" s="36"/>
    </row>
    <row r="804" spans="1:16" x14ac:dyDescent="0.25">
      <c r="A804" s="36">
        <v>1860</v>
      </c>
      <c r="B804" s="37">
        <v>43525</v>
      </c>
      <c r="C804" s="36" t="s">
        <v>195</v>
      </c>
      <c r="D804" s="36"/>
      <c r="E804" s="38">
        <v>20348195</v>
      </c>
      <c r="F804" s="40">
        <f>VLOOKUP(A804,'DATOS GENERALES'!A:B,2,0)</f>
        <v>1.61</v>
      </c>
      <c r="G804" s="36">
        <f t="shared" si="60"/>
        <v>1.6025940000000001</v>
      </c>
      <c r="H804" s="38">
        <f t="shared" si="61"/>
        <v>12697036.804081382</v>
      </c>
      <c r="I804" s="38">
        <f t="shared" si="62"/>
        <v>7651158.1959186178</v>
      </c>
      <c r="J804" s="38">
        <v>1985658.1180022748</v>
      </c>
      <c r="K804" s="38">
        <f t="shared" si="63"/>
        <v>5665500.0779163428</v>
      </c>
      <c r="L804" s="41">
        <f>VLOOKUP(INDICADORES!$B$21,'DATOS GENERALES'!$K:$M,3,0)*E804</f>
        <v>138490.35014906025</v>
      </c>
      <c r="M804" s="38">
        <f t="shared" si="64"/>
        <v>5527009.7277672822</v>
      </c>
      <c r="N804" s="36"/>
      <c r="O804" s="36"/>
      <c r="P804" s="36"/>
    </row>
    <row r="805" spans="1:16" x14ac:dyDescent="0.25">
      <c r="A805" s="36">
        <v>1860</v>
      </c>
      <c r="B805" s="37">
        <v>43556</v>
      </c>
      <c r="C805" s="36" t="s">
        <v>195</v>
      </c>
      <c r="D805" s="36"/>
      <c r="E805" s="38">
        <v>20348195</v>
      </c>
      <c r="F805" s="40">
        <f>VLOOKUP(A805,'DATOS GENERALES'!A:B,2,0)</f>
        <v>1.61</v>
      </c>
      <c r="G805" s="36">
        <f t="shared" si="60"/>
        <v>1.6025940000000001</v>
      </c>
      <c r="H805" s="38">
        <f t="shared" si="61"/>
        <v>12697036.804081382</v>
      </c>
      <c r="I805" s="38">
        <f t="shared" si="62"/>
        <v>7651158.1959186178</v>
      </c>
      <c r="J805" s="38">
        <v>2041406.2007341066</v>
      </c>
      <c r="K805" s="38">
        <f t="shared" si="63"/>
        <v>5609751.9951845109</v>
      </c>
      <c r="L805" s="41">
        <f>VLOOKUP(INDICADORES!$B$21,'DATOS GENERALES'!$K:$M,3,0)*E805</f>
        <v>138490.35014906025</v>
      </c>
      <c r="M805" s="38">
        <f t="shared" si="64"/>
        <v>5471261.6450354503</v>
      </c>
      <c r="N805" s="36"/>
      <c r="O805" s="36"/>
      <c r="P805" s="36"/>
    </row>
    <row r="806" spans="1:16" x14ac:dyDescent="0.25">
      <c r="A806" s="36">
        <v>1860</v>
      </c>
      <c r="B806" s="37">
        <v>43586</v>
      </c>
      <c r="C806" s="36" t="s">
        <v>195</v>
      </c>
      <c r="D806" s="36"/>
      <c r="E806" s="38">
        <v>20348195</v>
      </c>
      <c r="F806" s="40">
        <f>VLOOKUP(A806,'DATOS GENERALES'!A:B,2,0)</f>
        <v>1.61</v>
      </c>
      <c r="G806" s="36">
        <f t="shared" si="60"/>
        <v>1.6025940000000001</v>
      </c>
      <c r="H806" s="38">
        <f t="shared" si="61"/>
        <v>12697036.804081382</v>
      </c>
      <c r="I806" s="38">
        <f t="shared" si="62"/>
        <v>7651158.1959186178</v>
      </c>
      <c r="J806" s="38">
        <v>1684017.3509945383</v>
      </c>
      <c r="K806" s="38">
        <f t="shared" si="63"/>
        <v>5967140.8449240793</v>
      </c>
      <c r="L806" s="41">
        <f>VLOOKUP(INDICADORES!$B$21,'DATOS GENERALES'!$K:$M,3,0)*E806</f>
        <v>138490.35014906025</v>
      </c>
      <c r="M806" s="38">
        <f t="shared" si="64"/>
        <v>5828650.4947750187</v>
      </c>
      <c r="N806" s="36"/>
      <c r="O806" s="36"/>
      <c r="P806" s="36"/>
    </row>
    <row r="807" spans="1:16" x14ac:dyDescent="0.25">
      <c r="A807" s="36">
        <v>1860</v>
      </c>
      <c r="B807" s="37">
        <v>43617</v>
      </c>
      <c r="C807" s="36" t="s">
        <v>195</v>
      </c>
      <c r="D807" s="36"/>
      <c r="E807" s="38">
        <v>20348195</v>
      </c>
      <c r="F807" s="40">
        <f>VLOOKUP(A807,'DATOS GENERALES'!A:B,2,0)</f>
        <v>1.61</v>
      </c>
      <c r="G807" s="36">
        <f t="shared" si="60"/>
        <v>1.6025940000000001</v>
      </c>
      <c r="H807" s="38">
        <f t="shared" si="61"/>
        <v>12697036.804081382</v>
      </c>
      <c r="I807" s="38">
        <f t="shared" si="62"/>
        <v>7651158.1959186178</v>
      </c>
      <c r="J807" s="38">
        <v>2264608.9663821044</v>
      </c>
      <c r="K807" s="38">
        <f t="shared" si="63"/>
        <v>5386549.2295365129</v>
      </c>
      <c r="L807" s="41">
        <f>VLOOKUP(INDICADORES!$B$21,'DATOS GENERALES'!$K:$M,3,0)*E807</f>
        <v>138490.35014906025</v>
      </c>
      <c r="M807" s="38">
        <f t="shared" si="64"/>
        <v>5248058.8793874523</v>
      </c>
      <c r="N807" s="36"/>
      <c r="O807" s="36"/>
      <c r="P807" s="36"/>
    </row>
    <row r="808" spans="1:16" x14ac:dyDescent="0.25">
      <c r="A808" s="36">
        <v>1860</v>
      </c>
      <c r="B808" s="37">
        <v>43647</v>
      </c>
      <c r="C808" s="36" t="s">
        <v>195</v>
      </c>
      <c r="D808" s="36"/>
      <c r="E808" s="38">
        <v>20348195</v>
      </c>
      <c r="F808" s="40">
        <f>VLOOKUP(A808,'DATOS GENERALES'!A:B,2,0)</f>
        <v>1.61</v>
      </c>
      <c r="G808" s="36">
        <f t="shared" si="60"/>
        <v>1.6025940000000001</v>
      </c>
      <c r="H808" s="38">
        <f t="shared" si="61"/>
        <v>12697036.804081382</v>
      </c>
      <c r="I808" s="38">
        <f t="shared" si="62"/>
        <v>7651158.1959186178</v>
      </c>
      <c r="J808" s="38">
        <v>3377200.0836776807</v>
      </c>
      <c r="K808" s="38">
        <f t="shared" si="63"/>
        <v>4273958.1122409366</v>
      </c>
      <c r="L808" s="41">
        <f>VLOOKUP(INDICADORES!$B$21,'DATOS GENERALES'!$K:$M,3,0)*E808</f>
        <v>138490.35014906025</v>
      </c>
      <c r="M808" s="38">
        <f t="shared" si="64"/>
        <v>4135467.7620918765</v>
      </c>
      <c r="N808" s="36"/>
      <c r="O808" s="36"/>
      <c r="P808" s="36"/>
    </row>
    <row r="809" spans="1:16" x14ac:dyDescent="0.25">
      <c r="A809" s="36">
        <v>1860</v>
      </c>
      <c r="B809" s="37">
        <v>43678</v>
      </c>
      <c r="C809" s="36" t="s">
        <v>195</v>
      </c>
      <c r="D809" s="36"/>
      <c r="E809" s="38">
        <v>20348195</v>
      </c>
      <c r="F809" s="40">
        <f>VLOOKUP(A809,'DATOS GENERALES'!A:B,2,0)</f>
        <v>1.61</v>
      </c>
      <c r="G809" s="36">
        <f t="shared" si="60"/>
        <v>1.6025940000000001</v>
      </c>
      <c r="H809" s="38">
        <f t="shared" si="61"/>
        <v>12697036.804081382</v>
      </c>
      <c r="I809" s="38">
        <f t="shared" si="62"/>
        <v>7651158.1959186178</v>
      </c>
      <c r="J809" s="38">
        <v>3323287.3252204647</v>
      </c>
      <c r="K809" s="38">
        <f t="shared" si="63"/>
        <v>4327870.870698153</v>
      </c>
      <c r="L809" s="41">
        <f>VLOOKUP(INDICADORES!$B$21,'DATOS GENERALES'!$K:$M,3,0)*E809</f>
        <v>138490.35014906025</v>
      </c>
      <c r="M809" s="38">
        <f t="shared" si="64"/>
        <v>4189380.5205490929</v>
      </c>
      <c r="N809" s="36"/>
      <c r="O809" s="36"/>
      <c r="P809" s="36"/>
    </row>
    <row r="810" spans="1:16" x14ac:dyDescent="0.25">
      <c r="A810" s="36">
        <v>1860</v>
      </c>
      <c r="B810" s="37">
        <v>43709</v>
      </c>
      <c r="C810" s="36" t="s">
        <v>195</v>
      </c>
      <c r="D810" s="36"/>
      <c r="E810" s="38">
        <v>20348195</v>
      </c>
      <c r="F810" s="40">
        <f>VLOOKUP(A810,'DATOS GENERALES'!A:B,2,0)</f>
        <v>1.61</v>
      </c>
      <c r="G810" s="36">
        <f t="shared" si="60"/>
        <v>1.6025940000000001</v>
      </c>
      <c r="H810" s="38">
        <f t="shared" si="61"/>
        <v>12697036.804081382</v>
      </c>
      <c r="I810" s="38">
        <f t="shared" si="62"/>
        <v>7651158.1959186178</v>
      </c>
      <c r="J810" s="38">
        <v>3755889.7615349451</v>
      </c>
      <c r="K810" s="38">
        <f t="shared" si="63"/>
        <v>3895268.4343836727</v>
      </c>
      <c r="L810" s="41">
        <f>VLOOKUP(INDICADORES!$B$21,'DATOS GENERALES'!$K:$M,3,0)*E810</f>
        <v>138490.35014906025</v>
      </c>
      <c r="M810" s="38">
        <f t="shared" si="64"/>
        <v>3756778.0842346125</v>
      </c>
      <c r="N810" s="36"/>
      <c r="O810" s="36"/>
      <c r="P810" s="36"/>
    </row>
    <row r="811" spans="1:16" x14ac:dyDescent="0.25">
      <c r="A811" s="36">
        <v>1860</v>
      </c>
      <c r="B811" s="37">
        <v>43739</v>
      </c>
      <c r="C811" s="36" t="s">
        <v>195</v>
      </c>
      <c r="D811" s="36"/>
      <c r="E811" s="38">
        <v>20348195</v>
      </c>
      <c r="F811" s="40">
        <f>VLOOKUP(A811,'DATOS GENERALES'!A:B,2,0)</f>
        <v>1.61</v>
      </c>
      <c r="G811" s="36">
        <f t="shared" si="60"/>
        <v>1.6025940000000001</v>
      </c>
      <c r="H811" s="38">
        <f t="shared" si="61"/>
        <v>12697036.804081382</v>
      </c>
      <c r="I811" s="38">
        <f t="shared" si="62"/>
        <v>7651158.1959186178</v>
      </c>
      <c r="J811" s="38">
        <v>4061606.9469484258</v>
      </c>
      <c r="K811" s="38">
        <f t="shared" si="63"/>
        <v>3589551.2489701919</v>
      </c>
      <c r="L811" s="41">
        <f>VLOOKUP(INDICADORES!$B$21,'DATOS GENERALES'!$K:$M,3,0)*E811</f>
        <v>138490.35014906025</v>
      </c>
      <c r="M811" s="38">
        <f t="shared" si="64"/>
        <v>3451060.8988211318</v>
      </c>
      <c r="N811" s="36"/>
      <c r="O811" s="36"/>
      <c r="P811" s="36"/>
    </row>
    <row r="812" spans="1:16" x14ac:dyDescent="0.25">
      <c r="A812" s="36">
        <v>1860</v>
      </c>
      <c r="B812" s="37">
        <v>43770</v>
      </c>
      <c r="C812" s="36" t="s">
        <v>195</v>
      </c>
      <c r="D812" s="36"/>
      <c r="E812" s="38">
        <v>20348195</v>
      </c>
      <c r="F812" s="40">
        <f>VLOOKUP(A812,'DATOS GENERALES'!A:B,2,0)</f>
        <v>1.61</v>
      </c>
      <c r="G812" s="36">
        <f t="shared" si="60"/>
        <v>1.6025940000000001</v>
      </c>
      <c r="H812" s="38">
        <f t="shared" si="61"/>
        <v>12697036.804081382</v>
      </c>
      <c r="I812" s="38">
        <f t="shared" si="62"/>
        <v>7651158.1959186178</v>
      </c>
      <c r="J812" s="38">
        <v>5432100.1651012665</v>
      </c>
      <c r="K812" s="38">
        <f t="shared" si="63"/>
        <v>2219058.0308173513</v>
      </c>
      <c r="L812" s="41">
        <f>VLOOKUP(INDICADORES!$B$21,'DATOS GENERALES'!$K:$M,3,0)*E812</f>
        <v>138490.35014906025</v>
      </c>
      <c r="M812" s="38">
        <f t="shared" si="64"/>
        <v>2080567.6806682912</v>
      </c>
      <c r="N812" s="36"/>
      <c r="O812" s="36"/>
      <c r="P812" s="36"/>
    </row>
    <row r="813" spans="1:16" x14ac:dyDescent="0.25">
      <c r="A813" s="36">
        <v>1860</v>
      </c>
      <c r="B813" s="37">
        <v>43800</v>
      </c>
      <c r="C813" s="36" t="s">
        <v>195</v>
      </c>
      <c r="D813" s="36"/>
      <c r="E813" s="38">
        <v>20348195</v>
      </c>
      <c r="F813" s="40">
        <f>VLOOKUP(A813,'DATOS GENERALES'!A:B,2,0)</f>
        <v>1.61</v>
      </c>
      <c r="G813" s="36">
        <f t="shared" si="60"/>
        <v>1.6025940000000001</v>
      </c>
      <c r="H813" s="38">
        <f t="shared" si="61"/>
        <v>12697036.804081382</v>
      </c>
      <c r="I813" s="38">
        <f t="shared" si="62"/>
        <v>7651158.1959186178</v>
      </c>
      <c r="J813" s="38">
        <v>4573759.8621928757</v>
      </c>
      <c r="K813" s="38">
        <f t="shared" si="63"/>
        <v>3077398.3337257421</v>
      </c>
      <c r="L813" s="41">
        <f>VLOOKUP(INDICADORES!$B$21,'DATOS GENERALES'!$K:$M,3,0)*E813</f>
        <v>138490.35014906025</v>
      </c>
      <c r="M813" s="38">
        <f t="shared" si="64"/>
        <v>2938907.9835766819</v>
      </c>
      <c r="N813" s="36"/>
      <c r="O813" s="36"/>
      <c r="P813" s="36"/>
    </row>
    <row r="814" spans="1:16" x14ac:dyDescent="0.25">
      <c r="A814" s="36">
        <v>1860</v>
      </c>
      <c r="B814" s="37">
        <v>43831</v>
      </c>
      <c r="C814" s="36" t="s">
        <v>195</v>
      </c>
      <c r="D814" s="36"/>
      <c r="E814" s="38">
        <v>20348195</v>
      </c>
      <c r="F814" s="40">
        <f>VLOOKUP(A814,'DATOS GENERALES'!A:B,2,0)</f>
        <v>1.61</v>
      </c>
      <c r="G814" s="36">
        <f t="shared" si="60"/>
        <v>1.6025940000000001</v>
      </c>
      <c r="H814" s="38">
        <f t="shared" si="61"/>
        <v>12697036.804081382</v>
      </c>
      <c r="I814" s="38">
        <f t="shared" si="62"/>
        <v>7651158.1959186178</v>
      </c>
      <c r="J814" s="38" t="s">
        <v>213</v>
      </c>
      <c r="K814" s="38" t="str">
        <f t="shared" si="63"/>
        <v/>
      </c>
      <c r="L814" s="41">
        <f>VLOOKUP(INDICADORES!$B$21,'DATOS GENERALES'!$K:$M,3,0)*E814</f>
        <v>138490.35014906025</v>
      </c>
      <c r="M814" s="38" t="str">
        <f t="shared" si="64"/>
        <v/>
      </c>
      <c r="N814" s="36"/>
      <c r="O814" s="36"/>
      <c r="P814" s="36"/>
    </row>
    <row r="815" spans="1:16" x14ac:dyDescent="0.25">
      <c r="A815" s="36">
        <v>1860</v>
      </c>
      <c r="B815" s="37">
        <v>43862</v>
      </c>
      <c r="C815" s="36" t="s">
        <v>195</v>
      </c>
      <c r="D815" s="36"/>
      <c r="E815" s="38">
        <v>20348195</v>
      </c>
      <c r="F815" s="40">
        <f>VLOOKUP(A815,'DATOS GENERALES'!A:B,2,0)</f>
        <v>1.61</v>
      </c>
      <c r="G815" s="36">
        <f t="shared" si="60"/>
        <v>1.6025940000000001</v>
      </c>
      <c r="H815" s="38">
        <f t="shared" si="61"/>
        <v>12697036.804081382</v>
      </c>
      <c r="I815" s="38">
        <f t="shared" si="62"/>
        <v>7651158.1959186178</v>
      </c>
      <c r="J815" s="38" t="s">
        <v>213</v>
      </c>
      <c r="K815" s="38" t="str">
        <f t="shared" si="63"/>
        <v/>
      </c>
      <c r="L815" s="41">
        <f>VLOOKUP(INDICADORES!$B$21,'DATOS GENERALES'!$K:$M,3,0)*E815</f>
        <v>138490.35014906025</v>
      </c>
      <c r="M815" s="38" t="str">
        <f t="shared" si="64"/>
        <v/>
      </c>
      <c r="N815" s="36"/>
      <c r="O815" s="36"/>
      <c r="P815" s="36"/>
    </row>
    <row r="816" spans="1:16" x14ac:dyDescent="0.25">
      <c r="A816" s="36">
        <v>1860</v>
      </c>
      <c r="B816" s="37">
        <v>43891</v>
      </c>
      <c r="C816" s="36" t="s">
        <v>195</v>
      </c>
      <c r="D816" s="36"/>
      <c r="E816" s="38">
        <v>20348195</v>
      </c>
      <c r="F816" s="40">
        <f>VLOOKUP(A816,'DATOS GENERALES'!A:B,2,0)</f>
        <v>1.61</v>
      </c>
      <c r="G816" s="36">
        <f t="shared" si="60"/>
        <v>1.6025940000000001</v>
      </c>
      <c r="H816" s="38">
        <f t="shared" si="61"/>
        <v>12697036.804081382</v>
      </c>
      <c r="I816" s="38">
        <f t="shared" si="62"/>
        <v>7651158.1959186178</v>
      </c>
      <c r="J816" s="38" t="s">
        <v>213</v>
      </c>
      <c r="K816" s="38" t="str">
        <f t="shared" si="63"/>
        <v/>
      </c>
      <c r="L816" s="41">
        <f>VLOOKUP(INDICADORES!$B$21,'DATOS GENERALES'!$K:$M,3,0)*E816</f>
        <v>138490.35014906025</v>
      </c>
      <c r="M816" s="38" t="str">
        <f t="shared" si="64"/>
        <v/>
      </c>
      <c r="N816" s="36"/>
      <c r="O816" s="36"/>
      <c r="P816" s="36"/>
    </row>
    <row r="817" spans="1:16" x14ac:dyDescent="0.25">
      <c r="A817" s="36">
        <v>1860</v>
      </c>
      <c r="B817" s="37">
        <v>43922</v>
      </c>
      <c r="C817" s="36" t="s">
        <v>195</v>
      </c>
      <c r="D817" s="36"/>
      <c r="E817" s="38">
        <v>20348195</v>
      </c>
      <c r="F817" s="40">
        <f>VLOOKUP(A817,'DATOS GENERALES'!A:B,2,0)</f>
        <v>1.61</v>
      </c>
      <c r="G817" s="36">
        <f t="shared" si="60"/>
        <v>1.6025940000000001</v>
      </c>
      <c r="H817" s="38">
        <f t="shared" si="61"/>
        <v>12697036.804081382</v>
      </c>
      <c r="I817" s="38">
        <f t="shared" si="62"/>
        <v>7651158.1959186178</v>
      </c>
      <c r="J817" s="38" t="s">
        <v>213</v>
      </c>
      <c r="K817" s="38" t="str">
        <f t="shared" si="63"/>
        <v/>
      </c>
      <c r="L817" s="41">
        <f>VLOOKUP(INDICADORES!$B$21,'DATOS GENERALES'!$K:$M,3,0)*E817</f>
        <v>138490.35014906025</v>
      </c>
      <c r="M817" s="38" t="str">
        <f t="shared" si="64"/>
        <v/>
      </c>
      <c r="N817" s="36"/>
      <c r="O817" s="36"/>
      <c r="P817" s="36"/>
    </row>
    <row r="818" spans="1:16" x14ac:dyDescent="0.25">
      <c r="A818" s="36">
        <v>1860</v>
      </c>
      <c r="B818" s="37">
        <v>43952</v>
      </c>
      <c r="C818" s="36" t="s">
        <v>195</v>
      </c>
      <c r="D818" s="36"/>
      <c r="E818" s="38">
        <v>20348195</v>
      </c>
      <c r="F818" s="40">
        <f>VLOOKUP(A818,'DATOS GENERALES'!A:B,2,0)</f>
        <v>1.61</v>
      </c>
      <c r="G818" s="36">
        <f t="shared" si="60"/>
        <v>1.6025940000000001</v>
      </c>
      <c r="H818" s="38">
        <f t="shared" si="61"/>
        <v>12697036.804081382</v>
      </c>
      <c r="I818" s="38">
        <f t="shared" si="62"/>
        <v>7651158.1959186178</v>
      </c>
      <c r="J818" s="38" t="s">
        <v>213</v>
      </c>
      <c r="K818" s="38" t="str">
        <f t="shared" si="63"/>
        <v/>
      </c>
      <c r="L818" s="41">
        <f>VLOOKUP(INDICADORES!$B$21,'DATOS GENERALES'!$K:$M,3,0)*E818</f>
        <v>138490.35014906025</v>
      </c>
      <c r="M818" s="38" t="str">
        <f t="shared" si="64"/>
        <v/>
      </c>
      <c r="N818" s="36"/>
      <c r="O818" s="36"/>
      <c r="P818" s="36"/>
    </row>
    <row r="819" spans="1:16" x14ac:dyDescent="0.25">
      <c r="A819" s="36">
        <v>1860</v>
      </c>
      <c r="B819" s="37">
        <v>43983</v>
      </c>
      <c r="C819" s="36" t="s">
        <v>195</v>
      </c>
      <c r="D819" s="36"/>
      <c r="E819" s="38">
        <v>20348195</v>
      </c>
      <c r="F819" s="40">
        <f>VLOOKUP(A819,'DATOS GENERALES'!A:B,2,0)</f>
        <v>1.61</v>
      </c>
      <c r="G819" s="36">
        <f t="shared" si="60"/>
        <v>1.6025940000000001</v>
      </c>
      <c r="H819" s="38">
        <f t="shared" si="61"/>
        <v>12697036.804081382</v>
      </c>
      <c r="I819" s="38">
        <f t="shared" si="62"/>
        <v>7651158.1959186178</v>
      </c>
      <c r="J819" s="38" t="s">
        <v>213</v>
      </c>
      <c r="K819" s="38" t="str">
        <f t="shared" si="63"/>
        <v/>
      </c>
      <c r="L819" s="41">
        <f>VLOOKUP(INDICADORES!$B$21,'DATOS GENERALES'!$K:$M,3,0)*E819</f>
        <v>138490.35014906025</v>
      </c>
      <c r="M819" s="38" t="str">
        <f t="shared" si="64"/>
        <v/>
      </c>
      <c r="N819" s="36"/>
      <c r="O819" s="36"/>
      <c r="P819" s="36"/>
    </row>
    <row r="820" spans="1:16" x14ac:dyDescent="0.25">
      <c r="A820" s="36">
        <v>1860</v>
      </c>
      <c r="B820" s="37">
        <v>44013</v>
      </c>
      <c r="C820" s="36" t="s">
        <v>195</v>
      </c>
      <c r="D820" s="36"/>
      <c r="E820" s="38">
        <v>20348195</v>
      </c>
      <c r="F820" s="40">
        <f>VLOOKUP(A820,'DATOS GENERALES'!A:B,2,0)</f>
        <v>1.61</v>
      </c>
      <c r="G820" s="36">
        <f t="shared" si="60"/>
        <v>1.6025940000000001</v>
      </c>
      <c r="H820" s="38">
        <f t="shared" si="61"/>
        <v>12697036.804081382</v>
      </c>
      <c r="I820" s="38">
        <f t="shared" si="62"/>
        <v>7651158.1959186178</v>
      </c>
      <c r="J820" s="38" t="s">
        <v>213</v>
      </c>
      <c r="K820" s="38" t="str">
        <f t="shared" si="63"/>
        <v/>
      </c>
      <c r="L820" s="41">
        <f>VLOOKUP(INDICADORES!$B$21,'DATOS GENERALES'!$K:$M,3,0)*E820</f>
        <v>138490.35014906025</v>
      </c>
      <c r="M820" s="38" t="str">
        <f t="shared" si="64"/>
        <v/>
      </c>
      <c r="N820" s="36"/>
      <c r="O820" s="36"/>
      <c r="P820" s="36"/>
    </row>
    <row r="821" spans="1:16" x14ac:dyDescent="0.25">
      <c r="A821" s="36">
        <v>1860</v>
      </c>
      <c r="B821" s="37">
        <v>44044</v>
      </c>
      <c r="C821" s="36" t="s">
        <v>195</v>
      </c>
      <c r="D821" s="36"/>
      <c r="E821" s="38">
        <v>24271520</v>
      </c>
      <c r="F821" s="40">
        <f>VLOOKUP(A821,'DATOS GENERALES'!A:B,2,0)</f>
        <v>1.61</v>
      </c>
      <c r="G821" s="36">
        <f t="shared" si="60"/>
        <v>1.6025940000000001</v>
      </c>
      <c r="H821" s="38">
        <f t="shared" si="61"/>
        <v>15145145.932157489</v>
      </c>
      <c r="I821" s="38">
        <f t="shared" si="62"/>
        <v>9126374.0678425115</v>
      </c>
      <c r="J821" s="38" t="s">
        <v>213</v>
      </c>
      <c r="K821" s="38" t="str">
        <f t="shared" si="63"/>
        <v/>
      </c>
      <c r="L821" s="41">
        <f>VLOOKUP(INDICADORES!$B$21,'DATOS GENERALES'!$K:$M,3,0)*E821</f>
        <v>165192.60324809738</v>
      </c>
      <c r="M821" s="38" t="str">
        <f t="shared" si="64"/>
        <v/>
      </c>
      <c r="N821" s="36"/>
      <c r="O821" s="36"/>
      <c r="P821" s="36"/>
    </row>
    <row r="822" spans="1:16" x14ac:dyDescent="0.25">
      <c r="A822" s="36">
        <v>1860</v>
      </c>
      <c r="B822" s="37">
        <v>44075</v>
      </c>
      <c r="C822" s="36" t="s">
        <v>195</v>
      </c>
      <c r="D822" s="36"/>
      <c r="E822" s="38">
        <v>24271520</v>
      </c>
      <c r="F822" s="40">
        <f>VLOOKUP(A822,'DATOS GENERALES'!A:B,2,0)</f>
        <v>1.61</v>
      </c>
      <c r="G822" s="36">
        <f t="shared" si="60"/>
        <v>1.6025940000000001</v>
      </c>
      <c r="H822" s="38">
        <f t="shared" si="61"/>
        <v>15145145.932157489</v>
      </c>
      <c r="I822" s="38">
        <f t="shared" si="62"/>
        <v>9126374.0678425115</v>
      </c>
      <c r="J822" s="38" t="s">
        <v>213</v>
      </c>
      <c r="K822" s="38" t="str">
        <f t="shared" si="63"/>
        <v/>
      </c>
      <c r="L822" s="41">
        <f>VLOOKUP(INDICADORES!$B$21,'DATOS GENERALES'!$K:$M,3,0)*E822</f>
        <v>165192.60324809738</v>
      </c>
      <c r="M822" s="38" t="str">
        <f t="shared" si="64"/>
        <v/>
      </c>
      <c r="N822" s="36"/>
      <c r="O822" s="36"/>
      <c r="P822" s="36"/>
    </row>
    <row r="823" spans="1:16" x14ac:dyDescent="0.25">
      <c r="A823" s="36">
        <v>1860</v>
      </c>
      <c r="B823" s="37">
        <v>44105</v>
      </c>
      <c r="C823" s="36" t="s">
        <v>195</v>
      </c>
      <c r="D823" s="36"/>
      <c r="E823" s="38">
        <v>24271520</v>
      </c>
      <c r="F823" s="40">
        <f>VLOOKUP(A823,'DATOS GENERALES'!A:B,2,0)</f>
        <v>1.61</v>
      </c>
      <c r="G823" s="36">
        <f t="shared" si="60"/>
        <v>1.6025940000000001</v>
      </c>
      <c r="H823" s="38">
        <f t="shared" si="61"/>
        <v>15145145.932157489</v>
      </c>
      <c r="I823" s="38">
        <f t="shared" si="62"/>
        <v>9126374.0678425115</v>
      </c>
      <c r="J823" s="38" t="s">
        <v>213</v>
      </c>
      <c r="K823" s="38" t="str">
        <f t="shared" si="63"/>
        <v/>
      </c>
      <c r="L823" s="41">
        <f>VLOOKUP(INDICADORES!$B$21,'DATOS GENERALES'!$K:$M,3,0)*E823</f>
        <v>165192.60324809738</v>
      </c>
      <c r="M823" s="38" t="str">
        <f t="shared" si="64"/>
        <v/>
      </c>
      <c r="N823" s="36"/>
      <c r="O823" s="36"/>
      <c r="P823" s="36"/>
    </row>
    <row r="824" spans="1:16" x14ac:dyDescent="0.25">
      <c r="A824" s="36">
        <v>1860</v>
      </c>
      <c r="B824" s="37">
        <v>44136</v>
      </c>
      <c r="C824" s="36" t="s">
        <v>195</v>
      </c>
      <c r="D824" s="36"/>
      <c r="E824" s="38">
        <v>24271520</v>
      </c>
      <c r="F824" s="40">
        <f>VLOOKUP(A824,'DATOS GENERALES'!A:B,2,0)</f>
        <v>1.61</v>
      </c>
      <c r="G824" s="36">
        <f t="shared" si="60"/>
        <v>1.6025940000000001</v>
      </c>
      <c r="H824" s="38">
        <f t="shared" si="61"/>
        <v>15145145.932157489</v>
      </c>
      <c r="I824" s="38">
        <f t="shared" si="62"/>
        <v>9126374.0678425115</v>
      </c>
      <c r="J824" s="38" t="s">
        <v>213</v>
      </c>
      <c r="K824" s="38" t="str">
        <f t="shared" si="63"/>
        <v/>
      </c>
      <c r="L824" s="41">
        <f>VLOOKUP(INDICADORES!$B$21,'DATOS GENERALES'!$K:$M,3,0)*E824</f>
        <v>165192.60324809738</v>
      </c>
      <c r="M824" s="38" t="str">
        <f t="shared" si="64"/>
        <v/>
      </c>
      <c r="N824" s="36"/>
      <c r="O824" s="36"/>
      <c r="P824" s="36"/>
    </row>
    <row r="825" spans="1:16" x14ac:dyDescent="0.25">
      <c r="A825" s="36">
        <v>1860</v>
      </c>
      <c r="B825" s="37">
        <v>44166</v>
      </c>
      <c r="C825" s="36" t="s">
        <v>195</v>
      </c>
      <c r="D825" s="36"/>
      <c r="E825" s="38">
        <v>24271520</v>
      </c>
      <c r="F825" s="40">
        <f>VLOOKUP(A825,'DATOS GENERALES'!A:B,2,0)</f>
        <v>1.61</v>
      </c>
      <c r="G825" s="36">
        <f t="shared" si="60"/>
        <v>1.6025940000000001</v>
      </c>
      <c r="H825" s="38">
        <f t="shared" si="61"/>
        <v>15145145.932157489</v>
      </c>
      <c r="I825" s="38">
        <f t="shared" si="62"/>
        <v>9126374.0678425115</v>
      </c>
      <c r="J825" s="38" t="s">
        <v>213</v>
      </c>
      <c r="K825" s="38" t="str">
        <f t="shared" si="63"/>
        <v/>
      </c>
      <c r="L825" s="41">
        <f>VLOOKUP(INDICADORES!$B$21,'DATOS GENERALES'!$K:$M,3,0)*E825</f>
        <v>165192.60324809738</v>
      </c>
      <c r="M825" s="38" t="str">
        <f t="shared" si="64"/>
        <v/>
      </c>
      <c r="N825" s="36"/>
      <c r="O825" s="36"/>
      <c r="P825" s="36"/>
    </row>
    <row r="826" spans="1:16" x14ac:dyDescent="0.25">
      <c r="A826" s="36">
        <v>1860</v>
      </c>
      <c r="B826" s="37">
        <v>44197</v>
      </c>
      <c r="C826" s="36" t="s">
        <v>195</v>
      </c>
      <c r="D826" s="36"/>
      <c r="E826" s="38">
        <v>24271520</v>
      </c>
      <c r="F826" s="40">
        <f>VLOOKUP(A826,'DATOS GENERALES'!A:B,2,0)</f>
        <v>1.61</v>
      </c>
      <c r="G826" s="36">
        <f t="shared" si="60"/>
        <v>1.6025940000000001</v>
      </c>
      <c r="H826" s="38">
        <f t="shared" si="61"/>
        <v>15145145.932157489</v>
      </c>
      <c r="I826" s="38">
        <f t="shared" si="62"/>
        <v>9126374.0678425115</v>
      </c>
      <c r="J826" s="38" t="s">
        <v>213</v>
      </c>
      <c r="K826" s="38" t="str">
        <f t="shared" si="63"/>
        <v/>
      </c>
      <c r="L826" s="41">
        <f>VLOOKUP(INDICADORES!$B$21,'DATOS GENERALES'!$K:$M,3,0)*E826</f>
        <v>165192.60324809738</v>
      </c>
      <c r="M826" s="38" t="str">
        <f t="shared" si="64"/>
        <v/>
      </c>
      <c r="N826" s="36"/>
      <c r="O826" s="36"/>
      <c r="P826" s="36"/>
    </row>
    <row r="827" spans="1:16" x14ac:dyDescent="0.25">
      <c r="A827" s="36">
        <v>1860</v>
      </c>
      <c r="B827" s="37">
        <v>44228</v>
      </c>
      <c r="C827" s="36" t="s">
        <v>195</v>
      </c>
      <c r="D827" s="36"/>
      <c r="E827" s="38">
        <v>24271520</v>
      </c>
      <c r="F827" s="40">
        <f>VLOOKUP(A827,'DATOS GENERALES'!A:B,2,0)</f>
        <v>1.61</v>
      </c>
      <c r="G827" s="36">
        <f t="shared" si="60"/>
        <v>1.6025940000000001</v>
      </c>
      <c r="H827" s="38">
        <f t="shared" si="61"/>
        <v>15145145.932157489</v>
      </c>
      <c r="I827" s="38">
        <f t="shared" si="62"/>
        <v>9126374.0678425115</v>
      </c>
      <c r="J827" s="38" t="s">
        <v>213</v>
      </c>
      <c r="K827" s="38" t="str">
        <f t="shared" si="63"/>
        <v/>
      </c>
      <c r="L827" s="41">
        <f>VLOOKUP(INDICADORES!$B$21,'DATOS GENERALES'!$K:$M,3,0)*E827</f>
        <v>165192.60324809738</v>
      </c>
      <c r="M827" s="38" t="str">
        <f t="shared" si="64"/>
        <v/>
      </c>
      <c r="N827" s="36"/>
      <c r="O827" s="36"/>
      <c r="P827" s="36"/>
    </row>
    <row r="828" spans="1:16" x14ac:dyDescent="0.25">
      <c r="A828" s="36">
        <v>1860</v>
      </c>
      <c r="B828" s="37">
        <v>44256</v>
      </c>
      <c r="C828" s="36" t="s">
        <v>195</v>
      </c>
      <c r="D828" s="36"/>
      <c r="E828" s="38">
        <v>24271520</v>
      </c>
      <c r="F828" s="40">
        <f>VLOOKUP(A828,'DATOS GENERALES'!A:B,2,0)</f>
        <v>1.61</v>
      </c>
      <c r="G828" s="36">
        <f t="shared" si="60"/>
        <v>1.6025940000000001</v>
      </c>
      <c r="H828" s="38">
        <f t="shared" si="61"/>
        <v>15145145.932157489</v>
      </c>
      <c r="I828" s="38">
        <f t="shared" si="62"/>
        <v>9126374.0678425115</v>
      </c>
      <c r="J828" s="38" t="s">
        <v>213</v>
      </c>
      <c r="K828" s="38" t="str">
        <f t="shared" si="63"/>
        <v/>
      </c>
      <c r="L828" s="41">
        <f>VLOOKUP(INDICADORES!$B$21,'DATOS GENERALES'!$K:$M,3,0)*E828</f>
        <v>165192.60324809738</v>
      </c>
      <c r="M828" s="38" t="str">
        <f t="shared" si="64"/>
        <v/>
      </c>
      <c r="N828" s="36"/>
      <c r="O828" s="36"/>
      <c r="P828" s="36"/>
    </row>
    <row r="829" spans="1:16" x14ac:dyDescent="0.25">
      <c r="A829" s="36">
        <v>1860</v>
      </c>
      <c r="B829" s="37">
        <v>44287</v>
      </c>
      <c r="C829" s="36" t="s">
        <v>195</v>
      </c>
      <c r="D829" s="36"/>
      <c r="E829" s="38">
        <v>19513445</v>
      </c>
      <c r="F829" s="40">
        <f>VLOOKUP(A829,'DATOS GENERALES'!A:B,2,0)</f>
        <v>1.61</v>
      </c>
      <c r="G829" s="36">
        <f t="shared" si="60"/>
        <v>1.6025940000000001</v>
      </c>
      <c r="H829" s="38">
        <f t="shared" si="61"/>
        <v>12176162.521511998</v>
      </c>
      <c r="I829" s="38">
        <f t="shared" si="62"/>
        <v>7337282.478488002</v>
      </c>
      <c r="J829" s="38" t="s">
        <v>213</v>
      </c>
      <c r="K829" s="38" t="str">
        <f t="shared" si="63"/>
        <v/>
      </c>
      <c r="L829" s="41">
        <f>VLOOKUP(INDICADORES!$B$21,'DATOS GENERALES'!$K:$M,3,0)*E829</f>
        <v>132809.0197024566</v>
      </c>
      <c r="M829" s="38" t="str">
        <f t="shared" si="64"/>
        <v/>
      </c>
      <c r="N829" s="36"/>
      <c r="O829" s="36"/>
      <c r="P829" s="36"/>
    </row>
    <row r="830" spans="1:16" x14ac:dyDescent="0.25">
      <c r="A830" s="36">
        <v>1860</v>
      </c>
      <c r="B830" s="37">
        <v>44317</v>
      </c>
      <c r="C830" s="36" t="s">
        <v>195</v>
      </c>
      <c r="D830" s="36"/>
      <c r="E830" s="38">
        <v>3923324.9999999995</v>
      </c>
      <c r="F830" s="40">
        <f>VLOOKUP(A830,'DATOS GENERALES'!A:B,2,0)</f>
        <v>1.61</v>
      </c>
      <c r="G830" s="36">
        <f t="shared" si="60"/>
        <v>1.6025940000000001</v>
      </c>
      <c r="H830" s="38">
        <f t="shared" si="61"/>
        <v>2448109.1280761063</v>
      </c>
      <c r="I830" s="38">
        <f t="shared" si="62"/>
        <v>1475215.8719238932</v>
      </c>
      <c r="J830" s="38" t="s">
        <v>213</v>
      </c>
      <c r="K830" s="38" t="str">
        <f t="shared" si="63"/>
        <v/>
      </c>
      <c r="L830" s="41">
        <f>VLOOKUP(INDICADORES!$B$21,'DATOS GENERALES'!$K:$M,3,0)*E830</f>
        <v>26702.253099037127</v>
      </c>
      <c r="M830" s="38" t="str">
        <f t="shared" si="64"/>
        <v/>
      </c>
      <c r="N830" s="36"/>
      <c r="O830" s="36"/>
      <c r="P830" s="36"/>
    </row>
    <row r="831" spans="1:16" x14ac:dyDescent="0.25">
      <c r="A831" s="36">
        <v>1860</v>
      </c>
      <c r="B831" s="37">
        <v>44348</v>
      </c>
      <c r="C831" s="36" t="s">
        <v>195</v>
      </c>
      <c r="D831" s="36"/>
      <c r="E831" s="38">
        <v>3923324.9999999995</v>
      </c>
      <c r="F831" s="40">
        <f>VLOOKUP(A831,'DATOS GENERALES'!A:B,2,0)</f>
        <v>1.61</v>
      </c>
      <c r="G831" s="36">
        <f t="shared" si="60"/>
        <v>1.6025940000000001</v>
      </c>
      <c r="H831" s="38">
        <f t="shared" si="61"/>
        <v>2448109.1280761063</v>
      </c>
      <c r="I831" s="38">
        <f t="shared" si="62"/>
        <v>1475215.8719238932</v>
      </c>
      <c r="J831" s="38" t="s">
        <v>213</v>
      </c>
      <c r="K831" s="38" t="str">
        <f t="shared" si="63"/>
        <v/>
      </c>
      <c r="L831" s="41">
        <f>VLOOKUP(INDICADORES!$B$21,'DATOS GENERALES'!$K:$M,3,0)*E831</f>
        <v>26702.253099037127</v>
      </c>
      <c r="M831" s="38" t="str">
        <f t="shared" si="64"/>
        <v/>
      </c>
      <c r="N831" s="36"/>
      <c r="O831" s="36"/>
      <c r="P831" s="36"/>
    </row>
    <row r="832" spans="1:16" x14ac:dyDescent="0.25">
      <c r="A832" s="36">
        <v>1860</v>
      </c>
      <c r="B832" s="37">
        <v>44378</v>
      </c>
      <c r="C832" s="36" t="s">
        <v>195</v>
      </c>
      <c r="D832" s="36"/>
      <c r="E832" s="38">
        <v>3923324.9999999995</v>
      </c>
      <c r="F832" s="40">
        <f>VLOOKUP(A832,'DATOS GENERALES'!A:B,2,0)</f>
        <v>1.61</v>
      </c>
      <c r="G832" s="36">
        <f t="shared" si="60"/>
        <v>1.6025940000000001</v>
      </c>
      <c r="H832" s="38">
        <f t="shared" si="61"/>
        <v>2448109.1280761063</v>
      </c>
      <c r="I832" s="38">
        <f t="shared" si="62"/>
        <v>1475215.8719238932</v>
      </c>
      <c r="J832" s="38" t="s">
        <v>213</v>
      </c>
      <c r="K832" s="38" t="str">
        <f t="shared" si="63"/>
        <v/>
      </c>
      <c r="L832" s="41">
        <f>VLOOKUP(INDICADORES!$B$21,'DATOS GENERALES'!$K:$M,3,0)*E832</f>
        <v>26702.253099037127</v>
      </c>
      <c r="M832" s="38" t="str">
        <f t="shared" si="64"/>
        <v/>
      </c>
      <c r="N832" s="36"/>
      <c r="O832" s="36"/>
      <c r="P832" s="36"/>
    </row>
    <row r="833" spans="1:16" x14ac:dyDescent="0.25">
      <c r="A833" s="36">
        <v>1861</v>
      </c>
      <c r="B833" s="37">
        <v>43466</v>
      </c>
      <c r="C833" s="36" t="s">
        <v>195</v>
      </c>
      <c r="D833" s="36"/>
      <c r="E833" s="38">
        <v>195728607.46069998</v>
      </c>
      <c r="F833" s="40">
        <f>VLOOKUP(A833,'DATOS GENERALES'!A:B,2,0)</f>
        <v>2.2200000000000002</v>
      </c>
      <c r="G833" s="36">
        <f t="shared" si="60"/>
        <v>2.2097880000000001</v>
      </c>
      <c r="H833" s="38">
        <f t="shared" si="61"/>
        <v>88573477.392718196</v>
      </c>
      <c r="I833" s="38">
        <f t="shared" si="62"/>
        <v>107155130.06798178</v>
      </c>
      <c r="J833" s="38">
        <v>19434645.79994132</v>
      </c>
      <c r="K833" s="38">
        <f t="shared" si="63"/>
        <v>87720484.268040463</v>
      </c>
      <c r="L833" s="41">
        <f>VLOOKUP(INDICADORES!$B$21,'DATOS GENERALES'!$K:$M,3,0)*E833</f>
        <v>1332134.0483232201</v>
      </c>
      <c r="M833" s="38">
        <f t="shared" si="64"/>
        <v>86388350.219717249</v>
      </c>
      <c r="N833" s="36"/>
      <c r="O833" s="36"/>
      <c r="P833" s="36"/>
    </row>
    <row r="834" spans="1:16" x14ac:dyDescent="0.25">
      <c r="A834" s="36">
        <v>1861</v>
      </c>
      <c r="B834" s="37">
        <v>43497</v>
      </c>
      <c r="C834" s="36" t="s">
        <v>195</v>
      </c>
      <c r="D834" s="36"/>
      <c r="E834" s="38">
        <v>195728607.46069998</v>
      </c>
      <c r="F834" s="40">
        <f>VLOOKUP(A834,'DATOS GENERALES'!A:B,2,0)</f>
        <v>2.2200000000000002</v>
      </c>
      <c r="G834" s="36">
        <f t="shared" si="60"/>
        <v>2.2097880000000001</v>
      </c>
      <c r="H834" s="38">
        <f t="shared" si="61"/>
        <v>88573477.392718196</v>
      </c>
      <c r="I834" s="38">
        <f t="shared" si="62"/>
        <v>107155130.06798178</v>
      </c>
      <c r="J834" s="38">
        <v>19145852.213183776</v>
      </c>
      <c r="K834" s="38">
        <f t="shared" si="63"/>
        <v>88009277.854798004</v>
      </c>
      <c r="L834" s="41">
        <f>VLOOKUP(INDICADORES!$B$21,'DATOS GENERALES'!$K:$M,3,0)*E834</f>
        <v>1332134.0483232201</v>
      </c>
      <c r="M834" s="38">
        <f t="shared" si="64"/>
        <v>86677143.80647479</v>
      </c>
      <c r="N834" s="36"/>
      <c r="O834" s="36"/>
      <c r="P834" s="36"/>
    </row>
    <row r="835" spans="1:16" x14ac:dyDescent="0.25">
      <c r="A835" s="36">
        <v>1861</v>
      </c>
      <c r="B835" s="37">
        <v>43525</v>
      </c>
      <c r="C835" s="36" t="s">
        <v>195</v>
      </c>
      <c r="D835" s="36"/>
      <c r="E835" s="38">
        <v>195728607.46069998</v>
      </c>
      <c r="F835" s="40">
        <f>VLOOKUP(A835,'DATOS GENERALES'!A:B,2,0)</f>
        <v>2.2200000000000002</v>
      </c>
      <c r="G835" s="36">
        <f t="shared" ref="G835:G898" si="65">F835*0.9954</f>
        <v>2.2097880000000001</v>
      </c>
      <c r="H835" s="38">
        <f t="shared" ref="H835:H898" si="66">E835/G835</f>
        <v>88573477.392718196</v>
      </c>
      <c r="I835" s="38">
        <f t="shared" ref="I835:I898" si="67">E835-H835</f>
        <v>107155130.06798178</v>
      </c>
      <c r="J835" s="38">
        <v>13851786.612763651</v>
      </c>
      <c r="K835" s="38">
        <f t="shared" ref="K835:K898" si="68">IFERROR(I835-J835,"")</f>
        <v>93303343.455218136</v>
      </c>
      <c r="L835" s="41">
        <f>VLOOKUP(INDICADORES!$B$21,'DATOS GENERALES'!$K:$M,3,0)*E835</f>
        <v>1332134.0483232201</v>
      </c>
      <c r="M835" s="38">
        <f t="shared" ref="M835:M898" si="69">IFERROR(K835-L835,"")</f>
        <v>91971209.406894922</v>
      </c>
      <c r="N835" s="36"/>
      <c r="O835" s="36"/>
      <c r="P835" s="36"/>
    </row>
    <row r="836" spans="1:16" x14ac:dyDescent="0.25">
      <c r="A836" s="36">
        <v>1861</v>
      </c>
      <c r="B836" s="37">
        <v>43556</v>
      </c>
      <c r="C836" s="36" t="s">
        <v>195</v>
      </c>
      <c r="D836" s="36"/>
      <c r="E836" s="38">
        <v>131698607.46069999</v>
      </c>
      <c r="F836" s="40">
        <f>VLOOKUP(A836,'DATOS GENERALES'!A:B,2,0)</f>
        <v>2.2200000000000002</v>
      </c>
      <c r="G836" s="36">
        <f t="shared" si="65"/>
        <v>2.2097880000000001</v>
      </c>
      <c r="H836" s="38">
        <f t="shared" si="66"/>
        <v>59597847.151265182</v>
      </c>
      <c r="I836" s="38">
        <f t="shared" si="67"/>
        <v>72100760.309434801</v>
      </c>
      <c r="J836" s="38">
        <v>9582032.1388600152</v>
      </c>
      <c r="K836" s="38">
        <f t="shared" si="68"/>
        <v>62518728.170574784</v>
      </c>
      <c r="L836" s="41">
        <f>VLOOKUP(INDICADORES!$B$21,'DATOS GENERALES'!$K:$M,3,0)*E836</f>
        <v>896344.18489580916</v>
      </c>
      <c r="M836" s="38">
        <f t="shared" si="69"/>
        <v>61622383.985678978</v>
      </c>
      <c r="N836" s="36"/>
      <c r="O836" s="36"/>
      <c r="P836" s="36"/>
    </row>
    <row r="837" spans="1:16" x14ac:dyDescent="0.25">
      <c r="A837" s="36">
        <v>1861</v>
      </c>
      <c r="B837" s="37">
        <v>43586</v>
      </c>
      <c r="C837" s="36" t="s">
        <v>195</v>
      </c>
      <c r="D837" s="36"/>
      <c r="E837" s="38">
        <v>131698607.46069999</v>
      </c>
      <c r="F837" s="40">
        <f>VLOOKUP(A837,'DATOS GENERALES'!A:B,2,0)</f>
        <v>2.2200000000000002</v>
      </c>
      <c r="G837" s="36">
        <f t="shared" si="65"/>
        <v>2.2097880000000001</v>
      </c>
      <c r="H837" s="38">
        <f t="shared" si="66"/>
        <v>59597847.151265182</v>
      </c>
      <c r="I837" s="38">
        <f t="shared" si="67"/>
        <v>72100760.309434801</v>
      </c>
      <c r="J837" s="38">
        <v>7904506.4004531894</v>
      </c>
      <c r="K837" s="38">
        <f t="shared" si="68"/>
        <v>64196253.908981614</v>
      </c>
      <c r="L837" s="41">
        <f>VLOOKUP(INDICADORES!$B$21,'DATOS GENERALES'!$K:$M,3,0)*E837</f>
        <v>896344.18489580916</v>
      </c>
      <c r="M837" s="38">
        <f t="shared" si="69"/>
        <v>63299909.724085808</v>
      </c>
      <c r="N837" s="36"/>
      <c r="O837" s="36"/>
      <c r="P837" s="36"/>
    </row>
    <row r="838" spans="1:16" x14ac:dyDescent="0.25">
      <c r="A838" s="36">
        <v>1861</v>
      </c>
      <c r="B838" s="37">
        <v>43617</v>
      </c>
      <c r="C838" s="36" t="s">
        <v>195</v>
      </c>
      <c r="D838" s="36"/>
      <c r="E838" s="38">
        <v>131698607.46069999</v>
      </c>
      <c r="F838" s="40">
        <f>VLOOKUP(A838,'DATOS GENERALES'!A:B,2,0)</f>
        <v>2.2200000000000002</v>
      </c>
      <c r="G838" s="36">
        <f t="shared" si="65"/>
        <v>2.2097880000000001</v>
      </c>
      <c r="H838" s="38">
        <f t="shared" si="66"/>
        <v>59597847.151265182</v>
      </c>
      <c r="I838" s="38">
        <f t="shared" si="67"/>
        <v>72100760.309434801</v>
      </c>
      <c r="J838" s="38">
        <v>10629709.995992245</v>
      </c>
      <c r="K838" s="38">
        <f t="shared" si="68"/>
        <v>61471050.313442558</v>
      </c>
      <c r="L838" s="41">
        <f>VLOOKUP(INDICADORES!$B$21,'DATOS GENERALES'!$K:$M,3,0)*E838</f>
        <v>896344.18489580916</v>
      </c>
      <c r="M838" s="38">
        <f t="shared" si="69"/>
        <v>60574706.128546752</v>
      </c>
      <c r="N838" s="36"/>
      <c r="O838" s="36"/>
      <c r="P838" s="36"/>
    </row>
    <row r="839" spans="1:16" x14ac:dyDescent="0.25">
      <c r="A839" s="36">
        <v>1861</v>
      </c>
      <c r="B839" s="37">
        <v>43647</v>
      </c>
      <c r="C839" s="36" t="s">
        <v>195</v>
      </c>
      <c r="D839" s="36"/>
      <c r="E839" s="38">
        <v>131698607.46069999</v>
      </c>
      <c r="F839" s="40">
        <f>VLOOKUP(A839,'DATOS GENERALES'!A:B,2,0)</f>
        <v>2.2200000000000002</v>
      </c>
      <c r="G839" s="36">
        <f t="shared" si="65"/>
        <v>2.2097880000000001</v>
      </c>
      <c r="H839" s="38">
        <f t="shared" si="66"/>
        <v>59597847.151265182</v>
      </c>
      <c r="I839" s="38">
        <f t="shared" si="67"/>
        <v>72100760.309434801</v>
      </c>
      <c r="J839" s="38">
        <v>15852033.627370773</v>
      </c>
      <c r="K839" s="38">
        <f t="shared" si="68"/>
        <v>56248726.682064027</v>
      </c>
      <c r="L839" s="41">
        <f>VLOOKUP(INDICADORES!$B$21,'DATOS GENERALES'!$K:$M,3,0)*E839</f>
        <v>896344.18489580916</v>
      </c>
      <c r="M839" s="38">
        <f t="shared" si="69"/>
        <v>55352382.497168221</v>
      </c>
      <c r="N839" s="36"/>
      <c r="O839" s="36"/>
      <c r="P839" s="36"/>
    </row>
    <row r="840" spans="1:16" x14ac:dyDescent="0.25">
      <c r="A840" s="36">
        <v>1861</v>
      </c>
      <c r="B840" s="37">
        <v>43678</v>
      </c>
      <c r="C840" s="36" t="s">
        <v>195</v>
      </c>
      <c r="D840" s="36"/>
      <c r="E840" s="38">
        <v>131698607.46069999</v>
      </c>
      <c r="F840" s="40">
        <f>VLOOKUP(A840,'DATOS GENERALES'!A:B,2,0)</f>
        <v>2.2200000000000002</v>
      </c>
      <c r="G840" s="36">
        <f t="shared" si="65"/>
        <v>2.2097880000000001</v>
      </c>
      <c r="H840" s="38">
        <f t="shared" si="66"/>
        <v>59597847.151265182</v>
      </c>
      <c r="I840" s="38">
        <f t="shared" si="67"/>
        <v>72100760.309434801</v>
      </c>
      <c r="J840" s="38">
        <v>15598975.816511832</v>
      </c>
      <c r="K840" s="38">
        <f t="shared" si="68"/>
        <v>56501784.492922969</v>
      </c>
      <c r="L840" s="41">
        <f>VLOOKUP(INDICADORES!$B$21,'DATOS GENERALES'!$K:$M,3,0)*E840</f>
        <v>896344.18489580916</v>
      </c>
      <c r="M840" s="38">
        <f t="shared" si="69"/>
        <v>55605440.308027163</v>
      </c>
      <c r="N840" s="36"/>
      <c r="O840" s="36"/>
      <c r="P840" s="36"/>
    </row>
    <row r="841" spans="1:16" x14ac:dyDescent="0.25">
      <c r="A841" s="36">
        <v>1861</v>
      </c>
      <c r="B841" s="37">
        <v>43709</v>
      </c>
      <c r="C841" s="36" t="s">
        <v>195</v>
      </c>
      <c r="D841" s="36"/>
      <c r="E841" s="38">
        <v>131698607.46069999</v>
      </c>
      <c r="F841" s="40">
        <f>VLOOKUP(A841,'DATOS GENERALES'!A:B,2,0)</f>
        <v>2.2200000000000002</v>
      </c>
      <c r="G841" s="36">
        <f t="shared" si="65"/>
        <v>2.2097880000000001</v>
      </c>
      <c r="H841" s="38">
        <f t="shared" si="66"/>
        <v>59597847.151265182</v>
      </c>
      <c r="I841" s="38">
        <f t="shared" si="67"/>
        <v>72100760.309434801</v>
      </c>
      <c r="J841" s="38">
        <v>17629542.024561871</v>
      </c>
      <c r="K841" s="38">
        <f t="shared" si="68"/>
        <v>54471218.284872934</v>
      </c>
      <c r="L841" s="41">
        <f>VLOOKUP(INDICADORES!$B$21,'DATOS GENERALES'!$K:$M,3,0)*E841</f>
        <v>896344.18489580916</v>
      </c>
      <c r="M841" s="38">
        <f t="shared" si="69"/>
        <v>53574874.099977128</v>
      </c>
      <c r="N841" s="36"/>
      <c r="O841" s="36"/>
      <c r="P841" s="36"/>
    </row>
    <row r="842" spans="1:16" x14ac:dyDescent="0.25">
      <c r="A842" s="36">
        <v>1861</v>
      </c>
      <c r="B842" s="37">
        <v>43739</v>
      </c>
      <c r="C842" s="36" t="s">
        <v>195</v>
      </c>
      <c r="D842" s="36"/>
      <c r="E842" s="38">
        <v>131698607.46069999</v>
      </c>
      <c r="F842" s="40">
        <f>VLOOKUP(A842,'DATOS GENERALES'!A:B,2,0)</f>
        <v>2.2200000000000002</v>
      </c>
      <c r="G842" s="36">
        <f t="shared" si="65"/>
        <v>2.2097880000000001</v>
      </c>
      <c r="H842" s="38">
        <f t="shared" si="66"/>
        <v>59597847.151265182</v>
      </c>
      <c r="I842" s="38">
        <f t="shared" si="67"/>
        <v>72100760.309434801</v>
      </c>
      <c r="J842" s="38">
        <v>19064529.287253819</v>
      </c>
      <c r="K842" s="38">
        <f t="shared" si="68"/>
        <v>53036231.022180982</v>
      </c>
      <c r="L842" s="41">
        <f>VLOOKUP(INDICADORES!$B$21,'DATOS GENERALES'!$K:$M,3,0)*E842</f>
        <v>896344.18489580916</v>
      </c>
      <c r="M842" s="38">
        <f t="shared" si="69"/>
        <v>52139886.837285176</v>
      </c>
      <c r="N842" s="36"/>
      <c r="O842" s="36"/>
      <c r="P842" s="36"/>
    </row>
    <row r="843" spans="1:16" x14ac:dyDescent="0.25">
      <c r="A843" s="36">
        <v>1861</v>
      </c>
      <c r="B843" s="37">
        <v>43770</v>
      </c>
      <c r="C843" s="36" t="s">
        <v>195</v>
      </c>
      <c r="D843" s="36"/>
      <c r="E843" s="38">
        <v>131698607.46069999</v>
      </c>
      <c r="F843" s="40">
        <f>VLOOKUP(A843,'DATOS GENERALES'!A:B,2,0)</f>
        <v>2.2200000000000002</v>
      </c>
      <c r="G843" s="36">
        <f t="shared" si="65"/>
        <v>2.2097880000000001</v>
      </c>
      <c r="H843" s="38">
        <f t="shared" si="66"/>
        <v>59597847.151265182</v>
      </c>
      <c r="I843" s="38">
        <f t="shared" si="67"/>
        <v>72100760.309434801</v>
      </c>
      <c r="J843" s="38">
        <v>25497403.870326895</v>
      </c>
      <c r="K843" s="38">
        <f t="shared" si="68"/>
        <v>46603356.43910791</v>
      </c>
      <c r="L843" s="41">
        <f>VLOOKUP(INDICADORES!$B$21,'DATOS GENERALES'!$K:$M,3,0)*E843</f>
        <v>896344.18489580916</v>
      </c>
      <c r="M843" s="38">
        <f t="shared" si="69"/>
        <v>45707012.254212104</v>
      </c>
      <c r="N843" s="36"/>
      <c r="O843" s="36"/>
      <c r="P843" s="36"/>
    </row>
    <row r="844" spans="1:16" x14ac:dyDescent="0.25">
      <c r="A844" s="36">
        <v>1861</v>
      </c>
      <c r="B844" s="37">
        <v>43800</v>
      </c>
      <c r="C844" s="36" t="s">
        <v>195</v>
      </c>
      <c r="D844" s="36"/>
      <c r="E844" s="38">
        <v>131698607.46069999</v>
      </c>
      <c r="F844" s="40">
        <f>VLOOKUP(A844,'DATOS GENERALES'!A:B,2,0)</f>
        <v>2.2200000000000002</v>
      </c>
      <c r="G844" s="36">
        <f t="shared" si="65"/>
        <v>2.2097880000000001</v>
      </c>
      <c r="H844" s="38">
        <f t="shared" si="66"/>
        <v>59597847.151265182</v>
      </c>
      <c r="I844" s="38">
        <f t="shared" si="67"/>
        <v>72100760.309434801</v>
      </c>
      <c r="J844" s="38">
        <v>21468492.639632389</v>
      </c>
      <c r="K844" s="38">
        <f t="shared" si="68"/>
        <v>50632267.669802412</v>
      </c>
      <c r="L844" s="41">
        <f>VLOOKUP(INDICADORES!$B$21,'DATOS GENERALES'!$K:$M,3,0)*E844</f>
        <v>896344.18489580916</v>
      </c>
      <c r="M844" s="38">
        <f t="shared" si="69"/>
        <v>49735923.484906606</v>
      </c>
      <c r="N844" s="36"/>
      <c r="O844" s="36"/>
      <c r="P844" s="36"/>
    </row>
    <row r="845" spans="1:16" x14ac:dyDescent="0.25">
      <c r="A845" s="36">
        <v>1861</v>
      </c>
      <c r="B845" s="37">
        <v>43831</v>
      </c>
      <c r="C845" s="36" t="s">
        <v>195</v>
      </c>
      <c r="D845" s="36"/>
      <c r="E845" s="38">
        <v>127335452.6857</v>
      </c>
      <c r="F845" s="40">
        <f>VLOOKUP(A845,'DATOS GENERALES'!A:B,2,0)</f>
        <v>2.2200000000000002</v>
      </c>
      <c r="G845" s="36">
        <f t="shared" si="65"/>
        <v>2.2097880000000001</v>
      </c>
      <c r="H845" s="38">
        <f t="shared" si="66"/>
        <v>57623379.566591904</v>
      </c>
      <c r="I845" s="38">
        <f t="shared" si="67"/>
        <v>69712073.119108096</v>
      </c>
      <c r="J845" s="38" t="s">
        <v>213</v>
      </c>
      <c r="K845" s="38" t="str">
        <f t="shared" si="68"/>
        <v/>
      </c>
      <c r="L845" s="41">
        <f>VLOOKUP(INDICADORES!$B$21,'DATOS GENERALES'!$K:$M,3,0)*E845</f>
        <v>866648.4387844567</v>
      </c>
      <c r="M845" s="38" t="str">
        <f t="shared" si="69"/>
        <v/>
      </c>
      <c r="N845" s="36"/>
      <c r="O845" s="36"/>
      <c r="P845" s="36"/>
    </row>
    <row r="846" spans="1:16" x14ac:dyDescent="0.25">
      <c r="A846" s="36">
        <v>1861</v>
      </c>
      <c r="B846" s="37">
        <v>43862</v>
      </c>
      <c r="C846" s="36" t="s">
        <v>195</v>
      </c>
      <c r="D846" s="36"/>
      <c r="E846" s="38">
        <v>127335452.6857</v>
      </c>
      <c r="F846" s="40">
        <f>VLOOKUP(A846,'DATOS GENERALES'!A:B,2,0)</f>
        <v>2.2200000000000002</v>
      </c>
      <c r="G846" s="36">
        <f t="shared" si="65"/>
        <v>2.2097880000000001</v>
      </c>
      <c r="H846" s="38">
        <f t="shared" si="66"/>
        <v>57623379.566591904</v>
      </c>
      <c r="I846" s="38">
        <f t="shared" si="67"/>
        <v>69712073.119108096</v>
      </c>
      <c r="J846" s="38" t="s">
        <v>213</v>
      </c>
      <c r="K846" s="38" t="str">
        <f t="shared" si="68"/>
        <v/>
      </c>
      <c r="L846" s="41">
        <f>VLOOKUP(INDICADORES!$B$21,'DATOS GENERALES'!$K:$M,3,0)*E846</f>
        <v>866648.4387844567</v>
      </c>
      <c r="M846" s="38" t="str">
        <f t="shared" si="69"/>
        <v/>
      </c>
      <c r="N846" s="36"/>
      <c r="O846" s="36"/>
      <c r="P846" s="36"/>
    </row>
    <row r="847" spans="1:16" x14ac:dyDescent="0.25">
      <c r="A847" s="36">
        <v>1861</v>
      </c>
      <c r="B847" s="37">
        <v>43891</v>
      </c>
      <c r="C847" s="36" t="s">
        <v>195</v>
      </c>
      <c r="D847" s="36"/>
      <c r="E847" s="38">
        <v>127335452.6857</v>
      </c>
      <c r="F847" s="40">
        <f>VLOOKUP(A847,'DATOS GENERALES'!A:B,2,0)</f>
        <v>2.2200000000000002</v>
      </c>
      <c r="G847" s="36">
        <f t="shared" si="65"/>
        <v>2.2097880000000001</v>
      </c>
      <c r="H847" s="38">
        <f t="shared" si="66"/>
        <v>57623379.566591904</v>
      </c>
      <c r="I847" s="38">
        <f t="shared" si="67"/>
        <v>69712073.119108096</v>
      </c>
      <c r="J847" s="38" t="s">
        <v>213</v>
      </c>
      <c r="K847" s="38" t="str">
        <f t="shared" si="68"/>
        <v/>
      </c>
      <c r="L847" s="41">
        <f>VLOOKUP(INDICADORES!$B$21,'DATOS GENERALES'!$K:$M,3,0)*E847</f>
        <v>866648.4387844567</v>
      </c>
      <c r="M847" s="38" t="str">
        <f t="shared" si="69"/>
        <v/>
      </c>
      <c r="N847" s="36"/>
      <c r="O847" s="36"/>
      <c r="P847" s="36"/>
    </row>
    <row r="848" spans="1:16" x14ac:dyDescent="0.25">
      <c r="A848" s="36">
        <v>1861</v>
      </c>
      <c r="B848" s="37">
        <v>43922</v>
      </c>
      <c r="C848" s="36" t="s">
        <v>195</v>
      </c>
      <c r="D848" s="36"/>
      <c r="E848" s="38">
        <v>127335452.6857</v>
      </c>
      <c r="F848" s="40">
        <f>VLOOKUP(A848,'DATOS GENERALES'!A:B,2,0)</f>
        <v>2.2200000000000002</v>
      </c>
      <c r="G848" s="36">
        <f t="shared" si="65"/>
        <v>2.2097880000000001</v>
      </c>
      <c r="H848" s="38">
        <f t="shared" si="66"/>
        <v>57623379.566591904</v>
      </c>
      <c r="I848" s="38">
        <f t="shared" si="67"/>
        <v>69712073.119108096</v>
      </c>
      <c r="J848" s="38" t="s">
        <v>213</v>
      </c>
      <c r="K848" s="38" t="str">
        <f t="shared" si="68"/>
        <v/>
      </c>
      <c r="L848" s="41">
        <f>VLOOKUP(INDICADORES!$B$21,'DATOS GENERALES'!$K:$M,3,0)*E848</f>
        <v>866648.4387844567</v>
      </c>
      <c r="M848" s="38" t="str">
        <f t="shared" si="69"/>
        <v/>
      </c>
      <c r="N848" s="36"/>
      <c r="O848" s="36"/>
      <c r="P848" s="36"/>
    </row>
    <row r="849" spans="1:16" x14ac:dyDescent="0.25">
      <c r="A849" s="36">
        <v>1861</v>
      </c>
      <c r="B849" s="37">
        <v>43952</v>
      </c>
      <c r="C849" s="36" t="s">
        <v>195</v>
      </c>
      <c r="D849" s="36"/>
      <c r="E849" s="38">
        <v>127335452.6857</v>
      </c>
      <c r="F849" s="40">
        <f>VLOOKUP(A849,'DATOS GENERALES'!A:B,2,0)</f>
        <v>2.2200000000000002</v>
      </c>
      <c r="G849" s="36">
        <f t="shared" si="65"/>
        <v>2.2097880000000001</v>
      </c>
      <c r="H849" s="38">
        <f t="shared" si="66"/>
        <v>57623379.566591904</v>
      </c>
      <c r="I849" s="38">
        <f t="shared" si="67"/>
        <v>69712073.119108096</v>
      </c>
      <c r="J849" s="38" t="s">
        <v>213</v>
      </c>
      <c r="K849" s="38" t="str">
        <f t="shared" si="68"/>
        <v/>
      </c>
      <c r="L849" s="41">
        <f>VLOOKUP(INDICADORES!$B$21,'DATOS GENERALES'!$K:$M,3,0)*E849</f>
        <v>866648.4387844567</v>
      </c>
      <c r="M849" s="38" t="str">
        <f t="shared" si="69"/>
        <v/>
      </c>
      <c r="N849" s="36"/>
      <c r="O849" s="36"/>
      <c r="P849" s="36"/>
    </row>
    <row r="850" spans="1:16" x14ac:dyDescent="0.25">
      <c r="A850" s="36">
        <v>1861</v>
      </c>
      <c r="B850" s="37">
        <v>43983</v>
      </c>
      <c r="C850" s="36" t="s">
        <v>195</v>
      </c>
      <c r="D850" s="36"/>
      <c r="E850" s="38">
        <v>115277855.6902</v>
      </c>
      <c r="F850" s="40">
        <f>VLOOKUP(A850,'DATOS GENERALES'!A:B,2,0)</f>
        <v>2.2200000000000002</v>
      </c>
      <c r="G850" s="36">
        <f t="shared" si="65"/>
        <v>2.2097880000000001</v>
      </c>
      <c r="H850" s="38">
        <f t="shared" si="66"/>
        <v>52166929.900153317</v>
      </c>
      <c r="I850" s="38">
        <f t="shared" si="67"/>
        <v>63110925.790046684</v>
      </c>
      <c r="J850" s="38" t="s">
        <v>213</v>
      </c>
      <c r="K850" s="38" t="str">
        <f t="shared" si="68"/>
        <v/>
      </c>
      <c r="L850" s="41">
        <f>VLOOKUP(INDICADORES!$B$21,'DATOS GENERALES'!$K:$M,3,0)*E850</f>
        <v>784584.11662403645</v>
      </c>
      <c r="M850" s="38" t="str">
        <f t="shared" si="69"/>
        <v/>
      </c>
      <c r="N850" s="36"/>
      <c r="O850" s="36"/>
      <c r="P850" s="36"/>
    </row>
    <row r="851" spans="1:16" x14ac:dyDescent="0.25">
      <c r="A851" s="36">
        <v>1861</v>
      </c>
      <c r="B851" s="37">
        <v>44013</v>
      </c>
      <c r="C851" s="36" t="s">
        <v>195</v>
      </c>
      <c r="D851" s="36"/>
      <c r="E851" s="38">
        <v>115277855.6902</v>
      </c>
      <c r="F851" s="40">
        <f>VLOOKUP(A851,'DATOS GENERALES'!A:B,2,0)</f>
        <v>2.2200000000000002</v>
      </c>
      <c r="G851" s="36">
        <f t="shared" si="65"/>
        <v>2.2097880000000001</v>
      </c>
      <c r="H851" s="38">
        <f t="shared" si="66"/>
        <v>52166929.900153317</v>
      </c>
      <c r="I851" s="38">
        <f t="shared" si="67"/>
        <v>63110925.790046684</v>
      </c>
      <c r="J851" s="38" t="s">
        <v>213</v>
      </c>
      <c r="K851" s="38" t="str">
        <f t="shared" si="68"/>
        <v/>
      </c>
      <c r="L851" s="41">
        <f>VLOOKUP(INDICADORES!$B$21,'DATOS GENERALES'!$K:$M,3,0)*E851</f>
        <v>784584.11662403645</v>
      </c>
      <c r="M851" s="38" t="str">
        <f t="shared" si="69"/>
        <v/>
      </c>
      <c r="N851" s="36"/>
      <c r="O851" s="36"/>
      <c r="P851" s="36"/>
    </row>
    <row r="852" spans="1:16" x14ac:dyDescent="0.25">
      <c r="A852" s="36">
        <v>1861</v>
      </c>
      <c r="B852" s="37">
        <v>44044</v>
      </c>
      <c r="C852" s="36" t="s">
        <v>195</v>
      </c>
      <c r="D852" s="36"/>
      <c r="E852" s="38">
        <v>109546785.0652</v>
      </c>
      <c r="F852" s="40">
        <f>VLOOKUP(A852,'DATOS GENERALES'!A:B,2,0)</f>
        <v>2.2200000000000002</v>
      </c>
      <c r="G852" s="36">
        <f t="shared" si="65"/>
        <v>2.2097880000000001</v>
      </c>
      <c r="H852" s="38">
        <f t="shared" si="66"/>
        <v>49573436.485852942</v>
      </c>
      <c r="I852" s="38">
        <f t="shared" si="67"/>
        <v>59973348.579347059</v>
      </c>
      <c r="J852" s="38" t="s">
        <v>213</v>
      </c>
      <c r="K852" s="38" t="str">
        <f t="shared" si="68"/>
        <v/>
      </c>
      <c r="L852" s="41">
        <f>VLOOKUP(INDICADORES!$B$21,'DATOS GENERALES'!$K:$M,3,0)*E852</f>
        <v>745578.29927339463</v>
      </c>
      <c r="M852" s="38" t="str">
        <f t="shared" si="69"/>
        <v/>
      </c>
      <c r="N852" s="36"/>
      <c r="O852" s="36"/>
      <c r="P852" s="36"/>
    </row>
    <row r="853" spans="1:16" x14ac:dyDescent="0.25">
      <c r="A853" s="36">
        <v>1861</v>
      </c>
      <c r="B853" s="37">
        <v>44075</v>
      </c>
      <c r="C853" s="36" t="s">
        <v>195</v>
      </c>
      <c r="D853" s="36"/>
      <c r="E853" s="38">
        <v>103283498.605</v>
      </c>
      <c r="F853" s="40">
        <f>VLOOKUP(A853,'DATOS GENERALES'!A:B,2,0)</f>
        <v>2.2200000000000002</v>
      </c>
      <c r="G853" s="36">
        <f t="shared" si="65"/>
        <v>2.2097880000000001</v>
      </c>
      <c r="H853" s="38">
        <f t="shared" si="66"/>
        <v>46739098.323006548</v>
      </c>
      <c r="I853" s="38">
        <f t="shared" si="67"/>
        <v>56544400.281993456</v>
      </c>
      <c r="J853" s="38" t="s">
        <v>213</v>
      </c>
      <c r="K853" s="38" t="str">
        <f t="shared" si="68"/>
        <v/>
      </c>
      <c r="L853" s="41">
        <f>VLOOKUP(INDICADORES!$B$21,'DATOS GENERALES'!$K:$M,3,0)*E853</f>
        <v>702950.20695577306</v>
      </c>
      <c r="M853" s="38" t="str">
        <f t="shared" si="69"/>
        <v/>
      </c>
      <c r="N853" s="36"/>
      <c r="O853" s="36"/>
      <c r="P853" s="36"/>
    </row>
    <row r="854" spans="1:16" x14ac:dyDescent="0.25">
      <c r="A854" s="36">
        <v>1861</v>
      </c>
      <c r="B854" s="37">
        <v>44105</v>
      </c>
      <c r="C854" s="36" t="s">
        <v>195</v>
      </c>
      <c r="D854" s="36"/>
      <c r="E854" s="38">
        <v>92003446.254999995</v>
      </c>
      <c r="F854" s="40">
        <f>VLOOKUP(A854,'DATOS GENERALES'!A:B,2,0)</f>
        <v>2.2200000000000002</v>
      </c>
      <c r="G854" s="36">
        <f t="shared" si="65"/>
        <v>2.2097880000000001</v>
      </c>
      <c r="H854" s="38">
        <f t="shared" si="66"/>
        <v>41634512.566363826</v>
      </c>
      <c r="I854" s="38">
        <f t="shared" si="67"/>
        <v>50368933.688636169</v>
      </c>
      <c r="J854" s="38" t="s">
        <v>213</v>
      </c>
      <c r="K854" s="38" t="str">
        <f t="shared" si="68"/>
        <v/>
      </c>
      <c r="L854" s="41">
        <f>VLOOKUP(INDICADORES!$B$21,'DATOS GENERALES'!$K:$M,3,0)*E854</f>
        <v>626177.87409523036</v>
      </c>
      <c r="M854" s="38" t="str">
        <f t="shared" si="69"/>
        <v/>
      </c>
      <c r="N854" s="36"/>
      <c r="O854" s="36"/>
      <c r="P854" s="36"/>
    </row>
    <row r="855" spans="1:16" x14ac:dyDescent="0.25">
      <c r="A855" s="36">
        <v>1861</v>
      </c>
      <c r="B855" s="37">
        <v>44136</v>
      </c>
      <c r="C855" s="36" t="s">
        <v>195</v>
      </c>
      <c r="D855" s="36"/>
      <c r="E855" s="38">
        <v>92003446.254999995</v>
      </c>
      <c r="F855" s="40">
        <f>VLOOKUP(A855,'DATOS GENERALES'!A:B,2,0)</f>
        <v>2.2200000000000002</v>
      </c>
      <c r="G855" s="36">
        <f t="shared" si="65"/>
        <v>2.2097880000000001</v>
      </c>
      <c r="H855" s="38">
        <f t="shared" si="66"/>
        <v>41634512.566363826</v>
      </c>
      <c r="I855" s="38">
        <f t="shared" si="67"/>
        <v>50368933.688636169</v>
      </c>
      <c r="J855" s="38" t="s">
        <v>213</v>
      </c>
      <c r="K855" s="38" t="str">
        <f t="shared" si="68"/>
        <v/>
      </c>
      <c r="L855" s="41">
        <f>VLOOKUP(INDICADORES!$B$21,'DATOS GENERALES'!$K:$M,3,0)*E855</f>
        <v>626177.87409523036</v>
      </c>
      <c r="M855" s="38" t="str">
        <f t="shared" si="69"/>
        <v/>
      </c>
      <c r="N855" s="36"/>
      <c r="O855" s="36"/>
      <c r="P855" s="36"/>
    </row>
    <row r="856" spans="1:16" x14ac:dyDescent="0.25">
      <c r="A856" s="36">
        <v>1861</v>
      </c>
      <c r="B856" s="37">
        <v>44166</v>
      </c>
      <c r="C856" s="36" t="s">
        <v>195</v>
      </c>
      <c r="D856" s="36"/>
      <c r="E856" s="38">
        <v>54343675.75</v>
      </c>
      <c r="F856" s="40">
        <f>VLOOKUP(A856,'DATOS GENERALES'!A:B,2,0)</f>
        <v>2.2200000000000002</v>
      </c>
      <c r="G856" s="36">
        <f t="shared" si="65"/>
        <v>2.2097880000000001</v>
      </c>
      <c r="H856" s="38">
        <f t="shared" si="66"/>
        <v>24592257.605706971</v>
      </c>
      <c r="I856" s="38">
        <f t="shared" si="67"/>
        <v>29751418.144293029</v>
      </c>
      <c r="J856" s="38" t="s">
        <v>213</v>
      </c>
      <c r="K856" s="38" t="str">
        <f t="shared" si="68"/>
        <v/>
      </c>
      <c r="L856" s="41">
        <f>VLOOKUP(INDICADORES!$B$21,'DATOS GENERALES'!$K:$M,3,0)*E856</f>
        <v>369864.48591653927</v>
      </c>
      <c r="M856" s="38" t="str">
        <f t="shared" si="69"/>
        <v/>
      </c>
      <c r="N856" s="36"/>
      <c r="O856" s="36"/>
      <c r="P856" s="36"/>
    </row>
    <row r="857" spans="1:16" x14ac:dyDescent="0.25">
      <c r="A857" s="36">
        <v>1873</v>
      </c>
      <c r="B857" s="37">
        <v>43466</v>
      </c>
      <c r="C857" s="36" t="s">
        <v>195</v>
      </c>
      <c r="D857" s="36"/>
      <c r="E857" s="38">
        <v>23358981.669500001</v>
      </c>
      <c r="F857" s="40">
        <f>VLOOKUP(A857,'DATOS GENERALES'!A:B,2,0)</f>
        <v>1.83</v>
      </c>
      <c r="G857" s="36">
        <f t="shared" si="65"/>
        <v>1.821582</v>
      </c>
      <c r="H857" s="38">
        <f t="shared" si="66"/>
        <v>12823458.767982995</v>
      </c>
      <c r="I857" s="38">
        <f t="shared" si="67"/>
        <v>10535522.901517006</v>
      </c>
      <c r="J857" s="38">
        <v>2813702.0970838638</v>
      </c>
      <c r="K857" s="38">
        <f t="shared" si="68"/>
        <v>7721820.8044331418</v>
      </c>
      <c r="L857" s="41">
        <f>VLOOKUP(INDICADORES!$B$21,'DATOS GENERALES'!$K:$M,3,0)*E857</f>
        <v>158981.84337895989</v>
      </c>
      <c r="M857" s="38">
        <f t="shared" si="69"/>
        <v>7562838.9610541817</v>
      </c>
      <c r="N857" s="36"/>
      <c r="O857" s="36"/>
      <c r="P857" s="36"/>
    </row>
    <row r="858" spans="1:16" x14ac:dyDescent="0.25">
      <c r="A858" s="36">
        <v>1873</v>
      </c>
      <c r="B858" s="37">
        <v>43497</v>
      </c>
      <c r="C858" s="36" t="s">
        <v>195</v>
      </c>
      <c r="D858" s="36"/>
      <c r="E858" s="38">
        <v>23358981.669500001</v>
      </c>
      <c r="F858" s="40">
        <f>VLOOKUP(A858,'DATOS GENERALES'!A:B,2,0)</f>
        <v>1.83</v>
      </c>
      <c r="G858" s="36">
        <f t="shared" si="65"/>
        <v>1.821582</v>
      </c>
      <c r="H858" s="38">
        <f t="shared" si="66"/>
        <v>12823458.767982995</v>
      </c>
      <c r="I858" s="38">
        <f t="shared" si="67"/>
        <v>10535522.901517006</v>
      </c>
      <c r="J858" s="38">
        <v>2771891.2439791202</v>
      </c>
      <c r="K858" s="38">
        <f t="shared" si="68"/>
        <v>7763631.657537885</v>
      </c>
      <c r="L858" s="41">
        <f>VLOOKUP(INDICADORES!$B$21,'DATOS GENERALES'!$K:$M,3,0)*E858</f>
        <v>158981.84337895989</v>
      </c>
      <c r="M858" s="38">
        <f t="shared" si="69"/>
        <v>7604649.8141589249</v>
      </c>
      <c r="N858" s="36"/>
      <c r="O858" s="36"/>
      <c r="P858" s="36"/>
    </row>
    <row r="859" spans="1:16" x14ac:dyDescent="0.25">
      <c r="A859" s="36">
        <v>1873</v>
      </c>
      <c r="B859" s="37">
        <v>43525</v>
      </c>
      <c r="C859" s="36" t="s">
        <v>195</v>
      </c>
      <c r="D859" s="36"/>
      <c r="E859" s="38">
        <v>19235315</v>
      </c>
      <c r="F859" s="40">
        <f>VLOOKUP(A859,'DATOS GENERALES'!A:B,2,0)</f>
        <v>1.83</v>
      </c>
      <c r="G859" s="36">
        <f t="shared" si="65"/>
        <v>1.821582</v>
      </c>
      <c r="H859" s="38">
        <f t="shared" si="66"/>
        <v>10559675.600659207</v>
      </c>
      <c r="I859" s="38">
        <f t="shared" si="67"/>
        <v>8675639.3993407935</v>
      </c>
      <c r="J859" s="38">
        <v>1651401.4965428391</v>
      </c>
      <c r="K859" s="38">
        <f t="shared" si="68"/>
        <v>7024237.9027979542</v>
      </c>
      <c r="L859" s="41">
        <f>VLOOKUP(INDICADORES!$B$21,'DATOS GENERALES'!$K:$M,3,0)*E859</f>
        <v>130916.05961007701</v>
      </c>
      <c r="M859" s="38">
        <f t="shared" si="69"/>
        <v>6893321.843187877</v>
      </c>
      <c r="N859" s="36"/>
      <c r="O859" s="36"/>
      <c r="P859" s="36"/>
    </row>
    <row r="860" spans="1:16" x14ac:dyDescent="0.25">
      <c r="A860" s="36">
        <v>1873</v>
      </c>
      <c r="B860" s="37">
        <v>43556</v>
      </c>
      <c r="C860" s="36" t="s">
        <v>195</v>
      </c>
      <c r="D860" s="36"/>
      <c r="E860" s="38">
        <v>19235315</v>
      </c>
      <c r="F860" s="40">
        <f>VLOOKUP(A860,'DATOS GENERALES'!A:B,2,0)</f>
        <v>1.83</v>
      </c>
      <c r="G860" s="36">
        <f t="shared" si="65"/>
        <v>1.821582</v>
      </c>
      <c r="H860" s="38">
        <f t="shared" si="66"/>
        <v>10559675.600659207</v>
      </c>
      <c r="I860" s="38">
        <f t="shared" si="67"/>
        <v>8675639.3993407935</v>
      </c>
      <c r="J860" s="38">
        <v>1697765.2015623935</v>
      </c>
      <c r="K860" s="38">
        <f t="shared" si="68"/>
        <v>6977874.1977784</v>
      </c>
      <c r="L860" s="41">
        <f>VLOOKUP(INDICADORES!$B$21,'DATOS GENERALES'!$K:$M,3,0)*E860</f>
        <v>130916.05961007701</v>
      </c>
      <c r="M860" s="38">
        <f t="shared" si="69"/>
        <v>6846958.1381683229</v>
      </c>
      <c r="N860" s="36"/>
      <c r="O860" s="36"/>
      <c r="P860" s="36"/>
    </row>
    <row r="861" spans="1:16" x14ac:dyDescent="0.25">
      <c r="A861" s="36">
        <v>1873</v>
      </c>
      <c r="B861" s="37">
        <v>43586</v>
      </c>
      <c r="C861" s="36" t="s">
        <v>195</v>
      </c>
      <c r="D861" s="36"/>
      <c r="E861" s="38">
        <v>19235315</v>
      </c>
      <c r="F861" s="40">
        <f>VLOOKUP(A861,'DATOS GENERALES'!A:B,2,0)</f>
        <v>1.83</v>
      </c>
      <c r="G861" s="36">
        <f t="shared" si="65"/>
        <v>1.821582</v>
      </c>
      <c r="H861" s="38">
        <f t="shared" si="66"/>
        <v>10559675.600659207</v>
      </c>
      <c r="I861" s="38">
        <f t="shared" si="67"/>
        <v>8675639.3993407935</v>
      </c>
      <c r="J861" s="38">
        <v>1400537.5590206722</v>
      </c>
      <c r="K861" s="38">
        <f t="shared" si="68"/>
        <v>7275101.8403201215</v>
      </c>
      <c r="L861" s="41">
        <f>VLOOKUP(INDICADORES!$B$21,'DATOS GENERALES'!$K:$M,3,0)*E861</f>
        <v>130916.05961007701</v>
      </c>
      <c r="M861" s="38">
        <f t="shared" si="69"/>
        <v>7144185.7807100443</v>
      </c>
      <c r="N861" s="36"/>
      <c r="O861" s="36"/>
      <c r="P861" s="36"/>
    </row>
    <row r="862" spans="1:16" x14ac:dyDescent="0.25">
      <c r="A862" s="36">
        <v>1873</v>
      </c>
      <c r="B862" s="37">
        <v>43617</v>
      </c>
      <c r="C862" s="36" t="s">
        <v>195</v>
      </c>
      <c r="D862" s="36"/>
      <c r="E862" s="38">
        <v>19235315</v>
      </c>
      <c r="F862" s="40">
        <f>VLOOKUP(A862,'DATOS GENERALES'!A:B,2,0)</f>
        <v>1.83</v>
      </c>
      <c r="G862" s="36">
        <f t="shared" si="65"/>
        <v>1.821582</v>
      </c>
      <c r="H862" s="38">
        <f t="shared" si="66"/>
        <v>10559675.600659207</v>
      </c>
      <c r="I862" s="38">
        <f t="shared" si="67"/>
        <v>8675639.3993407935</v>
      </c>
      <c r="J862" s="38">
        <v>1883395.0327412076</v>
      </c>
      <c r="K862" s="38">
        <f t="shared" si="68"/>
        <v>6792244.3665995859</v>
      </c>
      <c r="L862" s="41">
        <f>VLOOKUP(INDICADORES!$B$21,'DATOS GENERALES'!$K:$M,3,0)*E862</f>
        <v>130916.05961007701</v>
      </c>
      <c r="M862" s="38">
        <f t="shared" si="69"/>
        <v>6661328.3069895087</v>
      </c>
      <c r="N862" s="36"/>
      <c r="O862" s="36"/>
      <c r="P862" s="36"/>
    </row>
    <row r="863" spans="1:16" x14ac:dyDescent="0.25">
      <c r="A863" s="36">
        <v>1873</v>
      </c>
      <c r="B863" s="37">
        <v>43647</v>
      </c>
      <c r="C863" s="36" t="s">
        <v>195</v>
      </c>
      <c r="D863" s="36"/>
      <c r="E863" s="38">
        <v>19235315</v>
      </c>
      <c r="F863" s="40">
        <f>VLOOKUP(A863,'DATOS GENERALES'!A:B,2,0)</f>
        <v>1.83</v>
      </c>
      <c r="G863" s="36">
        <f t="shared" si="65"/>
        <v>1.821582</v>
      </c>
      <c r="H863" s="38">
        <f t="shared" si="66"/>
        <v>10559675.600659207</v>
      </c>
      <c r="I863" s="38">
        <f t="shared" si="67"/>
        <v>8675639.3993407935</v>
      </c>
      <c r="J863" s="38">
        <v>2808697.6412238223</v>
      </c>
      <c r="K863" s="38">
        <f t="shared" si="68"/>
        <v>5866941.7581169717</v>
      </c>
      <c r="L863" s="41">
        <f>VLOOKUP(INDICADORES!$B$21,'DATOS GENERALES'!$K:$M,3,0)*E863</f>
        <v>130916.05961007701</v>
      </c>
      <c r="M863" s="38">
        <f t="shared" si="69"/>
        <v>5736025.6985068945</v>
      </c>
      <c r="N863" s="36"/>
      <c r="O863" s="36"/>
      <c r="P863" s="36"/>
    </row>
    <row r="864" spans="1:16" x14ac:dyDescent="0.25">
      <c r="A864" s="36">
        <v>1873</v>
      </c>
      <c r="B864" s="37">
        <v>43678</v>
      </c>
      <c r="C864" s="36" t="s">
        <v>195</v>
      </c>
      <c r="D864" s="36"/>
      <c r="E864" s="38">
        <v>19235315</v>
      </c>
      <c r="F864" s="40">
        <f>VLOOKUP(A864,'DATOS GENERALES'!A:B,2,0)</f>
        <v>1.83</v>
      </c>
      <c r="G864" s="36">
        <f t="shared" si="65"/>
        <v>1.821582</v>
      </c>
      <c r="H864" s="38">
        <f t="shared" si="66"/>
        <v>10559675.600659207</v>
      </c>
      <c r="I864" s="38">
        <f t="shared" si="67"/>
        <v>8675639.3993407935</v>
      </c>
      <c r="J864" s="38">
        <v>2763860.310370225</v>
      </c>
      <c r="K864" s="38">
        <f t="shared" si="68"/>
        <v>5911779.088970568</v>
      </c>
      <c r="L864" s="41">
        <f>VLOOKUP(INDICADORES!$B$21,'DATOS GENERALES'!$K:$M,3,0)*E864</f>
        <v>130916.05961007701</v>
      </c>
      <c r="M864" s="38">
        <f t="shared" si="69"/>
        <v>5780863.0293604909</v>
      </c>
      <c r="N864" s="36"/>
      <c r="O864" s="36"/>
      <c r="P864" s="36"/>
    </row>
    <row r="865" spans="1:16" x14ac:dyDescent="0.25">
      <c r="A865" s="36">
        <v>1873</v>
      </c>
      <c r="B865" s="37">
        <v>43709</v>
      </c>
      <c r="C865" s="36" t="s">
        <v>195</v>
      </c>
      <c r="D865" s="36"/>
      <c r="E865" s="38">
        <v>15111650</v>
      </c>
      <c r="F865" s="40">
        <f>VLOOKUP(A865,'DATOS GENERALES'!A:B,2,0)</f>
        <v>1.83</v>
      </c>
      <c r="G865" s="36">
        <f t="shared" si="65"/>
        <v>1.821582</v>
      </c>
      <c r="H865" s="38">
        <f t="shared" si="66"/>
        <v>8295893.3498464515</v>
      </c>
      <c r="I865" s="38">
        <f t="shared" si="67"/>
        <v>6815756.6501535485</v>
      </c>
      <c r="J865" s="38">
        <v>2453994.6899624984</v>
      </c>
      <c r="K865" s="38">
        <f t="shared" si="68"/>
        <v>4361761.9601910505</v>
      </c>
      <c r="L865" s="41">
        <f>VLOOKUP(INDICADORES!$B$21,'DATOS GENERALES'!$K:$M,3,0)*E865</f>
        <v>102850.287203855</v>
      </c>
      <c r="M865" s="38">
        <f t="shared" si="69"/>
        <v>4258911.6729871957</v>
      </c>
      <c r="N865" s="36"/>
      <c r="O865" s="36"/>
      <c r="P865" s="36"/>
    </row>
    <row r="866" spans="1:16" x14ac:dyDescent="0.25">
      <c r="A866" s="36">
        <v>1873</v>
      </c>
      <c r="B866" s="37">
        <v>43739</v>
      </c>
      <c r="C866" s="36" t="s">
        <v>195</v>
      </c>
      <c r="D866" s="36"/>
      <c r="E866" s="38">
        <v>15111650</v>
      </c>
      <c r="F866" s="40">
        <f>VLOOKUP(A866,'DATOS GENERALES'!A:B,2,0)</f>
        <v>1.83</v>
      </c>
      <c r="G866" s="36">
        <f t="shared" si="65"/>
        <v>1.821582</v>
      </c>
      <c r="H866" s="38">
        <f t="shared" si="66"/>
        <v>8295893.3498464515</v>
      </c>
      <c r="I866" s="38">
        <f t="shared" si="67"/>
        <v>6815756.6501535485</v>
      </c>
      <c r="J866" s="38">
        <v>2653741.859679312</v>
      </c>
      <c r="K866" s="38">
        <f t="shared" si="68"/>
        <v>4162014.7904742365</v>
      </c>
      <c r="L866" s="41">
        <f>VLOOKUP(INDICADORES!$B$21,'DATOS GENERALES'!$K:$M,3,0)*E866</f>
        <v>102850.287203855</v>
      </c>
      <c r="M866" s="38">
        <f t="shared" si="69"/>
        <v>4059164.5032703816</v>
      </c>
      <c r="N866" s="36"/>
      <c r="O866" s="36"/>
      <c r="P866" s="36"/>
    </row>
    <row r="867" spans="1:16" x14ac:dyDescent="0.25">
      <c r="A867" s="36">
        <v>1873</v>
      </c>
      <c r="B867" s="37">
        <v>43770</v>
      </c>
      <c r="C867" s="36" t="s">
        <v>195</v>
      </c>
      <c r="D867" s="36"/>
      <c r="E867" s="38">
        <v>15111650</v>
      </c>
      <c r="F867" s="40">
        <f>VLOOKUP(A867,'DATOS GENERALES'!A:B,2,0)</f>
        <v>1.83</v>
      </c>
      <c r="G867" s="36">
        <f t="shared" si="65"/>
        <v>1.821582</v>
      </c>
      <c r="H867" s="38">
        <f t="shared" si="66"/>
        <v>8295893.3498464515</v>
      </c>
      <c r="I867" s="38">
        <f t="shared" si="67"/>
        <v>6815756.6501535485</v>
      </c>
      <c r="J867" s="38">
        <v>3549184.2963610082</v>
      </c>
      <c r="K867" s="38">
        <f t="shared" si="68"/>
        <v>3266572.3537925403</v>
      </c>
      <c r="L867" s="41">
        <f>VLOOKUP(INDICADORES!$B$21,'DATOS GENERALES'!$K:$M,3,0)*E867</f>
        <v>102850.287203855</v>
      </c>
      <c r="M867" s="38">
        <f t="shared" si="69"/>
        <v>3163722.0665886854</v>
      </c>
      <c r="N867" s="36"/>
      <c r="O867" s="36"/>
      <c r="P867" s="36"/>
    </row>
    <row r="868" spans="1:16" x14ac:dyDescent="0.25">
      <c r="A868" s="36">
        <v>1874</v>
      </c>
      <c r="B868" s="37">
        <v>43466</v>
      </c>
      <c r="C868" s="36" t="s">
        <v>195</v>
      </c>
      <c r="D868" s="36"/>
      <c r="E868" s="38">
        <v>45806040.531499997</v>
      </c>
      <c r="F868" s="40">
        <f>VLOOKUP(A868,'DATOS GENERALES'!A:B,2,0)</f>
        <v>2.48</v>
      </c>
      <c r="G868" s="36">
        <f t="shared" si="65"/>
        <v>2.4685919999999997</v>
      </c>
      <c r="H868" s="38">
        <f t="shared" si="66"/>
        <v>18555533.085864332</v>
      </c>
      <c r="I868" s="38">
        <f t="shared" si="67"/>
        <v>27250507.445635665</v>
      </c>
      <c r="J868" s="38">
        <v>4071424.3560060649</v>
      </c>
      <c r="K868" s="38">
        <f t="shared" si="68"/>
        <v>23179083.089629602</v>
      </c>
      <c r="L868" s="41">
        <f>VLOOKUP(INDICADORES!$B$21,'DATOS GENERALES'!$K:$M,3,0)*E868</f>
        <v>311757.11615450314</v>
      </c>
      <c r="M868" s="38">
        <f t="shared" si="69"/>
        <v>22867325.973475099</v>
      </c>
      <c r="N868" s="36"/>
      <c r="O868" s="36"/>
      <c r="P868" s="36"/>
    </row>
    <row r="869" spans="1:16" x14ac:dyDescent="0.25">
      <c r="A869" s="36">
        <v>1874</v>
      </c>
      <c r="B869" s="37">
        <v>43497</v>
      </c>
      <c r="C869" s="36" t="s">
        <v>195</v>
      </c>
      <c r="D869" s="36"/>
      <c r="E869" s="38">
        <v>45806040.531499997</v>
      </c>
      <c r="F869" s="40">
        <f>VLOOKUP(A869,'DATOS GENERALES'!A:B,2,0)</f>
        <v>2.48</v>
      </c>
      <c r="G869" s="36">
        <f t="shared" si="65"/>
        <v>2.4685919999999997</v>
      </c>
      <c r="H869" s="38">
        <f t="shared" si="66"/>
        <v>18555533.085864332</v>
      </c>
      <c r="I869" s="38">
        <f t="shared" si="67"/>
        <v>27250507.445635665</v>
      </c>
      <c r="J869" s="38">
        <v>4010924.0898789321</v>
      </c>
      <c r="K869" s="38">
        <f t="shared" si="68"/>
        <v>23239583.355756734</v>
      </c>
      <c r="L869" s="41">
        <f>VLOOKUP(INDICADORES!$B$21,'DATOS GENERALES'!$K:$M,3,0)*E869</f>
        <v>311757.11615450314</v>
      </c>
      <c r="M869" s="38">
        <f t="shared" si="69"/>
        <v>22927826.23960223</v>
      </c>
      <c r="N869" s="36"/>
      <c r="O869" s="36"/>
      <c r="P869" s="36"/>
    </row>
    <row r="870" spans="1:16" x14ac:dyDescent="0.25">
      <c r="A870" s="36">
        <v>1874</v>
      </c>
      <c r="B870" s="37">
        <v>43525</v>
      </c>
      <c r="C870" s="36" t="s">
        <v>195</v>
      </c>
      <c r="D870" s="36"/>
      <c r="E870" s="38">
        <v>45806040.531499997</v>
      </c>
      <c r="F870" s="40">
        <f>VLOOKUP(A870,'DATOS GENERALES'!A:B,2,0)</f>
        <v>2.48</v>
      </c>
      <c r="G870" s="36">
        <f t="shared" si="65"/>
        <v>2.4685919999999997</v>
      </c>
      <c r="H870" s="38">
        <f t="shared" si="66"/>
        <v>18555533.085864332</v>
      </c>
      <c r="I870" s="38">
        <f t="shared" si="67"/>
        <v>27250507.445635665</v>
      </c>
      <c r="J870" s="38">
        <v>2901853.8320659776</v>
      </c>
      <c r="K870" s="38">
        <f t="shared" si="68"/>
        <v>24348653.613569688</v>
      </c>
      <c r="L870" s="41">
        <f>VLOOKUP(INDICADORES!$B$21,'DATOS GENERALES'!$K:$M,3,0)*E870</f>
        <v>311757.11615450314</v>
      </c>
      <c r="M870" s="38">
        <f t="shared" si="69"/>
        <v>24036896.497415185</v>
      </c>
      <c r="N870" s="36"/>
      <c r="O870" s="36"/>
      <c r="P870" s="36"/>
    </row>
    <row r="871" spans="1:16" x14ac:dyDescent="0.25">
      <c r="A871" s="36">
        <v>1874</v>
      </c>
      <c r="B871" s="37">
        <v>43556</v>
      </c>
      <c r="C871" s="36" t="s">
        <v>195</v>
      </c>
      <c r="D871" s="36"/>
      <c r="E871" s="38">
        <v>45806040.531499997</v>
      </c>
      <c r="F871" s="40">
        <f>VLOOKUP(A871,'DATOS GENERALES'!A:B,2,0)</f>
        <v>2.48</v>
      </c>
      <c r="G871" s="36">
        <f t="shared" si="65"/>
        <v>2.4685919999999997</v>
      </c>
      <c r="H871" s="38">
        <f t="shared" si="66"/>
        <v>18555533.085864332</v>
      </c>
      <c r="I871" s="38">
        <f t="shared" si="67"/>
        <v>27250507.445635665</v>
      </c>
      <c r="J871" s="38">
        <v>2983324.4467901546</v>
      </c>
      <c r="K871" s="38">
        <f t="shared" si="68"/>
        <v>24267182.99884551</v>
      </c>
      <c r="L871" s="41">
        <f>VLOOKUP(INDICADORES!$B$21,'DATOS GENERALES'!$K:$M,3,0)*E871</f>
        <v>311757.11615450314</v>
      </c>
      <c r="M871" s="38">
        <f t="shared" si="69"/>
        <v>23955425.882691007</v>
      </c>
      <c r="N871" s="36"/>
      <c r="O871" s="36"/>
      <c r="P871" s="36"/>
    </row>
    <row r="872" spans="1:16" x14ac:dyDescent="0.25">
      <c r="A872" s="36">
        <v>1874</v>
      </c>
      <c r="B872" s="37">
        <v>43586</v>
      </c>
      <c r="C872" s="36" t="s">
        <v>195</v>
      </c>
      <c r="D872" s="36"/>
      <c r="E872" s="38">
        <v>45806040.531499997</v>
      </c>
      <c r="F872" s="40">
        <f>VLOOKUP(A872,'DATOS GENERALES'!A:B,2,0)</f>
        <v>2.48</v>
      </c>
      <c r="G872" s="36">
        <f t="shared" si="65"/>
        <v>2.4685919999999997</v>
      </c>
      <c r="H872" s="38">
        <f t="shared" si="66"/>
        <v>18555533.085864332</v>
      </c>
      <c r="I872" s="38">
        <f t="shared" si="67"/>
        <v>27250507.445635665</v>
      </c>
      <c r="J872" s="38">
        <v>2461034.0314603439</v>
      </c>
      <c r="K872" s="38">
        <f t="shared" si="68"/>
        <v>24789473.41417532</v>
      </c>
      <c r="L872" s="41">
        <f>VLOOKUP(INDICADORES!$B$21,'DATOS GENERALES'!$K:$M,3,0)*E872</f>
        <v>311757.11615450314</v>
      </c>
      <c r="M872" s="38">
        <f t="shared" si="69"/>
        <v>24477716.298020817</v>
      </c>
      <c r="N872" s="36"/>
      <c r="O872" s="36"/>
      <c r="P872" s="36"/>
    </row>
    <row r="873" spans="1:16" x14ac:dyDescent="0.25">
      <c r="A873" s="36">
        <v>1874</v>
      </c>
      <c r="B873" s="37">
        <v>43617</v>
      </c>
      <c r="C873" s="36" t="s">
        <v>195</v>
      </c>
      <c r="D873" s="36"/>
      <c r="E873" s="38">
        <v>45806040.531499997</v>
      </c>
      <c r="F873" s="40">
        <f>VLOOKUP(A873,'DATOS GENERALES'!A:B,2,0)</f>
        <v>2.48</v>
      </c>
      <c r="G873" s="36">
        <f t="shared" si="65"/>
        <v>2.4685919999999997</v>
      </c>
      <c r="H873" s="38">
        <f t="shared" si="66"/>
        <v>18555533.085864332</v>
      </c>
      <c r="I873" s="38">
        <f t="shared" si="67"/>
        <v>27250507.445635665</v>
      </c>
      <c r="J873" s="38">
        <v>3309514.4363715458</v>
      </c>
      <c r="K873" s="38">
        <f t="shared" si="68"/>
        <v>23940993.009264119</v>
      </c>
      <c r="L873" s="41">
        <f>VLOOKUP(INDICADORES!$B$21,'DATOS GENERALES'!$K:$M,3,0)*E873</f>
        <v>311757.11615450314</v>
      </c>
      <c r="M873" s="38">
        <f t="shared" si="69"/>
        <v>23629235.893109616</v>
      </c>
      <c r="N873" s="36"/>
      <c r="O873" s="36"/>
      <c r="P873" s="36"/>
    </row>
    <row r="874" spans="1:16" x14ac:dyDescent="0.25">
      <c r="A874" s="36">
        <v>1874</v>
      </c>
      <c r="B874" s="37">
        <v>43647</v>
      </c>
      <c r="C874" s="36" t="s">
        <v>195</v>
      </c>
      <c r="D874" s="36"/>
      <c r="E874" s="38">
        <v>45806040.531499997</v>
      </c>
      <c r="F874" s="40">
        <f>VLOOKUP(A874,'DATOS GENERALES'!A:B,2,0)</f>
        <v>2.48</v>
      </c>
      <c r="G874" s="36">
        <f t="shared" si="65"/>
        <v>2.4685919999999997</v>
      </c>
      <c r="H874" s="38">
        <f t="shared" si="66"/>
        <v>18555533.085864332</v>
      </c>
      <c r="I874" s="38">
        <f t="shared" si="67"/>
        <v>27250507.445635665</v>
      </c>
      <c r="J874" s="38">
        <v>4935462.4119953318</v>
      </c>
      <c r="K874" s="38">
        <f t="shared" si="68"/>
        <v>22315045.033640333</v>
      </c>
      <c r="L874" s="41">
        <f>VLOOKUP(INDICADORES!$B$21,'DATOS GENERALES'!$K:$M,3,0)*E874</f>
        <v>311757.11615450314</v>
      </c>
      <c r="M874" s="38">
        <f t="shared" si="69"/>
        <v>22003287.917485829</v>
      </c>
      <c r="N874" s="36"/>
      <c r="O874" s="36"/>
      <c r="P874" s="36"/>
    </row>
    <row r="875" spans="1:16" x14ac:dyDescent="0.25">
      <c r="A875" s="36">
        <v>1874</v>
      </c>
      <c r="B875" s="37">
        <v>43678</v>
      </c>
      <c r="C875" s="36" t="s">
        <v>195</v>
      </c>
      <c r="D875" s="36"/>
      <c r="E875" s="38">
        <v>45806040.531499997</v>
      </c>
      <c r="F875" s="40">
        <f>VLOOKUP(A875,'DATOS GENERALES'!A:B,2,0)</f>
        <v>2.48</v>
      </c>
      <c r="G875" s="36">
        <f t="shared" si="65"/>
        <v>2.4685919999999997</v>
      </c>
      <c r="H875" s="38">
        <f t="shared" si="66"/>
        <v>18555533.085864332</v>
      </c>
      <c r="I875" s="38">
        <f t="shared" si="67"/>
        <v>27250507.445635665</v>
      </c>
      <c r="J875" s="38">
        <v>4856673.9522358449</v>
      </c>
      <c r="K875" s="38">
        <f t="shared" si="68"/>
        <v>22393833.493399821</v>
      </c>
      <c r="L875" s="41">
        <f>VLOOKUP(INDICADORES!$B$21,'DATOS GENERALES'!$K:$M,3,0)*E875</f>
        <v>311757.11615450314</v>
      </c>
      <c r="M875" s="38">
        <f t="shared" si="69"/>
        <v>22082076.377245318</v>
      </c>
      <c r="N875" s="36"/>
      <c r="O875" s="36"/>
      <c r="P875" s="36"/>
    </row>
    <row r="876" spans="1:16" x14ac:dyDescent="0.25">
      <c r="A876" s="36">
        <v>1874</v>
      </c>
      <c r="B876" s="37">
        <v>43709</v>
      </c>
      <c r="C876" s="36" t="s">
        <v>195</v>
      </c>
      <c r="D876" s="36"/>
      <c r="E876" s="38">
        <v>33732090.531499997</v>
      </c>
      <c r="F876" s="40">
        <f>VLOOKUP(A876,'DATOS GENERALES'!A:B,2,0)</f>
        <v>2.48</v>
      </c>
      <c r="G876" s="36">
        <f t="shared" si="65"/>
        <v>2.4685919999999997</v>
      </c>
      <c r="H876" s="38">
        <f t="shared" si="66"/>
        <v>13664506.136088913</v>
      </c>
      <c r="I876" s="38">
        <f t="shared" si="67"/>
        <v>20067584.395411082</v>
      </c>
      <c r="J876" s="38">
        <v>4042075.2877136283</v>
      </c>
      <c r="K876" s="38">
        <f t="shared" si="68"/>
        <v>16025509.107697453</v>
      </c>
      <c r="L876" s="41">
        <f>VLOOKUP(INDICADORES!$B$21,'DATOS GENERALES'!$K:$M,3,0)*E876</f>
        <v>229581.49501551536</v>
      </c>
      <c r="M876" s="38">
        <f t="shared" si="69"/>
        <v>15795927.612681938</v>
      </c>
      <c r="N876" s="36"/>
      <c r="O876" s="36"/>
      <c r="P876" s="36"/>
    </row>
    <row r="877" spans="1:16" x14ac:dyDescent="0.25">
      <c r="A877" s="36">
        <v>1874</v>
      </c>
      <c r="B877" s="37">
        <v>43739</v>
      </c>
      <c r="C877" s="36" t="s">
        <v>195</v>
      </c>
      <c r="D877" s="36"/>
      <c r="E877" s="38">
        <v>33732090.531499997</v>
      </c>
      <c r="F877" s="40">
        <f>VLOOKUP(A877,'DATOS GENERALES'!A:B,2,0)</f>
        <v>2.48</v>
      </c>
      <c r="G877" s="36">
        <f t="shared" si="65"/>
        <v>2.4685919999999997</v>
      </c>
      <c r="H877" s="38">
        <f t="shared" si="66"/>
        <v>13664506.136088913</v>
      </c>
      <c r="I877" s="38">
        <f t="shared" si="67"/>
        <v>20067584.395411082</v>
      </c>
      <c r="J877" s="38">
        <v>4371087.042223745</v>
      </c>
      <c r="K877" s="38">
        <f t="shared" si="68"/>
        <v>15696497.353187338</v>
      </c>
      <c r="L877" s="41">
        <f>VLOOKUP(INDICADORES!$B$21,'DATOS GENERALES'!$K:$M,3,0)*E877</f>
        <v>229581.49501551536</v>
      </c>
      <c r="M877" s="38">
        <f t="shared" si="69"/>
        <v>15466915.858171823</v>
      </c>
      <c r="N877" s="36"/>
      <c r="O877" s="36"/>
      <c r="P877" s="36"/>
    </row>
    <row r="878" spans="1:16" x14ac:dyDescent="0.25">
      <c r="A878" s="36">
        <v>1881</v>
      </c>
      <c r="B878" s="37">
        <v>43466</v>
      </c>
      <c r="C878" s="36" t="s">
        <v>195</v>
      </c>
      <c r="D878" s="36"/>
      <c r="E878" s="38">
        <v>18731301.130000003</v>
      </c>
      <c r="F878" s="40">
        <f>VLOOKUP(A878,'DATOS GENERALES'!A:B,2,0)</f>
        <v>1.96</v>
      </c>
      <c r="G878" s="36">
        <f t="shared" si="65"/>
        <v>1.9509839999999998</v>
      </c>
      <c r="H878" s="38">
        <f t="shared" si="66"/>
        <v>9600950.6638701316</v>
      </c>
      <c r="I878" s="38">
        <f t="shared" si="67"/>
        <v>9130350.4661298711</v>
      </c>
      <c r="J878" s="38">
        <v>2106624.7028748528</v>
      </c>
      <c r="K878" s="38">
        <f t="shared" si="68"/>
        <v>7023725.7632550187</v>
      </c>
      <c r="L878" s="41">
        <f>VLOOKUP(INDICADORES!$B$21,'DATOS GENERALES'!$K:$M,3,0)*E878</f>
        <v>127485.72795971281</v>
      </c>
      <c r="M878" s="38">
        <f t="shared" si="69"/>
        <v>6896240.0352953058</v>
      </c>
      <c r="N878" s="36"/>
      <c r="O878" s="36"/>
      <c r="P878" s="36"/>
    </row>
    <row r="879" spans="1:16" x14ac:dyDescent="0.25">
      <c r="A879" s="36">
        <v>1881</v>
      </c>
      <c r="B879" s="37">
        <v>43497</v>
      </c>
      <c r="C879" s="36" t="s">
        <v>195</v>
      </c>
      <c r="D879" s="36"/>
      <c r="E879" s="38">
        <v>18731301.130000003</v>
      </c>
      <c r="F879" s="40">
        <f>VLOOKUP(A879,'DATOS GENERALES'!A:B,2,0)</f>
        <v>1.96</v>
      </c>
      <c r="G879" s="36">
        <f t="shared" si="65"/>
        <v>1.9509839999999998</v>
      </c>
      <c r="H879" s="38">
        <f t="shared" si="66"/>
        <v>9600950.6638701316</v>
      </c>
      <c r="I879" s="38">
        <f t="shared" si="67"/>
        <v>9130350.4661298711</v>
      </c>
      <c r="J879" s="38">
        <v>2075320.8288471047</v>
      </c>
      <c r="K879" s="38">
        <f t="shared" si="68"/>
        <v>7055029.6372827664</v>
      </c>
      <c r="L879" s="41">
        <f>VLOOKUP(INDICADORES!$B$21,'DATOS GENERALES'!$K:$M,3,0)*E879</f>
        <v>127485.72795971281</v>
      </c>
      <c r="M879" s="38">
        <f t="shared" si="69"/>
        <v>6927543.9093230534</v>
      </c>
      <c r="N879" s="36"/>
      <c r="O879" s="36"/>
      <c r="P879" s="36"/>
    </row>
    <row r="880" spans="1:16" x14ac:dyDescent="0.25">
      <c r="A880" s="36">
        <v>1881</v>
      </c>
      <c r="B880" s="37">
        <v>43525</v>
      </c>
      <c r="C880" s="36" t="s">
        <v>195</v>
      </c>
      <c r="D880" s="36"/>
      <c r="E880" s="38">
        <v>18731301.130000003</v>
      </c>
      <c r="F880" s="40">
        <f>VLOOKUP(A880,'DATOS GENERALES'!A:B,2,0)</f>
        <v>1.96</v>
      </c>
      <c r="G880" s="36">
        <f t="shared" si="65"/>
        <v>1.9509839999999998</v>
      </c>
      <c r="H880" s="38">
        <f t="shared" si="66"/>
        <v>9600950.6638701316</v>
      </c>
      <c r="I880" s="38">
        <f t="shared" si="67"/>
        <v>9130350.4661298711</v>
      </c>
      <c r="J880" s="38">
        <v>1501468.8797409006</v>
      </c>
      <c r="K880" s="38">
        <f t="shared" si="68"/>
        <v>7628881.5863889707</v>
      </c>
      <c r="L880" s="41">
        <f>VLOOKUP(INDICADORES!$B$21,'DATOS GENERALES'!$K:$M,3,0)*E880</f>
        <v>127485.72795971281</v>
      </c>
      <c r="M880" s="38">
        <f t="shared" si="69"/>
        <v>7501395.8584292578</v>
      </c>
      <c r="N880" s="36"/>
      <c r="O880" s="36"/>
      <c r="P880" s="36"/>
    </row>
    <row r="881" spans="1:16" x14ac:dyDescent="0.25">
      <c r="A881" s="36">
        <v>1881</v>
      </c>
      <c r="B881" s="37">
        <v>43556</v>
      </c>
      <c r="C881" s="36" t="s">
        <v>195</v>
      </c>
      <c r="D881" s="36"/>
      <c r="E881" s="38">
        <v>18731301.130000003</v>
      </c>
      <c r="F881" s="40">
        <f>VLOOKUP(A881,'DATOS GENERALES'!A:B,2,0)</f>
        <v>1.96</v>
      </c>
      <c r="G881" s="36">
        <f t="shared" si="65"/>
        <v>1.9509839999999998</v>
      </c>
      <c r="H881" s="38">
        <f t="shared" si="66"/>
        <v>9600950.6638701316</v>
      </c>
      <c r="I881" s="38">
        <f t="shared" si="67"/>
        <v>9130350.4661298711</v>
      </c>
      <c r="J881" s="38">
        <v>1543623.1713423568</v>
      </c>
      <c r="K881" s="38">
        <f t="shared" si="68"/>
        <v>7586727.294787514</v>
      </c>
      <c r="L881" s="41">
        <f>VLOOKUP(INDICADORES!$B$21,'DATOS GENERALES'!$K:$M,3,0)*E881</f>
        <v>127485.72795971281</v>
      </c>
      <c r="M881" s="38">
        <f t="shared" si="69"/>
        <v>7459241.5668278011</v>
      </c>
      <c r="N881" s="36"/>
      <c r="O881" s="36"/>
      <c r="P881" s="36"/>
    </row>
    <row r="882" spans="1:16" x14ac:dyDescent="0.25">
      <c r="A882" s="36">
        <v>1881</v>
      </c>
      <c r="B882" s="37">
        <v>43586</v>
      </c>
      <c r="C882" s="36" t="s">
        <v>195</v>
      </c>
      <c r="D882" s="36"/>
      <c r="E882" s="38">
        <v>18731301.130000003</v>
      </c>
      <c r="F882" s="40">
        <f>VLOOKUP(A882,'DATOS GENERALES'!A:B,2,0)</f>
        <v>1.96</v>
      </c>
      <c r="G882" s="36">
        <f t="shared" si="65"/>
        <v>1.9509839999999998</v>
      </c>
      <c r="H882" s="38">
        <f t="shared" si="66"/>
        <v>9600950.6638701316</v>
      </c>
      <c r="I882" s="38">
        <f t="shared" si="67"/>
        <v>9130350.4661298711</v>
      </c>
      <c r="J882" s="38">
        <v>1273381.1639265846</v>
      </c>
      <c r="K882" s="38">
        <f t="shared" si="68"/>
        <v>7856969.3022032864</v>
      </c>
      <c r="L882" s="41">
        <f>VLOOKUP(INDICADORES!$B$21,'DATOS GENERALES'!$K:$M,3,0)*E882</f>
        <v>127485.72795971281</v>
      </c>
      <c r="M882" s="38">
        <f t="shared" si="69"/>
        <v>7729483.5742435735</v>
      </c>
      <c r="N882" s="36"/>
      <c r="O882" s="36"/>
      <c r="P882" s="36"/>
    </row>
    <row r="883" spans="1:16" x14ac:dyDescent="0.25">
      <c r="A883" s="36">
        <v>1881</v>
      </c>
      <c r="B883" s="37">
        <v>43617</v>
      </c>
      <c r="C883" s="36" t="s">
        <v>195</v>
      </c>
      <c r="D883" s="36"/>
      <c r="E883" s="38">
        <v>18731301.130000003</v>
      </c>
      <c r="F883" s="40">
        <f>VLOOKUP(A883,'DATOS GENERALES'!A:B,2,0)</f>
        <v>1.96</v>
      </c>
      <c r="G883" s="36">
        <f t="shared" si="65"/>
        <v>1.9509839999999998</v>
      </c>
      <c r="H883" s="38">
        <f t="shared" si="66"/>
        <v>9600950.6638701316</v>
      </c>
      <c r="I883" s="38">
        <f t="shared" si="67"/>
        <v>9130350.4661298711</v>
      </c>
      <c r="J883" s="38">
        <v>1712399.4593922545</v>
      </c>
      <c r="K883" s="38">
        <f t="shared" si="68"/>
        <v>7417951.0067376168</v>
      </c>
      <c r="L883" s="41">
        <f>VLOOKUP(INDICADORES!$B$21,'DATOS GENERALES'!$K:$M,3,0)*E883</f>
        <v>127485.72795971281</v>
      </c>
      <c r="M883" s="38">
        <f t="shared" si="69"/>
        <v>7290465.2787779039</v>
      </c>
      <c r="N883" s="36"/>
      <c r="O883" s="36"/>
      <c r="P883" s="36"/>
    </row>
    <row r="884" spans="1:16" x14ac:dyDescent="0.25">
      <c r="A884" s="36">
        <v>1881</v>
      </c>
      <c r="B884" s="37">
        <v>43647</v>
      </c>
      <c r="C884" s="36" t="s">
        <v>195</v>
      </c>
      <c r="D884" s="36"/>
      <c r="E884" s="38">
        <v>18731301.130000003</v>
      </c>
      <c r="F884" s="40">
        <f>VLOOKUP(A884,'DATOS GENERALES'!A:B,2,0)</f>
        <v>1.96</v>
      </c>
      <c r="G884" s="36">
        <f t="shared" si="65"/>
        <v>1.9509839999999998</v>
      </c>
      <c r="H884" s="38">
        <f t="shared" si="66"/>
        <v>9600950.6638701316</v>
      </c>
      <c r="I884" s="38">
        <f t="shared" si="67"/>
        <v>9130350.4661298711</v>
      </c>
      <c r="J884" s="38">
        <v>2553692.793501622</v>
      </c>
      <c r="K884" s="38">
        <f t="shared" si="68"/>
        <v>6576657.672628249</v>
      </c>
      <c r="L884" s="41">
        <f>VLOOKUP(INDICADORES!$B$21,'DATOS GENERALES'!$K:$M,3,0)*E884</f>
        <v>127485.72795971281</v>
      </c>
      <c r="M884" s="38">
        <f t="shared" si="69"/>
        <v>6449171.9446685361</v>
      </c>
      <c r="N884" s="36"/>
      <c r="O884" s="36"/>
      <c r="P884" s="36"/>
    </row>
    <row r="885" spans="1:16" x14ac:dyDescent="0.25">
      <c r="A885" s="36">
        <v>1881</v>
      </c>
      <c r="B885" s="37">
        <v>43678</v>
      </c>
      <c r="C885" s="36" t="s">
        <v>195</v>
      </c>
      <c r="D885" s="36"/>
      <c r="E885" s="38">
        <v>18731301.130000003</v>
      </c>
      <c r="F885" s="40">
        <f>VLOOKUP(A885,'DATOS GENERALES'!A:B,2,0)</f>
        <v>1.96</v>
      </c>
      <c r="G885" s="36">
        <f t="shared" si="65"/>
        <v>1.9509839999999998</v>
      </c>
      <c r="H885" s="38">
        <f t="shared" si="66"/>
        <v>9600950.6638701316</v>
      </c>
      <c r="I885" s="38">
        <f t="shared" si="67"/>
        <v>9130350.4661298711</v>
      </c>
      <c r="J885" s="38">
        <v>2512926.294822616</v>
      </c>
      <c r="K885" s="38">
        <f t="shared" si="68"/>
        <v>6617424.1713072546</v>
      </c>
      <c r="L885" s="41">
        <f>VLOOKUP(INDICADORES!$B$21,'DATOS GENERALES'!$K:$M,3,0)*E885</f>
        <v>127485.72795971281</v>
      </c>
      <c r="M885" s="38">
        <f t="shared" si="69"/>
        <v>6489938.4433475416</v>
      </c>
      <c r="N885" s="36"/>
      <c r="O885" s="36"/>
      <c r="P885" s="36"/>
    </row>
    <row r="886" spans="1:16" x14ac:dyDescent="0.25">
      <c r="A886" s="36">
        <v>1881</v>
      </c>
      <c r="B886" s="37">
        <v>43709</v>
      </c>
      <c r="C886" s="36" t="s">
        <v>195</v>
      </c>
      <c r="D886" s="36"/>
      <c r="E886" s="38">
        <v>18731301.130000003</v>
      </c>
      <c r="F886" s="40">
        <f>VLOOKUP(A886,'DATOS GENERALES'!A:B,2,0)</f>
        <v>1.96</v>
      </c>
      <c r="G886" s="36">
        <f t="shared" si="65"/>
        <v>1.9509839999999998</v>
      </c>
      <c r="H886" s="38">
        <f t="shared" si="66"/>
        <v>9600950.6638701316</v>
      </c>
      <c r="I886" s="38">
        <f t="shared" si="67"/>
        <v>9130350.4661298711</v>
      </c>
      <c r="J886" s="38">
        <v>2840041.5668513034</v>
      </c>
      <c r="K886" s="38">
        <f t="shared" si="68"/>
        <v>6290308.8992785681</v>
      </c>
      <c r="L886" s="41">
        <f>VLOOKUP(INDICADORES!$B$21,'DATOS GENERALES'!$K:$M,3,0)*E886</f>
        <v>127485.72795971281</v>
      </c>
      <c r="M886" s="38">
        <f t="shared" si="69"/>
        <v>6162823.1713188551</v>
      </c>
      <c r="N886" s="36"/>
      <c r="O886" s="36"/>
      <c r="P886" s="36"/>
    </row>
    <row r="887" spans="1:16" x14ac:dyDescent="0.25">
      <c r="A887" s="36">
        <v>1881</v>
      </c>
      <c r="B887" s="37">
        <v>43739</v>
      </c>
      <c r="C887" s="36" t="s">
        <v>195</v>
      </c>
      <c r="D887" s="36"/>
      <c r="E887" s="38">
        <v>18731301.130000003</v>
      </c>
      <c r="F887" s="40">
        <f>VLOOKUP(A887,'DATOS GENERALES'!A:B,2,0)</f>
        <v>1.96</v>
      </c>
      <c r="G887" s="36">
        <f t="shared" si="65"/>
        <v>1.9509839999999998</v>
      </c>
      <c r="H887" s="38">
        <f t="shared" si="66"/>
        <v>9600950.6638701316</v>
      </c>
      <c r="I887" s="38">
        <f t="shared" si="67"/>
        <v>9130350.4661298711</v>
      </c>
      <c r="J887" s="38">
        <v>3071211.6941449866</v>
      </c>
      <c r="K887" s="38">
        <f t="shared" si="68"/>
        <v>6059138.7719848845</v>
      </c>
      <c r="L887" s="41">
        <f>VLOOKUP(INDICADORES!$B$21,'DATOS GENERALES'!$K:$M,3,0)*E887</f>
        <v>127485.72795971281</v>
      </c>
      <c r="M887" s="38">
        <f t="shared" si="69"/>
        <v>5931653.0440251715</v>
      </c>
      <c r="N887" s="36"/>
      <c r="O887" s="36"/>
      <c r="P887" s="36"/>
    </row>
    <row r="888" spans="1:16" x14ac:dyDescent="0.25">
      <c r="A888" s="36">
        <v>1881</v>
      </c>
      <c r="B888" s="37">
        <v>43770</v>
      </c>
      <c r="C888" s="36" t="s">
        <v>195</v>
      </c>
      <c r="D888" s="36"/>
      <c r="E888" s="38">
        <v>18731301.130000003</v>
      </c>
      <c r="F888" s="40">
        <f>VLOOKUP(A888,'DATOS GENERALES'!A:B,2,0)</f>
        <v>1.96</v>
      </c>
      <c r="G888" s="36">
        <f t="shared" si="65"/>
        <v>1.9509839999999998</v>
      </c>
      <c r="H888" s="38">
        <f t="shared" si="66"/>
        <v>9600950.6638701316</v>
      </c>
      <c r="I888" s="38">
        <f t="shared" si="67"/>
        <v>9130350.4661298711</v>
      </c>
      <c r="J888" s="38">
        <v>4107519.4544268548</v>
      </c>
      <c r="K888" s="38">
        <f t="shared" si="68"/>
        <v>5022831.0117030162</v>
      </c>
      <c r="L888" s="41">
        <f>VLOOKUP(INDICADORES!$B$21,'DATOS GENERALES'!$K:$M,3,0)*E888</f>
        <v>127485.72795971281</v>
      </c>
      <c r="M888" s="38">
        <f t="shared" si="69"/>
        <v>4895345.2837433033</v>
      </c>
      <c r="N888" s="36"/>
      <c r="O888" s="36"/>
      <c r="P888" s="36"/>
    </row>
    <row r="889" spans="1:16" x14ac:dyDescent="0.25">
      <c r="A889" s="36">
        <v>1881</v>
      </c>
      <c r="B889" s="37">
        <v>43800</v>
      </c>
      <c r="C889" s="36" t="s">
        <v>195</v>
      </c>
      <c r="D889" s="36"/>
      <c r="E889" s="38">
        <v>18731301.130000003</v>
      </c>
      <c r="F889" s="40">
        <f>VLOOKUP(A889,'DATOS GENERALES'!A:B,2,0)</f>
        <v>1.96</v>
      </c>
      <c r="G889" s="36">
        <f t="shared" si="65"/>
        <v>1.9509839999999998</v>
      </c>
      <c r="H889" s="38">
        <f t="shared" si="66"/>
        <v>9600950.6638701316</v>
      </c>
      <c r="I889" s="38">
        <f t="shared" si="67"/>
        <v>9130350.4661298711</v>
      </c>
      <c r="J889" s="38">
        <v>3458479.6014128174</v>
      </c>
      <c r="K889" s="38">
        <f t="shared" si="68"/>
        <v>5671870.8647170532</v>
      </c>
      <c r="L889" s="41">
        <f>VLOOKUP(INDICADORES!$B$21,'DATOS GENERALES'!$K:$M,3,0)*E889</f>
        <v>127485.72795971281</v>
      </c>
      <c r="M889" s="38">
        <f t="shared" si="69"/>
        <v>5544385.1367573403</v>
      </c>
      <c r="N889" s="36"/>
      <c r="O889" s="36"/>
      <c r="P889" s="36"/>
    </row>
    <row r="890" spans="1:16" x14ac:dyDescent="0.25">
      <c r="A890" s="36">
        <v>1881</v>
      </c>
      <c r="B890" s="37">
        <v>43831</v>
      </c>
      <c r="C890" s="36" t="s">
        <v>195</v>
      </c>
      <c r="D890" s="36"/>
      <c r="E890" s="38">
        <v>18731301.130000003</v>
      </c>
      <c r="F890" s="40">
        <f>VLOOKUP(A890,'DATOS GENERALES'!A:B,2,0)</f>
        <v>1.96</v>
      </c>
      <c r="G890" s="36">
        <f t="shared" si="65"/>
        <v>1.9509839999999998</v>
      </c>
      <c r="H890" s="38">
        <f t="shared" si="66"/>
        <v>9600950.6638701316</v>
      </c>
      <c r="I890" s="38">
        <f t="shared" si="67"/>
        <v>9130350.4661298711</v>
      </c>
      <c r="J890" s="38" t="s">
        <v>213</v>
      </c>
      <c r="K890" s="38" t="str">
        <f t="shared" si="68"/>
        <v/>
      </c>
      <c r="L890" s="41">
        <f>VLOOKUP(INDICADORES!$B$21,'DATOS GENERALES'!$K:$M,3,0)*E890</f>
        <v>127485.72795971281</v>
      </c>
      <c r="M890" s="38" t="str">
        <f t="shared" si="69"/>
        <v/>
      </c>
      <c r="N890" s="36"/>
      <c r="O890" s="36"/>
      <c r="P890" s="36"/>
    </row>
    <row r="891" spans="1:16" x14ac:dyDescent="0.25">
      <c r="A891" s="36">
        <v>1881</v>
      </c>
      <c r="B891" s="37">
        <v>43862</v>
      </c>
      <c r="C891" s="36" t="s">
        <v>195</v>
      </c>
      <c r="D891" s="36"/>
      <c r="E891" s="38">
        <v>18731301.130000003</v>
      </c>
      <c r="F891" s="40">
        <f>VLOOKUP(A891,'DATOS GENERALES'!A:B,2,0)</f>
        <v>1.96</v>
      </c>
      <c r="G891" s="36">
        <f t="shared" si="65"/>
        <v>1.9509839999999998</v>
      </c>
      <c r="H891" s="38">
        <f t="shared" si="66"/>
        <v>9600950.6638701316</v>
      </c>
      <c r="I891" s="38">
        <f t="shared" si="67"/>
        <v>9130350.4661298711</v>
      </c>
      <c r="J891" s="38" t="s">
        <v>213</v>
      </c>
      <c r="K891" s="38" t="str">
        <f t="shared" si="68"/>
        <v/>
      </c>
      <c r="L891" s="41">
        <f>VLOOKUP(INDICADORES!$B$21,'DATOS GENERALES'!$K:$M,3,0)*E891</f>
        <v>127485.72795971281</v>
      </c>
      <c r="M891" s="38" t="str">
        <f t="shared" si="69"/>
        <v/>
      </c>
      <c r="N891" s="36"/>
      <c r="O891" s="36"/>
      <c r="P891" s="36"/>
    </row>
    <row r="892" spans="1:16" x14ac:dyDescent="0.25">
      <c r="A892" s="36">
        <v>1881</v>
      </c>
      <c r="B892" s="37">
        <v>43891</v>
      </c>
      <c r="C892" s="36" t="s">
        <v>195</v>
      </c>
      <c r="D892" s="36"/>
      <c r="E892" s="38">
        <v>18731301.130000003</v>
      </c>
      <c r="F892" s="40">
        <f>VLOOKUP(A892,'DATOS GENERALES'!A:B,2,0)</f>
        <v>1.96</v>
      </c>
      <c r="G892" s="36">
        <f t="shared" si="65"/>
        <v>1.9509839999999998</v>
      </c>
      <c r="H892" s="38">
        <f t="shared" si="66"/>
        <v>9600950.6638701316</v>
      </c>
      <c r="I892" s="38">
        <f t="shared" si="67"/>
        <v>9130350.4661298711</v>
      </c>
      <c r="J892" s="38" t="s">
        <v>213</v>
      </c>
      <c r="K892" s="38" t="str">
        <f t="shared" si="68"/>
        <v/>
      </c>
      <c r="L892" s="41">
        <f>VLOOKUP(INDICADORES!$B$21,'DATOS GENERALES'!$K:$M,3,0)*E892</f>
        <v>127485.72795971281</v>
      </c>
      <c r="M892" s="38" t="str">
        <f t="shared" si="69"/>
        <v/>
      </c>
      <c r="N892" s="36"/>
      <c r="O892" s="36"/>
      <c r="P892" s="36"/>
    </row>
    <row r="893" spans="1:16" x14ac:dyDescent="0.25">
      <c r="A893" s="36">
        <v>1881</v>
      </c>
      <c r="B893" s="37">
        <v>43922</v>
      </c>
      <c r="C893" s="36" t="s">
        <v>195</v>
      </c>
      <c r="D893" s="36"/>
      <c r="E893" s="38">
        <v>18731301.130000003</v>
      </c>
      <c r="F893" s="40">
        <f>VLOOKUP(A893,'DATOS GENERALES'!A:B,2,0)</f>
        <v>1.96</v>
      </c>
      <c r="G893" s="36">
        <f t="shared" si="65"/>
        <v>1.9509839999999998</v>
      </c>
      <c r="H893" s="38">
        <f t="shared" si="66"/>
        <v>9600950.6638701316</v>
      </c>
      <c r="I893" s="38">
        <f t="shared" si="67"/>
        <v>9130350.4661298711</v>
      </c>
      <c r="J893" s="38" t="s">
        <v>213</v>
      </c>
      <c r="K893" s="38" t="str">
        <f t="shared" si="68"/>
        <v/>
      </c>
      <c r="L893" s="41">
        <f>VLOOKUP(INDICADORES!$B$21,'DATOS GENERALES'!$K:$M,3,0)*E893</f>
        <v>127485.72795971281</v>
      </c>
      <c r="M893" s="38" t="str">
        <f t="shared" si="69"/>
        <v/>
      </c>
      <c r="N893" s="36"/>
      <c r="O893" s="36"/>
      <c r="P893" s="36"/>
    </row>
    <row r="894" spans="1:16" x14ac:dyDescent="0.25">
      <c r="A894" s="36">
        <v>1881</v>
      </c>
      <c r="B894" s="37">
        <v>43952</v>
      </c>
      <c r="C894" s="36" t="s">
        <v>195</v>
      </c>
      <c r="D894" s="36"/>
      <c r="E894" s="38">
        <v>18731301.130000003</v>
      </c>
      <c r="F894" s="40">
        <f>VLOOKUP(A894,'DATOS GENERALES'!A:B,2,0)</f>
        <v>1.96</v>
      </c>
      <c r="G894" s="36">
        <f t="shared" si="65"/>
        <v>1.9509839999999998</v>
      </c>
      <c r="H894" s="38">
        <f t="shared" si="66"/>
        <v>9600950.6638701316</v>
      </c>
      <c r="I894" s="38">
        <f t="shared" si="67"/>
        <v>9130350.4661298711</v>
      </c>
      <c r="J894" s="38" t="s">
        <v>213</v>
      </c>
      <c r="K894" s="38" t="str">
        <f t="shared" si="68"/>
        <v/>
      </c>
      <c r="L894" s="41">
        <f>VLOOKUP(INDICADORES!$B$21,'DATOS GENERALES'!$K:$M,3,0)*E894</f>
        <v>127485.72795971281</v>
      </c>
      <c r="M894" s="38" t="str">
        <f t="shared" si="69"/>
        <v/>
      </c>
      <c r="N894" s="36"/>
      <c r="O894" s="36"/>
      <c r="P894" s="36"/>
    </row>
    <row r="895" spans="1:16" x14ac:dyDescent="0.25">
      <c r="A895" s="36">
        <v>1881</v>
      </c>
      <c r="B895" s="37">
        <v>43983</v>
      </c>
      <c r="C895" s="36" t="s">
        <v>195</v>
      </c>
      <c r="D895" s="36"/>
      <c r="E895" s="38">
        <v>18731301.130000003</v>
      </c>
      <c r="F895" s="40">
        <f>VLOOKUP(A895,'DATOS GENERALES'!A:B,2,0)</f>
        <v>1.96</v>
      </c>
      <c r="G895" s="36">
        <f t="shared" si="65"/>
        <v>1.9509839999999998</v>
      </c>
      <c r="H895" s="38">
        <f t="shared" si="66"/>
        <v>9600950.6638701316</v>
      </c>
      <c r="I895" s="38">
        <f t="shared" si="67"/>
        <v>9130350.4661298711</v>
      </c>
      <c r="J895" s="38" t="s">
        <v>213</v>
      </c>
      <c r="K895" s="38" t="str">
        <f t="shared" si="68"/>
        <v/>
      </c>
      <c r="L895" s="41">
        <f>VLOOKUP(INDICADORES!$B$21,'DATOS GENERALES'!$K:$M,3,0)*E895</f>
        <v>127485.72795971281</v>
      </c>
      <c r="M895" s="38" t="str">
        <f t="shared" si="69"/>
        <v/>
      </c>
      <c r="N895" s="36"/>
      <c r="O895" s="36"/>
      <c r="P895" s="36"/>
    </row>
    <row r="896" spans="1:16" x14ac:dyDescent="0.25">
      <c r="A896" s="36">
        <v>1881</v>
      </c>
      <c r="B896" s="37">
        <v>44013</v>
      </c>
      <c r="C896" s="36" t="s">
        <v>195</v>
      </c>
      <c r="D896" s="36"/>
      <c r="E896" s="38">
        <v>18731301.130000003</v>
      </c>
      <c r="F896" s="40">
        <f>VLOOKUP(A896,'DATOS GENERALES'!A:B,2,0)</f>
        <v>1.96</v>
      </c>
      <c r="G896" s="36">
        <f t="shared" si="65"/>
        <v>1.9509839999999998</v>
      </c>
      <c r="H896" s="38">
        <f t="shared" si="66"/>
        <v>9600950.6638701316</v>
      </c>
      <c r="I896" s="38">
        <f t="shared" si="67"/>
        <v>9130350.4661298711</v>
      </c>
      <c r="J896" s="38" t="s">
        <v>213</v>
      </c>
      <c r="K896" s="38" t="str">
        <f t="shared" si="68"/>
        <v/>
      </c>
      <c r="L896" s="41">
        <f>VLOOKUP(INDICADORES!$B$21,'DATOS GENERALES'!$K:$M,3,0)*E896</f>
        <v>127485.72795971281</v>
      </c>
      <c r="M896" s="38" t="str">
        <f t="shared" si="69"/>
        <v/>
      </c>
      <c r="N896" s="36"/>
      <c r="O896" s="36"/>
      <c r="P896" s="36"/>
    </row>
    <row r="897" spans="1:16" x14ac:dyDescent="0.25">
      <c r="A897" s="36">
        <v>1880</v>
      </c>
      <c r="B897" s="37">
        <v>43466</v>
      </c>
      <c r="C897" s="36" t="s">
        <v>195</v>
      </c>
      <c r="D897" s="36"/>
      <c r="E897" s="38">
        <v>28582181.75662316</v>
      </c>
      <c r="F897" s="40">
        <f>VLOOKUP(A897,'DATOS GENERALES'!A:B,2,0)</f>
        <v>2.16</v>
      </c>
      <c r="G897" s="36">
        <f t="shared" si="65"/>
        <v>2.150064</v>
      </c>
      <c r="H897" s="38">
        <f t="shared" si="66"/>
        <v>13293642.308611818</v>
      </c>
      <c r="I897" s="38">
        <f t="shared" si="67"/>
        <v>15288539.448011342</v>
      </c>
      <c r="J897" s="38">
        <v>2916868.99130625</v>
      </c>
      <c r="K897" s="38">
        <f t="shared" si="68"/>
        <v>12371670.456705093</v>
      </c>
      <c r="L897" s="41">
        <f>VLOOKUP(INDICADORES!$B$21,'DATOS GENERALES'!$K:$M,3,0)*E897</f>
        <v>194531.0804962712</v>
      </c>
      <c r="M897" s="38">
        <f t="shared" si="69"/>
        <v>12177139.376208821</v>
      </c>
      <c r="N897" s="36"/>
      <c r="O897" s="36"/>
      <c r="P897" s="36"/>
    </row>
    <row r="898" spans="1:16" x14ac:dyDescent="0.25">
      <c r="A898" s="36">
        <v>1880</v>
      </c>
      <c r="B898" s="37">
        <v>43497</v>
      </c>
      <c r="C898" s="36" t="s">
        <v>195</v>
      </c>
      <c r="D898" s="36"/>
      <c r="E898" s="38">
        <v>28582181.75662316</v>
      </c>
      <c r="F898" s="40">
        <f>VLOOKUP(A898,'DATOS GENERALES'!A:B,2,0)</f>
        <v>2.16</v>
      </c>
      <c r="G898" s="36">
        <f t="shared" si="65"/>
        <v>2.150064</v>
      </c>
      <c r="H898" s="38">
        <f t="shared" si="66"/>
        <v>13293642.308611818</v>
      </c>
      <c r="I898" s="38">
        <f t="shared" si="67"/>
        <v>15288539.448011342</v>
      </c>
      <c r="J898" s="38">
        <v>2873525.1060215631</v>
      </c>
      <c r="K898" s="38">
        <f t="shared" si="68"/>
        <v>12415014.34198978</v>
      </c>
      <c r="L898" s="41">
        <f>VLOOKUP(INDICADORES!$B$21,'DATOS GENERALES'!$K:$M,3,0)*E898</f>
        <v>194531.0804962712</v>
      </c>
      <c r="M898" s="38">
        <f t="shared" si="69"/>
        <v>12220483.261493508</v>
      </c>
      <c r="N898" s="36"/>
      <c r="O898" s="36"/>
      <c r="P898" s="36"/>
    </row>
    <row r="899" spans="1:16" x14ac:dyDescent="0.25">
      <c r="A899" s="36">
        <v>1880</v>
      </c>
      <c r="B899" s="37">
        <v>43525</v>
      </c>
      <c r="C899" s="36" t="s">
        <v>195</v>
      </c>
      <c r="D899" s="36"/>
      <c r="E899" s="38">
        <v>25155129.655423157</v>
      </c>
      <c r="F899" s="40">
        <f>VLOOKUP(A899,'DATOS GENERALES'!A:B,2,0)</f>
        <v>2.16</v>
      </c>
      <c r="G899" s="36">
        <f t="shared" ref="G899:G962" si="70">F899*0.9954</f>
        <v>2.150064</v>
      </c>
      <c r="H899" s="38">
        <f t="shared" ref="H899:H962" si="71">E899/G899</f>
        <v>11699712.034350213</v>
      </c>
      <c r="I899" s="38">
        <f t="shared" ref="I899:I962" si="72">E899-H899</f>
        <v>13455417.621072944</v>
      </c>
      <c r="J899" s="38">
        <v>1829688.9689906822</v>
      </c>
      <c r="K899" s="38">
        <f t="shared" ref="K899:K962" si="73">IFERROR(I899-J899,"")</f>
        <v>11625728.652082263</v>
      </c>
      <c r="L899" s="41">
        <f>VLOOKUP(INDICADORES!$B$21,'DATOS GENERALES'!$K:$M,3,0)*E899</f>
        <v>171206.47379409143</v>
      </c>
      <c r="M899" s="38">
        <f t="shared" ref="M899:M962" si="74">IFERROR(K899-L899,"")</f>
        <v>11454522.178288171</v>
      </c>
      <c r="N899" s="36"/>
      <c r="O899" s="36"/>
      <c r="P899" s="36"/>
    </row>
    <row r="900" spans="1:16" x14ac:dyDescent="0.25">
      <c r="A900" s="36">
        <v>1880</v>
      </c>
      <c r="B900" s="37">
        <v>43556</v>
      </c>
      <c r="C900" s="36" t="s">
        <v>195</v>
      </c>
      <c r="D900" s="36"/>
      <c r="E900" s="38">
        <v>25155129.655423157</v>
      </c>
      <c r="F900" s="40">
        <f>VLOOKUP(A900,'DATOS GENERALES'!A:B,2,0)</f>
        <v>2.16</v>
      </c>
      <c r="G900" s="36">
        <f t="shared" si="70"/>
        <v>2.150064</v>
      </c>
      <c r="H900" s="38">
        <f t="shared" si="71"/>
        <v>11699712.034350213</v>
      </c>
      <c r="I900" s="38">
        <f t="shared" si="72"/>
        <v>13455417.621072944</v>
      </c>
      <c r="J900" s="38">
        <v>1881058.160440132</v>
      </c>
      <c r="K900" s="38">
        <f t="shared" si="73"/>
        <v>11574359.460632812</v>
      </c>
      <c r="L900" s="41">
        <f>VLOOKUP(INDICADORES!$B$21,'DATOS GENERALES'!$K:$M,3,0)*E900</f>
        <v>171206.47379409143</v>
      </c>
      <c r="M900" s="38">
        <f t="shared" si="74"/>
        <v>11403152.986838721</v>
      </c>
      <c r="N900" s="36"/>
      <c r="O900" s="36"/>
      <c r="P900" s="36"/>
    </row>
    <row r="901" spans="1:16" x14ac:dyDescent="0.25">
      <c r="A901" s="36">
        <v>1880</v>
      </c>
      <c r="B901" s="37">
        <v>43586</v>
      </c>
      <c r="C901" s="36" t="s">
        <v>195</v>
      </c>
      <c r="D901" s="36"/>
      <c r="E901" s="38">
        <v>19133530.631668162</v>
      </c>
      <c r="F901" s="40">
        <f>VLOOKUP(A901,'DATOS GENERALES'!A:B,2,0)</f>
        <v>2.16</v>
      </c>
      <c r="G901" s="36">
        <f t="shared" si="70"/>
        <v>2.150064</v>
      </c>
      <c r="H901" s="38">
        <f t="shared" si="71"/>
        <v>8899051.6708656866</v>
      </c>
      <c r="I901" s="38">
        <f t="shared" si="72"/>
        <v>10234478.960802475</v>
      </c>
      <c r="J901" s="38">
        <v>1180287.7830768789</v>
      </c>
      <c r="K901" s="38">
        <f t="shared" si="73"/>
        <v>9054191.1777255964</v>
      </c>
      <c r="L901" s="41">
        <f>VLOOKUP(INDICADORES!$B$21,'DATOS GENERALES'!$K:$M,3,0)*E901</f>
        <v>130223.31252317435</v>
      </c>
      <c r="M901" s="38">
        <f t="shared" si="74"/>
        <v>8923967.8652024213</v>
      </c>
      <c r="N901" s="36"/>
      <c r="O901" s="36"/>
      <c r="P901" s="36"/>
    </row>
    <row r="902" spans="1:16" x14ac:dyDescent="0.25">
      <c r="A902" s="36">
        <v>1880</v>
      </c>
      <c r="B902" s="37">
        <v>43617</v>
      </c>
      <c r="C902" s="36" t="s">
        <v>195</v>
      </c>
      <c r="D902" s="36"/>
      <c r="E902" s="38">
        <v>15168446</v>
      </c>
      <c r="F902" s="40">
        <f>VLOOKUP(A902,'DATOS GENERALES'!A:B,2,0)</f>
        <v>2.16</v>
      </c>
      <c r="G902" s="36">
        <f t="shared" si="70"/>
        <v>2.150064</v>
      </c>
      <c r="H902" s="38">
        <f t="shared" si="71"/>
        <v>7054881.1570260236</v>
      </c>
      <c r="I902" s="38">
        <f t="shared" si="72"/>
        <v>8113564.8429739764</v>
      </c>
      <c r="J902" s="38">
        <v>1258289.4238619304</v>
      </c>
      <c r="K902" s="38">
        <f t="shared" si="73"/>
        <v>6855275.4191120462</v>
      </c>
      <c r="L902" s="41">
        <f>VLOOKUP(INDICADORES!$B$21,'DATOS GENERALES'!$K:$M,3,0)*E902</f>
        <v>103236.84227309166</v>
      </c>
      <c r="M902" s="38">
        <f t="shared" si="74"/>
        <v>6752038.5768389544</v>
      </c>
      <c r="N902" s="36"/>
      <c r="O902" s="36"/>
      <c r="P902" s="36"/>
    </row>
    <row r="903" spans="1:16" x14ac:dyDescent="0.25">
      <c r="A903" s="36">
        <v>1877</v>
      </c>
      <c r="B903" s="37">
        <v>43466</v>
      </c>
      <c r="C903" s="36" t="s">
        <v>195</v>
      </c>
      <c r="D903" s="36"/>
      <c r="E903" s="38">
        <v>103091506.81246251</v>
      </c>
      <c r="F903" s="40">
        <f>VLOOKUP(A903,'DATOS GENERALES'!A:B,2,0)</f>
        <v>1.82</v>
      </c>
      <c r="G903" s="36">
        <f t="shared" si="70"/>
        <v>1.811628</v>
      </c>
      <c r="H903" s="38">
        <f t="shared" si="71"/>
        <v>56905450.132401638</v>
      </c>
      <c r="I903" s="38">
        <f t="shared" si="72"/>
        <v>46186056.680060871</v>
      </c>
      <c r="J903" s="38">
        <v>12486099.676384287</v>
      </c>
      <c r="K903" s="38">
        <f t="shared" si="73"/>
        <v>33699957.003676586</v>
      </c>
      <c r="L903" s="41">
        <f>VLOOKUP(INDICADORES!$B$21,'DATOS GENERALES'!$K:$M,3,0)*E903</f>
        <v>701643.50576806266</v>
      </c>
      <c r="M903" s="38">
        <f t="shared" si="74"/>
        <v>32998313.497908521</v>
      </c>
      <c r="N903" s="36"/>
      <c r="O903" s="36"/>
      <c r="P903" s="36"/>
    </row>
    <row r="904" spans="1:16" x14ac:dyDescent="0.25">
      <c r="A904" s="36">
        <v>1877</v>
      </c>
      <c r="B904" s="37">
        <v>43497</v>
      </c>
      <c r="C904" s="36" t="s">
        <v>195</v>
      </c>
      <c r="D904" s="36"/>
      <c r="E904" s="38">
        <v>103091506.81246251</v>
      </c>
      <c r="F904" s="40">
        <f>VLOOKUP(A904,'DATOS GENERALES'!A:B,2,0)</f>
        <v>1.82</v>
      </c>
      <c r="G904" s="36">
        <f t="shared" si="70"/>
        <v>1.811628</v>
      </c>
      <c r="H904" s="38">
        <f t="shared" si="71"/>
        <v>56905450.132401638</v>
      </c>
      <c r="I904" s="38">
        <f t="shared" si="72"/>
        <v>46186056.680060871</v>
      </c>
      <c r="J904" s="38">
        <v>12300559.608030375</v>
      </c>
      <c r="K904" s="38">
        <f t="shared" si="73"/>
        <v>33885497.0720305</v>
      </c>
      <c r="L904" s="41">
        <f>VLOOKUP(INDICADORES!$B$21,'DATOS GENERALES'!$K:$M,3,0)*E904</f>
        <v>701643.50576806266</v>
      </c>
      <c r="M904" s="38">
        <f t="shared" si="74"/>
        <v>33183853.566262435</v>
      </c>
      <c r="N904" s="36"/>
      <c r="O904" s="36"/>
      <c r="P904" s="36"/>
    </row>
    <row r="905" spans="1:16" x14ac:dyDescent="0.25">
      <c r="A905" s="36">
        <v>1877</v>
      </c>
      <c r="B905" s="37">
        <v>43525</v>
      </c>
      <c r="C905" s="36" t="s">
        <v>195</v>
      </c>
      <c r="D905" s="36"/>
      <c r="E905" s="38">
        <v>93763648.062462509</v>
      </c>
      <c r="F905" s="40">
        <f>VLOOKUP(A905,'DATOS GENERALES'!A:B,2,0)</f>
        <v>1.82</v>
      </c>
      <c r="G905" s="36">
        <f t="shared" si="70"/>
        <v>1.811628</v>
      </c>
      <c r="H905" s="38">
        <f t="shared" si="71"/>
        <v>51756568.159943715</v>
      </c>
      <c r="I905" s="38">
        <f t="shared" si="72"/>
        <v>42007079.902518794</v>
      </c>
      <c r="J905" s="38">
        <v>8094081.4232888781</v>
      </c>
      <c r="K905" s="38">
        <f t="shared" si="73"/>
        <v>33912998.479229912</v>
      </c>
      <c r="L905" s="41">
        <f>VLOOKUP(INDICADORES!$B$21,'DATOS GENERALES'!$K:$M,3,0)*E905</f>
        <v>638157.85387468955</v>
      </c>
      <c r="M905" s="38">
        <f t="shared" si="74"/>
        <v>33274840.625355221</v>
      </c>
      <c r="N905" s="36"/>
      <c r="O905" s="36"/>
      <c r="P905" s="36"/>
    </row>
    <row r="906" spans="1:16" x14ac:dyDescent="0.25">
      <c r="A906" s="36">
        <v>1877</v>
      </c>
      <c r="B906" s="37">
        <v>43556</v>
      </c>
      <c r="C906" s="36" t="s">
        <v>195</v>
      </c>
      <c r="D906" s="36"/>
      <c r="E906" s="38">
        <v>93763648.062462509</v>
      </c>
      <c r="F906" s="40">
        <f>VLOOKUP(A906,'DATOS GENERALES'!A:B,2,0)</f>
        <v>1.82</v>
      </c>
      <c r="G906" s="36">
        <f t="shared" si="70"/>
        <v>1.811628</v>
      </c>
      <c r="H906" s="38">
        <f t="shared" si="71"/>
        <v>51756568.159943715</v>
      </c>
      <c r="I906" s="38">
        <f t="shared" si="72"/>
        <v>42007079.902518794</v>
      </c>
      <c r="J906" s="38">
        <v>8321325.7392830448</v>
      </c>
      <c r="K906" s="38">
        <f t="shared" si="73"/>
        <v>33685754.163235746</v>
      </c>
      <c r="L906" s="41">
        <f>VLOOKUP(INDICADORES!$B$21,'DATOS GENERALES'!$K:$M,3,0)*E906</f>
        <v>638157.85387468955</v>
      </c>
      <c r="M906" s="38">
        <f t="shared" si="74"/>
        <v>33047596.309361055</v>
      </c>
      <c r="N906" s="36"/>
      <c r="O906" s="36"/>
      <c r="P906" s="36"/>
    </row>
    <row r="907" spans="1:16" x14ac:dyDescent="0.25">
      <c r="A907" s="36">
        <v>1877</v>
      </c>
      <c r="B907" s="37">
        <v>43586</v>
      </c>
      <c r="C907" s="36" t="s">
        <v>195</v>
      </c>
      <c r="D907" s="36"/>
      <c r="E907" s="38">
        <v>93763648.062462509</v>
      </c>
      <c r="F907" s="40">
        <f>VLOOKUP(A907,'DATOS GENERALES'!A:B,2,0)</f>
        <v>1.82</v>
      </c>
      <c r="G907" s="36">
        <f t="shared" si="70"/>
        <v>1.811628</v>
      </c>
      <c r="H907" s="38">
        <f t="shared" si="71"/>
        <v>51756568.159943715</v>
      </c>
      <c r="I907" s="38">
        <f t="shared" si="72"/>
        <v>42007079.902518794</v>
      </c>
      <c r="J907" s="38">
        <v>6864511.7876054347</v>
      </c>
      <c r="K907" s="38">
        <f t="shared" si="73"/>
        <v>35142568.114913359</v>
      </c>
      <c r="L907" s="41">
        <f>VLOOKUP(INDICADORES!$B$21,'DATOS GENERALES'!$K:$M,3,0)*E907</f>
        <v>638157.85387468955</v>
      </c>
      <c r="M907" s="38">
        <f t="shared" si="74"/>
        <v>34504410.261038668</v>
      </c>
      <c r="N907" s="36"/>
      <c r="O907" s="36"/>
      <c r="P907" s="36"/>
    </row>
    <row r="908" spans="1:16" x14ac:dyDescent="0.25">
      <c r="A908" s="36">
        <v>1877</v>
      </c>
      <c r="B908" s="37">
        <v>43617</v>
      </c>
      <c r="C908" s="36" t="s">
        <v>195</v>
      </c>
      <c r="D908" s="36"/>
      <c r="E908" s="38">
        <v>93763648.062462509</v>
      </c>
      <c r="F908" s="40">
        <f>VLOOKUP(A908,'DATOS GENERALES'!A:B,2,0)</f>
        <v>1.82</v>
      </c>
      <c r="G908" s="36">
        <f t="shared" si="70"/>
        <v>1.811628</v>
      </c>
      <c r="H908" s="38">
        <f t="shared" si="71"/>
        <v>51756568.159943715</v>
      </c>
      <c r="I908" s="38">
        <f t="shared" si="72"/>
        <v>42007079.902518794</v>
      </c>
      <c r="J908" s="38">
        <v>9231160.7922959775</v>
      </c>
      <c r="K908" s="38">
        <f t="shared" si="73"/>
        <v>32775919.110222816</v>
      </c>
      <c r="L908" s="41">
        <f>VLOOKUP(INDICADORES!$B$21,'DATOS GENERALES'!$K:$M,3,0)*E908</f>
        <v>638157.85387468955</v>
      </c>
      <c r="M908" s="38">
        <f t="shared" si="74"/>
        <v>32137761.256348126</v>
      </c>
      <c r="N908" s="36"/>
      <c r="O908" s="36"/>
      <c r="P908" s="36"/>
    </row>
    <row r="909" spans="1:16" x14ac:dyDescent="0.25">
      <c r="A909" s="36">
        <v>1877</v>
      </c>
      <c r="B909" s="37">
        <v>43647</v>
      </c>
      <c r="C909" s="36" t="s">
        <v>195</v>
      </c>
      <c r="D909" s="36"/>
      <c r="E909" s="38">
        <v>93763648.062462509</v>
      </c>
      <c r="F909" s="40">
        <f>VLOOKUP(A909,'DATOS GENERALES'!A:B,2,0)</f>
        <v>1.82</v>
      </c>
      <c r="G909" s="36">
        <f t="shared" si="70"/>
        <v>1.811628</v>
      </c>
      <c r="H909" s="38">
        <f t="shared" si="71"/>
        <v>51756568.159943715</v>
      </c>
      <c r="I909" s="38">
        <f t="shared" si="72"/>
        <v>42007079.902518794</v>
      </c>
      <c r="J909" s="38">
        <v>13766384.158581443</v>
      </c>
      <c r="K909" s="38">
        <f t="shared" si="73"/>
        <v>28240695.743937351</v>
      </c>
      <c r="L909" s="41">
        <f>VLOOKUP(INDICADORES!$B$21,'DATOS GENERALES'!$K:$M,3,0)*E909</f>
        <v>638157.85387468955</v>
      </c>
      <c r="M909" s="38">
        <f t="shared" si="74"/>
        <v>27602537.89006266</v>
      </c>
      <c r="N909" s="36"/>
      <c r="O909" s="36"/>
      <c r="P909" s="36"/>
    </row>
    <row r="910" spans="1:16" x14ac:dyDescent="0.25">
      <c r="A910" s="36">
        <v>1877</v>
      </c>
      <c r="B910" s="37">
        <v>43678</v>
      </c>
      <c r="C910" s="36" t="s">
        <v>195</v>
      </c>
      <c r="D910" s="36"/>
      <c r="E910" s="38">
        <v>88864260.739212513</v>
      </c>
      <c r="F910" s="40">
        <f>VLOOKUP(A910,'DATOS GENERALES'!A:B,2,0)</f>
        <v>1.82</v>
      </c>
      <c r="G910" s="36">
        <f t="shared" si="70"/>
        <v>1.811628</v>
      </c>
      <c r="H910" s="38">
        <f t="shared" si="71"/>
        <v>49052156.811007842</v>
      </c>
      <c r="I910" s="38">
        <f t="shared" si="72"/>
        <v>39812103.928204671</v>
      </c>
      <c r="J910" s="38">
        <v>12838775.969551345</v>
      </c>
      <c r="K910" s="38">
        <f t="shared" si="73"/>
        <v>26973327.958653323</v>
      </c>
      <c r="L910" s="41">
        <f>VLOOKUP(INDICADORES!$B$21,'DATOS GENERALES'!$K:$M,3,0)*E910</f>
        <v>604812.49494173459</v>
      </c>
      <c r="M910" s="38">
        <f t="shared" si="74"/>
        <v>26368515.46371159</v>
      </c>
      <c r="N910" s="36"/>
      <c r="O910" s="36"/>
      <c r="P910" s="36"/>
    </row>
    <row r="911" spans="1:16" x14ac:dyDescent="0.25">
      <c r="A911" s="36">
        <v>1877</v>
      </c>
      <c r="B911" s="37">
        <v>43709</v>
      </c>
      <c r="C911" s="36" t="s">
        <v>195</v>
      </c>
      <c r="D911" s="36"/>
      <c r="E911" s="38">
        <v>70971349.444212496</v>
      </c>
      <c r="F911" s="40">
        <f>VLOOKUP(A911,'DATOS GENERALES'!A:B,2,0)</f>
        <v>1.82</v>
      </c>
      <c r="G911" s="36">
        <f t="shared" si="70"/>
        <v>1.811628</v>
      </c>
      <c r="H911" s="38">
        <f t="shared" si="71"/>
        <v>39175454.035934806</v>
      </c>
      <c r="I911" s="38">
        <f t="shared" si="72"/>
        <v>31795895.40827769</v>
      </c>
      <c r="J911" s="38">
        <v>11588427.204507556</v>
      </c>
      <c r="K911" s="38">
        <f t="shared" si="73"/>
        <v>20207468.203770135</v>
      </c>
      <c r="L911" s="41">
        <f>VLOOKUP(INDICADORES!$B$21,'DATOS GENERALES'!$K:$M,3,0)*E911</f>
        <v>483032.87024133105</v>
      </c>
      <c r="M911" s="38">
        <f t="shared" si="74"/>
        <v>19724435.333528802</v>
      </c>
      <c r="N911" s="36"/>
      <c r="O911" s="36"/>
      <c r="P911" s="36"/>
    </row>
    <row r="912" spans="1:16" x14ac:dyDescent="0.25">
      <c r="A912" s="36">
        <v>1877</v>
      </c>
      <c r="B912" s="37">
        <v>43739</v>
      </c>
      <c r="C912" s="36" t="s">
        <v>195</v>
      </c>
      <c r="D912" s="36"/>
      <c r="E912" s="38">
        <v>70971349.444212496</v>
      </c>
      <c r="F912" s="40">
        <f>VLOOKUP(A912,'DATOS GENERALES'!A:B,2,0)</f>
        <v>1.82</v>
      </c>
      <c r="G912" s="36">
        <f t="shared" si="70"/>
        <v>1.811628</v>
      </c>
      <c r="H912" s="38">
        <f t="shared" si="71"/>
        <v>39175454.035934806</v>
      </c>
      <c r="I912" s="38">
        <f t="shared" si="72"/>
        <v>31795895.40827769</v>
      </c>
      <c r="J912" s="38">
        <v>12531687.410015613</v>
      </c>
      <c r="K912" s="38">
        <f t="shared" si="73"/>
        <v>19264207.998262078</v>
      </c>
      <c r="L912" s="41">
        <f>VLOOKUP(INDICADORES!$B$21,'DATOS GENERALES'!$K:$M,3,0)*E912</f>
        <v>483032.87024133105</v>
      </c>
      <c r="M912" s="38">
        <f t="shared" si="74"/>
        <v>18781175.128020745</v>
      </c>
      <c r="N912" s="36"/>
      <c r="O912" s="36"/>
      <c r="P912" s="36"/>
    </row>
    <row r="913" spans="1:16" x14ac:dyDescent="0.25">
      <c r="A913" s="36">
        <v>1877</v>
      </c>
      <c r="B913" s="37">
        <v>43770</v>
      </c>
      <c r="C913" s="36" t="s">
        <v>195</v>
      </c>
      <c r="D913" s="36"/>
      <c r="E913" s="38">
        <v>60371192.323249996</v>
      </c>
      <c r="F913" s="40">
        <f>VLOOKUP(A913,'DATOS GENERALES'!A:B,2,0)</f>
        <v>1.82</v>
      </c>
      <c r="G913" s="36">
        <f t="shared" si="70"/>
        <v>1.811628</v>
      </c>
      <c r="H913" s="38">
        <f t="shared" si="71"/>
        <v>33324276.464732271</v>
      </c>
      <c r="I913" s="38">
        <f t="shared" si="72"/>
        <v>27046915.858517725</v>
      </c>
      <c r="J913" s="38">
        <v>14256933.367930731</v>
      </c>
      <c r="K913" s="38">
        <f t="shared" si="73"/>
        <v>12789982.490586994</v>
      </c>
      <c r="L913" s="41">
        <f>VLOOKUP(INDICADORES!$B$21,'DATOS GENERALES'!$K:$M,3,0)*E913</f>
        <v>410887.92218489898</v>
      </c>
      <c r="M913" s="38">
        <f t="shared" si="74"/>
        <v>12379094.568402095</v>
      </c>
      <c r="N913" s="36"/>
      <c r="O913" s="36"/>
      <c r="P913" s="36"/>
    </row>
    <row r="914" spans="1:16" x14ac:dyDescent="0.25">
      <c r="A914" s="36">
        <v>1877</v>
      </c>
      <c r="B914" s="37">
        <v>43800</v>
      </c>
      <c r="C914" s="36" t="s">
        <v>195</v>
      </c>
      <c r="D914" s="36"/>
      <c r="E914" s="38">
        <v>60371192.323249996</v>
      </c>
      <c r="F914" s="40">
        <f>VLOOKUP(A914,'DATOS GENERALES'!A:B,2,0)</f>
        <v>1.82</v>
      </c>
      <c r="G914" s="36">
        <f t="shared" si="70"/>
        <v>1.811628</v>
      </c>
      <c r="H914" s="38">
        <f t="shared" si="71"/>
        <v>33324276.464732271</v>
      </c>
      <c r="I914" s="38">
        <f t="shared" si="72"/>
        <v>27046915.858517725</v>
      </c>
      <c r="J914" s="38">
        <v>12004158.173505301</v>
      </c>
      <c r="K914" s="38">
        <f t="shared" si="73"/>
        <v>15042757.685012424</v>
      </c>
      <c r="L914" s="41">
        <f>VLOOKUP(INDICADORES!$B$21,'DATOS GENERALES'!$K:$M,3,0)*E914</f>
        <v>410887.92218489898</v>
      </c>
      <c r="M914" s="38">
        <f t="shared" si="74"/>
        <v>14631869.762827525</v>
      </c>
      <c r="N914" s="36"/>
      <c r="O914" s="36"/>
      <c r="P914" s="36"/>
    </row>
    <row r="915" spans="1:16" x14ac:dyDescent="0.25">
      <c r="A915" s="36">
        <v>1877</v>
      </c>
      <c r="B915" s="37">
        <v>43831</v>
      </c>
      <c r="C915" s="36" t="s">
        <v>195</v>
      </c>
      <c r="D915" s="36"/>
      <c r="E915" s="38">
        <v>48562280</v>
      </c>
      <c r="F915" s="40">
        <f>VLOOKUP(A915,'DATOS GENERALES'!A:B,2,0)</f>
        <v>1.82</v>
      </c>
      <c r="G915" s="36">
        <f t="shared" si="70"/>
        <v>1.811628</v>
      </c>
      <c r="H915" s="38">
        <f t="shared" si="71"/>
        <v>26805878.469531272</v>
      </c>
      <c r="I915" s="38">
        <f t="shared" si="72"/>
        <v>21756401.530468728</v>
      </c>
      <c r="J915" s="38" t="s">
        <v>213</v>
      </c>
      <c r="K915" s="38" t="str">
        <f t="shared" si="73"/>
        <v/>
      </c>
      <c r="L915" s="41">
        <f>VLOOKUP(INDICADORES!$B$21,'DATOS GENERALES'!$K:$M,3,0)*E915</f>
        <v>330516.15444203804</v>
      </c>
      <c r="M915" s="38" t="str">
        <f t="shared" si="74"/>
        <v/>
      </c>
      <c r="N915" s="36"/>
      <c r="O915" s="36"/>
      <c r="P915" s="36"/>
    </row>
    <row r="916" spans="1:16" x14ac:dyDescent="0.25">
      <c r="A916" s="36">
        <v>1877</v>
      </c>
      <c r="B916" s="37">
        <v>43862</v>
      </c>
      <c r="C916" s="36" t="s">
        <v>195</v>
      </c>
      <c r="D916" s="36"/>
      <c r="E916" s="38">
        <v>48562280</v>
      </c>
      <c r="F916" s="40">
        <f>VLOOKUP(A916,'DATOS GENERALES'!A:B,2,0)</f>
        <v>1.82</v>
      </c>
      <c r="G916" s="36">
        <f t="shared" si="70"/>
        <v>1.811628</v>
      </c>
      <c r="H916" s="38">
        <f t="shared" si="71"/>
        <v>26805878.469531272</v>
      </c>
      <c r="I916" s="38">
        <f t="shared" si="72"/>
        <v>21756401.530468728</v>
      </c>
      <c r="J916" s="38" t="s">
        <v>213</v>
      </c>
      <c r="K916" s="38" t="str">
        <f t="shared" si="73"/>
        <v/>
      </c>
      <c r="L916" s="41">
        <f>VLOOKUP(INDICADORES!$B$21,'DATOS GENERALES'!$K:$M,3,0)*E916</f>
        <v>330516.15444203804</v>
      </c>
      <c r="M916" s="38" t="str">
        <f t="shared" si="74"/>
        <v/>
      </c>
      <c r="N916" s="36"/>
      <c r="O916" s="36"/>
      <c r="P916" s="36"/>
    </row>
    <row r="917" spans="1:16" x14ac:dyDescent="0.25">
      <c r="A917" s="36">
        <v>1877</v>
      </c>
      <c r="B917" s="37">
        <v>43891</v>
      </c>
      <c r="C917" s="36" t="s">
        <v>195</v>
      </c>
      <c r="D917" s="36"/>
      <c r="E917" s="38">
        <v>48562280</v>
      </c>
      <c r="F917" s="40">
        <f>VLOOKUP(A917,'DATOS GENERALES'!A:B,2,0)</f>
        <v>1.82</v>
      </c>
      <c r="G917" s="36">
        <f t="shared" si="70"/>
        <v>1.811628</v>
      </c>
      <c r="H917" s="38">
        <f t="shared" si="71"/>
        <v>26805878.469531272</v>
      </c>
      <c r="I917" s="38">
        <f t="shared" si="72"/>
        <v>21756401.530468728</v>
      </c>
      <c r="J917" s="38" t="s">
        <v>213</v>
      </c>
      <c r="K917" s="38" t="str">
        <f t="shared" si="73"/>
        <v/>
      </c>
      <c r="L917" s="41">
        <f>VLOOKUP(INDICADORES!$B$21,'DATOS GENERALES'!$K:$M,3,0)*E917</f>
        <v>330516.15444203804</v>
      </c>
      <c r="M917" s="38" t="str">
        <f t="shared" si="74"/>
        <v/>
      </c>
      <c r="N917" s="36"/>
      <c r="O917" s="36"/>
      <c r="P917" s="36"/>
    </row>
    <row r="918" spans="1:16" x14ac:dyDescent="0.25">
      <c r="A918" s="36">
        <v>1753</v>
      </c>
      <c r="B918" s="37">
        <v>43466</v>
      </c>
      <c r="C918" s="36" t="s">
        <v>195</v>
      </c>
      <c r="D918" s="36"/>
      <c r="E918" s="38">
        <v>28159952.859999999</v>
      </c>
      <c r="F918" s="40">
        <f>VLOOKUP(A918,'DATOS GENERALES'!A:B,2,0)</f>
        <v>2.42</v>
      </c>
      <c r="G918" s="36">
        <f t="shared" si="70"/>
        <v>2.408868</v>
      </c>
      <c r="H918" s="38">
        <f t="shared" si="71"/>
        <v>11690118.703058863</v>
      </c>
      <c r="I918" s="38">
        <f t="shared" si="72"/>
        <v>16469834.156941136</v>
      </c>
      <c r="J918" s="38">
        <v>2565026.4959778627</v>
      </c>
      <c r="K918" s="38">
        <f t="shared" si="73"/>
        <v>13904807.660963275</v>
      </c>
      <c r="L918" s="41">
        <f>VLOOKUP(INDICADORES!$B$21,'DATOS GENERALES'!$K:$M,3,0)*E918</f>
        <v>191657.37952493725</v>
      </c>
      <c r="M918" s="38">
        <f t="shared" si="74"/>
        <v>13713150.281438338</v>
      </c>
      <c r="N918" s="36"/>
      <c r="O918" s="36"/>
      <c r="P918" s="36"/>
    </row>
    <row r="919" spans="1:16" x14ac:dyDescent="0.25">
      <c r="A919" s="36">
        <v>1723</v>
      </c>
      <c r="B919" s="37">
        <v>43466</v>
      </c>
      <c r="C919" s="36" t="s">
        <v>195</v>
      </c>
      <c r="D919" s="36"/>
      <c r="E919" s="38">
        <v>141764652.89297777</v>
      </c>
      <c r="F919" s="40">
        <f>VLOOKUP(A919,'DATOS GENERALES'!A:B,2,0)</f>
        <v>1.82</v>
      </c>
      <c r="G919" s="36">
        <f t="shared" si="70"/>
        <v>1.811628</v>
      </c>
      <c r="H919" s="38">
        <f t="shared" si="71"/>
        <v>78252628.515886143</v>
      </c>
      <c r="I919" s="38">
        <f t="shared" si="72"/>
        <v>63512024.377091631</v>
      </c>
      <c r="J919" s="38">
        <v>17170062.222776227</v>
      </c>
      <c r="K919" s="38">
        <f t="shared" si="73"/>
        <v>46341962.154315405</v>
      </c>
      <c r="L919" s="41">
        <f>VLOOKUP(INDICADORES!$B$21,'DATOS GENERALES'!$K:$M,3,0)*E919</f>
        <v>964853.9547566002</v>
      </c>
      <c r="M919" s="38">
        <f t="shared" si="74"/>
        <v>45377108.199558802</v>
      </c>
      <c r="N919" s="36"/>
      <c r="O919" s="36"/>
      <c r="P919" s="36"/>
    </row>
    <row r="920" spans="1:16" x14ac:dyDescent="0.25">
      <c r="A920" s="36">
        <v>1723</v>
      </c>
      <c r="B920" s="37">
        <v>43497</v>
      </c>
      <c r="C920" s="36" t="s">
        <v>195</v>
      </c>
      <c r="D920" s="36"/>
      <c r="E920" s="38">
        <v>135543402.89297777</v>
      </c>
      <c r="F920" s="40">
        <f>VLOOKUP(A920,'DATOS GENERALES'!A:B,2,0)</f>
        <v>1.82</v>
      </c>
      <c r="G920" s="36">
        <f t="shared" si="70"/>
        <v>1.811628</v>
      </c>
      <c r="H920" s="38">
        <f t="shared" si="71"/>
        <v>74818562.581820205</v>
      </c>
      <c r="I920" s="38">
        <f t="shared" si="72"/>
        <v>60724840.311157569</v>
      </c>
      <c r="J920" s="38">
        <v>16172619.435986342</v>
      </c>
      <c r="K920" s="38">
        <f t="shared" si="73"/>
        <v>44552220.875171229</v>
      </c>
      <c r="L920" s="41">
        <f>VLOOKUP(INDICADORES!$B$21,'DATOS GENERALES'!$K:$M,3,0)*E920</f>
        <v>922511.96369229001</v>
      </c>
      <c r="M920" s="38">
        <f t="shared" si="74"/>
        <v>43629708.911478937</v>
      </c>
      <c r="N920" s="36"/>
      <c r="O920" s="36"/>
      <c r="P920" s="36"/>
    </row>
    <row r="921" spans="1:16" x14ac:dyDescent="0.25">
      <c r="A921" s="36">
        <v>1723</v>
      </c>
      <c r="B921" s="37">
        <v>43525</v>
      </c>
      <c r="C921" s="36" t="s">
        <v>195</v>
      </c>
      <c r="D921" s="36"/>
      <c r="E921" s="38">
        <v>129322152.89297776</v>
      </c>
      <c r="F921" s="40">
        <f>VLOOKUP(A921,'DATOS GENERALES'!A:B,2,0)</f>
        <v>1.82</v>
      </c>
      <c r="G921" s="36">
        <f t="shared" si="70"/>
        <v>1.811628</v>
      </c>
      <c r="H921" s="38">
        <f t="shared" si="71"/>
        <v>71384496.647754267</v>
      </c>
      <c r="I921" s="38">
        <f t="shared" si="72"/>
        <v>57937656.245223492</v>
      </c>
      <c r="J921" s="38">
        <v>11163644.514486745</v>
      </c>
      <c r="K921" s="38">
        <f t="shared" si="73"/>
        <v>46774011.730736747</v>
      </c>
      <c r="L921" s="41">
        <f>VLOOKUP(INDICADORES!$B$21,'DATOS GENERALES'!$K:$M,3,0)*E921</f>
        <v>880169.97262797982</v>
      </c>
      <c r="M921" s="38">
        <f t="shared" si="74"/>
        <v>45893841.758108765</v>
      </c>
      <c r="N921" s="36"/>
      <c r="O921" s="36"/>
      <c r="P921" s="36"/>
    </row>
    <row r="922" spans="1:16" x14ac:dyDescent="0.25">
      <c r="A922" s="36">
        <v>1723</v>
      </c>
      <c r="B922" s="37">
        <v>43556</v>
      </c>
      <c r="C922" s="36" t="s">
        <v>195</v>
      </c>
      <c r="D922" s="36"/>
      <c r="E922" s="38">
        <v>125198487.89297776</v>
      </c>
      <c r="F922" s="40">
        <f>VLOOKUP(A922,'DATOS GENERALES'!A:B,2,0)</f>
        <v>1.82</v>
      </c>
      <c r="G922" s="36">
        <f t="shared" si="70"/>
        <v>1.811628</v>
      </c>
      <c r="H922" s="38">
        <f t="shared" si="71"/>
        <v>69108276.032926053</v>
      </c>
      <c r="I922" s="38">
        <f t="shared" si="72"/>
        <v>56090211.860051706</v>
      </c>
      <c r="J922" s="38">
        <v>11111101.384719215</v>
      </c>
      <c r="K922" s="38">
        <f t="shared" si="73"/>
        <v>44979110.475332491</v>
      </c>
      <c r="L922" s="41">
        <f>VLOOKUP(INDICADORES!$B$21,'DATOS GENERALES'!$K:$M,3,0)*E922</f>
        <v>852104.20022175775</v>
      </c>
      <c r="M922" s="38">
        <f t="shared" si="74"/>
        <v>44127006.275110736</v>
      </c>
      <c r="N922" s="36"/>
      <c r="O922" s="36"/>
      <c r="P922" s="36"/>
    </row>
    <row r="923" spans="1:16" x14ac:dyDescent="0.25">
      <c r="A923" s="36">
        <v>1723</v>
      </c>
      <c r="B923" s="37">
        <v>43586</v>
      </c>
      <c r="C923" s="36" t="s">
        <v>195</v>
      </c>
      <c r="D923" s="36"/>
      <c r="E923" s="38">
        <v>125198487.89297776</v>
      </c>
      <c r="F923" s="40">
        <f>VLOOKUP(A923,'DATOS GENERALES'!A:B,2,0)</f>
        <v>1.82</v>
      </c>
      <c r="G923" s="36">
        <f t="shared" si="70"/>
        <v>1.811628</v>
      </c>
      <c r="H923" s="38">
        <f t="shared" si="71"/>
        <v>69108276.032926053</v>
      </c>
      <c r="I923" s="38">
        <f t="shared" si="72"/>
        <v>56090211.860051706</v>
      </c>
      <c r="J923" s="38">
        <v>9165881.5936768819</v>
      </c>
      <c r="K923" s="38">
        <f t="shared" si="73"/>
        <v>46924330.266374826</v>
      </c>
      <c r="L923" s="41">
        <f>VLOOKUP(INDICADORES!$B$21,'DATOS GENERALES'!$K:$M,3,0)*E923</f>
        <v>852104.20022175775</v>
      </c>
      <c r="M923" s="38">
        <f t="shared" si="74"/>
        <v>46072226.066153072</v>
      </c>
      <c r="N923" s="36"/>
      <c r="O923" s="36"/>
      <c r="P923" s="36"/>
    </row>
    <row r="924" spans="1:16" x14ac:dyDescent="0.25">
      <c r="A924" s="36">
        <v>1723</v>
      </c>
      <c r="B924" s="37">
        <v>43617</v>
      </c>
      <c r="C924" s="36" t="s">
        <v>195</v>
      </c>
      <c r="D924" s="36"/>
      <c r="E924" s="38">
        <v>125198487.89297776</v>
      </c>
      <c r="F924" s="40">
        <f>VLOOKUP(A924,'DATOS GENERALES'!A:B,2,0)</f>
        <v>1.82</v>
      </c>
      <c r="G924" s="36">
        <f t="shared" si="70"/>
        <v>1.811628</v>
      </c>
      <c r="H924" s="38">
        <f t="shared" si="71"/>
        <v>69108276.032926053</v>
      </c>
      <c r="I924" s="38">
        <f t="shared" si="72"/>
        <v>56090211.860051706</v>
      </c>
      <c r="J924" s="38">
        <v>12325964.236400958</v>
      </c>
      <c r="K924" s="38">
        <f t="shared" si="73"/>
        <v>43764247.623650745</v>
      </c>
      <c r="L924" s="41">
        <f>VLOOKUP(INDICADORES!$B$21,'DATOS GENERALES'!$K:$M,3,0)*E924</f>
        <v>852104.20022175775</v>
      </c>
      <c r="M924" s="38">
        <f t="shared" si="74"/>
        <v>42912143.42342899</v>
      </c>
      <c r="N924" s="36"/>
      <c r="O924" s="36"/>
      <c r="P924" s="36"/>
    </row>
    <row r="925" spans="1:16" x14ac:dyDescent="0.25">
      <c r="A925" s="36">
        <v>1577</v>
      </c>
      <c r="B925" s="37">
        <v>43466</v>
      </c>
      <c r="C925" s="36" t="s">
        <v>195</v>
      </c>
      <c r="D925" s="36"/>
      <c r="E925" s="38">
        <v>121885113.19781627</v>
      </c>
      <c r="F925" s="40">
        <f>VLOOKUP(A925,'DATOS GENERALES'!A:B,2,0)</f>
        <v>1.41</v>
      </c>
      <c r="G925" s="36">
        <f t="shared" si="70"/>
        <v>1.4035139999999999</v>
      </c>
      <c r="H925" s="38">
        <f t="shared" si="71"/>
        <v>86842819.663940847</v>
      </c>
      <c r="I925" s="38">
        <f t="shared" si="72"/>
        <v>35042293.533875421</v>
      </c>
      <c r="J925" s="38">
        <v>19054907.74573138</v>
      </c>
      <c r="K925" s="38">
        <f t="shared" si="73"/>
        <v>15987385.788144041</v>
      </c>
      <c r="L925" s="41">
        <f>VLOOKUP(INDICADORES!$B$21,'DATOS GENERALES'!$K:$M,3,0)*E925</f>
        <v>829553.28493379487</v>
      </c>
      <c r="M925" s="38">
        <f t="shared" si="74"/>
        <v>15157832.503210247</v>
      </c>
      <c r="N925" s="36"/>
      <c r="O925" s="36"/>
      <c r="P925" s="36"/>
    </row>
    <row r="926" spans="1:16" x14ac:dyDescent="0.25">
      <c r="A926" s="36">
        <v>1577</v>
      </c>
      <c r="B926" s="37">
        <v>43497</v>
      </c>
      <c r="C926" s="36" t="s">
        <v>195</v>
      </c>
      <c r="D926" s="36"/>
      <c r="E926" s="38">
        <v>106137074.99812877</v>
      </c>
      <c r="F926" s="40">
        <f>VLOOKUP(A926,'DATOS GENERALES'!A:B,2,0)</f>
        <v>1.41</v>
      </c>
      <c r="G926" s="36">
        <f t="shared" si="70"/>
        <v>1.4035139999999999</v>
      </c>
      <c r="H926" s="38">
        <f t="shared" si="71"/>
        <v>75622384.242785454</v>
      </c>
      <c r="I926" s="38">
        <f t="shared" si="72"/>
        <v>30514690.755343318</v>
      </c>
      <c r="J926" s="38">
        <v>16346371.7959435</v>
      </c>
      <c r="K926" s="38">
        <f t="shared" si="73"/>
        <v>14168318.959399818</v>
      </c>
      <c r="L926" s="41">
        <f>VLOOKUP(INDICADORES!$B$21,'DATOS GENERALES'!$K:$M,3,0)*E926</f>
        <v>722371.72291143867</v>
      </c>
      <c r="M926" s="38">
        <f t="shared" si="74"/>
        <v>13445947.23648838</v>
      </c>
      <c r="N926" s="36"/>
      <c r="O926" s="36"/>
      <c r="P926" s="36"/>
    </row>
    <row r="927" spans="1:16" x14ac:dyDescent="0.25">
      <c r="A927" s="36">
        <v>1577</v>
      </c>
      <c r="B927" s="37">
        <v>43525</v>
      </c>
      <c r="C927" s="36" t="s">
        <v>195</v>
      </c>
      <c r="D927" s="36"/>
      <c r="E927" s="38">
        <v>106137074.99812877</v>
      </c>
      <c r="F927" s="40">
        <f>VLOOKUP(A927,'DATOS GENERALES'!A:B,2,0)</f>
        <v>1.41</v>
      </c>
      <c r="G927" s="36">
        <f t="shared" si="70"/>
        <v>1.4035139999999999</v>
      </c>
      <c r="H927" s="38">
        <f t="shared" si="71"/>
        <v>75622384.242785454</v>
      </c>
      <c r="I927" s="38">
        <f t="shared" si="72"/>
        <v>30514690.755343318</v>
      </c>
      <c r="J927" s="38">
        <v>11826397.252475962</v>
      </c>
      <c r="K927" s="38">
        <f t="shared" si="73"/>
        <v>18688293.502867356</v>
      </c>
      <c r="L927" s="41">
        <f>VLOOKUP(INDICADORES!$B$21,'DATOS GENERALES'!$K:$M,3,0)*E927</f>
        <v>722371.72291143867</v>
      </c>
      <c r="M927" s="38">
        <f t="shared" si="74"/>
        <v>17965921.779955916</v>
      </c>
      <c r="N927" s="36"/>
      <c r="O927" s="36"/>
      <c r="P927" s="36"/>
    </row>
    <row r="928" spans="1:16" x14ac:dyDescent="0.25">
      <c r="A928" s="36">
        <v>1577</v>
      </c>
      <c r="B928" s="37">
        <v>43556</v>
      </c>
      <c r="C928" s="36" t="s">
        <v>195</v>
      </c>
      <c r="D928" s="36"/>
      <c r="E928" s="38">
        <v>99367677.590628773</v>
      </c>
      <c r="F928" s="40">
        <f>VLOOKUP(A928,'DATOS GENERALES'!A:B,2,0)</f>
        <v>1.41</v>
      </c>
      <c r="G928" s="36">
        <f t="shared" si="70"/>
        <v>1.4035139999999999</v>
      </c>
      <c r="H928" s="38">
        <f t="shared" si="71"/>
        <v>70799206.556278586</v>
      </c>
      <c r="I928" s="38">
        <f t="shared" si="72"/>
        <v>28568471.034350187</v>
      </c>
      <c r="J928" s="38">
        <v>11382966.081076784</v>
      </c>
      <c r="K928" s="38">
        <f t="shared" si="73"/>
        <v>17185504.953273401</v>
      </c>
      <c r="L928" s="41">
        <f>VLOOKUP(INDICADORES!$B$21,'DATOS GENERALES'!$K:$M,3,0)*E928</f>
        <v>676299.02618021437</v>
      </c>
      <c r="M928" s="38">
        <f t="shared" si="74"/>
        <v>16509205.927093185</v>
      </c>
      <c r="N928" s="36"/>
      <c r="O928" s="36"/>
      <c r="P928" s="36"/>
    </row>
    <row r="929" spans="1:16" x14ac:dyDescent="0.25">
      <c r="A929" s="36">
        <v>1577</v>
      </c>
      <c r="B929" s="37">
        <v>43586</v>
      </c>
      <c r="C929" s="36" t="s">
        <v>195</v>
      </c>
      <c r="D929" s="36"/>
      <c r="E929" s="38">
        <v>99367677.590628773</v>
      </c>
      <c r="F929" s="40">
        <f>VLOOKUP(A929,'DATOS GENERALES'!A:B,2,0)</f>
        <v>1.41</v>
      </c>
      <c r="G929" s="36">
        <f t="shared" si="70"/>
        <v>1.4035139999999999</v>
      </c>
      <c r="H929" s="38">
        <f t="shared" si="71"/>
        <v>70799206.556278586</v>
      </c>
      <c r="I929" s="38">
        <f t="shared" si="72"/>
        <v>28568471.034350187</v>
      </c>
      <c r="J929" s="38">
        <v>9390150.9554650281</v>
      </c>
      <c r="K929" s="38">
        <f t="shared" si="73"/>
        <v>19178320.07888516</v>
      </c>
      <c r="L929" s="41">
        <f>VLOOKUP(INDICADORES!$B$21,'DATOS GENERALES'!$K:$M,3,0)*E929</f>
        <v>676299.02618021437</v>
      </c>
      <c r="M929" s="38">
        <f t="shared" si="74"/>
        <v>18502021.052704945</v>
      </c>
      <c r="N929" s="36"/>
      <c r="O929" s="36"/>
      <c r="P929" s="36"/>
    </row>
    <row r="930" spans="1:16" x14ac:dyDescent="0.25">
      <c r="A930" s="36">
        <v>1577</v>
      </c>
      <c r="B930" s="37">
        <v>43617</v>
      </c>
      <c r="C930" s="36" t="s">
        <v>195</v>
      </c>
      <c r="D930" s="36"/>
      <c r="E930" s="38">
        <v>38237656.60828501</v>
      </c>
      <c r="F930" s="40">
        <f>VLOOKUP(A930,'DATOS GENERALES'!A:B,2,0)</f>
        <v>1.41</v>
      </c>
      <c r="G930" s="36">
        <f t="shared" si="70"/>
        <v>1.4035139999999999</v>
      </c>
      <c r="H930" s="38">
        <f t="shared" si="71"/>
        <v>27244228.848650608</v>
      </c>
      <c r="I930" s="38">
        <f t="shared" si="72"/>
        <v>10993427.759634402</v>
      </c>
      <c r="J930" s="38">
        <v>4859206.5916504143</v>
      </c>
      <c r="K930" s="38">
        <f t="shared" si="73"/>
        <v>6134221.1679839874</v>
      </c>
      <c r="L930" s="41">
        <f>VLOOKUP(INDICADORES!$B$21,'DATOS GENERALES'!$K:$M,3,0)*E930</f>
        <v>260246.49619098494</v>
      </c>
      <c r="M930" s="38">
        <f t="shared" si="74"/>
        <v>5873974.6717930026</v>
      </c>
      <c r="N930" s="36"/>
      <c r="O930" s="36"/>
      <c r="P930" s="36"/>
    </row>
    <row r="931" spans="1:16" x14ac:dyDescent="0.25">
      <c r="A931" s="36">
        <v>1577</v>
      </c>
      <c r="B931" s="37">
        <v>43647</v>
      </c>
      <c r="C931" s="36" t="s">
        <v>195</v>
      </c>
      <c r="D931" s="36"/>
      <c r="E931" s="38">
        <v>38237656.60828501</v>
      </c>
      <c r="F931" s="40">
        <f>VLOOKUP(A931,'DATOS GENERALES'!A:B,2,0)</f>
        <v>1.41</v>
      </c>
      <c r="G931" s="36">
        <f t="shared" si="70"/>
        <v>1.4035139999999999</v>
      </c>
      <c r="H931" s="38">
        <f t="shared" si="71"/>
        <v>27244228.848650608</v>
      </c>
      <c r="I931" s="38">
        <f t="shared" si="72"/>
        <v>10993427.759634402</v>
      </c>
      <c r="J931" s="38">
        <v>7246510.6124462783</v>
      </c>
      <c r="K931" s="38">
        <f t="shared" si="73"/>
        <v>3746917.1471881233</v>
      </c>
      <c r="L931" s="41">
        <f>VLOOKUP(INDICADORES!$B$21,'DATOS GENERALES'!$K:$M,3,0)*E931</f>
        <v>260246.49619098494</v>
      </c>
      <c r="M931" s="38">
        <f t="shared" si="74"/>
        <v>3486670.6509971386</v>
      </c>
      <c r="N931" s="36"/>
      <c r="O931" s="36"/>
      <c r="P931" s="36"/>
    </row>
    <row r="932" spans="1:16" x14ac:dyDescent="0.25">
      <c r="A932" s="36">
        <v>1622</v>
      </c>
      <c r="B932" s="37">
        <v>43466</v>
      </c>
      <c r="C932" s="36" t="s">
        <v>195</v>
      </c>
      <c r="D932" s="36"/>
      <c r="E932" s="38">
        <v>180800040.98000002</v>
      </c>
      <c r="F932" s="40">
        <f>VLOOKUP(A932,'DATOS GENERALES'!A:B,2,0)</f>
        <v>0.95</v>
      </c>
      <c r="G932" s="36">
        <f t="shared" si="70"/>
        <v>0.94562999999999986</v>
      </c>
      <c r="H932" s="38">
        <f t="shared" si="71"/>
        <v>191195331.13374159</v>
      </c>
      <c r="I932" s="38">
        <f t="shared" si="72"/>
        <v>-10395290.153741568</v>
      </c>
      <c r="J932" s="38">
        <v>41951763.084919199</v>
      </c>
      <c r="K932" s="38">
        <f t="shared" si="73"/>
        <v>-52347053.238660768</v>
      </c>
      <c r="L932" s="41">
        <f>VLOOKUP(INDICADORES!$B$21,'DATOS GENERALES'!$K:$M,3,0)*E932</f>
        <v>1230529.832365212</v>
      </c>
      <c r="M932" s="38">
        <f t="shared" si="74"/>
        <v>-53577583.071025982</v>
      </c>
      <c r="N932" s="36"/>
      <c r="O932" s="36"/>
      <c r="P932" s="36"/>
    </row>
    <row r="933" spans="1:16" x14ac:dyDescent="0.25">
      <c r="A933" s="36">
        <v>1622</v>
      </c>
      <c r="B933" s="37">
        <v>43497</v>
      </c>
      <c r="C933" s="36" t="s">
        <v>195</v>
      </c>
      <c r="D933" s="36"/>
      <c r="E933" s="38">
        <v>159566345.48000002</v>
      </c>
      <c r="F933" s="40">
        <f>VLOOKUP(A933,'DATOS GENERALES'!A:B,2,0)</f>
        <v>0.95</v>
      </c>
      <c r="G933" s="36">
        <f t="shared" si="70"/>
        <v>0.94562999999999986</v>
      </c>
      <c r="H933" s="38">
        <f t="shared" si="71"/>
        <v>168740781.78568789</v>
      </c>
      <c r="I933" s="38">
        <f t="shared" si="72"/>
        <v>-9174436.3056878746</v>
      </c>
      <c r="J933" s="38">
        <v>36474644.165562302</v>
      </c>
      <c r="K933" s="38">
        <f t="shared" si="73"/>
        <v>-45649080.471250176</v>
      </c>
      <c r="L933" s="41">
        <f>VLOOKUP(INDICADORES!$B$21,'DATOS GENERALES'!$K:$M,3,0)*E933</f>
        <v>1086012.7425322551</v>
      </c>
      <c r="M933" s="38">
        <f t="shared" si="74"/>
        <v>-46735093.21378243</v>
      </c>
      <c r="N933" s="36"/>
      <c r="O933" s="36"/>
      <c r="P933" s="36"/>
    </row>
    <row r="934" spans="1:16" x14ac:dyDescent="0.25">
      <c r="A934" s="36">
        <v>1622</v>
      </c>
      <c r="B934" s="37">
        <v>43525</v>
      </c>
      <c r="C934" s="36" t="s">
        <v>195</v>
      </c>
      <c r="D934" s="36"/>
      <c r="E934" s="38">
        <v>147730918.13</v>
      </c>
      <c r="F934" s="40">
        <f>VLOOKUP(A934,'DATOS GENERALES'!A:B,2,0)</f>
        <v>0.95</v>
      </c>
      <c r="G934" s="36">
        <f t="shared" si="70"/>
        <v>0.94562999999999986</v>
      </c>
      <c r="H934" s="38">
        <f t="shared" si="71"/>
        <v>156224863.98485667</v>
      </c>
      <c r="I934" s="38">
        <f t="shared" si="72"/>
        <v>-8493945.8548566699</v>
      </c>
      <c r="J934" s="38">
        <v>24431619.297631484</v>
      </c>
      <c r="K934" s="38">
        <f t="shared" si="73"/>
        <v>-32925565.152488153</v>
      </c>
      <c r="L934" s="41">
        <f>VLOOKUP(INDICADORES!$B$21,'DATOS GENERALES'!$K:$M,3,0)*E934</f>
        <v>1005460.5128202208</v>
      </c>
      <c r="M934" s="38">
        <f t="shared" si="74"/>
        <v>-33931025.665308371</v>
      </c>
      <c r="N934" s="36"/>
      <c r="O934" s="36"/>
      <c r="P934" s="36"/>
    </row>
    <row r="935" spans="1:16" x14ac:dyDescent="0.25">
      <c r="A935" s="36">
        <v>1622</v>
      </c>
      <c r="B935" s="37">
        <v>43556</v>
      </c>
      <c r="C935" s="36" t="s">
        <v>195</v>
      </c>
      <c r="D935" s="36"/>
      <c r="E935" s="38">
        <v>207125397.61500004</v>
      </c>
      <c r="F935" s="40">
        <f>VLOOKUP(A935,'DATOS GENERALES'!A:B,2,0)</f>
        <v>0.95</v>
      </c>
      <c r="G935" s="36">
        <f t="shared" si="70"/>
        <v>0.94562999999999986</v>
      </c>
      <c r="H935" s="38">
        <f t="shared" si="71"/>
        <v>219034292.07512459</v>
      </c>
      <c r="I935" s="38">
        <f t="shared" si="72"/>
        <v>-11908894.460124552</v>
      </c>
      <c r="J935" s="38">
        <v>35215930.213877551</v>
      </c>
      <c r="K935" s="38">
        <f t="shared" si="73"/>
        <v>-47124824.674002104</v>
      </c>
      <c r="L935" s="41">
        <f>VLOOKUP(INDICADORES!$B$21,'DATOS GENERALES'!$K:$M,3,0)*E935</f>
        <v>1409700.9017490095</v>
      </c>
      <c r="M935" s="38">
        <f t="shared" si="74"/>
        <v>-48534525.575751111</v>
      </c>
      <c r="N935" s="36"/>
      <c r="O935" s="36"/>
      <c r="P935" s="36"/>
    </row>
    <row r="936" spans="1:16" x14ac:dyDescent="0.25">
      <c r="A936" s="36">
        <v>1622</v>
      </c>
      <c r="B936" s="37">
        <v>43586</v>
      </c>
      <c r="C936" s="36" t="s">
        <v>195</v>
      </c>
      <c r="D936" s="36"/>
      <c r="E936" s="38">
        <v>142765645.45500004</v>
      </c>
      <c r="F936" s="40">
        <f>VLOOKUP(A936,'DATOS GENERALES'!A:B,2,0)</f>
        <v>0.95</v>
      </c>
      <c r="G936" s="36">
        <f t="shared" si="70"/>
        <v>0.94562999999999986</v>
      </c>
      <c r="H936" s="38">
        <f t="shared" si="71"/>
        <v>150974107.69011143</v>
      </c>
      <c r="I936" s="38">
        <f t="shared" si="72"/>
        <v>-8208462.2351113856</v>
      </c>
      <c r="J936" s="38">
        <v>20023807.194080181</v>
      </c>
      <c r="K936" s="38">
        <f t="shared" si="73"/>
        <v>-28232269.429191567</v>
      </c>
      <c r="L936" s="41">
        <f>VLOOKUP(INDICADORES!$B$21,'DATOS GENERALES'!$K:$M,3,0)*E936</f>
        <v>971666.73645104875</v>
      </c>
      <c r="M936" s="38">
        <f t="shared" si="74"/>
        <v>-29203936.165642615</v>
      </c>
      <c r="N936" s="36"/>
      <c r="O936" s="36"/>
      <c r="P936" s="36"/>
    </row>
    <row r="937" spans="1:16" x14ac:dyDescent="0.25">
      <c r="A937" s="36">
        <v>1622</v>
      </c>
      <c r="B937" s="37">
        <v>43617</v>
      </c>
      <c r="C937" s="36" t="s">
        <v>195</v>
      </c>
      <c r="D937" s="36"/>
      <c r="E937" s="38">
        <v>142765645.45500004</v>
      </c>
      <c r="F937" s="40">
        <f>VLOOKUP(A937,'DATOS GENERALES'!A:B,2,0)</f>
        <v>0.95</v>
      </c>
      <c r="G937" s="36">
        <f t="shared" si="70"/>
        <v>0.94562999999999986</v>
      </c>
      <c r="H937" s="38">
        <f t="shared" si="71"/>
        <v>150974107.69011143</v>
      </c>
      <c r="I937" s="38">
        <f t="shared" si="72"/>
        <v>-8208462.2351113856</v>
      </c>
      <c r="J937" s="38">
        <v>26927331.411425304</v>
      </c>
      <c r="K937" s="38">
        <f t="shared" si="73"/>
        <v>-35135793.646536693</v>
      </c>
      <c r="L937" s="41">
        <f>VLOOKUP(INDICADORES!$B$21,'DATOS GENERALES'!$K:$M,3,0)*E937</f>
        <v>971666.73645104875</v>
      </c>
      <c r="M937" s="38">
        <f t="shared" si="74"/>
        <v>-36107460.382987745</v>
      </c>
      <c r="N937" s="36"/>
      <c r="O937" s="36"/>
      <c r="P937" s="36"/>
    </row>
    <row r="938" spans="1:16" x14ac:dyDescent="0.25">
      <c r="A938" s="36">
        <v>1622</v>
      </c>
      <c r="B938" s="37">
        <v>43647</v>
      </c>
      <c r="C938" s="36" t="s">
        <v>195</v>
      </c>
      <c r="D938" s="36"/>
      <c r="E938" s="38">
        <v>138859487.68500003</v>
      </c>
      <c r="F938" s="40">
        <f>VLOOKUP(A938,'DATOS GENERALES'!A:B,2,0)</f>
        <v>0.95</v>
      </c>
      <c r="G938" s="36">
        <f t="shared" si="70"/>
        <v>0.94562999999999986</v>
      </c>
      <c r="H938" s="38">
        <f t="shared" si="71"/>
        <v>146843361.23536694</v>
      </c>
      <c r="I938" s="38">
        <f t="shared" si="72"/>
        <v>-7983873.5503669083</v>
      </c>
      <c r="J938" s="38">
        <v>39057885.67078761</v>
      </c>
      <c r="K938" s="38">
        <f t="shared" si="73"/>
        <v>-47041759.221154518</v>
      </c>
      <c r="L938" s="41">
        <f>VLOOKUP(INDICADORES!$B$21,'DATOS GENERALES'!$K:$M,3,0)*E938</f>
        <v>945081.32397073915</v>
      </c>
      <c r="M938" s="38">
        <f t="shared" si="74"/>
        <v>-47986840.545125261</v>
      </c>
      <c r="N938" s="36"/>
      <c r="O938" s="36"/>
      <c r="P938" s="36"/>
    </row>
    <row r="939" spans="1:16" x14ac:dyDescent="0.25">
      <c r="A939" s="36">
        <v>1622</v>
      </c>
      <c r="B939" s="37">
        <v>43678</v>
      </c>
      <c r="C939" s="36" t="s">
        <v>195</v>
      </c>
      <c r="D939" s="36"/>
      <c r="E939" s="38">
        <v>138859487.68500003</v>
      </c>
      <c r="F939" s="40">
        <f>VLOOKUP(A939,'DATOS GENERALES'!A:B,2,0)</f>
        <v>0.95</v>
      </c>
      <c r="G939" s="36">
        <f t="shared" si="70"/>
        <v>0.94562999999999986</v>
      </c>
      <c r="H939" s="38">
        <f t="shared" si="71"/>
        <v>146843361.23536694</v>
      </c>
      <c r="I939" s="38">
        <f t="shared" si="72"/>
        <v>-7983873.5503669083</v>
      </c>
      <c r="J939" s="38">
        <v>38434375.572527267</v>
      </c>
      <c r="K939" s="38">
        <f t="shared" si="73"/>
        <v>-46418249.122894175</v>
      </c>
      <c r="L939" s="41">
        <f>VLOOKUP(INDICADORES!$B$21,'DATOS GENERALES'!$K:$M,3,0)*E939</f>
        <v>945081.32397073915</v>
      </c>
      <c r="M939" s="38">
        <f t="shared" si="74"/>
        <v>-47363330.446864918</v>
      </c>
      <c r="N939" s="36"/>
      <c r="O939" s="36"/>
      <c r="P939" s="36"/>
    </row>
    <row r="940" spans="1:16" x14ac:dyDescent="0.25">
      <c r="A940" s="36">
        <v>1622</v>
      </c>
      <c r="B940" s="37">
        <v>43709</v>
      </c>
      <c r="C940" s="36" t="s">
        <v>195</v>
      </c>
      <c r="D940" s="36"/>
      <c r="E940" s="38">
        <v>125986492.18499999</v>
      </c>
      <c r="F940" s="40">
        <f>VLOOKUP(A940,'DATOS GENERALES'!A:B,2,0)</f>
        <v>0.95</v>
      </c>
      <c r="G940" s="36">
        <f t="shared" si="70"/>
        <v>0.94562999999999986</v>
      </c>
      <c r="H940" s="38">
        <f t="shared" si="71"/>
        <v>133230219.20307097</v>
      </c>
      <c r="I940" s="38">
        <f t="shared" si="72"/>
        <v>-7243727.0180709809</v>
      </c>
      <c r="J940" s="38">
        <v>39410613.984439336</v>
      </c>
      <c r="K940" s="38">
        <f t="shared" si="73"/>
        <v>-46654341.002510317</v>
      </c>
      <c r="L940" s="41">
        <f>VLOOKUP(INDICADORES!$B$21,'DATOS GENERALES'!$K:$M,3,0)*E940</f>
        <v>857467.37815086253</v>
      </c>
      <c r="M940" s="38">
        <f t="shared" si="74"/>
        <v>-47511808.380661182</v>
      </c>
      <c r="N940" s="36"/>
      <c r="O940" s="36"/>
      <c r="P940" s="36"/>
    </row>
    <row r="941" spans="1:16" x14ac:dyDescent="0.25">
      <c r="A941" s="36">
        <v>1622</v>
      </c>
      <c r="B941" s="37">
        <v>43739</v>
      </c>
      <c r="C941" s="36" t="s">
        <v>195</v>
      </c>
      <c r="D941" s="36"/>
      <c r="E941" s="38">
        <v>125986492.18499999</v>
      </c>
      <c r="F941" s="40">
        <f>VLOOKUP(A941,'DATOS GENERALES'!A:B,2,0)</f>
        <v>0.95</v>
      </c>
      <c r="G941" s="36">
        <f t="shared" si="70"/>
        <v>0.94562999999999986</v>
      </c>
      <c r="H941" s="38">
        <f t="shared" si="71"/>
        <v>133230219.20307097</v>
      </c>
      <c r="I941" s="38">
        <f t="shared" si="72"/>
        <v>-7243727.0180709809</v>
      </c>
      <c r="J941" s="38">
        <v>42618509.51591415</v>
      </c>
      <c r="K941" s="38">
        <f t="shared" si="73"/>
        <v>-49862236.53398513</v>
      </c>
      <c r="L941" s="41">
        <f>VLOOKUP(INDICADORES!$B$21,'DATOS GENERALES'!$K:$M,3,0)*E941</f>
        <v>857467.37815086253</v>
      </c>
      <c r="M941" s="38">
        <f t="shared" si="74"/>
        <v>-50719703.912135996</v>
      </c>
      <c r="N941" s="36"/>
      <c r="O941" s="36"/>
      <c r="P941" s="36"/>
    </row>
    <row r="942" spans="1:16" x14ac:dyDescent="0.25">
      <c r="A942" s="36">
        <v>1622</v>
      </c>
      <c r="B942" s="37">
        <v>43770</v>
      </c>
      <c r="C942" s="36" t="s">
        <v>195</v>
      </c>
      <c r="D942" s="36"/>
      <c r="E942" s="38">
        <v>18409623</v>
      </c>
      <c r="F942" s="40">
        <f>VLOOKUP(A942,'DATOS GENERALES'!A:B,2,0)</f>
        <v>0.95</v>
      </c>
      <c r="G942" s="36">
        <f t="shared" si="70"/>
        <v>0.94562999999999986</v>
      </c>
      <c r="H942" s="38">
        <f t="shared" si="71"/>
        <v>19468103.803813335</v>
      </c>
      <c r="I942" s="38">
        <f t="shared" si="72"/>
        <v>-1058480.8038133346</v>
      </c>
      <c r="J942" s="38">
        <v>8328926.7817912828</v>
      </c>
      <c r="K942" s="38">
        <f t="shared" si="73"/>
        <v>-9387407.5856046174</v>
      </c>
      <c r="L942" s="41">
        <f>VLOOKUP(INDICADORES!$B$21,'DATOS GENERALES'!$K:$M,3,0)*E942</f>
        <v>125296.37814961931</v>
      </c>
      <c r="M942" s="38">
        <f t="shared" si="74"/>
        <v>-9512703.9637542367</v>
      </c>
      <c r="N942" s="36"/>
      <c r="O942" s="36"/>
      <c r="P942" s="36"/>
    </row>
    <row r="943" spans="1:16" x14ac:dyDescent="0.25">
      <c r="A943" s="36">
        <v>1622</v>
      </c>
      <c r="B943" s="37">
        <v>43800</v>
      </c>
      <c r="C943" s="36" t="s">
        <v>195</v>
      </c>
      <c r="D943" s="36"/>
      <c r="E943" s="38">
        <v>18409623</v>
      </c>
      <c r="F943" s="40">
        <f>VLOOKUP(A943,'DATOS GENERALES'!A:B,2,0)</f>
        <v>0.95</v>
      </c>
      <c r="G943" s="36">
        <f t="shared" si="70"/>
        <v>0.94562999999999986</v>
      </c>
      <c r="H943" s="38">
        <f t="shared" si="71"/>
        <v>19468103.803813335</v>
      </c>
      <c r="I943" s="38">
        <f t="shared" si="72"/>
        <v>-1058480.8038133346</v>
      </c>
      <c r="J943" s="38">
        <v>7012851.3561734138</v>
      </c>
      <c r="K943" s="38">
        <f t="shared" si="73"/>
        <v>-8071332.1599867484</v>
      </c>
      <c r="L943" s="41">
        <f>VLOOKUP(INDICADORES!$B$21,'DATOS GENERALES'!$K:$M,3,0)*E943</f>
        <v>125296.37814961931</v>
      </c>
      <c r="M943" s="38">
        <f t="shared" si="74"/>
        <v>-8196628.5381363677</v>
      </c>
      <c r="N943" s="36"/>
      <c r="O943" s="36"/>
      <c r="P943" s="36"/>
    </row>
    <row r="944" spans="1:16" x14ac:dyDescent="0.25">
      <c r="A944" s="36">
        <v>1622</v>
      </c>
      <c r="B944" s="37">
        <v>43831</v>
      </c>
      <c r="C944" s="36" t="s">
        <v>195</v>
      </c>
      <c r="D944" s="36"/>
      <c r="E944" s="38">
        <v>18409623</v>
      </c>
      <c r="F944" s="40">
        <f>VLOOKUP(A944,'DATOS GENERALES'!A:B,2,0)</f>
        <v>0.95</v>
      </c>
      <c r="G944" s="36">
        <f t="shared" si="70"/>
        <v>0.94562999999999986</v>
      </c>
      <c r="H944" s="38">
        <f t="shared" si="71"/>
        <v>19468103.803813335</v>
      </c>
      <c r="I944" s="38">
        <f t="shared" si="72"/>
        <v>-1058480.8038133346</v>
      </c>
      <c r="J944" s="38" t="s">
        <v>213</v>
      </c>
      <c r="K944" s="38" t="str">
        <f t="shared" si="73"/>
        <v/>
      </c>
      <c r="L944" s="41">
        <f>VLOOKUP(INDICADORES!$B$21,'DATOS GENERALES'!$K:$M,3,0)*E944</f>
        <v>125296.37814961931</v>
      </c>
      <c r="M944" s="38" t="str">
        <f t="shared" si="74"/>
        <v/>
      </c>
      <c r="N944" s="36"/>
      <c r="O944" s="36"/>
      <c r="P944" s="36"/>
    </row>
    <row r="945" spans="1:16" x14ac:dyDescent="0.25">
      <c r="A945" s="36">
        <v>1622</v>
      </c>
      <c r="B945" s="37">
        <v>43862</v>
      </c>
      <c r="C945" s="36" t="s">
        <v>195</v>
      </c>
      <c r="D945" s="36"/>
      <c r="E945" s="38">
        <v>10956546</v>
      </c>
      <c r="F945" s="40">
        <f>VLOOKUP(A945,'DATOS GENERALES'!A:B,2,0)</f>
        <v>0.95</v>
      </c>
      <c r="G945" s="36">
        <f t="shared" si="70"/>
        <v>0.94562999999999986</v>
      </c>
      <c r="H945" s="38">
        <f t="shared" si="71"/>
        <v>11586504.235271726</v>
      </c>
      <c r="I945" s="38">
        <f t="shared" si="72"/>
        <v>-629958.2352717258</v>
      </c>
      <c r="J945" s="38" t="s">
        <v>213</v>
      </c>
      <c r="K945" s="38" t="str">
        <f t="shared" si="73"/>
        <v/>
      </c>
      <c r="L945" s="41">
        <f>VLOOKUP(INDICADORES!$B$21,'DATOS GENERALES'!$K:$M,3,0)*E945</f>
        <v>74570.540137063042</v>
      </c>
      <c r="M945" s="38" t="str">
        <f t="shared" si="74"/>
        <v/>
      </c>
      <c r="N945" s="36"/>
      <c r="O945" s="36"/>
      <c r="P945" s="36"/>
    </row>
    <row r="946" spans="1:16" x14ac:dyDescent="0.25">
      <c r="A946" s="36">
        <v>1622</v>
      </c>
      <c r="B946" s="37">
        <v>43891</v>
      </c>
      <c r="C946" s="36" t="s">
        <v>195</v>
      </c>
      <c r="D946" s="36"/>
      <c r="E946" s="38">
        <v>10956546</v>
      </c>
      <c r="F946" s="40">
        <f>VLOOKUP(A946,'DATOS GENERALES'!A:B,2,0)</f>
        <v>0.95</v>
      </c>
      <c r="G946" s="36">
        <f t="shared" si="70"/>
        <v>0.94562999999999986</v>
      </c>
      <c r="H946" s="38">
        <f t="shared" si="71"/>
        <v>11586504.235271726</v>
      </c>
      <c r="I946" s="38">
        <f t="shared" si="72"/>
        <v>-629958.2352717258</v>
      </c>
      <c r="J946" s="38" t="s">
        <v>213</v>
      </c>
      <c r="K946" s="38" t="str">
        <f t="shared" si="73"/>
        <v/>
      </c>
      <c r="L946" s="41">
        <f>VLOOKUP(INDICADORES!$B$21,'DATOS GENERALES'!$K:$M,3,0)*E946</f>
        <v>74570.540137063042</v>
      </c>
      <c r="M946" s="38" t="str">
        <f t="shared" si="74"/>
        <v/>
      </c>
      <c r="N946" s="36"/>
      <c r="O946" s="36"/>
      <c r="P946" s="36"/>
    </row>
    <row r="947" spans="1:16" x14ac:dyDescent="0.25">
      <c r="A947" s="36">
        <v>1622</v>
      </c>
      <c r="B947" s="37">
        <v>43922</v>
      </c>
      <c r="C947" s="36" t="s">
        <v>195</v>
      </c>
      <c r="D947" s="36"/>
      <c r="E947" s="38">
        <v>10956546</v>
      </c>
      <c r="F947" s="40">
        <f>VLOOKUP(A947,'DATOS GENERALES'!A:B,2,0)</f>
        <v>0.95</v>
      </c>
      <c r="G947" s="36">
        <f t="shared" si="70"/>
        <v>0.94562999999999986</v>
      </c>
      <c r="H947" s="38">
        <f t="shared" si="71"/>
        <v>11586504.235271726</v>
      </c>
      <c r="I947" s="38">
        <f t="shared" si="72"/>
        <v>-629958.2352717258</v>
      </c>
      <c r="J947" s="38" t="s">
        <v>213</v>
      </c>
      <c r="K947" s="38" t="str">
        <f t="shared" si="73"/>
        <v/>
      </c>
      <c r="L947" s="41">
        <f>VLOOKUP(INDICADORES!$B$21,'DATOS GENERALES'!$K:$M,3,0)*E947</f>
        <v>74570.540137063042</v>
      </c>
      <c r="M947" s="38" t="str">
        <f t="shared" si="74"/>
        <v/>
      </c>
      <c r="N947" s="36"/>
      <c r="O947" s="36"/>
      <c r="P947" s="36"/>
    </row>
    <row r="948" spans="1:16" x14ac:dyDescent="0.25">
      <c r="A948" s="36">
        <v>1622</v>
      </c>
      <c r="B948" s="37">
        <v>43952</v>
      </c>
      <c r="C948" s="36" t="s">
        <v>195</v>
      </c>
      <c r="D948" s="36"/>
      <c r="E948" s="38">
        <v>10956546</v>
      </c>
      <c r="F948" s="40">
        <f>VLOOKUP(A948,'DATOS GENERALES'!A:B,2,0)</f>
        <v>0.95</v>
      </c>
      <c r="G948" s="36">
        <f t="shared" si="70"/>
        <v>0.94562999999999986</v>
      </c>
      <c r="H948" s="38">
        <f t="shared" si="71"/>
        <v>11586504.235271726</v>
      </c>
      <c r="I948" s="38">
        <f t="shared" si="72"/>
        <v>-629958.2352717258</v>
      </c>
      <c r="J948" s="38" t="s">
        <v>213</v>
      </c>
      <c r="K948" s="38" t="str">
        <f t="shared" si="73"/>
        <v/>
      </c>
      <c r="L948" s="41">
        <f>VLOOKUP(INDICADORES!$B$21,'DATOS GENERALES'!$K:$M,3,0)*E948</f>
        <v>74570.540137063042</v>
      </c>
      <c r="M948" s="38" t="str">
        <f t="shared" si="74"/>
        <v/>
      </c>
      <c r="N948" s="36"/>
      <c r="O948" s="36"/>
      <c r="P948" s="36"/>
    </row>
    <row r="949" spans="1:16" x14ac:dyDescent="0.25">
      <c r="A949" s="36">
        <v>1622</v>
      </c>
      <c r="B949" s="37">
        <v>43983</v>
      </c>
      <c r="C949" s="36" t="s">
        <v>195</v>
      </c>
      <c r="D949" s="36"/>
      <c r="E949" s="38">
        <v>10956546</v>
      </c>
      <c r="F949" s="40">
        <f>VLOOKUP(A949,'DATOS GENERALES'!A:B,2,0)</f>
        <v>0.95</v>
      </c>
      <c r="G949" s="36">
        <f t="shared" si="70"/>
        <v>0.94562999999999986</v>
      </c>
      <c r="H949" s="38">
        <f t="shared" si="71"/>
        <v>11586504.235271726</v>
      </c>
      <c r="I949" s="38">
        <f t="shared" si="72"/>
        <v>-629958.2352717258</v>
      </c>
      <c r="J949" s="38" t="s">
        <v>213</v>
      </c>
      <c r="K949" s="38" t="str">
        <f t="shared" si="73"/>
        <v/>
      </c>
      <c r="L949" s="41">
        <f>VLOOKUP(INDICADORES!$B$21,'DATOS GENERALES'!$K:$M,3,0)*E949</f>
        <v>74570.540137063042</v>
      </c>
      <c r="M949" s="38" t="str">
        <f t="shared" si="74"/>
        <v/>
      </c>
      <c r="N949" s="36"/>
      <c r="O949" s="36"/>
      <c r="P949" s="36"/>
    </row>
    <row r="950" spans="1:16" x14ac:dyDescent="0.25">
      <c r="A950" s="36">
        <v>1622</v>
      </c>
      <c r="B950" s="37">
        <v>44013</v>
      </c>
      <c r="C950" s="36" t="s">
        <v>195</v>
      </c>
      <c r="D950" s="36"/>
      <c r="E950" s="38">
        <v>10956546</v>
      </c>
      <c r="F950" s="40">
        <f>VLOOKUP(A950,'DATOS GENERALES'!A:B,2,0)</f>
        <v>0.95</v>
      </c>
      <c r="G950" s="36">
        <f t="shared" si="70"/>
        <v>0.94562999999999986</v>
      </c>
      <c r="H950" s="38">
        <f t="shared" si="71"/>
        <v>11586504.235271726</v>
      </c>
      <c r="I950" s="38">
        <f t="shared" si="72"/>
        <v>-629958.2352717258</v>
      </c>
      <c r="J950" s="38" t="s">
        <v>213</v>
      </c>
      <c r="K950" s="38" t="str">
        <f t="shared" si="73"/>
        <v/>
      </c>
      <c r="L950" s="41">
        <f>VLOOKUP(INDICADORES!$B$21,'DATOS GENERALES'!$K:$M,3,0)*E950</f>
        <v>74570.540137063042</v>
      </c>
      <c r="M950" s="38" t="str">
        <f t="shared" si="74"/>
        <v/>
      </c>
      <c r="N950" s="36"/>
      <c r="O950" s="36"/>
      <c r="P950" s="36"/>
    </row>
    <row r="951" spans="1:16" x14ac:dyDescent="0.25">
      <c r="A951" s="36">
        <v>1622</v>
      </c>
      <c r="B951" s="37">
        <v>44044</v>
      </c>
      <c r="C951" s="36" t="s">
        <v>195</v>
      </c>
      <c r="D951" s="36"/>
      <c r="E951" s="38">
        <v>10956546</v>
      </c>
      <c r="F951" s="40">
        <f>VLOOKUP(A951,'DATOS GENERALES'!A:B,2,0)</f>
        <v>0.95</v>
      </c>
      <c r="G951" s="36">
        <f t="shared" si="70"/>
        <v>0.94562999999999986</v>
      </c>
      <c r="H951" s="38">
        <f t="shared" si="71"/>
        <v>11586504.235271726</v>
      </c>
      <c r="I951" s="38">
        <f t="shared" si="72"/>
        <v>-629958.2352717258</v>
      </c>
      <c r="J951" s="38" t="s">
        <v>213</v>
      </c>
      <c r="K951" s="38" t="str">
        <f t="shared" si="73"/>
        <v/>
      </c>
      <c r="L951" s="41">
        <f>VLOOKUP(INDICADORES!$B$21,'DATOS GENERALES'!$K:$M,3,0)*E951</f>
        <v>74570.540137063042</v>
      </c>
      <c r="M951" s="38" t="str">
        <f t="shared" si="74"/>
        <v/>
      </c>
      <c r="N951" s="36"/>
      <c r="O951" s="36"/>
      <c r="P951" s="36"/>
    </row>
    <row r="952" spans="1:16" x14ac:dyDescent="0.25">
      <c r="A952" s="36">
        <v>1622</v>
      </c>
      <c r="B952" s="37">
        <v>44075</v>
      </c>
      <c r="C952" s="36" t="s">
        <v>195</v>
      </c>
      <c r="D952" s="36"/>
      <c r="E952" s="38">
        <v>10956546</v>
      </c>
      <c r="F952" s="40">
        <f>VLOOKUP(A952,'DATOS GENERALES'!A:B,2,0)</f>
        <v>0.95</v>
      </c>
      <c r="G952" s="36">
        <f t="shared" si="70"/>
        <v>0.94562999999999986</v>
      </c>
      <c r="H952" s="38">
        <f t="shared" si="71"/>
        <v>11586504.235271726</v>
      </c>
      <c r="I952" s="38">
        <f t="shared" si="72"/>
        <v>-629958.2352717258</v>
      </c>
      <c r="J952" s="38" t="s">
        <v>213</v>
      </c>
      <c r="K952" s="38" t="str">
        <f t="shared" si="73"/>
        <v/>
      </c>
      <c r="L952" s="41">
        <f>VLOOKUP(INDICADORES!$B$21,'DATOS GENERALES'!$K:$M,3,0)*E952</f>
        <v>74570.540137063042</v>
      </c>
      <c r="M952" s="38" t="str">
        <f t="shared" si="74"/>
        <v/>
      </c>
      <c r="N952" s="36"/>
      <c r="O952" s="36"/>
      <c r="P952" s="36"/>
    </row>
    <row r="953" spans="1:16" x14ac:dyDescent="0.25">
      <c r="A953" s="36">
        <v>1622</v>
      </c>
      <c r="B953" s="37">
        <v>44105</v>
      </c>
      <c r="C953" s="36" t="s">
        <v>195</v>
      </c>
      <c r="D953" s="36"/>
      <c r="E953" s="38">
        <v>10956546</v>
      </c>
      <c r="F953" s="40">
        <f>VLOOKUP(A953,'DATOS GENERALES'!A:B,2,0)</f>
        <v>0.95</v>
      </c>
      <c r="G953" s="36">
        <f t="shared" si="70"/>
        <v>0.94562999999999986</v>
      </c>
      <c r="H953" s="38">
        <f t="shared" si="71"/>
        <v>11586504.235271726</v>
      </c>
      <c r="I953" s="38">
        <f t="shared" si="72"/>
        <v>-629958.2352717258</v>
      </c>
      <c r="J953" s="38" t="s">
        <v>213</v>
      </c>
      <c r="K953" s="38" t="str">
        <f t="shared" si="73"/>
        <v/>
      </c>
      <c r="L953" s="41">
        <f>VLOOKUP(INDICADORES!$B$21,'DATOS GENERALES'!$K:$M,3,0)*E953</f>
        <v>74570.540137063042</v>
      </c>
      <c r="M953" s="38" t="str">
        <f t="shared" si="74"/>
        <v/>
      </c>
      <c r="N953" s="36"/>
      <c r="O953" s="36"/>
      <c r="P953" s="36"/>
    </row>
    <row r="954" spans="1:16" x14ac:dyDescent="0.25">
      <c r="A954" s="36">
        <v>1622</v>
      </c>
      <c r="B954" s="37">
        <v>44136</v>
      </c>
      <c r="C954" s="36" t="s">
        <v>195</v>
      </c>
      <c r="D954" s="36"/>
      <c r="E954" s="38">
        <v>10956546</v>
      </c>
      <c r="F954" s="40">
        <f>VLOOKUP(A954,'DATOS GENERALES'!A:B,2,0)</f>
        <v>0.95</v>
      </c>
      <c r="G954" s="36">
        <f t="shared" si="70"/>
        <v>0.94562999999999986</v>
      </c>
      <c r="H954" s="38">
        <f t="shared" si="71"/>
        <v>11586504.235271726</v>
      </c>
      <c r="I954" s="38">
        <f t="shared" si="72"/>
        <v>-629958.2352717258</v>
      </c>
      <c r="J954" s="38" t="s">
        <v>213</v>
      </c>
      <c r="K954" s="38" t="str">
        <f t="shared" si="73"/>
        <v/>
      </c>
      <c r="L954" s="41">
        <f>VLOOKUP(INDICADORES!$B$21,'DATOS GENERALES'!$K:$M,3,0)*E954</f>
        <v>74570.540137063042</v>
      </c>
      <c r="M954" s="38" t="str">
        <f t="shared" si="74"/>
        <v/>
      </c>
      <c r="N954" s="36"/>
      <c r="O954" s="36"/>
      <c r="P954" s="36"/>
    </row>
    <row r="955" spans="1:16" x14ac:dyDescent="0.25">
      <c r="A955" s="36">
        <v>1622</v>
      </c>
      <c r="B955" s="37">
        <v>44166</v>
      </c>
      <c r="C955" s="36" t="s">
        <v>195</v>
      </c>
      <c r="D955" s="36"/>
      <c r="E955" s="38">
        <v>10956546</v>
      </c>
      <c r="F955" s="40">
        <f>VLOOKUP(A955,'DATOS GENERALES'!A:B,2,0)</f>
        <v>0.95</v>
      </c>
      <c r="G955" s="36">
        <f t="shared" si="70"/>
        <v>0.94562999999999986</v>
      </c>
      <c r="H955" s="38">
        <f t="shared" si="71"/>
        <v>11586504.235271726</v>
      </c>
      <c r="I955" s="38">
        <f t="shared" si="72"/>
        <v>-629958.2352717258</v>
      </c>
      <c r="J955" s="38" t="s">
        <v>213</v>
      </c>
      <c r="K955" s="38" t="str">
        <f t="shared" si="73"/>
        <v/>
      </c>
      <c r="L955" s="41">
        <f>VLOOKUP(INDICADORES!$B$21,'DATOS GENERALES'!$K:$M,3,0)*E955</f>
        <v>74570.540137063042</v>
      </c>
      <c r="M955" s="38" t="str">
        <f t="shared" si="74"/>
        <v/>
      </c>
      <c r="N955" s="36"/>
      <c r="O955" s="36"/>
      <c r="P955" s="36"/>
    </row>
    <row r="956" spans="1:16" x14ac:dyDescent="0.25">
      <c r="A956" s="36">
        <v>1622</v>
      </c>
      <c r="B956" s="37">
        <v>44197</v>
      </c>
      <c r="C956" s="36" t="s">
        <v>195</v>
      </c>
      <c r="D956" s="36"/>
      <c r="E956" s="38">
        <v>10956546</v>
      </c>
      <c r="F956" s="40">
        <f>VLOOKUP(A956,'DATOS GENERALES'!A:B,2,0)</f>
        <v>0.95</v>
      </c>
      <c r="G956" s="36">
        <f t="shared" si="70"/>
        <v>0.94562999999999986</v>
      </c>
      <c r="H956" s="38">
        <f t="shared" si="71"/>
        <v>11586504.235271726</v>
      </c>
      <c r="I956" s="38">
        <f t="shared" si="72"/>
        <v>-629958.2352717258</v>
      </c>
      <c r="J956" s="38" t="s">
        <v>213</v>
      </c>
      <c r="K956" s="38" t="str">
        <f t="shared" si="73"/>
        <v/>
      </c>
      <c r="L956" s="41">
        <f>VLOOKUP(INDICADORES!$B$21,'DATOS GENERALES'!$K:$M,3,0)*E956</f>
        <v>74570.540137063042</v>
      </c>
      <c r="M956" s="38" t="str">
        <f t="shared" si="74"/>
        <v/>
      </c>
      <c r="N956" s="36"/>
      <c r="O956" s="36"/>
      <c r="P956" s="36"/>
    </row>
    <row r="957" spans="1:16" x14ac:dyDescent="0.25">
      <c r="A957" s="36">
        <v>1622</v>
      </c>
      <c r="B957" s="37">
        <v>44228</v>
      </c>
      <c r="C957" s="36" t="s">
        <v>195</v>
      </c>
      <c r="D957" s="36"/>
      <c r="E957" s="38">
        <v>10956546</v>
      </c>
      <c r="F957" s="40">
        <f>VLOOKUP(A957,'DATOS GENERALES'!A:B,2,0)</f>
        <v>0.95</v>
      </c>
      <c r="G957" s="36">
        <f t="shared" si="70"/>
        <v>0.94562999999999986</v>
      </c>
      <c r="H957" s="38">
        <f t="shared" si="71"/>
        <v>11586504.235271726</v>
      </c>
      <c r="I957" s="38">
        <f t="shared" si="72"/>
        <v>-629958.2352717258</v>
      </c>
      <c r="J957" s="38" t="s">
        <v>213</v>
      </c>
      <c r="K957" s="38" t="str">
        <f t="shared" si="73"/>
        <v/>
      </c>
      <c r="L957" s="41">
        <f>VLOOKUP(INDICADORES!$B$21,'DATOS GENERALES'!$K:$M,3,0)*E957</f>
        <v>74570.540137063042</v>
      </c>
      <c r="M957" s="38" t="str">
        <f t="shared" si="74"/>
        <v/>
      </c>
      <c r="N957" s="36"/>
      <c r="O957" s="36"/>
      <c r="P957" s="36"/>
    </row>
    <row r="958" spans="1:16" x14ac:dyDescent="0.25">
      <c r="A958" s="36">
        <v>1622</v>
      </c>
      <c r="B958" s="37">
        <v>44256</v>
      </c>
      <c r="C958" s="36" t="s">
        <v>195</v>
      </c>
      <c r="D958" s="36"/>
      <c r="E958" s="38">
        <v>10956546</v>
      </c>
      <c r="F958" s="40">
        <f>VLOOKUP(A958,'DATOS GENERALES'!A:B,2,0)</f>
        <v>0.95</v>
      </c>
      <c r="G958" s="36">
        <f t="shared" si="70"/>
        <v>0.94562999999999986</v>
      </c>
      <c r="H958" s="38">
        <f t="shared" si="71"/>
        <v>11586504.235271726</v>
      </c>
      <c r="I958" s="38">
        <f t="shared" si="72"/>
        <v>-629958.2352717258</v>
      </c>
      <c r="J958" s="38" t="s">
        <v>213</v>
      </c>
      <c r="K958" s="38" t="str">
        <f t="shared" si="73"/>
        <v/>
      </c>
      <c r="L958" s="41">
        <f>VLOOKUP(INDICADORES!$B$21,'DATOS GENERALES'!$K:$M,3,0)*E958</f>
        <v>74570.540137063042</v>
      </c>
      <c r="M958" s="38" t="str">
        <f t="shared" si="74"/>
        <v/>
      </c>
      <c r="N958" s="36"/>
      <c r="O958" s="36"/>
      <c r="P958" s="36"/>
    </row>
    <row r="959" spans="1:16" x14ac:dyDescent="0.25">
      <c r="A959" s="36">
        <v>1622</v>
      </c>
      <c r="B959" s="37">
        <v>44287</v>
      </c>
      <c r="C959" s="36" t="s">
        <v>195</v>
      </c>
      <c r="D959" s="36"/>
      <c r="E959" s="38">
        <v>10956546</v>
      </c>
      <c r="F959" s="40">
        <f>VLOOKUP(A959,'DATOS GENERALES'!A:B,2,0)</f>
        <v>0.95</v>
      </c>
      <c r="G959" s="36">
        <f t="shared" si="70"/>
        <v>0.94562999999999986</v>
      </c>
      <c r="H959" s="38">
        <f t="shared" si="71"/>
        <v>11586504.235271726</v>
      </c>
      <c r="I959" s="38">
        <f t="shared" si="72"/>
        <v>-629958.2352717258</v>
      </c>
      <c r="J959" s="38" t="s">
        <v>213</v>
      </c>
      <c r="K959" s="38" t="str">
        <f t="shared" si="73"/>
        <v/>
      </c>
      <c r="L959" s="41">
        <f>VLOOKUP(INDICADORES!$B$21,'DATOS GENERALES'!$K:$M,3,0)*E959</f>
        <v>74570.540137063042</v>
      </c>
      <c r="M959" s="38" t="str">
        <f t="shared" si="74"/>
        <v/>
      </c>
      <c r="N959" s="36"/>
      <c r="O959" s="36"/>
      <c r="P959" s="36"/>
    </row>
    <row r="960" spans="1:16" x14ac:dyDescent="0.25">
      <c r="A960" s="36">
        <v>1622</v>
      </c>
      <c r="B960" s="37">
        <v>44317</v>
      </c>
      <c r="C960" s="36" t="s">
        <v>195</v>
      </c>
      <c r="D960" s="36"/>
      <c r="E960" s="38">
        <v>10956546</v>
      </c>
      <c r="F960" s="40">
        <f>VLOOKUP(A960,'DATOS GENERALES'!A:B,2,0)</f>
        <v>0.95</v>
      </c>
      <c r="G960" s="36">
        <f t="shared" si="70"/>
        <v>0.94562999999999986</v>
      </c>
      <c r="H960" s="38">
        <f t="shared" si="71"/>
        <v>11586504.235271726</v>
      </c>
      <c r="I960" s="38">
        <f t="shared" si="72"/>
        <v>-629958.2352717258</v>
      </c>
      <c r="J960" s="38" t="s">
        <v>213</v>
      </c>
      <c r="K960" s="38" t="str">
        <f t="shared" si="73"/>
        <v/>
      </c>
      <c r="L960" s="41">
        <f>VLOOKUP(INDICADORES!$B$21,'DATOS GENERALES'!$K:$M,3,0)*E960</f>
        <v>74570.540137063042</v>
      </c>
      <c r="M960" s="38" t="str">
        <f t="shared" si="74"/>
        <v/>
      </c>
      <c r="N960" s="36"/>
      <c r="O960" s="36"/>
      <c r="P960" s="36"/>
    </row>
    <row r="961" spans="1:16" x14ac:dyDescent="0.25">
      <c r="A961" s="36">
        <v>1622</v>
      </c>
      <c r="B961" s="37">
        <v>44348</v>
      </c>
      <c r="C961" s="36" t="s">
        <v>195</v>
      </c>
      <c r="D961" s="36"/>
      <c r="E961" s="38">
        <v>10956546</v>
      </c>
      <c r="F961" s="40">
        <f>VLOOKUP(A961,'DATOS GENERALES'!A:B,2,0)</f>
        <v>0.95</v>
      </c>
      <c r="G961" s="36">
        <f t="shared" si="70"/>
        <v>0.94562999999999986</v>
      </c>
      <c r="H961" s="38">
        <f t="shared" si="71"/>
        <v>11586504.235271726</v>
      </c>
      <c r="I961" s="38">
        <f t="shared" si="72"/>
        <v>-629958.2352717258</v>
      </c>
      <c r="J961" s="38" t="s">
        <v>213</v>
      </c>
      <c r="K961" s="38" t="str">
        <f t="shared" si="73"/>
        <v/>
      </c>
      <c r="L961" s="41">
        <f>VLOOKUP(INDICADORES!$B$21,'DATOS GENERALES'!$K:$M,3,0)*E961</f>
        <v>74570.540137063042</v>
      </c>
      <c r="M961" s="38" t="str">
        <f t="shared" si="74"/>
        <v/>
      </c>
      <c r="N961" s="36"/>
      <c r="O961" s="36"/>
      <c r="P961" s="36"/>
    </row>
    <row r="962" spans="1:16" x14ac:dyDescent="0.25">
      <c r="A962" s="36">
        <v>1622</v>
      </c>
      <c r="B962" s="37">
        <v>44378</v>
      </c>
      <c r="C962" s="36" t="s">
        <v>195</v>
      </c>
      <c r="D962" s="36"/>
      <c r="E962" s="38">
        <v>10956546</v>
      </c>
      <c r="F962" s="40">
        <f>VLOOKUP(A962,'DATOS GENERALES'!A:B,2,0)</f>
        <v>0.95</v>
      </c>
      <c r="G962" s="36">
        <f t="shared" si="70"/>
        <v>0.94562999999999986</v>
      </c>
      <c r="H962" s="38">
        <f t="shared" si="71"/>
        <v>11586504.235271726</v>
      </c>
      <c r="I962" s="38">
        <f t="shared" si="72"/>
        <v>-629958.2352717258</v>
      </c>
      <c r="J962" s="38" t="s">
        <v>213</v>
      </c>
      <c r="K962" s="38" t="str">
        <f t="shared" si="73"/>
        <v/>
      </c>
      <c r="L962" s="41">
        <f>VLOOKUP(INDICADORES!$B$21,'DATOS GENERALES'!$K:$M,3,0)*E962</f>
        <v>74570.540137063042</v>
      </c>
      <c r="M962" s="38" t="str">
        <f t="shared" si="74"/>
        <v/>
      </c>
      <c r="N962" s="36"/>
      <c r="O962" s="36"/>
      <c r="P962" s="36"/>
    </row>
    <row r="963" spans="1:16" x14ac:dyDescent="0.25">
      <c r="A963" s="36">
        <v>1622</v>
      </c>
      <c r="B963" s="37">
        <v>44409</v>
      </c>
      <c r="C963" s="36" t="s">
        <v>195</v>
      </c>
      <c r="D963" s="36"/>
      <c r="E963" s="38">
        <v>10956546</v>
      </c>
      <c r="F963" s="40">
        <f>VLOOKUP(A963,'DATOS GENERALES'!A:B,2,0)</f>
        <v>0.95</v>
      </c>
      <c r="G963" s="36">
        <f t="shared" ref="G963:G1026" si="75">F963*0.9954</f>
        <v>0.94562999999999986</v>
      </c>
      <c r="H963" s="38">
        <f t="shared" ref="H963:H1026" si="76">E963/G963</f>
        <v>11586504.235271726</v>
      </c>
      <c r="I963" s="38">
        <f t="shared" ref="I963:I1026" si="77">E963-H963</f>
        <v>-629958.2352717258</v>
      </c>
      <c r="J963" s="38" t="s">
        <v>213</v>
      </c>
      <c r="K963" s="38" t="str">
        <f t="shared" ref="K963:K1026" si="78">IFERROR(I963-J963,"")</f>
        <v/>
      </c>
      <c r="L963" s="41">
        <f>VLOOKUP(INDICADORES!$B$21,'DATOS GENERALES'!$K:$M,3,0)*E963</f>
        <v>74570.540137063042</v>
      </c>
      <c r="M963" s="38" t="str">
        <f t="shared" ref="M963:M1026" si="79">IFERROR(K963-L963,"")</f>
        <v/>
      </c>
      <c r="N963" s="36"/>
      <c r="O963" s="36"/>
      <c r="P963" s="36"/>
    </row>
    <row r="964" spans="1:16" x14ac:dyDescent="0.25">
      <c r="A964" s="36">
        <v>1622</v>
      </c>
      <c r="B964" s="37">
        <v>44440</v>
      </c>
      <c r="C964" s="36" t="s">
        <v>195</v>
      </c>
      <c r="D964" s="36"/>
      <c r="E964" s="38">
        <v>10956546</v>
      </c>
      <c r="F964" s="40">
        <f>VLOOKUP(A964,'DATOS GENERALES'!A:B,2,0)</f>
        <v>0.95</v>
      </c>
      <c r="G964" s="36">
        <f t="shared" si="75"/>
        <v>0.94562999999999986</v>
      </c>
      <c r="H964" s="38">
        <f t="shared" si="76"/>
        <v>11586504.235271726</v>
      </c>
      <c r="I964" s="38">
        <f t="shared" si="77"/>
        <v>-629958.2352717258</v>
      </c>
      <c r="J964" s="38" t="s">
        <v>213</v>
      </c>
      <c r="K964" s="38" t="str">
        <f t="shared" si="78"/>
        <v/>
      </c>
      <c r="L964" s="41">
        <f>VLOOKUP(INDICADORES!$B$21,'DATOS GENERALES'!$K:$M,3,0)*E964</f>
        <v>74570.540137063042</v>
      </c>
      <c r="M964" s="38" t="str">
        <f t="shared" si="79"/>
        <v/>
      </c>
      <c r="N964" s="36"/>
      <c r="O964" s="36"/>
      <c r="P964" s="36"/>
    </row>
    <row r="965" spans="1:16" x14ac:dyDescent="0.25">
      <c r="A965" s="36">
        <v>1622</v>
      </c>
      <c r="B965" s="37">
        <v>44470</v>
      </c>
      <c r="C965" s="36" t="s">
        <v>195</v>
      </c>
      <c r="D965" s="36"/>
      <c r="E965" s="38">
        <v>10956546</v>
      </c>
      <c r="F965" s="40">
        <f>VLOOKUP(A965,'DATOS GENERALES'!A:B,2,0)</f>
        <v>0.95</v>
      </c>
      <c r="G965" s="36">
        <f t="shared" si="75"/>
        <v>0.94562999999999986</v>
      </c>
      <c r="H965" s="38">
        <f t="shared" si="76"/>
        <v>11586504.235271726</v>
      </c>
      <c r="I965" s="38">
        <f t="shared" si="77"/>
        <v>-629958.2352717258</v>
      </c>
      <c r="J965" s="38" t="s">
        <v>213</v>
      </c>
      <c r="K965" s="38" t="str">
        <f t="shared" si="78"/>
        <v/>
      </c>
      <c r="L965" s="41">
        <f>VLOOKUP(INDICADORES!$B$21,'DATOS GENERALES'!$K:$M,3,0)*E965</f>
        <v>74570.540137063042</v>
      </c>
      <c r="M965" s="38" t="str">
        <f t="shared" si="79"/>
        <v/>
      </c>
      <c r="N965" s="36"/>
      <c r="O965" s="36"/>
      <c r="P965" s="36"/>
    </row>
    <row r="966" spans="1:16" x14ac:dyDescent="0.25">
      <c r="A966" s="36">
        <v>1734</v>
      </c>
      <c r="B966" s="37">
        <v>43466</v>
      </c>
      <c r="C966" s="36" t="s">
        <v>195</v>
      </c>
      <c r="D966" s="36"/>
      <c r="E966" s="38">
        <v>56127548.580235153</v>
      </c>
      <c r="F966" s="40">
        <f>VLOOKUP(A966,'DATOS GENERALES'!A:B,2,0)</f>
        <v>1.73</v>
      </c>
      <c r="G966" s="36">
        <f t="shared" si="75"/>
        <v>1.7220419999999999</v>
      </c>
      <c r="H966" s="38">
        <f t="shared" si="76"/>
        <v>32593600.260757379</v>
      </c>
      <c r="I966" s="38">
        <f t="shared" si="77"/>
        <v>23533948.319477774</v>
      </c>
      <c r="J966" s="38">
        <v>7151633.8192765992</v>
      </c>
      <c r="K966" s="38">
        <f t="shared" si="78"/>
        <v>16382314.500201175</v>
      </c>
      <c r="L966" s="41">
        <f>VLOOKUP(INDICADORES!$B$21,'DATOS GENERALES'!$K:$M,3,0)*E966</f>
        <v>382005.57129932928</v>
      </c>
      <c r="M966" s="38">
        <f t="shared" si="79"/>
        <v>16000308.928901846</v>
      </c>
      <c r="N966" s="36"/>
      <c r="O966" s="36"/>
      <c r="P966" s="36"/>
    </row>
    <row r="967" spans="1:16" x14ac:dyDescent="0.25">
      <c r="A967" s="36">
        <v>1734</v>
      </c>
      <c r="B967" s="37">
        <v>43497</v>
      </c>
      <c r="C967" s="36" t="s">
        <v>195</v>
      </c>
      <c r="D967" s="36"/>
      <c r="E967" s="38">
        <v>60393607.013095886</v>
      </c>
      <c r="F967" s="40">
        <f>VLOOKUP(A967,'DATOS GENERALES'!A:B,2,0)</f>
        <v>1.73</v>
      </c>
      <c r="G967" s="36">
        <f t="shared" si="75"/>
        <v>1.7220419999999999</v>
      </c>
      <c r="H967" s="38">
        <f t="shared" si="76"/>
        <v>35070925.68769861</v>
      </c>
      <c r="I967" s="38">
        <f t="shared" si="77"/>
        <v>25322681.325397275</v>
      </c>
      <c r="J967" s="38">
        <v>7580855.804261677</v>
      </c>
      <c r="K967" s="38">
        <f t="shared" si="78"/>
        <v>17741825.521135598</v>
      </c>
      <c r="L967" s="41">
        <f>VLOOKUP(INDICADORES!$B$21,'DATOS GENERALES'!$K:$M,3,0)*E967</f>
        <v>411040.47715329984</v>
      </c>
      <c r="M967" s="38">
        <f t="shared" si="79"/>
        <v>17330785.043982297</v>
      </c>
      <c r="N967" s="36"/>
      <c r="O967" s="36"/>
      <c r="P967" s="36"/>
    </row>
    <row r="968" spans="1:16" x14ac:dyDescent="0.25">
      <c r="A968" s="36">
        <v>1734</v>
      </c>
      <c r="B968" s="37">
        <v>43525</v>
      </c>
      <c r="C968" s="36" t="s">
        <v>195</v>
      </c>
      <c r="D968" s="36"/>
      <c r="E968" s="38">
        <v>60987214.319031961</v>
      </c>
      <c r="F968" s="40">
        <f>VLOOKUP(A968,'DATOS GENERALES'!A:B,2,0)</f>
        <v>1.73</v>
      </c>
      <c r="G968" s="36">
        <f t="shared" si="75"/>
        <v>1.7220419999999999</v>
      </c>
      <c r="H968" s="38">
        <f t="shared" si="76"/>
        <v>35415636.969964705</v>
      </c>
      <c r="I968" s="38">
        <f t="shared" si="77"/>
        <v>25571577.349067256</v>
      </c>
      <c r="J968" s="38">
        <v>5538563.6931466488</v>
      </c>
      <c r="K968" s="38">
        <f t="shared" si="78"/>
        <v>20033013.655920606</v>
      </c>
      <c r="L968" s="41">
        <f>VLOOKUP(INDICADORES!$B$21,'DATOS GENERALES'!$K:$M,3,0)*E968</f>
        <v>415080.58408416656</v>
      </c>
      <c r="M968" s="38">
        <f t="shared" si="79"/>
        <v>19617933.071836438</v>
      </c>
      <c r="N968" s="36"/>
      <c r="O968" s="36"/>
      <c r="P968" s="36"/>
    </row>
    <row r="969" spans="1:16" x14ac:dyDescent="0.25">
      <c r="A969" s="36">
        <v>1734</v>
      </c>
      <c r="B969" s="37">
        <v>43556</v>
      </c>
      <c r="C969" s="36" t="s">
        <v>195</v>
      </c>
      <c r="D969" s="36"/>
      <c r="E969" s="38">
        <v>64608218.885242015</v>
      </c>
      <c r="F969" s="40">
        <f>VLOOKUP(A969,'DATOS GENERALES'!A:B,2,0)</f>
        <v>1.73</v>
      </c>
      <c r="G969" s="36">
        <f t="shared" si="75"/>
        <v>1.7220419999999999</v>
      </c>
      <c r="H969" s="38">
        <f t="shared" si="76"/>
        <v>37518375.7917879</v>
      </c>
      <c r="I969" s="38">
        <f t="shared" si="77"/>
        <v>27089843.093454115</v>
      </c>
      <c r="J969" s="38">
        <v>6032135.3843921097</v>
      </c>
      <c r="K969" s="38">
        <f t="shared" si="78"/>
        <v>21057707.709062006</v>
      </c>
      <c r="L969" s="41">
        <f>VLOOKUP(INDICADORES!$B$21,'DATOS GENERALES'!$K:$M,3,0)*E969</f>
        <v>439725.23636245349</v>
      </c>
      <c r="M969" s="38">
        <f t="shared" si="79"/>
        <v>20617982.472699553</v>
      </c>
      <c r="N969" s="36"/>
      <c r="O969" s="36"/>
      <c r="P969" s="36"/>
    </row>
    <row r="970" spans="1:16" x14ac:dyDescent="0.25">
      <c r="A970" s="36">
        <v>1734</v>
      </c>
      <c r="B970" s="37">
        <v>43586</v>
      </c>
      <c r="C970" s="36" t="s">
        <v>195</v>
      </c>
      <c r="D970" s="36"/>
      <c r="E970" s="38">
        <v>67101369.570173509</v>
      </c>
      <c r="F970" s="40">
        <f>VLOOKUP(A970,'DATOS GENERALES'!A:B,2,0)</f>
        <v>1.73</v>
      </c>
      <c r="G970" s="36">
        <f t="shared" si="75"/>
        <v>1.7220419999999999</v>
      </c>
      <c r="H970" s="38">
        <f t="shared" si="76"/>
        <v>38966163.177305497</v>
      </c>
      <c r="I970" s="38">
        <f t="shared" si="77"/>
        <v>28135206.392868012</v>
      </c>
      <c r="J970" s="38">
        <v>5168110.9462621929</v>
      </c>
      <c r="K970" s="38">
        <f t="shared" si="78"/>
        <v>22967095.44660582</v>
      </c>
      <c r="L970" s="41">
        <f>VLOOKUP(INDICADORES!$B$21,'DATOS GENERALES'!$K:$M,3,0)*E970</f>
        <v>456693.68547209352</v>
      </c>
      <c r="M970" s="38">
        <f t="shared" si="79"/>
        <v>22510401.761133727</v>
      </c>
      <c r="N970" s="36"/>
      <c r="O970" s="36"/>
      <c r="P970" s="36"/>
    </row>
    <row r="971" spans="1:16" x14ac:dyDescent="0.25">
      <c r="A971" s="36">
        <v>1734</v>
      </c>
      <c r="B971" s="37">
        <v>43617</v>
      </c>
      <c r="C971" s="36" t="s">
        <v>195</v>
      </c>
      <c r="D971" s="36"/>
      <c r="E971" s="38">
        <v>68644748.565607309</v>
      </c>
      <c r="F971" s="40">
        <f>VLOOKUP(A971,'DATOS GENERALES'!A:B,2,0)</f>
        <v>1.73</v>
      </c>
      <c r="G971" s="36">
        <f t="shared" si="75"/>
        <v>1.7220419999999999</v>
      </c>
      <c r="H971" s="38">
        <f t="shared" si="76"/>
        <v>39862412.511197358</v>
      </c>
      <c r="I971" s="38">
        <f t="shared" si="77"/>
        <v>28782336.054409951</v>
      </c>
      <c r="J971" s="38">
        <v>7109751.526077494</v>
      </c>
      <c r="K971" s="38">
        <f t="shared" si="78"/>
        <v>21672584.528332457</v>
      </c>
      <c r="L971" s="41">
        <f>VLOOKUP(INDICADORES!$B$21,'DATOS GENERALES'!$K:$M,3,0)*E971</f>
        <v>467197.96349234699</v>
      </c>
      <c r="M971" s="38">
        <f t="shared" si="79"/>
        <v>21205386.564840108</v>
      </c>
      <c r="N971" s="36"/>
      <c r="O971" s="36"/>
      <c r="P971" s="36"/>
    </row>
    <row r="972" spans="1:16" x14ac:dyDescent="0.25">
      <c r="A972" s="36">
        <v>1734</v>
      </c>
      <c r="B972" s="37">
        <v>43647</v>
      </c>
      <c r="C972" s="36" t="s">
        <v>195</v>
      </c>
      <c r="D972" s="36"/>
      <c r="E972" s="38">
        <v>85079795.189299077</v>
      </c>
      <c r="F972" s="40">
        <f>VLOOKUP(A972,'DATOS GENERALES'!A:B,2,0)</f>
        <v>1.73</v>
      </c>
      <c r="G972" s="36">
        <f t="shared" si="75"/>
        <v>1.7220419999999999</v>
      </c>
      <c r="H972" s="38">
        <f t="shared" si="76"/>
        <v>49406341.534816854</v>
      </c>
      <c r="I972" s="38">
        <f t="shared" si="77"/>
        <v>35673453.654482223</v>
      </c>
      <c r="J972" s="38">
        <v>13141263.06320204</v>
      </c>
      <c r="K972" s="38">
        <f t="shared" si="78"/>
        <v>22532190.591280185</v>
      </c>
      <c r="L972" s="41">
        <f>VLOOKUP(INDICADORES!$B$21,'DATOS GENERALES'!$K:$M,3,0)*E972</f>
        <v>579055.32291077229</v>
      </c>
      <c r="M972" s="38">
        <f t="shared" si="79"/>
        <v>21953135.268369414</v>
      </c>
      <c r="N972" s="36"/>
      <c r="O972" s="36"/>
      <c r="P972" s="36"/>
    </row>
    <row r="973" spans="1:16" x14ac:dyDescent="0.25">
      <c r="A973" s="36">
        <v>1734</v>
      </c>
      <c r="B973" s="37">
        <v>43678</v>
      </c>
      <c r="C973" s="36" t="s">
        <v>195</v>
      </c>
      <c r="D973" s="36"/>
      <c r="E973" s="38">
        <v>89917694.732678071</v>
      </c>
      <c r="F973" s="40">
        <f>VLOOKUP(A973,'DATOS GENERALES'!A:B,2,0)</f>
        <v>1.73</v>
      </c>
      <c r="G973" s="36">
        <f t="shared" si="75"/>
        <v>1.7220419999999999</v>
      </c>
      <c r="H973" s="38">
        <f t="shared" si="76"/>
        <v>52215738.485285535</v>
      </c>
      <c r="I973" s="38">
        <f t="shared" si="77"/>
        <v>37701956.247392535</v>
      </c>
      <c r="J973" s="38">
        <v>13666803.094513861</v>
      </c>
      <c r="K973" s="38">
        <f t="shared" si="78"/>
        <v>24035153.152878672</v>
      </c>
      <c r="L973" s="41">
        <f>VLOOKUP(INDICADORES!$B$21,'DATOS GENERALES'!$K:$M,3,0)*E973</f>
        <v>611982.19439733576</v>
      </c>
      <c r="M973" s="38">
        <f t="shared" si="79"/>
        <v>23423170.958481338</v>
      </c>
      <c r="N973" s="36"/>
      <c r="O973" s="36"/>
      <c r="P973" s="36"/>
    </row>
    <row r="974" spans="1:16" x14ac:dyDescent="0.25">
      <c r="A974" s="36">
        <v>1734</v>
      </c>
      <c r="B974" s="37">
        <v>43709</v>
      </c>
      <c r="C974" s="36" t="s">
        <v>195</v>
      </c>
      <c r="D974" s="36"/>
      <c r="E974" s="38">
        <v>87216781.490668952</v>
      </c>
      <c r="F974" s="40">
        <f>VLOOKUP(A974,'DATOS GENERALES'!A:B,2,0)</f>
        <v>1.73</v>
      </c>
      <c r="G974" s="36">
        <f t="shared" si="75"/>
        <v>1.7220419999999999</v>
      </c>
      <c r="H974" s="38">
        <f t="shared" si="76"/>
        <v>50647302.15097481</v>
      </c>
      <c r="I974" s="38">
        <f t="shared" si="77"/>
        <v>36569479.339694142</v>
      </c>
      <c r="J974" s="38">
        <v>14981895.896928189</v>
      </c>
      <c r="K974" s="38">
        <f t="shared" si="78"/>
        <v>21587583.442765951</v>
      </c>
      <c r="L974" s="41">
        <f>VLOOKUP(INDICADORES!$B$21,'DATOS GENERALES'!$K:$M,3,0)*E974</f>
        <v>593599.70786189241</v>
      </c>
      <c r="M974" s="38">
        <f t="shared" si="79"/>
        <v>20993983.734904058</v>
      </c>
      <c r="N974" s="36"/>
      <c r="O974" s="36"/>
      <c r="P974" s="36"/>
    </row>
    <row r="975" spans="1:16" x14ac:dyDescent="0.25">
      <c r="A975" s="36">
        <v>1734</v>
      </c>
      <c r="B975" s="37">
        <v>43739</v>
      </c>
      <c r="C975" s="36" t="s">
        <v>195</v>
      </c>
      <c r="D975" s="36"/>
      <c r="E975" s="38">
        <v>88225913.910760283</v>
      </c>
      <c r="F975" s="40">
        <f>VLOOKUP(A975,'DATOS GENERALES'!A:B,2,0)</f>
        <v>1.73</v>
      </c>
      <c r="G975" s="36">
        <f t="shared" si="75"/>
        <v>1.7220419999999999</v>
      </c>
      <c r="H975" s="38">
        <f t="shared" si="76"/>
        <v>51233311.330827177</v>
      </c>
      <c r="I975" s="38">
        <f t="shared" si="77"/>
        <v>36992602.579933107</v>
      </c>
      <c r="J975" s="38">
        <v>16388829.647998663</v>
      </c>
      <c r="K975" s="38">
        <f t="shared" si="78"/>
        <v>20603772.931934446</v>
      </c>
      <c r="L975" s="41">
        <f>VLOOKUP(INDICADORES!$B$21,'DATOS GENERALES'!$K:$M,3,0)*E975</f>
        <v>600467.88964436587</v>
      </c>
      <c r="M975" s="38">
        <f t="shared" si="79"/>
        <v>20003305.04229008</v>
      </c>
      <c r="N975" s="36"/>
      <c r="O975" s="36"/>
      <c r="P975" s="36"/>
    </row>
    <row r="976" spans="1:16" x14ac:dyDescent="0.25">
      <c r="A976" s="36">
        <v>1734</v>
      </c>
      <c r="B976" s="37">
        <v>43770</v>
      </c>
      <c r="C976" s="36" t="s">
        <v>195</v>
      </c>
      <c r="D976" s="36"/>
      <c r="E976" s="38">
        <v>89977055.463271677</v>
      </c>
      <c r="F976" s="40">
        <f>VLOOKUP(A976,'DATOS GENERALES'!A:B,2,0)</f>
        <v>1.73</v>
      </c>
      <c r="G976" s="36">
        <f t="shared" si="75"/>
        <v>1.7220419999999999</v>
      </c>
      <c r="H976" s="38">
        <f t="shared" si="76"/>
        <v>52250209.613512151</v>
      </c>
      <c r="I976" s="38">
        <f t="shared" si="77"/>
        <v>37726845.849759527</v>
      </c>
      <c r="J976" s="38">
        <v>22353906.399397086</v>
      </c>
      <c r="K976" s="38">
        <f t="shared" si="78"/>
        <v>15372939.45036244</v>
      </c>
      <c r="L976" s="41">
        <f>VLOOKUP(INDICADORES!$B$21,'DATOS GENERALES'!$K:$M,3,0)*E976</f>
        <v>612386.20509042253</v>
      </c>
      <c r="M976" s="38">
        <f t="shared" si="79"/>
        <v>14760553.245272018</v>
      </c>
      <c r="N976" s="36"/>
      <c r="O976" s="36"/>
      <c r="P976" s="36"/>
    </row>
    <row r="977" spans="1:16" x14ac:dyDescent="0.25">
      <c r="A977" s="36">
        <v>1734</v>
      </c>
      <c r="B977" s="37">
        <v>43800</v>
      </c>
      <c r="C977" s="36" t="s">
        <v>195</v>
      </c>
      <c r="D977" s="36"/>
      <c r="E977" s="38">
        <v>84456507.518066227</v>
      </c>
      <c r="F977" s="40">
        <f>VLOOKUP(A977,'DATOS GENERALES'!A:B,2,0)</f>
        <v>1.73</v>
      </c>
      <c r="G977" s="36">
        <f t="shared" si="75"/>
        <v>1.7220419999999999</v>
      </c>
      <c r="H977" s="38">
        <f t="shared" si="76"/>
        <v>49044394.688437469</v>
      </c>
      <c r="I977" s="38">
        <f t="shared" si="77"/>
        <v>35412112.829628758</v>
      </c>
      <c r="J977" s="38">
        <v>17666900.344765119</v>
      </c>
      <c r="K977" s="38">
        <f t="shared" si="78"/>
        <v>17745212.484863639</v>
      </c>
      <c r="L977" s="41">
        <f>VLOOKUP(INDICADORES!$B$21,'DATOS GENERALES'!$K:$M,3,0)*E977</f>
        <v>574813.21063336241</v>
      </c>
      <c r="M977" s="38">
        <f t="shared" si="79"/>
        <v>17170399.274230275</v>
      </c>
      <c r="N977" s="36"/>
      <c r="O977" s="36"/>
      <c r="P977" s="36"/>
    </row>
    <row r="978" spans="1:16" x14ac:dyDescent="0.25">
      <c r="A978" s="36">
        <v>1734</v>
      </c>
      <c r="B978" s="37">
        <v>43831</v>
      </c>
      <c r="C978" s="36" t="s">
        <v>195</v>
      </c>
      <c r="D978" s="36"/>
      <c r="E978" s="38">
        <v>84812671.901627824</v>
      </c>
      <c r="F978" s="40">
        <f>VLOOKUP(A978,'DATOS GENERALES'!A:B,2,0)</f>
        <v>1.73</v>
      </c>
      <c r="G978" s="36">
        <f t="shared" si="75"/>
        <v>1.7220419999999999</v>
      </c>
      <c r="H978" s="38">
        <f t="shared" si="76"/>
        <v>49251221.457797095</v>
      </c>
      <c r="I978" s="38">
        <f t="shared" si="77"/>
        <v>35561450.443830729</v>
      </c>
      <c r="J978" s="38" t="s">
        <v>213</v>
      </c>
      <c r="K978" s="38" t="str">
        <f t="shared" si="78"/>
        <v/>
      </c>
      <c r="L978" s="41">
        <f>VLOOKUP(INDICADORES!$B$21,'DATOS GENERALES'!$K:$M,3,0)*E978</f>
        <v>577237.27479188202</v>
      </c>
      <c r="M978" s="38" t="str">
        <f t="shared" si="79"/>
        <v/>
      </c>
      <c r="N978" s="36"/>
      <c r="O978" s="36"/>
      <c r="P978" s="36"/>
    </row>
    <row r="979" spans="1:16" x14ac:dyDescent="0.25">
      <c r="A979" s="36">
        <v>1734</v>
      </c>
      <c r="B979" s="37">
        <v>43862</v>
      </c>
      <c r="C979" s="36" t="s">
        <v>195</v>
      </c>
      <c r="D979" s="36"/>
      <c r="E979" s="38">
        <v>87038699.298888147</v>
      </c>
      <c r="F979" s="40">
        <f>VLOOKUP(A979,'DATOS GENERALES'!A:B,2,0)</f>
        <v>1.73</v>
      </c>
      <c r="G979" s="36">
        <f t="shared" si="75"/>
        <v>1.7220419999999999</v>
      </c>
      <c r="H979" s="38">
        <f t="shared" si="76"/>
        <v>50543888.766294986</v>
      </c>
      <c r="I979" s="38">
        <f t="shared" si="77"/>
        <v>36494810.532593161</v>
      </c>
      <c r="J979" s="38" t="s">
        <v>213</v>
      </c>
      <c r="K979" s="38" t="str">
        <f t="shared" si="78"/>
        <v/>
      </c>
      <c r="L979" s="41">
        <f>VLOOKUP(INDICADORES!$B$21,'DATOS GENERALES'!$K:$M,3,0)*E979</f>
        <v>592387.67578263255</v>
      </c>
      <c r="M979" s="38" t="str">
        <f t="shared" si="79"/>
        <v/>
      </c>
      <c r="N979" s="36"/>
      <c r="O979" s="36"/>
      <c r="P979" s="36"/>
    </row>
    <row r="980" spans="1:16" x14ac:dyDescent="0.25">
      <c r="A980" s="36">
        <v>1734</v>
      </c>
      <c r="B980" s="37">
        <v>43891</v>
      </c>
      <c r="C980" s="36" t="s">
        <v>195</v>
      </c>
      <c r="D980" s="36"/>
      <c r="E980" s="38">
        <v>84219064.595691785</v>
      </c>
      <c r="F980" s="40">
        <f>VLOOKUP(A980,'DATOS GENERALES'!A:B,2,0)</f>
        <v>1.73</v>
      </c>
      <c r="G980" s="36">
        <f t="shared" si="75"/>
        <v>1.7220419999999999</v>
      </c>
      <c r="H980" s="38">
        <f t="shared" si="76"/>
        <v>48906510.175531022</v>
      </c>
      <c r="I980" s="38">
        <f t="shared" si="77"/>
        <v>35312554.420160763</v>
      </c>
      <c r="J980" s="38" t="s">
        <v>213</v>
      </c>
      <c r="K980" s="38" t="str">
        <f t="shared" si="78"/>
        <v/>
      </c>
      <c r="L980" s="41">
        <f>VLOOKUP(INDICADORES!$B$21,'DATOS GENERALES'!$K:$M,3,0)*E980</f>
        <v>573197.16786101565</v>
      </c>
      <c r="M980" s="38" t="str">
        <f t="shared" si="79"/>
        <v/>
      </c>
      <c r="N980" s="36"/>
      <c r="O980" s="36"/>
      <c r="P980" s="36"/>
    </row>
    <row r="981" spans="1:16" x14ac:dyDescent="0.25">
      <c r="A981" s="36">
        <v>1734</v>
      </c>
      <c r="B981" s="37">
        <v>43922</v>
      </c>
      <c r="C981" s="36" t="s">
        <v>195</v>
      </c>
      <c r="D981" s="36"/>
      <c r="E981" s="38">
        <v>86415411.627655238</v>
      </c>
      <c r="F981" s="40">
        <f>VLOOKUP(A981,'DATOS GENERALES'!A:B,2,0)</f>
        <v>1.73</v>
      </c>
      <c r="G981" s="36">
        <f t="shared" si="75"/>
        <v>1.7220419999999999</v>
      </c>
      <c r="H981" s="38">
        <f t="shared" si="76"/>
        <v>50181941.919915572</v>
      </c>
      <c r="I981" s="38">
        <f t="shared" si="77"/>
        <v>36233469.707739666</v>
      </c>
      <c r="J981" s="38" t="s">
        <v>213</v>
      </c>
      <c r="K981" s="38" t="str">
        <f t="shared" si="78"/>
        <v/>
      </c>
      <c r="L981" s="41">
        <f>VLOOKUP(INDICADORES!$B$21,'DATOS GENERALES'!$K:$M,3,0)*E981</f>
        <v>588145.56350522232</v>
      </c>
      <c r="M981" s="38" t="str">
        <f t="shared" si="79"/>
        <v/>
      </c>
      <c r="N981" s="36"/>
      <c r="O981" s="36"/>
      <c r="P981" s="36"/>
    </row>
    <row r="982" spans="1:16" x14ac:dyDescent="0.25">
      <c r="A982" s="36">
        <v>1734</v>
      </c>
      <c r="B982" s="37">
        <v>43952</v>
      </c>
      <c r="C982" s="36" t="s">
        <v>195</v>
      </c>
      <c r="D982" s="36"/>
      <c r="E982" s="38">
        <v>86919977.837700903</v>
      </c>
      <c r="F982" s="40">
        <f>VLOOKUP(A982,'DATOS GENERALES'!A:B,2,0)</f>
        <v>1.73</v>
      </c>
      <c r="G982" s="36">
        <f t="shared" si="75"/>
        <v>1.7220419999999999</v>
      </c>
      <c r="H982" s="38">
        <f t="shared" si="76"/>
        <v>50474946.509841755</v>
      </c>
      <c r="I982" s="38">
        <f t="shared" si="77"/>
        <v>36445031.327859148</v>
      </c>
      <c r="J982" s="38" t="s">
        <v>213</v>
      </c>
      <c r="K982" s="38" t="str">
        <f t="shared" si="78"/>
        <v/>
      </c>
      <c r="L982" s="41">
        <f>VLOOKUP(INDICADORES!$B$21,'DATOS GENERALES'!$K:$M,3,0)*E982</f>
        <v>591579.65439645899</v>
      </c>
      <c r="M982" s="38" t="str">
        <f t="shared" si="79"/>
        <v/>
      </c>
      <c r="N982" s="36"/>
      <c r="O982" s="36"/>
      <c r="P982" s="36"/>
    </row>
    <row r="983" spans="1:16" x14ac:dyDescent="0.25">
      <c r="A983" s="36">
        <v>1734</v>
      </c>
      <c r="B983" s="37">
        <v>43983</v>
      </c>
      <c r="C983" s="36" t="s">
        <v>195</v>
      </c>
      <c r="D983" s="36"/>
      <c r="E983" s="38">
        <v>82467923.043180406</v>
      </c>
      <c r="F983" s="40">
        <f>VLOOKUP(A983,'DATOS GENERALES'!A:B,2,0)</f>
        <v>1.73</v>
      </c>
      <c r="G983" s="36">
        <f t="shared" si="75"/>
        <v>1.7220419999999999</v>
      </c>
      <c r="H983" s="38">
        <f t="shared" si="76"/>
        <v>47889611.892846063</v>
      </c>
      <c r="I983" s="38">
        <f t="shared" si="77"/>
        <v>34578311.150334343</v>
      </c>
      <c r="J983" s="38" t="s">
        <v>213</v>
      </c>
      <c r="K983" s="38" t="str">
        <f t="shared" si="78"/>
        <v/>
      </c>
      <c r="L983" s="41">
        <f>VLOOKUP(INDICADORES!$B$21,'DATOS GENERALES'!$K:$M,3,0)*E983</f>
        <v>561278.85241495911</v>
      </c>
      <c r="M983" s="38" t="str">
        <f t="shared" si="79"/>
        <v/>
      </c>
      <c r="N983" s="36"/>
      <c r="O983" s="36"/>
      <c r="P983" s="36"/>
    </row>
    <row r="984" spans="1:16" x14ac:dyDescent="0.25">
      <c r="A984" s="36">
        <v>1734</v>
      </c>
      <c r="B984" s="37">
        <v>44013</v>
      </c>
      <c r="C984" s="36" t="s">
        <v>195</v>
      </c>
      <c r="D984" s="36"/>
      <c r="E984" s="38">
        <v>81013585.143636942</v>
      </c>
      <c r="F984" s="40">
        <f>VLOOKUP(A984,'DATOS GENERALES'!A:B,2,0)</f>
        <v>1.73</v>
      </c>
      <c r="G984" s="36">
        <f t="shared" si="75"/>
        <v>1.7220419999999999</v>
      </c>
      <c r="H984" s="38">
        <f t="shared" si="76"/>
        <v>47045069.251294076</v>
      </c>
      <c r="I984" s="38">
        <f t="shared" si="77"/>
        <v>33968515.892342865</v>
      </c>
      <c r="J984" s="38" t="s">
        <v>213</v>
      </c>
      <c r="K984" s="38" t="str">
        <f t="shared" si="78"/>
        <v/>
      </c>
      <c r="L984" s="41">
        <f>VLOOKUP(INDICADORES!$B$21,'DATOS GENERALES'!$K:$M,3,0)*E984</f>
        <v>551380.59043433517</v>
      </c>
      <c r="M984" s="38" t="str">
        <f t="shared" si="79"/>
        <v/>
      </c>
      <c r="N984" s="36"/>
      <c r="O984" s="36"/>
      <c r="P984" s="36"/>
    </row>
    <row r="985" spans="1:16" x14ac:dyDescent="0.25">
      <c r="A985" s="36">
        <v>1734</v>
      </c>
      <c r="B985" s="37">
        <v>44044</v>
      </c>
      <c r="C985" s="36" t="s">
        <v>195</v>
      </c>
      <c r="D985" s="36"/>
      <c r="E985" s="38">
        <v>80894863.682449803</v>
      </c>
      <c r="F985" s="40">
        <f>VLOOKUP(A985,'DATOS GENERALES'!A:B,2,0)</f>
        <v>1.73</v>
      </c>
      <c r="G985" s="36">
        <f t="shared" si="75"/>
        <v>1.7220419999999999</v>
      </c>
      <c r="H985" s="38">
        <f t="shared" si="76"/>
        <v>46976126.994840898</v>
      </c>
      <c r="I985" s="38">
        <f t="shared" si="77"/>
        <v>33918736.687608905</v>
      </c>
      <c r="J985" s="38" t="s">
        <v>213</v>
      </c>
      <c r="K985" s="38" t="str">
        <f t="shared" si="78"/>
        <v/>
      </c>
      <c r="L985" s="41">
        <f>VLOOKUP(INDICADORES!$B$21,'DATOS GENERALES'!$K:$M,3,0)*E985</f>
        <v>550572.56904816232</v>
      </c>
      <c r="M985" s="38" t="str">
        <f t="shared" si="79"/>
        <v/>
      </c>
      <c r="N985" s="36"/>
      <c r="O985" s="36"/>
      <c r="P985" s="36"/>
    </row>
    <row r="986" spans="1:16" x14ac:dyDescent="0.25">
      <c r="A986" s="36">
        <v>1734</v>
      </c>
      <c r="B986" s="37">
        <v>44075</v>
      </c>
      <c r="C986" s="36" t="s">
        <v>195</v>
      </c>
      <c r="D986" s="36"/>
      <c r="E986" s="38">
        <v>78609475.554595888</v>
      </c>
      <c r="F986" s="40">
        <f>VLOOKUP(A986,'DATOS GENERALES'!A:B,2,0)</f>
        <v>1.73</v>
      </c>
      <c r="G986" s="36">
        <f t="shared" si="75"/>
        <v>1.7220419999999999</v>
      </c>
      <c r="H986" s="38">
        <f t="shared" si="76"/>
        <v>45648988.558116406</v>
      </c>
      <c r="I986" s="38">
        <f t="shared" si="77"/>
        <v>32960486.996479481</v>
      </c>
      <c r="J986" s="38" t="s">
        <v>213</v>
      </c>
      <c r="K986" s="38" t="str">
        <f t="shared" si="78"/>
        <v/>
      </c>
      <c r="L986" s="41">
        <f>VLOOKUP(INDICADORES!$B$21,'DATOS GENERALES'!$K:$M,3,0)*E986</f>
        <v>535018.15736432525</v>
      </c>
      <c r="M986" s="38" t="str">
        <f t="shared" si="79"/>
        <v/>
      </c>
      <c r="N986" s="36"/>
      <c r="O986" s="36"/>
      <c r="P986" s="36"/>
    </row>
    <row r="987" spans="1:16" x14ac:dyDescent="0.25">
      <c r="A987" s="36">
        <v>1888</v>
      </c>
      <c r="B987" s="37">
        <v>43525</v>
      </c>
      <c r="C987" s="36" t="s">
        <v>195</v>
      </c>
      <c r="D987" s="36"/>
      <c r="E987" s="38">
        <v>50337339</v>
      </c>
      <c r="F987" s="40">
        <f>VLOOKUP(A987,'DATOS GENERALES'!A:B,2,0)</f>
        <v>1</v>
      </c>
      <c r="G987" s="36">
        <f t="shared" si="75"/>
        <v>0.99539999999999995</v>
      </c>
      <c r="H987" s="38">
        <f t="shared" si="76"/>
        <v>50569960.819770947</v>
      </c>
      <c r="I987" s="38">
        <f t="shared" si="77"/>
        <v>-232621.8197709471</v>
      </c>
      <c r="J987" s="38">
        <v>7908510.8421956766</v>
      </c>
      <c r="K987" s="38">
        <f t="shared" si="78"/>
        <v>-8141132.6619666237</v>
      </c>
      <c r="L987" s="41">
        <f>VLOOKUP(INDICADORES!$B$21,'DATOS GENERALES'!$K:$M,3,0)*E987</f>
        <v>342597.25266452116</v>
      </c>
      <c r="M987" s="38">
        <f t="shared" si="79"/>
        <v>-8483729.9146311451</v>
      </c>
      <c r="N987" s="36"/>
      <c r="O987" s="36"/>
      <c r="P987" s="36"/>
    </row>
    <row r="988" spans="1:16" x14ac:dyDescent="0.25">
      <c r="A988" s="36">
        <v>1888</v>
      </c>
      <c r="B988" s="37">
        <v>43556</v>
      </c>
      <c r="C988" s="36" t="s">
        <v>195</v>
      </c>
      <c r="D988" s="36"/>
      <c r="E988" s="38">
        <v>50337339</v>
      </c>
      <c r="F988" s="40">
        <f>VLOOKUP(A988,'DATOS GENERALES'!A:B,2,0)</f>
        <v>1</v>
      </c>
      <c r="G988" s="36">
        <f t="shared" si="75"/>
        <v>0.99539999999999995</v>
      </c>
      <c r="H988" s="38">
        <f t="shared" si="76"/>
        <v>50569960.819770947</v>
      </c>
      <c r="I988" s="38">
        <f t="shared" si="77"/>
        <v>-232621.8197709471</v>
      </c>
      <c r="J988" s="38">
        <v>8130545.1958032735</v>
      </c>
      <c r="K988" s="38">
        <f t="shared" si="78"/>
        <v>-8363167.0155742206</v>
      </c>
      <c r="L988" s="41">
        <f>VLOOKUP(INDICADORES!$B$21,'DATOS GENERALES'!$K:$M,3,0)*E988</f>
        <v>342597.25266452116</v>
      </c>
      <c r="M988" s="38">
        <f t="shared" si="79"/>
        <v>-8705764.2682387419</v>
      </c>
      <c r="N988" s="36"/>
      <c r="O988" s="36"/>
      <c r="P988" s="36"/>
    </row>
    <row r="989" spans="1:16" x14ac:dyDescent="0.25">
      <c r="A989" s="36">
        <v>1888</v>
      </c>
      <c r="B989" s="37">
        <v>43586</v>
      </c>
      <c r="C989" s="36" t="s">
        <v>195</v>
      </c>
      <c r="D989" s="36"/>
      <c r="E989" s="38">
        <v>50337339</v>
      </c>
      <c r="F989" s="40">
        <f>VLOOKUP(A989,'DATOS GENERALES'!A:B,2,0)</f>
        <v>1</v>
      </c>
      <c r="G989" s="36">
        <f t="shared" si="75"/>
        <v>0.99539999999999995</v>
      </c>
      <c r="H989" s="38">
        <f t="shared" si="76"/>
        <v>50569960.819770947</v>
      </c>
      <c r="I989" s="38">
        <f t="shared" si="77"/>
        <v>-232621.8197709471</v>
      </c>
      <c r="J989" s="38">
        <v>6707131.1813661829</v>
      </c>
      <c r="K989" s="38">
        <f t="shared" si="78"/>
        <v>-6939753.00113713</v>
      </c>
      <c r="L989" s="41">
        <f>VLOOKUP(INDICADORES!$B$21,'DATOS GENERALES'!$K:$M,3,0)*E989</f>
        <v>342597.25266452116</v>
      </c>
      <c r="M989" s="38">
        <f t="shared" si="79"/>
        <v>-7282350.2538016513</v>
      </c>
      <c r="N989" s="36"/>
      <c r="O989" s="36"/>
      <c r="P989" s="36"/>
    </row>
    <row r="990" spans="1:16" x14ac:dyDescent="0.25">
      <c r="A990" s="36">
        <v>1888</v>
      </c>
      <c r="B990" s="37">
        <v>43617</v>
      </c>
      <c r="C990" s="36" t="s">
        <v>195</v>
      </c>
      <c r="D990" s="36"/>
      <c r="E990" s="38">
        <v>50337339</v>
      </c>
      <c r="F990" s="40">
        <f>VLOOKUP(A990,'DATOS GENERALES'!A:B,2,0)</f>
        <v>1</v>
      </c>
      <c r="G990" s="36">
        <f t="shared" si="75"/>
        <v>0.99539999999999995</v>
      </c>
      <c r="H990" s="38">
        <f t="shared" si="76"/>
        <v>50569960.819770947</v>
      </c>
      <c r="I990" s="38">
        <f t="shared" si="77"/>
        <v>-232621.8197709471</v>
      </c>
      <c r="J990" s="38">
        <v>9019520.7329975516</v>
      </c>
      <c r="K990" s="38">
        <f t="shared" si="78"/>
        <v>-9252142.5527684987</v>
      </c>
      <c r="L990" s="41">
        <f>VLOOKUP(INDICADORES!$B$21,'DATOS GENERALES'!$K:$M,3,0)*E990</f>
        <v>342597.25266452116</v>
      </c>
      <c r="M990" s="38">
        <f t="shared" si="79"/>
        <v>-9594739.80543302</v>
      </c>
      <c r="N990" s="36"/>
      <c r="O990" s="36"/>
      <c r="P990" s="36"/>
    </row>
    <row r="991" spans="1:16" x14ac:dyDescent="0.25">
      <c r="A991" s="36">
        <v>1888</v>
      </c>
      <c r="B991" s="37">
        <v>43647</v>
      </c>
      <c r="C991" s="36" t="s">
        <v>195</v>
      </c>
      <c r="D991" s="36"/>
      <c r="E991" s="38">
        <v>39863714</v>
      </c>
      <c r="F991" s="40">
        <f>VLOOKUP(A991,'DATOS GENERALES'!A:B,2,0)</f>
        <v>1</v>
      </c>
      <c r="G991" s="36">
        <f t="shared" si="75"/>
        <v>0.99539999999999995</v>
      </c>
      <c r="H991" s="38">
        <f t="shared" si="76"/>
        <v>40047934.498693995</v>
      </c>
      <c r="I991" s="38">
        <f t="shared" si="77"/>
        <v>-184220.49869399518</v>
      </c>
      <c r="J991" s="38">
        <v>10652082.830588663</v>
      </c>
      <c r="K991" s="38">
        <f t="shared" si="78"/>
        <v>-10836303.329282658</v>
      </c>
      <c r="L991" s="41">
        <f>VLOOKUP(INDICADORES!$B$21,'DATOS GENERALES'!$K:$M,3,0)*E991</f>
        <v>271313.48555004486</v>
      </c>
      <c r="M991" s="38">
        <f t="shared" si="79"/>
        <v>-11107616.814832702</v>
      </c>
      <c r="N991" s="36"/>
      <c r="O991" s="36"/>
      <c r="P991" s="36"/>
    </row>
    <row r="992" spans="1:16" x14ac:dyDescent="0.25">
      <c r="A992" s="36">
        <v>1888</v>
      </c>
      <c r="B992" s="37">
        <v>43678</v>
      </c>
      <c r="C992" s="36" t="s">
        <v>195</v>
      </c>
      <c r="D992" s="36"/>
      <c r="E992" s="38">
        <v>39863714</v>
      </c>
      <c r="F992" s="40">
        <f>VLOOKUP(A992,'DATOS GENERALES'!A:B,2,0)</f>
        <v>1</v>
      </c>
      <c r="G992" s="36">
        <f t="shared" si="75"/>
        <v>0.99539999999999995</v>
      </c>
      <c r="H992" s="38">
        <f t="shared" si="76"/>
        <v>40047934.498693995</v>
      </c>
      <c r="I992" s="38">
        <f t="shared" si="77"/>
        <v>-184220.49869399518</v>
      </c>
      <c r="J992" s="38">
        <v>10482035.704424197</v>
      </c>
      <c r="K992" s="38">
        <f t="shared" si="78"/>
        <v>-10666256.203118192</v>
      </c>
      <c r="L992" s="41">
        <f>VLOOKUP(INDICADORES!$B$21,'DATOS GENERALES'!$K:$M,3,0)*E992</f>
        <v>271313.48555004486</v>
      </c>
      <c r="M992" s="38">
        <f t="shared" si="79"/>
        <v>-10937569.688668236</v>
      </c>
      <c r="N992" s="36"/>
      <c r="O992" s="36"/>
      <c r="P992" s="36"/>
    </row>
    <row r="993" spans="1:16" x14ac:dyDescent="0.25">
      <c r="A993" s="36">
        <v>1888</v>
      </c>
      <c r="B993" s="37">
        <v>43709</v>
      </c>
      <c r="C993" s="36" t="s">
        <v>195</v>
      </c>
      <c r="D993" s="36"/>
      <c r="E993" s="38">
        <v>39863714</v>
      </c>
      <c r="F993" s="40">
        <f>VLOOKUP(A993,'DATOS GENERALES'!A:B,2,0)</f>
        <v>1</v>
      </c>
      <c r="G993" s="36">
        <f t="shared" si="75"/>
        <v>0.99539999999999995</v>
      </c>
      <c r="H993" s="38">
        <f t="shared" si="76"/>
        <v>40047934.498693995</v>
      </c>
      <c r="I993" s="38">
        <f t="shared" si="77"/>
        <v>-184220.49869399518</v>
      </c>
      <c r="J993" s="38">
        <v>11846514.228100585</v>
      </c>
      <c r="K993" s="38">
        <f t="shared" si="78"/>
        <v>-12030734.72679458</v>
      </c>
      <c r="L993" s="41">
        <f>VLOOKUP(INDICADORES!$B$21,'DATOS GENERALES'!$K:$M,3,0)*E993</f>
        <v>271313.48555004486</v>
      </c>
      <c r="M993" s="38">
        <f t="shared" si="79"/>
        <v>-12302048.212344624</v>
      </c>
      <c r="N993" s="36"/>
      <c r="O993" s="36"/>
      <c r="P993" s="36"/>
    </row>
    <row r="994" spans="1:16" x14ac:dyDescent="0.25">
      <c r="A994" s="36">
        <v>1888</v>
      </c>
      <c r="B994" s="37">
        <v>43739</v>
      </c>
      <c r="C994" s="36" t="s">
        <v>195</v>
      </c>
      <c r="D994" s="36"/>
      <c r="E994" s="38">
        <v>39863714</v>
      </c>
      <c r="F994" s="40">
        <f>VLOOKUP(A994,'DATOS GENERALES'!A:B,2,0)</f>
        <v>1</v>
      </c>
      <c r="G994" s="36">
        <f t="shared" si="75"/>
        <v>0.99539999999999995</v>
      </c>
      <c r="H994" s="38">
        <f t="shared" si="76"/>
        <v>40047934.498693995</v>
      </c>
      <c r="I994" s="38">
        <f t="shared" si="77"/>
        <v>-184220.49869399518</v>
      </c>
      <c r="J994" s="38">
        <v>12810781.876173295</v>
      </c>
      <c r="K994" s="38">
        <f t="shared" si="78"/>
        <v>-12995002.37486729</v>
      </c>
      <c r="L994" s="41">
        <f>VLOOKUP(INDICADORES!$B$21,'DATOS GENERALES'!$K:$M,3,0)*E994</f>
        <v>271313.48555004486</v>
      </c>
      <c r="M994" s="38">
        <f t="shared" si="79"/>
        <v>-13266315.860417334</v>
      </c>
      <c r="N994" s="36"/>
      <c r="O994" s="36"/>
      <c r="P994" s="36"/>
    </row>
    <row r="995" spans="1:16" x14ac:dyDescent="0.25">
      <c r="A995" s="36">
        <v>1888</v>
      </c>
      <c r="B995" s="37">
        <v>43770</v>
      </c>
      <c r="C995" s="36" t="s">
        <v>195</v>
      </c>
      <c r="D995" s="36"/>
      <c r="E995" s="38">
        <v>39863714</v>
      </c>
      <c r="F995" s="40">
        <f>VLOOKUP(A995,'DATOS GENERALES'!A:B,2,0)</f>
        <v>1</v>
      </c>
      <c r="G995" s="36">
        <f t="shared" si="75"/>
        <v>0.99539999999999995</v>
      </c>
      <c r="H995" s="38">
        <f t="shared" si="76"/>
        <v>40047934.498693995</v>
      </c>
      <c r="I995" s="38">
        <f t="shared" si="77"/>
        <v>-184220.49869399518</v>
      </c>
      <c r="J995" s="38">
        <v>17133477.279706087</v>
      </c>
      <c r="K995" s="38">
        <f t="shared" si="78"/>
        <v>-17317697.778400082</v>
      </c>
      <c r="L995" s="41">
        <f>VLOOKUP(INDICADORES!$B$21,'DATOS GENERALES'!$K:$M,3,0)*E995</f>
        <v>271313.48555004486</v>
      </c>
      <c r="M995" s="38">
        <f t="shared" si="79"/>
        <v>-17589011.263950128</v>
      </c>
      <c r="N995" s="36"/>
      <c r="O995" s="36"/>
      <c r="P995" s="36"/>
    </row>
    <row r="996" spans="1:16" x14ac:dyDescent="0.25">
      <c r="A996" s="36">
        <v>1888</v>
      </c>
      <c r="B996" s="37">
        <v>43800</v>
      </c>
      <c r="C996" s="36" t="s">
        <v>195</v>
      </c>
      <c r="D996" s="36"/>
      <c r="E996" s="38">
        <v>39863714</v>
      </c>
      <c r="F996" s="40">
        <f>VLOOKUP(A996,'DATOS GENERALES'!A:B,2,0)</f>
        <v>1</v>
      </c>
      <c r="G996" s="36">
        <f t="shared" si="75"/>
        <v>0.99539999999999995</v>
      </c>
      <c r="H996" s="38">
        <f t="shared" si="76"/>
        <v>40047934.498693995</v>
      </c>
      <c r="I996" s="38">
        <f t="shared" si="77"/>
        <v>-184220.49869399518</v>
      </c>
      <c r="J996" s="38">
        <v>14426171.885630608</v>
      </c>
      <c r="K996" s="38">
        <f t="shared" si="78"/>
        <v>-14610392.384324603</v>
      </c>
      <c r="L996" s="41">
        <f>VLOOKUP(INDICADORES!$B$21,'DATOS GENERALES'!$K:$M,3,0)*E996</f>
        <v>271313.48555004486</v>
      </c>
      <c r="M996" s="38">
        <f t="shared" si="79"/>
        <v>-14881705.869874647</v>
      </c>
      <c r="N996" s="36"/>
      <c r="O996" s="36"/>
      <c r="P996" s="36"/>
    </row>
    <row r="997" spans="1:16" x14ac:dyDescent="0.25">
      <c r="A997" s="36">
        <v>1888</v>
      </c>
      <c r="B997" s="37">
        <v>43831</v>
      </c>
      <c r="C997" s="36" t="s">
        <v>195</v>
      </c>
      <c r="D997" s="36"/>
      <c r="E997" s="38">
        <v>39863714</v>
      </c>
      <c r="F997" s="40">
        <f>VLOOKUP(A997,'DATOS GENERALES'!A:B,2,0)</f>
        <v>1</v>
      </c>
      <c r="G997" s="36">
        <f t="shared" si="75"/>
        <v>0.99539999999999995</v>
      </c>
      <c r="H997" s="38">
        <f t="shared" si="76"/>
        <v>40047934.498693995</v>
      </c>
      <c r="I997" s="38">
        <f t="shared" si="77"/>
        <v>-184220.49869399518</v>
      </c>
      <c r="J997" s="38" t="s">
        <v>213</v>
      </c>
      <c r="K997" s="38" t="str">
        <f t="shared" si="78"/>
        <v/>
      </c>
      <c r="L997" s="41">
        <f>VLOOKUP(INDICADORES!$B$21,'DATOS GENERALES'!$K:$M,3,0)*E997</f>
        <v>271313.48555004486</v>
      </c>
      <c r="M997" s="38" t="str">
        <f t="shared" si="79"/>
        <v/>
      </c>
      <c r="N997" s="36"/>
      <c r="O997" s="36"/>
      <c r="P997" s="36"/>
    </row>
    <row r="998" spans="1:16" x14ac:dyDescent="0.25">
      <c r="A998" s="36">
        <v>1888</v>
      </c>
      <c r="B998" s="37">
        <v>43862</v>
      </c>
      <c r="C998" s="36" t="s">
        <v>195</v>
      </c>
      <c r="D998" s="36"/>
      <c r="E998" s="38">
        <v>35856914</v>
      </c>
      <c r="F998" s="40">
        <f>VLOOKUP(A998,'DATOS GENERALES'!A:B,2,0)</f>
        <v>1</v>
      </c>
      <c r="G998" s="36">
        <f t="shared" si="75"/>
        <v>0.99539999999999995</v>
      </c>
      <c r="H998" s="38">
        <f t="shared" si="76"/>
        <v>36022618.042997792</v>
      </c>
      <c r="I998" s="38">
        <f t="shared" si="77"/>
        <v>-165704.04299779236</v>
      </c>
      <c r="J998" s="38" t="s">
        <v>213</v>
      </c>
      <c r="K998" s="38" t="str">
        <f t="shared" si="78"/>
        <v/>
      </c>
      <c r="L998" s="41">
        <f>VLOOKUP(INDICADORES!$B$21,'DATOS GENERALES'!$K:$M,3,0)*E998</f>
        <v>244043.09940634738</v>
      </c>
      <c r="M998" s="38" t="str">
        <f t="shared" si="79"/>
        <v/>
      </c>
      <c r="N998" s="36"/>
      <c r="O998" s="36"/>
      <c r="P998" s="36"/>
    </row>
    <row r="999" spans="1:16" x14ac:dyDescent="0.25">
      <c r="A999" s="36">
        <v>1888</v>
      </c>
      <c r="B999" s="37">
        <v>43891</v>
      </c>
      <c r="C999" s="36" t="s">
        <v>195</v>
      </c>
      <c r="D999" s="36"/>
      <c r="E999" s="38">
        <v>3170664</v>
      </c>
      <c r="F999" s="40">
        <f>VLOOKUP(A999,'DATOS GENERALES'!A:B,2,0)</f>
        <v>1</v>
      </c>
      <c r="G999" s="36">
        <f t="shared" si="75"/>
        <v>0.99539999999999995</v>
      </c>
      <c r="H999" s="38">
        <f t="shared" si="76"/>
        <v>3185316.4556962028</v>
      </c>
      <c r="I999" s="38">
        <f t="shared" si="77"/>
        <v>-14652.455696202815</v>
      </c>
      <c r="J999" s="38" t="s">
        <v>213</v>
      </c>
      <c r="K999" s="38" t="str">
        <f t="shared" si="78"/>
        <v/>
      </c>
      <c r="L999" s="41">
        <f>VLOOKUP(INDICADORES!$B$21,'DATOS GENERALES'!$K:$M,3,0)*E999</f>
        <v>21579.622544654205</v>
      </c>
      <c r="M999" s="38" t="str">
        <f t="shared" si="79"/>
        <v/>
      </c>
      <c r="N999" s="36"/>
      <c r="O999" s="36"/>
      <c r="P999" s="36"/>
    </row>
    <row r="1000" spans="1:16" x14ac:dyDescent="0.25">
      <c r="A1000" s="36">
        <v>1888</v>
      </c>
      <c r="B1000" s="37">
        <v>43922</v>
      </c>
      <c r="C1000" s="36" t="s">
        <v>195</v>
      </c>
      <c r="D1000" s="36"/>
      <c r="E1000" s="38">
        <v>3170664</v>
      </c>
      <c r="F1000" s="40">
        <f>VLOOKUP(A1000,'DATOS GENERALES'!A:B,2,0)</f>
        <v>1</v>
      </c>
      <c r="G1000" s="36">
        <f t="shared" si="75"/>
        <v>0.99539999999999995</v>
      </c>
      <c r="H1000" s="38">
        <f t="shared" si="76"/>
        <v>3185316.4556962028</v>
      </c>
      <c r="I1000" s="38">
        <f t="shared" si="77"/>
        <v>-14652.455696202815</v>
      </c>
      <c r="J1000" s="38" t="s">
        <v>213</v>
      </c>
      <c r="K1000" s="38" t="str">
        <f t="shared" si="78"/>
        <v/>
      </c>
      <c r="L1000" s="41">
        <f>VLOOKUP(INDICADORES!$B$21,'DATOS GENERALES'!$K:$M,3,0)*E1000</f>
        <v>21579.622544654205</v>
      </c>
      <c r="M1000" s="38" t="str">
        <f t="shared" si="79"/>
        <v/>
      </c>
      <c r="N1000" s="36"/>
      <c r="O1000" s="36"/>
      <c r="P1000" s="36"/>
    </row>
    <row r="1001" spans="1:16" x14ac:dyDescent="0.25">
      <c r="A1001" s="36">
        <v>1888</v>
      </c>
      <c r="B1001" s="37">
        <v>43952</v>
      </c>
      <c r="C1001" s="36" t="s">
        <v>195</v>
      </c>
      <c r="D1001" s="36"/>
      <c r="E1001" s="38">
        <v>3170664</v>
      </c>
      <c r="F1001" s="40">
        <f>VLOOKUP(A1001,'DATOS GENERALES'!A:B,2,0)</f>
        <v>1</v>
      </c>
      <c r="G1001" s="36">
        <f t="shared" si="75"/>
        <v>0.99539999999999995</v>
      </c>
      <c r="H1001" s="38">
        <f t="shared" si="76"/>
        <v>3185316.4556962028</v>
      </c>
      <c r="I1001" s="38">
        <f t="shared" si="77"/>
        <v>-14652.455696202815</v>
      </c>
      <c r="J1001" s="38" t="s">
        <v>213</v>
      </c>
      <c r="K1001" s="38" t="str">
        <f t="shared" si="78"/>
        <v/>
      </c>
      <c r="L1001" s="41">
        <f>VLOOKUP(INDICADORES!$B$21,'DATOS GENERALES'!$K:$M,3,0)*E1001</f>
        <v>21579.622544654205</v>
      </c>
      <c r="M1001" s="38" t="str">
        <f t="shared" si="79"/>
        <v/>
      </c>
      <c r="N1001" s="36"/>
      <c r="O1001" s="36"/>
      <c r="P1001" s="36"/>
    </row>
    <row r="1002" spans="1:16" x14ac:dyDescent="0.25">
      <c r="A1002" s="36">
        <v>1891</v>
      </c>
      <c r="B1002" s="37">
        <v>43497</v>
      </c>
      <c r="C1002" s="36" t="s">
        <v>195</v>
      </c>
      <c r="D1002" s="36"/>
      <c r="E1002" s="38">
        <v>71835513.627000004</v>
      </c>
      <c r="F1002" s="40">
        <f>VLOOKUP(A1002,'DATOS GENERALES'!A:B,2,0)</f>
        <v>2.79</v>
      </c>
      <c r="G1002" s="36">
        <f t="shared" si="75"/>
        <v>2.7771659999999998</v>
      </c>
      <c r="H1002" s="38">
        <f t="shared" si="76"/>
        <v>25866481.739658345</v>
      </c>
      <c r="I1002" s="38">
        <f t="shared" si="77"/>
        <v>45969031.887341663</v>
      </c>
      <c r="J1002" s="38">
        <v>5591243.0136025101</v>
      </c>
      <c r="K1002" s="38">
        <f t="shared" si="78"/>
        <v>40377788.873739153</v>
      </c>
      <c r="L1002" s="41">
        <f>VLOOKUP(INDICADORES!$B$21,'DATOS GENERALES'!$K:$M,3,0)*E1002</f>
        <v>488914.3943893215</v>
      </c>
      <c r="M1002" s="38">
        <f t="shared" si="79"/>
        <v>39888874.479349829</v>
      </c>
      <c r="N1002" s="36"/>
      <c r="O1002" s="36"/>
      <c r="P1002" s="36"/>
    </row>
    <row r="1003" spans="1:16" x14ac:dyDescent="0.25">
      <c r="A1003" s="36">
        <v>1891</v>
      </c>
      <c r="B1003" s="37">
        <v>43525</v>
      </c>
      <c r="C1003" s="36" t="s">
        <v>195</v>
      </c>
      <c r="D1003" s="36"/>
      <c r="E1003" s="38">
        <v>71835513.627000004</v>
      </c>
      <c r="F1003" s="40">
        <f>VLOOKUP(A1003,'DATOS GENERALES'!A:B,2,0)</f>
        <v>2.79</v>
      </c>
      <c r="G1003" s="36">
        <f t="shared" si="75"/>
        <v>2.7771659999999998</v>
      </c>
      <c r="H1003" s="38">
        <f t="shared" si="76"/>
        <v>25866481.739658345</v>
      </c>
      <c r="I1003" s="38">
        <f t="shared" si="77"/>
        <v>45969031.887341663</v>
      </c>
      <c r="J1003" s="38">
        <v>4045194.9728932194</v>
      </c>
      <c r="K1003" s="38">
        <f t="shared" si="78"/>
        <v>41923836.91444844</v>
      </c>
      <c r="L1003" s="41">
        <f>VLOOKUP(INDICADORES!$B$21,'DATOS GENERALES'!$K:$M,3,0)*E1003</f>
        <v>488914.3943893215</v>
      </c>
      <c r="M1003" s="38">
        <f t="shared" si="79"/>
        <v>41434922.520059116</v>
      </c>
      <c r="N1003" s="36"/>
      <c r="O1003" s="36"/>
      <c r="P1003" s="36"/>
    </row>
    <row r="1004" spans="1:16" x14ac:dyDescent="0.25">
      <c r="A1004" s="36">
        <v>1891</v>
      </c>
      <c r="B1004" s="37">
        <v>43556</v>
      </c>
      <c r="C1004" s="36" t="s">
        <v>195</v>
      </c>
      <c r="D1004" s="36"/>
      <c r="E1004" s="38">
        <v>71835513.627000004</v>
      </c>
      <c r="F1004" s="40">
        <f>VLOOKUP(A1004,'DATOS GENERALES'!A:B,2,0)</f>
        <v>2.79</v>
      </c>
      <c r="G1004" s="36">
        <f t="shared" si="75"/>
        <v>2.7771659999999998</v>
      </c>
      <c r="H1004" s="38">
        <f t="shared" si="76"/>
        <v>25866481.739658345</v>
      </c>
      <c r="I1004" s="38">
        <f t="shared" si="77"/>
        <v>45969031.887341663</v>
      </c>
      <c r="J1004" s="38">
        <v>4158765.311095308</v>
      </c>
      <c r="K1004" s="38">
        <f t="shared" si="78"/>
        <v>41810266.576246358</v>
      </c>
      <c r="L1004" s="41">
        <f>VLOOKUP(INDICADORES!$B$21,'DATOS GENERALES'!$K:$M,3,0)*E1004</f>
        <v>488914.3943893215</v>
      </c>
      <c r="M1004" s="38">
        <f t="shared" si="79"/>
        <v>41321352.181857035</v>
      </c>
      <c r="N1004" s="36"/>
      <c r="O1004" s="36"/>
      <c r="P1004" s="36"/>
    </row>
    <row r="1005" spans="1:16" x14ac:dyDescent="0.25">
      <c r="A1005" s="36">
        <v>1891</v>
      </c>
      <c r="B1005" s="37">
        <v>43586</v>
      </c>
      <c r="C1005" s="36" t="s">
        <v>195</v>
      </c>
      <c r="D1005" s="36"/>
      <c r="E1005" s="38">
        <v>71835513.627000004</v>
      </c>
      <c r="F1005" s="40">
        <f>VLOOKUP(A1005,'DATOS GENERALES'!A:B,2,0)</f>
        <v>2.79</v>
      </c>
      <c r="G1005" s="36">
        <f t="shared" si="75"/>
        <v>2.7771659999999998</v>
      </c>
      <c r="H1005" s="38">
        <f t="shared" si="76"/>
        <v>25866481.739658345</v>
      </c>
      <c r="I1005" s="38">
        <f t="shared" si="77"/>
        <v>45969031.887341663</v>
      </c>
      <c r="J1005" s="38">
        <v>3430690.5407067961</v>
      </c>
      <c r="K1005" s="38">
        <f t="shared" si="78"/>
        <v>42538341.346634865</v>
      </c>
      <c r="L1005" s="41">
        <f>VLOOKUP(INDICADORES!$B$21,'DATOS GENERALES'!$K:$M,3,0)*E1005</f>
        <v>488914.3943893215</v>
      </c>
      <c r="M1005" s="38">
        <f t="shared" si="79"/>
        <v>42049426.952245541</v>
      </c>
      <c r="N1005" s="36"/>
      <c r="O1005" s="36"/>
      <c r="P1005" s="36"/>
    </row>
    <row r="1006" spans="1:16" x14ac:dyDescent="0.25">
      <c r="A1006" s="36">
        <v>1891</v>
      </c>
      <c r="B1006" s="37">
        <v>43617</v>
      </c>
      <c r="C1006" s="36" t="s">
        <v>195</v>
      </c>
      <c r="D1006" s="36"/>
      <c r="E1006" s="38">
        <v>71835513.627000004</v>
      </c>
      <c r="F1006" s="40">
        <f>VLOOKUP(A1006,'DATOS GENERALES'!A:B,2,0)</f>
        <v>2.79</v>
      </c>
      <c r="G1006" s="36">
        <f t="shared" si="75"/>
        <v>2.7771659999999998</v>
      </c>
      <c r="H1006" s="38">
        <f t="shared" si="76"/>
        <v>25866481.739658345</v>
      </c>
      <c r="I1006" s="38">
        <f t="shared" si="77"/>
        <v>45969031.887341663</v>
      </c>
      <c r="J1006" s="38">
        <v>4613475.362815355</v>
      </c>
      <c r="K1006" s="38">
        <f t="shared" si="78"/>
        <v>41355556.524526305</v>
      </c>
      <c r="L1006" s="41">
        <f>VLOOKUP(INDICADORES!$B$21,'DATOS GENERALES'!$K:$M,3,0)*E1006</f>
        <v>488914.3943893215</v>
      </c>
      <c r="M1006" s="38">
        <f t="shared" si="79"/>
        <v>40866642.130136982</v>
      </c>
      <c r="N1006" s="36"/>
      <c r="O1006" s="36"/>
      <c r="P1006" s="36"/>
    </row>
    <row r="1007" spans="1:16" x14ac:dyDescent="0.25">
      <c r="A1007" s="36">
        <v>1891</v>
      </c>
      <c r="B1007" s="37">
        <v>43647</v>
      </c>
      <c r="C1007" s="36" t="s">
        <v>195</v>
      </c>
      <c r="D1007" s="36"/>
      <c r="E1007" s="38">
        <v>71835513.627000004</v>
      </c>
      <c r="F1007" s="40">
        <f>VLOOKUP(A1007,'DATOS GENERALES'!A:B,2,0)</f>
        <v>2.79</v>
      </c>
      <c r="G1007" s="36">
        <f t="shared" si="75"/>
        <v>2.7771659999999998</v>
      </c>
      <c r="H1007" s="38">
        <f t="shared" si="76"/>
        <v>25866481.739658345</v>
      </c>
      <c r="I1007" s="38">
        <f t="shared" si="77"/>
        <v>45969031.887341663</v>
      </c>
      <c r="J1007" s="38">
        <v>6880052.8535556607</v>
      </c>
      <c r="K1007" s="38">
        <f t="shared" si="78"/>
        <v>39088979.033785999</v>
      </c>
      <c r="L1007" s="41">
        <f>VLOOKUP(INDICADORES!$B$21,'DATOS GENERALES'!$K:$M,3,0)*E1007</f>
        <v>488914.3943893215</v>
      </c>
      <c r="M1007" s="38">
        <f t="shared" si="79"/>
        <v>38600064.639396675</v>
      </c>
      <c r="N1007" s="36"/>
      <c r="O1007" s="36"/>
      <c r="P1007" s="36"/>
    </row>
    <row r="1008" spans="1:16" x14ac:dyDescent="0.25">
      <c r="A1008" s="36">
        <v>1891</v>
      </c>
      <c r="B1008" s="37">
        <v>43678</v>
      </c>
      <c r="C1008" s="36" t="s">
        <v>195</v>
      </c>
      <c r="D1008" s="36"/>
      <c r="E1008" s="38">
        <v>71835513.627000004</v>
      </c>
      <c r="F1008" s="40">
        <f>VLOOKUP(A1008,'DATOS GENERALES'!A:B,2,0)</f>
        <v>2.79</v>
      </c>
      <c r="G1008" s="36">
        <f t="shared" si="75"/>
        <v>2.7771659999999998</v>
      </c>
      <c r="H1008" s="38">
        <f t="shared" si="76"/>
        <v>25866481.739658345</v>
      </c>
      <c r="I1008" s="38">
        <f t="shared" si="77"/>
        <v>45969031.887341663</v>
      </c>
      <c r="J1008" s="38">
        <v>6770221.4492929028</v>
      </c>
      <c r="K1008" s="38">
        <f t="shared" si="78"/>
        <v>39198810.438048758</v>
      </c>
      <c r="L1008" s="41">
        <f>VLOOKUP(INDICADORES!$B$21,'DATOS GENERALES'!$K:$M,3,0)*E1008</f>
        <v>488914.3943893215</v>
      </c>
      <c r="M1008" s="38">
        <f t="shared" si="79"/>
        <v>38709896.043659434</v>
      </c>
      <c r="N1008" s="36"/>
      <c r="O1008" s="36"/>
      <c r="P1008" s="36"/>
    </row>
    <row r="1009" spans="1:16" x14ac:dyDescent="0.25">
      <c r="A1009" s="36">
        <v>1891</v>
      </c>
      <c r="B1009" s="37">
        <v>43709</v>
      </c>
      <c r="C1009" s="36" t="s">
        <v>195</v>
      </c>
      <c r="D1009" s="36"/>
      <c r="E1009" s="38">
        <v>71835513.627000004</v>
      </c>
      <c r="F1009" s="40">
        <f>VLOOKUP(A1009,'DATOS GENERALES'!A:B,2,0)</f>
        <v>2.79</v>
      </c>
      <c r="G1009" s="36">
        <f t="shared" si="75"/>
        <v>2.7771659999999998</v>
      </c>
      <c r="H1009" s="38">
        <f t="shared" si="76"/>
        <v>25866481.739658345</v>
      </c>
      <c r="I1009" s="38">
        <f t="shared" si="77"/>
        <v>45969031.887341663</v>
      </c>
      <c r="J1009" s="38">
        <v>7651521.8024480008</v>
      </c>
      <c r="K1009" s="38">
        <f t="shared" si="78"/>
        <v>38317510.084893659</v>
      </c>
      <c r="L1009" s="41">
        <f>VLOOKUP(INDICADORES!$B$21,'DATOS GENERALES'!$K:$M,3,0)*E1009</f>
        <v>488914.3943893215</v>
      </c>
      <c r="M1009" s="38">
        <f t="shared" si="79"/>
        <v>37828595.690504335</v>
      </c>
      <c r="N1009" s="36"/>
      <c r="O1009" s="36"/>
      <c r="P1009" s="36"/>
    </row>
    <row r="1010" spans="1:16" x14ac:dyDescent="0.25">
      <c r="A1010" s="36">
        <v>1891</v>
      </c>
      <c r="B1010" s="37">
        <v>43739</v>
      </c>
      <c r="C1010" s="36" t="s">
        <v>195</v>
      </c>
      <c r="D1010" s="36"/>
      <c r="E1010" s="38">
        <v>71835513.627000004</v>
      </c>
      <c r="F1010" s="40">
        <f>VLOOKUP(A1010,'DATOS GENERALES'!A:B,2,0)</f>
        <v>2.79</v>
      </c>
      <c r="G1010" s="36">
        <f t="shared" si="75"/>
        <v>2.7771659999999998</v>
      </c>
      <c r="H1010" s="38">
        <f t="shared" si="76"/>
        <v>25866481.739658345</v>
      </c>
      <c r="I1010" s="38">
        <f t="shared" si="77"/>
        <v>45969031.887341663</v>
      </c>
      <c r="J1010" s="38">
        <v>8274330.7393690646</v>
      </c>
      <c r="K1010" s="38">
        <f t="shared" si="78"/>
        <v>37694701.147972599</v>
      </c>
      <c r="L1010" s="41">
        <f>VLOOKUP(INDICADORES!$B$21,'DATOS GENERALES'!$K:$M,3,0)*E1010</f>
        <v>488914.3943893215</v>
      </c>
      <c r="M1010" s="38">
        <f t="shared" si="79"/>
        <v>37205786.753583275</v>
      </c>
      <c r="N1010" s="36"/>
      <c r="O1010" s="36"/>
      <c r="P1010" s="36"/>
    </row>
    <row r="1011" spans="1:16" x14ac:dyDescent="0.25">
      <c r="A1011" s="36">
        <v>1891</v>
      </c>
      <c r="B1011" s="37">
        <v>43770</v>
      </c>
      <c r="C1011" s="36" t="s">
        <v>195</v>
      </c>
      <c r="D1011" s="36"/>
      <c r="E1011" s="38">
        <v>71835513.627000004</v>
      </c>
      <c r="F1011" s="40">
        <f>VLOOKUP(A1011,'DATOS GENERALES'!A:B,2,0)</f>
        <v>2.79</v>
      </c>
      <c r="G1011" s="36">
        <f t="shared" si="75"/>
        <v>2.7771659999999998</v>
      </c>
      <c r="H1011" s="38">
        <f t="shared" si="76"/>
        <v>25866481.739658345</v>
      </c>
      <c r="I1011" s="38">
        <f t="shared" si="77"/>
        <v>45969031.887341663</v>
      </c>
      <c r="J1011" s="38">
        <v>11066307.981671847</v>
      </c>
      <c r="K1011" s="38">
        <f t="shared" si="78"/>
        <v>34902723.905669816</v>
      </c>
      <c r="L1011" s="41">
        <f>VLOOKUP(INDICADORES!$B$21,'DATOS GENERALES'!$K:$M,3,0)*E1011</f>
        <v>488914.3943893215</v>
      </c>
      <c r="M1011" s="38">
        <f t="shared" si="79"/>
        <v>34413809.511280492</v>
      </c>
      <c r="N1011" s="36"/>
      <c r="O1011" s="36"/>
      <c r="P1011" s="36"/>
    </row>
    <row r="1012" spans="1:16" x14ac:dyDescent="0.25">
      <c r="A1012" s="36">
        <v>1891</v>
      </c>
      <c r="B1012" s="37">
        <v>43800</v>
      </c>
      <c r="C1012" s="36" t="s">
        <v>195</v>
      </c>
      <c r="D1012" s="36"/>
      <c r="E1012" s="38">
        <v>67834346.519999996</v>
      </c>
      <c r="F1012" s="40">
        <f>VLOOKUP(A1012,'DATOS GENERALES'!A:B,2,0)</f>
        <v>2.79</v>
      </c>
      <c r="G1012" s="36">
        <f t="shared" si="75"/>
        <v>2.7771659999999998</v>
      </c>
      <c r="H1012" s="38">
        <f t="shared" si="76"/>
        <v>24425744.273118712</v>
      </c>
      <c r="I1012" s="38">
        <f t="shared" si="77"/>
        <v>43408602.246881284</v>
      </c>
      <c r="J1012" s="38">
        <v>8798705.5944160912</v>
      </c>
      <c r="K1012" s="38">
        <f t="shared" si="78"/>
        <v>34609896.652465194</v>
      </c>
      <c r="L1012" s="41">
        <f>VLOOKUP(INDICADORES!$B$21,'DATOS GENERALES'!$K:$M,3,0)*E1012</f>
        <v>461682.34586347762</v>
      </c>
      <c r="M1012" s="38">
        <f t="shared" si="79"/>
        <v>34148214.306601718</v>
      </c>
      <c r="N1012" s="36"/>
      <c r="O1012" s="36"/>
      <c r="P1012" s="36"/>
    </row>
    <row r="1013" spans="1:16" x14ac:dyDescent="0.25">
      <c r="A1013" s="36">
        <v>1891</v>
      </c>
      <c r="B1013" s="37">
        <v>43831</v>
      </c>
      <c r="C1013" s="36" t="s">
        <v>195</v>
      </c>
      <c r="D1013" s="36"/>
      <c r="E1013" s="38">
        <v>67834346.519999996</v>
      </c>
      <c r="F1013" s="40">
        <f>VLOOKUP(A1013,'DATOS GENERALES'!A:B,2,0)</f>
        <v>2.79</v>
      </c>
      <c r="G1013" s="36">
        <f t="shared" si="75"/>
        <v>2.7771659999999998</v>
      </c>
      <c r="H1013" s="38">
        <f t="shared" si="76"/>
        <v>24425744.273118712</v>
      </c>
      <c r="I1013" s="38">
        <f t="shared" si="77"/>
        <v>43408602.246881284</v>
      </c>
      <c r="J1013" s="38" t="s">
        <v>213</v>
      </c>
      <c r="K1013" s="38" t="str">
        <f t="shared" si="78"/>
        <v/>
      </c>
      <c r="L1013" s="41">
        <f>VLOOKUP(INDICADORES!$B$21,'DATOS GENERALES'!$K:$M,3,0)*E1013</f>
        <v>461682.34586347762</v>
      </c>
      <c r="M1013" s="38" t="str">
        <f t="shared" si="79"/>
        <v/>
      </c>
      <c r="N1013" s="36"/>
      <c r="O1013" s="36"/>
      <c r="P1013" s="36"/>
    </row>
    <row r="1014" spans="1:16" x14ac:dyDescent="0.25">
      <c r="A1014" s="36">
        <v>1891</v>
      </c>
      <c r="B1014" s="37">
        <v>43862</v>
      </c>
      <c r="C1014" s="36" t="s">
        <v>195</v>
      </c>
      <c r="D1014" s="36"/>
      <c r="E1014" s="38">
        <v>67834346.519999996</v>
      </c>
      <c r="F1014" s="40">
        <f>VLOOKUP(A1014,'DATOS GENERALES'!A:B,2,0)</f>
        <v>2.79</v>
      </c>
      <c r="G1014" s="36">
        <f t="shared" si="75"/>
        <v>2.7771659999999998</v>
      </c>
      <c r="H1014" s="38">
        <f t="shared" si="76"/>
        <v>24425744.273118712</v>
      </c>
      <c r="I1014" s="38">
        <f t="shared" si="77"/>
        <v>43408602.246881284</v>
      </c>
      <c r="J1014" s="38" t="s">
        <v>213</v>
      </c>
      <c r="K1014" s="38" t="str">
        <f t="shared" si="78"/>
        <v/>
      </c>
      <c r="L1014" s="41">
        <f>VLOOKUP(INDICADORES!$B$21,'DATOS GENERALES'!$K:$M,3,0)*E1014</f>
        <v>461682.34586347762</v>
      </c>
      <c r="M1014" s="38" t="str">
        <f t="shared" si="79"/>
        <v/>
      </c>
      <c r="N1014" s="36"/>
      <c r="O1014" s="36"/>
      <c r="P1014" s="36"/>
    </row>
    <row r="1015" spans="1:16" x14ac:dyDescent="0.25">
      <c r="A1015" s="36">
        <v>1891</v>
      </c>
      <c r="B1015" s="37">
        <v>43891</v>
      </c>
      <c r="C1015" s="36" t="s">
        <v>195</v>
      </c>
      <c r="D1015" s="36"/>
      <c r="E1015" s="38">
        <v>67834346.519999996</v>
      </c>
      <c r="F1015" s="40">
        <f>VLOOKUP(A1015,'DATOS GENERALES'!A:B,2,0)</f>
        <v>2.79</v>
      </c>
      <c r="G1015" s="36">
        <f t="shared" si="75"/>
        <v>2.7771659999999998</v>
      </c>
      <c r="H1015" s="38">
        <f t="shared" si="76"/>
        <v>24425744.273118712</v>
      </c>
      <c r="I1015" s="38">
        <f t="shared" si="77"/>
        <v>43408602.246881284</v>
      </c>
      <c r="J1015" s="38" t="s">
        <v>213</v>
      </c>
      <c r="K1015" s="38" t="str">
        <f t="shared" si="78"/>
        <v/>
      </c>
      <c r="L1015" s="41">
        <f>VLOOKUP(INDICADORES!$B$21,'DATOS GENERALES'!$K:$M,3,0)*E1015</f>
        <v>461682.34586347762</v>
      </c>
      <c r="M1015" s="38" t="str">
        <f t="shared" si="79"/>
        <v/>
      </c>
      <c r="N1015" s="36"/>
      <c r="O1015" s="36"/>
      <c r="P1015" s="36"/>
    </row>
    <row r="1016" spans="1:16" x14ac:dyDescent="0.25">
      <c r="A1016" s="36">
        <v>1891</v>
      </c>
      <c r="B1016" s="37">
        <v>43922</v>
      </c>
      <c r="C1016" s="36" t="s">
        <v>195</v>
      </c>
      <c r="D1016" s="36"/>
      <c r="E1016" s="38">
        <v>60294326.969999999</v>
      </c>
      <c r="F1016" s="40">
        <f>VLOOKUP(A1016,'DATOS GENERALES'!A:B,2,0)</f>
        <v>2.79</v>
      </c>
      <c r="G1016" s="36">
        <f t="shared" si="75"/>
        <v>2.7771659999999998</v>
      </c>
      <c r="H1016" s="38">
        <f t="shared" si="76"/>
        <v>21710739.282419562</v>
      </c>
      <c r="I1016" s="38">
        <f t="shared" si="77"/>
        <v>38583587.687580436</v>
      </c>
      <c r="J1016" s="38" t="s">
        <v>213</v>
      </c>
      <c r="K1016" s="38" t="str">
        <f t="shared" si="78"/>
        <v/>
      </c>
      <c r="L1016" s="41">
        <f>VLOOKUP(INDICADORES!$B$21,'DATOS GENERALES'!$K:$M,3,0)*E1016</f>
        <v>410364.77456979483</v>
      </c>
      <c r="M1016" s="38" t="str">
        <f t="shared" si="79"/>
        <v/>
      </c>
      <c r="N1016" s="36"/>
      <c r="O1016" s="36"/>
      <c r="P1016" s="36"/>
    </row>
    <row r="1017" spans="1:16" x14ac:dyDescent="0.25">
      <c r="A1017" s="36">
        <v>1891</v>
      </c>
      <c r="B1017" s="37">
        <v>43952</v>
      </c>
      <c r="C1017" s="36" t="s">
        <v>195</v>
      </c>
      <c r="D1017" s="36"/>
      <c r="E1017" s="38">
        <v>60294326.969999999</v>
      </c>
      <c r="F1017" s="40">
        <f>VLOOKUP(A1017,'DATOS GENERALES'!A:B,2,0)</f>
        <v>2.79</v>
      </c>
      <c r="G1017" s="36">
        <f t="shared" si="75"/>
        <v>2.7771659999999998</v>
      </c>
      <c r="H1017" s="38">
        <f t="shared" si="76"/>
        <v>21710739.282419562</v>
      </c>
      <c r="I1017" s="38">
        <f t="shared" si="77"/>
        <v>38583587.687580436</v>
      </c>
      <c r="J1017" s="38" t="s">
        <v>213</v>
      </c>
      <c r="K1017" s="38" t="str">
        <f t="shared" si="78"/>
        <v/>
      </c>
      <c r="L1017" s="41">
        <f>VLOOKUP(INDICADORES!$B$21,'DATOS GENERALES'!$K:$M,3,0)*E1017</f>
        <v>410364.77456979483</v>
      </c>
      <c r="M1017" s="38" t="str">
        <f t="shared" si="79"/>
        <v/>
      </c>
      <c r="N1017" s="36"/>
      <c r="O1017" s="36"/>
      <c r="P1017" s="36"/>
    </row>
    <row r="1018" spans="1:16" x14ac:dyDescent="0.25">
      <c r="A1018" s="36">
        <v>1891</v>
      </c>
      <c r="B1018" s="37">
        <v>43983</v>
      </c>
      <c r="C1018" s="36" t="s">
        <v>195</v>
      </c>
      <c r="D1018" s="36"/>
      <c r="E1018" s="38">
        <v>60294326.969999999</v>
      </c>
      <c r="F1018" s="40">
        <f>VLOOKUP(A1018,'DATOS GENERALES'!A:B,2,0)</f>
        <v>2.79</v>
      </c>
      <c r="G1018" s="36">
        <f t="shared" si="75"/>
        <v>2.7771659999999998</v>
      </c>
      <c r="H1018" s="38">
        <f t="shared" si="76"/>
        <v>21710739.282419562</v>
      </c>
      <c r="I1018" s="38">
        <f t="shared" si="77"/>
        <v>38583587.687580436</v>
      </c>
      <c r="J1018" s="38" t="s">
        <v>213</v>
      </c>
      <c r="K1018" s="38" t="str">
        <f t="shared" si="78"/>
        <v/>
      </c>
      <c r="L1018" s="41">
        <f>VLOOKUP(INDICADORES!$B$21,'DATOS GENERALES'!$K:$M,3,0)*E1018</f>
        <v>410364.77456979483</v>
      </c>
      <c r="M1018" s="38" t="str">
        <f t="shared" si="79"/>
        <v/>
      </c>
      <c r="N1018" s="36"/>
      <c r="O1018" s="36"/>
      <c r="P1018" s="36"/>
    </row>
    <row r="1019" spans="1:16" x14ac:dyDescent="0.25">
      <c r="A1019" s="36">
        <v>1891</v>
      </c>
      <c r="B1019" s="37">
        <v>44013</v>
      </c>
      <c r="C1019" s="36" t="s">
        <v>195</v>
      </c>
      <c r="D1019" s="36"/>
      <c r="E1019" s="38">
        <v>42670815.644999996</v>
      </c>
      <c r="F1019" s="40">
        <f>VLOOKUP(A1019,'DATOS GENERALES'!A:B,2,0)</f>
        <v>2.79</v>
      </c>
      <c r="G1019" s="36">
        <f t="shared" si="75"/>
        <v>2.7771659999999998</v>
      </c>
      <c r="H1019" s="38">
        <f t="shared" si="76"/>
        <v>15364877.592841048</v>
      </c>
      <c r="I1019" s="38">
        <f t="shared" si="77"/>
        <v>27305938.052158948</v>
      </c>
      <c r="J1019" s="38" t="s">
        <v>213</v>
      </c>
      <c r="K1019" s="38" t="str">
        <f t="shared" si="78"/>
        <v/>
      </c>
      <c r="L1019" s="41">
        <f>VLOOKUP(INDICADORES!$B$21,'DATOS GENERALES'!$K:$M,3,0)*E1019</f>
        <v>290418.6931480678</v>
      </c>
      <c r="M1019" s="38" t="str">
        <f t="shared" si="79"/>
        <v/>
      </c>
      <c r="N1019" s="36"/>
      <c r="O1019" s="36"/>
      <c r="P1019" s="36"/>
    </row>
    <row r="1020" spans="1:16" x14ac:dyDescent="0.25">
      <c r="A1020" s="36">
        <v>1891</v>
      </c>
      <c r="B1020" s="37">
        <v>44044</v>
      </c>
      <c r="C1020" s="36" t="s">
        <v>195</v>
      </c>
      <c r="D1020" s="36"/>
      <c r="E1020" s="38">
        <v>37747146.719999999</v>
      </c>
      <c r="F1020" s="40">
        <f>VLOOKUP(A1020,'DATOS GENERALES'!A:B,2,0)</f>
        <v>2.79</v>
      </c>
      <c r="G1020" s="36">
        <f t="shared" si="75"/>
        <v>2.7771659999999998</v>
      </c>
      <c r="H1020" s="38">
        <f t="shared" si="76"/>
        <v>13591966.313860966</v>
      </c>
      <c r="I1020" s="38">
        <f t="shared" si="77"/>
        <v>24155180.406139031</v>
      </c>
      <c r="J1020" s="38" t="s">
        <v>213</v>
      </c>
      <c r="K1020" s="38" t="str">
        <f t="shared" si="78"/>
        <v/>
      </c>
      <c r="L1020" s="41">
        <f>VLOOKUP(INDICADORES!$B$21,'DATOS GENERALES'!$K:$M,3,0)*E1020</f>
        <v>256908.07299520919</v>
      </c>
      <c r="M1020" s="38" t="str">
        <f t="shared" si="79"/>
        <v/>
      </c>
      <c r="N1020" s="36"/>
      <c r="O1020" s="36"/>
      <c r="P1020" s="36"/>
    </row>
    <row r="1021" spans="1:16" x14ac:dyDescent="0.25">
      <c r="A1021" s="36">
        <v>1891</v>
      </c>
      <c r="B1021" s="37">
        <v>44075</v>
      </c>
      <c r="C1021" s="36" t="s">
        <v>195</v>
      </c>
      <c r="D1021" s="36"/>
      <c r="E1021" s="38">
        <v>37747146.719999999</v>
      </c>
      <c r="F1021" s="40">
        <f>VLOOKUP(A1021,'DATOS GENERALES'!A:B,2,0)</f>
        <v>2.79</v>
      </c>
      <c r="G1021" s="36">
        <f t="shared" si="75"/>
        <v>2.7771659999999998</v>
      </c>
      <c r="H1021" s="38">
        <f t="shared" si="76"/>
        <v>13591966.313860966</v>
      </c>
      <c r="I1021" s="38">
        <f t="shared" si="77"/>
        <v>24155180.406139031</v>
      </c>
      <c r="J1021" s="38" t="s">
        <v>213</v>
      </c>
      <c r="K1021" s="38" t="str">
        <f t="shared" si="78"/>
        <v/>
      </c>
      <c r="L1021" s="41">
        <f>VLOOKUP(INDICADORES!$B$21,'DATOS GENERALES'!$K:$M,3,0)*E1021</f>
        <v>256908.07299520919</v>
      </c>
      <c r="M1021" s="38" t="str">
        <f t="shared" si="79"/>
        <v/>
      </c>
      <c r="N1021" s="36"/>
      <c r="O1021" s="36"/>
      <c r="P1021" s="36"/>
    </row>
    <row r="1022" spans="1:16" x14ac:dyDescent="0.25">
      <c r="A1022" s="36">
        <v>1891</v>
      </c>
      <c r="B1022" s="37">
        <v>44105</v>
      </c>
      <c r="C1022" s="36" t="s">
        <v>195</v>
      </c>
      <c r="D1022" s="36"/>
      <c r="E1022" s="38">
        <v>33878898.524999999</v>
      </c>
      <c r="F1022" s="40">
        <f>VLOOKUP(A1022,'DATOS GENERALES'!A:B,2,0)</f>
        <v>2.79</v>
      </c>
      <c r="G1022" s="36">
        <f t="shared" si="75"/>
        <v>2.7771659999999998</v>
      </c>
      <c r="H1022" s="38">
        <f t="shared" si="76"/>
        <v>12199090.196624905</v>
      </c>
      <c r="I1022" s="38">
        <f t="shared" si="77"/>
        <v>21679808.328375094</v>
      </c>
      <c r="J1022" s="38" t="s">
        <v>213</v>
      </c>
      <c r="K1022" s="38" t="str">
        <f t="shared" si="78"/>
        <v/>
      </c>
      <c r="L1022" s="41">
        <f>VLOOKUP(INDICADORES!$B$21,'DATOS GENERALES'!$K:$M,3,0)*E1022</f>
        <v>230580.67407903899</v>
      </c>
      <c r="M1022" s="38" t="str">
        <f t="shared" si="79"/>
        <v/>
      </c>
      <c r="N1022" s="36"/>
      <c r="O1022" s="36"/>
      <c r="P1022" s="36"/>
    </row>
    <row r="1023" spans="1:16" x14ac:dyDescent="0.25">
      <c r="A1023" s="36">
        <v>1891</v>
      </c>
      <c r="B1023" s="37">
        <v>44136</v>
      </c>
      <c r="C1023" s="36" t="s">
        <v>195</v>
      </c>
      <c r="D1023" s="36"/>
      <c r="E1023" s="38">
        <v>33878898.524999999</v>
      </c>
      <c r="F1023" s="40">
        <f>VLOOKUP(A1023,'DATOS GENERALES'!A:B,2,0)</f>
        <v>2.79</v>
      </c>
      <c r="G1023" s="36">
        <f t="shared" si="75"/>
        <v>2.7771659999999998</v>
      </c>
      <c r="H1023" s="38">
        <f t="shared" si="76"/>
        <v>12199090.196624905</v>
      </c>
      <c r="I1023" s="38">
        <f t="shared" si="77"/>
        <v>21679808.328375094</v>
      </c>
      <c r="J1023" s="38" t="s">
        <v>213</v>
      </c>
      <c r="K1023" s="38" t="str">
        <f t="shared" si="78"/>
        <v/>
      </c>
      <c r="L1023" s="41">
        <f>VLOOKUP(INDICADORES!$B$21,'DATOS GENERALES'!$K:$M,3,0)*E1023</f>
        <v>230580.67407903899</v>
      </c>
      <c r="M1023" s="38" t="str">
        <f t="shared" si="79"/>
        <v/>
      </c>
      <c r="N1023" s="36"/>
      <c r="O1023" s="36"/>
      <c r="P1023" s="36"/>
    </row>
    <row r="1024" spans="1:16" x14ac:dyDescent="0.25">
      <c r="A1024" s="36">
        <v>1891</v>
      </c>
      <c r="B1024" s="37">
        <v>44166</v>
      </c>
      <c r="C1024" s="36" t="s">
        <v>195</v>
      </c>
      <c r="D1024" s="36"/>
      <c r="E1024" s="38">
        <v>33878898.524999999</v>
      </c>
      <c r="F1024" s="40">
        <f>VLOOKUP(A1024,'DATOS GENERALES'!A:B,2,0)</f>
        <v>2.79</v>
      </c>
      <c r="G1024" s="36">
        <f t="shared" si="75"/>
        <v>2.7771659999999998</v>
      </c>
      <c r="H1024" s="38">
        <f t="shared" si="76"/>
        <v>12199090.196624905</v>
      </c>
      <c r="I1024" s="38">
        <f t="shared" si="77"/>
        <v>21679808.328375094</v>
      </c>
      <c r="J1024" s="38" t="s">
        <v>213</v>
      </c>
      <c r="K1024" s="38" t="str">
        <f t="shared" si="78"/>
        <v/>
      </c>
      <c r="L1024" s="41">
        <f>VLOOKUP(INDICADORES!$B$21,'DATOS GENERALES'!$K:$M,3,0)*E1024</f>
        <v>230580.67407903899</v>
      </c>
      <c r="M1024" s="38" t="str">
        <f t="shared" si="79"/>
        <v/>
      </c>
      <c r="N1024" s="36"/>
      <c r="O1024" s="36"/>
      <c r="P1024" s="36"/>
    </row>
    <row r="1025" spans="1:16" x14ac:dyDescent="0.25">
      <c r="A1025" s="36">
        <v>1895</v>
      </c>
      <c r="B1025" s="37">
        <v>43466</v>
      </c>
      <c r="C1025" s="36" t="s">
        <v>195</v>
      </c>
      <c r="D1025" s="36"/>
      <c r="E1025" s="38">
        <v>18830171.789000001</v>
      </c>
      <c r="F1025" s="40">
        <f>VLOOKUP(A1025,'DATOS GENERALES'!A:B,2,0)</f>
        <v>5.94</v>
      </c>
      <c r="G1025" s="36">
        <f t="shared" si="75"/>
        <v>5.9126760000000003</v>
      </c>
      <c r="H1025" s="38">
        <f t="shared" si="76"/>
        <v>3184712.2671697214</v>
      </c>
      <c r="I1025" s="38">
        <f t="shared" si="77"/>
        <v>15645459.521830279</v>
      </c>
      <c r="J1025" s="38">
        <v>698784.29422778916</v>
      </c>
      <c r="K1025" s="38">
        <f t="shared" si="78"/>
        <v>14946675.227602489</v>
      </c>
      <c r="L1025" s="41">
        <f>VLOOKUP(INDICADORES!$B$21,'DATOS GENERALES'!$K:$M,3,0)*E1025</f>
        <v>128158.64426429795</v>
      </c>
      <c r="M1025" s="38">
        <f t="shared" si="79"/>
        <v>14818516.583338192</v>
      </c>
      <c r="N1025" s="36"/>
      <c r="O1025" s="36"/>
      <c r="P1025" s="36"/>
    </row>
    <row r="1026" spans="1:16" x14ac:dyDescent="0.25">
      <c r="A1026" s="36">
        <v>1846</v>
      </c>
      <c r="B1026" s="37">
        <v>43556</v>
      </c>
      <c r="C1026" s="36" t="s">
        <v>195</v>
      </c>
      <c r="D1026" s="36"/>
      <c r="E1026" s="38">
        <v>19561500</v>
      </c>
      <c r="F1026" s="40">
        <f>VLOOKUP(A1026,'DATOS GENERALES'!A:B,2,0)</f>
        <v>1.72</v>
      </c>
      <c r="G1026" s="36">
        <f t="shared" si="75"/>
        <v>1.7120879999999998</v>
      </c>
      <c r="H1026" s="38">
        <f t="shared" si="76"/>
        <v>11425522.519870475</v>
      </c>
      <c r="I1026" s="38">
        <f t="shared" si="77"/>
        <v>8135977.4801295251</v>
      </c>
      <c r="J1026" s="38">
        <v>1836974.4751148054</v>
      </c>
      <c r="K1026" s="38">
        <f t="shared" si="78"/>
        <v>6299003.0050147194</v>
      </c>
      <c r="L1026" s="41">
        <f>VLOOKUP(INDICADORES!$B$21,'DATOS GENERALES'!$K:$M,3,0)*E1026</f>
        <v>133136.08329588163</v>
      </c>
      <c r="M1026" s="38">
        <f t="shared" si="79"/>
        <v>6165866.9217188377</v>
      </c>
      <c r="N1026" s="36"/>
      <c r="O1026" s="36"/>
      <c r="P1026" s="36"/>
    </row>
    <row r="1027" spans="1:16" x14ac:dyDescent="0.25">
      <c r="A1027" s="36">
        <v>1893</v>
      </c>
      <c r="B1027" s="37">
        <v>43466</v>
      </c>
      <c r="C1027" s="36" t="s">
        <v>195</v>
      </c>
      <c r="D1027" s="36"/>
      <c r="E1027" s="38">
        <v>37763484.710000001</v>
      </c>
      <c r="F1027" s="40">
        <f>VLOOKUP(A1027,'DATOS GENERALES'!A:B,2,0)</f>
        <v>1.87</v>
      </c>
      <c r="G1027" s="36">
        <f t="shared" ref="G1027:G1090" si="80">F1027*0.9954</f>
        <v>1.8613980000000001</v>
      </c>
      <c r="H1027" s="38">
        <f t="shared" ref="H1027:H1090" si="81">E1027/G1027</f>
        <v>20287700.271516353</v>
      </c>
      <c r="I1027" s="38">
        <f t="shared" ref="I1027:I1090" si="82">E1027-H1027</f>
        <v>17475784.438483648</v>
      </c>
      <c r="J1027" s="38">
        <v>4451493.6127449432</v>
      </c>
      <c r="K1027" s="38">
        <f t="shared" ref="K1027:K1090" si="83">IFERROR(I1027-J1027,"")</f>
        <v>13024290.825738706</v>
      </c>
      <c r="L1027" s="41">
        <f>VLOOKUP(INDICADORES!$B$21,'DATOS GENERALES'!$K:$M,3,0)*E1027</f>
        <v>257019.26978469506</v>
      </c>
      <c r="M1027" s="38">
        <f t="shared" ref="M1027:M1090" si="84">IFERROR(K1027-L1027,"")</f>
        <v>12767271.555954011</v>
      </c>
      <c r="N1027" s="36"/>
      <c r="O1027" s="36"/>
      <c r="P1027" s="36"/>
    </row>
    <row r="1028" spans="1:16" x14ac:dyDescent="0.25">
      <c r="A1028" s="36">
        <v>1893</v>
      </c>
      <c r="B1028" s="37">
        <v>43497</v>
      </c>
      <c r="C1028" s="36" t="s">
        <v>195</v>
      </c>
      <c r="D1028" s="36"/>
      <c r="E1028" s="38">
        <v>37763484.710000001</v>
      </c>
      <c r="F1028" s="40">
        <f>VLOOKUP(A1028,'DATOS GENERALES'!A:B,2,0)</f>
        <v>1.87</v>
      </c>
      <c r="G1028" s="36">
        <f t="shared" si="80"/>
        <v>1.8613980000000001</v>
      </c>
      <c r="H1028" s="38">
        <f t="shared" si="81"/>
        <v>20287700.271516353</v>
      </c>
      <c r="I1028" s="38">
        <f t="shared" si="82"/>
        <v>17475784.438483648</v>
      </c>
      <c r="J1028" s="38">
        <v>4385345.6201297762</v>
      </c>
      <c r="K1028" s="38">
        <f t="shared" si="83"/>
        <v>13090438.818353873</v>
      </c>
      <c r="L1028" s="41">
        <f>VLOOKUP(INDICADORES!$B$21,'DATOS GENERALES'!$K:$M,3,0)*E1028</f>
        <v>257019.26978469506</v>
      </c>
      <c r="M1028" s="38">
        <f t="shared" si="84"/>
        <v>12833419.548569178</v>
      </c>
      <c r="N1028" s="36"/>
      <c r="O1028" s="36"/>
      <c r="P1028" s="36"/>
    </row>
    <row r="1029" spans="1:16" x14ac:dyDescent="0.25">
      <c r="A1029" s="36">
        <v>1893</v>
      </c>
      <c r="B1029" s="37">
        <v>43525</v>
      </c>
      <c r="C1029" s="36" t="s">
        <v>195</v>
      </c>
      <c r="D1029" s="36"/>
      <c r="E1029" s="38">
        <v>37763484.710000001</v>
      </c>
      <c r="F1029" s="40">
        <f>VLOOKUP(A1029,'DATOS GENERALES'!A:B,2,0)</f>
        <v>1.87</v>
      </c>
      <c r="G1029" s="36">
        <f t="shared" si="80"/>
        <v>1.8613980000000001</v>
      </c>
      <c r="H1029" s="38">
        <f t="shared" si="81"/>
        <v>20287700.271516353</v>
      </c>
      <c r="I1029" s="38">
        <f t="shared" si="82"/>
        <v>17475784.438483648</v>
      </c>
      <c r="J1029" s="38">
        <v>3172743.1653017043</v>
      </c>
      <c r="K1029" s="38">
        <f t="shared" si="83"/>
        <v>14303041.273181943</v>
      </c>
      <c r="L1029" s="41">
        <f>VLOOKUP(INDICADORES!$B$21,'DATOS GENERALES'!$K:$M,3,0)*E1029</f>
        <v>257019.26978469506</v>
      </c>
      <c r="M1029" s="38">
        <f t="shared" si="84"/>
        <v>14046022.003397249</v>
      </c>
      <c r="N1029" s="36"/>
      <c r="O1029" s="36"/>
      <c r="P1029" s="36"/>
    </row>
    <row r="1030" spans="1:16" x14ac:dyDescent="0.25">
      <c r="A1030" s="36">
        <v>1893</v>
      </c>
      <c r="B1030" s="37">
        <v>43556</v>
      </c>
      <c r="C1030" s="36" t="s">
        <v>195</v>
      </c>
      <c r="D1030" s="36"/>
      <c r="E1030" s="38">
        <v>37763484.710000001</v>
      </c>
      <c r="F1030" s="40">
        <f>VLOOKUP(A1030,'DATOS GENERALES'!A:B,2,0)</f>
        <v>1.87</v>
      </c>
      <c r="G1030" s="36">
        <f t="shared" si="80"/>
        <v>1.8613980000000001</v>
      </c>
      <c r="H1030" s="38">
        <f t="shared" si="81"/>
        <v>20287700.271516353</v>
      </c>
      <c r="I1030" s="38">
        <f t="shared" si="82"/>
        <v>17475784.438483648</v>
      </c>
      <c r="J1030" s="38">
        <v>3261819.0977910506</v>
      </c>
      <c r="K1030" s="38">
        <f t="shared" si="83"/>
        <v>14213965.340692598</v>
      </c>
      <c r="L1030" s="41">
        <f>VLOOKUP(INDICADORES!$B$21,'DATOS GENERALES'!$K:$M,3,0)*E1030</f>
        <v>257019.26978469506</v>
      </c>
      <c r="M1030" s="38">
        <f t="shared" si="84"/>
        <v>13956946.070907904</v>
      </c>
      <c r="N1030" s="36"/>
      <c r="O1030" s="36"/>
      <c r="P1030" s="36"/>
    </row>
    <row r="1031" spans="1:16" x14ac:dyDescent="0.25">
      <c r="A1031" s="36">
        <v>1893</v>
      </c>
      <c r="B1031" s="37">
        <v>43586</v>
      </c>
      <c r="C1031" s="36" t="s">
        <v>195</v>
      </c>
      <c r="D1031" s="36"/>
      <c r="E1031" s="38">
        <v>37763484.710000001</v>
      </c>
      <c r="F1031" s="40">
        <f>VLOOKUP(A1031,'DATOS GENERALES'!A:B,2,0)</f>
        <v>1.87</v>
      </c>
      <c r="G1031" s="36">
        <f t="shared" si="80"/>
        <v>1.8613980000000001</v>
      </c>
      <c r="H1031" s="38">
        <f t="shared" si="81"/>
        <v>20287700.271516353</v>
      </c>
      <c r="I1031" s="38">
        <f t="shared" si="82"/>
        <v>17475784.438483648</v>
      </c>
      <c r="J1031" s="38">
        <v>2690772.6421670346</v>
      </c>
      <c r="K1031" s="38">
        <f t="shared" si="83"/>
        <v>14785011.796316613</v>
      </c>
      <c r="L1031" s="41">
        <f>VLOOKUP(INDICADORES!$B$21,'DATOS GENERALES'!$K:$M,3,0)*E1031</f>
        <v>257019.26978469506</v>
      </c>
      <c r="M1031" s="38">
        <f t="shared" si="84"/>
        <v>14527992.526531918</v>
      </c>
      <c r="N1031" s="36"/>
      <c r="O1031" s="36"/>
      <c r="P1031" s="36"/>
    </row>
    <row r="1032" spans="1:16" x14ac:dyDescent="0.25">
      <c r="A1032" s="36">
        <v>1893</v>
      </c>
      <c r="B1032" s="37">
        <v>43617</v>
      </c>
      <c r="C1032" s="36" t="s">
        <v>195</v>
      </c>
      <c r="D1032" s="36"/>
      <c r="E1032" s="38">
        <v>37763484.710000001</v>
      </c>
      <c r="F1032" s="40">
        <f>VLOOKUP(A1032,'DATOS GENERALES'!A:B,2,0)</f>
        <v>1.87</v>
      </c>
      <c r="G1032" s="36">
        <f t="shared" si="80"/>
        <v>1.8613980000000001</v>
      </c>
      <c r="H1032" s="38">
        <f t="shared" si="81"/>
        <v>20287700.271516353</v>
      </c>
      <c r="I1032" s="38">
        <f t="shared" si="82"/>
        <v>17475784.438483648</v>
      </c>
      <c r="J1032" s="38">
        <v>3618459.066557976</v>
      </c>
      <c r="K1032" s="38">
        <f t="shared" si="83"/>
        <v>13857325.371925673</v>
      </c>
      <c r="L1032" s="41">
        <f>VLOOKUP(INDICADORES!$B$21,'DATOS GENERALES'!$K:$M,3,0)*E1032</f>
        <v>257019.26978469506</v>
      </c>
      <c r="M1032" s="38">
        <f t="shared" si="84"/>
        <v>13600306.102140978</v>
      </c>
      <c r="N1032" s="36"/>
      <c r="O1032" s="36"/>
      <c r="P1032" s="36"/>
    </row>
    <row r="1033" spans="1:16" x14ac:dyDescent="0.25">
      <c r="A1033" s="36">
        <v>1893</v>
      </c>
      <c r="B1033" s="37">
        <v>43647</v>
      </c>
      <c r="C1033" s="36" t="s">
        <v>195</v>
      </c>
      <c r="D1033" s="36"/>
      <c r="E1033" s="38">
        <v>37763484.710000001</v>
      </c>
      <c r="F1033" s="40">
        <f>VLOOKUP(A1033,'DATOS GENERALES'!A:B,2,0)</f>
        <v>1.87</v>
      </c>
      <c r="G1033" s="36">
        <f t="shared" si="80"/>
        <v>1.8613980000000001</v>
      </c>
      <c r="H1033" s="38">
        <f t="shared" si="81"/>
        <v>20287700.271516353</v>
      </c>
      <c r="I1033" s="38">
        <f t="shared" si="82"/>
        <v>17475784.438483648</v>
      </c>
      <c r="J1033" s="38">
        <v>5396190.0017938688</v>
      </c>
      <c r="K1033" s="38">
        <f t="shared" si="83"/>
        <v>12079594.436689779</v>
      </c>
      <c r="L1033" s="41">
        <f>VLOOKUP(INDICADORES!$B$21,'DATOS GENERALES'!$K:$M,3,0)*E1033</f>
        <v>257019.26978469506</v>
      </c>
      <c r="M1033" s="38">
        <f t="shared" si="84"/>
        <v>11822575.166905085</v>
      </c>
      <c r="N1033" s="36"/>
      <c r="O1033" s="36"/>
      <c r="P1033" s="36"/>
    </row>
    <row r="1034" spans="1:16" x14ac:dyDescent="0.25">
      <c r="A1034" s="36">
        <v>1893</v>
      </c>
      <c r="B1034" s="37">
        <v>43678</v>
      </c>
      <c r="C1034" s="36" t="s">
        <v>195</v>
      </c>
      <c r="D1034" s="36"/>
      <c r="E1034" s="38">
        <v>37763484.710000001</v>
      </c>
      <c r="F1034" s="40">
        <f>VLOOKUP(A1034,'DATOS GENERALES'!A:B,2,0)</f>
        <v>1.87</v>
      </c>
      <c r="G1034" s="36">
        <f t="shared" si="80"/>
        <v>1.8613980000000001</v>
      </c>
      <c r="H1034" s="38">
        <f t="shared" si="81"/>
        <v>20287700.271516353</v>
      </c>
      <c r="I1034" s="38">
        <f t="shared" si="82"/>
        <v>17475784.438483648</v>
      </c>
      <c r="J1034" s="38">
        <v>5310046.6046164213</v>
      </c>
      <c r="K1034" s="38">
        <f t="shared" si="83"/>
        <v>12165737.833867226</v>
      </c>
      <c r="L1034" s="41">
        <f>VLOOKUP(INDICADORES!$B$21,'DATOS GENERALES'!$K:$M,3,0)*E1034</f>
        <v>257019.26978469506</v>
      </c>
      <c r="M1034" s="38">
        <f t="shared" si="84"/>
        <v>11908718.564082531</v>
      </c>
      <c r="N1034" s="36"/>
      <c r="O1034" s="36"/>
      <c r="P1034" s="36"/>
    </row>
    <row r="1035" spans="1:16" x14ac:dyDescent="0.25">
      <c r="A1035" s="36">
        <v>1893</v>
      </c>
      <c r="B1035" s="37">
        <v>43709</v>
      </c>
      <c r="C1035" s="36" t="s">
        <v>195</v>
      </c>
      <c r="D1035" s="36"/>
      <c r="E1035" s="38">
        <v>37763484.710000001</v>
      </c>
      <c r="F1035" s="40">
        <f>VLOOKUP(A1035,'DATOS GENERALES'!A:B,2,0)</f>
        <v>1.87</v>
      </c>
      <c r="G1035" s="36">
        <f t="shared" si="80"/>
        <v>1.8613980000000001</v>
      </c>
      <c r="H1035" s="38">
        <f t="shared" si="81"/>
        <v>20287700.271516353</v>
      </c>
      <c r="I1035" s="38">
        <f t="shared" si="82"/>
        <v>17475784.438483648</v>
      </c>
      <c r="J1035" s="38">
        <v>6001271.549467708</v>
      </c>
      <c r="K1035" s="38">
        <f t="shared" si="83"/>
        <v>11474512.889015939</v>
      </c>
      <c r="L1035" s="41">
        <f>VLOOKUP(INDICADORES!$B$21,'DATOS GENERALES'!$K:$M,3,0)*E1035</f>
        <v>257019.26978469506</v>
      </c>
      <c r="M1035" s="38">
        <f t="shared" si="84"/>
        <v>11217493.619231245</v>
      </c>
      <c r="N1035" s="36"/>
      <c r="O1035" s="36"/>
      <c r="P1035" s="36"/>
    </row>
    <row r="1036" spans="1:16" x14ac:dyDescent="0.25">
      <c r="A1036" s="36">
        <v>1893</v>
      </c>
      <c r="B1036" s="37">
        <v>43739</v>
      </c>
      <c r="C1036" s="36" t="s">
        <v>195</v>
      </c>
      <c r="D1036" s="36"/>
      <c r="E1036" s="38">
        <v>37763484.710000001</v>
      </c>
      <c r="F1036" s="40">
        <f>VLOOKUP(A1036,'DATOS GENERALES'!A:B,2,0)</f>
        <v>1.87</v>
      </c>
      <c r="G1036" s="36">
        <f t="shared" si="80"/>
        <v>1.8613980000000001</v>
      </c>
      <c r="H1036" s="38">
        <f t="shared" si="81"/>
        <v>20287700.271516353</v>
      </c>
      <c r="I1036" s="38">
        <f t="shared" si="82"/>
        <v>17475784.438483648</v>
      </c>
      <c r="J1036" s="38">
        <v>6489755.4942828165</v>
      </c>
      <c r="K1036" s="38">
        <f t="shared" si="83"/>
        <v>10986028.944200832</v>
      </c>
      <c r="L1036" s="41">
        <f>VLOOKUP(INDICADORES!$B$21,'DATOS GENERALES'!$K:$M,3,0)*E1036</f>
        <v>257019.26978469506</v>
      </c>
      <c r="M1036" s="38">
        <f t="shared" si="84"/>
        <v>10729009.674416138</v>
      </c>
      <c r="N1036" s="36"/>
      <c r="O1036" s="36"/>
      <c r="P1036" s="36"/>
    </row>
    <row r="1037" spans="1:16" x14ac:dyDescent="0.25">
      <c r="A1037" s="36">
        <v>1893</v>
      </c>
      <c r="B1037" s="37">
        <v>43770</v>
      </c>
      <c r="C1037" s="36" t="s">
        <v>195</v>
      </c>
      <c r="D1037" s="36"/>
      <c r="E1037" s="38">
        <v>37763484.710000001</v>
      </c>
      <c r="F1037" s="40">
        <f>VLOOKUP(A1037,'DATOS GENERALES'!A:B,2,0)</f>
        <v>1.87</v>
      </c>
      <c r="G1037" s="36">
        <f t="shared" si="80"/>
        <v>1.8613980000000001</v>
      </c>
      <c r="H1037" s="38">
        <f t="shared" si="81"/>
        <v>20287700.271516353</v>
      </c>
      <c r="I1037" s="38">
        <f t="shared" si="82"/>
        <v>17475784.438483648</v>
      </c>
      <c r="J1037" s="38">
        <v>8679570.0205424577</v>
      </c>
      <c r="K1037" s="38">
        <f t="shared" si="83"/>
        <v>8796214.4179411903</v>
      </c>
      <c r="L1037" s="41">
        <f>VLOOKUP(INDICADORES!$B$21,'DATOS GENERALES'!$K:$M,3,0)*E1037</f>
        <v>257019.26978469506</v>
      </c>
      <c r="M1037" s="38">
        <f t="shared" si="84"/>
        <v>8539195.1481564958</v>
      </c>
      <c r="N1037" s="36"/>
      <c r="O1037" s="36"/>
      <c r="P1037" s="36"/>
    </row>
    <row r="1038" spans="1:16" x14ac:dyDescent="0.25">
      <c r="A1038" s="36">
        <v>1893</v>
      </c>
      <c r="B1038" s="37">
        <v>43800</v>
      </c>
      <c r="C1038" s="36" t="s">
        <v>195</v>
      </c>
      <c r="D1038" s="36"/>
      <c r="E1038" s="38">
        <v>37763484.710000001</v>
      </c>
      <c r="F1038" s="40">
        <f>VLOOKUP(A1038,'DATOS GENERALES'!A:B,2,0)</f>
        <v>1.87</v>
      </c>
      <c r="G1038" s="36">
        <f t="shared" si="80"/>
        <v>1.8613980000000001</v>
      </c>
      <c r="H1038" s="38">
        <f t="shared" si="81"/>
        <v>20287700.271516353</v>
      </c>
      <c r="I1038" s="38">
        <f t="shared" si="82"/>
        <v>17475784.438483648</v>
      </c>
      <c r="J1038" s="38">
        <v>7308088.5430082316</v>
      </c>
      <c r="K1038" s="38">
        <f t="shared" si="83"/>
        <v>10167695.895475417</v>
      </c>
      <c r="L1038" s="41">
        <f>VLOOKUP(INDICADORES!$B$21,'DATOS GENERALES'!$K:$M,3,0)*E1038</f>
        <v>257019.26978469506</v>
      </c>
      <c r="M1038" s="38">
        <f t="shared" si="84"/>
        <v>9910676.6256907228</v>
      </c>
      <c r="N1038" s="36"/>
      <c r="O1038" s="36"/>
      <c r="P1038" s="36"/>
    </row>
    <row r="1039" spans="1:16" x14ac:dyDescent="0.25">
      <c r="A1039" s="36">
        <v>1893</v>
      </c>
      <c r="B1039" s="37">
        <v>43831</v>
      </c>
      <c r="C1039" s="36" t="s">
        <v>195</v>
      </c>
      <c r="D1039" s="36"/>
      <c r="E1039" s="38">
        <v>37763484.710000001</v>
      </c>
      <c r="F1039" s="40">
        <f>VLOOKUP(A1039,'DATOS GENERALES'!A:B,2,0)</f>
        <v>1.87</v>
      </c>
      <c r="G1039" s="36">
        <f t="shared" si="80"/>
        <v>1.8613980000000001</v>
      </c>
      <c r="H1039" s="38">
        <f t="shared" si="81"/>
        <v>20287700.271516353</v>
      </c>
      <c r="I1039" s="38">
        <f t="shared" si="82"/>
        <v>17475784.438483648</v>
      </c>
      <c r="J1039" s="38" t="s">
        <v>213</v>
      </c>
      <c r="K1039" s="38" t="str">
        <f t="shared" si="83"/>
        <v/>
      </c>
      <c r="L1039" s="41">
        <f>VLOOKUP(INDICADORES!$B$21,'DATOS GENERALES'!$K:$M,3,0)*E1039</f>
        <v>257019.26978469506</v>
      </c>
      <c r="M1039" s="38" t="str">
        <f t="shared" si="84"/>
        <v/>
      </c>
      <c r="N1039" s="36"/>
      <c r="O1039" s="36"/>
      <c r="P1039" s="36"/>
    </row>
    <row r="1040" spans="1:16" x14ac:dyDescent="0.25">
      <c r="A1040" s="36">
        <v>1893</v>
      </c>
      <c r="B1040" s="37">
        <v>43862</v>
      </c>
      <c r="C1040" s="36" t="s">
        <v>195</v>
      </c>
      <c r="D1040" s="36"/>
      <c r="E1040" s="38">
        <v>37763484.710000001</v>
      </c>
      <c r="F1040" s="40">
        <f>VLOOKUP(A1040,'DATOS GENERALES'!A:B,2,0)</f>
        <v>1.87</v>
      </c>
      <c r="G1040" s="36">
        <f t="shared" si="80"/>
        <v>1.8613980000000001</v>
      </c>
      <c r="H1040" s="38">
        <f t="shared" si="81"/>
        <v>20287700.271516353</v>
      </c>
      <c r="I1040" s="38">
        <f t="shared" si="82"/>
        <v>17475784.438483648</v>
      </c>
      <c r="J1040" s="38" t="s">
        <v>213</v>
      </c>
      <c r="K1040" s="38" t="str">
        <f t="shared" si="83"/>
        <v/>
      </c>
      <c r="L1040" s="41">
        <f>VLOOKUP(INDICADORES!$B$21,'DATOS GENERALES'!$K:$M,3,0)*E1040</f>
        <v>257019.26978469506</v>
      </c>
      <c r="M1040" s="38" t="str">
        <f t="shared" si="84"/>
        <v/>
      </c>
      <c r="N1040" s="36"/>
      <c r="O1040" s="36"/>
      <c r="P1040" s="36"/>
    </row>
    <row r="1041" spans="1:16" x14ac:dyDescent="0.25">
      <c r="A1041" s="36">
        <v>1893</v>
      </c>
      <c r="B1041" s="37">
        <v>43891</v>
      </c>
      <c r="C1041" s="36" t="s">
        <v>195</v>
      </c>
      <c r="D1041" s="36"/>
      <c r="E1041" s="38">
        <v>37763484.710000001</v>
      </c>
      <c r="F1041" s="40">
        <f>VLOOKUP(A1041,'DATOS GENERALES'!A:B,2,0)</f>
        <v>1.87</v>
      </c>
      <c r="G1041" s="36">
        <f t="shared" si="80"/>
        <v>1.8613980000000001</v>
      </c>
      <c r="H1041" s="38">
        <f t="shared" si="81"/>
        <v>20287700.271516353</v>
      </c>
      <c r="I1041" s="38">
        <f t="shared" si="82"/>
        <v>17475784.438483648</v>
      </c>
      <c r="J1041" s="38" t="s">
        <v>213</v>
      </c>
      <c r="K1041" s="38" t="str">
        <f t="shared" si="83"/>
        <v/>
      </c>
      <c r="L1041" s="41">
        <f>VLOOKUP(INDICADORES!$B$21,'DATOS GENERALES'!$K:$M,3,0)*E1041</f>
        <v>257019.26978469506</v>
      </c>
      <c r="M1041" s="38" t="str">
        <f t="shared" si="84"/>
        <v/>
      </c>
      <c r="N1041" s="36"/>
      <c r="O1041" s="36"/>
      <c r="P1041" s="36"/>
    </row>
    <row r="1042" spans="1:16" x14ac:dyDescent="0.25">
      <c r="A1042" s="36">
        <v>1890</v>
      </c>
      <c r="B1042" s="37">
        <v>43466</v>
      </c>
      <c r="C1042" s="36" t="s">
        <v>195</v>
      </c>
      <c r="D1042" s="36"/>
      <c r="E1042" s="38">
        <v>25318074</v>
      </c>
      <c r="F1042" s="40">
        <f>VLOOKUP(A1042,'DATOS GENERALES'!A:B,2,0)</f>
        <v>1.1100000000000001</v>
      </c>
      <c r="G1042" s="36">
        <f t="shared" si="80"/>
        <v>1.104894</v>
      </c>
      <c r="H1042" s="38">
        <f t="shared" si="81"/>
        <v>22914482.294229127</v>
      </c>
      <c r="I1042" s="38">
        <f t="shared" si="82"/>
        <v>2403591.7057708725</v>
      </c>
      <c r="J1042" s="38">
        <v>5027857.7762374459</v>
      </c>
      <c r="K1042" s="38">
        <f t="shared" si="83"/>
        <v>-2624266.0704665734</v>
      </c>
      <c r="L1042" s="41">
        <f>VLOOKUP(INDICADORES!$B$21,'DATOS GENERALES'!$K:$M,3,0)*E1042</f>
        <v>172315.47728728855</v>
      </c>
      <c r="M1042" s="38">
        <f t="shared" si="84"/>
        <v>-2796581.5477538621</v>
      </c>
      <c r="N1042" s="36"/>
      <c r="O1042" s="36"/>
      <c r="P1042" s="36"/>
    </row>
    <row r="1043" spans="1:16" x14ac:dyDescent="0.25">
      <c r="A1043" s="36">
        <v>1890</v>
      </c>
      <c r="B1043" s="37">
        <v>43497</v>
      </c>
      <c r="C1043" s="36" t="s">
        <v>195</v>
      </c>
      <c r="D1043" s="36"/>
      <c r="E1043" s="38">
        <v>29324874</v>
      </c>
      <c r="F1043" s="40">
        <f>VLOOKUP(A1043,'DATOS GENERALES'!A:B,2,0)</f>
        <v>1.1100000000000001</v>
      </c>
      <c r="G1043" s="36">
        <f t="shared" si="80"/>
        <v>1.104894</v>
      </c>
      <c r="H1043" s="38">
        <f t="shared" si="81"/>
        <v>26540893.515577059</v>
      </c>
      <c r="I1043" s="38">
        <f t="shared" si="82"/>
        <v>2783980.4844229408</v>
      </c>
      <c r="J1043" s="38">
        <v>5737022.4113709899</v>
      </c>
      <c r="K1043" s="38">
        <f t="shared" si="83"/>
        <v>-2953041.9269480491</v>
      </c>
      <c r="L1043" s="41">
        <f>VLOOKUP(INDICADORES!$B$21,'DATOS GENERALES'!$K:$M,3,0)*E1043</f>
        <v>199585.86343098604</v>
      </c>
      <c r="M1043" s="38">
        <f t="shared" si="84"/>
        <v>-3152627.7903790353</v>
      </c>
      <c r="N1043" s="36"/>
      <c r="O1043" s="36"/>
      <c r="P1043" s="36"/>
    </row>
    <row r="1044" spans="1:16" x14ac:dyDescent="0.25">
      <c r="A1044" s="36">
        <v>1890</v>
      </c>
      <c r="B1044" s="37">
        <v>43525</v>
      </c>
      <c r="C1044" s="36" t="s">
        <v>195</v>
      </c>
      <c r="D1044" s="36"/>
      <c r="E1044" s="38">
        <v>29324874</v>
      </c>
      <c r="F1044" s="40">
        <f>VLOOKUP(A1044,'DATOS GENERALES'!A:B,2,0)</f>
        <v>1.1100000000000001</v>
      </c>
      <c r="G1044" s="36">
        <f t="shared" si="80"/>
        <v>1.104894</v>
      </c>
      <c r="H1044" s="38">
        <f t="shared" si="81"/>
        <v>26540893.515577059</v>
      </c>
      <c r="I1044" s="38">
        <f t="shared" si="82"/>
        <v>2783980.4844229408</v>
      </c>
      <c r="J1044" s="38">
        <v>4150664.5590961091</v>
      </c>
      <c r="K1044" s="38">
        <f t="shared" si="83"/>
        <v>-1366684.0746731684</v>
      </c>
      <c r="L1044" s="41">
        <f>VLOOKUP(INDICADORES!$B$21,'DATOS GENERALES'!$K:$M,3,0)*E1044</f>
        <v>199585.86343098604</v>
      </c>
      <c r="M1044" s="38">
        <f t="shared" si="84"/>
        <v>-1566269.9381041543</v>
      </c>
      <c r="N1044" s="36"/>
      <c r="O1044" s="36"/>
      <c r="P1044" s="36"/>
    </row>
    <row r="1045" spans="1:16" x14ac:dyDescent="0.25">
      <c r="A1045" s="36">
        <v>1890</v>
      </c>
      <c r="B1045" s="37">
        <v>43556</v>
      </c>
      <c r="C1045" s="36" t="s">
        <v>195</v>
      </c>
      <c r="D1045" s="36"/>
      <c r="E1045" s="38">
        <v>29324874</v>
      </c>
      <c r="F1045" s="40">
        <f>VLOOKUP(A1045,'DATOS GENERALES'!A:B,2,0)</f>
        <v>1.1100000000000001</v>
      </c>
      <c r="G1045" s="36">
        <f t="shared" si="80"/>
        <v>1.104894</v>
      </c>
      <c r="H1045" s="38">
        <f t="shared" si="81"/>
        <v>26540893.515577059</v>
      </c>
      <c r="I1045" s="38">
        <f t="shared" si="82"/>
        <v>2783980.4844229408</v>
      </c>
      <c r="J1045" s="38">
        <v>4267195.9947620686</v>
      </c>
      <c r="K1045" s="38">
        <f t="shared" si="83"/>
        <v>-1483215.5103391279</v>
      </c>
      <c r="L1045" s="41">
        <f>VLOOKUP(INDICADORES!$B$21,'DATOS GENERALES'!$K:$M,3,0)*E1045</f>
        <v>199585.86343098604</v>
      </c>
      <c r="M1045" s="38">
        <f t="shared" si="84"/>
        <v>-1682801.3737701138</v>
      </c>
      <c r="N1045" s="36"/>
      <c r="O1045" s="36"/>
      <c r="P1045" s="36"/>
    </row>
    <row r="1046" spans="1:16" x14ac:dyDescent="0.25">
      <c r="A1046" s="36">
        <v>1890</v>
      </c>
      <c r="B1046" s="37">
        <v>43586</v>
      </c>
      <c r="C1046" s="36" t="s">
        <v>195</v>
      </c>
      <c r="D1046" s="36"/>
      <c r="E1046" s="38">
        <v>29324874</v>
      </c>
      <c r="F1046" s="40">
        <f>VLOOKUP(A1046,'DATOS GENERALES'!A:B,2,0)</f>
        <v>1.1100000000000001</v>
      </c>
      <c r="G1046" s="36">
        <f t="shared" si="80"/>
        <v>1.104894</v>
      </c>
      <c r="H1046" s="38">
        <f t="shared" si="81"/>
        <v>26540893.515577059</v>
      </c>
      <c r="I1046" s="38">
        <f t="shared" si="82"/>
        <v>2783980.4844229408</v>
      </c>
      <c r="J1046" s="38">
        <v>3520138.271692114</v>
      </c>
      <c r="K1046" s="38">
        <f t="shared" si="83"/>
        <v>-736157.78726917319</v>
      </c>
      <c r="L1046" s="41">
        <f>VLOOKUP(INDICADORES!$B$21,'DATOS GENERALES'!$K:$M,3,0)*E1046</f>
        <v>199585.86343098604</v>
      </c>
      <c r="M1046" s="38">
        <f t="shared" si="84"/>
        <v>-935743.65070015925</v>
      </c>
      <c r="N1046" s="36"/>
      <c r="O1046" s="36"/>
      <c r="P1046" s="36"/>
    </row>
    <row r="1047" spans="1:16" x14ac:dyDescent="0.25">
      <c r="A1047" s="36">
        <v>1890</v>
      </c>
      <c r="B1047" s="37">
        <v>43617</v>
      </c>
      <c r="C1047" s="36" t="s">
        <v>195</v>
      </c>
      <c r="D1047" s="36"/>
      <c r="E1047" s="38">
        <v>29324874</v>
      </c>
      <c r="F1047" s="40">
        <f>VLOOKUP(A1047,'DATOS GENERALES'!A:B,2,0)</f>
        <v>1.1100000000000001</v>
      </c>
      <c r="G1047" s="36">
        <f t="shared" si="80"/>
        <v>1.104894</v>
      </c>
      <c r="H1047" s="38">
        <f t="shared" si="81"/>
        <v>26540893.515577059</v>
      </c>
      <c r="I1047" s="38">
        <f t="shared" si="82"/>
        <v>2783980.4844229408</v>
      </c>
      <c r="J1047" s="38">
        <v>4733761.6137214135</v>
      </c>
      <c r="K1047" s="38">
        <f t="shared" si="83"/>
        <v>-1949781.1292984728</v>
      </c>
      <c r="L1047" s="41">
        <f>VLOOKUP(INDICADORES!$B$21,'DATOS GENERALES'!$K:$M,3,0)*E1047</f>
        <v>199585.86343098604</v>
      </c>
      <c r="M1047" s="38">
        <f t="shared" si="84"/>
        <v>-2149366.992729459</v>
      </c>
      <c r="N1047" s="36"/>
      <c r="O1047" s="36"/>
      <c r="P1047" s="36"/>
    </row>
    <row r="1048" spans="1:16" x14ac:dyDescent="0.25">
      <c r="A1048" s="36">
        <v>1890</v>
      </c>
      <c r="B1048" s="37">
        <v>43647</v>
      </c>
      <c r="C1048" s="36" t="s">
        <v>195</v>
      </c>
      <c r="D1048" s="36"/>
      <c r="E1048" s="38">
        <v>29324874</v>
      </c>
      <c r="F1048" s="40">
        <f>VLOOKUP(A1048,'DATOS GENERALES'!A:B,2,0)</f>
        <v>1.1100000000000001</v>
      </c>
      <c r="G1048" s="36">
        <f t="shared" si="80"/>
        <v>1.104894</v>
      </c>
      <c r="H1048" s="38">
        <f t="shared" si="81"/>
        <v>26540893.515577059</v>
      </c>
      <c r="I1048" s="38">
        <f t="shared" si="82"/>
        <v>2783980.4844229408</v>
      </c>
      <c r="J1048" s="38">
        <v>7059435.1410303069</v>
      </c>
      <c r="K1048" s="38">
        <f t="shared" si="83"/>
        <v>-4275454.6566073662</v>
      </c>
      <c r="L1048" s="41">
        <f>VLOOKUP(INDICADORES!$B$21,'DATOS GENERALES'!$K:$M,3,0)*E1048</f>
        <v>199585.86343098604</v>
      </c>
      <c r="M1048" s="38">
        <f t="shared" si="84"/>
        <v>-4475040.5200383523</v>
      </c>
      <c r="N1048" s="36"/>
      <c r="O1048" s="36"/>
      <c r="P1048" s="36"/>
    </row>
    <row r="1049" spans="1:16" x14ac:dyDescent="0.25">
      <c r="A1049" s="36">
        <v>1890</v>
      </c>
      <c r="B1049" s="37">
        <v>43678</v>
      </c>
      <c r="C1049" s="36" t="s">
        <v>195</v>
      </c>
      <c r="D1049" s="36"/>
      <c r="E1049" s="38">
        <v>29324874</v>
      </c>
      <c r="F1049" s="40">
        <f>VLOOKUP(A1049,'DATOS GENERALES'!A:B,2,0)</f>
        <v>1.1100000000000001</v>
      </c>
      <c r="G1049" s="36">
        <f t="shared" si="80"/>
        <v>1.104894</v>
      </c>
      <c r="H1049" s="38">
        <f t="shared" si="81"/>
        <v>26540893.515577059</v>
      </c>
      <c r="I1049" s="38">
        <f t="shared" si="82"/>
        <v>2783980.4844229408</v>
      </c>
      <c r="J1049" s="38">
        <v>6946740.123805183</v>
      </c>
      <c r="K1049" s="38">
        <f t="shared" si="83"/>
        <v>-4162759.6393822422</v>
      </c>
      <c r="L1049" s="41">
        <f>VLOOKUP(INDICADORES!$B$21,'DATOS GENERALES'!$K:$M,3,0)*E1049</f>
        <v>199585.86343098604</v>
      </c>
      <c r="M1049" s="38">
        <f t="shared" si="84"/>
        <v>-4362345.5028132284</v>
      </c>
      <c r="N1049" s="36"/>
      <c r="O1049" s="36"/>
      <c r="P1049" s="36"/>
    </row>
    <row r="1050" spans="1:16" x14ac:dyDescent="0.25">
      <c r="A1050" s="36">
        <v>1890</v>
      </c>
      <c r="B1050" s="37">
        <v>43709</v>
      </c>
      <c r="C1050" s="36" t="s">
        <v>195</v>
      </c>
      <c r="D1050" s="36"/>
      <c r="E1050" s="38">
        <v>29324874</v>
      </c>
      <c r="F1050" s="40">
        <f>VLOOKUP(A1050,'DATOS GENERALES'!A:B,2,0)</f>
        <v>1.1100000000000001</v>
      </c>
      <c r="G1050" s="36">
        <f t="shared" si="80"/>
        <v>1.104894</v>
      </c>
      <c r="H1050" s="38">
        <f t="shared" si="81"/>
        <v>26540893.515577059</v>
      </c>
      <c r="I1050" s="38">
        <f t="shared" si="82"/>
        <v>2783980.4844229408</v>
      </c>
      <c r="J1050" s="38">
        <v>7851018.450627951</v>
      </c>
      <c r="K1050" s="38">
        <f t="shared" si="83"/>
        <v>-5067037.9662050102</v>
      </c>
      <c r="L1050" s="41">
        <f>VLOOKUP(INDICADORES!$B$21,'DATOS GENERALES'!$K:$M,3,0)*E1050</f>
        <v>199585.86343098604</v>
      </c>
      <c r="M1050" s="38">
        <f t="shared" si="84"/>
        <v>-5266623.8296359964</v>
      </c>
      <c r="N1050" s="36"/>
      <c r="O1050" s="36"/>
      <c r="P1050" s="36"/>
    </row>
    <row r="1051" spans="1:16" x14ac:dyDescent="0.25">
      <c r="A1051" s="36">
        <v>1890</v>
      </c>
      <c r="B1051" s="37">
        <v>43739</v>
      </c>
      <c r="C1051" s="36" t="s">
        <v>195</v>
      </c>
      <c r="D1051" s="36"/>
      <c r="E1051" s="38">
        <v>29324874</v>
      </c>
      <c r="F1051" s="40">
        <f>VLOOKUP(A1051,'DATOS GENERALES'!A:B,2,0)</f>
        <v>1.1100000000000001</v>
      </c>
      <c r="G1051" s="36">
        <f t="shared" si="80"/>
        <v>1.104894</v>
      </c>
      <c r="H1051" s="38">
        <f t="shared" si="81"/>
        <v>26540893.515577059</v>
      </c>
      <c r="I1051" s="38">
        <f t="shared" si="82"/>
        <v>2783980.4844229408</v>
      </c>
      <c r="J1051" s="38">
        <v>8490065.7645124737</v>
      </c>
      <c r="K1051" s="38">
        <f t="shared" si="83"/>
        <v>-5706085.280089533</v>
      </c>
      <c r="L1051" s="41">
        <f>VLOOKUP(INDICADORES!$B$21,'DATOS GENERALES'!$K:$M,3,0)*E1051</f>
        <v>199585.86343098604</v>
      </c>
      <c r="M1051" s="38">
        <f t="shared" si="84"/>
        <v>-5905671.1435205191</v>
      </c>
      <c r="N1051" s="36"/>
      <c r="O1051" s="36"/>
      <c r="P1051" s="36"/>
    </row>
    <row r="1052" spans="1:16" x14ac:dyDescent="0.25">
      <c r="A1052" s="36">
        <v>1890</v>
      </c>
      <c r="B1052" s="37">
        <v>43770</v>
      </c>
      <c r="C1052" s="36" t="s">
        <v>195</v>
      </c>
      <c r="D1052" s="36"/>
      <c r="E1052" s="38">
        <v>29324874</v>
      </c>
      <c r="F1052" s="40">
        <f>VLOOKUP(A1052,'DATOS GENERALES'!A:B,2,0)</f>
        <v>1.1100000000000001</v>
      </c>
      <c r="G1052" s="36">
        <f t="shared" si="80"/>
        <v>1.104894</v>
      </c>
      <c r="H1052" s="38">
        <f t="shared" si="81"/>
        <v>26540893.515577059</v>
      </c>
      <c r="I1052" s="38">
        <f t="shared" si="82"/>
        <v>2783980.4844229408</v>
      </c>
      <c r="J1052" s="38">
        <v>11354837.689496014</v>
      </c>
      <c r="K1052" s="38">
        <f t="shared" si="83"/>
        <v>-8570857.2050730735</v>
      </c>
      <c r="L1052" s="41">
        <f>VLOOKUP(INDICADORES!$B$21,'DATOS GENERALES'!$K:$M,3,0)*E1052</f>
        <v>199585.86343098604</v>
      </c>
      <c r="M1052" s="38">
        <f t="shared" si="84"/>
        <v>-8770443.0685040597</v>
      </c>
      <c r="N1052" s="36"/>
      <c r="O1052" s="36"/>
      <c r="P1052" s="36"/>
    </row>
    <row r="1053" spans="1:16" x14ac:dyDescent="0.25">
      <c r="A1053" s="36">
        <v>1890</v>
      </c>
      <c r="B1053" s="37">
        <v>43800</v>
      </c>
      <c r="C1053" s="36" t="s">
        <v>195</v>
      </c>
      <c r="D1053" s="36"/>
      <c r="E1053" s="38">
        <v>29324874</v>
      </c>
      <c r="F1053" s="40">
        <f>VLOOKUP(A1053,'DATOS GENERALES'!A:B,2,0)</f>
        <v>1.1100000000000001</v>
      </c>
      <c r="G1053" s="36">
        <f t="shared" si="80"/>
        <v>1.104894</v>
      </c>
      <c r="H1053" s="38">
        <f t="shared" si="81"/>
        <v>26540893.515577059</v>
      </c>
      <c r="I1053" s="38">
        <f t="shared" si="82"/>
        <v>2783980.4844229408</v>
      </c>
      <c r="J1053" s="38">
        <v>9560630.19595729</v>
      </c>
      <c r="K1053" s="38">
        <f t="shared" si="83"/>
        <v>-6776649.7115343492</v>
      </c>
      <c r="L1053" s="41">
        <f>VLOOKUP(INDICADORES!$B$21,'DATOS GENERALES'!$K:$M,3,0)*E1053</f>
        <v>199585.86343098604</v>
      </c>
      <c r="M1053" s="38">
        <f t="shared" si="84"/>
        <v>-6976235.5749653354</v>
      </c>
      <c r="N1053" s="36"/>
      <c r="O1053" s="36"/>
      <c r="P1053" s="36"/>
    </row>
    <row r="1054" spans="1:16" x14ac:dyDescent="0.25">
      <c r="A1054" s="36">
        <v>1890</v>
      </c>
      <c r="B1054" s="37">
        <v>43831</v>
      </c>
      <c r="C1054" s="36" t="s">
        <v>195</v>
      </c>
      <c r="D1054" s="36"/>
      <c r="E1054" s="38">
        <v>43647924</v>
      </c>
      <c r="F1054" s="40">
        <f>VLOOKUP(A1054,'DATOS GENERALES'!A:B,2,0)</f>
        <v>1.1100000000000001</v>
      </c>
      <c r="G1054" s="36">
        <f t="shared" si="80"/>
        <v>1.104894</v>
      </c>
      <c r="H1054" s="38">
        <f t="shared" si="81"/>
        <v>39504173.251008689</v>
      </c>
      <c r="I1054" s="38">
        <f t="shared" si="82"/>
        <v>4143750.7489913106</v>
      </c>
      <c r="J1054" s="38" t="s">
        <v>213</v>
      </c>
      <c r="K1054" s="38" t="str">
        <f t="shared" si="83"/>
        <v/>
      </c>
      <c r="L1054" s="41">
        <f>VLOOKUP(INDICADORES!$B$21,'DATOS GENERALES'!$K:$M,3,0)*E1054</f>
        <v>297068.91830157762</v>
      </c>
      <c r="M1054" s="38" t="str">
        <f t="shared" si="84"/>
        <v/>
      </c>
      <c r="N1054" s="36"/>
      <c r="O1054" s="36"/>
      <c r="P1054" s="36"/>
    </row>
    <row r="1055" spans="1:16" x14ac:dyDescent="0.25">
      <c r="A1055" s="36">
        <v>1890</v>
      </c>
      <c r="B1055" s="37">
        <v>43862</v>
      </c>
      <c r="C1055" s="36" t="s">
        <v>195</v>
      </c>
      <c r="D1055" s="36"/>
      <c r="E1055" s="38">
        <v>43647924</v>
      </c>
      <c r="F1055" s="40">
        <f>VLOOKUP(A1055,'DATOS GENERALES'!A:B,2,0)</f>
        <v>1.1100000000000001</v>
      </c>
      <c r="G1055" s="36">
        <f t="shared" si="80"/>
        <v>1.104894</v>
      </c>
      <c r="H1055" s="38">
        <f t="shared" si="81"/>
        <v>39504173.251008689</v>
      </c>
      <c r="I1055" s="38">
        <f t="shared" si="82"/>
        <v>4143750.7489913106</v>
      </c>
      <c r="J1055" s="38" t="s">
        <v>213</v>
      </c>
      <c r="K1055" s="38" t="str">
        <f t="shared" si="83"/>
        <v/>
      </c>
      <c r="L1055" s="41">
        <f>VLOOKUP(INDICADORES!$B$21,'DATOS GENERALES'!$K:$M,3,0)*E1055</f>
        <v>297068.91830157762</v>
      </c>
      <c r="M1055" s="38" t="str">
        <f t="shared" si="84"/>
        <v/>
      </c>
      <c r="N1055" s="36"/>
      <c r="O1055" s="36"/>
      <c r="P1055" s="36"/>
    </row>
    <row r="1056" spans="1:16" x14ac:dyDescent="0.25">
      <c r="A1056" s="36">
        <v>1890</v>
      </c>
      <c r="B1056" s="37">
        <v>43891</v>
      </c>
      <c r="C1056" s="36" t="s">
        <v>195</v>
      </c>
      <c r="D1056" s="36"/>
      <c r="E1056" s="38">
        <v>43647924</v>
      </c>
      <c r="F1056" s="40">
        <f>VLOOKUP(A1056,'DATOS GENERALES'!A:B,2,0)</f>
        <v>1.1100000000000001</v>
      </c>
      <c r="G1056" s="36">
        <f t="shared" si="80"/>
        <v>1.104894</v>
      </c>
      <c r="H1056" s="38">
        <f t="shared" si="81"/>
        <v>39504173.251008689</v>
      </c>
      <c r="I1056" s="38">
        <f t="shared" si="82"/>
        <v>4143750.7489913106</v>
      </c>
      <c r="J1056" s="38" t="s">
        <v>213</v>
      </c>
      <c r="K1056" s="38" t="str">
        <f t="shared" si="83"/>
        <v/>
      </c>
      <c r="L1056" s="41">
        <f>VLOOKUP(INDICADORES!$B$21,'DATOS GENERALES'!$K:$M,3,0)*E1056</f>
        <v>297068.91830157762</v>
      </c>
      <c r="M1056" s="38" t="str">
        <f t="shared" si="84"/>
        <v/>
      </c>
      <c r="N1056" s="36"/>
      <c r="O1056" s="36"/>
      <c r="P1056" s="36"/>
    </row>
    <row r="1057" spans="1:16" x14ac:dyDescent="0.25">
      <c r="A1057" s="36">
        <v>1890</v>
      </c>
      <c r="B1057" s="37">
        <v>43922</v>
      </c>
      <c r="C1057" s="36" t="s">
        <v>195</v>
      </c>
      <c r="D1057" s="36"/>
      <c r="E1057" s="38">
        <v>43647924</v>
      </c>
      <c r="F1057" s="40">
        <f>VLOOKUP(A1057,'DATOS GENERALES'!A:B,2,0)</f>
        <v>1.1100000000000001</v>
      </c>
      <c r="G1057" s="36">
        <f t="shared" si="80"/>
        <v>1.104894</v>
      </c>
      <c r="H1057" s="38">
        <f t="shared" si="81"/>
        <v>39504173.251008689</v>
      </c>
      <c r="I1057" s="38">
        <f t="shared" si="82"/>
        <v>4143750.7489913106</v>
      </c>
      <c r="J1057" s="38" t="s">
        <v>213</v>
      </c>
      <c r="K1057" s="38" t="str">
        <f t="shared" si="83"/>
        <v/>
      </c>
      <c r="L1057" s="41">
        <f>VLOOKUP(INDICADORES!$B$21,'DATOS GENERALES'!$K:$M,3,0)*E1057</f>
        <v>297068.91830157762</v>
      </c>
      <c r="M1057" s="38" t="str">
        <f t="shared" si="84"/>
        <v/>
      </c>
      <c r="N1057" s="36"/>
      <c r="O1057" s="36"/>
      <c r="P1057" s="36"/>
    </row>
    <row r="1058" spans="1:16" x14ac:dyDescent="0.25">
      <c r="A1058" s="36">
        <v>1890</v>
      </c>
      <c r="B1058" s="37">
        <v>43952</v>
      </c>
      <c r="C1058" s="36" t="s">
        <v>195</v>
      </c>
      <c r="D1058" s="36"/>
      <c r="E1058" s="38">
        <v>43647924</v>
      </c>
      <c r="F1058" s="40">
        <f>VLOOKUP(A1058,'DATOS GENERALES'!A:B,2,0)</f>
        <v>1.1100000000000001</v>
      </c>
      <c r="G1058" s="36">
        <f t="shared" si="80"/>
        <v>1.104894</v>
      </c>
      <c r="H1058" s="38">
        <f t="shared" si="81"/>
        <v>39504173.251008689</v>
      </c>
      <c r="I1058" s="38">
        <f t="shared" si="82"/>
        <v>4143750.7489913106</v>
      </c>
      <c r="J1058" s="38" t="s">
        <v>213</v>
      </c>
      <c r="K1058" s="38" t="str">
        <f t="shared" si="83"/>
        <v/>
      </c>
      <c r="L1058" s="41">
        <f>VLOOKUP(INDICADORES!$B$21,'DATOS GENERALES'!$K:$M,3,0)*E1058</f>
        <v>297068.91830157762</v>
      </c>
      <c r="M1058" s="38" t="str">
        <f t="shared" si="84"/>
        <v/>
      </c>
      <c r="N1058" s="36"/>
      <c r="O1058" s="36"/>
      <c r="P1058" s="36"/>
    </row>
    <row r="1059" spans="1:16" x14ac:dyDescent="0.25">
      <c r="A1059" s="36">
        <v>1890</v>
      </c>
      <c r="B1059" s="37">
        <v>43983</v>
      </c>
      <c r="C1059" s="36" t="s">
        <v>195</v>
      </c>
      <c r="D1059" s="36"/>
      <c r="E1059" s="38">
        <v>43647924</v>
      </c>
      <c r="F1059" s="40">
        <f>VLOOKUP(A1059,'DATOS GENERALES'!A:B,2,0)</f>
        <v>1.1100000000000001</v>
      </c>
      <c r="G1059" s="36">
        <f t="shared" si="80"/>
        <v>1.104894</v>
      </c>
      <c r="H1059" s="38">
        <f t="shared" si="81"/>
        <v>39504173.251008689</v>
      </c>
      <c r="I1059" s="38">
        <f t="shared" si="82"/>
        <v>4143750.7489913106</v>
      </c>
      <c r="J1059" s="38" t="s">
        <v>213</v>
      </c>
      <c r="K1059" s="38" t="str">
        <f t="shared" si="83"/>
        <v/>
      </c>
      <c r="L1059" s="41">
        <f>VLOOKUP(INDICADORES!$B$21,'DATOS GENERALES'!$K:$M,3,0)*E1059</f>
        <v>297068.91830157762</v>
      </c>
      <c r="M1059" s="38" t="str">
        <f t="shared" si="84"/>
        <v/>
      </c>
      <c r="N1059" s="36"/>
      <c r="O1059" s="36"/>
      <c r="P1059" s="36"/>
    </row>
    <row r="1060" spans="1:16" x14ac:dyDescent="0.25">
      <c r="A1060" s="36">
        <v>1890</v>
      </c>
      <c r="B1060" s="37">
        <v>44013</v>
      </c>
      <c r="C1060" s="36" t="s">
        <v>195</v>
      </c>
      <c r="D1060" s="36"/>
      <c r="E1060" s="38">
        <v>43647924</v>
      </c>
      <c r="F1060" s="40">
        <f>VLOOKUP(A1060,'DATOS GENERALES'!A:B,2,0)</f>
        <v>1.1100000000000001</v>
      </c>
      <c r="G1060" s="36">
        <f t="shared" si="80"/>
        <v>1.104894</v>
      </c>
      <c r="H1060" s="38">
        <f t="shared" si="81"/>
        <v>39504173.251008689</v>
      </c>
      <c r="I1060" s="38">
        <f t="shared" si="82"/>
        <v>4143750.7489913106</v>
      </c>
      <c r="J1060" s="38" t="s">
        <v>213</v>
      </c>
      <c r="K1060" s="38" t="str">
        <f t="shared" si="83"/>
        <v/>
      </c>
      <c r="L1060" s="41">
        <f>VLOOKUP(INDICADORES!$B$21,'DATOS GENERALES'!$K:$M,3,0)*E1060</f>
        <v>297068.91830157762</v>
      </c>
      <c r="M1060" s="38" t="str">
        <f t="shared" si="84"/>
        <v/>
      </c>
      <c r="N1060" s="36"/>
      <c r="O1060" s="36"/>
      <c r="P1060" s="36"/>
    </row>
    <row r="1061" spans="1:16" x14ac:dyDescent="0.25">
      <c r="A1061" s="36">
        <v>1890</v>
      </c>
      <c r="B1061" s="37">
        <v>44044</v>
      </c>
      <c r="C1061" s="36" t="s">
        <v>195</v>
      </c>
      <c r="D1061" s="36"/>
      <c r="E1061" s="38">
        <v>43647924</v>
      </c>
      <c r="F1061" s="40">
        <f>VLOOKUP(A1061,'DATOS GENERALES'!A:B,2,0)</f>
        <v>1.1100000000000001</v>
      </c>
      <c r="G1061" s="36">
        <f t="shared" si="80"/>
        <v>1.104894</v>
      </c>
      <c r="H1061" s="38">
        <f t="shared" si="81"/>
        <v>39504173.251008689</v>
      </c>
      <c r="I1061" s="38">
        <f t="shared" si="82"/>
        <v>4143750.7489913106</v>
      </c>
      <c r="J1061" s="38" t="s">
        <v>213</v>
      </c>
      <c r="K1061" s="38" t="str">
        <f t="shared" si="83"/>
        <v/>
      </c>
      <c r="L1061" s="41">
        <f>VLOOKUP(INDICADORES!$B$21,'DATOS GENERALES'!$K:$M,3,0)*E1061</f>
        <v>297068.91830157762</v>
      </c>
      <c r="M1061" s="38" t="str">
        <f t="shared" si="84"/>
        <v/>
      </c>
      <c r="N1061" s="36"/>
      <c r="O1061" s="36"/>
      <c r="P1061" s="36"/>
    </row>
    <row r="1062" spans="1:16" x14ac:dyDescent="0.25">
      <c r="A1062" s="36">
        <v>1890</v>
      </c>
      <c r="B1062" s="37">
        <v>44075</v>
      </c>
      <c r="C1062" s="36" t="s">
        <v>195</v>
      </c>
      <c r="D1062" s="36"/>
      <c r="E1062" s="38">
        <v>43647924</v>
      </c>
      <c r="F1062" s="40">
        <f>VLOOKUP(A1062,'DATOS GENERALES'!A:B,2,0)</f>
        <v>1.1100000000000001</v>
      </c>
      <c r="G1062" s="36">
        <f t="shared" si="80"/>
        <v>1.104894</v>
      </c>
      <c r="H1062" s="38">
        <f t="shared" si="81"/>
        <v>39504173.251008689</v>
      </c>
      <c r="I1062" s="38">
        <f t="shared" si="82"/>
        <v>4143750.7489913106</v>
      </c>
      <c r="J1062" s="38" t="s">
        <v>213</v>
      </c>
      <c r="K1062" s="38" t="str">
        <f t="shared" si="83"/>
        <v/>
      </c>
      <c r="L1062" s="41">
        <f>VLOOKUP(INDICADORES!$B$21,'DATOS GENERALES'!$K:$M,3,0)*E1062</f>
        <v>297068.91830157762</v>
      </c>
      <c r="M1062" s="38" t="str">
        <f t="shared" si="84"/>
        <v/>
      </c>
      <c r="N1062" s="36"/>
      <c r="O1062" s="36"/>
      <c r="P1062" s="36"/>
    </row>
    <row r="1063" spans="1:16" x14ac:dyDescent="0.25">
      <c r="A1063" s="36">
        <v>1890</v>
      </c>
      <c r="B1063" s="37">
        <v>44105</v>
      </c>
      <c r="C1063" s="36" t="s">
        <v>195</v>
      </c>
      <c r="D1063" s="36"/>
      <c r="E1063" s="38">
        <v>43647924</v>
      </c>
      <c r="F1063" s="40">
        <f>VLOOKUP(A1063,'DATOS GENERALES'!A:B,2,0)</f>
        <v>1.1100000000000001</v>
      </c>
      <c r="G1063" s="36">
        <f t="shared" si="80"/>
        <v>1.104894</v>
      </c>
      <c r="H1063" s="38">
        <f t="shared" si="81"/>
        <v>39504173.251008689</v>
      </c>
      <c r="I1063" s="38">
        <f t="shared" si="82"/>
        <v>4143750.7489913106</v>
      </c>
      <c r="J1063" s="38" t="s">
        <v>213</v>
      </c>
      <c r="K1063" s="38" t="str">
        <f t="shared" si="83"/>
        <v/>
      </c>
      <c r="L1063" s="41">
        <f>VLOOKUP(INDICADORES!$B$21,'DATOS GENERALES'!$K:$M,3,0)*E1063</f>
        <v>297068.91830157762</v>
      </c>
      <c r="M1063" s="38" t="str">
        <f t="shared" si="84"/>
        <v/>
      </c>
      <c r="N1063" s="36"/>
      <c r="O1063" s="36"/>
      <c r="P1063" s="36"/>
    </row>
    <row r="1064" spans="1:16" x14ac:dyDescent="0.25">
      <c r="A1064" s="36">
        <v>1890</v>
      </c>
      <c r="B1064" s="37">
        <v>44136</v>
      </c>
      <c r="C1064" s="36" t="s">
        <v>195</v>
      </c>
      <c r="D1064" s="36"/>
      <c r="E1064" s="38">
        <v>29413074</v>
      </c>
      <c r="F1064" s="40">
        <f>VLOOKUP(A1064,'DATOS GENERALES'!A:B,2,0)</f>
        <v>1.1100000000000001</v>
      </c>
      <c r="G1064" s="36">
        <f t="shared" si="80"/>
        <v>1.104894</v>
      </c>
      <c r="H1064" s="38">
        <f t="shared" si="81"/>
        <v>26620720.177682202</v>
      </c>
      <c r="I1064" s="38">
        <f t="shared" si="82"/>
        <v>2792353.8223177977</v>
      </c>
      <c r="J1064" s="38" t="s">
        <v>213</v>
      </c>
      <c r="K1064" s="38" t="str">
        <f t="shared" si="83"/>
        <v/>
      </c>
      <c r="L1064" s="41">
        <f>VLOOKUP(INDICADORES!$B$21,'DATOS GENERALES'!$K:$M,3,0)*E1064</f>
        <v>200186.15494987246</v>
      </c>
      <c r="M1064" s="38" t="str">
        <f t="shared" si="84"/>
        <v/>
      </c>
      <c r="N1064" s="36"/>
      <c r="O1064" s="36"/>
      <c r="P1064" s="36"/>
    </row>
    <row r="1065" spans="1:16" x14ac:dyDescent="0.25">
      <c r="A1065" s="36">
        <v>1890</v>
      </c>
      <c r="B1065" s="37">
        <v>44166</v>
      </c>
      <c r="C1065" s="36" t="s">
        <v>195</v>
      </c>
      <c r="D1065" s="36"/>
      <c r="E1065" s="38">
        <v>29413074</v>
      </c>
      <c r="F1065" s="40">
        <f>VLOOKUP(A1065,'DATOS GENERALES'!A:B,2,0)</f>
        <v>1.1100000000000001</v>
      </c>
      <c r="G1065" s="36">
        <f t="shared" si="80"/>
        <v>1.104894</v>
      </c>
      <c r="H1065" s="38">
        <f t="shared" si="81"/>
        <v>26620720.177682202</v>
      </c>
      <c r="I1065" s="38">
        <f t="shared" si="82"/>
        <v>2792353.8223177977</v>
      </c>
      <c r="J1065" s="38" t="s">
        <v>213</v>
      </c>
      <c r="K1065" s="38" t="str">
        <f t="shared" si="83"/>
        <v/>
      </c>
      <c r="L1065" s="41">
        <f>VLOOKUP(INDICADORES!$B$21,'DATOS GENERALES'!$K:$M,3,0)*E1065</f>
        <v>200186.15494987246</v>
      </c>
      <c r="M1065" s="38" t="str">
        <f t="shared" si="84"/>
        <v/>
      </c>
      <c r="N1065" s="36"/>
      <c r="O1065" s="36"/>
      <c r="P1065" s="36"/>
    </row>
    <row r="1066" spans="1:16" x14ac:dyDescent="0.25">
      <c r="A1066" s="36">
        <v>1618</v>
      </c>
      <c r="B1066" s="37">
        <v>43466</v>
      </c>
      <c r="C1066" s="36" t="s">
        <v>195</v>
      </c>
      <c r="D1066" s="36"/>
      <c r="E1066" s="38">
        <v>33554950.015926875</v>
      </c>
      <c r="F1066" s="40">
        <f>VLOOKUP(A1066,'DATOS GENERALES'!A:B,2,0)</f>
        <v>1.97</v>
      </c>
      <c r="G1066" s="36">
        <f t="shared" si="80"/>
        <v>1.9609379999999998</v>
      </c>
      <c r="H1066" s="38">
        <f t="shared" si="81"/>
        <v>17111683.294386093</v>
      </c>
      <c r="I1066" s="38">
        <f t="shared" si="82"/>
        <v>16443266.721540783</v>
      </c>
      <c r="J1066" s="38">
        <v>3754617.2246648986</v>
      </c>
      <c r="K1066" s="38">
        <f t="shared" si="83"/>
        <v>12688649.496875884</v>
      </c>
      <c r="L1066" s="41">
        <f>VLOOKUP(INDICADORES!$B$21,'DATOS GENERALES'!$K:$M,3,0)*E1066</f>
        <v>228375.87200928279</v>
      </c>
      <c r="M1066" s="38">
        <f t="shared" si="84"/>
        <v>12460273.624866601</v>
      </c>
      <c r="N1066" s="36"/>
      <c r="O1066" s="36"/>
      <c r="P1066" s="36"/>
    </row>
    <row r="1067" spans="1:16" x14ac:dyDescent="0.25">
      <c r="A1067" s="36">
        <v>1618</v>
      </c>
      <c r="B1067" s="37">
        <v>43497</v>
      </c>
      <c r="C1067" s="36" t="s">
        <v>195</v>
      </c>
      <c r="D1067" s="36"/>
      <c r="E1067" s="38">
        <v>13267655.116172869</v>
      </c>
      <c r="F1067" s="40">
        <f>VLOOKUP(A1067,'DATOS GENERALES'!A:B,2,0)</f>
        <v>1.97</v>
      </c>
      <c r="G1067" s="36">
        <f t="shared" si="80"/>
        <v>1.9609379999999998</v>
      </c>
      <c r="H1067" s="38">
        <f t="shared" si="81"/>
        <v>6765973.7922223294</v>
      </c>
      <c r="I1067" s="38">
        <f t="shared" si="82"/>
        <v>6501681.3239505393</v>
      </c>
      <c r="J1067" s="38">
        <v>1462518.3307391868</v>
      </c>
      <c r="K1067" s="38">
        <f t="shared" si="83"/>
        <v>5039162.9932113523</v>
      </c>
      <c r="L1067" s="41">
        <f>VLOOKUP(INDICADORES!$B$21,'DATOS GENERALES'!$K:$M,3,0)*E1067</f>
        <v>90300.009543635257</v>
      </c>
      <c r="M1067" s="38">
        <f t="shared" si="84"/>
        <v>4948862.9836677173</v>
      </c>
      <c r="N1067" s="36"/>
      <c r="O1067" s="36"/>
      <c r="P1067" s="36"/>
    </row>
    <row r="1068" spans="1:16" x14ac:dyDescent="0.25">
      <c r="A1068" s="36">
        <v>1715</v>
      </c>
      <c r="B1068" s="37">
        <v>43466</v>
      </c>
      <c r="C1068" s="36" t="s">
        <v>195</v>
      </c>
      <c r="D1068" s="36"/>
      <c r="E1068" s="38">
        <v>55849596.75</v>
      </c>
      <c r="F1068" s="40">
        <f>VLOOKUP(A1068,'DATOS GENERALES'!A:B,2,0)</f>
        <v>1.93</v>
      </c>
      <c r="G1068" s="36">
        <f t="shared" si="80"/>
        <v>1.9211219999999998</v>
      </c>
      <c r="H1068" s="38">
        <f t="shared" si="81"/>
        <v>29071343.074515834</v>
      </c>
      <c r="I1068" s="38">
        <f t="shared" si="82"/>
        <v>26778253.675484166</v>
      </c>
      <c r="J1068" s="38">
        <v>6378785.977620896</v>
      </c>
      <c r="K1068" s="38">
        <f t="shared" si="83"/>
        <v>20399467.69786327</v>
      </c>
      <c r="L1068" s="41">
        <f>VLOOKUP(INDICADORES!$B$21,'DATOS GENERALES'!$K:$M,3,0)*E1068</f>
        <v>380113.82383505354</v>
      </c>
      <c r="M1068" s="38">
        <f t="shared" si="84"/>
        <v>20019353.874028217</v>
      </c>
      <c r="N1068" s="36"/>
      <c r="O1068" s="36"/>
      <c r="P1068" s="36"/>
    </row>
    <row r="1069" spans="1:16" x14ac:dyDescent="0.25">
      <c r="A1069" s="36">
        <v>1715</v>
      </c>
      <c r="B1069" s="37">
        <v>43497</v>
      </c>
      <c r="C1069" s="36" t="s">
        <v>195</v>
      </c>
      <c r="D1069" s="36"/>
      <c r="E1069" s="38">
        <v>55849596.75</v>
      </c>
      <c r="F1069" s="40">
        <f>VLOOKUP(A1069,'DATOS GENERALES'!A:B,2,0)</f>
        <v>1.93</v>
      </c>
      <c r="G1069" s="36">
        <f t="shared" si="80"/>
        <v>1.9211219999999998</v>
      </c>
      <c r="H1069" s="38">
        <f t="shared" si="81"/>
        <v>29071343.074515834</v>
      </c>
      <c r="I1069" s="38">
        <f t="shared" si="82"/>
        <v>26778253.675484166</v>
      </c>
      <c r="J1069" s="38">
        <v>6283998.9410780743</v>
      </c>
      <c r="K1069" s="38">
        <f t="shared" si="83"/>
        <v>20494254.734406091</v>
      </c>
      <c r="L1069" s="41">
        <f>VLOOKUP(INDICADORES!$B$21,'DATOS GENERALES'!$K:$M,3,0)*E1069</f>
        <v>380113.82383505354</v>
      </c>
      <c r="M1069" s="38">
        <f t="shared" si="84"/>
        <v>20114140.910571039</v>
      </c>
      <c r="N1069" s="36"/>
      <c r="O1069" s="36"/>
      <c r="P1069" s="36"/>
    </row>
    <row r="1070" spans="1:16" x14ac:dyDescent="0.25">
      <c r="A1070" s="36">
        <v>1715</v>
      </c>
      <c r="B1070" s="37">
        <v>43525</v>
      </c>
      <c r="C1070" s="36" t="s">
        <v>195</v>
      </c>
      <c r="D1070" s="36"/>
      <c r="E1070" s="38">
        <v>55849596.75</v>
      </c>
      <c r="F1070" s="40">
        <f>VLOOKUP(A1070,'DATOS GENERALES'!A:B,2,0)</f>
        <v>1.93</v>
      </c>
      <c r="G1070" s="36">
        <f t="shared" si="80"/>
        <v>1.9211219999999998</v>
      </c>
      <c r="H1070" s="38">
        <f t="shared" si="81"/>
        <v>29071343.074515834</v>
      </c>
      <c r="I1070" s="38">
        <f t="shared" si="82"/>
        <v>26778253.675484166</v>
      </c>
      <c r="J1070" s="38">
        <v>4546395.294261572</v>
      </c>
      <c r="K1070" s="38">
        <f t="shared" si="83"/>
        <v>22231858.381222595</v>
      </c>
      <c r="L1070" s="41">
        <f>VLOOKUP(INDICADORES!$B$21,'DATOS GENERALES'!$K:$M,3,0)*E1070</f>
        <v>380113.82383505354</v>
      </c>
      <c r="M1070" s="38">
        <f t="shared" si="84"/>
        <v>21851744.557387542</v>
      </c>
      <c r="N1070" s="36"/>
      <c r="O1070" s="36"/>
      <c r="P1070" s="36"/>
    </row>
    <row r="1071" spans="1:16" x14ac:dyDescent="0.25">
      <c r="A1071" s="36">
        <v>1837</v>
      </c>
      <c r="B1071" s="37">
        <v>43466</v>
      </c>
      <c r="C1071" s="36" t="s">
        <v>195</v>
      </c>
      <c r="D1071" s="36"/>
      <c r="E1071" s="38">
        <v>24433339.875</v>
      </c>
      <c r="F1071" s="40">
        <f>VLOOKUP(A1071,'DATOS GENERALES'!A:B,2,0)</f>
        <v>1.98</v>
      </c>
      <c r="G1071" s="36">
        <f t="shared" si="80"/>
        <v>1.9708919999999999</v>
      </c>
      <c r="H1071" s="38">
        <f t="shared" si="81"/>
        <v>12397097.291480204</v>
      </c>
      <c r="I1071" s="38">
        <f t="shared" si="82"/>
        <v>12036242.583519796</v>
      </c>
      <c r="J1071" s="38">
        <v>2720150.5676363707</v>
      </c>
      <c r="K1071" s="38">
        <f t="shared" si="83"/>
        <v>9316092.0158834253</v>
      </c>
      <c r="L1071" s="41">
        <f>VLOOKUP(INDICADORES!$B$21,'DATOS GENERALES'!$K:$M,3,0)*E1071</f>
        <v>166293.95357179083</v>
      </c>
      <c r="M1071" s="38">
        <f t="shared" si="84"/>
        <v>9149798.0623116344</v>
      </c>
      <c r="N1071" s="36"/>
      <c r="O1071" s="36"/>
      <c r="P1071" s="36"/>
    </row>
    <row r="1072" spans="1:16" x14ac:dyDescent="0.25">
      <c r="A1072" s="36">
        <v>1837</v>
      </c>
      <c r="B1072" s="37">
        <v>43497</v>
      </c>
      <c r="C1072" s="36" t="s">
        <v>195</v>
      </c>
      <c r="D1072" s="36"/>
      <c r="E1072" s="38">
        <v>24433339.875</v>
      </c>
      <c r="F1072" s="40">
        <f>VLOOKUP(A1072,'DATOS GENERALES'!A:B,2,0)</f>
        <v>1.98</v>
      </c>
      <c r="G1072" s="36">
        <f t="shared" si="80"/>
        <v>1.9708919999999999</v>
      </c>
      <c r="H1072" s="38">
        <f t="shared" si="81"/>
        <v>12397097.291480204</v>
      </c>
      <c r="I1072" s="38">
        <f t="shared" si="82"/>
        <v>12036242.583519796</v>
      </c>
      <c r="J1072" s="38">
        <v>2679729.8649883894</v>
      </c>
      <c r="K1072" s="38">
        <f t="shared" si="83"/>
        <v>9356512.7185314074</v>
      </c>
      <c r="L1072" s="41">
        <f>VLOOKUP(INDICADORES!$B$21,'DATOS GENERALES'!$K:$M,3,0)*E1072</f>
        <v>166293.95357179083</v>
      </c>
      <c r="M1072" s="38">
        <f t="shared" si="84"/>
        <v>9190218.7649596166</v>
      </c>
      <c r="N1072" s="36"/>
      <c r="O1072" s="36"/>
      <c r="P1072" s="36"/>
    </row>
    <row r="1073" spans="1:16" x14ac:dyDescent="0.25">
      <c r="A1073" s="36">
        <v>1845</v>
      </c>
      <c r="B1073" s="37">
        <v>43497</v>
      </c>
      <c r="C1073" s="36" t="s">
        <v>195</v>
      </c>
      <c r="D1073" s="36"/>
      <c r="E1073" s="38">
        <v>43907512.694785044</v>
      </c>
      <c r="F1073" s="40">
        <f>VLOOKUP(A1073,'DATOS GENERALES'!A:B,2,0)</f>
        <v>1</v>
      </c>
      <c r="G1073" s="36">
        <f t="shared" si="80"/>
        <v>0.99539999999999995</v>
      </c>
      <c r="H1073" s="38">
        <f t="shared" si="81"/>
        <v>44110420.62968158</v>
      </c>
      <c r="I1073" s="38">
        <f t="shared" si="82"/>
        <v>-202907.93489653617</v>
      </c>
      <c r="J1073" s="38">
        <v>9534813.5728346948</v>
      </c>
      <c r="K1073" s="38">
        <f t="shared" si="83"/>
        <v>-9737721.5077312309</v>
      </c>
      <c r="L1073" s="41">
        <f>VLOOKUP(INDICADORES!$B$21,'DATOS GENERALES'!$K:$M,3,0)*E1073</f>
        <v>298835.68578319054</v>
      </c>
      <c r="M1073" s="38">
        <f t="shared" si="84"/>
        <v>-10036557.193514422</v>
      </c>
      <c r="N1073" s="36"/>
      <c r="O1073" s="36"/>
      <c r="P1073" s="36"/>
    </row>
    <row r="1074" spans="1:16" x14ac:dyDescent="0.25">
      <c r="A1074" s="36">
        <v>1845</v>
      </c>
      <c r="B1074" s="37">
        <v>43525</v>
      </c>
      <c r="C1074" s="36" t="s">
        <v>195</v>
      </c>
      <c r="D1074" s="36"/>
      <c r="E1074" s="38">
        <v>43907512.694785044</v>
      </c>
      <c r="F1074" s="40">
        <f>VLOOKUP(A1074,'DATOS GENERALES'!A:B,2,0)</f>
        <v>1</v>
      </c>
      <c r="G1074" s="36">
        <f t="shared" si="80"/>
        <v>0.99539999999999995</v>
      </c>
      <c r="H1074" s="38">
        <f t="shared" si="81"/>
        <v>44110420.62968158</v>
      </c>
      <c r="I1074" s="38">
        <f t="shared" si="82"/>
        <v>-202907.93489653617</v>
      </c>
      <c r="J1074" s="38">
        <v>6898319.3609132143</v>
      </c>
      <c r="K1074" s="38">
        <f t="shared" si="83"/>
        <v>-7101227.2958097504</v>
      </c>
      <c r="L1074" s="41">
        <f>VLOOKUP(INDICADORES!$B$21,'DATOS GENERALES'!$K:$M,3,0)*E1074</f>
        <v>298835.68578319054</v>
      </c>
      <c r="M1074" s="38">
        <f t="shared" si="84"/>
        <v>-7400062.9815929411</v>
      </c>
      <c r="N1074" s="36"/>
      <c r="O1074" s="36"/>
      <c r="P1074" s="36"/>
    </row>
    <row r="1075" spans="1:16" x14ac:dyDescent="0.25">
      <c r="A1075" s="36">
        <v>1845</v>
      </c>
      <c r="B1075" s="37">
        <v>43556</v>
      </c>
      <c r="C1075" s="36" t="s">
        <v>195</v>
      </c>
      <c r="D1075" s="36"/>
      <c r="E1075" s="38">
        <v>43907512.694785044</v>
      </c>
      <c r="F1075" s="40">
        <f>VLOOKUP(A1075,'DATOS GENERALES'!A:B,2,0)</f>
        <v>1</v>
      </c>
      <c r="G1075" s="36">
        <f t="shared" si="80"/>
        <v>0.99539999999999995</v>
      </c>
      <c r="H1075" s="38">
        <f t="shared" si="81"/>
        <v>44110420.62968158</v>
      </c>
      <c r="I1075" s="38">
        <f t="shared" si="82"/>
        <v>-202907.93489653617</v>
      </c>
      <c r="J1075" s="38">
        <v>7091992.2167569455</v>
      </c>
      <c r="K1075" s="38">
        <f t="shared" si="83"/>
        <v>-7294900.1516534816</v>
      </c>
      <c r="L1075" s="41">
        <f>VLOOKUP(INDICADORES!$B$21,'DATOS GENERALES'!$K:$M,3,0)*E1075</f>
        <v>298835.68578319054</v>
      </c>
      <c r="M1075" s="38">
        <f t="shared" si="84"/>
        <v>-7593735.8374366723</v>
      </c>
      <c r="N1075" s="36"/>
      <c r="O1075" s="36"/>
      <c r="P1075" s="36"/>
    </row>
    <row r="1076" spans="1:16" x14ac:dyDescent="0.25">
      <c r="A1076" s="36">
        <v>1845</v>
      </c>
      <c r="B1076" s="37">
        <v>43586</v>
      </c>
      <c r="C1076" s="36" t="s">
        <v>195</v>
      </c>
      <c r="D1076" s="36"/>
      <c r="E1076" s="38">
        <v>43907512.694785044</v>
      </c>
      <c r="F1076" s="40">
        <f>VLOOKUP(A1076,'DATOS GENERALES'!A:B,2,0)</f>
        <v>1</v>
      </c>
      <c r="G1076" s="36">
        <f t="shared" si="80"/>
        <v>0.99539999999999995</v>
      </c>
      <c r="H1076" s="38">
        <f t="shared" si="81"/>
        <v>44110420.62968158</v>
      </c>
      <c r="I1076" s="38">
        <f t="shared" si="82"/>
        <v>-202907.93489653617</v>
      </c>
      <c r="J1076" s="38">
        <v>5850397.6042798823</v>
      </c>
      <c r="K1076" s="38">
        <f t="shared" si="83"/>
        <v>-6053305.5391764184</v>
      </c>
      <c r="L1076" s="41">
        <f>VLOOKUP(INDICADORES!$B$21,'DATOS GENERALES'!$K:$M,3,0)*E1076</f>
        <v>298835.68578319054</v>
      </c>
      <c r="M1076" s="38">
        <f t="shared" si="84"/>
        <v>-6352141.2249596091</v>
      </c>
      <c r="N1076" s="36"/>
      <c r="O1076" s="36"/>
      <c r="P1076" s="36"/>
    </row>
    <row r="1077" spans="1:16" x14ac:dyDescent="0.25">
      <c r="A1077" s="36">
        <v>1845</v>
      </c>
      <c r="B1077" s="37">
        <v>43617</v>
      </c>
      <c r="C1077" s="36" t="s">
        <v>195</v>
      </c>
      <c r="D1077" s="36"/>
      <c r="E1077" s="38">
        <v>43907512.694785044</v>
      </c>
      <c r="F1077" s="40">
        <f>VLOOKUP(A1077,'DATOS GENERALES'!A:B,2,0)</f>
        <v>1</v>
      </c>
      <c r="G1077" s="36">
        <f t="shared" si="80"/>
        <v>0.99539999999999995</v>
      </c>
      <c r="H1077" s="38">
        <f t="shared" si="81"/>
        <v>44110420.62968158</v>
      </c>
      <c r="I1077" s="38">
        <f t="shared" si="82"/>
        <v>-202907.93489653617</v>
      </c>
      <c r="J1077" s="38">
        <v>7867414.7055124799</v>
      </c>
      <c r="K1077" s="38">
        <f t="shared" si="83"/>
        <v>-8070322.6404090161</v>
      </c>
      <c r="L1077" s="41">
        <f>VLOOKUP(INDICADORES!$B$21,'DATOS GENERALES'!$K:$M,3,0)*E1077</f>
        <v>298835.68578319054</v>
      </c>
      <c r="M1077" s="38">
        <f t="shared" si="84"/>
        <v>-8369158.3261922067</v>
      </c>
      <c r="N1077" s="36"/>
      <c r="O1077" s="36"/>
      <c r="P1077" s="36"/>
    </row>
    <row r="1078" spans="1:16" x14ac:dyDescent="0.25">
      <c r="A1078" s="36">
        <v>1845</v>
      </c>
      <c r="B1078" s="37">
        <v>43647</v>
      </c>
      <c r="C1078" s="36" t="s">
        <v>195</v>
      </c>
      <c r="D1078" s="36"/>
      <c r="E1078" s="38">
        <v>43907512.694785044</v>
      </c>
      <c r="F1078" s="40">
        <f>VLOOKUP(A1078,'DATOS GENERALES'!A:B,2,0)</f>
        <v>1</v>
      </c>
      <c r="G1078" s="36">
        <f t="shared" si="80"/>
        <v>0.99539999999999995</v>
      </c>
      <c r="H1078" s="38">
        <f t="shared" si="81"/>
        <v>44110420.62968158</v>
      </c>
      <c r="I1078" s="38">
        <f t="shared" si="82"/>
        <v>-202907.93489653617</v>
      </c>
      <c r="J1078" s="38">
        <v>11732636.40487621</v>
      </c>
      <c r="K1078" s="38">
        <f t="shared" si="83"/>
        <v>-11935544.339772746</v>
      </c>
      <c r="L1078" s="41">
        <f>VLOOKUP(INDICADORES!$B$21,'DATOS GENERALES'!$K:$M,3,0)*E1078</f>
        <v>298835.68578319054</v>
      </c>
      <c r="M1078" s="38">
        <f t="shared" si="84"/>
        <v>-12234380.025555937</v>
      </c>
      <c r="N1078" s="36"/>
      <c r="O1078" s="36"/>
      <c r="P1078" s="36"/>
    </row>
    <row r="1079" spans="1:16" x14ac:dyDescent="0.25">
      <c r="A1079" s="36">
        <v>1845</v>
      </c>
      <c r="B1079" s="37">
        <v>43678</v>
      </c>
      <c r="C1079" s="36" t="s">
        <v>195</v>
      </c>
      <c r="D1079" s="36"/>
      <c r="E1079" s="38">
        <v>43907512.694785044</v>
      </c>
      <c r="F1079" s="40">
        <f>VLOOKUP(A1079,'DATOS GENERALES'!A:B,2,0)</f>
        <v>1</v>
      </c>
      <c r="G1079" s="36">
        <f t="shared" si="80"/>
        <v>0.99539999999999995</v>
      </c>
      <c r="H1079" s="38">
        <f t="shared" si="81"/>
        <v>44110420.62968158</v>
      </c>
      <c r="I1079" s="38">
        <f t="shared" si="82"/>
        <v>-202907.93489653617</v>
      </c>
      <c r="J1079" s="38">
        <v>11545339.597790498</v>
      </c>
      <c r="K1079" s="38">
        <f t="shared" si="83"/>
        <v>-11748247.532687034</v>
      </c>
      <c r="L1079" s="41">
        <f>VLOOKUP(INDICADORES!$B$21,'DATOS GENERALES'!$K:$M,3,0)*E1079</f>
        <v>298835.68578319054</v>
      </c>
      <c r="M1079" s="38">
        <f t="shared" si="84"/>
        <v>-12047083.218470225</v>
      </c>
      <c r="N1079" s="36"/>
      <c r="O1079" s="36"/>
      <c r="P1079" s="36"/>
    </row>
    <row r="1080" spans="1:16" x14ac:dyDescent="0.25">
      <c r="A1080" s="36">
        <v>1385</v>
      </c>
      <c r="B1080" s="37">
        <v>43466</v>
      </c>
      <c r="C1080" s="36" t="s">
        <v>195</v>
      </c>
      <c r="D1080" s="36"/>
      <c r="E1080" s="38">
        <v>134267225.40000004</v>
      </c>
      <c r="F1080" s="40">
        <f>VLOOKUP(A1080,'DATOS GENERALES'!A:B,2,0)</f>
        <v>1.64</v>
      </c>
      <c r="G1080" s="36">
        <f t="shared" si="80"/>
        <v>1.6324559999999999</v>
      </c>
      <c r="H1080" s="38">
        <f t="shared" si="81"/>
        <v>82248602.963877767</v>
      </c>
      <c r="I1080" s="38">
        <f t="shared" si="82"/>
        <v>52018622.436122268</v>
      </c>
      <c r="J1080" s="38">
        <v>18046852.321893618</v>
      </c>
      <c r="K1080" s="38">
        <f t="shared" si="83"/>
        <v>33971770.114228651</v>
      </c>
      <c r="L1080" s="41">
        <f>VLOOKUP(INDICADORES!$B$21,'DATOS GENERALES'!$K:$M,3,0)*E1080</f>
        <v>913826.26612280845</v>
      </c>
      <c r="M1080" s="38">
        <f t="shared" si="84"/>
        <v>33057943.848105844</v>
      </c>
      <c r="N1080" s="36"/>
      <c r="O1080" s="36"/>
      <c r="P1080" s="36"/>
    </row>
    <row r="1081" spans="1:16" x14ac:dyDescent="0.25">
      <c r="A1081" s="36">
        <v>1385</v>
      </c>
      <c r="B1081" s="37">
        <v>43497</v>
      </c>
      <c r="C1081" s="36" t="s">
        <v>195</v>
      </c>
      <c r="D1081" s="36"/>
      <c r="E1081" s="38">
        <v>134267225.40000004</v>
      </c>
      <c r="F1081" s="40">
        <f>VLOOKUP(A1081,'DATOS GENERALES'!A:B,2,0)</f>
        <v>1.64</v>
      </c>
      <c r="G1081" s="36">
        <f t="shared" si="80"/>
        <v>1.6324559999999999</v>
      </c>
      <c r="H1081" s="38">
        <f t="shared" si="81"/>
        <v>82248602.963877767</v>
      </c>
      <c r="I1081" s="38">
        <f t="shared" si="82"/>
        <v>52018622.436122268</v>
      </c>
      <c r="J1081" s="38">
        <v>17778680.971338872</v>
      </c>
      <c r="K1081" s="38">
        <f t="shared" si="83"/>
        <v>34239941.4647834</v>
      </c>
      <c r="L1081" s="41">
        <f>VLOOKUP(INDICADORES!$B$21,'DATOS GENERALES'!$K:$M,3,0)*E1081</f>
        <v>913826.26612280845</v>
      </c>
      <c r="M1081" s="38">
        <f t="shared" si="84"/>
        <v>33326115.198660593</v>
      </c>
      <c r="N1081" s="36"/>
      <c r="O1081" s="36"/>
      <c r="P1081" s="36"/>
    </row>
    <row r="1082" spans="1:16" x14ac:dyDescent="0.25">
      <c r="A1082" s="36">
        <v>1385</v>
      </c>
      <c r="B1082" s="37">
        <v>43525</v>
      </c>
      <c r="C1082" s="36" t="s">
        <v>195</v>
      </c>
      <c r="D1082" s="36"/>
      <c r="E1082" s="38">
        <v>134267225.40000004</v>
      </c>
      <c r="F1082" s="40">
        <f>VLOOKUP(A1082,'DATOS GENERALES'!A:B,2,0)</f>
        <v>1.64</v>
      </c>
      <c r="G1082" s="36">
        <f t="shared" si="80"/>
        <v>1.6324559999999999</v>
      </c>
      <c r="H1082" s="38">
        <f t="shared" si="81"/>
        <v>82248602.963877767</v>
      </c>
      <c r="I1082" s="38">
        <f t="shared" si="82"/>
        <v>52018622.436122268</v>
      </c>
      <c r="J1082" s="38">
        <v>12862655.1761331</v>
      </c>
      <c r="K1082" s="38">
        <f t="shared" si="83"/>
        <v>39155967.259989172</v>
      </c>
      <c r="L1082" s="41">
        <f>VLOOKUP(INDICADORES!$B$21,'DATOS GENERALES'!$K:$M,3,0)*E1082</f>
        <v>913826.26612280845</v>
      </c>
      <c r="M1082" s="38">
        <f t="shared" si="84"/>
        <v>38242140.993866362</v>
      </c>
      <c r="N1082" s="36"/>
      <c r="O1082" s="36"/>
      <c r="P1082" s="36"/>
    </row>
    <row r="1083" spans="1:16" x14ac:dyDescent="0.25">
      <c r="A1083" s="36">
        <v>1385</v>
      </c>
      <c r="B1083" s="37">
        <v>43556</v>
      </c>
      <c r="C1083" s="36" t="s">
        <v>195</v>
      </c>
      <c r="D1083" s="36"/>
      <c r="E1083" s="38">
        <v>134267225.40000004</v>
      </c>
      <c r="F1083" s="40">
        <f>VLOOKUP(A1083,'DATOS GENERALES'!A:B,2,0)</f>
        <v>1.64</v>
      </c>
      <c r="G1083" s="36">
        <f t="shared" si="80"/>
        <v>1.6324559999999999</v>
      </c>
      <c r="H1083" s="38">
        <f t="shared" si="81"/>
        <v>82248602.963877767</v>
      </c>
      <c r="I1083" s="38">
        <f t="shared" si="82"/>
        <v>52018622.436122268</v>
      </c>
      <c r="J1083" s="38">
        <v>13223778.955906186</v>
      </c>
      <c r="K1083" s="38">
        <f t="shared" si="83"/>
        <v>38794843.480216086</v>
      </c>
      <c r="L1083" s="41">
        <f>VLOOKUP(INDICADORES!$B$21,'DATOS GENERALES'!$K:$M,3,0)*E1083</f>
        <v>913826.26612280845</v>
      </c>
      <c r="M1083" s="38">
        <f t="shared" si="84"/>
        <v>37881017.214093275</v>
      </c>
      <c r="N1083" s="36"/>
      <c r="O1083" s="36"/>
      <c r="P1083" s="36"/>
    </row>
    <row r="1084" spans="1:16" x14ac:dyDescent="0.25">
      <c r="A1084" s="36">
        <v>1385</v>
      </c>
      <c r="B1084" s="37">
        <v>43586</v>
      </c>
      <c r="C1084" s="36" t="s">
        <v>195</v>
      </c>
      <c r="D1084" s="36"/>
      <c r="E1084" s="38">
        <v>134267225.40000004</v>
      </c>
      <c r="F1084" s="40">
        <f>VLOOKUP(A1084,'DATOS GENERALES'!A:B,2,0)</f>
        <v>1.64</v>
      </c>
      <c r="G1084" s="36">
        <f t="shared" si="80"/>
        <v>1.6324559999999999</v>
      </c>
      <c r="H1084" s="38">
        <f t="shared" si="81"/>
        <v>82248602.963877767</v>
      </c>
      <c r="I1084" s="38">
        <f t="shared" si="82"/>
        <v>52018622.436122268</v>
      </c>
      <c r="J1084" s="38">
        <v>10908692.840971244</v>
      </c>
      <c r="K1084" s="38">
        <f t="shared" si="83"/>
        <v>41109929.595151022</v>
      </c>
      <c r="L1084" s="41">
        <f>VLOOKUP(INDICADORES!$B$21,'DATOS GENERALES'!$K:$M,3,0)*E1084</f>
        <v>913826.26612280845</v>
      </c>
      <c r="M1084" s="38">
        <f t="shared" si="84"/>
        <v>40196103.329028212</v>
      </c>
      <c r="N1084" s="36"/>
      <c r="O1084" s="36"/>
      <c r="P1084" s="36"/>
    </row>
    <row r="1085" spans="1:16" x14ac:dyDescent="0.25">
      <c r="A1085" s="36">
        <v>1899</v>
      </c>
      <c r="B1085" s="37">
        <v>43525</v>
      </c>
      <c r="C1085" s="36" t="s">
        <v>195</v>
      </c>
      <c r="D1085" s="36"/>
      <c r="E1085" s="38">
        <v>63859391.18</v>
      </c>
      <c r="F1085" s="40">
        <f>VLOOKUP(A1085,'DATOS GENERALES'!A:B,2,0)</f>
        <v>0.75</v>
      </c>
      <c r="G1085" s="36">
        <f t="shared" si="80"/>
        <v>0.74654999999999994</v>
      </c>
      <c r="H1085" s="38">
        <f t="shared" si="81"/>
        <v>85539335.851583958</v>
      </c>
      <c r="I1085" s="38">
        <f t="shared" si="82"/>
        <v>-21679944.671583958</v>
      </c>
      <c r="J1085" s="38">
        <v>13377284.736831108</v>
      </c>
      <c r="K1085" s="38">
        <f t="shared" si="83"/>
        <v>-35057229.408415064</v>
      </c>
      <c r="L1085" s="41">
        <f>VLOOKUP(INDICADORES!$B$21,'DATOS GENERALES'!$K:$M,3,0)*E1085</f>
        <v>434628.69531297544</v>
      </c>
      <c r="M1085" s="38">
        <f t="shared" si="84"/>
        <v>-35491858.103728041</v>
      </c>
      <c r="N1085" s="36"/>
      <c r="O1085" s="36"/>
      <c r="P1085" s="36"/>
    </row>
    <row r="1086" spans="1:16" x14ac:dyDescent="0.25">
      <c r="A1086" s="36">
        <v>1899</v>
      </c>
      <c r="B1086" s="37">
        <v>43556</v>
      </c>
      <c r="C1086" s="36" t="s">
        <v>195</v>
      </c>
      <c r="D1086" s="36"/>
      <c r="E1086" s="38">
        <v>63859391.18</v>
      </c>
      <c r="F1086" s="40">
        <f>VLOOKUP(A1086,'DATOS GENERALES'!A:B,2,0)</f>
        <v>0.75</v>
      </c>
      <c r="G1086" s="36">
        <f t="shared" si="80"/>
        <v>0.74654999999999994</v>
      </c>
      <c r="H1086" s="38">
        <f t="shared" si="81"/>
        <v>85539335.851583958</v>
      </c>
      <c r="I1086" s="38">
        <f t="shared" si="82"/>
        <v>-21679944.671583958</v>
      </c>
      <c r="J1086" s="38">
        <v>13752856.930994334</v>
      </c>
      <c r="K1086" s="38">
        <f t="shared" si="83"/>
        <v>-35432801.60257829</v>
      </c>
      <c r="L1086" s="41">
        <f>VLOOKUP(INDICADORES!$B$21,'DATOS GENERALES'!$K:$M,3,0)*E1086</f>
        <v>434628.69531297544</v>
      </c>
      <c r="M1086" s="38">
        <f t="shared" si="84"/>
        <v>-35867430.297891267</v>
      </c>
      <c r="N1086" s="36"/>
      <c r="O1086" s="36"/>
      <c r="P1086" s="36"/>
    </row>
    <row r="1087" spans="1:16" x14ac:dyDescent="0.25">
      <c r="A1087" s="36">
        <v>1899</v>
      </c>
      <c r="B1087" s="37">
        <v>43586</v>
      </c>
      <c r="C1087" s="36" t="s">
        <v>195</v>
      </c>
      <c r="D1087" s="36"/>
      <c r="E1087" s="38">
        <v>63859391.18</v>
      </c>
      <c r="F1087" s="40">
        <f>VLOOKUP(A1087,'DATOS GENERALES'!A:B,2,0)</f>
        <v>0.75</v>
      </c>
      <c r="G1087" s="36">
        <f t="shared" si="80"/>
        <v>0.74654999999999994</v>
      </c>
      <c r="H1087" s="38">
        <f t="shared" si="81"/>
        <v>85539335.851583958</v>
      </c>
      <c r="I1087" s="38">
        <f t="shared" si="82"/>
        <v>-21679944.671583958</v>
      </c>
      <c r="J1087" s="38">
        <v>11345145.169644045</v>
      </c>
      <c r="K1087" s="38">
        <f t="shared" si="83"/>
        <v>-33025089.841228001</v>
      </c>
      <c r="L1087" s="41">
        <f>VLOOKUP(INDICADORES!$B$21,'DATOS GENERALES'!$K:$M,3,0)*E1087</f>
        <v>434628.69531297544</v>
      </c>
      <c r="M1087" s="38">
        <f t="shared" si="84"/>
        <v>-33459718.536540978</v>
      </c>
      <c r="N1087" s="36"/>
      <c r="O1087" s="36"/>
      <c r="P1087" s="36"/>
    </row>
    <row r="1088" spans="1:16" x14ac:dyDescent="0.25">
      <c r="A1088" s="36">
        <v>1899</v>
      </c>
      <c r="B1088" s="37">
        <v>43617</v>
      </c>
      <c r="C1088" s="36" t="s">
        <v>195</v>
      </c>
      <c r="D1088" s="36"/>
      <c r="E1088" s="38">
        <v>60800628.68</v>
      </c>
      <c r="F1088" s="40">
        <f>VLOOKUP(A1088,'DATOS GENERALES'!A:B,2,0)</f>
        <v>0.75</v>
      </c>
      <c r="G1088" s="36">
        <f t="shared" si="80"/>
        <v>0.74654999999999994</v>
      </c>
      <c r="H1088" s="38">
        <f t="shared" si="81"/>
        <v>81442138.744893178</v>
      </c>
      <c r="I1088" s="38">
        <f t="shared" si="82"/>
        <v>-20641510.064893179</v>
      </c>
      <c r="J1088" s="38">
        <v>14525798.459033774</v>
      </c>
      <c r="K1088" s="38">
        <f t="shared" si="83"/>
        <v>-35167308.523926951</v>
      </c>
      <c r="L1088" s="41">
        <f>VLOOKUP(INDICADORES!$B$21,'DATOS GENERALES'!$K:$M,3,0)*E1088</f>
        <v>413810.6773193492</v>
      </c>
      <c r="M1088" s="38">
        <f t="shared" si="84"/>
        <v>-35581119.201246299</v>
      </c>
      <c r="N1088" s="36"/>
      <c r="O1088" s="36"/>
      <c r="P1088" s="36"/>
    </row>
    <row r="1089" spans="1:16" x14ac:dyDescent="0.25">
      <c r="A1089" s="36">
        <v>1899</v>
      </c>
      <c r="B1089" s="37">
        <v>43647</v>
      </c>
      <c r="C1089" s="36" t="s">
        <v>195</v>
      </c>
      <c r="D1089" s="36"/>
      <c r="E1089" s="38">
        <v>60800628.68</v>
      </c>
      <c r="F1089" s="40">
        <f>VLOOKUP(A1089,'DATOS GENERALES'!A:B,2,0)</f>
        <v>0.75</v>
      </c>
      <c r="G1089" s="36">
        <f t="shared" si="80"/>
        <v>0.74654999999999994</v>
      </c>
      <c r="H1089" s="38">
        <f t="shared" si="81"/>
        <v>81442138.744893178</v>
      </c>
      <c r="I1089" s="38">
        <f t="shared" si="82"/>
        <v>-20641510.064893179</v>
      </c>
      <c r="J1089" s="38">
        <v>21662250.966755535</v>
      </c>
      <c r="K1089" s="38">
        <f t="shared" si="83"/>
        <v>-42303761.03164871</v>
      </c>
      <c r="L1089" s="41">
        <f>VLOOKUP(INDICADORES!$B$21,'DATOS GENERALES'!$K:$M,3,0)*E1089</f>
        <v>413810.6773193492</v>
      </c>
      <c r="M1089" s="38">
        <f t="shared" si="84"/>
        <v>-42717571.708968058</v>
      </c>
      <c r="N1089" s="36"/>
      <c r="O1089" s="36"/>
      <c r="P1089" s="36"/>
    </row>
    <row r="1090" spans="1:16" x14ac:dyDescent="0.25">
      <c r="A1090" s="36">
        <v>1899</v>
      </c>
      <c r="B1090" s="37">
        <v>43678</v>
      </c>
      <c r="C1090" s="36" t="s">
        <v>195</v>
      </c>
      <c r="D1090" s="36"/>
      <c r="E1090" s="38">
        <v>64680316.519999996</v>
      </c>
      <c r="F1090" s="40">
        <f>VLOOKUP(A1090,'DATOS GENERALES'!A:B,2,0)</f>
        <v>0.75</v>
      </c>
      <c r="G1090" s="36">
        <f t="shared" si="80"/>
        <v>0.74654999999999994</v>
      </c>
      <c r="H1090" s="38">
        <f t="shared" si="81"/>
        <v>86638961.248409346</v>
      </c>
      <c r="I1090" s="38">
        <f t="shared" si="82"/>
        <v>-21958644.72840935</v>
      </c>
      <c r="J1090" s="38">
        <v>22676642.292991839</v>
      </c>
      <c r="K1090" s="38">
        <f t="shared" si="83"/>
        <v>-44635287.021401189</v>
      </c>
      <c r="L1090" s="41">
        <f>VLOOKUP(INDICADORES!$B$21,'DATOS GENERALES'!$K:$M,3,0)*E1090</f>
        <v>440215.93476015172</v>
      </c>
      <c r="M1090" s="38">
        <f t="shared" si="84"/>
        <v>-45075502.956161343</v>
      </c>
      <c r="N1090" s="36"/>
      <c r="O1090" s="36"/>
      <c r="P1090" s="36"/>
    </row>
    <row r="1091" spans="1:16" x14ac:dyDescent="0.25">
      <c r="A1091" s="36">
        <v>1899</v>
      </c>
      <c r="B1091" s="37">
        <v>43709</v>
      </c>
      <c r="C1091" s="36" t="s">
        <v>195</v>
      </c>
      <c r="D1091" s="36"/>
      <c r="E1091" s="38">
        <v>64680316.519999996</v>
      </c>
      <c r="F1091" s="40">
        <f>VLOOKUP(A1091,'DATOS GENERALES'!A:B,2,0)</f>
        <v>0.75</v>
      </c>
      <c r="G1091" s="36">
        <f t="shared" ref="G1091:G1154" si="85">F1091*0.9954</f>
        <v>0.74654999999999994</v>
      </c>
      <c r="H1091" s="38">
        <f t="shared" ref="H1091:H1154" si="86">E1091/G1091</f>
        <v>86638961.248409346</v>
      </c>
      <c r="I1091" s="38">
        <f t="shared" ref="I1091:I1154" si="87">E1091-H1091</f>
        <v>-21958644.72840935</v>
      </c>
      <c r="J1091" s="38">
        <v>25628529.910090804</v>
      </c>
      <c r="K1091" s="38">
        <f t="shared" ref="K1091:K1154" si="88">IFERROR(I1091-J1091,"")</f>
        <v>-47587174.638500154</v>
      </c>
      <c r="L1091" s="41">
        <f>VLOOKUP(INDICADORES!$B$21,'DATOS GENERALES'!$K:$M,3,0)*E1091</f>
        <v>440215.93476015172</v>
      </c>
      <c r="M1091" s="38">
        <f t="shared" ref="M1091:M1154" si="89">IFERROR(K1091-L1091,"")</f>
        <v>-48027390.573260307</v>
      </c>
      <c r="N1091" s="36"/>
      <c r="O1091" s="36"/>
      <c r="P1091" s="36"/>
    </row>
    <row r="1092" spans="1:16" x14ac:dyDescent="0.25">
      <c r="A1092" s="36">
        <v>1899</v>
      </c>
      <c r="B1092" s="37">
        <v>43739</v>
      </c>
      <c r="C1092" s="36" t="s">
        <v>195</v>
      </c>
      <c r="D1092" s="36"/>
      <c r="E1092" s="38">
        <v>60757039.519999996</v>
      </c>
      <c r="F1092" s="40">
        <f>VLOOKUP(A1092,'DATOS GENERALES'!A:B,2,0)</f>
        <v>0.75</v>
      </c>
      <c r="G1092" s="36">
        <f t="shared" si="85"/>
        <v>0.74654999999999994</v>
      </c>
      <c r="H1092" s="38">
        <f t="shared" si="86"/>
        <v>81383751.282566473</v>
      </c>
      <c r="I1092" s="38">
        <f t="shared" si="87"/>
        <v>-20626711.762566477</v>
      </c>
      <c r="J1092" s="38">
        <v>26033539.531975053</v>
      </c>
      <c r="K1092" s="38">
        <f t="shared" si="88"/>
        <v>-46660251.29454153</v>
      </c>
      <c r="L1092" s="41">
        <f>VLOOKUP(INDICADORES!$B$21,'DATOS GENERALES'!$K:$M,3,0)*E1092</f>
        <v>413514.00835037656</v>
      </c>
      <c r="M1092" s="38">
        <f t="shared" si="89"/>
        <v>-47073765.30289191</v>
      </c>
      <c r="N1092" s="36"/>
      <c r="O1092" s="36"/>
      <c r="P1092" s="36"/>
    </row>
    <row r="1093" spans="1:16" x14ac:dyDescent="0.25">
      <c r="A1093" s="36">
        <v>1899</v>
      </c>
      <c r="B1093" s="37">
        <v>43770</v>
      </c>
      <c r="C1093" s="36" t="s">
        <v>195</v>
      </c>
      <c r="D1093" s="36"/>
      <c r="E1093" s="38">
        <v>60757039.519999996</v>
      </c>
      <c r="F1093" s="40">
        <f>VLOOKUP(A1093,'DATOS GENERALES'!A:B,2,0)</f>
        <v>0.75</v>
      </c>
      <c r="G1093" s="36">
        <f t="shared" si="85"/>
        <v>0.74654999999999994</v>
      </c>
      <c r="H1093" s="38">
        <f t="shared" si="86"/>
        <v>81383751.282566473</v>
      </c>
      <c r="I1093" s="38">
        <f t="shared" si="87"/>
        <v>-20626711.762566477</v>
      </c>
      <c r="J1093" s="38">
        <v>34817941.823755637</v>
      </c>
      <c r="K1093" s="38">
        <f t="shared" si="88"/>
        <v>-55444653.586322114</v>
      </c>
      <c r="L1093" s="41">
        <f>VLOOKUP(INDICADORES!$B$21,'DATOS GENERALES'!$K:$M,3,0)*E1093</f>
        <v>413514.00835037656</v>
      </c>
      <c r="M1093" s="38">
        <f t="shared" si="89"/>
        <v>-55858167.594672494</v>
      </c>
      <c r="N1093" s="36"/>
      <c r="O1093" s="36"/>
      <c r="P1093" s="36"/>
    </row>
    <row r="1094" spans="1:16" x14ac:dyDescent="0.25">
      <c r="A1094" s="36">
        <v>1899</v>
      </c>
      <c r="B1094" s="37">
        <v>43800</v>
      </c>
      <c r="C1094" s="36" t="s">
        <v>195</v>
      </c>
      <c r="D1094" s="36"/>
      <c r="E1094" s="38">
        <v>60757039.519999996</v>
      </c>
      <c r="F1094" s="40">
        <f>VLOOKUP(A1094,'DATOS GENERALES'!A:B,2,0)</f>
        <v>0.75</v>
      </c>
      <c r="G1094" s="36">
        <f t="shared" si="85"/>
        <v>0.74654999999999994</v>
      </c>
      <c r="H1094" s="38">
        <f t="shared" si="86"/>
        <v>81383751.282566473</v>
      </c>
      <c r="I1094" s="38">
        <f t="shared" si="87"/>
        <v>-20626711.762566477</v>
      </c>
      <c r="J1094" s="38">
        <v>29316268.102116518</v>
      </c>
      <c r="K1094" s="38">
        <f t="shared" si="88"/>
        <v>-49942979.864682995</v>
      </c>
      <c r="L1094" s="41">
        <f>VLOOKUP(INDICADORES!$B$21,'DATOS GENERALES'!$K:$M,3,0)*E1094</f>
        <v>413514.00835037656</v>
      </c>
      <c r="M1094" s="38">
        <f t="shared" si="89"/>
        <v>-50356493.873033375</v>
      </c>
      <c r="N1094" s="36"/>
      <c r="O1094" s="36"/>
      <c r="P1094" s="36"/>
    </row>
    <row r="1095" spans="1:16" x14ac:dyDescent="0.25">
      <c r="A1095" s="36">
        <v>1899</v>
      </c>
      <c r="B1095" s="37">
        <v>43831</v>
      </c>
      <c r="C1095" s="36" t="s">
        <v>195</v>
      </c>
      <c r="D1095" s="36"/>
      <c r="E1095" s="38">
        <v>60757039.519999996</v>
      </c>
      <c r="F1095" s="40">
        <f>VLOOKUP(A1095,'DATOS GENERALES'!A:B,2,0)</f>
        <v>0.75</v>
      </c>
      <c r="G1095" s="36">
        <f t="shared" si="85"/>
        <v>0.74654999999999994</v>
      </c>
      <c r="H1095" s="38">
        <f t="shared" si="86"/>
        <v>81383751.282566473</v>
      </c>
      <c r="I1095" s="38">
        <f t="shared" si="87"/>
        <v>-20626711.762566477</v>
      </c>
      <c r="J1095" s="38" t="s">
        <v>213</v>
      </c>
      <c r="K1095" s="38" t="str">
        <f t="shared" si="88"/>
        <v/>
      </c>
      <c r="L1095" s="41">
        <f>VLOOKUP(INDICADORES!$B$21,'DATOS GENERALES'!$K:$M,3,0)*E1095</f>
        <v>413514.00835037656</v>
      </c>
      <c r="M1095" s="38" t="str">
        <f t="shared" si="89"/>
        <v/>
      </c>
      <c r="N1095" s="36"/>
      <c r="O1095" s="36"/>
      <c r="P1095" s="36"/>
    </row>
    <row r="1096" spans="1:16" x14ac:dyDescent="0.25">
      <c r="A1096" s="36">
        <v>1899</v>
      </c>
      <c r="B1096" s="37">
        <v>43862</v>
      </c>
      <c r="C1096" s="36" t="s">
        <v>195</v>
      </c>
      <c r="D1096" s="36"/>
      <c r="E1096" s="38">
        <v>60757039.519999996</v>
      </c>
      <c r="F1096" s="40">
        <f>VLOOKUP(A1096,'DATOS GENERALES'!A:B,2,0)</f>
        <v>0.75</v>
      </c>
      <c r="G1096" s="36">
        <f t="shared" si="85"/>
        <v>0.74654999999999994</v>
      </c>
      <c r="H1096" s="38">
        <f t="shared" si="86"/>
        <v>81383751.282566473</v>
      </c>
      <c r="I1096" s="38">
        <f t="shared" si="87"/>
        <v>-20626711.762566477</v>
      </c>
      <c r="J1096" s="38" t="s">
        <v>213</v>
      </c>
      <c r="K1096" s="38" t="str">
        <f t="shared" si="88"/>
        <v/>
      </c>
      <c r="L1096" s="41">
        <f>VLOOKUP(INDICADORES!$B$21,'DATOS GENERALES'!$K:$M,3,0)*E1096</f>
        <v>413514.00835037656</v>
      </c>
      <c r="M1096" s="38" t="str">
        <f t="shared" si="89"/>
        <v/>
      </c>
      <c r="N1096" s="36"/>
      <c r="O1096" s="36"/>
      <c r="P1096" s="36"/>
    </row>
    <row r="1097" spans="1:16" x14ac:dyDescent="0.25">
      <c r="A1097" s="36">
        <v>1899</v>
      </c>
      <c r="B1097" s="37">
        <v>43891</v>
      </c>
      <c r="C1097" s="36" t="s">
        <v>195</v>
      </c>
      <c r="D1097" s="36"/>
      <c r="E1097" s="38">
        <v>54757039.519999996</v>
      </c>
      <c r="F1097" s="40">
        <f>VLOOKUP(A1097,'DATOS GENERALES'!A:B,2,0)</f>
        <v>0.75</v>
      </c>
      <c r="G1097" s="36">
        <f t="shared" si="85"/>
        <v>0.74654999999999994</v>
      </c>
      <c r="H1097" s="38">
        <f t="shared" si="86"/>
        <v>73346781.220279962</v>
      </c>
      <c r="I1097" s="38">
        <f t="shared" si="87"/>
        <v>-18589741.700279966</v>
      </c>
      <c r="J1097" s="38" t="s">
        <v>213</v>
      </c>
      <c r="K1097" s="38" t="str">
        <f t="shared" si="88"/>
        <v/>
      </c>
      <c r="L1097" s="41">
        <f>VLOOKUP(INDICADORES!$B$21,'DATOS GENERALES'!$K:$M,3,0)*E1097</f>
        <v>372677.8506030009</v>
      </c>
      <c r="M1097" s="38" t="str">
        <f t="shared" si="89"/>
        <v/>
      </c>
      <c r="N1097" s="36"/>
      <c r="O1097" s="36"/>
      <c r="P1097" s="36"/>
    </row>
    <row r="1098" spans="1:16" x14ac:dyDescent="0.25">
      <c r="A1098" s="36">
        <v>1899</v>
      </c>
      <c r="B1098" s="37">
        <v>43922</v>
      </c>
      <c r="C1098" s="36" t="s">
        <v>195</v>
      </c>
      <c r="D1098" s="36"/>
      <c r="E1098" s="38">
        <v>54757039.519999996</v>
      </c>
      <c r="F1098" s="40">
        <f>VLOOKUP(A1098,'DATOS GENERALES'!A:B,2,0)</f>
        <v>0.75</v>
      </c>
      <c r="G1098" s="36">
        <f t="shared" si="85"/>
        <v>0.74654999999999994</v>
      </c>
      <c r="H1098" s="38">
        <f t="shared" si="86"/>
        <v>73346781.220279962</v>
      </c>
      <c r="I1098" s="38">
        <f t="shared" si="87"/>
        <v>-18589741.700279966</v>
      </c>
      <c r="J1098" s="38" t="s">
        <v>213</v>
      </c>
      <c r="K1098" s="38" t="str">
        <f t="shared" si="88"/>
        <v/>
      </c>
      <c r="L1098" s="41">
        <f>VLOOKUP(INDICADORES!$B$21,'DATOS GENERALES'!$K:$M,3,0)*E1098</f>
        <v>372677.8506030009</v>
      </c>
      <c r="M1098" s="38" t="str">
        <f t="shared" si="89"/>
        <v/>
      </c>
      <c r="N1098" s="36"/>
      <c r="O1098" s="36"/>
      <c r="P1098" s="36"/>
    </row>
    <row r="1099" spans="1:16" x14ac:dyDescent="0.25">
      <c r="A1099" s="36">
        <v>1899</v>
      </c>
      <c r="B1099" s="37">
        <v>43952</v>
      </c>
      <c r="C1099" s="36" t="s">
        <v>195</v>
      </c>
      <c r="D1099" s="36"/>
      <c r="E1099" s="38">
        <v>48757039.519999996</v>
      </c>
      <c r="F1099" s="40">
        <f>VLOOKUP(A1099,'DATOS GENERALES'!A:B,2,0)</f>
        <v>0.75</v>
      </c>
      <c r="G1099" s="36">
        <f t="shared" si="85"/>
        <v>0.74654999999999994</v>
      </c>
      <c r="H1099" s="38">
        <f t="shared" si="86"/>
        <v>65309811.157993436</v>
      </c>
      <c r="I1099" s="38">
        <f t="shared" si="87"/>
        <v>-16552771.63799344</v>
      </c>
      <c r="J1099" s="38" t="s">
        <v>213</v>
      </c>
      <c r="K1099" s="38" t="str">
        <f t="shared" si="88"/>
        <v/>
      </c>
      <c r="L1099" s="41">
        <f>VLOOKUP(INDICADORES!$B$21,'DATOS GENERALES'!$K:$M,3,0)*E1099</f>
        <v>331841.69285562518</v>
      </c>
      <c r="M1099" s="38" t="str">
        <f t="shared" si="89"/>
        <v/>
      </c>
      <c r="N1099" s="36"/>
      <c r="O1099" s="36"/>
      <c r="P1099" s="36"/>
    </row>
    <row r="1100" spans="1:16" x14ac:dyDescent="0.25">
      <c r="A1100" s="36">
        <v>1899</v>
      </c>
      <c r="B1100" s="37">
        <v>43983</v>
      </c>
      <c r="C1100" s="36" t="s">
        <v>195</v>
      </c>
      <c r="D1100" s="36"/>
      <c r="E1100" s="38">
        <v>48757039.519999996</v>
      </c>
      <c r="F1100" s="40">
        <f>VLOOKUP(A1100,'DATOS GENERALES'!A:B,2,0)</f>
        <v>0.75</v>
      </c>
      <c r="G1100" s="36">
        <f t="shared" si="85"/>
        <v>0.74654999999999994</v>
      </c>
      <c r="H1100" s="38">
        <f t="shared" si="86"/>
        <v>65309811.157993436</v>
      </c>
      <c r="I1100" s="38">
        <f t="shared" si="87"/>
        <v>-16552771.63799344</v>
      </c>
      <c r="J1100" s="38" t="s">
        <v>213</v>
      </c>
      <c r="K1100" s="38" t="str">
        <f t="shared" si="88"/>
        <v/>
      </c>
      <c r="L1100" s="41">
        <f>VLOOKUP(INDICADORES!$B$21,'DATOS GENERALES'!$K:$M,3,0)*E1100</f>
        <v>331841.69285562518</v>
      </c>
      <c r="M1100" s="38" t="str">
        <f t="shared" si="89"/>
        <v/>
      </c>
      <c r="N1100" s="36"/>
      <c r="O1100" s="36"/>
      <c r="P1100" s="36"/>
    </row>
    <row r="1101" spans="1:16" x14ac:dyDescent="0.25">
      <c r="A1101" s="36">
        <v>1899</v>
      </c>
      <c r="B1101" s="37">
        <v>44013</v>
      </c>
      <c r="C1101" s="36" t="s">
        <v>195</v>
      </c>
      <c r="D1101" s="36"/>
      <c r="E1101" s="38">
        <v>48757039.519999996</v>
      </c>
      <c r="F1101" s="40">
        <f>VLOOKUP(A1101,'DATOS GENERALES'!A:B,2,0)</f>
        <v>0.75</v>
      </c>
      <c r="G1101" s="36">
        <f t="shared" si="85"/>
        <v>0.74654999999999994</v>
      </c>
      <c r="H1101" s="38">
        <f t="shared" si="86"/>
        <v>65309811.157993436</v>
      </c>
      <c r="I1101" s="38">
        <f t="shared" si="87"/>
        <v>-16552771.63799344</v>
      </c>
      <c r="J1101" s="38" t="s">
        <v>213</v>
      </c>
      <c r="K1101" s="38" t="str">
        <f t="shared" si="88"/>
        <v/>
      </c>
      <c r="L1101" s="41">
        <f>VLOOKUP(INDICADORES!$B$21,'DATOS GENERALES'!$K:$M,3,0)*E1101</f>
        <v>331841.69285562518</v>
      </c>
      <c r="M1101" s="38" t="str">
        <f t="shared" si="89"/>
        <v/>
      </c>
      <c r="N1101" s="36"/>
      <c r="O1101" s="36"/>
      <c r="P1101" s="36"/>
    </row>
    <row r="1102" spans="1:16" x14ac:dyDescent="0.25">
      <c r="A1102" s="36">
        <v>1899</v>
      </c>
      <c r="B1102" s="37">
        <v>44044</v>
      </c>
      <c r="C1102" s="36" t="s">
        <v>195</v>
      </c>
      <c r="D1102" s="36"/>
      <c r="E1102" s="38">
        <v>48757039.519999996</v>
      </c>
      <c r="F1102" s="40">
        <f>VLOOKUP(A1102,'DATOS GENERALES'!A:B,2,0)</f>
        <v>0.75</v>
      </c>
      <c r="G1102" s="36">
        <f t="shared" si="85"/>
        <v>0.74654999999999994</v>
      </c>
      <c r="H1102" s="38">
        <f t="shared" si="86"/>
        <v>65309811.157993436</v>
      </c>
      <c r="I1102" s="38">
        <f t="shared" si="87"/>
        <v>-16552771.63799344</v>
      </c>
      <c r="J1102" s="38" t="s">
        <v>213</v>
      </c>
      <c r="K1102" s="38" t="str">
        <f t="shared" si="88"/>
        <v/>
      </c>
      <c r="L1102" s="41">
        <f>VLOOKUP(INDICADORES!$B$21,'DATOS GENERALES'!$K:$M,3,0)*E1102</f>
        <v>331841.69285562518</v>
      </c>
      <c r="M1102" s="38" t="str">
        <f t="shared" si="89"/>
        <v/>
      </c>
      <c r="N1102" s="36"/>
      <c r="O1102" s="36"/>
      <c r="P1102" s="36"/>
    </row>
    <row r="1103" spans="1:16" x14ac:dyDescent="0.25">
      <c r="A1103" s="36">
        <v>1899</v>
      </c>
      <c r="B1103" s="37">
        <v>44075</v>
      </c>
      <c r="C1103" s="36" t="s">
        <v>195</v>
      </c>
      <c r="D1103" s="36"/>
      <c r="E1103" s="38">
        <v>48757039.519999996</v>
      </c>
      <c r="F1103" s="40">
        <f>VLOOKUP(A1103,'DATOS GENERALES'!A:B,2,0)</f>
        <v>0.75</v>
      </c>
      <c r="G1103" s="36">
        <f t="shared" si="85"/>
        <v>0.74654999999999994</v>
      </c>
      <c r="H1103" s="38">
        <f t="shared" si="86"/>
        <v>65309811.157993436</v>
      </c>
      <c r="I1103" s="38">
        <f t="shared" si="87"/>
        <v>-16552771.63799344</v>
      </c>
      <c r="J1103" s="38" t="s">
        <v>213</v>
      </c>
      <c r="K1103" s="38" t="str">
        <f t="shared" si="88"/>
        <v/>
      </c>
      <c r="L1103" s="41">
        <f>VLOOKUP(INDICADORES!$B$21,'DATOS GENERALES'!$K:$M,3,0)*E1103</f>
        <v>331841.69285562518</v>
      </c>
      <c r="M1103" s="38" t="str">
        <f t="shared" si="89"/>
        <v/>
      </c>
      <c r="N1103" s="36"/>
      <c r="O1103" s="36"/>
      <c r="P1103" s="36"/>
    </row>
    <row r="1104" spans="1:16" x14ac:dyDescent="0.25">
      <c r="A1104" s="36">
        <v>1899</v>
      </c>
      <c r="B1104" s="37">
        <v>44105</v>
      </c>
      <c r="C1104" s="36" t="s">
        <v>195</v>
      </c>
      <c r="D1104" s="36"/>
      <c r="E1104" s="38">
        <v>48757039.519999996</v>
      </c>
      <c r="F1104" s="40">
        <f>VLOOKUP(A1104,'DATOS GENERALES'!A:B,2,0)</f>
        <v>0.75</v>
      </c>
      <c r="G1104" s="36">
        <f t="shared" si="85"/>
        <v>0.74654999999999994</v>
      </c>
      <c r="H1104" s="38">
        <f t="shared" si="86"/>
        <v>65309811.157993436</v>
      </c>
      <c r="I1104" s="38">
        <f t="shared" si="87"/>
        <v>-16552771.63799344</v>
      </c>
      <c r="J1104" s="38" t="s">
        <v>213</v>
      </c>
      <c r="K1104" s="38" t="str">
        <f t="shared" si="88"/>
        <v/>
      </c>
      <c r="L1104" s="41">
        <f>VLOOKUP(INDICADORES!$B$21,'DATOS GENERALES'!$K:$M,3,0)*E1104</f>
        <v>331841.69285562518</v>
      </c>
      <c r="M1104" s="38" t="str">
        <f t="shared" si="89"/>
        <v/>
      </c>
      <c r="N1104" s="36"/>
      <c r="O1104" s="36"/>
      <c r="P1104" s="36"/>
    </row>
    <row r="1105" spans="1:16" x14ac:dyDescent="0.25">
      <c r="A1105" s="36">
        <v>1899</v>
      </c>
      <c r="B1105" s="37">
        <v>44136</v>
      </c>
      <c r="C1105" s="36" t="s">
        <v>195</v>
      </c>
      <c r="D1105" s="36"/>
      <c r="E1105" s="38">
        <v>44678689.519999996</v>
      </c>
      <c r="F1105" s="40">
        <f>VLOOKUP(A1105,'DATOS GENERALES'!A:B,2,0)</f>
        <v>0.75</v>
      </c>
      <c r="G1105" s="36">
        <f t="shared" si="85"/>
        <v>0.74654999999999994</v>
      </c>
      <c r="H1105" s="38">
        <f t="shared" si="86"/>
        <v>59846881.682405733</v>
      </c>
      <c r="I1105" s="38">
        <f t="shared" si="87"/>
        <v>-15168192.162405737</v>
      </c>
      <c r="J1105" s="38" t="s">
        <v>213</v>
      </c>
      <c r="K1105" s="38" t="str">
        <f t="shared" si="88"/>
        <v/>
      </c>
      <c r="L1105" s="41">
        <f>VLOOKUP(INDICADORES!$B$21,'DATOS GENERALES'!$K:$M,3,0)*E1105</f>
        <v>304084.33553079021</v>
      </c>
      <c r="M1105" s="38" t="str">
        <f t="shared" si="89"/>
        <v/>
      </c>
      <c r="N1105" s="36"/>
      <c r="O1105" s="36"/>
      <c r="P1105" s="36"/>
    </row>
    <row r="1106" spans="1:16" x14ac:dyDescent="0.25">
      <c r="A1106" s="36">
        <v>1899</v>
      </c>
      <c r="B1106" s="37">
        <v>44166</v>
      </c>
      <c r="C1106" s="36" t="s">
        <v>195</v>
      </c>
      <c r="D1106" s="36"/>
      <c r="E1106" s="38">
        <v>44678689.519999996</v>
      </c>
      <c r="F1106" s="40">
        <f>VLOOKUP(A1106,'DATOS GENERALES'!A:B,2,0)</f>
        <v>0.75</v>
      </c>
      <c r="G1106" s="36">
        <f t="shared" si="85"/>
        <v>0.74654999999999994</v>
      </c>
      <c r="H1106" s="38">
        <f t="shared" si="86"/>
        <v>59846881.682405733</v>
      </c>
      <c r="I1106" s="38">
        <f t="shared" si="87"/>
        <v>-15168192.162405737</v>
      </c>
      <c r="J1106" s="38" t="s">
        <v>213</v>
      </c>
      <c r="K1106" s="38" t="str">
        <f t="shared" si="88"/>
        <v/>
      </c>
      <c r="L1106" s="41">
        <f>VLOOKUP(INDICADORES!$B$21,'DATOS GENERALES'!$K:$M,3,0)*E1106</f>
        <v>304084.33553079021</v>
      </c>
      <c r="M1106" s="38" t="str">
        <f t="shared" si="89"/>
        <v/>
      </c>
      <c r="N1106" s="36"/>
      <c r="O1106" s="36"/>
      <c r="P1106" s="36"/>
    </row>
    <row r="1107" spans="1:16" x14ac:dyDescent="0.25">
      <c r="A1107" s="36">
        <v>1899</v>
      </c>
      <c r="B1107" s="37">
        <v>44197</v>
      </c>
      <c r="C1107" s="36" t="s">
        <v>195</v>
      </c>
      <c r="D1107" s="36"/>
      <c r="E1107" s="38">
        <v>44678689.519999996</v>
      </c>
      <c r="F1107" s="40">
        <f>VLOOKUP(A1107,'DATOS GENERALES'!A:B,2,0)</f>
        <v>0.75</v>
      </c>
      <c r="G1107" s="36">
        <f t="shared" si="85"/>
        <v>0.74654999999999994</v>
      </c>
      <c r="H1107" s="38">
        <f t="shared" si="86"/>
        <v>59846881.682405733</v>
      </c>
      <c r="I1107" s="38">
        <f t="shared" si="87"/>
        <v>-15168192.162405737</v>
      </c>
      <c r="J1107" s="38" t="s">
        <v>213</v>
      </c>
      <c r="K1107" s="38" t="str">
        <f t="shared" si="88"/>
        <v/>
      </c>
      <c r="L1107" s="41">
        <f>VLOOKUP(INDICADORES!$B$21,'DATOS GENERALES'!$K:$M,3,0)*E1107</f>
        <v>304084.33553079021</v>
      </c>
      <c r="M1107" s="38" t="str">
        <f t="shared" si="89"/>
        <v/>
      </c>
      <c r="N1107" s="36"/>
      <c r="O1107" s="36"/>
      <c r="P1107" s="36"/>
    </row>
    <row r="1108" spans="1:16" x14ac:dyDescent="0.25">
      <c r="A1108" s="36">
        <v>1899</v>
      </c>
      <c r="B1108" s="37">
        <v>44228</v>
      </c>
      <c r="C1108" s="36" t="s">
        <v>195</v>
      </c>
      <c r="D1108" s="36"/>
      <c r="E1108" s="38">
        <v>44678689.519999996</v>
      </c>
      <c r="F1108" s="40">
        <f>VLOOKUP(A1108,'DATOS GENERALES'!A:B,2,0)</f>
        <v>0.75</v>
      </c>
      <c r="G1108" s="36">
        <f t="shared" si="85"/>
        <v>0.74654999999999994</v>
      </c>
      <c r="H1108" s="38">
        <f t="shared" si="86"/>
        <v>59846881.682405733</v>
      </c>
      <c r="I1108" s="38">
        <f t="shared" si="87"/>
        <v>-15168192.162405737</v>
      </c>
      <c r="J1108" s="38" t="s">
        <v>213</v>
      </c>
      <c r="K1108" s="38" t="str">
        <f t="shared" si="88"/>
        <v/>
      </c>
      <c r="L1108" s="41">
        <f>VLOOKUP(INDICADORES!$B$21,'DATOS GENERALES'!$K:$M,3,0)*E1108</f>
        <v>304084.33553079021</v>
      </c>
      <c r="M1108" s="38" t="str">
        <f t="shared" si="89"/>
        <v/>
      </c>
      <c r="N1108" s="36"/>
      <c r="O1108" s="36"/>
      <c r="P1108" s="36"/>
    </row>
    <row r="1109" spans="1:16" x14ac:dyDescent="0.25">
      <c r="A1109" s="36">
        <v>1899</v>
      </c>
      <c r="B1109" s="37">
        <v>44256</v>
      </c>
      <c r="C1109" s="36" t="s">
        <v>195</v>
      </c>
      <c r="D1109" s="36"/>
      <c r="E1109" s="38">
        <v>40862689.519999996</v>
      </c>
      <c r="F1109" s="40">
        <f>VLOOKUP(A1109,'DATOS GENERALES'!A:B,2,0)</f>
        <v>0.75</v>
      </c>
      <c r="G1109" s="36">
        <f t="shared" si="85"/>
        <v>0.74654999999999994</v>
      </c>
      <c r="H1109" s="38">
        <f t="shared" si="86"/>
        <v>54735368.722791508</v>
      </c>
      <c r="I1109" s="38">
        <f t="shared" si="87"/>
        <v>-13872679.202791512</v>
      </c>
      <c r="J1109" s="38" t="s">
        <v>213</v>
      </c>
      <c r="K1109" s="38" t="str">
        <f t="shared" si="88"/>
        <v/>
      </c>
      <c r="L1109" s="41">
        <f>VLOOKUP(INDICADORES!$B$21,'DATOS GENERALES'!$K:$M,3,0)*E1109</f>
        <v>278112.53920345928</v>
      </c>
      <c r="M1109" s="38" t="str">
        <f t="shared" si="89"/>
        <v/>
      </c>
      <c r="N1109" s="36"/>
      <c r="O1109" s="36"/>
      <c r="P1109" s="36"/>
    </row>
    <row r="1110" spans="1:16" x14ac:dyDescent="0.25">
      <c r="A1110" s="36">
        <v>1900</v>
      </c>
      <c r="B1110" s="37">
        <v>43556</v>
      </c>
      <c r="C1110" s="36" t="s">
        <v>195</v>
      </c>
      <c r="D1110" s="36"/>
      <c r="E1110" s="38">
        <v>89776746.567000002</v>
      </c>
      <c r="F1110" s="40">
        <f>VLOOKUP(A1110,'DATOS GENERALES'!A:B,2,0)</f>
        <v>1</v>
      </c>
      <c r="G1110" s="36">
        <f t="shared" si="85"/>
        <v>0.99539999999999995</v>
      </c>
      <c r="H1110" s="38">
        <f t="shared" si="86"/>
        <v>90191628.05605787</v>
      </c>
      <c r="I1110" s="38">
        <f t="shared" si="87"/>
        <v>-414881.48905786872</v>
      </c>
      <c r="J1110" s="38">
        <v>14500843.906253565</v>
      </c>
      <c r="K1110" s="38">
        <f t="shared" si="88"/>
        <v>-14915725.395311434</v>
      </c>
      <c r="L1110" s="41">
        <f>VLOOKUP(INDICADORES!$B$21,'DATOS GENERALES'!$K:$M,3,0)*E1110</f>
        <v>611022.89747603028</v>
      </c>
      <c r="M1110" s="38">
        <f t="shared" si="89"/>
        <v>-15526748.292787464</v>
      </c>
      <c r="N1110" s="36"/>
      <c r="O1110" s="36"/>
      <c r="P1110" s="36"/>
    </row>
    <row r="1111" spans="1:16" x14ac:dyDescent="0.25">
      <c r="A1111" s="36">
        <v>1900</v>
      </c>
      <c r="B1111" s="37">
        <v>43586</v>
      </c>
      <c r="C1111" s="36" t="s">
        <v>195</v>
      </c>
      <c r="D1111" s="36"/>
      <c r="E1111" s="38">
        <v>68117355.567000002</v>
      </c>
      <c r="F1111" s="40">
        <f>VLOOKUP(A1111,'DATOS GENERALES'!A:B,2,0)</f>
        <v>1</v>
      </c>
      <c r="G1111" s="36">
        <f t="shared" si="85"/>
        <v>0.99539999999999995</v>
      </c>
      <c r="H1111" s="38">
        <f t="shared" si="86"/>
        <v>68432143.426763117</v>
      </c>
      <c r="I1111" s="38">
        <f t="shared" si="87"/>
        <v>-314787.85976311564</v>
      </c>
      <c r="J1111" s="38">
        <v>9076205.6277077552</v>
      </c>
      <c r="K1111" s="38">
        <f t="shared" si="88"/>
        <v>-9390993.4874708708</v>
      </c>
      <c r="L1111" s="41">
        <f>VLOOKUP(INDICADORES!$B$21,'DATOS GENERALES'!$K:$M,3,0)*E1111</f>
        <v>463608.5128780154</v>
      </c>
      <c r="M1111" s="38">
        <f t="shared" si="89"/>
        <v>-9854602.0003488865</v>
      </c>
      <c r="N1111" s="36"/>
      <c r="O1111" s="36"/>
      <c r="P1111" s="36"/>
    </row>
    <row r="1112" spans="1:16" x14ac:dyDescent="0.25">
      <c r="A1112" s="36">
        <v>1900</v>
      </c>
      <c r="B1112" s="37">
        <v>43617</v>
      </c>
      <c r="C1112" s="36" t="s">
        <v>195</v>
      </c>
      <c r="D1112" s="36"/>
      <c r="E1112" s="38">
        <v>68117355.567000002</v>
      </c>
      <c r="F1112" s="40">
        <f>VLOOKUP(A1112,'DATOS GENERALES'!A:B,2,0)</f>
        <v>1</v>
      </c>
      <c r="G1112" s="36">
        <f t="shared" si="85"/>
        <v>0.99539999999999995</v>
      </c>
      <c r="H1112" s="38">
        <f t="shared" si="86"/>
        <v>68432143.426763117</v>
      </c>
      <c r="I1112" s="38">
        <f t="shared" si="87"/>
        <v>-314787.85976311564</v>
      </c>
      <c r="J1112" s="38">
        <v>12205371.062890764</v>
      </c>
      <c r="K1112" s="38">
        <f t="shared" si="88"/>
        <v>-12520158.92265388</v>
      </c>
      <c r="L1112" s="41">
        <f>VLOOKUP(INDICADORES!$B$21,'DATOS GENERALES'!$K:$M,3,0)*E1112</f>
        <v>463608.5128780154</v>
      </c>
      <c r="M1112" s="38">
        <f t="shared" si="89"/>
        <v>-12983767.435531896</v>
      </c>
      <c r="N1112" s="36"/>
      <c r="O1112" s="36"/>
      <c r="P1112" s="36"/>
    </row>
    <row r="1113" spans="1:16" x14ac:dyDescent="0.25">
      <c r="A1113" s="36">
        <v>1900</v>
      </c>
      <c r="B1113" s="37">
        <v>43647</v>
      </c>
      <c r="C1113" s="36" t="s">
        <v>195</v>
      </c>
      <c r="D1113" s="36"/>
      <c r="E1113" s="38">
        <v>62912767.068000004</v>
      </c>
      <c r="F1113" s="40">
        <f>VLOOKUP(A1113,'DATOS GENERALES'!A:B,2,0)</f>
        <v>1</v>
      </c>
      <c r="G1113" s="36">
        <f t="shared" si="85"/>
        <v>0.99539999999999995</v>
      </c>
      <c r="H1113" s="38">
        <f t="shared" si="86"/>
        <v>63203503.18264015</v>
      </c>
      <c r="I1113" s="38">
        <f t="shared" si="87"/>
        <v>-290736.11464014649</v>
      </c>
      <c r="J1113" s="38">
        <v>16811078.012195919</v>
      </c>
      <c r="K1113" s="38">
        <f t="shared" si="88"/>
        <v>-17101814.126836065</v>
      </c>
      <c r="L1113" s="41">
        <f>VLOOKUP(INDICADORES!$B$21,'DATOS GENERALES'!$K:$M,3,0)*E1113</f>
        <v>428185.94671879185</v>
      </c>
      <c r="M1113" s="38">
        <f t="shared" si="89"/>
        <v>-17530000.073554859</v>
      </c>
      <c r="N1113" s="36"/>
      <c r="O1113" s="36"/>
      <c r="P1113" s="36"/>
    </row>
    <row r="1114" spans="1:16" x14ac:dyDescent="0.25">
      <c r="A1114" s="36">
        <v>1900</v>
      </c>
      <c r="B1114" s="37">
        <v>43678</v>
      </c>
      <c r="C1114" s="36" t="s">
        <v>195</v>
      </c>
      <c r="D1114" s="36"/>
      <c r="E1114" s="38">
        <v>41200017.068000004</v>
      </c>
      <c r="F1114" s="40">
        <f>VLOOKUP(A1114,'DATOS GENERALES'!A:B,2,0)</f>
        <v>1</v>
      </c>
      <c r="G1114" s="36">
        <f t="shared" si="85"/>
        <v>0.99539999999999995</v>
      </c>
      <c r="H1114" s="38">
        <f t="shared" si="86"/>
        <v>41390412.967651203</v>
      </c>
      <c r="I1114" s="38">
        <f t="shared" si="87"/>
        <v>-190395.89965119958</v>
      </c>
      <c r="J1114" s="38">
        <v>10833412.308990134</v>
      </c>
      <c r="K1114" s="38">
        <f t="shared" si="88"/>
        <v>-11023808.208641334</v>
      </c>
      <c r="L1114" s="41">
        <f>VLOOKUP(INDICADORES!$B$21,'DATOS GENERALES'!$K:$M,3,0)*E1114</f>
        <v>280408.39936390327</v>
      </c>
      <c r="M1114" s="38">
        <f t="shared" si="89"/>
        <v>-11304216.608005237</v>
      </c>
      <c r="N1114" s="36"/>
      <c r="O1114" s="36"/>
      <c r="P1114" s="36"/>
    </row>
    <row r="1115" spans="1:16" x14ac:dyDescent="0.25">
      <c r="A1115" s="36">
        <v>1900</v>
      </c>
      <c r="B1115" s="37">
        <v>43709</v>
      </c>
      <c r="C1115" s="36" t="s">
        <v>195</v>
      </c>
      <c r="D1115" s="36"/>
      <c r="E1115" s="38">
        <v>41200017.068000004</v>
      </c>
      <c r="F1115" s="40">
        <f>VLOOKUP(A1115,'DATOS GENERALES'!A:B,2,0)</f>
        <v>1</v>
      </c>
      <c r="G1115" s="36">
        <f t="shared" si="85"/>
        <v>0.99539999999999995</v>
      </c>
      <c r="H1115" s="38">
        <f t="shared" si="86"/>
        <v>41390412.967651203</v>
      </c>
      <c r="I1115" s="38">
        <f t="shared" si="87"/>
        <v>-190395.89965119958</v>
      </c>
      <c r="J1115" s="38">
        <v>12243630.595835827</v>
      </c>
      <c r="K1115" s="38">
        <f t="shared" si="88"/>
        <v>-12434026.495487027</v>
      </c>
      <c r="L1115" s="41">
        <f>VLOOKUP(INDICADORES!$B$21,'DATOS GENERALES'!$K:$M,3,0)*E1115</f>
        <v>280408.39936390327</v>
      </c>
      <c r="M1115" s="38">
        <f t="shared" si="89"/>
        <v>-12714434.89485093</v>
      </c>
      <c r="N1115" s="36"/>
      <c r="O1115" s="36"/>
      <c r="P1115" s="36"/>
    </row>
    <row r="1116" spans="1:16" x14ac:dyDescent="0.25">
      <c r="A1116" s="36">
        <v>1900</v>
      </c>
      <c r="B1116" s="37">
        <v>43739</v>
      </c>
      <c r="C1116" s="36" t="s">
        <v>195</v>
      </c>
      <c r="D1116" s="36"/>
      <c r="E1116" s="38">
        <v>41200017.068000004</v>
      </c>
      <c r="F1116" s="40">
        <f>VLOOKUP(A1116,'DATOS GENERALES'!A:B,2,0)</f>
        <v>1</v>
      </c>
      <c r="G1116" s="36">
        <f t="shared" si="85"/>
        <v>0.99539999999999995</v>
      </c>
      <c r="H1116" s="38">
        <f t="shared" si="86"/>
        <v>41390412.967651203</v>
      </c>
      <c r="I1116" s="38">
        <f t="shared" si="87"/>
        <v>-190395.89965119958</v>
      </c>
      <c r="J1116" s="38">
        <v>13240222.221962681</v>
      </c>
      <c r="K1116" s="38">
        <f t="shared" si="88"/>
        <v>-13430618.121613881</v>
      </c>
      <c r="L1116" s="41">
        <f>VLOOKUP(INDICADORES!$B$21,'DATOS GENERALES'!$K:$M,3,0)*E1116</f>
        <v>280408.39936390327</v>
      </c>
      <c r="M1116" s="38">
        <f t="shared" si="89"/>
        <v>-13711026.520977784</v>
      </c>
      <c r="N1116" s="36"/>
      <c r="O1116" s="36"/>
      <c r="P1116" s="36"/>
    </row>
    <row r="1117" spans="1:16" x14ac:dyDescent="0.25">
      <c r="A1117" s="36">
        <v>1900</v>
      </c>
      <c r="B1117" s="37">
        <v>43770</v>
      </c>
      <c r="C1117" s="36" t="s">
        <v>195</v>
      </c>
      <c r="D1117" s="36"/>
      <c r="E1117" s="38">
        <v>39238378.568000004</v>
      </c>
      <c r="F1117" s="40">
        <f>VLOOKUP(A1117,'DATOS GENERALES'!A:B,2,0)</f>
        <v>1</v>
      </c>
      <c r="G1117" s="36">
        <f t="shared" si="85"/>
        <v>0.99539999999999995</v>
      </c>
      <c r="H1117" s="38">
        <f t="shared" si="86"/>
        <v>39419709.230460122</v>
      </c>
      <c r="I1117" s="38">
        <f t="shared" si="87"/>
        <v>-181330.66246011853</v>
      </c>
      <c r="J1117" s="38">
        <v>16864707.279591016</v>
      </c>
      <c r="K1117" s="38">
        <f t="shared" si="88"/>
        <v>-17046037.942051135</v>
      </c>
      <c r="L1117" s="41">
        <f>VLOOKUP(INDICADORES!$B$21,'DATOS GENERALES'!$K:$M,3,0)*E1117</f>
        <v>267057.43615901569</v>
      </c>
      <c r="M1117" s="38">
        <f t="shared" si="89"/>
        <v>-17313095.37821015</v>
      </c>
      <c r="N1117" s="36"/>
      <c r="O1117" s="36"/>
      <c r="P1117" s="36"/>
    </row>
    <row r="1118" spans="1:16" x14ac:dyDescent="0.25">
      <c r="A1118" s="36">
        <v>1900</v>
      </c>
      <c r="B1118" s="37">
        <v>43800</v>
      </c>
      <c r="C1118" s="36" t="s">
        <v>195</v>
      </c>
      <c r="D1118" s="36"/>
      <c r="E1118" s="38">
        <v>39238378.568000004</v>
      </c>
      <c r="F1118" s="40">
        <f>VLOOKUP(A1118,'DATOS GENERALES'!A:B,2,0)</f>
        <v>1</v>
      </c>
      <c r="G1118" s="36">
        <f t="shared" si="85"/>
        <v>0.99539999999999995</v>
      </c>
      <c r="H1118" s="38">
        <f t="shared" si="86"/>
        <v>39419709.230460122</v>
      </c>
      <c r="I1118" s="38">
        <f t="shared" si="87"/>
        <v>-181330.66246011853</v>
      </c>
      <c r="J1118" s="38">
        <v>14199870.933636848</v>
      </c>
      <c r="K1118" s="38">
        <f t="shared" si="88"/>
        <v>-14381201.596096966</v>
      </c>
      <c r="L1118" s="41">
        <f>VLOOKUP(INDICADORES!$B$21,'DATOS GENERALES'!$K:$M,3,0)*E1118</f>
        <v>267057.43615901569</v>
      </c>
      <c r="M1118" s="38">
        <f t="shared" si="89"/>
        <v>-14648259.032255983</v>
      </c>
      <c r="N1118" s="36"/>
      <c r="O1118" s="36"/>
      <c r="P1118" s="36"/>
    </row>
    <row r="1119" spans="1:16" x14ac:dyDescent="0.25">
      <c r="A1119" s="36">
        <v>1900</v>
      </c>
      <c r="B1119" s="37">
        <v>43831</v>
      </c>
      <c r="C1119" s="36" t="s">
        <v>195</v>
      </c>
      <c r="D1119" s="36"/>
      <c r="E1119" s="38">
        <v>34612077.68</v>
      </c>
      <c r="F1119" s="40">
        <f>VLOOKUP(A1119,'DATOS GENERALES'!A:B,2,0)</f>
        <v>1</v>
      </c>
      <c r="G1119" s="36">
        <f t="shared" si="85"/>
        <v>0.99539999999999995</v>
      </c>
      <c r="H1119" s="38">
        <f t="shared" si="86"/>
        <v>34772029.013461925</v>
      </c>
      <c r="I1119" s="38">
        <f t="shared" si="87"/>
        <v>-159951.33346192539</v>
      </c>
      <c r="J1119" s="38" t="s">
        <v>213</v>
      </c>
      <c r="K1119" s="38" t="str">
        <f t="shared" si="88"/>
        <v/>
      </c>
      <c r="L1119" s="41">
        <f>VLOOKUP(INDICADORES!$B$21,'DATOS GENERALES'!$K:$M,3,0)*E1119</f>
        <v>235570.71068415025</v>
      </c>
      <c r="M1119" s="38" t="str">
        <f t="shared" si="89"/>
        <v/>
      </c>
      <c r="N1119" s="36"/>
      <c r="O1119" s="36"/>
      <c r="P1119" s="36"/>
    </row>
    <row r="1120" spans="1:16" x14ac:dyDescent="0.25">
      <c r="A1120" s="36">
        <v>1790</v>
      </c>
      <c r="B1120" s="37">
        <v>43556</v>
      </c>
      <c r="C1120" s="36" t="s">
        <v>195</v>
      </c>
      <c r="D1120" s="36"/>
      <c r="E1120" s="38">
        <v>83414508.689999998</v>
      </c>
      <c r="F1120" s="40">
        <f>VLOOKUP(A1120,'DATOS GENERALES'!A:B,2,0)</f>
        <v>1</v>
      </c>
      <c r="G1120" s="36">
        <f t="shared" si="85"/>
        <v>0.99539999999999995</v>
      </c>
      <c r="H1120" s="38">
        <f t="shared" si="86"/>
        <v>83799988.637733579</v>
      </c>
      <c r="I1120" s="38">
        <f t="shared" si="87"/>
        <v>-385479.94773358107</v>
      </c>
      <c r="J1120" s="38">
        <v>13473207.888278918</v>
      </c>
      <c r="K1120" s="38">
        <f t="shared" si="88"/>
        <v>-13858687.836012499</v>
      </c>
      <c r="L1120" s="41">
        <f>VLOOKUP(INDICADORES!$B$21,'DATOS GENERALES'!$K:$M,3,0)*E1120</f>
        <v>567721.33921411354</v>
      </c>
      <c r="M1120" s="38">
        <f t="shared" si="89"/>
        <v>-14426409.175226614</v>
      </c>
      <c r="N1120" s="36"/>
      <c r="O1120" s="36"/>
      <c r="P1120" s="36"/>
    </row>
    <row r="1121" spans="1:16" x14ac:dyDescent="0.25">
      <c r="A1121" s="36">
        <v>1790</v>
      </c>
      <c r="B1121" s="37">
        <v>43586</v>
      </c>
      <c r="C1121" s="36" t="s">
        <v>195</v>
      </c>
      <c r="D1121" s="36"/>
      <c r="E1121" s="38">
        <v>83414508.689999998</v>
      </c>
      <c r="F1121" s="40">
        <f>VLOOKUP(A1121,'DATOS GENERALES'!A:B,2,0)</f>
        <v>1</v>
      </c>
      <c r="G1121" s="36">
        <f t="shared" si="85"/>
        <v>0.99539999999999995</v>
      </c>
      <c r="H1121" s="38">
        <f t="shared" si="86"/>
        <v>83799988.637733579</v>
      </c>
      <c r="I1121" s="38">
        <f t="shared" si="87"/>
        <v>-385479.94773358107</v>
      </c>
      <c r="J1121" s="38">
        <v>11114454.266504621</v>
      </c>
      <c r="K1121" s="38">
        <f t="shared" si="88"/>
        <v>-11499934.214238202</v>
      </c>
      <c r="L1121" s="41">
        <f>VLOOKUP(INDICADORES!$B$21,'DATOS GENERALES'!$K:$M,3,0)*E1121</f>
        <v>567721.33921411354</v>
      </c>
      <c r="M1121" s="38">
        <f t="shared" si="89"/>
        <v>-12067655.553452317</v>
      </c>
      <c r="N1121" s="36"/>
      <c r="O1121" s="36"/>
      <c r="P1121" s="36"/>
    </row>
    <row r="1122" spans="1:16" x14ac:dyDescent="0.25">
      <c r="A1122" s="36">
        <v>1790</v>
      </c>
      <c r="B1122" s="37">
        <v>43617</v>
      </c>
      <c r="C1122" s="36" t="s">
        <v>195</v>
      </c>
      <c r="D1122" s="36"/>
      <c r="E1122" s="38">
        <v>83414508.689999998</v>
      </c>
      <c r="F1122" s="40">
        <f>VLOOKUP(A1122,'DATOS GENERALES'!A:B,2,0)</f>
        <v>1</v>
      </c>
      <c r="G1122" s="36">
        <f t="shared" si="85"/>
        <v>0.99539999999999995</v>
      </c>
      <c r="H1122" s="38">
        <f t="shared" si="86"/>
        <v>83799988.637733579</v>
      </c>
      <c r="I1122" s="38">
        <f t="shared" si="87"/>
        <v>-385479.94773358107</v>
      </c>
      <c r="J1122" s="38">
        <v>14946338.155901715</v>
      </c>
      <c r="K1122" s="38">
        <f t="shared" si="88"/>
        <v>-15331818.103635296</v>
      </c>
      <c r="L1122" s="41">
        <f>VLOOKUP(INDICADORES!$B$21,'DATOS GENERALES'!$K:$M,3,0)*E1122</f>
        <v>567721.33921411354</v>
      </c>
      <c r="M1122" s="38">
        <f t="shared" si="89"/>
        <v>-15899539.442849409</v>
      </c>
      <c r="N1122" s="36"/>
      <c r="O1122" s="36"/>
      <c r="P1122" s="36"/>
    </row>
    <row r="1123" spans="1:16" x14ac:dyDescent="0.25">
      <c r="A1123" s="36">
        <v>1790</v>
      </c>
      <c r="B1123" s="37">
        <v>43647</v>
      </c>
      <c r="C1123" s="36" t="s">
        <v>195</v>
      </c>
      <c r="D1123" s="36"/>
      <c r="E1123" s="38">
        <v>83414508.689999998</v>
      </c>
      <c r="F1123" s="40">
        <f>VLOOKUP(A1123,'DATOS GENERALES'!A:B,2,0)</f>
        <v>1</v>
      </c>
      <c r="G1123" s="36">
        <f t="shared" si="85"/>
        <v>0.99539999999999995</v>
      </c>
      <c r="H1123" s="38">
        <f t="shared" si="86"/>
        <v>83799988.637733579</v>
      </c>
      <c r="I1123" s="38">
        <f t="shared" si="87"/>
        <v>-385479.94773358107</v>
      </c>
      <c r="J1123" s="38">
        <v>22289399.724238884</v>
      </c>
      <c r="K1123" s="38">
        <f t="shared" si="88"/>
        <v>-22674879.671972465</v>
      </c>
      <c r="L1123" s="41">
        <f>VLOOKUP(INDICADORES!$B$21,'DATOS GENERALES'!$K:$M,3,0)*E1123</f>
        <v>567721.33921411354</v>
      </c>
      <c r="M1123" s="38">
        <f t="shared" si="89"/>
        <v>-23242601.011186577</v>
      </c>
      <c r="N1123" s="36"/>
      <c r="O1123" s="36"/>
      <c r="P1123" s="36"/>
    </row>
    <row r="1124" spans="1:16" x14ac:dyDescent="0.25">
      <c r="A1124" s="36">
        <v>1790</v>
      </c>
      <c r="B1124" s="37">
        <v>43678</v>
      </c>
      <c r="C1124" s="36" t="s">
        <v>195</v>
      </c>
      <c r="D1124" s="36"/>
      <c r="E1124" s="38">
        <v>82688276.189999998</v>
      </c>
      <c r="F1124" s="40">
        <f>VLOOKUP(A1124,'DATOS GENERALES'!A:B,2,0)</f>
        <v>1</v>
      </c>
      <c r="G1124" s="36">
        <f t="shared" si="85"/>
        <v>0.99539999999999995</v>
      </c>
      <c r="H1124" s="38">
        <f t="shared" si="86"/>
        <v>83070400.030138642</v>
      </c>
      <c r="I1124" s="38">
        <f t="shared" si="87"/>
        <v>-382123.84013864398</v>
      </c>
      <c r="J1124" s="38">
        <v>21742616.941333391</v>
      </c>
      <c r="K1124" s="38">
        <f t="shared" si="88"/>
        <v>-22124740.781472035</v>
      </c>
      <c r="L1124" s="41">
        <f>VLOOKUP(INDICADORES!$B$21,'DATOS GENERALES'!$K:$M,3,0)*E1124</f>
        <v>562778.58172556839</v>
      </c>
      <c r="M1124" s="38">
        <f t="shared" si="89"/>
        <v>-22687519.363197602</v>
      </c>
      <c r="N1124" s="36"/>
      <c r="O1124" s="36"/>
      <c r="P1124" s="36"/>
    </row>
    <row r="1125" spans="1:16" x14ac:dyDescent="0.25">
      <c r="A1125" s="36">
        <v>1790</v>
      </c>
      <c r="B1125" s="37">
        <v>43709</v>
      </c>
      <c r="C1125" s="36" t="s">
        <v>195</v>
      </c>
      <c r="D1125" s="36"/>
      <c r="E1125" s="38">
        <v>82688276.189999998</v>
      </c>
      <c r="F1125" s="40">
        <f>VLOOKUP(A1125,'DATOS GENERALES'!A:B,2,0)</f>
        <v>1</v>
      </c>
      <c r="G1125" s="36">
        <f t="shared" si="85"/>
        <v>0.99539999999999995</v>
      </c>
      <c r="H1125" s="38">
        <f t="shared" si="86"/>
        <v>83070400.030138642</v>
      </c>
      <c r="I1125" s="38">
        <f t="shared" si="87"/>
        <v>-382123.84013864398</v>
      </c>
      <c r="J1125" s="38">
        <v>24572919.632675111</v>
      </c>
      <c r="K1125" s="38">
        <f t="shared" si="88"/>
        <v>-24955043.472813755</v>
      </c>
      <c r="L1125" s="41">
        <f>VLOOKUP(INDICADORES!$B$21,'DATOS GENERALES'!$K:$M,3,0)*E1125</f>
        <v>562778.58172556839</v>
      </c>
      <c r="M1125" s="38">
        <f t="shared" si="89"/>
        <v>-25517822.054539323</v>
      </c>
      <c r="N1125" s="36"/>
      <c r="O1125" s="36"/>
      <c r="P1125" s="36"/>
    </row>
    <row r="1126" spans="1:16" x14ac:dyDescent="0.25">
      <c r="A1126" s="36">
        <v>1790</v>
      </c>
      <c r="B1126" s="37">
        <v>43739</v>
      </c>
      <c r="C1126" s="36" t="s">
        <v>195</v>
      </c>
      <c r="D1126" s="36"/>
      <c r="E1126" s="38">
        <v>82688276.189999998</v>
      </c>
      <c r="F1126" s="40">
        <f>VLOOKUP(A1126,'DATOS GENERALES'!A:B,2,0)</f>
        <v>1</v>
      </c>
      <c r="G1126" s="36">
        <f t="shared" si="85"/>
        <v>0.99539999999999995</v>
      </c>
      <c r="H1126" s="38">
        <f t="shared" si="86"/>
        <v>83070400.030138642</v>
      </c>
      <c r="I1126" s="38">
        <f t="shared" si="87"/>
        <v>-382123.84013864398</v>
      </c>
      <c r="J1126" s="38">
        <v>26573075.202848982</v>
      </c>
      <c r="K1126" s="38">
        <f t="shared" si="88"/>
        <v>-26955199.042987626</v>
      </c>
      <c r="L1126" s="41">
        <f>VLOOKUP(INDICADORES!$B$21,'DATOS GENERALES'!$K:$M,3,0)*E1126</f>
        <v>562778.58172556839</v>
      </c>
      <c r="M1126" s="38">
        <f t="shared" si="89"/>
        <v>-27517977.624713194</v>
      </c>
      <c r="N1126" s="36"/>
      <c r="O1126" s="36"/>
      <c r="P1126" s="36"/>
    </row>
    <row r="1127" spans="1:16" x14ac:dyDescent="0.25">
      <c r="A1127" s="36">
        <v>1790</v>
      </c>
      <c r="B1127" s="37">
        <v>43770</v>
      </c>
      <c r="C1127" s="36" t="s">
        <v>195</v>
      </c>
      <c r="D1127" s="36"/>
      <c r="E1127" s="38">
        <v>82688276.189999998</v>
      </c>
      <c r="F1127" s="40">
        <f>VLOOKUP(A1127,'DATOS GENERALES'!A:B,2,0)</f>
        <v>1</v>
      </c>
      <c r="G1127" s="36">
        <f t="shared" si="85"/>
        <v>0.99539999999999995</v>
      </c>
      <c r="H1127" s="38">
        <f t="shared" si="86"/>
        <v>83070400.030138642</v>
      </c>
      <c r="I1127" s="38">
        <f t="shared" si="87"/>
        <v>-382123.84013864398</v>
      </c>
      <c r="J1127" s="38">
        <v>35539531.048196532</v>
      </c>
      <c r="K1127" s="38">
        <f t="shared" si="88"/>
        <v>-35921654.888335176</v>
      </c>
      <c r="L1127" s="41">
        <f>VLOOKUP(INDICADORES!$B$21,'DATOS GENERALES'!$K:$M,3,0)*E1127</f>
        <v>562778.58172556839</v>
      </c>
      <c r="M1127" s="38">
        <f t="shared" si="89"/>
        <v>-36484433.470060743</v>
      </c>
      <c r="N1127" s="36"/>
      <c r="O1127" s="36"/>
      <c r="P1127" s="36"/>
    </row>
    <row r="1128" spans="1:16" x14ac:dyDescent="0.25">
      <c r="A1128" s="36">
        <v>1790</v>
      </c>
      <c r="B1128" s="37">
        <v>43800</v>
      </c>
      <c r="C1128" s="36" t="s">
        <v>195</v>
      </c>
      <c r="D1128" s="36"/>
      <c r="E1128" s="38">
        <v>82688276.189999998</v>
      </c>
      <c r="F1128" s="40">
        <f>VLOOKUP(A1128,'DATOS GENERALES'!A:B,2,0)</f>
        <v>1</v>
      </c>
      <c r="G1128" s="36">
        <f t="shared" si="85"/>
        <v>0.99539999999999995</v>
      </c>
      <c r="H1128" s="38">
        <f t="shared" si="86"/>
        <v>83070400.030138642</v>
      </c>
      <c r="I1128" s="38">
        <f t="shared" si="87"/>
        <v>-382123.84013864398</v>
      </c>
      <c r="J1128" s="38">
        <v>29923837.132772848</v>
      </c>
      <c r="K1128" s="38">
        <f t="shared" si="88"/>
        <v>-30305960.972911492</v>
      </c>
      <c r="L1128" s="41">
        <f>VLOOKUP(INDICADORES!$B$21,'DATOS GENERALES'!$K:$M,3,0)*E1128</f>
        <v>562778.58172556839</v>
      </c>
      <c r="M1128" s="38">
        <f t="shared" si="89"/>
        <v>-30868739.55463706</v>
      </c>
      <c r="N1128" s="36"/>
      <c r="O1128" s="36"/>
      <c r="P1128" s="36"/>
    </row>
    <row r="1129" spans="1:16" x14ac:dyDescent="0.25">
      <c r="A1129" s="36">
        <v>1790</v>
      </c>
      <c r="B1129" s="37">
        <v>43831</v>
      </c>
      <c r="C1129" s="36" t="s">
        <v>195</v>
      </c>
      <c r="D1129" s="36"/>
      <c r="E1129" s="38">
        <v>79010033.789999992</v>
      </c>
      <c r="F1129" s="40">
        <f>VLOOKUP(A1129,'DATOS GENERALES'!A:B,2,0)</f>
        <v>1</v>
      </c>
      <c r="G1129" s="36">
        <f t="shared" si="85"/>
        <v>0.99539999999999995</v>
      </c>
      <c r="H1129" s="38">
        <f t="shared" si="86"/>
        <v>79375159.523809522</v>
      </c>
      <c r="I1129" s="38">
        <f t="shared" si="87"/>
        <v>-365125.73380953074</v>
      </c>
      <c r="J1129" s="38" t="s">
        <v>213</v>
      </c>
      <c r="K1129" s="38" t="str">
        <f t="shared" si="88"/>
        <v/>
      </c>
      <c r="L1129" s="41">
        <f>VLOOKUP(INDICADORES!$B$21,'DATOS GENERALES'!$K:$M,3,0)*E1129</f>
        <v>537744.36724565399</v>
      </c>
      <c r="M1129" s="38" t="str">
        <f t="shared" si="89"/>
        <v/>
      </c>
      <c r="N1129" s="36"/>
      <c r="O1129" s="36"/>
      <c r="P1129" s="36"/>
    </row>
    <row r="1130" spans="1:16" x14ac:dyDescent="0.25">
      <c r="A1130" s="36">
        <v>1790</v>
      </c>
      <c r="B1130" s="37">
        <v>43862</v>
      </c>
      <c r="C1130" s="36" t="s">
        <v>195</v>
      </c>
      <c r="D1130" s="36"/>
      <c r="E1130" s="38">
        <v>79010033.789999992</v>
      </c>
      <c r="F1130" s="40">
        <f>VLOOKUP(A1130,'DATOS GENERALES'!A:B,2,0)</f>
        <v>1</v>
      </c>
      <c r="G1130" s="36">
        <f t="shared" si="85"/>
        <v>0.99539999999999995</v>
      </c>
      <c r="H1130" s="38">
        <f t="shared" si="86"/>
        <v>79375159.523809522</v>
      </c>
      <c r="I1130" s="38">
        <f t="shared" si="87"/>
        <v>-365125.73380953074</v>
      </c>
      <c r="J1130" s="38" t="s">
        <v>213</v>
      </c>
      <c r="K1130" s="38" t="str">
        <f t="shared" si="88"/>
        <v/>
      </c>
      <c r="L1130" s="41">
        <f>VLOOKUP(INDICADORES!$B$21,'DATOS GENERALES'!$K:$M,3,0)*E1130</f>
        <v>537744.36724565399</v>
      </c>
      <c r="M1130" s="38" t="str">
        <f t="shared" si="89"/>
        <v/>
      </c>
      <c r="N1130" s="36"/>
      <c r="O1130" s="36"/>
      <c r="P1130" s="36"/>
    </row>
    <row r="1131" spans="1:16" x14ac:dyDescent="0.25">
      <c r="A1131" s="36">
        <v>1790</v>
      </c>
      <c r="B1131" s="37">
        <v>43891</v>
      </c>
      <c r="C1131" s="36" t="s">
        <v>195</v>
      </c>
      <c r="D1131" s="36"/>
      <c r="E1131" s="38">
        <v>79010033.789999992</v>
      </c>
      <c r="F1131" s="40">
        <f>VLOOKUP(A1131,'DATOS GENERALES'!A:B,2,0)</f>
        <v>1</v>
      </c>
      <c r="G1131" s="36">
        <f t="shared" si="85"/>
        <v>0.99539999999999995</v>
      </c>
      <c r="H1131" s="38">
        <f t="shared" si="86"/>
        <v>79375159.523809522</v>
      </c>
      <c r="I1131" s="38">
        <f t="shared" si="87"/>
        <v>-365125.73380953074</v>
      </c>
      <c r="J1131" s="38" t="s">
        <v>213</v>
      </c>
      <c r="K1131" s="38" t="str">
        <f t="shared" si="88"/>
        <v/>
      </c>
      <c r="L1131" s="41">
        <f>VLOOKUP(INDICADORES!$B$21,'DATOS GENERALES'!$K:$M,3,0)*E1131</f>
        <v>537744.36724565399</v>
      </c>
      <c r="M1131" s="38" t="str">
        <f t="shared" si="89"/>
        <v/>
      </c>
      <c r="N1131" s="36"/>
      <c r="O1131" s="36"/>
      <c r="P1131" s="36"/>
    </row>
    <row r="1132" spans="1:16" x14ac:dyDescent="0.25">
      <c r="A1132" s="36">
        <v>1790</v>
      </c>
      <c r="B1132" s="37">
        <v>43922</v>
      </c>
      <c r="C1132" s="36" t="s">
        <v>195</v>
      </c>
      <c r="D1132" s="36"/>
      <c r="E1132" s="38">
        <v>79010033.789999992</v>
      </c>
      <c r="F1132" s="40">
        <f>VLOOKUP(A1132,'DATOS GENERALES'!A:B,2,0)</f>
        <v>1</v>
      </c>
      <c r="G1132" s="36">
        <f t="shared" si="85"/>
        <v>0.99539999999999995</v>
      </c>
      <c r="H1132" s="38">
        <f t="shared" si="86"/>
        <v>79375159.523809522</v>
      </c>
      <c r="I1132" s="38">
        <f t="shared" si="87"/>
        <v>-365125.73380953074</v>
      </c>
      <c r="J1132" s="38" t="s">
        <v>213</v>
      </c>
      <c r="K1132" s="38" t="str">
        <f t="shared" si="88"/>
        <v/>
      </c>
      <c r="L1132" s="41">
        <f>VLOOKUP(INDICADORES!$B$21,'DATOS GENERALES'!$K:$M,3,0)*E1132</f>
        <v>537744.36724565399</v>
      </c>
      <c r="M1132" s="38" t="str">
        <f t="shared" si="89"/>
        <v/>
      </c>
      <c r="N1132" s="36"/>
      <c r="O1132" s="36"/>
      <c r="P1132" s="36"/>
    </row>
    <row r="1133" spans="1:16" x14ac:dyDescent="0.25">
      <c r="A1133" s="36">
        <v>1507</v>
      </c>
      <c r="B1133" s="37">
        <v>43617</v>
      </c>
      <c r="C1133" s="36" t="s">
        <v>195</v>
      </c>
      <c r="D1133" s="36"/>
      <c r="E1133" s="38">
        <v>577000000</v>
      </c>
      <c r="F1133" s="40">
        <f>VLOOKUP(A1133,'DATOS GENERALES'!A:B,2,0)</f>
        <v>1.87</v>
      </c>
      <c r="G1133" s="36">
        <f t="shared" si="85"/>
        <v>1.8613980000000001</v>
      </c>
      <c r="H1133" s="38">
        <f t="shared" si="86"/>
        <v>309982067.24193317</v>
      </c>
      <c r="I1133" s="38">
        <f t="shared" si="87"/>
        <v>267017932.75806683</v>
      </c>
      <c r="J1133" s="38">
        <v>55287558.800183408</v>
      </c>
      <c r="K1133" s="38">
        <f t="shared" si="88"/>
        <v>211730373.95788342</v>
      </c>
      <c r="L1133" s="41">
        <f>VLOOKUP(INDICADORES!$B$21,'DATOS GENERALES'!$K:$M,3,0)*E1133</f>
        <v>3927077.1700392966</v>
      </c>
      <c r="M1133" s="38">
        <f t="shared" si="89"/>
        <v>207803296.78784412</v>
      </c>
      <c r="N1133" s="36"/>
      <c r="O1133" s="36"/>
      <c r="P1133" s="36"/>
    </row>
    <row r="1134" spans="1:16" x14ac:dyDescent="0.25">
      <c r="A1134" s="36">
        <v>1744</v>
      </c>
      <c r="B1134" s="37">
        <v>43466</v>
      </c>
      <c r="C1134" s="36" t="s">
        <v>195</v>
      </c>
      <c r="D1134" s="36"/>
      <c r="E1134" s="38">
        <v>35458635</v>
      </c>
      <c r="F1134" s="40">
        <f>VLOOKUP(A1134,'DATOS GENERALES'!A:B,2,0)</f>
        <v>2.2200000000000002</v>
      </c>
      <c r="G1134" s="36">
        <f t="shared" si="85"/>
        <v>2.2097880000000001</v>
      </c>
      <c r="H1134" s="38">
        <f t="shared" si="86"/>
        <v>16046170.492373023</v>
      </c>
      <c r="I1134" s="38">
        <f t="shared" si="87"/>
        <v>19412464.507626977</v>
      </c>
      <c r="J1134" s="38">
        <v>3520824.1693170522</v>
      </c>
      <c r="K1134" s="38">
        <f t="shared" si="88"/>
        <v>15891640.338309925</v>
      </c>
      <c r="L1134" s="41">
        <f>VLOOKUP(INDICADORES!$B$21,'DATOS GENERALES'!$K:$M,3,0)*E1134</f>
        <v>241332.40206110285</v>
      </c>
      <c r="M1134" s="38">
        <f t="shared" si="89"/>
        <v>15650307.936248822</v>
      </c>
      <c r="N1134" s="36"/>
      <c r="O1134" s="36"/>
      <c r="P1134" s="36"/>
    </row>
    <row r="1135" spans="1:16" x14ac:dyDescent="0.25">
      <c r="A1135" s="36">
        <v>1744</v>
      </c>
      <c r="B1135" s="37">
        <v>43497</v>
      </c>
      <c r="C1135" s="36" t="s">
        <v>195</v>
      </c>
      <c r="D1135" s="36"/>
      <c r="E1135" s="38">
        <v>35458635</v>
      </c>
      <c r="F1135" s="40">
        <f>VLOOKUP(A1135,'DATOS GENERALES'!A:B,2,0)</f>
        <v>2.2200000000000002</v>
      </c>
      <c r="G1135" s="36">
        <f t="shared" si="85"/>
        <v>2.2097880000000001</v>
      </c>
      <c r="H1135" s="38">
        <f t="shared" si="86"/>
        <v>16046170.492373023</v>
      </c>
      <c r="I1135" s="38">
        <f t="shared" si="87"/>
        <v>19412464.507626977</v>
      </c>
      <c r="J1135" s="38">
        <v>3468505.6732319426</v>
      </c>
      <c r="K1135" s="38">
        <f t="shared" si="88"/>
        <v>15943958.834395034</v>
      </c>
      <c r="L1135" s="41">
        <f>VLOOKUP(INDICADORES!$B$21,'DATOS GENERALES'!$K:$M,3,0)*E1135</f>
        <v>241332.40206110285</v>
      </c>
      <c r="M1135" s="38">
        <f t="shared" si="89"/>
        <v>15702626.432333931</v>
      </c>
      <c r="N1135" s="36"/>
      <c r="O1135" s="36"/>
      <c r="P1135" s="36"/>
    </row>
    <row r="1136" spans="1:16" x14ac:dyDescent="0.25">
      <c r="A1136" s="36">
        <v>1744</v>
      </c>
      <c r="B1136" s="37">
        <v>43525</v>
      </c>
      <c r="C1136" s="36" t="s">
        <v>195</v>
      </c>
      <c r="D1136" s="36"/>
      <c r="E1136" s="38">
        <v>35458635</v>
      </c>
      <c r="F1136" s="40">
        <f>VLOOKUP(A1136,'DATOS GENERALES'!A:B,2,0)</f>
        <v>2.2200000000000002</v>
      </c>
      <c r="G1136" s="36">
        <f t="shared" si="85"/>
        <v>2.2097880000000001</v>
      </c>
      <c r="H1136" s="38">
        <f t="shared" si="86"/>
        <v>16046170.492373023</v>
      </c>
      <c r="I1136" s="38">
        <f t="shared" si="87"/>
        <v>19412464.507626977</v>
      </c>
      <c r="J1136" s="38">
        <v>2509420.8351658201</v>
      </c>
      <c r="K1136" s="38">
        <f t="shared" si="88"/>
        <v>16903043.672461156</v>
      </c>
      <c r="L1136" s="41">
        <f>VLOOKUP(INDICADORES!$B$21,'DATOS GENERALES'!$K:$M,3,0)*E1136</f>
        <v>241332.40206110285</v>
      </c>
      <c r="M1136" s="38">
        <f t="shared" si="89"/>
        <v>16661711.270400053</v>
      </c>
      <c r="N1136" s="36"/>
      <c r="O1136" s="36"/>
      <c r="P1136" s="36"/>
    </row>
    <row r="1137" spans="1:16" x14ac:dyDescent="0.25">
      <c r="A1137" s="36">
        <v>1744</v>
      </c>
      <c r="B1137" s="37">
        <v>43556</v>
      </c>
      <c r="C1137" s="36" t="s">
        <v>195</v>
      </c>
      <c r="D1137" s="36"/>
      <c r="E1137" s="38">
        <v>35458635</v>
      </c>
      <c r="F1137" s="40">
        <f>VLOOKUP(A1137,'DATOS GENERALES'!A:B,2,0)</f>
        <v>2.2200000000000002</v>
      </c>
      <c r="G1137" s="36">
        <f t="shared" si="85"/>
        <v>2.2097880000000001</v>
      </c>
      <c r="H1137" s="38">
        <f t="shared" si="86"/>
        <v>16046170.492373023</v>
      </c>
      <c r="I1137" s="38">
        <f t="shared" si="87"/>
        <v>19412464.507626977</v>
      </c>
      <c r="J1137" s="38">
        <v>2579873.7490181564</v>
      </c>
      <c r="K1137" s="38">
        <f t="shared" si="88"/>
        <v>16832590.758608822</v>
      </c>
      <c r="L1137" s="41">
        <f>VLOOKUP(INDICADORES!$B$21,'DATOS GENERALES'!$K:$M,3,0)*E1137</f>
        <v>241332.40206110285</v>
      </c>
      <c r="M1137" s="38">
        <f t="shared" si="89"/>
        <v>16591258.356547719</v>
      </c>
      <c r="N1137" s="36"/>
      <c r="O1137" s="36"/>
      <c r="P1137" s="36"/>
    </row>
    <row r="1138" spans="1:16" x14ac:dyDescent="0.25">
      <c r="A1138" s="36">
        <v>1744</v>
      </c>
      <c r="B1138" s="37">
        <v>43586</v>
      </c>
      <c r="C1138" s="36" t="s">
        <v>195</v>
      </c>
      <c r="D1138" s="36"/>
      <c r="E1138" s="38">
        <v>35458635</v>
      </c>
      <c r="F1138" s="40">
        <f>VLOOKUP(A1138,'DATOS GENERALES'!A:B,2,0)</f>
        <v>2.2200000000000002</v>
      </c>
      <c r="G1138" s="36">
        <f t="shared" si="85"/>
        <v>2.2097880000000001</v>
      </c>
      <c r="H1138" s="38">
        <f t="shared" si="86"/>
        <v>16046170.492373023</v>
      </c>
      <c r="I1138" s="38">
        <f t="shared" si="87"/>
        <v>19412464.507626977</v>
      </c>
      <c r="J1138" s="38">
        <v>2128215.4208993614</v>
      </c>
      <c r="K1138" s="38">
        <f t="shared" si="88"/>
        <v>17284249.086727615</v>
      </c>
      <c r="L1138" s="41">
        <f>VLOOKUP(INDICADORES!$B$21,'DATOS GENERALES'!$K:$M,3,0)*E1138</f>
        <v>241332.40206110285</v>
      </c>
      <c r="M1138" s="38">
        <f t="shared" si="89"/>
        <v>17042916.684666514</v>
      </c>
      <c r="N1138" s="36"/>
      <c r="O1138" s="36"/>
      <c r="P1138" s="36"/>
    </row>
    <row r="1139" spans="1:16" x14ac:dyDescent="0.25">
      <c r="A1139" s="36">
        <v>1744</v>
      </c>
      <c r="B1139" s="37">
        <v>43617</v>
      </c>
      <c r="C1139" s="36" t="s">
        <v>195</v>
      </c>
      <c r="D1139" s="36"/>
      <c r="E1139" s="38">
        <v>35458635</v>
      </c>
      <c r="F1139" s="40">
        <f>VLOOKUP(A1139,'DATOS GENERALES'!A:B,2,0)</f>
        <v>2.2200000000000002</v>
      </c>
      <c r="G1139" s="36">
        <f t="shared" si="85"/>
        <v>2.2097880000000001</v>
      </c>
      <c r="H1139" s="38">
        <f t="shared" si="86"/>
        <v>16046170.492373023</v>
      </c>
      <c r="I1139" s="38">
        <f t="shared" si="87"/>
        <v>19412464.507626977</v>
      </c>
      <c r="J1139" s="38">
        <v>2861951.3461159044</v>
      </c>
      <c r="K1139" s="38">
        <f t="shared" si="88"/>
        <v>16550513.161511073</v>
      </c>
      <c r="L1139" s="41">
        <f>VLOOKUP(INDICADORES!$B$21,'DATOS GENERALES'!$K:$M,3,0)*E1139</f>
        <v>241332.40206110285</v>
      </c>
      <c r="M1139" s="38">
        <f t="shared" si="89"/>
        <v>16309180.75944997</v>
      </c>
      <c r="N1139" s="36"/>
      <c r="O1139" s="36"/>
      <c r="P1139" s="36"/>
    </row>
    <row r="1140" spans="1:16" x14ac:dyDescent="0.25">
      <c r="A1140" s="36">
        <v>1744</v>
      </c>
      <c r="B1140" s="37">
        <v>43647</v>
      </c>
      <c r="C1140" s="36" t="s">
        <v>195</v>
      </c>
      <c r="D1140" s="36"/>
      <c r="E1140" s="38">
        <v>35458635</v>
      </c>
      <c r="F1140" s="40">
        <f>VLOOKUP(A1140,'DATOS GENERALES'!A:B,2,0)</f>
        <v>2.2200000000000002</v>
      </c>
      <c r="G1140" s="36">
        <f t="shared" si="85"/>
        <v>2.2097880000000001</v>
      </c>
      <c r="H1140" s="38">
        <f t="shared" si="86"/>
        <v>16046170.492373023</v>
      </c>
      <c r="I1140" s="38">
        <f t="shared" si="87"/>
        <v>19412464.507626977</v>
      </c>
      <c r="J1140" s="38">
        <v>4268013.8024116866</v>
      </c>
      <c r="K1140" s="38">
        <f t="shared" si="88"/>
        <v>15144450.70521529</v>
      </c>
      <c r="L1140" s="41">
        <f>VLOOKUP(INDICADORES!$B$21,'DATOS GENERALES'!$K:$M,3,0)*E1140</f>
        <v>241332.40206110285</v>
      </c>
      <c r="M1140" s="38">
        <f t="shared" si="89"/>
        <v>14903118.303154187</v>
      </c>
      <c r="N1140" s="36"/>
      <c r="O1140" s="36"/>
      <c r="P1140" s="36"/>
    </row>
    <row r="1141" spans="1:16" x14ac:dyDescent="0.25">
      <c r="A1141" s="36">
        <v>1744</v>
      </c>
      <c r="B1141" s="37">
        <v>43678</v>
      </c>
      <c r="C1141" s="36" t="s">
        <v>195</v>
      </c>
      <c r="D1141" s="36"/>
      <c r="E1141" s="38">
        <v>35458635</v>
      </c>
      <c r="F1141" s="40">
        <f>VLOOKUP(A1141,'DATOS GENERALES'!A:B,2,0)</f>
        <v>2.2200000000000002</v>
      </c>
      <c r="G1141" s="36">
        <f t="shared" si="85"/>
        <v>2.2097880000000001</v>
      </c>
      <c r="H1141" s="38">
        <f t="shared" si="86"/>
        <v>16046170.492373023</v>
      </c>
      <c r="I1141" s="38">
        <f t="shared" si="87"/>
        <v>19412464.507626977</v>
      </c>
      <c r="J1141" s="38">
        <v>4199880.3215635773</v>
      </c>
      <c r="K1141" s="38">
        <f t="shared" si="88"/>
        <v>15212584.1860634</v>
      </c>
      <c r="L1141" s="41">
        <f>VLOOKUP(INDICADORES!$B$21,'DATOS GENERALES'!$K:$M,3,0)*E1141</f>
        <v>241332.40206110285</v>
      </c>
      <c r="M1141" s="38">
        <f t="shared" si="89"/>
        <v>14971251.784002297</v>
      </c>
      <c r="N1141" s="36"/>
      <c r="O1141" s="36"/>
      <c r="P1141" s="36"/>
    </row>
    <row r="1142" spans="1:16" x14ac:dyDescent="0.25">
      <c r="A1142" s="36">
        <v>1756</v>
      </c>
      <c r="B1142" s="37">
        <v>43466</v>
      </c>
      <c r="C1142" s="36" t="s">
        <v>195</v>
      </c>
      <c r="D1142" s="36"/>
      <c r="E1142" s="38">
        <v>62778573</v>
      </c>
      <c r="F1142" s="40">
        <f>VLOOKUP(A1142,'DATOS GENERALES'!A:B,2,0)</f>
        <v>1.72</v>
      </c>
      <c r="G1142" s="36">
        <f t="shared" si="85"/>
        <v>1.7120879999999998</v>
      </c>
      <c r="H1142" s="38">
        <f t="shared" si="86"/>
        <v>36667842.423987553</v>
      </c>
      <c r="I1142" s="38">
        <f t="shared" si="87"/>
        <v>26110730.576012447</v>
      </c>
      <c r="J1142" s="38">
        <v>8045597.2909204792</v>
      </c>
      <c r="K1142" s="38">
        <f t="shared" si="88"/>
        <v>18065133.285091966</v>
      </c>
      <c r="L1142" s="41">
        <f>VLOOKUP(INDICADORES!$B$21,'DATOS GENERALES'!$K:$M,3,0)*E1142</f>
        <v>427272.61836385686</v>
      </c>
      <c r="M1142" s="38">
        <f t="shared" si="89"/>
        <v>17637860.666728109</v>
      </c>
      <c r="N1142" s="36"/>
      <c r="O1142" s="36"/>
      <c r="P1142" s="36"/>
    </row>
    <row r="1143" spans="1:16" x14ac:dyDescent="0.25">
      <c r="A1143" s="36">
        <v>1756</v>
      </c>
      <c r="B1143" s="37">
        <v>43497</v>
      </c>
      <c r="C1143" s="36" t="s">
        <v>195</v>
      </c>
      <c r="D1143" s="36"/>
      <c r="E1143" s="38">
        <v>62778573</v>
      </c>
      <c r="F1143" s="40">
        <f>VLOOKUP(A1143,'DATOS GENERALES'!A:B,2,0)</f>
        <v>1.72</v>
      </c>
      <c r="G1143" s="36">
        <f t="shared" si="85"/>
        <v>1.7120879999999998</v>
      </c>
      <c r="H1143" s="38">
        <f t="shared" si="86"/>
        <v>36667842.423987553</v>
      </c>
      <c r="I1143" s="38">
        <f t="shared" si="87"/>
        <v>26110730.576012447</v>
      </c>
      <c r="J1143" s="38">
        <v>7926041.8885133658</v>
      </c>
      <c r="K1143" s="38">
        <f t="shared" si="88"/>
        <v>18184688.687499084</v>
      </c>
      <c r="L1143" s="41">
        <f>VLOOKUP(INDICADORES!$B$21,'DATOS GENERALES'!$K:$M,3,0)*E1143</f>
        <v>427272.61836385686</v>
      </c>
      <c r="M1143" s="38">
        <f t="shared" si="89"/>
        <v>17757416.069135226</v>
      </c>
      <c r="N1143" s="36"/>
      <c r="O1143" s="36"/>
      <c r="P1143" s="36"/>
    </row>
    <row r="1144" spans="1:16" x14ac:dyDescent="0.25">
      <c r="A1144" s="36">
        <v>1756</v>
      </c>
      <c r="B1144" s="37">
        <v>43525</v>
      </c>
      <c r="C1144" s="36" t="s">
        <v>195</v>
      </c>
      <c r="D1144" s="36"/>
      <c r="E1144" s="38">
        <v>62778573</v>
      </c>
      <c r="F1144" s="40">
        <f>VLOOKUP(A1144,'DATOS GENERALES'!A:B,2,0)</f>
        <v>1.72</v>
      </c>
      <c r="G1144" s="36">
        <f t="shared" si="85"/>
        <v>1.7120879999999998</v>
      </c>
      <c r="H1144" s="38">
        <f t="shared" si="86"/>
        <v>36667842.423987553</v>
      </c>
      <c r="I1144" s="38">
        <f t="shared" si="87"/>
        <v>26110730.576012447</v>
      </c>
      <c r="J1144" s="38">
        <v>5734393.0006893296</v>
      </c>
      <c r="K1144" s="38">
        <f t="shared" si="88"/>
        <v>20376337.57532312</v>
      </c>
      <c r="L1144" s="41">
        <f>VLOOKUP(INDICADORES!$B$21,'DATOS GENERALES'!$K:$M,3,0)*E1144</f>
        <v>427272.61836385686</v>
      </c>
      <c r="M1144" s="38">
        <f t="shared" si="89"/>
        <v>19949064.956959262</v>
      </c>
      <c r="N1144" s="36"/>
      <c r="O1144" s="36"/>
      <c r="P1144" s="36"/>
    </row>
    <row r="1145" spans="1:16" x14ac:dyDescent="0.25">
      <c r="A1145" s="36">
        <v>1756</v>
      </c>
      <c r="B1145" s="37">
        <v>43556</v>
      </c>
      <c r="C1145" s="36" t="s">
        <v>195</v>
      </c>
      <c r="D1145" s="36"/>
      <c r="E1145" s="38">
        <v>62778573</v>
      </c>
      <c r="F1145" s="40">
        <f>VLOOKUP(A1145,'DATOS GENERALES'!A:B,2,0)</f>
        <v>1.72</v>
      </c>
      <c r="G1145" s="36">
        <f t="shared" si="85"/>
        <v>1.7120879999999998</v>
      </c>
      <c r="H1145" s="38">
        <f t="shared" si="86"/>
        <v>36667842.423987553</v>
      </c>
      <c r="I1145" s="38">
        <f t="shared" si="87"/>
        <v>26110730.576012447</v>
      </c>
      <c r="J1145" s="38">
        <v>5895388.1954416325</v>
      </c>
      <c r="K1145" s="38">
        <f t="shared" si="88"/>
        <v>20215342.380570814</v>
      </c>
      <c r="L1145" s="41">
        <f>VLOOKUP(INDICADORES!$B$21,'DATOS GENERALES'!$K:$M,3,0)*E1145</f>
        <v>427272.61836385686</v>
      </c>
      <c r="M1145" s="38">
        <f t="shared" si="89"/>
        <v>19788069.762206957</v>
      </c>
      <c r="N1145" s="36"/>
      <c r="O1145" s="36"/>
      <c r="P1145" s="36"/>
    </row>
    <row r="1146" spans="1:16" x14ac:dyDescent="0.25">
      <c r="A1146" s="36">
        <v>1756</v>
      </c>
      <c r="B1146" s="37">
        <v>43586</v>
      </c>
      <c r="C1146" s="36" t="s">
        <v>195</v>
      </c>
      <c r="D1146" s="36"/>
      <c r="E1146" s="38">
        <v>62778573</v>
      </c>
      <c r="F1146" s="40">
        <f>VLOOKUP(A1146,'DATOS GENERALES'!A:B,2,0)</f>
        <v>1.72</v>
      </c>
      <c r="G1146" s="36">
        <f t="shared" si="85"/>
        <v>1.7120879999999998</v>
      </c>
      <c r="H1146" s="38">
        <f t="shared" si="86"/>
        <v>36667842.423987553</v>
      </c>
      <c r="I1146" s="38">
        <f t="shared" si="87"/>
        <v>26110730.576012447</v>
      </c>
      <c r="J1146" s="38">
        <v>4863282.9705337035</v>
      </c>
      <c r="K1146" s="38">
        <f t="shared" si="88"/>
        <v>21247447.605478745</v>
      </c>
      <c r="L1146" s="41">
        <f>VLOOKUP(INDICADORES!$B$21,'DATOS GENERALES'!$K:$M,3,0)*E1146</f>
        <v>427272.61836385686</v>
      </c>
      <c r="M1146" s="38">
        <f t="shared" si="89"/>
        <v>20820174.987114888</v>
      </c>
      <c r="N1146" s="36"/>
      <c r="O1146" s="36"/>
      <c r="P1146" s="36"/>
    </row>
    <row r="1147" spans="1:16" x14ac:dyDescent="0.25">
      <c r="A1147" s="36">
        <v>1802</v>
      </c>
      <c r="B1147" s="37">
        <v>43831</v>
      </c>
      <c r="C1147" s="36" t="s">
        <v>195</v>
      </c>
      <c r="D1147" s="36"/>
      <c r="E1147" s="38">
        <v>21063300</v>
      </c>
      <c r="F1147" s="40">
        <f>VLOOKUP(A1147,'DATOS GENERALES'!A:B,2,0)</f>
        <v>1.95</v>
      </c>
      <c r="G1147" s="36">
        <f t="shared" si="85"/>
        <v>1.9410299999999998</v>
      </c>
      <c r="H1147" s="38">
        <f t="shared" si="86"/>
        <v>10851609.712369207</v>
      </c>
      <c r="I1147" s="38">
        <f t="shared" si="87"/>
        <v>10211690.287630793</v>
      </c>
      <c r="J1147" s="38" t="s">
        <v>213</v>
      </c>
      <c r="K1147" s="38" t="str">
        <f t="shared" si="88"/>
        <v/>
      </c>
      <c r="L1147" s="41">
        <f>VLOOKUP(INDICADORES!$B$21,'DATOS GENERALES'!$K:$M,3,0)*E1147</f>
        <v>143357.37358004975</v>
      </c>
      <c r="M1147" s="38" t="str">
        <f t="shared" si="89"/>
        <v/>
      </c>
      <c r="N1147" s="36"/>
      <c r="O1147" s="36"/>
      <c r="P1147" s="36"/>
    </row>
    <row r="1148" spans="1:16" x14ac:dyDescent="0.25">
      <c r="A1148" s="36">
        <v>1802</v>
      </c>
      <c r="B1148" s="37">
        <v>43862</v>
      </c>
      <c r="C1148" s="36" t="s">
        <v>195</v>
      </c>
      <c r="D1148" s="36"/>
      <c r="E1148" s="38">
        <v>21063300</v>
      </c>
      <c r="F1148" s="40">
        <f>VLOOKUP(A1148,'DATOS GENERALES'!A:B,2,0)</f>
        <v>1.95</v>
      </c>
      <c r="G1148" s="36">
        <f t="shared" si="85"/>
        <v>1.9410299999999998</v>
      </c>
      <c r="H1148" s="38">
        <f t="shared" si="86"/>
        <v>10851609.712369207</v>
      </c>
      <c r="I1148" s="38">
        <f t="shared" si="87"/>
        <v>10211690.287630793</v>
      </c>
      <c r="J1148" s="38" t="s">
        <v>213</v>
      </c>
      <c r="K1148" s="38" t="str">
        <f t="shared" si="88"/>
        <v/>
      </c>
      <c r="L1148" s="41">
        <f>VLOOKUP(INDICADORES!$B$21,'DATOS GENERALES'!$K:$M,3,0)*E1148</f>
        <v>143357.37358004975</v>
      </c>
      <c r="M1148" s="38" t="str">
        <f t="shared" si="89"/>
        <v/>
      </c>
      <c r="N1148" s="36"/>
      <c r="O1148" s="36"/>
      <c r="P1148" s="36"/>
    </row>
    <row r="1149" spans="1:16" x14ac:dyDescent="0.25">
      <c r="A1149" s="36">
        <v>1804</v>
      </c>
      <c r="B1149" s="37">
        <v>43466</v>
      </c>
      <c r="C1149" s="36" t="s">
        <v>195</v>
      </c>
      <c r="D1149" s="36"/>
      <c r="E1149" s="38">
        <v>29813870</v>
      </c>
      <c r="F1149" s="40">
        <f>VLOOKUP(A1149,'DATOS GENERALES'!A:B,2,0)</f>
        <v>2.27</v>
      </c>
      <c r="G1149" s="36">
        <f t="shared" si="85"/>
        <v>2.2595579999999997</v>
      </c>
      <c r="H1149" s="38">
        <f t="shared" si="86"/>
        <v>13194558.404785363</v>
      </c>
      <c r="I1149" s="38">
        <f t="shared" si="87"/>
        <v>16619311.595214637</v>
      </c>
      <c r="J1149" s="38">
        <v>2895128.1651354027</v>
      </c>
      <c r="K1149" s="38">
        <f t="shared" si="88"/>
        <v>13724183.430079235</v>
      </c>
      <c r="L1149" s="41">
        <f>VLOOKUP(INDICADORES!$B$21,'DATOS GENERALES'!$K:$M,3,0)*E1149</f>
        <v>202913.98306329199</v>
      </c>
      <c r="M1149" s="38">
        <f t="shared" si="89"/>
        <v>13521269.447015943</v>
      </c>
      <c r="N1149" s="36"/>
      <c r="O1149" s="36"/>
      <c r="P1149" s="36"/>
    </row>
    <row r="1150" spans="1:16" x14ac:dyDescent="0.25">
      <c r="A1150" s="36">
        <v>1813</v>
      </c>
      <c r="B1150" s="37">
        <v>43466</v>
      </c>
      <c r="C1150" s="36" t="s">
        <v>195</v>
      </c>
      <c r="D1150" s="36"/>
      <c r="E1150" s="38">
        <v>126579869.80723679</v>
      </c>
      <c r="F1150" s="40">
        <f>VLOOKUP(A1150,'DATOS GENERALES'!A:B,2,0)</f>
        <v>2.5499999999999998</v>
      </c>
      <c r="G1150" s="36">
        <f t="shared" si="85"/>
        <v>2.5382699999999998</v>
      </c>
      <c r="H1150" s="38">
        <f t="shared" si="86"/>
        <v>49868560.006318003</v>
      </c>
      <c r="I1150" s="38">
        <f t="shared" si="87"/>
        <v>76711309.800918788</v>
      </c>
      <c r="J1150" s="38">
        <v>10942076.892597962</v>
      </c>
      <c r="K1150" s="38">
        <f t="shared" si="88"/>
        <v>65769232.908320829</v>
      </c>
      <c r="L1150" s="41">
        <f>VLOOKUP(INDICADORES!$B$21,'DATOS GENERALES'!$K:$M,3,0)*E1150</f>
        <v>861505.92184843333</v>
      </c>
      <c r="M1150" s="38">
        <f t="shared" si="89"/>
        <v>64907726.986472398</v>
      </c>
      <c r="N1150" s="36"/>
      <c r="O1150" s="36"/>
      <c r="P1150" s="36"/>
    </row>
    <row r="1151" spans="1:16" x14ac:dyDescent="0.25">
      <c r="A1151" s="36">
        <v>1813</v>
      </c>
      <c r="B1151" s="37">
        <v>43497</v>
      </c>
      <c r="C1151" s="36" t="s">
        <v>195</v>
      </c>
      <c r="D1151" s="36"/>
      <c r="E1151" s="38">
        <v>253159739.61447358</v>
      </c>
      <c r="F1151" s="40">
        <f>VLOOKUP(A1151,'DATOS GENERALES'!A:B,2,0)</f>
        <v>2.5499999999999998</v>
      </c>
      <c r="G1151" s="36">
        <f t="shared" si="85"/>
        <v>2.5382699999999998</v>
      </c>
      <c r="H1151" s="38">
        <f t="shared" si="86"/>
        <v>99737120.012636006</v>
      </c>
      <c r="I1151" s="38">
        <f t="shared" si="87"/>
        <v>153422619.60183758</v>
      </c>
      <c r="J1151" s="38">
        <v>21558961.171456628</v>
      </c>
      <c r="K1151" s="38">
        <f t="shared" si="88"/>
        <v>131863658.43038094</v>
      </c>
      <c r="L1151" s="41">
        <f>VLOOKUP(INDICADORES!$B$21,'DATOS GENERALES'!$K:$M,3,0)*E1151</f>
        <v>1723011.8436968667</v>
      </c>
      <c r="M1151" s="38">
        <f t="shared" si="89"/>
        <v>130140646.58668408</v>
      </c>
      <c r="N1151" s="36"/>
      <c r="O1151" s="36"/>
      <c r="P1151" s="36"/>
    </row>
    <row r="1152" spans="1:16" x14ac:dyDescent="0.25">
      <c r="A1152" s="36">
        <v>1813</v>
      </c>
      <c r="B1152" s="37">
        <v>43525</v>
      </c>
      <c r="C1152" s="36" t="s">
        <v>195</v>
      </c>
      <c r="D1152" s="36"/>
      <c r="E1152" s="38">
        <v>253159739.61447358</v>
      </c>
      <c r="F1152" s="40">
        <f>VLOOKUP(A1152,'DATOS GENERALES'!A:B,2,0)</f>
        <v>2.5499999999999998</v>
      </c>
      <c r="G1152" s="36">
        <f t="shared" si="85"/>
        <v>2.5382699999999998</v>
      </c>
      <c r="H1152" s="38">
        <f t="shared" si="86"/>
        <v>99737120.012636006</v>
      </c>
      <c r="I1152" s="38">
        <f t="shared" si="87"/>
        <v>153422619.60183758</v>
      </c>
      <c r="J1152" s="38">
        <v>15597641.014602548</v>
      </c>
      <c r="K1152" s="38">
        <f t="shared" si="88"/>
        <v>137824978.58723503</v>
      </c>
      <c r="L1152" s="41">
        <f>VLOOKUP(INDICADORES!$B$21,'DATOS GENERALES'!$K:$M,3,0)*E1152</f>
        <v>1723011.8436968667</v>
      </c>
      <c r="M1152" s="38">
        <f t="shared" si="89"/>
        <v>136101966.74353817</v>
      </c>
      <c r="N1152" s="36"/>
      <c r="O1152" s="36"/>
      <c r="P1152" s="36"/>
    </row>
    <row r="1153" spans="1:16" x14ac:dyDescent="0.25">
      <c r="A1153" s="36">
        <v>1813</v>
      </c>
      <c r="B1153" s="37">
        <v>43556</v>
      </c>
      <c r="C1153" s="36" t="s">
        <v>195</v>
      </c>
      <c r="D1153" s="36"/>
      <c r="E1153" s="38">
        <v>126579869.80723679</v>
      </c>
      <c r="F1153" s="40">
        <f>VLOOKUP(A1153,'DATOS GENERALES'!A:B,2,0)</f>
        <v>2.5499999999999998</v>
      </c>
      <c r="G1153" s="36">
        <f t="shared" si="85"/>
        <v>2.5382699999999998</v>
      </c>
      <c r="H1153" s="38">
        <f t="shared" si="86"/>
        <v>49868560.006318003</v>
      </c>
      <c r="I1153" s="38">
        <f t="shared" si="87"/>
        <v>76711309.800918788</v>
      </c>
      <c r="J1153" s="38">
        <v>8017775.2643715153</v>
      </c>
      <c r="K1153" s="38">
        <f t="shared" si="88"/>
        <v>68693534.536547273</v>
      </c>
      <c r="L1153" s="41">
        <f>VLOOKUP(INDICADORES!$B$21,'DATOS GENERALES'!$K:$M,3,0)*E1153</f>
        <v>861505.92184843333</v>
      </c>
      <c r="M1153" s="38">
        <f t="shared" si="89"/>
        <v>67832028.614698842</v>
      </c>
      <c r="N1153" s="36"/>
      <c r="O1153" s="36"/>
      <c r="P1153" s="36"/>
    </row>
    <row r="1154" spans="1:16" x14ac:dyDescent="0.25">
      <c r="A1154" s="36">
        <v>1857</v>
      </c>
      <c r="B1154" s="37">
        <v>43466</v>
      </c>
      <c r="C1154" s="36" t="s">
        <v>195</v>
      </c>
      <c r="D1154" s="36"/>
      <c r="E1154" s="38">
        <v>9800000</v>
      </c>
      <c r="F1154" s="40">
        <f>VLOOKUP(A1154,'DATOS GENERALES'!A:B,2,0)</f>
        <v>1.85</v>
      </c>
      <c r="G1154" s="36">
        <f t="shared" si="85"/>
        <v>1.8414900000000001</v>
      </c>
      <c r="H1154" s="38">
        <f t="shared" si="86"/>
        <v>5321777.4736762075</v>
      </c>
      <c r="I1154" s="38">
        <f t="shared" si="87"/>
        <v>4478222.5263237925</v>
      </c>
      <c r="J1154" s="38">
        <v>1167695.6045027827</v>
      </c>
      <c r="K1154" s="38">
        <f t="shared" si="88"/>
        <v>3310526.9218210098</v>
      </c>
      <c r="L1154" s="41">
        <f>VLOOKUP(INDICADORES!$B$21,'DATOS GENERALES'!$K:$M,3,0)*E1154</f>
        <v>66699.057654046977</v>
      </c>
      <c r="M1154" s="38">
        <f t="shared" si="89"/>
        <v>3243827.8641669629</v>
      </c>
      <c r="N1154" s="36"/>
      <c r="O1154" s="36"/>
      <c r="P1154" s="36"/>
    </row>
    <row r="1155" spans="1:16" x14ac:dyDescent="0.25">
      <c r="A1155" s="36">
        <v>1857</v>
      </c>
      <c r="B1155" s="37">
        <v>43497</v>
      </c>
      <c r="C1155" s="36" t="s">
        <v>195</v>
      </c>
      <c r="D1155" s="36"/>
      <c r="E1155" s="38">
        <v>9800000</v>
      </c>
      <c r="F1155" s="40">
        <f>VLOOKUP(A1155,'DATOS GENERALES'!A:B,2,0)</f>
        <v>1.85</v>
      </c>
      <c r="G1155" s="36">
        <f t="shared" ref="G1155:G1218" si="90">F1155*0.9954</f>
        <v>1.8414900000000001</v>
      </c>
      <c r="H1155" s="38">
        <f t="shared" ref="H1155:H1218" si="91">E1155/G1155</f>
        <v>5321777.4736762075</v>
      </c>
      <c r="I1155" s="38">
        <f t="shared" ref="I1155:I1218" si="92">E1155-H1155</f>
        <v>4478222.5263237925</v>
      </c>
      <c r="J1155" s="38">
        <v>1150343.9632464035</v>
      </c>
      <c r="K1155" s="38">
        <f t="shared" ref="K1155:K1218" si="93">IFERROR(I1155-J1155,"")</f>
        <v>3327878.5630773893</v>
      </c>
      <c r="L1155" s="41">
        <f>VLOOKUP(INDICADORES!$B$21,'DATOS GENERALES'!$K:$M,3,0)*E1155</f>
        <v>66699.057654046977</v>
      </c>
      <c r="M1155" s="38">
        <f t="shared" ref="M1155:M1218" si="94">IFERROR(K1155-L1155,"")</f>
        <v>3261179.5054233423</v>
      </c>
      <c r="N1155" s="36"/>
      <c r="O1155" s="36"/>
      <c r="P1155" s="36"/>
    </row>
    <row r="1156" spans="1:16" x14ac:dyDescent="0.25">
      <c r="A1156" s="36">
        <v>1857</v>
      </c>
      <c r="B1156" s="37">
        <v>43525</v>
      </c>
      <c r="C1156" s="36" t="s">
        <v>195</v>
      </c>
      <c r="D1156" s="36"/>
      <c r="E1156" s="38">
        <v>9800000</v>
      </c>
      <c r="F1156" s="40">
        <f>VLOOKUP(A1156,'DATOS GENERALES'!A:B,2,0)</f>
        <v>1.85</v>
      </c>
      <c r="G1156" s="36">
        <f t="shared" si="90"/>
        <v>1.8414900000000001</v>
      </c>
      <c r="H1156" s="38">
        <f t="shared" si="91"/>
        <v>5321777.4736762075</v>
      </c>
      <c r="I1156" s="38">
        <f t="shared" si="92"/>
        <v>4478222.5263237925</v>
      </c>
      <c r="J1156" s="38">
        <v>832259.58984461869</v>
      </c>
      <c r="K1156" s="38">
        <f t="shared" si="93"/>
        <v>3645962.9364791736</v>
      </c>
      <c r="L1156" s="41">
        <f>VLOOKUP(INDICADORES!$B$21,'DATOS GENERALES'!$K:$M,3,0)*E1156</f>
        <v>66699.057654046977</v>
      </c>
      <c r="M1156" s="38">
        <f t="shared" si="94"/>
        <v>3579263.8788251267</v>
      </c>
      <c r="N1156" s="36"/>
      <c r="O1156" s="36"/>
      <c r="P1156" s="36"/>
    </row>
    <row r="1157" spans="1:16" x14ac:dyDescent="0.25">
      <c r="A1157" s="36">
        <v>1857</v>
      </c>
      <c r="B1157" s="37">
        <v>43556</v>
      </c>
      <c r="C1157" s="36" t="s">
        <v>195</v>
      </c>
      <c r="D1157" s="36"/>
      <c r="E1157" s="38">
        <v>9800000</v>
      </c>
      <c r="F1157" s="40">
        <f>VLOOKUP(A1157,'DATOS GENERALES'!A:B,2,0)</f>
        <v>1.85</v>
      </c>
      <c r="G1157" s="36">
        <f t="shared" si="90"/>
        <v>1.8414900000000001</v>
      </c>
      <c r="H1157" s="38">
        <f t="shared" si="91"/>
        <v>5321777.4736762075</v>
      </c>
      <c r="I1157" s="38">
        <f t="shared" si="92"/>
        <v>4478222.5263237925</v>
      </c>
      <c r="J1157" s="38">
        <v>855625.58424636256</v>
      </c>
      <c r="K1157" s="38">
        <f t="shared" si="93"/>
        <v>3622596.94207743</v>
      </c>
      <c r="L1157" s="41">
        <f>VLOOKUP(INDICADORES!$B$21,'DATOS GENERALES'!$K:$M,3,0)*E1157</f>
        <v>66699.057654046977</v>
      </c>
      <c r="M1157" s="38">
        <f t="shared" si="94"/>
        <v>3555897.884423383</v>
      </c>
      <c r="N1157" s="36"/>
      <c r="O1157" s="36"/>
      <c r="P1157" s="36"/>
    </row>
    <row r="1158" spans="1:16" x14ac:dyDescent="0.25">
      <c r="A1158" s="36">
        <v>1857</v>
      </c>
      <c r="B1158" s="37">
        <v>43586</v>
      </c>
      <c r="C1158" s="36" t="s">
        <v>195</v>
      </c>
      <c r="D1158" s="36"/>
      <c r="E1158" s="38">
        <v>9800000</v>
      </c>
      <c r="F1158" s="40">
        <f>VLOOKUP(A1158,'DATOS GENERALES'!A:B,2,0)</f>
        <v>1.85</v>
      </c>
      <c r="G1158" s="36">
        <f t="shared" si="90"/>
        <v>1.8414900000000001</v>
      </c>
      <c r="H1158" s="38">
        <f t="shared" si="91"/>
        <v>5321777.4736762075</v>
      </c>
      <c r="I1158" s="38">
        <f t="shared" si="92"/>
        <v>4478222.5263237925</v>
      </c>
      <c r="J1158" s="38">
        <v>705831.26930228679</v>
      </c>
      <c r="K1158" s="38">
        <f t="shared" si="93"/>
        <v>3772391.2570215059</v>
      </c>
      <c r="L1158" s="41">
        <f>VLOOKUP(INDICADORES!$B$21,'DATOS GENERALES'!$K:$M,3,0)*E1158</f>
        <v>66699.057654046977</v>
      </c>
      <c r="M1158" s="38">
        <f t="shared" si="94"/>
        <v>3705692.1993674589</v>
      </c>
      <c r="N1158" s="36"/>
      <c r="O1158" s="36"/>
      <c r="P1158" s="36"/>
    </row>
    <row r="1159" spans="1:16" x14ac:dyDescent="0.25">
      <c r="A1159" s="36">
        <v>1857</v>
      </c>
      <c r="B1159" s="37">
        <v>43617</v>
      </c>
      <c r="C1159" s="36" t="s">
        <v>195</v>
      </c>
      <c r="D1159" s="36"/>
      <c r="E1159" s="38">
        <v>9800000</v>
      </c>
      <c r="F1159" s="40">
        <f>VLOOKUP(A1159,'DATOS GENERALES'!A:B,2,0)</f>
        <v>1.85</v>
      </c>
      <c r="G1159" s="36">
        <f t="shared" si="90"/>
        <v>1.8414900000000001</v>
      </c>
      <c r="H1159" s="38">
        <f t="shared" si="91"/>
        <v>5321777.4736762075</v>
      </c>
      <c r="I1159" s="38">
        <f t="shared" si="92"/>
        <v>4478222.5263237925</v>
      </c>
      <c r="J1159" s="38">
        <v>949177.76249207114</v>
      </c>
      <c r="K1159" s="38">
        <f t="shared" si="93"/>
        <v>3529044.7638317216</v>
      </c>
      <c r="L1159" s="41">
        <f>VLOOKUP(INDICADORES!$B$21,'DATOS GENERALES'!$K:$M,3,0)*E1159</f>
        <v>66699.057654046977</v>
      </c>
      <c r="M1159" s="38">
        <f t="shared" si="94"/>
        <v>3462345.7061776747</v>
      </c>
      <c r="N1159" s="36"/>
      <c r="O1159" s="36"/>
      <c r="P1159" s="36"/>
    </row>
    <row r="1160" spans="1:16" x14ac:dyDescent="0.25">
      <c r="A1160" s="36">
        <v>1857</v>
      </c>
      <c r="B1160" s="37">
        <v>43647</v>
      </c>
      <c r="C1160" s="36" t="s">
        <v>195</v>
      </c>
      <c r="D1160" s="36"/>
      <c r="E1160" s="38">
        <v>9800000</v>
      </c>
      <c r="F1160" s="40">
        <f>VLOOKUP(A1160,'DATOS GENERALES'!A:B,2,0)</f>
        <v>1.85</v>
      </c>
      <c r="G1160" s="36">
        <f t="shared" si="90"/>
        <v>1.8414900000000001</v>
      </c>
      <c r="H1160" s="38">
        <f t="shared" si="91"/>
        <v>5321777.4736762075</v>
      </c>
      <c r="I1160" s="38">
        <f t="shared" si="92"/>
        <v>4478222.5263237925</v>
      </c>
      <c r="J1160" s="38">
        <v>1415504.0744338138</v>
      </c>
      <c r="K1160" s="38">
        <f t="shared" si="93"/>
        <v>3062718.4518899787</v>
      </c>
      <c r="L1160" s="41">
        <f>VLOOKUP(INDICADORES!$B$21,'DATOS GENERALES'!$K:$M,3,0)*E1160</f>
        <v>66699.057654046977</v>
      </c>
      <c r="M1160" s="38">
        <f t="shared" si="94"/>
        <v>2996019.3942359318</v>
      </c>
      <c r="N1160" s="36"/>
      <c r="O1160" s="36"/>
      <c r="P1160" s="36"/>
    </row>
    <row r="1161" spans="1:16" x14ac:dyDescent="0.25">
      <c r="A1161" s="36">
        <v>1857</v>
      </c>
      <c r="B1161" s="37">
        <v>43678</v>
      </c>
      <c r="C1161" s="36" t="s">
        <v>195</v>
      </c>
      <c r="D1161" s="36"/>
      <c r="E1161" s="38">
        <v>9800000</v>
      </c>
      <c r="F1161" s="40">
        <f>VLOOKUP(A1161,'DATOS GENERALES'!A:B,2,0)</f>
        <v>1.85</v>
      </c>
      <c r="G1161" s="36">
        <f t="shared" si="90"/>
        <v>1.8414900000000001</v>
      </c>
      <c r="H1161" s="38">
        <f t="shared" si="91"/>
        <v>5321777.4736762075</v>
      </c>
      <c r="I1161" s="38">
        <f t="shared" si="92"/>
        <v>4478222.5263237925</v>
      </c>
      <c r="J1161" s="38">
        <v>1392907.3293878252</v>
      </c>
      <c r="K1161" s="38">
        <f t="shared" si="93"/>
        <v>3085315.1969359675</v>
      </c>
      <c r="L1161" s="41">
        <f>VLOOKUP(INDICADORES!$B$21,'DATOS GENERALES'!$K:$M,3,0)*E1161</f>
        <v>66699.057654046977</v>
      </c>
      <c r="M1161" s="38">
        <f t="shared" si="94"/>
        <v>3018616.1392819206</v>
      </c>
      <c r="N1161" s="36"/>
      <c r="O1161" s="36"/>
      <c r="P1161" s="36"/>
    </row>
    <row r="1162" spans="1:16" x14ac:dyDescent="0.25">
      <c r="A1162" s="36">
        <v>1857</v>
      </c>
      <c r="B1162" s="37">
        <v>43709</v>
      </c>
      <c r="C1162" s="36" t="s">
        <v>195</v>
      </c>
      <c r="D1162" s="36"/>
      <c r="E1162" s="38">
        <v>9800000</v>
      </c>
      <c r="F1162" s="40">
        <f>VLOOKUP(A1162,'DATOS GENERALES'!A:B,2,0)</f>
        <v>1.85</v>
      </c>
      <c r="G1162" s="36">
        <f t="shared" si="90"/>
        <v>1.8414900000000001</v>
      </c>
      <c r="H1162" s="38">
        <f t="shared" si="91"/>
        <v>5321777.4736762075</v>
      </c>
      <c r="I1162" s="38">
        <f t="shared" si="92"/>
        <v>4478222.5263237925</v>
      </c>
      <c r="J1162" s="38">
        <v>1574226.3202799216</v>
      </c>
      <c r="K1162" s="38">
        <f t="shared" si="93"/>
        <v>2903996.2060438711</v>
      </c>
      <c r="L1162" s="41">
        <f>VLOOKUP(INDICADORES!$B$21,'DATOS GENERALES'!$K:$M,3,0)*E1162</f>
        <v>66699.057654046977</v>
      </c>
      <c r="M1162" s="38">
        <f t="shared" si="94"/>
        <v>2837297.1483898242</v>
      </c>
      <c r="N1162" s="36"/>
      <c r="O1162" s="36"/>
      <c r="P1162" s="36"/>
    </row>
    <row r="1163" spans="1:16" x14ac:dyDescent="0.25">
      <c r="A1163" s="36">
        <v>1873</v>
      </c>
      <c r="B1163" s="37">
        <v>43800</v>
      </c>
      <c r="C1163" s="36" t="s">
        <v>195</v>
      </c>
      <c r="D1163" s="36"/>
      <c r="E1163" s="38">
        <v>6950000</v>
      </c>
      <c r="F1163" s="40">
        <f>VLOOKUP(A1163,'DATOS GENERALES'!A:B,2,0)</f>
        <v>1.83</v>
      </c>
      <c r="G1163" s="36">
        <f t="shared" si="90"/>
        <v>1.821582</v>
      </c>
      <c r="H1163" s="38">
        <f t="shared" si="91"/>
        <v>3815364.8861264549</v>
      </c>
      <c r="I1163" s="38">
        <f t="shared" si="92"/>
        <v>3134635.1138735451</v>
      </c>
      <c r="J1163" s="38">
        <v>1374380.7350527563</v>
      </c>
      <c r="K1163" s="38">
        <f t="shared" si="93"/>
        <v>1760254.3788207888</v>
      </c>
      <c r="L1163" s="41">
        <f>VLOOKUP(INDICADORES!$B$21,'DATOS GENERALES'!$K:$M,3,0)*E1163</f>
        <v>47301.88272404352</v>
      </c>
      <c r="M1163" s="38">
        <f t="shared" si="94"/>
        <v>1712952.4960967454</v>
      </c>
      <c r="N1163" s="36"/>
      <c r="O1163" s="36"/>
      <c r="P1163" s="36"/>
    </row>
    <row r="1164" spans="1:16" x14ac:dyDescent="0.25">
      <c r="A1164" s="36">
        <v>1883</v>
      </c>
      <c r="B1164" s="37">
        <v>43466</v>
      </c>
      <c r="C1164" s="36" t="s">
        <v>195</v>
      </c>
      <c r="D1164" s="36"/>
      <c r="E1164" s="38">
        <v>11029019</v>
      </c>
      <c r="F1164" s="40">
        <f>VLOOKUP(A1164,'DATOS GENERALES'!A:B,2,0)</f>
        <v>5.27</v>
      </c>
      <c r="G1164" s="36">
        <f t="shared" si="90"/>
        <v>5.2457579999999995</v>
      </c>
      <c r="H1164" s="38">
        <f t="shared" si="91"/>
        <v>2102464.3149760244</v>
      </c>
      <c r="I1164" s="38">
        <f t="shared" si="92"/>
        <v>8926554.6850239746</v>
      </c>
      <c r="J1164" s="38">
        <v>461319.23992784927</v>
      </c>
      <c r="K1164" s="38">
        <f t="shared" si="93"/>
        <v>8465235.4450961258</v>
      </c>
      <c r="L1164" s="41">
        <f>VLOOKUP(INDICADORES!$B$21,'DATOS GENERALES'!$K:$M,3,0)*E1164</f>
        <v>75063.793280467304</v>
      </c>
      <c r="M1164" s="38">
        <f t="shared" si="94"/>
        <v>8390171.6518156584</v>
      </c>
      <c r="N1164" s="36"/>
      <c r="O1164" s="36"/>
      <c r="P1164" s="36"/>
    </row>
    <row r="1165" spans="1:16" x14ac:dyDescent="0.25">
      <c r="A1165" s="36">
        <v>1883</v>
      </c>
      <c r="B1165" s="37">
        <v>43497</v>
      </c>
      <c r="C1165" s="36" t="s">
        <v>195</v>
      </c>
      <c r="D1165" s="36"/>
      <c r="E1165" s="38">
        <v>11029019</v>
      </c>
      <c r="F1165" s="40">
        <f>VLOOKUP(A1165,'DATOS GENERALES'!A:B,2,0)</f>
        <v>5.27</v>
      </c>
      <c r="G1165" s="36">
        <f t="shared" si="90"/>
        <v>5.2457579999999995</v>
      </c>
      <c r="H1165" s="38">
        <f t="shared" si="91"/>
        <v>2102464.3149760244</v>
      </c>
      <c r="I1165" s="38">
        <f t="shared" si="92"/>
        <v>8926554.6850239746</v>
      </c>
      <c r="J1165" s="38">
        <v>454464.16063747031</v>
      </c>
      <c r="K1165" s="38">
        <f t="shared" si="93"/>
        <v>8472090.5243865047</v>
      </c>
      <c r="L1165" s="41">
        <f>VLOOKUP(INDICADORES!$B$21,'DATOS GENERALES'!$K:$M,3,0)*E1165</f>
        <v>75063.793280467304</v>
      </c>
      <c r="M1165" s="38">
        <f t="shared" si="94"/>
        <v>8397026.7311060373</v>
      </c>
      <c r="N1165" s="36"/>
      <c r="O1165" s="36"/>
      <c r="P1165" s="36"/>
    </row>
    <row r="1166" spans="1:16" x14ac:dyDescent="0.25">
      <c r="A1166" s="36">
        <v>1883</v>
      </c>
      <c r="B1166" s="37">
        <v>43525</v>
      </c>
      <c r="C1166" s="36" t="s">
        <v>195</v>
      </c>
      <c r="D1166" s="36"/>
      <c r="E1166" s="38">
        <v>11029019</v>
      </c>
      <c r="F1166" s="40">
        <f>VLOOKUP(A1166,'DATOS GENERALES'!A:B,2,0)</f>
        <v>5.27</v>
      </c>
      <c r="G1166" s="36">
        <f t="shared" si="90"/>
        <v>5.2457579999999995</v>
      </c>
      <c r="H1166" s="38">
        <f t="shared" si="91"/>
        <v>2102464.3149760244</v>
      </c>
      <c r="I1166" s="38">
        <f t="shared" si="92"/>
        <v>8926554.6850239746</v>
      </c>
      <c r="J1166" s="38">
        <v>328799.18356228434</v>
      </c>
      <c r="K1166" s="38">
        <f t="shared" si="93"/>
        <v>8597755.5014616903</v>
      </c>
      <c r="L1166" s="41">
        <f>VLOOKUP(INDICADORES!$B$21,'DATOS GENERALES'!$K:$M,3,0)*E1166</f>
        <v>75063.793280467304</v>
      </c>
      <c r="M1166" s="38">
        <f t="shared" si="94"/>
        <v>8522691.7081812229</v>
      </c>
      <c r="N1166" s="36"/>
      <c r="O1166" s="36"/>
      <c r="P1166" s="36"/>
    </row>
    <row r="1167" spans="1:16" x14ac:dyDescent="0.25">
      <c r="A1167" s="36">
        <v>1883</v>
      </c>
      <c r="B1167" s="37">
        <v>43556</v>
      </c>
      <c r="C1167" s="36" t="s">
        <v>195</v>
      </c>
      <c r="D1167" s="36"/>
      <c r="E1167" s="38">
        <v>11029019</v>
      </c>
      <c r="F1167" s="40">
        <f>VLOOKUP(A1167,'DATOS GENERALES'!A:B,2,0)</f>
        <v>5.27</v>
      </c>
      <c r="G1167" s="36">
        <f t="shared" si="90"/>
        <v>5.2457579999999995</v>
      </c>
      <c r="H1167" s="38">
        <f t="shared" si="91"/>
        <v>2102464.3149760244</v>
      </c>
      <c r="I1167" s="38">
        <f t="shared" si="92"/>
        <v>8926554.6850239746</v>
      </c>
      <c r="J1167" s="38">
        <v>338030.3416963091</v>
      </c>
      <c r="K1167" s="38">
        <f t="shared" si="93"/>
        <v>8588524.3433276657</v>
      </c>
      <c r="L1167" s="41">
        <f>VLOOKUP(INDICADORES!$B$21,'DATOS GENERALES'!$K:$M,3,0)*E1167</f>
        <v>75063.793280467304</v>
      </c>
      <c r="M1167" s="38">
        <f t="shared" si="94"/>
        <v>8513460.5500471983</v>
      </c>
      <c r="N1167" s="36"/>
      <c r="O1167" s="36"/>
      <c r="P1167" s="36"/>
    </row>
    <row r="1168" spans="1:16" x14ac:dyDescent="0.25">
      <c r="A1168" s="36">
        <v>1883</v>
      </c>
      <c r="B1168" s="37">
        <v>43586</v>
      </c>
      <c r="C1168" s="36" t="s">
        <v>195</v>
      </c>
      <c r="D1168" s="36"/>
      <c r="E1168" s="38">
        <v>11029019</v>
      </c>
      <c r="F1168" s="40">
        <f>VLOOKUP(A1168,'DATOS GENERALES'!A:B,2,0)</f>
        <v>5.27</v>
      </c>
      <c r="G1168" s="36">
        <f t="shared" si="90"/>
        <v>5.2457579999999995</v>
      </c>
      <c r="H1168" s="38">
        <f t="shared" si="91"/>
        <v>2102464.3149760244</v>
      </c>
      <c r="I1168" s="38">
        <f t="shared" si="92"/>
        <v>8926554.6850239746</v>
      </c>
      <c r="J1168" s="38">
        <v>278851.39193487825</v>
      </c>
      <c r="K1168" s="38">
        <f t="shared" si="93"/>
        <v>8647703.2930890955</v>
      </c>
      <c r="L1168" s="41">
        <f>VLOOKUP(INDICADORES!$B$21,'DATOS GENERALES'!$K:$M,3,0)*E1168</f>
        <v>75063.793280467304</v>
      </c>
      <c r="M1168" s="38">
        <f t="shared" si="94"/>
        <v>8572639.4998086281</v>
      </c>
      <c r="N1168" s="36"/>
      <c r="O1168" s="36"/>
      <c r="P1168" s="36"/>
    </row>
    <row r="1169" spans="1:16" x14ac:dyDescent="0.25">
      <c r="A1169" s="36">
        <v>1883</v>
      </c>
      <c r="B1169" s="37">
        <v>43617</v>
      </c>
      <c r="C1169" s="36" t="s">
        <v>195</v>
      </c>
      <c r="D1169" s="36"/>
      <c r="E1169" s="38">
        <v>11029019</v>
      </c>
      <c r="F1169" s="40">
        <f>VLOOKUP(A1169,'DATOS GENERALES'!A:B,2,0)</f>
        <v>5.27</v>
      </c>
      <c r="G1169" s="36">
        <f t="shared" si="90"/>
        <v>5.2457579999999995</v>
      </c>
      <c r="H1169" s="38">
        <f t="shared" si="91"/>
        <v>2102464.3149760244</v>
      </c>
      <c r="I1169" s="38">
        <f t="shared" si="92"/>
        <v>8926554.6850239746</v>
      </c>
      <c r="J1169" s="38">
        <v>374989.81948785379</v>
      </c>
      <c r="K1169" s="38">
        <f t="shared" si="93"/>
        <v>8551564.8655361217</v>
      </c>
      <c r="L1169" s="41">
        <f>VLOOKUP(INDICADORES!$B$21,'DATOS GENERALES'!$K:$M,3,0)*E1169</f>
        <v>75063.793280467304</v>
      </c>
      <c r="M1169" s="38">
        <f t="shared" si="94"/>
        <v>8476501.0722556543</v>
      </c>
      <c r="N1169" s="36"/>
      <c r="O1169" s="36"/>
      <c r="P1169" s="36"/>
    </row>
    <row r="1170" spans="1:16" x14ac:dyDescent="0.25">
      <c r="A1170" s="36">
        <v>1883</v>
      </c>
      <c r="B1170" s="37">
        <v>43647</v>
      </c>
      <c r="C1170" s="36" t="s">
        <v>195</v>
      </c>
      <c r="D1170" s="36"/>
      <c r="E1170" s="38">
        <v>11029019</v>
      </c>
      <c r="F1170" s="40">
        <f>VLOOKUP(A1170,'DATOS GENERALES'!A:B,2,0)</f>
        <v>5.27</v>
      </c>
      <c r="G1170" s="36">
        <f t="shared" si="90"/>
        <v>5.2457579999999995</v>
      </c>
      <c r="H1170" s="38">
        <f t="shared" si="91"/>
        <v>2102464.3149760244</v>
      </c>
      <c r="I1170" s="38">
        <f t="shared" si="92"/>
        <v>8926554.6850239746</v>
      </c>
      <c r="J1170" s="38">
        <v>559220.45198640169</v>
      </c>
      <c r="K1170" s="38">
        <f t="shared" si="93"/>
        <v>8367334.2330375733</v>
      </c>
      <c r="L1170" s="41">
        <f>VLOOKUP(INDICADORES!$B$21,'DATOS GENERALES'!$K:$M,3,0)*E1170</f>
        <v>75063.793280467304</v>
      </c>
      <c r="M1170" s="38">
        <f t="shared" si="94"/>
        <v>8292270.4397571059</v>
      </c>
      <c r="N1170" s="36"/>
      <c r="O1170" s="36"/>
      <c r="P1170" s="36"/>
    </row>
    <row r="1171" spans="1:16" x14ac:dyDescent="0.25">
      <c r="A1171" s="36">
        <v>1883</v>
      </c>
      <c r="B1171" s="37">
        <v>43678</v>
      </c>
      <c r="C1171" s="36" t="s">
        <v>195</v>
      </c>
      <c r="D1171" s="36"/>
      <c r="E1171" s="38">
        <v>11029019</v>
      </c>
      <c r="F1171" s="40">
        <f>VLOOKUP(A1171,'DATOS GENERALES'!A:B,2,0)</f>
        <v>5.27</v>
      </c>
      <c r="G1171" s="36">
        <f t="shared" si="90"/>
        <v>5.2457579999999995</v>
      </c>
      <c r="H1171" s="38">
        <f t="shared" si="91"/>
        <v>2102464.3149760244</v>
      </c>
      <c r="I1171" s="38">
        <f t="shared" si="92"/>
        <v>8926554.6850239746</v>
      </c>
      <c r="J1171" s="38">
        <v>550293.19970484707</v>
      </c>
      <c r="K1171" s="38">
        <f t="shared" si="93"/>
        <v>8376261.4853191273</v>
      </c>
      <c r="L1171" s="41">
        <f>VLOOKUP(INDICADORES!$B$21,'DATOS GENERALES'!$K:$M,3,0)*E1171</f>
        <v>75063.793280467304</v>
      </c>
      <c r="M1171" s="38">
        <f t="shared" si="94"/>
        <v>8301197.6920386599</v>
      </c>
      <c r="N1171" s="36"/>
      <c r="O1171" s="36"/>
      <c r="P1171" s="36"/>
    </row>
    <row r="1172" spans="1:16" x14ac:dyDescent="0.25">
      <c r="A1172" s="36">
        <v>1883</v>
      </c>
      <c r="B1172" s="37">
        <v>43709</v>
      </c>
      <c r="C1172" s="36" t="s">
        <v>195</v>
      </c>
      <c r="D1172" s="36"/>
      <c r="E1172" s="38">
        <v>11029019</v>
      </c>
      <c r="F1172" s="40">
        <f>VLOOKUP(A1172,'DATOS GENERALES'!A:B,2,0)</f>
        <v>5.27</v>
      </c>
      <c r="G1172" s="36">
        <f t="shared" si="90"/>
        <v>5.2457579999999995</v>
      </c>
      <c r="H1172" s="38">
        <f t="shared" si="91"/>
        <v>2102464.3149760244</v>
      </c>
      <c r="I1172" s="38">
        <f t="shared" si="92"/>
        <v>8926554.6850239746</v>
      </c>
      <c r="J1172" s="38">
        <v>621926.54211041681</v>
      </c>
      <c r="K1172" s="38">
        <f t="shared" si="93"/>
        <v>8304628.1429135576</v>
      </c>
      <c r="L1172" s="41">
        <f>VLOOKUP(INDICADORES!$B$21,'DATOS GENERALES'!$K:$M,3,0)*E1172</f>
        <v>75063.793280467304</v>
      </c>
      <c r="M1172" s="38">
        <f t="shared" si="94"/>
        <v>8229564.3496330902</v>
      </c>
      <c r="N1172" s="36"/>
      <c r="O1172" s="36"/>
      <c r="P1172" s="36"/>
    </row>
    <row r="1173" spans="1:16" x14ac:dyDescent="0.25">
      <c r="A1173" s="36">
        <v>1883</v>
      </c>
      <c r="B1173" s="37">
        <v>43739</v>
      </c>
      <c r="C1173" s="36" t="s">
        <v>195</v>
      </c>
      <c r="D1173" s="36"/>
      <c r="E1173" s="38">
        <v>11029019</v>
      </c>
      <c r="F1173" s="40">
        <f>VLOOKUP(A1173,'DATOS GENERALES'!A:B,2,0)</f>
        <v>5.27</v>
      </c>
      <c r="G1173" s="36">
        <f t="shared" si="90"/>
        <v>5.2457579999999995</v>
      </c>
      <c r="H1173" s="38">
        <f t="shared" si="91"/>
        <v>2102464.3149760244</v>
      </c>
      <c r="I1173" s="38">
        <f t="shared" si="92"/>
        <v>8926554.6850239746</v>
      </c>
      <c r="J1173" s="38">
        <v>672549.33565860451</v>
      </c>
      <c r="K1173" s="38">
        <f t="shared" si="93"/>
        <v>8254005.3493653703</v>
      </c>
      <c r="L1173" s="41">
        <f>VLOOKUP(INDICADORES!$B$21,'DATOS GENERALES'!$K:$M,3,0)*E1173</f>
        <v>75063.793280467304</v>
      </c>
      <c r="M1173" s="38">
        <f t="shared" si="94"/>
        <v>8178941.556084903</v>
      </c>
      <c r="N1173" s="36"/>
      <c r="O1173" s="36"/>
      <c r="P1173" s="36"/>
    </row>
    <row r="1174" spans="1:16" x14ac:dyDescent="0.25">
      <c r="A1174" s="36">
        <v>1883</v>
      </c>
      <c r="B1174" s="37">
        <v>43770</v>
      </c>
      <c r="C1174" s="36" t="s">
        <v>195</v>
      </c>
      <c r="D1174" s="36"/>
      <c r="E1174" s="38">
        <v>11029019</v>
      </c>
      <c r="F1174" s="40">
        <f>VLOOKUP(A1174,'DATOS GENERALES'!A:B,2,0)</f>
        <v>5.27</v>
      </c>
      <c r="G1174" s="36">
        <f t="shared" si="90"/>
        <v>5.2457579999999995</v>
      </c>
      <c r="H1174" s="38">
        <f t="shared" si="91"/>
        <v>2102464.3149760244</v>
      </c>
      <c r="I1174" s="38">
        <f t="shared" si="92"/>
        <v>8926554.6850239746</v>
      </c>
      <c r="J1174" s="38">
        <v>899485.20499126543</v>
      </c>
      <c r="K1174" s="38">
        <f t="shared" si="93"/>
        <v>8027069.4800327094</v>
      </c>
      <c r="L1174" s="41">
        <f>VLOOKUP(INDICADORES!$B$21,'DATOS GENERALES'!$K:$M,3,0)*E1174</f>
        <v>75063.793280467304</v>
      </c>
      <c r="M1174" s="38">
        <f t="shared" si="94"/>
        <v>7952005.686752242</v>
      </c>
      <c r="N1174" s="36"/>
      <c r="O1174" s="36"/>
      <c r="P1174" s="36"/>
    </row>
    <row r="1175" spans="1:16" x14ac:dyDescent="0.25">
      <c r="A1175" s="36">
        <v>1883</v>
      </c>
      <c r="B1175" s="37">
        <v>43800</v>
      </c>
      <c r="C1175" s="36" t="s">
        <v>195</v>
      </c>
      <c r="D1175" s="36"/>
      <c r="E1175" s="38">
        <v>11029019</v>
      </c>
      <c r="F1175" s="40">
        <f>VLOOKUP(A1175,'DATOS GENERALES'!A:B,2,0)</f>
        <v>5.27</v>
      </c>
      <c r="G1175" s="36">
        <f t="shared" si="90"/>
        <v>5.2457579999999995</v>
      </c>
      <c r="H1175" s="38">
        <f t="shared" si="91"/>
        <v>2102464.3149760244</v>
      </c>
      <c r="I1175" s="38">
        <f t="shared" si="92"/>
        <v>8926554.6850239746</v>
      </c>
      <c r="J1175" s="38">
        <v>757355.20373061567</v>
      </c>
      <c r="K1175" s="38">
        <f t="shared" si="93"/>
        <v>8169199.4812933588</v>
      </c>
      <c r="L1175" s="41">
        <f>VLOOKUP(INDICADORES!$B$21,'DATOS GENERALES'!$K:$M,3,0)*E1175</f>
        <v>75063.793280467304</v>
      </c>
      <c r="M1175" s="38">
        <f t="shared" si="94"/>
        <v>8094135.6880128914</v>
      </c>
      <c r="N1175" s="36"/>
      <c r="O1175" s="36"/>
      <c r="P1175" s="36"/>
    </row>
    <row r="1176" spans="1:16" x14ac:dyDescent="0.25">
      <c r="A1176" s="36">
        <v>1883</v>
      </c>
      <c r="B1176" s="37">
        <v>43831</v>
      </c>
      <c r="C1176" s="36" t="s">
        <v>195</v>
      </c>
      <c r="D1176" s="36"/>
      <c r="E1176" s="38">
        <v>11029019</v>
      </c>
      <c r="F1176" s="40">
        <f>VLOOKUP(A1176,'DATOS GENERALES'!A:B,2,0)</f>
        <v>5.27</v>
      </c>
      <c r="G1176" s="36">
        <f t="shared" si="90"/>
        <v>5.2457579999999995</v>
      </c>
      <c r="H1176" s="38">
        <f t="shared" si="91"/>
        <v>2102464.3149760244</v>
      </c>
      <c r="I1176" s="38">
        <f t="shared" si="92"/>
        <v>8926554.6850239746</v>
      </c>
      <c r="J1176" s="38" t="s">
        <v>213</v>
      </c>
      <c r="K1176" s="38" t="str">
        <f t="shared" si="93"/>
        <v/>
      </c>
      <c r="L1176" s="41">
        <f>VLOOKUP(INDICADORES!$B$21,'DATOS GENERALES'!$K:$M,3,0)*E1176</f>
        <v>75063.793280467304</v>
      </c>
      <c r="M1176" s="38" t="str">
        <f t="shared" si="94"/>
        <v/>
      </c>
      <c r="N1176" s="36"/>
      <c r="O1176" s="36"/>
      <c r="P1176" s="36"/>
    </row>
    <row r="1177" spans="1:16" x14ac:dyDescent="0.25">
      <c r="A1177" s="36">
        <v>1883</v>
      </c>
      <c r="B1177" s="37">
        <v>43862</v>
      </c>
      <c r="C1177" s="36" t="s">
        <v>195</v>
      </c>
      <c r="D1177" s="36"/>
      <c r="E1177" s="38">
        <v>11029019</v>
      </c>
      <c r="F1177" s="40">
        <f>VLOOKUP(A1177,'DATOS GENERALES'!A:B,2,0)</f>
        <v>5.27</v>
      </c>
      <c r="G1177" s="36">
        <f t="shared" si="90"/>
        <v>5.2457579999999995</v>
      </c>
      <c r="H1177" s="38">
        <f t="shared" si="91"/>
        <v>2102464.3149760244</v>
      </c>
      <c r="I1177" s="38">
        <f t="shared" si="92"/>
        <v>8926554.6850239746</v>
      </c>
      <c r="J1177" s="38" t="s">
        <v>213</v>
      </c>
      <c r="K1177" s="38" t="str">
        <f t="shared" si="93"/>
        <v/>
      </c>
      <c r="L1177" s="41">
        <f>VLOOKUP(INDICADORES!$B$21,'DATOS GENERALES'!$K:$M,3,0)*E1177</f>
        <v>75063.793280467304</v>
      </c>
      <c r="M1177" s="38" t="str">
        <f t="shared" si="94"/>
        <v/>
      </c>
      <c r="N1177" s="36"/>
      <c r="O1177" s="36"/>
      <c r="P1177" s="36"/>
    </row>
    <row r="1178" spans="1:16" x14ac:dyDescent="0.25">
      <c r="A1178" s="36">
        <v>1883</v>
      </c>
      <c r="B1178" s="37">
        <v>43891</v>
      </c>
      <c r="C1178" s="36" t="s">
        <v>195</v>
      </c>
      <c r="D1178" s="36"/>
      <c r="E1178" s="38">
        <v>11029019</v>
      </c>
      <c r="F1178" s="40">
        <f>VLOOKUP(A1178,'DATOS GENERALES'!A:B,2,0)</f>
        <v>5.27</v>
      </c>
      <c r="G1178" s="36">
        <f t="shared" si="90"/>
        <v>5.2457579999999995</v>
      </c>
      <c r="H1178" s="38">
        <f t="shared" si="91"/>
        <v>2102464.3149760244</v>
      </c>
      <c r="I1178" s="38">
        <f t="shared" si="92"/>
        <v>8926554.6850239746</v>
      </c>
      <c r="J1178" s="38" t="s">
        <v>213</v>
      </c>
      <c r="K1178" s="38" t="str">
        <f t="shared" si="93"/>
        <v/>
      </c>
      <c r="L1178" s="41">
        <f>VLOOKUP(INDICADORES!$B$21,'DATOS GENERALES'!$K:$M,3,0)*E1178</f>
        <v>75063.793280467304</v>
      </c>
      <c r="M1178" s="38" t="str">
        <f t="shared" si="94"/>
        <v/>
      </c>
      <c r="N1178" s="36"/>
      <c r="O1178" s="36"/>
      <c r="P1178" s="36"/>
    </row>
    <row r="1179" spans="1:16" x14ac:dyDescent="0.25">
      <c r="A1179" s="36">
        <v>1883</v>
      </c>
      <c r="B1179" s="37">
        <v>43922</v>
      </c>
      <c r="C1179" s="36" t="s">
        <v>195</v>
      </c>
      <c r="D1179" s="36"/>
      <c r="E1179" s="38">
        <v>11029019</v>
      </c>
      <c r="F1179" s="40">
        <f>VLOOKUP(A1179,'DATOS GENERALES'!A:B,2,0)</f>
        <v>5.27</v>
      </c>
      <c r="G1179" s="36">
        <f t="shared" si="90"/>
        <v>5.2457579999999995</v>
      </c>
      <c r="H1179" s="38">
        <f t="shared" si="91"/>
        <v>2102464.3149760244</v>
      </c>
      <c r="I1179" s="38">
        <f t="shared" si="92"/>
        <v>8926554.6850239746</v>
      </c>
      <c r="J1179" s="38" t="s">
        <v>213</v>
      </c>
      <c r="K1179" s="38" t="str">
        <f t="shared" si="93"/>
        <v/>
      </c>
      <c r="L1179" s="41">
        <f>VLOOKUP(INDICADORES!$B$21,'DATOS GENERALES'!$K:$M,3,0)*E1179</f>
        <v>75063.793280467304</v>
      </c>
      <c r="M1179" s="38" t="str">
        <f t="shared" si="94"/>
        <v/>
      </c>
      <c r="N1179" s="36"/>
      <c r="O1179" s="36"/>
      <c r="P1179" s="36"/>
    </row>
    <row r="1180" spans="1:16" x14ac:dyDescent="0.25">
      <c r="A1180" s="36">
        <v>1883</v>
      </c>
      <c r="B1180" s="37">
        <v>43952</v>
      </c>
      <c r="C1180" s="36" t="s">
        <v>195</v>
      </c>
      <c r="D1180" s="36"/>
      <c r="E1180" s="38">
        <v>11029019</v>
      </c>
      <c r="F1180" s="40">
        <f>VLOOKUP(A1180,'DATOS GENERALES'!A:B,2,0)</f>
        <v>5.27</v>
      </c>
      <c r="G1180" s="36">
        <f t="shared" si="90"/>
        <v>5.2457579999999995</v>
      </c>
      <c r="H1180" s="38">
        <f t="shared" si="91"/>
        <v>2102464.3149760244</v>
      </c>
      <c r="I1180" s="38">
        <f t="shared" si="92"/>
        <v>8926554.6850239746</v>
      </c>
      <c r="J1180" s="38" t="s">
        <v>213</v>
      </c>
      <c r="K1180" s="38" t="str">
        <f t="shared" si="93"/>
        <v/>
      </c>
      <c r="L1180" s="41">
        <f>VLOOKUP(INDICADORES!$B$21,'DATOS GENERALES'!$K:$M,3,0)*E1180</f>
        <v>75063.793280467304</v>
      </c>
      <c r="M1180" s="38" t="str">
        <f t="shared" si="94"/>
        <v/>
      </c>
      <c r="N1180" s="36"/>
      <c r="O1180" s="36"/>
      <c r="P1180" s="36"/>
    </row>
    <row r="1181" spans="1:16" x14ac:dyDescent="0.25">
      <c r="A1181" s="36">
        <v>1883</v>
      </c>
      <c r="B1181" s="37">
        <v>43983</v>
      </c>
      <c r="C1181" s="36" t="s">
        <v>195</v>
      </c>
      <c r="D1181" s="36"/>
      <c r="E1181" s="38">
        <v>11029019</v>
      </c>
      <c r="F1181" s="40">
        <f>VLOOKUP(A1181,'DATOS GENERALES'!A:B,2,0)</f>
        <v>5.27</v>
      </c>
      <c r="G1181" s="36">
        <f t="shared" si="90"/>
        <v>5.2457579999999995</v>
      </c>
      <c r="H1181" s="38">
        <f t="shared" si="91"/>
        <v>2102464.3149760244</v>
      </c>
      <c r="I1181" s="38">
        <f t="shared" si="92"/>
        <v>8926554.6850239746</v>
      </c>
      <c r="J1181" s="38" t="s">
        <v>213</v>
      </c>
      <c r="K1181" s="38" t="str">
        <f t="shared" si="93"/>
        <v/>
      </c>
      <c r="L1181" s="41">
        <f>VLOOKUP(INDICADORES!$B$21,'DATOS GENERALES'!$K:$M,3,0)*E1181</f>
        <v>75063.793280467304</v>
      </c>
      <c r="M1181" s="38" t="str">
        <f t="shared" si="94"/>
        <v/>
      </c>
      <c r="N1181" s="36"/>
      <c r="O1181" s="36"/>
      <c r="P1181" s="36"/>
    </row>
    <row r="1182" spans="1:16" x14ac:dyDescent="0.25">
      <c r="A1182" s="36">
        <v>1883</v>
      </c>
      <c r="B1182" s="37">
        <v>44013</v>
      </c>
      <c r="C1182" s="36" t="s">
        <v>195</v>
      </c>
      <c r="D1182" s="36"/>
      <c r="E1182" s="38">
        <v>11029019</v>
      </c>
      <c r="F1182" s="40">
        <f>VLOOKUP(A1182,'DATOS GENERALES'!A:B,2,0)</f>
        <v>5.27</v>
      </c>
      <c r="G1182" s="36">
        <f t="shared" si="90"/>
        <v>5.2457579999999995</v>
      </c>
      <c r="H1182" s="38">
        <f t="shared" si="91"/>
        <v>2102464.3149760244</v>
      </c>
      <c r="I1182" s="38">
        <f t="shared" si="92"/>
        <v>8926554.6850239746</v>
      </c>
      <c r="J1182" s="38" t="s">
        <v>213</v>
      </c>
      <c r="K1182" s="38" t="str">
        <f t="shared" si="93"/>
        <v/>
      </c>
      <c r="L1182" s="41">
        <f>VLOOKUP(INDICADORES!$B$21,'DATOS GENERALES'!$K:$M,3,0)*E1182</f>
        <v>75063.793280467304</v>
      </c>
      <c r="M1182" s="38" t="str">
        <f t="shared" si="94"/>
        <v/>
      </c>
      <c r="N1182" s="36"/>
      <c r="O1182" s="36"/>
      <c r="P1182" s="36"/>
    </row>
    <row r="1183" spans="1:16" x14ac:dyDescent="0.25">
      <c r="A1183" s="36">
        <v>1883</v>
      </c>
      <c r="B1183" s="37">
        <v>44044</v>
      </c>
      <c r="C1183" s="36" t="s">
        <v>195</v>
      </c>
      <c r="D1183" s="36"/>
      <c r="E1183" s="38">
        <v>11029019</v>
      </c>
      <c r="F1183" s="40">
        <f>VLOOKUP(A1183,'DATOS GENERALES'!A:B,2,0)</f>
        <v>5.27</v>
      </c>
      <c r="G1183" s="36">
        <f t="shared" si="90"/>
        <v>5.2457579999999995</v>
      </c>
      <c r="H1183" s="38">
        <f t="shared" si="91"/>
        <v>2102464.3149760244</v>
      </c>
      <c r="I1183" s="38">
        <f t="shared" si="92"/>
        <v>8926554.6850239746</v>
      </c>
      <c r="J1183" s="38" t="s">
        <v>213</v>
      </c>
      <c r="K1183" s="38" t="str">
        <f t="shared" si="93"/>
        <v/>
      </c>
      <c r="L1183" s="41">
        <f>VLOOKUP(INDICADORES!$B$21,'DATOS GENERALES'!$K:$M,3,0)*E1183</f>
        <v>75063.793280467304</v>
      </c>
      <c r="M1183" s="38" t="str">
        <f t="shared" si="94"/>
        <v/>
      </c>
      <c r="N1183" s="36"/>
      <c r="O1183" s="36"/>
      <c r="P1183" s="36"/>
    </row>
    <row r="1184" spans="1:16" x14ac:dyDescent="0.25">
      <c r="A1184" s="36">
        <v>1883</v>
      </c>
      <c r="B1184" s="37">
        <v>44075</v>
      </c>
      <c r="C1184" s="36" t="s">
        <v>195</v>
      </c>
      <c r="D1184" s="36"/>
      <c r="E1184" s="38">
        <v>11029019</v>
      </c>
      <c r="F1184" s="40">
        <f>VLOOKUP(A1184,'DATOS GENERALES'!A:B,2,0)</f>
        <v>5.27</v>
      </c>
      <c r="G1184" s="36">
        <f t="shared" si="90"/>
        <v>5.2457579999999995</v>
      </c>
      <c r="H1184" s="38">
        <f t="shared" si="91"/>
        <v>2102464.3149760244</v>
      </c>
      <c r="I1184" s="38">
        <f t="shared" si="92"/>
        <v>8926554.6850239746</v>
      </c>
      <c r="J1184" s="38" t="s">
        <v>213</v>
      </c>
      <c r="K1184" s="38" t="str">
        <f t="shared" si="93"/>
        <v/>
      </c>
      <c r="L1184" s="41">
        <f>VLOOKUP(INDICADORES!$B$21,'DATOS GENERALES'!$K:$M,3,0)*E1184</f>
        <v>75063.793280467304</v>
      </c>
      <c r="M1184" s="38" t="str">
        <f t="shared" si="94"/>
        <v/>
      </c>
      <c r="N1184" s="36"/>
      <c r="O1184" s="36"/>
      <c r="P1184" s="36"/>
    </row>
    <row r="1185" spans="1:16" x14ac:dyDescent="0.25">
      <c r="A1185" s="36">
        <v>1883</v>
      </c>
      <c r="B1185" s="37">
        <v>44105</v>
      </c>
      <c r="C1185" s="36" t="s">
        <v>195</v>
      </c>
      <c r="D1185" s="36"/>
      <c r="E1185" s="38">
        <v>11029019</v>
      </c>
      <c r="F1185" s="40">
        <f>VLOOKUP(A1185,'DATOS GENERALES'!A:B,2,0)</f>
        <v>5.27</v>
      </c>
      <c r="G1185" s="36">
        <f t="shared" si="90"/>
        <v>5.2457579999999995</v>
      </c>
      <c r="H1185" s="38">
        <f t="shared" si="91"/>
        <v>2102464.3149760244</v>
      </c>
      <c r="I1185" s="38">
        <f t="shared" si="92"/>
        <v>8926554.6850239746</v>
      </c>
      <c r="J1185" s="38" t="s">
        <v>213</v>
      </c>
      <c r="K1185" s="38" t="str">
        <f t="shared" si="93"/>
        <v/>
      </c>
      <c r="L1185" s="41">
        <f>VLOOKUP(INDICADORES!$B$21,'DATOS GENERALES'!$K:$M,3,0)*E1185</f>
        <v>75063.793280467304</v>
      </c>
      <c r="M1185" s="38" t="str">
        <f t="shared" si="94"/>
        <v/>
      </c>
      <c r="N1185" s="36"/>
      <c r="O1185" s="36"/>
      <c r="P1185" s="36"/>
    </row>
    <row r="1186" spans="1:16" x14ac:dyDescent="0.25">
      <c r="A1186" s="36">
        <v>1883</v>
      </c>
      <c r="B1186" s="37">
        <v>44136</v>
      </c>
      <c r="C1186" s="36" t="s">
        <v>195</v>
      </c>
      <c r="D1186" s="36"/>
      <c r="E1186" s="38">
        <v>11029019</v>
      </c>
      <c r="F1186" s="40">
        <f>VLOOKUP(A1186,'DATOS GENERALES'!A:B,2,0)</f>
        <v>5.27</v>
      </c>
      <c r="G1186" s="36">
        <f t="shared" si="90"/>
        <v>5.2457579999999995</v>
      </c>
      <c r="H1186" s="38">
        <f t="shared" si="91"/>
        <v>2102464.3149760244</v>
      </c>
      <c r="I1186" s="38">
        <f t="shared" si="92"/>
        <v>8926554.6850239746</v>
      </c>
      <c r="J1186" s="38" t="s">
        <v>213</v>
      </c>
      <c r="K1186" s="38" t="str">
        <f t="shared" si="93"/>
        <v/>
      </c>
      <c r="L1186" s="41">
        <f>VLOOKUP(INDICADORES!$B$21,'DATOS GENERALES'!$K:$M,3,0)*E1186</f>
        <v>75063.793280467304</v>
      </c>
      <c r="M1186" s="38" t="str">
        <f t="shared" si="94"/>
        <v/>
      </c>
      <c r="N1186" s="36"/>
      <c r="O1186" s="36"/>
      <c r="P1186" s="36"/>
    </row>
    <row r="1187" spans="1:16" x14ac:dyDescent="0.25">
      <c r="A1187" s="36">
        <v>1883</v>
      </c>
      <c r="B1187" s="37">
        <v>44166</v>
      </c>
      <c r="C1187" s="36" t="s">
        <v>195</v>
      </c>
      <c r="D1187" s="36"/>
      <c r="E1187" s="38">
        <v>11029019</v>
      </c>
      <c r="F1187" s="40">
        <f>VLOOKUP(A1187,'DATOS GENERALES'!A:B,2,0)</f>
        <v>5.27</v>
      </c>
      <c r="G1187" s="36">
        <f t="shared" si="90"/>
        <v>5.2457579999999995</v>
      </c>
      <c r="H1187" s="38">
        <f t="shared" si="91"/>
        <v>2102464.3149760244</v>
      </c>
      <c r="I1187" s="38">
        <f t="shared" si="92"/>
        <v>8926554.6850239746</v>
      </c>
      <c r="J1187" s="38" t="s">
        <v>213</v>
      </c>
      <c r="K1187" s="38" t="str">
        <f t="shared" si="93"/>
        <v/>
      </c>
      <c r="L1187" s="41">
        <f>VLOOKUP(INDICADORES!$B$21,'DATOS GENERALES'!$K:$M,3,0)*E1187</f>
        <v>75063.793280467304</v>
      </c>
      <c r="M1187" s="38" t="str">
        <f t="shared" si="94"/>
        <v/>
      </c>
      <c r="N1187" s="36"/>
      <c r="O1187" s="36"/>
      <c r="P1187" s="36"/>
    </row>
    <row r="1188" spans="1:16" x14ac:dyDescent="0.25">
      <c r="A1188" s="36">
        <v>1883</v>
      </c>
      <c r="B1188" s="37">
        <v>44197</v>
      </c>
      <c r="C1188" s="36" t="s">
        <v>195</v>
      </c>
      <c r="D1188" s="36"/>
      <c r="E1188" s="38">
        <v>11029019</v>
      </c>
      <c r="F1188" s="40">
        <f>VLOOKUP(A1188,'DATOS GENERALES'!A:B,2,0)</f>
        <v>5.27</v>
      </c>
      <c r="G1188" s="36">
        <f t="shared" si="90"/>
        <v>5.2457579999999995</v>
      </c>
      <c r="H1188" s="38">
        <f t="shared" si="91"/>
        <v>2102464.3149760244</v>
      </c>
      <c r="I1188" s="38">
        <f t="shared" si="92"/>
        <v>8926554.6850239746</v>
      </c>
      <c r="J1188" s="38" t="s">
        <v>213</v>
      </c>
      <c r="K1188" s="38" t="str">
        <f t="shared" si="93"/>
        <v/>
      </c>
      <c r="L1188" s="41">
        <f>VLOOKUP(INDICADORES!$B$21,'DATOS GENERALES'!$K:$M,3,0)*E1188</f>
        <v>75063.793280467304</v>
      </c>
      <c r="M1188" s="38" t="str">
        <f t="shared" si="94"/>
        <v/>
      </c>
      <c r="N1188" s="36"/>
      <c r="O1188" s="36"/>
      <c r="P1188" s="36"/>
    </row>
    <row r="1189" spans="1:16" x14ac:dyDescent="0.25">
      <c r="A1189" s="36">
        <v>1883</v>
      </c>
      <c r="B1189" s="37">
        <v>44228</v>
      </c>
      <c r="C1189" s="36" t="s">
        <v>195</v>
      </c>
      <c r="D1189" s="36"/>
      <c r="E1189" s="38">
        <v>11029019</v>
      </c>
      <c r="F1189" s="40">
        <f>VLOOKUP(A1189,'DATOS GENERALES'!A:B,2,0)</f>
        <v>5.27</v>
      </c>
      <c r="G1189" s="36">
        <f t="shared" si="90"/>
        <v>5.2457579999999995</v>
      </c>
      <c r="H1189" s="38">
        <f t="shared" si="91"/>
        <v>2102464.3149760244</v>
      </c>
      <c r="I1189" s="38">
        <f t="shared" si="92"/>
        <v>8926554.6850239746</v>
      </c>
      <c r="J1189" s="38" t="s">
        <v>213</v>
      </c>
      <c r="K1189" s="38" t="str">
        <f t="shared" si="93"/>
        <v/>
      </c>
      <c r="L1189" s="41">
        <f>VLOOKUP(INDICADORES!$B$21,'DATOS GENERALES'!$K:$M,3,0)*E1189</f>
        <v>75063.793280467304</v>
      </c>
      <c r="M1189" s="38" t="str">
        <f t="shared" si="94"/>
        <v/>
      </c>
      <c r="N1189" s="36"/>
      <c r="O1189" s="36"/>
      <c r="P1189" s="36"/>
    </row>
    <row r="1190" spans="1:16" x14ac:dyDescent="0.25">
      <c r="A1190" s="36">
        <v>1884</v>
      </c>
      <c r="B1190" s="37">
        <v>43466</v>
      </c>
      <c r="C1190" s="36" t="s">
        <v>195</v>
      </c>
      <c r="D1190" s="36"/>
      <c r="E1190" s="38">
        <v>10920000</v>
      </c>
      <c r="F1190" s="40">
        <f>VLOOKUP(A1190,'DATOS GENERALES'!A:B,2,0)</f>
        <v>5.0599999999999996</v>
      </c>
      <c r="G1190" s="36">
        <f t="shared" si="90"/>
        <v>5.0367239999999995</v>
      </c>
      <c r="H1190" s="38">
        <f t="shared" si="91"/>
        <v>2168075.9160120748</v>
      </c>
      <c r="I1190" s="38">
        <f t="shared" si="92"/>
        <v>8751924.0839879252</v>
      </c>
      <c r="J1190" s="38">
        <v>475715.62882482097</v>
      </c>
      <c r="K1190" s="38">
        <f t="shared" si="93"/>
        <v>8276208.4551631045</v>
      </c>
      <c r="L1190" s="41">
        <f>VLOOKUP(INDICADORES!$B$21,'DATOS GENERALES'!$K:$M,3,0)*E1190</f>
        <v>74321.80710022377</v>
      </c>
      <c r="M1190" s="38">
        <f t="shared" si="94"/>
        <v>8201886.6480628811</v>
      </c>
      <c r="N1190" s="36"/>
      <c r="O1190" s="36"/>
      <c r="P1190" s="36"/>
    </row>
    <row r="1191" spans="1:16" x14ac:dyDescent="0.25">
      <c r="A1191" s="36">
        <v>1884</v>
      </c>
      <c r="B1191" s="37">
        <v>43497</v>
      </c>
      <c r="C1191" s="36" t="s">
        <v>195</v>
      </c>
      <c r="D1191" s="36"/>
      <c r="E1191" s="38">
        <v>10920000</v>
      </c>
      <c r="F1191" s="40">
        <f>VLOOKUP(A1191,'DATOS GENERALES'!A:B,2,0)</f>
        <v>5.0599999999999996</v>
      </c>
      <c r="G1191" s="36">
        <f t="shared" si="90"/>
        <v>5.0367239999999995</v>
      </c>
      <c r="H1191" s="38">
        <f t="shared" si="91"/>
        <v>2168075.9160120748</v>
      </c>
      <c r="I1191" s="38">
        <f t="shared" si="92"/>
        <v>8751924.0839879252</v>
      </c>
      <c r="J1191" s="38">
        <v>468646.62308429158</v>
      </c>
      <c r="K1191" s="38">
        <f t="shared" si="93"/>
        <v>8283277.4609036334</v>
      </c>
      <c r="L1191" s="41">
        <f>VLOOKUP(INDICADORES!$B$21,'DATOS GENERALES'!$K:$M,3,0)*E1191</f>
        <v>74321.80710022377</v>
      </c>
      <c r="M1191" s="38">
        <f t="shared" si="94"/>
        <v>8208955.65380341</v>
      </c>
      <c r="N1191" s="36"/>
      <c r="O1191" s="36"/>
      <c r="P1191" s="36"/>
    </row>
    <row r="1192" spans="1:16" x14ac:dyDescent="0.25">
      <c r="A1192" s="36">
        <v>1884</v>
      </c>
      <c r="B1192" s="37">
        <v>43525</v>
      </c>
      <c r="C1192" s="36" t="s">
        <v>195</v>
      </c>
      <c r="D1192" s="36"/>
      <c r="E1192" s="38">
        <v>10920000</v>
      </c>
      <c r="F1192" s="40">
        <f>VLOOKUP(A1192,'DATOS GENERALES'!A:B,2,0)</f>
        <v>5.0599999999999996</v>
      </c>
      <c r="G1192" s="36">
        <f t="shared" si="90"/>
        <v>5.0367239999999995</v>
      </c>
      <c r="H1192" s="38">
        <f t="shared" si="91"/>
        <v>2168075.9160120748</v>
      </c>
      <c r="I1192" s="38">
        <f t="shared" si="92"/>
        <v>8751924.0839879252</v>
      </c>
      <c r="J1192" s="38">
        <v>339060.01923935203</v>
      </c>
      <c r="K1192" s="38">
        <f t="shared" si="93"/>
        <v>8412864.064748574</v>
      </c>
      <c r="L1192" s="41">
        <f>VLOOKUP(INDICADORES!$B$21,'DATOS GENERALES'!$K:$M,3,0)*E1192</f>
        <v>74321.80710022377</v>
      </c>
      <c r="M1192" s="38">
        <f t="shared" si="94"/>
        <v>8338542.2576483507</v>
      </c>
      <c r="N1192" s="36"/>
      <c r="O1192" s="36"/>
      <c r="P1192" s="36"/>
    </row>
    <row r="1193" spans="1:16" x14ac:dyDescent="0.25">
      <c r="A1193" s="36">
        <v>1884</v>
      </c>
      <c r="B1193" s="37">
        <v>43556</v>
      </c>
      <c r="C1193" s="36" t="s">
        <v>195</v>
      </c>
      <c r="D1193" s="36"/>
      <c r="E1193" s="38">
        <v>10920000</v>
      </c>
      <c r="F1193" s="40">
        <f>VLOOKUP(A1193,'DATOS GENERALES'!A:B,2,0)</f>
        <v>5.0599999999999996</v>
      </c>
      <c r="G1193" s="36">
        <f t="shared" si="90"/>
        <v>5.0367239999999995</v>
      </c>
      <c r="H1193" s="38">
        <f t="shared" si="91"/>
        <v>2168075.9160120748</v>
      </c>
      <c r="I1193" s="38">
        <f t="shared" si="92"/>
        <v>8751924.0839879252</v>
      </c>
      <c r="J1193" s="38">
        <v>348579.25411278976</v>
      </c>
      <c r="K1193" s="38">
        <f t="shared" si="93"/>
        <v>8403344.8298751358</v>
      </c>
      <c r="L1193" s="41">
        <f>VLOOKUP(INDICADORES!$B$21,'DATOS GENERALES'!$K:$M,3,0)*E1193</f>
        <v>74321.80710022377</v>
      </c>
      <c r="M1193" s="38">
        <f t="shared" si="94"/>
        <v>8329023.0227749124</v>
      </c>
      <c r="N1193" s="36"/>
      <c r="O1193" s="36"/>
      <c r="P1193" s="36"/>
    </row>
    <row r="1194" spans="1:16" x14ac:dyDescent="0.25">
      <c r="A1194" s="36">
        <v>1884</v>
      </c>
      <c r="B1194" s="37">
        <v>43586</v>
      </c>
      <c r="C1194" s="36" t="s">
        <v>195</v>
      </c>
      <c r="D1194" s="36"/>
      <c r="E1194" s="38">
        <v>10920000</v>
      </c>
      <c r="F1194" s="40">
        <f>VLOOKUP(A1194,'DATOS GENERALES'!A:B,2,0)</f>
        <v>5.0599999999999996</v>
      </c>
      <c r="G1194" s="36">
        <f t="shared" si="90"/>
        <v>5.0367239999999995</v>
      </c>
      <c r="H1194" s="38">
        <f t="shared" si="91"/>
        <v>2168075.9160120748</v>
      </c>
      <c r="I1194" s="38">
        <f t="shared" si="92"/>
        <v>8751924.0839879252</v>
      </c>
      <c r="J1194" s="38">
        <v>287553.50694613217</v>
      </c>
      <c r="K1194" s="38">
        <f t="shared" si="93"/>
        <v>8464370.5770417936</v>
      </c>
      <c r="L1194" s="41">
        <f>VLOOKUP(INDICADORES!$B$21,'DATOS GENERALES'!$K:$M,3,0)*E1194</f>
        <v>74321.80710022377</v>
      </c>
      <c r="M1194" s="38">
        <f t="shared" si="94"/>
        <v>8390048.7699415702</v>
      </c>
      <c r="N1194" s="36"/>
      <c r="O1194" s="36"/>
      <c r="P1194" s="36"/>
    </row>
    <row r="1195" spans="1:16" x14ac:dyDescent="0.25">
      <c r="A1195" s="36">
        <v>1884</v>
      </c>
      <c r="B1195" s="37">
        <v>43617</v>
      </c>
      <c r="C1195" s="36" t="s">
        <v>195</v>
      </c>
      <c r="D1195" s="36"/>
      <c r="E1195" s="38">
        <v>10920000</v>
      </c>
      <c r="F1195" s="40">
        <f>VLOOKUP(A1195,'DATOS GENERALES'!A:B,2,0)</f>
        <v>5.0599999999999996</v>
      </c>
      <c r="G1195" s="36">
        <f t="shared" si="90"/>
        <v>5.0367239999999995</v>
      </c>
      <c r="H1195" s="38">
        <f t="shared" si="91"/>
        <v>2168075.9160120748</v>
      </c>
      <c r="I1195" s="38">
        <f t="shared" si="92"/>
        <v>8751924.0839879252</v>
      </c>
      <c r="J1195" s="38">
        <v>386692.12627782574</v>
      </c>
      <c r="K1195" s="38">
        <f t="shared" si="93"/>
        <v>8365231.9577100994</v>
      </c>
      <c r="L1195" s="41">
        <f>VLOOKUP(INDICADORES!$B$21,'DATOS GENERALES'!$K:$M,3,0)*E1195</f>
        <v>74321.80710022377</v>
      </c>
      <c r="M1195" s="38">
        <f t="shared" si="94"/>
        <v>8290910.150609876</v>
      </c>
      <c r="N1195" s="36"/>
      <c r="O1195" s="36"/>
      <c r="P1195" s="36"/>
    </row>
    <row r="1196" spans="1:16" x14ac:dyDescent="0.25">
      <c r="A1196" s="36">
        <v>1884</v>
      </c>
      <c r="B1196" s="37">
        <v>43647</v>
      </c>
      <c r="C1196" s="36" t="s">
        <v>195</v>
      </c>
      <c r="D1196" s="36"/>
      <c r="E1196" s="38">
        <v>10920000</v>
      </c>
      <c r="F1196" s="40">
        <f>VLOOKUP(A1196,'DATOS GENERALES'!A:B,2,0)</f>
        <v>5.0599999999999996</v>
      </c>
      <c r="G1196" s="36">
        <f t="shared" si="90"/>
        <v>5.0367239999999995</v>
      </c>
      <c r="H1196" s="38">
        <f t="shared" si="91"/>
        <v>2168075.9160120748</v>
      </c>
      <c r="I1196" s="38">
        <f t="shared" si="92"/>
        <v>8751924.0839879252</v>
      </c>
      <c r="J1196" s="38">
        <v>576672.0438757746</v>
      </c>
      <c r="K1196" s="38">
        <f t="shared" si="93"/>
        <v>8175252.0401121508</v>
      </c>
      <c r="L1196" s="41">
        <f>VLOOKUP(INDICADORES!$B$21,'DATOS GENERALES'!$K:$M,3,0)*E1196</f>
        <v>74321.80710022377</v>
      </c>
      <c r="M1196" s="38">
        <f t="shared" si="94"/>
        <v>8100930.2330119275</v>
      </c>
      <c r="N1196" s="36"/>
      <c r="O1196" s="36"/>
      <c r="P1196" s="36"/>
    </row>
    <row r="1197" spans="1:16" x14ac:dyDescent="0.25">
      <c r="A1197" s="36">
        <v>1884</v>
      </c>
      <c r="B1197" s="37">
        <v>43678</v>
      </c>
      <c r="C1197" s="36" t="s">
        <v>195</v>
      </c>
      <c r="D1197" s="36"/>
      <c r="E1197" s="38">
        <v>10920000</v>
      </c>
      <c r="F1197" s="40">
        <f>VLOOKUP(A1197,'DATOS GENERALES'!A:B,2,0)</f>
        <v>5.0599999999999996</v>
      </c>
      <c r="G1197" s="36">
        <f t="shared" si="90"/>
        <v>5.0367239999999995</v>
      </c>
      <c r="H1197" s="38">
        <f t="shared" si="91"/>
        <v>2168075.9160120748</v>
      </c>
      <c r="I1197" s="38">
        <f t="shared" si="92"/>
        <v>8751924.0839879252</v>
      </c>
      <c r="J1197" s="38">
        <v>567466.19884433434</v>
      </c>
      <c r="K1197" s="38">
        <f t="shared" si="93"/>
        <v>8184457.8851435911</v>
      </c>
      <c r="L1197" s="41">
        <f>VLOOKUP(INDICADORES!$B$21,'DATOS GENERALES'!$K:$M,3,0)*E1197</f>
        <v>74321.80710022377</v>
      </c>
      <c r="M1197" s="38">
        <f t="shared" si="94"/>
        <v>8110136.0780433677</v>
      </c>
      <c r="N1197" s="36"/>
      <c r="O1197" s="36"/>
      <c r="P1197" s="36"/>
    </row>
    <row r="1198" spans="1:16" x14ac:dyDescent="0.25">
      <c r="A1198" s="36">
        <v>1884</v>
      </c>
      <c r="B1198" s="37">
        <v>43709</v>
      </c>
      <c r="C1198" s="36" t="s">
        <v>195</v>
      </c>
      <c r="D1198" s="36"/>
      <c r="E1198" s="38">
        <v>10920000</v>
      </c>
      <c r="F1198" s="40">
        <f>VLOOKUP(A1198,'DATOS GENERALES'!A:B,2,0)</f>
        <v>5.0599999999999996</v>
      </c>
      <c r="G1198" s="36">
        <f t="shared" si="90"/>
        <v>5.0367239999999995</v>
      </c>
      <c r="H1198" s="38">
        <f t="shared" si="91"/>
        <v>2168075.9160120748</v>
      </c>
      <c r="I1198" s="38">
        <f t="shared" si="92"/>
        <v>8751924.0839879252</v>
      </c>
      <c r="J1198" s="38">
        <v>641335.00286954478</v>
      </c>
      <c r="K1198" s="38">
        <f t="shared" si="93"/>
        <v>8110589.0811183807</v>
      </c>
      <c r="L1198" s="41">
        <f>VLOOKUP(INDICADORES!$B$21,'DATOS GENERALES'!$K:$M,3,0)*E1198</f>
        <v>74321.80710022377</v>
      </c>
      <c r="M1198" s="38">
        <f t="shared" si="94"/>
        <v>8036267.2740181573</v>
      </c>
      <c r="N1198" s="36"/>
      <c r="O1198" s="36"/>
      <c r="P1198" s="36"/>
    </row>
    <row r="1199" spans="1:16" x14ac:dyDescent="0.25">
      <c r="A1199" s="36">
        <v>1884</v>
      </c>
      <c r="B1199" s="37">
        <v>43739</v>
      </c>
      <c r="C1199" s="36" t="s">
        <v>195</v>
      </c>
      <c r="D1199" s="36"/>
      <c r="E1199" s="38">
        <v>10920000</v>
      </c>
      <c r="F1199" s="40">
        <f>VLOOKUP(A1199,'DATOS GENERALES'!A:B,2,0)</f>
        <v>5.0599999999999996</v>
      </c>
      <c r="G1199" s="36">
        <f t="shared" si="90"/>
        <v>5.0367239999999995</v>
      </c>
      <c r="H1199" s="38">
        <f t="shared" si="91"/>
        <v>2168075.9160120748</v>
      </c>
      <c r="I1199" s="38">
        <f t="shared" si="92"/>
        <v>8751924.0839879252</v>
      </c>
      <c r="J1199" s="38">
        <v>693537.58186757588</v>
      </c>
      <c r="K1199" s="38">
        <f t="shared" si="93"/>
        <v>8058386.5021203496</v>
      </c>
      <c r="L1199" s="41">
        <f>VLOOKUP(INDICADORES!$B$21,'DATOS GENERALES'!$K:$M,3,0)*E1199</f>
        <v>74321.80710022377</v>
      </c>
      <c r="M1199" s="38">
        <f t="shared" si="94"/>
        <v>7984064.6950201262</v>
      </c>
      <c r="N1199" s="36"/>
      <c r="O1199" s="36"/>
      <c r="P1199" s="36"/>
    </row>
    <row r="1200" spans="1:16" x14ac:dyDescent="0.25">
      <c r="A1200" s="36">
        <v>1884</v>
      </c>
      <c r="B1200" s="37">
        <v>43770</v>
      </c>
      <c r="C1200" s="36" t="s">
        <v>195</v>
      </c>
      <c r="D1200" s="36"/>
      <c r="E1200" s="38">
        <v>10920000</v>
      </c>
      <c r="F1200" s="40">
        <f>VLOOKUP(A1200,'DATOS GENERALES'!A:B,2,0)</f>
        <v>5.0599999999999996</v>
      </c>
      <c r="G1200" s="36">
        <f t="shared" si="90"/>
        <v>5.0367239999999995</v>
      </c>
      <c r="H1200" s="38">
        <f t="shared" si="91"/>
        <v>2168075.9160120748</v>
      </c>
      <c r="I1200" s="38">
        <f t="shared" si="92"/>
        <v>8751924.0839879252</v>
      </c>
      <c r="J1200" s="38">
        <v>927555.43856780534</v>
      </c>
      <c r="K1200" s="38">
        <f t="shared" si="93"/>
        <v>7824368.6454201201</v>
      </c>
      <c r="L1200" s="41">
        <f>VLOOKUP(INDICADORES!$B$21,'DATOS GENERALES'!$K:$M,3,0)*E1200</f>
        <v>74321.80710022377</v>
      </c>
      <c r="M1200" s="38">
        <f t="shared" si="94"/>
        <v>7750046.8383198967</v>
      </c>
      <c r="N1200" s="36"/>
      <c r="O1200" s="36"/>
      <c r="P1200" s="36"/>
    </row>
    <row r="1201" spans="1:16" x14ac:dyDescent="0.25">
      <c r="A1201" s="36">
        <v>1884</v>
      </c>
      <c r="B1201" s="37">
        <v>43800</v>
      </c>
      <c r="C1201" s="36" t="s">
        <v>195</v>
      </c>
      <c r="D1201" s="36"/>
      <c r="E1201" s="38">
        <v>10920000</v>
      </c>
      <c r="F1201" s="40">
        <f>VLOOKUP(A1201,'DATOS GENERALES'!A:B,2,0)</f>
        <v>5.0599999999999996</v>
      </c>
      <c r="G1201" s="36">
        <f t="shared" si="90"/>
        <v>5.0367239999999995</v>
      </c>
      <c r="H1201" s="38">
        <f t="shared" si="91"/>
        <v>2168075.9160120748</v>
      </c>
      <c r="I1201" s="38">
        <f t="shared" si="92"/>
        <v>8751924.0839879252</v>
      </c>
      <c r="J1201" s="38">
        <v>780989.98654989805</v>
      </c>
      <c r="K1201" s="38">
        <f t="shared" si="93"/>
        <v>7970934.0974380272</v>
      </c>
      <c r="L1201" s="41">
        <f>VLOOKUP(INDICADORES!$B$21,'DATOS GENERALES'!$K:$M,3,0)*E1201</f>
        <v>74321.80710022377</v>
      </c>
      <c r="M1201" s="38">
        <f t="shared" si="94"/>
        <v>7896612.2903378038</v>
      </c>
      <c r="N1201" s="36"/>
      <c r="O1201" s="36"/>
      <c r="P1201" s="36"/>
    </row>
    <row r="1202" spans="1:16" x14ac:dyDescent="0.25">
      <c r="A1202" s="36">
        <v>1884</v>
      </c>
      <c r="B1202" s="37">
        <v>43831</v>
      </c>
      <c r="C1202" s="36" t="s">
        <v>195</v>
      </c>
      <c r="D1202" s="36"/>
      <c r="E1202" s="38">
        <v>10920000</v>
      </c>
      <c r="F1202" s="40">
        <f>VLOOKUP(A1202,'DATOS GENERALES'!A:B,2,0)</f>
        <v>5.0599999999999996</v>
      </c>
      <c r="G1202" s="36">
        <f t="shared" si="90"/>
        <v>5.0367239999999995</v>
      </c>
      <c r="H1202" s="38">
        <f t="shared" si="91"/>
        <v>2168075.9160120748</v>
      </c>
      <c r="I1202" s="38">
        <f t="shared" si="92"/>
        <v>8751924.0839879252</v>
      </c>
      <c r="J1202" s="38" t="s">
        <v>213</v>
      </c>
      <c r="K1202" s="38" t="str">
        <f t="shared" si="93"/>
        <v/>
      </c>
      <c r="L1202" s="41">
        <f>VLOOKUP(INDICADORES!$B$21,'DATOS GENERALES'!$K:$M,3,0)*E1202</f>
        <v>74321.80710022377</v>
      </c>
      <c r="M1202" s="38" t="str">
        <f t="shared" si="94"/>
        <v/>
      </c>
      <c r="N1202" s="36"/>
      <c r="O1202" s="36"/>
      <c r="P1202" s="36"/>
    </row>
    <row r="1203" spans="1:16" x14ac:dyDescent="0.25">
      <c r="A1203" s="36">
        <v>1791</v>
      </c>
      <c r="B1203" s="37">
        <v>43466</v>
      </c>
      <c r="C1203" s="36" t="s">
        <v>195</v>
      </c>
      <c r="D1203" s="36"/>
      <c r="E1203" s="38">
        <v>60561853.894285716</v>
      </c>
      <c r="F1203" s="40">
        <f>VLOOKUP(A1203,'DATOS GENERALES'!A:B,2,0)</f>
        <v>2.06</v>
      </c>
      <c r="G1203" s="36">
        <f t="shared" si="90"/>
        <v>2.0505239999999998</v>
      </c>
      <c r="H1203" s="38">
        <f t="shared" si="91"/>
        <v>29534818.365591295</v>
      </c>
      <c r="I1203" s="38">
        <f t="shared" si="92"/>
        <v>31027035.528694421</v>
      </c>
      <c r="J1203" s="38">
        <v>6480480.9588299869</v>
      </c>
      <c r="K1203" s="38">
        <f t="shared" si="93"/>
        <v>24546554.569864433</v>
      </c>
      <c r="L1203" s="41">
        <f>VLOOKUP(INDICADORES!$B$21,'DATOS GENERALES'!$K:$M,3,0)*E1203</f>
        <v>412185.56985009514</v>
      </c>
      <c r="M1203" s="38">
        <f t="shared" si="94"/>
        <v>24134369.000014339</v>
      </c>
      <c r="N1203" s="36"/>
      <c r="O1203" s="36"/>
      <c r="P1203" s="36"/>
    </row>
    <row r="1204" spans="1:16" x14ac:dyDescent="0.25">
      <c r="A1204" s="36">
        <v>1791</v>
      </c>
      <c r="B1204" s="37">
        <v>43497</v>
      </c>
      <c r="C1204" s="36" t="s">
        <v>195</v>
      </c>
      <c r="D1204" s="36"/>
      <c r="E1204" s="38">
        <v>60561853.894285716</v>
      </c>
      <c r="F1204" s="40">
        <f>VLOOKUP(A1204,'DATOS GENERALES'!A:B,2,0)</f>
        <v>2.06</v>
      </c>
      <c r="G1204" s="36">
        <f t="shared" si="90"/>
        <v>2.0505239999999998</v>
      </c>
      <c r="H1204" s="38">
        <f t="shared" si="91"/>
        <v>29534818.365591295</v>
      </c>
      <c r="I1204" s="38">
        <f t="shared" si="92"/>
        <v>31027035.528694421</v>
      </c>
      <c r="J1204" s="38">
        <v>6384182.7623369945</v>
      </c>
      <c r="K1204" s="38">
        <f t="shared" si="93"/>
        <v>24642852.766357426</v>
      </c>
      <c r="L1204" s="41">
        <f>VLOOKUP(INDICADORES!$B$21,'DATOS GENERALES'!$K:$M,3,0)*E1204</f>
        <v>412185.56985009514</v>
      </c>
      <c r="M1204" s="38">
        <f t="shared" si="94"/>
        <v>24230667.196507331</v>
      </c>
      <c r="N1204" s="36"/>
      <c r="O1204" s="36"/>
      <c r="P1204" s="36"/>
    </row>
    <row r="1205" spans="1:16" x14ac:dyDescent="0.25">
      <c r="A1205" s="36">
        <v>1791</v>
      </c>
      <c r="B1205" s="37">
        <v>43525</v>
      </c>
      <c r="C1205" s="36" t="s">
        <v>195</v>
      </c>
      <c r="D1205" s="36"/>
      <c r="E1205" s="38">
        <v>60561853.894285716</v>
      </c>
      <c r="F1205" s="40">
        <f>VLOOKUP(A1205,'DATOS GENERALES'!A:B,2,0)</f>
        <v>2.06</v>
      </c>
      <c r="G1205" s="36">
        <f t="shared" si="90"/>
        <v>2.0505239999999998</v>
      </c>
      <c r="H1205" s="38">
        <f t="shared" si="91"/>
        <v>29534818.365591295</v>
      </c>
      <c r="I1205" s="38">
        <f t="shared" si="92"/>
        <v>31027035.528694421</v>
      </c>
      <c r="J1205" s="38">
        <v>4618877.0463757049</v>
      </c>
      <c r="K1205" s="38">
        <f t="shared" si="93"/>
        <v>26408158.482318714</v>
      </c>
      <c r="L1205" s="41">
        <f>VLOOKUP(INDICADORES!$B$21,'DATOS GENERALES'!$K:$M,3,0)*E1205</f>
        <v>412185.56985009514</v>
      </c>
      <c r="M1205" s="38">
        <f t="shared" si="94"/>
        <v>25995972.91246862</v>
      </c>
      <c r="N1205" s="36"/>
      <c r="O1205" s="36"/>
      <c r="P1205" s="36"/>
    </row>
    <row r="1206" spans="1:16" x14ac:dyDescent="0.25">
      <c r="A1206" s="36">
        <v>1791</v>
      </c>
      <c r="B1206" s="37">
        <v>43556</v>
      </c>
      <c r="C1206" s="36" t="s">
        <v>195</v>
      </c>
      <c r="D1206" s="36"/>
      <c r="E1206" s="38">
        <v>60561853.894285716</v>
      </c>
      <c r="F1206" s="40">
        <f>VLOOKUP(A1206,'DATOS GENERALES'!A:B,2,0)</f>
        <v>2.06</v>
      </c>
      <c r="G1206" s="36">
        <f t="shared" si="90"/>
        <v>2.0505239999999998</v>
      </c>
      <c r="H1206" s="38">
        <f t="shared" si="91"/>
        <v>29534818.365591295</v>
      </c>
      <c r="I1206" s="38">
        <f t="shared" si="92"/>
        <v>31027035.528694421</v>
      </c>
      <c r="J1206" s="38">
        <v>4748553.7200059919</v>
      </c>
      <c r="K1206" s="38">
        <f t="shared" si="93"/>
        <v>26278481.808688428</v>
      </c>
      <c r="L1206" s="41">
        <f>VLOOKUP(INDICADORES!$B$21,'DATOS GENERALES'!$K:$M,3,0)*E1206</f>
        <v>412185.56985009514</v>
      </c>
      <c r="M1206" s="38">
        <f t="shared" si="94"/>
        <v>25866296.238838334</v>
      </c>
      <c r="N1206" s="36"/>
      <c r="O1206" s="36"/>
      <c r="P1206" s="36"/>
    </row>
    <row r="1207" spans="1:16" x14ac:dyDescent="0.25">
      <c r="A1207" s="36">
        <v>1791</v>
      </c>
      <c r="B1207" s="37">
        <v>43586</v>
      </c>
      <c r="C1207" s="36" t="s">
        <v>195</v>
      </c>
      <c r="D1207" s="36"/>
      <c r="E1207" s="38">
        <v>60561853.894285716</v>
      </c>
      <c r="F1207" s="40">
        <f>VLOOKUP(A1207,'DATOS GENERALES'!A:B,2,0)</f>
        <v>2.06</v>
      </c>
      <c r="G1207" s="36">
        <f t="shared" si="90"/>
        <v>2.0505239999999998</v>
      </c>
      <c r="H1207" s="38">
        <f t="shared" si="91"/>
        <v>29534818.365591295</v>
      </c>
      <c r="I1207" s="38">
        <f t="shared" si="92"/>
        <v>31027035.528694421</v>
      </c>
      <c r="J1207" s="38">
        <v>3917224.7315326519</v>
      </c>
      <c r="K1207" s="38">
        <f t="shared" si="93"/>
        <v>27109810.797161769</v>
      </c>
      <c r="L1207" s="41">
        <f>VLOOKUP(INDICADORES!$B$21,'DATOS GENERALES'!$K:$M,3,0)*E1207</f>
        <v>412185.56985009514</v>
      </c>
      <c r="M1207" s="38">
        <f t="shared" si="94"/>
        <v>26697625.227311675</v>
      </c>
      <c r="N1207" s="36"/>
      <c r="O1207" s="36"/>
      <c r="P1207" s="36"/>
    </row>
    <row r="1208" spans="1:16" x14ac:dyDescent="0.25">
      <c r="A1208" s="36">
        <v>1791</v>
      </c>
      <c r="B1208" s="37">
        <v>43617</v>
      </c>
      <c r="C1208" s="36" t="s">
        <v>195</v>
      </c>
      <c r="D1208" s="36"/>
      <c r="E1208" s="38">
        <v>60561853.894285716</v>
      </c>
      <c r="F1208" s="40">
        <f>VLOOKUP(A1208,'DATOS GENERALES'!A:B,2,0)</f>
        <v>2.06</v>
      </c>
      <c r="G1208" s="36">
        <f t="shared" si="90"/>
        <v>2.0505239999999998</v>
      </c>
      <c r="H1208" s="38">
        <f t="shared" si="91"/>
        <v>29534818.365591295</v>
      </c>
      <c r="I1208" s="38">
        <f t="shared" si="92"/>
        <v>31027035.528694421</v>
      </c>
      <c r="J1208" s="38">
        <v>5267749.9107260359</v>
      </c>
      <c r="K1208" s="38">
        <f t="shared" si="93"/>
        <v>25759285.617968384</v>
      </c>
      <c r="L1208" s="41">
        <f>VLOOKUP(INDICADORES!$B$21,'DATOS GENERALES'!$K:$M,3,0)*E1208</f>
        <v>412185.56985009514</v>
      </c>
      <c r="M1208" s="38">
        <f t="shared" si="94"/>
        <v>25347100.04811829</v>
      </c>
      <c r="N1208" s="36"/>
      <c r="O1208" s="36"/>
      <c r="P1208" s="36"/>
    </row>
    <row r="1209" spans="1:16" x14ac:dyDescent="0.25">
      <c r="A1209" s="36">
        <v>1791</v>
      </c>
      <c r="B1209" s="37">
        <v>43647</v>
      </c>
      <c r="C1209" s="36" t="s">
        <v>195</v>
      </c>
      <c r="D1209" s="36"/>
      <c r="E1209" s="38">
        <v>60561853.894285716</v>
      </c>
      <c r="F1209" s="40">
        <f>VLOOKUP(A1209,'DATOS GENERALES'!A:B,2,0)</f>
        <v>2.06</v>
      </c>
      <c r="G1209" s="36">
        <f t="shared" si="90"/>
        <v>2.0505239999999998</v>
      </c>
      <c r="H1209" s="38">
        <f t="shared" si="91"/>
        <v>29534818.365591295</v>
      </c>
      <c r="I1209" s="38">
        <f t="shared" si="92"/>
        <v>31027035.528694421</v>
      </c>
      <c r="J1209" s="38">
        <v>7855769.2314176504</v>
      </c>
      <c r="K1209" s="38">
        <f t="shared" si="93"/>
        <v>23171266.297276773</v>
      </c>
      <c r="L1209" s="41">
        <f>VLOOKUP(INDICADORES!$B$21,'DATOS GENERALES'!$K:$M,3,0)*E1209</f>
        <v>412185.56985009514</v>
      </c>
      <c r="M1209" s="38">
        <f t="shared" si="94"/>
        <v>22759080.727426678</v>
      </c>
      <c r="N1209" s="36"/>
      <c r="O1209" s="36"/>
      <c r="P1209" s="36"/>
    </row>
    <row r="1210" spans="1:16" x14ac:dyDescent="0.25">
      <c r="A1210" s="36">
        <v>1791</v>
      </c>
      <c r="B1210" s="37">
        <v>43678</v>
      </c>
      <c r="C1210" s="36" t="s">
        <v>195</v>
      </c>
      <c r="D1210" s="36"/>
      <c r="E1210" s="38">
        <v>60561853.894285716</v>
      </c>
      <c r="F1210" s="40">
        <f>VLOOKUP(A1210,'DATOS GENERALES'!A:B,2,0)</f>
        <v>2.06</v>
      </c>
      <c r="G1210" s="36">
        <f t="shared" si="90"/>
        <v>2.0505239999999998</v>
      </c>
      <c r="H1210" s="38">
        <f t="shared" si="91"/>
        <v>29534818.365591295</v>
      </c>
      <c r="I1210" s="38">
        <f t="shared" si="92"/>
        <v>31027035.528694421</v>
      </c>
      <c r="J1210" s="38">
        <v>7730361.7404265217</v>
      </c>
      <c r="K1210" s="38">
        <f t="shared" si="93"/>
        <v>23296673.788267899</v>
      </c>
      <c r="L1210" s="41">
        <f>VLOOKUP(INDICADORES!$B$21,'DATOS GENERALES'!$K:$M,3,0)*E1210</f>
        <v>412185.56985009514</v>
      </c>
      <c r="M1210" s="38">
        <f t="shared" si="94"/>
        <v>22884488.218417805</v>
      </c>
      <c r="N1210" s="36"/>
      <c r="O1210" s="36"/>
      <c r="P1210" s="36"/>
    </row>
    <row r="1211" spans="1:16" x14ac:dyDescent="0.25">
      <c r="A1211" s="36">
        <v>1791</v>
      </c>
      <c r="B1211" s="37">
        <v>43709</v>
      </c>
      <c r="C1211" s="36" t="s">
        <v>195</v>
      </c>
      <c r="D1211" s="36"/>
      <c r="E1211" s="38">
        <v>60561853.894285716</v>
      </c>
      <c r="F1211" s="40">
        <f>VLOOKUP(A1211,'DATOS GENERALES'!A:B,2,0)</f>
        <v>2.06</v>
      </c>
      <c r="G1211" s="36">
        <f t="shared" si="90"/>
        <v>2.0505239999999998</v>
      </c>
      <c r="H1211" s="38">
        <f t="shared" si="91"/>
        <v>29534818.365591295</v>
      </c>
      <c r="I1211" s="38">
        <f t="shared" si="92"/>
        <v>31027035.528694421</v>
      </c>
      <c r="J1211" s="38">
        <v>8736646.4805757664</v>
      </c>
      <c r="K1211" s="38">
        <f t="shared" si="93"/>
        <v>22290389.048118655</v>
      </c>
      <c r="L1211" s="41">
        <f>VLOOKUP(INDICADORES!$B$21,'DATOS GENERALES'!$K:$M,3,0)*E1211</f>
        <v>412185.56985009514</v>
      </c>
      <c r="M1211" s="38">
        <f t="shared" si="94"/>
        <v>21878203.47826856</v>
      </c>
      <c r="N1211" s="36"/>
      <c r="O1211" s="36"/>
      <c r="P1211" s="36"/>
    </row>
    <row r="1212" spans="1:16" x14ac:dyDescent="0.25">
      <c r="A1212" s="36">
        <v>1791</v>
      </c>
      <c r="B1212" s="37">
        <v>43739</v>
      </c>
      <c r="C1212" s="36" t="s">
        <v>195</v>
      </c>
      <c r="D1212" s="36"/>
      <c r="E1212" s="38">
        <v>60561853.894285716</v>
      </c>
      <c r="F1212" s="40">
        <f>VLOOKUP(A1212,'DATOS GENERALES'!A:B,2,0)</f>
        <v>2.06</v>
      </c>
      <c r="G1212" s="36">
        <f t="shared" si="90"/>
        <v>2.0505239999999998</v>
      </c>
      <c r="H1212" s="38">
        <f t="shared" si="91"/>
        <v>29534818.365591295</v>
      </c>
      <c r="I1212" s="38">
        <f t="shared" si="92"/>
        <v>31027035.528694421</v>
      </c>
      <c r="J1212" s="38">
        <v>9447781.0296639875</v>
      </c>
      <c r="K1212" s="38">
        <f t="shared" si="93"/>
        <v>21579254.499030434</v>
      </c>
      <c r="L1212" s="41">
        <f>VLOOKUP(INDICADORES!$B$21,'DATOS GENERALES'!$K:$M,3,0)*E1212</f>
        <v>412185.56985009514</v>
      </c>
      <c r="M1212" s="38">
        <f t="shared" si="94"/>
        <v>21167068.929180339</v>
      </c>
      <c r="N1212" s="36"/>
      <c r="O1212" s="36"/>
      <c r="P1212" s="36"/>
    </row>
    <row r="1213" spans="1:16" x14ac:dyDescent="0.25">
      <c r="A1213" s="36">
        <v>1791</v>
      </c>
      <c r="B1213" s="37">
        <v>43770</v>
      </c>
      <c r="C1213" s="36" t="s">
        <v>195</v>
      </c>
      <c r="D1213" s="36"/>
      <c r="E1213" s="38">
        <v>60561853.894285716</v>
      </c>
      <c r="F1213" s="40">
        <f>VLOOKUP(A1213,'DATOS GENERALES'!A:B,2,0)</f>
        <v>2.06</v>
      </c>
      <c r="G1213" s="36">
        <f t="shared" si="90"/>
        <v>2.0505239999999998</v>
      </c>
      <c r="H1213" s="38">
        <f t="shared" si="91"/>
        <v>29534818.365591295</v>
      </c>
      <c r="I1213" s="38">
        <f t="shared" si="92"/>
        <v>31027035.528694421</v>
      </c>
      <c r="J1213" s="38">
        <v>12635711.323479287</v>
      </c>
      <c r="K1213" s="38">
        <f t="shared" si="93"/>
        <v>18391324.205215134</v>
      </c>
      <c r="L1213" s="41">
        <f>VLOOKUP(INDICADORES!$B$21,'DATOS GENERALES'!$K:$M,3,0)*E1213</f>
        <v>412185.56985009514</v>
      </c>
      <c r="M1213" s="38">
        <f t="shared" si="94"/>
        <v>17979138.635365039</v>
      </c>
      <c r="N1213" s="36"/>
      <c r="O1213" s="36"/>
      <c r="P1213" s="36"/>
    </row>
    <row r="1214" spans="1:16" x14ac:dyDescent="0.25">
      <c r="A1214" s="36">
        <v>1791</v>
      </c>
      <c r="B1214" s="37">
        <v>43800</v>
      </c>
      <c r="C1214" s="36" t="s">
        <v>195</v>
      </c>
      <c r="D1214" s="36"/>
      <c r="E1214" s="38">
        <v>60561853.894285716</v>
      </c>
      <c r="F1214" s="40">
        <f>VLOOKUP(A1214,'DATOS GENERALES'!A:B,2,0)</f>
        <v>2.06</v>
      </c>
      <c r="G1214" s="36">
        <f t="shared" si="90"/>
        <v>2.0505239999999998</v>
      </c>
      <c r="H1214" s="38">
        <f t="shared" si="91"/>
        <v>29534818.365591295</v>
      </c>
      <c r="I1214" s="38">
        <f t="shared" si="92"/>
        <v>31027035.528694421</v>
      </c>
      <c r="J1214" s="38">
        <v>10639109.649132952</v>
      </c>
      <c r="K1214" s="38">
        <f t="shared" si="93"/>
        <v>20387925.879561469</v>
      </c>
      <c r="L1214" s="41">
        <f>VLOOKUP(INDICADORES!$B$21,'DATOS GENERALES'!$K:$M,3,0)*E1214</f>
        <v>412185.56985009514</v>
      </c>
      <c r="M1214" s="38">
        <f t="shared" si="94"/>
        <v>19975740.309711374</v>
      </c>
      <c r="N1214" s="36"/>
      <c r="O1214" s="36"/>
      <c r="P1214" s="36"/>
    </row>
    <row r="1215" spans="1:16" x14ac:dyDescent="0.25">
      <c r="A1215" s="36">
        <v>1453</v>
      </c>
      <c r="B1215" s="37">
        <v>43466</v>
      </c>
      <c r="C1215" s="36" t="s">
        <v>195</v>
      </c>
      <c r="D1215" s="36"/>
      <c r="E1215" s="38">
        <v>15250000</v>
      </c>
      <c r="F1215" s="40">
        <f>VLOOKUP(A1215,'DATOS GENERALES'!A:B,2,0)</f>
        <v>2.0299999999999998</v>
      </c>
      <c r="G1215" s="36">
        <f t="shared" si="90"/>
        <v>2.0206619999999997</v>
      </c>
      <c r="H1215" s="38">
        <f t="shared" si="91"/>
        <v>7547031.6163712693</v>
      </c>
      <c r="I1215" s="38">
        <f t="shared" si="92"/>
        <v>7702968.3836287307</v>
      </c>
      <c r="J1215" s="38">
        <v>1655957.1851832091</v>
      </c>
      <c r="K1215" s="38">
        <f t="shared" si="93"/>
        <v>6047011.1984455213</v>
      </c>
      <c r="L1215" s="41">
        <f>VLOOKUP(INDICADORES!$B$21,'DATOS GENERALES'!$K:$M,3,0)*E1215</f>
        <v>103791.90094124657</v>
      </c>
      <c r="M1215" s="38">
        <f t="shared" si="94"/>
        <v>5943219.2975042751</v>
      </c>
      <c r="N1215" s="36"/>
      <c r="O1215" s="36"/>
      <c r="P1215" s="36"/>
    </row>
    <row r="1216" spans="1:16" x14ac:dyDescent="0.25">
      <c r="A1216" s="36">
        <v>1453</v>
      </c>
      <c r="B1216" s="37">
        <v>43497</v>
      </c>
      <c r="C1216" s="36" t="s">
        <v>195</v>
      </c>
      <c r="D1216" s="36"/>
      <c r="E1216" s="38">
        <v>15250000</v>
      </c>
      <c r="F1216" s="40">
        <f>VLOOKUP(A1216,'DATOS GENERALES'!A:B,2,0)</f>
        <v>2.0299999999999998</v>
      </c>
      <c r="G1216" s="36">
        <f t="shared" si="90"/>
        <v>2.0206619999999997</v>
      </c>
      <c r="H1216" s="38">
        <f t="shared" si="91"/>
        <v>7547031.6163712693</v>
      </c>
      <c r="I1216" s="38">
        <f t="shared" si="92"/>
        <v>7702968.3836287307</v>
      </c>
      <c r="J1216" s="38">
        <v>1631350.1087307313</v>
      </c>
      <c r="K1216" s="38">
        <f t="shared" si="93"/>
        <v>6071618.2748979991</v>
      </c>
      <c r="L1216" s="41">
        <f>VLOOKUP(INDICADORES!$B$21,'DATOS GENERALES'!$K:$M,3,0)*E1216</f>
        <v>103791.90094124657</v>
      </c>
      <c r="M1216" s="38">
        <f t="shared" si="94"/>
        <v>5967826.3739567529</v>
      </c>
      <c r="N1216" s="36"/>
      <c r="O1216" s="36"/>
      <c r="P1216" s="36"/>
    </row>
    <row r="1217" spans="1:16" x14ac:dyDescent="0.25">
      <c r="A1217" s="36">
        <v>1453</v>
      </c>
      <c r="B1217" s="37">
        <v>43525</v>
      </c>
      <c r="C1217" s="36" t="s">
        <v>195</v>
      </c>
      <c r="D1217" s="36"/>
      <c r="E1217" s="38">
        <v>15250000</v>
      </c>
      <c r="F1217" s="40">
        <f>VLOOKUP(A1217,'DATOS GENERALES'!A:B,2,0)</f>
        <v>2.0299999999999998</v>
      </c>
      <c r="G1217" s="36">
        <f t="shared" si="90"/>
        <v>2.0206619999999997</v>
      </c>
      <c r="H1217" s="38">
        <f t="shared" si="91"/>
        <v>7547031.6163712693</v>
      </c>
      <c r="I1217" s="38">
        <f t="shared" si="92"/>
        <v>7702968.3836287307</v>
      </c>
      <c r="J1217" s="38">
        <v>1180261.5702468739</v>
      </c>
      <c r="K1217" s="38">
        <f t="shared" si="93"/>
        <v>6522706.8133818563</v>
      </c>
      <c r="L1217" s="41">
        <f>VLOOKUP(INDICADORES!$B$21,'DATOS GENERALES'!$K:$M,3,0)*E1217</f>
        <v>103791.90094124657</v>
      </c>
      <c r="M1217" s="38">
        <f t="shared" si="94"/>
        <v>6418914.9124406101</v>
      </c>
      <c r="N1217" s="36"/>
      <c r="O1217" s="36"/>
      <c r="P1217" s="36"/>
    </row>
    <row r="1218" spans="1:16" x14ac:dyDescent="0.25">
      <c r="A1218" s="36">
        <v>1453</v>
      </c>
      <c r="B1218" s="37">
        <v>43556</v>
      </c>
      <c r="C1218" s="36" t="s">
        <v>195</v>
      </c>
      <c r="D1218" s="36"/>
      <c r="E1218" s="38">
        <v>15250000</v>
      </c>
      <c r="F1218" s="40">
        <f>VLOOKUP(A1218,'DATOS GENERALES'!A:B,2,0)</f>
        <v>2.0299999999999998</v>
      </c>
      <c r="G1218" s="36">
        <f t="shared" si="90"/>
        <v>2.0206619999999997</v>
      </c>
      <c r="H1218" s="38">
        <f t="shared" si="91"/>
        <v>7547031.6163712693</v>
      </c>
      <c r="I1218" s="38">
        <f t="shared" si="92"/>
        <v>7702968.3836287307</v>
      </c>
      <c r="J1218" s="38">
        <v>1213397.8483739072</v>
      </c>
      <c r="K1218" s="38">
        <f t="shared" si="93"/>
        <v>6489570.535254823</v>
      </c>
      <c r="L1218" s="41">
        <f>VLOOKUP(INDICADORES!$B$21,'DATOS GENERALES'!$K:$M,3,0)*E1218</f>
        <v>103791.90094124657</v>
      </c>
      <c r="M1218" s="38">
        <f t="shared" si="94"/>
        <v>6385778.6343135769</v>
      </c>
      <c r="N1218" s="36"/>
      <c r="O1218" s="36"/>
      <c r="P1218" s="36"/>
    </row>
    <row r="1219" spans="1:16" x14ac:dyDescent="0.25">
      <c r="A1219" s="36">
        <v>1453</v>
      </c>
      <c r="B1219" s="37">
        <v>43586</v>
      </c>
      <c r="C1219" s="36" t="s">
        <v>195</v>
      </c>
      <c r="D1219" s="36"/>
      <c r="E1219" s="38">
        <v>15250000</v>
      </c>
      <c r="F1219" s="40">
        <f>VLOOKUP(A1219,'DATOS GENERALES'!A:B,2,0)</f>
        <v>2.0299999999999998</v>
      </c>
      <c r="G1219" s="36">
        <f t="shared" ref="G1219:G1282" si="95">F1219*0.9954</f>
        <v>2.0206619999999997</v>
      </c>
      <c r="H1219" s="38">
        <f t="shared" ref="H1219:H1282" si="96">E1219/G1219</f>
        <v>7547031.6163712693</v>
      </c>
      <c r="I1219" s="38">
        <f t="shared" ref="I1219:I1282" si="97">E1219-H1219</f>
        <v>7702968.3836287307</v>
      </c>
      <c r="J1219" s="38">
        <v>1000968.3666025319</v>
      </c>
      <c r="K1219" s="38">
        <f t="shared" ref="K1219:K1282" si="98">IFERROR(I1219-J1219,"")</f>
        <v>6702000.017026199</v>
      </c>
      <c r="L1219" s="41">
        <f>VLOOKUP(INDICADORES!$B$21,'DATOS GENERALES'!$K:$M,3,0)*E1219</f>
        <v>103791.90094124657</v>
      </c>
      <c r="M1219" s="38">
        <f t="shared" ref="M1219:M1282" si="99">IFERROR(K1219-L1219,"")</f>
        <v>6598208.1160849528</v>
      </c>
      <c r="N1219" s="36"/>
      <c r="O1219" s="36"/>
      <c r="P1219" s="36"/>
    </row>
    <row r="1220" spans="1:16" x14ac:dyDescent="0.25">
      <c r="A1220" s="36">
        <v>1453</v>
      </c>
      <c r="B1220" s="37">
        <v>43617</v>
      </c>
      <c r="C1220" s="36" t="s">
        <v>195</v>
      </c>
      <c r="D1220" s="36"/>
      <c r="E1220" s="38">
        <v>15250000</v>
      </c>
      <c r="F1220" s="40">
        <f>VLOOKUP(A1220,'DATOS GENERALES'!A:B,2,0)</f>
        <v>2.0299999999999998</v>
      </c>
      <c r="G1220" s="36">
        <f t="shared" si="95"/>
        <v>2.0206619999999997</v>
      </c>
      <c r="H1220" s="38">
        <f t="shared" si="96"/>
        <v>7547031.6163712693</v>
      </c>
      <c r="I1220" s="38">
        <f t="shared" si="97"/>
        <v>7702968.3836287307</v>
      </c>
      <c r="J1220" s="38">
        <v>1346068.0418371146</v>
      </c>
      <c r="K1220" s="38">
        <f t="shared" si="98"/>
        <v>6356900.3417916158</v>
      </c>
      <c r="L1220" s="41">
        <f>VLOOKUP(INDICADORES!$B$21,'DATOS GENERALES'!$K:$M,3,0)*E1220</f>
        <v>103791.90094124657</v>
      </c>
      <c r="M1220" s="38">
        <f t="shared" si="99"/>
        <v>6253108.4408503696</v>
      </c>
      <c r="N1220" s="36"/>
      <c r="O1220" s="36"/>
      <c r="P1220" s="36"/>
    </row>
    <row r="1221" spans="1:16" x14ac:dyDescent="0.25">
      <c r="A1221" s="36">
        <v>1453</v>
      </c>
      <c r="B1221" s="37">
        <v>43647</v>
      </c>
      <c r="C1221" s="36" t="s">
        <v>195</v>
      </c>
      <c r="D1221" s="36"/>
      <c r="E1221" s="38">
        <v>15250000</v>
      </c>
      <c r="F1221" s="40">
        <f>VLOOKUP(A1221,'DATOS GENERALES'!A:B,2,0)</f>
        <v>2.0299999999999998</v>
      </c>
      <c r="G1221" s="36">
        <f t="shared" si="95"/>
        <v>2.0206619999999997</v>
      </c>
      <c r="H1221" s="38">
        <f t="shared" si="96"/>
        <v>7547031.6163712693</v>
      </c>
      <c r="I1221" s="38">
        <f t="shared" si="97"/>
        <v>7702968.3836287307</v>
      </c>
      <c r="J1221" s="38">
        <v>2007384.5732363516</v>
      </c>
      <c r="K1221" s="38">
        <f t="shared" si="98"/>
        <v>5695583.8103923788</v>
      </c>
      <c r="L1221" s="41">
        <f>VLOOKUP(INDICADORES!$B$21,'DATOS GENERALES'!$K:$M,3,0)*E1221</f>
        <v>103791.90094124657</v>
      </c>
      <c r="M1221" s="38">
        <f t="shared" si="99"/>
        <v>5591791.9094511326</v>
      </c>
      <c r="N1221" s="36"/>
      <c r="O1221" s="36"/>
      <c r="P1221" s="36"/>
    </row>
    <row r="1222" spans="1:16" x14ac:dyDescent="0.25">
      <c r="A1222" s="36">
        <v>1453</v>
      </c>
      <c r="B1222" s="37">
        <v>43678</v>
      </c>
      <c r="C1222" s="36" t="s">
        <v>195</v>
      </c>
      <c r="D1222" s="36"/>
      <c r="E1222" s="38">
        <v>15250000</v>
      </c>
      <c r="F1222" s="40">
        <f>VLOOKUP(A1222,'DATOS GENERALES'!A:B,2,0)</f>
        <v>2.0299999999999998</v>
      </c>
      <c r="G1222" s="36">
        <f t="shared" si="95"/>
        <v>2.0206619999999997</v>
      </c>
      <c r="H1222" s="38">
        <f t="shared" si="96"/>
        <v>7547031.6163712693</v>
      </c>
      <c r="I1222" s="38">
        <f t="shared" si="97"/>
        <v>7702968.3836287307</v>
      </c>
      <c r="J1222" s="38">
        <v>1975339.1992738529</v>
      </c>
      <c r="K1222" s="38">
        <f t="shared" si="98"/>
        <v>5727629.184354878</v>
      </c>
      <c r="L1222" s="41">
        <f>VLOOKUP(INDICADORES!$B$21,'DATOS GENERALES'!$K:$M,3,0)*E1222</f>
        <v>103791.90094124657</v>
      </c>
      <c r="M1222" s="38">
        <f t="shared" si="99"/>
        <v>5623837.2834136318</v>
      </c>
      <c r="N1222" s="36"/>
      <c r="O1222" s="36"/>
      <c r="P1222" s="36"/>
    </row>
    <row r="1223" spans="1:16" x14ac:dyDescent="0.25">
      <c r="A1223" s="36">
        <v>1453</v>
      </c>
      <c r="B1223" s="37">
        <v>43709</v>
      </c>
      <c r="C1223" s="36" t="s">
        <v>195</v>
      </c>
      <c r="D1223" s="36"/>
      <c r="E1223" s="38">
        <v>15250000</v>
      </c>
      <c r="F1223" s="40">
        <f>VLOOKUP(A1223,'DATOS GENERALES'!A:B,2,0)</f>
        <v>2.0299999999999998</v>
      </c>
      <c r="G1223" s="36">
        <f t="shared" si="95"/>
        <v>2.0206619999999997</v>
      </c>
      <c r="H1223" s="38">
        <f t="shared" si="96"/>
        <v>7547031.6163712693</v>
      </c>
      <c r="I1223" s="38">
        <f t="shared" si="97"/>
        <v>7702968.3836287307</v>
      </c>
      <c r="J1223" s="38">
        <v>2232475.121187157</v>
      </c>
      <c r="K1223" s="38">
        <f t="shared" si="98"/>
        <v>5470493.2624415737</v>
      </c>
      <c r="L1223" s="41">
        <f>VLOOKUP(INDICADORES!$B$21,'DATOS GENERALES'!$K:$M,3,0)*E1223</f>
        <v>103791.90094124657</v>
      </c>
      <c r="M1223" s="38">
        <f t="shared" si="99"/>
        <v>5366701.3615003275</v>
      </c>
      <c r="N1223" s="36"/>
      <c r="O1223" s="36"/>
      <c r="P1223" s="36"/>
    </row>
    <row r="1224" spans="1:16" x14ac:dyDescent="0.25">
      <c r="A1224" s="36">
        <v>1453</v>
      </c>
      <c r="B1224" s="37">
        <v>43739</v>
      </c>
      <c r="C1224" s="36" t="s">
        <v>195</v>
      </c>
      <c r="D1224" s="36"/>
      <c r="E1224" s="38">
        <v>15250000</v>
      </c>
      <c r="F1224" s="40">
        <f>VLOOKUP(A1224,'DATOS GENERALES'!A:B,2,0)</f>
        <v>2.0299999999999998</v>
      </c>
      <c r="G1224" s="36">
        <f t="shared" si="95"/>
        <v>2.0206619999999997</v>
      </c>
      <c r="H1224" s="38">
        <f t="shared" si="96"/>
        <v>7547031.6163712693</v>
      </c>
      <c r="I1224" s="38">
        <f t="shared" si="97"/>
        <v>7702968.3836287307</v>
      </c>
      <c r="J1224" s="38">
        <v>2414191.3199810302</v>
      </c>
      <c r="K1224" s="38">
        <f t="shared" si="98"/>
        <v>5288777.0636477005</v>
      </c>
      <c r="L1224" s="41">
        <f>VLOOKUP(INDICADORES!$B$21,'DATOS GENERALES'!$K:$M,3,0)*E1224</f>
        <v>103791.90094124657</v>
      </c>
      <c r="M1224" s="38">
        <f t="shared" si="99"/>
        <v>5184985.1627064543</v>
      </c>
      <c r="N1224" s="36"/>
      <c r="O1224" s="36"/>
      <c r="P1224" s="36"/>
    </row>
    <row r="1225" spans="1:16" x14ac:dyDescent="0.25">
      <c r="A1225" s="36">
        <v>1453</v>
      </c>
      <c r="B1225" s="37">
        <v>43770</v>
      </c>
      <c r="C1225" s="36" t="s">
        <v>195</v>
      </c>
      <c r="D1225" s="36"/>
      <c r="E1225" s="38">
        <v>15250000</v>
      </c>
      <c r="F1225" s="40">
        <f>VLOOKUP(A1225,'DATOS GENERALES'!A:B,2,0)</f>
        <v>2.0299999999999998</v>
      </c>
      <c r="G1225" s="36">
        <f t="shared" si="95"/>
        <v>2.0206619999999997</v>
      </c>
      <c r="H1225" s="38">
        <f t="shared" si="96"/>
        <v>7547031.6163712693</v>
      </c>
      <c r="I1225" s="38">
        <f t="shared" si="97"/>
        <v>7702968.3836287307</v>
      </c>
      <c r="J1225" s="38">
        <v>3228803.0917683779</v>
      </c>
      <c r="K1225" s="38">
        <f t="shared" si="98"/>
        <v>4474165.2918603532</v>
      </c>
      <c r="L1225" s="41">
        <f>VLOOKUP(INDICADORES!$B$21,'DATOS GENERALES'!$K:$M,3,0)*E1225</f>
        <v>103791.90094124657</v>
      </c>
      <c r="M1225" s="38">
        <f t="shared" si="99"/>
        <v>4370373.390919107</v>
      </c>
      <c r="N1225" s="36"/>
      <c r="O1225" s="36"/>
      <c r="P1225" s="36"/>
    </row>
    <row r="1226" spans="1:16" x14ac:dyDescent="0.25">
      <c r="A1226" s="36">
        <v>1453</v>
      </c>
      <c r="B1226" s="37">
        <v>43800</v>
      </c>
      <c r="C1226" s="36" t="s">
        <v>195</v>
      </c>
      <c r="D1226" s="36"/>
      <c r="E1226" s="38">
        <v>15250000</v>
      </c>
      <c r="F1226" s="40">
        <f>VLOOKUP(A1226,'DATOS GENERALES'!A:B,2,0)</f>
        <v>2.0299999999999998</v>
      </c>
      <c r="G1226" s="36">
        <f t="shared" si="95"/>
        <v>2.0206619999999997</v>
      </c>
      <c r="H1226" s="38">
        <f t="shared" si="96"/>
        <v>7547031.6163712693</v>
      </c>
      <c r="I1226" s="38">
        <f t="shared" si="97"/>
        <v>7702968.3836287307</v>
      </c>
      <c r="J1226" s="38">
        <v>2718611.5011152709</v>
      </c>
      <c r="K1226" s="38">
        <f t="shared" si="98"/>
        <v>4984356.8825134598</v>
      </c>
      <c r="L1226" s="41">
        <f>VLOOKUP(INDICADORES!$B$21,'DATOS GENERALES'!$K:$M,3,0)*E1226</f>
        <v>103791.90094124657</v>
      </c>
      <c r="M1226" s="38">
        <f t="shared" si="99"/>
        <v>4880564.9815722136</v>
      </c>
      <c r="N1226" s="36"/>
      <c r="O1226" s="36"/>
      <c r="P1226" s="36"/>
    </row>
    <row r="1227" spans="1:16" x14ac:dyDescent="0.25">
      <c r="A1227" s="36">
        <v>1826</v>
      </c>
      <c r="B1227" s="37">
        <v>43466</v>
      </c>
      <c r="C1227" s="36" t="s">
        <v>195</v>
      </c>
      <c r="D1227" s="36"/>
      <c r="E1227" s="38">
        <v>20341421</v>
      </c>
      <c r="F1227" s="40">
        <f>VLOOKUP(A1227,'DATOS GENERALES'!A:B,2,0)</f>
        <v>2.62</v>
      </c>
      <c r="G1227" s="36">
        <f t="shared" si="95"/>
        <v>2.6079479999999999</v>
      </c>
      <c r="H1227" s="38">
        <f t="shared" si="96"/>
        <v>7799780.1336529721</v>
      </c>
      <c r="I1227" s="38">
        <f t="shared" si="97"/>
        <v>12541640.866347028</v>
      </c>
      <c r="J1227" s="38">
        <v>1711414.8464879699</v>
      </c>
      <c r="K1227" s="38">
        <f t="shared" si="98"/>
        <v>10830226.019859059</v>
      </c>
      <c r="L1227" s="41">
        <f>VLOOKUP(INDICADORES!$B$21,'DATOS GENERALES'!$K:$M,3,0)*E1227</f>
        <v>138444.24612696347</v>
      </c>
      <c r="M1227" s="38">
        <f t="shared" si="99"/>
        <v>10691781.773732096</v>
      </c>
      <c r="N1227" s="36"/>
      <c r="O1227" s="36"/>
      <c r="P1227" s="36"/>
    </row>
    <row r="1228" spans="1:16" x14ac:dyDescent="0.25">
      <c r="A1228" s="36">
        <v>1826</v>
      </c>
      <c r="B1228" s="37">
        <v>43497</v>
      </c>
      <c r="C1228" s="36" t="s">
        <v>195</v>
      </c>
      <c r="D1228" s="36"/>
      <c r="E1228" s="38">
        <v>20341421</v>
      </c>
      <c r="F1228" s="40">
        <f>VLOOKUP(A1228,'DATOS GENERALES'!A:B,2,0)</f>
        <v>2.62</v>
      </c>
      <c r="G1228" s="36">
        <f t="shared" si="95"/>
        <v>2.6079479999999999</v>
      </c>
      <c r="H1228" s="38">
        <f t="shared" si="96"/>
        <v>7799780.1336529721</v>
      </c>
      <c r="I1228" s="38">
        <f t="shared" si="97"/>
        <v>12541640.866347028</v>
      </c>
      <c r="J1228" s="38">
        <v>1685983.6841691348</v>
      </c>
      <c r="K1228" s="38">
        <f t="shared" si="98"/>
        <v>10855657.182177894</v>
      </c>
      <c r="L1228" s="41">
        <f>VLOOKUP(INDICADORES!$B$21,'DATOS GENERALES'!$K:$M,3,0)*E1228</f>
        <v>138444.24612696347</v>
      </c>
      <c r="M1228" s="38">
        <f t="shared" si="99"/>
        <v>10717212.936050931</v>
      </c>
      <c r="N1228" s="36"/>
      <c r="O1228" s="36"/>
      <c r="P1228" s="36"/>
    </row>
    <row r="1229" spans="1:16" x14ac:dyDescent="0.25">
      <c r="A1229" s="36">
        <v>1826</v>
      </c>
      <c r="B1229" s="37">
        <v>43525</v>
      </c>
      <c r="C1229" s="36" t="s">
        <v>195</v>
      </c>
      <c r="D1229" s="36"/>
      <c r="E1229" s="38">
        <v>20341421</v>
      </c>
      <c r="F1229" s="40">
        <f>VLOOKUP(A1229,'DATOS GENERALES'!A:B,2,0)</f>
        <v>2.62</v>
      </c>
      <c r="G1229" s="36">
        <f t="shared" si="95"/>
        <v>2.6079479999999999</v>
      </c>
      <c r="H1229" s="38">
        <f t="shared" si="96"/>
        <v>7799780.1336529721</v>
      </c>
      <c r="I1229" s="38">
        <f t="shared" si="97"/>
        <v>12541640.866347028</v>
      </c>
      <c r="J1229" s="38">
        <v>1219788.2844635427</v>
      </c>
      <c r="K1229" s="38">
        <f t="shared" si="98"/>
        <v>11321852.581883484</v>
      </c>
      <c r="L1229" s="41">
        <f>VLOOKUP(INDICADORES!$B$21,'DATOS GENERALES'!$K:$M,3,0)*E1229</f>
        <v>138444.24612696347</v>
      </c>
      <c r="M1229" s="38">
        <f t="shared" si="99"/>
        <v>11183408.335756522</v>
      </c>
      <c r="N1229" s="36"/>
      <c r="O1229" s="36"/>
      <c r="P1229" s="36"/>
    </row>
    <row r="1230" spans="1:16" x14ac:dyDescent="0.25">
      <c r="A1230" s="36">
        <v>1858</v>
      </c>
      <c r="B1230" s="37">
        <v>43466</v>
      </c>
      <c r="C1230" s="36" t="s">
        <v>195</v>
      </c>
      <c r="D1230" s="36"/>
      <c r="E1230" s="38">
        <v>118601976.15000001</v>
      </c>
      <c r="F1230" s="40">
        <f>VLOOKUP(A1230,'DATOS GENERALES'!A:B,2,0)</f>
        <v>0.73</v>
      </c>
      <c r="G1230" s="36">
        <f t="shared" si="95"/>
        <v>0.7266419999999999</v>
      </c>
      <c r="H1230" s="38">
        <f t="shared" si="96"/>
        <v>163219269.11739209</v>
      </c>
      <c r="I1230" s="38">
        <f t="shared" si="97"/>
        <v>-44617292.967392087</v>
      </c>
      <c r="J1230" s="38">
        <v>35813301.864137962</v>
      </c>
      <c r="K1230" s="38">
        <f t="shared" si="98"/>
        <v>-80430594.831530049</v>
      </c>
      <c r="L1230" s="41">
        <f>VLOOKUP(INDICADORES!$B$21,'DATOS GENERALES'!$K:$M,3,0)*E1230</f>
        <v>807208.16786864842</v>
      </c>
      <c r="M1230" s="38">
        <f t="shared" si="99"/>
        <v>-81237802.999398693</v>
      </c>
      <c r="N1230" s="36"/>
      <c r="O1230" s="36"/>
      <c r="P1230" s="36"/>
    </row>
    <row r="1231" spans="1:16" x14ac:dyDescent="0.25">
      <c r="A1231" s="36">
        <v>1858</v>
      </c>
      <c r="B1231" s="37">
        <v>43497</v>
      </c>
      <c r="C1231" s="36" t="s">
        <v>195</v>
      </c>
      <c r="D1231" s="36"/>
      <c r="E1231" s="38">
        <v>197669960.25</v>
      </c>
      <c r="F1231" s="40">
        <f>VLOOKUP(A1231,'DATOS GENERALES'!A:B,2,0)</f>
        <v>0.73</v>
      </c>
      <c r="G1231" s="36">
        <f t="shared" si="95"/>
        <v>0.7266419999999999</v>
      </c>
      <c r="H1231" s="38">
        <f t="shared" si="96"/>
        <v>272032115.19565344</v>
      </c>
      <c r="I1231" s="38">
        <f t="shared" si="97"/>
        <v>-74362154.945653439</v>
      </c>
      <c r="J1231" s="38">
        <v>58801876.454315983</v>
      </c>
      <c r="K1231" s="38">
        <f t="shared" si="98"/>
        <v>-133164031.39996943</v>
      </c>
      <c r="L1231" s="41">
        <f>VLOOKUP(INDICADORES!$B$21,'DATOS GENERALES'!$K:$M,3,0)*E1231</f>
        <v>1345346.9464477473</v>
      </c>
      <c r="M1231" s="38">
        <f t="shared" si="99"/>
        <v>-134509378.34641719</v>
      </c>
      <c r="N1231" s="36"/>
      <c r="O1231" s="36"/>
      <c r="P1231" s="36"/>
    </row>
    <row r="1232" spans="1:16" x14ac:dyDescent="0.25">
      <c r="A1232" s="36">
        <v>1858</v>
      </c>
      <c r="B1232" s="37">
        <v>43525</v>
      </c>
      <c r="C1232" s="36" t="s">
        <v>195</v>
      </c>
      <c r="D1232" s="36"/>
      <c r="E1232" s="38">
        <v>171313965.55000007</v>
      </c>
      <c r="F1232" s="40">
        <f>VLOOKUP(A1232,'DATOS GENERALES'!A:B,2,0)</f>
        <v>0.73</v>
      </c>
      <c r="G1232" s="36">
        <f t="shared" si="95"/>
        <v>0.7266419999999999</v>
      </c>
      <c r="H1232" s="38">
        <f t="shared" si="96"/>
        <v>235761166.50289977</v>
      </c>
      <c r="I1232" s="38">
        <f t="shared" si="97"/>
        <v>-64447200.952899694</v>
      </c>
      <c r="J1232" s="38">
        <v>36870104.529088855</v>
      </c>
      <c r="K1232" s="38">
        <f t="shared" si="98"/>
        <v>-101317305.48198855</v>
      </c>
      <c r="L1232" s="41">
        <f>VLOOKUP(INDICADORES!$B$21,'DATOS GENERALES'!$K:$M,3,0)*E1232</f>
        <v>1165967.3535880481</v>
      </c>
      <c r="M1232" s="38">
        <f t="shared" si="99"/>
        <v>-102483272.83557659</v>
      </c>
      <c r="N1232" s="36"/>
      <c r="O1232" s="36"/>
      <c r="P1232" s="36"/>
    </row>
    <row r="1233" spans="1:16" x14ac:dyDescent="0.25">
      <c r="A1233" s="36">
        <v>1858</v>
      </c>
      <c r="B1233" s="37">
        <v>43556</v>
      </c>
      <c r="C1233" s="36" t="s">
        <v>195</v>
      </c>
      <c r="D1233" s="36"/>
      <c r="E1233" s="38">
        <v>210847957.5999999</v>
      </c>
      <c r="F1233" s="40">
        <f>VLOOKUP(A1233,'DATOS GENERALES'!A:B,2,0)</f>
        <v>0.73</v>
      </c>
      <c r="G1233" s="36">
        <f t="shared" si="95"/>
        <v>0.7266419999999999</v>
      </c>
      <c r="H1233" s="38">
        <f t="shared" si="96"/>
        <v>290167589.54203022</v>
      </c>
      <c r="I1233" s="38">
        <f t="shared" si="97"/>
        <v>-79319631.942030311</v>
      </c>
      <c r="J1233" s="38">
        <v>46652610.816467233</v>
      </c>
      <c r="K1233" s="38">
        <f t="shared" si="98"/>
        <v>-125972242.75849754</v>
      </c>
      <c r="L1233" s="41">
        <f>VLOOKUP(INDICADORES!$B$21,'DATOS GENERALES'!$K:$M,3,0)*E1233</f>
        <v>1435036.7428775965</v>
      </c>
      <c r="M1233" s="38">
        <f t="shared" si="99"/>
        <v>-127407279.50137514</v>
      </c>
      <c r="N1233" s="36"/>
      <c r="O1233" s="36"/>
      <c r="P1233" s="36"/>
    </row>
    <row r="1234" spans="1:16" x14ac:dyDescent="0.25">
      <c r="A1234" s="36">
        <v>1848</v>
      </c>
      <c r="B1234" s="37">
        <v>43466</v>
      </c>
      <c r="C1234" s="36" t="s">
        <v>195</v>
      </c>
      <c r="D1234" s="36"/>
      <c r="E1234" s="38">
        <v>12773052.833333334</v>
      </c>
      <c r="F1234" s="40">
        <f>VLOOKUP(A1234,'DATOS GENERALES'!A:B,2,0)</f>
        <v>2.2999999999999998</v>
      </c>
      <c r="G1234" s="36">
        <f t="shared" si="95"/>
        <v>2.2894199999999998</v>
      </c>
      <c r="H1234" s="38">
        <f t="shared" si="96"/>
        <v>5579165.3926904351</v>
      </c>
      <c r="I1234" s="38">
        <f t="shared" si="97"/>
        <v>7193887.4406428989</v>
      </c>
      <c r="J1234" s="38">
        <v>1224171.2356564121</v>
      </c>
      <c r="K1234" s="38">
        <f t="shared" si="98"/>
        <v>5969716.2049864866</v>
      </c>
      <c r="L1234" s="41">
        <f>VLOOKUP(INDICADORES!$B$21,'DATOS GENERALES'!$K:$M,3,0)*E1234</f>
        <v>86933.733402927362</v>
      </c>
      <c r="M1234" s="38">
        <f t="shared" si="99"/>
        <v>5882782.4715835592</v>
      </c>
      <c r="N1234" s="36"/>
      <c r="O1234" s="36"/>
      <c r="P1234" s="36"/>
    </row>
    <row r="1235" spans="1:16" x14ac:dyDescent="0.25">
      <c r="A1235" s="36">
        <v>1848</v>
      </c>
      <c r="B1235" s="37">
        <v>43497</v>
      </c>
      <c r="C1235" s="36" t="s">
        <v>195</v>
      </c>
      <c r="D1235" s="36"/>
      <c r="E1235" s="38">
        <v>12773052.833333334</v>
      </c>
      <c r="F1235" s="40">
        <f>VLOOKUP(A1235,'DATOS GENERALES'!A:B,2,0)</f>
        <v>2.2999999999999998</v>
      </c>
      <c r="G1235" s="36">
        <f t="shared" si="95"/>
        <v>2.2894199999999998</v>
      </c>
      <c r="H1235" s="38">
        <f t="shared" si="96"/>
        <v>5579165.3926904351</v>
      </c>
      <c r="I1235" s="38">
        <f t="shared" si="97"/>
        <v>7193887.4406428989</v>
      </c>
      <c r="J1235" s="38">
        <v>1205980.3817767035</v>
      </c>
      <c r="K1235" s="38">
        <f t="shared" si="98"/>
        <v>5987907.0588661954</v>
      </c>
      <c r="L1235" s="41">
        <f>VLOOKUP(INDICADORES!$B$21,'DATOS GENERALES'!$K:$M,3,0)*E1235</f>
        <v>86933.733402927362</v>
      </c>
      <c r="M1235" s="38">
        <f t="shared" si="99"/>
        <v>5900973.325463268</v>
      </c>
      <c r="N1235" s="36"/>
      <c r="O1235" s="36"/>
      <c r="P1235" s="36"/>
    </row>
    <row r="1236" spans="1:16" x14ac:dyDescent="0.25">
      <c r="A1236" s="36">
        <v>1806</v>
      </c>
      <c r="B1236" s="37">
        <v>43466</v>
      </c>
      <c r="C1236" s="36" t="s">
        <v>195</v>
      </c>
      <c r="D1236" s="36"/>
      <c r="E1236" s="38">
        <v>50000000</v>
      </c>
      <c r="F1236" s="40">
        <f>VLOOKUP(A1236,'DATOS GENERALES'!A:B,2,0)</f>
        <v>2</v>
      </c>
      <c r="G1236" s="36">
        <f t="shared" si="95"/>
        <v>1.9907999999999999</v>
      </c>
      <c r="H1236" s="38">
        <f t="shared" si="96"/>
        <v>25115531.444645371</v>
      </c>
      <c r="I1236" s="38">
        <f t="shared" si="97"/>
        <v>24884468.555354629</v>
      </c>
      <c r="J1236" s="38">
        <v>5510808.337576909</v>
      </c>
      <c r="K1236" s="38">
        <f t="shared" si="98"/>
        <v>19373660.217777722</v>
      </c>
      <c r="L1236" s="41">
        <f>VLOOKUP(INDICADORES!$B$21,'DATOS GENERALES'!$K:$M,3,0)*E1236</f>
        <v>340301.31456146418</v>
      </c>
      <c r="M1236" s="38">
        <f t="shared" si="99"/>
        <v>19033358.903216258</v>
      </c>
      <c r="N1236" s="36"/>
      <c r="O1236" s="36"/>
      <c r="P1236" s="36"/>
    </row>
    <row r="1237" spans="1:16" x14ac:dyDescent="0.25">
      <c r="A1237" s="36">
        <v>1806</v>
      </c>
      <c r="B1237" s="37">
        <v>43497</v>
      </c>
      <c r="C1237" s="36" t="s">
        <v>195</v>
      </c>
      <c r="D1237" s="36"/>
      <c r="E1237" s="38">
        <v>50000000</v>
      </c>
      <c r="F1237" s="40">
        <f>VLOOKUP(A1237,'DATOS GENERALES'!A:B,2,0)</f>
        <v>2</v>
      </c>
      <c r="G1237" s="36">
        <f t="shared" si="95"/>
        <v>1.9907999999999999</v>
      </c>
      <c r="H1237" s="38">
        <f t="shared" si="96"/>
        <v>25115531.444645371</v>
      </c>
      <c r="I1237" s="38">
        <f t="shared" si="97"/>
        <v>24884468.555354629</v>
      </c>
      <c r="J1237" s="38">
        <v>5428919.2143006306</v>
      </c>
      <c r="K1237" s="38">
        <f t="shared" si="98"/>
        <v>19455549.341054</v>
      </c>
      <c r="L1237" s="41">
        <f>VLOOKUP(INDICADORES!$B$21,'DATOS GENERALES'!$K:$M,3,0)*E1237</f>
        <v>340301.31456146418</v>
      </c>
      <c r="M1237" s="38">
        <f t="shared" si="99"/>
        <v>19115248.026492536</v>
      </c>
      <c r="N1237" s="36"/>
      <c r="O1237" s="36"/>
      <c r="P1237" s="36"/>
    </row>
    <row r="1238" spans="1:16" x14ac:dyDescent="0.25">
      <c r="A1238" s="36">
        <v>1806</v>
      </c>
      <c r="B1238" s="37">
        <v>43525</v>
      </c>
      <c r="C1238" s="36" t="s">
        <v>195</v>
      </c>
      <c r="D1238" s="36"/>
      <c r="E1238" s="38">
        <v>50000000</v>
      </c>
      <c r="F1238" s="40">
        <f>VLOOKUP(A1238,'DATOS GENERALES'!A:B,2,0)</f>
        <v>2</v>
      </c>
      <c r="G1238" s="36">
        <f t="shared" si="95"/>
        <v>1.9907999999999999</v>
      </c>
      <c r="H1238" s="38">
        <f t="shared" si="96"/>
        <v>25115531.444645371</v>
      </c>
      <c r="I1238" s="38">
        <f t="shared" si="97"/>
        <v>24884468.555354629</v>
      </c>
      <c r="J1238" s="38">
        <v>3927755.7173789409</v>
      </c>
      <c r="K1238" s="38">
        <f t="shared" si="98"/>
        <v>20956712.837975688</v>
      </c>
      <c r="L1238" s="41">
        <f>VLOOKUP(INDICADORES!$B$21,'DATOS GENERALES'!$K:$M,3,0)*E1238</f>
        <v>340301.31456146418</v>
      </c>
      <c r="M1238" s="38">
        <f t="shared" si="99"/>
        <v>20616411.523414224</v>
      </c>
      <c r="N1238" s="36"/>
      <c r="O1238" s="36"/>
      <c r="P1238" s="36"/>
    </row>
    <row r="1239" spans="1:16" x14ac:dyDescent="0.25">
      <c r="A1239" s="36">
        <v>1806</v>
      </c>
      <c r="B1239" s="37">
        <v>43556</v>
      </c>
      <c r="C1239" s="36" t="s">
        <v>195</v>
      </c>
      <c r="D1239" s="36"/>
      <c r="E1239" s="38">
        <v>50000000</v>
      </c>
      <c r="F1239" s="40">
        <f>VLOOKUP(A1239,'DATOS GENERALES'!A:B,2,0)</f>
        <v>2</v>
      </c>
      <c r="G1239" s="36">
        <f t="shared" si="95"/>
        <v>1.9907999999999999</v>
      </c>
      <c r="H1239" s="38">
        <f t="shared" si="96"/>
        <v>25115531.444645371</v>
      </c>
      <c r="I1239" s="38">
        <f t="shared" si="97"/>
        <v>24884468.555354629</v>
      </c>
      <c r="J1239" s="38">
        <v>4038028.9052443136</v>
      </c>
      <c r="K1239" s="38">
        <f t="shared" si="98"/>
        <v>20846439.650110316</v>
      </c>
      <c r="L1239" s="41">
        <f>VLOOKUP(INDICADORES!$B$21,'DATOS GENERALES'!$K:$M,3,0)*E1239</f>
        <v>340301.31456146418</v>
      </c>
      <c r="M1239" s="38">
        <f t="shared" si="99"/>
        <v>20506138.335548852</v>
      </c>
      <c r="N1239" s="36"/>
      <c r="O1239" s="36"/>
      <c r="P1239" s="36"/>
    </row>
    <row r="1240" spans="1:16" x14ac:dyDescent="0.25">
      <c r="A1240" s="36">
        <v>1806</v>
      </c>
      <c r="B1240" s="37">
        <v>43586</v>
      </c>
      <c r="C1240" s="36" t="s">
        <v>195</v>
      </c>
      <c r="D1240" s="36"/>
      <c r="E1240" s="38">
        <v>50000000</v>
      </c>
      <c r="F1240" s="40">
        <f>VLOOKUP(A1240,'DATOS GENERALES'!A:B,2,0)</f>
        <v>2</v>
      </c>
      <c r="G1240" s="36">
        <f t="shared" si="95"/>
        <v>1.9907999999999999</v>
      </c>
      <c r="H1240" s="38">
        <f t="shared" si="96"/>
        <v>25115531.444645371</v>
      </c>
      <c r="I1240" s="38">
        <f t="shared" si="97"/>
        <v>24884468.555354629</v>
      </c>
      <c r="J1240" s="38">
        <v>3331091.4495133436</v>
      </c>
      <c r="K1240" s="38">
        <f t="shared" si="98"/>
        <v>21553377.105841286</v>
      </c>
      <c r="L1240" s="41">
        <f>VLOOKUP(INDICADORES!$B$21,'DATOS GENERALES'!$K:$M,3,0)*E1240</f>
        <v>340301.31456146418</v>
      </c>
      <c r="M1240" s="38">
        <f t="shared" si="99"/>
        <v>21213075.791279823</v>
      </c>
      <c r="N1240" s="36"/>
      <c r="O1240" s="36"/>
      <c r="P1240" s="36"/>
    </row>
    <row r="1241" spans="1:16" x14ac:dyDescent="0.25">
      <c r="A1241" s="36">
        <v>1824</v>
      </c>
      <c r="B1241" s="37">
        <v>43466</v>
      </c>
      <c r="C1241" s="36" t="s">
        <v>195</v>
      </c>
      <c r="D1241" s="36"/>
      <c r="E1241" s="38">
        <v>48166666.666666664</v>
      </c>
      <c r="F1241" s="40">
        <f>VLOOKUP(A1241,'DATOS GENERALES'!A:B,2,0)</f>
        <v>2.44</v>
      </c>
      <c r="G1241" s="36">
        <f t="shared" si="95"/>
        <v>2.428776</v>
      </c>
      <c r="H1241" s="38">
        <f t="shared" si="96"/>
        <v>19831662.80738391</v>
      </c>
      <c r="I1241" s="38">
        <f t="shared" si="97"/>
        <v>28335003.859282754</v>
      </c>
      <c r="J1241" s="38">
        <v>4351430.627212367</v>
      </c>
      <c r="K1241" s="38">
        <f t="shared" si="98"/>
        <v>23983573.232070386</v>
      </c>
      <c r="L1241" s="41">
        <f>VLOOKUP(INDICADORES!$B$21,'DATOS GENERALES'!$K:$M,3,0)*E1241</f>
        <v>327823.59969421045</v>
      </c>
      <c r="M1241" s="38">
        <f t="shared" si="99"/>
        <v>23655749.632376175</v>
      </c>
      <c r="N1241" s="36"/>
      <c r="O1241" s="36"/>
      <c r="P1241" s="36"/>
    </row>
    <row r="1242" spans="1:16" x14ac:dyDescent="0.25">
      <c r="A1242" s="36">
        <v>1824</v>
      </c>
      <c r="B1242" s="37">
        <v>43497</v>
      </c>
      <c r="C1242" s="36" t="s">
        <v>195</v>
      </c>
      <c r="D1242" s="36"/>
      <c r="E1242" s="38">
        <v>48166666.666666664</v>
      </c>
      <c r="F1242" s="40">
        <f>VLOOKUP(A1242,'DATOS GENERALES'!A:B,2,0)</f>
        <v>2.44</v>
      </c>
      <c r="G1242" s="36">
        <f t="shared" si="95"/>
        <v>2.428776</v>
      </c>
      <c r="H1242" s="38">
        <f t="shared" si="96"/>
        <v>19831662.80738391</v>
      </c>
      <c r="I1242" s="38">
        <f t="shared" si="97"/>
        <v>28335003.859282754</v>
      </c>
      <c r="J1242" s="38">
        <v>4286769.5435324647</v>
      </c>
      <c r="K1242" s="38">
        <f t="shared" si="98"/>
        <v>24048234.31575029</v>
      </c>
      <c r="L1242" s="41">
        <f>VLOOKUP(INDICADORES!$B$21,'DATOS GENERALES'!$K:$M,3,0)*E1242</f>
        <v>327823.59969421045</v>
      </c>
      <c r="M1242" s="38">
        <f t="shared" si="99"/>
        <v>23720410.716056079</v>
      </c>
      <c r="N1242" s="36"/>
      <c r="O1242" s="36"/>
      <c r="P1242" s="36"/>
    </row>
    <row r="1243" spans="1:16" x14ac:dyDescent="0.25">
      <c r="A1243" s="36">
        <v>1824</v>
      </c>
      <c r="B1243" s="37">
        <v>43525</v>
      </c>
      <c r="C1243" s="36" t="s">
        <v>195</v>
      </c>
      <c r="D1243" s="36"/>
      <c r="E1243" s="38">
        <v>48166666.666666664</v>
      </c>
      <c r="F1243" s="40">
        <f>VLOOKUP(A1243,'DATOS GENERALES'!A:B,2,0)</f>
        <v>2.44</v>
      </c>
      <c r="G1243" s="36">
        <f t="shared" si="95"/>
        <v>2.428776</v>
      </c>
      <c r="H1243" s="38">
        <f t="shared" si="96"/>
        <v>19831662.80738391</v>
      </c>
      <c r="I1243" s="38">
        <f t="shared" si="97"/>
        <v>28335003.859282754</v>
      </c>
      <c r="J1243" s="38">
        <v>3101424.5965096005</v>
      </c>
      <c r="K1243" s="38">
        <f t="shared" si="98"/>
        <v>25233579.262773152</v>
      </c>
      <c r="L1243" s="41">
        <f>VLOOKUP(INDICADORES!$B$21,'DATOS GENERALES'!$K:$M,3,0)*E1243</f>
        <v>327823.59969421045</v>
      </c>
      <c r="M1243" s="38">
        <f t="shared" si="99"/>
        <v>24905755.663078941</v>
      </c>
      <c r="N1243" s="36"/>
      <c r="O1243" s="36"/>
      <c r="P1243" s="36"/>
    </row>
    <row r="1244" spans="1:16" x14ac:dyDescent="0.25">
      <c r="A1244" s="36">
        <v>1824</v>
      </c>
      <c r="B1244" s="37">
        <v>43556</v>
      </c>
      <c r="C1244" s="36" t="s">
        <v>195</v>
      </c>
      <c r="D1244" s="36"/>
      <c r="E1244" s="38">
        <v>48166666.666666664</v>
      </c>
      <c r="F1244" s="40">
        <f>VLOOKUP(A1244,'DATOS GENERALES'!A:B,2,0)</f>
        <v>2.44</v>
      </c>
      <c r="G1244" s="36">
        <f t="shared" si="95"/>
        <v>2.428776</v>
      </c>
      <c r="H1244" s="38">
        <f t="shared" si="96"/>
        <v>19831662.80738391</v>
      </c>
      <c r="I1244" s="38">
        <f t="shared" si="97"/>
        <v>28335003.859282754</v>
      </c>
      <c r="J1244" s="38">
        <v>3188498.2339224215</v>
      </c>
      <c r="K1244" s="38">
        <f t="shared" si="98"/>
        <v>25146505.625360332</v>
      </c>
      <c r="L1244" s="41">
        <f>VLOOKUP(INDICADORES!$B$21,'DATOS GENERALES'!$K:$M,3,0)*E1244</f>
        <v>327823.59969421045</v>
      </c>
      <c r="M1244" s="38">
        <f t="shared" si="99"/>
        <v>24818682.025666121</v>
      </c>
      <c r="N1244" s="36"/>
      <c r="O1244" s="36"/>
      <c r="P1244" s="36"/>
    </row>
    <row r="1245" spans="1:16" x14ac:dyDescent="0.25">
      <c r="A1245" s="36">
        <v>1824</v>
      </c>
      <c r="B1245" s="37">
        <v>43586</v>
      </c>
      <c r="C1245" s="36" t="s">
        <v>195</v>
      </c>
      <c r="D1245" s="36"/>
      <c r="E1245" s="38">
        <v>48166666.666666664</v>
      </c>
      <c r="F1245" s="40">
        <f>VLOOKUP(A1245,'DATOS GENERALES'!A:B,2,0)</f>
        <v>2.44</v>
      </c>
      <c r="G1245" s="36">
        <f t="shared" si="95"/>
        <v>2.428776</v>
      </c>
      <c r="H1245" s="38">
        <f t="shared" si="96"/>
        <v>19831662.80738391</v>
      </c>
      <c r="I1245" s="38">
        <f t="shared" si="97"/>
        <v>28335003.859282754</v>
      </c>
      <c r="J1245" s="38">
        <v>2630288.0571293887</v>
      </c>
      <c r="K1245" s="38">
        <f t="shared" si="98"/>
        <v>25704715.802153364</v>
      </c>
      <c r="L1245" s="41">
        <f>VLOOKUP(INDICADORES!$B$21,'DATOS GENERALES'!$K:$M,3,0)*E1245</f>
        <v>327823.59969421045</v>
      </c>
      <c r="M1245" s="38">
        <f t="shared" si="99"/>
        <v>25376892.202459153</v>
      </c>
      <c r="N1245" s="36"/>
      <c r="O1245" s="36"/>
      <c r="P1245" s="36"/>
    </row>
    <row r="1246" spans="1:16" x14ac:dyDescent="0.25">
      <c r="A1246" s="36">
        <v>1824</v>
      </c>
      <c r="B1246" s="37">
        <v>43617</v>
      </c>
      <c r="C1246" s="36" t="s">
        <v>195</v>
      </c>
      <c r="D1246" s="36"/>
      <c r="E1246" s="38">
        <v>48166666.666666664</v>
      </c>
      <c r="F1246" s="40">
        <f>VLOOKUP(A1246,'DATOS GENERALES'!A:B,2,0)</f>
        <v>2.44</v>
      </c>
      <c r="G1246" s="36">
        <f t="shared" si="95"/>
        <v>2.428776</v>
      </c>
      <c r="H1246" s="38">
        <f t="shared" si="96"/>
        <v>19831662.80738391</v>
      </c>
      <c r="I1246" s="38">
        <f t="shared" si="97"/>
        <v>28335003.859282754</v>
      </c>
      <c r="J1246" s="38">
        <v>3537121.4642326431</v>
      </c>
      <c r="K1246" s="38">
        <f t="shared" si="98"/>
        <v>24797882.395050112</v>
      </c>
      <c r="L1246" s="41">
        <f>VLOOKUP(INDICADORES!$B$21,'DATOS GENERALES'!$K:$M,3,0)*E1246</f>
        <v>327823.59969421045</v>
      </c>
      <c r="M1246" s="38">
        <f t="shared" si="99"/>
        <v>24470058.795355901</v>
      </c>
      <c r="N1246" s="36"/>
      <c r="O1246" s="36"/>
      <c r="P1246" s="36"/>
    </row>
    <row r="1247" spans="1:16" x14ac:dyDescent="0.25">
      <c r="A1247" s="36">
        <v>1866</v>
      </c>
      <c r="B1247" s="37">
        <v>43497</v>
      </c>
      <c r="C1247" s="36" t="s">
        <v>195</v>
      </c>
      <c r="D1247" s="36"/>
      <c r="E1247" s="38">
        <v>9800000</v>
      </c>
      <c r="F1247" s="40">
        <f>VLOOKUP(A1247,'DATOS GENERALES'!A:B,2,0)</f>
        <v>1</v>
      </c>
      <c r="G1247" s="36">
        <f t="shared" si="95"/>
        <v>0.99539999999999995</v>
      </c>
      <c r="H1247" s="38">
        <f t="shared" si="96"/>
        <v>9845288.3263009842</v>
      </c>
      <c r="I1247" s="38">
        <f t="shared" si="97"/>
        <v>-45288.326300984249</v>
      </c>
      <c r="J1247" s="38">
        <v>2128136.3320058468</v>
      </c>
      <c r="K1247" s="38">
        <f t="shared" si="98"/>
        <v>-2173424.658306831</v>
      </c>
      <c r="L1247" s="41">
        <f>VLOOKUP(INDICADORES!$B$21,'DATOS GENERALES'!$K:$M,3,0)*E1247</f>
        <v>66699.057654046977</v>
      </c>
      <c r="M1247" s="38">
        <f t="shared" si="99"/>
        <v>-2240123.7159608779</v>
      </c>
      <c r="N1247" s="36"/>
      <c r="O1247" s="36"/>
      <c r="P1247" s="36"/>
    </row>
    <row r="1248" spans="1:16" x14ac:dyDescent="0.25">
      <c r="A1248" s="36">
        <v>1866</v>
      </c>
      <c r="B1248" s="37">
        <v>43525</v>
      </c>
      <c r="C1248" s="36" t="s">
        <v>195</v>
      </c>
      <c r="D1248" s="36"/>
      <c r="E1248" s="38">
        <v>9800000</v>
      </c>
      <c r="F1248" s="40">
        <f>VLOOKUP(A1248,'DATOS GENERALES'!A:B,2,0)</f>
        <v>1</v>
      </c>
      <c r="G1248" s="36">
        <f t="shared" si="95"/>
        <v>0.99539999999999995</v>
      </c>
      <c r="H1248" s="38">
        <f t="shared" si="96"/>
        <v>9845288.3263009842</v>
      </c>
      <c r="I1248" s="38">
        <f t="shared" si="97"/>
        <v>-45288.326300984249</v>
      </c>
      <c r="J1248" s="38">
        <v>1539680.2412125445</v>
      </c>
      <c r="K1248" s="38">
        <f t="shared" si="98"/>
        <v>-1584968.5675135287</v>
      </c>
      <c r="L1248" s="41">
        <f>VLOOKUP(INDICADORES!$B$21,'DATOS GENERALES'!$K:$M,3,0)*E1248</f>
        <v>66699.057654046977</v>
      </c>
      <c r="M1248" s="38">
        <f t="shared" si="99"/>
        <v>-1651667.6251675757</v>
      </c>
      <c r="N1248" s="36"/>
      <c r="O1248" s="36"/>
      <c r="P1248" s="36"/>
    </row>
    <row r="1249" spans="1:16" x14ac:dyDescent="0.25">
      <c r="A1249" s="36">
        <v>1866</v>
      </c>
      <c r="B1249" s="37">
        <v>43556</v>
      </c>
      <c r="C1249" s="36" t="s">
        <v>195</v>
      </c>
      <c r="D1249" s="36"/>
      <c r="E1249" s="38">
        <v>9800000</v>
      </c>
      <c r="F1249" s="40">
        <f>VLOOKUP(A1249,'DATOS GENERALES'!A:B,2,0)</f>
        <v>1</v>
      </c>
      <c r="G1249" s="36">
        <f t="shared" si="95"/>
        <v>0.99539999999999995</v>
      </c>
      <c r="H1249" s="38">
        <f t="shared" si="96"/>
        <v>9845288.3263009842</v>
      </c>
      <c r="I1249" s="38">
        <f t="shared" si="97"/>
        <v>-45288.326300984249</v>
      </c>
      <c r="J1249" s="38">
        <v>1582907.3308557707</v>
      </c>
      <c r="K1249" s="38">
        <f t="shared" si="98"/>
        <v>-1628195.657156755</v>
      </c>
      <c r="L1249" s="41">
        <f>VLOOKUP(INDICADORES!$B$21,'DATOS GENERALES'!$K:$M,3,0)*E1249</f>
        <v>66699.057654046977</v>
      </c>
      <c r="M1249" s="38">
        <f t="shared" si="99"/>
        <v>-1694894.7148108019</v>
      </c>
      <c r="N1249" s="36"/>
      <c r="O1249" s="36"/>
      <c r="P1249" s="36"/>
    </row>
    <row r="1250" spans="1:16" x14ac:dyDescent="0.25">
      <c r="A1250" s="36">
        <v>1866</v>
      </c>
      <c r="B1250" s="37">
        <v>43586</v>
      </c>
      <c r="C1250" s="36" t="s">
        <v>195</v>
      </c>
      <c r="D1250" s="36"/>
      <c r="E1250" s="38">
        <v>9800000</v>
      </c>
      <c r="F1250" s="40">
        <f>VLOOKUP(A1250,'DATOS GENERALES'!A:B,2,0)</f>
        <v>1</v>
      </c>
      <c r="G1250" s="36">
        <f t="shared" si="95"/>
        <v>0.99539999999999995</v>
      </c>
      <c r="H1250" s="38">
        <f t="shared" si="96"/>
        <v>9845288.3263009842</v>
      </c>
      <c r="I1250" s="38">
        <f t="shared" si="97"/>
        <v>-45288.326300984249</v>
      </c>
      <c r="J1250" s="38">
        <v>1305787.8482092305</v>
      </c>
      <c r="K1250" s="38">
        <f t="shared" si="98"/>
        <v>-1351076.1745102147</v>
      </c>
      <c r="L1250" s="41">
        <f>VLOOKUP(INDICADORES!$B$21,'DATOS GENERALES'!$K:$M,3,0)*E1250</f>
        <v>66699.057654046977</v>
      </c>
      <c r="M1250" s="38">
        <f t="shared" si="99"/>
        <v>-1417775.2321642616</v>
      </c>
      <c r="N1250" s="36"/>
      <c r="O1250" s="36"/>
      <c r="P1250" s="36"/>
    </row>
    <row r="1251" spans="1:16" x14ac:dyDescent="0.25">
      <c r="A1251" s="36">
        <v>1866</v>
      </c>
      <c r="B1251" s="37">
        <v>43617</v>
      </c>
      <c r="C1251" s="36" t="s">
        <v>195</v>
      </c>
      <c r="D1251" s="36"/>
      <c r="E1251" s="38">
        <v>9800000</v>
      </c>
      <c r="F1251" s="40">
        <f>VLOOKUP(A1251,'DATOS GENERALES'!A:B,2,0)</f>
        <v>1</v>
      </c>
      <c r="G1251" s="36">
        <f t="shared" si="95"/>
        <v>0.99539999999999995</v>
      </c>
      <c r="H1251" s="38">
        <f t="shared" si="96"/>
        <v>9845288.3263009842</v>
      </c>
      <c r="I1251" s="38">
        <f t="shared" si="97"/>
        <v>-45288.326300984249</v>
      </c>
      <c r="J1251" s="38">
        <v>1755978.8606103314</v>
      </c>
      <c r="K1251" s="38">
        <f t="shared" si="98"/>
        <v>-1801267.1869113157</v>
      </c>
      <c r="L1251" s="41">
        <f>VLOOKUP(INDICADORES!$B$21,'DATOS GENERALES'!$K:$M,3,0)*E1251</f>
        <v>66699.057654046977</v>
      </c>
      <c r="M1251" s="38">
        <f t="shared" si="99"/>
        <v>-1867966.2445653626</v>
      </c>
      <c r="N1251" s="36"/>
      <c r="O1251" s="36"/>
      <c r="P1251" s="36"/>
    </row>
    <row r="1252" spans="1:16" x14ac:dyDescent="0.25">
      <c r="A1252" s="36">
        <v>1866</v>
      </c>
      <c r="B1252" s="37">
        <v>43647</v>
      </c>
      <c r="C1252" s="36" t="s">
        <v>195</v>
      </c>
      <c r="D1252" s="36"/>
      <c r="E1252" s="38">
        <v>9800000</v>
      </c>
      <c r="F1252" s="40">
        <f>VLOOKUP(A1252,'DATOS GENERALES'!A:B,2,0)</f>
        <v>1</v>
      </c>
      <c r="G1252" s="36">
        <f t="shared" si="95"/>
        <v>0.99539999999999995</v>
      </c>
      <c r="H1252" s="38">
        <f t="shared" si="96"/>
        <v>9845288.3263009842</v>
      </c>
      <c r="I1252" s="38">
        <f t="shared" si="97"/>
        <v>-45288.326300984249</v>
      </c>
      <c r="J1252" s="38">
        <v>2618682.5377025553</v>
      </c>
      <c r="K1252" s="38">
        <f t="shared" si="98"/>
        <v>-2663970.8640035396</v>
      </c>
      <c r="L1252" s="41">
        <f>VLOOKUP(INDICADORES!$B$21,'DATOS GENERALES'!$K:$M,3,0)*E1252</f>
        <v>66699.057654046977</v>
      </c>
      <c r="M1252" s="38">
        <f t="shared" si="99"/>
        <v>-2730669.9216575865</v>
      </c>
      <c r="N1252" s="36"/>
      <c r="O1252" s="36"/>
      <c r="P1252" s="36"/>
    </row>
    <row r="1253" spans="1:16" x14ac:dyDescent="0.25">
      <c r="A1253" s="36">
        <v>1866</v>
      </c>
      <c r="B1253" s="37">
        <v>43678</v>
      </c>
      <c r="C1253" s="36" t="s">
        <v>195</v>
      </c>
      <c r="D1253" s="36"/>
      <c r="E1253" s="38">
        <v>9800000</v>
      </c>
      <c r="F1253" s="40">
        <f>VLOOKUP(A1253,'DATOS GENERALES'!A:B,2,0)</f>
        <v>1</v>
      </c>
      <c r="G1253" s="36">
        <f t="shared" si="95"/>
        <v>0.99539999999999995</v>
      </c>
      <c r="H1253" s="38">
        <f t="shared" si="96"/>
        <v>9845288.3263009842</v>
      </c>
      <c r="I1253" s="38">
        <f t="shared" si="97"/>
        <v>-45288.326300984249</v>
      </c>
      <c r="J1253" s="38">
        <v>2576878.559367477</v>
      </c>
      <c r="K1253" s="38">
        <f t="shared" si="98"/>
        <v>-2622166.8856684612</v>
      </c>
      <c r="L1253" s="41">
        <f>VLOOKUP(INDICADORES!$B$21,'DATOS GENERALES'!$K:$M,3,0)*E1253</f>
        <v>66699.057654046977</v>
      </c>
      <c r="M1253" s="38">
        <f t="shared" si="99"/>
        <v>-2688865.9433225081</v>
      </c>
      <c r="N1253" s="36"/>
      <c r="O1253" s="36"/>
      <c r="P1253" s="36"/>
    </row>
    <row r="1254" spans="1:16" x14ac:dyDescent="0.25">
      <c r="A1254" s="36">
        <v>1866</v>
      </c>
      <c r="B1254" s="37">
        <v>43709</v>
      </c>
      <c r="C1254" s="36" t="s">
        <v>195</v>
      </c>
      <c r="D1254" s="36"/>
      <c r="E1254" s="38">
        <v>9800000</v>
      </c>
      <c r="F1254" s="40">
        <f>VLOOKUP(A1254,'DATOS GENERALES'!A:B,2,0)</f>
        <v>1</v>
      </c>
      <c r="G1254" s="36">
        <f t="shared" si="95"/>
        <v>0.99539999999999995</v>
      </c>
      <c r="H1254" s="38">
        <f t="shared" si="96"/>
        <v>9845288.3263009842</v>
      </c>
      <c r="I1254" s="38">
        <f t="shared" si="97"/>
        <v>-45288.326300984249</v>
      </c>
      <c r="J1254" s="38">
        <v>2912318.6925178552</v>
      </c>
      <c r="K1254" s="38">
        <f t="shared" si="98"/>
        <v>-2957607.0188188395</v>
      </c>
      <c r="L1254" s="41">
        <f>VLOOKUP(INDICADORES!$B$21,'DATOS GENERALES'!$K:$M,3,0)*E1254</f>
        <v>66699.057654046977</v>
      </c>
      <c r="M1254" s="38">
        <f t="shared" si="99"/>
        <v>-3024306.0764728864</v>
      </c>
      <c r="N1254" s="36"/>
      <c r="O1254" s="36"/>
      <c r="P1254" s="36"/>
    </row>
    <row r="1255" spans="1:16" x14ac:dyDescent="0.25">
      <c r="A1255" s="36">
        <v>1866</v>
      </c>
      <c r="B1255" s="37">
        <v>43739</v>
      </c>
      <c r="C1255" s="36" t="s">
        <v>195</v>
      </c>
      <c r="D1255" s="36"/>
      <c r="E1255" s="38">
        <v>9800000</v>
      </c>
      <c r="F1255" s="40">
        <f>VLOOKUP(A1255,'DATOS GENERALES'!A:B,2,0)</f>
        <v>1</v>
      </c>
      <c r="G1255" s="36">
        <f t="shared" si="95"/>
        <v>0.99539999999999995</v>
      </c>
      <c r="H1255" s="38">
        <f t="shared" si="96"/>
        <v>9845288.3263009842</v>
      </c>
      <c r="I1255" s="38">
        <f t="shared" si="97"/>
        <v>-45288.326300984249</v>
      </c>
      <c r="J1255" s="38">
        <v>3149371.942275581</v>
      </c>
      <c r="K1255" s="38">
        <f t="shared" si="98"/>
        <v>-3194660.2685765652</v>
      </c>
      <c r="L1255" s="41">
        <f>VLOOKUP(INDICADORES!$B$21,'DATOS GENERALES'!$K:$M,3,0)*E1255</f>
        <v>66699.057654046977</v>
      </c>
      <c r="M1255" s="38">
        <f t="shared" si="99"/>
        <v>-3261359.3262306121</v>
      </c>
      <c r="N1255" s="36"/>
      <c r="O1255" s="36"/>
      <c r="P1255" s="36"/>
    </row>
    <row r="1256" spans="1:16" x14ac:dyDescent="0.25">
      <c r="A1256" s="36">
        <v>1866</v>
      </c>
      <c r="B1256" s="37">
        <v>43770</v>
      </c>
      <c r="C1256" s="36" t="s">
        <v>195</v>
      </c>
      <c r="D1256" s="36"/>
      <c r="E1256" s="38">
        <v>9800000</v>
      </c>
      <c r="F1256" s="40">
        <f>VLOOKUP(A1256,'DATOS GENERALES'!A:B,2,0)</f>
        <v>1</v>
      </c>
      <c r="G1256" s="36">
        <f t="shared" si="95"/>
        <v>0.99539999999999995</v>
      </c>
      <c r="H1256" s="38">
        <f t="shared" si="96"/>
        <v>9845288.3263009842</v>
      </c>
      <c r="I1256" s="38">
        <f t="shared" si="97"/>
        <v>-45288.326300984249</v>
      </c>
      <c r="J1256" s="38">
        <v>4212053.0300091868</v>
      </c>
      <c r="K1256" s="38">
        <f t="shared" si="98"/>
        <v>-4257341.3563101711</v>
      </c>
      <c r="L1256" s="41">
        <f>VLOOKUP(INDICADORES!$B$21,'DATOS GENERALES'!$K:$M,3,0)*E1256</f>
        <v>66699.057654046977</v>
      </c>
      <c r="M1256" s="38">
        <f t="shared" si="99"/>
        <v>-4324040.4139642185</v>
      </c>
      <c r="N1256" s="36"/>
      <c r="O1256" s="36"/>
      <c r="P1256" s="36"/>
    </row>
    <row r="1257" spans="1:16" x14ac:dyDescent="0.25">
      <c r="A1257" s="36">
        <v>1866</v>
      </c>
      <c r="B1257" s="37">
        <v>43800</v>
      </c>
      <c r="C1257" s="36" t="s">
        <v>195</v>
      </c>
      <c r="D1257" s="36"/>
      <c r="E1257" s="38">
        <v>9800000</v>
      </c>
      <c r="F1257" s="40">
        <f>VLOOKUP(A1257,'DATOS GENERALES'!A:B,2,0)</f>
        <v>1</v>
      </c>
      <c r="G1257" s="36">
        <f t="shared" si="95"/>
        <v>0.99539999999999995</v>
      </c>
      <c r="H1257" s="38">
        <f t="shared" si="96"/>
        <v>9845288.3263009842</v>
      </c>
      <c r="I1257" s="38">
        <f t="shared" si="97"/>
        <v>-45288.326300984249</v>
      </c>
      <c r="J1257" s="38">
        <v>3546495.5543073569</v>
      </c>
      <c r="K1257" s="38">
        <f t="shared" si="98"/>
        <v>-3591783.8806083412</v>
      </c>
      <c r="L1257" s="41">
        <f>VLOOKUP(INDICADORES!$B$21,'DATOS GENERALES'!$K:$M,3,0)*E1257</f>
        <v>66699.057654046977</v>
      </c>
      <c r="M1257" s="38">
        <f t="shared" si="99"/>
        <v>-3658482.9382623881</v>
      </c>
      <c r="N1257" s="36"/>
      <c r="O1257" s="36"/>
      <c r="P1257" s="36"/>
    </row>
    <row r="1258" spans="1:16" x14ac:dyDescent="0.25">
      <c r="A1258" s="36">
        <v>1866</v>
      </c>
      <c r="B1258" s="37">
        <v>43831</v>
      </c>
      <c r="C1258" s="36" t="s">
        <v>195</v>
      </c>
      <c r="D1258" s="36"/>
      <c r="E1258" s="38">
        <v>9800000</v>
      </c>
      <c r="F1258" s="40">
        <f>VLOOKUP(A1258,'DATOS GENERALES'!A:B,2,0)</f>
        <v>1</v>
      </c>
      <c r="G1258" s="36">
        <f t="shared" si="95"/>
        <v>0.99539999999999995</v>
      </c>
      <c r="H1258" s="38">
        <f t="shared" si="96"/>
        <v>9845288.3263009842</v>
      </c>
      <c r="I1258" s="38">
        <f t="shared" si="97"/>
        <v>-45288.326300984249</v>
      </c>
      <c r="J1258" s="38" t="s">
        <v>213</v>
      </c>
      <c r="K1258" s="38" t="str">
        <f t="shared" si="98"/>
        <v/>
      </c>
      <c r="L1258" s="41">
        <f>VLOOKUP(INDICADORES!$B$21,'DATOS GENERALES'!$K:$M,3,0)*E1258</f>
        <v>66699.057654046977</v>
      </c>
      <c r="M1258" s="38" t="str">
        <f t="shared" si="99"/>
        <v/>
      </c>
      <c r="N1258" s="36"/>
      <c r="O1258" s="36"/>
      <c r="P1258" s="36"/>
    </row>
    <row r="1259" spans="1:16" x14ac:dyDescent="0.25">
      <c r="A1259" s="36">
        <v>1866</v>
      </c>
      <c r="B1259" s="37">
        <v>43862</v>
      </c>
      <c r="C1259" s="36" t="s">
        <v>195</v>
      </c>
      <c r="D1259" s="36"/>
      <c r="E1259" s="38">
        <v>9800000</v>
      </c>
      <c r="F1259" s="40">
        <f>VLOOKUP(A1259,'DATOS GENERALES'!A:B,2,0)</f>
        <v>1</v>
      </c>
      <c r="G1259" s="36">
        <f t="shared" si="95"/>
        <v>0.99539999999999995</v>
      </c>
      <c r="H1259" s="38">
        <f t="shared" si="96"/>
        <v>9845288.3263009842</v>
      </c>
      <c r="I1259" s="38">
        <f t="shared" si="97"/>
        <v>-45288.326300984249</v>
      </c>
      <c r="J1259" s="38" t="s">
        <v>213</v>
      </c>
      <c r="K1259" s="38" t="str">
        <f t="shared" si="98"/>
        <v/>
      </c>
      <c r="L1259" s="41">
        <f>VLOOKUP(INDICADORES!$B$21,'DATOS GENERALES'!$K:$M,3,0)*E1259</f>
        <v>66699.057654046977</v>
      </c>
      <c r="M1259" s="38" t="str">
        <f t="shared" si="99"/>
        <v/>
      </c>
      <c r="N1259" s="36"/>
      <c r="O1259" s="36"/>
      <c r="P1259" s="36"/>
    </row>
    <row r="1260" spans="1:16" x14ac:dyDescent="0.25">
      <c r="A1260" s="36">
        <v>1866</v>
      </c>
      <c r="B1260" s="37">
        <v>43891</v>
      </c>
      <c r="C1260" s="36" t="s">
        <v>195</v>
      </c>
      <c r="D1260" s="36"/>
      <c r="E1260" s="38">
        <v>9800000</v>
      </c>
      <c r="F1260" s="40">
        <f>VLOOKUP(A1260,'DATOS GENERALES'!A:B,2,0)</f>
        <v>1</v>
      </c>
      <c r="G1260" s="36">
        <f t="shared" si="95"/>
        <v>0.99539999999999995</v>
      </c>
      <c r="H1260" s="38">
        <f t="shared" si="96"/>
        <v>9845288.3263009842</v>
      </c>
      <c r="I1260" s="38">
        <f t="shared" si="97"/>
        <v>-45288.326300984249</v>
      </c>
      <c r="J1260" s="38" t="s">
        <v>213</v>
      </c>
      <c r="K1260" s="38" t="str">
        <f t="shared" si="98"/>
        <v/>
      </c>
      <c r="L1260" s="41">
        <f>VLOOKUP(INDICADORES!$B$21,'DATOS GENERALES'!$K:$M,3,0)*E1260</f>
        <v>66699.057654046977</v>
      </c>
      <c r="M1260" s="38" t="str">
        <f t="shared" si="99"/>
        <v/>
      </c>
      <c r="N1260" s="36"/>
      <c r="O1260" s="36"/>
      <c r="P1260" s="36"/>
    </row>
    <row r="1261" spans="1:16" x14ac:dyDescent="0.25">
      <c r="A1261" s="36">
        <v>1848</v>
      </c>
      <c r="B1261" s="37">
        <v>43525</v>
      </c>
      <c r="C1261" s="36" t="s">
        <v>195</v>
      </c>
      <c r="D1261" s="36"/>
      <c r="E1261" s="38">
        <v>12773052.833333334</v>
      </c>
      <c r="F1261" s="40">
        <f>VLOOKUP(A1261,'DATOS GENERALES'!A:B,2,0)</f>
        <v>2.2999999999999998</v>
      </c>
      <c r="G1261" s="36">
        <f t="shared" si="95"/>
        <v>2.2894199999999998</v>
      </c>
      <c r="H1261" s="38">
        <f t="shared" si="96"/>
        <v>5579165.3926904351</v>
      </c>
      <c r="I1261" s="38">
        <f t="shared" si="97"/>
        <v>7193887.4406428989</v>
      </c>
      <c r="J1261" s="38">
        <v>872511.84860014403</v>
      </c>
      <c r="K1261" s="38">
        <f t="shared" si="98"/>
        <v>6321375.5920427553</v>
      </c>
      <c r="L1261" s="41">
        <f>VLOOKUP(INDICADORES!$B$21,'DATOS GENERALES'!$K:$M,3,0)*E1261</f>
        <v>86933.733402927362</v>
      </c>
      <c r="M1261" s="38">
        <f t="shared" si="99"/>
        <v>6234441.8586398279</v>
      </c>
      <c r="N1261" s="36"/>
      <c r="O1261" s="36"/>
      <c r="P1261" s="36"/>
    </row>
    <row r="1262" spans="1:16" x14ac:dyDescent="0.25">
      <c r="A1262" s="36">
        <v>1848</v>
      </c>
      <c r="B1262" s="37">
        <v>43556</v>
      </c>
      <c r="C1262" s="36" t="s">
        <v>195</v>
      </c>
      <c r="D1262" s="36"/>
      <c r="E1262" s="38">
        <v>12773052.833333334</v>
      </c>
      <c r="F1262" s="40">
        <f>VLOOKUP(A1262,'DATOS GENERALES'!A:B,2,0)</f>
        <v>2.2999999999999998</v>
      </c>
      <c r="G1262" s="36">
        <f t="shared" si="95"/>
        <v>2.2894199999999998</v>
      </c>
      <c r="H1262" s="38">
        <f t="shared" si="96"/>
        <v>5579165.3926904351</v>
      </c>
      <c r="I1262" s="38">
        <f t="shared" si="97"/>
        <v>7193887.4406428989</v>
      </c>
      <c r="J1262" s="38">
        <v>897007.93998630915</v>
      </c>
      <c r="K1262" s="38">
        <f t="shared" si="98"/>
        <v>6296879.5006565899</v>
      </c>
      <c r="L1262" s="41">
        <f>VLOOKUP(INDICADORES!$B$21,'DATOS GENERALES'!$K:$M,3,0)*E1262</f>
        <v>86933.733402927362</v>
      </c>
      <c r="M1262" s="38">
        <f t="shared" si="99"/>
        <v>6209945.7672536625</v>
      </c>
      <c r="N1262" s="36"/>
      <c r="O1262" s="36"/>
      <c r="P1262" s="36"/>
    </row>
    <row r="1263" spans="1:16" x14ac:dyDescent="0.25">
      <c r="A1263" s="36">
        <v>1848</v>
      </c>
      <c r="B1263" s="37">
        <v>43586</v>
      </c>
      <c r="C1263" s="36" t="s">
        <v>195</v>
      </c>
      <c r="D1263" s="36"/>
      <c r="E1263" s="38">
        <v>12773052.833333334</v>
      </c>
      <c r="F1263" s="40">
        <f>VLOOKUP(A1263,'DATOS GENERALES'!A:B,2,0)</f>
        <v>2.2999999999999998</v>
      </c>
      <c r="G1263" s="36">
        <f t="shared" si="95"/>
        <v>2.2894199999999998</v>
      </c>
      <c r="H1263" s="38">
        <f t="shared" si="96"/>
        <v>5579165.3926904351</v>
      </c>
      <c r="I1263" s="38">
        <f t="shared" si="97"/>
        <v>7193887.4406428989</v>
      </c>
      <c r="J1263" s="38">
        <v>739968.81873563235</v>
      </c>
      <c r="K1263" s="38">
        <f t="shared" si="98"/>
        <v>6453918.6219072668</v>
      </c>
      <c r="L1263" s="41">
        <f>VLOOKUP(INDICADORES!$B$21,'DATOS GENERALES'!$K:$M,3,0)*E1263</f>
        <v>86933.733402927362</v>
      </c>
      <c r="M1263" s="38">
        <f t="shared" si="99"/>
        <v>6366984.8885043394</v>
      </c>
      <c r="N1263" s="36"/>
      <c r="O1263" s="36"/>
      <c r="P1263" s="36"/>
    </row>
    <row r="1264" spans="1:16" x14ac:dyDescent="0.25">
      <c r="A1264" s="36">
        <v>1848</v>
      </c>
      <c r="B1264" s="37">
        <v>43617</v>
      </c>
      <c r="C1264" s="36" t="s">
        <v>195</v>
      </c>
      <c r="D1264" s="36"/>
      <c r="E1264" s="38">
        <v>12773052.833333334</v>
      </c>
      <c r="F1264" s="40">
        <f>VLOOKUP(A1264,'DATOS GENERALES'!A:B,2,0)</f>
        <v>2.2999999999999998</v>
      </c>
      <c r="G1264" s="36">
        <f t="shared" si="95"/>
        <v>2.2894199999999998</v>
      </c>
      <c r="H1264" s="38">
        <f t="shared" si="96"/>
        <v>5579165.3926904351</v>
      </c>
      <c r="I1264" s="38">
        <f t="shared" si="97"/>
        <v>7193887.4406428989</v>
      </c>
      <c r="J1264" s="38">
        <v>995084.77199610649</v>
      </c>
      <c r="K1264" s="38">
        <f t="shared" si="98"/>
        <v>6198802.6686467919</v>
      </c>
      <c r="L1264" s="41">
        <f>VLOOKUP(INDICADORES!$B$21,'DATOS GENERALES'!$K:$M,3,0)*E1264</f>
        <v>86933.733402927362</v>
      </c>
      <c r="M1264" s="38">
        <f t="shared" si="99"/>
        <v>6111868.9352438645</v>
      </c>
      <c r="N1264" s="36"/>
      <c r="O1264" s="36"/>
      <c r="P1264" s="36"/>
    </row>
    <row r="1265" spans="1:16" x14ac:dyDescent="0.25">
      <c r="A1265" s="36">
        <v>1848</v>
      </c>
      <c r="B1265" s="37">
        <v>43647</v>
      </c>
      <c r="C1265" s="36" t="s">
        <v>195</v>
      </c>
      <c r="D1265" s="36"/>
      <c r="E1265" s="38">
        <v>12773052.833333334</v>
      </c>
      <c r="F1265" s="40">
        <f>VLOOKUP(A1265,'DATOS GENERALES'!A:B,2,0)</f>
        <v>2.2999999999999998</v>
      </c>
      <c r="G1265" s="36">
        <f t="shared" si="95"/>
        <v>2.2894199999999998</v>
      </c>
      <c r="H1265" s="38">
        <f t="shared" si="96"/>
        <v>5579165.3926904351</v>
      </c>
      <c r="I1265" s="38">
        <f t="shared" si="97"/>
        <v>7193887.4406428989</v>
      </c>
      <c r="J1265" s="38">
        <v>1483964.9692902465</v>
      </c>
      <c r="K1265" s="38">
        <f t="shared" si="98"/>
        <v>5709922.4713526526</v>
      </c>
      <c r="L1265" s="41">
        <f>VLOOKUP(INDICADORES!$B$21,'DATOS GENERALES'!$K:$M,3,0)*E1265</f>
        <v>86933.733402927362</v>
      </c>
      <c r="M1265" s="38">
        <f t="shared" si="99"/>
        <v>5622988.7379497252</v>
      </c>
      <c r="N1265" s="36"/>
      <c r="O1265" s="36"/>
      <c r="P1265" s="36"/>
    </row>
    <row r="1266" spans="1:16" x14ac:dyDescent="0.25">
      <c r="A1266" s="36">
        <v>1848</v>
      </c>
      <c r="B1266" s="37">
        <v>43678</v>
      </c>
      <c r="C1266" s="36" t="s">
        <v>195</v>
      </c>
      <c r="D1266" s="36"/>
      <c r="E1266" s="38">
        <v>12773052.833333334</v>
      </c>
      <c r="F1266" s="40">
        <f>VLOOKUP(A1266,'DATOS GENERALES'!A:B,2,0)</f>
        <v>2.2999999999999998</v>
      </c>
      <c r="G1266" s="36">
        <f t="shared" si="95"/>
        <v>2.2894199999999998</v>
      </c>
      <c r="H1266" s="38">
        <f t="shared" si="96"/>
        <v>5579165.3926904351</v>
      </c>
      <c r="I1266" s="38">
        <f t="shared" si="97"/>
        <v>7193887.4406428989</v>
      </c>
      <c r="J1266" s="38">
        <v>1460275.3320268269</v>
      </c>
      <c r="K1266" s="38">
        <f t="shared" si="98"/>
        <v>5733612.1086160718</v>
      </c>
      <c r="L1266" s="41">
        <f>VLOOKUP(INDICADORES!$B$21,'DATOS GENERALES'!$K:$M,3,0)*E1266</f>
        <v>86933.733402927362</v>
      </c>
      <c r="M1266" s="38">
        <f t="shared" si="99"/>
        <v>5646678.3752131443</v>
      </c>
      <c r="N1266" s="36"/>
      <c r="O1266" s="36"/>
      <c r="P1266" s="36"/>
    </row>
    <row r="1267" spans="1:16" x14ac:dyDescent="0.25">
      <c r="A1267" s="36">
        <v>1848</v>
      </c>
      <c r="B1267" s="37">
        <v>43709</v>
      </c>
      <c r="C1267" s="36" t="s">
        <v>195</v>
      </c>
      <c r="D1267" s="36"/>
      <c r="E1267" s="38">
        <v>12773052.833333334</v>
      </c>
      <c r="F1267" s="40">
        <f>VLOOKUP(A1267,'DATOS GENERALES'!A:B,2,0)</f>
        <v>2.2999999999999998</v>
      </c>
      <c r="G1267" s="36">
        <f t="shared" si="95"/>
        <v>2.2894199999999998</v>
      </c>
      <c r="H1267" s="38">
        <f t="shared" si="96"/>
        <v>5579165.3926904351</v>
      </c>
      <c r="I1267" s="38">
        <f t="shared" si="97"/>
        <v>7193887.4406428989</v>
      </c>
      <c r="J1267" s="38">
        <v>1650363.821075192</v>
      </c>
      <c r="K1267" s="38">
        <f t="shared" si="98"/>
        <v>5543523.6195677072</v>
      </c>
      <c r="L1267" s="41">
        <f>VLOOKUP(INDICADORES!$B$21,'DATOS GENERALES'!$K:$M,3,0)*E1267</f>
        <v>86933.733402927362</v>
      </c>
      <c r="M1267" s="38">
        <f t="shared" si="99"/>
        <v>5456589.8861647798</v>
      </c>
      <c r="N1267" s="36"/>
      <c r="O1267" s="36"/>
      <c r="P1267" s="36"/>
    </row>
    <row r="1268" spans="1:16" x14ac:dyDescent="0.25">
      <c r="A1268" s="36">
        <v>1848</v>
      </c>
      <c r="B1268" s="37">
        <v>43739</v>
      </c>
      <c r="C1268" s="36" t="s">
        <v>195</v>
      </c>
      <c r="D1268" s="36"/>
      <c r="E1268" s="38">
        <v>12773052.833333334</v>
      </c>
      <c r="F1268" s="40">
        <f>VLOOKUP(A1268,'DATOS GENERALES'!A:B,2,0)</f>
        <v>2.2999999999999998</v>
      </c>
      <c r="G1268" s="36">
        <f t="shared" si="95"/>
        <v>2.2894199999999998</v>
      </c>
      <c r="H1268" s="38">
        <f t="shared" si="96"/>
        <v>5579165.3926904351</v>
      </c>
      <c r="I1268" s="38">
        <f t="shared" si="97"/>
        <v>7193887.4406428989</v>
      </c>
      <c r="J1268" s="38">
        <v>1784698.0572539316</v>
      </c>
      <c r="K1268" s="38">
        <f t="shared" si="98"/>
        <v>5409189.3833889673</v>
      </c>
      <c r="L1268" s="41">
        <f>VLOOKUP(INDICADORES!$B$21,'DATOS GENERALES'!$K:$M,3,0)*E1268</f>
        <v>86933.733402927362</v>
      </c>
      <c r="M1268" s="38">
        <f t="shared" si="99"/>
        <v>5322255.6499860398</v>
      </c>
      <c r="N1268" s="36"/>
      <c r="O1268" s="36"/>
      <c r="P1268" s="36"/>
    </row>
    <row r="1269" spans="1:16" x14ac:dyDescent="0.25">
      <c r="A1269" s="36">
        <v>1848</v>
      </c>
      <c r="B1269" s="37">
        <v>43770</v>
      </c>
      <c r="C1269" s="36" t="s">
        <v>195</v>
      </c>
      <c r="D1269" s="36"/>
      <c r="E1269" s="38">
        <v>12773052.833333334</v>
      </c>
      <c r="F1269" s="40">
        <f>VLOOKUP(A1269,'DATOS GENERALES'!A:B,2,0)</f>
        <v>2.2999999999999998</v>
      </c>
      <c r="G1269" s="36">
        <f t="shared" si="95"/>
        <v>2.2894199999999998</v>
      </c>
      <c r="H1269" s="38">
        <f t="shared" si="96"/>
        <v>5579165.3926904351</v>
      </c>
      <c r="I1269" s="38">
        <f t="shared" si="97"/>
        <v>7193887.4406428989</v>
      </c>
      <c r="J1269" s="38">
        <v>2386902.2133588782</v>
      </c>
      <c r="K1269" s="38">
        <f t="shared" si="98"/>
        <v>4806985.2272840207</v>
      </c>
      <c r="L1269" s="41">
        <f>VLOOKUP(INDICADORES!$B$21,'DATOS GENERALES'!$K:$M,3,0)*E1269</f>
        <v>86933.733402927362</v>
      </c>
      <c r="M1269" s="38">
        <f t="shared" si="99"/>
        <v>4720051.4938810933</v>
      </c>
      <c r="N1269" s="36"/>
      <c r="O1269" s="36"/>
      <c r="P1269" s="36"/>
    </row>
    <row r="1270" spans="1:16" x14ac:dyDescent="0.25">
      <c r="A1270" s="36">
        <v>1898</v>
      </c>
      <c r="B1270" s="37">
        <v>43556</v>
      </c>
      <c r="C1270" s="36" t="s">
        <v>195</v>
      </c>
      <c r="D1270" s="36"/>
      <c r="E1270" s="38">
        <v>10000000</v>
      </c>
      <c r="F1270" s="40">
        <f>VLOOKUP(A1270,'DATOS GENERALES'!A:B,2,0)</f>
        <v>1</v>
      </c>
      <c r="G1270" s="36">
        <f t="shared" si="95"/>
        <v>0.99539999999999995</v>
      </c>
      <c r="H1270" s="38">
        <f t="shared" si="96"/>
        <v>10046212.577858148</v>
      </c>
      <c r="I1270" s="38">
        <f t="shared" si="97"/>
        <v>-46212.577858148143</v>
      </c>
      <c r="J1270" s="38">
        <v>1615211.5620977255</v>
      </c>
      <c r="K1270" s="38">
        <f t="shared" si="98"/>
        <v>-1661424.1399558736</v>
      </c>
      <c r="L1270" s="41">
        <f>VLOOKUP(INDICADORES!$B$21,'DATOS GENERALES'!$K:$M,3,0)*E1270</f>
        <v>68060.262912292834</v>
      </c>
      <c r="M1270" s="38">
        <f t="shared" si="99"/>
        <v>-1729484.4028681663</v>
      </c>
      <c r="N1270" s="36"/>
      <c r="O1270" s="36"/>
      <c r="P1270" s="36"/>
    </row>
    <row r="1271" spans="1:16" x14ac:dyDescent="0.25">
      <c r="A1271" s="36">
        <v>1898</v>
      </c>
      <c r="B1271" s="37">
        <v>43586</v>
      </c>
      <c r="C1271" s="36" t="s">
        <v>195</v>
      </c>
      <c r="D1271" s="36"/>
      <c r="E1271" s="38">
        <v>10000000</v>
      </c>
      <c r="F1271" s="40">
        <f>VLOOKUP(A1271,'DATOS GENERALES'!A:B,2,0)</f>
        <v>1</v>
      </c>
      <c r="G1271" s="36">
        <f t="shared" si="95"/>
        <v>0.99539999999999995</v>
      </c>
      <c r="H1271" s="38">
        <f t="shared" si="96"/>
        <v>10046212.577858148</v>
      </c>
      <c r="I1271" s="38">
        <f t="shared" si="97"/>
        <v>-46212.577858148143</v>
      </c>
      <c r="J1271" s="38">
        <v>1332436.5798053374</v>
      </c>
      <c r="K1271" s="38">
        <f t="shared" si="98"/>
        <v>-1378649.1576634855</v>
      </c>
      <c r="L1271" s="41">
        <f>VLOOKUP(INDICADORES!$B$21,'DATOS GENERALES'!$K:$M,3,0)*E1271</f>
        <v>68060.262912292834</v>
      </c>
      <c r="M1271" s="38">
        <f t="shared" si="99"/>
        <v>-1446709.4205757782</v>
      </c>
      <c r="N1271" s="36"/>
      <c r="O1271" s="36"/>
      <c r="P1271" s="36"/>
    </row>
    <row r="1272" spans="1:16" x14ac:dyDescent="0.25">
      <c r="A1272" s="36">
        <v>1898</v>
      </c>
      <c r="B1272" s="37">
        <v>43617</v>
      </c>
      <c r="C1272" s="36" t="s">
        <v>195</v>
      </c>
      <c r="D1272" s="36"/>
      <c r="E1272" s="38">
        <v>10000000</v>
      </c>
      <c r="F1272" s="40">
        <f>VLOOKUP(A1272,'DATOS GENERALES'!A:B,2,0)</f>
        <v>1</v>
      </c>
      <c r="G1272" s="36">
        <f t="shared" si="95"/>
        <v>0.99539999999999995</v>
      </c>
      <c r="H1272" s="38">
        <f t="shared" si="96"/>
        <v>10046212.577858148</v>
      </c>
      <c r="I1272" s="38">
        <f t="shared" si="97"/>
        <v>-46212.577858148143</v>
      </c>
      <c r="J1272" s="38">
        <v>1791815.1638880933</v>
      </c>
      <c r="K1272" s="38">
        <f t="shared" si="98"/>
        <v>-1838027.7417462415</v>
      </c>
      <c r="L1272" s="41">
        <f>VLOOKUP(INDICADORES!$B$21,'DATOS GENERALES'!$K:$M,3,0)*E1272</f>
        <v>68060.262912292834</v>
      </c>
      <c r="M1272" s="38">
        <f t="shared" si="99"/>
        <v>-1906088.0046585342</v>
      </c>
      <c r="N1272" s="36"/>
      <c r="O1272" s="36"/>
      <c r="P1272" s="36"/>
    </row>
    <row r="1273" spans="1:16" x14ac:dyDescent="0.25">
      <c r="A1273" s="36">
        <v>1751</v>
      </c>
      <c r="B1273" s="37">
        <v>43525</v>
      </c>
      <c r="C1273" s="36" t="s">
        <v>195</v>
      </c>
      <c r="D1273" s="36"/>
      <c r="E1273" s="38">
        <v>43506691.09375</v>
      </c>
      <c r="F1273" s="40">
        <f>VLOOKUP(A1273,'DATOS GENERALES'!A:B,2,0)</f>
        <v>2</v>
      </c>
      <c r="G1273" s="36">
        <f t="shared" si="95"/>
        <v>1.9907999999999999</v>
      </c>
      <c r="H1273" s="38">
        <f t="shared" si="96"/>
        <v>21853873.364351016</v>
      </c>
      <c r="I1273" s="38">
        <f t="shared" si="97"/>
        <v>21652817.729398984</v>
      </c>
      <c r="J1273" s="38">
        <v>3417673.0937543199</v>
      </c>
      <c r="K1273" s="38">
        <f t="shared" si="98"/>
        <v>18235144.635644663</v>
      </c>
      <c r="L1273" s="41">
        <f>VLOOKUP(INDICADORES!$B$21,'DATOS GENERALES'!$K:$M,3,0)*E1273</f>
        <v>296107.6834284534</v>
      </c>
      <c r="M1273" s="38">
        <f t="shared" si="99"/>
        <v>17939036.952216208</v>
      </c>
      <c r="N1273" s="36"/>
      <c r="O1273" s="36"/>
      <c r="P1273" s="36"/>
    </row>
    <row r="1274" spans="1:16" x14ac:dyDescent="0.25">
      <c r="A1274" s="36">
        <v>1751</v>
      </c>
      <c r="B1274" s="37">
        <v>43556</v>
      </c>
      <c r="C1274" s="36" t="s">
        <v>195</v>
      </c>
      <c r="D1274" s="36"/>
      <c r="E1274" s="38">
        <v>43506691.09375</v>
      </c>
      <c r="F1274" s="40">
        <f>VLOOKUP(A1274,'DATOS GENERALES'!A:B,2,0)</f>
        <v>2</v>
      </c>
      <c r="G1274" s="36">
        <f t="shared" si="95"/>
        <v>1.9907999999999999</v>
      </c>
      <c r="H1274" s="38">
        <f t="shared" si="96"/>
        <v>21853873.364351016</v>
      </c>
      <c r="I1274" s="38">
        <f t="shared" si="97"/>
        <v>21652817.729398984</v>
      </c>
      <c r="J1274" s="38">
        <v>3513625.5241619558</v>
      </c>
      <c r="K1274" s="38">
        <f t="shared" si="98"/>
        <v>18139192.205237027</v>
      </c>
      <c r="L1274" s="41">
        <f>VLOOKUP(INDICADORES!$B$21,'DATOS GENERALES'!$K:$M,3,0)*E1274</f>
        <v>296107.6834284534</v>
      </c>
      <c r="M1274" s="38">
        <f t="shared" si="99"/>
        <v>17843084.521808572</v>
      </c>
      <c r="N1274" s="36"/>
      <c r="O1274" s="36"/>
      <c r="P1274" s="36"/>
    </row>
    <row r="1275" spans="1:16" x14ac:dyDescent="0.25">
      <c r="A1275" s="36">
        <v>1723</v>
      </c>
      <c r="B1275" s="37">
        <v>43647</v>
      </c>
      <c r="C1275" s="36" t="s">
        <v>195</v>
      </c>
      <c r="D1275" s="36"/>
      <c r="E1275" s="38">
        <v>125198487.89297774</v>
      </c>
      <c r="F1275" s="40">
        <f>VLOOKUP(A1275,'DATOS GENERALES'!A:B,2,0)</f>
        <v>1.82</v>
      </c>
      <c r="G1275" s="36">
        <f t="shared" si="95"/>
        <v>1.811628</v>
      </c>
      <c r="H1275" s="38">
        <f t="shared" si="96"/>
        <v>69108276.032926038</v>
      </c>
      <c r="I1275" s="38">
        <f t="shared" si="97"/>
        <v>56090211.860051706</v>
      </c>
      <c r="J1275" s="38">
        <v>18381649.136135098</v>
      </c>
      <c r="K1275" s="38">
        <f t="shared" si="98"/>
        <v>37708562.723916605</v>
      </c>
      <c r="L1275" s="41">
        <f>VLOOKUP(INDICADORES!$B$21,'DATOS GENERALES'!$K:$M,3,0)*E1275</f>
        <v>852104.20022175764</v>
      </c>
      <c r="M1275" s="38">
        <f t="shared" si="99"/>
        <v>36856458.523694851</v>
      </c>
      <c r="N1275" s="36"/>
      <c r="O1275" s="36"/>
      <c r="P1275" s="36"/>
    </row>
    <row r="1276" spans="1:16" x14ac:dyDescent="0.25">
      <c r="A1276" s="36">
        <v>1723</v>
      </c>
      <c r="B1276" s="37">
        <v>43678</v>
      </c>
      <c r="C1276" s="36" t="s">
        <v>195</v>
      </c>
      <c r="D1276" s="36"/>
      <c r="E1276" s="38">
        <v>125198487.89297774</v>
      </c>
      <c r="F1276" s="40">
        <f>VLOOKUP(A1276,'DATOS GENERALES'!A:B,2,0)</f>
        <v>1.82</v>
      </c>
      <c r="G1276" s="36">
        <f t="shared" si="95"/>
        <v>1.811628</v>
      </c>
      <c r="H1276" s="38">
        <f t="shared" si="96"/>
        <v>69108276.032926038</v>
      </c>
      <c r="I1276" s="38">
        <f t="shared" si="97"/>
        <v>56090211.860051706</v>
      </c>
      <c r="J1276" s="38">
        <v>18088209.190213218</v>
      </c>
      <c r="K1276" s="38">
        <f t="shared" si="98"/>
        <v>38002002.669838488</v>
      </c>
      <c r="L1276" s="41">
        <f>VLOOKUP(INDICADORES!$B$21,'DATOS GENERALES'!$K:$M,3,0)*E1276</f>
        <v>852104.20022175764</v>
      </c>
      <c r="M1276" s="38">
        <f t="shared" si="99"/>
        <v>37149898.469616733</v>
      </c>
      <c r="N1276" s="36"/>
      <c r="O1276" s="36"/>
      <c r="P1276" s="36"/>
    </row>
    <row r="1277" spans="1:16" x14ac:dyDescent="0.25">
      <c r="A1277" s="36">
        <v>1723</v>
      </c>
      <c r="B1277" s="37">
        <v>43709</v>
      </c>
      <c r="C1277" s="36" t="s">
        <v>195</v>
      </c>
      <c r="D1277" s="36"/>
      <c r="E1277" s="38">
        <v>125198487.89297774</v>
      </c>
      <c r="F1277" s="40">
        <f>VLOOKUP(A1277,'DATOS GENERALES'!A:B,2,0)</f>
        <v>1.82</v>
      </c>
      <c r="G1277" s="36">
        <f t="shared" si="95"/>
        <v>1.811628</v>
      </c>
      <c r="H1277" s="38">
        <f t="shared" si="96"/>
        <v>69108276.032926038</v>
      </c>
      <c r="I1277" s="38">
        <f t="shared" si="97"/>
        <v>56090211.860051706</v>
      </c>
      <c r="J1277" s="38">
        <v>20442806.490563437</v>
      </c>
      <c r="K1277" s="38">
        <f t="shared" si="98"/>
        <v>35647405.369488269</v>
      </c>
      <c r="L1277" s="41">
        <f>VLOOKUP(INDICADORES!$B$21,'DATOS GENERALES'!$K:$M,3,0)*E1277</f>
        <v>852104.20022175764</v>
      </c>
      <c r="M1277" s="38">
        <f t="shared" si="99"/>
        <v>34795301.169266514</v>
      </c>
      <c r="N1277" s="36"/>
      <c r="O1277" s="36"/>
      <c r="P1277" s="36"/>
    </row>
    <row r="1278" spans="1:16" x14ac:dyDescent="0.25">
      <c r="A1278" s="36">
        <v>1723</v>
      </c>
      <c r="B1278" s="37">
        <v>43739</v>
      </c>
      <c r="C1278" s="36" t="s">
        <v>195</v>
      </c>
      <c r="D1278" s="36"/>
      <c r="E1278" s="38">
        <v>37851706.567977756</v>
      </c>
      <c r="F1278" s="40">
        <f>VLOOKUP(A1278,'DATOS GENERALES'!A:B,2,0)</f>
        <v>1.82</v>
      </c>
      <c r="G1278" s="36">
        <f t="shared" si="95"/>
        <v>1.811628</v>
      </c>
      <c r="H1278" s="38">
        <f t="shared" si="96"/>
        <v>20893752.231682088</v>
      </c>
      <c r="I1278" s="38">
        <f t="shared" si="97"/>
        <v>16957954.336295668</v>
      </c>
      <c r="J1278" s="38">
        <v>6683623.157234665</v>
      </c>
      <c r="K1278" s="38">
        <f t="shared" si="98"/>
        <v>10274331.179061003</v>
      </c>
      <c r="L1278" s="41">
        <f>VLOOKUP(INDICADORES!$B$21,'DATOS GENERALES'!$K:$M,3,0)*E1278</f>
        <v>257619.71006955276</v>
      </c>
      <c r="M1278" s="38">
        <f t="shared" si="99"/>
        <v>10016711.468991451</v>
      </c>
      <c r="N1278" s="36"/>
      <c r="O1278" s="36"/>
      <c r="P1278" s="36"/>
    </row>
    <row r="1279" spans="1:16" x14ac:dyDescent="0.25">
      <c r="A1279" s="36">
        <v>1618</v>
      </c>
      <c r="B1279" s="37">
        <v>43525</v>
      </c>
      <c r="C1279" s="36" t="s">
        <v>195</v>
      </c>
      <c r="D1279" s="36"/>
      <c r="E1279" s="38">
        <v>13267655.116172869</v>
      </c>
      <c r="F1279" s="40">
        <f>VLOOKUP(A1279,'DATOS GENERALES'!A:B,2,0)</f>
        <v>1.97</v>
      </c>
      <c r="G1279" s="36">
        <f t="shared" si="95"/>
        <v>1.9609379999999998</v>
      </c>
      <c r="H1279" s="38">
        <f t="shared" si="96"/>
        <v>6765973.7922223294</v>
      </c>
      <c r="I1279" s="38">
        <f t="shared" si="97"/>
        <v>6501681.3239505393</v>
      </c>
      <c r="J1279" s="38">
        <v>1058113.872868222</v>
      </c>
      <c r="K1279" s="38">
        <f t="shared" si="98"/>
        <v>5443567.4510823172</v>
      </c>
      <c r="L1279" s="41">
        <f>VLOOKUP(INDICADORES!$B$21,'DATOS GENERALES'!$K:$M,3,0)*E1279</f>
        <v>90300.009543635257</v>
      </c>
      <c r="M1279" s="38">
        <f t="shared" si="99"/>
        <v>5353267.4415386822</v>
      </c>
      <c r="N1279" s="36"/>
      <c r="O1279" s="36"/>
      <c r="P1279" s="36"/>
    </row>
    <row r="1280" spans="1:16" x14ac:dyDescent="0.25">
      <c r="A1280" s="36">
        <v>1618</v>
      </c>
      <c r="B1280" s="37">
        <v>43556</v>
      </c>
      <c r="C1280" s="36" t="s">
        <v>195</v>
      </c>
      <c r="D1280" s="36"/>
      <c r="E1280" s="38">
        <v>13267655.116172869</v>
      </c>
      <c r="F1280" s="40">
        <f>VLOOKUP(A1280,'DATOS GENERALES'!A:B,2,0)</f>
        <v>1.97</v>
      </c>
      <c r="G1280" s="36">
        <f t="shared" si="95"/>
        <v>1.9609379999999998</v>
      </c>
      <c r="H1280" s="38">
        <f t="shared" si="96"/>
        <v>6765973.7922223294</v>
      </c>
      <c r="I1280" s="38">
        <f t="shared" si="97"/>
        <v>6501681.3239505393</v>
      </c>
      <c r="J1280" s="38">
        <v>1087820.8094196678</v>
      </c>
      <c r="K1280" s="38">
        <f t="shared" si="98"/>
        <v>5413860.5145308711</v>
      </c>
      <c r="L1280" s="41">
        <f>VLOOKUP(INDICADORES!$B$21,'DATOS GENERALES'!$K:$M,3,0)*E1280</f>
        <v>90300.009543635257</v>
      </c>
      <c r="M1280" s="38">
        <f t="shared" si="99"/>
        <v>5323560.5049872361</v>
      </c>
      <c r="N1280" s="36"/>
      <c r="O1280" s="36"/>
      <c r="P1280" s="36"/>
    </row>
    <row r="1281" spans="1:16" x14ac:dyDescent="0.25">
      <c r="A1281" s="36">
        <v>1689</v>
      </c>
      <c r="B1281" s="37">
        <v>43800</v>
      </c>
      <c r="C1281" s="36" t="s">
        <v>195</v>
      </c>
      <c r="D1281" s="36"/>
      <c r="E1281" s="38">
        <v>13258047.600000001</v>
      </c>
      <c r="F1281" s="40">
        <f>VLOOKUP(A1281,'DATOS GENERALES'!A:B,2,0)</f>
        <v>2.11</v>
      </c>
      <c r="G1281" s="36">
        <f t="shared" si="95"/>
        <v>2.1002939999999999</v>
      </c>
      <c r="H1281" s="38">
        <f t="shared" si="96"/>
        <v>6312472.2538844571</v>
      </c>
      <c r="I1281" s="38">
        <f t="shared" si="97"/>
        <v>6945575.3461155444</v>
      </c>
      <c r="J1281" s="38">
        <v>2273895.293171261</v>
      </c>
      <c r="K1281" s="38">
        <f t="shared" si="98"/>
        <v>4671680.0529442839</v>
      </c>
      <c r="L1281" s="41">
        <f>VLOOKUP(INDICADORES!$B$21,'DATOS GENERALES'!$K:$M,3,0)*E1281</f>
        <v>90234.620535969312</v>
      </c>
      <c r="M1281" s="38">
        <f t="shared" si="99"/>
        <v>4581445.4324083142</v>
      </c>
      <c r="N1281" s="36"/>
      <c r="O1281" s="36"/>
      <c r="P1281" s="36"/>
    </row>
    <row r="1282" spans="1:16" x14ac:dyDescent="0.25">
      <c r="A1282" s="36">
        <v>1715</v>
      </c>
      <c r="B1282" s="37">
        <v>43556</v>
      </c>
      <c r="C1282" s="36" t="s">
        <v>195</v>
      </c>
      <c r="D1282" s="36"/>
      <c r="E1282" s="38">
        <v>55849596.75</v>
      </c>
      <c r="F1282" s="40">
        <f>VLOOKUP(A1282,'DATOS GENERALES'!A:B,2,0)</f>
        <v>1.93</v>
      </c>
      <c r="G1282" s="36">
        <f t="shared" si="95"/>
        <v>1.9211219999999998</v>
      </c>
      <c r="H1282" s="38">
        <f t="shared" si="96"/>
        <v>29071343.074515834</v>
      </c>
      <c r="I1282" s="38">
        <f t="shared" si="97"/>
        <v>26778253.675484166</v>
      </c>
      <c r="J1282" s="38">
        <v>4674037.0160153136</v>
      </c>
      <c r="K1282" s="38">
        <f t="shared" si="98"/>
        <v>22104216.659468852</v>
      </c>
      <c r="L1282" s="41">
        <f>VLOOKUP(INDICADORES!$B$21,'DATOS GENERALES'!$K:$M,3,0)*E1282</f>
        <v>380113.82383505354</v>
      </c>
      <c r="M1282" s="38">
        <f t="shared" si="99"/>
        <v>21724102.835633799</v>
      </c>
      <c r="N1282" s="36"/>
      <c r="O1282" s="36"/>
      <c r="P1282" s="36"/>
    </row>
    <row r="1283" spans="1:16" x14ac:dyDescent="0.25">
      <c r="A1283" s="36">
        <v>1751</v>
      </c>
      <c r="B1283" s="37">
        <v>43586</v>
      </c>
      <c r="C1283" s="36" t="s">
        <v>195</v>
      </c>
      <c r="D1283" s="36"/>
      <c r="E1283" s="38">
        <v>15500000</v>
      </c>
      <c r="F1283" s="40">
        <f>VLOOKUP(A1283,'DATOS GENERALES'!A:B,2,0)</f>
        <v>2</v>
      </c>
      <c r="G1283" s="36">
        <f t="shared" ref="G1283:G1346" si="100">F1283*0.9954</f>
        <v>1.9907999999999999</v>
      </c>
      <c r="H1283" s="38">
        <f t="shared" ref="H1283:H1321" si="101">E1283/G1283</f>
        <v>7785814.7478400646</v>
      </c>
      <c r="I1283" s="38">
        <f t="shared" ref="I1283:I1321" si="102">E1283-H1283</f>
        <v>7714185.2521599354</v>
      </c>
      <c r="J1283" s="38">
        <v>1032638.3493491366</v>
      </c>
      <c r="K1283" s="38">
        <f t="shared" ref="K1283:K1321" si="103">IFERROR(I1283-J1283,"")</f>
        <v>6681546.902810799</v>
      </c>
      <c r="L1283" s="41">
        <f>VLOOKUP(INDICADORES!$B$21,'DATOS GENERALES'!$K:$M,3,0)*E1283</f>
        <v>105493.40751405389</v>
      </c>
      <c r="M1283" s="38">
        <f t="shared" ref="M1283:M1321" si="104">IFERROR(K1283-L1283,"")</f>
        <v>6576053.4952967446</v>
      </c>
      <c r="N1283" s="36"/>
      <c r="O1283" s="36"/>
      <c r="P1283" s="36"/>
    </row>
    <row r="1284" spans="1:16" x14ac:dyDescent="0.25">
      <c r="A1284" s="36">
        <v>1756</v>
      </c>
      <c r="B1284" s="37">
        <v>43617</v>
      </c>
      <c r="C1284" s="36" t="s">
        <v>195</v>
      </c>
      <c r="D1284" s="36"/>
      <c r="E1284" s="38">
        <v>62778573</v>
      </c>
      <c r="F1284" s="40">
        <f>VLOOKUP(A1284,'DATOS GENERALES'!A:B,2,0)</f>
        <v>1.72</v>
      </c>
      <c r="G1284" s="36">
        <f t="shared" si="100"/>
        <v>1.7120879999999998</v>
      </c>
      <c r="H1284" s="38">
        <f t="shared" si="101"/>
        <v>36667842.423987553</v>
      </c>
      <c r="I1284" s="38">
        <f t="shared" si="102"/>
        <v>26110730.576012447</v>
      </c>
      <c r="J1284" s="38">
        <v>6539976.6900381185</v>
      </c>
      <c r="K1284" s="38">
        <f t="shared" si="103"/>
        <v>19570753.885974329</v>
      </c>
      <c r="L1284" s="41">
        <f>VLOOKUP(INDICADORES!$B$21,'DATOS GENERALES'!$K:$M,3,0)*E1284</f>
        <v>427272.61836385686</v>
      </c>
      <c r="M1284" s="38">
        <f t="shared" si="104"/>
        <v>19143481.267610472</v>
      </c>
      <c r="N1284" s="36"/>
      <c r="O1284" s="36"/>
      <c r="P1284" s="36"/>
    </row>
    <row r="1285" spans="1:16" x14ac:dyDescent="0.25">
      <c r="A1285" s="36">
        <v>1756</v>
      </c>
      <c r="B1285" s="37">
        <v>43647</v>
      </c>
      <c r="C1285" s="36" t="s">
        <v>195</v>
      </c>
      <c r="D1285" s="36"/>
      <c r="E1285" s="38">
        <v>62778573</v>
      </c>
      <c r="F1285" s="40">
        <f>VLOOKUP(A1285,'DATOS GENERALES'!A:B,2,0)</f>
        <v>1.72</v>
      </c>
      <c r="G1285" s="36">
        <f t="shared" si="100"/>
        <v>1.7120879999999998</v>
      </c>
      <c r="H1285" s="38">
        <f t="shared" si="101"/>
        <v>36667842.423987553</v>
      </c>
      <c r="I1285" s="38">
        <f t="shared" si="102"/>
        <v>26110730.576012447</v>
      </c>
      <c r="J1285" s="38">
        <v>9753034.6972582545</v>
      </c>
      <c r="K1285" s="38">
        <f t="shared" si="103"/>
        <v>16357695.878754193</v>
      </c>
      <c r="L1285" s="41">
        <f>VLOOKUP(INDICADORES!$B$21,'DATOS GENERALES'!$K:$M,3,0)*E1285</f>
        <v>427272.61836385686</v>
      </c>
      <c r="M1285" s="38">
        <f t="shared" si="104"/>
        <v>15930423.260390336</v>
      </c>
      <c r="N1285" s="36"/>
      <c r="O1285" s="36"/>
      <c r="P1285" s="36"/>
    </row>
    <row r="1286" spans="1:16" x14ac:dyDescent="0.25">
      <c r="A1286" s="36">
        <v>1756</v>
      </c>
      <c r="B1286" s="37">
        <v>43678</v>
      </c>
      <c r="C1286" s="36" t="s">
        <v>195</v>
      </c>
      <c r="D1286" s="36"/>
      <c r="E1286" s="38">
        <v>62778573</v>
      </c>
      <c r="F1286" s="40">
        <f>VLOOKUP(A1286,'DATOS GENERALES'!A:B,2,0)</f>
        <v>1.72</v>
      </c>
      <c r="G1286" s="36">
        <f t="shared" si="100"/>
        <v>1.7120879999999998</v>
      </c>
      <c r="H1286" s="38">
        <f t="shared" si="101"/>
        <v>36667842.423987553</v>
      </c>
      <c r="I1286" s="38">
        <f t="shared" si="102"/>
        <v>26110730.576012447</v>
      </c>
      <c r="J1286" s="38">
        <v>9597339.7455734443</v>
      </c>
      <c r="K1286" s="38">
        <f t="shared" si="103"/>
        <v>16513390.830439003</v>
      </c>
      <c r="L1286" s="41">
        <f>VLOOKUP(INDICADORES!$B$21,'DATOS GENERALES'!$K:$M,3,0)*E1286</f>
        <v>427272.61836385686</v>
      </c>
      <c r="M1286" s="38">
        <f t="shared" si="104"/>
        <v>16086118.212075146</v>
      </c>
      <c r="N1286" s="36"/>
      <c r="O1286" s="36"/>
      <c r="P1286" s="36"/>
    </row>
    <row r="1287" spans="1:16" x14ac:dyDescent="0.25">
      <c r="A1287" s="36">
        <v>1756</v>
      </c>
      <c r="B1287" s="37">
        <v>43709</v>
      </c>
      <c r="C1287" s="36" t="s">
        <v>195</v>
      </c>
      <c r="D1287" s="36"/>
      <c r="E1287" s="38">
        <v>62778573</v>
      </c>
      <c r="F1287" s="40">
        <f>VLOOKUP(A1287,'DATOS GENERALES'!A:B,2,0)</f>
        <v>1.72</v>
      </c>
      <c r="G1287" s="36">
        <f t="shared" si="100"/>
        <v>1.7120879999999998</v>
      </c>
      <c r="H1287" s="38">
        <f t="shared" si="101"/>
        <v>36667842.423987553</v>
      </c>
      <c r="I1287" s="38">
        <f t="shared" si="102"/>
        <v>26110730.576012447</v>
      </c>
      <c r="J1287" s="38">
        <v>10846654.70084817</v>
      </c>
      <c r="K1287" s="38">
        <f t="shared" si="103"/>
        <v>15264075.875164278</v>
      </c>
      <c r="L1287" s="41">
        <f>VLOOKUP(INDICADORES!$B$21,'DATOS GENERALES'!$K:$M,3,0)*E1287</f>
        <v>427272.61836385686</v>
      </c>
      <c r="M1287" s="38">
        <f t="shared" si="104"/>
        <v>14836803.256800421</v>
      </c>
      <c r="N1287" s="36"/>
      <c r="O1287" s="36"/>
      <c r="P1287" s="36"/>
    </row>
    <row r="1288" spans="1:16" x14ac:dyDescent="0.25">
      <c r="A1288" s="36">
        <v>1804</v>
      </c>
      <c r="B1288" s="37">
        <v>43497</v>
      </c>
      <c r="C1288" s="36" t="s">
        <v>195</v>
      </c>
      <c r="D1288" s="36"/>
      <c r="E1288" s="38">
        <v>29813870</v>
      </c>
      <c r="F1288" s="40">
        <f>VLOOKUP(A1288,'DATOS GENERALES'!A:B,2,0)</f>
        <v>2.27</v>
      </c>
      <c r="G1288" s="36">
        <f t="shared" si="100"/>
        <v>2.2595579999999997</v>
      </c>
      <c r="H1288" s="38">
        <f t="shared" si="101"/>
        <v>13194558.404785363</v>
      </c>
      <c r="I1288" s="38">
        <f t="shared" si="102"/>
        <v>16619311.595214637</v>
      </c>
      <c r="J1288" s="38">
        <v>2852107.3426548219</v>
      </c>
      <c r="K1288" s="38">
        <f t="shared" si="103"/>
        <v>13767204.252559815</v>
      </c>
      <c r="L1288" s="41">
        <f>VLOOKUP(INDICADORES!$B$21,'DATOS GENERALES'!$K:$M,3,0)*E1288</f>
        <v>202913.98306329199</v>
      </c>
      <c r="M1288" s="38">
        <f t="shared" si="104"/>
        <v>13564290.269496523</v>
      </c>
      <c r="N1288" s="36"/>
      <c r="O1288" s="36"/>
      <c r="P1288" s="36"/>
    </row>
    <row r="1289" spans="1:16" x14ac:dyDescent="0.25">
      <c r="A1289" s="36">
        <v>1804</v>
      </c>
      <c r="B1289" s="37">
        <v>43525</v>
      </c>
      <c r="C1289" s="36" t="s">
        <v>195</v>
      </c>
      <c r="D1289" s="36"/>
      <c r="E1289" s="38">
        <v>29813870</v>
      </c>
      <c r="F1289" s="40">
        <f>VLOOKUP(A1289,'DATOS GENERALES'!A:B,2,0)</f>
        <v>2.27</v>
      </c>
      <c r="G1289" s="36">
        <f t="shared" si="100"/>
        <v>2.2595579999999997</v>
      </c>
      <c r="H1289" s="38">
        <f t="shared" si="101"/>
        <v>13194558.404785363</v>
      </c>
      <c r="I1289" s="38">
        <f t="shared" si="102"/>
        <v>16619311.595214637</v>
      </c>
      <c r="J1289" s="38">
        <v>2063464.288100308</v>
      </c>
      <c r="K1289" s="38">
        <f t="shared" si="103"/>
        <v>14555847.307114329</v>
      </c>
      <c r="L1289" s="41">
        <f>VLOOKUP(INDICADORES!$B$21,'DATOS GENERALES'!$K:$M,3,0)*E1289</f>
        <v>202913.98306329199</v>
      </c>
      <c r="M1289" s="38">
        <f t="shared" si="104"/>
        <v>14352933.324051037</v>
      </c>
      <c r="N1289" s="36"/>
      <c r="O1289" s="36"/>
      <c r="P1289" s="36"/>
    </row>
    <row r="1290" spans="1:16" x14ac:dyDescent="0.25">
      <c r="A1290" s="36">
        <v>1813</v>
      </c>
      <c r="B1290" s="37">
        <v>43586</v>
      </c>
      <c r="C1290" s="36" t="s">
        <v>195</v>
      </c>
      <c r="D1290" s="36"/>
      <c r="E1290" s="38">
        <v>126579869.80723679</v>
      </c>
      <c r="F1290" s="40">
        <f>VLOOKUP(A1290,'DATOS GENERALES'!A:B,2,0)</f>
        <v>2.5499999999999998</v>
      </c>
      <c r="G1290" s="36">
        <f t="shared" si="100"/>
        <v>2.5382699999999998</v>
      </c>
      <c r="H1290" s="38">
        <f t="shared" si="101"/>
        <v>49868560.006318003</v>
      </c>
      <c r="I1290" s="38">
        <f t="shared" si="102"/>
        <v>76711309.800918788</v>
      </c>
      <c r="J1290" s="38">
        <v>6614103.8744376274</v>
      </c>
      <c r="K1290" s="38">
        <f t="shared" si="103"/>
        <v>70097205.926481158</v>
      </c>
      <c r="L1290" s="41">
        <f>VLOOKUP(INDICADORES!$B$21,'DATOS GENERALES'!$K:$M,3,0)*E1290</f>
        <v>861505.92184843333</v>
      </c>
      <c r="M1290" s="38">
        <f t="shared" si="104"/>
        <v>69235700.004632726</v>
      </c>
      <c r="N1290" s="36"/>
      <c r="O1290" s="36"/>
      <c r="P1290" s="36"/>
    </row>
    <row r="1291" spans="1:16" x14ac:dyDescent="0.25">
      <c r="A1291" s="36">
        <v>1700</v>
      </c>
      <c r="B1291" s="37">
        <v>43617</v>
      </c>
      <c r="C1291" s="36" t="s">
        <v>195</v>
      </c>
      <c r="D1291" s="36"/>
      <c r="E1291" s="38">
        <v>161433687</v>
      </c>
      <c r="F1291" s="40">
        <f>VLOOKUP(A1291,'DATOS GENERALES'!A:B,2,0)</f>
        <v>0.75</v>
      </c>
      <c r="G1291" s="36">
        <f t="shared" si="100"/>
        <v>0.74654999999999994</v>
      </c>
      <c r="H1291" s="38">
        <f t="shared" si="101"/>
        <v>216239618.24392205</v>
      </c>
      <c r="I1291" s="38">
        <f t="shared" si="102"/>
        <v>-54805931.243922055</v>
      </c>
      <c r="J1291" s="38">
        <v>38567910.443861894</v>
      </c>
      <c r="K1291" s="38">
        <f t="shared" si="103"/>
        <v>-93373841.687783957</v>
      </c>
      <c r="L1291" s="41">
        <f>VLOOKUP(INDICADORES!$B$21,'DATOS GENERALES'!$K:$M,3,0)*E1291</f>
        <v>1098721.9180120791</v>
      </c>
      <c r="M1291" s="38">
        <f t="shared" si="104"/>
        <v>-94472563.605796039</v>
      </c>
      <c r="N1291" s="36"/>
      <c r="O1291" s="36"/>
      <c r="P1291" s="36"/>
    </row>
    <row r="1292" spans="1:16" x14ac:dyDescent="0.25">
      <c r="A1292" s="36">
        <v>1700</v>
      </c>
      <c r="B1292" s="37">
        <v>43556</v>
      </c>
      <c r="C1292" s="36" t="s">
        <v>195</v>
      </c>
      <c r="D1292" s="36"/>
      <c r="E1292" s="38">
        <v>113931505</v>
      </c>
      <c r="F1292" s="40">
        <f>VLOOKUP(A1292,'DATOS GENERALES'!A:B,2,0)</f>
        <v>0.75</v>
      </c>
      <c r="G1292" s="36">
        <f t="shared" si="100"/>
        <v>0.74654999999999994</v>
      </c>
      <c r="H1292" s="38">
        <f t="shared" si="101"/>
        <v>152610682.47270781</v>
      </c>
      <c r="I1292" s="38">
        <f t="shared" si="102"/>
        <v>-38679177.472707808</v>
      </c>
      <c r="J1292" s="38">
        <v>24536464.55509264</v>
      </c>
      <c r="K1292" s="38">
        <f t="shared" si="103"/>
        <v>-63215642.027800448</v>
      </c>
      <c r="L1292" s="41">
        <f>VLOOKUP(INDICADORES!$B$21,'DATOS GENERALES'!$K:$M,3,0)*E1292</f>
        <v>775420.81842932058</v>
      </c>
      <c r="M1292" s="38">
        <f t="shared" si="104"/>
        <v>-63991062.846229769</v>
      </c>
      <c r="N1292" s="36"/>
      <c r="O1292" s="36"/>
      <c r="P1292" s="36"/>
    </row>
    <row r="1293" spans="1:16" x14ac:dyDescent="0.25">
      <c r="A1293" s="36">
        <v>1700</v>
      </c>
      <c r="B1293" s="37">
        <v>43586</v>
      </c>
      <c r="C1293" s="36" t="s">
        <v>195</v>
      </c>
      <c r="D1293" s="36"/>
      <c r="E1293" s="38">
        <v>886635143.78999996</v>
      </c>
      <c r="F1293" s="40">
        <f>VLOOKUP(A1293,'DATOS GENERALES'!A:B,2,0)</f>
        <v>0.75</v>
      </c>
      <c r="G1293" s="36">
        <f t="shared" si="100"/>
        <v>0.74654999999999994</v>
      </c>
      <c r="H1293" s="38">
        <f t="shared" si="101"/>
        <v>1187643351.135222</v>
      </c>
      <c r="I1293" s="38">
        <f t="shared" si="102"/>
        <v>-301008207.345222</v>
      </c>
      <c r="J1293" s="38">
        <v>157518013.13690147</v>
      </c>
      <c r="K1293" s="38">
        <f t="shared" si="103"/>
        <v>-458526220.48212349</v>
      </c>
      <c r="L1293" s="41">
        <f>VLOOKUP(INDICADORES!$B$21,'DATOS GENERALES'!$K:$M,3,0)*E1293</f>
        <v>6034462.0993625959</v>
      </c>
      <c r="M1293" s="38">
        <f t="shared" si="104"/>
        <v>-464560682.58148611</v>
      </c>
      <c r="N1293" s="36"/>
      <c r="O1293" s="36"/>
      <c r="P1293" s="36"/>
    </row>
    <row r="1294" spans="1:16" x14ac:dyDescent="0.25">
      <c r="A1294" s="36">
        <v>1670</v>
      </c>
      <c r="B1294" s="37">
        <v>43466</v>
      </c>
      <c r="C1294" s="36" t="s">
        <v>195</v>
      </c>
      <c r="D1294" s="36"/>
      <c r="E1294" s="38">
        <v>57276497</v>
      </c>
      <c r="F1294" s="40">
        <f>VLOOKUP(A1294,'DATOS GENERALES'!A:B,2,0)</f>
        <v>2.36</v>
      </c>
      <c r="G1294" s="36">
        <f t="shared" si="100"/>
        <v>2.3491439999999999</v>
      </c>
      <c r="H1294" s="38">
        <f t="shared" si="101"/>
        <v>24381858.668519258</v>
      </c>
      <c r="I1294" s="38">
        <f t="shared" si="102"/>
        <v>32894638.331480742</v>
      </c>
      <c r="J1294" s="38">
        <v>5349827.0714372685</v>
      </c>
      <c r="K1294" s="38">
        <f t="shared" si="103"/>
        <v>27544811.260043472</v>
      </c>
      <c r="L1294" s="41">
        <f>VLOOKUP(INDICADORES!$B$21,'DATOS GENERALES'!$K:$M,3,0)*E1294</f>
        <v>389825.34445151518</v>
      </c>
      <c r="M1294" s="38">
        <f t="shared" si="104"/>
        <v>27154985.915591955</v>
      </c>
      <c r="N1294" s="36"/>
      <c r="O1294" s="36"/>
      <c r="P1294" s="36"/>
    </row>
    <row r="1295" spans="1:16" x14ac:dyDescent="0.25">
      <c r="A1295" s="36">
        <v>1670</v>
      </c>
      <c r="B1295" s="37">
        <v>43497</v>
      </c>
      <c r="C1295" s="36" t="s">
        <v>195</v>
      </c>
      <c r="D1295" s="36"/>
      <c r="E1295" s="38">
        <v>57276497</v>
      </c>
      <c r="F1295" s="40">
        <f>VLOOKUP(A1295,'DATOS GENERALES'!A:B,2,0)</f>
        <v>2.36</v>
      </c>
      <c r="G1295" s="36">
        <f t="shared" si="100"/>
        <v>2.3491439999999999</v>
      </c>
      <c r="H1295" s="38">
        <f t="shared" si="101"/>
        <v>24381858.668519258</v>
      </c>
      <c r="I1295" s="38">
        <f t="shared" si="102"/>
        <v>32894638.331480742</v>
      </c>
      <c r="J1295" s="38">
        <v>5270330.08629038</v>
      </c>
      <c r="K1295" s="38">
        <f t="shared" si="103"/>
        <v>27624308.24519036</v>
      </c>
      <c r="L1295" s="41">
        <f>VLOOKUP(INDICADORES!$B$21,'DATOS GENERALES'!$K:$M,3,0)*E1295</f>
        <v>389825.34445151518</v>
      </c>
      <c r="M1295" s="38">
        <f t="shared" si="104"/>
        <v>27234482.900738843</v>
      </c>
      <c r="N1295" s="36"/>
      <c r="O1295" s="36"/>
      <c r="P1295" s="36"/>
    </row>
    <row r="1296" spans="1:16" x14ac:dyDescent="0.25">
      <c r="A1296" s="36">
        <v>1670</v>
      </c>
      <c r="B1296" s="37">
        <v>43525</v>
      </c>
      <c r="C1296" s="36" t="s">
        <v>195</v>
      </c>
      <c r="D1296" s="36"/>
      <c r="E1296" s="38">
        <v>57276497</v>
      </c>
      <c r="F1296" s="40">
        <f>VLOOKUP(A1296,'DATOS GENERALES'!A:B,2,0)</f>
        <v>2.36</v>
      </c>
      <c r="G1296" s="36">
        <f t="shared" si="100"/>
        <v>2.3491439999999999</v>
      </c>
      <c r="H1296" s="38">
        <f t="shared" si="101"/>
        <v>24381858.668519258</v>
      </c>
      <c r="I1296" s="38">
        <f t="shared" si="102"/>
        <v>32894638.331480742</v>
      </c>
      <c r="J1296" s="38">
        <v>3813018.4502235213</v>
      </c>
      <c r="K1296" s="38">
        <f t="shared" si="103"/>
        <v>29081619.881257221</v>
      </c>
      <c r="L1296" s="41">
        <f>VLOOKUP(INDICADORES!$B$21,'DATOS GENERALES'!$K:$M,3,0)*E1296</f>
        <v>389825.34445151518</v>
      </c>
      <c r="M1296" s="38">
        <f t="shared" si="104"/>
        <v>28691794.536805704</v>
      </c>
      <c r="N1296" s="36"/>
      <c r="O1296" s="36"/>
      <c r="P1296" s="36"/>
    </row>
    <row r="1297" spans="1:16" x14ac:dyDescent="0.25">
      <c r="A1297" s="36">
        <v>1670</v>
      </c>
      <c r="B1297" s="37">
        <v>43556</v>
      </c>
      <c r="C1297" s="36" t="s">
        <v>195</v>
      </c>
      <c r="D1297" s="36"/>
      <c r="E1297" s="38">
        <v>57276497</v>
      </c>
      <c r="F1297" s="40">
        <f>VLOOKUP(A1297,'DATOS GENERALES'!A:B,2,0)</f>
        <v>2.36</v>
      </c>
      <c r="G1297" s="36">
        <f t="shared" si="100"/>
        <v>2.3491439999999999</v>
      </c>
      <c r="H1297" s="38">
        <f t="shared" si="101"/>
        <v>24381858.668519258</v>
      </c>
      <c r="I1297" s="38">
        <f t="shared" si="102"/>
        <v>32894638.331480742</v>
      </c>
      <c r="J1297" s="38">
        <v>3920070.3470701561</v>
      </c>
      <c r="K1297" s="38">
        <f t="shared" si="103"/>
        <v>28974567.984410584</v>
      </c>
      <c r="L1297" s="41">
        <f>VLOOKUP(INDICADORES!$B$21,'DATOS GENERALES'!$K:$M,3,0)*E1297</f>
        <v>389825.34445151518</v>
      </c>
      <c r="M1297" s="38">
        <f t="shared" si="104"/>
        <v>28584742.639959067</v>
      </c>
      <c r="N1297" s="36"/>
      <c r="O1297" s="36"/>
      <c r="P1297" s="36"/>
    </row>
    <row r="1298" spans="1:16" x14ac:dyDescent="0.25">
      <c r="A1298" s="36">
        <v>1670</v>
      </c>
      <c r="B1298" s="37">
        <v>43586</v>
      </c>
      <c r="C1298" s="36" t="s">
        <v>195</v>
      </c>
      <c r="D1298" s="36"/>
      <c r="E1298" s="38">
        <v>57276497</v>
      </c>
      <c r="F1298" s="40">
        <f>VLOOKUP(A1298,'DATOS GENERALES'!A:B,2,0)</f>
        <v>2.36</v>
      </c>
      <c r="G1298" s="36">
        <f t="shared" si="100"/>
        <v>2.3491439999999999</v>
      </c>
      <c r="H1298" s="38">
        <f t="shared" si="101"/>
        <v>24381858.668519258</v>
      </c>
      <c r="I1298" s="38">
        <f t="shared" si="102"/>
        <v>32894638.331480742</v>
      </c>
      <c r="J1298" s="38">
        <v>3233783.8883860451</v>
      </c>
      <c r="K1298" s="38">
        <f t="shared" si="103"/>
        <v>29660854.443094697</v>
      </c>
      <c r="L1298" s="41">
        <f>VLOOKUP(INDICADORES!$B$21,'DATOS GENERALES'!$K:$M,3,0)*E1298</f>
        <v>389825.34445151518</v>
      </c>
      <c r="M1298" s="38">
        <f t="shared" si="104"/>
        <v>29271029.09864318</v>
      </c>
      <c r="N1298" s="36"/>
      <c r="O1298" s="36"/>
      <c r="P1298" s="36"/>
    </row>
    <row r="1299" spans="1:16" x14ac:dyDescent="0.25">
      <c r="A1299" s="36">
        <v>1670</v>
      </c>
      <c r="B1299" s="37">
        <v>43617</v>
      </c>
      <c r="C1299" s="36" t="s">
        <v>195</v>
      </c>
      <c r="D1299" s="36"/>
      <c r="E1299" s="38">
        <v>57276497</v>
      </c>
      <c r="F1299" s="40">
        <f>VLOOKUP(A1299,'DATOS GENERALES'!A:B,2,0)</f>
        <v>2.36</v>
      </c>
      <c r="G1299" s="36">
        <f t="shared" si="100"/>
        <v>2.3491439999999999</v>
      </c>
      <c r="H1299" s="38">
        <f t="shared" si="101"/>
        <v>24381858.668519258</v>
      </c>
      <c r="I1299" s="38">
        <f t="shared" si="102"/>
        <v>32894638.331480742</v>
      </c>
      <c r="J1299" s="38">
        <v>4348682.0279233437</v>
      </c>
      <c r="K1299" s="38">
        <f t="shared" si="103"/>
        <v>28545956.303557396</v>
      </c>
      <c r="L1299" s="41">
        <f>VLOOKUP(INDICADORES!$B$21,'DATOS GENERALES'!$K:$M,3,0)*E1299</f>
        <v>389825.34445151518</v>
      </c>
      <c r="M1299" s="38">
        <f t="shared" si="104"/>
        <v>28156130.959105879</v>
      </c>
      <c r="N1299" s="36"/>
      <c r="O1299" s="36"/>
      <c r="P1299" s="36"/>
    </row>
    <row r="1300" spans="1:16" x14ac:dyDescent="0.25">
      <c r="A1300" s="36">
        <v>1670</v>
      </c>
      <c r="B1300" s="37">
        <v>43647</v>
      </c>
      <c r="C1300" s="36" t="s">
        <v>195</v>
      </c>
      <c r="D1300" s="36"/>
      <c r="E1300" s="38">
        <v>57276497</v>
      </c>
      <c r="F1300" s="40">
        <f>VLOOKUP(A1300,'DATOS GENERALES'!A:B,2,0)</f>
        <v>2.36</v>
      </c>
      <c r="G1300" s="36">
        <f t="shared" si="100"/>
        <v>2.3491439999999999</v>
      </c>
      <c r="H1300" s="38">
        <f t="shared" si="101"/>
        <v>24381858.668519258</v>
      </c>
      <c r="I1300" s="38">
        <f t="shared" si="102"/>
        <v>32894638.331480742</v>
      </c>
      <c r="J1300" s="38">
        <v>6485167.8707485646</v>
      </c>
      <c r="K1300" s="38">
        <f t="shared" si="103"/>
        <v>26409470.460732177</v>
      </c>
      <c r="L1300" s="41">
        <f>VLOOKUP(INDICADORES!$B$21,'DATOS GENERALES'!$K:$M,3,0)*E1300</f>
        <v>389825.34445151518</v>
      </c>
      <c r="M1300" s="38">
        <f t="shared" si="104"/>
        <v>26019645.11628066</v>
      </c>
      <c r="N1300" s="36"/>
      <c r="O1300" s="36"/>
      <c r="P1300" s="36"/>
    </row>
    <row r="1301" spans="1:16" x14ac:dyDescent="0.25">
      <c r="A1301" s="36">
        <v>1670</v>
      </c>
      <c r="B1301" s="37">
        <v>43678</v>
      </c>
      <c r="C1301" s="36" t="s">
        <v>195</v>
      </c>
      <c r="D1301" s="36"/>
      <c r="E1301" s="38">
        <v>57276497</v>
      </c>
      <c r="F1301" s="40">
        <f>VLOOKUP(A1301,'DATOS GENERALES'!A:B,2,0)</f>
        <v>2.36</v>
      </c>
      <c r="G1301" s="36">
        <f t="shared" si="100"/>
        <v>2.3491439999999999</v>
      </c>
      <c r="H1301" s="38">
        <f t="shared" si="101"/>
        <v>24381858.668519258</v>
      </c>
      <c r="I1301" s="38">
        <f t="shared" si="102"/>
        <v>32894638.331480742</v>
      </c>
      <c r="J1301" s="38">
        <v>6381640.3093642183</v>
      </c>
      <c r="K1301" s="38">
        <f t="shared" si="103"/>
        <v>26512998.022116523</v>
      </c>
      <c r="L1301" s="41">
        <f>VLOOKUP(INDICADORES!$B$21,'DATOS GENERALES'!$K:$M,3,0)*E1301</f>
        <v>389825.34445151518</v>
      </c>
      <c r="M1301" s="38">
        <f t="shared" si="104"/>
        <v>26123172.677665006</v>
      </c>
      <c r="N1301" s="36"/>
      <c r="O1301" s="36"/>
      <c r="P1301" s="36"/>
    </row>
    <row r="1302" spans="1:16" x14ac:dyDescent="0.25">
      <c r="A1302" s="36">
        <v>1670</v>
      </c>
      <c r="B1302" s="37">
        <v>43709</v>
      </c>
      <c r="C1302" s="36" t="s">
        <v>195</v>
      </c>
      <c r="D1302" s="36"/>
      <c r="E1302" s="38">
        <v>57276497</v>
      </c>
      <c r="F1302" s="40">
        <f>VLOOKUP(A1302,'DATOS GENERALES'!A:B,2,0)</f>
        <v>2.36</v>
      </c>
      <c r="G1302" s="36">
        <f t="shared" si="100"/>
        <v>2.3491439999999999</v>
      </c>
      <c r="H1302" s="38">
        <f t="shared" si="101"/>
        <v>24381858.668519258</v>
      </c>
      <c r="I1302" s="38">
        <f t="shared" si="102"/>
        <v>32894638.331480742</v>
      </c>
      <c r="J1302" s="38">
        <v>7212357.8716293182</v>
      </c>
      <c r="K1302" s="38">
        <f t="shared" si="103"/>
        <v>25682280.459851421</v>
      </c>
      <c r="L1302" s="41">
        <f>VLOOKUP(INDICADORES!$B$21,'DATOS GENERALES'!$K:$M,3,0)*E1302</f>
        <v>389825.34445151518</v>
      </c>
      <c r="M1302" s="38">
        <f t="shared" si="104"/>
        <v>25292455.115399905</v>
      </c>
      <c r="N1302" s="36"/>
      <c r="O1302" s="36"/>
      <c r="P1302" s="36"/>
    </row>
    <row r="1303" spans="1:16" x14ac:dyDescent="0.25">
      <c r="A1303" s="36">
        <v>1670</v>
      </c>
      <c r="B1303" s="37">
        <v>43739</v>
      </c>
      <c r="C1303" s="36" t="s">
        <v>195</v>
      </c>
      <c r="D1303" s="36"/>
      <c r="E1303" s="38">
        <v>57276497</v>
      </c>
      <c r="F1303" s="40">
        <f>VLOOKUP(A1303,'DATOS GENERALES'!A:B,2,0)</f>
        <v>2.36</v>
      </c>
      <c r="G1303" s="36">
        <f t="shared" si="100"/>
        <v>2.3491439999999999</v>
      </c>
      <c r="H1303" s="38">
        <f t="shared" si="101"/>
        <v>24381858.668519258</v>
      </c>
      <c r="I1303" s="38">
        <f t="shared" si="102"/>
        <v>32894638.331480742</v>
      </c>
      <c r="J1303" s="38">
        <v>7799420.2959024347</v>
      </c>
      <c r="K1303" s="38">
        <f t="shared" si="103"/>
        <v>25095218.035578307</v>
      </c>
      <c r="L1303" s="41">
        <f>VLOOKUP(INDICADORES!$B$21,'DATOS GENERALES'!$K:$M,3,0)*E1303</f>
        <v>389825.34445151518</v>
      </c>
      <c r="M1303" s="38">
        <f t="shared" si="104"/>
        <v>24705392.69112679</v>
      </c>
      <c r="N1303" s="36"/>
      <c r="O1303" s="36"/>
      <c r="P1303" s="36"/>
    </row>
    <row r="1304" spans="1:16" x14ac:dyDescent="0.25">
      <c r="A1304" s="36">
        <v>1670</v>
      </c>
      <c r="B1304" s="37">
        <v>43770</v>
      </c>
      <c r="C1304" s="36" t="s">
        <v>195</v>
      </c>
      <c r="D1304" s="36"/>
      <c r="E1304" s="38">
        <v>57276497</v>
      </c>
      <c r="F1304" s="40">
        <f>VLOOKUP(A1304,'DATOS GENERALES'!A:B,2,0)</f>
        <v>2.36</v>
      </c>
      <c r="G1304" s="36">
        <f t="shared" si="100"/>
        <v>2.3491439999999999</v>
      </c>
      <c r="H1304" s="38">
        <f t="shared" si="101"/>
        <v>24381858.668519258</v>
      </c>
      <c r="I1304" s="38">
        <f t="shared" si="102"/>
        <v>32894638.331480742</v>
      </c>
      <c r="J1304" s="38">
        <v>10431150.23941379</v>
      </c>
      <c r="K1304" s="38">
        <f t="shared" si="103"/>
        <v>22463488.092066951</v>
      </c>
      <c r="L1304" s="41">
        <f>VLOOKUP(INDICADORES!$B$21,'DATOS GENERALES'!$K:$M,3,0)*E1304</f>
        <v>389825.34445151518</v>
      </c>
      <c r="M1304" s="38">
        <f t="shared" si="104"/>
        <v>22073662.747615434</v>
      </c>
      <c r="N1304" s="36"/>
      <c r="O1304" s="36"/>
      <c r="P1304" s="36"/>
    </row>
    <row r="1305" spans="1:16" x14ac:dyDescent="0.25">
      <c r="A1305" s="36">
        <v>1670</v>
      </c>
      <c r="B1305" s="37">
        <v>43800</v>
      </c>
      <c r="C1305" s="36" t="s">
        <v>195</v>
      </c>
      <c r="D1305" s="36"/>
      <c r="E1305" s="38">
        <v>57276497</v>
      </c>
      <c r="F1305" s="40">
        <f>VLOOKUP(A1305,'DATOS GENERALES'!A:B,2,0)</f>
        <v>2.36</v>
      </c>
      <c r="G1305" s="36">
        <f t="shared" si="100"/>
        <v>2.3491439999999999</v>
      </c>
      <c r="H1305" s="38">
        <f t="shared" si="101"/>
        <v>24381858.668519258</v>
      </c>
      <c r="I1305" s="38">
        <f t="shared" si="102"/>
        <v>32894638.331480742</v>
      </c>
      <c r="J1305" s="38">
        <v>8782897.0069525559</v>
      </c>
      <c r="K1305" s="38">
        <f t="shared" si="103"/>
        <v>24111741.324528188</v>
      </c>
      <c r="L1305" s="41">
        <f>VLOOKUP(INDICADORES!$B$21,'DATOS GENERALES'!$K:$M,3,0)*E1305</f>
        <v>389825.34445151518</v>
      </c>
      <c r="M1305" s="38">
        <f t="shared" si="104"/>
        <v>23721915.980076671</v>
      </c>
      <c r="N1305" s="36"/>
      <c r="O1305" s="36"/>
      <c r="P1305" s="36"/>
    </row>
    <row r="1306" spans="1:16" x14ac:dyDescent="0.25">
      <c r="A1306" s="36">
        <v>1837</v>
      </c>
      <c r="B1306" s="37">
        <v>43525</v>
      </c>
      <c r="C1306" s="36" t="s">
        <v>195</v>
      </c>
      <c r="D1306" s="36"/>
      <c r="E1306" s="38">
        <v>24433339.875</v>
      </c>
      <c r="F1306" s="40">
        <f>VLOOKUP(A1306,'DATOS GENERALES'!A:B,2,0)</f>
        <v>1.98</v>
      </c>
      <c r="G1306" s="36">
        <f t="shared" si="100"/>
        <v>1.9708919999999999</v>
      </c>
      <c r="H1306" s="38">
        <f t="shared" si="101"/>
        <v>12397097.291480204</v>
      </c>
      <c r="I1306" s="38">
        <f t="shared" si="102"/>
        <v>12036242.583519796</v>
      </c>
      <c r="J1306" s="38">
        <v>1938751.3209837195</v>
      </c>
      <c r="K1306" s="38">
        <f t="shared" si="103"/>
        <v>10097491.262536077</v>
      </c>
      <c r="L1306" s="41">
        <f>VLOOKUP(INDICADORES!$B$21,'DATOS GENERALES'!$K:$M,3,0)*E1306</f>
        <v>166293.95357179083</v>
      </c>
      <c r="M1306" s="38">
        <f t="shared" si="104"/>
        <v>9931197.308964286</v>
      </c>
      <c r="N1306" s="36"/>
      <c r="O1306" s="36"/>
      <c r="P1306" s="36"/>
    </row>
    <row r="1307" spans="1:16" x14ac:dyDescent="0.25">
      <c r="A1307" s="36">
        <v>1837</v>
      </c>
      <c r="B1307" s="37">
        <v>43556</v>
      </c>
      <c r="C1307" s="36" t="s">
        <v>195</v>
      </c>
      <c r="D1307" s="36"/>
      <c r="E1307" s="38">
        <v>23469243</v>
      </c>
      <c r="F1307" s="40">
        <f>VLOOKUP(A1307,'DATOS GENERALES'!A:B,2,0)</f>
        <v>1.98</v>
      </c>
      <c r="G1307" s="36">
        <f t="shared" si="100"/>
        <v>1.9708919999999999</v>
      </c>
      <c r="H1307" s="38">
        <f t="shared" si="101"/>
        <v>11907929.506030772</v>
      </c>
      <c r="I1307" s="38">
        <f t="shared" si="102"/>
        <v>11561313.493969228</v>
      </c>
      <c r="J1307" s="38">
        <v>1914534.9821859144</v>
      </c>
      <c r="K1307" s="38">
        <f t="shared" si="103"/>
        <v>9646778.511783313</v>
      </c>
      <c r="L1307" s="41">
        <f>VLOOKUP(INDICADORES!$B$21,'DATOS GENERALES'!$K:$M,3,0)*E1307</f>
        <v>159732.28489324881</v>
      </c>
      <c r="M1307" s="38">
        <f t="shared" si="104"/>
        <v>9487046.2268900648</v>
      </c>
      <c r="N1307" s="36"/>
      <c r="O1307" s="36"/>
      <c r="P1307" s="36"/>
    </row>
    <row r="1308" spans="1:16" x14ac:dyDescent="0.25">
      <c r="A1308" s="36">
        <v>1837</v>
      </c>
      <c r="B1308" s="37">
        <v>43586</v>
      </c>
      <c r="C1308" s="36" t="s">
        <v>195</v>
      </c>
      <c r="D1308" s="36"/>
      <c r="E1308" s="38">
        <v>23469243</v>
      </c>
      <c r="F1308" s="40">
        <f>VLOOKUP(A1308,'DATOS GENERALES'!A:B,2,0)</f>
        <v>1.98</v>
      </c>
      <c r="G1308" s="36">
        <f t="shared" si="100"/>
        <v>1.9708919999999999</v>
      </c>
      <c r="H1308" s="38">
        <f t="shared" si="101"/>
        <v>11907929.506030772</v>
      </c>
      <c r="I1308" s="38">
        <f t="shared" si="102"/>
        <v>11561313.493969228</v>
      </c>
      <c r="J1308" s="38">
        <v>1579357.468360624</v>
      </c>
      <c r="K1308" s="38">
        <f t="shared" si="103"/>
        <v>9981956.0256086048</v>
      </c>
      <c r="L1308" s="41">
        <f>VLOOKUP(INDICADORES!$B$21,'DATOS GENERALES'!$K:$M,3,0)*E1308</f>
        <v>159732.28489324881</v>
      </c>
      <c r="M1308" s="38">
        <f t="shared" si="104"/>
        <v>9822223.7407153565</v>
      </c>
      <c r="N1308" s="36"/>
      <c r="O1308" s="36"/>
      <c r="P1308" s="36"/>
    </row>
    <row r="1309" spans="1:16" x14ac:dyDescent="0.25">
      <c r="A1309" s="36">
        <v>1837</v>
      </c>
      <c r="B1309" s="37">
        <v>43617</v>
      </c>
      <c r="C1309" s="36" t="s">
        <v>195</v>
      </c>
      <c r="D1309" s="36"/>
      <c r="E1309" s="38">
        <v>23469243</v>
      </c>
      <c r="F1309" s="40">
        <f>VLOOKUP(A1309,'DATOS GENERALES'!A:B,2,0)</f>
        <v>1.98</v>
      </c>
      <c r="G1309" s="36">
        <f t="shared" si="100"/>
        <v>1.9708919999999999</v>
      </c>
      <c r="H1309" s="38">
        <f t="shared" si="101"/>
        <v>11907929.506030772</v>
      </c>
      <c r="I1309" s="38">
        <f t="shared" si="102"/>
        <v>11561313.493969228</v>
      </c>
      <c r="J1309" s="38">
        <v>2123865.9339583074</v>
      </c>
      <c r="K1309" s="38">
        <f t="shared" si="103"/>
        <v>9437447.5600109212</v>
      </c>
      <c r="L1309" s="41">
        <f>VLOOKUP(INDICADORES!$B$21,'DATOS GENERALES'!$K:$M,3,0)*E1309</f>
        <v>159732.28489324881</v>
      </c>
      <c r="M1309" s="38">
        <f t="shared" si="104"/>
        <v>9277715.275117673</v>
      </c>
      <c r="N1309" s="36"/>
      <c r="O1309" s="36"/>
      <c r="P1309" s="36"/>
    </row>
    <row r="1310" spans="1:16" x14ac:dyDescent="0.25">
      <c r="A1310" s="36">
        <v>1706</v>
      </c>
      <c r="B1310" s="37">
        <v>43617</v>
      </c>
      <c r="C1310" s="36" t="s">
        <v>195</v>
      </c>
      <c r="D1310" s="36"/>
      <c r="E1310" s="38">
        <v>283865048.44304019</v>
      </c>
      <c r="F1310" s="40">
        <f>VLOOKUP(A1310,'DATOS GENERALES'!A:B,2,0)</f>
        <v>0.65</v>
      </c>
      <c r="G1310" s="36">
        <f t="shared" si="100"/>
        <v>0.64700999999999997</v>
      </c>
      <c r="H1310" s="38">
        <f t="shared" si="101"/>
        <v>438733633.85888964</v>
      </c>
      <c r="I1310" s="38">
        <f t="shared" si="102"/>
        <v>-154868585.41584945</v>
      </c>
      <c r="J1310" s="38">
        <v>78251338.19970271</v>
      </c>
      <c r="K1310" s="38">
        <f t="shared" si="103"/>
        <v>-233119923.61555216</v>
      </c>
      <c r="L1310" s="41">
        <f>VLOOKUP(INDICADORES!$B$21,'DATOS GENERALES'!$K:$M,3,0)*E1310</f>
        <v>1931992.9828644057</v>
      </c>
      <c r="M1310" s="38">
        <f t="shared" si="104"/>
        <v>-235051916.59841657</v>
      </c>
      <c r="N1310" s="36"/>
      <c r="O1310" s="36"/>
      <c r="P1310" s="36"/>
    </row>
    <row r="1311" spans="1:16" x14ac:dyDescent="0.25">
      <c r="A1311" s="36">
        <v>1706</v>
      </c>
      <c r="B1311" s="37">
        <v>43647</v>
      </c>
      <c r="C1311" s="36" t="s">
        <v>195</v>
      </c>
      <c r="D1311" s="36"/>
      <c r="E1311" s="38">
        <v>142959743.37775993</v>
      </c>
      <c r="F1311" s="40">
        <f>VLOOKUP(A1311,'DATOS GENERALES'!A:B,2,0)</f>
        <v>0.65</v>
      </c>
      <c r="G1311" s="36">
        <f t="shared" si="100"/>
        <v>0.64700999999999997</v>
      </c>
      <c r="H1311" s="38">
        <f t="shared" si="101"/>
        <v>220954457.23831153</v>
      </c>
      <c r="I1311" s="38">
        <f t="shared" si="102"/>
        <v>-77994713.860551596</v>
      </c>
      <c r="J1311" s="38">
        <v>58770201.503575906</v>
      </c>
      <c r="K1311" s="38">
        <f t="shared" si="103"/>
        <v>-136764915.36412752</v>
      </c>
      <c r="L1311" s="41">
        <f>VLOOKUP(INDICADORES!$B$21,'DATOS GENERALES'!$K:$M,3,0)*E1311</f>
        <v>972987.77201642562</v>
      </c>
      <c r="M1311" s="38">
        <f t="shared" si="104"/>
        <v>-137737903.13614395</v>
      </c>
      <c r="N1311" s="36"/>
      <c r="O1311" s="36"/>
      <c r="P1311" s="36"/>
    </row>
    <row r="1312" spans="1:16" x14ac:dyDescent="0.25">
      <c r="A1312" s="36">
        <v>1706</v>
      </c>
      <c r="B1312" s="37">
        <v>43678</v>
      </c>
      <c r="C1312" s="36" t="s">
        <v>195</v>
      </c>
      <c r="D1312" s="36"/>
      <c r="E1312" s="38">
        <v>194610256.35320002</v>
      </c>
      <c r="F1312" s="40">
        <f>VLOOKUP(A1312,'DATOS GENERALES'!A:B,2,0)</f>
        <v>0.65</v>
      </c>
      <c r="G1312" s="36">
        <f t="shared" si="100"/>
        <v>0.64700999999999997</v>
      </c>
      <c r="H1312" s="38">
        <f t="shared" si="101"/>
        <v>300784000.79318714</v>
      </c>
      <c r="I1312" s="38">
        <f t="shared" si="102"/>
        <v>-106173744.43998712</v>
      </c>
      <c r="J1312" s="38">
        <v>78726373.160057992</v>
      </c>
      <c r="K1312" s="38">
        <f t="shared" si="103"/>
        <v>-184900117.60004511</v>
      </c>
      <c r="L1312" s="41">
        <f>VLOOKUP(INDICADORES!$B$21,'DATOS GENERALES'!$K:$M,3,0)*E1312</f>
        <v>1324522.5212827499</v>
      </c>
      <c r="M1312" s="38">
        <f t="shared" si="104"/>
        <v>-186224640.12132788</v>
      </c>
      <c r="N1312" s="36"/>
      <c r="O1312" s="36"/>
      <c r="P1312" s="36"/>
    </row>
    <row r="1313" spans="1:16" x14ac:dyDescent="0.25">
      <c r="A1313" s="36">
        <v>1706</v>
      </c>
      <c r="B1313" s="37">
        <v>43709</v>
      </c>
      <c r="C1313" s="36" t="s">
        <v>195</v>
      </c>
      <c r="D1313" s="36"/>
      <c r="E1313" s="38">
        <v>184627166.86367989</v>
      </c>
      <c r="F1313" s="40">
        <f>VLOOKUP(A1313,'DATOS GENERALES'!A:B,2,0)</f>
        <v>0.65</v>
      </c>
      <c r="G1313" s="36">
        <f t="shared" si="100"/>
        <v>0.64700999999999997</v>
      </c>
      <c r="H1313" s="38">
        <f t="shared" si="101"/>
        <v>285354425.53234088</v>
      </c>
      <c r="I1313" s="38">
        <f t="shared" si="102"/>
        <v>-100727258.668661</v>
      </c>
      <c r="J1313" s="38">
        <v>84410227.504506767</v>
      </c>
      <c r="K1313" s="38">
        <f t="shared" si="103"/>
        <v>-185137486.17316777</v>
      </c>
      <c r="L1313" s="41">
        <f>VLOOKUP(INDICADORES!$B$21,'DATOS GENERALES'!$K:$M,3,0)*E1313</f>
        <v>1256577.3517493813</v>
      </c>
      <c r="M1313" s="38">
        <f t="shared" si="104"/>
        <v>-186394063.52491716</v>
      </c>
      <c r="N1313" s="36"/>
      <c r="O1313" s="36"/>
      <c r="P1313" s="36"/>
    </row>
    <row r="1314" spans="1:16" x14ac:dyDescent="0.25">
      <c r="A1314" s="36">
        <v>1706</v>
      </c>
      <c r="B1314" s="37">
        <v>43739</v>
      </c>
      <c r="C1314" s="36" t="s">
        <v>195</v>
      </c>
      <c r="D1314" s="36"/>
      <c r="E1314" s="38">
        <v>192950650.32607999</v>
      </c>
      <c r="F1314" s="40">
        <f>VLOOKUP(A1314,'DATOS GENERALES'!A:B,2,0)</f>
        <v>0.65</v>
      </c>
      <c r="G1314" s="36">
        <f t="shared" si="100"/>
        <v>0.64700999999999997</v>
      </c>
      <c r="H1314" s="38">
        <f t="shared" si="101"/>
        <v>298218961.57104218</v>
      </c>
      <c r="I1314" s="38">
        <f t="shared" si="102"/>
        <v>-105268311.24496219</v>
      </c>
      <c r="J1314" s="38">
        <v>95396132.55585292</v>
      </c>
      <c r="K1314" s="38">
        <f t="shared" si="103"/>
        <v>-200664443.80081511</v>
      </c>
      <c r="L1314" s="41">
        <f>VLOOKUP(INDICADORES!$B$21,'DATOS GENERALES'!$K:$M,3,0)*E1314</f>
        <v>1313227.1990290885</v>
      </c>
      <c r="M1314" s="38">
        <f t="shared" si="104"/>
        <v>-201977670.99984419</v>
      </c>
      <c r="N1314" s="36"/>
      <c r="O1314" s="36"/>
      <c r="P1314" s="36"/>
    </row>
    <row r="1315" spans="1:16" x14ac:dyDescent="0.25">
      <c r="A1315" s="36">
        <v>1706</v>
      </c>
      <c r="B1315" s="37">
        <v>43770</v>
      </c>
      <c r="C1315" s="36" t="s">
        <v>195</v>
      </c>
      <c r="D1315" s="36"/>
      <c r="E1315" s="38">
        <v>167475190.21959996</v>
      </c>
      <c r="F1315" s="40">
        <f>VLOOKUP(A1315,'DATOS GENERALES'!A:B,2,0)</f>
        <v>0.65</v>
      </c>
      <c r="G1315" s="36">
        <f t="shared" si="100"/>
        <v>0.64700999999999997</v>
      </c>
      <c r="H1315" s="38">
        <f t="shared" si="101"/>
        <v>258844824.99435863</v>
      </c>
      <c r="I1315" s="38">
        <f t="shared" si="102"/>
        <v>-91369634.774758667</v>
      </c>
      <c r="J1315" s="38">
        <v>110740091.43105668</v>
      </c>
      <c r="K1315" s="38">
        <f t="shared" si="103"/>
        <v>-202109726.20581535</v>
      </c>
      <c r="L1315" s="41">
        <f>VLOOKUP(INDICADORES!$B$21,'DATOS GENERALES'!$K:$M,3,0)*E1315</f>
        <v>1139840.5477632226</v>
      </c>
      <c r="M1315" s="38">
        <f t="shared" si="104"/>
        <v>-203249566.75357857</v>
      </c>
      <c r="N1315" s="36"/>
      <c r="O1315" s="36"/>
      <c r="P1315" s="36"/>
    </row>
    <row r="1316" spans="1:16" x14ac:dyDescent="0.25">
      <c r="A1316" s="36">
        <v>1706</v>
      </c>
      <c r="B1316" s="37">
        <v>43800</v>
      </c>
      <c r="C1316" s="36" t="s">
        <v>195</v>
      </c>
      <c r="D1316" s="36"/>
      <c r="E1316" s="38">
        <v>205289550.99032</v>
      </c>
      <c r="F1316" s="40">
        <f>VLOOKUP(A1316,'DATOS GENERALES'!A:B,2,0)</f>
        <v>0.65</v>
      </c>
      <c r="G1316" s="36">
        <f t="shared" si="100"/>
        <v>0.64700999999999997</v>
      </c>
      <c r="H1316" s="38">
        <f t="shared" si="101"/>
        <v>317289610.65566218</v>
      </c>
      <c r="I1316" s="38">
        <f t="shared" si="102"/>
        <v>-112000059.66534218</v>
      </c>
      <c r="J1316" s="38">
        <v>114294894.80893616</v>
      </c>
      <c r="K1316" s="38">
        <f t="shared" si="103"/>
        <v>-226294954.47427833</v>
      </c>
      <c r="L1316" s="41">
        <f>VLOOKUP(INDICADORES!$B$21,'DATOS GENERALES'!$K:$M,3,0)*E1316</f>
        <v>1397206.0813547724</v>
      </c>
      <c r="M1316" s="38">
        <f t="shared" si="104"/>
        <v>-227692160.5556331</v>
      </c>
      <c r="N1316" s="36"/>
      <c r="O1316" s="36"/>
      <c r="P1316" s="36"/>
    </row>
    <row r="1317" spans="1:16" x14ac:dyDescent="0.25">
      <c r="A1317" s="36">
        <v>1706</v>
      </c>
      <c r="B1317" s="37">
        <v>43466</v>
      </c>
      <c r="C1317" s="36" t="s">
        <v>195</v>
      </c>
      <c r="D1317" s="36"/>
      <c r="E1317" s="38">
        <v>13105734.300000001</v>
      </c>
      <c r="F1317" s="40">
        <f>VLOOKUP(A1317,'DATOS GENERALES'!A:B,2,0)</f>
        <v>0.65</v>
      </c>
      <c r="G1317" s="36">
        <f t="shared" si="100"/>
        <v>0.64700999999999997</v>
      </c>
      <c r="H1317" s="38">
        <f t="shared" si="101"/>
        <v>20255845.041034918</v>
      </c>
      <c r="I1317" s="38">
        <f t="shared" si="102"/>
        <v>-7150110.7410349175</v>
      </c>
      <c r="J1317" s="38">
        <v>4444503.9908004729</v>
      </c>
      <c r="K1317" s="38">
        <f t="shared" si="103"/>
        <v>-11594614.731835391</v>
      </c>
      <c r="L1317" s="41">
        <f>VLOOKUP(INDICADORES!$B$21,'DATOS GENERALES'!$K:$M,3,0)*E1317</f>
        <v>89197.972211665416</v>
      </c>
      <c r="M1317" s="38">
        <f t="shared" si="104"/>
        <v>-11683812.704047056</v>
      </c>
      <c r="N1317" s="36"/>
      <c r="O1317" s="36"/>
      <c r="P1317" s="36"/>
    </row>
    <row r="1318" spans="1:16" x14ac:dyDescent="0.25">
      <c r="A1318" s="36">
        <v>1706</v>
      </c>
      <c r="B1318" s="37">
        <v>43497</v>
      </c>
      <c r="C1318" s="36" t="s">
        <v>195</v>
      </c>
      <c r="D1318" s="36"/>
      <c r="E1318" s="38">
        <v>39691874.539999999</v>
      </c>
      <c r="F1318" s="40">
        <f>VLOOKUP(A1318,'DATOS GENERALES'!A:B,2,0)</f>
        <v>0.65</v>
      </c>
      <c r="G1318" s="36">
        <f t="shared" si="100"/>
        <v>0.64700999999999997</v>
      </c>
      <c r="H1318" s="38">
        <f t="shared" si="101"/>
        <v>61346616.806540862</v>
      </c>
      <c r="I1318" s="38">
        <f t="shared" si="102"/>
        <v>-21654742.266540863</v>
      </c>
      <c r="J1318" s="38">
        <v>13260552.636419445</v>
      </c>
      <c r="K1318" s="38">
        <f t="shared" si="103"/>
        <v>-34915294.902960308</v>
      </c>
      <c r="L1318" s="41">
        <f>VLOOKUP(INDICADORES!$B$21,'DATOS GENERALES'!$K:$M,3,0)*E1318</f>
        <v>270143.94166741421</v>
      </c>
      <c r="M1318" s="38">
        <f t="shared" si="104"/>
        <v>-35185438.844627723</v>
      </c>
      <c r="N1318" s="36"/>
      <c r="O1318" s="36"/>
      <c r="P1318" s="36"/>
    </row>
    <row r="1319" spans="1:16" x14ac:dyDescent="0.25">
      <c r="A1319" s="36">
        <v>1706</v>
      </c>
      <c r="B1319" s="37">
        <v>43525</v>
      </c>
      <c r="C1319" s="36" t="s">
        <v>195</v>
      </c>
      <c r="D1319" s="36"/>
      <c r="E1319" s="38">
        <v>466647576.91000003</v>
      </c>
      <c r="F1319" s="40">
        <f>VLOOKUP(A1319,'DATOS GENERALES'!A:B,2,0)</f>
        <v>0.65</v>
      </c>
      <c r="G1319" s="36">
        <f t="shared" si="100"/>
        <v>0.64700999999999997</v>
      </c>
      <c r="H1319" s="38">
        <f t="shared" si="101"/>
        <v>721237039.47388768</v>
      </c>
      <c r="I1319" s="38">
        <f t="shared" si="102"/>
        <v>-254589462.56388766</v>
      </c>
      <c r="J1319" s="38">
        <v>112792473.12057118</v>
      </c>
      <c r="K1319" s="38">
        <f t="shared" si="103"/>
        <v>-367381935.68445885</v>
      </c>
      <c r="L1319" s="41">
        <f>VLOOKUP(INDICADORES!$B$21,'DATOS GENERALES'!$K:$M,3,0)*E1319</f>
        <v>3176015.6771878991</v>
      </c>
      <c r="M1319" s="38">
        <f t="shared" si="104"/>
        <v>-370557951.36164677</v>
      </c>
      <c r="N1319" s="36"/>
      <c r="O1319" s="36"/>
      <c r="P1319" s="36"/>
    </row>
    <row r="1320" spans="1:16" x14ac:dyDescent="0.25">
      <c r="A1320" s="36">
        <v>1706</v>
      </c>
      <c r="B1320" s="37">
        <v>43556</v>
      </c>
      <c r="C1320" s="36" t="s">
        <v>195</v>
      </c>
      <c r="D1320" s="36"/>
      <c r="E1320" s="38">
        <v>277757983.00000006</v>
      </c>
      <c r="F1320" s="40">
        <f>VLOOKUP(A1320,'DATOS GENERALES'!A:B,2,0)</f>
        <v>0.65</v>
      </c>
      <c r="G1320" s="36">
        <f t="shared" si="100"/>
        <v>0.64700999999999997</v>
      </c>
      <c r="H1320" s="38">
        <f t="shared" si="101"/>
        <v>429294729.60232466</v>
      </c>
      <c r="I1320" s="38">
        <f t="shared" si="102"/>
        <v>-151536746.6023246</v>
      </c>
      <c r="J1320" s="38">
        <v>69021216.247160539</v>
      </c>
      <c r="K1320" s="38">
        <f t="shared" si="103"/>
        <v>-220557962.84948516</v>
      </c>
      <c r="L1320" s="41">
        <f>VLOOKUP(INDICADORES!$B$21,'DATOS GENERALES'!$K:$M,3,0)*E1320</f>
        <v>1890428.1348968167</v>
      </c>
      <c r="M1320" s="38">
        <f t="shared" si="104"/>
        <v>-222448390.98438197</v>
      </c>
      <c r="N1320" s="36"/>
      <c r="O1320" s="36"/>
      <c r="P1320" s="36"/>
    </row>
    <row r="1321" spans="1:16" x14ac:dyDescent="0.25">
      <c r="A1321" s="36">
        <v>1706</v>
      </c>
      <c r="B1321" s="37">
        <v>43586</v>
      </c>
      <c r="C1321" s="36" t="s">
        <v>195</v>
      </c>
      <c r="D1321" s="36"/>
      <c r="E1321" s="38">
        <v>193325410.73000008</v>
      </c>
      <c r="F1321" s="40">
        <f>VLOOKUP(A1321,'DATOS GENERALES'!A:B,2,0)</f>
        <v>0.65</v>
      </c>
      <c r="G1321" s="36">
        <f t="shared" si="100"/>
        <v>0.64700999999999997</v>
      </c>
      <c r="H1321" s="38">
        <f t="shared" si="101"/>
        <v>298798180.44543374</v>
      </c>
      <c r="I1321" s="38">
        <f t="shared" si="102"/>
        <v>-105472769.71543366</v>
      </c>
      <c r="J1321" s="38">
        <v>39629822.93269898</v>
      </c>
      <c r="K1321" s="38">
        <f t="shared" si="103"/>
        <v>-145102592.64813262</v>
      </c>
      <c r="L1321" s="41">
        <f>VLOOKUP(INDICADORES!$B$21,'DATOS GENERALES'!$K:$M,3,0)*E1321</f>
        <v>1315777.8281910804</v>
      </c>
      <c r="M1321" s="38">
        <f t="shared" si="104"/>
        <v>-146418370.47632369</v>
      </c>
      <c r="N1321" s="36"/>
      <c r="O1321" s="36"/>
      <c r="P1321" s="36"/>
    </row>
    <row r="1322" spans="1:16" x14ac:dyDescent="0.25">
      <c r="A1322" s="36" t="s">
        <v>157</v>
      </c>
      <c r="B1322" s="37">
        <v>43466</v>
      </c>
      <c r="C1322" s="36"/>
      <c r="D1322" s="36" t="s">
        <v>225</v>
      </c>
      <c r="E1322" s="38">
        <v>0</v>
      </c>
      <c r="F1322" s="40">
        <f>VLOOKUP(A1322,'DATOS GENERALES'!A:B,2,0)</f>
        <v>1.5</v>
      </c>
      <c r="G1322" s="36">
        <f t="shared" si="100"/>
        <v>1.4930999999999999</v>
      </c>
      <c r="H1322" s="38">
        <f t="shared" ref="H1322:H1357" si="105">E1322/G1322</f>
        <v>0</v>
      </c>
      <c r="I1322" s="38">
        <f t="shared" ref="I1322:I1357" si="106">E1322-H1322</f>
        <v>0</v>
      </c>
      <c r="J1322" s="38"/>
      <c r="K1322" s="38">
        <f t="shared" ref="K1322:K1357" si="107">IFERROR(I1322-J1322,"")</f>
        <v>0</v>
      </c>
      <c r="L1322" s="41">
        <f>VLOOKUP(INDICADORES!$B$21,'DATOS GENERALES'!$K:$M,3,0)*E1322</f>
        <v>0</v>
      </c>
      <c r="M1322" s="38">
        <f t="shared" ref="M1322:M1357" si="108">IFERROR(K1322-L1322,"")</f>
        <v>0</v>
      </c>
      <c r="N1322" s="36"/>
      <c r="O1322" s="36"/>
      <c r="P1322" s="36"/>
    </row>
    <row r="1323" spans="1:16" x14ac:dyDescent="0.25">
      <c r="A1323" s="36" t="s">
        <v>157</v>
      </c>
      <c r="B1323" s="37">
        <v>43497</v>
      </c>
      <c r="C1323" s="36"/>
      <c r="D1323" s="36" t="s">
        <v>225</v>
      </c>
      <c r="E1323" s="38">
        <v>65380491.681576155</v>
      </c>
      <c r="F1323" s="40">
        <f>VLOOKUP(A1323,'DATOS GENERALES'!A:B,2,0)</f>
        <v>1.5</v>
      </c>
      <c r="G1323" s="36">
        <f t="shared" si="100"/>
        <v>1.4930999999999999</v>
      </c>
      <c r="H1323" s="38">
        <f t="shared" si="105"/>
        <v>43788421.191866696</v>
      </c>
      <c r="I1323" s="38">
        <f t="shared" si="106"/>
        <v>21592070.489709459</v>
      </c>
      <c r="J1323" s="38"/>
      <c r="K1323" s="38">
        <f t="shared" si="107"/>
        <v>21592070.489709459</v>
      </c>
      <c r="L1323" s="41">
        <f>VLOOKUP(INDICADORES!$B$21,'DATOS GENERALES'!$K:$M,3,0)*E1323</f>
        <v>444981.34531830478</v>
      </c>
      <c r="M1323" s="38">
        <f t="shared" si="108"/>
        <v>21147089.144391153</v>
      </c>
      <c r="N1323" s="36"/>
      <c r="O1323" s="36"/>
      <c r="P1323" s="36"/>
    </row>
    <row r="1324" spans="1:16" x14ac:dyDescent="0.25">
      <c r="A1324" s="36" t="s">
        <v>157</v>
      </c>
      <c r="B1324" s="37">
        <v>43525</v>
      </c>
      <c r="C1324" s="36"/>
      <c r="D1324" s="36" t="s">
        <v>225</v>
      </c>
      <c r="E1324" s="38">
        <v>237933985.8693701</v>
      </c>
      <c r="F1324" s="40">
        <f>VLOOKUP(A1324,'DATOS GENERALES'!A:B,2,0)</f>
        <v>1.5</v>
      </c>
      <c r="G1324" s="36">
        <f t="shared" si="100"/>
        <v>1.4930999999999999</v>
      </c>
      <c r="H1324" s="38">
        <f t="shared" si="105"/>
        <v>159355693.43605259</v>
      </c>
      <c r="I1324" s="38">
        <f t="shared" si="106"/>
        <v>78578292.433317512</v>
      </c>
      <c r="J1324" s="38"/>
      <c r="K1324" s="38">
        <f t="shared" si="107"/>
        <v>78578292.433317512</v>
      </c>
      <c r="L1324" s="41">
        <f>VLOOKUP(INDICADORES!$B$21,'DATOS GENERALES'!$K:$M,3,0)*E1324</f>
        <v>1619384.9634039097</v>
      </c>
      <c r="M1324" s="38">
        <f t="shared" si="108"/>
        <v>76958907.469913602</v>
      </c>
      <c r="N1324" s="36"/>
      <c r="O1324" s="36"/>
      <c r="P1324" s="36"/>
    </row>
    <row r="1325" spans="1:16" x14ac:dyDescent="0.25">
      <c r="A1325" s="36" t="s">
        <v>157</v>
      </c>
      <c r="B1325" s="37">
        <v>43556</v>
      </c>
      <c r="C1325" s="36"/>
      <c r="D1325" s="36" t="s">
        <v>225</v>
      </c>
      <c r="E1325" s="38">
        <v>450459612.7334311</v>
      </c>
      <c r="F1325" s="40">
        <f>VLOOKUP(A1325,'DATOS GENERALES'!A:B,2,0)</f>
        <v>1.5</v>
      </c>
      <c r="G1325" s="36">
        <f t="shared" si="100"/>
        <v>1.4930999999999999</v>
      </c>
      <c r="H1325" s="38">
        <f t="shared" si="105"/>
        <v>301694201.81731373</v>
      </c>
      <c r="I1325" s="38">
        <f t="shared" si="106"/>
        <v>148765410.91611737</v>
      </c>
      <c r="J1325" s="38"/>
      <c r="K1325" s="38">
        <f t="shared" si="107"/>
        <v>148765410.91611737</v>
      </c>
      <c r="L1325" s="41">
        <f>VLOOKUP(INDICADORES!$B$21,'DATOS GENERALES'!$K:$M,3,0)*E1325</f>
        <v>3065839.9674006933</v>
      </c>
      <c r="M1325" s="38">
        <f t="shared" si="108"/>
        <v>145699570.94871667</v>
      </c>
      <c r="N1325" s="36"/>
      <c r="O1325" s="36"/>
      <c r="P1325" s="36"/>
    </row>
    <row r="1326" spans="1:16" x14ac:dyDescent="0.25">
      <c r="A1326" s="36" t="s">
        <v>157</v>
      </c>
      <c r="B1326" s="37">
        <v>43586</v>
      </c>
      <c r="C1326" s="36"/>
      <c r="D1326" s="36" t="s">
        <v>225</v>
      </c>
      <c r="E1326" s="38">
        <v>668572032.50786221</v>
      </c>
      <c r="F1326" s="40">
        <f>VLOOKUP(A1326,'DATOS GENERALES'!A:B,2,0)</f>
        <v>1.5</v>
      </c>
      <c r="G1326" s="36">
        <f t="shared" si="100"/>
        <v>1.4930999999999999</v>
      </c>
      <c r="H1326" s="38">
        <f t="shared" si="105"/>
        <v>447774450.81231147</v>
      </c>
      <c r="I1326" s="38">
        <f t="shared" si="106"/>
        <v>220797581.69555074</v>
      </c>
      <c r="J1326" s="38"/>
      <c r="K1326" s="38">
        <f t="shared" si="107"/>
        <v>220797581.69555074</v>
      </c>
      <c r="L1326" s="41">
        <f>VLOOKUP(INDICADORES!$B$21,'DATOS GENERALES'!$K:$M,3,0)*E1326</f>
        <v>4550318.8308291091</v>
      </c>
      <c r="M1326" s="38">
        <f t="shared" si="108"/>
        <v>216247262.86472163</v>
      </c>
      <c r="N1326" s="36"/>
      <c r="O1326" s="36"/>
      <c r="P1326" s="36"/>
    </row>
    <row r="1327" spans="1:16" x14ac:dyDescent="0.25">
      <c r="A1327" s="36" t="s">
        <v>157</v>
      </c>
      <c r="B1327" s="37">
        <v>43617</v>
      </c>
      <c r="C1327" s="36"/>
      <c r="D1327" s="36" t="s">
        <v>225</v>
      </c>
      <c r="E1327" s="38">
        <v>866343539.12683725</v>
      </c>
      <c r="F1327" s="40">
        <f>VLOOKUP(A1327,'DATOS GENERALES'!A:B,2,0)</f>
        <v>1.5</v>
      </c>
      <c r="G1327" s="36">
        <f t="shared" si="100"/>
        <v>1.4930999999999999</v>
      </c>
      <c r="H1327" s="38">
        <f t="shared" si="105"/>
        <v>580231423.96814501</v>
      </c>
      <c r="I1327" s="38">
        <f t="shared" si="106"/>
        <v>286112115.15869224</v>
      </c>
      <c r="J1327" s="38"/>
      <c r="K1327" s="38">
        <f t="shared" si="107"/>
        <v>286112115.15869224</v>
      </c>
      <c r="L1327" s="41">
        <f>VLOOKUP(INDICADORES!$B$21,'DATOS GENERALES'!$K:$M,3,0)*E1327</f>
        <v>5896356.9045338798</v>
      </c>
      <c r="M1327" s="38">
        <f t="shared" si="108"/>
        <v>280215758.25415838</v>
      </c>
      <c r="N1327" s="36"/>
      <c r="O1327" s="36"/>
      <c r="P1327" s="36"/>
    </row>
    <row r="1328" spans="1:16" x14ac:dyDescent="0.25">
      <c r="A1328" s="36" t="s">
        <v>157</v>
      </c>
      <c r="B1328" s="37">
        <v>43647</v>
      </c>
      <c r="C1328" s="36"/>
      <c r="D1328" s="36" t="s">
        <v>225</v>
      </c>
      <c r="E1328" s="38">
        <v>1060833240.3960474</v>
      </c>
      <c r="F1328" s="40">
        <f>VLOOKUP(A1328,'DATOS GENERALES'!A:B,2,0)</f>
        <v>1.5</v>
      </c>
      <c r="G1328" s="36">
        <f t="shared" si="100"/>
        <v>1.4930999999999999</v>
      </c>
      <c r="H1328" s="38">
        <f t="shared" si="105"/>
        <v>710490416.17845249</v>
      </c>
      <c r="I1328" s="38">
        <f t="shared" si="106"/>
        <v>350342824.21759486</v>
      </c>
      <c r="J1328" s="38"/>
      <c r="K1328" s="38">
        <f t="shared" si="107"/>
        <v>350342824.21759486</v>
      </c>
      <c r="L1328" s="41">
        <f>VLOOKUP(INDICADORES!$B$21,'DATOS GENERALES'!$K:$M,3,0)*E1328</f>
        <v>7220058.9247454535</v>
      </c>
      <c r="M1328" s="38">
        <f t="shared" si="108"/>
        <v>343122765.29284942</v>
      </c>
      <c r="N1328" s="36"/>
      <c r="O1328" s="36"/>
      <c r="P1328" s="36"/>
    </row>
    <row r="1329" spans="1:16" x14ac:dyDescent="0.25">
      <c r="A1329" s="36" t="s">
        <v>157</v>
      </c>
      <c r="B1329" s="37">
        <v>43678</v>
      </c>
      <c r="C1329" s="36"/>
      <c r="D1329" s="36" t="s">
        <v>225</v>
      </c>
      <c r="E1329" s="38">
        <v>1239967103.8884077</v>
      </c>
      <c r="F1329" s="40">
        <f>VLOOKUP(A1329,'DATOS GENERALES'!A:B,2,0)</f>
        <v>1.5</v>
      </c>
      <c r="G1329" s="36">
        <f t="shared" si="100"/>
        <v>1.4930999999999999</v>
      </c>
      <c r="H1329" s="38">
        <f t="shared" si="105"/>
        <v>830464874.34760416</v>
      </c>
      <c r="I1329" s="38">
        <f t="shared" si="106"/>
        <v>409502229.54080355</v>
      </c>
      <c r="J1329" s="38"/>
      <c r="K1329" s="38">
        <f t="shared" si="107"/>
        <v>409502229.54080355</v>
      </c>
      <c r="L1329" s="41">
        <f>VLOOKUP(INDICADORES!$B$21,'DATOS GENERALES'!$K:$M,3,0)*E1329</f>
        <v>8439248.7093239352</v>
      </c>
      <c r="M1329" s="38">
        <f t="shared" si="108"/>
        <v>401062980.83147961</v>
      </c>
      <c r="N1329" s="36"/>
      <c r="O1329" s="36"/>
      <c r="P1329" s="36"/>
    </row>
    <row r="1330" spans="1:16" x14ac:dyDescent="0.25">
      <c r="A1330" s="36" t="s">
        <v>157</v>
      </c>
      <c r="B1330" s="37">
        <v>43709</v>
      </c>
      <c r="C1330" s="36"/>
      <c r="D1330" s="36" t="s">
        <v>225</v>
      </c>
      <c r="E1330" s="38">
        <v>1421490223.25789</v>
      </c>
      <c r="F1330" s="40">
        <f>VLOOKUP(A1330,'DATOS GENERALES'!A:B,2,0)</f>
        <v>1.5</v>
      </c>
      <c r="G1330" s="36">
        <f t="shared" si="100"/>
        <v>1.4930999999999999</v>
      </c>
      <c r="H1330" s="38">
        <f t="shared" si="105"/>
        <v>952039530.67972016</v>
      </c>
      <c r="I1330" s="38">
        <f t="shared" si="106"/>
        <v>469450692.57816982</v>
      </c>
      <c r="J1330" s="38"/>
      <c r="K1330" s="38">
        <f t="shared" si="107"/>
        <v>469450692.57816982</v>
      </c>
      <c r="L1330" s="41">
        <f>VLOOKUP(INDICADORES!$B$21,'DATOS GENERALES'!$K:$M,3,0)*E1330</f>
        <v>9674699.8322185837</v>
      </c>
      <c r="M1330" s="38">
        <f t="shared" si="108"/>
        <v>459775992.74595124</v>
      </c>
      <c r="N1330" s="36"/>
      <c r="O1330" s="36"/>
      <c r="P1330" s="36"/>
    </row>
    <row r="1331" spans="1:16" x14ac:dyDescent="0.25">
      <c r="A1331" s="36" t="s">
        <v>157</v>
      </c>
      <c r="B1331" s="37">
        <v>43739</v>
      </c>
      <c r="C1331" s="36"/>
      <c r="D1331" s="36" t="s">
        <v>225</v>
      </c>
      <c r="E1331" s="38">
        <v>1570359940.4896142</v>
      </c>
      <c r="F1331" s="40">
        <f>VLOOKUP(A1331,'DATOS GENERALES'!A:B,2,0)</f>
        <v>1.5</v>
      </c>
      <c r="G1331" s="36">
        <f t="shared" si="100"/>
        <v>1.4930999999999999</v>
      </c>
      <c r="H1331" s="38">
        <f t="shared" si="105"/>
        <v>1051744652.3940891</v>
      </c>
      <c r="I1331" s="38">
        <f t="shared" si="106"/>
        <v>518615288.09552515</v>
      </c>
      <c r="J1331" s="38"/>
      <c r="K1331" s="38">
        <f t="shared" si="107"/>
        <v>518615288.09552515</v>
      </c>
      <c r="L1331" s="41">
        <f>VLOOKUP(INDICADORES!$B$21,'DATOS GENERALES'!$K:$M,3,0)*E1331</f>
        <v>10687911.041665567</v>
      </c>
      <c r="M1331" s="38">
        <f t="shared" si="108"/>
        <v>507927377.05385959</v>
      </c>
      <c r="N1331" s="36"/>
      <c r="O1331" s="36"/>
      <c r="P1331" s="36"/>
    </row>
    <row r="1332" spans="1:16" x14ac:dyDescent="0.25">
      <c r="A1332" s="36" t="s">
        <v>157</v>
      </c>
      <c r="B1332" s="37">
        <v>43770</v>
      </c>
      <c r="C1332" s="36"/>
      <c r="D1332" s="36" t="s">
        <v>225</v>
      </c>
      <c r="E1332" s="38">
        <v>1694649963.0432663</v>
      </c>
      <c r="F1332" s="40">
        <f>VLOOKUP(A1332,'DATOS GENERALES'!A:B,2,0)</f>
        <v>1.5</v>
      </c>
      <c r="G1332" s="36">
        <f t="shared" si="100"/>
        <v>1.4930999999999999</v>
      </c>
      <c r="H1332" s="38">
        <f t="shared" si="105"/>
        <v>1134987584.9194739</v>
      </c>
      <c r="I1332" s="38">
        <f t="shared" si="106"/>
        <v>559662378.12379241</v>
      </c>
      <c r="J1332" s="38"/>
      <c r="K1332" s="38">
        <f t="shared" si="107"/>
        <v>559662378.12379241</v>
      </c>
      <c r="L1332" s="41">
        <f>VLOOKUP(INDICADORES!$B$21,'DATOS GENERALES'!$K:$M,3,0)*E1332</f>
        <v>11533832.202903204</v>
      </c>
      <c r="M1332" s="38">
        <f t="shared" si="108"/>
        <v>548128545.92088926</v>
      </c>
      <c r="N1332" s="36"/>
      <c r="O1332" s="36"/>
      <c r="P1332" s="36"/>
    </row>
    <row r="1333" spans="1:16" x14ac:dyDescent="0.25">
      <c r="A1333" s="36" t="s">
        <v>157</v>
      </c>
      <c r="B1333" s="37">
        <v>43800</v>
      </c>
      <c r="C1333" s="36"/>
      <c r="D1333" s="36" t="s">
        <v>225</v>
      </c>
      <c r="E1333" s="38">
        <v>1806617631.1543489</v>
      </c>
      <c r="F1333" s="40">
        <f>VLOOKUP(A1333,'DATOS GENERALES'!A:B,2,0)</f>
        <v>1.5</v>
      </c>
      <c r="G1333" s="36">
        <f t="shared" si="100"/>
        <v>1.4930999999999999</v>
      </c>
      <c r="H1333" s="38">
        <f t="shared" si="105"/>
        <v>1209977651.2988741</v>
      </c>
      <c r="I1333" s="38">
        <f t="shared" si="106"/>
        <v>596639979.85547471</v>
      </c>
      <c r="J1333" s="38"/>
      <c r="K1333" s="38">
        <f t="shared" si="107"/>
        <v>596639979.85547471</v>
      </c>
      <c r="L1333" s="41">
        <f>VLOOKUP(INDICADORES!$B$21,'DATOS GENERALES'!$K:$M,3,0)*E1333</f>
        <v>12295887.095834866</v>
      </c>
      <c r="M1333" s="38">
        <f t="shared" si="108"/>
        <v>584344092.75963986</v>
      </c>
      <c r="N1333" s="36"/>
      <c r="O1333" s="36"/>
      <c r="P1333" s="36"/>
    </row>
    <row r="1334" spans="1:16" x14ac:dyDescent="0.25">
      <c r="A1334" s="36" t="s">
        <v>157</v>
      </c>
      <c r="B1334" s="37">
        <v>43466</v>
      </c>
      <c r="C1334" s="36"/>
      <c r="D1334" s="36" t="s">
        <v>226</v>
      </c>
      <c r="E1334" s="38">
        <v>0</v>
      </c>
      <c r="F1334" s="40">
        <f>VLOOKUP(A1334,'DATOS GENERALES'!A:B,2,0)</f>
        <v>1.5</v>
      </c>
      <c r="G1334" s="36">
        <f t="shared" si="100"/>
        <v>1.4930999999999999</v>
      </c>
      <c r="H1334" s="38">
        <f t="shared" si="105"/>
        <v>0</v>
      </c>
      <c r="I1334" s="38">
        <f t="shared" si="106"/>
        <v>0</v>
      </c>
      <c r="J1334" s="38"/>
      <c r="K1334" s="38">
        <f t="shared" si="107"/>
        <v>0</v>
      </c>
      <c r="L1334" s="41">
        <f>VLOOKUP(INDICADORES!$B$21,'DATOS GENERALES'!$K:$M,3,0)*E1334</f>
        <v>0</v>
      </c>
      <c r="M1334" s="38">
        <f t="shared" si="108"/>
        <v>0</v>
      </c>
      <c r="N1334" s="36"/>
      <c r="O1334" s="36"/>
      <c r="P1334" s="36"/>
    </row>
    <row r="1335" spans="1:16" x14ac:dyDescent="0.25">
      <c r="A1335" s="36" t="s">
        <v>157</v>
      </c>
      <c r="B1335" s="37">
        <v>43497</v>
      </c>
      <c r="C1335" s="36"/>
      <c r="D1335" s="36" t="s">
        <v>226</v>
      </c>
      <c r="E1335" s="38">
        <v>29723362.07914333</v>
      </c>
      <c r="F1335" s="40">
        <f>VLOOKUP(A1335,'DATOS GENERALES'!A:B,2,0)</f>
        <v>1.5</v>
      </c>
      <c r="G1335" s="36">
        <f t="shared" si="100"/>
        <v>1.4930999999999999</v>
      </c>
      <c r="H1335" s="38">
        <f t="shared" si="105"/>
        <v>19907147.598381445</v>
      </c>
      <c r="I1335" s="38">
        <f t="shared" si="106"/>
        <v>9816214.4807618856</v>
      </c>
      <c r="J1335" s="38"/>
      <c r="K1335" s="38">
        <f t="shared" si="107"/>
        <v>9816214.4807618856</v>
      </c>
      <c r="L1335" s="41">
        <f>VLOOKUP(INDICADORES!$B$21,'DATOS GENERALES'!$K:$M,3,0)*E1335</f>
        <v>202297.983774377</v>
      </c>
      <c r="M1335" s="38">
        <f t="shared" si="108"/>
        <v>9613916.4969875086</v>
      </c>
      <c r="N1335" s="36"/>
      <c r="O1335" s="36"/>
      <c r="P1335" s="36"/>
    </row>
    <row r="1336" spans="1:16" x14ac:dyDescent="0.25">
      <c r="A1336" s="36" t="s">
        <v>157</v>
      </c>
      <c r="B1336" s="37">
        <v>43525</v>
      </c>
      <c r="C1336" s="36"/>
      <c r="D1336" s="36" t="s">
        <v>226</v>
      </c>
      <c r="E1336" s="38">
        <v>106493295.64064981</v>
      </c>
      <c r="F1336" s="40">
        <f>VLOOKUP(A1336,'DATOS GENERALES'!A:B,2,0)</f>
        <v>1.5</v>
      </c>
      <c r="G1336" s="36">
        <f t="shared" si="100"/>
        <v>1.4930999999999999</v>
      </c>
      <c r="H1336" s="38">
        <f t="shared" si="105"/>
        <v>71323619.074844167</v>
      </c>
      <c r="I1336" s="38">
        <f t="shared" si="106"/>
        <v>35169676.565805644</v>
      </c>
      <c r="J1336" s="38"/>
      <c r="K1336" s="38">
        <f t="shared" si="107"/>
        <v>35169676.565805644</v>
      </c>
      <c r="L1336" s="41">
        <f>VLOOKUP(INDICADORES!$B$21,'DATOS GENERALES'!$K:$M,3,0)*E1336</f>
        <v>724796.16996991541</v>
      </c>
      <c r="M1336" s="38">
        <f t="shared" si="108"/>
        <v>34444880.395835727</v>
      </c>
      <c r="N1336" s="36"/>
      <c r="O1336" s="36"/>
      <c r="P1336" s="36"/>
    </row>
    <row r="1337" spans="1:16" x14ac:dyDescent="0.25">
      <c r="A1337" s="36" t="s">
        <v>157</v>
      </c>
      <c r="B1337" s="37">
        <v>43556</v>
      </c>
      <c r="C1337" s="36"/>
      <c r="D1337" s="36" t="s">
        <v>226</v>
      </c>
      <c r="E1337" s="38">
        <v>212154874.02579421</v>
      </c>
      <c r="F1337" s="40">
        <f>VLOOKUP(A1337,'DATOS GENERALES'!A:B,2,0)</f>
        <v>1.5</v>
      </c>
      <c r="G1337" s="36">
        <f t="shared" si="100"/>
        <v>1.4930999999999999</v>
      </c>
      <c r="H1337" s="38">
        <f t="shared" si="105"/>
        <v>142090197.59278965</v>
      </c>
      <c r="I1337" s="38">
        <f t="shared" si="106"/>
        <v>70064676.433004558</v>
      </c>
      <c r="J1337" s="38"/>
      <c r="K1337" s="38">
        <f t="shared" si="107"/>
        <v>70064676.433004558</v>
      </c>
      <c r="L1337" s="41">
        <f>VLOOKUP(INDICADORES!$B$21,'DATOS GENERALES'!$K:$M,3,0)*E1337</f>
        <v>1443931.650431992</v>
      </c>
      <c r="M1337" s="38">
        <f t="shared" si="108"/>
        <v>68620744.782572567</v>
      </c>
      <c r="N1337" s="36"/>
      <c r="O1337" s="36"/>
      <c r="P1337" s="36"/>
    </row>
    <row r="1338" spans="1:16" x14ac:dyDescent="0.25">
      <c r="A1338" s="36" t="s">
        <v>157</v>
      </c>
      <c r="B1338" s="37">
        <v>43586</v>
      </c>
      <c r="C1338" s="36"/>
      <c r="D1338" s="36" t="s">
        <v>226</v>
      </c>
      <c r="E1338" s="38">
        <v>306283344.13891673</v>
      </c>
      <c r="F1338" s="40">
        <f>VLOOKUP(A1338,'DATOS GENERALES'!A:B,2,0)</f>
        <v>1.5</v>
      </c>
      <c r="G1338" s="36">
        <f t="shared" si="100"/>
        <v>1.4930999999999999</v>
      </c>
      <c r="H1338" s="38">
        <f t="shared" si="105"/>
        <v>205132505.61845607</v>
      </c>
      <c r="I1338" s="38">
        <f t="shared" si="106"/>
        <v>101150838.52046067</v>
      </c>
      <c r="J1338" s="38"/>
      <c r="K1338" s="38">
        <f t="shared" si="107"/>
        <v>101150838.52046067</v>
      </c>
      <c r="L1338" s="41">
        <f>VLOOKUP(INDICADORES!$B$21,'DATOS GENERALES'!$K:$M,3,0)*E1338</f>
        <v>2084572.4927750938</v>
      </c>
      <c r="M1338" s="38">
        <f t="shared" si="108"/>
        <v>99066266.027685568</v>
      </c>
      <c r="N1338" s="36"/>
      <c r="O1338" s="36"/>
      <c r="P1338" s="36"/>
    </row>
    <row r="1339" spans="1:16" x14ac:dyDescent="0.25">
      <c r="A1339" s="36" t="s">
        <v>157</v>
      </c>
      <c r="B1339" s="37">
        <v>43617</v>
      </c>
      <c r="C1339" s="36"/>
      <c r="D1339" s="36" t="s">
        <v>226</v>
      </c>
      <c r="E1339" s="38">
        <v>402829101.16013914</v>
      </c>
      <c r="F1339" s="40">
        <f>VLOOKUP(A1339,'DATOS GENERALES'!A:B,2,0)</f>
        <v>1.5</v>
      </c>
      <c r="G1339" s="36">
        <f t="shared" si="100"/>
        <v>1.4930999999999999</v>
      </c>
      <c r="H1339" s="38">
        <f t="shared" si="105"/>
        <v>269793785.52015215</v>
      </c>
      <c r="I1339" s="38">
        <f t="shared" si="106"/>
        <v>133035315.63998699</v>
      </c>
      <c r="J1339" s="38"/>
      <c r="K1339" s="38">
        <f t="shared" si="107"/>
        <v>133035315.63998699</v>
      </c>
      <c r="L1339" s="41">
        <f>VLOOKUP(INDICADORES!$B$21,'DATOS GENERALES'!$K:$M,3,0)*E1339</f>
        <v>2741665.4533681679</v>
      </c>
      <c r="M1339" s="38">
        <f t="shared" si="108"/>
        <v>130293650.18661882</v>
      </c>
      <c r="N1339" s="36"/>
      <c r="O1339" s="36"/>
      <c r="P1339" s="36"/>
    </row>
    <row r="1340" spans="1:16" x14ac:dyDescent="0.25">
      <c r="A1340" s="36" t="s">
        <v>157</v>
      </c>
      <c r="B1340" s="37">
        <v>43647</v>
      </c>
      <c r="C1340" s="36"/>
      <c r="D1340" s="36" t="s">
        <v>226</v>
      </c>
      <c r="E1340" s="38">
        <v>504540568.92664355</v>
      </c>
      <c r="F1340" s="40">
        <f>VLOOKUP(A1340,'DATOS GENERALES'!A:B,2,0)</f>
        <v>1.5</v>
      </c>
      <c r="G1340" s="36">
        <f t="shared" si="100"/>
        <v>1.4930999999999999</v>
      </c>
      <c r="H1340" s="38">
        <f t="shared" si="105"/>
        <v>337914787.30603683</v>
      </c>
      <c r="I1340" s="38">
        <f t="shared" si="106"/>
        <v>166625781.62060672</v>
      </c>
      <c r="J1340" s="38"/>
      <c r="K1340" s="38">
        <f t="shared" si="107"/>
        <v>166625781.62060672</v>
      </c>
      <c r="L1340" s="41">
        <f>VLOOKUP(INDICADORES!$B$21,'DATOS GENERALES'!$K:$M,3,0)*E1340</f>
        <v>3433916.3771065166</v>
      </c>
      <c r="M1340" s="38">
        <f t="shared" si="108"/>
        <v>163191865.2435002</v>
      </c>
      <c r="N1340" s="36"/>
      <c r="O1340" s="36"/>
      <c r="P1340" s="36"/>
    </row>
    <row r="1341" spans="1:16" x14ac:dyDescent="0.25">
      <c r="A1341" s="36" t="s">
        <v>157</v>
      </c>
      <c r="B1341" s="37">
        <v>43678</v>
      </c>
      <c r="C1341" s="36"/>
      <c r="D1341" s="36" t="s">
        <v>226</v>
      </c>
      <c r="E1341" s="38">
        <v>591722058.84424269</v>
      </c>
      <c r="F1341" s="40">
        <f>VLOOKUP(A1341,'DATOS GENERALES'!A:B,2,0)</f>
        <v>1.5</v>
      </c>
      <c r="G1341" s="36">
        <f t="shared" si="100"/>
        <v>1.4930999999999999</v>
      </c>
      <c r="H1341" s="38">
        <f t="shared" si="105"/>
        <v>396304372.67714334</v>
      </c>
      <c r="I1341" s="38">
        <f t="shared" si="106"/>
        <v>195417686.16709936</v>
      </c>
      <c r="J1341" s="38"/>
      <c r="K1341" s="38">
        <f t="shared" si="107"/>
        <v>195417686.16709936</v>
      </c>
      <c r="L1341" s="41">
        <f>VLOOKUP(INDICADORES!$B$21,'DATOS GENERALES'!$K:$M,3,0)*E1341</f>
        <v>4027275.8895942369</v>
      </c>
      <c r="M1341" s="38">
        <f t="shared" si="108"/>
        <v>191390410.27750513</v>
      </c>
      <c r="N1341" s="36"/>
      <c r="O1341" s="36"/>
      <c r="P1341" s="36"/>
    </row>
    <row r="1342" spans="1:16" x14ac:dyDescent="0.25">
      <c r="A1342" s="36" t="s">
        <v>157</v>
      </c>
      <c r="B1342" s="37">
        <v>43709</v>
      </c>
      <c r="C1342" s="36"/>
      <c r="D1342" s="36" t="s">
        <v>226</v>
      </c>
      <c r="E1342" s="38">
        <v>657023582.20424581</v>
      </c>
      <c r="F1342" s="40">
        <f>VLOOKUP(A1342,'DATOS GENERALES'!A:B,2,0)</f>
        <v>1.5</v>
      </c>
      <c r="G1342" s="36">
        <f t="shared" si="100"/>
        <v>1.4930999999999999</v>
      </c>
      <c r="H1342" s="38">
        <f t="shared" si="105"/>
        <v>440039905.03264743</v>
      </c>
      <c r="I1342" s="38">
        <f t="shared" si="106"/>
        <v>216983677.17159837</v>
      </c>
      <c r="J1342" s="38"/>
      <c r="K1342" s="38">
        <f t="shared" si="107"/>
        <v>216983677.17159837</v>
      </c>
      <c r="L1342" s="41">
        <f>VLOOKUP(INDICADORES!$B$21,'DATOS GENERALES'!$K:$M,3,0)*E1342</f>
        <v>4471719.7744397409</v>
      </c>
      <c r="M1342" s="38">
        <f t="shared" si="108"/>
        <v>212511957.39715862</v>
      </c>
      <c r="N1342" s="36"/>
      <c r="O1342" s="36"/>
      <c r="P1342" s="36"/>
    </row>
    <row r="1343" spans="1:16" x14ac:dyDescent="0.25">
      <c r="A1343" s="36" t="s">
        <v>157</v>
      </c>
      <c r="B1343" s="37">
        <v>43739</v>
      </c>
      <c r="C1343" s="36"/>
      <c r="D1343" s="36" t="s">
        <v>226</v>
      </c>
      <c r="E1343" s="38">
        <v>731693920.82438624</v>
      </c>
      <c r="F1343" s="40">
        <f>VLOOKUP(A1343,'DATOS GENERALES'!A:B,2,0)</f>
        <v>1.5</v>
      </c>
      <c r="G1343" s="36">
        <f t="shared" si="100"/>
        <v>1.4930999999999999</v>
      </c>
      <c r="H1343" s="38">
        <f t="shared" si="105"/>
        <v>490050178.03521955</v>
      </c>
      <c r="I1343" s="38">
        <f t="shared" si="106"/>
        <v>241643742.78916669</v>
      </c>
      <c r="J1343" s="38"/>
      <c r="K1343" s="38">
        <f t="shared" si="107"/>
        <v>241643742.78916669</v>
      </c>
      <c r="L1343" s="41">
        <f>VLOOKUP(INDICADORES!$B$21,'DATOS GENERALES'!$K:$M,3,0)*E1343</f>
        <v>4979928.0622634105</v>
      </c>
      <c r="M1343" s="38">
        <f t="shared" si="108"/>
        <v>236663814.72690329</v>
      </c>
      <c r="N1343" s="36"/>
      <c r="O1343" s="36"/>
      <c r="P1343" s="36"/>
    </row>
    <row r="1344" spans="1:16" x14ac:dyDescent="0.25">
      <c r="A1344" s="36" t="s">
        <v>157</v>
      </c>
      <c r="B1344" s="37">
        <v>43770</v>
      </c>
      <c r="C1344" s="36"/>
      <c r="D1344" s="36" t="s">
        <v>226</v>
      </c>
      <c r="E1344" s="38">
        <v>788166760.38460636</v>
      </c>
      <c r="F1344" s="40">
        <f>VLOOKUP(A1344,'DATOS GENERALES'!A:B,2,0)</f>
        <v>1.5</v>
      </c>
      <c r="G1344" s="36">
        <f t="shared" si="100"/>
        <v>1.4930999999999999</v>
      </c>
      <c r="H1344" s="38">
        <f t="shared" si="105"/>
        <v>527872721.44170278</v>
      </c>
      <c r="I1344" s="38">
        <f t="shared" si="106"/>
        <v>260294038.94290358</v>
      </c>
      <c r="J1344" s="38"/>
      <c r="K1344" s="38">
        <f t="shared" si="107"/>
        <v>260294038.94290358</v>
      </c>
      <c r="L1344" s="41">
        <f>VLOOKUP(INDICADORES!$B$21,'DATOS GENERALES'!$K:$M,3,0)*E1344</f>
        <v>5364283.6930506416</v>
      </c>
      <c r="M1344" s="38">
        <f t="shared" si="108"/>
        <v>254929755.24985293</v>
      </c>
      <c r="N1344" s="36"/>
      <c r="O1344" s="36"/>
      <c r="P1344" s="36"/>
    </row>
    <row r="1345" spans="1:16" x14ac:dyDescent="0.25">
      <c r="A1345" s="36" t="s">
        <v>157</v>
      </c>
      <c r="B1345" s="37">
        <v>43800</v>
      </c>
      <c r="C1345" s="36"/>
      <c r="D1345" s="36" t="s">
        <v>226</v>
      </c>
      <c r="E1345" s="38">
        <v>862325415.31937265</v>
      </c>
      <c r="F1345" s="40">
        <f>VLOOKUP(A1345,'DATOS GENERALES'!A:B,2,0)</f>
        <v>1.5</v>
      </c>
      <c r="G1345" s="36">
        <f t="shared" si="100"/>
        <v>1.4930999999999999</v>
      </c>
      <c r="H1345" s="38">
        <f t="shared" si="105"/>
        <v>577540295.57254887</v>
      </c>
      <c r="I1345" s="38">
        <f t="shared" si="106"/>
        <v>284785119.74682379</v>
      </c>
      <c r="J1345" s="38"/>
      <c r="K1345" s="38">
        <f t="shared" si="107"/>
        <v>284785119.74682379</v>
      </c>
      <c r="L1345" s="41">
        <f>VLOOKUP(INDICADORES!$B$21,'DATOS GENERALES'!$K:$M,3,0)*E1345</f>
        <v>5869009.448258861</v>
      </c>
      <c r="M1345" s="38">
        <f t="shared" si="108"/>
        <v>278916110.29856491</v>
      </c>
      <c r="N1345" s="36"/>
      <c r="O1345" s="36"/>
      <c r="P1345" s="36"/>
    </row>
    <row r="1346" spans="1:16" x14ac:dyDescent="0.25">
      <c r="A1346" s="36" t="s">
        <v>157</v>
      </c>
      <c r="B1346" s="37">
        <v>43466</v>
      </c>
      <c r="C1346" s="36"/>
      <c r="D1346" s="36" t="s">
        <v>227</v>
      </c>
      <c r="E1346" s="38">
        <v>0</v>
      </c>
      <c r="F1346" s="40">
        <f>VLOOKUP(A1346,'DATOS GENERALES'!A:B,2,0)</f>
        <v>1.5</v>
      </c>
      <c r="G1346" s="36">
        <f t="shared" si="100"/>
        <v>1.4930999999999999</v>
      </c>
      <c r="H1346" s="38">
        <f t="shared" si="105"/>
        <v>0</v>
      </c>
      <c r="I1346" s="38">
        <f t="shared" si="106"/>
        <v>0</v>
      </c>
      <c r="J1346" s="38"/>
      <c r="K1346" s="38">
        <f t="shared" si="107"/>
        <v>0</v>
      </c>
      <c r="L1346" s="41">
        <f>VLOOKUP(INDICADORES!$B$21,'DATOS GENERALES'!$K:$M,3,0)*E1346</f>
        <v>0</v>
      </c>
      <c r="M1346" s="38">
        <f t="shared" si="108"/>
        <v>0</v>
      </c>
      <c r="N1346" s="36"/>
      <c r="O1346" s="36"/>
      <c r="P1346" s="36"/>
    </row>
    <row r="1347" spans="1:16" x14ac:dyDescent="0.25">
      <c r="A1347" s="36" t="s">
        <v>157</v>
      </c>
      <c r="B1347" s="37">
        <v>43497</v>
      </c>
      <c r="C1347" s="36"/>
      <c r="D1347" s="36" t="s">
        <v>227</v>
      </c>
      <c r="E1347" s="38">
        <v>27644099.01730093</v>
      </c>
      <c r="F1347" s="40">
        <f>VLOOKUP(A1347,'DATOS GENERALES'!A:B,2,0)</f>
        <v>1.5</v>
      </c>
      <c r="G1347" s="36">
        <f t="shared" ref="G1347:G1369" si="109">F1347*0.9954</f>
        <v>1.4930999999999999</v>
      </c>
      <c r="H1347" s="38">
        <f t="shared" si="105"/>
        <v>18514566.350077644</v>
      </c>
      <c r="I1347" s="38">
        <f t="shared" si="106"/>
        <v>9129532.6672232859</v>
      </c>
      <c r="J1347" s="38"/>
      <c r="K1347" s="38">
        <f t="shared" si="107"/>
        <v>9129532.6672232859</v>
      </c>
      <c r="L1347" s="41">
        <f>VLOOKUP(INDICADORES!$B$21,'DATOS GENERALES'!$K:$M,3,0)*E1347</f>
        <v>188146.46470909572</v>
      </c>
      <c r="M1347" s="38">
        <f t="shared" si="108"/>
        <v>8941386.2025141902</v>
      </c>
      <c r="N1347" s="36"/>
      <c r="O1347" s="36"/>
      <c r="P1347" s="36"/>
    </row>
    <row r="1348" spans="1:16" x14ac:dyDescent="0.25">
      <c r="A1348" s="36" t="s">
        <v>157</v>
      </c>
      <c r="B1348" s="37">
        <v>43525</v>
      </c>
      <c r="C1348" s="36"/>
      <c r="D1348" s="36" t="s">
        <v>227</v>
      </c>
      <c r="E1348" s="38">
        <v>108434465.15695676</v>
      </c>
      <c r="F1348" s="40">
        <f>VLOOKUP(A1348,'DATOS GENERALES'!A:B,2,0)</f>
        <v>1.5</v>
      </c>
      <c r="G1348" s="36">
        <f t="shared" si="109"/>
        <v>1.4930999999999999</v>
      </c>
      <c r="H1348" s="38">
        <f t="shared" si="105"/>
        <v>72623712.515542671</v>
      </c>
      <c r="I1348" s="38">
        <f t="shared" si="106"/>
        <v>35810752.641414091</v>
      </c>
      <c r="J1348" s="38"/>
      <c r="K1348" s="38">
        <f t="shared" si="107"/>
        <v>35810752.641414091</v>
      </c>
      <c r="L1348" s="41">
        <f>VLOOKUP(INDICADORES!$B$21,'DATOS GENERALES'!$K:$M,3,0)*E1348</f>
        <v>738007.82073363336</v>
      </c>
      <c r="M1348" s="38">
        <f t="shared" si="108"/>
        <v>35072744.820680454</v>
      </c>
      <c r="N1348" s="36"/>
      <c r="O1348" s="36"/>
      <c r="P1348" s="36"/>
    </row>
    <row r="1349" spans="1:16" x14ac:dyDescent="0.25">
      <c r="A1349" s="36" t="s">
        <v>157</v>
      </c>
      <c r="B1349" s="37">
        <v>43556</v>
      </c>
      <c r="C1349" s="36"/>
      <c r="D1349" s="36" t="s">
        <v>227</v>
      </c>
      <c r="E1349" s="38">
        <v>215040164.92998627</v>
      </c>
      <c r="F1349" s="40">
        <f>VLOOKUP(A1349,'DATOS GENERALES'!A:B,2,0)</f>
        <v>1.5</v>
      </c>
      <c r="G1349" s="36">
        <f t="shared" si="109"/>
        <v>1.4930999999999999</v>
      </c>
      <c r="H1349" s="38">
        <f t="shared" si="105"/>
        <v>144022613.97762126</v>
      </c>
      <c r="I1349" s="38">
        <f t="shared" si="106"/>
        <v>71017550.952365011</v>
      </c>
      <c r="J1349" s="38"/>
      <c r="K1349" s="38">
        <f t="shared" si="107"/>
        <v>71017550.952365011</v>
      </c>
      <c r="L1349" s="41">
        <f>VLOOKUP(INDICADORES!$B$21,'DATOS GENERALES'!$K:$M,3,0)*E1349</f>
        <v>1463569.0161837679</v>
      </c>
      <c r="M1349" s="38">
        <f t="shared" si="108"/>
        <v>69553981.936181247</v>
      </c>
      <c r="N1349" s="36"/>
      <c r="O1349" s="36"/>
      <c r="P1349" s="36"/>
    </row>
    <row r="1350" spans="1:16" x14ac:dyDescent="0.25">
      <c r="A1350" s="36" t="s">
        <v>157</v>
      </c>
      <c r="B1350" s="37">
        <v>43586</v>
      </c>
      <c r="C1350" s="36"/>
      <c r="D1350" s="36" t="s">
        <v>227</v>
      </c>
      <c r="E1350" s="38">
        <v>326103414.20165074</v>
      </c>
      <c r="F1350" s="40">
        <f>VLOOKUP(A1350,'DATOS GENERALES'!A:B,2,0)</f>
        <v>1.5</v>
      </c>
      <c r="G1350" s="36">
        <f t="shared" si="109"/>
        <v>1.4930999999999999</v>
      </c>
      <c r="H1350" s="38">
        <f t="shared" si="105"/>
        <v>218406948.09567395</v>
      </c>
      <c r="I1350" s="38">
        <f t="shared" si="106"/>
        <v>107696466.10597679</v>
      </c>
      <c r="J1350" s="38"/>
      <c r="K1350" s="38">
        <f t="shared" si="107"/>
        <v>107696466.10597679</v>
      </c>
      <c r="L1350" s="41">
        <f>VLOOKUP(INDICADORES!$B$21,'DATOS GENERALES'!$K:$M,3,0)*E1350</f>
        <v>2219468.410716068</v>
      </c>
      <c r="M1350" s="38">
        <f t="shared" si="108"/>
        <v>105476997.69526072</v>
      </c>
      <c r="N1350" s="36"/>
      <c r="O1350" s="36"/>
      <c r="P1350" s="36"/>
    </row>
    <row r="1351" spans="1:16" x14ac:dyDescent="0.25">
      <c r="A1351" s="36" t="s">
        <v>157</v>
      </c>
      <c r="B1351" s="37">
        <v>43617</v>
      </c>
      <c r="C1351" s="36"/>
      <c r="D1351" s="36" t="s">
        <v>227</v>
      </c>
      <c r="E1351" s="38">
        <v>433658250.30918729</v>
      </c>
      <c r="F1351" s="40">
        <f>VLOOKUP(A1351,'DATOS GENERALES'!A:B,2,0)</f>
        <v>1.5</v>
      </c>
      <c r="G1351" s="36">
        <f t="shared" si="109"/>
        <v>1.4930999999999999</v>
      </c>
      <c r="H1351" s="38">
        <f t="shared" si="105"/>
        <v>290441531.24987429</v>
      </c>
      <c r="I1351" s="38">
        <f t="shared" si="106"/>
        <v>143216719.059313</v>
      </c>
      <c r="J1351" s="38"/>
      <c r="K1351" s="38">
        <f t="shared" si="107"/>
        <v>143216719.059313</v>
      </c>
      <c r="L1351" s="41">
        <f>VLOOKUP(INDICADORES!$B$21,'DATOS GENERALES'!$K:$M,3,0)*E1351</f>
        <v>2951489.4530128185</v>
      </c>
      <c r="M1351" s="38">
        <f t="shared" si="108"/>
        <v>140265229.60630018</v>
      </c>
      <c r="N1351" s="36"/>
      <c r="O1351" s="36"/>
      <c r="P1351" s="36"/>
    </row>
    <row r="1352" spans="1:16" x14ac:dyDescent="0.25">
      <c r="A1352" s="36" t="s">
        <v>157</v>
      </c>
      <c r="B1352" s="37">
        <v>43647</v>
      </c>
      <c r="C1352" s="36"/>
      <c r="D1352" s="36" t="s">
        <v>227</v>
      </c>
      <c r="E1352" s="38">
        <v>537306402.27573991</v>
      </c>
      <c r="F1352" s="40">
        <f>VLOOKUP(A1352,'DATOS GENERALES'!A:B,2,0)</f>
        <v>1.5</v>
      </c>
      <c r="G1352" s="36">
        <f t="shared" si="109"/>
        <v>1.4930999999999999</v>
      </c>
      <c r="H1352" s="38">
        <f t="shared" si="105"/>
        <v>359859622.44708323</v>
      </c>
      <c r="I1352" s="38">
        <f t="shared" si="106"/>
        <v>177446779.82865667</v>
      </c>
      <c r="J1352" s="38"/>
      <c r="K1352" s="38">
        <f t="shared" si="107"/>
        <v>177446779.82865667</v>
      </c>
      <c r="L1352" s="41">
        <f>VLOOKUP(INDICADORES!$B$21,'DATOS GENERALES'!$K:$M,3,0)*E1352</f>
        <v>3656921.5003345036</v>
      </c>
      <c r="M1352" s="38">
        <f t="shared" si="108"/>
        <v>173789858.32832217</v>
      </c>
      <c r="N1352" s="36"/>
      <c r="O1352" s="36"/>
      <c r="P1352" s="36"/>
    </row>
    <row r="1353" spans="1:16" x14ac:dyDescent="0.25">
      <c r="A1353" s="36" t="s">
        <v>157</v>
      </c>
      <c r="B1353" s="37">
        <v>43678</v>
      </c>
      <c r="C1353" s="36"/>
      <c r="D1353" s="36" t="s">
        <v>227</v>
      </c>
      <c r="E1353" s="38">
        <v>628784529.53308058</v>
      </c>
      <c r="F1353" s="40">
        <f>VLOOKUP(A1353,'DATOS GENERALES'!A:B,2,0)</f>
        <v>1.5</v>
      </c>
      <c r="G1353" s="36">
        <f t="shared" si="109"/>
        <v>1.4930999999999999</v>
      </c>
      <c r="H1353" s="38">
        <f t="shared" si="105"/>
        <v>421126869.95719016</v>
      </c>
      <c r="I1353" s="38">
        <f t="shared" si="106"/>
        <v>207657659.57589042</v>
      </c>
      <c r="J1353" s="38"/>
      <c r="K1353" s="38">
        <f t="shared" si="107"/>
        <v>207657659.57589042</v>
      </c>
      <c r="L1353" s="41">
        <f>VLOOKUP(INDICADORES!$B$21,'DATOS GENERALES'!$K:$M,3,0)*E1353</f>
        <v>4279524.0395203819</v>
      </c>
      <c r="M1353" s="38">
        <f t="shared" si="108"/>
        <v>203378135.53637004</v>
      </c>
      <c r="N1353" s="36"/>
      <c r="O1353" s="36"/>
      <c r="P1353" s="36"/>
    </row>
    <row r="1354" spans="1:16" x14ac:dyDescent="0.25">
      <c r="A1354" s="36" t="s">
        <v>157</v>
      </c>
      <c r="B1354" s="37">
        <v>43709</v>
      </c>
      <c r="C1354" s="36"/>
      <c r="D1354" s="36" t="s">
        <v>227</v>
      </c>
      <c r="E1354" s="38">
        <v>703478269.58076894</v>
      </c>
      <c r="F1354" s="40">
        <f>VLOOKUP(A1354,'DATOS GENERALES'!A:B,2,0)</f>
        <v>1.5</v>
      </c>
      <c r="G1354" s="36">
        <f t="shared" si="109"/>
        <v>1.4930999999999999</v>
      </c>
      <c r="H1354" s="38">
        <f t="shared" si="105"/>
        <v>471152816.00748038</v>
      </c>
      <c r="I1354" s="38">
        <f t="shared" si="106"/>
        <v>232325453.57328856</v>
      </c>
      <c r="J1354" s="38"/>
      <c r="K1354" s="38">
        <f t="shared" si="107"/>
        <v>232325453.57328856</v>
      </c>
      <c r="L1354" s="41">
        <f>VLOOKUP(INDICADORES!$B$21,'DATOS GENERALES'!$K:$M,3,0)*E1354</f>
        <v>4787891.5980751952</v>
      </c>
      <c r="M1354" s="38">
        <f t="shared" si="108"/>
        <v>227537561.97521338</v>
      </c>
      <c r="N1354" s="36"/>
      <c r="O1354" s="36"/>
      <c r="P1354" s="36"/>
    </row>
    <row r="1355" spans="1:16" x14ac:dyDescent="0.25">
      <c r="A1355" s="36" t="s">
        <v>157</v>
      </c>
      <c r="B1355" s="37">
        <v>43739</v>
      </c>
      <c r="C1355" s="36"/>
      <c r="D1355" s="36" t="s">
        <v>227</v>
      </c>
      <c r="E1355" s="38">
        <v>789708741.5707835</v>
      </c>
      <c r="F1355" s="40">
        <f>VLOOKUP(A1355,'DATOS GENERALES'!A:B,2,0)</f>
        <v>1.5</v>
      </c>
      <c r="G1355" s="36">
        <f t="shared" si="109"/>
        <v>1.4930999999999999</v>
      </c>
      <c r="H1355" s="38">
        <f t="shared" si="105"/>
        <v>528905459.4941957</v>
      </c>
      <c r="I1355" s="38">
        <f t="shared" si="106"/>
        <v>260803282.0765878</v>
      </c>
      <c r="J1355" s="38"/>
      <c r="K1355" s="38">
        <f t="shared" si="107"/>
        <v>260803282.0765878</v>
      </c>
      <c r="L1355" s="41">
        <f>VLOOKUP(INDICADORES!$B$21,'DATOS GENERALES'!$K:$M,3,0)*E1355</f>
        <v>5374778.4575443445</v>
      </c>
      <c r="M1355" s="38">
        <f t="shared" si="108"/>
        <v>255428503.61904344</v>
      </c>
      <c r="N1355" s="36"/>
      <c r="O1355" s="36"/>
      <c r="P1355" s="36"/>
    </row>
    <row r="1356" spans="1:16" x14ac:dyDescent="0.25">
      <c r="A1356" s="36" t="s">
        <v>157</v>
      </c>
      <c r="B1356" s="37">
        <v>43770</v>
      </c>
      <c r="C1356" s="36"/>
      <c r="D1356" s="36" t="s">
        <v>227</v>
      </c>
      <c r="E1356" s="38">
        <v>874060685.94035137</v>
      </c>
      <c r="F1356" s="40">
        <f>VLOOKUP(A1356,'DATOS GENERALES'!A:B,2,0)</f>
        <v>1.5</v>
      </c>
      <c r="G1356" s="36">
        <f t="shared" si="109"/>
        <v>1.4930999999999999</v>
      </c>
      <c r="H1356" s="38">
        <f t="shared" si="105"/>
        <v>585399963.7936852</v>
      </c>
      <c r="I1356" s="38">
        <f t="shared" si="106"/>
        <v>288660722.14666617</v>
      </c>
      <c r="J1356" s="38"/>
      <c r="K1356" s="38">
        <f t="shared" si="107"/>
        <v>288660722.14666617</v>
      </c>
      <c r="L1356" s="41">
        <f>VLOOKUP(INDICADORES!$B$21,'DATOS GENERALES'!$K:$M,3,0)*E1356</f>
        <v>5948880.0086399335</v>
      </c>
      <c r="M1356" s="38">
        <f t="shared" si="108"/>
        <v>282711842.13802624</v>
      </c>
      <c r="N1356" s="36"/>
      <c r="O1356" s="36"/>
      <c r="P1356" s="36"/>
    </row>
    <row r="1357" spans="1:16" x14ac:dyDescent="0.25">
      <c r="A1357" s="36" t="s">
        <v>157</v>
      </c>
      <c r="B1357" s="37">
        <v>43800</v>
      </c>
      <c r="C1357" s="36"/>
      <c r="D1357" s="36" t="s">
        <v>227</v>
      </c>
      <c r="E1357" s="38">
        <v>922424163.38466382</v>
      </c>
      <c r="F1357" s="40">
        <f>VLOOKUP(A1357,'DATOS GENERALES'!A:B,2,0)</f>
        <v>1.5</v>
      </c>
      <c r="G1357" s="36">
        <f t="shared" si="109"/>
        <v>1.4930999999999999</v>
      </c>
      <c r="H1357" s="38">
        <f t="shared" si="105"/>
        <v>617791282.15435266</v>
      </c>
      <c r="I1357" s="38">
        <f t="shared" si="106"/>
        <v>304632881.23031116</v>
      </c>
      <c r="J1357" s="38"/>
      <c r="K1357" s="38">
        <f t="shared" si="107"/>
        <v>304632881.23031116</v>
      </c>
      <c r="L1357" s="41">
        <f>VLOOKUP(INDICADORES!$B$21,'DATOS GENERALES'!$K:$M,3,0)*E1357</f>
        <v>6278043.1076611979</v>
      </c>
      <c r="M1357" s="38">
        <f t="shared" si="108"/>
        <v>298354838.12264997</v>
      </c>
      <c r="N1357" s="36"/>
      <c r="O1357" s="36"/>
      <c r="P1357" s="36"/>
    </row>
    <row r="1358" spans="1:16" x14ac:dyDescent="0.25">
      <c r="A1358" s="36" t="s">
        <v>157</v>
      </c>
      <c r="B1358" s="37">
        <v>43466</v>
      </c>
      <c r="C1358" s="36"/>
      <c r="D1358" s="39" t="s">
        <v>223</v>
      </c>
      <c r="E1358" s="38">
        <v>0</v>
      </c>
      <c r="F1358" s="40">
        <f>VLOOKUP(A1358,'DATOS GENERALES'!A:B,2,0)</f>
        <v>1.5</v>
      </c>
      <c r="G1358" s="36">
        <f t="shared" si="109"/>
        <v>1.4930999999999999</v>
      </c>
      <c r="H1358" s="38">
        <f t="shared" ref="H1358:H1369" si="110">E1358/G1358</f>
        <v>0</v>
      </c>
      <c r="I1358" s="38">
        <f t="shared" ref="I1358:I1369" si="111">E1358-H1358</f>
        <v>0</v>
      </c>
      <c r="J1358" s="36"/>
      <c r="K1358" s="38">
        <f t="shared" ref="K1358:K1369" si="112">IFERROR(I1358-J1358,"")</f>
        <v>0</v>
      </c>
      <c r="L1358" s="41">
        <f>VLOOKUP(INDICADORES!$B$21,'DATOS GENERALES'!$K:$M,3,0)*E1358</f>
        <v>0</v>
      </c>
      <c r="M1358" s="38">
        <f t="shared" ref="M1358:M1369" si="113">IFERROR(K1358-L1358,"")</f>
        <v>0</v>
      </c>
      <c r="N1358" s="36"/>
      <c r="O1358" s="36"/>
      <c r="P1358" s="36"/>
    </row>
    <row r="1359" spans="1:16" x14ac:dyDescent="0.25">
      <c r="A1359" s="36" t="s">
        <v>157</v>
      </c>
      <c r="B1359" s="37">
        <v>43497</v>
      </c>
      <c r="C1359" s="36"/>
      <c r="D1359" s="39" t="s">
        <v>223</v>
      </c>
      <c r="E1359" s="38">
        <v>62946300.296504878</v>
      </c>
      <c r="F1359" s="40">
        <f>VLOOKUP(A1359,'DATOS GENERALES'!A:B,2,0)</f>
        <v>1.5</v>
      </c>
      <c r="G1359" s="36">
        <f t="shared" si="109"/>
        <v>1.4930999999999999</v>
      </c>
      <c r="H1359" s="38">
        <f t="shared" si="110"/>
        <v>42158127.584558889</v>
      </c>
      <c r="I1359" s="38">
        <f t="shared" si="111"/>
        <v>20788172.711945988</v>
      </c>
      <c r="J1359" s="36"/>
      <c r="K1359" s="38">
        <f t="shared" si="112"/>
        <v>20788172.711945988</v>
      </c>
      <c r="L1359" s="41">
        <f>VLOOKUP(INDICADORES!$B$21,'DATOS GENERALES'!$K:$M,3,0)*E1359</f>
        <v>428414.17475362582</v>
      </c>
      <c r="M1359" s="38">
        <f t="shared" si="113"/>
        <v>20359758.537192363</v>
      </c>
      <c r="N1359" s="36"/>
      <c r="O1359" s="36"/>
      <c r="P1359" s="36"/>
    </row>
    <row r="1360" spans="1:16" x14ac:dyDescent="0.25">
      <c r="A1360" s="36" t="s">
        <v>157</v>
      </c>
      <c r="B1360" s="37">
        <v>43525</v>
      </c>
      <c r="C1360" s="36"/>
      <c r="D1360" s="39" t="s">
        <v>223</v>
      </c>
      <c r="E1360" s="38">
        <v>223471469.45540509</v>
      </c>
      <c r="F1360" s="40">
        <f>VLOOKUP(A1360,'DATOS GENERALES'!A:B,2,0)</f>
        <v>1.5</v>
      </c>
      <c r="G1360" s="36">
        <f t="shared" si="109"/>
        <v>1.4930999999999999</v>
      </c>
      <c r="H1360" s="38">
        <f t="shared" si="110"/>
        <v>149669459.14902225</v>
      </c>
      <c r="I1360" s="38">
        <f t="shared" si="111"/>
        <v>73802010.306382835</v>
      </c>
      <c r="J1360" s="36"/>
      <c r="K1360" s="38">
        <f t="shared" si="112"/>
        <v>73802010.306382835</v>
      </c>
      <c r="L1360" s="41">
        <f>VLOOKUP(INDICADORES!$B$21,'DATOS GENERALES'!$K:$M,3,0)*E1360</f>
        <v>1520952.6964531287</v>
      </c>
      <c r="M1360" s="38">
        <f t="shared" si="113"/>
        <v>72281057.609929711</v>
      </c>
      <c r="N1360" s="36"/>
      <c r="O1360" s="36"/>
      <c r="P1360" s="36"/>
    </row>
    <row r="1361" spans="1:16" x14ac:dyDescent="0.25">
      <c r="A1361" s="36" t="s">
        <v>157</v>
      </c>
      <c r="B1361" s="37">
        <v>43556</v>
      </c>
      <c r="C1361" s="36"/>
      <c r="D1361" s="39" t="s">
        <v>223</v>
      </c>
      <c r="E1361" s="38">
        <v>409758312.58426094</v>
      </c>
      <c r="F1361" s="40">
        <f>VLOOKUP(A1361,'DATOS GENERALES'!A:B,2,0)</f>
        <v>1.5</v>
      </c>
      <c r="G1361" s="36">
        <f t="shared" si="109"/>
        <v>1.4930999999999999</v>
      </c>
      <c r="H1361" s="38">
        <f t="shared" si="110"/>
        <v>274434607.58439553</v>
      </c>
      <c r="I1361" s="38">
        <f t="shared" si="111"/>
        <v>135323704.99986541</v>
      </c>
      <c r="J1361" s="36"/>
      <c r="K1361" s="38">
        <f t="shared" si="112"/>
        <v>135323704.99986541</v>
      </c>
      <c r="L1361" s="41">
        <f>VLOOKUP(INDICADORES!$B$21,'DATOS GENERALES'!$K:$M,3,0)*E1361</f>
        <v>2788825.8484982271</v>
      </c>
      <c r="M1361" s="38">
        <f t="shared" si="113"/>
        <v>132534879.15136719</v>
      </c>
      <c r="N1361" s="36"/>
      <c r="O1361" s="36"/>
      <c r="P1361" s="36"/>
    </row>
    <row r="1362" spans="1:16" x14ac:dyDescent="0.25">
      <c r="A1362" s="36" t="s">
        <v>157</v>
      </c>
      <c r="B1362" s="37">
        <v>43586</v>
      </c>
      <c r="C1362" s="36"/>
      <c r="D1362" s="39" t="s">
        <v>223</v>
      </c>
      <c r="E1362" s="38">
        <v>613286398.99724996</v>
      </c>
      <c r="F1362" s="40">
        <f>VLOOKUP(A1362,'DATOS GENERALES'!A:B,2,0)</f>
        <v>1.5</v>
      </c>
      <c r="G1362" s="36">
        <f t="shared" si="109"/>
        <v>1.4930999999999999</v>
      </c>
      <c r="H1362" s="38">
        <f t="shared" si="110"/>
        <v>410747035.69570023</v>
      </c>
      <c r="I1362" s="38">
        <f t="shared" si="111"/>
        <v>202539363.30154973</v>
      </c>
      <c r="J1362" s="36"/>
      <c r="K1362" s="38">
        <f t="shared" si="112"/>
        <v>202539363.30154973</v>
      </c>
      <c r="L1362" s="41">
        <f>VLOOKUP(INDICADORES!$B$21,'DATOS GENERALES'!$K:$M,3,0)*E1362</f>
        <v>4174043.3556286157</v>
      </c>
      <c r="M1362" s="38">
        <f t="shared" si="113"/>
        <v>198365319.94592112</v>
      </c>
      <c r="N1362" s="36"/>
      <c r="O1362" s="36"/>
      <c r="P1362" s="36"/>
    </row>
    <row r="1363" spans="1:16" x14ac:dyDescent="0.25">
      <c r="A1363" s="36" t="s">
        <v>157</v>
      </c>
      <c r="B1363" s="37">
        <v>43617</v>
      </c>
      <c r="C1363" s="36"/>
      <c r="D1363" s="39" t="s">
        <v>223</v>
      </c>
      <c r="E1363" s="38">
        <v>807344457.87258947</v>
      </c>
      <c r="F1363" s="40">
        <f>VLOOKUP(A1363,'DATOS GENERALES'!A:B,2,0)</f>
        <v>1.5</v>
      </c>
      <c r="G1363" s="36">
        <f t="shared" si="109"/>
        <v>1.4930999999999999</v>
      </c>
      <c r="H1363" s="38">
        <f t="shared" si="110"/>
        <v>540716936.48957837</v>
      </c>
      <c r="I1363" s="38">
        <f t="shared" si="111"/>
        <v>266627521.3830111</v>
      </c>
      <c r="J1363" s="36"/>
      <c r="K1363" s="38">
        <f t="shared" si="112"/>
        <v>266627521.3830111</v>
      </c>
      <c r="L1363" s="41">
        <f>VLOOKUP(INDICADORES!$B$21,'DATOS GENERALES'!$K:$M,3,0)*E1363</f>
        <v>5494807.6063590962</v>
      </c>
      <c r="M1363" s="38">
        <f t="shared" si="113"/>
        <v>261132713.77665201</v>
      </c>
      <c r="N1363" s="36"/>
      <c r="O1363" s="36"/>
      <c r="P1363" s="36"/>
    </row>
    <row r="1364" spans="1:16" x14ac:dyDescent="0.25">
      <c r="A1364" s="36" t="s">
        <v>157</v>
      </c>
      <c r="B1364" s="37">
        <v>43647</v>
      </c>
      <c r="C1364" s="36"/>
      <c r="D1364" s="39" t="s">
        <v>223</v>
      </c>
      <c r="E1364" s="38">
        <v>986433993.63619196</v>
      </c>
      <c r="F1364" s="40">
        <f>VLOOKUP(A1364,'DATOS GENERALES'!A:B,2,0)</f>
        <v>1.5</v>
      </c>
      <c r="G1364" s="36">
        <f t="shared" si="109"/>
        <v>1.4930999999999999</v>
      </c>
      <c r="H1364" s="38">
        <f t="shared" si="110"/>
        <v>660661706.27298379</v>
      </c>
      <c r="I1364" s="38">
        <f t="shared" si="111"/>
        <v>325772287.36320817</v>
      </c>
      <c r="J1364" s="36"/>
      <c r="K1364" s="38">
        <f t="shared" si="112"/>
        <v>325772287.36320817</v>
      </c>
      <c r="L1364" s="41">
        <f>VLOOKUP(INDICADORES!$B$21,'DATOS GENERALES'!$K:$M,3,0)*E1364</f>
        <v>6713695.6952502225</v>
      </c>
      <c r="M1364" s="38">
        <f t="shared" si="113"/>
        <v>319058591.66795796</v>
      </c>
      <c r="N1364" s="36"/>
      <c r="O1364" s="36"/>
      <c r="P1364" s="36"/>
    </row>
    <row r="1365" spans="1:16" x14ac:dyDescent="0.25">
      <c r="A1365" s="36" t="s">
        <v>157</v>
      </c>
      <c r="B1365" s="37">
        <v>43678</v>
      </c>
      <c r="C1365" s="36"/>
      <c r="D1365" s="39" t="s">
        <v>223</v>
      </c>
      <c r="E1365" s="38">
        <v>1136844402.3221123</v>
      </c>
      <c r="F1365" s="40">
        <f>VLOOKUP(A1365,'DATOS GENERALES'!A:B,2,0)</f>
        <v>1.5</v>
      </c>
      <c r="G1365" s="36">
        <f t="shared" si="109"/>
        <v>1.4930999999999999</v>
      </c>
      <c r="H1365" s="38">
        <f t="shared" si="110"/>
        <v>761398702.24506891</v>
      </c>
      <c r="I1365" s="38">
        <f t="shared" si="111"/>
        <v>375445700.07704341</v>
      </c>
      <c r="J1365" s="36"/>
      <c r="K1365" s="38">
        <f t="shared" si="112"/>
        <v>375445700.07704341</v>
      </c>
      <c r="L1365" s="41">
        <f>VLOOKUP(INDICADORES!$B$21,'DATOS GENERALES'!$K:$M,3,0)*E1365</f>
        <v>7737392.8912411379</v>
      </c>
      <c r="M1365" s="38">
        <f t="shared" si="113"/>
        <v>367708307.18580228</v>
      </c>
      <c r="N1365" s="36"/>
      <c r="O1365" s="36"/>
      <c r="P1365" s="36"/>
    </row>
    <row r="1366" spans="1:16" x14ac:dyDescent="0.25">
      <c r="A1366" s="36" t="s">
        <v>157</v>
      </c>
      <c r="B1366" s="37">
        <v>43709</v>
      </c>
      <c r="C1366" s="36"/>
      <c r="D1366" s="39" t="s">
        <v>223</v>
      </c>
      <c r="E1366" s="38">
        <v>1270257037.0897892</v>
      </c>
      <c r="F1366" s="40">
        <f>VLOOKUP(A1366,'DATOS GENERALES'!A:B,2,0)</f>
        <v>1.5</v>
      </c>
      <c r="G1366" s="36">
        <f t="shared" si="109"/>
        <v>1.4930999999999999</v>
      </c>
      <c r="H1366" s="38">
        <f t="shared" si="110"/>
        <v>850751481.54161763</v>
      </c>
      <c r="I1366" s="38">
        <f t="shared" si="111"/>
        <v>419505555.54817152</v>
      </c>
      <c r="J1366" s="36"/>
      <c r="K1366" s="38">
        <f t="shared" si="112"/>
        <v>419505555.54817152</v>
      </c>
      <c r="L1366" s="41">
        <f>VLOOKUP(INDICADORES!$B$21,'DATOS GENERALES'!$K:$M,3,0)*E1366</f>
        <v>8645402.7910521161</v>
      </c>
      <c r="M1366" s="38">
        <f t="shared" si="113"/>
        <v>410860152.75711942</v>
      </c>
      <c r="N1366" s="36"/>
      <c r="O1366" s="36"/>
      <c r="P1366" s="36"/>
    </row>
    <row r="1367" spans="1:16" x14ac:dyDescent="0.25">
      <c r="A1367" s="36" t="s">
        <v>157</v>
      </c>
      <c r="B1367" s="37">
        <v>43739</v>
      </c>
      <c r="C1367" s="36"/>
      <c r="D1367" s="39" t="s">
        <v>223</v>
      </c>
      <c r="E1367" s="38">
        <v>1397969735.6108778</v>
      </c>
      <c r="F1367" s="40">
        <f>VLOOKUP(A1367,'DATOS GENERALES'!A:B,2,0)</f>
        <v>1.5</v>
      </c>
      <c r="G1367" s="36">
        <f t="shared" si="109"/>
        <v>1.4930999999999999</v>
      </c>
      <c r="H1367" s="38">
        <f t="shared" si="110"/>
        <v>936286742.75726867</v>
      </c>
      <c r="I1367" s="38">
        <f t="shared" si="111"/>
        <v>461682992.85360909</v>
      </c>
      <c r="J1367" s="36"/>
      <c r="K1367" s="38">
        <f t="shared" si="112"/>
        <v>461682992.85360909</v>
      </c>
      <c r="L1367" s="41">
        <f>VLOOKUP(INDICADORES!$B$21,'DATOS GENERALES'!$K:$M,3,0)*E1367</f>
        <v>9514618.7749104835</v>
      </c>
      <c r="M1367" s="38">
        <f t="shared" si="113"/>
        <v>452168374.07869858</v>
      </c>
      <c r="N1367" s="36"/>
      <c r="O1367" s="36"/>
      <c r="P1367" s="36"/>
    </row>
    <row r="1368" spans="1:16" x14ac:dyDescent="0.25">
      <c r="A1368" s="36" t="s">
        <v>157</v>
      </c>
      <c r="B1368" s="37">
        <v>43770</v>
      </c>
      <c r="C1368" s="36"/>
      <c r="D1368" s="39" t="s">
        <v>223</v>
      </c>
      <c r="E1368" s="38">
        <v>1518504570.1576886</v>
      </c>
      <c r="F1368" s="40">
        <f>VLOOKUP(A1368,'DATOS GENERALES'!A:B,2,0)</f>
        <v>1.5</v>
      </c>
      <c r="G1368" s="36">
        <f t="shared" si="109"/>
        <v>1.4930999999999999</v>
      </c>
      <c r="H1368" s="38">
        <f t="shared" si="110"/>
        <v>1017014647.4835502</v>
      </c>
      <c r="I1368" s="38">
        <f t="shared" si="111"/>
        <v>501489922.67413843</v>
      </c>
      <c r="J1368" s="36"/>
      <c r="K1368" s="38">
        <f t="shared" si="112"/>
        <v>501489922.67413843</v>
      </c>
      <c r="L1368" s="41">
        <f>VLOOKUP(INDICADORES!$B$21,'DATOS GENERALES'!$K:$M,3,0)*E1368</f>
        <v>10334982.027845051</v>
      </c>
      <c r="M1368" s="38">
        <f t="shared" si="113"/>
        <v>491154940.6462934</v>
      </c>
      <c r="N1368" s="36"/>
      <c r="O1368" s="36"/>
      <c r="P1368" s="36"/>
    </row>
    <row r="1369" spans="1:16" x14ac:dyDescent="0.25">
      <c r="A1369" s="36" t="s">
        <v>157</v>
      </c>
      <c r="B1369" s="37">
        <v>43800</v>
      </c>
      <c r="C1369" s="36"/>
      <c r="D1369" s="39" t="s">
        <v>223</v>
      </c>
      <c r="E1369" s="38">
        <v>1629046331.4775155</v>
      </c>
      <c r="F1369" s="40">
        <f>VLOOKUP(A1369,'DATOS GENERALES'!A:B,2,0)</f>
        <v>1.5</v>
      </c>
      <c r="G1369" s="36">
        <f t="shared" si="109"/>
        <v>1.4930999999999999</v>
      </c>
      <c r="H1369" s="38">
        <f t="shared" si="110"/>
        <v>1091049716.3468726</v>
      </c>
      <c r="I1369" s="38">
        <f t="shared" si="111"/>
        <v>537996615.13064289</v>
      </c>
      <c r="J1369" s="36"/>
      <c r="K1369" s="38">
        <f t="shared" si="112"/>
        <v>537996615.13064289</v>
      </c>
      <c r="L1369" s="41">
        <f>VLOOKUP(INDICADORES!$B$21,'DATOS GENERALES'!$K:$M,3,0)*E1369</f>
        <v>11087332.161666585</v>
      </c>
      <c r="M1369" s="38">
        <f t="shared" si="113"/>
        <v>526909282.96897632</v>
      </c>
      <c r="N1369" s="36"/>
      <c r="O1369" s="36"/>
      <c r="P1369" s="36"/>
    </row>
  </sheetData>
  <autoFilter ref="A1:P66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M661"/>
  <sheetViews>
    <sheetView workbookViewId="0">
      <selection activeCell="J2" sqref="J2"/>
    </sheetView>
  </sheetViews>
  <sheetFormatPr baseColWidth="10" defaultRowHeight="15" x14ac:dyDescent="0.25"/>
  <cols>
    <col min="1" max="1" width="5.7109375" bestFit="1" customWidth="1"/>
    <col min="2" max="2" width="10.42578125" bestFit="1" customWidth="1"/>
    <col min="3" max="3" width="31.140625" bestFit="1" customWidth="1"/>
    <col min="4" max="4" width="12.5703125" bestFit="1" customWidth="1"/>
    <col min="5" max="5" width="9.7109375" bestFit="1" customWidth="1"/>
    <col min="6" max="6" width="9" bestFit="1" customWidth="1"/>
    <col min="7" max="7" width="14.85546875" bestFit="1" customWidth="1"/>
    <col min="8" max="10" width="13.28515625" bestFit="1" customWidth="1"/>
    <col min="11" max="11" width="9.7109375" bestFit="1" customWidth="1"/>
    <col min="12" max="12" width="11.28515625" bestFit="1" customWidth="1"/>
    <col min="13" max="13" width="11.140625" bestFit="1" customWidth="1"/>
  </cols>
  <sheetData>
    <row r="1" spans="1:13" ht="75" x14ac:dyDescent="0.25">
      <c r="A1" s="1" t="s">
        <v>0</v>
      </c>
      <c r="B1" s="2" t="s">
        <v>1</v>
      </c>
      <c r="C1" s="1" t="s">
        <v>196</v>
      </c>
      <c r="D1" s="3" t="s">
        <v>189</v>
      </c>
      <c r="E1" s="3" t="s">
        <v>187</v>
      </c>
      <c r="F1" s="3" t="s">
        <v>188</v>
      </c>
      <c r="G1" s="3" t="s">
        <v>190</v>
      </c>
      <c r="H1" s="3" t="s">
        <v>193</v>
      </c>
      <c r="I1" s="3" t="s">
        <v>194</v>
      </c>
      <c r="J1" s="3" t="s">
        <v>211</v>
      </c>
      <c r="K1" s="1" t="s">
        <v>4</v>
      </c>
      <c r="L1" s="5" t="s">
        <v>5</v>
      </c>
      <c r="M1" s="5" t="s">
        <v>6</v>
      </c>
    </row>
    <row r="2" spans="1:13" x14ac:dyDescent="0.25">
      <c r="A2" s="16">
        <v>1580</v>
      </c>
      <c r="B2" s="6">
        <v>43466</v>
      </c>
      <c r="C2" s="16" t="s">
        <v>195</v>
      </c>
      <c r="D2" s="7">
        <f>SUMIFS('DATOS PROYECCIÓN'!$F:$F,'DATOS PROYECCIÓN'!A:A,A2,'DATOS PROYECCIÓN'!B:B,B2)</f>
        <v>70115372.945178598</v>
      </c>
      <c r="E2" s="13">
        <f>VLOOKUP(A2,'DATOS GENERALES'!A:B,2,0)</f>
        <v>1.74</v>
      </c>
      <c r="F2" s="16">
        <f t="shared" ref="F2:F65" si="0">E2*0.9954</f>
        <v>1.7319959999999999</v>
      </c>
      <c r="G2" s="7">
        <f t="shared" ref="G2:G65" si="1">-D2/F2</f>
        <v>-40482410.435808517</v>
      </c>
      <c r="H2" s="7">
        <f t="shared" ref="H2:H65" si="2">D2+G2</f>
        <v>29632962.509370081</v>
      </c>
      <c r="I2" s="7">
        <f>IFERROR((G2/SUMIF(B:B,B2,G:G))*VLOOKUP(B2,'DATOS GENERALES'!G:H,2,0),"")</f>
        <v>-8882583.4900828656</v>
      </c>
      <c r="J2" s="7">
        <f>IFERROR(H2+I2,"")</f>
        <v>20750379.019287214</v>
      </c>
      <c r="K2" s="16"/>
      <c r="L2" s="16"/>
      <c r="M2" s="16"/>
    </row>
    <row r="3" spans="1:13" x14ac:dyDescent="0.25">
      <c r="A3" s="16">
        <v>1580</v>
      </c>
      <c r="B3" s="6">
        <v>43497</v>
      </c>
      <c r="C3" s="16" t="s">
        <v>195</v>
      </c>
      <c r="D3" s="7">
        <f>SUMIFS('DATOS PROYECCIÓN'!$F:$F,'DATOS PROYECCIÓN'!A:A,A3,'DATOS PROYECCIÓN'!B:B,B3)</f>
        <v>70115372.945178598</v>
      </c>
      <c r="E3" s="13">
        <f>VLOOKUP(A3,'DATOS GENERALES'!A:B,2,0)</f>
        <v>1.74</v>
      </c>
      <c r="F3" s="16">
        <f t="shared" si="0"/>
        <v>1.7319959999999999</v>
      </c>
      <c r="G3" s="7">
        <f t="shared" si="1"/>
        <v>-40482410.435808517</v>
      </c>
      <c r="H3" s="7">
        <f t="shared" si="2"/>
        <v>29632962.509370081</v>
      </c>
      <c r="I3" s="7">
        <f>IFERROR((G3/SUMIF(B:B,B3,G:G))*VLOOKUP(B3,'DATOS GENERALES'!G:H,2,0),"")</f>
        <v>-8750590.6988490727</v>
      </c>
      <c r="J3" s="7">
        <f t="shared" ref="J3:J66" si="3">IFERROR(H3+I3,"")</f>
        <v>20882371.810521007</v>
      </c>
      <c r="K3" s="16"/>
      <c r="L3" s="16"/>
      <c r="M3" s="16"/>
    </row>
    <row r="4" spans="1:13" x14ac:dyDescent="0.25">
      <c r="A4" s="16">
        <v>1580</v>
      </c>
      <c r="B4" s="6">
        <v>43525</v>
      </c>
      <c r="C4" s="16" t="s">
        <v>195</v>
      </c>
      <c r="D4" s="7">
        <f>SUMIFS('DATOS PROYECCIÓN'!$F:$F,'DATOS PROYECCIÓN'!A:A,A4,'DATOS PROYECCIÓN'!B:B,B4)</f>
        <v>70115372.945178598</v>
      </c>
      <c r="E4" s="13">
        <f>VLOOKUP(A4,'DATOS GENERALES'!A:B,2,0)</f>
        <v>1.74</v>
      </c>
      <c r="F4" s="16">
        <f t="shared" si="0"/>
        <v>1.7319959999999999</v>
      </c>
      <c r="G4" s="7">
        <f t="shared" si="1"/>
        <v>-40482410.435808517</v>
      </c>
      <c r="H4" s="7">
        <f t="shared" si="2"/>
        <v>29632962.509370081</v>
      </c>
      <c r="I4" s="7">
        <f>IFERROR((G4/SUMIF(B:B,B4,G:G))*VLOOKUP(B4,'DATOS GENERALES'!G:H,2,0),"")</f>
        <v>-6330943.8381972862</v>
      </c>
      <c r="J4" s="7">
        <f t="shared" si="3"/>
        <v>23302018.671172794</v>
      </c>
      <c r="K4" s="16"/>
      <c r="L4" s="16"/>
      <c r="M4" s="16"/>
    </row>
    <row r="5" spans="1:13" x14ac:dyDescent="0.25">
      <c r="A5" s="16">
        <v>1580</v>
      </c>
      <c r="B5" s="6">
        <v>43556</v>
      </c>
      <c r="C5" s="16" t="s">
        <v>195</v>
      </c>
      <c r="D5" s="7">
        <f>SUMIFS('DATOS PROYECCIÓN'!$F:$F,'DATOS PROYECCIÓN'!A:A,A5,'DATOS PROYECCIÓN'!B:B,B5)</f>
        <v>74111007.329178602</v>
      </c>
      <c r="E5" s="13">
        <f>VLOOKUP(A5,'DATOS GENERALES'!A:B,2,0)</f>
        <v>1.74</v>
      </c>
      <c r="F5" s="16">
        <f t="shared" si="0"/>
        <v>1.7319959999999999</v>
      </c>
      <c r="G5" s="7">
        <f t="shared" si="1"/>
        <v>-42789364.022306405</v>
      </c>
      <c r="H5" s="7">
        <f t="shared" si="2"/>
        <v>31321643.306872196</v>
      </c>
      <c r="I5" s="7">
        <f>IFERROR((G5/SUMIF(B:B,B5,G:G))*VLOOKUP(B5,'DATOS GENERALES'!G:H,2,0),"")</f>
        <v>-6879595.1676320992</v>
      </c>
      <c r="J5" s="7">
        <f t="shared" si="3"/>
        <v>24442048.139240097</v>
      </c>
      <c r="K5" s="16"/>
      <c r="L5" s="16"/>
      <c r="M5" s="16"/>
    </row>
    <row r="6" spans="1:13" x14ac:dyDescent="0.25">
      <c r="A6" s="16">
        <v>1580</v>
      </c>
      <c r="B6" s="6">
        <v>43586</v>
      </c>
      <c r="C6" s="16" t="s">
        <v>195</v>
      </c>
      <c r="D6" s="7">
        <f>SUMIFS('DATOS PROYECCIÓN'!$F:$F,'DATOS PROYECCIÓN'!A:A,A6,'DATOS PROYECCIÓN'!B:B,B6)</f>
        <v>74111007.329178602</v>
      </c>
      <c r="E6" s="13">
        <f>VLOOKUP(A6,'DATOS GENERALES'!A:B,2,0)</f>
        <v>1.74</v>
      </c>
      <c r="F6" s="16">
        <f t="shared" si="0"/>
        <v>1.7319959999999999</v>
      </c>
      <c r="G6" s="7">
        <f t="shared" si="1"/>
        <v>-42789364.022306405</v>
      </c>
      <c r="H6" s="7">
        <f t="shared" si="2"/>
        <v>31321643.306872196</v>
      </c>
      <c r="I6" s="7">
        <f>IFERROR((G6/SUMIF(B:B,B6,G:G))*VLOOKUP(B6,'DATOS GENERALES'!G:H,2,0),"")</f>
        <v>-5675184.8926217835</v>
      </c>
      <c r="J6" s="7">
        <f t="shared" si="3"/>
        <v>25646458.414250411</v>
      </c>
      <c r="K6" s="16"/>
      <c r="L6" s="16"/>
      <c r="M6" s="16"/>
    </row>
    <row r="7" spans="1:13" x14ac:dyDescent="0.25">
      <c r="A7" s="16">
        <v>1580</v>
      </c>
      <c r="B7" s="6">
        <v>43617</v>
      </c>
      <c r="C7" s="16" t="s">
        <v>195</v>
      </c>
      <c r="D7" s="7">
        <f>SUMIFS('DATOS PROYECCIÓN'!$F:$F,'DATOS PROYECCIÓN'!A:A,A7,'DATOS PROYECCIÓN'!B:B,B7)</f>
        <v>74111007.329178602</v>
      </c>
      <c r="E7" s="13">
        <f>VLOOKUP(A7,'DATOS GENERALES'!A:B,2,0)</f>
        <v>1.74</v>
      </c>
      <c r="F7" s="16">
        <f t="shared" si="0"/>
        <v>1.7319959999999999</v>
      </c>
      <c r="G7" s="7">
        <f t="shared" si="1"/>
        <v>-42789364.022306405</v>
      </c>
      <c r="H7" s="7">
        <f t="shared" si="2"/>
        <v>31321643.306872196</v>
      </c>
      <c r="I7" s="7">
        <f>IFERROR((G7/SUMIF(B:B,B7,G:G))*VLOOKUP(B7,'DATOS GENERALES'!G:H,2,0),"")</f>
        <v>-7631794.6404278073</v>
      </c>
      <c r="J7" s="7">
        <f t="shared" si="3"/>
        <v>23689848.666444391</v>
      </c>
      <c r="K7" s="16"/>
      <c r="L7" s="16"/>
      <c r="M7" s="16"/>
    </row>
    <row r="8" spans="1:13" x14ac:dyDescent="0.25">
      <c r="A8" s="16">
        <v>1580</v>
      </c>
      <c r="B8" s="6">
        <v>43647</v>
      </c>
      <c r="C8" s="16" t="s">
        <v>195</v>
      </c>
      <c r="D8" s="7">
        <f>SUMIFS('DATOS PROYECCIÓN'!$F:$F,'DATOS PROYECCIÓN'!A:A,A8,'DATOS PROYECCIÓN'!B:B,B8)</f>
        <v>74111007.329178602</v>
      </c>
      <c r="E8" s="13">
        <f>VLOOKUP(A8,'DATOS GENERALES'!A:B,2,0)</f>
        <v>1.74</v>
      </c>
      <c r="F8" s="16">
        <f t="shared" si="0"/>
        <v>1.7319959999999999</v>
      </c>
      <c r="G8" s="7">
        <f t="shared" si="1"/>
        <v>-42789364.022306405</v>
      </c>
      <c r="H8" s="7">
        <f t="shared" si="2"/>
        <v>31321643.306872196</v>
      </c>
      <c r="I8" s="7">
        <f>IFERROR((G8/SUMIF(B:B,B8,G:G))*VLOOKUP(B8,'DATOS GENERALES'!G:H,2,0),"")</f>
        <v>-11381257.374176994</v>
      </c>
      <c r="J8" s="7">
        <f t="shared" si="3"/>
        <v>19940385.932695203</v>
      </c>
      <c r="K8" s="16"/>
      <c r="L8" s="16"/>
      <c r="M8" s="16"/>
    </row>
    <row r="9" spans="1:13" x14ac:dyDescent="0.25">
      <c r="A9" s="16">
        <v>1580</v>
      </c>
      <c r="B9" s="6">
        <v>43678</v>
      </c>
      <c r="C9" s="16" t="s">
        <v>195</v>
      </c>
      <c r="D9" s="7">
        <f>SUMIFS('DATOS PROYECCIÓN'!$F:$F,'DATOS PROYECCIÓN'!A:A,A9,'DATOS PROYECCIÓN'!B:B,B9)</f>
        <v>74111007.329178602</v>
      </c>
      <c r="E9" s="13">
        <f>VLOOKUP(A9,'DATOS GENERALES'!A:B,2,0)</f>
        <v>1.74</v>
      </c>
      <c r="F9" s="16">
        <f t="shared" si="0"/>
        <v>1.7319959999999999</v>
      </c>
      <c r="G9" s="7">
        <f t="shared" si="1"/>
        <v>-42789364.022306405</v>
      </c>
      <c r="H9" s="7">
        <f t="shared" si="2"/>
        <v>31321643.306872196</v>
      </c>
      <c r="I9" s="7">
        <f>IFERROR((G9/SUMIF(B:B,B9,G:G))*VLOOKUP(B9,'DATOS GENERALES'!G:H,2,0),"")</f>
        <v>-11199569.892076371</v>
      </c>
      <c r="J9" s="7">
        <f t="shared" si="3"/>
        <v>20122073.414795823</v>
      </c>
      <c r="K9" s="16"/>
      <c r="L9" s="16"/>
      <c r="M9" s="16"/>
    </row>
    <row r="10" spans="1:13" x14ac:dyDescent="0.25">
      <c r="A10" s="16">
        <v>1580</v>
      </c>
      <c r="B10" s="6">
        <v>43709</v>
      </c>
      <c r="C10" s="16" t="s">
        <v>195</v>
      </c>
      <c r="D10" s="7">
        <f>SUMIFS('DATOS PROYECCIÓN'!$F:$F,'DATOS PROYECCIÓN'!A:A,A10,'DATOS PROYECCIÓN'!B:B,B10)</f>
        <v>74111007.329178602</v>
      </c>
      <c r="E10" s="13">
        <f>VLOOKUP(A10,'DATOS GENERALES'!A:B,2,0)</f>
        <v>1.74</v>
      </c>
      <c r="F10" s="16">
        <f t="shared" si="0"/>
        <v>1.7319959999999999</v>
      </c>
      <c r="G10" s="7">
        <f t="shared" si="1"/>
        <v>-42789364.022306405</v>
      </c>
      <c r="H10" s="7">
        <f t="shared" si="2"/>
        <v>31321643.306872196</v>
      </c>
      <c r="I10" s="7">
        <f>IFERROR((G10/SUMIF(B:B,B10,G:G))*VLOOKUP(B10,'DATOS GENERALES'!G:H,2,0),"")</f>
        <v>-12657452.027099146</v>
      </c>
      <c r="J10" s="7">
        <f t="shared" si="3"/>
        <v>18664191.279773049</v>
      </c>
      <c r="K10" s="16"/>
      <c r="L10" s="16"/>
      <c r="M10" s="16"/>
    </row>
    <row r="11" spans="1:13" x14ac:dyDescent="0.25">
      <c r="A11" s="16">
        <v>1580</v>
      </c>
      <c r="B11" s="6">
        <v>43739</v>
      </c>
      <c r="C11" s="16" t="s">
        <v>195</v>
      </c>
      <c r="D11" s="7">
        <f>SUMIFS('DATOS PROYECCIÓN'!$F:$F,'DATOS PROYECCIÓN'!A:A,A11,'DATOS PROYECCIÓN'!B:B,B11)</f>
        <v>69313527.964878604</v>
      </c>
      <c r="E11" s="13">
        <f>VLOOKUP(A11,'DATOS GENERALES'!A:B,2,0)</f>
        <v>1.74</v>
      </c>
      <c r="F11" s="16">
        <f t="shared" si="0"/>
        <v>1.7319959999999999</v>
      </c>
      <c r="G11" s="7">
        <f t="shared" si="1"/>
        <v>-40019450.371062413</v>
      </c>
      <c r="H11" s="7">
        <f t="shared" si="2"/>
        <v>29294077.593816191</v>
      </c>
      <c r="I11" s="7">
        <f>IFERROR((G11/SUMIF(B:B,B11,G:G))*VLOOKUP(B11,'DATOS GENERALES'!G:H,2,0),"")</f>
        <v>-12801670.196617555</v>
      </c>
      <c r="J11" s="7">
        <f t="shared" si="3"/>
        <v>16492407.397198636</v>
      </c>
      <c r="K11" s="16"/>
      <c r="L11" s="16"/>
      <c r="M11" s="16"/>
    </row>
    <row r="12" spans="1:13" x14ac:dyDescent="0.25">
      <c r="A12" s="16">
        <v>1580</v>
      </c>
      <c r="B12" s="6">
        <v>43770</v>
      </c>
      <c r="C12" s="16" t="s">
        <v>195</v>
      </c>
      <c r="D12" s="7">
        <f>SUMIFS('DATOS PROYECCIÓN'!$F:$F,'DATOS PROYECCIÓN'!A:A,A12,'DATOS PROYECCIÓN'!B:B,B12)</f>
        <v>69313527.964878604</v>
      </c>
      <c r="E12" s="13">
        <f>VLOOKUP(A12,'DATOS GENERALES'!A:B,2,0)</f>
        <v>1.74</v>
      </c>
      <c r="F12" s="16">
        <f t="shared" si="0"/>
        <v>1.7319959999999999</v>
      </c>
      <c r="G12" s="7">
        <f t="shared" si="1"/>
        <v>-40019450.371062413</v>
      </c>
      <c r="H12" s="7">
        <f t="shared" si="2"/>
        <v>29294077.593816191</v>
      </c>
      <c r="I12" s="7">
        <f>IFERROR((G12/SUMIF(B:B,B12,G:G))*VLOOKUP(B12,'DATOS GENERALES'!G:H,2,0),"")</f>
        <v>-17121291.079351015</v>
      </c>
      <c r="J12" s="7">
        <f t="shared" si="3"/>
        <v>12172786.514465176</v>
      </c>
      <c r="K12" s="16"/>
      <c r="L12" s="16"/>
      <c r="M12" s="16"/>
    </row>
    <row r="13" spans="1:13" x14ac:dyDescent="0.25">
      <c r="A13" s="16">
        <v>1580</v>
      </c>
      <c r="B13" s="6">
        <v>43800</v>
      </c>
      <c r="C13" s="16" t="s">
        <v>195</v>
      </c>
      <c r="D13" s="7">
        <f>SUMIFS('DATOS PROYECCIÓN'!$F:$F,'DATOS PROYECCIÓN'!A:A,A13,'DATOS PROYECCIÓN'!B:B,B13)</f>
        <v>69313527.964878604</v>
      </c>
      <c r="E13" s="13">
        <f>VLOOKUP(A13,'DATOS GENERALES'!A:B,2,0)</f>
        <v>1.74</v>
      </c>
      <c r="F13" s="16">
        <f t="shared" si="0"/>
        <v>1.7319959999999999</v>
      </c>
      <c r="G13" s="7">
        <f t="shared" si="1"/>
        <v>-40019450.371062413</v>
      </c>
      <c r="H13" s="7">
        <f t="shared" si="2"/>
        <v>29294077.593816191</v>
      </c>
      <c r="I13" s="7">
        <f>IFERROR((G13/SUMIF(B:B,B13,G:G))*VLOOKUP(B13,'DATOS GENERALES'!G:H,2,0),"")</f>
        <v>-14415911.258550359</v>
      </c>
      <c r="J13" s="7">
        <f t="shared" si="3"/>
        <v>14878166.335265832</v>
      </c>
      <c r="K13" s="16"/>
      <c r="L13" s="16"/>
      <c r="M13" s="16"/>
    </row>
    <row r="14" spans="1:13" x14ac:dyDescent="0.25">
      <c r="A14" s="16">
        <v>1580</v>
      </c>
      <c r="B14" s="6">
        <v>43831</v>
      </c>
      <c r="C14" s="16" t="s">
        <v>195</v>
      </c>
      <c r="D14" s="7">
        <f>SUMIFS('DATOS PROYECCIÓN'!$F:$F,'DATOS PROYECCIÓN'!A:A,A14,'DATOS PROYECCIÓN'!B:B,B14)</f>
        <v>65317893.580878608</v>
      </c>
      <c r="E14" s="13">
        <f>VLOOKUP(A14,'DATOS GENERALES'!A:B,2,0)</f>
        <v>1.74</v>
      </c>
      <c r="F14" s="16">
        <f t="shared" si="0"/>
        <v>1.7319959999999999</v>
      </c>
      <c r="G14" s="7">
        <f t="shared" si="1"/>
        <v>-37712496.784564525</v>
      </c>
      <c r="H14" s="7">
        <f t="shared" si="2"/>
        <v>27605396.796314083</v>
      </c>
      <c r="I14" s="7" t="str">
        <f>IFERROR((G14/SUMIF(B:B,B14,G:G))*VLOOKUP(B14,'DATOS GENERALES'!G:H,2,0),"")</f>
        <v/>
      </c>
      <c r="J14" s="7" t="str">
        <f t="shared" si="3"/>
        <v/>
      </c>
      <c r="K14" s="16"/>
      <c r="L14" s="16"/>
      <c r="M14" s="16"/>
    </row>
    <row r="15" spans="1:13" x14ac:dyDescent="0.25">
      <c r="A15" s="16">
        <v>1580</v>
      </c>
      <c r="B15" s="6">
        <v>43862</v>
      </c>
      <c r="C15" s="16" t="s">
        <v>195</v>
      </c>
      <c r="D15" s="7">
        <f>SUMIFS('DATOS PROYECCIÓN'!$F:$F,'DATOS PROYECCIÓN'!A:A,A15,'DATOS PROYECCIÓN'!B:B,B15)</f>
        <v>54776389.5693786</v>
      </c>
      <c r="E15" s="13">
        <f>VLOOKUP(A15,'DATOS GENERALES'!A:B,2,0)</f>
        <v>1.74</v>
      </c>
      <c r="F15" s="16">
        <f t="shared" si="0"/>
        <v>1.7319959999999999</v>
      </c>
      <c r="G15" s="7">
        <f t="shared" si="1"/>
        <v>-31626164.015031561</v>
      </c>
      <c r="H15" s="7">
        <f t="shared" si="2"/>
        <v>23150225.554347038</v>
      </c>
      <c r="I15" s="7" t="str">
        <f>IFERROR((G15/SUMIF(B:B,B15,G:G))*VLOOKUP(B15,'DATOS GENERALES'!G:H,2,0),"")</f>
        <v/>
      </c>
      <c r="J15" s="7" t="str">
        <f t="shared" si="3"/>
        <v/>
      </c>
      <c r="K15" s="16"/>
      <c r="L15" s="16"/>
      <c r="M15" s="16"/>
    </row>
    <row r="16" spans="1:13" x14ac:dyDescent="0.25">
      <c r="A16" s="16">
        <v>1588</v>
      </c>
      <c r="B16" s="6">
        <v>43466</v>
      </c>
      <c r="C16" s="16" t="s">
        <v>195</v>
      </c>
      <c r="D16" s="7">
        <f>SUMIFS('DATOS PROYECCIÓN'!$F:$F,'DATOS PROYECCIÓN'!A:A,A16,'DATOS PROYECCIÓN'!B:B,B16)</f>
        <v>68877916.829865009</v>
      </c>
      <c r="E16" s="13">
        <f>VLOOKUP(A16,'DATOS GENERALES'!A:B,2,0)</f>
        <v>1.49</v>
      </c>
      <c r="F16" s="16">
        <f t="shared" si="0"/>
        <v>1.4831459999999999</v>
      </c>
      <c r="G16" s="7">
        <f t="shared" si="1"/>
        <v>-46440415.731064245</v>
      </c>
      <c r="H16" s="7">
        <f t="shared" si="2"/>
        <v>22437501.098800763</v>
      </c>
      <c r="I16" s="7">
        <f>IFERROR((G16/SUMIF(B:B,B16,G:G))*VLOOKUP(B16,'DATOS GENERALES'!G:H,2,0),"")</f>
        <v>-10189879.150092591</v>
      </c>
      <c r="J16" s="7">
        <f t="shared" si="3"/>
        <v>12247621.948708173</v>
      </c>
      <c r="K16" s="16"/>
      <c r="L16" s="16"/>
      <c r="M16" s="16"/>
    </row>
    <row r="17" spans="1:13" x14ac:dyDescent="0.25">
      <c r="A17" s="16">
        <v>1588</v>
      </c>
      <c r="B17" s="6">
        <v>43497</v>
      </c>
      <c r="C17" s="16" t="s">
        <v>195</v>
      </c>
      <c r="D17" s="7">
        <f>SUMIFS('DATOS PROYECCIÓN'!$F:$F,'DATOS PROYECCIÓN'!A:A,A17,'DATOS PROYECCIÓN'!B:B,B17)</f>
        <v>68877916.829865009</v>
      </c>
      <c r="E17" s="13">
        <f>VLOOKUP(A17,'DATOS GENERALES'!A:B,2,0)</f>
        <v>1.49</v>
      </c>
      <c r="F17" s="16">
        <f t="shared" si="0"/>
        <v>1.4831459999999999</v>
      </c>
      <c r="G17" s="7">
        <f t="shared" si="1"/>
        <v>-46440415.731064245</v>
      </c>
      <c r="H17" s="7">
        <f t="shared" si="2"/>
        <v>22437501.098800763</v>
      </c>
      <c r="I17" s="7">
        <f>IFERROR((G17/SUMIF(B:B,B17,G:G))*VLOOKUP(B17,'DATOS GENERALES'!G:H,2,0),"")</f>
        <v>-10038460.29848738</v>
      </c>
      <c r="J17" s="7">
        <f t="shared" si="3"/>
        <v>12399040.800313383</v>
      </c>
      <c r="K17" s="16"/>
      <c r="L17" s="16"/>
      <c r="M17" s="16"/>
    </row>
    <row r="18" spans="1:13" x14ac:dyDescent="0.25">
      <c r="A18" s="16">
        <v>1588</v>
      </c>
      <c r="B18" s="6">
        <v>43525</v>
      </c>
      <c r="C18" s="16" t="s">
        <v>195</v>
      </c>
      <c r="D18" s="7">
        <f>SUMIFS('DATOS PROYECCIÓN'!$F:$F,'DATOS PROYECCIÓN'!A:A,A18,'DATOS PROYECCIÓN'!B:B,B18)</f>
        <v>68877916.829865009</v>
      </c>
      <c r="E18" s="13">
        <f>VLOOKUP(A18,'DATOS GENERALES'!A:B,2,0)</f>
        <v>1.49</v>
      </c>
      <c r="F18" s="16">
        <f t="shared" si="0"/>
        <v>1.4831459999999999</v>
      </c>
      <c r="G18" s="7">
        <f t="shared" si="1"/>
        <v>-46440415.731064245</v>
      </c>
      <c r="H18" s="7">
        <f t="shared" si="2"/>
        <v>22437501.098800763</v>
      </c>
      <c r="I18" s="7">
        <f>IFERROR((G18/SUMIF(B:B,B18,G:G))*VLOOKUP(B18,'DATOS GENERALES'!G:H,2,0),"")</f>
        <v>-7262701.5202591531</v>
      </c>
      <c r="J18" s="7">
        <f t="shared" si="3"/>
        <v>15174799.57854161</v>
      </c>
      <c r="K18" s="16"/>
      <c r="L18" s="16"/>
      <c r="M18" s="16"/>
    </row>
    <row r="19" spans="1:13" x14ac:dyDescent="0.25">
      <c r="A19" s="16">
        <v>1596</v>
      </c>
      <c r="B19" s="6">
        <v>43466</v>
      </c>
      <c r="C19" s="16" t="s">
        <v>195</v>
      </c>
      <c r="D19" s="7">
        <f>SUMIFS('DATOS PROYECCIÓN'!$F:$F,'DATOS PROYECCIÓN'!A:A,A19,'DATOS PROYECCIÓN'!B:B,B19)</f>
        <v>45333415.275986843</v>
      </c>
      <c r="E19" s="13">
        <f>VLOOKUP(A19,'DATOS GENERALES'!A:B,2,0)</f>
        <v>2.4300000000000002</v>
      </c>
      <c r="F19" s="16">
        <f t="shared" si="0"/>
        <v>2.418822</v>
      </c>
      <c r="G19" s="7">
        <f t="shared" si="1"/>
        <v>-18741939.372135215</v>
      </c>
      <c r="H19" s="7">
        <f t="shared" si="2"/>
        <v>26591475.903851628</v>
      </c>
      <c r="I19" s="7">
        <f>IFERROR((G19/SUMIF(B:B,B19,G:G))*VLOOKUP(B19,'DATOS GENERALES'!G:H,2,0),"")</f>
        <v>-4112325.3147941511</v>
      </c>
      <c r="J19" s="7">
        <f t="shared" si="3"/>
        <v>22479150.589057475</v>
      </c>
      <c r="K19" s="16"/>
      <c r="L19" s="16"/>
      <c r="M19" s="16"/>
    </row>
    <row r="20" spans="1:13" x14ac:dyDescent="0.25">
      <c r="A20" s="16">
        <v>1596</v>
      </c>
      <c r="B20" s="6">
        <v>43497</v>
      </c>
      <c r="C20" s="16" t="s">
        <v>195</v>
      </c>
      <c r="D20" s="7">
        <f>SUMIFS('DATOS PROYECCIÓN'!$F:$F,'DATOS PROYECCIÓN'!A:A,A20,'DATOS PROYECCIÓN'!B:B,B20)</f>
        <v>45333415.275986843</v>
      </c>
      <c r="E20" s="13">
        <f>VLOOKUP(A20,'DATOS GENERALES'!A:B,2,0)</f>
        <v>2.4300000000000002</v>
      </c>
      <c r="F20" s="16">
        <f t="shared" si="0"/>
        <v>2.418822</v>
      </c>
      <c r="G20" s="7">
        <f t="shared" si="1"/>
        <v>-18741939.372135215</v>
      </c>
      <c r="H20" s="7">
        <f t="shared" si="2"/>
        <v>26591475.903851628</v>
      </c>
      <c r="I20" s="7">
        <f>IFERROR((G20/SUMIF(B:B,B20,G:G))*VLOOKUP(B20,'DATOS GENERALES'!G:H,2,0),"")</f>
        <v>-4051217.2714678957</v>
      </c>
      <c r="J20" s="7">
        <f t="shared" si="3"/>
        <v>22540258.632383734</v>
      </c>
      <c r="K20" s="16"/>
      <c r="L20" s="16"/>
      <c r="M20" s="16"/>
    </row>
    <row r="21" spans="1:13" x14ac:dyDescent="0.25">
      <c r="A21" s="16">
        <v>1596</v>
      </c>
      <c r="B21" s="6">
        <v>43525</v>
      </c>
      <c r="C21" s="16" t="s">
        <v>195</v>
      </c>
      <c r="D21" s="7">
        <f>SUMIFS('DATOS PROYECCIÓN'!$F:$F,'DATOS PROYECCIÓN'!A:A,A21,'DATOS PROYECCIÓN'!B:B,B21)</f>
        <v>45333415.275986843</v>
      </c>
      <c r="E21" s="13">
        <f>VLOOKUP(A21,'DATOS GENERALES'!A:B,2,0)</f>
        <v>2.4300000000000002</v>
      </c>
      <c r="F21" s="16">
        <f t="shared" si="0"/>
        <v>2.418822</v>
      </c>
      <c r="G21" s="7">
        <f t="shared" si="1"/>
        <v>-18741939.372135215</v>
      </c>
      <c r="H21" s="7">
        <f t="shared" si="2"/>
        <v>26591475.903851628</v>
      </c>
      <c r="I21" s="7">
        <f>IFERROR((G21/SUMIF(B:B,B21,G:G))*VLOOKUP(B21,'DATOS GENERALES'!G:H,2,0),"")</f>
        <v>-2931005.4491945864</v>
      </c>
      <c r="J21" s="7">
        <f t="shared" si="3"/>
        <v>23660470.454657041</v>
      </c>
      <c r="K21" s="16"/>
      <c r="L21" s="16"/>
      <c r="M21" s="16"/>
    </row>
    <row r="22" spans="1:13" x14ac:dyDescent="0.25">
      <c r="A22" s="16">
        <v>1596</v>
      </c>
      <c r="B22" s="6">
        <v>43556</v>
      </c>
      <c r="C22" s="16" t="s">
        <v>195</v>
      </c>
      <c r="D22" s="7">
        <f>SUMIFS('DATOS PROYECCIÓN'!$F:$F,'DATOS PROYECCIÓN'!A:A,A22,'DATOS PROYECCIÓN'!B:B,B22)</f>
        <v>39811433.775986843</v>
      </c>
      <c r="E22" s="13">
        <f>VLOOKUP(A22,'DATOS GENERALES'!A:B,2,0)</f>
        <v>2.4300000000000002</v>
      </c>
      <c r="F22" s="16">
        <f t="shared" si="0"/>
        <v>2.418822</v>
      </c>
      <c r="G22" s="7">
        <f t="shared" si="1"/>
        <v>-16459017.561435625</v>
      </c>
      <c r="H22" s="7">
        <f t="shared" si="2"/>
        <v>23352416.214551218</v>
      </c>
      <c r="I22" s="7">
        <f>IFERROR((G22/SUMIF(B:B,B22,G:G))*VLOOKUP(B22,'DATOS GENERALES'!G:H,2,0),"")</f>
        <v>-2646250.5406856723</v>
      </c>
      <c r="J22" s="7">
        <f t="shared" si="3"/>
        <v>20706165.673865546</v>
      </c>
      <c r="K22" s="16"/>
      <c r="L22" s="16"/>
      <c r="M22" s="16"/>
    </row>
    <row r="23" spans="1:13" x14ac:dyDescent="0.25">
      <c r="A23" s="16">
        <v>1596</v>
      </c>
      <c r="B23" s="6">
        <v>43586</v>
      </c>
      <c r="C23" s="16" t="s">
        <v>195</v>
      </c>
      <c r="D23" s="7">
        <f>SUMIFS('DATOS PROYECCIÓN'!$F:$F,'DATOS PROYECCIÓN'!A:A,A23,'DATOS PROYECCIÓN'!B:B,B23)</f>
        <v>33697792.894736841</v>
      </c>
      <c r="E23" s="13">
        <f>VLOOKUP(A23,'DATOS GENERALES'!A:B,2,0)</f>
        <v>2.4300000000000002</v>
      </c>
      <c r="F23" s="16">
        <f t="shared" si="0"/>
        <v>2.418822</v>
      </c>
      <c r="G23" s="7">
        <f t="shared" si="1"/>
        <v>-13931489.334368896</v>
      </c>
      <c r="H23" s="7">
        <f t="shared" si="2"/>
        <v>19766303.560367946</v>
      </c>
      <c r="I23" s="7">
        <f>IFERROR((G23/SUMIF(B:B,B23,G:G))*VLOOKUP(B23,'DATOS GENERALES'!G:H,2,0),"")</f>
        <v>-1847743.7000679735</v>
      </c>
      <c r="J23" s="7">
        <f t="shared" si="3"/>
        <v>17918559.860299971</v>
      </c>
      <c r="K23" s="16"/>
      <c r="L23" s="16"/>
      <c r="M23" s="16"/>
    </row>
    <row r="24" spans="1:13" x14ac:dyDescent="0.25">
      <c r="A24" s="16">
        <v>1596</v>
      </c>
      <c r="B24" s="6">
        <v>43617</v>
      </c>
      <c r="C24" s="16" t="s">
        <v>195</v>
      </c>
      <c r="D24" s="7">
        <f>SUMIFS('DATOS PROYECCIÓN'!$F:$F,'DATOS PROYECCIÓN'!A:A,A24,'DATOS PROYECCIÓN'!B:B,B24)</f>
        <v>33697792.894736841</v>
      </c>
      <c r="E24" s="13">
        <f>VLOOKUP(A24,'DATOS GENERALES'!A:B,2,0)</f>
        <v>2.4300000000000002</v>
      </c>
      <c r="F24" s="16">
        <f t="shared" si="0"/>
        <v>2.418822</v>
      </c>
      <c r="G24" s="7">
        <f t="shared" si="1"/>
        <v>-13931489.334368896</v>
      </c>
      <c r="H24" s="7">
        <f t="shared" si="2"/>
        <v>19766303.560367946</v>
      </c>
      <c r="I24" s="7">
        <f>IFERROR((G24/SUMIF(B:B,B24,G:G))*VLOOKUP(B24,'DATOS GENERALES'!G:H,2,0),"")</f>
        <v>-2484782.5637181038</v>
      </c>
      <c r="J24" s="7">
        <f t="shared" si="3"/>
        <v>17281520.996649843</v>
      </c>
      <c r="K24" s="16"/>
      <c r="L24" s="16"/>
      <c r="M24" s="16"/>
    </row>
    <row r="25" spans="1:13" x14ac:dyDescent="0.25">
      <c r="A25" s="16">
        <v>1687</v>
      </c>
      <c r="B25" s="6">
        <v>43466</v>
      </c>
      <c r="C25" s="16" t="s">
        <v>195</v>
      </c>
      <c r="D25" s="7">
        <f>SUMIFS('DATOS PROYECCIÓN'!$F:$F,'DATOS PROYECCIÓN'!A:A,A25,'DATOS PROYECCIÓN'!B:B,B25)</f>
        <v>71364366.272</v>
      </c>
      <c r="E25" s="13">
        <f>VLOOKUP(A25,'DATOS GENERALES'!A:B,2,0)</f>
        <v>1.71</v>
      </c>
      <c r="F25" s="16">
        <f t="shared" si="0"/>
        <v>1.7021339999999998</v>
      </c>
      <c r="G25" s="7">
        <f t="shared" si="1"/>
        <v>-41926409.008926444</v>
      </c>
      <c r="H25" s="7">
        <f t="shared" si="2"/>
        <v>29437957.263073556</v>
      </c>
      <c r="I25" s="7">
        <f>IFERROR((G25/SUMIF(B:B,B25,G:G))*VLOOKUP(B25,'DATOS GENERALES'!G:H,2,0),"")</f>
        <v>-9199423.2668451443</v>
      </c>
      <c r="J25" s="7">
        <f t="shared" si="3"/>
        <v>20238533.996228412</v>
      </c>
      <c r="K25" s="16"/>
      <c r="L25" s="16"/>
      <c r="M25" s="16"/>
    </row>
    <row r="26" spans="1:13" x14ac:dyDescent="0.25">
      <c r="A26" s="16">
        <v>1687</v>
      </c>
      <c r="B26" s="6">
        <v>43497</v>
      </c>
      <c r="C26" s="16" t="s">
        <v>195</v>
      </c>
      <c r="D26" s="7">
        <f>SUMIFS('DATOS PROYECCIÓN'!$F:$F,'DATOS PROYECCIÓN'!A:A,A26,'DATOS PROYECCIÓN'!B:B,B26)</f>
        <v>39364366.272</v>
      </c>
      <c r="E26" s="13">
        <f>VLOOKUP(A26,'DATOS GENERALES'!A:B,2,0)</f>
        <v>1.71</v>
      </c>
      <c r="F26" s="16">
        <f t="shared" si="0"/>
        <v>1.7021339999999998</v>
      </c>
      <c r="G26" s="7">
        <f t="shared" si="1"/>
        <v>-23126479.038665585</v>
      </c>
      <c r="H26" s="7">
        <f t="shared" si="2"/>
        <v>16237887.233334415</v>
      </c>
      <c r="I26" s="7">
        <f>IFERROR((G26/SUMIF(B:B,B26,G:G))*VLOOKUP(B26,'DATOS GENERALES'!G:H,2,0),"")</f>
        <v>-4998969.9277854618</v>
      </c>
      <c r="J26" s="7">
        <f t="shared" si="3"/>
        <v>11238917.305548953</v>
      </c>
      <c r="K26" s="16"/>
      <c r="L26" s="16"/>
      <c r="M26" s="16"/>
    </row>
    <row r="27" spans="1:13" x14ac:dyDescent="0.25">
      <c r="A27" s="16">
        <v>1687</v>
      </c>
      <c r="B27" s="6">
        <v>43525</v>
      </c>
      <c r="C27" s="16" t="s">
        <v>195</v>
      </c>
      <c r="D27" s="7">
        <f>SUMIFS('DATOS PROYECCIÓN'!$F:$F,'DATOS PROYECCIÓN'!A:A,A27,'DATOS PROYECCIÓN'!B:B,B27)</f>
        <v>39364366.272</v>
      </c>
      <c r="E27" s="13">
        <f>VLOOKUP(A27,'DATOS GENERALES'!A:B,2,0)</f>
        <v>1.71</v>
      </c>
      <c r="F27" s="16">
        <f t="shared" si="0"/>
        <v>1.7021339999999998</v>
      </c>
      <c r="G27" s="7">
        <f t="shared" si="1"/>
        <v>-23126479.038665585</v>
      </c>
      <c r="H27" s="7">
        <f t="shared" si="2"/>
        <v>16237887.233334415</v>
      </c>
      <c r="I27" s="7">
        <f>IFERROR((G27/SUMIF(B:B,B27,G:G))*VLOOKUP(B27,'DATOS GENERALES'!G:H,2,0),"")</f>
        <v>-3616692.7411893979</v>
      </c>
      <c r="J27" s="7">
        <f t="shared" si="3"/>
        <v>12621194.492145017</v>
      </c>
      <c r="K27" s="16"/>
      <c r="L27" s="16"/>
      <c r="M27" s="16"/>
    </row>
    <row r="28" spans="1:13" x14ac:dyDescent="0.25">
      <c r="A28" s="16">
        <v>1687</v>
      </c>
      <c r="B28" s="6">
        <v>43556</v>
      </c>
      <c r="C28" s="16" t="s">
        <v>195</v>
      </c>
      <c r="D28" s="7">
        <f>SUMIFS('DATOS PROYECCIÓN'!$F:$F,'DATOS PROYECCIÓN'!A:A,A28,'DATOS PROYECCIÓN'!B:B,B28)</f>
        <v>35374979.772</v>
      </c>
      <c r="E28" s="13">
        <f>VLOOKUP(A28,'DATOS GENERALES'!A:B,2,0)</f>
        <v>1.71</v>
      </c>
      <c r="F28" s="16">
        <f t="shared" si="0"/>
        <v>1.7021339999999998</v>
      </c>
      <c r="G28" s="7">
        <f t="shared" si="1"/>
        <v>-20782723.200406082</v>
      </c>
      <c r="H28" s="7">
        <f t="shared" si="2"/>
        <v>14592256.571593918</v>
      </c>
      <c r="I28" s="7">
        <f>IFERROR((G28/SUMIF(B:B,B28,G:G))*VLOOKUP(B28,'DATOS GENERALES'!G:H,2,0),"")</f>
        <v>-3341407.972906875</v>
      </c>
      <c r="J28" s="7">
        <f t="shared" si="3"/>
        <v>11250848.598687043</v>
      </c>
      <c r="K28" s="16"/>
      <c r="L28" s="16"/>
      <c r="M28" s="16"/>
    </row>
    <row r="29" spans="1:13" x14ac:dyDescent="0.25">
      <c r="A29" s="16">
        <v>1689</v>
      </c>
      <c r="B29" s="6">
        <v>43466</v>
      </c>
      <c r="C29" s="16" t="s">
        <v>195</v>
      </c>
      <c r="D29" s="7">
        <f>SUMIFS('DATOS PROYECCIÓN'!$F:$F,'DATOS PROYECCIÓN'!A:A,A29,'DATOS PROYECCIÓN'!B:B,B29)</f>
        <v>36819716.200000003</v>
      </c>
      <c r="E29" s="13">
        <f>VLOOKUP(A29,'DATOS GENERALES'!A:B,2,0)</f>
        <v>2.11</v>
      </c>
      <c r="F29" s="16">
        <f t="shared" si="0"/>
        <v>2.1002939999999999</v>
      </c>
      <c r="G29" s="7">
        <f t="shared" si="1"/>
        <v>-17530743.886332106</v>
      </c>
      <c r="H29" s="7">
        <f t="shared" si="2"/>
        <v>19288972.313667897</v>
      </c>
      <c r="I29" s="7">
        <f>IFERROR((G29/SUMIF(B:B,B29,G:G))*VLOOKUP(B29,'DATOS GENERALES'!G:H,2,0),"")</f>
        <v>-3846566.8061075942</v>
      </c>
      <c r="J29" s="7">
        <f t="shared" si="3"/>
        <v>15442405.507560303</v>
      </c>
      <c r="K29" s="16"/>
      <c r="L29" s="16"/>
      <c r="M29" s="16"/>
    </row>
    <row r="30" spans="1:13" x14ac:dyDescent="0.25">
      <c r="A30" s="16">
        <v>1689</v>
      </c>
      <c r="B30" s="6">
        <v>43497</v>
      </c>
      <c r="C30" s="16" t="s">
        <v>195</v>
      </c>
      <c r="D30" s="7">
        <f>SUMIFS('DATOS PROYECCIÓN'!$F:$F,'DATOS PROYECCIÓN'!A:A,A30,'DATOS PROYECCIÓN'!B:B,B30)</f>
        <v>36819716.200000003</v>
      </c>
      <c r="E30" s="13">
        <f>VLOOKUP(A30,'DATOS GENERALES'!A:B,2,0)</f>
        <v>2.11</v>
      </c>
      <c r="F30" s="16">
        <f t="shared" si="0"/>
        <v>2.1002939999999999</v>
      </c>
      <c r="G30" s="7">
        <f t="shared" si="1"/>
        <v>-17530743.886332106</v>
      </c>
      <c r="H30" s="7">
        <f t="shared" si="2"/>
        <v>19288972.313667897</v>
      </c>
      <c r="I30" s="7">
        <f>IFERROR((G30/SUMIF(B:B,B30,G:G))*VLOOKUP(B30,'DATOS GENERALES'!G:H,2,0),"")</f>
        <v>-3789407.8624317762</v>
      </c>
      <c r="J30" s="7">
        <f t="shared" si="3"/>
        <v>15499564.451236121</v>
      </c>
      <c r="K30" s="16"/>
      <c r="L30" s="16"/>
      <c r="M30" s="16"/>
    </row>
    <row r="31" spans="1:13" x14ac:dyDescent="0.25">
      <c r="A31" s="16">
        <v>1689</v>
      </c>
      <c r="B31" s="6">
        <v>43525</v>
      </c>
      <c r="C31" s="16" t="s">
        <v>195</v>
      </c>
      <c r="D31" s="7">
        <f>SUMIFS('DATOS PROYECCIÓN'!$F:$F,'DATOS PROYECCIÓN'!A:A,A31,'DATOS PROYECCIÓN'!B:B,B31)</f>
        <v>36819716.200000003</v>
      </c>
      <c r="E31" s="13">
        <f>VLOOKUP(A31,'DATOS GENERALES'!A:B,2,0)</f>
        <v>2.11</v>
      </c>
      <c r="F31" s="16">
        <f t="shared" si="0"/>
        <v>2.1002939999999999</v>
      </c>
      <c r="G31" s="7">
        <f t="shared" si="1"/>
        <v>-17530743.886332106</v>
      </c>
      <c r="H31" s="7">
        <f t="shared" si="2"/>
        <v>19288972.313667897</v>
      </c>
      <c r="I31" s="7">
        <f>IFERROR((G31/SUMIF(B:B,B31,G:G))*VLOOKUP(B31,'DATOS GENERALES'!G:H,2,0),"")</f>
        <v>-2741589.5889444551</v>
      </c>
      <c r="J31" s="7">
        <f t="shared" si="3"/>
        <v>16547382.724723442</v>
      </c>
      <c r="K31" s="16"/>
      <c r="L31" s="16"/>
      <c r="M31" s="16"/>
    </row>
    <row r="32" spans="1:13" x14ac:dyDescent="0.25">
      <c r="A32" s="16">
        <v>1689</v>
      </c>
      <c r="B32" s="6">
        <v>43556</v>
      </c>
      <c r="C32" s="16" t="s">
        <v>195</v>
      </c>
      <c r="D32" s="7">
        <f>SUMIFS('DATOS PROYECCIÓN'!$F:$F,'DATOS PROYECCIÓN'!A:A,A32,'DATOS PROYECCIÓN'!B:B,B32)</f>
        <v>36819716.200000003</v>
      </c>
      <c r="E32" s="13">
        <f>VLOOKUP(A32,'DATOS GENERALES'!A:B,2,0)</f>
        <v>2.11</v>
      </c>
      <c r="F32" s="16">
        <f t="shared" si="0"/>
        <v>2.1002939999999999</v>
      </c>
      <c r="G32" s="7">
        <f t="shared" si="1"/>
        <v>-17530743.886332106</v>
      </c>
      <c r="H32" s="7">
        <f t="shared" si="2"/>
        <v>19288972.313667897</v>
      </c>
      <c r="I32" s="7">
        <f>IFERROR((G32/SUMIF(B:B,B32,G:G))*VLOOKUP(B32,'DATOS GENERALES'!G:H,2,0),"")</f>
        <v>-2818560.7260377691</v>
      </c>
      <c r="J32" s="7">
        <f t="shared" si="3"/>
        <v>16470411.587630128</v>
      </c>
      <c r="K32" s="16"/>
      <c r="L32" s="16"/>
      <c r="M32" s="16"/>
    </row>
    <row r="33" spans="1:13" x14ac:dyDescent="0.25">
      <c r="A33" s="16">
        <v>1689</v>
      </c>
      <c r="B33" s="6">
        <v>43586</v>
      </c>
      <c r="C33" s="16" t="s">
        <v>195</v>
      </c>
      <c r="D33" s="7">
        <f>SUMIFS('DATOS PROYECCIÓN'!$F:$F,'DATOS PROYECCIÓN'!A:A,A33,'DATOS PROYECCIÓN'!B:B,B33)</f>
        <v>36819716.200000003</v>
      </c>
      <c r="E33" s="13">
        <f>VLOOKUP(A33,'DATOS GENERALES'!A:B,2,0)</f>
        <v>2.11</v>
      </c>
      <c r="F33" s="16">
        <f t="shared" si="0"/>
        <v>2.1002939999999999</v>
      </c>
      <c r="G33" s="7">
        <f t="shared" si="1"/>
        <v>-17530743.886332106</v>
      </c>
      <c r="H33" s="7">
        <f t="shared" si="2"/>
        <v>19288972.313667897</v>
      </c>
      <c r="I33" s="7">
        <f>IFERROR((G33/SUMIF(B:B,B33,G:G))*VLOOKUP(B33,'DATOS GENERALES'!G:H,2,0),"")</f>
        <v>-2325115.484499108</v>
      </c>
      <c r="J33" s="7">
        <f t="shared" si="3"/>
        <v>16963856.829168789</v>
      </c>
      <c r="K33" s="16"/>
      <c r="L33" s="16"/>
      <c r="M33" s="16"/>
    </row>
    <row r="34" spans="1:13" x14ac:dyDescent="0.25">
      <c r="A34" s="16">
        <v>1689</v>
      </c>
      <c r="B34" s="6">
        <v>43617</v>
      </c>
      <c r="C34" s="16" t="s">
        <v>195</v>
      </c>
      <c r="D34" s="7">
        <f>SUMIFS('DATOS PROYECCIÓN'!$F:$F,'DATOS PROYECCIÓN'!A:A,A34,'DATOS PROYECCIÓN'!B:B,B34)</f>
        <v>36819716.200000003</v>
      </c>
      <c r="E34" s="13">
        <f>VLOOKUP(A34,'DATOS GENERALES'!A:B,2,0)</f>
        <v>2.11</v>
      </c>
      <c r="F34" s="16">
        <f t="shared" si="0"/>
        <v>2.1002939999999999</v>
      </c>
      <c r="G34" s="7">
        <f t="shared" si="1"/>
        <v>-17530743.886332106</v>
      </c>
      <c r="H34" s="7">
        <f t="shared" si="2"/>
        <v>19288972.313667897</v>
      </c>
      <c r="I34" s="7">
        <f>IFERROR((G34/SUMIF(B:B,B34,G:G))*VLOOKUP(B34,'DATOS GENERALES'!G:H,2,0),"")</f>
        <v>-3126735.820721142</v>
      </c>
      <c r="J34" s="7">
        <f t="shared" si="3"/>
        <v>16162236.492946755</v>
      </c>
      <c r="K34" s="16"/>
      <c r="L34" s="16"/>
      <c r="M34" s="16"/>
    </row>
    <row r="35" spans="1:13" x14ac:dyDescent="0.25">
      <c r="A35" s="16">
        <v>1689</v>
      </c>
      <c r="B35" s="6">
        <v>43647</v>
      </c>
      <c r="C35" s="16" t="s">
        <v>195</v>
      </c>
      <c r="D35" s="7">
        <f>SUMIFS('DATOS PROYECCIÓN'!$F:$F,'DATOS PROYECCIÓN'!A:A,A35,'DATOS PROYECCIÓN'!B:B,B35)</f>
        <v>36819716.200000003</v>
      </c>
      <c r="E35" s="13">
        <f>VLOOKUP(A35,'DATOS GENERALES'!A:B,2,0)</f>
        <v>2.11</v>
      </c>
      <c r="F35" s="16">
        <f t="shared" si="0"/>
        <v>2.1002939999999999</v>
      </c>
      <c r="G35" s="7">
        <f t="shared" si="1"/>
        <v>-17530743.886332106</v>
      </c>
      <c r="H35" s="7">
        <f t="shared" si="2"/>
        <v>19288972.313667897</v>
      </c>
      <c r="I35" s="7">
        <f>IFERROR((G35/SUMIF(B:B,B35,G:G))*VLOOKUP(B35,'DATOS GENERALES'!G:H,2,0),"")</f>
        <v>-4662885.5719172023</v>
      </c>
      <c r="J35" s="7">
        <f t="shared" si="3"/>
        <v>14626086.741750695</v>
      </c>
      <c r="K35" s="16"/>
      <c r="L35" s="16"/>
      <c r="M35" s="16"/>
    </row>
    <row r="36" spans="1:13" x14ac:dyDescent="0.25">
      <c r="A36" s="16">
        <v>1689</v>
      </c>
      <c r="B36" s="6">
        <v>43678</v>
      </c>
      <c r="C36" s="16" t="s">
        <v>195</v>
      </c>
      <c r="D36" s="7">
        <f>SUMIFS('DATOS PROYECCIÓN'!$F:$F,'DATOS PROYECCIÓN'!A:A,A36,'DATOS PROYECCIÓN'!B:B,B36)</f>
        <v>36819716.200000003</v>
      </c>
      <c r="E36" s="13">
        <f>VLOOKUP(A36,'DATOS GENERALES'!A:B,2,0)</f>
        <v>2.11</v>
      </c>
      <c r="F36" s="16">
        <f t="shared" si="0"/>
        <v>2.1002939999999999</v>
      </c>
      <c r="G36" s="7">
        <f t="shared" si="1"/>
        <v>-17530743.886332106</v>
      </c>
      <c r="H36" s="7">
        <f t="shared" si="2"/>
        <v>19288972.313667897</v>
      </c>
      <c r="I36" s="7">
        <f>IFERROR((G36/SUMIF(B:B,B36,G:G))*VLOOKUP(B36,'DATOS GENERALES'!G:H,2,0),"")</f>
        <v>-4588448.4591244496</v>
      </c>
      <c r="J36" s="7">
        <f t="shared" si="3"/>
        <v>14700523.854543447</v>
      </c>
      <c r="K36" s="16"/>
      <c r="L36" s="16"/>
      <c r="M36" s="16"/>
    </row>
    <row r="37" spans="1:13" x14ac:dyDescent="0.25">
      <c r="A37" s="16">
        <v>1689</v>
      </c>
      <c r="B37" s="6">
        <v>43709</v>
      </c>
      <c r="C37" s="16" t="s">
        <v>195</v>
      </c>
      <c r="D37" s="7">
        <f>SUMIFS('DATOS PROYECCIÓN'!$F:$F,'DATOS PROYECCIÓN'!A:A,A37,'DATOS PROYECCIÓN'!B:B,B37)</f>
        <v>28923787.600000001</v>
      </c>
      <c r="E37" s="13">
        <f>VLOOKUP(A37,'DATOS GENERALES'!A:B,2,0)</f>
        <v>2.11</v>
      </c>
      <c r="F37" s="16">
        <f t="shared" si="0"/>
        <v>2.1002939999999999</v>
      </c>
      <c r="G37" s="7">
        <f t="shared" si="1"/>
        <v>-13771304.207887087</v>
      </c>
      <c r="H37" s="7">
        <f t="shared" si="2"/>
        <v>15152483.392112914</v>
      </c>
      <c r="I37" s="7">
        <f>IFERROR((G37/SUMIF(B:B,B37,G:G))*VLOOKUP(B37,'DATOS GENERALES'!G:H,2,0),"")</f>
        <v>-4073667.0512571894</v>
      </c>
      <c r="J37" s="7">
        <f t="shared" si="3"/>
        <v>11078816.340855725</v>
      </c>
      <c r="K37" s="16"/>
      <c r="L37" s="16"/>
      <c r="M37" s="16"/>
    </row>
    <row r="38" spans="1:13" x14ac:dyDescent="0.25">
      <c r="A38" s="16">
        <v>1689</v>
      </c>
      <c r="B38" s="6">
        <v>43739</v>
      </c>
      <c r="C38" s="16" t="s">
        <v>195</v>
      </c>
      <c r="D38" s="7">
        <f>SUMIFS('DATOS PROYECCIÓN'!$F:$F,'DATOS PROYECCIÓN'!A:A,A38,'DATOS PROYECCIÓN'!B:B,B38)</f>
        <v>13258047.600000001</v>
      </c>
      <c r="E38" s="13">
        <f>VLOOKUP(A38,'DATOS GENERALES'!A:B,2,0)</f>
        <v>2.11</v>
      </c>
      <c r="F38" s="16">
        <f t="shared" si="0"/>
        <v>2.1002939999999999</v>
      </c>
      <c r="G38" s="7">
        <f t="shared" si="1"/>
        <v>-6312472.2538844571</v>
      </c>
      <c r="H38" s="7">
        <f t="shared" si="2"/>
        <v>6945575.3461155444</v>
      </c>
      <c r="I38" s="7">
        <f>IFERROR((G38/SUMIF(B:B,B38,G:G))*VLOOKUP(B38,'DATOS GENERALES'!G:H,2,0),"")</f>
        <v>-2019272.8078534727</v>
      </c>
      <c r="J38" s="7">
        <f t="shared" si="3"/>
        <v>4926302.538262072</v>
      </c>
      <c r="K38" s="16"/>
      <c r="L38" s="16"/>
      <c r="M38" s="16"/>
    </row>
    <row r="39" spans="1:13" x14ac:dyDescent="0.25">
      <c r="A39" s="16">
        <v>1689</v>
      </c>
      <c r="B39" s="6">
        <v>43770</v>
      </c>
      <c r="C39" s="16" t="s">
        <v>195</v>
      </c>
      <c r="D39" s="7">
        <f>SUMIFS('DATOS PROYECCIÓN'!$F:$F,'DATOS PROYECCIÓN'!A:A,A39,'DATOS PROYECCIÓN'!B:B,B39)</f>
        <v>13258047.600000001</v>
      </c>
      <c r="E39" s="13">
        <f>VLOOKUP(A39,'DATOS GENERALES'!A:B,2,0)</f>
        <v>2.11</v>
      </c>
      <c r="F39" s="16">
        <f t="shared" si="0"/>
        <v>2.1002939999999999</v>
      </c>
      <c r="G39" s="7">
        <f t="shared" si="1"/>
        <v>-6312472.2538844571</v>
      </c>
      <c r="H39" s="7">
        <f t="shared" si="2"/>
        <v>6945575.3461155444</v>
      </c>
      <c r="I39" s="7">
        <f>IFERROR((G39/SUMIF(B:B,B39,G:G))*VLOOKUP(B39,'DATOS GENERALES'!G:H,2,0),"")</f>
        <v>-2700628.6664854456</v>
      </c>
      <c r="J39" s="7">
        <f t="shared" si="3"/>
        <v>4244946.6796300989</v>
      </c>
      <c r="K39" s="16"/>
      <c r="L39" s="16"/>
      <c r="M39" s="16"/>
    </row>
    <row r="40" spans="1:13" x14ac:dyDescent="0.25">
      <c r="A40" s="16">
        <v>1701</v>
      </c>
      <c r="B40" s="6">
        <v>43466</v>
      </c>
      <c r="C40" s="16" t="s">
        <v>195</v>
      </c>
      <c r="D40" s="7">
        <f>SUMIFS('DATOS PROYECCIÓN'!$F:$F,'DATOS PROYECCIÓN'!A:A,A40,'DATOS PROYECCIÓN'!B:B,B40)</f>
        <v>43079526.100000001</v>
      </c>
      <c r="E40" s="13">
        <f>VLOOKUP(A40,'DATOS GENERALES'!A:B,2,0)</f>
        <v>2.1800000000000002</v>
      </c>
      <c r="F40" s="16">
        <f t="shared" si="0"/>
        <v>2.169972</v>
      </c>
      <c r="G40" s="7">
        <f t="shared" si="1"/>
        <v>-19852572.337338917</v>
      </c>
      <c r="H40" s="7">
        <f t="shared" si="2"/>
        <v>23226953.762661085</v>
      </c>
      <c r="I40" s="7">
        <f>IFERROR((G40/SUMIF(B:B,B40,G:G))*VLOOKUP(B40,'DATOS GENERALES'!G:H,2,0),"")</f>
        <v>-4356018.561664992</v>
      </c>
      <c r="J40" s="7">
        <f t="shared" si="3"/>
        <v>18870935.200996093</v>
      </c>
      <c r="K40" s="16"/>
      <c r="L40" s="16"/>
      <c r="M40" s="16"/>
    </row>
    <row r="41" spans="1:13" x14ac:dyDescent="0.25">
      <c r="A41" s="16">
        <v>1701</v>
      </c>
      <c r="B41" s="6">
        <v>43497</v>
      </c>
      <c r="C41" s="16" t="s">
        <v>195</v>
      </c>
      <c r="D41" s="7">
        <f>SUMIFS('DATOS PROYECCIÓN'!$F:$F,'DATOS PROYECCIÓN'!A:A,A41,'DATOS PROYECCIÓN'!B:B,B41)</f>
        <v>39433007.350000001</v>
      </c>
      <c r="E41" s="13">
        <f>VLOOKUP(A41,'DATOS GENERALES'!A:B,2,0)</f>
        <v>2.1800000000000002</v>
      </c>
      <c r="F41" s="16">
        <f t="shared" si="0"/>
        <v>2.169972</v>
      </c>
      <c r="G41" s="7">
        <f t="shared" si="1"/>
        <v>-18172127.267079946</v>
      </c>
      <c r="H41" s="7">
        <f t="shared" si="2"/>
        <v>21260880.082920056</v>
      </c>
      <c r="I41" s="7">
        <f>IFERROR((G41/SUMIF(B:B,B41,G:G))*VLOOKUP(B41,'DATOS GENERALES'!G:H,2,0),"")</f>
        <v>-3928047.9133958346</v>
      </c>
      <c r="J41" s="7">
        <f t="shared" si="3"/>
        <v>17332832.169524223</v>
      </c>
      <c r="K41" s="16"/>
      <c r="L41" s="16"/>
      <c r="M41" s="16"/>
    </row>
    <row r="42" spans="1:13" x14ac:dyDescent="0.25">
      <c r="A42" s="16">
        <v>1701</v>
      </c>
      <c r="B42" s="6">
        <v>43525</v>
      </c>
      <c r="C42" s="16" t="s">
        <v>195</v>
      </c>
      <c r="D42" s="7">
        <f>SUMIFS('DATOS PROYECCIÓN'!$F:$F,'DATOS PROYECCIÓN'!A:A,A42,'DATOS PROYECCIÓN'!B:B,B42)</f>
        <v>39433007.350000001</v>
      </c>
      <c r="E42" s="13">
        <f>VLOOKUP(A42,'DATOS GENERALES'!A:B,2,0)</f>
        <v>2.1800000000000002</v>
      </c>
      <c r="F42" s="16">
        <f t="shared" si="0"/>
        <v>2.169972</v>
      </c>
      <c r="G42" s="7">
        <f t="shared" si="1"/>
        <v>-18172127.267079946</v>
      </c>
      <c r="H42" s="7">
        <f t="shared" si="2"/>
        <v>21260880.082920056</v>
      </c>
      <c r="I42" s="7">
        <f>IFERROR((G42/SUMIF(B:B,B42,G:G))*VLOOKUP(B42,'DATOS GENERALES'!G:H,2,0),"")</f>
        <v>-2841893.9462827207</v>
      </c>
      <c r="J42" s="7">
        <f t="shared" si="3"/>
        <v>18418986.136637334</v>
      </c>
      <c r="K42" s="16"/>
      <c r="L42" s="16"/>
      <c r="M42" s="16"/>
    </row>
    <row r="43" spans="1:13" x14ac:dyDescent="0.25">
      <c r="A43" s="16">
        <v>1701</v>
      </c>
      <c r="B43" s="6">
        <v>43556</v>
      </c>
      <c r="C43" s="16" t="s">
        <v>195</v>
      </c>
      <c r="D43" s="7">
        <f>SUMIFS('DATOS PROYECCIÓN'!$F:$F,'DATOS PROYECCIÓN'!A:A,A43,'DATOS PROYECCIÓN'!B:B,B43)</f>
        <v>39433007.350000001</v>
      </c>
      <c r="E43" s="13">
        <f>VLOOKUP(A43,'DATOS GENERALES'!A:B,2,0)</f>
        <v>2.1800000000000002</v>
      </c>
      <c r="F43" s="16">
        <f t="shared" si="0"/>
        <v>2.169972</v>
      </c>
      <c r="G43" s="7">
        <f t="shared" si="1"/>
        <v>-18172127.267079946</v>
      </c>
      <c r="H43" s="7">
        <f t="shared" si="2"/>
        <v>21260880.082920056</v>
      </c>
      <c r="I43" s="7">
        <f>IFERROR((G43/SUMIF(B:B,B43,G:G))*VLOOKUP(B43,'DATOS GENERALES'!G:H,2,0),"")</f>
        <v>-2921681.1651378251</v>
      </c>
      <c r="J43" s="7">
        <f t="shared" si="3"/>
        <v>18339198.917782232</v>
      </c>
      <c r="K43" s="16"/>
      <c r="L43" s="16"/>
      <c r="M43" s="16"/>
    </row>
    <row r="44" spans="1:13" x14ac:dyDescent="0.25">
      <c r="A44" s="16">
        <v>1701</v>
      </c>
      <c r="B44" s="6">
        <v>43586</v>
      </c>
      <c r="C44" s="16" t="s">
        <v>195</v>
      </c>
      <c r="D44" s="7">
        <f>SUMIFS('DATOS PROYECCIÓN'!$F:$F,'DATOS PROYECCIÓN'!A:A,A44,'DATOS PROYECCIÓN'!B:B,B44)</f>
        <v>39433007.350000001</v>
      </c>
      <c r="E44" s="13">
        <f>VLOOKUP(A44,'DATOS GENERALES'!A:B,2,0)</f>
        <v>2.1800000000000002</v>
      </c>
      <c r="F44" s="16">
        <f t="shared" si="0"/>
        <v>2.169972</v>
      </c>
      <c r="G44" s="7">
        <f t="shared" si="1"/>
        <v>-18172127.267079946</v>
      </c>
      <c r="H44" s="7">
        <f t="shared" si="2"/>
        <v>21260880.082920056</v>
      </c>
      <c r="I44" s="7">
        <f>IFERROR((G44/SUMIF(B:B,B44,G:G))*VLOOKUP(B44,'DATOS GENERALES'!G:H,2,0),"")</f>
        <v>-2410182.6350859054</v>
      </c>
      <c r="J44" s="7">
        <f t="shared" si="3"/>
        <v>18850697.447834149</v>
      </c>
      <c r="K44" s="16"/>
      <c r="L44" s="16"/>
      <c r="M44" s="16"/>
    </row>
    <row r="45" spans="1:13" x14ac:dyDescent="0.25">
      <c r="A45" s="16">
        <v>1701</v>
      </c>
      <c r="B45" s="6">
        <v>43617</v>
      </c>
      <c r="C45" s="16" t="s">
        <v>195</v>
      </c>
      <c r="D45" s="7">
        <f>SUMIFS('DATOS PROYECCIÓN'!$F:$F,'DATOS PROYECCIÓN'!A:A,A45,'DATOS PROYECCIÓN'!B:B,B45)</f>
        <v>22497185.125</v>
      </c>
      <c r="E45" s="13">
        <f>VLOOKUP(A45,'DATOS GENERALES'!A:B,2,0)</f>
        <v>2.1800000000000002</v>
      </c>
      <c r="F45" s="16">
        <f t="shared" si="0"/>
        <v>2.169972</v>
      </c>
      <c r="G45" s="7">
        <f t="shared" si="1"/>
        <v>-10367500.191246707</v>
      </c>
      <c r="H45" s="7">
        <f t="shared" si="2"/>
        <v>12129684.933753293</v>
      </c>
      <c r="I45" s="7">
        <f>IFERROR((G45/SUMIF(B:B,B45,G:G))*VLOOKUP(B45,'DATOS GENERALES'!G:H,2,0),"")</f>
        <v>-1849119.1491638832</v>
      </c>
      <c r="J45" s="7">
        <f t="shared" si="3"/>
        <v>10280565.78458941</v>
      </c>
      <c r="K45" s="16"/>
      <c r="L45" s="16"/>
      <c r="M45" s="16"/>
    </row>
    <row r="46" spans="1:13" x14ac:dyDescent="0.25">
      <c r="A46" s="16">
        <v>1701</v>
      </c>
      <c r="B46" s="6">
        <v>43647</v>
      </c>
      <c r="C46" s="16" t="s">
        <v>195</v>
      </c>
      <c r="D46" s="7">
        <f>SUMIFS('DATOS PROYECCIÓN'!$F:$F,'DATOS PROYECCIÓN'!A:A,A46,'DATOS PROYECCIÓN'!B:B,B46)</f>
        <v>22497185.125</v>
      </c>
      <c r="E46" s="13">
        <f>VLOOKUP(A46,'DATOS GENERALES'!A:B,2,0)</f>
        <v>2.1800000000000002</v>
      </c>
      <c r="F46" s="16">
        <f t="shared" si="0"/>
        <v>2.169972</v>
      </c>
      <c r="G46" s="7">
        <f t="shared" si="1"/>
        <v>-10367500.191246707</v>
      </c>
      <c r="H46" s="7">
        <f t="shared" si="2"/>
        <v>12129684.933753293</v>
      </c>
      <c r="I46" s="7">
        <f>IFERROR((G46/SUMIF(B:B,B46,G:G))*VLOOKUP(B46,'DATOS GENERALES'!G:H,2,0),"")</f>
        <v>-2757582.1865895516</v>
      </c>
      <c r="J46" s="7">
        <f t="shared" si="3"/>
        <v>9372102.7471637409</v>
      </c>
      <c r="K46" s="16"/>
      <c r="L46" s="16"/>
      <c r="M46" s="16"/>
    </row>
    <row r="47" spans="1:13" x14ac:dyDescent="0.25">
      <c r="A47" s="16">
        <v>1701</v>
      </c>
      <c r="B47" s="6">
        <v>43678</v>
      </c>
      <c r="C47" s="16" t="s">
        <v>195</v>
      </c>
      <c r="D47" s="7">
        <f>SUMIFS('DATOS PROYECCIÓN'!$F:$F,'DATOS PROYECCIÓN'!A:A,A47,'DATOS PROYECCIÓN'!B:B,B47)</f>
        <v>22497185.125</v>
      </c>
      <c r="E47" s="13">
        <f>VLOOKUP(A47,'DATOS GENERALES'!A:B,2,0)</f>
        <v>2.1800000000000002</v>
      </c>
      <c r="F47" s="16">
        <f t="shared" si="0"/>
        <v>2.169972</v>
      </c>
      <c r="G47" s="7">
        <f t="shared" si="1"/>
        <v>-10367500.191246707</v>
      </c>
      <c r="H47" s="7">
        <f t="shared" si="2"/>
        <v>12129684.933753293</v>
      </c>
      <c r="I47" s="7">
        <f>IFERROR((G47/SUMIF(B:B,B47,G:G))*VLOOKUP(B47,'DATOS GENERALES'!G:H,2,0),"")</f>
        <v>-2713560.8497815686</v>
      </c>
      <c r="J47" s="7">
        <f t="shared" si="3"/>
        <v>9416124.0839717239</v>
      </c>
      <c r="K47" s="16"/>
      <c r="L47" s="16"/>
      <c r="M47" s="16"/>
    </row>
    <row r="48" spans="1:13" x14ac:dyDescent="0.25">
      <c r="A48" s="16">
        <v>1701</v>
      </c>
      <c r="B48" s="6">
        <v>43709</v>
      </c>
      <c r="C48" s="16" t="s">
        <v>195</v>
      </c>
      <c r="D48" s="7">
        <f>SUMIFS('DATOS PROYECCIÓN'!$F:$F,'DATOS PROYECCIÓN'!A:A,A48,'DATOS PROYECCIÓN'!B:B,B48)</f>
        <v>22497185.125</v>
      </c>
      <c r="E48" s="13">
        <f>VLOOKUP(A48,'DATOS GENERALES'!A:B,2,0)</f>
        <v>2.1800000000000002</v>
      </c>
      <c r="F48" s="16">
        <f t="shared" si="0"/>
        <v>2.169972</v>
      </c>
      <c r="G48" s="7">
        <f t="shared" si="1"/>
        <v>-10367500.191246707</v>
      </c>
      <c r="H48" s="7">
        <f t="shared" si="2"/>
        <v>12129684.933753293</v>
      </c>
      <c r="I48" s="7">
        <f>IFERROR((G48/SUMIF(B:B,B48,G:G))*VLOOKUP(B48,'DATOS GENERALES'!G:H,2,0),"")</f>
        <v>-3066793.3331104727</v>
      </c>
      <c r="J48" s="7">
        <f t="shared" si="3"/>
        <v>9062891.6006428208</v>
      </c>
      <c r="K48" s="16"/>
      <c r="L48" s="16"/>
      <c r="M48" s="16"/>
    </row>
    <row r="49" spans="1:13" x14ac:dyDescent="0.25">
      <c r="A49" s="16">
        <v>1701</v>
      </c>
      <c r="B49" s="6">
        <v>43739</v>
      </c>
      <c r="C49" s="16" t="s">
        <v>195</v>
      </c>
      <c r="D49" s="7">
        <f>SUMIFS('DATOS PROYECCIÓN'!$F:$F,'DATOS PROYECCIÓN'!A:A,A49,'DATOS PROYECCIÓN'!B:B,B49)</f>
        <v>22497185.125</v>
      </c>
      <c r="E49" s="13">
        <f>VLOOKUP(A49,'DATOS GENERALES'!A:B,2,0)</f>
        <v>2.1800000000000002</v>
      </c>
      <c r="F49" s="16">
        <f t="shared" si="0"/>
        <v>2.169972</v>
      </c>
      <c r="G49" s="7">
        <f t="shared" si="1"/>
        <v>-10367500.191246707</v>
      </c>
      <c r="H49" s="7">
        <f t="shared" si="2"/>
        <v>12129684.933753293</v>
      </c>
      <c r="I49" s="7">
        <f>IFERROR((G49/SUMIF(B:B,B49,G:G))*VLOOKUP(B49,'DATOS GENERALES'!G:H,2,0),"")</f>
        <v>-3316420.3151495298</v>
      </c>
      <c r="J49" s="7">
        <f t="shared" si="3"/>
        <v>8813264.6186037622</v>
      </c>
      <c r="K49" s="16"/>
      <c r="L49" s="16"/>
      <c r="M49" s="16"/>
    </row>
    <row r="50" spans="1:13" x14ac:dyDescent="0.25">
      <c r="A50" s="16">
        <v>1701</v>
      </c>
      <c r="B50" s="6">
        <v>43770</v>
      </c>
      <c r="C50" s="16" t="s">
        <v>195</v>
      </c>
      <c r="D50" s="7">
        <f>SUMIFS('DATOS PROYECCIÓN'!$F:$F,'DATOS PROYECCIÓN'!A:A,A50,'DATOS PROYECCIÓN'!B:B,B50)</f>
        <v>22497185.125</v>
      </c>
      <c r="E50" s="13">
        <f>VLOOKUP(A50,'DATOS GENERALES'!A:B,2,0)</f>
        <v>2.1800000000000002</v>
      </c>
      <c r="F50" s="16">
        <f t="shared" si="0"/>
        <v>2.169972</v>
      </c>
      <c r="G50" s="7">
        <f t="shared" si="1"/>
        <v>-10367500.191246707</v>
      </c>
      <c r="H50" s="7">
        <f t="shared" si="2"/>
        <v>12129684.933753293</v>
      </c>
      <c r="I50" s="7">
        <f>IFERROR((G50/SUMIF(B:B,B50,G:G))*VLOOKUP(B50,'DATOS GENERALES'!G:H,2,0),"")</f>
        <v>-4435467.9260641197</v>
      </c>
      <c r="J50" s="7">
        <f t="shared" si="3"/>
        <v>7694217.0076891733</v>
      </c>
      <c r="K50" s="16"/>
      <c r="L50" s="16"/>
      <c r="M50" s="16"/>
    </row>
    <row r="51" spans="1:13" x14ac:dyDescent="0.25">
      <c r="A51" s="16">
        <v>1701</v>
      </c>
      <c r="B51" s="6">
        <v>43800</v>
      </c>
      <c r="C51" s="16" t="s">
        <v>195</v>
      </c>
      <c r="D51" s="7">
        <f>SUMIFS('DATOS PROYECCIÓN'!$F:$F,'DATOS PROYECCIÓN'!A:A,A51,'DATOS PROYECCIÓN'!B:B,B51)</f>
        <v>22497185.125</v>
      </c>
      <c r="E51" s="13">
        <f>VLOOKUP(A51,'DATOS GENERALES'!A:B,2,0)</f>
        <v>2.1800000000000002</v>
      </c>
      <c r="F51" s="16">
        <f t="shared" si="0"/>
        <v>2.169972</v>
      </c>
      <c r="G51" s="7">
        <f t="shared" si="1"/>
        <v>-10367500.191246707</v>
      </c>
      <c r="H51" s="7">
        <f t="shared" si="2"/>
        <v>12129684.933753293</v>
      </c>
      <c r="I51" s="7">
        <f>IFERROR((G51/SUMIF(B:B,B51,G:G))*VLOOKUP(B51,'DATOS GENERALES'!G:H,2,0),"")</f>
        <v>-3734608.0804269849</v>
      </c>
      <c r="J51" s="7">
        <f t="shared" si="3"/>
        <v>8395076.8533263076</v>
      </c>
      <c r="K51" s="16"/>
      <c r="L51" s="16"/>
      <c r="M51" s="16"/>
    </row>
    <row r="52" spans="1:13" x14ac:dyDescent="0.25">
      <c r="A52" s="16">
        <v>1701</v>
      </c>
      <c r="B52" s="6">
        <v>43831</v>
      </c>
      <c r="C52" s="16" t="s">
        <v>195</v>
      </c>
      <c r="D52" s="7">
        <f>SUMIFS('DATOS PROYECCIÓN'!$F:$F,'DATOS PROYECCIÓN'!A:A,A52,'DATOS PROYECCIÓN'!B:B,B52)</f>
        <v>3497185.125</v>
      </c>
      <c r="E52" s="13">
        <f>VLOOKUP(A52,'DATOS GENERALES'!A:B,2,0)</f>
        <v>2.1800000000000002</v>
      </c>
      <c r="F52" s="16">
        <f t="shared" si="0"/>
        <v>2.169972</v>
      </c>
      <c r="G52" s="7">
        <f t="shared" si="1"/>
        <v>-1611626.8435721751</v>
      </c>
      <c r="H52" s="7">
        <f t="shared" si="2"/>
        <v>1885558.2814278249</v>
      </c>
      <c r="I52" s="7" t="str">
        <f>IFERROR((G52/SUMIF(B:B,B52,G:G))*VLOOKUP(B52,'DATOS GENERALES'!G:H,2,0),"")</f>
        <v/>
      </c>
      <c r="J52" s="7" t="str">
        <f t="shared" si="3"/>
        <v/>
      </c>
      <c r="K52" s="16"/>
      <c r="L52" s="16"/>
      <c r="M52" s="16"/>
    </row>
    <row r="53" spans="1:13" x14ac:dyDescent="0.25">
      <c r="A53" s="16">
        <v>1751</v>
      </c>
      <c r="B53" s="6">
        <v>43466</v>
      </c>
      <c r="C53" s="16" t="s">
        <v>195</v>
      </c>
      <c r="D53" s="7">
        <f>SUMIFS('DATOS PROYECCIÓN'!$F:$F,'DATOS PROYECCIÓN'!A:A,A53,'DATOS PROYECCIÓN'!B:B,B53)</f>
        <v>28006691.09375</v>
      </c>
      <c r="E53" s="13">
        <f>VLOOKUP(A53,'DATOS GENERALES'!A:B,2,0)</f>
        <v>2</v>
      </c>
      <c r="F53" s="16">
        <f t="shared" si="0"/>
        <v>1.9907999999999999</v>
      </c>
      <c r="G53" s="7">
        <f t="shared" si="1"/>
        <v>-14068058.616510952</v>
      </c>
      <c r="H53" s="7">
        <f t="shared" si="2"/>
        <v>13938632.477239048</v>
      </c>
      <c r="I53" s="7">
        <f>IFERROR((G53/SUMIF(B:B,B53,G:G))*VLOOKUP(B53,'DATOS GENERALES'!G:H,2,0),"")</f>
        <v>-3086790.1357475691</v>
      </c>
      <c r="J53" s="7">
        <f t="shared" si="3"/>
        <v>10851842.341491479</v>
      </c>
      <c r="K53" s="16"/>
      <c r="L53" s="16"/>
      <c r="M53" s="16"/>
    </row>
    <row r="54" spans="1:13" x14ac:dyDescent="0.25">
      <c r="A54" s="16">
        <v>1751</v>
      </c>
      <c r="B54" s="6">
        <v>43497</v>
      </c>
      <c r="C54" s="16" t="s">
        <v>195</v>
      </c>
      <c r="D54" s="7">
        <f>SUMIFS('DATOS PROYECCIÓN'!$F:$F,'DATOS PROYECCIÓN'!A:A,A54,'DATOS PROYECCIÓN'!B:B,B54)</f>
        <v>28006691.09375</v>
      </c>
      <c r="E54" s="13">
        <f>VLOOKUP(A54,'DATOS GENERALES'!A:B,2,0)</f>
        <v>2</v>
      </c>
      <c r="F54" s="16">
        <f t="shared" si="0"/>
        <v>1.9907999999999999</v>
      </c>
      <c r="G54" s="7">
        <f t="shared" si="1"/>
        <v>-14068058.616510952</v>
      </c>
      <c r="H54" s="7">
        <f t="shared" si="2"/>
        <v>13938632.477239048</v>
      </c>
      <c r="I54" s="7">
        <f>IFERROR((G54/SUMIF(B:B,B54,G:G))*VLOOKUP(B54,'DATOS GENERALES'!G:H,2,0),"")</f>
        <v>-3040921.2681568344</v>
      </c>
      <c r="J54" s="7">
        <f t="shared" si="3"/>
        <v>10897711.209082214</v>
      </c>
      <c r="K54" s="16"/>
      <c r="L54" s="16"/>
      <c r="M54" s="16"/>
    </row>
    <row r="55" spans="1:13" x14ac:dyDescent="0.25">
      <c r="A55" s="16">
        <v>1758</v>
      </c>
      <c r="B55" s="6">
        <v>43466</v>
      </c>
      <c r="C55" s="16" t="s">
        <v>195</v>
      </c>
      <c r="D55" s="7">
        <f>SUMIFS('DATOS PROYECCIÓN'!$F:$F,'DATOS PROYECCIÓN'!A:A,A55,'DATOS PROYECCIÓN'!B:B,B55)</f>
        <v>39944033.964749999</v>
      </c>
      <c r="E55" s="13">
        <f>VLOOKUP(A55,'DATOS GENERALES'!A:B,2,0)</f>
        <v>2.4300000000000002</v>
      </c>
      <c r="F55" s="16">
        <f t="shared" si="0"/>
        <v>2.418822</v>
      </c>
      <c r="G55" s="7">
        <f t="shared" si="1"/>
        <v>-16513837.713047922</v>
      </c>
      <c r="H55" s="7">
        <f t="shared" si="2"/>
        <v>23430196.251702078</v>
      </c>
      <c r="I55" s="7">
        <f>IFERROR((G55/SUMIF(B:B,B55,G:G))*VLOOKUP(B55,'DATOS GENERALES'!G:H,2,0),"")</f>
        <v>-3623438.936780239</v>
      </c>
      <c r="J55" s="7">
        <f t="shared" si="3"/>
        <v>19806757.314921837</v>
      </c>
      <c r="K55" s="16"/>
      <c r="L55" s="16"/>
      <c r="M55" s="16"/>
    </row>
    <row r="56" spans="1:13" x14ac:dyDescent="0.25">
      <c r="A56" s="16">
        <v>1758</v>
      </c>
      <c r="B56" s="6">
        <v>43497</v>
      </c>
      <c r="C56" s="16" t="s">
        <v>195</v>
      </c>
      <c r="D56" s="7">
        <f>SUMIFS('DATOS PROYECCIÓN'!$F:$F,'DATOS PROYECCIÓN'!A:A,A56,'DATOS PROYECCIÓN'!B:B,B56)</f>
        <v>39944033.964749999</v>
      </c>
      <c r="E56" s="13">
        <f>VLOOKUP(A56,'DATOS GENERALES'!A:B,2,0)</f>
        <v>2.4300000000000002</v>
      </c>
      <c r="F56" s="16">
        <f t="shared" si="0"/>
        <v>2.418822</v>
      </c>
      <c r="G56" s="7">
        <f t="shared" si="1"/>
        <v>-16513837.713047922</v>
      </c>
      <c r="H56" s="7">
        <f t="shared" si="2"/>
        <v>23430196.251702078</v>
      </c>
      <c r="I56" s="7">
        <f>IFERROR((G56/SUMIF(B:B,B56,G:G))*VLOOKUP(B56,'DATOS GENERALES'!G:H,2,0),"")</f>
        <v>-3569595.612969683</v>
      </c>
      <c r="J56" s="7">
        <f t="shared" si="3"/>
        <v>19860600.638732396</v>
      </c>
      <c r="K56" s="16"/>
      <c r="L56" s="16"/>
      <c r="M56" s="16"/>
    </row>
    <row r="57" spans="1:13" x14ac:dyDescent="0.25">
      <c r="A57" s="16">
        <v>1758</v>
      </c>
      <c r="B57" s="6">
        <v>43525</v>
      </c>
      <c r="C57" s="16" t="s">
        <v>195</v>
      </c>
      <c r="D57" s="7">
        <f>SUMIFS('DATOS PROYECCIÓN'!$F:$F,'DATOS PROYECCIÓN'!A:A,A57,'DATOS PROYECCIÓN'!B:B,B57)</f>
        <v>39944033.964749999</v>
      </c>
      <c r="E57" s="13">
        <f>VLOOKUP(A57,'DATOS GENERALES'!A:B,2,0)</f>
        <v>2.4300000000000002</v>
      </c>
      <c r="F57" s="16">
        <f t="shared" si="0"/>
        <v>2.418822</v>
      </c>
      <c r="G57" s="7">
        <f t="shared" si="1"/>
        <v>-16513837.713047922</v>
      </c>
      <c r="H57" s="7">
        <f t="shared" si="2"/>
        <v>23430196.251702078</v>
      </c>
      <c r="I57" s="7">
        <f>IFERROR((G57/SUMIF(B:B,B57,G:G))*VLOOKUP(B57,'DATOS GENERALES'!G:H,2,0),"")</f>
        <v>-2582558.1527609117</v>
      </c>
      <c r="J57" s="7">
        <f t="shared" si="3"/>
        <v>20847638.098941166</v>
      </c>
      <c r="K57" s="16"/>
      <c r="L57" s="16"/>
      <c r="M57" s="16"/>
    </row>
    <row r="58" spans="1:13" x14ac:dyDescent="0.25">
      <c r="A58" s="16">
        <v>1758</v>
      </c>
      <c r="B58" s="6">
        <v>43556</v>
      </c>
      <c r="C58" s="16" t="s">
        <v>195</v>
      </c>
      <c r="D58" s="7">
        <f>SUMIFS('DATOS PROYECCIÓN'!$F:$F,'DATOS PROYECCIÓN'!A:A,A58,'DATOS PROYECCIÓN'!B:B,B58)</f>
        <v>39944033.964749999</v>
      </c>
      <c r="E58" s="13">
        <f>VLOOKUP(A58,'DATOS GENERALES'!A:B,2,0)</f>
        <v>2.4300000000000002</v>
      </c>
      <c r="F58" s="16">
        <f t="shared" si="0"/>
        <v>2.418822</v>
      </c>
      <c r="G58" s="7">
        <f t="shared" si="1"/>
        <v>-16513837.713047922</v>
      </c>
      <c r="H58" s="7">
        <f t="shared" si="2"/>
        <v>23430196.251702078</v>
      </c>
      <c r="I58" s="7">
        <f>IFERROR((G58/SUMIF(B:B,B58,G:G))*VLOOKUP(B58,'DATOS GENERALES'!G:H,2,0),"")</f>
        <v>-2655064.4237320344</v>
      </c>
      <c r="J58" s="7">
        <f t="shared" si="3"/>
        <v>20775131.827970043</v>
      </c>
      <c r="K58" s="16"/>
      <c r="L58" s="16"/>
      <c r="M58" s="16"/>
    </row>
    <row r="59" spans="1:13" x14ac:dyDescent="0.25">
      <c r="A59" s="16">
        <v>1758</v>
      </c>
      <c r="B59" s="6">
        <v>43586</v>
      </c>
      <c r="C59" s="16" t="s">
        <v>195</v>
      </c>
      <c r="D59" s="7">
        <f>SUMIFS('DATOS PROYECCIÓN'!$F:$F,'DATOS PROYECCIÓN'!A:A,A59,'DATOS PROYECCIÓN'!B:B,B59)</f>
        <v>39944033.964749999</v>
      </c>
      <c r="E59" s="13">
        <f>VLOOKUP(A59,'DATOS GENERALES'!A:B,2,0)</f>
        <v>2.4300000000000002</v>
      </c>
      <c r="F59" s="16">
        <f t="shared" si="0"/>
        <v>2.418822</v>
      </c>
      <c r="G59" s="7">
        <f t="shared" si="1"/>
        <v>-16513837.713047922</v>
      </c>
      <c r="H59" s="7">
        <f t="shared" si="2"/>
        <v>23430196.251702078</v>
      </c>
      <c r="I59" s="7">
        <f>IFERROR((G59/SUMIF(B:B,B59,G:G))*VLOOKUP(B59,'DATOS GENERALES'!G:H,2,0),"")</f>
        <v>-2190242.4691201532</v>
      </c>
      <c r="J59" s="7">
        <f t="shared" si="3"/>
        <v>21239953.782581925</v>
      </c>
      <c r="K59" s="16"/>
      <c r="L59" s="16"/>
      <c r="M59" s="16"/>
    </row>
    <row r="60" spans="1:13" x14ac:dyDescent="0.25">
      <c r="A60" s="16">
        <v>1758</v>
      </c>
      <c r="B60" s="6">
        <v>43617</v>
      </c>
      <c r="C60" s="16" t="s">
        <v>195</v>
      </c>
      <c r="D60" s="7">
        <f>SUMIFS('DATOS PROYECCIÓN'!$F:$F,'DATOS PROYECCIÓN'!A:A,A60,'DATOS PROYECCIÓN'!B:B,B60)</f>
        <v>39944033.964749999</v>
      </c>
      <c r="E60" s="13">
        <f>VLOOKUP(A60,'DATOS GENERALES'!A:B,2,0)</f>
        <v>2.4300000000000002</v>
      </c>
      <c r="F60" s="16">
        <f t="shared" si="0"/>
        <v>2.418822</v>
      </c>
      <c r="G60" s="7">
        <f t="shared" si="1"/>
        <v>-16513837.713047922</v>
      </c>
      <c r="H60" s="7">
        <f t="shared" si="2"/>
        <v>23430196.251702078</v>
      </c>
      <c r="I60" s="7">
        <f>IFERROR((G60/SUMIF(B:B,B60,G:G))*VLOOKUP(B60,'DATOS GENERALES'!G:H,2,0),"")</f>
        <v>-2945363.2002016502</v>
      </c>
      <c r="J60" s="7">
        <f t="shared" si="3"/>
        <v>20484833.051500428</v>
      </c>
      <c r="K60" s="16"/>
      <c r="L60" s="16"/>
      <c r="M60" s="16"/>
    </row>
    <row r="61" spans="1:13" x14ac:dyDescent="0.25">
      <c r="A61" s="16">
        <v>1758</v>
      </c>
      <c r="B61" s="6">
        <v>43647</v>
      </c>
      <c r="C61" s="16" t="s">
        <v>195</v>
      </c>
      <c r="D61" s="7">
        <f>SUMIFS('DATOS PROYECCIÓN'!$F:$F,'DATOS PROYECCIÓN'!A:A,A61,'DATOS PROYECCIÓN'!B:B,B61)</f>
        <v>39944033.964749999</v>
      </c>
      <c r="E61" s="13">
        <f>VLOOKUP(A61,'DATOS GENERALES'!A:B,2,0)</f>
        <v>2.4300000000000002</v>
      </c>
      <c r="F61" s="16">
        <f t="shared" si="0"/>
        <v>2.418822</v>
      </c>
      <c r="G61" s="7">
        <f t="shared" si="1"/>
        <v>-16513837.713047922</v>
      </c>
      <c r="H61" s="7">
        <f t="shared" si="2"/>
        <v>23430196.251702078</v>
      </c>
      <c r="I61" s="7">
        <f>IFERROR((G61/SUMIF(B:B,B61,G:G))*VLOOKUP(B61,'DATOS GENERALES'!G:H,2,0),"")</f>
        <v>-4392405.4853820689</v>
      </c>
      <c r="J61" s="7">
        <f t="shared" si="3"/>
        <v>19037790.766320009</v>
      </c>
      <c r="K61" s="16"/>
      <c r="L61" s="16"/>
      <c r="M61" s="16"/>
    </row>
    <row r="62" spans="1:13" x14ac:dyDescent="0.25">
      <c r="A62" s="16">
        <v>1758</v>
      </c>
      <c r="B62" s="6">
        <v>43678</v>
      </c>
      <c r="C62" s="16" t="s">
        <v>195</v>
      </c>
      <c r="D62" s="7">
        <f>SUMIFS('DATOS PROYECCIÓN'!$F:$F,'DATOS PROYECCIÓN'!A:A,A62,'DATOS PROYECCIÓN'!B:B,B62)</f>
        <v>39944033.964749999</v>
      </c>
      <c r="E62" s="13">
        <f>VLOOKUP(A62,'DATOS GENERALES'!A:B,2,0)</f>
        <v>2.4300000000000002</v>
      </c>
      <c r="F62" s="16">
        <f t="shared" si="0"/>
        <v>2.418822</v>
      </c>
      <c r="G62" s="7">
        <f t="shared" si="1"/>
        <v>-16513837.713047922</v>
      </c>
      <c r="H62" s="7">
        <f t="shared" si="2"/>
        <v>23430196.251702078</v>
      </c>
      <c r="I62" s="7">
        <f>IFERROR((G62/SUMIF(B:B,B62,G:G))*VLOOKUP(B62,'DATOS GENERALES'!G:H,2,0),"")</f>
        <v>-4322286.2475187099</v>
      </c>
      <c r="J62" s="7">
        <f t="shared" si="3"/>
        <v>19107910.004183367</v>
      </c>
      <c r="K62" s="16"/>
      <c r="L62" s="16"/>
      <c r="M62" s="16"/>
    </row>
    <row r="63" spans="1:13" x14ac:dyDescent="0.25">
      <c r="A63" s="16">
        <v>1758</v>
      </c>
      <c r="B63" s="6">
        <v>43709</v>
      </c>
      <c r="C63" s="16" t="s">
        <v>195</v>
      </c>
      <c r="D63" s="7">
        <f>SUMIFS('DATOS PROYECCIÓN'!$F:$F,'DATOS PROYECCIÓN'!A:A,A63,'DATOS PROYECCIÓN'!B:B,B63)</f>
        <v>39944033.964749999</v>
      </c>
      <c r="E63" s="13">
        <f>VLOOKUP(A63,'DATOS GENERALES'!A:B,2,0)</f>
        <v>2.4300000000000002</v>
      </c>
      <c r="F63" s="16">
        <f t="shared" si="0"/>
        <v>2.418822</v>
      </c>
      <c r="G63" s="7">
        <f t="shared" si="1"/>
        <v>-16513837.713047922</v>
      </c>
      <c r="H63" s="7">
        <f t="shared" si="2"/>
        <v>23430196.251702078</v>
      </c>
      <c r="I63" s="7">
        <f>IFERROR((G63/SUMIF(B:B,B63,G:G))*VLOOKUP(B63,'DATOS GENERALES'!G:H,2,0),"")</f>
        <v>-4884931.41723816</v>
      </c>
      <c r="J63" s="7">
        <f t="shared" si="3"/>
        <v>18545264.834463917</v>
      </c>
      <c r="K63" s="16"/>
      <c r="L63" s="16"/>
      <c r="M63" s="16"/>
    </row>
    <row r="64" spans="1:13" x14ac:dyDescent="0.25">
      <c r="A64" s="16">
        <v>1758</v>
      </c>
      <c r="B64" s="6">
        <v>43739</v>
      </c>
      <c r="C64" s="16" t="s">
        <v>195</v>
      </c>
      <c r="D64" s="7">
        <f>SUMIFS('DATOS PROYECCIÓN'!$F:$F,'DATOS PROYECCIÓN'!A:A,A64,'DATOS PROYECCIÓN'!B:B,B64)</f>
        <v>39944033.964749999</v>
      </c>
      <c r="E64" s="13">
        <f>VLOOKUP(A64,'DATOS GENERALES'!A:B,2,0)</f>
        <v>2.4300000000000002</v>
      </c>
      <c r="F64" s="16">
        <f t="shared" si="0"/>
        <v>2.418822</v>
      </c>
      <c r="G64" s="7">
        <f t="shared" si="1"/>
        <v>-16513837.713047922</v>
      </c>
      <c r="H64" s="7">
        <f t="shared" si="2"/>
        <v>23430196.251702078</v>
      </c>
      <c r="I64" s="7">
        <f>IFERROR((G64/SUMIF(B:B,B64,G:G))*VLOOKUP(B64,'DATOS GENERALES'!G:H,2,0),"")</f>
        <v>-5282548.9136594646</v>
      </c>
      <c r="J64" s="7">
        <f t="shared" si="3"/>
        <v>18147647.338042613</v>
      </c>
      <c r="K64" s="16"/>
      <c r="L64" s="16"/>
      <c r="M64" s="16"/>
    </row>
    <row r="65" spans="1:13" x14ac:dyDescent="0.25">
      <c r="A65" s="16">
        <v>1758</v>
      </c>
      <c r="B65" s="6">
        <v>43770</v>
      </c>
      <c r="C65" s="16" t="s">
        <v>195</v>
      </c>
      <c r="D65" s="7">
        <f>SUMIFS('DATOS PROYECCIÓN'!$F:$F,'DATOS PROYECCIÓN'!A:A,A65,'DATOS PROYECCIÓN'!B:B,B65)</f>
        <v>39944033.964749999</v>
      </c>
      <c r="E65" s="13">
        <f>VLOOKUP(A65,'DATOS GENERALES'!A:B,2,0)</f>
        <v>2.4300000000000002</v>
      </c>
      <c r="F65" s="16">
        <f t="shared" si="0"/>
        <v>2.418822</v>
      </c>
      <c r="G65" s="7">
        <f t="shared" si="1"/>
        <v>-16513837.713047922</v>
      </c>
      <c r="H65" s="7">
        <f t="shared" si="2"/>
        <v>23430196.251702078</v>
      </c>
      <c r="I65" s="7">
        <f>IFERROR((G65/SUMIF(B:B,B65,G:G))*VLOOKUP(B65,'DATOS GENERALES'!G:H,2,0),"")</f>
        <v>-7065020.1264808578</v>
      </c>
      <c r="J65" s="7">
        <f t="shared" si="3"/>
        <v>16365176.125221219</v>
      </c>
      <c r="K65" s="16"/>
      <c r="L65" s="16"/>
      <c r="M65" s="16"/>
    </row>
    <row r="66" spans="1:13" x14ac:dyDescent="0.25">
      <c r="A66" s="16">
        <v>1758</v>
      </c>
      <c r="B66" s="6">
        <v>43800</v>
      </c>
      <c r="C66" s="16" t="s">
        <v>195</v>
      </c>
      <c r="D66" s="7">
        <f>SUMIFS('DATOS PROYECCIÓN'!$F:$F,'DATOS PROYECCIÓN'!A:A,A66,'DATOS PROYECCIÓN'!B:B,B66)</f>
        <v>39944033.964749999</v>
      </c>
      <c r="E66" s="13">
        <f>VLOOKUP(A66,'DATOS GENERALES'!A:B,2,0)</f>
        <v>2.4300000000000002</v>
      </c>
      <c r="F66" s="16">
        <f t="shared" ref="F66:F129" si="4">E66*0.9954</f>
        <v>2.418822</v>
      </c>
      <c r="G66" s="7">
        <f t="shared" ref="G66:G129" si="5">-D66/F66</f>
        <v>-16513837.713047922</v>
      </c>
      <c r="H66" s="7">
        <f t="shared" ref="H66:H129" si="6">D66+G66</f>
        <v>23430196.251702078</v>
      </c>
      <c r="I66" s="7">
        <f>IFERROR((G66/SUMIF(B:B,B66,G:G))*VLOOKUP(B66,'DATOS GENERALES'!G:H,2,0),"")</f>
        <v>-5948657.8851552848</v>
      </c>
      <c r="J66" s="7">
        <f t="shared" si="3"/>
        <v>17481538.366546795</v>
      </c>
      <c r="K66" s="16"/>
      <c r="L66" s="16"/>
      <c r="M66" s="16"/>
    </row>
    <row r="67" spans="1:13" x14ac:dyDescent="0.25">
      <c r="A67" s="16">
        <v>1789</v>
      </c>
      <c r="B67" s="6">
        <v>43466</v>
      </c>
      <c r="C67" s="16" t="s">
        <v>195</v>
      </c>
      <c r="D67" s="7">
        <f>SUMIFS('DATOS PROYECCIÓN'!$F:$F,'DATOS PROYECCIÓN'!A:A,A67,'DATOS PROYECCIÓN'!B:B,B67)</f>
        <v>43502787.700000003</v>
      </c>
      <c r="E67" s="13">
        <f>VLOOKUP(A67,'DATOS GENERALES'!A:B,2,0)</f>
        <v>1.45</v>
      </c>
      <c r="F67" s="16">
        <f t="shared" si="4"/>
        <v>1.4433299999999998</v>
      </c>
      <c r="G67" s="7">
        <f t="shared" si="5"/>
        <v>-30140569.169905711</v>
      </c>
      <c r="H67" s="7">
        <f t="shared" si="6"/>
        <v>13362218.530094292</v>
      </c>
      <c r="I67" s="7">
        <f>IFERROR((G67/SUMIF(B:B,B67,G:G))*VLOOKUP(B67,'DATOS GENERALES'!G:H,2,0),"")</f>
        <v>-6613393.7976551233</v>
      </c>
      <c r="J67" s="7">
        <f t="shared" ref="J67:J130" si="7">IFERROR(H67+I67,"")</f>
        <v>6748824.7324391687</v>
      </c>
      <c r="K67" s="16"/>
      <c r="L67" s="16"/>
      <c r="M67" s="16"/>
    </row>
    <row r="68" spans="1:13" x14ac:dyDescent="0.25">
      <c r="A68" s="16">
        <v>1802</v>
      </c>
      <c r="B68" s="6">
        <v>43466</v>
      </c>
      <c r="C68" s="16" t="s">
        <v>195</v>
      </c>
      <c r="D68" s="7">
        <f>SUMIFS('DATOS PROYECCIÓN'!$F:$F,'DATOS PROYECCIÓN'!A:A,A68,'DATOS PROYECCIÓN'!B:B,B68)</f>
        <v>53929329.834749997</v>
      </c>
      <c r="E68" s="13">
        <f>VLOOKUP(A68,'DATOS GENERALES'!A:B,2,0)</f>
        <v>1.95</v>
      </c>
      <c r="F68" s="16">
        <f t="shared" si="4"/>
        <v>1.9410299999999998</v>
      </c>
      <c r="G68" s="7">
        <f t="shared" si="5"/>
        <v>-27783872.394939803</v>
      </c>
      <c r="H68" s="7">
        <f t="shared" si="6"/>
        <v>26145457.439810194</v>
      </c>
      <c r="I68" s="7">
        <f>IFERROR((G68/SUMIF(B:B,B68,G:G))*VLOOKUP(B68,'DATOS GENERALES'!G:H,2,0),"")</f>
        <v>-6096291.2921697525</v>
      </c>
      <c r="J68" s="7">
        <f t="shared" si="7"/>
        <v>20049166.147640441</v>
      </c>
      <c r="K68" s="16"/>
      <c r="L68" s="16"/>
      <c r="M68" s="16"/>
    </row>
    <row r="69" spans="1:13" x14ac:dyDescent="0.25">
      <c r="A69" s="16">
        <v>1802</v>
      </c>
      <c r="B69" s="6">
        <v>43497</v>
      </c>
      <c r="C69" s="16" t="s">
        <v>195</v>
      </c>
      <c r="D69" s="7">
        <f>SUMIFS('DATOS PROYECCIÓN'!$F:$F,'DATOS PROYECCIÓN'!A:A,A69,'DATOS PROYECCIÓN'!B:B,B69)</f>
        <v>53929329.834749997</v>
      </c>
      <c r="E69" s="13">
        <f>VLOOKUP(A69,'DATOS GENERALES'!A:B,2,0)</f>
        <v>1.95</v>
      </c>
      <c r="F69" s="16">
        <f t="shared" si="4"/>
        <v>1.9410299999999998</v>
      </c>
      <c r="G69" s="7">
        <f t="shared" si="5"/>
        <v>-27783872.394939803</v>
      </c>
      <c r="H69" s="7">
        <f t="shared" si="6"/>
        <v>26145457.439810194</v>
      </c>
      <c r="I69" s="7">
        <f>IFERROR((G69/SUMIF(B:B,B69,G:G))*VLOOKUP(B69,'DATOS GENERALES'!G:H,2,0),"")</f>
        <v>-6005702.0503431903</v>
      </c>
      <c r="J69" s="7">
        <f t="shared" si="7"/>
        <v>20139755.389467005</v>
      </c>
      <c r="K69" s="16"/>
      <c r="L69" s="16"/>
      <c r="M69" s="16"/>
    </row>
    <row r="70" spans="1:13" x14ac:dyDescent="0.25">
      <c r="A70" s="16">
        <v>1802</v>
      </c>
      <c r="B70" s="6">
        <v>43525</v>
      </c>
      <c r="C70" s="16" t="s">
        <v>195</v>
      </c>
      <c r="D70" s="7">
        <f>SUMIFS('DATOS PROYECCIÓN'!$F:$F,'DATOS PROYECCIÓN'!A:A,A70,'DATOS PROYECCIÓN'!B:B,B70)</f>
        <v>53929329.834749997</v>
      </c>
      <c r="E70" s="13">
        <f>VLOOKUP(A70,'DATOS GENERALES'!A:B,2,0)</f>
        <v>1.95</v>
      </c>
      <c r="F70" s="16">
        <f t="shared" si="4"/>
        <v>1.9410299999999998</v>
      </c>
      <c r="G70" s="7">
        <f t="shared" si="5"/>
        <v>-27783872.394939803</v>
      </c>
      <c r="H70" s="7">
        <f t="shared" si="6"/>
        <v>26145457.439810194</v>
      </c>
      <c r="I70" s="7">
        <f>IFERROR((G70/SUMIF(B:B,B70,G:G))*VLOOKUP(B70,'DATOS GENERALES'!G:H,2,0),"")</f>
        <v>-4345050.9454944413</v>
      </c>
      <c r="J70" s="7">
        <f t="shared" si="7"/>
        <v>21800406.494315751</v>
      </c>
      <c r="K70" s="16"/>
      <c r="L70" s="16"/>
      <c r="M70" s="16"/>
    </row>
    <row r="71" spans="1:13" x14ac:dyDescent="0.25">
      <c r="A71" s="16">
        <v>1802</v>
      </c>
      <c r="B71" s="6">
        <v>43556</v>
      </c>
      <c r="C71" s="16" t="s">
        <v>195</v>
      </c>
      <c r="D71" s="7">
        <f>SUMIFS('DATOS PROYECCIÓN'!$F:$F,'DATOS PROYECCIÓN'!A:A,A71,'DATOS PROYECCIÓN'!B:B,B71)</f>
        <v>53929329.834749997</v>
      </c>
      <c r="E71" s="13">
        <f>VLOOKUP(A71,'DATOS GENERALES'!A:B,2,0)</f>
        <v>1.95</v>
      </c>
      <c r="F71" s="16">
        <f t="shared" si="4"/>
        <v>1.9410299999999998</v>
      </c>
      <c r="G71" s="7">
        <f t="shared" si="5"/>
        <v>-27783872.394939803</v>
      </c>
      <c r="H71" s="7">
        <f t="shared" si="6"/>
        <v>26145457.439810194</v>
      </c>
      <c r="I71" s="7">
        <f>IFERROR((G71/SUMIF(B:B,B71,G:G))*VLOOKUP(B71,'DATOS GENERALES'!G:H,2,0),"")</f>
        <v>-4467039.8505266672</v>
      </c>
      <c r="J71" s="7">
        <f t="shared" si="7"/>
        <v>21678417.589283526</v>
      </c>
      <c r="K71" s="16"/>
      <c r="L71" s="16"/>
      <c r="M71" s="16"/>
    </row>
    <row r="72" spans="1:13" x14ac:dyDescent="0.25">
      <c r="A72" s="16">
        <v>1802</v>
      </c>
      <c r="B72" s="6">
        <v>43586</v>
      </c>
      <c r="C72" s="16" t="s">
        <v>195</v>
      </c>
      <c r="D72" s="7">
        <f>SUMIFS('DATOS PROYECCIÓN'!$F:$F,'DATOS PROYECCIÓN'!A:A,A72,'DATOS PROYECCIÓN'!B:B,B72)</f>
        <v>53929329.834749997</v>
      </c>
      <c r="E72" s="13">
        <f>VLOOKUP(A72,'DATOS GENERALES'!A:B,2,0)</f>
        <v>1.95</v>
      </c>
      <c r="F72" s="16">
        <f t="shared" si="4"/>
        <v>1.9410299999999998</v>
      </c>
      <c r="G72" s="7">
        <f t="shared" si="5"/>
        <v>-27783872.394939803</v>
      </c>
      <c r="H72" s="7">
        <f t="shared" si="6"/>
        <v>26145457.439810194</v>
      </c>
      <c r="I72" s="7">
        <f>IFERROR((G72/SUMIF(B:B,B72,G:G))*VLOOKUP(B72,'DATOS GENERALES'!G:H,2,0),"")</f>
        <v>-3684995.4767286275</v>
      </c>
      <c r="J72" s="7">
        <f t="shared" si="7"/>
        <v>22460461.963081568</v>
      </c>
      <c r="K72" s="16"/>
      <c r="L72" s="16"/>
      <c r="M72" s="16"/>
    </row>
    <row r="73" spans="1:13" x14ac:dyDescent="0.25">
      <c r="A73" s="16">
        <v>1802</v>
      </c>
      <c r="B73" s="6">
        <v>43617</v>
      </c>
      <c r="C73" s="16" t="s">
        <v>195</v>
      </c>
      <c r="D73" s="7">
        <f>SUMIFS('DATOS PROYECCIÓN'!$F:$F,'DATOS PROYECCIÓN'!A:A,A73,'DATOS PROYECCIÓN'!B:B,B73)</f>
        <v>53929329.834749997</v>
      </c>
      <c r="E73" s="13">
        <f>VLOOKUP(A73,'DATOS GENERALES'!A:B,2,0)</f>
        <v>1.95</v>
      </c>
      <c r="F73" s="16">
        <f t="shared" si="4"/>
        <v>1.9410299999999998</v>
      </c>
      <c r="G73" s="7">
        <f t="shared" si="5"/>
        <v>-27783872.394939803</v>
      </c>
      <c r="H73" s="7">
        <f t="shared" si="6"/>
        <v>26145457.439810194</v>
      </c>
      <c r="I73" s="7">
        <f>IFERROR((G73/SUMIF(B:B,B73,G:G))*VLOOKUP(B73,'DATOS GENERALES'!G:H,2,0),"")</f>
        <v>-4955455.9474988524</v>
      </c>
      <c r="J73" s="7">
        <f t="shared" si="7"/>
        <v>21190001.492311344</v>
      </c>
      <c r="K73" s="16"/>
      <c r="L73" s="16"/>
      <c r="M73" s="16"/>
    </row>
    <row r="74" spans="1:13" x14ac:dyDescent="0.25">
      <c r="A74" s="16">
        <v>1802</v>
      </c>
      <c r="B74" s="6">
        <v>43647</v>
      </c>
      <c r="C74" s="16" t="s">
        <v>195</v>
      </c>
      <c r="D74" s="7">
        <f>SUMIFS('DATOS PROYECCIÓN'!$F:$F,'DATOS PROYECCIÓN'!A:A,A74,'DATOS PROYECCIÓN'!B:B,B74)</f>
        <v>53929329.834749997</v>
      </c>
      <c r="E74" s="13">
        <f>VLOOKUP(A74,'DATOS GENERALES'!A:B,2,0)</f>
        <v>1.95</v>
      </c>
      <c r="F74" s="16">
        <f t="shared" si="4"/>
        <v>1.9410299999999998</v>
      </c>
      <c r="G74" s="7">
        <f t="shared" si="5"/>
        <v>-27783872.394939803</v>
      </c>
      <c r="H74" s="7">
        <f t="shared" si="6"/>
        <v>26145457.439810194</v>
      </c>
      <c r="I74" s="7">
        <f>IFERROR((G74/SUMIF(B:B,B74,G:G))*VLOOKUP(B74,'DATOS GENERALES'!G:H,2,0),"")</f>
        <v>-7390046.7979205279</v>
      </c>
      <c r="J74" s="7">
        <f t="shared" si="7"/>
        <v>18755410.641889665</v>
      </c>
      <c r="K74" s="16"/>
      <c r="L74" s="16"/>
      <c r="M74" s="16"/>
    </row>
    <row r="75" spans="1:13" x14ac:dyDescent="0.25">
      <c r="A75" s="16">
        <v>1802</v>
      </c>
      <c r="B75" s="6">
        <v>43678</v>
      </c>
      <c r="C75" s="16" t="s">
        <v>195</v>
      </c>
      <c r="D75" s="7">
        <f>SUMIFS('DATOS PROYECCIÓN'!$F:$F,'DATOS PROYECCIÓN'!A:A,A75,'DATOS PROYECCIÓN'!B:B,B75)</f>
        <v>45341011.5</v>
      </c>
      <c r="E75" s="13">
        <f>VLOOKUP(A75,'DATOS GENERALES'!A:B,2,0)</f>
        <v>1.95</v>
      </c>
      <c r="F75" s="16">
        <f t="shared" si="4"/>
        <v>1.9410299999999998</v>
      </c>
      <c r="G75" s="7">
        <f t="shared" si="5"/>
        <v>-23359253.334569793</v>
      </c>
      <c r="H75" s="7">
        <f t="shared" si="6"/>
        <v>21981758.165430207</v>
      </c>
      <c r="I75" s="7">
        <f>IFERROR((G75/SUMIF(B:B,B75,G:G))*VLOOKUP(B75,'DATOS GENERALES'!G:H,2,0),"")</f>
        <v>-6113986.4151954064</v>
      </c>
      <c r="J75" s="7">
        <f t="shared" si="7"/>
        <v>15867771.750234801</v>
      </c>
      <c r="K75" s="16"/>
      <c r="L75" s="16"/>
      <c r="M75" s="16"/>
    </row>
    <row r="76" spans="1:13" x14ac:dyDescent="0.25">
      <c r="A76" s="16">
        <v>1802</v>
      </c>
      <c r="B76" s="6">
        <v>43709</v>
      </c>
      <c r="C76" s="16" t="s">
        <v>195</v>
      </c>
      <c r="D76" s="7">
        <f>SUMIFS('DATOS PROYECCIÓN'!$F:$F,'DATOS PROYECCIÓN'!A:A,A76,'DATOS PROYECCIÓN'!B:B,B76)</f>
        <v>28318301.25</v>
      </c>
      <c r="E76" s="13">
        <f>VLOOKUP(A76,'DATOS GENERALES'!A:B,2,0)</f>
        <v>1.95</v>
      </c>
      <c r="F76" s="16">
        <f t="shared" si="4"/>
        <v>1.9410299999999998</v>
      </c>
      <c r="G76" s="7">
        <f t="shared" si="5"/>
        <v>-14589316.625709033</v>
      </c>
      <c r="H76" s="7">
        <f t="shared" si="6"/>
        <v>13728984.624290967</v>
      </c>
      <c r="I76" s="7">
        <f>IFERROR((G76/SUMIF(B:B,B76,G:G))*VLOOKUP(B76,'DATOS GENERALES'!G:H,2,0),"")</f>
        <v>-4315641.9712572871</v>
      </c>
      <c r="J76" s="7">
        <f t="shared" si="7"/>
        <v>9413342.6530336812</v>
      </c>
      <c r="K76" s="16"/>
      <c r="L76" s="16"/>
      <c r="M76" s="16"/>
    </row>
    <row r="77" spans="1:13" x14ac:dyDescent="0.25">
      <c r="A77" s="16">
        <v>1802</v>
      </c>
      <c r="B77" s="6">
        <v>43739</v>
      </c>
      <c r="C77" s="16" t="s">
        <v>195</v>
      </c>
      <c r="D77" s="7">
        <f>SUMIFS('DATOS PROYECCIÓN'!$F:$F,'DATOS PROYECCIÓN'!A:A,A77,'DATOS PROYECCIÓN'!B:B,B77)</f>
        <v>28318301.25</v>
      </c>
      <c r="E77" s="13">
        <f>VLOOKUP(A77,'DATOS GENERALES'!A:B,2,0)</f>
        <v>1.95</v>
      </c>
      <c r="F77" s="16">
        <f t="shared" si="4"/>
        <v>1.9410299999999998</v>
      </c>
      <c r="G77" s="7">
        <f t="shared" si="5"/>
        <v>-14589316.625709033</v>
      </c>
      <c r="H77" s="7">
        <f t="shared" si="6"/>
        <v>13728984.624290967</v>
      </c>
      <c r="I77" s="7">
        <f>IFERROR((G77/SUMIF(B:B,B77,G:G))*VLOOKUP(B77,'DATOS GENERALES'!G:H,2,0),"")</f>
        <v>-4666921.1622008123</v>
      </c>
      <c r="J77" s="7">
        <f t="shared" si="7"/>
        <v>9062063.4620901551</v>
      </c>
      <c r="K77" s="16"/>
      <c r="L77" s="16"/>
      <c r="M77" s="16"/>
    </row>
    <row r="78" spans="1:13" x14ac:dyDescent="0.25">
      <c r="A78" s="16">
        <v>1802</v>
      </c>
      <c r="B78" s="6">
        <v>43770</v>
      </c>
      <c r="C78" s="16" t="s">
        <v>195</v>
      </c>
      <c r="D78" s="7">
        <f>SUMIFS('DATOS PROYECCIÓN'!$F:$F,'DATOS PROYECCIÓN'!A:A,A78,'DATOS PROYECCIÓN'!B:B,B78)</f>
        <v>28318301.25</v>
      </c>
      <c r="E78" s="13">
        <f>VLOOKUP(A78,'DATOS GENERALES'!A:B,2,0)</f>
        <v>1.95</v>
      </c>
      <c r="F78" s="16">
        <f t="shared" si="4"/>
        <v>1.9410299999999998</v>
      </c>
      <c r="G78" s="7">
        <f t="shared" si="5"/>
        <v>-14589316.625709033</v>
      </c>
      <c r="H78" s="7">
        <f t="shared" si="6"/>
        <v>13728984.624290967</v>
      </c>
      <c r="I78" s="7">
        <f>IFERROR((G78/SUMIF(B:B,B78,G:G))*VLOOKUP(B78,'DATOS GENERALES'!G:H,2,0),"")</f>
        <v>-6241663.3482352411</v>
      </c>
      <c r="J78" s="7">
        <f t="shared" si="7"/>
        <v>7487321.2760557262</v>
      </c>
      <c r="K78" s="16"/>
      <c r="L78" s="16"/>
      <c r="M78" s="16"/>
    </row>
    <row r="79" spans="1:13" x14ac:dyDescent="0.25">
      <c r="A79" s="16">
        <v>1802</v>
      </c>
      <c r="B79" s="6">
        <v>43800</v>
      </c>
      <c r="C79" s="16" t="s">
        <v>195</v>
      </c>
      <c r="D79" s="7">
        <f>SUMIFS('DATOS PROYECCIÓN'!$F:$F,'DATOS PROYECCIÓN'!A:A,A79,'DATOS PROYECCIÓN'!B:B,B79)</f>
        <v>28318301.25</v>
      </c>
      <c r="E79" s="13">
        <f>VLOOKUP(A79,'DATOS GENERALES'!A:B,2,0)</f>
        <v>1.95</v>
      </c>
      <c r="F79" s="16">
        <f t="shared" si="4"/>
        <v>1.9410299999999998</v>
      </c>
      <c r="G79" s="7">
        <f t="shared" si="5"/>
        <v>-14589316.625709033</v>
      </c>
      <c r="H79" s="7">
        <f t="shared" si="6"/>
        <v>13728984.624290967</v>
      </c>
      <c r="I79" s="7">
        <f>IFERROR((G79/SUMIF(B:B,B79,G:G))*VLOOKUP(B79,'DATOS GENERALES'!G:H,2,0),"")</f>
        <v>-5255401.8570728153</v>
      </c>
      <c r="J79" s="7">
        <f t="shared" si="7"/>
        <v>8473582.7672181521</v>
      </c>
      <c r="K79" s="16"/>
      <c r="L79" s="16"/>
      <c r="M79" s="16"/>
    </row>
    <row r="80" spans="1:13" x14ac:dyDescent="0.25">
      <c r="A80" s="16">
        <v>1818</v>
      </c>
      <c r="B80" s="6">
        <v>43466</v>
      </c>
      <c r="C80" s="16" t="s">
        <v>195</v>
      </c>
      <c r="D80" s="7">
        <f>SUMIFS('DATOS PROYECCIÓN'!$F:$F,'DATOS PROYECCIÓN'!A:A,A80,'DATOS PROYECCIÓN'!B:B,B80)</f>
        <v>37932512.950000003</v>
      </c>
      <c r="E80" s="13">
        <f>VLOOKUP(A80,'DATOS GENERALES'!A:B,2,0)</f>
        <v>1.1100000000000001</v>
      </c>
      <c r="F80" s="16">
        <f t="shared" si="4"/>
        <v>1.104894</v>
      </c>
      <c r="G80" s="7">
        <f t="shared" si="5"/>
        <v>-34331359.343068205</v>
      </c>
      <c r="H80" s="7">
        <f t="shared" si="6"/>
        <v>3601153.6069317982</v>
      </c>
      <c r="I80" s="7">
        <f>IFERROR((G80/SUMIF(B:B,B80,G:G))*VLOOKUP(B80,'DATOS GENERALES'!G:H,2,0),"")</f>
        <v>-7532930.0407244712</v>
      </c>
      <c r="J80" s="7">
        <f t="shared" si="7"/>
        <v>-3931776.4337926731</v>
      </c>
      <c r="K80" s="16"/>
      <c r="L80" s="16"/>
      <c r="M80" s="16"/>
    </row>
    <row r="81" spans="1:13" x14ac:dyDescent="0.25">
      <c r="A81" s="16">
        <v>1818</v>
      </c>
      <c r="B81" s="6">
        <v>43497</v>
      </c>
      <c r="C81" s="16" t="s">
        <v>195</v>
      </c>
      <c r="D81" s="7">
        <f>SUMIFS('DATOS PROYECCIÓN'!$F:$F,'DATOS PROYECCIÓN'!A:A,A81,'DATOS PROYECCIÓN'!B:B,B81)</f>
        <v>37932512.950000003</v>
      </c>
      <c r="E81" s="13">
        <f>VLOOKUP(A81,'DATOS GENERALES'!A:B,2,0)</f>
        <v>1.1100000000000001</v>
      </c>
      <c r="F81" s="16">
        <f t="shared" si="4"/>
        <v>1.104894</v>
      </c>
      <c r="G81" s="7">
        <f t="shared" si="5"/>
        <v>-34331359.343068205</v>
      </c>
      <c r="H81" s="7">
        <f t="shared" si="6"/>
        <v>3601153.6069317982</v>
      </c>
      <c r="I81" s="7">
        <f>IFERROR((G81/SUMIF(B:B,B81,G:G))*VLOOKUP(B81,'DATOS GENERALES'!G:H,2,0),"")</f>
        <v>-7420992.7351698196</v>
      </c>
      <c r="J81" s="7">
        <f t="shared" si="7"/>
        <v>-3819839.1282380214</v>
      </c>
      <c r="K81" s="16"/>
      <c r="L81" s="16"/>
      <c r="M81" s="16"/>
    </row>
    <row r="82" spans="1:13" x14ac:dyDescent="0.25">
      <c r="A82" s="16">
        <v>1818</v>
      </c>
      <c r="B82" s="6">
        <v>43525</v>
      </c>
      <c r="C82" s="16" t="s">
        <v>195</v>
      </c>
      <c r="D82" s="7">
        <f>SUMIFS('DATOS PROYECCIÓN'!$F:$F,'DATOS PROYECCIÓN'!A:A,A82,'DATOS PROYECCIÓN'!B:B,B82)</f>
        <v>37932512.950000003</v>
      </c>
      <c r="E82" s="13">
        <f>VLOOKUP(A82,'DATOS GENERALES'!A:B,2,0)</f>
        <v>1.1100000000000001</v>
      </c>
      <c r="F82" s="16">
        <f t="shared" si="4"/>
        <v>1.104894</v>
      </c>
      <c r="G82" s="7">
        <f t="shared" si="5"/>
        <v>-34331359.343068205</v>
      </c>
      <c r="H82" s="7">
        <f t="shared" si="6"/>
        <v>3601153.6069317982</v>
      </c>
      <c r="I82" s="7">
        <f>IFERROR((G82/SUMIF(B:B,B82,G:G))*VLOOKUP(B82,'DATOS GENERALES'!G:H,2,0),"")</f>
        <v>-5368996.2023031786</v>
      </c>
      <c r="J82" s="7">
        <f t="shared" si="7"/>
        <v>-1767842.5953713804</v>
      </c>
      <c r="K82" s="16"/>
      <c r="L82" s="16"/>
      <c r="M82" s="16"/>
    </row>
    <row r="83" spans="1:13" x14ac:dyDescent="0.25">
      <c r="A83" s="16">
        <v>1818</v>
      </c>
      <c r="B83" s="6">
        <v>43556</v>
      </c>
      <c r="C83" s="16" t="s">
        <v>195</v>
      </c>
      <c r="D83" s="7">
        <f>SUMIFS('DATOS PROYECCIÓN'!$F:$F,'DATOS PROYECCIÓN'!A:A,A83,'DATOS PROYECCIÓN'!B:B,B83)</f>
        <v>37932512.950000003</v>
      </c>
      <c r="E83" s="13">
        <f>VLOOKUP(A83,'DATOS GENERALES'!A:B,2,0)</f>
        <v>1.1100000000000001</v>
      </c>
      <c r="F83" s="16">
        <f t="shared" si="4"/>
        <v>1.104894</v>
      </c>
      <c r="G83" s="7">
        <f t="shared" si="5"/>
        <v>-34331359.343068205</v>
      </c>
      <c r="H83" s="7">
        <f t="shared" si="6"/>
        <v>3601153.6069317982</v>
      </c>
      <c r="I83" s="7">
        <f>IFERROR((G83/SUMIF(B:B,B83,G:G))*VLOOKUP(B83,'DATOS GENERALES'!G:H,2,0),"")</f>
        <v>-5519732.7474109624</v>
      </c>
      <c r="J83" s="7">
        <f t="shared" si="7"/>
        <v>-1918579.1404791642</v>
      </c>
      <c r="K83" s="16"/>
      <c r="L83" s="16"/>
      <c r="M83" s="16"/>
    </row>
    <row r="84" spans="1:13" x14ac:dyDescent="0.25">
      <c r="A84" s="16">
        <v>1818</v>
      </c>
      <c r="B84" s="6">
        <v>43586</v>
      </c>
      <c r="C84" s="16" t="s">
        <v>195</v>
      </c>
      <c r="D84" s="7">
        <f>SUMIFS('DATOS PROYECCIÓN'!$F:$F,'DATOS PROYECCIÓN'!A:A,A84,'DATOS PROYECCIÓN'!B:B,B84)</f>
        <v>37932512.950000003</v>
      </c>
      <c r="E84" s="13">
        <f>VLOOKUP(A84,'DATOS GENERALES'!A:B,2,0)</f>
        <v>1.1100000000000001</v>
      </c>
      <c r="F84" s="16">
        <f t="shared" si="4"/>
        <v>1.104894</v>
      </c>
      <c r="G84" s="7">
        <f t="shared" si="5"/>
        <v>-34331359.343068205</v>
      </c>
      <c r="H84" s="7">
        <f t="shared" si="6"/>
        <v>3601153.6069317982</v>
      </c>
      <c r="I84" s="7">
        <f>IFERROR((G84/SUMIF(B:B,B84,G:G))*VLOOKUP(B84,'DATOS GENERALES'!G:H,2,0),"")</f>
        <v>-4553393.4971639346</v>
      </c>
      <c r="J84" s="7">
        <f t="shared" si="7"/>
        <v>-952239.89023213647</v>
      </c>
      <c r="K84" s="16"/>
      <c r="L84" s="16"/>
      <c r="M84" s="16"/>
    </row>
    <row r="85" spans="1:13" x14ac:dyDescent="0.25">
      <c r="A85" s="16">
        <v>1818</v>
      </c>
      <c r="B85" s="6">
        <v>43617</v>
      </c>
      <c r="C85" s="16" t="s">
        <v>195</v>
      </c>
      <c r="D85" s="7">
        <f>SUMIFS('DATOS PROYECCIÓN'!$F:$F,'DATOS PROYECCIÓN'!A:A,A85,'DATOS PROYECCIÓN'!B:B,B85)</f>
        <v>37932512.950000003</v>
      </c>
      <c r="E85" s="13">
        <f>VLOOKUP(A85,'DATOS GENERALES'!A:B,2,0)</f>
        <v>1.1100000000000001</v>
      </c>
      <c r="F85" s="16">
        <f t="shared" si="4"/>
        <v>1.104894</v>
      </c>
      <c r="G85" s="7">
        <f t="shared" si="5"/>
        <v>-34331359.343068205</v>
      </c>
      <c r="H85" s="7">
        <f t="shared" si="6"/>
        <v>3601153.6069317982</v>
      </c>
      <c r="I85" s="7">
        <f>IFERROR((G85/SUMIF(B:B,B85,G:G))*VLOOKUP(B85,'DATOS GENERALES'!G:H,2,0),"")</f>
        <v>-6123247.9196568895</v>
      </c>
      <c r="J85" s="7">
        <f t="shared" si="7"/>
        <v>-2522094.3127250914</v>
      </c>
      <c r="K85" s="16"/>
      <c r="L85" s="16"/>
      <c r="M85" s="16"/>
    </row>
    <row r="86" spans="1:13" x14ac:dyDescent="0.25">
      <c r="A86" s="16">
        <v>1818</v>
      </c>
      <c r="B86" s="6">
        <v>43647</v>
      </c>
      <c r="C86" s="16" t="s">
        <v>195</v>
      </c>
      <c r="D86" s="7">
        <f>SUMIFS('DATOS PROYECCIÓN'!$F:$F,'DATOS PROYECCIÓN'!A:A,A86,'DATOS PROYECCIÓN'!B:B,B86)</f>
        <v>35575919.200000003</v>
      </c>
      <c r="E86" s="13">
        <f>VLOOKUP(A86,'DATOS GENERALES'!A:B,2,0)</f>
        <v>1.1100000000000001</v>
      </c>
      <c r="F86" s="16">
        <f t="shared" si="4"/>
        <v>1.104894</v>
      </c>
      <c r="G86" s="7">
        <f t="shared" si="5"/>
        <v>-32198490.714946412</v>
      </c>
      <c r="H86" s="7">
        <f t="shared" si="6"/>
        <v>3377428.4850535914</v>
      </c>
      <c r="I86" s="7">
        <f>IFERROR((G86/SUMIF(B:B,B86,G:G))*VLOOKUP(B86,'DATOS GENERALES'!G:H,2,0),"")</f>
        <v>-8564261.6631510444</v>
      </c>
      <c r="J86" s="7">
        <f t="shared" si="7"/>
        <v>-5186833.178097453</v>
      </c>
      <c r="K86" s="16"/>
      <c r="L86" s="16"/>
      <c r="M86" s="16"/>
    </row>
    <row r="87" spans="1:13" x14ac:dyDescent="0.25">
      <c r="A87" s="16">
        <v>1818</v>
      </c>
      <c r="B87" s="6">
        <v>43678</v>
      </c>
      <c r="C87" s="16" t="s">
        <v>195</v>
      </c>
      <c r="D87" s="7">
        <f>SUMIFS('DATOS PROYECCIÓN'!$F:$F,'DATOS PROYECCIÓN'!A:A,A87,'DATOS PROYECCIÓN'!B:B,B87)</f>
        <v>35575919.200000003</v>
      </c>
      <c r="E87" s="13">
        <f>VLOOKUP(A87,'DATOS GENERALES'!A:B,2,0)</f>
        <v>1.1100000000000001</v>
      </c>
      <c r="F87" s="16">
        <f t="shared" si="4"/>
        <v>1.104894</v>
      </c>
      <c r="G87" s="7">
        <f t="shared" si="5"/>
        <v>-32198490.714946412</v>
      </c>
      <c r="H87" s="7">
        <f t="shared" si="6"/>
        <v>3377428.4850535914</v>
      </c>
      <c r="I87" s="7">
        <f>IFERROR((G87/SUMIF(B:B,B87,G:G))*VLOOKUP(B87,'DATOS GENERALES'!G:H,2,0),"")</f>
        <v>-8427543.9801682066</v>
      </c>
      <c r="J87" s="7">
        <f t="shared" si="7"/>
        <v>-5050115.4951146152</v>
      </c>
      <c r="K87" s="16"/>
      <c r="L87" s="16"/>
      <c r="M87" s="16"/>
    </row>
    <row r="88" spans="1:13" x14ac:dyDescent="0.25">
      <c r="A88" s="16">
        <v>1818</v>
      </c>
      <c r="B88" s="6">
        <v>43709</v>
      </c>
      <c r="C88" s="16" t="s">
        <v>195</v>
      </c>
      <c r="D88" s="7">
        <f>SUMIFS('DATOS PROYECCIÓN'!$F:$F,'DATOS PROYECCIÓN'!A:A,A88,'DATOS PROYECCIÓN'!B:B,B88)</f>
        <v>35195556.700000003</v>
      </c>
      <c r="E88" s="13">
        <f>VLOOKUP(A88,'DATOS GENERALES'!A:B,2,0)</f>
        <v>1.1100000000000001</v>
      </c>
      <c r="F88" s="16">
        <f t="shared" si="4"/>
        <v>1.104894</v>
      </c>
      <c r="G88" s="7">
        <f t="shared" si="5"/>
        <v>-31854238.234617982</v>
      </c>
      <c r="H88" s="7">
        <f t="shared" si="6"/>
        <v>3341318.4653820209</v>
      </c>
      <c r="I88" s="7">
        <f>IFERROR((G88/SUMIF(B:B,B88,G:G))*VLOOKUP(B88,'DATOS GENERALES'!G:H,2,0),"")</f>
        <v>-9422750.2915041409</v>
      </c>
      <c r="J88" s="7">
        <f t="shared" si="7"/>
        <v>-6081431.82612212</v>
      </c>
      <c r="K88" s="16"/>
      <c r="L88" s="16"/>
      <c r="M88" s="16"/>
    </row>
    <row r="89" spans="1:13" x14ac:dyDescent="0.25">
      <c r="A89" s="16">
        <v>1818</v>
      </c>
      <c r="B89" s="6">
        <v>43739</v>
      </c>
      <c r="C89" s="16" t="s">
        <v>195</v>
      </c>
      <c r="D89" s="7">
        <f>SUMIFS('DATOS PROYECCIÓN'!$F:$F,'DATOS PROYECCIÓN'!A:A,A89,'DATOS PROYECCIÓN'!B:B,B89)</f>
        <v>35195556.700000003</v>
      </c>
      <c r="E89" s="13">
        <f>VLOOKUP(A89,'DATOS GENERALES'!A:B,2,0)</f>
        <v>1.1100000000000001</v>
      </c>
      <c r="F89" s="16">
        <f t="shared" si="4"/>
        <v>1.104894</v>
      </c>
      <c r="G89" s="7">
        <f t="shared" si="5"/>
        <v>-31854238.234617982</v>
      </c>
      <c r="H89" s="7">
        <f t="shared" si="6"/>
        <v>3341318.4653820209</v>
      </c>
      <c r="I89" s="7">
        <f>IFERROR((G89/SUMIF(B:B,B89,G:G))*VLOOKUP(B89,'DATOS GENERALES'!G:H,2,0),"")</f>
        <v>-10189731.454656126</v>
      </c>
      <c r="J89" s="7">
        <f t="shared" si="7"/>
        <v>-6848412.9892741051</v>
      </c>
      <c r="K89" s="16"/>
      <c r="L89" s="16"/>
      <c r="M89" s="16"/>
    </row>
    <row r="90" spans="1:13" x14ac:dyDescent="0.25">
      <c r="A90" s="16">
        <v>1818</v>
      </c>
      <c r="B90" s="6">
        <v>43770</v>
      </c>
      <c r="C90" s="16" t="s">
        <v>195</v>
      </c>
      <c r="D90" s="7">
        <f>SUMIFS('DATOS PROYECCIÓN'!$F:$F,'DATOS PROYECCIÓN'!A:A,A90,'DATOS PROYECCIÓN'!B:B,B90)</f>
        <v>35195556.700000003</v>
      </c>
      <c r="E90" s="13">
        <f>VLOOKUP(A90,'DATOS GENERALES'!A:B,2,0)</f>
        <v>1.1100000000000001</v>
      </c>
      <c r="F90" s="16">
        <f t="shared" si="4"/>
        <v>1.104894</v>
      </c>
      <c r="G90" s="7">
        <f t="shared" si="5"/>
        <v>-31854238.234617982</v>
      </c>
      <c r="H90" s="7">
        <f t="shared" si="6"/>
        <v>3341318.4653820209</v>
      </c>
      <c r="I90" s="7">
        <f>IFERROR((G90/SUMIF(B:B,B90,G:G))*VLOOKUP(B90,'DATOS GENERALES'!G:H,2,0),"")</f>
        <v>-13628015.374250336</v>
      </c>
      <c r="J90" s="7">
        <f t="shared" si="7"/>
        <v>-10286696.908868315</v>
      </c>
      <c r="K90" s="16"/>
      <c r="L90" s="16"/>
      <c r="M90" s="16"/>
    </row>
    <row r="91" spans="1:13" x14ac:dyDescent="0.25">
      <c r="A91" s="16">
        <v>1818</v>
      </c>
      <c r="B91" s="6">
        <v>43800</v>
      </c>
      <c r="C91" s="16" t="s">
        <v>195</v>
      </c>
      <c r="D91" s="7">
        <f>SUMIFS('DATOS PROYECCIÓN'!$F:$F,'DATOS PROYECCIÓN'!A:A,A91,'DATOS PROYECCIÓN'!B:B,B91)</f>
        <v>31409130.699999999</v>
      </c>
      <c r="E91" s="13">
        <f>VLOOKUP(A91,'DATOS GENERALES'!A:B,2,0)</f>
        <v>1.1100000000000001</v>
      </c>
      <c r="F91" s="16">
        <f t="shared" si="4"/>
        <v>1.104894</v>
      </c>
      <c r="G91" s="7">
        <f t="shared" si="5"/>
        <v>-28427279.630444184</v>
      </c>
      <c r="H91" s="7">
        <f t="shared" si="6"/>
        <v>2981851.0695558153</v>
      </c>
      <c r="I91" s="7">
        <f>IFERROR((G91/SUMIF(B:B,B91,G:G))*VLOOKUP(B91,'DATOS GENERALES'!G:H,2,0),"")</f>
        <v>-10240149.144347189</v>
      </c>
      <c r="J91" s="7">
        <f t="shared" si="7"/>
        <v>-7258298.0747913737</v>
      </c>
      <c r="K91" s="16"/>
      <c r="L91" s="16"/>
      <c r="M91" s="16"/>
    </row>
    <row r="92" spans="1:13" x14ac:dyDescent="0.25">
      <c r="A92" s="16">
        <v>1829</v>
      </c>
      <c r="B92" s="6">
        <v>43466</v>
      </c>
      <c r="C92" s="16" t="s">
        <v>195</v>
      </c>
      <c r="D92" s="7">
        <f>SUMIFS('DATOS PROYECCIÓN'!$F:$F,'DATOS PROYECCIÓN'!A:A,A92,'DATOS PROYECCIÓN'!B:B,B92)</f>
        <v>71699753.276983202</v>
      </c>
      <c r="E92" s="13">
        <f>VLOOKUP(A92,'DATOS GENERALES'!A:B,2,0)</f>
        <v>1.35</v>
      </c>
      <c r="F92" s="16">
        <f t="shared" si="4"/>
        <v>1.34379</v>
      </c>
      <c r="G92" s="7">
        <f t="shared" si="5"/>
        <v>-53356367.644485518</v>
      </c>
      <c r="H92" s="7">
        <f t="shared" si="6"/>
        <v>18343385.632497683</v>
      </c>
      <c r="I92" s="7">
        <f>IFERROR((G92/SUMIF(B:B,B92,G:G))*VLOOKUP(B92,'DATOS GENERALES'!G:H,2,0),"")</f>
        <v>-11707365.871437222</v>
      </c>
      <c r="J92" s="7">
        <f t="shared" si="7"/>
        <v>6636019.7610604614</v>
      </c>
      <c r="K92" s="16"/>
      <c r="L92" s="16"/>
      <c r="M92" s="16"/>
    </row>
    <row r="93" spans="1:13" x14ac:dyDescent="0.25">
      <c r="A93" s="16">
        <v>1829</v>
      </c>
      <c r="B93" s="6">
        <v>43497</v>
      </c>
      <c r="C93" s="16" t="s">
        <v>195</v>
      </c>
      <c r="D93" s="7">
        <f>SUMIFS('DATOS PROYECCIÓN'!$F:$F,'DATOS PROYECCIÓN'!A:A,A93,'DATOS PROYECCIÓN'!B:B,B93)</f>
        <v>71699753.276983202</v>
      </c>
      <c r="E93" s="13">
        <f>VLOOKUP(A93,'DATOS GENERALES'!A:B,2,0)</f>
        <v>1.35</v>
      </c>
      <c r="F93" s="16">
        <f t="shared" si="4"/>
        <v>1.34379</v>
      </c>
      <c r="G93" s="7">
        <f t="shared" si="5"/>
        <v>-53356367.644485518</v>
      </c>
      <c r="H93" s="7">
        <f t="shared" si="6"/>
        <v>18343385.632497683</v>
      </c>
      <c r="I93" s="7">
        <f>IFERROR((G93/SUMIF(B:B,B93,G:G))*VLOOKUP(B93,'DATOS GENERALES'!G:H,2,0),"")</f>
        <v>-11533397.577067515</v>
      </c>
      <c r="J93" s="7">
        <f t="shared" si="7"/>
        <v>6809988.0554301683</v>
      </c>
      <c r="K93" s="16"/>
      <c r="L93" s="16"/>
      <c r="M93" s="16"/>
    </row>
    <row r="94" spans="1:13" x14ac:dyDescent="0.25">
      <c r="A94" s="16">
        <v>1829</v>
      </c>
      <c r="B94" s="6">
        <v>43525</v>
      </c>
      <c r="C94" s="16" t="s">
        <v>195</v>
      </c>
      <c r="D94" s="7">
        <f>SUMIFS('DATOS PROYECCIÓN'!$F:$F,'DATOS PROYECCIÓN'!A:A,A94,'DATOS PROYECCIÓN'!B:B,B94)</f>
        <v>71699753.276983202</v>
      </c>
      <c r="E94" s="13">
        <f>VLOOKUP(A94,'DATOS GENERALES'!A:B,2,0)</f>
        <v>1.35</v>
      </c>
      <c r="F94" s="16">
        <f t="shared" si="4"/>
        <v>1.34379</v>
      </c>
      <c r="G94" s="7">
        <f t="shared" si="5"/>
        <v>-53356367.644485518</v>
      </c>
      <c r="H94" s="7">
        <f t="shared" si="6"/>
        <v>18343385.632497683</v>
      </c>
      <c r="I94" s="7">
        <f>IFERROR((G94/SUMIF(B:B,B94,G:G))*VLOOKUP(B94,'DATOS GENERALES'!G:H,2,0),"")</f>
        <v>-8344270.0998023758</v>
      </c>
      <c r="J94" s="7">
        <f t="shared" si="7"/>
        <v>9999115.5326953083</v>
      </c>
      <c r="K94" s="16"/>
      <c r="L94" s="16"/>
      <c r="M94" s="16"/>
    </row>
    <row r="95" spans="1:13" x14ac:dyDescent="0.25">
      <c r="A95" s="16">
        <v>1829</v>
      </c>
      <c r="B95" s="6">
        <v>43556</v>
      </c>
      <c r="C95" s="16" t="s">
        <v>195</v>
      </c>
      <c r="D95" s="7">
        <f>SUMIFS('DATOS PROYECCIÓN'!$F:$F,'DATOS PROYECCIÓN'!A:A,A95,'DATOS PROYECCIÓN'!B:B,B95)</f>
        <v>71699753.276983202</v>
      </c>
      <c r="E95" s="13">
        <f>VLOOKUP(A95,'DATOS GENERALES'!A:B,2,0)</f>
        <v>1.35</v>
      </c>
      <c r="F95" s="16">
        <f t="shared" si="4"/>
        <v>1.34379</v>
      </c>
      <c r="G95" s="7">
        <f t="shared" si="5"/>
        <v>-53356367.644485518</v>
      </c>
      <c r="H95" s="7">
        <f t="shared" si="6"/>
        <v>18343385.632497683</v>
      </c>
      <c r="I95" s="7">
        <f>IFERROR((G95/SUMIF(B:B,B95,G:G))*VLOOKUP(B95,'DATOS GENERALES'!G:H,2,0),"")</f>
        <v>-8578538.5550027788</v>
      </c>
      <c r="J95" s="7">
        <f t="shared" si="7"/>
        <v>9764847.0774949044</v>
      </c>
      <c r="K95" s="16"/>
      <c r="L95" s="16"/>
      <c r="M95" s="16"/>
    </row>
    <row r="96" spans="1:13" x14ac:dyDescent="0.25">
      <c r="A96" s="16">
        <v>1829</v>
      </c>
      <c r="B96" s="6">
        <v>43586</v>
      </c>
      <c r="C96" s="16" t="s">
        <v>195</v>
      </c>
      <c r="D96" s="7">
        <f>SUMIFS('DATOS PROYECCIÓN'!$F:$F,'DATOS PROYECCIÓN'!A:A,A96,'DATOS PROYECCIÓN'!B:B,B96)</f>
        <v>71699753.276983202</v>
      </c>
      <c r="E96" s="13">
        <f>VLOOKUP(A96,'DATOS GENERALES'!A:B,2,0)</f>
        <v>1.35</v>
      </c>
      <c r="F96" s="16">
        <f t="shared" si="4"/>
        <v>1.34379</v>
      </c>
      <c r="G96" s="7">
        <f t="shared" si="5"/>
        <v>-53356367.644485518</v>
      </c>
      <c r="H96" s="7">
        <f t="shared" si="6"/>
        <v>18343385.632497683</v>
      </c>
      <c r="I96" s="7">
        <f>IFERROR((G96/SUMIF(B:B,B96,G:G))*VLOOKUP(B96,'DATOS GENERALES'!G:H,2,0),"")</f>
        <v>-7076694.3725385191</v>
      </c>
      <c r="J96" s="7">
        <f t="shared" si="7"/>
        <v>11266691.259959165</v>
      </c>
      <c r="K96" s="16"/>
      <c r="L96" s="16"/>
      <c r="M96" s="16"/>
    </row>
    <row r="97" spans="1:13" x14ac:dyDescent="0.25">
      <c r="A97" s="16">
        <v>1829</v>
      </c>
      <c r="B97" s="6">
        <v>43617</v>
      </c>
      <c r="C97" s="16" t="s">
        <v>195</v>
      </c>
      <c r="D97" s="7">
        <f>SUMIFS('DATOS PROYECCIÓN'!$F:$F,'DATOS PROYECCIÓN'!A:A,A97,'DATOS PROYECCIÓN'!B:B,B97)</f>
        <v>71699753.276983202</v>
      </c>
      <c r="E97" s="13">
        <f>VLOOKUP(A97,'DATOS GENERALES'!A:B,2,0)</f>
        <v>1.35</v>
      </c>
      <c r="F97" s="16">
        <f t="shared" si="4"/>
        <v>1.34379</v>
      </c>
      <c r="G97" s="7">
        <f t="shared" si="5"/>
        <v>-53356367.644485518</v>
      </c>
      <c r="H97" s="7">
        <f t="shared" si="6"/>
        <v>18343385.632497683</v>
      </c>
      <c r="I97" s="7">
        <f>IFERROR((G97/SUMIF(B:B,B97,G:G))*VLOOKUP(B97,'DATOS GENERALES'!G:H,2,0),"")</f>
        <v>-9516496.6791654453</v>
      </c>
      <c r="J97" s="7">
        <f t="shared" si="7"/>
        <v>8826888.9533322379</v>
      </c>
      <c r="K97" s="16"/>
      <c r="L97" s="16"/>
      <c r="M97" s="16"/>
    </row>
    <row r="98" spans="1:13" x14ac:dyDescent="0.25">
      <c r="A98" s="16">
        <v>1829</v>
      </c>
      <c r="B98" s="6">
        <v>43647</v>
      </c>
      <c r="C98" s="16" t="s">
        <v>195</v>
      </c>
      <c r="D98" s="7">
        <f>SUMIFS('DATOS PROYECCIÓN'!$F:$F,'DATOS PROYECCIÓN'!A:A,A98,'DATOS PROYECCIÓN'!B:B,B98)</f>
        <v>71699753.276983202</v>
      </c>
      <c r="E98" s="13">
        <f>VLOOKUP(A98,'DATOS GENERALES'!A:B,2,0)</f>
        <v>1.35</v>
      </c>
      <c r="F98" s="16">
        <f t="shared" si="4"/>
        <v>1.34379</v>
      </c>
      <c r="G98" s="7">
        <f t="shared" si="5"/>
        <v>-53356367.644485518</v>
      </c>
      <c r="H98" s="7">
        <f t="shared" si="6"/>
        <v>18343385.632497683</v>
      </c>
      <c r="I98" s="7">
        <f>IFERROR((G98/SUMIF(B:B,B98,G:G))*VLOOKUP(B98,'DATOS GENERALES'!G:H,2,0),"")</f>
        <v>-14191904.146940095</v>
      </c>
      <c r="J98" s="7">
        <f t="shared" si="7"/>
        <v>4151481.4855575878</v>
      </c>
      <c r="K98" s="16"/>
      <c r="L98" s="16"/>
      <c r="M98" s="16"/>
    </row>
    <row r="99" spans="1:13" x14ac:dyDescent="0.25">
      <c r="A99" s="16">
        <v>1829</v>
      </c>
      <c r="B99" s="6">
        <v>43678</v>
      </c>
      <c r="C99" s="16" t="s">
        <v>195</v>
      </c>
      <c r="D99" s="7">
        <f>SUMIFS('DATOS PROYECCIÓN'!$F:$F,'DATOS PROYECCIÓN'!A:A,A99,'DATOS PROYECCIÓN'!B:B,B99)</f>
        <v>71699753.276983202</v>
      </c>
      <c r="E99" s="13">
        <f>VLOOKUP(A99,'DATOS GENERALES'!A:B,2,0)</f>
        <v>1.35</v>
      </c>
      <c r="F99" s="16">
        <f t="shared" si="4"/>
        <v>1.34379</v>
      </c>
      <c r="G99" s="7">
        <f t="shared" si="5"/>
        <v>-53356367.644485518</v>
      </c>
      <c r="H99" s="7">
        <f t="shared" si="6"/>
        <v>18343385.632497683</v>
      </c>
      <c r="I99" s="7">
        <f>IFERROR((G99/SUMIF(B:B,B99,G:G))*VLOOKUP(B99,'DATOS GENERALES'!G:H,2,0),"")</f>
        <v>-13965348.218548449</v>
      </c>
      <c r="J99" s="7">
        <f t="shared" si="7"/>
        <v>4378037.4139492344</v>
      </c>
      <c r="K99" s="16"/>
      <c r="L99" s="16"/>
      <c r="M99" s="16"/>
    </row>
    <row r="100" spans="1:13" x14ac:dyDescent="0.25">
      <c r="A100" s="16">
        <v>1829</v>
      </c>
      <c r="B100" s="6">
        <v>43709</v>
      </c>
      <c r="C100" s="16" t="s">
        <v>195</v>
      </c>
      <c r="D100" s="7">
        <f>SUMIFS('DATOS PROYECCIÓN'!$F:$F,'DATOS PROYECCIÓN'!A:A,A100,'DATOS PROYECCIÓN'!B:B,B100)</f>
        <v>71699753.276983202</v>
      </c>
      <c r="E100" s="13">
        <f>VLOOKUP(A100,'DATOS GENERALES'!A:B,2,0)</f>
        <v>1.35</v>
      </c>
      <c r="F100" s="16">
        <f t="shared" si="4"/>
        <v>1.34379</v>
      </c>
      <c r="G100" s="7">
        <f t="shared" si="5"/>
        <v>-53356367.644485518</v>
      </c>
      <c r="H100" s="7">
        <f t="shared" si="6"/>
        <v>18343385.632497683</v>
      </c>
      <c r="I100" s="7">
        <f>IFERROR((G100/SUMIF(B:B,B100,G:G))*VLOOKUP(B100,'DATOS GENERALES'!G:H,2,0),"")</f>
        <v>-15783260.144933978</v>
      </c>
      <c r="J100" s="7">
        <f t="shared" si="7"/>
        <v>2560125.4875637051</v>
      </c>
      <c r="K100" s="16"/>
      <c r="L100" s="16"/>
      <c r="M100" s="16"/>
    </row>
    <row r="101" spans="1:13" x14ac:dyDescent="0.25">
      <c r="A101" s="16">
        <v>1829</v>
      </c>
      <c r="B101" s="6">
        <v>43739</v>
      </c>
      <c r="C101" s="16" t="s">
        <v>195</v>
      </c>
      <c r="D101" s="7">
        <f>SUMIFS('DATOS PROYECCIÓN'!$F:$F,'DATOS PROYECCIÓN'!A:A,A101,'DATOS PROYECCIÓN'!B:B,B101)</f>
        <v>71699753.276983202</v>
      </c>
      <c r="E101" s="13">
        <f>VLOOKUP(A101,'DATOS GENERALES'!A:B,2,0)</f>
        <v>1.35</v>
      </c>
      <c r="F101" s="16">
        <f t="shared" si="4"/>
        <v>1.34379</v>
      </c>
      <c r="G101" s="7">
        <f t="shared" si="5"/>
        <v>-53356367.644485518</v>
      </c>
      <c r="H101" s="7">
        <f t="shared" si="6"/>
        <v>18343385.632497683</v>
      </c>
      <c r="I101" s="7">
        <f>IFERROR((G101/SUMIF(B:B,B101,G:G))*VLOOKUP(B101,'DATOS GENERALES'!G:H,2,0),"")</f>
        <v>-17067966.080016065</v>
      </c>
      <c r="J101" s="7">
        <f t="shared" si="7"/>
        <v>1275419.5524816178</v>
      </c>
      <c r="K101" s="16"/>
      <c r="L101" s="16"/>
      <c r="M101" s="16"/>
    </row>
    <row r="102" spans="1:13" x14ac:dyDescent="0.25">
      <c r="A102" s="16">
        <v>1829</v>
      </c>
      <c r="B102" s="6">
        <v>43770</v>
      </c>
      <c r="C102" s="16" t="s">
        <v>195</v>
      </c>
      <c r="D102" s="7">
        <f>SUMIFS('DATOS PROYECCIÓN'!$F:$F,'DATOS PROYECCIÓN'!A:A,A102,'DATOS PROYECCIÓN'!B:B,B102)</f>
        <v>71699753.276983202</v>
      </c>
      <c r="E102" s="13">
        <f>VLOOKUP(A102,'DATOS GENERALES'!A:B,2,0)</f>
        <v>1.35</v>
      </c>
      <c r="F102" s="16">
        <f t="shared" si="4"/>
        <v>1.34379</v>
      </c>
      <c r="G102" s="7">
        <f t="shared" si="5"/>
        <v>-53356367.644485518</v>
      </c>
      <c r="H102" s="7">
        <f t="shared" si="6"/>
        <v>18343385.632497683</v>
      </c>
      <c r="I102" s="7">
        <f>IFERROR((G102/SUMIF(B:B,B102,G:G))*VLOOKUP(B102,'DATOS GENERALES'!G:H,2,0),"")</f>
        <v>-22827147.622163888</v>
      </c>
      <c r="J102" s="7">
        <f t="shared" si="7"/>
        <v>-4483761.9896662049</v>
      </c>
      <c r="K102" s="16"/>
      <c r="L102" s="16"/>
      <c r="M102" s="16"/>
    </row>
    <row r="103" spans="1:13" x14ac:dyDescent="0.25">
      <c r="A103" s="16">
        <v>1829</v>
      </c>
      <c r="B103" s="6">
        <v>43800</v>
      </c>
      <c r="C103" s="16" t="s">
        <v>195</v>
      </c>
      <c r="D103" s="7">
        <f>SUMIFS('DATOS PROYECCIÓN'!$F:$F,'DATOS PROYECCIÓN'!A:A,A103,'DATOS PROYECCIÓN'!B:B,B103)</f>
        <v>71699753.276983202</v>
      </c>
      <c r="E103" s="13">
        <f>VLOOKUP(A103,'DATOS GENERALES'!A:B,2,0)</f>
        <v>1.35</v>
      </c>
      <c r="F103" s="16">
        <f t="shared" si="4"/>
        <v>1.34379</v>
      </c>
      <c r="G103" s="7">
        <f t="shared" si="5"/>
        <v>-53356367.644485518</v>
      </c>
      <c r="H103" s="7">
        <f t="shared" si="6"/>
        <v>18343385.632497683</v>
      </c>
      <c r="I103" s="7">
        <f>IFERROR((G103/SUMIF(B:B,B103,G:G))*VLOOKUP(B103,'DATOS GENERALES'!G:H,2,0),"")</f>
        <v>-19220170.539815214</v>
      </c>
      <c r="J103" s="7">
        <f t="shared" si="7"/>
        <v>-876784.90731753036</v>
      </c>
      <c r="K103" s="16"/>
      <c r="L103" s="16"/>
      <c r="M103" s="16"/>
    </row>
    <row r="104" spans="1:13" x14ac:dyDescent="0.25">
      <c r="A104" s="16">
        <v>1829</v>
      </c>
      <c r="B104" s="6">
        <v>43831</v>
      </c>
      <c r="C104" s="16" t="s">
        <v>195</v>
      </c>
      <c r="D104" s="7">
        <f>SUMIFS('DATOS PROYECCIÓN'!$F:$F,'DATOS PROYECCIÓN'!A:A,A104,'DATOS PROYECCIÓN'!B:B,B104)</f>
        <v>65878695.026983202</v>
      </c>
      <c r="E104" s="13">
        <f>VLOOKUP(A104,'DATOS GENERALES'!A:B,2,0)</f>
        <v>1.35</v>
      </c>
      <c r="F104" s="16">
        <f t="shared" si="4"/>
        <v>1.34379</v>
      </c>
      <c r="G104" s="7">
        <f t="shared" si="5"/>
        <v>-49024546.266145155</v>
      </c>
      <c r="H104" s="7">
        <f t="shared" si="6"/>
        <v>16854148.760838047</v>
      </c>
      <c r="I104" s="7" t="str">
        <f>IFERROR((G104/SUMIF(B:B,B104,G:G))*VLOOKUP(B104,'DATOS GENERALES'!G:H,2,0),"")</f>
        <v/>
      </c>
      <c r="J104" s="7" t="str">
        <f t="shared" si="7"/>
        <v/>
      </c>
      <c r="K104" s="16"/>
      <c r="L104" s="16"/>
      <c r="M104" s="16"/>
    </row>
    <row r="105" spans="1:13" x14ac:dyDescent="0.25">
      <c r="A105" s="16">
        <v>1829</v>
      </c>
      <c r="B105" s="6">
        <v>43862</v>
      </c>
      <c r="C105" s="16" t="s">
        <v>195</v>
      </c>
      <c r="D105" s="7">
        <f>SUMIFS('DATOS PROYECCIÓN'!$F:$F,'DATOS PROYECCIÓN'!A:A,A105,'DATOS PROYECCIÓN'!B:B,B105)</f>
        <v>65878695.026983202</v>
      </c>
      <c r="E105" s="13">
        <f>VLOOKUP(A105,'DATOS GENERALES'!A:B,2,0)</f>
        <v>1.35</v>
      </c>
      <c r="F105" s="16">
        <f t="shared" si="4"/>
        <v>1.34379</v>
      </c>
      <c r="G105" s="7">
        <f t="shared" si="5"/>
        <v>-49024546.266145155</v>
      </c>
      <c r="H105" s="7">
        <f t="shared" si="6"/>
        <v>16854148.760838047</v>
      </c>
      <c r="I105" s="7" t="str">
        <f>IFERROR((G105/SUMIF(B:B,B105,G:G))*VLOOKUP(B105,'DATOS GENERALES'!G:H,2,0),"")</f>
        <v/>
      </c>
      <c r="J105" s="7" t="str">
        <f t="shared" si="7"/>
        <v/>
      </c>
      <c r="K105" s="16"/>
      <c r="L105" s="16"/>
      <c r="M105" s="16"/>
    </row>
    <row r="106" spans="1:13" x14ac:dyDescent="0.25">
      <c r="A106" s="16">
        <v>1829</v>
      </c>
      <c r="B106" s="6">
        <v>43891</v>
      </c>
      <c r="C106" s="16" t="s">
        <v>195</v>
      </c>
      <c r="D106" s="7">
        <f>SUMIFS('DATOS PROYECCIÓN'!$F:$F,'DATOS PROYECCIÓN'!A:A,A106,'DATOS PROYECCIÓN'!B:B,B106)</f>
        <v>61723893.851983197</v>
      </c>
      <c r="E106" s="13">
        <f>VLOOKUP(A106,'DATOS GENERALES'!A:B,2,0)</f>
        <v>1.35</v>
      </c>
      <c r="F106" s="16">
        <f t="shared" si="4"/>
        <v>1.34379</v>
      </c>
      <c r="G106" s="7">
        <f t="shared" si="5"/>
        <v>-45932693.242235169</v>
      </c>
      <c r="H106" s="7">
        <f t="shared" si="6"/>
        <v>15791200.609748028</v>
      </c>
      <c r="I106" s="7" t="str">
        <f>IFERROR((G106/SUMIF(B:B,B106,G:G))*VLOOKUP(B106,'DATOS GENERALES'!G:H,2,0),"")</f>
        <v/>
      </c>
      <c r="J106" s="7" t="str">
        <f t="shared" si="7"/>
        <v/>
      </c>
      <c r="K106" s="16"/>
      <c r="L106" s="16"/>
      <c r="M106" s="16"/>
    </row>
    <row r="107" spans="1:13" x14ac:dyDescent="0.25">
      <c r="A107" s="16">
        <v>1829</v>
      </c>
      <c r="B107" s="6">
        <v>43922</v>
      </c>
      <c r="C107" s="16" t="s">
        <v>195</v>
      </c>
      <c r="D107" s="7">
        <f>SUMIFS('DATOS PROYECCIÓN'!$F:$F,'DATOS PROYECCIÓN'!A:A,A107,'DATOS PROYECCIÓN'!B:B,B107)</f>
        <v>49714833.851983197</v>
      </c>
      <c r="E107" s="13">
        <f>VLOOKUP(A107,'DATOS GENERALES'!A:B,2,0)</f>
        <v>1.35</v>
      </c>
      <c r="F107" s="16">
        <f t="shared" si="4"/>
        <v>1.34379</v>
      </c>
      <c r="G107" s="7">
        <f t="shared" si="5"/>
        <v>-36995984.381475672</v>
      </c>
      <c r="H107" s="7">
        <f t="shared" si="6"/>
        <v>12718849.470507525</v>
      </c>
      <c r="I107" s="7" t="str">
        <f>IFERROR((G107/SUMIF(B:B,B107,G:G))*VLOOKUP(B107,'DATOS GENERALES'!G:H,2,0),"")</f>
        <v/>
      </c>
      <c r="J107" s="7" t="str">
        <f t="shared" si="7"/>
        <v/>
      </c>
      <c r="K107" s="16"/>
      <c r="L107" s="16"/>
      <c r="M107" s="16"/>
    </row>
    <row r="108" spans="1:13" x14ac:dyDescent="0.25">
      <c r="A108" s="16">
        <v>1829</v>
      </c>
      <c r="B108" s="6">
        <v>43952</v>
      </c>
      <c r="C108" s="16" t="s">
        <v>195</v>
      </c>
      <c r="D108" s="7">
        <f>SUMIFS('DATOS PROYECCIÓN'!$F:$F,'DATOS PROYECCIÓN'!A:A,A108,'DATOS PROYECCIÓN'!B:B,B108)</f>
        <v>48046908.851983197</v>
      </c>
      <c r="E108" s="13">
        <f>VLOOKUP(A108,'DATOS GENERALES'!A:B,2,0)</f>
        <v>1.35</v>
      </c>
      <c r="F108" s="16">
        <f t="shared" si="4"/>
        <v>1.34379</v>
      </c>
      <c r="G108" s="7">
        <f t="shared" si="5"/>
        <v>-35754774.817481302</v>
      </c>
      <c r="H108" s="7">
        <f t="shared" si="6"/>
        <v>12292134.034501895</v>
      </c>
      <c r="I108" s="7" t="str">
        <f>IFERROR((G108/SUMIF(B:B,B108,G:G))*VLOOKUP(B108,'DATOS GENERALES'!G:H,2,0),"")</f>
        <v/>
      </c>
      <c r="J108" s="7" t="str">
        <f t="shared" si="7"/>
        <v/>
      </c>
      <c r="K108" s="16"/>
      <c r="L108" s="16"/>
      <c r="M108" s="16"/>
    </row>
    <row r="109" spans="1:13" x14ac:dyDescent="0.25">
      <c r="A109" s="16">
        <v>1829</v>
      </c>
      <c r="B109" s="6">
        <v>43983</v>
      </c>
      <c r="C109" s="16" t="s">
        <v>195</v>
      </c>
      <c r="D109" s="7">
        <f>SUMIFS('DATOS PROYECCIÓN'!$F:$F,'DATOS PROYECCIÓN'!A:A,A109,'DATOS PROYECCIÓN'!B:B,B109)</f>
        <v>40541246.351983197</v>
      </c>
      <c r="E109" s="13">
        <f>VLOOKUP(A109,'DATOS GENERALES'!A:B,2,0)</f>
        <v>1.35</v>
      </c>
      <c r="F109" s="16">
        <f t="shared" si="4"/>
        <v>1.34379</v>
      </c>
      <c r="G109" s="7">
        <f t="shared" si="5"/>
        <v>-30169331.779506616</v>
      </c>
      <c r="H109" s="7">
        <f t="shared" si="6"/>
        <v>10371914.572476581</v>
      </c>
      <c r="I109" s="7" t="str">
        <f>IFERROR((G109/SUMIF(B:B,B109,G:G))*VLOOKUP(B109,'DATOS GENERALES'!G:H,2,0),"")</f>
        <v/>
      </c>
      <c r="J109" s="7" t="str">
        <f t="shared" si="7"/>
        <v/>
      </c>
      <c r="K109" s="16"/>
      <c r="L109" s="16"/>
      <c r="M109" s="16"/>
    </row>
    <row r="110" spans="1:13" x14ac:dyDescent="0.25">
      <c r="A110" s="16">
        <v>1838</v>
      </c>
      <c r="B110" s="6">
        <v>43466</v>
      </c>
      <c r="C110" s="16" t="s">
        <v>195</v>
      </c>
      <c r="D110" s="7">
        <f>SUMIFS('DATOS PROYECCIÓN'!$F:$F,'DATOS PROYECCIÓN'!A:A,A110,'DATOS PROYECCIÓN'!B:B,B110)</f>
        <v>15824227.25</v>
      </c>
      <c r="E110" s="13">
        <f>VLOOKUP(A110,'DATOS GENERALES'!A:B,2,0)</f>
        <v>1.92</v>
      </c>
      <c r="F110" s="16">
        <f t="shared" si="4"/>
        <v>1.9111679999999998</v>
      </c>
      <c r="G110" s="7">
        <f t="shared" si="5"/>
        <v>-8279872.4392622737</v>
      </c>
      <c r="H110" s="7">
        <f t="shared" si="6"/>
        <v>7544354.8107377263</v>
      </c>
      <c r="I110" s="7">
        <f>IFERROR((G110/SUMIF(B:B,B110,G:G))*VLOOKUP(B110,'DATOS GENERALES'!G:H,2,0),"")</f>
        <v>-1816755.9055210776</v>
      </c>
      <c r="J110" s="7">
        <f t="shared" si="7"/>
        <v>5727598.9052166492</v>
      </c>
      <c r="K110" s="16"/>
      <c r="L110" s="16"/>
      <c r="M110" s="16"/>
    </row>
    <row r="111" spans="1:13" x14ac:dyDescent="0.25">
      <c r="A111" s="16">
        <v>1838</v>
      </c>
      <c r="B111" s="6">
        <v>43497</v>
      </c>
      <c r="C111" s="16" t="s">
        <v>195</v>
      </c>
      <c r="D111" s="7">
        <f>SUMIFS('DATOS PROYECCIÓN'!$F:$F,'DATOS PROYECCIÓN'!A:A,A111,'DATOS PROYECCIÓN'!B:B,B111)</f>
        <v>15824227.25</v>
      </c>
      <c r="E111" s="13">
        <f>VLOOKUP(A111,'DATOS GENERALES'!A:B,2,0)</f>
        <v>1.92</v>
      </c>
      <c r="F111" s="16">
        <f t="shared" si="4"/>
        <v>1.9111679999999998</v>
      </c>
      <c r="G111" s="7">
        <f t="shared" si="5"/>
        <v>-8279872.4392622737</v>
      </c>
      <c r="H111" s="7">
        <f t="shared" si="6"/>
        <v>7544354.8107377263</v>
      </c>
      <c r="I111" s="7">
        <f>IFERROR((G111/SUMIF(B:B,B111,G:G))*VLOOKUP(B111,'DATOS GENERALES'!G:H,2,0),"")</f>
        <v>-1789759.4035205129</v>
      </c>
      <c r="J111" s="7">
        <f t="shared" si="7"/>
        <v>5754595.4072172139</v>
      </c>
      <c r="K111" s="16"/>
      <c r="L111" s="16"/>
      <c r="M111" s="16"/>
    </row>
    <row r="112" spans="1:13" x14ac:dyDescent="0.25">
      <c r="A112" s="16">
        <v>1838</v>
      </c>
      <c r="B112" s="6">
        <v>43525</v>
      </c>
      <c r="C112" s="16" t="s">
        <v>195</v>
      </c>
      <c r="D112" s="7">
        <f>SUMIFS('DATOS PROYECCIÓN'!$F:$F,'DATOS PROYECCIÓN'!A:A,A112,'DATOS PROYECCIÓN'!B:B,B112)</f>
        <v>15824227.25</v>
      </c>
      <c r="E112" s="13">
        <f>VLOOKUP(A112,'DATOS GENERALES'!A:B,2,0)</f>
        <v>1.92</v>
      </c>
      <c r="F112" s="16">
        <f t="shared" si="4"/>
        <v>1.9111679999999998</v>
      </c>
      <c r="G112" s="7">
        <f t="shared" si="5"/>
        <v>-8279872.4392622737</v>
      </c>
      <c r="H112" s="7">
        <f t="shared" si="6"/>
        <v>7544354.8107377263</v>
      </c>
      <c r="I112" s="7">
        <f>IFERROR((G112/SUMIF(B:B,B112,G:G))*VLOOKUP(B112,'DATOS GENERALES'!G:H,2,0),"")</f>
        <v>-1294868.7302977319</v>
      </c>
      <c r="J112" s="7">
        <f t="shared" si="7"/>
        <v>6249486.0804399941</v>
      </c>
      <c r="K112" s="16"/>
      <c r="L112" s="16"/>
      <c r="M112" s="16"/>
    </row>
    <row r="113" spans="1:13" x14ac:dyDescent="0.25">
      <c r="A113" s="16">
        <v>1846</v>
      </c>
      <c r="B113" s="6">
        <v>43466</v>
      </c>
      <c r="C113" s="16" t="s">
        <v>195</v>
      </c>
      <c r="D113" s="7">
        <f>SUMIFS('DATOS PROYECCIÓN'!$F:$F,'DATOS PROYECCIÓN'!A:A,A113,'DATOS PROYECCIÓN'!B:B,B113)</f>
        <v>153017477.52499998</v>
      </c>
      <c r="E113" s="13">
        <f>VLOOKUP(A113,'DATOS GENERALES'!A:B,2,0)</f>
        <v>1.72</v>
      </c>
      <c r="F113" s="16">
        <f t="shared" si="4"/>
        <v>1.7120879999999998</v>
      </c>
      <c r="G113" s="7">
        <f t="shared" si="5"/>
        <v>-89374773.682777986</v>
      </c>
      <c r="H113" s="7">
        <f t="shared" si="6"/>
        <v>63642703.84222199</v>
      </c>
      <c r="I113" s="7">
        <f>IFERROR((G113/SUMIF(B:B,B113,G:G))*VLOOKUP(B113,'DATOS GENERALES'!G:H,2,0),"")</f>
        <v>-19610464.905575749</v>
      </c>
      <c r="J113" s="7">
        <f t="shared" si="7"/>
        <v>44032238.936646238</v>
      </c>
      <c r="K113" s="16"/>
      <c r="L113" s="16"/>
      <c r="M113" s="16"/>
    </row>
    <row r="114" spans="1:13" x14ac:dyDescent="0.25">
      <c r="A114" s="16">
        <v>1846</v>
      </c>
      <c r="B114" s="6">
        <v>43497</v>
      </c>
      <c r="C114" s="16" t="s">
        <v>195</v>
      </c>
      <c r="D114" s="7">
        <f>SUMIFS('DATOS PROYECCIÓN'!$F:$F,'DATOS PROYECCIÓN'!A:A,A114,'DATOS PROYECCIÓN'!B:B,B114)</f>
        <v>151568477.52499998</v>
      </c>
      <c r="E114" s="13">
        <f>VLOOKUP(A114,'DATOS GENERALES'!A:B,2,0)</f>
        <v>1.72</v>
      </c>
      <c r="F114" s="16">
        <f t="shared" si="4"/>
        <v>1.7120879999999998</v>
      </c>
      <c r="G114" s="7">
        <f t="shared" si="5"/>
        <v>-88528438.681306094</v>
      </c>
      <c r="H114" s="7">
        <f t="shared" si="6"/>
        <v>63040038.843693882</v>
      </c>
      <c r="I114" s="7">
        <f>IFERROR((G114/SUMIF(B:B,B114,G:G))*VLOOKUP(B114,'DATOS GENERALES'!G:H,2,0),"")</f>
        <v>-19136116.742273621</v>
      </c>
      <c r="J114" s="7">
        <f t="shared" si="7"/>
        <v>43903922.101420261</v>
      </c>
      <c r="K114" s="16"/>
      <c r="L114" s="16"/>
      <c r="M114" s="16"/>
    </row>
    <row r="115" spans="1:13" x14ac:dyDescent="0.25">
      <c r="A115" s="16">
        <v>1846</v>
      </c>
      <c r="B115" s="6">
        <v>43525</v>
      </c>
      <c r="C115" s="16" t="s">
        <v>195</v>
      </c>
      <c r="D115" s="7">
        <f>SUMIFS('DATOS PROYECCIÓN'!$F:$F,'DATOS PROYECCIÓN'!A:A,A115,'DATOS PROYECCIÓN'!B:B,B115)</f>
        <v>98609116.699999988</v>
      </c>
      <c r="E115" s="13">
        <f>VLOOKUP(A115,'DATOS GENERALES'!A:B,2,0)</f>
        <v>1.72</v>
      </c>
      <c r="F115" s="16">
        <f t="shared" si="4"/>
        <v>1.7120879999999998</v>
      </c>
      <c r="G115" s="7">
        <f t="shared" si="5"/>
        <v>-57595822.586222202</v>
      </c>
      <c r="H115" s="7">
        <f t="shared" si="6"/>
        <v>41013294.113777786</v>
      </c>
      <c r="I115" s="7">
        <f>IFERROR((G115/SUMIF(B:B,B115,G:G))*VLOOKUP(B115,'DATOS GENERALES'!G:H,2,0),"")</f>
        <v>-9007267.9512584209</v>
      </c>
      <c r="J115" s="7">
        <f t="shared" si="7"/>
        <v>32006026.162519366</v>
      </c>
      <c r="K115" s="16"/>
      <c r="L115" s="16"/>
      <c r="M115" s="16"/>
    </row>
    <row r="116" spans="1:13" x14ac:dyDescent="0.25">
      <c r="A116" s="16">
        <v>1856</v>
      </c>
      <c r="B116" s="6">
        <v>43466</v>
      </c>
      <c r="C116" s="16" t="s">
        <v>195</v>
      </c>
      <c r="D116" s="7">
        <f>SUMIFS('DATOS PROYECCIÓN'!$F:$F,'DATOS PROYECCIÓN'!A:A,A116,'DATOS PROYECCIÓN'!B:B,B116)</f>
        <v>51152180.402000003</v>
      </c>
      <c r="E116" s="13">
        <f>VLOOKUP(A116,'DATOS GENERALES'!A:B,2,0)</f>
        <v>1.69</v>
      </c>
      <c r="F116" s="16">
        <f t="shared" si="4"/>
        <v>1.6822259999999998</v>
      </c>
      <c r="G116" s="7">
        <f t="shared" si="5"/>
        <v>-30407436.576298315</v>
      </c>
      <c r="H116" s="7">
        <f t="shared" si="6"/>
        <v>20744743.825701687</v>
      </c>
      <c r="I116" s="7">
        <f>IFERROR((G116/SUMIF(B:B,B116,G:G))*VLOOKUP(B116,'DATOS GENERALES'!G:H,2,0),"")</f>
        <v>-6671949.4022385757</v>
      </c>
      <c r="J116" s="7">
        <f t="shared" si="7"/>
        <v>14072794.423463112</v>
      </c>
      <c r="K116" s="16"/>
      <c r="L116" s="16"/>
      <c r="M116" s="16"/>
    </row>
    <row r="117" spans="1:13" x14ac:dyDescent="0.25">
      <c r="A117" s="16">
        <v>1856</v>
      </c>
      <c r="B117" s="6">
        <v>43497</v>
      </c>
      <c r="C117" s="16" t="s">
        <v>195</v>
      </c>
      <c r="D117" s="7">
        <f>SUMIFS('DATOS PROYECCIÓN'!$F:$F,'DATOS PROYECCIÓN'!A:A,A117,'DATOS PROYECCIÓN'!B:B,B117)</f>
        <v>47167910.304499999</v>
      </c>
      <c r="E117" s="13">
        <f>VLOOKUP(A117,'DATOS GENERALES'!A:B,2,0)</f>
        <v>1.69</v>
      </c>
      <c r="F117" s="16">
        <f t="shared" si="4"/>
        <v>1.6822259999999998</v>
      </c>
      <c r="G117" s="7">
        <f t="shared" si="5"/>
        <v>-28038985.430316739</v>
      </c>
      <c r="H117" s="7">
        <f t="shared" si="6"/>
        <v>19128924.87418326</v>
      </c>
      <c r="I117" s="7">
        <f>IFERROR((G117/SUMIF(B:B,B117,G:G))*VLOOKUP(B117,'DATOS GENERALES'!G:H,2,0),"")</f>
        <v>-6060846.7349232845</v>
      </c>
      <c r="J117" s="7">
        <f t="shared" si="7"/>
        <v>13068078.139259975</v>
      </c>
      <c r="K117" s="16"/>
      <c r="L117" s="16"/>
      <c r="M117" s="16"/>
    </row>
    <row r="118" spans="1:13" x14ac:dyDescent="0.25">
      <c r="A118" s="16">
        <v>1856</v>
      </c>
      <c r="B118" s="6">
        <v>43525</v>
      </c>
      <c r="C118" s="16" t="s">
        <v>195</v>
      </c>
      <c r="D118" s="7">
        <f>SUMIFS('DATOS PROYECCIÓN'!$F:$F,'DATOS PROYECCIÓN'!A:A,A118,'DATOS PROYECCIÓN'!B:B,B118)</f>
        <v>47167910.304499999</v>
      </c>
      <c r="E118" s="13">
        <f>VLOOKUP(A118,'DATOS GENERALES'!A:B,2,0)</f>
        <v>1.69</v>
      </c>
      <c r="F118" s="16">
        <f t="shared" si="4"/>
        <v>1.6822259999999998</v>
      </c>
      <c r="G118" s="7">
        <f t="shared" si="5"/>
        <v>-28038985.430316739</v>
      </c>
      <c r="H118" s="7">
        <f t="shared" si="6"/>
        <v>19128924.87418326</v>
      </c>
      <c r="I118" s="7">
        <f>IFERROR((G118/SUMIF(B:B,B118,G:G))*VLOOKUP(B118,'DATOS GENERALES'!G:H,2,0),"")</f>
        <v>-4384947.4408359034</v>
      </c>
      <c r="J118" s="7">
        <f t="shared" si="7"/>
        <v>14743977.433347356</v>
      </c>
      <c r="K118" s="16"/>
      <c r="L118" s="16"/>
      <c r="M118" s="16"/>
    </row>
    <row r="119" spans="1:13" x14ac:dyDescent="0.25">
      <c r="A119" s="16">
        <v>1856</v>
      </c>
      <c r="B119" s="6">
        <v>43556</v>
      </c>
      <c r="C119" s="16" t="s">
        <v>195</v>
      </c>
      <c r="D119" s="7">
        <f>SUMIFS('DATOS PROYECCIÓN'!$F:$F,'DATOS PROYECCIÓN'!A:A,A119,'DATOS PROYECCIÓN'!B:B,B119)</f>
        <v>53612578.7795</v>
      </c>
      <c r="E119" s="13">
        <f>VLOOKUP(A119,'DATOS GENERALES'!A:B,2,0)</f>
        <v>1.69</v>
      </c>
      <c r="F119" s="16">
        <f t="shared" si="4"/>
        <v>1.6822259999999998</v>
      </c>
      <c r="G119" s="7">
        <f t="shared" si="5"/>
        <v>-31870021.495030992</v>
      </c>
      <c r="H119" s="7">
        <f t="shared" si="6"/>
        <v>21742557.284469008</v>
      </c>
      <c r="I119" s="7">
        <f>IFERROR((G119/SUMIF(B:B,B119,G:G))*VLOOKUP(B119,'DATOS GENERALES'!G:H,2,0),"")</f>
        <v>-5124003.3797942931</v>
      </c>
      <c r="J119" s="7">
        <f t="shared" si="7"/>
        <v>16618553.904674716</v>
      </c>
      <c r="K119" s="16"/>
      <c r="L119" s="16"/>
      <c r="M119" s="16"/>
    </row>
    <row r="120" spans="1:13" x14ac:dyDescent="0.25">
      <c r="A120" s="16">
        <v>1856</v>
      </c>
      <c r="B120" s="6">
        <v>43586</v>
      </c>
      <c r="C120" s="16" t="s">
        <v>195</v>
      </c>
      <c r="D120" s="7">
        <f>SUMIFS('DATOS PROYECCIÓN'!$F:$F,'DATOS PROYECCIÓN'!A:A,A120,'DATOS PROYECCIÓN'!B:B,B120)</f>
        <v>53612578.7795</v>
      </c>
      <c r="E120" s="13">
        <f>VLOOKUP(A120,'DATOS GENERALES'!A:B,2,0)</f>
        <v>1.69</v>
      </c>
      <c r="F120" s="16">
        <f t="shared" si="4"/>
        <v>1.6822259999999998</v>
      </c>
      <c r="G120" s="7">
        <f t="shared" si="5"/>
        <v>-31870021.495030992</v>
      </c>
      <c r="H120" s="7">
        <f t="shared" si="6"/>
        <v>21742557.284469008</v>
      </c>
      <c r="I120" s="7">
        <f>IFERROR((G120/SUMIF(B:B,B120,G:G))*VLOOKUP(B120,'DATOS GENERALES'!G:H,2,0),"")</f>
        <v>-4226944.4439941533</v>
      </c>
      <c r="J120" s="7">
        <f t="shared" si="7"/>
        <v>17515612.840474855</v>
      </c>
      <c r="K120" s="16"/>
      <c r="L120" s="16"/>
      <c r="M120" s="16"/>
    </row>
    <row r="121" spans="1:13" x14ac:dyDescent="0.25">
      <c r="A121" s="16">
        <v>1856</v>
      </c>
      <c r="B121" s="6">
        <v>43617</v>
      </c>
      <c r="C121" s="16" t="s">
        <v>195</v>
      </c>
      <c r="D121" s="7">
        <f>SUMIFS('DATOS PROYECCIÓN'!$F:$F,'DATOS PROYECCIÓN'!A:A,A121,'DATOS PROYECCIÓN'!B:B,B121)</f>
        <v>53612578.7795</v>
      </c>
      <c r="E121" s="13">
        <f>VLOOKUP(A121,'DATOS GENERALES'!A:B,2,0)</f>
        <v>1.69</v>
      </c>
      <c r="F121" s="16">
        <f t="shared" si="4"/>
        <v>1.6822259999999998</v>
      </c>
      <c r="G121" s="7">
        <f t="shared" si="5"/>
        <v>-31870021.495030992</v>
      </c>
      <c r="H121" s="7">
        <f t="shared" si="6"/>
        <v>21742557.284469008</v>
      </c>
      <c r="I121" s="7">
        <f>IFERROR((G121/SUMIF(B:B,B121,G:G))*VLOOKUP(B121,'DATOS GENERALES'!G:H,2,0),"")</f>
        <v>-5684250.3924410138</v>
      </c>
      <c r="J121" s="7">
        <f t="shared" si="7"/>
        <v>16058306.892027995</v>
      </c>
      <c r="K121" s="16"/>
      <c r="L121" s="16"/>
      <c r="M121" s="16"/>
    </row>
    <row r="122" spans="1:13" x14ac:dyDescent="0.25">
      <c r="A122" s="16">
        <v>1856</v>
      </c>
      <c r="B122" s="6">
        <v>43647</v>
      </c>
      <c r="C122" s="16" t="s">
        <v>195</v>
      </c>
      <c r="D122" s="7">
        <f>SUMIFS('DATOS PROYECCIÓN'!$F:$F,'DATOS PROYECCIÓN'!A:A,A122,'DATOS PROYECCIÓN'!B:B,B122)</f>
        <v>53612578.7795</v>
      </c>
      <c r="E122" s="13">
        <f>VLOOKUP(A122,'DATOS GENERALES'!A:B,2,0)</f>
        <v>1.69</v>
      </c>
      <c r="F122" s="16">
        <f t="shared" si="4"/>
        <v>1.6822259999999998</v>
      </c>
      <c r="G122" s="7">
        <f t="shared" si="5"/>
        <v>-31870021.495030992</v>
      </c>
      <c r="H122" s="7">
        <f t="shared" si="6"/>
        <v>21742557.284469008</v>
      </c>
      <c r="I122" s="7">
        <f>IFERROR((G122/SUMIF(B:B,B122,G:G))*VLOOKUP(B122,'DATOS GENERALES'!G:H,2,0),"")</f>
        <v>-8476894.3274410851</v>
      </c>
      <c r="J122" s="7">
        <f t="shared" si="7"/>
        <v>13265662.957027923</v>
      </c>
      <c r="K122" s="16"/>
      <c r="L122" s="16"/>
      <c r="M122" s="16"/>
    </row>
    <row r="123" spans="1:13" x14ac:dyDescent="0.25">
      <c r="A123" s="16">
        <v>1856</v>
      </c>
      <c r="B123" s="6">
        <v>43678</v>
      </c>
      <c r="C123" s="16" t="s">
        <v>195</v>
      </c>
      <c r="D123" s="7">
        <f>SUMIFS('DATOS PROYECCIÓN'!$F:$F,'DATOS PROYECCIÓN'!A:A,A123,'DATOS PROYECCIÓN'!B:B,B123)</f>
        <v>53612578.7795</v>
      </c>
      <c r="E123" s="13">
        <f>VLOOKUP(A123,'DATOS GENERALES'!A:B,2,0)</f>
        <v>1.69</v>
      </c>
      <c r="F123" s="16">
        <f t="shared" si="4"/>
        <v>1.6822259999999998</v>
      </c>
      <c r="G123" s="7">
        <f t="shared" si="5"/>
        <v>-31870021.495030992</v>
      </c>
      <c r="H123" s="7">
        <f t="shared" si="6"/>
        <v>21742557.284469008</v>
      </c>
      <c r="I123" s="7">
        <f>IFERROR((G123/SUMIF(B:B,B123,G:G))*VLOOKUP(B123,'DATOS GENERALES'!G:H,2,0),"")</f>
        <v>-8341571.3542623688</v>
      </c>
      <c r="J123" s="7">
        <f t="shared" si="7"/>
        <v>13400985.93020664</v>
      </c>
      <c r="K123" s="16"/>
      <c r="L123" s="16"/>
      <c r="M123" s="16"/>
    </row>
    <row r="124" spans="1:13" x14ac:dyDescent="0.25">
      <c r="A124" s="16">
        <v>1856</v>
      </c>
      <c r="B124" s="6">
        <v>43709</v>
      </c>
      <c r="C124" s="16" t="s">
        <v>195</v>
      </c>
      <c r="D124" s="7">
        <f>SUMIFS('DATOS PROYECCIÓN'!$F:$F,'DATOS PROYECCIÓN'!A:A,A124,'DATOS PROYECCIÓN'!B:B,B124)</f>
        <v>49351847.829500005</v>
      </c>
      <c r="E124" s="13">
        <f>VLOOKUP(A124,'DATOS GENERALES'!A:B,2,0)</f>
        <v>1.69</v>
      </c>
      <c r="F124" s="16">
        <f t="shared" si="4"/>
        <v>1.6822259999999998</v>
      </c>
      <c r="G124" s="7">
        <f t="shared" si="5"/>
        <v>-29337228.071317416</v>
      </c>
      <c r="H124" s="7">
        <f t="shared" si="6"/>
        <v>20014619.758182589</v>
      </c>
      <c r="I124" s="7">
        <f>IFERROR((G124/SUMIF(B:B,B124,G:G))*VLOOKUP(B124,'DATOS GENERALES'!G:H,2,0),"")</f>
        <v>-8678197.6176880579</v>
      </c>
      <c r="J124" s="7">
        <f t="shared" si="7"/>
        <v>11336422.140494531</v>
      </c>
      <c r="K124" s="16"/>
      <c r="L124" s="16"/>
      <c r="M124" s="16"/>
    </row>
    <row r="125" spans="1:13" x14ac:dyDescent="0.25">
      <c r="A125" s="16">
        <v>1856</v>
      </c>
      <c r="B125" s="6">
        <v>43739</v>
      </c>
      <c r="C125" s="16" t="s">
        <v>195</v>
      </c>
      <c r="D125" s="7">
        <f>SUMIFS('DATOS PROYECCIÓN'!$F:$F,'DATOS PROYECCIÓN'!A:A,A125,'DATOS PROYECCIÓN'!B:B,B125)</f>
        <v>49351847.829500005</v>
      </c>
      <c r="E125" s="13">
        <f>VLOOKUP(A125,'DATOS GENERALES'!A:B,2,0)</f>
        <v>1.69</v>
      </c>
      <c r="F125" s="16">
        <f t="shared" si="4"/>
        <v>1.6822259999999998</v>
      </c>
      <c r="G125" s="7">
        <f t="shared" si="5"/>
        <v>-29337228.071317416</v>
      </c>
      <c r="H125" s="7">
        <f t="shared" si="6"/>
        <v>20014619.758182589</v>
      </c>
      <c r="I125" s="7">
        <f>IFERROR((G125/SUMIF(B:B,B125,G:G))*VLOOKUP(B125,'DATOS GENERALES'!G:H,2,0),"")</f>
        <v>-9384574.6198334359</v>
      </c>
      <c r="J125" s="7">
        <f t="shared" si="7"/>
        <v>10630045.138349153</v>
      </c>
      <c r="K125" s="16"/>
      <c r="L125" s="16"/>
      <c r="M125" s="16"/>
    </row>
    <row r="126" spans="1:13" x14ac:dyDescent="0.25">
      <c r="A126" s="16">
        <v>1856</v>
      </c>
      <c r="B126" s="6">
        <v>43770</v>
      </c>
      <c r="C126" s="16" t="s">
        <v>195</v>
      </c>
      <c r="D126" s="7">
        <f>SUMIFS('DATOS PROYECCIÓN'!$F:$F,'DATOS PROYECCIÓN'!A:A,A126,'DATOS PROYECCIÓN'!B:B,B126)</f>
        <v>49351847.829500005</v>
      </c>
      <c r="E126" s="13">
        <f>VLOOKUP(A126,'DATOS GENERALES'!A:B,2,0)</f>
        <v>1.69</v>
      </c>
      <c r="F126" s="16">
        <f t="shared" si="4"/>
        <v>1.6822259999999998</v>
      </c>
      <c r="G126" s="7">
        <f t="shared" si="5"/>
        <v>-29337228.071317416</v>
      </c>
      <c r="H126" s="7">
        <f t="shared" si="6"/>
        <v>20014619.758182589</v>
      </c>
      <c r="I126" s="7">
        <f>IFERROR((G126/SUMIF(B:B,B126,G:G))*VLOOKUP(B126,'DATOS GENERALES'!G:H,2,0),"")</f>
        <v>-12551177.405313239</v>
      </c>
      <c r="J126" s="7">
        <f t="shared" si="7"/>
        <v>7463442.3528693505</v>
      </c>
      <c r="K126" s="16"/>
      <c r="L126" s="16"/>
      <c r="M126" s="16"/>
    </row>
    <row r="127" spans="1:13" x14ac:dyDescent="0.25">
      <c r="A127" s="16">
        <v>1856</v>
      </c>
      <c r="B127" s="6">
        <v>43800</v>
      </c>
      <c r="C127" s="16" t="s">
        <v>195</v>
      </c>
      <c r="D127" s="7">
        <f>SUMIFS('DATOS PROYECCIÓN'!$F:$F,'DATOS PROYECCIÓN'!A:A,A127,'DATOS PROYECCIÓN'!B:B,B127)</f>
        <v>49351847.829500005</v>
      </c>
      <c r="E127" s="13">
        <f>VLOOKUP(A127,'DATOS GENERALES'!A:B,2,0)</f>
        <v>1.69</v>
      </c>
      <c r="F127" s="16">
        <f t="shared" si="4"/>
        <v>1.6822259999999998</v>
      </c>
      <c r="G127" s="7">
        <f t="shared" si="5"/>
        <v>-29337228.071317416</v>
      </c>
      <c r="H127" s="7">
        <f t="shared" si="6"/>
        <v>20014619.758182589</v>
      </c>
      <c r="I127" s="7">
        <f>IFERROR((G127/SUMIF(B:B,B127,G:G))*VLOOKUP(B127,'DATOS GENERALES'!G:H,2,0),"")</f>
        <v>-10567933.155668095</v>
      </c>
      <c r="J127" s="7">
        <f t="shared" si="7"/>
        <v>9446686.6025144942</v>
      </c>
      <c r="K127" s="16"/>
      <c r="L127" s="16"/>
      <c r="M127" s="16"/>
    </row>
    <row r="128" spans="1:13" x14ac:dyDescent="0.25">
      <c r="A128" s="16">
        <v>1856</v>
      </c>
      <c r="B128" s="6">
        <v>43831</v>
      </c>
      <c r="C128" s="16" t="s">
        <v>195</v>
      </c>
      <c r="D128" s="7">
        <f>SUMIFS('DATOS PROYECCIÓN'!$F:$F,'DATOS PROYECCIÓN'!A:A,A128,'DATOS PROYECCIÓN'!B:B,B128)</f>
        <v>49351847.829500005</v>
      </c>
      <c r="E128" s="13">
        <f>VLOOKUP(A128,'DATOS GENERALES'!A:B,2,0)</f>
        <v>1.69</v>
      </c>
      <c r="F128" s="16">
        <f t="shared" si="4"/>
        <v>1.6822259999999998</v>
      </c>
      <c r="G128" s="7">
        <f t="shared" si="5"/>
        <v>-29337228.071317416</v>
      </c>
      <c r="H128" s="7">
        <f t="shared" si="6"/>
        <v>20014619.758182589</v>
      </c>
      <c r="I128" s="7" t="str">
        <f>IFERROR((G128/SUMIF(B:B,B128,G:G))*VLOOKUP(B128,'DATOS GENERALES'!G:H,2,0),"")</f>
        <v/>
      </c>
      <c r="J128" s="7" t="str">
        <f t="shared" si="7"/>
        <v/>
      </c>
      <c r="K128" s="16"/>
      <c r="L128" s="16"/>
      <c r="M128" s="16"/>
    </row>
    <row r="129" spans="1:13" x14ac:dyDescent="0.25">
      <c r="A129" s="16">
        <v>1856</v>
      </c>
      <c r="B129" s="6">
        <v>43862</v>
      </c>
      <c r="C129" s="16" t="s">
        <v>195</v>
      </c>
      <c r="D129" s="7">
        <f>SUMIFS('DATOS PROYECCIÓN'!$F:$F,'DATOS PROYECCIÓN'!A:A,A129,'DATOS PROYECCIÓN'!B:B,B129)</f>
        <v>49351847.829500005</v>
      </c>
      <c r="E129" s="13">
        <f>VLOOKUP(A129,'DATOS GENERALES'!A:B,2,0)</f>
        <v>1.69</v>
      </c>
      <c r="F129" s="16">
        <f t="shared" si="4"/>
        <v>1.6822259999999998</v>
      </c>
      <c r="G129" s="7">
        <f t="shared" si="5"/>
        <v>-29337228.071317416</v>
      </c>
      <c r="H129" s="7">
        <f t="shared" si="6"/>
        <v>20014619.758182589</v>
      </c>
      <c r="I129" s="7" t="str">
        <f>IFERROR((G129/SUMIF(B:B,B129,G:G))*VLOOKUP(B129,'DATOS GENERALES'!G:H,2,0),"")</f>
        <v/>
      </c>
      <c r="J129" s="7" t="str">
        <f t="shared" si="7"/>
        <v/>
      </c>
      <c r="K129" s="16"/>
      <c r="L129" s="16"/>
      <c r="M129" s="16"/>
    </row>
    <row r="130" spans="1:13" x14ac:dyDescent="0.25">
      <c r="A130" s="16">
        <v>1856</v>
      </c>
      <c r="B130" s="6">
        <v>43891</v>
      </c>
      <c r="C130" s="16" t="s">
        <v>195</v>
      </c>
      <c r="D130" s="7">
        <f>SUMIFS('DATOS PROYECCIÓN'!$F:$F,'DATOS PROYECCIÓN'!A:A,A130,'DATOS PROYECCIÓN'!B:B,B130)</f>
        <v>49351847.829500005</v>
      </c>
      <c r="E130" s="13">
        <f>VLOOKUP(A130,'DATOS GENERALES'!A:B,2,0)</f>
        <v>1.69</v>
      </c>
      <c r="F130" s="16">
        <f t="shared" ref="F130:F193" si="8">E130*0.9954</f>
        <v>1.6822259999999998</v>
      </c>
      <c r="G130" s="7">
        <f t="shared" ref="G130:G193" si="9">-D130/F130</f>
        <v>-29337228.071317416</v>
      </c>
      <c r="H130" s="7">
        <f t="shared" ref="H130:H193" si="10">D130+G130</f>
        <v>20014619.758182589</v>
      </c>
      <c r="I130" s="7" t="str">
        <f>IFERROR((G130/SUMIF(B:B,B130,G:G))*VLOOKUP(B130,'DATOS GENERALES'!G:H,2,0),"")</f>
        <v/>
      </c>
      <c r="J130" s="7" t="str">
        <f t="shared" si="7"/>
        <v/>
      </c>
      <c r="K130" s="16"/>
      <c r="L130" s="16"/>
      <c r="M130" s="16"/>
    </row>
    <row r="131" spans="1:13" x14ac:dyDescent="0.25">
      <c r="A131" s="16">
        <v>1856</v>
      </c>
      <c r="B131" s="6">
        <v>43922</v>
      </c>
      <c r="C131" s="16" t="s">
        <v>195</v>
      </c>
      <c r="D131" s="7">
        <f>SUMIFS('DATOS PROYECCIÓN'!$F:$F,'DATOS PROYECCIÓN'!A:A,A131,'DATOS PROYECCIÓN'!B:B,B131)</f>
        <v>49351847.829500005</v>
      </c>
      <c r="E131" s="13">
        <f>VLOOKUP(A131,'DATOS GENERALES'!A:B,2,0)</f>
        <v>1.69</v>
      </c>
      <c r="F131" s="16">
        <f t="shared" si="8"/>
        <v>1.6822259999999998</v>
      </c>
      <c r="G131" s="7">
        <f t="shared" si="9"/>
        <v>-29337228.071317416</v>
      </c>
      <c r="H131" s="7">
        <f t="shared" si="10"/>
        <v>20014619.758182589</v>
      </c>
      <c r="I131" s="7" t="str">
        <f>IFERROR((G131/SUMIF(B:B,B131,G:G))*VLOOKUP(B131,'DATOS GENERALES'!G:H,2,0),"")</f>
        <v/>
      </c>
      <c r="J131" s="7" t="str">
        <f t="shared" ref="J131:J194" si="11">IFERROR(H131+I131,"")</f>
        <v/>
      </c>
      <c r="K131" s="16"/>
      <c r="L131" s="16"/>
      <c r="M131" s="16"/>
    </row>
    <row r="132" spans="1:13" x14ac:dyDescent="0.25">
      <c r="A132" s="16">
        <v>1856</v>
      </c>
      <c r="B132" s="6">
        <v>43952</v>
      </c>
      <c r="C132" s="16" t="s">
        <v>195</v>
      </c>
      <c r="D132" s="7">
        <f>SUMIFS('DATOS PROYECCIÓN'!$F:$F,'DATOS PROYECCIÓN'!A:A,A132,'DATOS PROYECCIÓN'!B:B,B132)</f>
        <v>49351847.829500005</v>
      </c>
      <c r="E132" s="13">
        <f>VLOOKUP(A132,'DATOS GENERALES'!A:B,2,0)</f>
        <v>1.69</v>
      </c>
      <c r="F132" s="16">
        <f t="shared" si="8"/>
        <v>1.6822259999999998</v>
      </c>
      <c r="G132" s="7">
        <f t="shared" si="9"/>
        <v>-29337228.071317416</v>
      </c>
      <c r="H132" s="7">
        <f t="shared" si="10"/>
        <v>20014619.758182589</v>
      </c>
      <c r="I132" s="7" t="str">
        <f>IFERROR((G132/SUMIF(B:B,B132,G:G))*VLOOKUP(B132,'DATOS GENERALES'!G:H,2,0),"")</f>
        <v/>
      </c>
      <c r="J132" s="7" t="str">
        <f t="shared" si="11"/>
        <v/>
      </c>
      <c r="K132" s="16"/>
      <c r="L132" s="16"/>
      <c r="M132" s="16"/>
    </row>
    <row r="133" spans="1:13" x14ac:dyDescent="0.25">
      <c r="A133" s="16">
        <v>1856</v>
      </c>
      <c r="B133" s="6">
        <v>43983</v>
      </c>
      <c r="C133" s="16" t="s">
        <v>195</v>
      </c>
      <c r="D133" s="7">
        <f>SUMIFS('DATOS PROYECCIÓN'!$F:$F,'DATOS PROYECCIÓN'!A:A,A133,'DATOS PROYECCIÓN'!B:B,B133)</f>
        <v>49351847.829500005</v>
      </c>
      <c r="E133" s="13">
        <f>VLOOKUP(A133,'DATOS GENERALES'!A:B,2,0)</f>
        <v>1.69</v>
      </c>
      <c r="F133" s="16">
        <f t="shared" si="8"/>
        <v>1.6822259999999998</v>
      </c>
      <c r="G133" s="7">
        <f t="shared" si="9"/>
        <v>-29337228.071317416</v>
      </c>
      <c r="H133" s="7">
        <f t="shared" si="10"/>
        <v>20014619.758182589</v>
      </c>
      <c r="I133" s="7" t="str">
        <f>IFERROR((G133/SUMIF(B:B,B133,G:G))*VLOOKUP(B133,'DATOS GENERALES'!G:H,2,0),"")</f>
        <v/>
      </c>
      <c r="J133" s="7" t="str">
        <f t="shared" si="11"/>
        <v/>
      </c>
      <c r="K133" s="16"/>
      <c r="L133" s="16"/>
      <c r="M133" s="16"/>
    </row>
    <row r="134" spans="1:13" x14ac:dyDescent="0.25">
      <c r="A134" s="16">
        <v>1856</v>
      </c>
      <c r="B134" s="6">
        <v>44013</v>
      </c>
      <c r="C134" s="16" t="s">
        <v>195</v>
      </c>
      <c r="D134" s="7">
        <f>SUMIFS('DATOS PROYECCIÓN'!$F:$F,'DATOS PROYECCIÓN'!A:A,A134,'DATOS PROYECCIÓN'!B:B,B134)</f>
        <v>49351847.829500005</v>
      </c>
      <c r="E134" s="13">
        <f>VLOOKUP(A134,'DATOS GENERALES'!A:B,2,0)</f>
        <v>1.69</v>
      </c>
      <c r="F134" s="16">
        <f t="shared" si="8"/>
        <v>1.6822259999999998</v>
      </c>
      <c r="G134" s="7">
        <f t="shared" si="9"/>
        <v>-29337228.071317416</v>
      </c>
      <c r="H134" s="7">
        <f t="shared" si="10"/>
        <v>20014619.758182589</v>
      </c>
      <c r="I134" s="7" t="str">
        <f>IFERROR((G134/SUMIF(B:B,B134,G:G))*VLOOKUP(B134,'DATOS GENERALES'!G:H,2,0),"")</f>
        <v/>
      </c>
      <c r="J134" s="7" t="str">
        <f t="shared" si="11"/>
        <v/>
      </c>
      <c r="K134" s="16"/>
      <c r="L134" s="16"/>
      <c r="M134" s="16"/>
    </row>
    <row r="135" spans="1:13" x14ac:dyDescent="0.25">
      <c r="A135" s="16">
        <v>1856</v>
      </c>
      <c r="B135" s="6">
        <v>44044</v>
      </c>
      <c r="C135" s="16" t="s">
        <v>195</v>
      </c>
      <c r="D135" s="7">
        <f>SUMIFS('DATOS PROYECCIÓN'!$F:$F,'DATOS PROYECCIÓN'!A:A,A135,'DATOS PROYECCIÓN'!B:B,B135)</f>
        <v>49351847.829500005</v>
      </c>
      <c r="E135" s="13">
        <f>VLOOKUP(A135,'DATOS GENERALES'!A:B,2,0)</f>
        <v>1.69</v>
      </c>
      <c r="F135" s="16">
        <f t="shared" si="8"/>
        <v>1.6822259999999998</v>
      </c>
      <c r="G135" s="7">
        <f t="shared" si="9"/>
        <v>-29337228.071317416</v>
      </c>
      <c r="H135" s="7">
        <f t="shared" si="10"/>
        <v>20014619.758182589</v>
      </c>
      <c r="I135" s="7" t="str">
        <f>IFERROR((G135/SUMIF(B:B,B135,G:G))*VLOOKUP(B135,'DATOS GENERALES'!G:H,2,0),"")</f>
        <v/>
      </c>
      <c r="J135" s="7" t="str">
        <f t="shared" si="11"/>
        <v/>
      </c>
      <c r="K135" s="16"/>
      <c r="L135" s="16"/>
      <c r="M135" s="16"/>
    </row>
    <row r="136" spans="1:13" x14ac:dyDescent="0.25">
      <c r="A136" s="16">
        <v>1856</v>
      </c>
      <c r="B136" s="6">
        <v>44075</v>
      </c>
      <c r="C136" s="16" t="s">
        <v>195</v>
      </c>
      <c r="D136" s="7">
        <f>SUMIFS('DATOS PROYECCIÓN'!$F:$F,'DATOS PROYECCIÓN'!A:A,A136,'DATOS PROYECCIÓN'!B:B,B136)</f>
        <v>49351847.829500005</v>
      </c>
      <c r="E136" s="13">
        <f>VLOOKUP(A136,'DATOS GENERALES'!A:B,2,0)</f>
        <v>1.69</v>
      </c>
      <c r="F136" s="16">
        <f t="shared" si="8"/>
        <v>1.6822259999999998</v>
      </c>
      <c r="G136" s="7">
        <f t="shared" si="9"/>
        <v>-29337228.071317416</v>
      </c>
      <c r="H136" s="7">
        <f t="shared" si="10"/>
        <v>20014619.758182589</v>
      </c>
      <c r="I136" s="7" t="str">
        <f>IFERROR((G136/SUMIF(B:B,B136,G:G))*VLOOKUP(B136,'DATOS GENERALES'!G:H,2,0),"")</f>
        <v/>
      </c>
      <c r="J136" s="7" t="str">
        <f t="shared" si="11"/>
        <v/>
      </c>
      <c r="K136" s="16"/>
      <c r="L136" s="16"/>
      <c r="M136" s="16"/>
    </row>
    <row r="137" spans="1:13" x14ac:dyDescent="0.25">
      <c r="A137" s="16">
        <v>1856</v>
      </c>
      <c r="B137" s="6">
        <v>44105</v>
      </c>
      <c r="C137" s="16" t="s">
        <v>195</v>
      </c>
      <c r="D137" s="7">
        <f>SUMIFS('DATOS PROYECCIÓN'!$F:$F,'DATOS PROYECCIÓN'!A:A,A137,'DATOS PROYECCIÓN'!B:B,B137)</f>
        <v>49351847.829500005</v>
      </c>
      <c r="E137" s="13">
        <f>VLOOKUP(A137,'DATOS GENERALES'!A:B,2,0)</f>
        <v>1.69</v>
      </c>
      <c r="F137" s="16">
        <f t="shared" si="8"/>
        <v>1.6822259999999998</v>
      </c>
      <c r="G137" s="7">
        <f t="shared" si="9"/>
        <v>-29337228.071317416</v>
      </c>
      <c r="H137" s="7">
        <f t="shared" si="10"/>
        <v>20014619.758182589</v>
      </c>
      <c r="I137" s="7" t="str">
        <f>IFERROR((G137/SUMIF(B:B,B137,G:G))*VLOOKUP(B137,'DATOS GENERALES'!G:H,2,0),"")</f>
        <v/>
      </c>
      <c r="J137" s="7" t="str">
        <f t="shared" si="11"/>
        <v/>
      </c>
      <c r="K137" s="16"/>
      <c r="L137" s="16"/>
      <c r="M137" s="16"/>
    </row>
    <row r="138" spans="1:13" x14ac:dyDescent="0.25">
      <c r="A138" s="16">
        <v>1856</v>
      </c>
      <c r="B138" s="6">
        <v>44136</v>
      </c>
      <c r="C138" s="16" t="s">
        <v>195</v>
      </c>
      <c r="D138" s="7">
        <f>SUMIFS('DATOS PROYECCIÓN'!$F:$F,'DATOS PROYECCIÓN'!A:A,A138,'DATOS PROYECCIÓN'!B:B,B138)</f>
        <v>49351847.829500005</v>
      </c>
      <c r="E138" s="13">
        <f>VLOOKUP(A138,'DATOS GENERALES'!A:B,2,0)</f>
        <v>1.69</v>
      </c>
      <c r="F138" s="16">
        <f t="shared" si="8"/>
        <v>1.6822259999999998</v>
      </c>
      <c r="G138" s="7">
        <f t="shared" si="9"/>
        <v>-29337228.071317416</v>
      </c>
      <c r="H138" s="7">
        <f t="shared" si="10"/>
        <v>20014619.758182589</v>
      </c>
      <c r="I138" s="7" t="str">
        <f>IFERROR((G138/SUMIF(B:B,B138,G:G))*VLOOKUP(B138,'DATOS GENERALES'!G:H,2,0),"")</f>
        <v/>
      </c>
      <c r="J138" s="7" t="str">
        <f t="shared" si="11"/>
        <v/>
      </c>
      <c r="K138" s="16"/>
      <c r="L138" s="16"/>
      <c r="M138" s="16"/>
    </row>
    <row r="139" spans="1:13" x14ac:dyDescent="0.25">
      <c r="A139" s="16">
        <v>1856</v>
      </c>
      <c r="B139" s="6">
        <v>44166</v>
      </c>
      <c r="C139" s="16" t="s">
        <v>195</v>
      </c>
      <c r="D139" s="7">
        <f>SUMIFS('DATOS PROYECCIÓN'!$F:$F,'DATOS PROYECCIÓN'!A:A,A139,'DATOS PROYECCIÓN'!B:B,B139)</f>
        <v>49351847.829500005</v>
      </c>
      <c r="E139" s="13">
        <f>VLOOKUP(A139,'DATOS GENERALES'!A:B,2,0)</f>
        <v>1.69</v>
      </c>
      <c r="F139" s="16">
        <f t="shared" si="8"/>
        <v>1.6822259999999998</v>
      </c>
      <c r="G139" s="7">
        <f t="shared" si="9"/>
        <v>-29337228.071317416</v>
      </c>
      <c r="H139" s="7">
        <f t="shared" si="10"/>
        <v>20014619.758182589</v>
      </c>
      <c r="I139" s="7" t="str">
        <f>IFERROR((G139/SUMIF(B:B,B139,G:G))*VLOOKUP(B139,'DATOS GENERALES'!G:H,2,0),"")</f>
        <v/>
      </c>
      <c r="J139" s="7" t="str">
        <f t="shared" si="11"/>
        <v/>
      </c>
      <c r="K139" s="16"/>
      <c r="L139" s="16"/>
      <c r="M139" s="16"/>
    </row>
    <row r="140" spans="1:13" x14ac:dyDescent="0.25">
      <c r="A140" s="16">
        <v>1856</v>
      </c>
      <c r="B140" s="6">
        <v>44197</v>
      </c>
      <c r="C140" s="16" t="s">
        <v>195</v>
      </c>
      <c r="D140" s="7">
        <f>SUMIFS('DATOS PROYECCIÓN'!$F:$F,'DATOS PROYECCIÓN'!A:A,A140,'DATOS PROYECCIÓN'!B:B,B140)</f>
        <v>49351847.829500005</v>
      </c>
      <c r="E140" s="13">
        <f>VLOOKUP(A140,'DATOS GENERALES'!A:B,2,0)</f>
        <v>1.69</v>
      </c>
      <c r="F140" s="16">
        <f t="shared" si="8"/>
        <v>1.6822259999999998</v>
      </c>
      <c r="G140" s="7">
        <f t="shared" si="9"/>
        <v>-29337228.071317416</v>
      </c>
      <c r="H140" s="7">
        <f t="shared" si="10"/>
        <v>20014619.758182589</v>
      </c>
      <c r="I140" s="7" t="str">
        <f>IFERROR((G140/SUMIF(B:B,B140,G:G))*VLOOKUP(B140,'DATOS GENERALES'!G:H,2,0),"")</f>
        <v/>
      </c>
      <c r="J140" s="7" t="str">
        <f t="shared" si="11"/>
        <v/>
      </c>
      <c r="K140" s="16"/>
      <c r="L140" s="16"/>
      <c r="M140" s="16"/>
    </row>
    <row r="141" spans="1:13" x14ac:dyDescent="0.25">
      <c r="A141" s="16">
        <v>1856</v>
      </c>
      <c r="B141" s="6">
        <v>44228</v>
      </c>
      <c r="C141" s="16" t="s">
        <v>195</v>
      </c>
      <c r="D141" s="7">
        <f>SUMIFS('DATOS PROYECCIÓN'!$F:$F,'DATOS PROYECCIÓN'!A:A,A141,'DATOS PROYECCIÓN'!B:B,B141)</f>
        <v>9910003.9500000011</v>
      </c>
      <c r="E141" s="13">
        <f>VLOOKUP(A141,'DATOS GENERALES'!A:B,2,0)</f>
        <v>1.69</v>
      </c>
      <c r="F141" s="16">
        <f t="shared" si="8"/>
        <v>1.6822259999999998</v>
      </c>
      <c r="G141" s="7">
        <f t="shared" si="9"/>
        <v>-5891006.291663547</v>
      </c>
      <c r="H141" s="7">
        <f t="shared" si="10"/>
        <v>4018997.6583364541</v>
      </c>
      <c r="I141" s="7" t="str">
        <f>IFERROR((G141/SUMIF(B:B,B141,G:G))*VLOOKUP(B141,'DATOS GENERALES'!G:H,2,0),"")</f>
        <v/>
      </c>
      <c r="J141" s="7" t="str">
        <f t="shared" si="11"/>
        <v/>
      </c>
      <c r="K141" s="16"/>
      <c r="L141" s="16"/>
      <c r="M141" s="16"/>
    </row>
    <row r="142" spans="1:13" x14ac:dyDescent="0.25">
      <c r="A142" s="16">
        <v>1860</v>
      </c>
      <c r="B142" s="6">
        <v>43466</v>
      </c>
      <c r="C142" s="16" t="s">
        <v>195</v>
      </c>
      <c r="D142" s="7">
        <f>SUMIFS('DATOS PROYECCIÓN'!$F:$F,'DATOS PROYECCIÓN'!A:A,A142,'DATOS PROYECCIÓN'!B:B,B142)</f>
        <v>20348195</v>
      </c>
      <c r="E142" s="13">
        <f>VLOOKUP(A142,'DATOS GENERALES'!A:B,2,0)</f>
        <v>1.61</v>
      </c>
      <c r="F142" s="16">
        <f t="shared" si="8"/>
        <v>1.6025940000000001</v>
      </c>
      <c r="G142" s="7">
        <f t="shared" si="9"/>
        <v>-12697036.804081382</v>
      </c>
      <c r="H142" s="7">
        <f t="shared" si="10"/>
        <v>7651158.1959186178</v>
      </c>
      <c r="I142" s="7">
        <f>IFERROR((G142/SUMIF(B:B,B142,G:G))*VLOOKUP(B142,'DATOS GENERALES'!G:H,2,0),"")</f>
        <v>-2785962.7990221307</v>
      </c>
      <c r="J142" s="7">
        <f t="shared" si="11"/>
        <v>4865195.3968964871</v>
      </c>
      <c r="K142" s="16"/>
      <c r="L142" s="16"/>
      <c r="M142" s="16"/>
    </row>
    <row r="143" spans="1:13" x14ac:dyDescent="0.25">
      <c r="A143" s="16">
        <v>1860</v>
      </c>
      <c r="B143" s="6">
        <v>43497</v>
      </c>
      <c r="C143" s="16" t="s">
        <v>195</v>
      </c>
      <c r="D143" s="7">
        <f>SUMIFS('DATOS PROYECCIÓN'!$F:$F,'DATOS PROYECCIÓN'!A:A,A143,'DATOS PROYECCIÓN'!B:B,B143)</f>
        <v>20348195</v>
      </c>
      <c r="E143" s="13">
        <f>VLOOKUP(A143,'DATOS GENERALES'!A:B,2,0)</f>
        <v>1.61</v>
      </c>
      <c r="F143" s="16">
        <f t="shared" si="8"/>
        <v>1.6025940000000001</v>
      </c>
      <c r="G143" s="7">
        <f t="shared" si="9"/>
        <v>-12697036.804081382</v>
      </c>
      <c r="H143" s="7">
        <f t="shared" si="10"/>
        <v>7651158.1959186178</v>
      </c>
      <c r="I143" s="7">
        <f>IFERROR((G143/SUMIF(B:B,B143,G:G))*VLOOKUP(B143,'DATOS GENERALES'!G:H,2,0),"")</f>
        <v>-2744564.1443934408</v>
      </c>
      <c r="J143" s="7">
        <f t="shared" si="11"/>
        <v>4906594.0515251774</v>
      </c>
      <c r="K143" s="16"/>
      <c r="L143" s="16"/>
      <c r="M143" s="16"/>
    </row>
    <row r="144" spans="1:13" x14ac:dyDescent="0.25">
      <c r="A144" s="16">
        <v>1860</v>
      </c>
      <c r="B144" s="6">
        <v>43525</v>
      </c>
      <c r="C144" s="16" t="s">
        <v>195</v>
      </c>
      <c r="D144" s="7">
        <f>SUMIFS('DATOS PROYECCIÓN'!$F:$F,'DATOS PROYECCIÓN'!A:A,A144,'DATOS PROYECCIÓN'!B:B,B144)</f>
        <v>20348195</v>
      </c>
      <c r="E144" s="13">
        <f>VLOOKUP(A144,'DATOS GENERALES'!A:B,2,0)</f>
        <v>1.61</v>
      </c>
      <c r="F144" s="16">
        <f t="shared" si="8"/>
        <v>1.6025940000000001</v>
      </c>
      <c r="G144" s="7">
        <f t="shared" si="9"/>
        <v>-12697036.804081382</v>
      </c>
      <c r="H144" s="7">
        <f t="shared" si="10"/>
        <v>7651158.1959186178</v>
      </c>
      <c r="I144" s="7">
        <f>IFERROR((G144/SUMIF(B:B,B144,G:G))*VLOOKUP(B144,'DATOS GENERALES'!G:H,2,0),"")</f>
        <v>-1985658.1180022748</v>
      </c>
      <c r="J144" s="7">
        <f t="shared" si="11"/>
        <v>5665500.0779163428</v>
      </c>
      <c r="K144" s="16"/>
      <c r="L144" s="16"/>
      <c r="M144" s="16"/>
    </row>
    <row r="145" spans="1:13" x14ac:dyDescent="0.25">
      <c r="A145" s="16">
        <v>1860</v>
      </c>
      <c r="B145" s="6">
        <v>43556</v>
      </c>
      <c r="C145" s="16" t="s">
        <v>195</v>
      </c>
      <c r="D145" s="7">
        <f>SUMIFS('DATOS PROYECCIÓN'!$F:$F,'DATOS PROYECCIÓN'!A:A,A145,'DATOS PROYECCIÓN'!B:B,B145)</f>
        <v>20348195</v>
      </c>
      <c r="E145" s="13">
        <f>VLOOKUP(A145,'DATOS GENERALES'!A:B,2,0)</f>
        <v>1.61</v>
      </c>
      <c r="F145" s="16">
        <f t="shared" si="8"/>
        <v>1.6025940000000001</v>
      </c>
      <c r="G145" s="7">
        <f t="shared" si="9"/>
        <v>-12697036.804081382</v>
      </c>
      <c r="H145" s="7">
        <f t="shared" si="10"/>
        <v>7651158.1959186178</v>
      </c>
      <c r="I145" s="7">
        <f>IFERROR((G145/SUMIF(B:B,B145,G:G))*VLOOKUP(B145,'DATOS GENERALES'!G:H,2,0),"")</f>
        <v>-2041406.2007341066</v>
      </c>
      <c r="J145" s="7">
        <f t="shared" si="11"/>
        <v>5609751.9951845109</v>
      </c>
      <c r="K145" s="16"/>
      <c r="L145" s="16"/>
      <c r="M145" s="16"/>
    </row>
    <row r="146" spans="1:13" x14ac:dyDescent="0.25">
      <c r="A146" s="16">
        <v>1860</v>
      </c>
      <c r="B146" s="6">
        <v>43586</v>
      </c>
      <c r="C146" s="16" t="s">
        <v>195</v>
      </c>
      <c r="D146" s="7">
        <f>SUMIFS('DATOS PROYECCIÓN'!$F:$F,'DATOS PROYECCIÓN'!A:A,A146,'DATOS PROYECCIÓN'!B:B,B146)</f>
        <v>20348195</v>
      </c>
      <c r="E146" s="13">
        <f>VLOOKUP(A146,'DATOS GENERALES'!A:B,2,0)</f>
        <v>1.61</v>
      </c>
      <c r="F146" s="16">
        <f t="shared" si="8"/>
        <v>1.6025940000000001</v>
      </c>
      <c r="G146" s="7">
        <f t="shared" si="9"/>
        <v>-12697036.804081382</v>
      </c>
      <c r="H146" s="7">
        <f t="shared" si="10"/>
        <v>7651158.1959186178</v>
      </c>
      <c r="I146" s="7">
        <f>IFERROR((G146/SUMIF(B:B,B146,G:G))*VLOOKUP(B146,'DATOS GENERALES'!G:H,2,0),"")</f>
        <v>-1684017.3509945383</v>
      </c>
      <c r="J146" s="7">
        <f t="shared" si="11"/>
        <v>5967140.8449240793</v>
      </c>
      <c r="K146" s="16"/>
      <c r="L146" s="16"/>
      <c r="M146" s="16"/>
    </row>
    <row r="147" spans="1:13" x14ac:dyDescent="0.25">
      <c r="A147" s="16">
        <v>1860</v>
      </c>
      <c r="B147" s="6">
        <v>43617</v>
      </c>
      <c r="C147" s="16" t="s">
        <v>195</v>
      </c>
      <c r="D147" s="7">
        <f>SUMIFS('DATOS PROYECCIÓN'!$F:$F,'DATOS PROYECCIÓN'!A:A,A147,'DATOS PROYECCIÓN'!B:B,B147)</f>
        <v>20348195</v>
      </c>
      <c r="E147" s="13">
        <f>VLOOKUP(A147,'DATOS GENERALES'!A:B,2,0)</f>
        <v>1.61</v>
      </c>
      <c r="F147" s="16">
        <f t="shared" si="8"/>
        <v>1.6025940000000001</v>
      </c>
      <c r="G147" s="7">
        <f t="shared" si="9"/>
        <v>-12697036.804081382</v>
      </c>
      <c r="H147" s="7">
        <f t="shared" si="10"/>
        <v>7651158.1959186178</v>
      </c>
      <c r="I147" s="7">
        <f>IFERROR((G147/SUMIF(B:B,B147,G:G))*VLOOKUP(B147,'DATOS GENERALES'!G:H,2,0),"")</f>
        <v>-2264608.9663821044</v>
      </c>
      <c r="J147" s="7">
        <f t="shared" si="11"/>
        <v>5386549.2295365129</v>
      </c>
      <c r="K147" s="16"/>
      <c r="L147" s="16"/>
      <c r="M147" s="16"/>
    </row>
    <row r="148" spans="1:13" x14ac:dyDescent="0.25">
      <c r="A148" s="16">
        <v>1860</v>
      </c>
      <c r="B148" s="6">
        <v>43647</v>
      </c>
      <c r="C148" s="16" t="s">
        <v>195</v>
      </c>
      <c r="D148" s="7">
        <f>SUMIFS('DATOS PROYECCIÓN'!$F:$F,'DATOS PROYECCIÓN'!A:A,A148,'DATOS PROYECCIÓN'!B:B,B148)</f>
        <v>20348195</v>
      </c>
      <c r="E148" s="13">
        <f>VLOOKUP(A148,'DATOS GENERALES'!A:B,2,0)</f>
        <v>1.61</v>
      </c>
      <c r="F148" s="16">
        <f t="shared" si="8"/>
        <v>1.6025940000000001</v>
      </c>
      <c r="G148" s="7">
        <f t="shared" si="9"/>
        <v>-12697036.804081382</v>
      </c>
      <c r="H148" s="7">
        <f t="shared" si="10"/>
        <v>7651158.1959186178</v>
      </c>
      <c r="I148" s="7">
        <f>IFERROR((G148/SUMIF(B:B,B148,G:G))*VLOOKUP(B148,'DATOS GENERALES'!G:H,2,0),"")</f>
        <v>-3377200.0836776807</v>
      </c>
      <c r="J148" s="7">
        <f t="shared" si="11"/>
        <v>4273958.1122409366</v>
      </c>
      <c r="K148" s="16"/>
      <c r="L148" s="16"/>
      <c r="M148" s="16"/>
    </row>
    <row r="149" spans="1:13" x14ac:dyDescent="0.25">
      <c r="A149" s="16">
        <v>1860</v>
      </c>
      <c r="B149" s="6">
        <v>43678</v>
      </c>
      <c r="C149" s="16" t="s">
        <v>195</v>
      </c>
      <c r="D149" s="7">
        <f>SUMIFS('DATOS PROYECCIÓN'!$F:$F,'DATOS PROYECCIÓN'!A:A,A149,'DATOS PROYECCIÓN'!B:B,B149)</f>
        <v>20348195</v>
      </c>
      <c r="E149" s="13">
        <f>VLOOKUP(A149,'DATOS GENERALES'!A:B,2,0)</f>
        <v>1.61</v>
      </c>
      <c r="F149" s="16">
        <f t="shared" si="8"/>
        <v>1.6025940000000001</v>
      </c>
      <c r="G149" s="7">
        <f t="shared" si="9"/>
        <v>-12697036.804081382</v>
      </c>
      <c r="H149" s="7">
        <f t="shared" si="10"/>
        <v>7651158.1959186178</v>
      </c>
      <c r="I149" s="7">
        <f>IFERROR((G149/SUMIF(B:B,B149,G:G))*VLOOKUP(B149,'DATOS GENERALES'!G:H,2,0),"")</f>
        <v>-3323287.3252204647</v>
      </c>
      <c r="J149" s="7">
        <f t="shared" si="11"/>
        <v>4327870.870698153</v>
      </c>
      <c r="K149" s="16"/>
      <c r="L149" s="16"/>
      <c r="M149" s="16"/>
    </row>
    <row r="150" spans="1:13" x14ac:dyDescent="0.25">
      <c r="A150" s="16">
        <v>1860</v>
      </c>
      <c r="B150" s="6">
        <v>43709</v>
      </c>
      <c r="C150" s="16" t="s">
        <v>195</v>
      </c>
      <c r="D150" s="7">
        <f>SUMIFS('DATOS PROYECCIÓN'!$F:$F,'DATOS PROYECCIÓN'!A:A,A150,'DATOS PROYECCIÓN'!B:B,B150)</f>
        <v>20348195</v>
      </c>
      <c r="E150" s="13">
        <f>VLOOKUP(A150,'DATOS GENERALES'!A:B,2,0)</f>
        <v>1.61</v>
      </c>
      <c r="F150" s="16">
        <f t="shared" si="8"/>
        <v>1.6025940000000001</v>
      </c>
      <c r="G150" s="7">
        <f t="shared" si="9"/>
        <v>-12697036.804081382</v>
      </c>
      <c r="H150" s="7">
        <f t="shared" si="10"/>
        <v>7651158.1959186178</v>
      </c>
      <c r="I150" s="7">
        <f>IFERROR((G150/SUMIF(B:B,B150,G:G))*VLOOKUP(B150,'DATOS GENERALES'!G:H,2,0),"")</f>
        <v>-3755889.7615349451</v>
      </c>
      <c r="J150" s="7">
        <f t="shared" si="11"/>
        <v>3895268.4343836727</v>
      </c>
      <c r="K150" s="16"/>
      <c r="L150" s="16"/>
      <c r="M150" s="16"/>
    </row>
    <row r="151" spans="1:13" x14ac:dyDescent="0.25">
      <c r="A151" s="16">
        <v>1860</v>
      </c>
      <c r="B151" s="6">
        <v>43739</v>
      </c>
      <c r="C151" s="16" t="s">
        <v>195</v>
      </c>
      <c r="D151" s="7">
        <f>SUMIFS('DATOS PROYECCIÓN'!$F:$F,'DATOS PROYECCIÓN'!A:A,A151,'DATOS PROYECCIÓN'!B:B,B151)</f>
        <v>20348195</v>
      </c>
      <c r="E151" s="13">
        <f>VLOOKUP(A151,'DATOS GENERALES'!A:B,2,0)</f>
        <v>1.61</v>
      </c>
      <c r="F151" s="16">
        <f t="shared" si="8"/>
        <v>1.6025940000000001</v>
      </c>
      <c r="G151" s="7">
        <f t="shared" si="9"/>
        <v>-12697036.804081382</v>
      </c>
      <c r="H151" s="7">
        <f t="shared" si="10"/>
        <v>7651158.1959186178</v>
      </c>
      <c r="I151" s="7">
        <f>IFERROR((G151/SUMIF(B:B,B151,G:G))*VLOOKUP(B151,'DATOS GENERALES'!G:H,2,0),"")</f>
        <v>-4061606.9469484258</v>
      </c>
      <c r="J151" s="7">
        <f t="shared" si="11"/>
        <v>3589551.2489701919</v>
      </c>
      <c r="K151" s="16"/>
      <c r="L151" s="16"/>
      <c r="M151" s="16"/>
    </row>
    <row r="152" spans="1:13" x14ac:dyDescent="0.25">
      <c r="A152" s="16">
        <v>1860</v>
      </c>
      <c r="B152" s="6">
        <v>43770</v>
      </c>
      <c r="C152" s="16" t="s">
        <v>195</v>
      </c>
      <c r="D152" s="7">
        <f>SUMIFS('DATOS PROYECCIÓN'!$F:$F,'DATOS PROYECCIÓN'!A:A,A152,'DATOS PROYECCIÓN'!B:B,B152)</f>
        <v>20348195</v>
      </c>
      <c r="E152" s="13">
        <f>VLOOKUP(A152,'DATOS GENERALES'!A:B,2,0)</f>
        <v>1.61</v>
      </c>
      <c r="F152" s="16">
        <f t="shared" si="8"/>
        <v>1.6025940000000001</v>
      </c>
      <c r="G152" s="7">
        <f t="shared" si="9"/>
        <v>-12697036.804081382</v>
      </c>
      <c r="H152" s="7">
        <f t="shared" si="10"/>
        <v>7651158.1959186178</v>
      </c>
      <c r="I152" s="7">
        <f>IFERROR((G152/SUMIF(B:B,B152,G:G))*VLOOKUP(B152,'DATOS GENERALES'!G:H,2,0),"")</f>
        <v>-5432100.1651012665</v>
      </c>
      <c r="J152" s="7">
        <f t="shared" si="11"/>
        <v>2219058.0308173513</v>
      </c>
      <c r="K152" s="16"/>
      <c r="L152" s="16"/>
      <c r="M152" s="16"/>
    </row>
    <row r="153" spans="1:13" x14ac:dyDescent="0.25">
      <c r="A153" s="16">
        <v>1860</v>
      </c>
      <c r="B153" s="6">
        <v>43800</v>
      </c>
      <c r="C153" s="16" t="s">
        <v>195</v>
      </c>
      <c r="D153" s="7">
        <f>SUMIFS('DATOS PROYECCIÓN'!$F:$F,'DATOS PROYECCIÓN'!A:A,A153,'DATOS PROYECCIÓN'!B:B,B153)</f>
        <v>20348195</v>
      </c>
      <c r="E153" s="13">
        <f>VLOOKUP(A153,'DATOS GENERALES'!A:B,2,0)</f>
        <v>1.61</v>
      </c>
      <c r="F153" s="16">
        <f t="shared" si="8"/>
        <v>1.6025940000000001</v>
      </c>
      <c r="G153" s="7">
        <f t="shared" si="9"/>
        <v>-12697036.804081382</v>
      </c>
      <c r="H153" s="7">
        <f t="shared" si="10"/>
        <v>7651158.1959186178</v>
      </c>
      <c r="I153" s="7">
        <f>IFERROR((G153/SUMIF(B:B,B153,G:G))*VLOOKUP(B153,'DATOS GENERALES'!G:H,2,0),"")</f>
        <v>-4573759.8621928757</v>
      </c>
      <c r="J153" s="7">
        <f t="shared" si="11"/>
        <v>3077398.3337257421</v>
      </c>
      <c r="K153" s="16"/>
      <c r="L153" s="16"/>
      <c r="M153" s="16"/>
    </row>
    <row r="154" spans="1:13" x14ac:dyDescent="0.25">
      <c r="A154" s="16">
        <v>1860</v>
      </c>
      <c r="B154" s="6">
        <v>43831</v>
      </c>
      <c r="C154" s="16" t="s">
        <v>195</v>
      </c>
      <c r="D154" s="7">
        <f>SUMIFS('DATOS PROYECCIÓN'!$F:$F,'DATOS PROYECCIÓN'!A:A,A154,'DATOS PROYECCIÓN'!B:B,B154)</f>
        <v>20348195</v>
      </c>
      <c r="E154" s="13">
        <f>VLOOKUP(A154,'DATOS GENERALES'!A:B,2,0)</f>
        <v>1.61</v>
      </c>
      <c r="F154" s="16">
        <f t="shared" si="8"/>
        <v>1.6025940000000001</v>
      </c>
      <c r="G154" s="7">
        <f t="shared" si="9"/>
        <v>-12697036.804081382</v>
      </c>
      <c r="H154" s="7">
        <f t="shared" si="10"/>
        <v>7651158.1959186178</v>
      </c>
      <c r="I154" s="7" t="str">
        <f>IFERROR((G154/SUMIF(B:B,B154,G:G))*VLOOKUP(B154,'DATOS GENERALES'!G:H,2,0),"")</f>
        <v/>
      </c>
      <c r="J154" s="7" t="str">
        <f t="shared" si="11"/>
        <v/>
      </c>
      <c r="K154" s="16"/>
      <c r="L154" s="16"/>
      <c r="M154" s="16"/>
    </row>
    <row r="155" spans="1:13" x14ac:dyDescent="0.25">
      <c r="A155" s="16">
        <v>1860</v>
      </c>
      <c r="B155" s="6">
        <v>43862</v>
      </c>
      <c r="C155" s="16" t="s">
        <v>195</v>
      </c>
      <c r="D155" s="7">
        <f>SUMIFS('DATOS PROYECCIÓN'!$F:$F,'DATOS PROYECCIÓN'!A:A,A155,'DATOS PROYECCIÓN'!B:B,B155)</f>
        <v>20348195</v>
      </c>
      <c r="E155" s="13">
        <f>VLOOKUP(A155,'DATOS GENERALES'!A:B,2,0)</f>
        <v>1.61</v>
      </c>
      <c r="F155" s="16">
        <f t="shared" si="8"/>
        <v>1.6025940000000001</v>
      </c>
      <c r="G155" s="7">
        <f t="shared" si="9"/>
        <v>-12697036.804081382</v>
      </c>
      <c r="H155" s="7">
        <f t="shared" si="10"/>
        <v>7651158.1959186178</v>
      </c>
      <c r="I155" s="7" t="str">
        <f>IFERROR((G155/SUMIF(B:B,B155,G:G))*VLOOKUP(B155,'DATOS GENERALES'!G:H,2,0),"")</f>
        <v/>
      </c>
      <c r="J155" s="7" t="str">
        <f t="shared" si="11"/>
        <v/>
      </c>
      <c r="K155" s="16"/>
      <c r="L155" s="16"/>
      <c r="M155" s="16"/>
    </row>
    <row r="156" spans="1:13" x14ac:dyDescent="0.25">
      <c r="A156" s="16">
        <v>1860</v>
      </c>
      <c r="B156" s="6">
        <v>43891</v>
      </c>
      <c r="C156" s="16" t="s">
        <v>195</v>
      </c>
      <c r="D156" s="7">
        <f>SUMIFS('DATOS PROYECCIÓN'!$F:$F,'DATOS PROYECCIÓN'!A:A,A156,'DATOS PROYECCIÓN'!B:B,B156)</f>
        <v>20348195</v>
      </c>
      <c r="E156" s="13">
        <f>VLOOKUP(A156,'DATOS GENERALES'!A:B,2,0)</f>
        <v>1.61</v>
      </c>
      <c r="F156" s="16">
        <f t="shared" si="8"/>
        <v>1.6025940000000001</v>
      </c>
      <c r="G156" s="7">
        <f t="shared" si="9"/>
        <v>-12697036.804081382</v>
      </c>
      <c r="H156" s="7">
        <f t="shared" si="10"/>
        <v>7651158.1959186178</v>
      </c>
      <c r="I156" s="7" t="str">
        <f>IFERROR((G156/SUMIF(B:B,B156,G:G))*VLOOKUP(B156,'DATOS GENERALES'!G:H,2,0),"")</f>
        <v/>
      </c>
      <c r="J156" s="7" t="str">
        <f t="shared" si="11"/>
        <v/>
      </c>
      <c r="K156" s="16"/>
      <c r="L156" s="16"/>
      <c r="M156" s="16"/>
    </row>
    <row r="157" spans="1:13" x14ac:dyDescent="0.25">
      <c r="A157" s="16">
        <v>1860</v>
      </c>
      <c r="B157" s="6">
        <v>43922</v>
      </c>
      <c r="C157" s="16" t="s">
        <v>195</v>
      </c>
      <c r="D157" s="7">
        <f>SUMIFS('DATOS PROYECCIÓN'!$F:$F,'DATOS PROYECCIÓN'!A:A,A157,'DATOS PROYECCIÓN'!B:B,B157)</f>
        <v>20348195</v>
      </c>
      <c r="E157" s="13">
        <f>VLOOKUP(A157,'DATOS GENERALES'!A:B,2,0)</f>
        <v>1.61</v>
      </c>
      <c r="F157" s="16">
        <f t="shared" si="8"/>
        <v>1.6025940000000001</v>
      </c>
      <c r="G157" s="7">
        <f t="shared" si="9"/>
        <v>-12697036.804081382</v>
      </c>
      <c r="H157" s="7">
        <f t="shared" si="10"/>
        <v>7651158.1959186178</v>
      </c>
      <c r="I157" s="7" t="str">
        <f>IFERROR((G157/SUMIF(B:B,B157,G:G))*VLOOKUP(B157,'DATOS GENERALES'!G:H,2,0),"")</f>
        <v/>
      </c>
      <c r="J157" s="7" t="str">
        <f t="shared" si="11"/>
        <v/>
      </c>
      <c r="K157" s="16"/>
      <c r="L157" s="16"/>
      <c r="M157" s="16"/>
    </row>
    <row r="158" spans="1:13" x14ac:dyDescent="0.25">
      <c r="A158" s="16">
        <v>1860</v>
      </c>
      <c r="B158" s="6">
        <v>43952</v>
      </c>
      <c r="C158" s="16" t="s">
        <v>195</v>
      </c>
      <c r="D158" s="7">
        <f>SUMIFS('DATOS PROYECCIÓN'!$F:$F,'DATOS PROYECCIÓN'!A:A,A158,'DATOS PROYECCIÓN'!B:B,B158)</f>
        <v>20348195</v>
      </c>
      <c r="E158" s="13">
        <f>VLOOKUP(A158,'DATOS GENERALES'!A:B,2,0)</f>
        <v>1.61</v>
      </c>
      <c r="F158" s="16">
        <f t="shared" si="8"/>
        <v>1.6025940000000001</v>
      </c>
      <c r="G158" s="7">
        <f t="shared" si="9"/>
        <v>-12697036.804081382</v>
      </c>
      <c r="H158" s="7">
        <f t="shared" si="10"/>
        <v>7651158.1959186178</v>
      </c>
      <c r="I158" s="7" t="str">
        <f>IFERROR((G158/SUMIF(B:B,B158,G:G))*VLOOKUP(B158,'DATOS GENERALES'!G:H,2,0),"")</f>
        <v/>
      </c>
      <c r="J158" s="7" t="str">
        <f t="shared" si="11"/>
        <v/>
      </c>
      <c r="K158" s="16"/>
      <c r="L158" s="16"/>
      <c r="M158" s="16"/>
    </row>
    <row r="159" spans="1:13" x14ac:dyDescent="0.25">
      <c r="A159" s="16">
        <v>1860</v>
      </c>
      <c r="B159" s="6">
        <v>43983</v>
      </c>
      <c r="C159" s="16" t="s">
        <v>195</v>
      </c>
      <c r="D159" s="7">
        <f>SUMIFS('DATOS PROYECCIÓN'!$F:$F,'DATOS PROYECCIÓN'!A:A,A159,'DATOS PROYECCIÓN'!B:B,B159)</f>
        <v>20348195</v>
      </c>
      <c r="E159" s="13">
        <f>VLOOKUP(A159,'DATOS GENERALES'!A:B,2,0)</f>
        <v>1.61</v>
      </c>
      <c r="F159" s="16">
        <f t="shared" si="8"/>
        <v>1.6025940000000001</v>
      </c>
      <c r="G159" s="7">
        <f t="shared" si="9"/>
        <v>-12697036.804081382</v>
      </c>
      <c r="H159" s="7">
        <f t="shared" si="10"/>
        <v>7651158.1959186178</v>
      </c>
      <c r="I159" s="7" t="str">
        <f>IFERROR((G159/SUMIF(B:B,B159,G:G))*VLOOKUP(B159,'DATOS GENERALES'!G:H,2,0),"")</f>
        <v/>
      </c>
      <c r="J159" s="7" t="str">
        <f t="shared" si="11"/>
        <v/>
      </c>
      <c r="K159" s="16"/>
      <c r="L159" s="16"/>
      <c r="M159" s="16"/>
    </row>
    <row r="160" spans="1:13" x14ac:dyDescent="0.25">
      <c r="A160" s="16">
        <v>1860</v>
      </c>
      <c r="B160" s="6">
        <v>44013</v>
      </c>
      <c r="C160" s="16" t="s">
        <v>195</v>
      </c>
      <c r="D160" s="7">
        <f>SUMIFS('DATOS PROYECCIÓN'!$F:$F,'DATOS PROYECCIÓN'!A:A,A160,'DATOS PROYECCIÓN'!B:B,B160)</f>
        <v>20348195</v>
      </c>
      <c r="E160" s="13">
        <f>VLOOKUP(A160,'DATOS GENERALES'!A:B,2,0)</f>
        <v>1.61</v>
      </c>
      <c r="F160" s="16">
        <f t="shared" si="8"/>
        <v>1.6025940000000001</v>
      </c>
      <c r="G160" s="7">
        <f t="shared" si="9"/>
        <v>-12697036.804081382</v>
      </c>
      <c r="H160" s="7">
        <f t="shared" si="10"/>
        <v>7651158.1959186178</v>
      </c>
      <c r="I160" s="7" t="str">
        <f>IFERROR((G160/SUMIF(B:B,B160,G:G))*VLOOKUP(B160,'DATOS GENERALES'!G:H,2,0),"")</f>
        <v/>
      </c>
      <c r="J160" s="7" t="str">
        <f t="shared" si="11"/>
        <v/>
      </c>
      <c r="K160" s="16"/>
      <c r="L160" s="16"/>
      <c r="M160" s="16"/>
    </row>
    <row r="161" spans="1:13" x14ac:dyDescent="0.25">
      <c r="A161" s="16">
        <v>1860</v>
      </c>
      <c r="B161" s="6">
        <v>44044</v>
      </c>
      <c r="C161" s="16" t="s">
        <v>195</v>
      </c>
      <c r="D161" s="7">
        <f>SUMIFS('DATOS PROYECCIÓN'!$F:$F,'DATOS PROYECCIÓN'!A:A,A161,'DATOS PROYECCIÓN'!B:B,B161)</f>
        <v>24271520</v>
      </c>
      <c r="E161" s="13">
        <f>VLOOKUP(A161,'DATOS GENERALES'!A:B,2,0)</f>
        <v>1.61</v>
      </c>
      <c r="F161" s="16">
        <f t="shared" si="8"/>
        <v>1.6025940000000001</v>
      </c>
      <c r="G161" s="7">
        <f t="shared" si="9"/>
        <v>-15145145.932157489</v>
      </c>
      <c r="H161" s="7">
        <f t="shared" si="10"/>
        <v>9126374.0678425115</v>
      </c>
      <c r="I161" s="7" t="str">
        <f>IFERROR((G161/SUMIF(B:B,B161,G:G))*VLOOKUP(B161,'DATOS GENERALES'!G:H,2,0),"")</f>
        <v/>
      </c>
      <c r="J161" s="7" t="str">
        <f t="shared" si="11"/>
        <v/>
      </c>
      <c r="K161" s="16"/>
      <c r="L161" s="16"/>
      <c r="M161" s="16"/>
    </row>
    <row r="162" spans="1:13" x14ac:dyDescent="0.25">
      <c r="A162" s="16">
        <v>1860</v>
      </c>
      <c r="B162" s="6">
        <v>44075</v>
      </c>
      <c r="C162" s="16" t="s">
        <v>195</v>
      </c>
      <c r="D162" s="7">
        <f>SUMIFS('DATOS PROYECCIÓN'!$F:$F,'DATOS PROYECCIÓN'!A:A,A162,'DATOS PROYECCIÓN'!B:B,B162)</f>
        <v>24271520</v>
      </c>
      <c r="E162" s="13">
        <f>VLOOKUP(A162,'DATOS GENERALES'!A:B,2,0)</f>
        <v>1.61</v>
      </c>
      <c r="F162" s="16">
        <f t="shared" si="8"/>
        <v>1.6025940000000001</v>
      </c>
      <c r="G162" s="7">
        <f t="shared" si="9"/>
        <v>-15145145.932157489</v>
      </c>
      <c r="H162" s="7">
        <f t="shared" si="10"/>
        <v>9126374.0678425115</v>
      </c>
      <c r="I162" s="7" t="str">
        <f>IFERROR((G162/SUMIF(B:B,B162,G:G))*VLOOKUP(B162,'DATOS GENERALES'!G:H,2,0),"")</f>
        <v/>
      </c>
      <c r="J162" s="7" t="str">
        <f t="shared" si="11"/>
        <v/>
      </c>
      <c r="K162" s="16"/>
      <c r="L162" s="16"/>
      <c r="M162" s="16"/>
    </row>
    <row r="163" spans="1:13" x14ac:dyDescent="0.25">
      <c r="A163" s="16">
        <v>1860</v>
      </c>
      <c r="B163" s="6">
        <v>44105</v>
      </c>
      <c r="C163" s="16" t="s">
        <v>195</v>
      </c>
      <c r="D163" s="7">
        <f>SUMIFS('DATOS PROYECCIÓN'!$F:$F,'DATOS PROYECCIÓN'!A:A,A163,'DATOS PROYECCIÓN'!B:B,B163)</f>
        <v>24271520</v>
      </c>
      <c r="E163" s="13">
        <f>VLOOKUP(A163,'DATOS GENERALES'!A:B,2,0)</f>
        <v>1.61</v>
      </c>
      <c r="F163" s="16">
        <f t="shared" si="8"/>
        <v>1.6025940000000001</v>
      </c>
      <c r="G163" s="7">
        <f t="shared" si="9"/>
        <v>-15145145.932157489</v>
      </c>
      <c r="H163" s="7">
        <f t="shared" si="10"/>
        <v>9126374.0678425115</v>
      </c>
      <c r="I163" s="7" t="str">
        <f>IFERROR((G163/SUMIF(B:B,B163,G:G))*VLOOKUP(B163,'DATOS GENERALES'!G:H,2,0),"")</f>
        <v/>
      </c>
      <c r="J163" s="7" t="str">
        <f t="shared" si="11"/>
        <v/>
      </c>
      <c r="K163" s="16"/>
      <c r="L163" s="16"/>
      <c r="M163" s="16"/>
    </row>
    <row r="164" spans="1:13" x14ac:dyDescent="0.25">
      <c r="A164" s="16">
        <v>1860</v>
      </c>
      <c r="B164" s="6">
        <v>44136</v>
      </c>
      <c r="C164" s="16" t="s">
        <v>195</v>
      </c>
      <c r="D164" s="7">
        <f>SUMIFS('DATOS PROYECCIÓN'!$F:$F,'DATOS PROYECCIÓN'!A:A,A164,'DATOS PROYECCIÓN'!B:B,B164)</f>
        <v>24271520</v>
      </c>
      <c r="E164" s="13">
        <f>VLOOKUP(A164,'DATOS GENERALES'!A:B,2,0)</f>
        <v>1.61</v>
      </c>
      <c r="F164" s="16">
        <f t="shared" si="8"/>
        <v>1.6025940000000001</v>
      </c>
      <c r="G164" s="7">
        <f t="shared" si="9"/>
        <v>-15145145.932157489</v>
      </c>
      <c r="H164" s="7">
        <f t="shared" si="10"/>
        <v>9126374.0678425115</v>
      </c>
      <c r="I164" s="7" t="str">
        <f>IFERROR((G164/SUMIF(B:B,B164,G:G))*VLOOKUP(B164,'DATOS GENERALES'!G:H,2,0),"")</f>
        <v/>
      </c>
      <c r="J164" s="7" t="str">
        <f t="shared" si="11"/>
        <v/>
      </c>
      <c r="K164" s="16"/>
      <c r="L164" s="16"/>
      <c r="M164" s="16"/>
    </row>
    <row r="165" spans="1:13" x14ac:dyDescent="0.25">
      <c r="A165" s="16">
        <v>1860</v>
      </c>
      <c r="B165" s="6">
        <v>44166</v>
      </c>
      <c r="C165" s="16" t="s">
        <v>195</v>
      </c>
      <c r="D165" s="7">
        <f>SUMIFS('DATOS PROYECCIÓN'!$F:$F,'DATOS PROYECCIÓN'!A:A,A165,'DATOS PROYECCIÓN'!B:B,B165)</f>
        <v>24271520</v>
      </c>
      <c r="E165" s="13">
        <f>VLOOKUP(A165,'DATOS GENERALES'!A:B,2,0)</f>
        <v>1.61</v>
      </c>
      <c r="F165" s="16">
        <f t="shared" si="8"/>
        <v>1.6025940000000001</v>
      </c>
      <c r="G165" s="7">
        <f t="shared" si="9"/>
        <v>-15145145.932157489</v>
      </c>
      <c r="H165" s="7">
        <f t="shared" si="10"/>
        <v>9126374.0678425115</v>
      </c>
      <c r="I165" s="7" t="str">
        <f>IFERROR((G165/SUMIF(B:B,B165,G:G))*VLOOKUP(B165,'DATOS GENERALES'!G:H,2,0),"")</f>
        <v/>
      </c>
      <c r="J165" s="7" t="str">
        <f t="shared" si="11"/>
        <v/>
      </c>
      <c r="K165" s="16"/>
      <c r="L165" s="16"/>
      <c r="M165" s="16"/>
    </row>
    <row r="166" spans="1:13" x14ac:dyDescent="0.25">
      <c r="A166" s="16">
        <v>1860</v>
      </c>
      <c r="B166" s="6">
        <v>44197</v>
      </c>
      <c r="C166" s="16" t="s">
        <v>195</v>
      </c>
      <c r="D166" s="7">
        <f>SUMIFS('DATOS PROYECCIÓN'!$F:$F,'DATOS PROYECCIÓN'!A:A,A166,'DATOS PROYECCIÓN'!B:B,B166)</f>
        <v>24271520</v>
      </c>
      <c r="E166" s="13">
        <f>VLOOKUP(A166,'DATOS GENERALES'!A:B,2,0)</f>
        <v>1.61</v>
      </c>
      <c r="F166" s="16">
        <f t="shared" si="8"/>
        <v>1.6025940000000001</v>
      </c>
      <c r="G166" s="7">
        <f t="shared" si="9"/>
        <v>-15145145.932157489</v>
      </c>
      <c r="H166" s="7">
        <f t="shared" si="10"/>
        <v>9126374.0678425115</v>
      </c>
      <c r="I166" s="7" t="str">
        <f>IFERROR((G166/SUMIF(B:B,B166,G:G))*VLOOKUP(B166,'DATOS GENERALES'!G:H,2,0),"")</f>
        <v/>
      </c>
      <c r="J166" s="7" t="str">
        <f t="shared" si="11"/>
        <v/>
      </c>
      <c r="K166" s="16"/>
      <c r="L166" s="16"/>
      <c r="M166" s="16"/>
    </row>
    <row r="167" spans="1:13" x14ac:dyDescent="0.25">
      <c r="A167" s="16">
        <v>1860</v>
      </c>
      <c r="B167" s="6">
        <v>44228</v>
      </c>
      <c r="C167" s="16" t="s">
        <v>195</v>
      </c>
      <c r="D167" s="7">
        <f>SUMIFS('DATOS PROYECCIÓN'!$F:$F,'DATOS PROYECCIÓN'!A:A,A167,'DATOS PROYECCIÓN'!B:B,B167)</f>
        <v>24271520</v>
      </c>
      <c r="E167" s="13">
        <f>VLOOKUP(A167,'DATOS GENERALES'!A:B,2,0)</f>
        <v>1.61</v>
      </c>
      <c r="F167" s="16">
        <f t="shared" si="8"/>
        <v>1.6025940000000001</v>
      </c>
      <c r="G167" s="7">
        <f t="shared" si="9"/>
        <v>-15145145.932157489</v>
      </c>
      <c r="H167" s="7">
        <f t="shared" si="10"/>
        <v>9126374.0678425115</v>
      </c>
      <c r="I167" s="7" t="str">
        <f>IFERROR((G167/SUMIF(B:B,B167,G:G))*VLOOKUP(B167,'DATOS GENERALES'!G:H,2,0),"")</f>
        <v/>
      </c>
      <c r="J167" s="7" t="str">
        <f t="shared" si="11"/>
        <v/>
      </c>
      <c r="K167" s="16"/>
      <c r="L167" s="16"/>
      <c r="M167" s="16"/>
    </row>
    <row r="168" spans="1:13" x14ac:dyDescent="0.25">
      <c r="A168" s="16">
        <v>1860</v>
      </c>
      <c r="B168" s="6">
        <v>44256</v>
      </c>
      <c r="C168" s="16" t="s">
        <v>195</v>
      </c>
      <c r="D168" s="7">
        <f>SUMIFS('DATOS PROYECCIÓN'!$F:$F,'DATOS PROYECCIÓN'!A:A,A168,'DATOS PROYECCIÓN'!B:B,B168)</f>
        <v>24271520</v>
      </c>
      <c r="E168" s="13">
        <f>VLOOKUP(A168,'DATOS GENERALES'!A:B,2,0)</f>
        <v>1.61</v>
      </c>
      <c r="F168" s="16">
        <f t="shared" si="8"/>
        <v>1.6025940000000001</v>
      </c>
      <c r="G168" s="7">
        <f t="shared" si="9"/>
        <v>-15145145.932157489</v>
      </c>
      <c r="H168" s="7">
        <f t="shared" si="10"/>
        <v>9126374.0678425115</v>
      </c>
      <c r="I168" s="7" t="str">
        <f>IFERROR((G168/SUMIF(B:B,B168,G:G))*VLOOKUP(B168,'DATOS GENERALES'!G:H,2,0),"")</f>
        <v/>
      </c>
      <c r="J168" s="7" t="str">
        <f t="shared" si="11"/>
        <v/>
      </c>
      <c r="K168" s="16"/>
      <c r="L168" s="16"/>
      <c r="M168" s="16"/>
    </row>
    <row r="169" spans="1:13" x14ac:dyDescent="0.25">
      <c r="A169" s="16">
        <v>1860</v>
      </c>
      <c r="B169" s="6">
        <v>44287</v>
      </c>
      <c r="C169" s="16" t="s">
        <v>195</v>
      </c>
      <c r="D169" s="7">
        <f>SUMIFS('DATOS PROYECCIÓN'!$F:$F,'DATOS PROYECCIÓN'!A:A,A169,'DATOS PROYECCIÓN'!B:B,B169)</f>
        <v>19513445</v>
      </c>
      <c r="E169" s="13">
        <f>VLOOKUP(A169,'DATOS GENERALES'!A:B,2,0)</f>
        <v>1.61</v>
      </c>
      <c r="F169" s="16">
        <f t="shared" si="8"/>
        <v>1.6025940000000001</v>
      </c>
      <c r="G169" s="7">
        <f t="shared" si="9"/>
        <v>-12176162.521511998</v>
      </c>
      <c r="H169" s="7">
        <f t="shared" si="10"/>
        <v>7337282.478488002</v>
      </c>
      <c r="I169" s="7" t="str">
        <f>IFERROR((G169/SUMIF(B:B,B169,G:G))*VLOOKUP(B169,'DATOS GENERALES'!G:H,2,0),"")</f>
        <v/>
      </c>
      <c r="J169" s="7" t="str">
        <f t="shared" si="11"/>
        <v/>
      </c>
      <c r="K169" s="16"/>
      <c r="L169" s="16"/>
      <c r="M169" s="16"/>
    </row>
    <row r="170" spans="1:13" x14ac:dyDescent="0.25">
      <c r="A170" s="16">
        <v>1860</v>
      </c>
      <c r="B170" s="6">
        <v>44317</v>
      </c>
      <c r="C170" s="16" t="s">
        <v>195</v>
      </c>
      <c r="D170" s="7">
        <f>SUMIFS('DATOS PROYECCIÓN'!$F:$F,'DATOS PROYECCIÓN'!A:A,A170,'DATOS PROYECCIÓN'!B:B,B170)</f>
        <v>3923324.9999999995</v>
      </c>
      <c r="E170" s="13">
        <f>VLOOKUP(A170,'DATOS GENERALES'!A:B,2,0)</f>
        <v>1.61</v>
      </c>
      <c r="F170" s="16">
        <f t="shared" si="8"/>
        <v>1.6025940000000001</v>
      </c>
      <c r="G170" s="7">
        <f t="shared" si="9"/>
        <v>-2448109.1280761063</v>
      </c>
      <c r="H170" s="7">
        <f t="shared" si="10"/>
        <v>1475215.8719238932</v>
      </c>
      <c r="I170" s="7" t="str">
        <f>IFERROR((G170/SUMIF(B:B,B170,G:G))*VLOOKUP(B170,'DATOS GENERALES'!G:H,2,0),"")</f>
        <v/>
      </c>
      <c r="J170" s="7" t="str">
        <f t="shared" si="11"/>
        <v/>
      </c>
      <c r="K170" s="16"/>
      <c r="L170" s="16"/>
      <c r="M170" s="16"/>
    </row>
    <row r="171" spans="1:13" x14ac:dyDescent="0.25">
      <c r="A171" s="16">
        <v>1860</v>
      </c>
      <c r="B171" s="6">
        <v>44348</v>
      </c>
      <c r="C171" s="16" t="s">
        <v>195</v>
      </c>
      <c r="D171" s="7">
        <f>SUMIFS('DATOS PROYECCIÓN'!$F:$F,'DATOS PROYECCIÓN'!A:A,A171,'DATOS PROYECCIÓN'!B:B,B171)</f>
        <v>3923324.9999999995</v>
      </c>
      <c r="E171" s="13">
        <f>VLOOKUP(A171,'DATOS GENERALES'!A:B,2,0)</f>
        <v>1.61</v>
      </c>
      <c r="F171" s="16">
        <f t="shared" si="8"/>
        <v>1.6025940000000001</v>
      </c>
      <c r="G171" s="7">
        <f t="shared" si="9"/>
        <v>-2448109.1280761063</v>
      </c>
      <c r="H171" s="7">
        <f t="shared" si="10"/>
        <v>1475215.8719238932</v>
      </c>
      <c r="I171" s="7" t="str">
        <f>IFERROR((G171/SUMIF(B:B,B171,G:G))*VLOOKUP(B171,'DATOS GENERALES'!G:H,2,0),"")</f>
        <v/>
      </c>
      <c r="J171" s="7" t="str">
        <f t="shared" si="11"/>
        <v/>
      </c>
      <c r="K171" s="16"/>
      <c r="L171" s="16"/>
      <c r="M171" s="16"/>
    </row>
    <row r="172" spans="1:13" x14ac:dyDescent="0.25">
      <c r="A172" s="16">
        <v>1860</v>
      </c>
      <c r="B172" s="6">
        <v>44378</v>
      </c>
      <c r="C172" s="16" t="s">
        <v>195</v>
      </c>
      <c r="D172" s="7">
        <f>SUMIFS('DATOS PROYECCIÓN'!$F:$F,'DATOS PROYECCIÓN'!A:A,A172,'DATOS PROYECCIÓN'!B:B,B172)</f>
        <v>3923324.9999999995</v>
      </c>
      <c r="E172" s="13">
        <f>VLOOKUP(A172,'DATOS GENERALES'!A:B,2,0)</f>
        <v>1.61</v>
      </c>
      <c r="F172" s="16">
        <f t="shared" si="8"/>
        <v>1.6025940000000001</v>
      </c>
      <c r="G172" s="7">
        <f t="shared" si="9"/>
        <v>-2448109.1280761063</v>
      </c>
      <c r="H172" s="7">
        <f t="shared" si="10"/>
        <v>1475215.8719238932</v>
      </c>
      <c r="I172" s="7" t="str">
        <f>IFERROR((G172/SUMIF(B:B,B172,G:G))*VLOOKUP(B172,'DATOS GENERALES'!G:H,2,0),"")</f>
        <v/>
      </c>
      <c r="J172" s="7" t="str">
        <f t="shared" si="11"/>
        <v/>
      </c>
      <c r="K172" s="16"/>
      <c r="L172" s="16"/>
      <c r="M172" s="16"/>
    </row>
    <row r="173" spans="1:13" x14ac:dyDescent="0.25">
      <c r="A173" s="16">
        <v>1861</v>
      </c>
      <c r="B173" s="6">
        <v>43466</v>
      </c>
      <c r="C173" s="16" t="s">
        <v>195</v>
      </c>
      <c r="D173" s="7">
        <f>SUMIFS('DATOS PROYECCIÓN'!$F:$F,'DATOS PROYECCIÓN'!A:A,A173,'DATOS PROYECCIÓN'!B:B,B173)</f>
        <v>195728607.46069998</v>
      </c>
      <c r="E173" s="13">
        <f>VLOOKUP(A173,'DATOS GENERALES'!A:B,2,0)</f>
        <v>2.2200000000000002</v>
      </c>
      <c r="F173" s="16">
        <f t="shared" si="8"/>
        <v>2.2097880000000001</v>
      </c>
      <c r="G173" s="7">
        <f t="shared" si="9"/>
        <v>-88573477.392718196</v>
      </c>
      <c r="H173" s="7">
        <f t="shared" si="10"/>
        <v>107155130.06798178</v>
      </c>
      <c r="I173" s="7">
        <f>IFERROR((G173/SUMIF(B:B,B173,G:G))*VLOOKUP(B173,'DATOS GENERALES'!G:H,2,0),"")</f>
        <v>-19434645.79994132</v>
      </c>
      <c r="J173" s="7">
        <f t="shared" si="11"/>
        <v>87720484.268040463</v>
      </c>
      <c r="K173" s="16"/>
      <c r="L173" s="16"/>
      <c r="M173" s="16"/>
    </row>
    <row r="174" spans="1:13" x14ac:dyDescent="0.25">
      <c r="A174" s="16">
        <v>1861</v>
      </c>
      <c r="B174" s="6">
        <v>43497</v>
      </c>
      <c r="C174" s="16" t="s">
        <v>195</v>
      </c>
      <c r="D174" s="7">
        <f>SUMIFS('DATOS PROYECCIÓN'!$F:$F,'DATOS PROYECCIÓN'!A:A,A174,'DATOS PROYECCIÓN'!B:B,B174)</f>
        <v>195728607.46069998</v>
      </c>
      <c r="E174" s="13">
        <f>VLOOKUP(A174,'DATOS GENERALES'!A:B,2,0)</f>
        <v>2.2200000000000002</v>
      </c>
      <c r="F174" s="16">
        <f t="shared" si="8"/>
        <v>2.2097880000000001</v>
      </c>
      <c r="G174" s="7">
        <f t="shared" si="9"/>
        <v>-88573477.392718196</v>
      </c>
      <c r="H174" s="7">
        <f t="shared" si="10"/>
        <v>107155130.06798178</v>
      </c>
      <c r="I174" s="7">
        <f>IFERROR((G174/SUMIF(B:B,B174,G:G))*VLOOKUP(B174,'DATOS GENERALES'!G:H,2,0),"")</f>
        <v>-19145852.213183776</v>
      </c>
      <c r="J174" s="7">
        <f t="shared" si="11"/>
        <v>88009277.854798004</v>
      </c>
      <c r="K174" s="16"/>
      <c r="L174" s="16"/>
      <c r="M174" s="16"/>
    </row>
    <row r="175" spans="1:13" x14ac:dyDescent="0.25">
      <c r="A175" s="16">
        <v>1861</v>
      </c>
      <c r="B175" s="6">
        <v>43525</v>
      </c>
      <c r="C175" s="16" t="s">
        <v>195</v>
      </c>
      <c r="D175" s="7">
        <f>SUMIFS('DATOS PROYECCIÓN'!$F:$F,'DATOS PROYECCIÓN'!A:A,A175,'DATOS PROYECCIÓN'!B:B,B175)</f>
        <v>195728607.46069998</v>
      </c>
      <c r="E175" s="13">
        <f>VLOOKUP(A175,'DATOS GENERALES'!A:B,2,0)</f>
        <v>2.2200000000000002</v>
      </c>
      <c r="F175" s="16">
        <f t="shared" si="8"/>
        <v>2.2097880000000001</v>
      </c>
      <c r="G175" s="7">
        <f t="shared" si="9"/>
        <v>-88573477.392718196</v>
      </c>
      <c r="H175" s="7">
        <f t="shared" si="10"/>
        <v>107155130.06798178</v>
      </c>
      <c r="I175" s="7">
        <f>IFERROR((G175/SUMIF(B:B,B175,G:G))*VLOOKUP(B175,'DATOS GENERALES'!G:H,2,0),"")</f>
        <v>-13851786.612763651</v>
      </c>
      <c r="J175" s="7">
        <f t="shared" si="11"/>
        <v>93303343.455218136</v>
      </c>
      <c r="K175" s="16"/>
      <c r="L175" s="16"/>
      <c r="M175" s="16"/>
    </row>
    <row r="176" spans="1:13" x14ac:dyDescent="0.25">
      <c r="A176" s="16">
        <v>1861</v>
      </c>
      <c r="B176" s="6">
        <v>43556</v>
      </c>
      <c r="C176" s="16" t="s">
        <v>195</v>
      </c>
      <c r="D176" s="7">
        <f>SUMIFS('DATOS PROYECCIÓN'!$F:$F,'DATOS PROYECCIÓN'!A:A,A176,'DATOS PROYECCIÓN'!B:B,B176)</f>
        <v>131698607.46069999</v>
      </c>
      <c r="E176" s="13">
        <f>VLOOKUP(A176,'DATOS GENERALES'!A:B,2,0)</f>
        <v>2.2200000000000002</v>
      </c>
      <c r="F176" s="16">
        <f t="shared" si="8"/>
        <v>2.2097880000000001</v>
      </c>
      <c r="G176" s="7">
        <f t="shared" si="9"/>
        <v>-59597847.151265182</v>
      </c>
      <c r="H176" s="7">
        <f t="shared" si="10"/>
        <v>72100760.309434801</v>
      </c>
      <c r="I176" s="7">
        <f>IFERROR((G176/SUMIF(B:B,B176,G:G))*VLOOKUP(B176,'DATOS GENERALES'!G:H,2,0),"")</f>
        <v>-9582032.1388600152</v>
      </c>
      <c r="J176" s="7">
        <f t="shared" si="11"/>
        <v>62518728.170574784</v>
      </c>
      <c r="K176" s="16"/>
      <c r="L176" s="16"/>
      <c r="M176" s="16"/>
    </row>
    <row r="177" spans="1:13" x14ac:dyDescent="0.25">
      <c r="A177" s="16">
        <v>1861</v>
      </c>
      <c r="B177" s="6">
        <v>43586</v>
      </c>
      <c r="C177" s="16" t="s">
        <v>195</v>
      </c>
      <c r="D177" s="7">
        <f>SUMIFS('DATOS PROYECCIÓN'!$F:$F,'DATOS PROYECCIÓN'!A:A,A177,'DATOS PROYECCIÓN'!B:B,B177)</f>
        <v>131698607.46069999</v>
      </c>
      <c r="E177" s="13">
        <f>VLOOKUP(A177,'DATOS GENERALES'!A:B,2,0)</f>
        <v>2.2200000000000002</v>
      </c>
      <c r="F177" s="16">
        <f t="shared" si="8"/>
        <v>2.2097880000000001</v>
      </c>
      <c r="G177" s="7">
        <f t="shared" si="9"/>
        <v>-59597847.151265182</v>
      </c>
      <c r="H177" s="7">
        <f t="shared" si="10"/>
        <v>72100760.309434801</v>
      </c>
      <c r="I177" s="7">
        <f>IFERROR((G177/SUMIF(B:B,B177,G:G))*VLOOKUP(B177,'DATOS GENERALES'!G:H,2,0),"")</f>
        <v>-7904506.4004531894</v>
      </c>
      <c r="J177" s="7">
        <f t="shared" si="11"/>
        <v>64196253.908981614</v>
      </c>
      <c r="K177" s="16"/>
      <c r="L177" s="16"/>
      <c r="M177" s="16"/>
    </row>
    <row r="178" spans="1:13" x14ac:dyDescent="0.25">
      <c r="A178" s="16">
        <v>1861</v>
      </c>
      <c r="B178" s="6">
        <v>43617</v>
      </c>
      <c r="C178" s="16" t="s">
        <v>195</v>
      </c>
      <c r="D178" s="7">
        <f>SUMIFS('DATOS PROYECCIÓN'!$F:$F,'DATOS PROYECCIÓN'!A:A,A178,'DATOS PROYECCIÓN'!B:B,B178)</f>
        <v>131698607.46069999</v>
      </c>
      <c r="E178" s="13">
        <f>VLOOKUP(A178,'DATOS GENERALES'!A:B,2,0)</f>
        <v>2.2200000000000002</v>
      </c>
      <c r="F178" s="16">
        <f t="shared" si="8"/>
        <v>2.2097880000000001</v>
      </c>
      <c r="G178" s="7">
        <f t="shared" si="9"/>
        <v>-59597847.151265182</v>
      </c>
      <c r="H178" s="7">
        <f t="shared" si="10"/>
        <v>72100760.309434801</v>
      </c>
      <c r="I178" s="7">
        <f>IFERROR((G178/SUMIF(B:B,B178,G:G))*VLOOKUP(B178,'DATOS GENERALES'!G:H,2,0),"")</f>
        <v>-10629709.995992245</v>
      </c>
      <c r="J178" s="7">
        <f t="shared" si="11"/>
        <v>61471050.313442558</v>
      </c>
      <c r="K178" s="16"/>
      <c r="L178" s="16"/>
      <c r="M178" s="16"/>
    </row>
    <row r="179" spans="1:13" x14ac:dyDescent="0.25">
      <c r="A179" s="16">
        <v>1861</v>
      </c>
      <c r="B179" s="6">
        <v>43647</v>
      </c>
      <c r="C179" s="16" t="s">
        <v>195</v>
      </c>
      <c r="D179" s="7">
        <f>SUMIFS('DATOS PROYECCIÓN'!$F:$F,'DATOS PROYECCIÓN'!A:A,A179,'DATOS PROYECCIÓN'!B:B,B179)</f>
        <v>131698607.46069999</v>
      </c>
      <c r="E179" s="13">
        <f>VLOOKUP(A179,'DATOS GENERALES'!A:B,2,0)</f>
        <v>2.2200000000000002</v>
      </c>
      <c r="F179" s="16">
        <f t="shared" si="8"/>
        <v>2.2097880000000001</v>
      </c>
      <c r="G179" s="7">
        <f t="shared" si="9"/>
        <v>-59597847.151265182</v>
      </c>
      <c r="H179" s="7">
        <f t="shared" si="10"/>
        <v>72100760.309434801</v>
      </c>
      <c r="I179" s="7">
        <f>IFERROR((G179/SUMIF(B:B,B179,G:G))*VLOOKUP(B179,'DATOS GENERALES'!G:H,2,0),"")</f>
        <v>-15852033.627370773</v>
      </c>
      <c r="J179" s="7">
        <f t="shared" si="11"/>
        <v>56248726.682064027</v>
      </c>
      <c r="K179" s="16"/>
      <c r="L179" s="16"/>
      <c r="M179" s="16"/>
    </row>
    <row r="180" spans="1:13" x14ac:dyDescent="0.25">
      <c r="A180" s="16">
        <v>1861</v>
      </c>
      <c r="B180" s="6">
        <v>43678</v>
      </c>
      <c r="C180" s="16" t="s">
        <v>195</v>
      </c>
      <c r="D180" s="7">
        <f>SUMIFS('DATOS PROYECCIÓN'!$F:$F,'DATOS PROYECCIÓN'!A:A,A180,'DATOS PROYECCIÓN'!B:B,B180)</f>
        <v>131698607.46069999</v>
      </c>
      <c r="E180" s="13">
        <f>VLOOKUP(A180,'DATOS GENERALES'!A:B,2,0)</f>
        <v>2.2200000000000002</v>
      </c>
      <c r="F180" s="16">
        <f t="shared" si="8"/>
        <v>2.2097880000000001</v>
      </c>
      <c r="G180" s="7">
        <f t="shared" si="9"/>
        <v>-59597847.151265182</v>
      </c>
      <c r="H180" s="7">
        <f t="shared" si="10"/>
        <v>72100760.309434801</v>
      </c>
      <c r="I180" s="7">
        <f>IFERROR((G180/SUMIF(B:B,B180,G:G))*VLOOKUP(B180,'DATOS GENERALES'!G:H,2,0),"")</f>
        <v>-15598975.816511832</v>
      </c>
      <c r="J180" s="7">
        <f t="shared" si="11"/>
        <v>56501784.492922969</v>
      </c>
      <c r="K180" s="16"/>
      <c r="L180" s="16"/>
      <c r="M180" s="16"/>
    </row>
    <row r="181" spans="1:13" x14ac:dyDescent="0.25">
      <c r="A181" s="16">
        <v>1861</v>
      </c>
      <c r="B181" s="6">
        <v>43709</v>
      </c>
      <c r="C181" s="16" t="s">
        <v>195</v>
      </c>
      <c r="D181" s="7">
        <f>SUMIFS('DATOS PROYECCIÓN'!$F:$F,'DATOS PROYECCIÓN'!A:A,A181,'DATOS PROYECCIÓN'!B:B,B181)</f>
        <v>131698607.46069999</v>
      </c>
      <c r="E181" s="13">
        <f>VLOOKUP(A181,'DATOS GENERALES'!A:B,2,0)</f>
        <v>2.2200000000000002</v>
      </c>
      <c r="F181" s="16">
        <f t="shared" si="8"/>
        <v>2.2097880000000001</v>
      </c>
      <c r="G181" s="7">
        <f t="shared" si="9"/>
        <v>-59597847.151265182</v>
      </c>
      <c r="H181" s="7">
        <f t="shared" si="10"/>
        <v>72100760.309434801</v>
      </c>
      <c r="I181" s="7">
        <f>IFERROR((G181/SUMIF(B:B,B181,G:G))*VLOOKUP(B181,'DATOS GENERALES'!G:H,2,0),"")</f>
        <v>-17629542.024561871</v>
      </c>
      <c r="J181" s="7">
        <f t="shared" si="11"/>
        <v>54471218.284872934</v>
      </c>
      <c r="K181" s="16"/>
      <c r="L181" s="16"/>
      <c r="M181" s="16"/>
    </row>
    <row r="182" spans="1:13" x14ac:dyDescent="0.25">
      <c r="A182" s="16">
        <v>1861</v>
      </c>
      <c r="B182" s="6">
        <v>43739</v>
      </c>
      <c r="C182" s="16" t="s">
        <v>195</v>
      </c>
      <c r="D182" s="7">
        <f>SUMIFS('DATOS PROYECCIÓN'!$F:$F,'DATOS PROYECCIÓN'!A:A,A182,'DATOS PROYECCIÓN'!B:B,B182)</f>
        <v>131698607.46069999</v>
      </c>
      <c r="E182" s="13">
        <f>VLOOKUP(A182,'DATOS GENERALES'!A:B,2,0)</f>
        <v>2.2200000000000002</v>
      </c>
      <c r="F182" s="16">
        <f t="shared" si="8"/>
        <v>2.2097880000000001</v>
      </c>
      <c r="G182" s="7">
        <f t="shared" si="9"/>
        <v>-59597847.151265182</v>
      </c>
      <c r="H182" s="7">
        <f t="shared" si="10"/>
        <v>72100760.309434801</v>
      </c>
      <c r="I182" s="7">
        <f>IFERROR((G182/SUMIF(B:B,B182,G:G))*VLOOKUP(B182,'DATOS GENERALES'!G:H,2,0),"")</f>
        <v>-19064529.287253819</v>
      </c>
      <c r="J182" s="7">
        <f t="shared" si="11"/>
        <v>53036231.022180982</v>
      </c>
      <c r="K182" s="16"/>
      <c r="L182" s="16"/>
      <c r="M182" s="16"/>
    </row>
    <row r="183" spans="1:13" x14ac:dyDescent="0.25">
      <c r="A183" s="16">
        <v>1861</v>
      </c>
      <c r="B183" s="6">
        <v>43770</v>
      </c>
      <c r="C183" s="16" t="s">
        <v>195</v>
      </c>
      <c r="D183" s="7">
        <f>SUMIFS('DATOS PROYECCIÓN'!$F:$F,'DATOS PROYECCIÓN'!A:A,A183,'DATOS PROYECCIÓN'!B:B,B183)</f>
        <v>131698607.46069999</v>
      </c>
      <c r="E183" s="13">
        <f>VLOOKUP(A183,'DATOS GENERALES'!A:B,2,0)</f>
        <v>2.2200000000000002</v>
      </c>
      <c r="F183" s="16">
        <f t="shared" si="8"/>
        <v>2.2097880000000001</v>
      </c>
      <c r="G183" s="7">
        <f t="shared" si="9"/>
        <v>-59597847.151265182</v>
      </c>
      <c r="H183" s="7">
        <f t="shared" si="10"/>
        <v>72100760.309434801</v>
      </c>
      <c r="I183" s="7">
        <f>IFERROR((G183/SUMIF(B:B,B183,G:G))*VLOOKUP(B183,'DATOS GENERALES'!G:H,2,0),"")</f>
        <v>-25497403.870326895</v>
      </c>
      <c r="J183" s="7">
        <f t="shared" si="11"/>
        <v>46603356.43910791</v>
      </c>
      <c r="K183" s="16"/>
      <c r="L183" s="16"/>
      <c r="M183" s="16"/>
    </row>
    <row r="184" spans="1:13" x14ac:dyDescent="0.25">
      <c r="A184" s="16">
        <v>1861</v>
      </c>
      <c r="B184" s="6">
        <v>43800</v>
      </c>
      <c r="C184" s="16" t="s">
        <v>195</v>
      </c>
      <c r="D184" s="7">
        <f>SUMIFS('DATOS PROYECCIÓN'!$F:$F,'DATOS PROYECCIÓN'!A:A,A184,'DATOS PROYECCIÓN'!B:B,B184)</f>
        <v>131698607.46069999</v>
      </c>
      <c r="E184" s="13">
        <f>VLOOKUP(A184,'DATOS GENERALES'!A:B,2,0)</f>
        <v>2.2200000000000002</v>
      </c>
      <c r="F184" s="16">
        <f t="shared" si="8"/>
        <v>2.2097880000000001</v>
      </c>
      <c r="G184" s="7">
        <f t="shared" si="9"/>
        <v>-59597847.151265182</v>
      </c>
      <c r="H184" s="7">
        <f t="shared" si="10"/>
        <v>72100760.309434801</v>
      </c>
      <c r="I184" s="7">
        <f>IFERROR((G184/SUMIF(B:B,B184,G:G))*VLOOKUP(B184,'DATOS GENERALES'!G:H,2,0),"")</f>
        <v>-21468492.639632389</v>
      </c>
      <c r="J184" s="7">
        <f t="shared" si="11"/>
        <v>50632267.669802412</v>
      </c>
      <c r="K184" s="16"/>
      <c r="L184" s="16"/>
      <c r="M184" s="16"/>
    </row>
    <row r="185" spans="1:13" x14ac:dyDescent="0.25">
      <c r="A185" s="16">
        <v>1861</v>
      </c>
      <c r="B185" s="6">
        <v>43831</v>
      </c>
      <c r="C185" s="16" t="s">
        <v>195</v>
      </c>
      <c r="D185" s="7">
        <f>SUMIFS('DATOS PROYECCIÓN'!$F:$F,'DATOS PROYECCIÓN'!A:A,A185,'DATOS PROYECCIÓN'!B:B,B185)</f>
        <v>127335452.6857</v>
      </c>
      <c r="E185" s="13">
        <f>VLOOKUP(A185,'DATOS GENERALES'!A:B,2,0)</f>
        <v>2.2200000000000002</v>
      </c>
      <c r="F185" s="16">
        <f t="shared" si="8"/>
        <v>2.2097880000000001</v>
      </c>
      <c r="G185" s="7">
        <f t="shared" si="9"/>
        <v>-57623379.566591904</v>
      </c>
      <c r="H185" s="7">
        <f t="shared" si="10"/>
        <v>69712073.119108096</v>
      </c>
      <c r="I185" s="7" t="str">
        <f>IFERROR((G185/SUMIF(B:B,B185,G:G))*VLOOKUP(B185,'DATOS GENERALES'!G:H,2,0),"")</f>
        <v/>
      </c>
      <c r="J185" s="7" t="str">
        <f t="shared" si="11"/>
        <v/>
      </c>
      <c r="K185" s="16"/>
      <c r="L185" s="16"/>
      <c r="M185" s="16"/>
    </row>
    <row r="186" spans="1:13" x14ac:dyDescent="0.25">
      <c r="A186" s="16">
        <v>1861</v>
      </c>
      <c r="B186" s="6">
        <v>43862</v>
      </c>
      <c r="C186" s="16" t="s">
        <v>195</v>
      </c>
      <c r="D186" s="7">
        <f>SUMIFS('DATOS PROYECCIÓN'!$F:$F,'DATOS PROYECCIÓN'!A:A,A186,'DATOS PROYECCIÓN'!B:B,B186)</f>
        <v>127335452.6857</v>
      </c>
      <c r="E186" s="13">
        <f>VLOOKUP(A186,'DATOS GENERALES'!A:B,2,0)</f>
        <v>2.2200000000000002</v>
      </c>
      <c r="F186" s="16">
        <f t="shared" si="8"/>
        <v>2.2097880000000001</v>
      </c>
      <c r="G186" s="7">
        <f t="shared" si="9"/>
        <v>-57623379.566591904</v>
      </c>
      <c r="H186" s="7">
        <f t="shared" si="10"/>
        <v>69712073.119108096</v>
      </c>
      <c r="I186" s="7" t="str">
        <f>IFERROR((G186/SUMIF(B:B,B186,G:G))*VLOOKUP(B186,'DATOS GENERALES'!G:H,2,0),"")</f>
        <v/>
      </c>
      <c r="J186" s="7" t="str">
        <f t="shared" si="11"/>
        <v/>
      </c>
      <c r="K186" s="16"/>
      <c r="L186" s="16"/>
      <c r="M186" s="16"/>
    </row>
    <row r="187" spans="1:13" x14ac:dyDescent="0.25">
      <c r="A187" s="16">
        <v>1861</v>
      </c>
      <c r="B187" s="6">
        <v>43891</v>
      </c>
      <c r="C187" s="16" t="s">
        <v>195</v>
      </c>
      <c r="D187" s="7">
        <f>SUMIFS('DATOS PROYECCIÓN'!$F:$F,'DATOS PROYECCIÓN'!A:A,A187,'DATOS PROYECCIÓN'!B:B,B187)</f>
        <v>127335452.6857</v>
      </c>
      <c r="E187" s="13">
        <f>VLOOKUP(A187,'DATOS GENERALES'!A:B,2,0)</f>
        <v>2.2200000000000002</v>
      </c>
      <c r="F187" s="16">
        <f t="shared" si="8"/>
        <v>2.2097880000000001</v>
      </c>
      <c r="G187" s="7">
        <f t="shared" si="9"/>
        <v>-57623379.566591904</v>
      </c>
      <c r="H187" s="7">
        <f t="shared" si="10"/>
        <v>69712073.119108096</v>
      </c>
      <c r="I187" s="7" t="str">
        <f>IFERROR((G187/SUMIF(B:B,B187,G:G))*VLOOKUP(B187,'DATOS GENERALES'!G:H,2,0),"")</f>
        <v/>
      </c>
      <c r="J187" s="7" t="str">
        <f t="shared" si="11"/>
        <v/>
      </c>
      <c r="K187" s="16"/>
      <c r="L187" s="16"/>
      <c r="M187" s="16"/>
    </row>
    <row r="188" spans="1:13" x14ac:dyDescent="0.25">
      <c r="A188" s="16">
        <v>1861</v>
      </c>
      <c r="B188" s="6">
        <v>43922</v>
      </c>
      <c r="C188" s="16" t="s">
        <v>195</v>
      </c>
      <c r="D188" s="7">
        <f>SUMIFS('DATOS PROYECCIÓN'!$F:$F,'DATOS PROYECCIÓN'!A:A,A188,'DATOS PROYECCIÓN'!B:B,B188)</f>
        <v>127335452.6857</v>
      </c>
      <c r="E188" s="13">
        <f>VLOOKUP(A188,'DATOS GENERALES'!A:B,2,0)</f>
        <v>2.2200000000000002</v>
      </c>
      <c r="F188" s="16">
        <f t="shared" si="8"/>
        <v>2.2097880000000001</v>
      </c>
      <c r="G188" s="7">
        <f t="shared" si="9"/>
        <v>-57623379.566591904</v>
      </c>
      <c r="H188" s="7">
        <f t="shared" si="10"/>
        <v>69712073.119108096</v>
      </c>
      <c r="I188" s="7" t="str">
        <f>IFERROR((G188/SUMIF(B:B,B188,G:G))*VLOOKUP(B188,'DATOS GENERALES'!G:H,2,0),"")</f>
        <v/>
      </c>
      <c r="J188" s="7" t="str">
        <f t="shared" si="11"/>
        <v/>
      </c>
      <c r="K188" s="16"/>
      <c r="L188" s="16"/>
      <c r="M188" s="16"/>
    </row>
    <row r="189" spans="1:13" x14ac:dyDescent="0.25">
      <c r="A189" s="16">
        <v>1861</v>
      </c>
      <c r="B189" s="6">
        <v>43952</v>
      </c>
      <c r="C189" s="16" t="s">
        <v>195</v>
      </c>
      <c r="D189" s="7">
        <f>SUMIFS('DATOS PROYECCIÓN'!$F:$F,'DATOS PROYECCIÓN'!A:A,A189,'DATOS PROYECCIÓN'!B:B,B189)</f>
        <v>127335452.6857</v>
      </c>
      <c r="E189" s="13">
        <f>VLOOKUP(A189,'DATOS GENERALES'!A:B,2,0)</f>
        <v>2.2200000000000002</v>
      </c>
      <c r="F189" s="16">
        <f t="shared" si="8"/>
        <v>2.2097880000000001</v>
      </c>
      <c r="G189" s="7">
        <f t="shared" si="9"/>
        <v>-57623379.566591904</v>
      </c>
      <c r="H189" s="7">
        <f t="shared" si="10"/>
        <v>69712073.119108096</v>
      </c>
      <c r="I189" s="7" t="str">
        <f>IFERROR((G189/SUMIF(B:B,B189,G:G))*VLOOKUP(B189,'DATOS GENERALES'!G:H,2,0),"")</f>
        <v/>
      </c>
      <c r="J189" s="7" t="str">
        <f t="shared" si="11"/>
        <v/>
      </c>
      <c r="K189" s="16"/>
      <c r="L189" s="16"/>
      <c r="M189" s="16"/>
    </row>
    <row r="190" spans="1:13" x14ac:dyDescent="0.25">
      <c r="A190" s="16">
        <v>1861</v>
      </c>
      <c r="B190" s="6">
        <v>43983</v>
      </c>
      <c r="C190" s="16" t="s">
        <v>195</v>
      </c>
      <c r="D190" s="7">
        <f>SUMIFS('DATOS PROYECCIÓN'!$F:$F,'DATOS PROYECCIÓN'!A:A,A190,'DATOS PROYECCIÓN'!B:B,B190)</f>
        <v>115277855.6902</v>
      </c>
      <c r="E190" s="13">
        <f>VLOOKUP(A190,'DATOS GENERALES'!A:B,2,0)</f>
        <v>2.2200000000000002</v>
      </c>
      <c r="F190" s="16">
        <f t="shared" si="8"/>
        <v>2.2097880000000001</v>
      </c>
      <c r="G190" s="7">
        <f t="shared" si="9"/>
        <v>-52166929.900153317</v>
      </c>
      <c r="H190" s="7">
        <f t="shared" si="10"/>
        <v>63110925.790046684</v>
      </c>
      <c r="I190" s="7" t="str">
        <f>IFERROR((G190/SUMIF(B:B,B190,G:G))*VLOOKUP(B190,'DATOS GENERALES'!G:H,2,0),"")</f>
        <v/>
      </c>
      <c r="J190" s="7" t="str">
        <f t="shared" si="11"/>
        <v/>
      </c>
      <c r="K190" s="16"/>
      <c r="L190" s="16"/>
      <c r="M190" s="16"/>
    </row>
    <row r="191" spans="1:13" x14ac:dyDescent="0.25">
      <c r="A191" s="16">
        <v>1861</v>
      </c>
      <c r="B191" s="6">
        <v>44013</v>
      </c>
      <c r="C191" s="16" t="s">
        <v>195</v>
      </c>
      <c r="D191" s="7">
        <f>SUMIFS('DATOS PROYECCIÓN'!$F:$F,'DATOS PROYECCIÓN'!A:A,A191,'DATOS PROYECCIÓN'!B:B,B191)</f>
        <v>115277855.6902</v>
      </c>
      <c r="E191" s="13">
        <f>VLOOKUP(A191,'DATOS GENERALES'!A:B,2,0)</f>
        <v>2.2200000000000002</v>
      </c>
      <c r="F191" s="16">
        <f t="shared" si="8"/>
        <v>2.2097880000000001</v>
      </c>
      <c r="G191" s="7">
        <f t="shared" si="9"/>
        <v>-52166929.900153317</v>
      </c>
      <c r="H191" s="7">
        <f t="shared" si="10"/>
        <v>63110925.790046684</v>
      </c>
      <c r="I191" s="7" t="str">
        <f>IFERROR((G191/SUMIF(B:B,B191,G:G))*VLOOKUP(B191,'DATOS GENERALES'!G:H,2,0),"")</f>
        <v/>
      </c>
      <c r="J191" s="7" t="str">
        <f t="shared" si="11"/>
        <v/>
      </c>
      <c r="K191" s="16"/>
      <c r="L191" s="16"/>
      <c r="M191" s="16"/>
    </row>
    <row r="192" spans="1:13" x14ac:dyDescent="0.25">
      <c r="A192" s="16">
        <v>1861</v>
      </c>
      <c r="B192" s="6">
        <v>44044</v>
      </c>
      <c r="C192" s="16" t="s">
        <v>195</v>
      </c>
      <c r="D192" s="7">
        <f>SUMIFS('DATOS PROYECCIÓN'!$F:$F,'DATOS PROYECCIÓN'!A:A,A192,'DATOS PROYECCIÓN'!B:B,B192)</f>
        <v>109546785.0652</v>
      </c>
      <c r="E192" s="13">
        <f>VLOOKUP(A192,'DATOS GENERALES'!A:B,2,0)</f>
        <v>2.2200000000000002</v>
      </c>
      <c r="F192" s="16">
        <f t="shared" si="8"/>
        <v>2.2097880000000001</v>
      </c>
      <c r="G192" s="7">
        <f t="shared" si="9"/>
        <v>-49573436.485852942</v>
      </c>
      <c r="H192" s="7">
        <f t="shared" si="10"/>
        <v>59973348.579347059</v>
      </c>
      <c r="I192" s="7" t="str">
        <f>IFERROR((G192/SUMIF(B:B,B192,G:G))*VLOOKUP(B192,'DATOS GENERALES'!G:H,2,0),"")</f>
        <v/>
      </c>
      <c r="J192" s="7" t="str">
        <f t="shared" si="11"/>
        <v/>
      </c>
      <c r="K192" s="16"/>
      <c r="L192" s="16"/>
      <c r="M192" s="16"/>
    </row>
    <row r="193" spans="1:13" x14ac:dyDescent="0.25">
      <c r="A193" s="16">
        <v>1861</v>
      </c>
      <c r="B193" s="6">
        <v>44075</v>
      </c>
      <c r="C193" s="16" t="s">
        <v>195</v>
      </c>
      <c r="D193" s="7">
        <f>SUMIFS('DATOS PROYECCIÓN'!$F:$F,'DATOS PROYECCIÓN'!A:A,A193,'DATOS PROYECCIÓN'!B:B,B193)</f>
        <v>103283498.605</v>
      </c>
      <c r="E193" s="13">
        <f>VLOOKUP(A193,'DATOS GENERALES'!A:B,2,0)</f>
        <v>2.2200000000000002</v>
      </c>
      <c r="F193" s="16">
        <f t="shared" si="8"/>
        <v>2.2097880000000001</v>
      </c>
      <c r="G193" s="7">
        <f t="shared" si="9"/>
        <v>-46739098.323006548</v>
      </c>
      <c r="H193" s="7">
        <f t="shared" si="10"/>
        <v>56544400.281993456</v>
      </c>
      <c r="I193" s="7" t="str">
        <f>IFERROR((G193/SUMIF(B:B,B193,G:G))*VLOOKUP(B193,'DATOS GENERALES'!G:H,2,0),"")</f>
        <v/>
      </c>
      <c r="J193" s="7" t="str">
        <f t="shared" si="11"/>
        <v/>
      </c>
      <c r="K193" s="16"/>
      <c r="L193" s="16"/>
      <c r="M193" s="16"/>
    </row>
    <row r="194" spans="1:13" x14ac:dyDescent="0.25">
      <c r="A194" s="16">
        <v>1861</v>
      </c>
      <c r="B194" s="6">
        <v>44105</v>
      </c>
      <c r="C194" s="16" t="s">
        <v>195</v>
      </c>
      <c r="D194" s="7">
        <f>SUMIFS('DATOS PROYECCIÓN'!$F:$F,'DATOS PROYECCIÓN'!A:A,A194,'DATOS PROYECCIÓN'!B:B,B194)</f>
        <v>92003446.254999995</v>
      </c>
      <c r="E194" s="13">
        <f>VLOOKUP(A194,'DATOS GENERALES'!A:B,2,0)</f>
        <v>2.2200000000000002</v>
      </c>
      <c r="F194" s="16">
        <f t="shared" ref="F194:F257" si="12">E194*0.9954</f>
        <v>2.2097880000000001</v>
      </c>
      <c r="G194" s="7">
        <f t="shared" ref="G194:G257" si="13">-D194/F194</f>
        <v>-41634512.566363826</v>
      </c>
      <c r="H194" s="7">
        <f t="shared" ref="H194:H257" si="14">D194+G194</f>
        <v>50368933.688636169</v>
      </c>
      <c r="I194" s="7" t="str">
        <f>IFERROR((G194/SUMIF(B:B,B194,G:G))*VLOOKUP(B194,'DATOS GENERALES'!G:H,2,0),"")</f>
        <v/>
      </c>
      <c r="J194" s="7" t="str">
        <f t="shared" si="11"/>
        <v/>
      </c>
      <c r="K194" s="16"/>
      <c r="L194" s="16"/>
      <c r="M194" s="16"/>
    </row>
    <row r="195" spans="1:13" x14ac:dyDescent="0.25">
      <c r="A195" s="16">
        <v>1861</v>
      </c>
      <c r="B195" s="6">
        <v>44136</v>
      </c>
      <c r="C195" s="16" t="s">
        <v>195</v>
      </c>
      <c r="D195" s="7">
        <f>SUMIFS('DATOS PROYECCIÓN'!$F:$F,'DATOS PROYECCIÓN'!A:A,A195,'DATOS PROYECCIÓN'!B:B,B195)</f>
        <v>92003446.254999995</v>
      </c>
      <c r="E195" s="13">
        <f>VLOOKUP(A195,'DATOS GENERALES'!A:B,2,0)</f>
        <v>2.2200000000000002</v>
      </c>
      <c r="F195" s="16">
        <f t="shared" si="12"/>
        <v>2.2097880000000001</v>
      </c>
      <c r="G195" s="7">
        <f t="shared" si="13"/>
        <v>-41634512.566363826</v>
      </c>
      <c r="H195" s="7">
        <f t="shared" si="14"/>
        <v>50368933.688636169</v>
      </c>
      <c r="I195" s="7" t="str">
        <f>IFERROR((G195/SUMIF(B:B,B195,G:G))*VLOOKUP(B195,'DATOS GENERALES'!G:H,2,0),"")</f>
        <v/>
      </c>
      <c r="J195" s="7" t="str">
        <f t="shared" ref="J195:J258" si="15">IFERROR(H195+I195,"")</f>
        <v/>
      </c>
      <c r="K195" s="16"/>
      <c r="L195" s="16"/>
      <c r="M195" s="16"/>
    </row>
    <row r="196" spans="1:13" x14ac:dyDescent="0.25">
      <c r="A196" s="16">
        <v>1861</v>
      </c>
      <c r="B196" s="6">
        <v>44166</v>
      </c>
      <c r="C196" s="16" t="s">
        <v>195</v>
      </c>
      <c r="D196" s="7">
        <f>SUMIFS('DATOS PROYECCIÓN'!$F:$F,'DATOS PROYECCIÓN'!A:A,A196,'DATOS PROYECCIÓN'!B:B,B196)</f>
        <v>54343675.75</v>
      </c>
      <c r="E196" s="13">
        <f>VLOOKUP(A196,'DATOS GENERALES'!A:B,2,0)</f>
        <v>2.2200000000000002</v>
      </c>
      <c r="F196" s="16">
        <f t="shared" si="12"/>
        <v>2.2097880000000001</v>
      </c>
      <c r="G196" s="7">
        <f t="shared" si="13"/>
        <v>-24592257.605706971</v>
      </c>
      <c r="H196" s="7">
        <f t="shared" si="14"/>
        <v>29751418.144293029</v>
      </c>
      <c r="I196" s="7" t="str">
        <f>IFERROR((G196/SUMIF(B:B,B196,G:G))*VLOOKUP(B196,'DATOS GENERALES'!G:H,2,0),"")</f>
        <v/>
      </c>
      <c r="J196" s="7" t="str">
        <f t="shared" si="15"/>
        <v/>
      </c>
      <c r="K196" s="16"/>
      <c r="L196" s="16"/>
      <c r="M196" s="16"/>
    </row>
    <row r="197" spans="1:13" x14ac:dyDescent="0.25">
      <c r="A197" s="16">
        <v>1873</v>
      </c>
      <c r="B197" s="6">
        <v>43466</v>
      </c>
      <c r="C197" s="16" t="s">
        <v>195</v>
      </c>
      <c r="D197" s="7">
        <f>SUMIFS('DATOS PROYECCIÓN'!$F:$F,'DATOS PROYECCIÓN'!A:A,A197,'DATOS PROYECCIÓN'!B:B,B197)</f>
        <v>23358981.669500001</v>
      </c>
      <c r="E197" s="13">
        <f>VLOOKUP(A197,'DATOS GENERALES'!A:B,2,0)</f>
        <v>1.83</v>
      </c>
      <c r="F197" s="16">
        <f t="shared" si="12"/>
        <v>1.821582</v>
      </c>
      <c r="G197" s="7">
        <f t="shared" si="13"/>
        <v>-12823458.767982995</v>
      </c>
      <c r="H197" s="7">
        <f t="shared" si="14"/>
        <v>10535522.901517006</v>
      </c>
      <c r="I197" s="7">
        <f>IFERROR((G197/SUMIF(B:B,B197,G:G))*VLOOKUP(B197,'DATOS GENERALES'!G:H,2,0),"")</f>
        <v>-2813702.0970838638</v>
      </c>
      <c r="J197" s="7">
        <f t="shared" si="15"/>
        <v>7721820.8044331418</v>
      </c>
      <c r="K197" s="16"/>
      <c r="L197" s="16"/>
      <c r="M197" s="16"/>
    </row>
    <row r="198" spans="1:13" x14ac:dyDescent="0.25">
      <c r="A198" s="16">
        <v>1873</v>
      </c>
      <c r="B198" s="6">
        <v>43497</v>
      </c>
      <c r="C198" s="16" t="s">
        <v>195</v>
      </c>
      <c r="D198" s="7">
        <f>SUMIFS('DATOS PROYECCIÓN'!$F:$F,'DATOS PROYECCIÓN'!A:A,A198,'DATOS PROYECCIÓN'!B:B,B198)</f>
        <v>23358981.669500001</v>
      </c>
      <c r="E198" s="13">
        <f>VLOOKUP(A198,'DATOS GENERALES'!A:B,2,0)</f>
        <v>1.83</v>
      </c>
      <c r="F198" s="16">
        <f t="shared" si="12"/>
        <v>1.821582</v>
      </c>
      <c r="G198" s="7">
        <f t="shared" si="13"/>
        <v>-12823458.767982995</v>
      </c>
      <c r="H198" s="7">
        <f t="shared" si="14"/>
        <v>10535522.901517006</v>
      </c>
      <c r="I198" s="7">
        <f>IFERROR((G198/SUMIF(B:B,B198,G:G))*VLOOKUP(B198,'DATOS GENERALES'!G:H,2,0),"")</f>
        <v>-2771891.2439791202</v>
      </c>
      <c r="J198" s="7">
        <f t="shared" si="15"/>
        <v>7763631.657537885</v>
      </c>
      <c r="K198" s="16"/>
      <c r="L198" s="16"/>
      <c r="M198" s="16"/>
    </row>
    <row r="199" spans="1:13" x14ac:dyDescent="0.25">
      <c r="A199" s="16">
        <v>1873</v>
      </c>
      <c r="B199" s="6">
        <v>43525</v>
      </c>
      <c r="C199" s="16" t="s">
        <v>195</v>
      </c>
      <c r="D199" s="7">
        <f>SUMIFS('DATOS PROYECCIÓN'!$F:$F,'DATOS PROYECCIÓN'!A:A,A199,'DATOS PROYECCIÓN'!B:B,B199)</f>
        <v>19235315</v>
      </c>
      <c r="E199" s="13">
        <f>VLOOKUP(A199,'DATOS GENERALES'!A:B,2,0)</f>
        <v>1.83</v>
      </c>
      <c r="F199" s="16">
        <f t="shared" si="12"/>
        <v>1.821582</v>
      </c>
      <c r="G199" s="7">
        <f t="shared" si="13"/>
        <v>-10559675.600659207</v>
      </c>
      <c r="H199" s="7">
        <f t="shared" si="14"/>
        <v>8675639.3993407935</v>
      </c>
      <c r="I199" s="7">
        <f>IFERROR((G199/SUMIF(B:B,B199,G:G))*VLOOKUP(B199,'DATOS GENERALES'!G:H,2,0),"")</f>
        <v>-1651401.4965428391</v>
      </c>
      <c r="J199" s="7">
        <f t="shared" si="15"/>
        <v>7024237.9027979542</v>
      </c>
      <c r="K199" s="16"/>
      <c r="L199" s="16"/>
      <c r="M199" s="16"/>
    </row>
    <row r="200" spans="1:13" x14ac:dyDescent="0.25">
      <c r="A200" s="16">
        <v>1873</v>
      </c>
      <c r="B200" s="6">
        <v>43556</v>
      </c>
      <c r="C200" s="16" t="s">
        <v>195</v>
      </c>
      <c r="D200" s="7">
        <f>SUMIFS('DATOS PROYECCIÓN'!$F:$F,'DATOS PROYECCIÓN'!A:A,A200,'DATOS PROYECCIÓN'!B:B,B200)</f>
        <v>19235315</v>
      </c>
      <c r="E200" s="13">
        <f>VLOOKUP(A200,'DATOS GENERALES'!A:B,2,0)</f>
        <v>1.83</v>
      </c>
      <c r="F200" s="16">
        <f t="shared" si="12"/>
        <v>1.821582</v>
      </c>
      <c r="G200" s="7">
        <f t="shared" si="13"/>
        <v>-10559675.600659207</v>
      </c>
      <c r="H200" s="7">
        <f t="shared" si="14"/>
        <v>8675639.3993407935</v>
      </c>
      <c r="I200" s="7">
        <f>IFERROR((G200/SUMIF(B:B,B200,G:G))*VLOOKUP(B200,'DATOS GENERALES'!G:H,2,0),"")</f>
        <v>-1697765.2015623935</v>
      </c>
      <c r="J200" s="7">
        <f t="shared" si="15"/>
        <v>6977874.1977784</v>
      </c>
      <c r="K200" s="16"/>
      <c r="L200" s="16"/>
      <c r="M200" s="16"/>
    </row>
    <row r="201" spans="1:13" x14ac:dyDescent="0.25">
      <c r="A201" s="16">
        <v>1873</v>
      </c>
      <c r="B201" s="6">
        <v>43586</v>
      </c>
      <c r="C201" s="16" t="s">
        <v>195</v>
      </c>
      <c r="D201" s="7">
        <f>SUMIFS('DATOS PROYECCIÓN'!$F:$F,'DATOS PROYECCIÓN'!A:A,A201,'DATOS PROYECCIÓN'!B:B,B201)</f>
        <v>19235315</v>
      </c>
      <c r="E201" s="13">
        <f>VLOOKUP(A201,'DATOS GENERALES'!A:B,2,0)</f>
        <v>1.83</v>
      </c>
      <c r="F201" s="16">
        <f t="shared" si="12"/>
        <v>1.821582</v>
      </c>
      <c r="G201" s="7">
        <f t="shared" si="13"/>
        <v>-10559675.600659207</v>
      </c>
      <c r="H201" s="7">
        <f t="shared" si="14"/>
        <v>8675639.3993407935</v>
      </c>
      <c r="I201" s="7">
        <f>IFERROR((G201/SUMIF(B:B,B201,G:G))*VLOOKUP(B201,'DATOS GENERALES'!G:H,2,0),"")</f>
        <v>-1400537.5590206722</v>
      </c>
      <c r="J201" s="7">
        <f t="shared" si="15"/>
        <v>7275101.8403201215</v>
      </c>
      <c r="K201" s="16"/>
      <c r="L201" s="16"/>
      <c r="M201" s="16"/>
    </row>
    <row r="202" spans="1:13" x14ac:dyDescent="0.25">
      <c r="A202" s="16">
        <v>1873</v>
      </c>
      <c r="B202" s="6">
        <v>43617</v>
      </c>
      <c r="C202" s="16" t="s">
        <v>195</v>
      </c>
      <c r="D202" s="7">
        <f>SUMIFS('DATOS PROYECCIÓN'!$F:$F,'DATOS PROYECCIÓN'!A:A,A202,'DATOS PROYECCIÓN'!B:B,B202)</f>
        <v>19235315</v>
      </c>
      <c r="E202" s="13">
        <f>VLOOKUP(A202,'DATOS GENERALES'!A:B,2,0)</f>
        <v>1.83</v>
      </c>
      <c r="F202" s="16">
        <f t="shared" si="12"/>
        <v>1.821582</v>
      </c>
      <c r="G202" s="7">
        <f t="shared" si="13"/>
        <v>-10559675.600659207</v>
      </c>
      <c r="H202" s="7">
        <f t="shared" si="14"/>
        <v>8675639.3993407935</v>
      </c>
      <c r="I202" s="7">
        <f>IFERROR((G202/SUMIF(B:B,B202,G:G))*VLOOKUP(B202,'DATOS GENERALES'!G:H,2,0),"")</f>
        <v>-1883395.0327412076</v>
      </c>
      <c r="J202" s="7">
        <f t="shared" si="15"/>
        <v>6792244.3665995859</v>
      </c>
      <c r="K202" s="16"/>
      <c r="L202" s="16"/>
      <c r="M202" s="16"/>
    </row>
    <row r="203" spans="1:13" x14ac:dyDescent="0.25">
      <c r="A203" s="16">
        <v>1873</v>
      </c>
      <c r="B203" s="6">
        <v>43647</v>
      </c>
      <c r="C203" s="16" t="s">
        <v>195</v>
      </c>
      <c r="D203" s="7">
        <f>SUMIFS('DATOS PROYECCIÓN'!$F:$F,'DATOS PROYECCIÓN'!A:A,A203,'DATOS PROYECCIÓN'!B:B,B203)</f>
        <v>19235315</v>
      </c>
      <c r="E203" s="13">
        <f>VLOOKUP(A203,'DATOS GENERALES'!A:B,2,0)</f>
        <v>1.83</v>
      </c>
      <c r="F203" s="16">
        <f t="shared" si="12"/>
        <v>1.821582</v>
      </c>
      <c r="G203" s="7">
        <f t="shared" si="13"/>
        <v>-10559675.600659207</v>
      </c>
      <c r="H203" s="7">
        <f t="shared" si="14"/>
        <v>8675639.3993407935</v>
      </c>
      <c r="I203" s="7">
        <f>IFERROR((G203/SUMIF(B:B,B203,G:G))*VLOOKUP(B203,'DATOS GENERALES'!G:H,2,0),"")</f>
        <v>-2808697.6412238223</v>
      </c>
      <c r="J203" s="7">
        <f t="shared" si="15"/>
        <v>5866941.7581169717</v>
      </c>
      <c r="K203" s="16"/>
      <c r="L203" s="16"/>
      <c r="M203" s="16"/>
    </row>
    <row r="204" spans="1:13" x14ac:dyDescent="0.25">
      <c r="A204" s="16">
        <v>1873</v>
      </c>
      <c r="B204" s="6">
        <v>43678</v>
      </c>
      <c r="C204" s="16" t="s">
        <v>195</v>
      </c>
      <c r="D204" s="7">
        <f>SUMIFS('DATOS PROYECCIÓN'!$F:$F,'DATOS PROYECCIÓN'!A:A,A204,'DATOS PROYECCIÓN'!B:B,B204)</f>
        <v>19235315</v>
      </c>
      <c r="E204" s="13">
        <f>VLOOKUP(A204,'DATOS GENERALES'!A:B,2,0)</f>
        <v>1.83</v>
      </c>
      <c r="F204" s="16">
        <f t="shared" si="12"/>
        <v>1.821582</v>
      </c>
      <c r="G204" s="7">
        <f t="shared" si="13"/>
        <v>-10559675.600659207</v>
      </c>
      <c r="H204" s="7">
        <f t="shared" si="14"/>
        <v>8675639.3993407935</v>
      </c>
      <c r="I204" s="7">
        <f>IFERROR((G204/SUMIF(B:B,B204,G:G))*VLOOKUP(B204,'DATOS GENERALES'!G:H,2,0),"")</f>
        <v>-2763860.310370225</v>
      </c>
      <c r="J204" s="7">
        <f t="shared" si="15"/>
        <v>5911779.088970568</v>
      </c>
      <c r="K204" s="16"/>
      <c r="L204" s="16"/>
      <c r="M204" s="16"/>
    </row>
    <row r="205" spans="1:13" x14ac:dyDescent="0.25">
      <c r="A205" s="16">
        <v>1873</v>
      </c>
      <c r="B205" s="6">
        <v>43709</v>
      </c>
      <c r="C205" s="16" t="s">
        <v>195</v>
      </c>
      <c r="D205" s="7">
        <f>SUMIFS('DATOS PROYECCIÓN'!$F:$F,'DATOS PROYECCIÓN'!A:A,A205,'DATOS PROYECCIÓN'!B:B,B205)</f>
        <v>15111650</v>
      </c>
      <c r="E205" s="13">
        <f>VLOOKUP(A205,'DATOS GENERALES'!A:B,2,0)</f>
        <v>1.83</v>
      </c>
      <c r="F205" s="16">
        <f t="shared" si="12"/>
        <v>1.821582</v>
      </c>
      <c r="G205" s="7">
        <f t="shared" si="13"/>
        <v>-8295893.3498464515</v>
      </c>
      <c r="H205" s="7">
        <f t="shared" si="14"/>
        <v>6815756.6501535485</v>
      </c>
      <c r="I205" s="7">
        <f>IFERROR((G205/SUMIF(B:B,B205,G:G))*VLOOKUP(B205,'DATOS GENERALES'!G:H,2,0),"")</f>
        <v>-2453994.6899624984</v>
      </c>
      <c r="J205" s="7">
        <f t="shared" si="15"/>
        <v>4361761.9601910505</v>
      </c>
      <c r="K205" s="16"/>
      <c r="L205" s="16"/>
      <c r="M205" s="16"/>
    </row>
    <row r="206" spans="1:13" x14ac:dyDescent="0.25">
      <c r="A206" s="16">
        <v>1873</v>
      </c>
      <c r="B206" s="6">
        <v>43739</v>
      </c>
      <c r="C206" s="16" t="s">
        <v>195</v>
      </c>
      <c r="D206" s="7">
        <f>SUMIFS('DATOS PROYECCIÓN'!$F:$F,'DATOS PROYECCIÓN'!A:A,A206,'DATOS PROYECCIÓN'!B:B,B206)</f>
        <v>15111650</v>
      </c>
      <c r="E206" s="13">
        <f>VLOOKUP(A206,'DATOS GENERALES'!A:B,2,0)</f>
        <v>1.83</v>
      </c>
      <c r="F206" s="16">
        <f t="shared" si="12"/>
        <v>1.821582</v>
      </c>
      <c r="G206" s="7">
        <f t="shared" si="13"/>
        <v>-8295893.3498464515</v>
      </c>
      <c r="H206" s="7">
        <f t="shared" si="14"/>
        <v>6815756.6501535485</v>
      </c>
      <c r="I206" s="7">
        <f>IFERROR((G206/SUMIF(B:B,B206,G:G))*VLOOKUP(B206,'DATOS GENERALES'!G:H,2,0),"")</f>
        <v>-2653741.859679312</v>
      </c>
      <c r="J206" s="7">
        <f t="shared" si="15"/>
        <v>4162014.7904742365</v>
      </c>
      <c r="K206" s="16"/>
      <c r="L206" s="16"/>
      <c r="M206" s="16"/>
    </row>
    <row r="207" spans="1:13" x14ac:dyDescent="0.25">
      <c r="A207" s="16">
        <v>1873</v>
      </c>
      <c r="B207" s="6">
        <v>43770</v>
      </c>
      <c r="C207" s="16" t="s">
        <v>195</v>
      </c>
      <c r="D207" s="7">
        <f>SUMIFS('DATOS PROYECCIÓN'!$F:$F,'DATOS PROYECCIÓN'!A:A,A207,'DATOS PROYECCIÓN'!B:B,B207)</f>
        <v>15111650</v>
      </c>
      <c r="E207" s="13">
        <f>VLOOKUP(A207,'DATOS GENERALES'!A:B,2,0)</f>
        <v>1.83</v>
      </c>
      <c r="F207" s="16">
        <f t="shared" si="12"/>
        <v>1.821582</v>
      </c>
      <c r="G207" s="7">
        <f t="shared" si="13"/>
        <v>-8295893.3498464515</v>
      </c>
      <c r="H207" s="7">
        <f t="shared" si="14"/>
        <v>6815756.6501535485</v>
      </c>
      <c r="I207" s="7">
        <f>IFERROR((G207/SUMIF(B:B,B207,G:G))*VLOOKUP(B207,'DATOS GENERALES'!G:H,2,0),"")</f>
        <v>-3549184.2963610082</v>
      </c>
      <c r="J207" s="7">
        <f t="shared" si="15"/>
        <v>3266572.3537925403</v>
      </c>
      <c r="K207" s="16"/>
      <c r="L207" s="16"/>
      <c r="M207" s="16"/>
    </row>
    <row r="208" spans="1:13" x14ac:dyDescent="0.25">
      <c r="A208" s="16">
        <v>1874</v>
      </c>
      <c r="B208" s="6">
        <v>43466</v>
      </c>
      <c r="C208" s="16" t="s">
        <v>195</v>
      </c>
      <c r="D208" s="7">
        <f>SUMIFS('DATOS PROYECCIÓN'!$F:$F,'DATOS PROYECCIÓN'!A:A,A208,'DATOS PROYECCIÓN'!B:B,B208)</f>
        <v>45806040.531499997</v>
      </c>
      <c r="E208" s="13">
        <f>VLOOKUP(A208,'DATOS GENERALES'!A:B,2,0)</f>
        <v>2.48</v>
      </c>
      <c r="F208" s="16">
        <f t="shared" si="12"/>
        <v>2.4685919999999997</v>
      </c>
      <c r="G208" s="7">
        <f t="shared" si="13"/>
        <v>-18555533.085864332</v>
      </c>
      <c r="H208" s="7">
        <f t="shared" si="14"/>
        <v>27250507.445635665</v>
      </c>
      <c r="I208" s="7">
        <f>IFERROR((G208/SUMIF(B:B,B208,G:G))*VLOOKUP(B208,'DATOS GENERALES'!G:H,2,0),"")</f>
        <v>-4071424.3560060649</v>
      </c>
      <c r="J208" s="7">
        <f t="shared" si="15"/>
        <v>23179083.089629602</v>
      </c>
      <c r="K208" s="16"/>
      <c r="L208" s="16"/>
      <c r="M208" s="16"/>
    </row>
    <row r="209" spans="1:13" x14ac:dyDescent="0.25">
      <c r="A209" s="16">
        <v>1874</v>
      </c>
      <c r="B209" s="6">
        <v>43497</v>
      </c>
      <c r="C209" s="16" t="s">
        <v>195</v>
      </c>
      <c r="D209" s="7">
        <f>SUMIFS('DATOS PROYECCIÓN'!$F:$F,'DATOS PROYECCIÓN'!A:A,A209,'DATOS PROYECCIÓN'!B:B,B209)</f>
        <v>45806040.531499997</v>
      </c>
      <c r="E209" s="13">
        <f>VLOOKUP(A209,'DATOS GENERALES'!A:B,2,0)</f>
        <v>2.48</v>
      </c>
      <c r="F209" s="16">
        <f t="shared" si="12"/>
        <v>2.4685919999999997</v>
      </c>
      <c r="G209" s="7">
        <f t="shared" si="13"/>
        <v>-18555533.085864332</v>
      </c>
      <c r="H209" s="7">
        <f t="shared" si="14"/>
        <v>27250507.445635665</v>
      </c>
      <c r="I209" s="7">
        <f>IFERROR((G209/SUMIF(B:B,B209,G:G))*VLOOKUP(B209,'DATOS GENERALES'!G:H,2,0),"")</f>
        <v>-4010924.0898789321</v>
      </c>
      <c r="J209" s="7">
        <f t="shared" si="15"/>
        <v>23239583.355756734</v>
      </c>
      <c r="K209" s="16"/>
      <c r="L209" s="16"/>
      <c r="M209" s="16"/>
    </row>
    <row r="210" spans="1:13" x14ac:dyDescent="0.25">
      <c r="A210" s="16">
        <v>1874</v>
      </c>
      <c r="B210" s="6">
        <v>43525</v>
      </c>
      <c r="C210" s="16" t="s">
        <v>195</v>
      </c>
      <c r="D210" s="7">
        <f>SUMIFS('DATOS PROYECCIÓN'!$F:$F,'DATOS PROYECCIÓN'!A:A,A210,'DATOS PROYECCIÓN'!B:B,B210)</f>
        <v>45806040.531499997</v>
      </c>
      <c r="E210" s="13">
        <f>VLOOKUP(A210,'DATOS GENERALES'!A:B,2,0)</f>
        <v>2.48</v>
      </c>
      <c r="F210" s="16">
        <f t="shared" si="12"/>
        <v>2.4685919999999997</v>
      </c>
      <c r="G210" s="7">
        <f t="shared" si="13"/>
        <v>-18555533.085864332</v>
      </c>
      <c r="H210" s="7">
        <f t="shared" si="14"/>
        <v>27250507.445635665</v>
      </c>
      <c r="I210" s="7">
        <f>IFERROR((G210/SUMIF(B:B,B210,G:G))*VLOOKUP(B210,'DATOS GENERALES'!G:H,2,0),"")</f>
        <v>-2901853.8320659776</v>
      </c>
      <c r="J210" s="7">
        <f t="shared" si="15"/>
        <v>24348653.613569688</v>
      </c>
      <c r="K210" s="16"/>
      <c r="L210" s="16"/>
      <c r="M210" s="16"/>
    </row>
    <row r="211" spans="1:13" x14ac:dyDescent="0.25">
      <c r="A211" s="16">
        <v>1874</v>
      </c>
      <c r="B211" s="6">
        <v>43556</v>
      </c>
      <c r="C211" s="16" t="s">
        <v>195</v>
      </c>
      <c r="D211" s="7">
        <f>SUMIFS('DATOS PROYECCIÓN'!$F:$F,'DATOS PROYECCIÓN'!A:A,A211,'DATOS PROYECCIÓN'!B:B,B211)</f>
        <v>45806040.531499997</v>
      </c>
      <c r="E211" s="13">
        <f>VLOOKUP(A211,'DATOS GENERALES'!A:B,2,0)</f>
        <v>2.48</v>
      </c>
      <c r="F211" s="16">
        <f t="shared" si="12"/>
        <v>2.4685919999999997</v>
      </c>
      <c r="G211" s="7">
        <f t="shared" si="13"/>
        <v>-18555533.085864332</v>
      </c>
      <c r="H211" s="7">
        <f t="shared" si="14"/>
        <v>27250507.445635665</v>
      </c>
      <c r="I211" s="7">
        <f>IFERROR((G211/SUMIF(B:B,B211,G:G))*VLOOKUP(B211,'DATOS GENERALES'!G:H,2,0),"")</f>
        <v>-2983324.4467901546</v>
      </c>
      <c r="J211" s="7">
        <f t="shared" si="15"/>
        <v>24267182.99884551</v>
      </c>
      <c r="K211" s="16"/>
      <c r="L211" s="16"/>
      <c r="M211" s="16"/>
    </row>
    <row r="212" spans="1:13" x14ac:dyDescent="0.25">
      <c r="A212" s="16">
        <v>1874</v>
      </c>
      <c r="B212" s="6">
        <v>43586</v>
      </c>
      <c r="C212" s="16" t="s">
        <v>195</v>
      </c>
      <c r="D212" s="7">
        <f>SUMIFS('DATOS PROYECCIÓN'!$F:$F,'DATOS PROYECCIÓN'!A:A,A212,'DATOS PROYECCIÓN'!B:B,B212)</f>
        <v>45806040.531499997</v>
      </c>
      <c r="E212" s="13">
        <f>VLOOKUP(A212,'DATOS GENERALES'!A:B,2,0)</f>
        <v>2.48</v>
      </c>
      <c r="F212" s="16">
        <f t="shared" si="12"/>
        <v>2.4685919999999997</v>
      </c>
      <c r="G212" s="7">
        <f t="shared" si="13"/>
        <v>-18555533.085864332</v>
      </c>
      <c r="H212" s="7">
        <f t="shared" si="14"/>
        <v>27250507.445635665</v>
      </c>
      <c r="I212" s="7">
        <f>IFERROR((G212/SUMIF(B:B,B212,G:G))*VLOOKUP(B212,'DATOS GENERALES'!G:H,2,0),"")</f>
        <v>-2461034.0314603439</v>
      </c>
      <c r="J212" s="7">
        <f t="shared" si="15"/>
        <v>24789473.41417532</v>
      </c>
      <c r="K212" s="16"/>
      <c r="L212" s="16"/>
      <c r="M212" s="16"/>
    </row>
    <row r="213" spans="1:13" x14ac:dyDescent="0.25">
      <c r="A213" s="16">
        <v>1874</v>
      </c>
      <c r="B213" s="6">
        <v>43617</v>
      </c>
      <c r="C213" s="16" t="s">
        <v>195</v>
      </c>
      <c r="D213" s="7">
        <f>SUMIFS('DATOS PROYECCIÓN'!$F:$F,'DATOS PROYECCIÓN'!A:A,A213,'DATOS PROYECCIÓN'!B:B,B213)</f>
        <v>45806040.531499997</v>
      </c>
      <c r="E213" s="13">
        <f>VLOOKUP(A213,'DATOS GENERALES'!A:B,2,0)</f>
        <v>2.48</v>
      </c>
      <c r="F213" s="16">
        <f t="shared" si="12"/>
        <v>2.4685919999999997</v>
      </c>
      <c r="G213" s="7">
        <f t="shared" si="13"/>
        <v>-18555533.085864332</v>
      </c>
      <c r="H213" s="7">
        <f t="shared" si="14"/>
        <v>27250507.445635665</v>
      </c>
      <c r="I213" s="7">
        <f>IFERROR((G213/SUMIF(B:B,B213,G:G))*VLOOKUP(B213,'DATOS GENERALES'!G:H,2,0),"")</f>
        <v>-3309514.4363715458</v>
      </c>
      <c r="J213" s="7">
        <f t="shared" si="15"/>
        <v>23940993.009264119</v>
      </c>
      <c r="K213" s="16"/>
      <c r="L213" s="16"/>
      <c r="M213" s="16"/>
    </row>
    <row r="214" spans="1:13" x14ac:dyDescent="0.25">
      <c r="A214" s="16">
        <v>1874</v>
      </c>
      <c r="B214" s="6">
        <v>43647</v>
      </c>
      <c r="C214" s="16" t="s">
        <v>195</v>
      </c>
      <c r="D214" s="7">
        <f>SUMIFS('DATOS PROYECCIÓN'!$F:$F,'DATOS PROYECCIÓN'!A:A,A214,'DATOS PROYECCIÓN'!B:B,B214)</f>
        <v>45806040.531499997</v>
      </c>
      <c r="E214" s="13">
        <f>VLOOKUP(A214,'DATOS GENERALES'!A:B,2,0)</f>
        <v>2.48</v>
      </c>
      <c r="F214" s="16">
        <f t="shared" si="12"/>
        <v>2.4685919999999997</v>
      </c>
      <c r="G214" s="7">
        <f t="shared" si="13"/>
        <v>-18555533.085864332</v>
      </c>
      <c r="H214" s="7">
        <f t="shared" si="14"/>
        <v>27250507.445635665</v>
      </c>
      <c r="I214" s="7">
        <f>IFERROR((G214/SUMIF(B:B,B214,G:G))*VLOOKUP(B214,'DATOS GENERALES'!G:H,2,0),"")</f>
        <v>-4935462.4119953318</v>
      </c>
      <c r="J214" s="7">
        <f t="shared" si="15"/>
        <v>22315045.033640333</v>
      </c>
      <c r="K214" s="16"/>
      <c r="L214" s="16"/>
      <c r="M214" s="16"/>
    </row>
    <row r="215" spans="1:13" x14ac:dyDescent="0.25">
      <c r="A215" s="16">
        <v>1874</v>
      </c>
      <c r="B215" s="6">
        <v>43678</v>
      </c>
      <c r="C215" s="16" t="s">
        <v>195</v>
      </c>
      <c r="D215" s="7">
        <f>SUMIFS('DATOS PROYECCIÓN'!$F:$F,'DATOS PROYECCIÓN'!A:A,A215,'DATOS PROYECCIÓN'!B:B,B215)</f>
        <v>45806040.531499997</v>
      </c>
      <c r="E215" s="13">
        <f>VLOOKUP(A215,'DATOS GENERALES'!A:B,2,0)</f>
        <v>2.48</v>
      </c>
      <c r="F215" s="16">
        <f t="shared" si="12"/>
        <v>2.4685919999999997</v>
      </c>
      <c r="G215" s="7">
        <f t="shared" si="13"/>
        <v>-18555533.085864332</v>
      </c>
      <c r="H215" s="7">
        <f t="shared" si="14"/>
        <v>27250507.445635665</v>
      </c>
      <c r="I215" s="7">
        <f>IFERROR((G215/SUMIF(B:B,B215,G:G))*VLOOKUP(B215,'DATOS GENERALES'!G:H,2,0),"")</f>
        <v>-4856673.9522358449</v>
      </c>
      <c r="J215" s="7">
        <f t="shared" si="15"/>
        <v>22393833.493399821</v>
      </c>
      <c r="K215" s="16"/>
      <c r="L215" s="16"/>
      <c r="M215" s="16"/>
    </row>
    <row r="216" spans="1:13" x14ac:dyDescent="0.25">
      <c r="A216" s="16">
        <v>1874</v>
      </c>
      <c r="B216" s="6">
        <v>43709</v>
      </c>
      <c r="C216" s="16" t="s">
        <v>195</v>
      </c>
      <c r="D216" s="7">
        <f>SUMIFS('DATOS PROYECCIÓN'!$F:$F,'DATOS PROYECCIÓN'!A:A,A216,'DATOS PROYECCIÓN'!B:B,B216)</f>
        <v>33732090.531499997</v>
      </c>
      <c r="E216" s="13">
        <f>VLOOKUP(A216,'DATOS GENERALES'!A:B,2,0)</f>
        <v>2.48</v>
      </c>
      <c r="F216" s="16">
        <f t="shared" si="12"/>
        <v>2.4685919999999997</v>
      </c>
      <c r="G216" s="7">
        <f t="shared" si="13"/>
        <v>-13664506.136088913</v>
      </c>
      <c r="H216" s="7">
        <f t="shared" si="14"/>
        <v>20067584.395411082</v>
      </c>
      <c r="I216" s="7">
        <f>IFERROR((G216/SUMIF(B:B,B216,G:G))*VLOOKUP(B216,'DATOS GENERALES'!G:H,2,0),"")</f>
        <v>-4042075.2877136283</v>
      </c>
      <c r="J216" s="7">
        <f t="shared" si="15"/>
        <v>16025509.107697453</v>
      </c>
      <c r="K216" s="16"/>
      <c r="L216" s="16"/>
      <c r="M216" s="16"/>
    </row>
    <row r="217" spans="1:13" x14ac:dyDescent="0.25">
      <c r="A217" s="16">
        <v>1874</v>
      </c>
      <c r="B217" s="6">
        <v>43739</v>
      </c>
      <c r="C217" s="16" t="s">
        <v>195</v>
      </c>
      <c r="D217" s="7">
        <f>SUMIFS('DATOS PROYECCIÓN'!$F:$F,'DATOS PROYECCIÓN'!A:A,A217,'DATOS PROYECCIÓN'!B:B,B217)</f>
        <v>33732090.531499997</v>
      </c>
      <c r="E217" s="13">
        <f>VLOOKUP(A217,'DATOS GENERALES'!A:B,2,0)</f>
        <v>2.48</v>
      </c>
      <c r="F217" s="16">
        <f t="shared" si="12"/>
        <v>2.4685919999999997</v>
      </c>
      <c r="G217" s="7">
        <f t="shared" si="13"/>
        <v>-13664506.136088913</v>
      </c>
      <c r="H217" s="7">
        <f t="shared" si="14"/>
        <v>20067584.395411082</v>
      </c>
      <c r="I217" s="7">
        <f>IFERROR((G217/SUMIF(B:B,B217,G:G))*VLOOKUP(B217,'DATOS GENERALES'!G:H,2,0),"")</f>
        <v>-4371087.042223745</v>
      </c>
      <c r="J217" s="7">
        <f t="shared" si="15"/>
        <v>15696497.353187338</v>
      </c>
      <c r="K217" s="16"/>
      <c r="L217" s="16"/>
      <c r="M217" s="16"/>
    </row>
    <row r="218" spans="1:13" x14ac:dyDescent="0.25">
      <c r="A218" s="16">
        <v>1881</v>
      </c>
      <c r="B218" s="6">
        <v>43466</v>
      </c>
      <c r="C218" s="16" t="s">
        <v>195</v>
      </c>
      <c r="D218" s="7">
        <f>SUMIFS('DATOS PROYECCIÓN'!$F:$F,'DATOS PROYECCIÓN'!A:A,A218,'DATOS PROYECCIÓN'!B:B,B218)</f>
        <v>18731301.130000003</v>
      </c>
      <c r="E218" s="13">
        <f>VLOOKUP(A218,'DATOS GENERALES'!A:B,2,0)</f>
        <v>1.96</v>
      </c>
      <c r="F218" s="16">
        <f t="shared" si="12"/>
        <v>1.9509839999999998</v>
      </c>
      <c r="G218" s="7">
        <f t="shared" si="13"/>
        <v>-9600950.6638701316</v>
      </c>
      <c r="H218" s="7">
        <f t="shared" si="14"/>
        <v>9130350.4661298711</v>
      </c>
      <c r="I218" s="7">
        <f>IFERROR((G218/SUMIF(B:B,B218,G:G))*VLOOKUP(B218,'DATOS GENERALES'!G:H,2,0),"")</f>
        <v>-2106624.7028748528</v>
      </c>
      <c r="J218" s="7">
        <f t="shared" si="15"/>
        <v>7023725.7632550187</v>
      </c>
      <c r="K218" s="16"/>
      <c r="L218" s="16"/>
      <c r="M218" s="16"/>
    </row>
    <row r="219" spans="1:13" x14ac:dyDescent="0.25">
      <c r="A219" s="16">
        <v>1881</v>
      </c>
      <c r="B219" s="6">
        <v>43497</v>
      </c>
      <c r="C219" s="16" t="s">
        <v>195</v>
      </c>
      <c r="D219" s="7">
        <f>SUMIFS('DATOS PROYECCIÓN'!$F:$F,'DATOS PROYECCIÓN'!A:A,A219,'DATOS PROYECCIÓN'!B:B,B219)</f>
        <v>18731301.130000003</v>
      </c>
      <c r="E219" s="13">
        <f>VLOOKUP(A219,'DATOS GENERALES'!A:B,2,0)</f>
        <v>1.96</v>
      </c>
      <c r="F219" s="16">
        <f t="shared" si="12"/>
        <v>1.9509839999999998</v>
      </c>
      <c r="G219" s="7">
        <f t="shared" si="13"/>
        <v>-9600950.6638701316</v>
      </c>
      <c r="H219" s="7">
        <f t="shared" si="14"/>
        <v>9130350.4661298711</v>
      </c>
      <c r="I219" s="7">
        <f>IFERROR((G219/SUMIF(B:B,B219,G:G))*VLOOKUP(B219,'DATOS GENERALES'!G:H,2,0),"")</f>
        <v>-2075320.8288471047</v>
      </c>
      <c r="J219" s="7">
        <f t="shared" si="15"/>
        <v>7055029.6372827664</v>
      </c>
      <c r="K219" s="16"/>
      <c r="L219" s="16"/>
      <c r="M219" s="16"/>
    </row>
    <row r="220" spans="1:13" x14ac:dyDescent="0.25">
      <c r="A220" s="16">
        <v>1881</v>
      </c>
      <c r="B220" s="6">
        <v>43525</v>
      </c>
      <c r="C220" s="16" t="s">
        <v>195</v>
      </c>
      <c r="D220" s="7">
        <f>SUMIFS('DATOS PROYECCIÓN'!$F:$F,'DATOS PROYECCIÓN'!A:A,A220,'DATOS PROYECCIÓN'!B:B,B220)</f>
        <v>18731301.130000003</v>
      </c>
      <c r="E220" s="13">
        <f>VLOOKUP(A220,'DATOS GENERALES'!A:B,2,0)</f>
        <v>1.96</v>
      </c>
      <c r="F220" s="16">
        <f t="shared" si="12"/>
        <v>1.9509839999999998</v>
      </c>
      <c r="G220" s="7">
        <f t="shared" si="13"/>
        <v>-9600950.6638701316</v>
      </c>
      <c r="H220" s="7">
        <f t="shared" si="14"/>
        <v>9130350.4661298711</v>
      </c>
      <c r="I220" s="7">
        <f>IFERROR((G220/SUMIF(B:B,B220,G:G))*VLOOKUP(B220,'DATOS GENERALES'!G:H,2,0),"")</f>
        <v>-1501468.8797409006</v>
      </c>
      <c r="J220" s="7">
        <f t="shared" si="15"/>
        <v>7628881.5863889707</v>
      </c>
      <c r="K220" s="16"/>
      <c r="L220" s="16"/>
      <c r="M220" s="16"/>
    </row>
    <row r="221" spans="1:13" x14ac:dyDescent="0.25">
      <c r="A221" s="16">
        <v>1881</v>
      </c>
      <c r="B221" s="6">
        <v>43556</v>
      </c>
      <c r="C221" s="16" t="s">
        <v>195</v>
      </c>
      <c r="D221" s="7">
        <f>SUMIFS('DATOS PROYECCIÓN'!$F:$F,'DATOS PROYECCIÓN'!A:A,A221,'DATOS PROYECCIÓN'!B:B,B221)</f>
        <v>18731301.130000003</v>
      </c>
      <c r="E221" s="13">
        <f>VLOOKUP(A221,'DATOS GENERALES'!A:B,2,0)</f>
        <v>1.96</v>
      </c>
      <c r="F221" s="16">
        <f t="shared" si="12"/>
        <v>1.9509839999999998</v>
      </c>
      <c r="G221" s="7">
        <f t="shared" si="13"/>
        <v>-9600950.6638701316</v>
      </c>
      <c r="H221" s="7">
        <f t="shared" si="14"/>
        <v>9130350.4661298711</v>
      </c>
      <c r="I221" s="7">
        <f>IFERROR((G221/SUMIF(B:B,B221,G:G))*VLOOKUP(B221,'DATOS GENERALES'!G:H,2,0),"")</f>
        <v>-1543623.1713423568</v>
      </c>
      <c r="J221" s="7">
        <f t="shared" si="15"/>
        <v>7586727.294787514</v>
      </c>
      <c r="K221" s="16"/>
      <c r="L221" s="16"/>
      <c r="M221" s="16"/>
    </row>
    <row r="222" spans="1:13" x14ac:dyDescent="0.25">
      <c r="A222" s="16">
        <v>1881</v>
      </c>
      <c r="B222" s="6">
        <v>43586</v>
      </c>
      <c r="C222" s="16" t="s">
        <v>195</v>
      </c>
      <c r="D222" s="7">
        <f>SUMIFS('DATOS PROYECCIÓN'!$F:$F,'DATOS PROYECCIÓN'!A:A,A222,'DATOS PROYECCIÓN'!B:B,B222)</f>
        <v>18731301.130000003</v>
      </c>
      <c r="E222" s="13">
        <f>VLOOKUP(A222,'DATOS GENERALES'!A:B,2,0)</f>
        <v>1.96</v>
      </c>
      <c r="F222" s="16">
        <f t="shared" si="12"/>
        <v>1.9509839999999998</v>
      </c>
      <c r="G222" s="7">
        <f t="shared" si="13"/>
        <v>-9600950.6638701316</v>
      </c>
      <c r="H222" s="7">
        <f t="shared" si="14"/>
        <v>9130350.4661298711</v>
      </c>
      <c r="I222" s="7">
        <f>IFERROR((G222/SUMIF(B:B,B222,G:G))*VLOOKUP(B222,'DATOS GENERALES'!G:H,2,0),"")</f>
        <v>-1273381.1639265846</v>
      </c>
      <c r="J222" s="7">
        <f t="shared" si="15"/>
        <v>7856969.3022032864</v>
      </c>
      <c r="K222" s="16"/>
      <c r="L222" s="16"/>
      <c r="M222" s="16"/>
    </row>
    <row r="223" spans="1:13" x14ac:dyDescent="0.25">
      <c r="A223" s="16">
        <v>1881</v>
      </c>
      <c r="B223" s="6">
        <v>43617</v>
      </c>
      <c r="C223" s="16" t="s">
        <v>195</v>
      </c>
      <c r="D223" s="7">
        <f>SUMIFS('DATOS PROYECCIÓN'!$F:$F,'DATOS PROYECCIÓN'!A:A,A223,'DATOS PROYECCIÓN'!B:B,B223)</f>
        <v>18731301.130000003</v>
      </c>
      <c r="E223" s="13">
        <f>VLOOKUP(A223,'DATOS GENERALES'!A:B,2,0)</f>
        <v>1.96</v>
      </c>
      <c r="F223" s="16">
        <f t="shared" si="12"/>
        <v>1.9509839999999998</v>
      </c>
      <c r="G223" s="7">
        <f t="shared" si="13"/>
        <v>-9600950.6638701316</v>
      </c>
      <c r="H223" s="7">
        <f t="shared" si="14"/>
        <v>9130350.4661298711</v>
      </c>
      <c r="I223" s="7">
        <f>IFERROR((G223/SUMIF(B:B,B223,G:G))*VLOOKUP(B223,'DATOS GENERALES'!G:H,2,0),"")</f>
        <v>-1712399.4593922545</v>
      </c>
      <c r="J223" s="7">
        <f t="shared" si="15"/>
        <v>7417951.0067376168</v>
      </c>
      <c r="K223" s="16"/>
      <c r="L223" s="16"/>
      <c r="M223" s="16"/>
    </row>
    <row r="224" spans="1:13" x14ac:dyDescent="0.25">
      <c r="A224" s="16">
        <v>1881</v>
      </c>
      <c r="B224" s="6">
        <v>43647</v>
      </c>
      <c r="C224" s="16" t="s">
        <v>195</v>
      </c>
      <c r="D224" s="7">
        <f>SUMIFS('DATOS PROYECCIÓN'!$F:$F,'DATOS PROYECCIÓN'!A:A,A224,'DATOS PROYECCIÓN'!B:B,B224)</f>
        <v>18731301.130000003</v>
      </c>
      <c r="E224" s="13">
        <f>VLOOKUP(A224,'DATOS GENERALES'!A:B,2,0)</f>
        <v>1.96</v>
      </c>
      <c r="F224" s="16">
        <f t="shared" si="12"/>
        <v>1.9509839999999998</v>
      </c>
      <c r="G224" s="7">
        <f t="shared" si="13"/>
        <v>-9600950.6638701316</v>
      </c>
      <c r="H224" s="7">
        <f t="shared" si="14"/>
        <v>9130350.4661298711</v>
      </c>
      <c r="I224" s="7">
        <f>IFERROR((G224/SUMIF(B:B,B224,G:G))*VLOOKUP(B224,'DATOS GENERALES'!G:H,2,0),"")</f>
        <v>-2553692.793501622</v>
      </c>
      <c r="J224" s="7">
        <f t="shared" si="15"/>
        <v>6576657.672628249</v>
      </c>
      <c r="K224" s="16"/>
      <c r="L224" s="16"/>
      <c r="M224" s="16"/>
    </row>
    <row r="225" spans="1:13" x14ac:dyDescent="0.25">
      <c r="A225" s="16">
        <v>1881</v>
      </c>
      <c r="B225" s="6">
        <v>43678</v>
      </c>
      <c r="C225" s="16" t="s">
        <v>195</v>
      </c>
      <c r="D225" s="7">
        <f>SUMIFS('DATOS PROYECCIÓN'!$F:$F,'DATOS PROYECCIÓN'!A:A,A225,'DATOS PROYECCIÓN'!B:B,B225)</f>
        <v>18731301.130000003</v>
      </c>
      <c r="E225" s="13">
        <f>VLOOKUP(A225,'DATOS GENERALES'!A:B,2,0)</f>
        <v>1.96</v>
      </c>
      <c r="F225" s="16">
        <f t="shared" si="12"/>
        <v>1.9509839999999998</v>
      </c>
      <c r="G225" s="7">
        <f t="shared" si="13"/>
        <v>-9600950.6638701316</v>
      </c>
      <c r="H225" s="7">
        <f t="shared" si="14"/>
        <v>9130350.4661298711</v>
      </c>
      <c r="I225" s="7">
        <f>IFERROR((G225/SUMIF(B:B,B225,G:G))*VLOOKUP(B225,'DATOS GENERALES'!G:H,2,0),"")</f>
        <v>-2512926.294822616</v>
      </c>
      <c r="J225" s="7">
        <f t="shared" si="15"/>
        <v>6617424.1713072546</v>
      </c>
      <c r="K225" s="16"/>
      <c r="L225" s="16"/>
      <c r="M225" s="16"/>
    </row>
    <row r="226" spans="1:13" x14ac:dyDescent="0.25">
      <c r="A226" s="16">
        <v>1881</v>
      </c>
      <c r="B226" s="6">
        <v>43709</v>
      </c>
      <c r="C226" s="16" t="s">
        <v>195</v>
      </c>
      <c r="D226" s="7">
        <f>SUMIFS('DATOS PROYECCIÓN'!$F:$F,'DATOS PROYECCIÓN'!A:A,A226,'DATOS PROYECCIÓN'!B:B,B226)</f>
        <v>18731301.130000003</v>
      </c>
      <c r="E226" s="13">
        <f>VLOOKUP(A226,'DATOS GENERALES'!A:B,2,0)</f>
        <v>1.96</v>
      </c>
      <c r="F226" s="16">
        <f t="shared" si="12"/>
        <v>1.9509839999999998</v>
      </c>
      <c r="G226" s="7">
        <f t="shared" si="13"/>
        <v>-9600950.6638701316</v>
      </c>
      <c r="H226" s="7">
        <f t="shared" si="14"/>
        <v>9130350.4661298711</v>
      </c>
      <c r="I226" s="7">
        <f>IFERROR((G226/SUMIF(B:B,B226,G:G))*VLOOKUP(B226,'DATOS GENERALES'!G:H,2,0),"")</f>
        <v>-2840041.5668513034</v>
      </c>
      <c r="J226" s="7">
        <f t="shared" si="15"/>
        <v>6290308.8992785681</v>
      </c>
      <c r="K226" s="16"/>
      <c r="L226" s="16"/>
      <c r="M226" s="16"/>
    </row>
    <row r="227" spans="1:13" x14ac:dyDescent="0.25">
      <c r="A227" s="16">
        <v>1881</v>
      </c>
      <c r="B227" s="6">
        <v>43739</v>
      </c>
      <c r="C227" s="16" t="s">
        <v>195</v>
      </c>
      <c r="D227" s="7">
        <f>SUMIFS('DATOS PROYECCIÓN'!$F:$F,'DATOS PROYECCIÓN'!A:A,A227,'DATOS PROYECCIÓN'!B:B,B227)</f>
        <v>18731301.130000003</v>
      </c>
      <c r="E227" s="13">
        <f>VLOOKUP(A227,'DATOS GENERALES'!A:B,2,0)</f>
        <v>1.96</v>
      </c>
      <c r="F227" s="16">
        <f t="shared" si="12"/>
        <v>1.9509839999999998</v>
      </c>
      <c r="G227" s="7">
        <f t="shared" si="13"/>
        <v>-9600950.6638701316</v>
      </c>
      <c r="H227" s="7">
        <f t="shared" si="14"/>
        <v>9130350.4661298711</v>
      </c>
      <c r="I227" s="7">
        <f>IFERROR((G227/SUMIF(B:B,B227,G:G))*VLOOKUP(B227,'DATOS GENERALES'!G:H,2,0),"")</f>
        <v>-3071211.6941449866</v>
      </c>
      <c r="J227" s="7">
        <f t="shared" si="15"/>
        <v>6059138.7719848845</v>
      </c>
      <c r="K227" s="16"/>
      <c r="L227" s="16"/>
      <c r="M227" s="16"/>
    </row>
    <row r="228" spans="1:13" x14ac:dyDescent="0.25">
      <c r="A228" s="16">
        <v>1881</v>
      </c>
      <c r="B228" s="6">
        <v>43770</v>
      </c>
      <c r="C228" s="16" t="s">
        <v>195</v>
      </c>
      <c r="D228" s="7">
        <f>SUMIFS('DATOS PROYECCIÓN'!$F:$F,'DATOS PROYECCIÓN'!A:A,A228,'DATOS PROYECCIÓN'!B:B,B228)</f>
        <v>18731301.130000003</v>
      </c>
      <c r="E228" s="13">
        <f>VLOOKUP(A228,'DATOS GENERALES'!A:B,2,0)</f>
        <v>1.96</v>
      </c>
      <c r="F228" s="16">
        <f t="shared" si="12"/>
        <v>1.9509839999999998</v>
      </c>
      <c r="G228" s="7">
        <f t="shared" si="13"/>
        <v>-9600950.6638701316</v>
      </c>
      <c r="H228" s="7">
        <f t="shared" si="14"/>
        <v>9130350.4661298711</v>
      </c>
      <c r="I228" s="7">
        <f>IFERROR((G228/SUMIF(B:B,B228,G:G))*VLOOKUP(B228,'DATOS GENERALES'!G:H,2,0),"")</f>
        <v>-4107519.4544268548</v>
      </c>
      <c r="J228" s="7">
        <f t="shared" si="15"/>
        <v>5022831.0117030162</v>
      </c>
      <c r="K228" s="16"/>
      <c r="L228" s="16"/>
      <c r="M228" s="16"/>
    </row>
    <row r="229" spans="1:13" x14ac:dyDescent="0.25">
      <c r="A229" s="16">
        <v>1881</v>
      </c>
      <c r="B229" s="6">
        <v>43800</v>
      </c>
      <c r="C229" s="16" t="s">
        <v>195</v>
      </c>
      <c r="D229" s="7">
        <f>SUMIFS('DATOS PROYECCIÓN'!$F:$F,'DATOS PROYECCIÓN'!A:A,A229,'DATOS PROYECCIÓN'!B:B,B229)</f>
        <v>18731301.130000003</v>
      </c>
      <c r="E229" s="13">
        <f>VLOOKUP(A229,'DATOS GENERALES'!A:B,2,0)</f>
        <v>1.96</v>
      </c>
      <c r="F229" s="16">
        <f t="shared" si="12"/>
        <v>1.9509839999999998</v>
      </c>
      <c r="G229" s="7">
        <f t="shared" si="13"/>
        <v>-9600950.6638701316</v>
      </c>
      <c r="H229" s="7">
        <f t="shared" si="14"/>
        <v>9130350.4661298711</v>
      </c>
      <c r="I229" s="7">
        <f>IFERROR((G229/SUMIF(B:B,B229,G:G))*VLOOKUP(B229,'DATOS GENERALES'!G:H,2,0),"")</f>
        <v>-3458479.6014128174</v>
      </c>
      <c r="J229" s="7">
        <f t="shared" si="15"/>
        <v>5671870.8647170532</v>
      </c>
      <c r="K229" s="16"/>
      <c r="L229" s="16"/>
      <c r="M229" s="16"/>
    </row>
    <row r="230" spans="1:13" x14ac:dyDescent="0.25">
      <c r="A230" s="16">
        <v>1881</v>
      </c>
      <c r="B230" s="6">
        <v>43831</v>
      </c>
      <c r="C230" s="16" t="s">
        <v>195</v>
      </c>
      <c r="D230" s="7">
        <f>SUMIFS('DATOS PROYECCIÓN'!$F:$F,'DATOS PROYECCIÓN'!A:A,A230,'DATOS PROYECCIÓN'!B:B,B230)</f>
        <v>18731301.130000003</v>
      </c>
      <c r="E230" s="13">
        <f>VLOOKUP(A230,'DATOS GENERALES'!A:B,2,0)</f>
        <v>1.96</v>
      </c>
      <c r="F230" s="16">
        <f t="shared" si="12"/>
        <v>1.9509839999999998</v>
      </c>
      <c r="G230" s="7">
        <f t="shared" si="13"/>
        <v>-9600950.6638701316</v>
      </c>
      <c r="H230" s="7">
        <f t="shared" si="14"/>
        <v>9130350.4661298711</v>
      </c>
      <c r="I230" s="7" t="str">
        <f>IFERROR((G230/SUMIF(B:B,B230,G:G))*VLOOKUP(B230,'DATOS GENERALES'!G:H,2,0),"")</f>
        <v/>
      </c>
      <c r="J230" s="7" t="str">
        <f t="shared" si="15"/>
        <v/>
      </c>
      <c r="K230" s="16"/>
      <c r="L230" s="16"/>
      <c r="M230" s="16"/>
    </row>
    <row r="231" spans="1:13" x14ac:dyDescent="0.25">
      <c r="A231" s="16">
        <v>1881</v>
      </c>
      <c r="B231" s="6">
        <v>43862</v>
      </c>
      <c r="C231" s="16" t="s">
        <v>195</v>
      </c>
      <c r="D231" s="7">
        <f>SUMIFS('DATOS PROYECCIÓN'!$F:$F,'DATOS PROYECCIÓN'!A:A,A231,'DATOS PROYECCIÓN'!B:B,B231)</f>
        <v>18731301.130000003</v>
      </c>
      <c r="E231" s="13">
        <f>VLOOKUP(A231,'DATOS GENERALES'!A:B,2,0)</f>
        <v>1.96</v>
      </c>
      <c r="F231" s="16">
        <f t="shared" si="12"/>
        <v>1.9509839999999998</v>
      </c>
      <c r="G231" s="7">
        <f t="shared" si="13"/>
        <v>-9600950.6638701316</v>
      </c>
      <c r="H231" s="7">
        <f t="shared" si="14"/>
        <v>9130350.4661298711</v>
      </c>
      <c r="I231" s="7" t="str">
        <f>IFERROR((G231/SUMIF(B:B,B231,G:G))*VLOOKUP(B231,'DATOS GENERALES'!G:H,2,0),"")</f>
        <v/>
      </c>
      <c r="J231" s="7" t="str">
        <f t="shared" si="15"/>
        <v/>
      </c>
      <c r="K231" s="16"/>
      <c r="L231" s="16"/>
      <c r="M231" s="16"/>
    </row>
    <row r="232" spans="1:13" x14ac:dyDescent="0.25">
      <c r="A232" s="16">
        <v>1881</v>
      </c>
      <c r="B232" s="6">
        <v>43891</v>
      </c>
      <c r="C232" s="16" t="s">
        <v>195</v>
      </c>
      <c r="D232" s="7">
        <f>SUMIFS('DATOS PROYECCIÓN'!$F:$F,'DATOS PROYECCIÓN'!A:A,A232,'DATOS PROYECCIÓN'!B:B,B232)</f>
        <v>18731301.130000003</v>
      </c>
      <c r="E232" s="13">
        <f>VLOOKUP(A232,'DATOS GENERALES'!A:B,2,0)</f>
        <v>1.96</v>
      </c>
      <c r="F232" s="16">
        <f t="shared" si="12"/>
        <v>1.9509839999999998</v>
      </c>
      <c r="G232" s="7">
        <f t="shared" si="13"/>
        <v>-9600950.6638701316</v>
      </c>
      <c r="H232" s="7">
        <f t="shared" si="14"/>
        <v>9130350.4661298711</v>
      </c>
      <c r="I232" s="7" t="str">
        <f>IFERROR((G232/SUMIF(B:B,B232,G:G))*VLOOKUP(B232,'DATOS GENERALES'!G:H,2,0),"")</f>
        <v/>
      </c>
      <c r="J232" s="7" t="str">
        <f t="shared" si="15"/>
        <v/>
      </c>
      <c r="K232" s="16"/>
      <c r="L232" s="16"/>
      <c r="M232" s="16"/>
    </row>
    <row r="233" spans="1:13" x14ac:dyDescent="0.25">
      <c r="A233" s="16">
        <v>1881</v>
      </c>
      <c r="B233" s="6">
        <v>43922</v>
      </c>
      <c r="C233" s="16" t="s">
        <v>195</v>
      </c>
      <c r="D233" s="7">
        <f>SUMIFS('DATOS PROYECCIÓN'!$F:$F,'DATOS PROYECCIÓN'!A:A,A233,'DATOS PROYECCIÓN'!B:B,B233)</f>
        <v>18731301.130000003</v>
      </c>
      <c r="E233" s="13">
        <f>VLOOKUP(A233,'DATOS GENERALES'!A:B,2,0)</f>
        <v>1.96</v>
      </c>
      <c r="F233" s="16">
        <f t="shared" si="12"/>
        <v>1.9509839999999998</v>
      </c>
      <c r="G233" s="7">
        <f t="shared" si="13"/>
        <v>-9600950.6638701316</v>
      </c>
      <c r="H233" s="7">
        <f t="shared" si="14"/>
        <v>9130350.4661298711</v>
      </c>
      <c r="I233" s="7" t="str">
        <f>IFERROR((G233/SUMIF(B:B,B233,G:G))*VLOOKUP(B233,'DATOS GENERALES'!G:H,2,0),"")</f>
        <v/>
      </c>
      <c r="J233" s="7" t="str">
        <f t="shared" si="15"/>
        <v/>
      </c>
      <c r="K233" s="16"/>
      <c r="L233" s="16"/>
      <c r="M233" s="16"/>
    </row>
    <row r="234" spans="1:13" x14ac:dyDescent="0.25">
      <c r="A234" s="16">
        <v>1881</v>
      </c>
      <c r="B234" s="6">
        <v>43952</v>
      </c>
      <c r="C234" s="16" t="s">
        <v>195</v>
      </c>
      <c r="D234" s="7">
        <f>SUMIFS('DATOS PROYECCIÓN'!$F:$F,'DATOS PROYECCIÓN'!A:A,A234,'DATOS PROYECCIÓN'!B:B,B234)</f>
        <v>18731301.130000003</v>
      </c>
      <c r="E234" s="13">
        <f>VLOOKUP(A234,'DATOS GENERALES'!A:B,2,0)</f>
        <v>1.96</v>
      </c>
      <c r="F234" s="16">
        <f t="shared" si="12"/>
        <v>1.9509839999999998</v>
      </c>
      <c r="G234" s="7">
        <f t="shared" si="13"/>
        <v>-9600950.6638701316</v>
      </c>
      <c r="H234" s="7">
        <f t="shared" si="14"/>
        <v>9130350.4661298711</v>
      </c>
      <c r="I234" s="7" t="str">
        <f>IFERROR((G234/SUMIF(B:B,B234,G:G))*VLOOKUP(B234,'DATOS GENERALES'!G:H,2,0),"")</f>
        <v/>
      </c>
      <c r="J234" s="7" t="str">
        <f t="shared" si="15"/>
        <v/>
      </c>
      <c r="K234" s="16"/>
      <c r="L234" s="16"/>
      <c r="M234" s="16"/>
    </row>
    <row r="235" spans="1:13" x14ac:dyDescent="0.25">
      <c r="A235" s="16">
        <v>1881</v>
      </c>
      <c r="B235" s="6">
        <v>43983</v>
      </c>
      <c r="C235" s="16" t="s">
        <v>195</v>
      </c>
      <c r="D235" s="7">
        <f>SUMIFS('DATOS PROYECCIÓN'!$F:$F,'DATOS PROYECCIÓN'!A:A,A235,'DATOS PROYECCIÓN'!B:B,B235)</f>
        <v>18731301.130000003</v>
      </c>
      <c r="E235" s="13">
        <f>VLOOKUP(A235,'DATOS GENERALES'!A:B,2,0)</f>
        <v>1.96</v>
      </c>
      <c r="F235" s="16">
        <f t="shared" si="12"/>
        <v>1.9509839999999998</v>
      </c>
      <c r="G235" s="7">
        <f t="shared" si="13"/>
        <v>-9600950.6638701316</v>
      </c>
      <c r="H235" s="7">
        <f t="shared" si="14"/>
        <v>9130350.4661298711</v>
      </c>
      <c r="I235" s="7" t="str">
        <f>IFERROR((G235/SUMIF(B:B,B235,G:G))*VLOOKUP(B235,'DATOS GENERALES'!G:H,2,0),"")</f>
        <v/>
      </c>
      <c r="J235" s="7" t="str">
        <f t="shared" si="15"/>
        <v/>
      </c>
      <c r="K235" s="16"/>
      <c r="L235" s="16"/>
      <c r="M235" s="16"/>
    </row>
    <row r="236" spans="1:13" x14ac:dyDescent="0.25">
      <c r="A236" s="16">
        <v>1881</v>
      </c>
      <c r="B236" s="6">
        <v>44013</v>
      </c>
      <c r="C236" s="16" t="s">
        <v>195</v>
      </c>
      <c r="D236" s="7">
        <f>SUMIFS('DATOS PROYECCIÓN'!$F:$F,'DATOS PROYECCIÓN'!A:A,A236,'DATOS PROYECCIÓN'!B:B,B236)</f>
        <v>18731301.130000003</v>
      </c>
      <c r="E236" s="13">
        <f>VLOOKUP(A236,'DATOS GENERALES'!A:B,2,0)</f>
        <v>1.96</v>
      </c>
      <c r="F236" s="16">
        <f t="shared" si="12"/>
        <v>1.9509839999999998</v>
      </c>
      <c r="G236" s="7">
        <f t="shared" si="13"/>
        <v>-9600950.6638701316</v>
      </c>
      <c r="H236" s="7">
        <f t="shared" si="14"/>
        <v>9130350.4661298711</v>
      </c>
      <c r="I236" s="7" t="str">
        <f>IFERROR((G236/SUMIF(B:B,B236,G:G))*VLOOKUP(B236,'DATOS GENERALES'!G:H,2,0),"")</f>
        <v/>
      </c>
      <c r="J236" s="7" t="str">
        <f t="shared" si="15"/>
        <v/>
      </c>
      <c r="K236" s="16"/>
      <c r="L236" s="16"/>
      <c r="M236" s="16"/>
    </row>
    <row r="237" spans="1:13" x14ac:dyDescent="0.25">
      <c r="A237" s="16">
        <v>1880</v>
      </c>
      <c r="B237" s="6">
        <v>43466</v>
      </c>
      <c r="C237" s="16" t="s">
        <v>195</v>
      </c>
      <c r="D237" s="7">
        <f>SUMIFS('DATOS PROYECCIÓN'!$F:$F,'DATOS PROYECCIÓN'!A:A,A237,'DATOS PROYECCIÓN'!B:B,B237)</f>
        <v>28582181.75662316</v>
      </c>
      <c r="E237" s="13">
        <f>VLOOKUP(A237,'DATOS GENERALES'!A:B,2,0)</f>
        <v>2.16</v>
      </c>
      <c r="F237" s="16">
        <f t="shared" si="12"/>
        <v>2.150064</v>
      </c>
      <c r="G237" s="7">
        <f t="shared" si="13"/>
        <v>-13293642.308611818</v>
      </c>
      <c r="H237" s="7">
        <f t="shared" si="14"/>
        <v>15288539.448011342</v>
      </c>
      <c r="I237" s="7">
        <f>IFERROR((G237/SUMIF(B:B,B237,G:G))*VLOOKUP(B237,'DATOS GENERALES'!G:H,2,0),"")</f>
        <v>-2916868.99130625</v>
      </c>
      <c r="J237" s="7">
        <f t="shared" si="15"/>
        <v>12371670.456705093</v>
      </c>
      <c r="K237" s="16"/>
      <c r="L237" s="16"/>
      <c r="M237" s="16"/>
    </row>
    <row r="238" spans="1:13" x14ac:dyDescent="0.25">
      <c r="A238" s="16">
        <v>1880</v>
      </c>
      <c r="B238" s="6">
        <v>43497</v>
      </c>
      <c r="C238" s="16" t="s">
        <v>195</v>
      </c>
      <c r="D238" s="7">
        <f>SUMIFS('DATOS PROYECCIÓN'!$F:$F,'DATOS PROYECCIÓN'!A:A,A238,'DATOS PROYECCIÓN'!B:B,B238)</f>
        <v>28582181.75662316</v>
      </c>
      <c r="E238" s="13">
        <f>VLOOKUP(A238,'DATOS GENERALES'!A:B,2,0)</f>
        <v>2.16</v>
      </c>
      <c r="F238" s="16">
        <f t="shared" si="12"/>
        <v>2.150064</v>
      </c>
      <c r="G238" s="7">
        <f t="shared" si="13"/>
        <v>-13293642.308611818</v>
      </c>
      <c r="H238" s="7">
        <f t="shared" si="14"/>
        <v>15288539.448011342</v>
      </c>
      <c r="I238" s="7">
        <f>IFERROR((G238/SUMIF(B:B,B238,G:G))*VLOOKUP(B238,'DATOS GENERALES'!G:H,2,0),"")</f>
        <v>-2873525.1060215631</v>
      </c>
      <c r="J238" s="7">
        <f t="shared" si="15"/>
        <v>12415014.34198978</v>
      </c>
      <c r="K238" s="16"/>
      <c r="L238" s="16"/>
      <c r="M238" s="16"/>
    </row>
    <row r="239" spans="1:13" x14ac:dyDescent="0.25">
      <c r="A239" s="16">
        <v>1880</v>
      </c>
      <c r="B239" s="6">
        <v>43525</v>
      </c>
      <c r="C239" s="16" t="s">
        <v>195</v>
      </c>
      <c r="D239" s="7">
        <f>SUMIFS('DATOS PROYECCIÓN'!$F:$F,'DATOS PROYECCIÓN'!A:A,A239,'DATOS PROYECCIÓN'!B:B,B239)</f>
        <v>25155129.655423157</v>
      </c>
      <c r="E239" s="13">
        <f>VLOOKUP(A239,'DATOS GENERALES'!A:B,2,0)</f>
        <v>2.16</v>
      </c>
      <c r="F239" s="16">
        <f t="shared" si="12"/>
        <v>2.150064</v>
      </c>
      <c r="G239" s="7">
        <f t="shared" si="13"/>
        <v>-11699712.034350213</v>
      </c>
      <c r="H239" s="7">
        <f t="shared" si="14"/>
        <v>13455417.621072944</v>
      </c>
      <c r="I239" s="7">
        <f>IFERROR((G239/SUMIF(B:B,B239,G:G))*VLOOKUP(B239,'DATOS GENERALES'!G:H,2,0),"")</f>
        <v>-1829688.9689906822</v>
      </c>
      <c r="J239" s="7">
        <f t="shared" si="15"/>
        <v>11625728.652082263</v>
      </c>
      <c r="K239" s="16"/>
      <c r="L239" s="16"/>
      <c r="M239" s="16"/>
    </row>
    <row r="240" spans="1:13" x14ac:dyDescent="0.25">
      <c r="A240" s="16">
        <v>1880</v>
      </c>
      <c r="B240" s="6">
        <v>43556</v>
      </c>
      <c r="C240" s="16" t="s">
        <v>195</v>
      </c>
      <c r="D240" s="7">
        <f>SUMIFS('DATOS PROYECCIÓN'!$F:$F,'DATOS PROYECCIÓN'!A:A,A240,'DATOS PROYECCIÓN'!B:B,B240)</f>
        <v>25155129.655423157</v>
      </c>
      <c r="E240" s="13">
        <f>VLOOKUP(A240,'DATOS GENERALES'!A:B,2,0)</f>
        <v>2.16</v>
      </c>
      <c r="F240" s="16">
        <f t="shared" si="12"/>
        <v>2.150064</v>
      </c>
      <c r="G240" s="7">
        <f t="shared" si="13"/>
        <v>-11699712.034350213</v>
      </c>
      <c r="H240" s="7">
        <f t="shared" si="14"/>
        <v>13455417.621072944</v>
      </c>
      <c r="I240" s="7">
        <f>IFERROR((G240/SUMIF(B:B,B240,G:G))*VLOOKUP(B240,'DATOS GENERALES'!G:H,2,0),"")</f>
        <v>-1881058.160440132</v>
      </c>
      <c r="J240" s="7">
        <f t="shared" si="15"/>
        <v>11574359.460632812</v>
      </c>
      <c r="K240" s="16"/>
      <c r="L240" s="16"/>
      <c r="M240" s="16"/>
    </row>
    <row r="241" spans="1:13" x14ac:dyDescent="0.25">
      <c r="A241" s="16">
        <v>1880</v>
      </c>
      <c r="B241" s="6">
        <v>43586</v>
      </c>
      <c r="C241" s="16" t="s">
        <v>195</v>
      </c>
      <c r="D241" s="7">
        <f>SUMIFS('DATOS PROYECCIÓN'!$F:$F,'DATOS PROYECCIÓN'!A:A,A241,'DATOS PROYECCIÓN'!B:B,B241)</f>
        <v>19133530.631668162</v>
      </c>
      <c r="E241" s="13">
        <f>VLOOKUP(A241,'DATOS GENERALES'!A:B,2,0)</f>
        <v>2.16</v>
      </c>
      <c r="F241" s="16">
        <f t="shared" si="12"/>
        <v>2.150064</v>
      </c>
      <c r="G241" s="7">
        <f t="shared" si="13"/>
        <v>-8899051.6708656866</v>
      </c>
      <c r="H241" s="7">
        <f t="shared" si="14"/>
        <v>10234478.960802475</v>
      </c>
      <c r="I241" s="7">
        <f>IFERROR((G241/SUMIF(B:B,B241,G:G))*VLOOKUP(B241,'DATOS GENERALES'!G:H,2,0),"")</f>
        <v>-1180287.7830768789</v>
      </c>
      <c r="J241" s="7">
        <f t="shared" si="15"/>
        <v>9054191.1777255964</v>
      </c>
      <c r="K241" s="16"/>
      <c r="L241" s="16"/>
      <c r="M241" s="16"/>
    </row>
    <row r="242" spans="1:13" x14ac:dyDescent="0.25">
      <c r="A242" s="16">
        <v>1880</v>
      </c>
      <c r="B242" s="6">
        <v>43617</v>
      </c>
      <c r="C242" s="16" t="s">
        <v>195</v>
      </c>
      <c r="D242" s="7">
        <f>SUMIFS('DATOS PROYECCIÓN'!$F:$F,'DATOS PROYECCIÓN'!A:A,A242,'DATOS PROYECCIÓN'!B:B,B242)</f>
        <v>15168446</v>
      </c>
      <c r="E242" s="13">
        <f>VLOOKUP(A242,'DATOS GENERALES'!A:B,2,0)</f>
        <v>2.16</v>
      </c>
      <c r="F242" s="16">
        <f t="shared" si="12"/>
        <v>2.150064</v>
      </c>
      <c r="G242" s="7">
        <f t="shared" si="13"/>
        <v>-7054881.1570260236</v>
      </c>
      <c r="H242" s="7">
        <f t="shared" si="14"/>
        <v>8113564.8429739764</v>
      </c>
      <c r="I242" s="7">
        <f>IFERROR((G242/SUMIF(B:B,B242,G:G))*VLOOKUP(B242,'DATOS GENERALES'!G:H,2,0),"")</f>
        <v>-1258289.4238619304</v>
      </c>
      <c r="J242" s="7">
        <f t="shared" si="15"/>
        <v>6855275.4191120462</v>
      </c>
      <c r="K242" s="16"/>
      <c r="L242" s="16"/>
      <c r="M242" s="16"/>
    </row>
    <row r="243" spans="1:13" x14ac:dyDescent="0.25">
      <c r="A243" s="16">
        <v>1877</v>
      </c>
      <c r="B243" s="6">
        <v>43466</v>
      </c>
      <c r="C243" s="16" t="s">
        <v>195</v>
      </c>
      <c r="D243" s="7">
        <f>SUMIFS('DATOS PROYECCIÓN'!$F:$F,'DATOS PROYECCIÓN'!A:A,A243,'DATOS PROYECCIÓN'!B:B,B243)</f>
        <v>103091506.81246251</v>
      </c>
      <c r="E243" s="13">
        <f>VLOOKUP(A243,'DATOS GENERALES'!A:B,2,0)</f>
        <v>1.82</v>
      </c>
      <c r="F243" s="16">
        <f t="shared" si="12"/>
        <v>1.811628</v>
      </c>
      <c r="G243" s="7">
        <f t="shared" si="13"/>
        <v>-56905450.132401638</v>
      </c>
      <c r="H243" s="7">
        <f t="shared" si="14"/>
        <v>46186056.680060871</v>
      </c>
      <c r="I243" s="7">
        <f>IFERROR((G243/SUMIF(B:B,B243,G:G))*VLOOKUP(B243,'DATOS GENERALES'!G:H,2,0),"")</f>
        <v>-12486099.676384287</v>
      </c>
      <c r="J243" s="7">
        <f t="shared" si="15"/>
        <v>33699957.003676586</v>
      </c>
      <c r="K243" s="16"/>
      <c r="L243" s="16"/>
      <c r="M243" s="16"/>
    </row>
    <row r="244" spans="1:13" x14ac:dyDescent="0.25">
      <c r="A244" s="16">
        <v>1877</v>
      </c>
      <c r="B244" s="6">
        <v>43497</v>
      </c>
      <c r="C244" s="16" t="s">
        <v>195</v>
      </c>
      <c r="D244" s="7">
        <f>SUMIFS('DATOS PROYECCIÓN'!$F:$F,'DATOS PROYECCIÓN'!A:A,A244,'DATOS PROYECCIÓN'!B:B,B244)</f>
        <v>103091506.81246251</v>
      </c>
      <c r="E244" s="13">
        <f>VLOOKUP(A244,'DATOS GENERALES'!A:B,2,0)</f>
        <v>1.82</v>
      </c>
      <c r="F244" s="16">
        <f t="shared" si="12"/>
        <v>1.811628</v>
      </c>
      <c r="G244" s="7">
        <f t="shared" si="13"/>
        <v>-56905450.132401638</v>
      </c>
      <c r="H244" s="7">
        <f t="shared" si="14"/>
        <v>46186056.680060871</v>
      </c>
      <c r="I244" s="7">
        <f>IFERROR((G244/SUMIF(B:B,B244,G:G))*VLOOKUP(B244,'DATOS GENERALES'!G:H,2,0),"")</f>
        <v>-12300559.608030375</v>
      </c>
      <c r="J244" s="7">
        <f t="shared" si="15"/>
        <v>33885497.0720305</v>
      </c>
      <c r="K244" s="16"/>
      <c r="L244" s="16"/>
      <c r="M244" s="16"/>
    </row>
    <row r="245" spans="1:13" x14ac:dyDescent="0.25">
      <c r="A245" s="16">
        <v>1877</v>
      </c>
      <c r="B245" s="6">
        <v>43525</v>
      </c>
      <c r="C245" s="16" t="s">
        <v>195</v>
      </c>
      <c r="D245" s="7">
        <f>SUMIFS('DATOS PROYECCIÓN'!$F:$F,'DATOS PROYECCIÓN'!A:A,A245,'DATOS PROYECCIÓN'!B:B,B245)</f>
        <v>93763648.062462509</v>
      </c>
      <c r="E245" s="13">
        <f>VLOOKUP(A245,'DATOS GENERALES'!A:B,2,0)</f>
        <v>1.82</v>
      </c>
      <c r="F245" s="16">
        <f t="shared" si="12"/>
        <v>1.811628</v>
      </c>
      <c r="G245" s="7">
        <f t="shared" si="13"/>
        <v>-51756568.159943715</v>
      </c>
      <c r="H245" s="7">
        <f t="shared" si="14"/>
        <v>42007079.902518794</v>
      </c>
      <c r="I245" s="7">
        <f>IFERROR((G245/SUMIF(B:B,B245,G:G))*VLOOKUP(B245,'DATOS GENERALES'!G:H,2,0),"")</f>
        <v>-8094081.4232888781</v>
      </c>
      <c r="J245" s="7">
        <f t="shared" si="15"/>
        <v>33912998.479229912</v>
      </c>
      <c r="K245" s="16"/>
      <c r="L245" s="16"/>
      <c r="M245" s="16"/>
    </row>
    <row r="246" spans="1:13" x14ac:dyDescent="0.25">
      <c r="A246" s="16">
        <v>1877</v>
      </c>
      <c r="B246" s="6">
        <v>43556</v>
      </c>
      <c r="C246" s="16" t="s">
        <v>195</v>
      </c>
      <c r="D246" s="7">
        <f>SUMIFS('DATOS PROYECCIÓN'!$F:$F,'DATOS PROYECCIÓN'!A:A,A246,'DATOS PROYECCIÓN'!B:B,B246)</f>
        <v>93763648.062462509</v>
      </c>
      <c r="E246" s="13">
        <f>VLOOKUP(A246,'DATOS GENERALES'!A:B,2,0)</f>
        <v>1.82</v>
      </c>
      <c r="F246" s="16">
        <f t="shared" si="12"/>
        <v>1.811628</v>
      </c>
      <c r="G246" s="7">
        <f t="shared" si="13"/>
        <v>-51756568.159943715</v>
      </c>
      <c r="H246" s="7">
        <f t="shared" si="14"/>
        <v>42007079.902518794</v>
      </c>
      <c r="I246" s="7">
        <f>IFERROR((G246/SUMIF(B:B,B246,G:G))*VLOOKUP(B246,'DATOS GENERALES'!G:H,2,0),"")</f>
        <v>-8321325.7392830448</v>
      </c>
      <c r="J246" s="7">
        <f t="shared" si="15"/>
        <v>33685754.163235746</v>
      </c>
      <c r="K246" s="16"/>
      <c r="L246" s="16"/>
      <c r="M246" s="16"/>
    </row>
    <row r="247" spans="1:13" x14ac:dyDescent="0.25">
      <c r="A247" s="16">
        <v>1877</v>
      </c>
      <c r="B247" s="6">
        <v>43586</v>
      </c>
      <c r="C247" s="16" t="s">
        <v>195</v>
      </c>
      <c r="D247" s="7">
        <f>SUMIFS('DATOS PROYECCIÓN'!$F:$F,'DATOS PROYECCIÓN'!A:A,A247,'DATOS PROYECCIÓN'!B:B,B247)</f>
        <v>93763648.062462509</v>
      </c>
      <c r="E247" s="13">
        <f>VLOOKUP(A247,'DATOS GENERALES'!A:B,2,0)</f>
        <v>1.82</v>
      </c>
      <c r="F247" s="16">
        <f t="shared" si="12"/>
        <v>1.811628</v>
      </c>
      <c r="G247" s="7">
        <f t="shared" si="13"/>
        <v>-51756568.159943715</v>
      </c>
      <c r="H247" s="7">
        <f t="shared" si="14"/>
        <v>42007079.902518794</v>
      </c>
      <c r="I247" s="7">
        <f>IFERROR((G247/SUMIF(B:B,B247,G:G))*VLOOKUP(B247,'DATOS GENERALES'!G:H,2,0),"")</f>
        <v>-6864511.7876054347</v>
      </c>
      <c r="J247" s="7">
        <f t="shared" si="15"/>
        <v>35142568.114913359</v>
      </c>
      <c r="K247" s="16"/>
      <c r="L247" s="16"/>
      <c r="M247" s="16"/>
    </row>
    <row r="248" spans="1:13" x14ac:dyDescent="0.25">
      <c r="A248" s="16">
        <v>1877</v>
      </c>
      <c r="B248" s="6">
        <v>43617</v>
      </c>
      <c r="C248" s="16" t="s">
        <v>195</v>
      </c>
      <c r="D248" s="7">
        <f>SUMIFS('DATOS PROYECCIÓN'!$F:$F,'DATOS PROYECCIÓN'!A:A,A248,'DATOS PROYECCIÓN'!B:B,B248)</f>
        <v>93763648.062462509</v>
      </c>
      <c r="E248" s="13">
        <f>VLOOKUP(A248,'DATOS GENERALES'!A:B,2,0)</f>
        <v>1.82</v>
      </c>
      <c r="F248" s="16">
        <f t="shared" si="12"/>
        <v>1.811628</v>
      </c>
      <c r="G248" s="7">
        <f t="shared" si="13"/>
        <v>-51756568.159943715</v>
      </c>
      <c r="H248" s="7">
        <f t="shared" si="14"/>
        <v>42007079.902518794</v>
      </c>
      <c r="I248" s="7">
        <f>IFERROR((G248/SUMIF(B:B,B248,G:G))*VLOOKUP(B248,'DATOS GENERALES'!G:H,2,0),"")</f>
        <v>-9231160.7922959775</v>
      </c>
      <c r="J248" s="7">
        <f t="shared" si="15"/>
        <v>32775919.110222816</v>
      </c>
      <c r="K248" s="16"/>
      <c r="L248" s="16"/>
      <c r="M248" s="16"/>
    </row>
    <row r="249" spans="1:13" x14ac:dyDescent="0.25">
      <c r="A249" s="16">
        <v>1877</v>
      </c>
      <c r="B249" s="6">
        <v>43647</v>
      </c>
      <c r="C249" s="16" t="s">
        <v>195</v>
      </c>
      <c r="D249" s="7">
        <f>SUMIFS('DATOS PROYECCIÓN'!$F:$F,'DATOS PROYECCIÓN'!A:A,A249,'DATOS PROYECCIÓN'!B:B,B249)</f>
        <v>93763648.062462509</v>
      </c>
      <c r="E249" s="13">
        <f>VLOOKUP(A249,'DATOS GENERALES'!A:B,2,0)</f>
        <v>1.82</v>
      </c>
      <c r="F249" s="16">
        <f t="shared" si="12"/>
        <v>1.811628</v>
      </c>
      <c r="G249" s="7">
        <f t="shared" si="13"/>
        <v>-51756568.159943715</v>
      </c>
      <c r="H249" s="7">
        <f t="shared" si="14"/>
        <v>42007079.902518794</v>
      </c>
      <c r="I249" s="7">
        <f>IFERROR((G249/SUMIF(B:B,B249,G:G))*VLOOKUP(B249,'DATOS GENERALES'!G:H,2,0),"")</f>
        <v>-13766384.158581443</v>
      </c>
      <c r="J249" s="7">
        <f t="shared" si="15"/>
        <v>28240695.743937351</v>
      </c>
      <c r="K249" s="16"/>
      <c r="L249" s="16"/>
      <c r="M249" s="16"/>
    </row>
    <row r="250" spans="1:13" x14ac:dyDescent="0.25">
      <c r="A250" s="16">
        <v>1877</v>
      </c>
      <c r="B250" s="6">
        <v>43678</v>
      </c>
      <c r="C250" s="16" t="s">
        <v>195</v>
      </c>
      <c r="D250" s="7">
        <f>SUMIFS('DATOS PROYECCIÓN'!$F:$F,'DATOS PROYECCIÓN'!A:A,A250,'DATOS PROYECCIÓN'!B:B,B250)</f>
        <v>88864260.739212513</v>
      </c>
      <c r="E250" s="13">
        <f>VLOOKUP(A250,'DATOS GENERALES'!A:B,2,0)</f>
        <v>1.82</v>
      </c>
      <c r="F250" s="16">
        <f t="shared" si="12"/>
        <v>1.811628</v>
      </c>
      <c r="G250" s="7">
        <f t="shared" si="13"/>
        <v>-49052156.811007842</v>
      </c>
      <c r="H250" s="7">
        <f t="shared" si="14"/>
        <v>39812103.928204671</v>
      </c>
      <c r="I250" s="7">
        <f>IFERROR((G250/SUMIF(B:B,B250,G:G))*VLOOKUP(B250,'DATOS GENERALES'!G:H,2,0),"")</f>
        <v>-12838775.969551345</v>
      </c>
      <c r="J250" s="7">
        <f t="shared" si="15"/>
        <v>26973327.958653323</v>
      </c>
      <c r="K250" s="16"/>
      <c r="L250" s="16"/>
      <c r="M250" s="16"/>
    </row>
    <row r="251" spans="1:13" x14ac:dyDescent="0.25">
      <c r="A251" s="16">
        <v>1877</v>
      </c>
      <c r="B251" s="6">
        <v>43709</v>
      </c>
      <c r="C251" s="16" t="s">
        <v>195</v>
      </c>
      <c r="D251" s="7">
        <f>SUMIFS('DATOS PROYECCIÓN'!$F:$F,'DATOS PROYECCIÓN'!A:A,A251,'DATOS PROYECCIÓN'!B:B,B251)</f>
        <v>70971349.444212496</v>
      </c>
      <c r="E251" s="13">
        <f>VLOOKUP(A251,'DATOS GENERALES'!A:B,2,0)</f>
        <v>1.82</v>
      </c>
      <c r="F251" s="16">
        <f t="shared" si="12"/>
        <v>1.811628</v>
      </c>
      <c r="G251" s="7">
        <f t="shared" si="13"/>
        <v>-39175454.035934806</v>
      </c>
      <c r="H251" s="7">
        <f t="shared" si="14"/>
        <v>31795895.40827769</v>
      </c>
      <c r="I251" s="7">
        <f>IFERROR((G251/SUMIF(B:B,B251,G:G))*VLOOKUP(B251,'DATOS GENERALES'!G:H,2,0),"")</f>
        <v>-11588427.204507556</v>
      </c>
      <c r="J251" s="7">
        <f t="shared" si="15"/>
        <v>20207468.203770135</v>
      </c>
      <c r="K251" s="16"/>
      <c r="L251" s="16"/>
      <c r="M251" s="16"/>
    </row>
    <row r="252" spans="1:13" x14ac:dyDescent="0.25">
      <c r="A252" s="16">
        <v>1877</v>
      </c>
      <c r="B252" s="6">
        <v>43739</v>
      </c>
      <c r="C252" s="16" t="s">
        <v>195</v>
      </c>
      <c r="D252" s="7">
        <f>SUMIFS('DATOS PROYECCIÓN'!$F:$F,'DATOS PROYECCIÓN'!A:A,A252,'DATOS PROYECCIÓN'!B:B,B252)</f>
        <v>70971349.444212496</v>
      </c>
      <c r="E252" s="13">
        <f>VLOOKUP(A252,'DATOS GENERALES'!A:B,2,0)</f>
        <v>1.82</v>
      </c>
      <c r="F252" s="16">
        <f t="shared" si="12"/>
        <v>1.811628</v>
      </c>
      <c r="G252" s="7">
        <f t="shared" si="13"/>
        <v>-39175454.035934806</v>
      </c>
      <c r="H252" s="7">
        <f t="shared" si="14"/>
        <v>31795895.40827769</v>
      </c>
      <c r="I252" s="7">
        <f>IFERROR((G252/SUMIF(B:B,B252,G:G))*VLOOKUP(B252,'DATOS GENERALES'!G:H,2,0),"")</f>
        <v>-12531687.410015613</v>
      </c>
      <c r="J252" s="7">
        <f t="shared" si="15"/>
        <v>19264207.998262078</v>
      </c>
      <c r="K252" s="16"/>
      <c r="L252" s="16"/>
      <c r="M252" s="16"/>
    </row>
    <row r="253" spans="1:13" x14ac:dyDescent="0.25">
      <c r="A253" s="16">
        <v>1877</v>
      </c>
      <c r="B253" s="6">
        <v>43770</v>
      </c>
      <c r="C253" s="16" t="s">
        <v>195</v>
      </c>
      <c r="D253" s="7">
        <f>SUMIFS('DATOS PROYECCIÓN'!$F:$F,'DATOS PROYECCIÓN'!A:A,A253,'DATOS PROYECCIÓN'!B:B,B253)</f>
        <v>60371192.323249996</v>
      </c>
      <c r="E253" s="13">
        <f>VLOOKUP(A253,'DATOS GENERALES'!A:B,2,0)</f>
        <v>1.82</v>
      </c>
      <c r="F253" s="16">
        <f t="shared" si="12"/>
        <v>1.811628</v>
      </c>
      <c r="G253" s="7">
        <f t="shared" si="13"/>
        <v>-33324276.464732271</v>
      </c>
      <c r="H253" s="7">
        <f t="shared" si="14"/>
        <v>27046915.858517725</v>
      </c>
      <c r="I253" s="7">
        <f>IFERROR((G253/SUMIF(B:B,B253,G:G))*VLOOKUP(B253,'DATOS GENERALES'!G:H,2,0),"")</f>
        <v>-14256933.367930731</v>
      </c>
      <c r="J253" s="7">
        <f t="shared" si="15"/>
        <v>12789982.490586994</v>
      </c>
      <c r="K253" s="16"/>
      <c r="L253" s="16"/>
      <c r="M253" s="16"/>
    </row>
    <row r="254" spans="1:13" x14ac:dyDescent="0.25">
      <c r="A254" s="16">
        <v>1877</v>
      </c>
      <c r="B254" s="6">
        <v>43800</v>
      </c>
      <c r="C254" s="16" t="s">
        <v>195</v>
      </c>
      <c r="D254" s="7">
        <f>SUMIFS('DATOS PROYECCIÓN'!$F:$F,'DATOS PROYECCIÓN'!A:A,A254,'DATOS PROYECCIÓN'!B:B,B254)</f>
        <v>60371192.323249996</v>
      </c>
      <c r="E254" s="13">
        <f>VLOOKUP(A254,'DATOS GENERALES'!A:B,2,0)</f>
        <v>1.82</v>
      </c>
      <c r="F254" s="16">
        <f t="shared" si="12"/>
        <v>1.811628</v>
      </c>
      <c r="G254" s="7">
        <f t="shared" si="13"/>
        <v>-33324276.464732271</v>
      </c>
      <c r="H254" s="7">
        <f t="shared" si="14"/>
        <v>27046915.858517725</v>
      </c>
      <c r="I254" s="7">
        <f>IFERROR((G254/SUMIF(B:B,B254,G:G))*VLOOKUP(B254,'DATOS GENERALES'!G:H,2,0),"")</f>
        <v>-12004158.173505301</v>
      </c>
      <c r="J254" s="7">
        <f t="shared" si="15"/>
        <v>15042757.685012424</v>
      </c>
      <c r="K254" s="16"/>
      <c r="L254" s="16"/>
      <c r="M254" s="16"/>
    </row>
    <row r="255" spans="1:13" x14ac:dyDescent="0.25">
      <c r="A255" s="16">
        <v>1877</v>
      </c>
      <c r="B255" s="6">
        <v>43831</v>
      </c>
      <c r="C255" s="16" t="s">
        <v>195</v>
      </c>
      <c r="D255" s="7">
        <f>SUMIFS('DATOS PROYECCIÓN'!$F:$F,'DATOS PROYECCIÓN'!A:A,A255,'DATOS PROYECCIÓN'!B:B,B255)</f>
        <v>48562280</v>
      </c>
      <c r="E255" s="13">
        <f>VLOOKUP(A255,'DATOS GENERALES'!A:B,2,0)</f>
        <v>1.82</v>
      </c>
      <c r="F255" s="16">
        <f t="shared" si="12"/>
        <v>1.811628</v>
      </c>
      <c r="G255" s="7">
        <f t="shared" si="13"/>
        <v>-26805878.469531272</v>
      </c>
      <c r="H255" s="7">
        <f t="shared" si="14"/>
        <v>21756401.530468728</v>
      </c>
      <c r="I255" s="7" t="str">
        <f>IFERROR((G255/SUMIF(B:B,B255,G:G))*VLOOKUP(B255,'DATOS GENERALES'!G:H,2,0),"")</f>
        <v/>
      </c>
      <c r="J255" s="7" t="str">
        <f t="shared" si="15"/>
        <v/>
      </c>
      <c r="K255" s="16"/>
      <c r="L255" s="16"/>
      <c r="M255" s="16"/>
    </row>
    <row r="256" spans="1:13" x14ac:dyDescent="0.25">
      <c r="A256" s="16">
        <v>1877</v>
      </c>
      <c r="B256" s="6">
        <v>43862</v>
      </c>
      <c r="C256" s="16" t="s">
        <v>195</v>
      </c>
      <c r="D256" s="7">
        <f>SUMIFS('DATOS PROYECCIÓN'!$F:$F,'DATOS PROYECCIÓN'!A:A,A256,'DATOS PROYECCIÓN'!B:B,B256)</f>
        <v>48562280</v>
      </c>
      <c r="E256" s="13">
        <f>VLOOKUP(A256,'DATOS GENERALES'!A:B,2,0)</f>
        <v>1.82</v>
      </c>
      <c r="F256" s="16">
        <f t="shared" si="12"/>
        <v>1.811628</v>
      </c>
      <c r="G256" s="7">
        <f t="shared" si="13"/>
        <v>-26805878.469531272</v>
      </c>
      <c r="H256" s="7">
        <f t="shared" si="14"/>
        <v>21756401.530468728</v>
      </c>
      <c r="I256" s="7" t="str">
        <f>IFERROR((G256/SUMIF(B:B,B256,G:G))*VLOOKUP(B256,'DATOS GENERALES'!G:H,2,0),"")</f>
        <v/>
      </c>
      <c r="J256" s="7" t="str">
        <f t="shared" si="15"/>
        <v/>
      </c>
      <c r="K256" s="16"/>
      <c r="L256" s="16"/>
      <c r="M256" s="16"/>
    </row>
    <row r="257" spans="1:13" x14ac:dyDescent="0.25">
      <c r="A257" s="16">
        <v>1877</v>
      </c>
      <c r="B257" s="6">
        <v>43891</v>
      </c>
      <c r="C257" s="16" t="s">
        <v>195</v>
      </c>
      <c r="D257" s="7">
        <f>SUMIFS('DATOS PROYECCIÓN'!$F:$F,'DATOS PROYECCIÓN'!A:A,A257,'DATOS PROYECCIÓN'!B:B,B257)</f>
        <v>48562280</v>
      </c>
      <c r="E257" s="13">
        <f>VLOOKUP(A257,'DATOS GENERALES'!A:B,2,0)</f>
        <v>1.82</v>
      </c>
      <c r="F257" s="16">
        <f t="shared" si="12"/>
        <v>1.811628</v>
      </c>
      <c r="G257" s="7">
        <f t="shared" si="13"/>
        <v>-26805878.469531272</v>
      </c>
      <c r="H257" s="7">
        <f t="shared" si="14"/>
        <v>21756401.530468728</v>
      </c>
      <c r="I257" s="7" t="str">
        <f>IFERROR((G257/SUMIF(B:B,B257,G:G))*VLOOKUP(B257,'DATOS GENERALES'!G:H,2,0),"")</f>
        <v/>
      </c>
      <c r="J257" s="7" t="str">
        <f t="shared" si="15"/>
        <v/>
      </c>
      <c r="K257" s="16"/>
      <c r="L257" s="16"/>
      <c r="M257" s="16"/>
    </row>
    <row r="258" spans="1:13" x14ac:dyDescent="0.25">
      <c r="A258" s="16">
        <v>1753</v>
      </c>
      <c r="B258" s="6">
        <v>43466</v>
      </c>
      <c r="C258" s="16" t="s">
        <v>195</v>
      </c>
      <c r="D258" s="7">
        <f>SUMIFS('DATOS PROYECCIÓN'!$F:$F,'DATOS PROYECCIÓN'!A:A,A258,'DATOS PROYECCIÓN'!B:B,B258)</f>
        <v>28159952.859999999</v>
      </c>
      <c r="E258" s="13">
        <f>VLOOKUP(A258,'DATOS GENERALES'!A:B,2,0)</f>
        <v>2.42</v>
      </c>
      <c r="F258" s="16">
        <f t="shared" ref="F258:F321" si="16">E258*0.9954</f>
        <v>2.408868</v>
      </c>
      <c r="G258" s="7">
        <f t="shared" ref="G258:G321" si="17">-D258/F258</f>
        <v>-11690118.703058863</v>
      </c>
      <c r="H258" s="7">
        <f t="shared" ref="H258:H321" si="18">D258+G258</f>
        <v>16469834.156941136</v>
      </c>
      <c r="I258" s="7">
        <f>IFERROR((G258/SUMIF(B:B,B258,G:G))*VLOOKUP(B258,'DATOS GENERALES'!G:H,2,0),"")</f>
        <v>-2565026.4959778627</v>
      </c>
      <c r="J258" s="7">
        <f t="shared" si="15"/>
        <v>13904807.660963275</v>
      </c>
      <c r="K258" s="16"/>
      <c r="L258" s="16"/>
      <c r="M258" s="16"/>
    </row>
    <row r="259" spans="1:13" x14ac:dyDescent="0.25">
      <c r="A259" s="16">
        <v>1723</v>
      </c>
      <c r="B259" s="6">
        <v>43466</v>
      </c>
      <c r="C259" s="16" t="s">
        <v>195</v>
      </c>
      <c r="D259" s="7">
        <f>SUMIFS('DATOS PROYECCIÓN'!$F:$F,'DATOS PROYECCIÓN'!A:A,A259,'DATOS PROYECCIÓN'!B:B,B259)</f>
        <v>141764652.89297777</v>
      </c>
      <c r="E259" s="13">
        <f>VLOOKUP(A259,'DATOS GENERALES'!A:B,2,0)</f>
        <v>1.82</v>
      </c>
      <c r="F259" s="16">
        <f t="shared" si="16"/>
        <v>1.811628</v>
      </c>
      <c r="G259" s="7">
        <f t="shared" si="17"/>
        <v>-78252628.515886143</v>
      </c>
      <c r="H259" s="7">
        <f t="shared" si="18"/>
        <v>63512024.377091631</v>
      </c>
      <c r="I259" s="7">
        <f>IFERROR((G259/SUMIF(B:B,B259,G:G))*VLOOKUP(B259,'DATOS GENERALES'!G:H,2,0),"")</f>
        <v>-17170062.222776227</v>
      </c>
      <c r="J259" s="7">
        <f t="shared" ref="J259:J322" si="19">IFERROR(H259+I259,"")</f>
        <v>46341962.154315405</v>
      </c>
      <c r="K259" s="16"/>
      <c r="L259" s="16"/>
      <c r="M259" s="16"/>
    </row>
    <row r="260" spans="1:13" x14ac:dyDescent="0.25">
      <c r="A260" s="16">
        <v>1723</v>
      </c>
      <c r="B260" s="6">
        <v>43497</v>
      </c>
      <c r="C260" s="16" t="s">
        <v>195</v>
      </c>
      <c r="D260" s="7">
        <f>SUMIFS('DATOS PROYECCIÓN'!$F:$F,'DATOS PROYECCIÓN'!A:A,A260,'DATOS PROYECCIÓN'!B:B,B260)</f>
        <v>135543402.89297777</v>
      </c>
      <c r="E260" s="13">
        <f>VLOOKUP(A260,'DATOS GENERALES'!A:B,2,0)</f>
        <v>1.82</v>
      </c>
      <c r="F260" s="16">
        <f t="shared" si="16"/>
        <v>1.811628</v>
      </c>
      <c r="G260" s="7">
        <f t="shared" si="17"/>
        <v>-74818562.581820205</v>
      </c>
      <c r="H260" s="7">
        <f t="shared" si="18"/>
        <v>60724840.311157569</v>
      </c>
      <c r="I260" s="7">
        <f>IFERROR((G260/SUMIF(B:B,B260,G:G))*VLOOKUP(B260,'DATOS GENERALES'!G:H,2,0),"")</f>
        <v>-16172619.435986342</v>
      </c>
      <c r="J260" s="7">
        <f t="shared" si="19"/>
        <v>44552220.875171229</v>
      </c>
      <c r="K260" s="16"/>
      <c r="L260" s="16"/>
      <c r="M260" s="16"/>
    </row>
    <row r="261" spans="1:13" x14ac:dyDescent="0.25">
      <c r="A261" s="16">
        <v>1723</v>
      </c>
      <c r="B261" s="6">
        <v>43525</v>
      </c>
      <c r="C261" s="16" t="s">
        <v>195</v>
      </c>
      <c r="D261" s="7">
        <f>SUMIFS('DATOS PROYECCIÓN'!$F:$F,'DATOS PROYECCIÓN'!A:A,A261,'DATOS PROYECCIÓN'!B:B,B261)</f>
        <v>129322152.89297776</v>
      </c>
      <c r="E261" s="13">
        <f>VLOOKUP(A261,'DATOS GENERALES'!A:B,2,0)</f>
        <v>1.82</v>
      </c>
      <c r="F261" s="16">
        <f t="shared" si="16"/>
        <v>1.811628</v>
      </c>
      <c r="G261" s="7">
        <f t="shared" si="17"/>
        <v>-71384496.647754267</v>
      </c>
      <c r="H261" s="7">
        <f t="shared" si="18"/>
        <v>57937656.245223492</v>
      </c>
      <c r="I261" s="7">
        <f>IFERROR((G261/SUMIF(B:B,B261,G:G))*VLOOKUP(B261,'DATOS GENERALES'!G:H,2,0),"")</f>
        <v>-11163644.514486745</v>
      </c>
      <c r="J261" s="7">
        <f t="shared" si="19"/>
        <v>46774011.730736747</v>
      </c>
      <c r="K261" s="16"/>
      <c r="L261" s="16"/>
      <c r="M261" s="16"/>
    </row>
    <row r="262" spans="1:13" x14ac:dyDescent="0.25">
      <c r="A262" s="16">
        <v>1723</v>
      </c>
      <c r="B262" s="6">
        <v>43556</v>
      </c>
      <c r="C262" s="16" t="s">
        <v>195</v>
      </c>
      <c r="D262" s="7">
        <f>SUMIFS('DATOS PROYECCIÓN'!$F:$F,'DATOS PROYECCIÓN'!A:A,A262,'DATOS PROYECCIÓN'!B:B,B262)</f>
        <v>125198487.89297776</v>
      </c>
      <c r="E262" s="13">
        <f>VLOOKUP(A262,'DATOS GENERALES'!A:B,2,0)</f>
        <v>1.82</v>
      </c>
      <c r="F262" s="16">
        <f t="shared" si="16"/>
        <v>1.811628</v>
      </c>
      <c r="G262" s="7">
        <f t="shared" si="17"/>
        <v>-69108276.032926053</v>
      </c>
      <c r="H262" s="7">
        <f t="shared" si="18"/>
        <v>56090211.860051706</v>
      </c>
      <c r="I262" s="7">
        <f>IFERROR((G262/SUMIF(B:B,B262,G:G))*VLOOKUP(B262,'DATOS GENERALES'!G:H,2,0),"")</f>
        <v>-11111101.384719215</v>
      </c>
      <c r="J262" s="7">
        <f t="shared" si="19"/>
        <v>44979110.475332491</v>
      </c>
      <c r="K262" s="16"/>
      <c r="L262" s="16"/>
      <c r="M262" s="16"/>
    </row>
    <row r="263" spans="1:13" x14ac:dyDescent="0.25">
      <c r="A263" s="16">
        <v>1723</v>
      </c>
      <c r="B263" s="6">
        <v>43586</v>
      </c>
      <c r="C263" s="16" t="s">
        <v>195</v>
      </c>
      <c r="D263" s="7">
        <f>SUMIFS('DATOS PROYECCIÓN'!$F:$F,'DATOS PROYECCIÓN'!A:A,A263,'DATOS PROYECCIÓN'!B:B,B263)</f>
        <v>125198487.89297776</v>
      </c>
      <c r="E263" s="13">
        <f>VLOOKUP(A263,'DATOS GENERALES'!A:B,2,0)</f>
        <v>1.82</v>
      </c>
      <c r="F263" s="16">
        <f t="shared" si="16"/>
        <v>1.811628</v>
      </c>
      <c r="G263" s="7">
        <f t="shared" si="17"/>
        <v>-69108276.032926053</v>
      </c>
      <c r="H263" s="7">
        <f t="shared" si="18"/>
        <v>56090211.860051706</v>
      </c>
      <c r="I263" s="7">
        <f>IFERROR((G263/SUMIF(B:B,B263,G:G))*VLOOKUP(B263,'DATOS GENERALES'!G:H,2,0),"")</f>
        <v>-9165881.5936768819</v>
      </c>
      <c r="J263" s="7">
        <f t="shared" si="19"/>
        <v>46924330.266374826</v>
      </c>
      <c r="K263" s="16"/>
      <c r="L263" s="16"/>
      <c r="M263" s="16"/>
    </row>
    <row r="264" spans="1:13" x14ac:dyDescent="0.25">
      <c r="A264" s="16">
        <v>1723</v>
      </c>
      <c r="B264" s="6">
        <v>43617</v>
      </c>
      <c r="C264" s="16" t="s">
        <v>195</v>
      </c>
      <c r="D264" s="7">
        <f>SUMIFS('DATOS PROYECCIÓN'!$F:$F,'DATOS PROYECCIÓN'!A:A,A264,'DATOS PROYECCIÓN'!B:B,B264)</f>
        <v>125198487.89297776</v>
      </c>
      <c r="E264" s="13">
        <f>VLOOKUP(A264,'DATOS GENERALES'!A:B,2,0)</f>
        <v>1.82</v>
      </c>
      <c r="F264" s="16">
        <f t="shared" si="16"/>
        <v>1.811628</v>
      </c>
      <c r="G264" s="7">
        <f t="shared" si="17"/>
        <v>-69108276.032926053</v>
      </c>
      <c r="H264" s="7">
        <f t="shared" si="18"/>
        <v>56090211.860051706</v>
      </c>
      <c r="I264" s="7">
        <f>IFERROR((G264/SUMIF(B:B,B264,G:G))*VLOOKUP(B264,'DATOS GENERALES'!G:H,2,0),"")</f>
        <v>-12325964.236400958</v>
      </c>
      <c r="J264" s="7">
        <f t="shared" si="19"/>
        <v>43764247.623650745</v>
      </c>
      <c r="K264" s="16"/>
      <c r="L264" s="16"/>
      <c r="M264" s="16"/>
    </row>
    <row r="265" spans="1:13" x14ac:dyDescent="0.25">
      <c r="A265" s="16">
        <v>1577</v>
      </c>
      <c r="B265" s="6">
        <v>43466</v>
      </c>
      <c r="C265" s="16" t="s">
        <v>195</v>
      </c>
      <c r="D265" s="7">
        <f>SUMIFS('DATOS PROYECCIÓN'!$F:$F,'DATOS PROYECCIÓN'!A:A,A265,'DATOS PROYECCIÓN'!B:B,B265)</f>
        <v>121885113.19781627</v>
      </c>
      <c r="E265" s="13">
        <f>VLOOKUP(A265,'DATOS GENERALES'!A:B,2,0)</f>
        <v>1.41</v>
      </c>
      <c r="F265" s="16">
        <f t="shared" si="16"/>
        <v>1.4035139999999999</v>
      </c>
      <c r="G265" s="7">
        <f t="shared" si="17"/>
        <v>-86842819.663940847</v>
      </c>
      <c r="H265" s="7">
        <f t="shared" si="18"/>
        <v>35042293.533875421</v>
      </c>
      <c r="I265" s="7">
        <f>IFERROR((G265/SUMIF(B:B,B265,G:G))*VLOOKUP(B265,'DATOS GENERALES'!G:H,2,0),"")</f>
        <v>-19054907.74573138</v>
      </c>
      <c r="J265" s="7">
        <f t="shared" si="19"/>
        <v>15987385.788144041</v>
      </c>
      <c r="K265" s="16"/>
      <c r="L265" s="16"/>
      <c r="M265" s="16"/>
    </row>
    <row r="266" spans="1:13" x14ac:dyDescent="0.25">
      <c r="A266" s="16">
        <v>1577</v>
      </c>
      <c r="B266" s="6">
        <v>43497</v>
      </c>
      <c r="C266" s="16" t="s">
        <v>195</v>
      </c>
      <c r="D266" s="7">
        <f>SUMIFS('DATOS PROYECCIÓN'!$F:$F,'DATOS PROYECCIÓN'!A:A,A266,'DATOS PROYECCIÓN'!B:B,B266)</f>
        <v>106137074.99812877</v>
      </c>
      <c r="E266" s="13">
        <f>VLOOKUP(A266,'DATOS GENERALES'!A:B,2,0)</f>
        <v>1.41</v>
      </c>
      <c r="F266" s="16">
        <f t="shared" si="16"/>
        <v>1.4035139999999999</v>
      </c>
      <c r="G266" s="7">
        <f t="shared" si="17"/>
        <v>-75622384.242785454</v>
      </c>
      <c r="H266" s="7">
        <f t="shared" si="18"/>
        <v>30514690.755343318</v>
      </c>
      <c r="I266" s="7">
        <f>IFERROR((G266/SUMIF(B:B,B266,G:G))*VLOOKUP(B266,'DATOS GENERALES'!G:H,2,0),"")</f>
        <v>-16346371.7959435</v>
      </c>
      <c r="J266" s="7">
        <f t="shared" si="19"/>
        <v>14168318.959399818</v>
      </c>
      <c r="K266" s="16"/>
      <c r="L266" s="16"/>
      <c r="M266" s="16"/>
    </row>
    <row r="267" spans="1:13" x14ac:dyDescent="0.25">
      <c r="A267" s="16">
        <v>1577</v>
      </c>
      <c r="B267" s="6">
        <v>43525</v>
      </c>
      <c r="C267" s="16" t="s">
        <v>195</v>
      </c>
      <c r="D267" s="7">
        <f>SUMIFS('DATOS PROYECCIÓN'!$F:$F,'DATOS PROYECCIÓN'!A:A,A267,'DATOS PROYECCIÓN'!B:B,B267)</f>
        <v>106137074.99812877</v>
      </c>
      <c r="E267" s="13">
        <f>VLOOKUP(A267,'DATOS GENERALES'!A:B,2,0)</f>
        <v>1.41</v>
      </c>
      <c r="F267" s="16">
        <f t="shared" si="16"/>
        <v>1.4035139999999999</v>
      </c>
      <c r="G267" s="7">
        <f t="shared" si="17"/>
        <v>-75622384.242785454</v>
      </c>
      <c r="H267" s="7">
        <f t="shared" si="18"/>
        <v>30514690.755343318</v>
      </c>
      <c r="I267" s="7">
        <f>IFERROR((G267/SUMIF(B:B,B267,G:G))*VLOOKUP(B267,'DATOS GENERALES'!G:H,2,0),"")</f>
        <v>-11826397.252475962</v>
      </c>
      <c r="J267" s="7">
        <f t="shared" si="19"/>
        <v>18688293.502867356</v>
      </c>
      <c r="K267" s="16"/>
      <c r="L267" s="16"/>
      <c r="M267" s="16"/>
    </row>
    <row r="268" spans="1:13" x14ac:dyDescent="0.25">
      <c r="A268" s="16">
        <v>1577</v>
      </c>
      <c r="B268" s="6">
        <v>43556</v>
      </c>
      <c r="C268" s="16" t="s">
        <v>195</v>
      </c>
      <c r="D268" s="7">
        <f>SUMIFS('DATOS PROYECCIÓN'!$F:$F,'DATOS PROYECCIÓN'!A:A,A268,'DATOS PROYECCIÓN'!B:B,B268)</f>
        <v>99367677.590628773</v>
      </c>
      <c r="E268" s="13">
        <f>VLOOKUP(A268,'DATOS GENERALES'!A:B,2,0)</f>
        <v>1.41</v>
      </c>
      <c r="F268" s="16">
        <f t="shared" si="16"/>
        <v>1.4035139999999999</v>
      </c>
      <c r="G268" s="7">
        <f t="shared" si="17"/>
        <v>-70799206.556278586</v>
      </c>
      <c r="H268" s="7">
        <f t="shared" si="18"/>
        <v>28568471.034350187</v>
      </c>
      <c r="I268" s="7">
        <f>IFERROR((G268/SUMIF(B:B,B268,G:G))*VLOOKUP(B268,'DATOS GENERALES'!G:H,2,0),"")</f>
        <v>-11382966.081076784</v>
      </c>
      <c r="J268" s="7">
        <f t="shared" si="19"/>
        <v>17185504.953273401</v>
      </c>
      <c r="K268" s="16"/>
      <c r="L268" s="16"/>
      <c r="M268" s="16"/>
    </row>
    <row r="269" spans="1:13" x14ac:dyDescent="0.25">
      <c r="A269" s="16">
        <v>1577</v>
      </c>
      <c r="B269" s="6">
        <v>43586</v>
      </c>
      <c r="C269" s="16" t="s">
        <v>195</v>
      </c>
      <c r="D269" s="7">
        <f>SUMIFS('DATOS PROYECCIÓN'!$F:$F,'DATOS PROYECCIÓN'!A:A,A269,'DATOS PROYECCIÓN'!B:B,B269)</f>
        <v>99367677.590628773</v>
      </c>
      <c r="E269" s="13">
        <f>VLOOKUP(A269,'DATOS GENERALES'!A:B,2,0)</f>
        <v>1.41</v>
      </c>
      <c r="F269" s="16">
        <f t="shared" si="16"/>
        <v>1.4035139999999999</v>
      </c>
      <c r="G269" s="7">
        <f t="shared" si="17"/>
        <v>-70799206.556278586</v>
      </c>
      <c r="H269" s="7">
        <f t="shared" si="18"/>
        <v>28568471.034350187</v>
      </c>
      <c r="I269" s="7">
        <f>IFERROR((G269/SUMIF(B:B,B269,G:G))*VLOOKUP(B269,'DATOS GENERALES'!G:H,2,0),"")</f>
        <v>-9390150.9554650281</v>
      </c>
      <c r="J269" s="7">
        <f t="shared" si="19"/>
        <v>19178320.07888516</v>
      </c>
      <c r="K269" s="16"/>
      <c r="L269" s="16"/>
      <c r="M269" s="16"/>
    </row>
    <row r="270" spans="1:13" x14ac:dyDescent="0.25">
      <c r="A270" s="16">
        <v>1577</v>
      </c>
      <c r="B270" s="6">
        <v>43617</v>
      </c>
      <c r="C270" s="16" t="s">
        <v>195</v>
      </c>
      <c r="D270" s="7">
        <f>SUMIFS('DATOS PROYECCIÓN'!$F:$F,'DATOS PROYECCIÓN'!A:A,A270,'DATOS PROYECCIÓN'!B:B,B270)</f>
        <v>38237656.60828501</v>
      </c>
      <c r="E270" s="13">
        <f>VLOOKUP(A270,'DATOS GENERALES'!A:B,2,0)</f>
        <v>1.41</v>
      </c>
      <c r="F270" s="16">
        <f t="shared" si="16"/>
        <v>1.4035139999999999</v>
      </c>
      <c r="G270" s="7">
        <f t="shared" si="17"/>
        <v>-27244228.848650608</v>
      </c>
      <c r="H270" s="7">
        <f t="shared" si="18"/>
        <v>10993427.759634402</v>
      </c>
      <c r="I270" s="7">
        <f>IFERROR((G270/SUMIF(B:B,B270,G:G))*VLOOKUP(B270,'DATOS GENERALES'!G:H,2,0),"")</f>
        <v>-4859206.5916504143</v>
      </c>
      <c r="J270" s="7">
        <f t="shared" si="19"/>
        <v>6134221.1679839874</v>
      </c>
      <c r="K270" s="16"/>
      <c r="L270" s="16"/>
      <c r="M270" s="16"/>
    </row>
    <row r="271" spans="1:13" x14ac:dyDescent="0.25">
      <c r="A271" s="16">
        <v>1577</v>
      </c>
      <c r="B271" s="6">
        <v>43647</v>
      </c>
      <c r="C271" s="16" t="s">
        <v>195</v>
      </c>
      <c r="D271" s="7">
        <f>SUMIFS('DATOS PROYECCIÓN'!$F:$F,'DATOS PROYECCIÓN'!A:A,A271,'DATOS PROYECCIÓN'!B:B,B271)</f>
        <v>38237656.60828501</v>
      </c>
      <c r="E271" s="13">
        <f>VLOOKUP(A271,'DATOS GENERALES'!A:B,2,0)</f>
        <v>1.41</v>
      </c>
      <c r="F271" s="16">
        <f t="shared" si="16"/>
        <v>1.4035139999999999</v>
      </c>
      <c r="G271" s="7">
        <f t="shared" si="17"/>
        <v>-27244228.848650608</v>
      </c>
      <c r="H271" s="7">
        <f t="shared" si="18"/>
        <v>10993427.759634402</v>
      </c>
      <c r="I271" s="7">
        <f>IFERROR((G271/SUMIF(B:B,B271,G:G))*VLOOKUP(B271,'DATOS GENERALES'!G:H,2,0),"")</f>
        <v>-7246510.6124462783</v>
      </c>
      <c r="J271" s="7">
        <f t="shared" si="19"/>
        <v>3746917.1471881233</v>
      </c>
      <c r="K271" s="16"/>
      <c r="L271" s="16"/>
      <c r="M271" s="16"/>
    </row>
    <row r="272" spans="1:13" x14ac:dyDescent="0.25">
      <c r="A272" s="16">
        <v>1622</v>
      </c>
      <c r="B272" s="6">
        <v>43466</v>
      </c>
      <c r="C272" s="16" t="s">
        <v>195</v>
      </c>
      <c r="D272" s="7">
        <f>SUMIFS('DATOS PROYECCIÓN'!$F:$F,'DATOS PROYECCIÓN'!A:A,A272,'DATOS PROYECCIÓN'!B:B,B272)</f>
        <v>180800040.98000002</v>
      </c>
      <c r="E272" s="13">
        <f>VLOOKUP(A272,'DATOS GENERALES'!A:B,2,0)</f>
        <v>0.95</v>
      </c>
      <c r="F272" s="16">
        <f t="shared" si="16"/>
        <v>0.94562999999999986</v>
      </c>
      <c r="G272" s="7">
        <f t="shared" si="17"/>
        <v>-191195331.13374159</v>
      </c>
      <c r="H272" s="7">
        <f t="shared" si="18"/>
        <v>-10395290.153741568</v>
      </c>
      <c r="I272" s="7">
        <f>IFERROR((G272/SUMIF(B:B,B272,G:G))*VLOOKUP(B272,'DATOS GENERALES'!G:H,2,0),"")</f>
        <v>-41951763.084919199</v>
      </c>
      <c r="J272" s="7">
        <f t="shared" si="19"/>
        <v>-52347053.238660768</v>
      </c>
      <c r="K272" s="16"/>
      <c r="L272" s="16"/>
      <c r="M272" s="16"/>
    </row>
    <row r="273" spans="1:13" x14ac:dyDescent="0.25">
      <c r="A273" s="16">
        <v>1622</v>
      </c>
      <c r="B273" s="6">
        <v>43497</v>
      </c>
      <c r="C273" s="16" t="s">
        <v>195</v>
      </c>
      <c r="D273" s="7">
        <f>SUMIFS('DATOS PROYECCIÓN'!$F:$F,'DATOS PROYECCIÓN'!A:A,A273,'DATOS PROYECCIÓN'!B:B,B273)</f>
        <v>159566345.48000002</v>
      </c>
      <c r="E273" s="13">
        <f>VLOOKUP(A273,'DATOS GENERALES'!A:B,2,0)</f>
        <v>0.95</v>
      </c>
      <c r="F273" s="16">
        <f t="shared" si="16"/>
        <v>0.94562999999999986</v>
      </c>
      <c r="G273" s="7">
        <f t="shared" si="17"/>
        <v>-168740781.78568789</v>
      </c>
      <c r="H273" s="7">
        <f t="shared" si="18"/>
        <v>-9174436.3056878746</v>
      </c>
      <c r="I273" s="7">
        <f>IFERROR((G273/SUMIF(B:B,B273,G:G))*VLOOKUP(B273,'DATOS GENERALES'!G:H,2,0),"")</f>
        <v>-36474644.165562302</v>
      </c>
      <c r="J273" s="7">
        <f t="shared" si="19"/>
        <v>-45649080.471250176</v>
      </c>
      <c r="K273" s="16"/>
      <c r="L273" s="16"/>
      <c r="M273" s="16"/>
    </row>
    <row r="274" spans="1:13" x14ac:dyDescent="0.25">
      <c r="A274" s="16">
        <v>1622</v>
      </c>
      <c r="B274" s="6">
        <v>43525</v>
      </c>
      <c r="C274" s="16" t="s">
        <v>195</v>
      </c>
      <c r="D274" s="7">
        <f>SUMIFS('DATOS PROYECCIÓN'!$F:$F,'DATOS PROYECCIÓN'!A:A,A274,'DATOS PROYECCIÓN'!B:B,B274)</f>
        <v>147730918.13</v>
      </c>
      <c r="E274" s="13">
        <f>VLOOKUP(A274,'DATOS GENERALES'!A:B,2,0)</f>
        <v>0.95</v>
      </c>
      <c r="F274" s="16">
        <f t="shared" si="16"/>
        <v>0.94562999999999986</v>
      </c>
      <c r="G274" s="7">
        <f t="shared" si="17"/>
        <v>-156224863.98485667</v>
      </c>
      <c r="H274" s="7">
        <f t="shared" si="18"/>
        <v>-8493945.8548566699</v>
      </c>
      <c r="I274" s="7">
        <f>IFERROR((G274/SUMIF(B:B,B274,G:G))*VLOOKUP(B274,'DATOS GENERALES'!G:H,2,0),"")</f>
        <v>-24431619.297631484</v>
      </c>
      <c r="J274" s="7">
        <f t="shared" si="19"/>
        <v>-32925565.152488153</v>
      </c>
      <c r="K274" s="16"/>
      <c r="L274" s="16"/>
      <c r="M274" s="16"/>
    </row>
    <row r="275" spans="1:13" x14ac:dyDescent="0.25">
      <c r="A275" s="16">
        <v>1622</v>
      </c>
      <c r="B275" s="6">
        <v>43556</v>
      </c>
      <c r="C275" s="16" t="s">
        <v>195</v>
      </c>
      <c r="D275" s="7">
        <f>SUMIFS('DATOS PROYECCIÓN'!$F:$F,'DATOS PROYECCIÓN'!A:A,A275,'DATOS PROYECCIÓN'!B:B,B275)</f>
        <v>207125397.61500004</v>
      </c>
      <c r="E275" s="13">
        <f>VLOOKUP(A275,'DATOS GENERALES'!A:B,2,0)</f>
        <v>0.95</v>
      </c>
      <c r="F275" s="16">
        <f t="shared" si="16"/>
        <v>0.94562999999999986</v>
      </c>
      <c r="G275" s="7">
        <f t="shared" si="17"/>
        <v>-219034292.07512459</v>
      </c>
      <c r="H275" s="7">
        <f t="shared" si="18"/>
        <v>-11908894.460124552</v>
      </c>
      <c r="I275" s="7">
        <f>IFERROR((G275/SUMIF(B:B,B275,G:G))*VLOOKUP(B275,'DATOS GENERALES'!G:H,2,0),"")</f>
        <v>-35215930.213877551</v>
      </c>
      <c r="J275" s="7">
        <f t="shared" si="19"/>
        <v>-47124824.674002104</v>
      </c>
      <c r="K275" s="16"/>
      <c r="L275" s="16"/>
      <c r="M275" s="16"/>
    </row>
    <row r="276" spans="1:13" x14ac:dyDescent="0.25">
      <c r="A276" s="16">
        <v>1622</v>
      </c>
      <c r="B276" s="6">
        <v>43586</v>
      </c>
      <c r="C276" s="16" t="s">
        <v>195</v>
      </c>
      <c r="D276" s="7">
        <f>SUMIFS('DATOS PROYECCIÓN'!$F:$F,'DATOS PROYECCIÓN'!A:A,A276,'DATOS PROYECCIÓN'!B:B,B276)</f>
        <v>142765645.45500004</v>
      </c>
      <c r="E276" s="13">
        <f>VLOOKUP(A276,'DATOS GENERALES'!A:B,2,0)</f>
        <v>0.95</v>
      </c>
      <c r="F276" s="16">
        <f t="shared" si="16"/>
        <v>0.94562999999999986</v>
      </c>
      <c r="G276" s="7">
        <f t="shared" si="17"/>
        <v>-150974107.69011143</v>
      </c>
      <c r="H276" s="7">
        <f t="shared" si="18"/>
        <v>-8208462.2351113856</v>
      </c>
      <c r="I276" s="7">
        <f>IFERROR((G276/SUMIF(B:B,B276,G:G))*VLOOKUP(B276,'DATOS GENERALES'!G:H,2,0),"")</f>
        <v>-20023807.194080181</v>
      </c>
      <c r="J276" s="7">
        <f t="shared" si="19"/>
        <v>-28232269.429191567</v>
      </c>
      <c r="K276" s="16"/>
      <c r="L276" s="16"/>
      <c r="M276" s="16"/>
    </row>
    <row r="277" spans="1:13" x14ac:dyDescent="0.25">
      <c r="A277" s="16">
        <v>1622</v>
      </c>
      <c r="B277" s="6">
        <v>43617</v>
      </c>
      <c r="C277" s="16" t="s">
        <v>195</v>
      </c>
      <c r="D277" s="7">
        <f>SUMIFS('DATOS PROYECCIÓN'!$F:$F,'DATOS PROYECCIÓN'!A:A,A277,'DATOS PROYECCIÓN'!B:B,B277)</f>
        <v>142765645.45500004</v>
      </c>
      <c r="E277" s="13">
        <f>VLOOKUP(A277,'DATOS GENERALES'!A:B,2,0)</f>
        <v>0.95</v>
      </c>
      <c r="F277" s="16">
        <f t="shared" si="16"/>
        <v>0.94562999999999986</v>
      </c>
      <c r="G277" s="7">
        <f t="shared" si="17"/>
        <v>-150974107.69011143</v>
      </c>
      <c r="H277" s="7">
        <f t="shared" si="18"/>
        <v>-8208462.2351113856</v>
      </c>
      <c r="I277" s="7">
        <f>IFERROR((G277/SUMIF(B:B,B277,G:G))*VLOOKUP(B277,'DATOS GENERALES'!G:H,2,0),"")</f>
        <v>-26927331.411425304</v>
      </c>
      <c r="J277" s="7">
        <f t="shared" si="19"/>
        <v>-35135793.646536693</v>
      </c>
      <c r="K277" s="16"/>
      <c r="L277" s="16"/>
      <c r="M277" s="16"/>
    </row>
    <row r="278" spans="1:13" x14ac:dyDescent="0.25">
      <c r="A278" s="16">
        <v>1622</v>
      </c>
      <c r="B278" s="6">
        <v>43647</v>
      </c>
      <c r="C278" s="16" t="s">
        <v>195</v>
      </c>
      <c r="D278" s="7">
        <f>SUMIFS('DATOS PROYECCIÓN'!$F:$F,'DATOS PROYECCIÓN'!A:A,A278,'DATOS PROYECCIÓN'!B:B,B278)</f>
        <v>138859487.68500003</v>
      </c>
      <c r="E278" s="13">
        <f>VLOOKUP(A278,'DATOS GENERALES'!A:B,2,0)</f>
        <v>0.95</v>
      </c>
      <c r="F278" s="16">
        <f t="shared" si="16"/>
        <v>0.94562999999999986</v>
      </c>
      <c r="G278" s="7">
        <f t="shared" si="17"/>
        <v>-146843361.23536694</v>
      </c>
      <c r="H278" s="7">
        <f t="shared" si="18"/>
        <v>-7983873.5503669083</v>
      </c>
      <c r="I278" s="7">
        <f>IFERROR((G278/SUMIF(B:B,B278,G:G))*VLOOKUP(B278,'DATOS GENERALES'!G:H,2,0),"")</f>
        <v>-39057885.67078761</v>
      </c>
      <c r="J278" s="7">
        <f t="shared" si="19"/>
        <v>-47041759.221154518</v>
      </c>
      <c r="K278" s="16"/>
      <c r="L278" s="16"/>
      <c r="M278" s="16"/>
    </row>
    <row r="279" spans="1:13" x14ac:dyDescent="0.25">
      <c r="A279" s="16">
        <v>1622</v>
      </c>
      <c r="B279" s="6">
        <v>43678</v>
      </c>
      <c r="C279" s="16" t="s">
        <v>195</v>
      </c>
      <c r="D279" s="7">
        <f>SUMIFS('DATOS PROYECCIÓN'!$F:$F,'DATOS PROYECCIÓN'!A:A,A279,'DATOS PROYECCIÓN'!B:B,B279)</f>
        <v>138859487.68500003</v>
      </c>
      <c r="E279" s="13">
        <f>VLOOKUP(A279,'DATOS GENERALES'!A:B,2,0)</f>
        <v>0.95</v>
      </c>
      <c r="F279" s="16">
        <f t="shared" si="16"/>
        <v>0.94562999999999986</v>
      </c>
      <c r="G279" s="7">
        <f t="shared" si="17"/>
        <v>-146843361.23536694</v>
      </c>
      <c r="H279" s="7">
        <f t="shared" si="18"/>
        <v>-7983873.5503669083</v>
      </c>
      <c r="I279" s="7">
        <f>IFERROR((G279/SUMIF(B:B,B279,G:G))*VLOOKUP(B279,'DATOS GENERALES'!G:H,2,0),"")</f>
        <v>-38434375.572527267</v>
      </c>
      <c r="J279" s="7">
        <f t="shared" si="19"/>
        <v>-46418249.122894175</v>
      </c>
      <c r="K279" s="16"/>
      <c r="L279" s="16"/>
      <c r="M279" s="16"/>
    </row>
    <row r="280" spans="1:13" x14ac:dyDescent="0.25">
      <c r="A280" s="16">
        <v>1622</v>
      </c>
      <c r="B280" s="6">
        <v>43709</v>
      </c>
      <c r="C280" s="16" t="s">
        <v>195</v>
      </c>
      <c r="D280" s="7">
        <f>SUMIFS('DATOS PROYECCIÓN'!$F:$F,'DATOS PROYECCIÓN'!A:A,A280,'DATOS PROYECCIÓN'!B:B,B280)</f>
        <v>125986492.18499999</v>
      </c>
      <c r="E280" s="13">
        <f>VLOOKUP(A280,'DATOS GENERALES'!A:B,2,0)</f>
        <v>0.95</v>
      </c>
      <c r="F280" s="16">
        <f t="shared" si="16"/>
        <v>0.94562999999999986</v>
      </c>
      <c r="G280" s="7">
        <f t="shared" si="17"/>
        <v>-133230219.20307097</v>
      </c>
      <c r="H280" s="7">
        <f t="shared" si="18"/>
        <v>-7243727.0180709809</v>
      </c>
      <c r="I280" s="7">
        <f>IFERROR((G280/SUMIF(B:B,B280,G:G))*VLOOKUP(B280,'DATOS GENERALES'!G:H,2,0),"")</f>
        <v>-39410613.984439336</v>
      </c>
      <c r="J280" s="7">
        <f t="shared" si="19"/>
        <v>-46654341.002510317</v>
      </c>
      <c r="K280" s="16"/>
      <c r="L280" s="16"/>
      <c r="M280" s="16"/>
    </row>
    <row r="281" spans="1:13" x14ac:dyDescent="0.25">
      <c r="A281" s="16">
        <v>1622</v>
      </c>
      <c r="B281" s="6">
        <v>43739</v>
      </c>
      <c r="C281" s="16" t="s">
        <v>195</v>
      </c>
      <c r="D281" s="7">
        <f>SUMIFS('DATOS PROYECCIÓN'!$F:$F,'DATOS PROYECCIÓN'!A:A,A281,'DATOS PROYECCIÓN'!B:B,B281)</f>
        <v>125986492.18499999</v>
      </c>
      <c r="E281" s="13">
        <f>VLOOKUP(A281,'DATOS GENERALES'!A:B,2,0)</f>
        <v>0.95</v>
      </c>
      <c r="F281" s="16">
        <f t="shared" si="16"/>
        <v>0.94562999999999986</v>
      </c>
      <c r="G281" s="7">
        <f t="shared" si="17"/>
        <v>-133230219.20307097</v>
      </c>
      <c r="H281" s="7">
        <f t="shared" si="18"/>
        <v>-7243727.0180709809</v>
      </c>
      <c r="I281" s="7">
        <f>IFERROR((G281/SUMIF(B:B,B281,G:G))*VLOOKUP(B281,'DATOS GENERALES'!G:H,2,0),"")</f>
        <v>-42618509.51591415</v>
      </c>
      <c r="J281" s="7">
        <f t="shared" si="19"/>
        <v>-49862236.53398513</v>
      </c>
      <c r="K281" s="16"/>
      <c r="L281" s="16"/>
      <c r="M281" s="16"/>
    </row>
    <row r="282" spans="1:13" x14ac:dyDescent="0.25">
      <c r="A282" s="16">
        <v>1622</v>
      </c>
      <c r="B282" s="6">
        <v>43770</v>
      </c>
      <c r="C282" s="16" t="s">
        <v>195</v>
      </c>
      <c r="D282" s="7">
        <f>SUMIFS('DATOS PROYECCIÓN'!$F:$F,'DATOS PROYECCIÓN'!A:A,A282,'DATOS PROYECCIÓN'!B:B,B282)</f>
        <v>18409623</v>
      </c>
      <c r="E282" s="13">
        <f>VLOOKUP(A282,'DATOS GENERALES'!A:B,2,0)</f>
        <v>0.95</v>
      </c>
      <c r="F282" s="16">
        <f t="shared" si="16"/>
        <v>0.94562999999999986</v>
      </c>
      <c r="G282" s="7">
        <f t="shared" si="17"/>
        <v>-19468103.803813335</v>
      </c>
      <c r="H282" s="7">
        <f t="shared" si="18"/>
        <v>-1058480.8038133346</v>
      </c>
      <c r="I282" s="7">
        <f>IFERROR((G282/SUMIF(B:B,B282,G:G))*VLOOKUP(B282,'DATOS GENERALES'!G:H,2,0),"")</f>
        <v>-8328926.7817912828</v>
      </c>
      <c r="J282" s="7">
        <f t="shared" si="19"/>
        <v>-9387407.5856046174</v>
      </c>
      <c r="K282" s="16"/>
      <c r="L282" s="16"/>
      <c r="M282" s="16"/>
    </row>
    <row r="283" spans="1:13" x14ac:dyDescent="0.25">
      <c r="A283" s="16">
        <v>1622</v>
      </c>
      <c r="B283" s="6">
        <v>43800</v>
      </c>
      <c r="C283" s="16" t="s">
        <v>195</v>
      </c>
      <c r="D283" s="7">
        <f>SUMIFS('DATOS PROYECCIÓN'!$F:$F,'DATOS PROYECCIÓN'!A:A,A283,'DATOS PROYECCIÓN'!B:B,B283)</f>
        <v>18409623</v>
      </c>
      <c r="E283" s="13">
        <f>VLOOKUP(A283,'DATOS GENERALES'!A:B,2,0)</f>
        <v>0.95</v>
      </c>
      <c r="F283" s="16">
        <f t="shared" si="16"/>
        <v>0.94562999999999986</v>
      </c>
      <c r="G283" s="7">
        <f t="shared" si="17"/>
        <v>-19468103.803813335</v>
      </c>
      <c r="H283" s="7">
        <f t="shared" si="18"/>
        <v>-1058480.8038133346</v>
      </c>
      <c r="I283" s="7">
        <f>IFERROR((G283/SUMIF(B:B,B283,G:G))*VLOOKUP(B283,'DATOS GENERALES'!G:H,2,0),"")</f>
        <v>-7012851.3561734138</v>
      </c>
      <c r="J283" s="7">
        <f t="shared" si="19"/>
        <v>-8071332.1599867484</v>
      </c>
      <c r="K283" s="16"/>
      <c r="L283" s="16"/>
      <c r="M283" s="16"/>
    </row>
    <row r="284" spans="1:13" x14ac:dyDescent="0.25">
      <c r="A284" s="16">
        <v>1622</v>
      </c>
      <c r="B284" s="6">
        <v>43831</v>
      </c>
      <c r="C284" s="16" t="s">
        <v>195</v>
      </c>
      <c r="D284" s="7">
        <f>SUMIFS('DATOS PROYECCIÓN'!$F:$F,'DATOS PROYECCIÓN'!A:A,A284,'DATOS PROYECCIÓN'!B:B,B284)</f>
        <v>18409623</v>
      </c>
      <c r="E284" s="13">
        <f>VLOOKUP(A284,'DATOS GENERALES'!A:B,2,0)</f>
        <v>0.95</v>
      </c>
      <c r="F284" s="16">
        <f t="shared" si="16"/>
        <v>0.94562999999999986</v>
      </c>
      <c r="G284" s="7">
        <f t="shared" si="17"/>
        <v>-19468103.803813335</v>
      </c>
      <c r="H284" s="7">
        <f t="shared" si="18"/>
        <v>-1058480.8038133346</v>
      </c>
      <c r="I284" s="7" t="str">
        <f>IFERROR((G284/SUMIF(B:B,B284,G:G))*VLOOKUP(B284,'DATOS GENERALES'!G:H,2,0),"")</f>
        <v/>
      </c>
      <c r="J284" s="7" t="str">
        <f t="shared" si="19"/>
        <v/>
      </c>
      <c r="K284" s="16"/>
      <c r="L284" s="16"/>
      <c r="M284" s="16"/>
    </row>
    <row r="285" spans="1:13" x14ac:dyDescent="0.25">
      <c r="A285" s="16">
        <v>1622</v>
      </c>
      <c r="B285" s="6">
        <v>43862</v>
      </c>
      <c r="C285" s="16" t="s">
        <v>195</v>
      </c>
      <c r="D285" s="7">
        <f>SUMIFS('DATOS PROYECCIÓN'!$F:$F,'DATOS PROYECCIÓN'!A:A,A285,'DATOS PROYECCIÓN'!B:B,B285)</f>
        <v>10956546</v>
      </c>
      <c r="E285" s="13">
        <f>VLOOKUP(A285,'DATOS GENERALES'!A:B,2,0)</f>
        <v>0.95</v>
      </c>
      <c r="F285" s="16">
        <f t="shared" si="16"/>
        <v>0.94562999999999986</v>
      </c>
      <c r="G285" s="7">
        <f t="shared" si="17"/>
        <v>-11586504.235271726</v>
      </c>
      <c r="H285" s="7">
        <f t="shared" si="18"/>
        <v>-629958.2352717258</v>
      </c>
      <c r="I285" s="7" t="str">
        <f>IFERROR((G285/SUMIF(B:B,B285,G:G))*VLOOKUP(B285,'DATOS GENERALES'!G:H,2,0),"")</f>
        <v/>
      </c>
      <c r="J285" s="7" t="str">
        <f t="shared" si="19"/>
        <v/>
      </c>
      <c r="K285" s="16"/>
      <c r="L285" s="16"/>
      <c r="M285" s="16"/>
    </row>
    <row r="286" spans="1:13" x14ac:dyDescent="0.25">
      <c r="A286" s="16">
        <v>1622</v>
      </c>
      <c r="B286" s="6">
        <v>43891</v>
      </c>
      <c r="C286" s="16" t="s">
        <v>195</v>
      </c>
      <c r="D286" s="7">
        <f>SUMIFS('DATOS PROYECCIÓN'!$F:$F,'DATOS PROYECCIÓN'!A:A,A286,'DATOS PROYECCIÓN'!B:B,B286)</f>
        <v>10956546</v>
      </c>
      <c r="E286" s="13">
        <f>VLOOKUP(A286,'DATOS GENERALES'!A:B,2,0)</f>
        <v>0.95</v>
      </c>
      <c r="F286" s="16">
        <f t="shared" si="16"/>
        <v>0.94562999999999986</v>
      </c>
      <c r="G286" s="7">
        <f t="shared" si="17"/>
        <v>-11586504.235271726</v>
      </c>
      <c r="H286" s="7">
        <f t="shared" si="18"/>
        <v>-629958.2352717258</v>
      </c>
      <c r="I286" s="7" t="str">
        <f>IFERROR((G286/SUMIF(B:B,B286,G:G))*VLOOKUP(B286,'DATOS GENERALES'!G:H,2,0),"")</f>
        <v/>
      </c>
      <c r="J286" s="7" t="str">
        <f t="shared" si="19"/>
        <v/>
      </c>
      <c r="K286" s="16"/>
      <c r="L286" s="16"/>
      <c r="M286" s="16"/>
    </row>
    <row r="287" spans="1:13" x14ac:dyDescent="0.25">
      <c r="A287" s="16">
        <v>1622</v>
      </c>
      <c r="B287" s="6">
        <v>43922</v>
      </c>
      <c r="C287" s="16" t="s">
        <v>195</v>
      </c>
      <c r="D287" s="7">
        <f>SUMIFS('DATOS PROYECCIÓN'!$F:$F,'DATOS PROYECCIÓN'!A:A,A287,'DATOS PROYECCIÓN'!B:B,B287)</f>
        <v>10956546</v>
      </c>
      <c r="E287" s="13">
        <f>VLOOKUP(A287,'DATOS GENERALES'!A:B,2,0)</f>
        <v>0.95</v>
      </c>
      <c r="F287" s="16">
        <f t="shared" si="16"/>
        <v>0.94562999999999986</v>
      </c>
      <c r="G287" s="7">
        <f t="shared" si="17"/>
        <v>-11586504.235271726</v>
      </c>
      <c r="H287" s="7">
        <f t="shared" si="18"/>
        <v>-629958.2352717258</v>
      </c>
      <c r="I287" s="7" t="str">
        <f>IFERROR((G287/SUMIF(B:B,B287,G:G))*VLOOKUP(B287,'DATOS GENERALES'!G:H,2,0),"")</f>
        <v/>
      </c>
      <c r="J287" s="7" t="str">
        <f t="shared" si="19"/>
        <v/>
      </c>
      <c r="K287" s="16"/>
      <c r="L287" s="16"/>
      <c r="M287" s="16"/>
    </row>
    <row r="288" spans="1:13" x14ac:dyDescent="0.25">
      <c r="A288" s="16">
        <v>1622</v>
      </c>
      <c r="B288" s="6">
        <v>43952</v>
      </c>
      <c r="C288" s="16" t="s">
        <v>195</v>
      </c>
      <c r="D288" s="7">
        <f>SUMIFS('DATOS PROYECCIÓN'!$F:$F,'DATOS PROYECCIÓN'!A:A,A288,'DATOS PROYECCIÓN'!B:B,B288)</f>
        <v>10956546</v>
      </c>
      <c r="E288" s="13">
        <f>VLOOKUP(A288,'DATOS GENERALES'!A:B,2,0)</f>
        <v>0.95</v>
      </c>
      <c r="F288" s="16">
        <f t="shared" si="16"/>
        <v>0.94562999999999986</v>
      </c>
      <c r="G288" s="7">
        <f t="shared" si="17"/>
        <v>-11586504.235271726</v>
      </c>
      <c r="H288" s="7">
        <f t="shared" si="18"/>
        <v>-629958.2352717258</v>
      </c>
      <c r="I288" s="7" t="str">
        <f>IFERROR((G288/SUMIF(B:B,B288,G:G))*VLOOKUP(B288,'DATOS GENERALES'!G:H,2,0),"")</f>
        <v/>
      </c>
      <c r="J288" s="7" t="str">
        <f t="shared" si="19"/>
        <v/>
      </c>
      <c r="K288" s="16"/>
      <c r="L288" s="16"/>
      <c r="M288" s="16"/>
    </row>
    <row r="289" spans="1:13" x14ac:dyDescent="0.25">
      <c r="A289" s="16">
        <v>1622</v>
      </c>
      <c r="B289" s="6">
        <v>43983</v>
      </c>
      <c r="C289" s="16" t="s">
        <v>195</v>
      </c>
      <c r="D289" s="7">
        <f>SUMIFS('DATOS PROYECCIÓN'!$F:$F,'DATOS PROYECCIÓN'!A:A,A289,'DATOS PROYECCIÓN'!B:B,B289)</f>
        <v>10956546</v>
      </c>
      <c r="E289" s="13">
        <f>VLOOKUP(A289,'DATOS GENERALES'!A:B,2,0)</f>
        <v>0.95</v>
      </c>
      <c r="F289" s="16">
        <f t="shared" si="16"/>
        <v>0.94562999999999986</v>
      </c>
      <c r="G289" s="7">
        <f t="shared" si="17"/>
        <v>-11586504.235271726</v>
      </c>
      <c r="H289" s="7">
        <f t="shared" si="18"/>
        <v>-629958.2352717258</v>
      </c>
      <c r="I289" s="7" t="str">
        <f>IFERROR((G289/SUMIF(B:B,B289,G:G))*VLOOKUP(B289,'DATOS GENERALES'!G:H,2,0),"")</f>
        <v/>
      </c>
      <c r="J289" s="7" t="str">
        <f t="shared" si="19"/>
        <v/>
      </c>
      <c r="K289" s="16"/>
      <c r="L289" s="16"/>
      <c r="M289" s="16"/>
    </row>
    <row r="290" spans="1:13" x14ac:dyDescent="0.25">
      <c r="A290" s="16">
        <v>1622</v>
      </c>
      <c r="B290" s="6">
        <v>44013</v>
      </c>
      <c r="C290" s="16" t="s">
        <v>195</v>
      </c>
      <c r="D290" s="7">
        <f>SUMIFS('DATOS PROYECCIÓN'!$F:$F,'DATOS PROYECCIÓN'!A:A,A290,'DATOS PROYECCIÓN'!B:B,B290)</f>
        <v>10956546</v>
      </c>
      <c r="E290" s="13">
        <f>VLOOKUP(A290,'DATOS GENERALES'!A:B,2,0)</f>
        <v>0.95</v>
      </c>
      <c r="F290" s="16">
        <f t="shared" si="16"/>
        <v>0.94562999999999986</v>
      </c>
      <c r="G290" s="7">
        <f t="shared" si="17"/>
        <v>-11586504.235271726</v>
      </c>
      <c r="H290" s="7">
        <f t="shared" si="18"/>
        <v>-629958.2352717258</v>
      </c>
      <c r="I290" s="7" t="str">
        <f>IFERROR((G290/SUMIF(B:B,B290,G:G))*VLOOKUP(B290,'DATOS GENERALES'!G:H,2,0),"")</f>
        <v/>
      </c>
      <c r="J290" s="7" t="str">
        <f t="shared" si="19"/>
        <v/>
      </c>
      <c r="K290" s="16"/>
      <c r="L290" s="16"/>
      <c r="M290" s="16"/>
    </row>
    <row r="291" spans="1:13" x14ac:dyDescent="0.25">
      <c r="A291" s="16">
        <v>1622</v>
      </c>
      <c r="B291" s="6">
        <v>44044</v>
      </c>
      <c r="C291" s="16" t="s">
        <v>195</v>
      </c>
      <c r="D291" s="7">
        <f>SUMIFS('DATOS PROYECCIÓN'!$F:$F,'DATOS PROYECCIÓN'!A:A,A291,'DATOS PROYECCIÓN'!B:B,B291)</f>
        <v>10956546</v>
      </c>
      <c r="E291" s="13">
        <f>VLOOKUP(A291,'DATOS GENERALES'!A:B,2,0)</f>
        <v>0.95</v>
      </c>
      <c r="F291" s="16">
        <f t="shared" si="16"/>
        <v>0.94562999999999986</v>
      </c>
      <c r="G291" s="7">
        <f t="shared" si="17"/>
        <v>-11586504.235271726</v>
      </c>
      <c r="H291" s="7">
        <f t="shared" si="18"/>
        <v>-629958.2352717258</v>
      </c>
      <c r="I291" s="7" t="str">
        <f>IFERROR((G291/SUMIF(B:B,B291,G:G))*VLOOKUP(B291,'DATOS GENERALES'!G:H,2,0),"")</f>
        <v/>
      </c>
      <c r="J291" s="7" t="str">
        <f t="shared" si="19"/>
        <v/>
      </c>
      <c r="K291" s="16"/>
      <c r="L291" s="16"/>
      <c r="M291" s="16"/>
    </row>
    <row r="292" spans="1:13" x14ac:dyDescent="0.25">
      <c r="A292" s="16">
        <v>1622</v>
      </c>
      <c r="B292" s="6">
        <v>44075</v>
      </c>
      <c r="C292" s="16" t="s">
        <v>195</v>
      </c>
      <c r="D292" s="7">
        <f>SUMIFS('DATOS PROYECCIÓN'!$F:$F,'DATOS PROYECCIÓN'!A:A,A292,'DATOS PROYECCIÓN'!B:B,B292)</f>
        <v>10956546</v>
      </c>
      <c r="E292" s="13">
        <f>VLOOKUP(A292,'DATOS GENERALES'!A:B,2,0)</f>
        <v>0.95</v>
      </c>
      <c r="F292" s="16">
        <f t="shared" si="16"/>
        <v>0.94562999999999986</v>
      </c>
      <c r="G292" s="7">
        <f t="shared" si="17"/>
        <v>-11586504.235271726</v>
      </c>
      <c r="H292" s="7">
        <f t="shared" si="18"/>
        <v>-629958.2352717258</v>
      </c>
      <c r="I292" s="7" t="str">
        <f>IFERROR((G292/SUMIF(B:B,B292,G:G))*VLOOKUP(B292,'DATOS GENERALES'!G:H,2,0),"")</f>
        <v/>
      </c>
      <c r="J292" s="7" t="str">
        <f t="shared" si="19"/>
        <v/>
      </c>
      <c r="K292" s="16"/>
      <c r="L292" s="16"/>
      <c r="M292" s="16"/>
    </row>
    <row r="293" spans="1:13" x14ac:dyDescent="0.25">
      <c r="A293" s="16">
        <v>1622</v>
      </c>
      <c r="B293" s="6">
        <v>44105</v>
      </c>
      <c r="C293" s="16" t="s">
        <v>195</v>
      </c>
      <c r="D293" s="7">
        <f>SUMIFS('DATOS PROYECCIÓN'!$F:$F,'DATOS PROYECCIÓN'!A:A,A293,'DATOS PROYECCIÓN'!B:B,B293)</f>
        <v>10956546</v>
      </c>
      <c r="E293" s="13">
        <f>VLOOKUP(A293,'DATOS GENERALES'!A:B,2,0)</f>
        <v>0.95</v>
      </c>
      <c r="F293" s="16">
        <f t="shared" si="16"/>
        <v>0.94562999999999986</v>
      </c>
      <c r="G293" s="7">
        <f t="shared" si="17"/>
        <v>-11586504.235271726</v>
      </c>
      <c r="H293" s="7">
        <f t="shared" si="18"/>
        <v>-629958.2352717258</v>
      </c>
      <c r="I293" s="7" t="str">
        <f>IFERROR((G293/SUMIF(B:B,B293,G:G))*VLOOKUP(B293,'DATOS GENERALES'!G:H,2,0),"")</f>
        <v/>
      </c>
      <c r="J293" s="7" t="str">
        <f t="shared" si="19"/>
        <v/>
      </c>
      <c r="K293" s="16"/>
      <c r="L293" s="16"/>
      <c r="M293" s="16"/>
    </row>
    <row r="294" spans="1:13" x14ac:dyDescent="0.25">
      <c r="A294" s="16">
        <v>1622</v>
      </c>
      <c r="B294" s="6">
        <v>44136</v>
      </c>
      <c r="C294" s="16" t="s">
        <v>195</v>
      </c>
      <c r="D294" s="7">
        <f>SUMIFS('DATOS PROYECCIÓN'!$F:$F,'DATOS PROYECCIÓN'!A:A,A294,'DATOS PROYECCIÓN'!B:B,B294)</f>
        <v>10956546</v>
      </c>
      <c r="E294" s="13">
        <f>VLOOKUP(A294,'DATOS GENERALES'!A:B,2,0)</f>
        <v>0.95</v>
      </c>
      <c r="F294" s="16">
        <f t="shared" si="16"/>
        <v>0.94562999999999986</v>
      </c>
      <c r="G294" s="7">
        <f t="shared" si="17"/>
        <v>-11586504.235271726</v>
      </c>
      <c r="H294" s="7">
        <f t="shared" si="18"/>
        <v>-629958.2352717258</v>
      </c>
      <c r="I294" s="7" t="str">
        <f>IFERROR((G294/SUMIF(B:B,B294,G:G))*VLOOKUP(B294,'DATOS GENERALES'!G:H,2,0),"")</f>
        <v/>
      </c>
      <c r="J294" s="7" t="str">
        <f t="shared" si="19"/>
        <v/>
      </c>
      <c r="K294" s="16"/>
      <c r="L294" s="16"/>
      <c r="M294" s="16"/>
    </row>
    <row r="295" spans="1:13" x14ac:dyDescent="0.25">
      <c r="A295" s="16">
        <v>1622</v>
      </c>
      <c r="B295" s="6">
        <v>44166</v>
      </c>
      <c r="C295" s="16" t="s">
        <v>195</v>
      </c>
      <c r="D295" s="7">
        <f>SUMIFS('DATOS PROYECCIÓN'!$F:$F,'DATOS PROYECCIÓN'!A:A,A295,'DATOS PROYECCIÓN'!B:B,B295)</f>
        <v>10956546</v>
      </c>
      <c r="E295" s="13">
        <f>VLOOKUP(A295,'DATOS GENERALES'!A:B,2,0)</f>
        <v>0.95</v>
      </c>
      <c r="F295" s="16">
        <f t="shared" si="16"/>
        <v>0.94562999999999986</v>
      </c>
      <c r="G295" s="7">
        <f t="shared" si="17"/>
        <v>-11586504.235271726</v>
      </c>
      <c r="H295" s="7">
        <f t="shared" si="18"/>
        <v>-629958.2352717258</v>
      </c>
      <c r="I295" s="7" t="str">
        <f>IFERROR((G295/SUMIF(B:B,B295,G:G))*VLOOKUP(B295,'DATOS GENERALES'!G:H,2,0),"")</f>
        <v/>
      </c>
      <c r="J295" s="7" t="str">
        <f t="shared" si="19"/>
        <v/>
      </c>
      <c r="K295" s="16"/>
      <c r="L295" s="16"/>
      <c r="M295" s="16"/>
    </row>
    <row r="296" spans="1:13" x14ac:dyDescent="0.25">
      <c r="A296" s="16">
        <v>1622</v>
      </c>
      <c r="B296" s="6">
        <v>44197</v>
      </c>
      <c r="C296" s="16" t="s">
        <v>195</v>
      </c>
      <c r="D296" s="7">
        <f>SUMIFS('DATOS PROYECCIÓN'!$F:$F,'DATOS PROYECCIÓN'!A:A,A296,'DATOS PROYECCIÓN'!B:B,B296)</f>
        <v>10956546</v>
      </c>
      <c r="E296" s="13">
        <f>VLOOKUP(A296,'DATOS GENERALES'!A:B,2,0)</f>
        <v>0.95</v>
      </c>
      <c r="F296" s="16">
        <f t="shared" si="16"/>
        <v>0.94562999999999986</v>
      </c>
      <c r="G296" s="7">
        <f t="shared" si="17"/>
        <v>-11586504.235271726</v>
      </c>
      <c r="H296" s="7">
        <f t="shared" si="18"/>
        <v>-629958.2352717258</v>
      </c>
      <c r="I296" s="7" t="str">
        <f>IFERROR((G296/SUMIF(B:B,B296,G:G))*VLOOKUP(B296,'DATOS GENERALES'!G:H,2,0),"")</f>
        <v/>
      </c>
      <c r="J296" s="7" t="str">
        <f t="shared" si="19"/>
        <v/>
      </c>
      <c r="K296" s="16"/>
      <c r="L296" s="16"/>
      <c r="M296" s="16"/>
    </row>
    <row r="297" spans="1:13" x14ac:dyDescent="0.25">
      <c r="A297" s="16">
        <v>1622</v>
      </c>
      <c r="B297" s="6">
        <v>44228</v>
      </c>
      <c r="C297" s="16" t="s">
        <v>195</v>
      </c>
      <c r="D297" s="7">
        <f>SUMIFS('DATOS PROYECCIÓN'!$F:$F,'DATOS PROYECCIÓN'!A:A,A297,'DATOS PROYECCIÓN'!B:B,B297)</f>
        <v>10956546</v>
      </c>
      <c r="E297" s="13">
        <f>VLOOKUP(A297,'DATOS GENERALES'!A:B,2,0)</f>
        <v>0.95</v>
      </c>
      <c r="F297" s="16">
        <f t="shared" si="16"/>
        <v>0.94562999999999986</v>
      </c>
      <c r="G297" s="7">
        <f t="shared" si="17"/>
        <v>-11586504.235271726</v>
      </c>
      <c r="H297" s="7">
        <f t="shared" si="18"/>
        <v>-629958.2352717258</v>
      </c>
      <c r="I297" s="7" t="str">
        <f>IFERROR((G297/SUMIF(B:B,B297,G:G))*VLOOKUP(B297,'DATOS GENERALES'!G:H,2,0),"")</f>
        <v/>
      </c>
      <c r="J297" s="7" t="str">
        <f t="shared" si="19"/>
        <v/>
      </c>
      <c r="K297" s="16"/>
      <c r="L297" s="16"/>
      <c r="M297" s="16"/>
    </row>
    <row r="298" spans="1:13" x14ac:dyDescent="0.25">
      <c r="A298" s="16">
        <v>1622</v>
      </c>
      <c r="B298" s="6">
        <v>44256</v>
      </c>
      <c r="C298" s="16" t="s">
        <v>195</v>
      </c>
      <c r="D298" s="7">
        <f>SUMIFS('DATOS PROYECCIÓN'!$F:$F,'DATOS PROYECCIÓN'!A:A,A298,'DATOS PROYECCIÓN'!B:B,B298)</f>
        <v>10956546</v>
      </c>
      <c r="E298" s="13">
        <f>VLOOKUP(A298,'DATOS GENERALES'!A:B,2,0)</f>
        <v>0.95</v>
      </c>
      <c r="F298" s="16">
        <f t="shared" si="16"/>
        <v>0.94562999999999986</v>
      </c>
      <c r="G298" s="7">
        <f t="shared" si="17"/>
        <v>-11586504.235271726</v>
      </c>
      <c r="H298" s="7">
        <f t="shared" si="18"/>
        <v>-629958.2352717258</v>
      </c>
      <c r="I298" s="7" t="str">
        <f>IFERROR((G298/SUMIF(B:B,B298,G:G))*VLOOKUP(B298,'DATOS GENERALES'!G:H,2,0),"")</f>
        <v/>
      </c>
      <c r="J298" s="7" t="str">
        <f t="shared" si="19"/>
        <v/>
      </c>
      <c r="K298" s="16"/>
      <c r="L298" s="16"/>
      <c r="M298" s="16"/>
    </row>
    <row r="299" spans="1:13" x14ac:dyDescent="0.25">
      <c r="A299" s="16">
        <v>1622</v>
      </c>
      <c r="B299" s="6">
        <v>44287</v>
      </c>
      <c r="C299" s="16" t="s">
        <v>195</v>
      </c>
      <c r="D299" s="7">
        <f>SUMIFS('DATOS PROYECCIÓN'!$F:$F,'DATOS PROYECCIÓN'!A:A,A299,'DATOS PROYECCIÓN'!B:B,B299)</f>
        <v>10956546</v>
      </c>
      <c r="E299" s="13">
        <f>VLOOKUP(A299,'DATOS GENERALES'!A:B,2,0)</f>
        <v>0.95</v>
      </c>
      <c r="F299" s="16">
        <f t="shared" si="16"/>
        <v>0.94562999999999986</v>
      </c>
      <c r="G299" s="7">
        <f t="shared" si="17"/>
        <v>-11586504.235271726</v>
      </c>
      <c r="H299" s="7">
        <f t="shared" si="18"/>
        <v>-629958.2352717258</v>
      </c>
      <c r="I299" s="7" t="str">
        <f>IFERROR((G299/SUMIF(B:B,B299,G:G))*VLOOKUP(B299,'DATOS GENERALES'!G:H,2,0),"")</f>
        <v/>
      </c>
      <c r="J299" s="7" t="str">
        <f t="shared" si="19"/>
        <v/>
      </c>
      <c r="K299" s="16"/>
      <c r="L299" s="16"/>
      <c r="M299" s="16"/>
    </row>
    <row r="300" spans="1:13" x14ac:dyDescent="0.25">
      <c r="A300" s="16">
        <v>1622</v>
      </c>
      <c r="B300" s="6">
        <v>44317</v>
      </c>
      <c r="C300" s="16" t="s">
        <v>195</v>
      </c>
      <c r="D300" s="7">
        <f>SUMIFS('DATOS PROYECCIÓN'!$F:$F,'DATOS PROYECCIÓN'!A:A,A300,'DATOS PROYECCIÓN'!B:B,B300)</f>
        <v>10956546</v>
      </c>
      <c r="E300" s="13">
        <f>VLOOKUP(A300,'DATOS GENERALES'!A:B,2,0)</f>
        <v>0.95</v>
      </c>
      <c r="F300" s="16">
        <f t="shared" si="16"/>
        <v>0.94562999999999986</v>
      </c>
      <c r="G300" s="7">
        <f t="shared" si="17"/>
        <v>-11586504.235271726</v>
      </c>
      <c r="H300" s="7">
        <f t="shared" si="18"/>
        <v>-629958.2352717258</v>
      </c>
      <c r="I300" s="7" t="str">
        <f>IFERROR((G300/SUMIF(B:B,B300,G:G))*VLOOKUP(B300,'DATOS GENERALES'!G:H,2,0),"")</f>
        <v/>
      </c>
      <c r="J300" s="7" t="str">
        <f t="shared" si="19"/>
        <v/>
      </c>
      <c r="K300" s="16"/>
      <c r="L300" s="16"/>
      <c r="M300" s="16"/>
    </row>
    <row r="301" spans="1:13" x14ac:dyDescent="0.25">
      <c r="A301" s="16">
        <v>1622</v>
      </c>
      <c r="B301" s="6">
        <v>44348</v>
      </c>
      <c r="C301" s="16" t="s">
        <v>195</v>
      </c>
      <c r="D301" s="7">
        <f>SUMIFS('DATOS PROYECCIÓN'!$F:$F,'DATOS PROYECCIÓN'!A:A,A301,'DATOS PROYECCIÓN'!B:B,B301)</f>
        <v>10956546</v>
      </c>
      <c r="E301" s="13">
        <f>VLOOKUP(A301,'DATOS GENERALES'!A:B,2,0)</f>
        <v>0.95</v>
      </c>
      <c r="F301" s="16">
        <f t="shared" si="16"/>
        <v>0.94562999999999986</v>
      </c>
      <c r="G301" s="7">
        <f t="shared" si="17"/>
        <v>-11586504.235271726</v>
      </c>
      <c r="H301" s="7">
        <f t="shared" si="18"/>
        <v>-629958.2352717258</v>
      </c>
      <c r="I301" s="7" t="str">
        <f>IFERROR((G301/SUMIF(B:B,B301,G:G))*VLOOKUP(B301,'DATOS GENERALES'!G:H,2,0),"")</f>
        <v/>
      </c>
      <c r="J301" s="7" t="str">
        <f t="shared" si="19"/>
        <v/>
      </c>
      <c r="K301" s="16"/>
      <c r="L301" s="16"/>
      <c r="M301" s="16"/>
    </row>
    <row r="302" spans="1:13" x14ac:dyDescent="0.25">
      <c r="A302" s="16">
        <v>1622</v>
      </c>
      <c r="B302" s="6">
        <v>44378</v>
      </c>
      <c r="C302" s="16" t="s">
        <v>195</v>
      </c>
      <c r="D302" s="7">
        <f>SUMIFS('DATOS PROYECCIÓN'!$F:$F,'DATOS PROYECCIÓN'!A:A,A302,'DATOS PROYECCIÓN'!B:B,B302)</f>
        <v>10956546</v>
      </c>
      <c r="E302" s="13">
        <f>VLOOKUP(A302,'DATOS GENERALES'!A:B,2,0)</f>
        <v>0.95</v>
      </c>
      <c r="F302" s="16">
        <f t="shared" si="16"/>
        <v>0.94562999999999986</v>
      </c>
      <c r="G302" s="7">
        <f t="shared" si="17"/>
        <v>-11586504.235271726</v>
      </c>
      <c r="H302" s="7">
        <f t="shared" si="18"/>
        <v>-629958.2352717258</v>
      </c>
      <c r="I302" s="7" t="str">
        <f>IFERROR((G302/SUMIF(B:B,B302,G:G))*VLOOKUP(B302,'DATOS GENERALES'!G:H,2,0),"")</f>
        <v/>
      </c>
      <c r="J302" s="7" t="str">
        <f t="shared" si="19"/>
        <v/>
      </c>
      <c r="K302" s="16"/>
      <c r="L302" s="16"/>
      <c r="M302" s="16"/>
    </row>
    <row r="303" spans="1:13" x14ac:dyDescent="0.25">
      <c r="A303" s="16">
        <v>1622</v>
      </c>
      <c r="B303" s="6">
        <v>44409</v>
      </c>
      <c r="C303" s="16" t="s">
        <v>195</v>
      </c>
      <c r="D303" s="7">
        <f>SUMIFS('DATOS PROYECCIÓN'!$F:$F,'DATOS PROYECCIÓN'!A:A,A303,'DATOS PROYECCIÓN'!B:B,B303)</f>
        <v>10956546</v>
      </c>
      <c r="E303" s="13">
        <f>VLOOKUP(A303,'DATOS GENERALES'!A:B,2,0)</f>
        <v>0.95</v>
      </c>
      <c r="F303" s="16">
        <f t="shared" si="16"/>
        <v>0.94562999999999986</v>
      </c>
      <c r="G303" s="7">
        <f t="shared" si="17"/>
        <v>-11586504.235271726</v>
      </c>
      <c r="H303" s="7">
        <f t="shared" si="18"/>
        <v>-629958.2352717258</v>
      </c>
      <c r="I303" s="7" t="str">
        <f>IFERROR((G303/SUMIF(B:B,B303,G:G))*VLOOKUP(B303,'DATOS GENERALES'!G:H,2,0),"")</f>
        <v/>
      </c>
      <c r="J303" s="7" t="str">
        <f t="shared" si="19"/>
        <v/>
      </c>
      <c r="K303" s="16"/>
      <c r="L303" s="16"/>
      <c r="M303" s="16"/>
    </row>
    <row r="304" spans="1:13" x14ac:dyDescent="0.25">
      <c r="A304" s="16">
        <v>1622</v>
      </c>
      <c r="B304" s="6">
        <v>44440</v>
      </c>
      <c r="C304" s="16" t="s">
        <v>195</v>
      </c>
      <c r="D304" s="7">
        <f>SUMIFS('DATOS PROYECCIÓN'!$F:$F,'DATOS PROYECCIÓN'!A:A,A304,'DATOS PROYECCIÓN'!B:B,B304)</f>
        <v>10956546</v>
      </c>
      <c r="E304" s="13">
        <f>VLOOKUP(A304,'DATOS GENERALES'!A:B,2,0)</f>
        <v>0.95</v>
      </c>
      <c r="F304" s="16">
        <f t="shared" si="16"/>
        <v>0.94562999999999986</v>
      </c>
      <c r="G304" s="7">
        <f t="shared" si="17"/>
        <v>-11586504.235271726</v>
      </c>
      <c r="H304" s="7">
        <f t="shared" si="18"/>
        <v>-629958.2352717258</v>
      </c>
      <c r="I304" s="7" t="str">
        <f>IFERROR((G304/SUMIF(B:B,B304,G:G))*VLOOKUP(B304,'DATOS GENERALES'!G:H,2,0),"")</f>
        <v/>
      </c>
      <c r="J304" s="7" t="str">
        <f t="shared" si="19"/>
        <v/>
      </c>
      <c r="K304" s="16"/>
      <c r="L304" s="16"/>
      <c r="M304" s="16"/>
    </row>
    <row r="305" spans="1:13" x14ac:dyDescent="0.25">
      <c r="A305" s="16">
        <v>1622</v>
      </c>
      <c r="B305" s="6">
        <v>44470</v>
      </c>
      <c r="C305" s="16" t="s">
        <v>195</v>
      </c>
      <c r="D305" s="7">
        <f>SUMIFS('DATOS PROYECCIÓN'!$F:$F,'DATOS PROYECCIÓN'!A:A,A305,'DATOS PROYECCIÓN'!B:B,B305)</f>
        <v>10956546</v>
      </c>
      <c r="E305" s="13">
        <f>VLOOKUP(A305,'DATOS GENERALES'!A:B,2,0)</f>
        <v>0.95</v>
      </c>
      <c r="F305" s="16">
        <f t="shared" si="16"/>
        <v>0.94562999999999986</v>
      </c>
      <c r="G305" s="7">
        <f t="shared" si="17"/>
        <v>-11586504.235271726</v>
      </c>
      <c r="H305" s="7">
        <f t="shared" si="18"/>
        <v>-629958.2352717258</v>
      </c>
      <c r="I305" s="7" t="str">
        <f>IFERROR((G305/SUMIF(B:B,B305,G:G))*VLOOKUP(B305,'DATOS GENERALES'!G:H,2,0),"")</f>
        <v/>
      </c>
      <c r="J305" s="7" t="str">
        <f t="shared" si="19"/>
        <v/>
      </c>
      <c r="K305" s="16"/>
      <c r="L305" s="16"/>
      <c r="M305" s="16"/>
    </row>
    <row r="306" spans="1:13" x14ac:dyDescent="0.25">
      <c r="A306" s="16">
        <v>1734</v>
      </c>
      <c r="B306" s="6">
        <v>43466</v>
      </c>
      <c r="C306" s="16" t="s">
        <v>195</v>
      </c>
      <c r="D306" s="7">
        <f>SUMIFS('DATOS PROYECCIÓN'!$F:$F,'DATOS PROYECCIÓN'!A:A,A306,'DATOS PROYECCIÓN'!B:B,B306)</f>
        <v>56127548.580235153</v>
      </c>
      <c r="E306" s="13">
        <f>VLOOKUP(A306,'DATOS GENERALES'!A:B,2,0)</f>
        <v>1.73</v>
      </c>
      <c r="F306" s="16">
        <f t="shared" si="16"/>
        <v>1.7220419999999999</v>
      </c>
      <c r="G306" s="7">
        <f t="shared" si="17"/>
        <v>-32593600.260757379</v>
      </c>
      <c r="H306" s="7">
        <f t="shared" si="18"/>
        <v>23533948.319477774</v>
      </c>
      <c r="I306" s="7">
        <f>IFERROR((G306/SUMIF(B:B,B306,G:G))*VLOOKUP(B306,'DATOS GENERALES'!G:H,2,0),"")</f>
        <v>-7151633.8192765992</v>
      </c>
      <c r="J306" s="7">
        <f t="shared" si="19"/>
        <v>16382314.500201175</v>
      </c>
      <c r="K306" s="16"/>
      <c r="L306" s="16"/>
      <c r="M306" s="16"/>
    </row>
    <row r="307" spans="1:13" x14ac:dyDescent="0.25">
      <c r="A307" s="16">
        <v>1734</v>
      </c>
      <c r="B307" s="6">
        <v>43497</v>
      </c>
      <c r="C307" s="16" t="s">
        <v>195</v>
      </c>
      <c r="D307" s="7">
        <f>SUMIFS('DATOS PROYECCIÓN'!$F:$F,'DATOS PROYECCIÓN'!A:A,A307,'DATOS PROYECCIÓN'!B:B,B307)</f>
        <v>60393607.013095886</v>
      </c>
      <c r="E307" s="13">
        <f>VLOOKUP(A307,'DATOS GENERALES'!A:B,2,0)</f>
        <v>1.73</v>
      </c>
      <c r="F307" s="16">
        <f t="shared" si="16"/>
        <v>1.7220419999999999</v>
      </c>
      <c r="G307" s="7">
        <f t="shared" si="17"/>
        <v>-35070925.68769861</v>
      </c>
      <c r="H307" s="7">
        <f t="shared" si="18"/>
        <v>25322681.325397275</v>
      </c>
      <c r="I307" s="7">
        <f>IFERROR((G307/SUMIF(B:B,B307,G:G))*VLOOKUP(B307,'DATOS GENERALES'!G:H,2,0),"")</f>
        <v>-7580855.804261677</v>
      </c>
      <c r="J307" s="7">
        <f t="shared" si="19"/>
        <v>17741825.521135598</v>
      </c>
      <c r="K307" s="16"/>
      <c r="L307" s="16"/>
      <c r="M307" s="16"/>
    </row>
    <row r="308" spans="1:13" x14ac:dyDescent="0.25">
      <c r="A308" s="16">
        <v>1734</v>
      </c>
      <c r="B308" s="6">
        <v>43525</v>
      </c>
      <c r="C308" s="16" t="s">
        <v>195</v>
      </c>
      <c r="D308" s="7">
        <f>SUMIFS('DATOS PROYECCIÓN'!$F:$F,'DATOS PROYECCIÓN'!A:A,A308,'DATOS PROYECCIÓN'!B:B,B308)</f>
        <v>60987214.319031961</v>
      </c>
      <c r="E308" s="13">
        <f>VLOOKUP(A308,'DATOS GENERALES'!A:B,2,0)</f>
        <v>1.73</v>
      </c>
      <c r="F308" s="16">
        <f t="shared" si="16"/>
        <v>1.7220419999999999</v>
      </c>
      <c r="G308" s="7">
        <f t="shared" si="17"/>
        <v>-35415636.969964705</v>
      </c>
      <c r="H308" s="7">
        <f t="shared" si="18"/>
        <v>25571577.349067256</v>
      </c>
      <c r="I308" s="7">
        <f>IFERROR((G308/SUMIF(B:B,B308,G:G))*VLOOKUP(B308,'DATOS GENERALES'!G:H,2,0),"")</f>
        <v>-5538563.6931466488</v>
      </c>
      <c r="J308" s="7">
        <f t="shared" si="19"/>
        <v>20033013.655920606</v>
      </c>
      <c r="K308" s="16"/>
      <c r="L308" s="16"/>
      <c r="M308" s="16"/>
    </row>
    <row r="309" spans="1:13" x14ac:dyDescent="0.25">
      <c r="A309" s="16">
        <v>1734</v>
      </c>
      <c r="B309" s="6">
        <v>43556</v>
      </c>
      <c r="C309" s="16" t="s">
        <v>195</v>
      </c>
      <c r="D309" s="7">
        <f>SUMIFS('DATOS PROYECCIÓN'!$F:$F,'DATOS PROYECCIÓN'!A:A,A309,'DATOS PROYECCIÓN'!B:B,B309)</f>
        <v>64608218.885242015</v>
      </c>
      <c r="E309" s="13">
        <f>VLOOKUP(A309,'DATOS GENERALES'!A:B,2,0)</f>
        <v>1.73</v>
      </c>
      <c r="F309" s="16">
        <f t="shared" si="16"/>
        <v>1.7220419999999999</v>
      </c>
      <c r="G309" s="7">
        <f t="shared" si="17"/>
        <v>-37518375.7917879</v>
      </c>
      <c r="H309" s="7">
        <f t="shared" si="18"/>
        <v>27089843.093454115</v>
      </c>
      <c r="I309" s="7">
        <f>IFERROR((G309/SUMIF(B:B,B309,G:G))*VLOOKUP(B309,'DATOS GENERALES'!G:H,2,0),"")</f>
        <v>-6032135.3843921097</v>
      </c>
      <c r="J309" s="7">
        <f t="shared" si="19"/>
        <v>21057707.709062006</v>
      </c>
      <c r="K309" s="16"/>
      <c r="L309" s="16"/>
      <c r="M309" s="16"/>
    </row>
    <row r="310" spans="1:13" x14ac:dyDescent="0.25">
      <c r="A310" s="16">
        <v>1734</v>
      </c>
      <c r="B310" s="6">
        <v>43586</v>
      </c>
      <c r="C310" s="16" t="s">
        <v>195</v>
      </c>
      <c r="D310" s="7">
        <f>SUMIFS('DATOS PROYECCIÓN'!$F:$F,'DATOS PROYECCIÓN'!A:A,A310,'DATOS PROYECCIÓN'!B:B,B310)</f>
        <v>67101369.570173509</v>
      </c>
      <c r="E310" s="13">
        <f>VLOOKUP(A310,'DATOS GENERALES'!A:B,2,0)</f>
        <v>1.73</v>
      </c>
      <c r="F310" s="16">
        <f t="shared" si="16"/>
        <v>1.7220419999999999</v>
      </c>
      <c r="G310" s="7">
        <f t="shared" si="17"/>
        <v>-38966163.177305497</v>
      </c>
      <c r="H310" s="7">
        <f t="shared" si="18"/>
        <v>28135206.392868012</v>
      </c>
      <c r="I310" s="7">
        <f>IFERROR((G310/SUMIF(B:B,B310,G:G))*VLOOKUP(B310,'DATOS GENERALES'!G:H,2,0),"")</f>
        <v>-5168110.9462621929</v>
      </c>
      <c r="J310" s="7">
        <f t="shared" si="19"/>
        <v>22967095.44660582</v>
      </c>
      <c r="K310" s="16"/>
      <c r="L310" s="16"/>
      <c r="M310" s="16"/>
    </row>
    <row r="311" spans="1:13" x14ac:dyDescent="0.25">
      <c r="A311" s="16">
        <v>1734</v>
      </c>
      <c r="B311" s="6">
        <v>43617</v>
      </c>
      <c r="C311" s="16" t="s">
        <v>195</v>
      </c>
      <c r="D311" s="7">
        <f>SUMIFS('DATOS PROYECCIÓN'!$F:$F,'DATOS PROYECCIÓN'!A:A,A311,'DATOS PROYECCIÓN'!B:B,B311)</f>
        <v>68644748.565607309</v>
      </c>
      <c r="E311" s="13">
        <f>VLOOKUP(A311,'DATOS GENERALES'!A:B,2,0)</f>
        <v>1.73</v>
      </c>
      <c r="F311" s="16">
        <f t="shared" si="16"/>
        <v>1.7220419999999999</v>
      </c>
      <c r="G311" s="7">
        <f t="shared" si="17"/>
        <v>-39862412.511197358</v>
      </c>
      <c r="H311" s="7">
        <f t="shared" si="18"/>
        <v>28782336.054409951</v>
      </c>
      <c r="I311" s="7">
        <f>IFERROR((G311/SUMIF(B:B,B311,G:G))*VLOOKUP(B311,'DATOS GENERALES'!G:H,2,0),"")</f>
        <v>-7109751.526077494</v>
      </c>
      <c r="J311" s="7">
        <f t="shared" si="19"/>
        <v>21672584.528332457</v>
      </c>
      <c r="K311" s="16"/>
      <c r="L311" s="16"/>
      <c r="M311" s="16"/>
    </row>
    <row r="312" spans="1:13" x14ac:dyDescent="0.25">
      <c r="A312" s="16">
        <v>1734</v>
      </c>
      <c r="B312" s="6">
        <v>43647</v>
      </c>
      <c r="C312" s="16" t="s">
        <v>195</v>
      </c>
      <c r="D312" s="7">
        <f>SUMIFS('DATOS PROYECCIÓN'!$F:$F,'DATOS PROYECCIÓN'!A:A,A312,'DATOS PROYECCIÓN'!B:B,B312)</f>
        <v>85079795.189299077</v>
      </c>
      <c r="E312" s="13">
        <f>VLOOKUP(A312,'DATOS GENERALES'!A:B,2,0)</f>
        <v>1.73</v>
      </c>
      <c r="F312" s="16">
        <f t="shared" si="16"/>
        <v>1.7220419999999999</v>
      </c>
      <c r="G312" s="7">
        <f t="shared" si="17"/>
        <v>-49406341.534816854</v>
      </c>
      <c r="H312" s="7">
        <f t="shared" si="18"/>
        <v>35673453.654482223</v>
      </c>
      <c r="I312" s="7">
        <f>IFERROR((G312/SUMIF(B:B,B312,G:G))*VLOOKUP(B312,'DATOS GENERALES'!G:H,2,0),"")</f>
        <v>-13141263.06320204</v>
      </c>
      <c r="J312" s="7">
        <f t="shared" si="19"/>
        <v>22532190.591280185</v>
      </c>
      <c r="K312" s="16"/>
      <c r="L312" s="16"/>
      <c r="M312" s="16"/>
    </row>
    <row r="313" spans="1:13" x14ac:dyDescent="0.25">
      <c r="A313" s="16">
        <v>1734</v>
      </c>
      <c r="B313" s="6">
        <v>43678</v>
      </c>
      <c r="C313" s="16" t="s">
        <v>195</v>
      </c>
      <c r="D313" s="7">
        <f>SUMIFS('DATOS PROYECCIÓN'!$F:$F,'DATOS PROYECCIÓN'!A:A,A313,'DATOS PROYECCIÓN'!B:B,B313)</f>
        <v>89917694.732678071</v>
      </c>
      <c r="E313" s="13">
        <f>VLOOKUP(A313,'DATOS GENERALES'!A:B,2,0)</f>
        <v>1.73</v>
      </c>
      <c r="F313" s="16">
        <f t="shared" si="16"/>
        <v>1.7220419999999999</v>
      </c>
      <c r="G313" s="7">
        <f t="shared" si="17"/>
        <v>-52215738.485285535</v>
      </c>
      <c r="H313" s="7">
        <f t="shared" si="18"/>
        <v>37701956.247392535</v>
      </c>
      <c r="I313" s="7">
        <f>IFERROR((G313/SUMIF(B:B,B313,G:G))*VLOOKUP(B313,'DATOS GENERALES'!G:H,2,0),"")</f>
        <v>-13666803.094513861</v>
      </c>
      <c r="J313" s="7">
        <f t="shared" si="19"/>
        <v>24035153.152878672</v>
      </c>
      <c r="K313" s="16"/>
      <c r="L313" s="16"/>
      <c r="M313" s="16"/>
    </row>
    <row r="314" spans="1:13" x14ac:dyDescent="0.25">
      <c r="A314" s="16">
        <v>1734</v>
      </c>
      <c r="B314" s="6">
        <v>43709</v>
      </c>
      <c r="C314" s="16" t="s">
        <v>195</v>
      </c>
      <c r="D314" s="7">
        <f>SUMIFS('DATOS PROYECCIÓN'!$F:$F,'DATOS PROYECCIÓN'!A:A,A314,'DATOS PROYECCIÓN'!B:B,B314)</f>
        <v>87216781.490668952</v>
      </c>
      <c r="E314" s="13">
        <f>VLOOKUP(A314,'DATOS GENERALES'!A:B,2,0)</f>
        <v>1.73</v>
      </c>
      <c r="F314" s="16">
        <f t="shared" si="16"/>
        <v>1.7220419999999999</v>
      </c>
      <c r="G314" s="7">
        <f t="shared" si="17"/>
        <v>-50647302.15097481</v>
      </c>
      <c r="H314" s="7">
        <f t="shared" si="18"/>
        <v>36569479.339694142</v>
      </c>
      <c r="I314" s="7">
        <f>IFERROR((G314/SUMIF(B:B,B314,G:G))*VLOOKUP(B314,'DATOS GENERALES'!G:H,2,0),"")</f>
        <v>-14981895.896928189</v>
      </c>
      <c r="J314" s="7">
        <f t="shared" si="19"/>
        <v>21587583.442765951</v>
      </c>
      <c r="K314" s="16"/>
      <c r="L314" s="16"/>
      <c r="M314" s="16"/>
    </row>
    <row r="315" spans="1:13" x14ac:dyDescent="0.25">
      <c r="A315" s="16">
        <v>1734</v>
      </c>
      <c r="B315" s="6">
        <v>43739</v>
      </c>
      <c r="C315" s="16" t="s">
        <v>195</v>
      </c>
      <c r="D315" s="7">
        <f>SUMIFS('DATOS PROYECCIÓN'!$F:$F,'DATOS PROYECCIÓN'!A:A,A315,'DATOS PROYECCIÓN'!B:B,B315)</f>
        <v>88225913.910760283</v>
      </c>
      <c r="E315" s="13">
        <f>VLOOKUP(A315,'DATOS GENERALES'!A:B,2,0)</f>
        <v>1.73</v>
      </c>
      <c r="F315" s="16">
        <f t="shared" si="16"/>
        <v>1.7220419999999999</v>
      </c>
      <c r="G315" s="7">
        <f t="shared" si="17"/>
        <v>-51233311.330827177</v>
      </c>
      <c r="H315" s="7">
        <f t="shared" si="18"/>
        <v>36992602.579933107</v>
      </c>
      <c r="I315" s="7">
        <f>IFERROR((G315/SUMIF(B:B,B315,G:G))*VLOOKUP(B315,'DATOS GENERALES'!G:H,2,0),"")</f>
        <v>-16388829.647998663</v>
      </c>
      <c r="J315" s="7">
        <f t="shared" si="19"/>
        <v>20603772.931934446</v>
      </c>
      <c r="K315" s="16"/>
      <c r="L315" s="16"/>
      <c r="M315" s="16"/>
    </row>
    <row r="316" spans="1:13" x14ac:dyDescent="0.25">
      <c r="A316" s="16">
        <v>1734</v>
      </c>
      <c r="B316" s="6">
        <v>43770</v>
      </c>
      <c r="C316" s="16" t="s">
        <v>195</v>
      </c>
      <c r="D316" s="7">
        <f>SUMIFS('DATOS PROYECCIÓN'!$F:$F,'DATOS PROYECCIÓN'!A:A,A316,'DATOS PROYECCIÓN'!B:B,B316)</f>
        <v>89977055.463271677</v>
      </c>
      <c r="E316" s="13">
        <f>VLOOKUP(A316,'DATOS GENERALES'!A:B,2,0)</f>
        <v>1.73</v>
      </c>
      <c r="F316" s="16">
        <f t="shared" si="16"/>
        <v>1.7220419999999999</v>
      </c>
      <c r="G316" s="7">
        <f t="shared" si="17"/>
        <v>-52250209.613512151</v>
      </c>
      <c r="H316" s="7">
        <f t="shared" si="18"/>
        <v>37726845.849759527</v>
      </c>
      <c r="I316" s="7">
        <f>IFERROR((G316/SUMIF(B:B,B316,G:G))*VLOOKUP(B316,'DATOS GENERALES'!G:H,2,0),"")</f>
        <v>-22353906.399397086</v>
      </c>
      <c r="J316" s="7">
        <f t="shared" si="19"/>
        <v>15372939.45036244</v>
      </c>
      <c r="K316" s="16"/>
      <c r="L316" s="16"/>
      <c r="M316" s="16"/>
    </row>
    <row r="317" spans="1:13" x14ac:dyDescent="0.25">
      <c r="A317" s="16">
        <v>1734</v>
      </c>
      <c r="B317" s="6">
        <v>43800</v>
      </c>
      <c r="C317" s="16" t="s">
        <v>195</v>
      </c>
      <c r="D317" s="7">
        <f>SUMIFS('DATOS PROYECCIÓN'!$F:$F,'DATOS PROYECCIÓN'!A:A,A317,'DATOS PROYECCIÓN'!B:B,B317)</f>
        <v>84456507.518066227</v>
      </c>
      <c r="E317" s="13">
        <f>VLOOKUP(A317,'DATOS GENERALES'!A:B,2,0)</f>
        <v>1.73</v>
      </c>
      <c r="F317" s="16">
        <f t="shared" si="16"/>
        <v>1.7220419999999999</v>
      </c>
      <c r="G317" s="7">
        <f t="shared" si="17"/>
        <v>-49044394.688437469</v>
      </c>
      <c r="H317" s="7">
        <f t="shared" si="18"/>
        <v>35412112.829628758</v>
      </c>
      <c r="I317" s="7">
        <f>IFERROR((G317/SUMIF(B:B,B317,G:G))*VLOOKUP(B317,'DATOS GENERALES'!G:H,2,0),"")</f>
        <v>-17666900.344765119</v>
      </c>
      <c r="J317" s="7">
        <f t="shared" si="19"/>
        <v>17745212.484863639</v>
      </c>
      <c r="K317" s="16"/>
      <c r="L317" s="16"/>
      <c r="M317" s="16"/>
    </row>
    <row r="318" spans="1:13" x14ac:dyDescent="0.25">
      <c r="A318" s="16">
        <v>1734</v>
      </c>
      <c r="B318" s="6">
        <v>43831</v>
      </c>
      <c r="C318" s="16" t="s">
        <v>195</v>
      </c>
      <c r="D318" s="7">
        <f>SUMIFS('DATOS PROYECCIÓN'!$F:$F,'DATOS PROYECCIÓN'!A:A,A318,'DATOS PROYECCIÓN'!B:B,B318)</f>
        <v>84812671.901627824</v>
      </c>
      <c r="E318" s="13">
        <f>VLOOKUP(A318,'DATOS GENERALES'!A:B,2,0)</f>
        <v>1.73</v>
      </c>
      <c r="F318" s="16">
        <f t="shared" si="16"/>
        <v>1.7220419999999999</v>
      </c>
      <c r="G318" s="7">
        <f t="shared" si="17"/>
        <v>-49251221.457797095</v>
      </c>
      <c r="H318" s="7">
        <f t="shared" si="18"/>
        <v>35561450.443830729</v>
      </c>
      <c r="I318" s="7" t="str">
        <f>IFERROR((G318/SUMIF(B:B,B318,G:G))*VLOOKUP(B318,'DATOS GENERALES'!G:H,2,0),"")</f>
        <v/>
      </c>
      <c r="J318" s="7" t="str">
        <f t="shared" si="19"/>
        <v/>
      </c>
      <c r="K318" s="16"/>
      <c r="L318" s="16"/>
      <c r="M318" s="16"/>
    </row>
    <row r="319" spans="1:13" x14ac:dyDescent="0.25">
      <c r="A319" s="16">
        <v>1734</v>
      </c>
      <c r="B319" s="6">
        <v>43862</v>
      </c>
      <c r="C319" s="16" t="s">
        <v>195</v>
      </c>
      <c r="D319" s="7">
        <f>SUMIFS('DATOS PROYECCIÓN'!$F:$F,'DATOS PROYECCIÓN'!A:A,A319,'DATOS PROYECCIÓN'!B:B,B319)</f>
        <v>87038699.298888147</v>
      </c>
      <c r="E319" s="13">
        <f>VLOOKUP(A319,'DATOS GENERALES'!A:B,2,0)</f>
        <v>1.73</v>
      </c>
      <c r="F319" s="16">
        <f t="shared" si="16"/>
        <v>1.7220419999999999</v>
      </c>
      <c r="G319" s="7">
        <f t="shared" si="17"/>
        <v>-50543888.766294986</v>
      </c>
      <c r="H319" s="7">
        <f t="shared" si="18"/>
        <v>36494810.532593161</v>
      </c>
      <c r="I319" s="7" t="str">
        <f>IFERROR((G319/SUMIF(B:B,B319,G:G))*VLOOKUP(B319,'DATOS GENERALES'!G:H,2,0),"")</f>
        <v/>
      </c>
      <c r="J319" s="7" t="str">
        <f t="shared" si="19"/>
        <v/>
      </c>
      <c r="K319" s="16"/>
      <c r="L319" s="16"/>
      <c r="M319" s="16"/>
    </row>
    <row r="320" spans="1:13" x14ac:dyDescent="0.25">
      <c r="A320" s="16">
        <v>1734</v>
      </c>
      <c r="B320" s="6">
        <v>43891</v>
      </c>
      <c r="C320" s="16" t="s">
        <v>195</v>
      </c>
      <c r="D320" s="7">
        <f>SUMIFS('DATOS PROYECCIÓN'!$F:$F,'DATOS PROYECCIÓN'!A:A,A320,'DATOS PROYECCIÓN'!B:B,B320)</f>
        <v>84219064.595691785</v>
      </c>
      <c r="E320" s="13">
        <f>VLOOKUP(A320,'DATOS GENERALES'!A:B,2,0)</f>
        <v>1.73</v>
      </c>
      <c r="F320" s="16">
        <f t="shared" si="16"/>
        <v>1.7220419999999999</v>
      </c>
      <c r="G320" s="7">
        <f t="shared" si="17"/>
        <v>-48906510.175531022</v>
      </c>
      <c r="H320" s="7">
        <f t="shared" si="18"/>
        <v>35312554.420160763</v>
      </c>
      <c r="I320" s="7" t="str">
        <f>IFERROR((G320/SUMIF(B:B,B320,G:G))*VLOOKUP(B320,'DATOS GENERALES'!G:H,2,0),"")</f>
        <v/>
      </c>
      <c r="J320" s="7" t="str">
        <f t="shared" si="19"/>
        <v/>
      </c>
      <c r="K320" s="16"/>
      <c r="L320" s="16"/>
      <c r="M320" s="16"/>
    </row>
    <row r="321" spans="1:13" x14ac:dyDescent="0.25">
      <c r="A321" s="16">
        <v>1734</v>
      </c>
      <c r="B321" s="6">
        <v>43922</v>
      </c>
      <c r="C321" s="16" t="s">
        <v>195</v>
      </c>
      <c r="D321" s="7">
        <f>SUMIFS('DATOS PROYECCIÓN'!$F:$F,'DATOS PROYECCIÓN'!A:A,A321,'DATOS PROYECCIÓN'!B:B,B321)</f>
        <v>86415411.627655238</v>
      </c>
      <c r="E321" s="13">
        <f>VLOOKUP(A321,'DATOS GENERALES'!A:B,2,0)</f>
        <v>1.73</v>
      </c>
      <c r="F321" s="16">
        <f t="shared" si="16"/>
        <v>1.7220419999999999</v>
      </c>
      <c r="G321" s="7">
        <f t="shared" si="17"/>
        <v>-50181941.919915572</v>
      </c>
      <c r="H321" s="7">
        <f t="shared" si="18"/>
        <v>36233469.707739666</v>
      </c>
      <c r="I321" s="7" t="str">
        <f>IFERROR((G321/SUMIF(B:B,B321,G:G))*VLOOKUP(B321,'DATOS GENERALES'!G:H,2,0),"")</f>
        <v/>
      </c>
      <c r="J321" s="7" t="str">
        <f t="shared" si="19"/>
        <v/>
      </c>
      <c r="K321" s="16"/>
      <c r="L321" s="16"/>
      <c r="M321" s="16"/>
    </row>
    <row r="322" spans="1:13" x14ac:dyDescent="0.25">
      <c r="A322" s="16">
        <v>1734</v>
      </c>
      <c r="B322" s="6">
        <v>43952</v>
      </c>
      <c r="C322" s="16" t="s">
        <v>195</v>
      </c>
      <c r="D322" s="7">
        <f>SUMIFS('DATOS PROYECCIÓN'!$F:$F,'DATOS PROYECCIÓN'!A:A,A322,'DATOS PROYECCIÓN'!B:B,B322)</f>
        <v>86919977.837700903</v>
      </c>
      <c r="E322" s="13">
        <f>VLOOKUP(A322,'DATOS GENERALES'!A:B,2,0)</f>
        <v>1.73</v>
      </c>
      <c r="F322" s="16">
        <f t="shared" ref="F322:F385" si="20">E322*0.9954</f>
        <v>1.7220419999999999</v>
      </c>
      <c r="G322" s="7">
        <f t="shared" ref="G322:G385" si="21">-D322/F322</f>
        <v>-50474946.509841755</v>
      </c>
      <c r="H322" s="7">
        <f t="shared" ref="H322:H385" si="22">D322+G322</f>
        <v>36445031.327859148</v>
      </c>
      <c r="I322" s="7" t="str">
        <f>IFERROR((G322/SUMIF(B:B,B322,G:G))*VLOOKUP(B322,'DATOS GENERALES'!G:H,2,0),"")</f>
        <v/>
      </c>
      <c r="J322" s="7" t="str">
        <f t="shared" si="19"/>
        <v/>
      </c>
      <c r="K322" s="16"/>
      <c r="L322" s="16"/>
      <c r="M322" s="16"/>
    </row>
    <row r="323" spans="1:13" x14ac:dyDescent="0.25">
      <c r="A323" s="16">
        <v>1734</v>
      </c>
      <c r="B323" s="6">
        <v>43983</v>
      </c>
      <c r="C323" s="16" t="s">
        <v>195</v>
      </c>
      <c r="D323" s="7">
        <f>SUMIFS('DATOS PROYECCIÓN'!$F:$F,'DATOS PROYECCIÓN'!A:A,A323,'DATOS PROYECCIÓN'!B:B,B323)</f>
        <v>82467923.043180406</v>
      </c>
      <c r="E323" s="13">
        <f>VLOOKUP(A323,'DATOS GENERALES'!A:B,2,0)</f>
        <v>1.73</v>
      </c>
      <c r="F323" s="16">
        <f t="shared" si="20"/>
        <v>1.7220419999999999</v>
      </c>
      <c r="G323" s="7">
        <f t="shared" si="21"/>
        <v>-47889611.892846063</v>
      </c>
      <c r="H323" s="7">
        <f t="shared" si="22"/>
        <v>34578311.150334343</v>
      </c>
      <c r="I323" s="7" t="str">
        <f>IFERROR((G323/SUMIF(B:B,B323,G:G))*VLOOKUP(B323,'DATOS GENERALES'!G:H,2,0),"")</f>
        <v/>
      </c>
      <c r="J323" s="7" t="str">
        <f t="shared" ref="J323:J386" si="23">IFERROR(H323+I323,"")</f>
        <v/>
      </c>
      <c r="K323" s="16"/>
      <c r="L323" s="16"/>
      <c r="M323" s="16"/>
    </row>
    <row r="324" spans="1:13" x14ac:dyDescent="0.25">
      <c r="A324" s="16">
        <v>1734</v>
      </c>
      <c r="B324" s="6">
        <v>44013</v>
      </c>
      <c r="C324" s="16" t="s">
        <v>195</v>
      </c>
      <c r="D324" s="7">
        <f>SUMIFS('DATOS PROYECCIÓN'!$F:$F,'DATOS PROYECCIÓN'!A:A,A324,'DATOS PROYECCIÓN'!B:B,B324)</f>
        <v>81013585.143636942</v>
      </c>
      <c r="E324" s="13">
        <f>VLOOKUP(A324,'DATOS GENERALES'!A:B,2,0)</f>
        <v>1.73</v>
      </c>
      <c r="F324" s="16">
        <f t="shared" si="20"/>
        <v>1.7220419999999999</v>
      </c>
      <c r="G324" s="7">
        <f t="shared" si="21"/>
        <v>-47045069.251294076</v>
      </c>
      <c r="H324" s="7">
        <f t="shared" si="22"/>
        <v>33968515.892342865</v>
      </c>
      <c r="I324" s="7" t="str">
        <f>IFERROR((G324/SUMIF(B:B,B324,G:G))*VLOOKUP(B324,'DATOS GENERALES'!G:H,2,0),"")</f>
        <v/>
      </c>
      <c r="J324" s="7" t="str">
        <f t="shared" si="23"/>
        <v/>
      </c>
      <c r="K324" s="16"/>
      <c r="L324" s="16"/>
      <c r="M324" s="16"/>
    </row>
    <row r="325" spans="1:13" x14ac:dyDescent="0.25">
      <c r="A325" s="16">
        <v>1734</v>
      </c>
      <c r="B325" s="6">
        <v>44044</v>
      </c>
      <c r="C325" s="16" t="s">
        <v>195</v>
      </c>
      <c r="D325" s="7">
        <f>SUMIFS('DATOS PROYECCIÓN'!$F:$F,'DATOS PROYECCIÓN'!A:A,A325,'DATOS PROYECCIÓN'!B:B,B325)</f>
        <v>80894863.682449803</v>
      </c>
      <c r="E325" s="13">
        <f>VLOOKUP(A325,'DATOS GENERALES'!A:B,2,0)</f>
        <v>1.73</v>
      </c>
      <c r="F325" s="16">
        <f t="shared" si="20"/>
        <v>1.7220419999999999</v>
      </c>
      <c r="G325" s="7">
        <f t="shared" si="21"/>
        <v>-46976126.994840898</v>
      </c>
      <c r="H325" s="7">
        <f t="shared" si="22"/>
        <v>33918736.687608905</v>
      </c>
      <c r="I325" s="7" t="str">
        <f>IFERROR((G325/SUMIF(B:B,B325,G:G))*VLOOKUP(B325,'DATOS GENERALES'!G:H,2,0),"")</f>
        <v/>
      </c>
      <c r="J325" s="7" t="str">
        <f t="shared" si="23"/>
        <v/>
      </c>
      <c r="K325" s="16"/>
      <c r="L325" s="16"/>
      <c r="M325" s="16"/>
    </row>
    <row r="326" spans="1:13" x14ac:dyDescent="0.25">
      <c r="A326" s="16">
        <v>1734</v>
      </c>
      <c r="B326" s="6">
        <v>44075</v>
      </c>
      <c r="C326" s="16" t="s">
        <v>195</v>
      </c>
      <c r="D326" s="7">
        <f>SUMIFS('DATOS PROYECCIÓN'!$F:$F,'DATOS PROYECCIÓN'!A:A,A326,'DATOS PROYECCIÓN'!B:B,B326)</f>
        <v>78609475.554595888</v>
      </c>
      <c r="E326" s="13">
        <f>VLOOKUP(A326,'DATOS GENERALES'!A:B,2,0)</f>
        <v>1.73</v>
      </c>
      <c r="F326" s="16">
        <f t="shared" si="20"/>
        <v>1.7220419999999999</v>
      </c>
      <c r="G326" s="7">
        <f t="shared" si="21"/>
        <v>-45648988.558116406</v>
      </c>
      <c r="H326" s="7">
        <f t="shared" si="22"/>
        <v>32960486.996479481</v>
      </c>
      <c r="I326" s="7" t="str">
        <f>IFERROR((G326/SUMIF(B:B,B326,G:G))*VLOOKUP(B326,'DATOS GENERALES'!G:H,2,0),"")</f>
        <v/>
      </c>
      <c r="J326" s="7" t="str">
        <f t="shared" si="23"/>
        <v/>
      </c>
      <c r="K326" s="16"/>
      <c r="L326" s="16"/>
      <c r="M326" s="16"/>
    </row>
    <row r="327" spans="1:13" x14ac:dyDescent="0.25">
      <c r="A327" s="16">
        <v>1888</v>
      </c>
      <c r="B327" s="6">
        <v>43525</v>
      </c>
      <c r="C327" s="16" t="s">
        <v>195</v>
      </c>
      <c r="D327" s="7">
        <f>SUMIFS('DATOS PROYECCIÓN'!$F:$F,'DATOS PROYECCIÓN'!A:A,A327,'DATOS PROYECCIÓN'!B:B,B327)</f>
        <v>50337339</v>
      </c>
      <c r="E327" s="13">
        <f>VLOOKUP(A327,'DATOS GENERALES'!A:B,2,0)</f>
        <v>1</v>
      </c>
      <c r="F327" s="16">
        <f t="shared" si="20"/>
        <v>0.99539999999999995</v>
      </c>
      <c r="G327" s="7">
        <f t="shared" si="21"/>
        <v>-50569960.819770947</v>
      </c>
      <c r="H327" s="7">
        <f t="shared" si="22"/>
        <v>-232621.8197709471</v>
      </c>
      <c r="I327" s="7">
        <f>IFERROR((G327/SUMIF(B:B,B327,G:G))*VLOOKUP(B327,'DATOS GENERALES'!G:H,2,0),"")</f>
        <v>-7908510.8421956766</v>
      </c>
      <c r="J327" s="7">
        <f t="shared" si="23"/>
        <v>-8141132.6619666237</v>
      </c>
      <c r="K327" s="16"/>
      <c r="L327" s="16"/>
      <c r="M327" s="16"/>
    </row>
    <row r="328" spans="1:13" x14ac:dyDescent="0.25">
      <c r="A328" s="16">
        <v>1888</v>
      </c>
      <c r="B328" s="6">
        <v>43556</v>
      </c>
      <c r="C328" s="16" t="s">
        <v>195</v>
      </c>
      <c r="D328" s="7">
        <f>SUMIFS('DATOS PROYECCIÓN'!$F:$F,'DATOS PROYECCIÓN'!A:A,A328,'DATOS PROYECCIÓN'!B:B,B328)</f>
        <v>50337339</v>
      </c>
      <c r="E328" s="13">
        <f>VLOOKUP(A328,'DATOS GENERALES'!A:B,2,0)</f>
        <v>1</v>
      </c>
      <c r="F328" s="16">
        <f t="shared" si="20"/>
        <v>0.99539999999999995</v>
      </c>
      <c r="G328" s="7">
        <f t="shared" si="21"/>
        <v>-50569960.819770947</v>
      </c>
      <c r="H328" s="7">
        <f t="shared" si="22"/>
        <v>-232621.8197709471</v>
      </c>
      <c r="I328" s="7">
        <f>IFERROR((G328/SUMIF(B:B,B328,G:G))*VLOOKUP(B328,'DATOS GENERALES'!G:H,2,0),"")</f>
        <v>-8130545.1958032735</v>
      </c>
      <c r="J328" s="7">
        <f t="shared" si="23"/>
        <v>-8363167.0155742206</v>
      </c>
      <c r="K328" s="16"/>
      <c r="L328" s="16"/>
      <c r="M328" s="16"/>
    </row>
    <row r="329" spans="1:13" x14ac:dyDescent="0.25">
      <c r="A329" s="16">
        <v>1888</v>
      </c>
      <c r="B329" s="6">
        <v>43586</v>
      </c>
      <c r="C329" s="16" t="s">
        <v>195</v>
      </c>
      <c r="D329" s="7">
        <f>SUMIFS('DATOS PROYECCIÓN'!$F:$F,'DATOS PROYECCIÓN'!A:A,A329,'DATOS PROYECCIÓN'!B:B,B329)</f>
        <v>50337339</v>
      </c>
      <c r="E329" s="13">
        <f>VLOOKUP(A329,'DATOS GENERALES'!A:B,2,0)</f>
        <v>1</v>
      </c>
      <c r="F329" s="16">
        <f t="shared" si="20"/>
        <v>0.99539999999999995</v>
      </c>
      <c r="G329" s="7">
        <f t="shared" si="21"/>
        <v>-50569960.819770947</v>
      </c>
      <c r="H329" s="7">
        <f t="shared" si="22"/>
        <v>-232621.8197709471</v>
      </c>
      <c r="I329" s="7">
        <f>IFERROR((G329/SUMIF(B:B,B329,G:G))*VLOOKUP(B329,'DATOS GENERALES'!G:H,2,0),"")</f>
        <v>-6707131.1813661829</v>
      </c>
      <c r="J329" s="7">
        <f t="shared" si="23"/>
        <v>-6939753.00113713</v>
      </c>
      <c r="K329" s="16"/>
      <c r="L329" s="16"/>
      <c r="M329" s="16"/>
    </row>
    <row r="330" spans="1:13" x14ac:dyDescent="0.25">
      <c r="A330" s="16">
        <v>1888</v>
      </c>
      <c r="B330" s="6">
        <v>43617</v>
      </c>
      <c r="C330" s="16" t="s">
        <v>195</v>
      </c>
      <c r="D330" s="7">
        <f>SUMIFS('DATOS PROYECCIÓN'!$F:$F,'DATOS PROYECCIÓN'!A:A,A330,'DATOS PROYECCIÓN'!B:B,B330)</f>
        <v>50337339</v>
      </c>
      <c r="E330" s="13">
        <f>VLOOKUP(A330,'DATOS GENERALES'!A:B,2,0)</f>
        <v>1</v>
      </c>
      <c r="F330" s="16">
        <f t="shared" si="20"/>
        <v>0.99539999999999995</v>
      </c>
      <c r="G330" s="7">
        <f t="shared" si="21"/>
        <v>-50569960.819770947</v>
      </c>
      <c r="H330" s="7">
        <f t="shared" si="22"/>
        <v>-232621.8197709471</v>
      </c>
      <c r="I330" s="7">
        <f>IFERROR((G330/SUMIF(B:B,B330,G:G))*VLOOKUP(B330,'DATOS GENERALES'!G:H,2,0),"")</f>
        <v>-9019520.7329975516</v>
      </c>
      <c r="J330" s="7">
        <f t="shared" si="23"/>
        <v>-9252142.5527684987</v>
      </c>
      <c r="K330" s="16"/>
      <c r="L330" s="16"/>
      <c r="M330" s="16"/>
    </row>
    <row r="331" spans="1:13" x14ac:dyDescent="0.25">
      <c r="A331" s="16">
        <v>1888</v>
      </c>
      <c r="B331" s="6">
        <v>43647</v>
      </c>
      <c r="C331" s="16" t="s">
        <v>195</v>
      </c>
      <c r="D331" s="7">
        <f>SUMIFS('DATOS PROYECCIÓN'!$F:$F,'DATOS PROYECCIÓN'!A:A,A331,'DATOS PROYECCIÓN'!B:B,B331)</f>
        <v>39863714</v>
      </c>
      <c r="E331" s="13">
        <f>VLOOKUP(A331,'DATOS GENERALES'!A:B,2,0)</f>
        <v>1</v>
      </c>
      <c r="F331" s="16">
        <f t="shared" si="20"/>
        <v>0.99539999999999995</v>
      </c>
      <c r="G331" s="7">
        <f t="shared" si="21"/>
        <v>-40047934.498693995</v>
      </c>
      <c r="H331" s="7">
        <f t="shared" si="22"/>
        <v>-184220.49869399518</v>
      </c>
      <c r="I331" s="7">
        <f>IFERROR((G331/SUMIF(B:B,B331,G:G))*VLOOKUP(B331,'DATOS GENERALES'!G:H,2,0),"")</f>
        <v>-10652082.830588663</v>
      </c>
      <c r="J331" s="7">
        <f t="shared" si="23"/>
        <v>-10836303.329282658</v>
      </c>
      <c r="K331" s="16"/>
      <c r="L331" s="16"/>
      <c r="M331" s="16"/>
    </row>
    <row r="332" spans="1:13" x14ac:dyDescent="0.25">
      <c r="A332" s="16">
        <v>1888</v>
      </c>
      <c r="B332" s="6">
        <v>43678</v>
      </c>
      <c r="C332" s="16" t="s">
        <v>195</v>
      </c>
      <c r="D332" s="7">
        <f>SUMIFS('DATOS PROYECCIÓN'!$F:$F,'DATOS PROYECCIÓN'!A:A,A332,'DATOS PROYECCIÓN'!B:B,B332)</f>
        <v>39863714</v>
      </c>
      <c r="E332" s="13">
        <f>VLOOKUP(A332,'DATOS GENERALES'!A:B,2,0)</f>
        <v>1</v>
      </c>
      <c r="F332" s="16">
        <f t="shared" si="20"/>
        <v>0.99539999999999995</v>
      </c>
      <c r="G332" s="7">
        <f t="shared" si="21"/>
        <v>-40047934.498693995</v>
      </c>
      <c r="H332" s="7">
        <f t="shared" si="22"/>
        <v>-184220.49869399518</v>
      </c>
      <c r="I332" s="7">
        <f>IFERROR((G332/SUMIF(B:B,B332,G:G))*VLOOKUP(B332,'DATOS GENERALES'!G:H,2,0),"")</f>
        <v>-10482035.704424197</v>
      </c>
      <c r="J332" s="7">
        <f t="shared" si="23"/>
        <v>-10666256.203118192</v>
      </c>
      <c r="K332" s="16"/>
      <c r="L332" s="16"/>
      <c r="M332" s="16"/>
    </row>
    <row r="333" spans="1:13" x14ac:dyDescent="0.25">
      <c r="A333" s="16">
        <v>1888</v>
      </c>
      <c r="B333" s="6">
        <v>43709</v>
      </c>
      <c r="C333" s="16" t="s">
        <v>195</v>
      </c>
      <c r="D333" s="7">
        <f>SUMIFS('DATOS PROYECCIÓN'!$F:$F,'DATOS PROYECCIÓN'!A:A,A333,'DATOS PROYECCIÓN'!B:B,B333)</f>
        <v>39863714</v>
      </c>
      <c r="E333" s="13">
        <f>VLOOKUP(A333,'DATOS GENERALES'!A:B,2,0)</f>
        <v>1</v>
      </c>
      <c r="F333" s="16">
        <f t="shared" si="20"/>
        <v>0.99539999999999995</v>
      </c>
      <c r="G333" s="7">
        <f t="shared" si="21"/>
        <v>-40047934.498693995</v>
      </c>
      <c r="H333" s="7">
        <f t="shared" si="22"/>
        <v>-184220.49869399518</v>
      </c>
      <c r="I333" s="7">
        <f>IFERROR((G333/SUMIF(B:B,B333,G:G))*VLOOKUP(B333,'DATOS GENERALES'!G:H,2,0),"")</f>
        <v>-11846514.228100585</v>
      </c>
      <c r="J333" s="7">
        <f t="shared" si="23"/>
        <v>-12030734.72679458</v>
      </c>
      <c r="K333" s="16"/>
      <c r="L333" s="16"/>
      <c r="M333" s="16"/>
    </row>
    <row r="334" spans="1:13" x14ac:dyDescent="0.25">
      <c r="A334" s="16">
        <v>1888</v>
      </c>
      <c r="B334" s="6">
        <v>43739</v>
      </c>
      <c r="C334" s="16" t="s">
        <v>195</v>
      </c>
      <c r="D334" s="7">
        <f>SUMIFS('DATOS PROYECCIÓN'!$F:$F,'DATOS PROYECCIÓN'!A:A,A334,'DATOS PROYECCIÓN'!B:B,B334)</f>
        <v>39863714</v>
      </c>
      <c r="E334" s="13">
        <f>VLOOKUP(A334,'DATOS GENERALES'!A:B,2,0)</f>
        <v>1</v>
      </c>
      <c r="F334" s="16">
        <f t="shared" si="20"/>
        <v>0.99539999999999995</v>
      </c>
      <c r="G334" s="7">
        <f t="shared" si="21"/>
        <v>-40047934.498693995</v>
      </c>
      <c r="H334" s="7">
        <f t="shared" si="22"/>
        <v>-184220.49869399518</v>
      </c>
      <c r="I334" s="7">
        <f>IFERROR((G334/SUMIF(B:B,B334,G:G))*VLOOKUP(B334,'DATOS GENERALES'!G:H,2,0),"")</f>
        <v>-12810781.876173295</v>
      </c>
      <c r="J334" s="7">
        <f t="shared" si="23"/>
        <v>-12995002.37486729</v>
      </c>
      <c r="K334" s="16"/>
      <c r="L334" s="16"/>
      <c r="M334" s="16"/>
    </row>
    <row r="335" spans="1:13" x14ac:dyDescent="0.25">
      <c r="A335" s="16">
        <v>1888</v>
      </c>
      <c r="B335" s="6">
        <v>43770</v>
      </c>
      <c r="C335" s="16" t="s">
        <v>195</v>
      </c>
      <c r="D335" s="7">
        <f>SUMIFS('DATOS PROYECCIÓN'!$F:$F,'DATOS PROYECCIÓN'!A:A,A335,'DATOS PROYECCIÓN'!B:B,B335)</f>
        <v>39863714</v>
      </c>
      <c r="E335" s="13">
        <f>VLOOKUP(A335,'DATOS GENERALES'!A:B,2,0)</f>
        <v>1</v>
      </c>
      <c r="F335" s="16">
        <f t="shared" si="20"/>
        <v>0.99539999999999995</v>
      </c>
      <c r="G335" s="7">
        <f t="shared" si="21"/>
        <v>-40047934.498693995</v>
      </c>
      <c r="H335" s="7">
        <f t="shared" si="22"/>
        <v>-184220.49869399518</v>
      </c>
      <c r="I335" s="7">
        <f>IFERROR((G335/SUMIF(B:B,B335,G:G))*VLOOKUP(B335,'DATOS GENERALES'!G:H,2,0),"")</f>
        <v>-17133477.279706087</v>
      </c>
      <c r="J335" s="7">
        <f t="shared" si="23"/>
        <v>-17317697.778400082</v>
      </c>
      <c r="K335" s="16"/>
      <c r="L335" s="16"/>
      <c r="M335" s="16"/>
    </row>
    <row r="336" spans="1:13" x14ac:dyDescent="0.25">
      <c r="A336" s="16">
        <v>1888</v>
      </c>
      <c r="B336" s="6">
        <v>43800</v>
      </c>
      <c r="C336" s="16" t="s">
        <v>195</v>
      </c>
      <c r="D336" s="7">
        <f>SUMIFS('DATOS PROYECCIÓN'!$F:$F,'DATOS PROYECCIÓN'!A:A,A336,'DATOS PROYECCIÓN'!B:B,B336)</f>
        <v>39863714</v>
      </c>
      <c r="E336" s="13">
        <f>VLOOKUP(A336,'DATOS GENERALES'!A:B,2,0)</f>
        <v>1</v>
      </c>
      <c r="F336" s="16">
        <f t="shared" si="20"/>
        <v>0.99539999999999995</v>
      </c>
      <c r="G336" s="7">
        <f t="shared" si="21"/>
        <v>-40047934.498693995</v>
      </c>
      <c r="H336" s="7">
        <f t="shared" si="22"/>
        <v>-184220.49869399518</v>
      </c>
      <c r="I336" s="7">
        <f>IFERROR((G336/SUMIF(B:B,B336,G:G))*VLOOKUP(B336,'DATOS GENERALES'!G:H,2,0),"")</f>
        <v>-14426171.885630608</v>
      </c>
      <c r="J336" s="7">
        <f t="shared" si="23"/>
        <v>-14610392.384324603</v>
      </c>
      <c r="K336" s="16"/>
      <c r="L336" s="16"/>
      <c r="M336" s="16"/>
    </row>
    <row r="337" spans="1:13" x14ac:dyDescent="0.25">
      <c r="A337" s="16">
        <v>1888</v>
      </c>
      <c r="B337" s="6">
        <v>43831</v>
      </c>
      <c r="C337" s="16" t="s">
        <v>195</v>
      </c>
      <c r="D337" s="7">
        <f>SUMIFS('DATOS PROYECCIÓN'!$F:$F,'DATOS PROYECCIÓN'!A:A,A337,'DATOS PROYECCIÓN'!B:B,B337)</f>
        <v>39863714</v>
      </c>
      <c r="E337" s="13">
        <f>VLOOKUP(A337,'DATOS GENERALES'!A:B,2,0)</f>
        <v>1</v>
      </c>
      <c r="F337" s="16">
        <f t="shared" si="20"/>
        <v>0.99539999999999995</v>
      </c>
      <c r="G337" s="7">
        <f t="shared" si="21"/>
        <v>-40047934.498693995</v>
      </c>
      <c r="H337" s="7">
        <f t="shared" si="22"/>
        <v>-184220.49869399518</v>
      </c>
      <c r="I337" s="7" t="str">
        <f>IFERROR((G337/SUMIF(B:B,B337,G:G))*VLOOKUP(B337,'DATOS GENERALES'!G:H,2,0),"")</f>
        <v/>
      </c>
      <c r="J337" s="7" t="str">
        <f t="shared" si="23"/>
        <v/>
      </c>
      <c r="K337" s="16"/>
      <c r="L337" s="16"/>
      <c r="M337" s="16"/>
    </row>
    <row r="338" spans="1:13" x14ac:dyDescent="0.25">
      <c r="A338" s="16">
        <v>1888</v>
      </c>
      <c r="B338" s="6">
        <v>43862</v>
      </c>
      <c r="C338" s="16" t="s">
        <v>195</v>
      </c>
      <c r="D338" s="7">
        <f>SUMIFS('DATOS PROYECCIÓN'!$F:$F,'DATOS PROYECCIÓN'!A:A,A338,'DATOS PROYECCIÓN'!B:B,B338)</f>
        <v>35856914</v>
      </c>
      <c r="E338" s="13">
        <f>VLOOKUP(A338,'DATOS GENERALES'!A:B,2,0)</f>
        <v>1</v>
      </c>
      <c r="F338" s="16">
        <f t="shared" si="20"/>
        <v>0.99539999999999995</v>
      </c>
      <c r="G338" s="7">
        <f t="shared" si="21"/>
        <v>-36022618.042997792</v>
      </c>
      <c r="H338" s="7">
        <f t="shared" si="22"/>
        <v>-165704.04299779236</v>
      </c>
      <c r="I338" s="7" t="str">
        <f>IFERROR((G338/SUMIF(B:B,B338,G:G))*VLOOKUP(B338,'DATOS GENERALES'!G:H,2,0),"")</f>
        <v/>
      </c>
      <c r="J338" s="7" t="str">
        <f t="shared" si="23"/>
        <v/>
      </c>
      <c r="K338" s="16"/>
      <c r="L338" s="16"/>
      <c r="M338" s="16"/>
    </row>
    <row r="339" spans="1:13" x14ac:dyDescent="0.25">
      <c r="A339" s="16">
        <v>1888</v>
      </c>
      <c r="B339" s="6">
        <v>43891</v>
      </c>
      <c r="C339" s="16" t="s">
        <v>195</v>
      </c>
      <c r="D339" s="7">
        <f>SUMIFS('DATOS PROYECCIÓN'!$F:$F,'DATOS PROYECCIÓN'!A:A,A339,'DATOS PROYECCIÓN'!B:B,B339)</f>
        <v>3170664</v>
      </c>
      <c r="E339" s="13">
        <f>VLOOKUP(A339,'DATOS GENERALES'!A:B,2,0)</f>
        <v>1</v>
      </c>
      <c r="F339" s="16">
        <f t="shared" si="20"/>
        <v>0.99539999999999995</v>
      </c>
      <c r="G339" s="7">
        <f t="shared" si="21"/>
        <v>-3185316.4556962028</v>
      </c>
      <c r="H339" s="7">
        <f t="shared" si="22"/>
        <v>-14652.455696202815</v>
      </c>
      <c r="I339" s="7" t="str">
        <f>IFERROR((G339/SUMIF(B:B,B339,G:G))*VLOOKUP(B339,'DATOS GENERALES'!G:H,2,0),"")</f>
        <v/>
      </c>
      <c r="J339" s="7" t="str">
        <f t="shared" si="23"/>
        <v/>
      </c>
      <c r="K339" s="16"/>
      <c r="L339" s="16"/>
      <c r="M339" s="16"/>
    </row>
    <row r="340" spans="1:13" x14ac:dyDescent="0.25">
      <c r="A340" s="16">
        <v>1888</v>
      </c>
      <c r="B340" s="6">
        <v>43922</v>
      </c>
      <c r="C340" s="16" t="s">
        <v>195</v>
      </c>
      <c r="D340" s="7">
        <f>SUMIFS('DATOS PROYECCIÓN'!$F:$F,'DATOS PROYECCIÓN'!A:A,A340,'DATOS PROYECCIÓN'!B:B,B340)</f>
        <v>3170664</v>
      </c>
      <c r="E340" s="13">
        <f>VLOOKUP(A340,'DATOS GENERALES'!A:B,2,0)</f>
        <v>1</v>
      </c>
      <c r="F340" s="16">
        <f t="shared" si="20"/>
        <v>0.99539999999999995</v>
      </c>
      <c r="G340" s="7">
        <f t="shared" si="21"/>
        <v>-3185316.4556962028</v>
      </c>
      <c r="H340" s="7">
        <f t="shared" si="22"/>
        <v>-14652.455696202815</v>
      </c>
      <c r="I340" s="7" t="str">
        <f>IFERROR((G340/SUMIF(B:B,B340,G:G))*VLOOKUP(B340,'DATOS GENERALES'!G:H,2,0),"")</f>
        <v/>
      </c>
      <c r="J340" s="7" t="str">
        <f t="shared" si="23"/>
        <v/>
      </c>
      <c r="K340" s="16"/>
      <c r="L340" s="16"/>
      <c r="M340" s="16"/>
    </row>
    <row r="341" spans="1:13" x14ac:dyDescent="0.25">
      <c r="A341" s="16">
        <v>1888</v>
      </c>
      <c r="B341" s="6">
        <v>43952</v>
      </c>
      <c r="C341" s="16" t="s">
        <v>195</v>
      </c>
      <c r="D341" s="7">
        <f>SUMIFS('DATOS PROYECCIÓN'!$F:$F,'DATOS PROYECCIÓN'!A:A,A341,'DATOS PROYECCIÓN'!B:B,B341)</f>
        <v>3170664</v>
      </c>
      <c r="E341" s="13">
        <f>VLOOKUP(A341,'DATOS GENERALES'!A:B,2,0)</f>
        <v>1</v>
      </c>
      <c r="F341" s="16">
        <f t="shared" si="20"/>
        <v>0.99539999999999995</v>
      </c>
      <c r="G341" s="7">
        <f t="shared" si="21"/>
        <v>-3185316.4556962028</v>
      </c>
      <c r="H341" s="7">
        <f t="shared" si="22"/>
        <v>-14652.455696202815</v>
      </c>
      <c r="I341" s="7" t="str">
        <f>IFERROR((G341/SUMIF(B:B,B341,G:G))*VLOOKUP(B341,'DATOS GENERALES'!G:H,2,0),"")</f>
        <v/>
      </c>
      <c r="J341" s="7" t="str">
        <f t="shared" si="23"/>
        <v/>
      </c>
      <c r="K341" s="16"/>
      <c r="L341" s="16"/>
      <c r="M341" s="16"/>
    </row>
    <row r="342" spans="1:13" x14ac:dyDescent="0.25">
      <c r="A342" s="16">
        <v>1891</v>
      </c>
      <c r="B342" s="6">
        <v>43497</v>
      </c>
      <c r="C342" s="16" t="s">
        <v>195</v>
      </c>
      <c r="D342" s="7">
        <f>SUMIFS('DATOS PROYECCIÓN'!$F:$F,'DATOS PROYECCIÓN'!A:A,A342,'DATOS PROYECCIÓN'!B:B,B342)</f>
        <v>71835513.627000004</v>
      </c>
      <c r="E342" s="13">
        <f>VLOOKUP(A342,'DATOS GENERALES'!A:B,2,0)</f>
        <v>2.79</v>
      </c>
      <c r="F342" s="16">
        <f t="shared" si="20"/>
        <v>2.7771659999999998</v>
      </c>
      <c r="G342" s="7">
        <f t="shared" si="21"/>
        <v>-25866481.739658345</v>
      </c>
      <c r="H342" s="7">
        <f t="shared" si="22"/>
        <v>45969031.887341663</v>
      </c>
      <c r="I342" s="7">
        <f>IFERROR((G342/SUMIF(B:B,B342,G:G))*VLOOKUP(B342,'DATOS GENERALES'!G:H,2,0),"")</f>
        <v>-5591243.0136025101</v>
      </c>
      <c r="J342" s="7">
        <f t="shared" si="23"/>
        <v>40377788.873739153</v>
      </c>
      <c r="K342" s="16"/>
      <c r="L342" s="16"/>
      <c r="M342" s="16"/>
    </row>
    <row r="343" spans="1:13" x14ac:dyDescent="0.25">
      <c r="A343" s="16">
        <v>1891</v>
      </c>
      <c r="B343" s="6">
        <v>43525</v>
      </c>
      <c r="C343" s="16" t="s">
        <v>195</v>
      </c>
      <c r="D343" s="7">
        <f>SUMIFS('DATOS PROYECCIÓN'!$F:$F,'DATOS PROYECCIÓN'!A:A,A343,'DATOS PROYECCIÓN'!B:B,B343)</f>
        <v>71835513.627000004</v>
      </c>
      <c r="E343" s="13">
        <f>VLOOKUP(A343,'DATOS GENERALES'!A:B,2,0)</f>
        <v>2.79</v>
      </c>
      <c r="F343" s="16">
        <f t="shared" si="20"/>
        <v>2.7771659999999998</v>
      </c>
      <c r="G343" s="7">
        <f t="shared" si="21"/>
        <v>-25866481.739658345</v>
      </c>
      <c r="H343" s="7">
        <f t="shared" si="22"/>
        <v>45969031.887341663</v>
      </c>
      <c r="I343" s="7">
        <f>IFERROR((G343/SUMIF(B:B,B343,G:G))*VLOOKUP(B343,'DATOS GENERALES'!G:H,2,0),"")</f>
        <v>-4045194.9728932194</v>
      </c>
      <c r="J343" s="7">
        <f t="shared" si="23"/>
        <v>41923836.91444844</v>
      </c>
      <c r="K343" s="16"/>
      <c r="L343" s="16"/>
      <c r="M343" s="16"/>
    </row>
    <row r="344" spans="1:13" x14ac:dyDescent="0.25">
      <c r="A344" s="16">
        <v>1891</v>
      </c>
      <c r="B344" s="6">
        <v>43556</v>
      </c>
      <c r="C344" s="16" t="s">
        <v>195</v>
      </c>
      <c r="D344" s="7">
        <f>SUMIFS('DATOS PROYECCIÓN'!$F:$F,'DATOS PROYECCIÓN'!A:A,A344,'DATOS PROYECCIÓN'!B:B,B344)</f>
        <v>71835513.627000004</v>
      </c>
      <c r="E344" s="13">
        <f>VLOOKUP(A344,'DATOS GENERALES'!A:B,2,0)</f>
        <v>2.79</v>
      </c>
      <c r="F344" s="16">
        <f t="shared" si="20"/>
        <v>2.7771659999999998</v>
      </c>
      <c r="G344" s="7">
        <f t="shared" si="21"/>
        <v>-25866481.739658345</v>
      </c>
      <c r="H344" s="7">
        <f t="shared" si="22"/>
        <v>45969031.887341663</v>
      </c>
      <c r="I344" s="7">
        <f>IFERROR((G344/SUMIF(B:B,B344,G:G))*VLOOKUP(B344,'DATOS GENERALES'!G:H,2,0),"")</f>
        <v>-4158765.311095308</v>
      </c>
      <c r="J344" s="7">
        <f t="shared" si="23"/>
        <v>41810266.576246358</v>
      </c>
      <c r="K344" s="16"/>
      <c r="L344" s="16"/>
      <c r="M344" s="16"/>
    </row>
    <row r="345" spans="1:13" x14ac:dyDescent="0.25">
      <c r="A345" s="16">
        <v>1891</v>
      </c>
      <c r="B345" s="6">
        <v>43586</v>
      </c>
      <c r="C345" s="16" t="s">
        <v>195</v>
      </c>
      <c r="D345" s="7">
        <f>SUMIFS('DATOS PROYECCIÓN'!$F:$F,'DATOS PROYECCIÓN'!A:A,A345,'DATOS PROYECCIÓN'!B:B,B345)</f>
        <v>71835513.627000004</v>
      </c>
      <c r="E345" s="13">
        <f>VLOOKUP(A345,'DATOS GENERALES'!A:B,2,0)</f>
        <v>2.79</v>
      </c>
      <c r="F345" s="16">
        <f t="shared" si="20"/>
        <v>2.7771659999999998</v>
      </c>
      <c r="G345" s="7">
        <f t="shared" si="21"/>
        <v>-25866481.739658345</v>
      </c>
      <c r="H345" s="7">
        <f t="shared" si="22"/>
        <v>45969031.887341663</v>
      </c>
      <c r="I345" s="7">
        <f>IFERROR((G345/SUMIF(B:B,B345,G:G))*VLOOKUP(B345,'DATOS GENERALES'!G:H,2,0),"")</f>
        <v>-3430690.5407067961</v>
      </c>
      <c r="J345" s="7">
        <f t="shared" si="23"/>
        <v>42538341.346634865</v>
      </c>
      <c r="K345" s="16"/>
      <c r="L345" s="16"/>
      <c r="M345" s="16"/>
    </row>
    <row r="346" spans="1:13" x14ac:dyDescent="0.25">
      <c r="A346" s="16">
        <v>1891</v>
      </c>
      <c r="B346" s="6">
        <v>43617</v>
      </c>
      <c r="C346" s="16" t="s">
        <v>195</v>
      </c>
      <c r="D346" s="7">
        <f>SUMIFS('DATOS PROYECCIÓN'!$F:$F,'DATOS PROYECCIÓN'!A:A,A346,'DATOS PROYECCIÓN'!B:B,B346)</f>
        <v>71835513.627000004</v>
      </c>
      <c r="E346" s="13">
        <f>VLOOKUP(A346,'DATOS GENERALES'!A:B,2,0)</f>
        <v>2.79</v>
      </c>
      <c r="F346" s="16">
        <f t="shared" si="20"/>
        <v>2.7771659999999998</v>
      </c>
      <c r="G346" s="7">
        <f t="shared" si="21"/>
        <v>-25866481.739658345</v>
      </c>
      <c r="H346" s="7">
        <f t="shared" si="22"/>
        <v>45969031.887341663</v>
      </c>
      <c r="I346" s="7">
        <f>IFERROR((G346/SUMIF(B:B,B346,G:G))*VLOOKUP(B346,'DATOS GENERALES'!G:H,2,0),"")</f>
        <v>-4613475.362815355</v>
      </c>
      <c r="J346" s="7">
        <f t="shared" si="23"/>
        <v>41355556.524526305</v>
      </c>
      <c r="K346" s="16"/>
      <c r="L346" s="16"/>
      <c r="M346" s="16"/>
    </row>
    <row r="347" spans="1:13" x14ac:dyDescent="0.25">
      <c r="A347" s="16">
        <v>1891</v>
      </c>
      <c r="B347" s="6">
        <v>43647</v>
      </c>
      <c r="C347" s="16" t="s">
        <v>195</v>
      </c>
      <c r="D347" s="7">
        <f>SUMIFS('DATOS PROYECCIÓN'!$F:$F,'DATOS PROYECCIÓN'!A:A,A347,'DATOS PROYECCIÓN'!B:B,B347)</f>
        <v>71835513.627000004</v>
      </c>
      <c r="E347" s="13">
        <f>VLOOKUP(A347,'DATOS GENERALES'!A:B,2,0)</f>
        <v>2.79</v>
      </c>
      <c r="F347" s="16">
        <f t="shared" si="20"/>
        <v>2.7771659999999998</v>
      </c>
      <c r="G347" s="7">
        <f t="shared" si="21"/>
        <v>-25866481.739658345</v>
      </c>
      <c r="H347" s="7">
        <f t="shared" si="22"/>
        <v>45969031.887341663</v>
      </c>
      <c r="I347" s="7">
        <f>IFERROR((G347/SUMIF(B:B,B347,G:G))*VLOOKUP(B347,'DATOS GENERALES'!G:H,2,0),"")</f>
        <v>-6880052.8535556607</v>
      </c>
      <c r="J347" s="7">
        <f t="shared" si="23"/>
        <v>39088979.033785999</v>
      </c>
      <c r="K347" s="16"/>
      <c r="L347" s="16"/>
      <c r="M347" s="16"/>
    </row>
    <row r="348" spans="1:13" x14ac:dyDescent="0.25">
      <c r="A348" s="16">
        <v>1891</v>
      </c>
      <c r="B348" s="6">
        <v>43678</v>
      </c>
      <c r="C348" s="16" t="s">
        <v>195</v>
      </c>
      <c r="D348" s="7">
        <f>SUMIFS('DATOS PROYECCIÓN'!$F:$F,'DATOS PROYECCIÓN'!A:A,A348,'DATOS PROYECCIÓN'!B:B,B348)</f>
        <v>71835513.627000004</v>
      </c>
      <c r="E348" s="13">
        <f>VLOOKUP(A348,'DATOS GENERALES'!A:B,2,0)</f>
        <v>2.79</v>
      </c>
      <c r="F348" s="16">
        <f t="shared" si="20"/>
        <v>2.7771659999999998</v>
      </c>
      <c r="G348" s="7">
        <f t="shared" si="21"/>
        <v>-25866481.739658345</v>
      </c>
      <c r="H348" s="7">
        <f t="shared" si="22"/>
        <v>45969031.887341663</v>
      </c>
      <c r="I348" s="7">
        <f>IFERROR((G348/SUMIF(B:B,B348,G:G))*VLOOKUP(B348,'DATOS GENERALES'!G:H,2,0),"")</f>
        <v>-6770221.4492929028</v>
      </c>
      <c r="J348" s="7">
        <f t="shared" si="23"/>
        <v>39198810.438048758</v>
      </c>
      <c r="K348" s="16"/>
      <c r="L348" s="16"/>
      <c r="M348" s="16"/>
    </row>
    <row r="349" spans="1:13" x14ac:dyDescent="0.25">
      <c r="A349" s="16">
        <v>1891</v>
      </c>
      <c r="B349" s="6">
        <v>43709</v>
      </c>
      <c r="C349" s="16" t="s">
        <v>195</v>
      </c>
      <c r="D349" s="7">
        <f>SUMIFS('DATOS PROYECCIÓN'!$F:$F,'DATOS PROYECCIÓN'!A:A,A349,'DATOS PROYECCIÓN'!B:B,B349)</f>
        <v>71835513.627000004</v>
      </c>
      <c r="E349" s="13">
        <f>VLOOKUP(A349,'DATOS GENERALES'!A:B,2,0)</f>
        <v>2.79</v>
      </c>
      <c r="F349" s="16">
        <f t="shared" si="20"/>
        <v>2.7771659999999998</v>
      </c>
      <c r="G349" s="7">
        <f t="shared" si="21"/>
        <v>-25866481.739658345</v>
      </c>
      <c r="H349" s="7">
        <f t="shared" si="22"/>
        <v>45969031.887341663</v>
      </c>
      <c r="I349" s="7">
        <f>IFERROR((G349/SUMIF(B:B,B349,G:G))*VLOOKUP(B349,'DATOS GENERALES'!G:H,2,0),"")</f>
        <v>-7651521.8024480008</v>
      </c>
      <c r="J349" s="7">
        <f t="shared" si="23"/>
        <v>38317510.084893659</v>
      </c>
      <c r="K349" s="16"/>
      <c r="L349" s="16"/>
      <c r="M349" s="16"/>
    </row>
    <row r="350" spans="1:13" x14ac:dyDescent="0.25">
      <c r="A350" s="16">
        <v>1891</v>
      </c>
      <c r="B350" s="6">
        <v>43739</v>
      </c>
      <c r="C350" s="16" t="s">
        <v>195</v>
      </c>
      <c r="D350" s="7">
        <f>SUMIFS('DATOS PROYECCIÓN'!$F:$F,'DATOS PROYECCIÓN'!A:A,A350,'DATOS PROYECCIÓN'!B:B,B350)</f>
        <v>71835513.627000004</v>
      </c>
      <c r="E350" s="13">
        <f>VLOOKUP(A350,'DATOS GENERALES'!A:B,2,0)</f>
        <v>2.79</v>
      </c>
      <c r="F350" s="16">
        <f t="shared" si="20"/>
        <v>2.7771659999999998</v>
      </c>
      <c r="G350" s="7">
        <f t="shared" si="21"/>
        <v>-25866481.739658345</v>
      </c>
      <c r="H350" s="7">
        <f t="shared" si="22"/>
        <v>45969031.887341663</v>
      </c>
      <c r="I350" s="7">
        <f>IFERROR((G350/SUMIF(B:B,B350,G:G))*VLOOKUP(B350,'DATOS GENERALES'!G:H,2,0),"")</f>
        <v>-8274330.7393690646</v>
      </c>
      <c r="J350" s="7">
        <f t="shared" si="23"/>
        <v>37694701.147972599</v>
      </c>
      <c r="K350" s="16"/>
      <c r="L350" s="16"/>
      <c r="M350" s="16"/>
    </row>
    <row r="351" spans="1:13" x14ac:dyDescent="0.25">
      <c r="A351" s="16">
        <v>1891</v>
      </c>
      <c r="B351" s="6">
        <v>43770</v>
      </c>
      <c r="C351" s="16" t="s">
        <v>195</v>
      </c>
      <c r="D351" s="7">
        <f>SUMIFS('DATOS PROYECCIÓN'!$F:$F,'DATOS PROYECCIÓN'!A:A,A351,'DATOS PROYECCIÓN'!B:B,B351)</f>
        <v>71835513.627000004</v>
      </c>
      <c r="E351" s="13">
        <f>VLOOKUP(A351,'DATOS GENERALES'!A:B,2,0)</f>
        <v>2.79</v>
      </c>
      <c r="F351" s="16">
        <f t="shared" si="20"/>
        <v>2.7771659999999998</v>
      </c>
      <c r="G351" s="7">
        <f t="shared" si="21"/>
        <v>-25866481.739658345</v>
      </c>
      <c r="H351" s="7">
        <f t="shared" si="22"/>
        <v>45969031.887341663</v>
      </c>
      <c r="I351" s="7">
        <f>IFERROR((G351/SUMIF(B:B,B351,G:G))*VLOOKUP(B351,'DATOS GENERALES'!G:H,2,0),"")</f>
        <v>-11066307.981671847</v>
      </c>
      <c r="J351" s="7">
        <f t="shared" si="23"/>
        <v>34902723.905669816</v>
      </c>
      <c r="K351" s="16"/>
      <c r="L351" s="16"/>
      <c r="M351" s="16"/>
    </row>
    <row r="352" spans="1:13" x14ac:dyDescent="0.25">
      <c r="A352" s="16">
        <v>1891</v>
      </c>
      <c r="B352" s="6">
        <v>43800</v>
      </c>
      <c r="C352" s="16" t="s">
        <v>195</v>
      </c>
      <c r="D352" s="7">
        <f>SUMIFS('DATOS PROYECCIÓN'!$F:$F,'DATOS PROYECCIÓN'!A:A,A352,'DATOS PROYECCIÓN'!B:B,B352)</f>
        <v>67834346.519999996</v>
      </c>
      <c r="E352" s="13">
        <f>VLOOKUP(A352,'DATOS GENERALES'!A:B,2,0)</f>
        <v>2.79</v>
      </c>
      <c r="F352" s="16">
        <f t="shared" si="20"/>
        <v>2.7771659999999998</v>
      </c>
      <c r="G352" s="7">
        <f t="shared" si="21"/>
        <v>-24425744.273118712</v>
      </c>
      <c r="H352" s="7">
        <f t="shared" si="22"/>
        <v>43408602.246881284</v>
      </c>
      <c r="I352" s="7">
        <f>IFERROR((G352/SUMIF(B:B,B352,G:G))*VLOOKUP(B352,'DATOS GENERALES'!G:H,2,0),"")</f>
        <v>-8798705.5944160912</v>
      </c>
      <c r="J352" s="7">
        <f t="shared" si="23"/>
        <v>34609896.652465194</v>
      </c>
      <c r="K352" s="16"/>
      <c r="L352" s="16"/>
      <c r="M352" s="16"/>
    </row>
    <row r="353" spans="1:13" x14ac:dyDescent="0.25">
      <c r="A353" s="16">
        <v>1891</v>
      </c>
      <c r="B353" s="6">
        <v>43831</v>
      </c>
      <c r="C353" s="16" t="s">
        <v>195</v>
      </c>
      <c r="D353" s="7">
        <f>SUMIFS('DATOS PROYECCIÓN'!$F:$F,'DATOS PROYECCIÓN'!A:A,A353,'DATOS PROYECCIÓN'!B:B,B353)</f>
        <v>67834346.519999996</v>
      </c>
      <c r="E353" s="13">
        <f>VLOOKUP(A353,'DATOS GENERALES'!A:B,2,0)</f>
        <v>2.79</v>
      </c>
      <c r="F353" s="16">
        <f t="shared" si="20"/>
        <v>2.7771659999999998</v>
      </c>
      <c r="G353" s="7">
        <f t="shared" si="21"/>
        <v>-24425744.273118712</v>
      </c>
      <c r="H353" s="7">
        <f t="shared" si="22"/>
        <v>43408602.246881284</v>
      </c>
      <c r="I353" s="7" t="str">
        <f>IFERROR((G353/SUMIF(B:B,B353,G:G))*VLOOKUP(B353,'DATOS GENERALES'!G:H,2,0),"")</f>
        <v/>
      </c>
      <c r="J353" s="7" t="str">
        <f t="shared" si="23"/>
        <v/>
      </c>
      <c r="K353" s="16"/>
      <c r="L353" s="16"/>
      <c r="M353" s="16"/>
    </row>
    <row r="354" spans="1:13" x14ac:dyDescent="0.25">
      <c r="A354" s="16">
        <v>1891</v>
      </c>
      <c r="B354" s="6">
        <v>43862</v>
      </c>
      <c r="C354" s="16" t="s">
        <v>195</v>
      </c>
      <c r="D354" s="7">
        <f>SUMIFS('DATOS PROYECCIÓN'!$F:$F,'DATOS PROYECCIÓN'!A:A,A354,'DATOS PROYECCIÓN'!B:B,B354)</f>
        <v>67834346.519999996</v>
      </c>
      <c r="E354" s="13">
        <f>VLOOKUP(A354,'DATOS GENERALES'!A:B,2,0)</f>
        <v>2.79</v>
      </c>
      <c r="F354" s="16">
        <f t="shared" si="20"/>
        <v>2.7771659999999998</v>
      </c>
      <c r="G354" s="7">
        <f t="shared" si="21"/>
        <v>-24425744.273118712</v>
      </c>
      <c r="H354" s="7">
        <f t="shared" si="22"/>
        <v>43408602.246881284</v>
      </c>
      <c r="I354" s="7" t="str">
        <f>IFERROR((G354/SUMIF(B:B,B354,G:G))*VLOOKUP(B354,'DATOS GENERALES'!G:H,2,0),"")</f>
        <v/>
      </c>
      <c r="J354" s="7" t="str">
        <f t="shared" si="23"/>
        <v/>
      </c>
      <c r="K354" s="16"/>
      <c r="L354" s="16"/>
      <c r="M354" s="16"/>
    </row>
    <row r="355" spans="1:13" x14ac:dyDescent="0.25">
      <c r="A355" s="16">
        <v>1891</v>
      </c>
      <c r="B355" s="6">
        <v>43891</v>
      </c>
      <c r="C355" s="16" t="s">
        <v>195</v>
      </c>
      <c r="D355" s="7">
        <f>SUMIFS('DATOS PROYECCIÓN'!$F:$F,'DATOS PROYECCIÓN'!A:A,A355,'DATOS PROYECCIÓN'!B:B,B355)</f>
        <v>67834346.519999996</v>
      </c>
      <c r="E355" s="13">
        <f>VLOOKUP(A355,'DATOS GENERALES'!A:B,2,0)</f>
        <v>2.79</v>
      </c>
      <c r="F355" s="16">
        <f t="shared" si="20"/>
        <v>2.7771659999999998</v>
      </c>
      <c r="G355" s="7">
        <f t="shared" si="21"/>
        <v>-24425744.273118712</v>
      </c>
      <c r="H355" s="7">
        <f t="shared" si="22"/>
        <v>43408602.246881284</v>
      </c>
      <c r="I355" s="7" t="str">
        <f>IFERROR((G355/SUMIF(B:B,B355,G:G))*VLOOKUP(B355,'DATOS GENERALES'!G:H,2,0),"")</f>
        <v/>
      </c>
      <c r="J355" s="7" t="str">
        <f t="shared" si="23"/>
        <v/>
      </c>
      <c r="K355" s="16"/>
      <c r="L355" s="16"/>
      <c r="M355" s="16"/>
    </row>
    <row r="356" spans="1:13" x14ac:dyDescent="0.25">
      <c r="A356" s="16">
        <v>1891</v>
      </c>
      <c r="B356" s="6">
        <v>43922</v>
      </c>
      <c r="C356" s="16" t="s">
        <v>195</v>
      </c>
      <c r="D356" s="7">
        <f>SUMIFS('DATOS PROYECCIÓN'!$F:$F,'DATOS PROYECCIÓN'!A:A,A356,'DATOS PROYECCIÓN'!B:B,B356)</f>
        <v>60294326.969999999</v>
      </c>
      <c r="E356" s="13">
        <f>VLOOKUP(A356,'DATOS GENERALES'!A:B,2,0)</f>
        <v>2.79</v>
      </c>
      <c r="F356" s="16">
        <f t="shared" si="20"/>
        <v>2.7771659999999998</v>
      </c>
      <c r="G356" s="7">
        <f t="shared" si="21"/>
        <v>-21710739.282419562</v>
      </c>
      <c r="H356" s="7">
        <f t="shared" si="22"/>
        <v>38583587.687580436</v>
      </c>
      <c r="I356" s="7" t="str">
        <f>IFERROR((G356/SUMIF(B:B,B356,G:G))*VLOOKUP(B356,'DATOS GENERALES'!G:H,2,0),"")</f>
        <v/>
      </c>
      <c r="J356" s="7" t="str">
        <f t="shared" si="23"/>
        <v/>
      </c>
      <c r="K356" s="16"/>
      <c r="L356" s="16"/>
      <c r="M356" s="16"/>
    </row>
    <row r="357" spans="1:13" x14ac:dyDescent="0.25">
      <c r="A357" s="16">
        <v>1891</v>
      </c>
      <c r="B357" s="6">
        <v>43952</v>
      </c>
      <c r="C357" s="16" t="s">
        <v>195</v>
      </c>
      <c r="D357" s="7">
        <f>SUMIFS('DATOS PROYECCIÓN'!$F:$F,'DATOS PROYECCIÓN'!A:A,A357,'DATOS PROYECCIÓN'!B:B,B357)</f>
        <v>60294326.969999999</v>
      </c>
      <c r="E357" s="13">
        <f>VLOOKUP(A357,'DATOS GENERALES'!A:B,2,0)</f>
        <v>2.79</v>
      </c>
      <c r="F357" s="16">
        <f t="shared" si="20"/>
        <v>2.7771659999999998</v>
      </c>
      <c r="G357" s="7">
        <f t="shared" si="21"/>
        <v>-21710739.282419562</v>
      </c>
      <c r="H357" s="7">
        <f t="shared" si="22"/>
        <v>38583587.687580436</v>
      </c>
      <c r="I357" s="7" t="str">
        <f>IFERROR((G357/SUMIF(B:B,B357,G:G))*VLOOKUP(B357,'DATOS GENERALES'!G:H,2,0),"")</f>
        <v/>
      </c>
      <c r="J357" s="7" t="str">
        <f t="shared" si="23"/>
        <v/>
      </c>
      <c r="K357" s="16"/>
      <c r="L357" s="16"/>
      <c r="M357" s="16"/>
    </row>
    <row r="358" spans="1:13" x14ac:dyDescent="0.25">
      <c r="A358" s="16">
        <v>1891</v>
      </c>
      <c r="B358" s="6">
        <v>43983</v>
      </c>
      <c r="C358" s="16" t="s">
        <v>195</v>
      </c>
      <c r="D358" s="7">
        <f>SUMIFS('DATOS PROYECCIÓN'!$F:$F,'DATOS PROYECCIÓN'!A:A,A358,'DATOS PROYECCIÓN'!B:B,B358)</f>
        <v>60294326.969999999</v>
      </c>
      <c r="E358" s="13">
        <f>VLOOKUP(A358,'DATOS GENERALES'!A:B,2,0)</f>
        <v>2.79</v>
      </c>
      <c r="F358" s="16">
        <f t="shared" si="20"/>
        <v>2.7771659999999998</v>
      </c>
      <c r="G358" s="7">
        <f t="shared" si="21"/>
        <v>-21710739.282419562</v>
      </c>
      <c r="H358" s="7">
        <f t="shared" si="22"/>
        <v>38583587.687580436</v>
      </c>
      <c r="I358" s="7" t="str">
        <f>IFERROR((G358/SUMIF(B:B,B358,G:G))*VLOOKUP(B358,'DATOS GENERALES'!G:H,2,0),"")</f>
        <v/>
      </c>
      <c r="J358" s="7" t="str">
        <f t="shared" si="23"/>
        <v/>
      </c>
      <c r="K358" s="16"/>
      <c r="L358" s="16"/>
      <c r="M358" s="16"/>
    </row>
    <row r="359" spans="1:13" x14ac:dyDescent="0.25">
      <c r="A359" s="16">
        <v>1891</v>
      </c>
      <c r="B359" s="6">
        <v>44013</v>
      </c>
      <c r="C359" s="16" t="s">
        <v>195</v>
      </c>
      <c r="D359" s="7">
        <f>SUMIFS('DATOS PROYECCIÓN'!$F:$F,'DATOS PROYECCIÓN'!A:A,A359,'DATOS PROYECCIÓN'!B:B,B359)</f>
        <v>42670815.644999996</v>
      </c>
      <c r="E359" s="13">
        <f>VLOOKUP(A359,'DATOS GENERALES'!A:B,2,0)</f>
        <v>2.79</v>
      </c>
      <c r="F359" s="16">
        <f t="shared" si="20"/>
        <v>2.7771659999999998</v>
      </c>
      <c r="G359" s="7">
        <f t="shared" si="21"/>
        <v>-15364877.592841048</v>
      </c>
      <c r="H359" s="7">
        <f t="shared" si="22"/>
        <v>27305938.052158948</v>
      </c>
      <c r="I359" s="7" t="str">
        <f>IFERROR((G359/SUMIF(B:B,B359,G:G))*VLOOKUP(B359,'DATOS GENERALES'!G:H,2,0),"")</f>
        <v/>
      </c>
      <c r="J359" s="7" t="str">
        <f t="shared" si="23"/>
        <v/>
      </c>
      <c r="K359" s="16"/>
      <c r="L359" s="16"/>
      <c r="M359" s="16"/>
    </row>
    <row r="360" spans="1:13" x14ac:dyDescent="0.25">
      <c r="A360" s="16">
        <v>1891</v>
      </c>
      <c r="B360" s="6">
        <v>44044</v>
      </c>
      <c r="C360" s="16" t="s">
        <v>195</v>
      </c>
      <c r="D360" s="7">
        <f>SUMIFS('DATOS PROYECCIÓN'!$F:$F,'DATOS PROYECCIÓN'!A:A,A360,'DATOS PROYECCIÓN'!B:B,B360)</f>
        <v>37747146.719999999</v>
      </c>
      <c r="E360" s="13">
        <f>VLOOKUP(A360,'DATOS GENERALES'!A:B,2,0)</f>
        <v>2.79</v>
      </c>
      <c r="F360" s="16">
        <f t="shared" si="20"/>
        <v>2.7771659999999998</v>
      </c>
      <c r="G360" s="7">
        <f t="shared" si="21"/>
        <v>-13591966.313860966</v>
      </c>
      <c r="H360" s="7">
        <f t="shared" si="22"/>
        <v>24155180.406139031</v>
      </c>
      <c r="I360" s="7" t="str">
        <f>IFERROR((G360/SUMIF(B:B,B360,G:G))*VLOOKUP(B360,'DATOS GENERALES'!G:H,2,0),"")</f>
        <v/>
      </c>
      <c r="J360" s="7" t="str">
        <f t="shared" si="23"/>
        <v/>
      </c>
      <c r="K360" s="16"/>
      <c r="L360" s="16"/>
      <c r="M360" s="16"/>
    </row>
    <row r="361" spans="1:13" x14ac:dyDescent="0.25">
      <c r="A361" s="16">
        <v>1891</v>
      </c>
      <c r="B361" s="6">
        <v>44075</v>
      </c>
      <c r="C361" s="16" t="s">
        <v>195</v>
      </c>
      <c r="D361" s="7">
        <f>SUMIFS('DATOS PROYECCIÓN'!$F:$F,'DATOS PROYECCIÓN'!A:A,A361,'DATOS PROYECCIÓN'!B:B,B361)</f>
        <v>37747146.719999999</v>
      </c>
      <c r="E361" s="13">
        <f>VLOOKUP(A361,'DATOS GENERALES'!A:B,2,0)</f>
        <v>2.79</v>
      </c>
      <c r="F361" s="16">
        <f t="shared" si="20"/>
        <v>2.7771659999999998</v>
      </c>
      <c r="G361" s="7">
        <f t="shared" si="21"/>
        <v>-13591966.313860966</v>
      </c>
      <c r="H361" s="7">
        <f t="shared" si="22"/>
        <v>24155180.406139031</v>
      </c>
      <c r="I361" s="7" t="str">
        <f>IFERROR((G361/SUMIF(B:B,B361,G:G))*VLOOKUP(B361,'DATOS GENERALES'!G:H,2,0),"")</f>
        <v/>
      </c>
      <c r="J361" s="7" t="str">
        <f t="shared" si="23"/>
        <v/>
      </c>
      <c r="K361" s="16"/>
      <c r="L361" s="16"/>
      <c r="M361" s="16"/>
    </row>
    <row r="362" spans="1:13" x14ac:dyDescent="0.25">
      <c r="A362" s="16">
        <v>1891</v>
      </c>
      <c r="B362" s="6">
        <v>44105</v>
      </c>
      <c r="C362" s="16" t="s">
        <v>195</v>
      </c>
      <c r="D362" s="7">
        <f>SUMIFS('DATOS PROYECCIÓN'!$F:$F,'DATOS PROYECCIÓN'!A:A,A362,'DATOS PROYECCIÓN'!B:B,B362)</f>
        <v>33878898.524999999</v>
      </c>
      <c r="E362" s="13">
        <f>VLOOKUP(A362,'DATOS GENERALES'!A:B,2,0)</f>
        <v>2.79</v>
      </c>
      <c r="F362" s="16">
        <f t="shared" si="20"/>
        <v>2.7771659999999998</v>
      </c>
      <c r="G362" s="7">
        <f t="shared" si="21"/>
        <v>-12199090.196624905</v>
      </c>
      <c r="H362" s="7">
        <f t="shared" si="22"/>
        <v>21679808.328375094</v>
      </c>
      <c r="I362" s="7" t="str">
        <f>IFERROR((G362/SUMIF(B:B,B362,G:G))*VLOOKUP(B362,'DATOS GENERALES'!G:H,2,0),"")</f>
        <v/>
      </c>
      <c r="J362" s="7" t="str">
        <f t="shared" si="23"/>
        <v/>
      </c>
      <c r="K362" s="16"/>
      <c r="L362" s="16"/>
      <c r="M362" s="16"/>
    </row>
    <row r="363" spans="1:13" x14ac:dyDescent="0.25">
      <c r="A363" s="16">
        <v>1891</v>
      </c>
      <c r="B363" s="6">
        <v>44136</v>
      </c>
      <c r="C363" s="16" t="s">
        <v>195</v>
      </c>
      <c r="D363" s="7">
        <f>SUMIFS('DATOS PROYECCIÓN'!$F:$F,'DATOS PROYECCIÓN'!A:A,A363,'DATOS PROYECCIÓN'!B:B,B363)</f>
        <v>33878898.524999999</v>
      </c>
      <c r="E363" s="13">
        <f>VLOOKUP(A363,'DATOS GENERALES'!A:B,2,0)</f>
        <v>2.79</v>
      </c>
      <c r="F363" s="16">
        <f t="shared" si="20"/>
        <v>2.7771659999999998</v>
      </c>
      <c r="G363" s="7">
        <f t="shared" si="21"/>
        <v>-12199090.196624905</v>
      </c>
      <c r="H363" s="7">
        <f t="shared" si="22"/>
        <v>21679808.328375094</v>
      </c>
      <c r="I363" s="7" t="str">
        <f>IFERROR((G363/SUMIF(B:B,B363,G:G))*VLOOKUP(B363,'DATOS GENERALES'!G:H,2,0),"")</f>
        <v/>
      </c>
      <c r="J363" s="7" t="str">
        <f t="shared" si="23"/>
        <v/>
      </c>
      <c r="K363" s="16"/>
      <c r="L363" s="16"/>
      <c r="M363" s="16"/>
    </row>
    <row r="364" spans="1:13" x14ac:dyDescent="0.25">
      <c r="A364" s="16">
        <v>1891</v>
      </c>
      <c r="B364" s="6">
        <v>44166</v>
      </c>
      <c r="C364" s="16" t="s">
        <v>195</v>
      </c>
      <c r="D364" s="7">
        <f>SUMIFS('DATOS PROYECCIÓN'!$F:$F,'DATOS PROYECCIÓN'!A:A,A364,'DATOS PROYECCIÓN'!B:B,B364)</f>
        <v>33878898.524999999</v>
      </c>
      <c r="E364" s="13">
        <f>VLOOKUP(A364,'DATOS GENERALES'!A:B,2,0)</f>
        <v>2.79</v>
      </c>
      <c r="F364" s="16">
        <f t="shared" si="20"/>
        <v>2.7771659999999998</v>
      </c>
      <c r="G364" s="7">
        <f t="shared" si="21"/>
        <v>-12199090.196624905</v>
      </c>
      <c r="H364" s="7">
        <f t="shared" si="22"/>
        <v>21679808.328375094</v>
      </c>
      <c r="I364" s="7" t="str">
        <f>IFERROR((G364/SUMIF(B:B,B364,G:G))*VLOOKUP(B364,'DATOS GENERALES'!G:H,2,0),"")</f>
        <v/>
      </c>
      <c r="J364" s="7" t="str">
        <f t="shared" si="23"/>
        <v/>
      </c>
      <c r="K364" s="16"/>
      <c r="L364" s="16"/>
      <c r="M364" s="16"/>
    </row>
    <row r="365" spans="1:13" x14ac:dyDescent="0.25">
      <c r="A365" s="16">
        <v>1895</v>
      </c>
      <c r="B365" s="6">
        <v>43466</v>
      </c>
      <c r="C365" s="16" t="s">
        <v>195</v>
      </c>
      <c r="D365" s="7">
        <f>SUMIFS('DATOS PROYECCIÓN'!$F:$F,'DATOS PROYECCIÓN'!A:A,A365,'DATOS PROYECCIÓN'!B:B,B365)</f>
        <v>18830171.789000001</v>
      </c>
      <c r="E365" s="13">
        <f>VLOOKUP(A365,'DATOS GENERALES'!A:B,2,0)</f>
        <v>5.94</v>
      </c>
      <c r="F365" s="16">
        <f t="shared" si="20"/>
        <v>5.9126760000000003</v>
      </c>
      <c r="G365" s="7">
        <f t="shared" si="21"/>
        <v>-3184712.2671697214</v>
      </c>
      <c r="H365" s="7">
        <f t="shared" si="22"/>
        <v>15645459.521830279</v>
      </c>
      <c r="I365" s="7">
        <f>IFERROR((G365/SUMIF(B:B,B365,G:G))*VLOOKUP(B365,'DATOS GENERALES'!G:H,2,0),"")</f>
        <v>-698784.29422778916</v>
      </c>
      <c r="J365" s="7">
        <f t="shared" si="23"/>
        <v>14946675.227602489</v>
      </c>
      <c r="K365" s="16"/>
      <c r="L365" s="16"/>
      <c r="M365" s="16"/>
    </row>
    <row r="366" spans="1:13" x14ac:dyDescent="0.25">
      <c r="A366" s="16">
        <v>1846</v>
      </c>
      <c r="B366" s="6">
        <v>43556</v>
      </c>
      <c r="C366" s="16" t="s">
        <v>195</v>
      </c>
      <c r="D366" s="7">
        <f>SUMIFS('DATOS PROYECCIÓN'!$F:$F,'DATOS PROYECCIÓN'!A:A,A366,'DATOS PROYECCIÓN'!B:B,B366)</f>
        <v>19561500</v>
      </c>
      <c r="E366" s="13">
        <f>VLOOKUP(A366,'DATOS GENERALES'!A:B,2,0)</f>
        <v>1.72</v>
      </c>
      <c r="F366" s="16">
        <f t="shared" si="20"/>
        <v>1.7120879999999998</v>
      </c>
      <c r="G366" s="7">
        <f t="shared" si="21"/>
        <v>-11425522.519870475</v>
      </c>
      <c r="H366" s="7">
        <f t="shared" si="22"/>
        <v>8135977.4801295251</v>
      </c>
      <c r="I366" s="7">
        <f>IFERROR((G366/SUMIF(B:B,B366,G:G))*VLOOKUP(B366,'DATOS GENERALES'!G:H,2,0),"")</f>
        <v>-1836974.4751148054</v>
      </c>
      <c r="J366" s="7">
        <f t="shared" si="23"/>
        <v>6299003.0050147194</v>
      </c>
      <c r="K366" s="16"/>
      <c r="L366" s="16"/>
      <c r="M366" s="16"/>
    </row>
    <row r="367" spans="1:13" x14ac:dyDescent="0.25">
      <c r="A367" s="16">
        <v>1893</v>
      </c>
      <c r="B367" s="6">
        <v>43466</v>
      </c>
      <c r="C367" s="16" t="s">
        <v>195</v>
      </c>
      <c r="D367" s="7">
        <f>SUMIFS('DATOS PROYECCIÓN'!$F:$F,'DATOS PROYECCIÓN'!A:A,A367,'DATOS PROYECCIÓN'!B:B,B367)</f>
        <v>37763484.710000001</v>
      </c>
      <c r="E367" s="13">
        <f>VLOOKUP(A367,'DATOS GENERALES'!A:B,2,0)</f>
        <v>1.87</v>
      </c>
      <c r="F367" s="16">
        <f t="shared" si="20"/>
        <v>1.8613980000000001</v>
      </c>
      <c r="G367" s="7">
        <f t="shared" si="21"/>
        <v>-20287700.271516353</v>
      </c>
      <c r="H367" s="7">
        <f t="shared" si="22"/>
        <v>17475784.438483648</v>
      </c>
      <c r="I367" s="7">
        <f>IFERROR((G367/SUMIF(B:B,B367,G:G))*VLOOKUP(B367,'DATOS GENERALES'!G:H,2,0),"")</f>
        <v>-4451493.6127449432</v>
      </c>
      <c r="J367" s="7">
        <f t="shared" si="23"/>
        <v>13024290.825738706</v>
      </c>
      <c r="K367" s="16"/>
      <c r="L367" s="16"/>
      <c r="M367" s="16"/>
    </row>
    <row r="368" spans="1:13" x14ac:dyDescent="0.25">
      <c r="A368" s="16">
        <v>1893</v>
      </c>
      <c r="B368" s="6">
        <v>43497</v>
      </c>
      <c r="C368" s="16" t="s">
        <v>195</v>
      </c>
      <c r="D368" s="7">
        <f>SUMIFS('DATOS PROYECCIÓN'!$F:$F,'DATOS PROYECCIÓN'!A:A,A368,'DATOS PROYECCIÓN'!B:B,B368)</f>
        <v>37763484.710000001</v>
      </c>
      <c r="E368" s="13">
        <f>VLOOKUP(A368,'DATOS GENERALES'!A:B,2,0)</f>
        <v>1.87</v>
      </c>
      <c r="F368" s="16">
        <f t="shared" si="20"/>
        <v>1.8613980000000001</v>
      </c>
      <c r="G368" s="7">
        <f t="shared" si="21"/>
        <v>-20287700.271516353</v>
      </c>
      <c r="H368" s="7">
        <f t="shared" si="22"/>
        <v>17475784.438483648</v>
      </c>
      <c r="I368" s="7">
        <f>IFERROR((G368/SUMIF(B:B,B368,G:G))*VLOOKUP(B368,'DATOS GENERALES'!G:H,2,0),"")</f>
        <v>-4385345.6201297762</v>
      </c>
      <c r="J368" s="7">
        <f t="shared" si="23"/>
        <v>13090438.818353873</v>
      </c>
      <c r="K368" s="16"/>
      <c r="L368" s="16"/>
      <c r="M368" s="16"/>
    </row>
    <row r="369" spans="1:13" x14ac:dyDescent="0.25">
      <c r="A369" s="16">
        <v>1893</v>
      </c>
      <c r="B369" s="6">
        <v>43525</v>
      </c>
      <c r="C369" s="16" t="s">
        <v>195</v>
      </c>
      <c r="D369" s="7">
        <f>SUMIFS('DATOS PROYECCIÓN'!$F:$F,'DATOS PROYECCIÓN'!A:A,A369,'DATOS PROYECCIÓN'!B:B,B369)</f>
        <v>37763484.710000001</v>
      </c>
      <c r="E369" s="13">
        <f>VLOOKUP(A369,'DATOS GENERALES'!A:B,2,0)</f>
        <v>1.87</v>
      </c>
      <c r="F369" s="16">
        <f t="shared" si="20"/>
        <v>1.8613980000000001</v>
      </c>
      <c r="G369" s="7">
        <f t="shared" si="21"/>
        <v>-20287700.271516353</v>
      </c>
      <c r="H369" s="7">
        <f t="shared" si="22"/>
        <v>17475784.438483648</v>
      </c>
      <c r="I369" s="7">
        <f>IFERROR((G369/SUMIF(B:B,B369,G:G))*VLOOKUP(B369,'DATOS GENERALES'!G:H,2,0),"")</f>
        <v>-3172743.1653017043</v>
      </c>
      <c r="J369" s="7">
        <f t="shared" si="23"/>
        <v>14303041.273181943</v>
      </c>
      <c r="K369" s="16"/>
      <c r="L369" s="16"/>
      <c r="M369" s="16"/>
    </row>
    <row r="370" spans="1:13" x14ac:dyDescent="0.25">
      <c r="A370" s="16">
        <v>1893</v>
      </c>
      <c r="B370" s="6">
        <v>43556</v>
      </c>
      <c r="C370" s="16" t="s">
        <v>195</v>
      </c>
      <c r="D370" s="7">
        <f>SUMIFS('DATOS PROYECCIÓN'!$F:$F,'DATOS PROYECCIÓN'!A:A,A370,'DATOS PROYECCIÓN'!B:B,B370)</f>
        <v>37763484.710000001</v>
      </c>
      <c r="E370" s="13">
        <f>VLOOKUP(A370,'DATOS GENERALES'!A:B,2,0)</f>
        <v>1.87</v>
      </c>
      <c r="F370" s="16">
        <f t="shared" si="20"/>
        <v>1.8613980000000001</v>
      </c>
      <c r="G370" s="7">
        <f t="shared" si="21"/>
        <v>-20287700.271516353</v>
      </c>
      <c r="H370" s="7">
        <f t="shared" si="22"/>
        <v>17475784.438483648</v>
      </c>
      <c r="I370" s="7">
        <f>IFERROR((G370/SUMIF(B:B,B370,G:G))*VLOOKUP(B370,'DATOS GENERALES'!G:H,2,0),"")</f>
        <v>-3261819.0977910506</v>
      </c>
      <c r="J370" s="7">
        <f t="shared" si="23"/>
        <v>14213965.340692598</v>
      </c>
      <c r="K370" s="16"/>
      <c r="L370" s="16"/>
      <c r="M370" s="16"/>
    </row>
    <row r="371" spans="1:13" x14ac:dyDescent="0.25">
      <c r="A371" s="16">
        <v>1893</v>
      </c>
      <c r="B371" s="6">
        <v>43586</v>
      </c>
      <c r="C371" s="16" t="s">
        <v>195</v>
      </c>
      <c r="D371" s="7">
        <f>SUMIFS('DATOS PROYECCIÓN'!$F:$F,'DATOS PROYECCIÓN'!A:A,A371,'DATOS PROYECCIÓN'!B:B,B371)</f>
        <v>37763484.710000001</v>
      </c>
      <c r="E371" s="13">
        <f>VLOOKUP(A371,'DATOS GENERALES'!A:B,2,0)</f>
        <v>1.87</v>
      </c>
      <c r="F371" s="16">
        <f t="shared" si="20"/>
        <v>1.8613980000000001</v>
      </c>
      <c r="G371" s="7">
        <f t="shared" si="21"/>
        <v>-20287700.271516353</v>
      </c>
      <c r="H371" s="7">
        <f t="shared" si="22"/>
        <v>17475784.438483648</v>
      </c>
      <c r="I371" s="7">
        <f>IFERROR((G371/SUMIF(B:B,B371,G:G))*VLOOKUP(B371,'DATOS GENERALES'!G:H,2,0),"")</f>
        <v>-2690772.6421670346</v>
      </c>
      <c r="J371" s="7">
        <f t="shared" si="23"/>
        <v>14785011.796316613</v>
      </c>
      <c r="K371" s="16"/>
      <c r="L371" s="16"/>
      <c r="M371" s="16"/>
    </row>
    <row r="372" spans="1:13" x14ac:dyDescent="0.25">
      <c r="A372" s="16">
        <v>1893</v>
      </c>
      <c r="B372" s="6">
        <v>43617</v>
      </c>
      <c r="C372" s="16" t="s">
        <v>195</v>
      </c>
      <c r="D372" s="7">
        <f>SUMIFS('DATOS PROYECCIÓN'!$F:$F,'DATOS PROYECCIÓN'!A:A,A372,'DATOS PROYECCIÓN'!B:B,B372)</f>
        <v>37763484.710000001</v>
      </c>
      <c r="E372" s="13">
        <f>VLOOKUP(A372,'DATOS GENERALES'!A:B,2,0)</f>
        <v>1.87</v>
      </c>
      <c r="F372" s="16">
        <f t="shared" si="20"/>
        <v>1.8613980000000001</v>
      </c>
      <c r="G372" s="7">
        <f t="shared" si="21"/>
        <v>-20287700.271516353</v>
      </c>
      <c r="H372" s="7">
        <f t="shared" si="22"/>
        <v>17475784.438483648</v>
      </c>
      <c r="I372" s="7">
        <f>IFERROR((G372/SUMIF(B:B,B372,G:G))*VLOOKUP(B372,'DATOS GENERALES'!G:H,2,0),"")</f>
        <v>-3618459.066557976</v>
      </c>
      <c r="J372" s="7">
        <f t="shared" si="23"/>
        <v>13857325.371925673</v>
      </c>
      <c r="K372" s="16"/>
      <c r="L372" s="16"/>
      <c r="M372" s="16"/>
    </row>
    <row r="373" spans="1:13" x14ac:dyDescent="0.25">
      <c r="A373" s="16">
        <v>1893</v>
      </c>
      <c r="B373" s="6">
        <v>43647</v>
      </c>
      <c r="C373" s="16" t="s">
        <v>195</v>
      </c>
      <c r="D373" s="7">
        <f>SUMIFS('DATOS PROYECCIÓN'!$F:$F,'DATOS PROYECCIÓN'!A:A,A373,'DATOS PROYECCIÓN'!B:B,B373)</f>
        <v>37763484.710000001</v>
      </c>
      <c r="E373" s="13">
        <f>VLOOKUP(A373,'DATOS GENERALES'!A:B,2,0)</f>
        <v>1.87</v>
      </c>
      <c r="F373" s="16">
        <f t="shared" si="20"/>
        <v>1.8613980000000001</v>
      </c>
      <c r="G373" s="7">
        <f t="shared" si="21"/>
        <v>-20287700.271516353</v>
      </c>
      <c r="H373" s="7">
        <f t="shared" si="22"/>
        <v>17475784.438483648</v>
      </c>
      <c r="I373" s="7">
        <f>IFERROR((G373/SUMIF(B:B,B373,G:G))*VLOOKUP(B373,'DATOS GENERALES'!G:H,2,0),"")</f>
        <v>-5396190.0017938688</v>
      </c>
      <c r="J373" s="7">
        <f t="shared" si="23"/>
        <v>12079594.436689779</v>
      </c>
      <c r="K373" s="16"/>
      <c r="L373" s="16"/>
      <c r="M373" s="16"/>
    </row>
    <row r="374" spans="1:13" x14ac:dyDescent="0.25">
      <c r="A374" s="16">
        <v>1893</v>
      </c>
      <c r="B374" s="6">
        <v>43678</v>
      </c>
      <c r="C374" s="16" t="s">
        <v>195</v>
      </c>
      <c r="D374" s="7">
        <f>SUMIFS('DATOS PROYECCIÓN'!$F:$F,'DATOS PROYECCIÓN'!A:A,A374,'DATOS PROYECCIÓN'!B:B,B374)</f>
        <v>37763484.710000001</v>
      </c>
      <c r="E374" s="13">
        <f>VLOOKUP(A374,'DATOS GENERALES'!A:B,2,0)</f>
        <v>1.87</v>
      </c>
      <c r="F374" s="16">
        <f t="shared" si="20"/>
        <v>1.8613980000000001</v>
      </c>
      <c r="G374" s="7">
        <f t="shared" si="21"/>
        <v>-20287700.271516353</v>
      </c>
      <c r="H374" s="7">
        <f t="shared" si="22"/>
        <v>17475784.438483648</v>
      </c>
      <c r="I374" s="7">
        <f>IFERROR((G374/SUMIF(B:B,B374,G:G))*VLOOKUP(B374,'DATOS GENERALES'!G:H,2,0),"")</f>
        <v>-5310046.6046164213</v>
      </c>
      <c r="J374" s="7">
        <f t="shared" si="23"/>
        <v>12165737.833867226</v>
      </c>
      <c r="K374" s="16"/>
      <c r="L374" s="16"/>
      <c r="M374" s="16"/>
    </row>
    <row r="375" spans="1:13" x14ac:dyDescent="0.25">
      <c r="A375" s="16">
        <v>1893</v>
      </c>
      <c r="B375" s="6">
        <v>43709</v>
      </c>
      <c r="C375" s="16" t="s">
        <v>195</v>
      </c>
      <c r="D375" s="7">
        <f>SUMIFS('DATOS PROYECCIÓN'!$F:$F,'DATOS PROYECCIÓN'!A:A,A375,'DATOS PROYECCIÓN'!B:B,B375)</f>
        <v>37763484.710000001</v>
      </c>
      <c r="E375" s="13">
        <f>VLOOKUP(A375,'DATOS GENERALES'!A:B,2,0)</f>
        <v>1.87</v>
      </c>
      <c r="F375" s="16">
        <f t="shared" si="20"/>
        <v>1.8613980000000001</v>
      </c>
      <c r="G375" s="7">
        <f t="shared" si="21"/>
        <v>-20287700.271516353</v>
      </c>
      <c r="H375" s="7">
        <f t="shared" si="22"/>
        <v>17475784.438483648</v>
      </c>
      <c r="I375" s="7">
        <f>IFERROR((G375/SUMIF(B:B,B375,G:G))*VLOOKUP(B375,'DATOS GENERALES'!G:H,2,0),"")</f>
        <v>-6001271.549467708</v>
      </c>
      <c r="J375" s="7">
        <f t="shared" si="23"/>
        <v>11474512.889015939</v>
      </c>
      <c r="K375" s="16"/>
      <c r="L375" s="16"/>
      <c r="M375" s="16"/>
    </row>
    <row r="376" spans="1:13" x14ac:dyDescent="0.25">
      <c r="A376" s="16">
        <v>1893</v>
      </c>
      <c r="B376" s="6">
        <v>43739</v>
      </c>
      <c r="C376" s="16" t="s">
        <v>195</v>
      </c>
      <c r="D376" s="7">
        <f>SUMIFS('DATOS PROYECCIÓN'!$F:$F,'DATOS PROYECCIÓN'!A:A,A376,'DATOS PROYECCIÓN'!B:B,B376)</f>
        <v>37763484.710000001</v>
      </c>
      <c r="E376" s="13">
        <f>VLOOKUP(A376,'DATOS GENERALES'!A:B,2,0)</f>
        <v>1.87</v>
      </c>
      <c r="F376" s="16">
        <f t="shared" si="20"/>
        <v>1.8613980000000001</v>
      </c>
      <c r="G376" s="7">
        <f t="shared" si="21"/>
        <v>-20287700.271516353</v>
      </c>
      <c r="H376" s="7">
        <f t="shared" si="22"/>
        <v>17475784.438483648</v>
      </c>
      <c r="I376" s="7">
        <f>IFERROR((G376/SUMIF(B:B,B376,G:G))*VLOOKUP(B376,'DATOS GENERALES'!G:H,2,0),"")</f>
        <v>-6489755.4942828165</v>
      </c>
      <c r="J376" s="7">
        <f t="shared" si="23"/>
        <v>10986028.944200832</v>
      </c>
      <c r="K376" s="16"/>
      <c r="L376" s="16"/>
      <c r="M376" s="16"/>
    </row>
    <row r="377" spans="1:13" x14ac:dyDescent="0.25">
      <c r="A377" s="16">
        <v>1893</v>
      </c>
      <c r="B377" s="6">
        <v>43770</v>
      </c>
      <c r="C377" s="16" t="s">
        <v>195</v>
      </c>
      <c r="D377" s="7">
        <f>SUMIFS('DATOS PROYECCIÓN'!$F:$F,'DATOS PROYECCIÓN'!A:A,A377,'DATOS PROYECCIÓN'!B:B,B377)</f>
        <v>37763484.710000001</v>
      </c>
      <c r="E377" s="13">
        <f>VLOOKUP(A377,'DATOS GENERALES'!A:B,2,0)</f>
        <v>1.87</v>
      </c>
      <c r="F377" s="16">
        <f t="shared" si="20"/>
        <v>1.8613980000000001</v>
      </c>
      <c r="G377" s="7">
        <f t="shared" si="21"/>
        <v>-20287700.271516353</v>
      </c>
      <c r="H377" s="7">
        <f t="shared" si="22"/>
        <v>17475784.438483648</v>
      </c>
      <c r="I377" s="7">
        <f>IFERROR((G377/SUMIF(B:B,B377,G:G))*VLOOKUP(B377,'DATOS GENERALES'!G:H,2,0),"")</f>
        <v>-8679570.0205424577</v>
      </c>
      <c r="J377" s="7">
        <f t="shared" si="23"/>
        <v>8796214.4179411903</v>
      </c>
      <c r="K377" s="16"/>
      <c r="L377" s="16"/>
      <c r="M377" s="16"/>
    </row>
    <row r="378" spans="1:13" x14ac:dyDescent="0.25">
      <c r="A378" s="16">
        <v>1893</v>
      </c>
      <c r="B378" s="6">
        <v>43800</v>
      </c>
      <c r="C378" s="16" t="s">
        <v>195</v>
      </c>
      <c r="D378" s="7">
        <f>SUMIFS('DATOS PROYECCIÓN'!$F:$F,'DATOS PROYECCIÓN'!A:A,A378,'DATOS PROYECCIÓN'!B:B,B378)</f>
        <v>37763484.710000001</v>
      </c>
      <c r="E378" s="13">
        <f>VLOOKUP(A378,'DATOS GENERALES'!A:B,2,0)</f>
        <v>1.87</v>
      </c>
      <c r="F378" s="16">
        <f t="shared" si="20"/>
        <v>1.8613980000000001</v>
      </c>
      <c r="G378" s="7">
        <f t="shared" si="21"/>
        <v>-20287700.271516353</v>
      </c>
      <c r="H378" s="7">
        <f t="shared" si="22"/>
        <v>17475784.438483648</v>
      </c>
      <c r="I378" s="7">
        <f>IFERROR((G378/SUMIF(B:B,B378,G:G))*VLOOKUP(B378,'DATOS GENERALES'!G:H,2,0),"")</f>
        <v>-7308088.5430082316</v>
      </c>
      <c r="J378" s="7">
        <f t="shared" si="23"/>
        <v>10167695.895475417</v>
      </c>
      <c r="K378" s="16"/>
      <c r="L378" s="16"/>
      <c r="M378" s="16"/>
    </row>
    <row r="379" spans="1:13" x14ac:dyDescent="0.25">
      <c r="A379" s="16">
        <v>1893</v>
      </c>
      <c r="B379" s="6">
        <v>43831</v>
      </c>
      <c r="C379" s="16" t="s">
        <v>195</v>
      </c>
      <c r="D379" s="7">
        <f>SUMIFS('DATOS PROYECCIÓN'!$F:$F,'DATOS PROYECCIÓN'!A:A,A379,'DATOS PROYECCIÓN'!B:B,B379)</f>
        <v>37763484.710000001</v>
      </c>
      <c r="E379" s="13">
        <f>VLOOKUP(A379,'DATOS GENERALES'!A:B,2,0)</f>
        <v>1.87</v>
      </c>
      <c r="F379" s="16">
        <f t="shared" si="20"/>
        <v>1.8613980000000001</v>
      </c>
      <c r="G379" s="7">
        <f t="shared" si="21"/>
        <v>-20287700.271516353</v>
      </c>
      <c r="H379" s="7">
        <f t="shared" si="22"/>
        <v>17475784.438483648</v>
      </c>
      <c r="I379" s="7" t="str">
        <f>IFERROR((G379/SUMIF(B:B,B379,G:G))*VLOOKUP(B379,'DATOS GENERALES'!G:H,2,0),"")</f>
        <v/>
      </c>
      <c r="J379" s="7" t="str">
        <f t="shared" si="23"/>
        <v/>
      </c>
      <c r="K379" s="16"/>
      <c r="L379" s="16"/>
      <c r="M379" s="16"/>
    </row>
    <row r="380" spans="1:13" x14ac:dyDescent="0.25">
      <c r="A380" s="16">
        <v>1893</v>
      </c>
      <c r="B380" s="6">
        <v>43862</v>
      </c>
      <c r="C380" s="16" t="s">
        <v>195</v>
      </c>
      <c r="D380" s="7">
        <f>SUMIFS('DATOS PROYECCIÓN'!$F:$F,'DATOS PROYECCIÓN'!A:A,A380,'DATOS PROYECCIÓN'!B:B,B380)</f>
        <v>37763484.710000001</v>
      </c>
      <c r="E380" s="13">
        <f>VLOOKUP(A380,'DATOS GENERALES'!A:B,2,0)</f>
        <v>1.87</v>
      </c>
      <c r="F380" s="16">
        <f t="shared" si="20"/>
        <v>1.8613980000000001</v>
      </c>
      <c r="G380" s="7">
        <f t="shared" si="21"/>
        <v>-20287700.271516353</v>
      </c>
      <c r="H380" s="7">
        <f t="shared" si="22"/>
        <v>17475784.438483648</v>
      </c>
      <c r="I380" s="7" t="str">
        <f>IFERROR((G380/SUMIF(B:B,B380,G:G))*VLOOKUP(B380,'DATOS GENERALES'!G:H,2,0),"")</f>
        <v/>
      </c>
      <c r="J380" s="7" t="str">
        <f t="shared" si="23"/>
        <v/>
      </c>
      <c r="K380" s="16"/>
      <c r="L380" s="16"/>
      <c r="M380" s="16"/>
    </row>
    <row r="381" spans="1:13" x14ac:dyDescent="0.25">
      <c r="A381" s="16">
        <v>1893</v>
      </c>
      <c r="B381" s="6">
        <v>43891</v>
      </c>
      <c r="C381" s="16" t="s">
        <v>195</v>
      </c>
      <c r="D381" s="7">
        <f>SUMIFS('DATOS PROYECCIÓN'!$F:$F,'DATOS PROYECCIÓN'!A:A,A381,'DATOS PROYECCIÓN'!B:B,B381)</f>
        <v>37763484.710000001</v>
      </c>
      <c r="E381" s="13">
        <f>VLOOKUP(A381,'DATOS GENERALES'!A:B,2,0)</f>
        <v>1.87</v>
      </c>
      <c r="F381" s="16">
        <f t="shared" si="20"/>
        <v>1.8613980000000001</v>
      </c>
      <c r="G381" s="7">
        <f t="shared" si="21"/>
        <v>-20287700.271516353</v>
      </c>
      <c r="H381" s="7">
        <f t="shared" si="22"/>
        <v>17475784.438483648</v>
      </c>
      <c r="I381" s="7" t="str">
        <f>IFERROR((G381/SUMIF(B:B,B381,G:G))*VLOOKUP(B381,'DATOS GENERALES'!G:H,2,0),"")</f>
        <v/>
      </c>
      <c r="J381" s="7" t="str">
        <f t="shared" si="23"/>
        <v/>
      </c>
      <c r="K381" s="16"/>
      <c r="L381" s="16"/>
      <c r="M381" s="16"/>
    </row>
    <row r="382" spans="1:13" x14ac:dyDescent="0.25">
      <c r="A382" s="16">
        <v>1890</v>
      </c>
      <c r="B382" s="6">
        <v>43466</v>
      </c>
      <c r="C382" s="16" t="s">
        <v>195</v>
      </c>
      <c r="D382" s="7">
        <f>SUMIFS('DATOS PROYECCIÓN'!$F:$F,'DATOS PROYECCIÓN'!A:A,A382,'DATOS PROYECCIÓN'!B:B,B382)</f>
        <v>25318074</v>
      </c>
      <c r="E382" s="13">
        <f>VLOOKUP(A382,'DATOS GENERALES'!A:B,2,0)</f>
        <v>1.1100000000000001</v>
      </c>
      <c r="F382" s="16">
        <f t="shared" si="20"/>
        <v>1.104894</v>
      </c>
      <c r="G382" s="7">
        <f t="shared" si="21"/>
        <v>-22914482.294229127</v>
      </c>
      <c r="H382" s="7">
        <f t="shared" si="22"/>
        <v>2403591.7057708725</v>
      </c>
      <c r="I382" s="7">
        <f>IFERROR((G382/SUMIF(B:B,B382,G:G))*VLOOKUP(B382,'DATOS GENERALES'!G:H,2,0),"")</f>
        <v>-5027857.7762374459</v>
      </c>
      <c r="J382" s="7">
        <f t="shared" si="23"/>
        <v>-2624266.0704665734</v>
      </c>
      <c r="K382" s="16"/>
      <c r="L382" s="16"/>
      <c r="M382" s="16"/>
    </row>
    <row r="383" spans="1:13" x14ac:dyDescent="0.25">
      <c r="A383" s="16">
        <v>1890</v>
      </c>
      <c r="B383" s="6">
        <v>43497</v>
      </c>
      <c r="C383" s="16" t="s">
        <v>195</v>
      </c>
      <c r="D383" s="7">
        <f>SUMIFS('DATOS PROYECCIÓN'!$F:$F,'DATOS PROYECCIÓN'!A:A,A383,'DATOS PROYECCIÓN'!B:B,B383)</f>
        <v>29324874</v>
      </c>
      <c r="E383" s="13">
        <f>VLOOKUP(A383,'DATOS GENERALES'!A:B,2,0)</f>
        <v>1.1100000000000001</v>
      </c>
      <c r="F383" s="16">
        <f t="shared" si="20"/>
        <v>1.104894</v>
      </c>
      <c r="G383" s="7">
        <f t="shared" si="21"/>
        <v>-26540893.515577059</v>
      </c>
      <c r="H383" s="7">
        <f t="shared" si="22"/>
        <v>2783980.4844229408</v>
      </c>
      <c r="I383" s="7">
        <f>IFERROR((G383/SUMIF(B:B,B383,G:G))*VLOOKUP(B383,'DATOS GENERALES'!G:H,2,0),"")</f>
        <v>-5737022.4113709899</v>
      </c>
      <c r="J383" s="7">
        <f t="shared" si="23"/>
        <v>-2953041.9269480491</v>
      </c>
      <c r="K383" s="16"/>
      <c r="L383" s="16"/>
      <c r="M383" s="16"/>
    </row>
    <row r="384" spans="1:13" x14ac:dyDescent="0.25">
      <c r="A384" s="16">
        <v>1890</v>
      </c>
      <c r="B384" s="6">
        <v>43525</v>
      </c>
      <c r="C384" s="16" t="s">
        <v>195</v>
      </c>
      <c r="D384" s="7">
        <f>SUMIFS('DATOS PROYECCIÓN'!$F:$F,'DATOS PROYECCIÓN'!A:A,A384,'DATOS PROYECCIÓN'!B:B,B384)</f>
        <v>29324874</v>
      </c>
      <c r="E384" s="13">
        <f>VLOOKUP(A384,'DATOS GENERALES'!A:B,2,0)</f>
        <v>1.1100000000000001</v>
      </c>
      <c r="F384" s="16">
        <f t="shared" si="20"/>
        <v>1.104894</v>
      </c>
      <c r="G384" s="7">
        <f t="shared" si="21"/>
        <v>-26540893.515577059</v>
      </c>
      <c r="H384" s="7">
        <f t="shared" si="22"/>
        <v>2783980.4844229408</v>
      </c>
      <c r="I384" s="7">
        <f>IFERROR((G384/SUMIF(B:B,B384,G:G))*VLOOKUP(B384,'DATOS GENERALES'!G:H,2,0),"")</f>
        <v>-4150664.5590961091</v>
      </c>
      <c r="J384" s="7">
        <f t="shared" si="23"/>
        <v>-1366684.0746731684</v>
      </c>
      <c r="K384" s="16"/>
      <c r="L384" s="16"/>
      <c r="M384" s="16"/>
    </row>
    <row r="385" spans="1:13" x14ac:dyDescent="0.25">
      <c r="A385" s="16">
        <v>1890</v>
      </c>
      <c r="B385" s="6">
        <v>43556</v>
      </c>
      <c r="C385" s="16" t="s">
        <v>195</v>
      </c>
      <c r="D385" s="7">
        <f>SUMIFS('DATOS PROYECCIÓN'!$F:$F,'DATOS PROYECCIÓN'!A:A,A385,'DATOS PROYECCIÓN'!B:B,B385)</f>
        <v>29324874</v>
      </c>
      <c r="E385" s="13">
        <f>VLOOKUP(A385,'DATOS GENERALES'!A:B,2,0)</f>
        <v>1.1100000000000001</v>
      </c>
      <c r="F385" s="16">
        <f t="shared" si="20"/>
        <v>1.104894</v>
      </c>
      <c r="G385" s="7">
        <f t="shared" si="21"/>
        <v>-26540893.515577059</v>
      </c>
      <c r="H385" s="7">
        <f t="shared" si="22"/>
        <v>2783980.4844229408</v>
      </c>
      <c r="I385" s="7">
        <f>IFERROR((G385/SUMIF(B:B,B385,G:G))*VLOOKUP(B385,'DATOS GENERALES'!G:H,2,0),"")</f>
        <v>-4267195.9947620686</v>
      </c>
      <c r="J385" s="7">
        <f t="shared" si="23"/>
        <v>-1483215.5103391279</v>
      </c>
      <c r="K385" s="16"/>
      <c r="L385" s="16"/>
      <c r="M385" s="16"/>
    </row>
    <row r="386" spans="1:13" x14ac:dyDescent="0.25">
      <c r="A386" s="16">
        <v>1890</v>
      </c>
      <c r="B386" s="6">
        <v>43586</v>
      </c>
      <c r="C386" s="16" t="s">
        <v>195</v>
      </c>
      <c r="D386" s="7">
        <f>SUMIFS('DATOS PROYECCIÓN'!$F:$F,'DATOS PROYECCIÓN'!A:A,A386,'DATOS PROYECCIÓN'!B:B,B386)</f>
        <v>29324874</v>
      </c>
      <c r="E386" s="13">
        <f>VLOOKUP(A386,'DATOS GENERALES'!A:B,2,0)</f>
        <v>1.1100000000000001</v>
      </c>
      <c r="F386" s="16">
        <f t="shared" ref="F386:F449" si="24">E386*0.9954</f>
        <v>1.104894</v>
      </c>
      <c r="G386" s="7">
        <f t="shared" ref="G386:G449" si="25">-D386/F386</f>
        <v>-26540893.515577059</v>
      </c>
      <c r="H386" s="7">
        <f t="shared" ref="H386:H449" si="26">D386+G386</f>
        <v>2783980.4844229408</v>
      </c>
      <c r="I386" s="7">
        <f>IFERROR((G386/SUMIF(B:B,B386,G:G))*VLOOKUP(B386,'DATOS GENERALES'!G:H,2,0),"")</f>
        <v>-3520138.271692114</v>
      </c>
      <c r="J386" s="7">
        <f t="shared" si="23"/>
        <v>-736157.78726917319</v>
      </c>
      <c r="K386" s="16"/>
      <c r="L386" s="16"/>
      <c r="M386" s="16"/>
    </row>
    <row r="387" spans="1:13" x14ac:dyDescent="0.25">
      <c r="A387" s="16">
        <v>1890</v>
      </c>
      <c r="B387" s="6">
        <v>43617</v>
      </c>
      <c r="C387" s="16" t="s">
        <v>195</v>
      </c>
      <c r="D387" s="7">
        <f>SUMIFS('DATOS PROYECCIÓN'!$F:$F,'DATOS PROYECCIÓN'!A:A,A387,'DATOS PROYECCIÓN'!B:B,B387)</f>
        <v>29324874</v>
      </c>
      <c r="E387" s="13">
        <f>VLOOKUP(A387,'DATOS GENERALES'!A:B,2,0)</f>
        <v>1.1100000000000001</v>
      </c>
      <c r="F387" s="16">
        <f t="shared" si="24"/>
        <v>1.104894</v>
      </c>
      <c r="G387" s="7">
        <f t="shared" si="25"/>
        <v>-26540893.515577059</v>
      </c>
      <c r="H387" s="7">
        <f t="shared" si="26"/>
        <v>2783980.4844229408</v>
      </c>
      <c r="I387" s="7">
        <f>IFERROR((G387/SUMIF(B:B,B387,G:G))*VLOOKUP(B387,'DATOS GENERALES'!G:H,2,0),"")</f>
        <v>-4733761.6137214135</v>
      </c>
      <c r="J387" s="7">
        <f t="shared" ref="J387:J450" si="27">IFERROR(H387+I387,"")</f>
        <v>-1949781.1292984728</v>
      </c>
      <c r="K387" s="16"/>
      <c r="L387" s="16"/>
      <c r="M387" s="16"/>
    </row>
    <row r="388" spans="1:13" x14ac:dyDescent="0.25">
      <c r="A388" s="16">
        <v>1890</v>
      </c>
      <c r="B388" s="6">
        <v>43647</v>
      </c>
      <c r="C388" s="16" t="s">
        <v>195</v>
      </c>
      <c r="D388" s="7">
        <f>SUMIFS('DATOS PROYECCIÓN'!$F:$F,'DATOS PROYECCIÓN'!A:A,A388,'DATOS PROYECCIÓN'!B:B,B388)</f>
        <v>29324874</v>
      </c>
      <c r="E388" s="13">
        <f>VLOOKUP(A388,'DATOS GENERALES'!A:B,2,0)</f>
        <v>1.1100000000000001</v>
      </c>
      <c r="F388" s="16">
        <f t="shared" si="24"/>
        <v>1.104894</v>
      </c>
      <c r="G388" s="7">
        <f t="shared" si="25"/>
        <v>-26540893.515577059</v>
      </c>
      <c r="H388" s="7">
        <f t="shared" si="26"/>
        <v>2783980.4844229408</v>
      </c>
      <c r="I388" s="7">
        <f>IFERROR((G388/SUMIF(B:B,B388,G:G))*VLOOKUP(B388,'DATOS GENERALES'!G:H,2,0),"")</f>
        <v>-7059435.1410303069</v>
      </c>
      <c r="J388" s="7">
        <f t="shared" si="27"/>
        <v>-4275454.6566073662</v>
      </c>
      <c r="K388" s="16"/>
      <c r="L388" s="16"/>
      <c r="M388" s="16"/>
    </row>
    <row r="389" spans="1:13" x14ac:dyDescent="0.25">
      <c r="A389" s="16">
        <v>1890</v>
      </c>
      <c r="B389" s="6">
        <v>43678</v>
      </c>
      <c r="C389" s="16" t="s">
        <v>195</v>
      </c>
      <c r="D389" s="7">
        <f>SUMIFS('DATOS PROYECCIÓN'!$F:$F,'DATOS PROYECCIÓN'!A:A,A389,'DATOS PROYECCIÓN'!B:B,B389)</f>
        <v>29324874</v>
      </c>
      <c r="E389" s="13">
        <f>VLOOKUP(A389,'DATOS GENERALES'!A:B,2,0)</f>
        <v>1.1100000000000001</v>
      </c>
      <c r="F389" s="16">
        <f t="shared" si="24"/>
        <v>1.104894</v>
      </c>
      <c r="G389" s="7">
        <f t="shared" si="25"/>
        <v>-26540893.515577059</v>
      </c>
      <c r="H389" s="7">
        <f t="shared" si="26"/>
        <v>2783980.4844229408</v>
      </c>
      <c r="I389" s="7">
        <f>IFERROR((G389/SUMIF(B:B,B389,G:G))*VLOOKUP(B389,'DATOS GENERALES'!G:H,2,0),"")</f>
        <v>-6946740.123805183</v>
      </c>
      <c r="J389" s="7">
        <f t="shared" si="27"/>
        <v>-4162759.6393822422</v>
      </c>
      <c r="K389" s="16"/>
      <c r="L389" s="16"/>
      <c r="M389" s="16"/>
    </row>
    <row r="390" spans="1:13" x14ac:dyDescent="0.25">
      <c r="A390" s="16">
        <v>1890</v>
      </c>
      <c r="B390" s="6">
        <v>43709</v>
      </c>
      <c r="C390" s="16" t="s">
        <v>195</v>
      </c>
      <c r="D390" s="7">
        <f>SUMIFS('DATOS PROYECCIÓN'!$F:$F,'DATOS PROYECCIÓN'!A:A,A390,'DATOS PROYECCIÓN'!B:B,B390)</f>
        <v>29324874</v>
      </c>
      <c r="E390" s="13">
        <f>VLOOKUP(A390,'DATOS GENERALES'!A:B,2,0)</f>
        <v>1.1100000000000001</v>
      </c>
      <c r="F390" s="16">
        <f t="shared" si="24"/>
        <v>1.104894</v>
      </c>
      <c r="G390" s="7">
        <f t="shared" si="25"/>
        <v>-26540893.515577059</v>
      </c>
      <c r="H390" s="7">
        <f t="shared" si="26"/>
        <v>2783980.4844229408</v>
      </c>
      <c r="I390" s="7">
        <f>IFERROR((G390/SUMIF(B:B,B390,G:G))*VLOOKUP(B390,'DATOS GENERALES'!G:H,2,0),"")</f>
        <v>-7851018.450627951</v>
      </c>
      <c r="J390" s="7">
        <f t="shared" si="27"/>
        <v>-5067037.9662050102</v>
      </c>
      <c r="K390" s="16"/>
      <c r="L390" s="16"/>
      <c r="M390" s="16"/>
    </row>
    <row r="391" spans="1:13" x14ac:dyDescent="0.25">
      <c r="A391" s="16">
        <v>1890</v>
      </c>
      <c r="B391" s="6">
        <v>43739</v>
      </c>
      <c r="C391" s="16" t="s">
        <v>195</v>
      </c>
      <c r="D391" s="7">
        <f>SUMIFS('DATOS PROYECCIÓN'!$F:$F,'DATOS PROYECCIÓN'!A:A,A391,'DATOS PROYECCIÓN'!B:B,B391)</f>
        <v>29324874</v>
      </c>
      <c r="E391" s="13">
        <f>VLOOKUP(A391,'DATOS GENERALES'!A:B,2,0)</f>
        <v>1.1100000000000001</v>
      </c>
      <c r="F391" s="16">
        <f t="shared" si="24"/>
        <v>1.104894</v>
      </c>
      <c r="G391" s="7">
        <f t="shared" si="25"/>
        <v>-26540893.515577059</v>
      </c>
      <c r="H391" s="7">
        <f t="shared" si="26"/>
        <v>2783980.4844229408</v>
      </c>
      <c r="I391" s="7">
        <f>IFERROR((G391/SUMIF(B:B,B391,G:G))*VLOOKUP(B391,'DATOS GENERALES'!G:H,2,0),"")</f>
        <v>-8490065.7645124737</v>
      </c>
      <c r="J391" s="7">
        <f t="shared" si="27"/>
        <v>-5706085.280089533</v>
      </c>
      <c r="K391" s="16"/>
      <c r="L391" s="16"/>
      <c r="M391" s="16"/>
    </row>
    <row r="392" spans="1:13" x14ac:dyDescent="0.25">
      <c r="A392" s="16">
        <v>1890</v>
      </c>
      <c r="B392" s="6">
        <v>43770</v>
      </c>
      <c r="C392" s="16" t="s">
        <v>195</v>
      </c>
      <c r="D392" s="7">
        <f>SUMIFS('DATOS PROYECCIÓN'!$F:$F,'DATOS PROYECCIÓN'!A:A,A392,'DATOS PROYECCIÓN'!B:B,B392)</f>
        <v>29324874</v>
      </c>
      <c r="E392" s="13">
        <f>VLOOKUP(A392,'DATOS GENERALES'!A:B,2,0)</f>
        <v>1.1100000000000001</v>
      </c>
      <c r="F392" s="16">
        <f t="shared" si="24"/>
        <v>1.104894</v>
      </c>
      <c r="G392" s="7">
        <f t="shared" si="25"/>
        <v>-26540893.515577059</v>
      </c>
      <c r="H392" s="7">
        <f t="shared" si="26"/>
        <v>2783980.4844229408</v>
      </c>
      <c r="I392" s="7">
        <f>IFERROR((G392/SUMIF(B:B,B392,G:G))*VLOOKUP(B392,'DATOS GENERALES'!G:H,2,0),"")</f>
        <v>-11354837.689496014</v>
      </c>
      <c r="J392" s="7">
        <f t="shared" si="27"/>
        <v>-8570857.2050730735</v>
      </c>
      <c r="K392" s="16"/>
      <c r="L392" s="16"/>
      <c r="M392" s="16"/>
    </row>
    <row r="393" spans="1:13" x14ac:dyDescent="0.25">
      <c r="A393" s="16">
        <v>1890</v>
      </c>
      <c r="B393" s="6">
        <v>43800</v>
      </c>
      <c r="C393" s="16" t="s">
        <v>195</v>
      </c>
      <c r="D393" s="7">
        <f>SUMIFS('DATOS PROYECCIÓN'!$F:$F,'DATOS PROYECCIÓN'!A:A,A393,'DATOS PROYECCIÓN'!B:B,B393)</f>
        <v>29324874</v>
      </c>
      <c r="E393" s="13">
        <f>VLOOKUP(A393,'DATOS GENERALES'!A:B,2,0)</f>
        <v>1.1100000000000001</v>
      </c>
      <c r="F393" s="16">
        <f t="shared" si="24"/>
        <v>1.104894</v>
      </c>
      <c r="G393" s="7">
        <f t="shared" si="25"/>
        <v>-26540893.515577059</v>
      </c>
      <c r="H393" s="7">
        <f t="shared" si="26"/>
        <v>2783980.4844229408</v>
      </c>
      <c r="I393" s="7">
        <f>IFERROR((G393/SUMIF(B:B,B393,G:G))*VLOOKUP(B393,'DATOS GENERALES'!G:H,2,0),"")</f>
        <v>-9560630.19595729</v>
      </c>
      <c r="J393" s="7">
        <f t="shared" si="27"/>
        <v>-6776649.7115343492</v>
      </c>
      <c r="K393" s="16"/>
      <c r="L393" s="16"/>
      <c r="M393" s="16"/>
    </row>
    <row r="394" spans="1:13" x14ac:dyDescent="0.25">
      <c r="A394" s="16">
        <v>1890</v>
      </c>
      <c r="B394" s="6">
        <v>43831</v>
      </c>
      <c r="C394" s="16" t="s">
        <v>195</v>
      </c>
      <c r="D394" s="7">
        <f>SUMIFS('DATOS PROYECCIÓN'!$F:$F,'DATOS PROYECCIÓN'!A:A,A394,'DATOS PROYECCIÓN'!B:B,B394)</f>
        <v>43647924</v>
      </c>
      <c r="E394" s="13">
        <f>VLOOKUP(A394,'DATOS GENERALES'!A:B,2,0)</f>
        <v>1.1100000000000001</v>
      </c>
      <c r="F394" s="16">
        <f t="shared" si="24"/>
        <v>1.104894</v>
      </c>
      <c r="G394" s="7">
        <f t="shared" si="25"/>
        <v>-39504173.251008689</v>
      </c>
      <c r="H394" s="7">
        <f t="shared" si="26"/>
        <v>4143750.7489913106</v>
      </c>
      <c r="I394" s="7" t="str">
        <f>IFERROR((G394/SUMIF(B:B,B394,G:G))*VLOOKUP(B394,'DATOS GENERALES'!G:H,2,0),"")</f>
        <v/>
      </c>
      <c r="J394" s="7" t="str">
        <f t="shared" si="27"/>
        <v/>
      </c>
      <c r="K394" s="16"/>
      <c r="L394" s="16"/>
      <c r="M394" s="16"/>
    </row>
    <row r="395" spans="1:13" x14ac:dyDescent="0.25">
      <c r="A395" s="16">
        <v>1890</v>
      </c>
      <c r="B395" s="6">
        <v>43862</v>
      </c>
      <c r="C395" s="16" t="s">
        <v>195</v>
      </c>
      <c r="D395" s="7">
        <f>SUMIFS('DATOS PROYECCIÓN'!$F:$F,'DATOS PROYECCIÓN'!A:A,A395,'DATOS PROYECCIÓN'!B:B,B395)</f>
        <v>43647924</v>
      </c>
      <c r="E395" s="13">
        <f>VLOOKUP(A395,'DATOS GENERALES'!A:B,2,0)</f>
        <v>1.1100000000000001</v>
      </c>
      <c r="F395" s="16">
        <f t="shared" si="24"/>
        <v>1.104894</v>
      </c>
      <c r="G395" s="7">
        <f t="shared" si="25"/>
        <v>-39504173.251008689</v>
      </c>
      <c r="H395" s="7">
        <f t="shared" si="26"/>
        <v>4143750.7489913106</v>
      </c>
      <c r="I395" s="7" t="str">
        <f>IFERROR((G395/SUMIF(B:B,B395,G:G))*VLOOKUP(B395,'DATOS GENERALES'!G:H,2,0),"")</f>
        <v/>
      </c>
      <c r="J395" s="7" t="str">
        <f t="shared" si="27"/>
        <v/>
      </c>
      <c r="K395" s="16"/>
      <c r="L395" s="16"/>
      <c r="M395" s="16"/>
    </row>
    <row r="396" spans="1:13" x14ac:dyDescent="0.25">
      <c r="A396" s="16">
        <v>1890</v>
      </c>
      <c r="B396" s="6">
        <v>43891</v>
      </c>
      <c r="C396" s="16" t="s">
        <v>195</v>
      </c>
      <c r="D396" s="7">
        <f>SUMIFS('DATOS PROYECCIÓN'!$F:$F,'DATOS PROYECCIÓN'!A:A,A396,'DATOS PROYECCIÓN'!B:B,B396)</f>
        <v>43647924</v>
      </c>
      <c r="E396" s="13">
        <f>VLOOKUP(A396,'DATOS GENERALES'!A:B,2,0)</f>
        <v>1.1100000000000001</v>
      </c>
      <c r="F396" s="16">
        <f t="shared" si="24"/>
        <v>1.104894</v>
      </c>
      <c r="G396" s="7">
        <f t="shared" si="25"/>
        <v>-39504173.251008689</v>
      </c>
      <c r="H396" s="7">
        <f t="shared" si="26"/>
        <v>4143750.7489913106</v>
      </c>
      <c r="I396" s="7" t="str">
        <f>IFERROR((G396/SUMIF(B:B,B396,G:G))*VLOOKUP(B396,'DATOS GENERALES'!G:H,2,0),"")</f>
        <v/>
      </c>
      <c r="J396" s="7" t="str">
        <f t="shared" si="27"/>
        <v/>
      </c>
      <c r="K396" s="16"/>
      <c r="L396" s="16"/>
      <c r="M396" s="16"/>
    </row>
    <row r="397" spans="1:13" x14ac:dyDescent="0.25">
      <c r="A397" s="16">
        <v>1890</v>
      </c>
      <c r="B397" s="6">
        <v>43922</v>
      </c>
      <c r="C397" s="16" t="s">
        <v>195</v>
      </c>
      <c r="D397" s="7">
        <f>SUMIFS('DATOS PROYECCIÓN'!$F:$F,'DATOS PROYECCIÓN'!A:A,A397,'DATOS PROYECCIÓN'!B:B,B397)</f>
        <v>43647924</v>
      </c>
      <c r="E397" s="13">
        <f>VLOOKUP(A397,'DATOS GENERALES'!A:B,2,0)</f>
        <v>1.1100000000000001</v>
      </c>
      <c r="F397" s="16">
        <f t="shared" si="24"/>
        <v>1.104894</v>
      </c>
      <c r="G397" s="7">
        <f t="shared" si="25"/>
        <v>-39504173.251008689</v>
      </c>
      <c r="H397" s="7">
        <f t="shared" si="26"/>
        <v>4143750.7489913106</v>
      </c>
      <c r="I397" s="7" t="str">
        <f>IFERROR((G397/SUMIF(B:B,B397,G:G))*VLOOKUP(B397,'DATOS GENERALES'!G:H,2,0),"")</f>
        <v/>
      </c>
      <c r="J397" s="7" t="str">
        <f t="shared" si="27"/>
        <v/>
      </c>
      <c r="K397" s="16"/>
      <c r="L397" s="16"/>
      <c r="M397" s="16"/>
    </row>
    <row r="398" spans="1:13" x14ac:dyDescent="0.25">
      <c r="A398" s="16">
        <v>1890</v>
      </c>
      <c r="B398" s="6">
        <v>43952</v>
      </c>
      <c r="C398" s="16" t="s">
        <v>195</v>
      </c>
      <c r="D398" s="7">
        <f>SUMIFS('DATOS PROYECCIÓN'!$F:$F,'DATOS PROYECCIÓN'!A:A,A398,'DATOS PROYECCIÓN'!B:B,B398)</f>
        <v>43647924</v>
      </c>
      <c r="E398" s="13">
        <f>VLOOKUP(A398,'DATOS GENERALES'!A:B,2,0)</f>
        <v>1.1100000000000001</v>
      </c>
      <c r="F398" s="16">
        <f t="shared" si="24"/>
        <v>1.104894</v>
      </c>
      <c r="G398" s="7">
        <f t="shared" si="25"/>
        <v>-39504173.251008689</v>
      </c>
      <c r="H398" s="7">
        <f t="shared" si="26"/>
        <v>4143750.7489913106</v>
      </c>
      <c r="I398" s="7" t="str">
        <f>IFERROR((G398/SUMIF(B:B,B398,G:G))*VLOOKUP(B398,'DATOS GENERALES'!G:H,2,0),"")</f>
        <v/>
      </c>
      <c r="J398" s="7" t="str">
        <f t="shared" si="27"/>
        <v/>
      </c>
      <c r="K398" s="16"/>
      <c r="L398" s="16"/>
      <c r="M398" s="16"/>
    </row>
    <row r="399" spans="1:13" x14ac:dyDescent="0.25">
      <c r="A399" s="16">
        <v>1890</v>
      </c>
      <c r="B399" s="6">
        <v>43983</v>
      </c>
      <c r="C399" s="16" t="s">
        <v>195</v>
      </c>
      <c r="D399" s="7">
        <f>SUMIFS('DATOS PROYECCIÓN'!$F:$F,'DATOS PROYECCIÓN'!A:A,A399,'DATOS PROYECCIÓN'!B:B,B399)</f>
        <v>43647924</v>
      </c>
      <c r="E399" s="13">
        <f>VLOOKUP(A399,'DATOS GENERALES'!A:B,2,0)</f>
        <v>1.1100000000000001</v>
      </c>
      <c r="F399" s="16">
        <f t="shared" si="24"/>
        <v>1.104894</v>
      </c>
      <c r="G399" s="7">
        <f t="shared" si="25"/>
        <v>-39504173.251008689</v>
      </c>
      <c r="H399" s="7">
        <f t="shared" si="26"/>
        <v>4143750.7489913106</v>
      </c>
      <c r="I399" s="7" t="str">
        <f>IFERROR((G399/SUMIF(B:B,B399,G:G))*VLOOKUP(B399,'DATOS GENERALES'!G:H,2,0),"")</f>
        <v/>
      </c>
      <c r="J399" s="7" t="str">
        <f t="shared" si="27"/>
        <v/>
      </c>
      <c r="K399" s="16"/>
      <c r="L399" s="16"/>
      <c r="M399" s="16"/>
    </row>
    <row r="400" spans="1:13" x14ac:dyDescent="0.25">
      <c r="A400" s="16">
        <v>1890</v>
      </c>
      <c r="B400" s="6">
        <v>44013</v>
      </c>
      <c r="C400" s="16" t="s">
        <v>195</v>
      </c>
      <c r="D400" s="7">
        <f>SUMIFS('DATOS PROYECCIÓN'!$F:$F,'DATOS PROYECCIÓN'!A:A,A400,'DATOS PROYECCIÓN'!B:B,B400)</f>
        <v>43647924</v>
      </c>
      <c r="E400" s="13">
        <f>VLOOKUP(A400,'DATOS GENERALES'!A:B,2,0)</f>
        <v>1.1100000000000001</v>
      </c>
      <c r="F400" s="16">
        <f t="shared" si="24"/>
        <v>1.104894</v>
      </c>
      <c r="G400" s="7">
        <f t="shared" si="25"/>
        <v>-39504173.251008689</v>
      </c>
      <c r="H400" s="7">
        <f t="shared" si="26"/>
        <v>4143750.7489913106</v>
      </c>
      <c r="I400" s="7" t="str">
        <f>IFERROR((G400/SUMIF(B:B,B400,G:G))*VLOOKUP(B400,'DATOS GENERALES'!G:H,2,0),"")</f>
        <v/>
      </c>
      <c r="J400" s="7" t="str">
        <f t="shared" si="27"/>
        <v/>
      </c>
      <c r="K400" s="16"/>
      <c r="L400" s="16"/>
      <c r="M400" s="16"/>
    </row>
    <row r="401" spans="1:13" x14ac:dyDescent="0.25">
      <c r="A401" s="16">
        <v>1890</v>
      </c>
      <c r="B401" s="6">
        <v>44044</v>
      </c>
      <c r="C401" s="16" t="s">
        <v>195</v>
      </c>
      <c r="D401" s="7">
        <f>SUMIFS('DATOS PROYECCIÓN'!$F:$F,'DATOS PROYECCIÓN'!A:A,A401,'DATOS PROYECCIÓN'!B:B,B401)</f>
        <v>43647924</v>
      </c>
      <c r="E401" s="13">
        <f>VLOOKUP(A401,'DATOS GENERALES'!A:B,2,0)</f>
        <v>1.1100000000000001</v>
      </c>
      <c r="F401" s="16">
        <f t="shared" si="24"/>
        <v>1.104894</v>
      </c>
      <c r="G401" s="7">
        <f t="shared" si="25"/>
        <v>-39504173.251008689</v>
      </c>
      <c r="H401" s="7">
        <f t="shared" si="26"/>
        <v>4143750.7489913106</v>
      </c>
      <c r="I401" s="7" t="str">
        <f>IFERROR((G401/SUMIF(B:B,B401,G:G))*VLOOKUP(B401,'DATOS GENERALES'!G:H,2,0),"")</f>
        <v/>
      </c>
      <c r="J401" s="7" t="str">
        <f t="shared" si="27"/>
        <v/>
      </c>
      <c r="K401" s="16"/>
      <c r="L401" s="16"/>
      <c r="M401" s="16"/>
    </row>
    <row r="402" spans="1:13" x14ac:dyDescent="0.25">
      <c r="A402" s="16">
        <v>1890</v>
      </c>
      <c r="B402" s="6">
        <v>44075</v>
      </c>
      <c r="C402" s="16" t="s">
        <v>195</v>
      </c>
      <c r="D402" s="7">
        <f>SUMIFS('DATOS PROYECCIÓN'!$F:$F,'DATOS PROYECCIÓN'!A:A,A402,'DATOS PROYECCIÓN'!B:B,B402)</f>
        <v>43647924</v>
      </c>
      <c r="E402" s="13">
        <f>VLOOKUP(A402,'DATOS GENERALES'!A:B,2,0)</f>
        <v>1.1100000000000001</v>
      </c>
      <c r="F402" s="16">
        <f t="shared" si="24"/>
        <v>1.104894</v>
      </c>
      <c r="G402" s="7">
        <f t="shared" si="25"/>
        <v>-39504173.251008689</v>
      </c>
      <c r="H402" s="7">
        <f t="shared" si="26"/>
        <v>4143750.7489913106</v>
      </c>
      <c r="I402" s="7" t="str">
        <f>IFERROR((G402/SUMIF(B:B,B402,G:G))*VLOOKUP(B402,'DATOS GENERALES'!G:H,2,0),"")</f>
        <v/>
      </c>
      <c r="J402" s="7" t="str">
        <f t="shared" si="27"/>
        <v/>
      </c>
      <c r="K402" s="16"/>
      <c r="L402" s="16"/>
      <c r="M402" s="16"/>
    </row>
    <row r="403" spans="1:13" x14ac:dyDescent="0.25">
      <c r="A403" s="16">
        <v>1890</v>
      </c>
      <c r="B403" s="6">
        <v>44105</v>
      </c>
      <c r="C403" s="16" t="s">
        <v>195</v>
      </c>
      <c r="D403" s="7">
        <f>SUMIFS('DATOS PROYECCIÓN'!$F:$F,'DATOS PROYECCIÓN'!A:A,A403,'DATOS PROYECCIÓN'!B:B,B403)</f>
        <v>43647924</v>
      </c>
      <c r="E403" s="13">
        <f>VLOOKUP(A403,'DATOS GENERALES'!A:B,2,0)</f>
        <v>1.1100000000000001</v>
      </c>
      <c r="F403" s="16">
        <f t="shared" si="24"/>
        <v>1.104894</v>
      </c>
      <c r="G403" s="7">
        <f t="shared" si="25"/>
        <v>-39504173.251008689</v>
      </c>
      <c r="H403" s="7">
        <f t="shared" si="26"/>
        <v>4143750.7489913106</v>
      </c>
      <c r="I403" s="7" t="str">
        <f>IFERROR((G403/SUMIF(B:B,B403,G:G))*VLOOKUP(B403,'DATOS GENERALES'!G:H,2,0),"")</f>
        <v/>
      </c>
      <c r="J403" s="7" t="str">
        <f t="shared" si="27"/>
        <v/>
      </c>
      <c r="K403" s="16"/>
      <c r="L403" s="16"/>
      <c r="M403" s="16"/>
    </row>
    <row r="404" spans="1:13" x14ac:dyDescent="0.25">
      <c r="A404" s="16">
        <v>1890</v>
      </c>
      <c r="B404" s="6">
        <v>44136</v>
      </c>
      <c r="C404" s="16" t="s">
        <v>195</v>
      </c>
      <c r="D404" s="7">
        <f>SUMIFS('DATOS PROYECCIÓN'!$F:$F,'DATOS PROYECCIÓN'!A:A,A404,'DATOS PROYECCIÓN'!B:B,B404)</f>
        <v>29413074</v>
      </c>
      <c r="E404" s="13">
        <f>VLOOKUP(A404,'DATOS GENERALES'!A:B,2,0)</f>
        <v>1.1100000000000001</v>
      </c>
      <c r="F404" s="16">
        <f t="shared" si="24"/>
        <v>1.104894</v>
      </c>
      <c r="G404" s="7">
        <f t="shared" si="25"/>
        <v>-26620720.177682202</v>
      </c>
      <c r="H404" s="7">
        <f t="shared" si="26"/>
        <v>2792353.8223177977</v>
      </c>
      <c r="I404" s="7" t="str">
        <f>IFERROR((G404/SUMIF(B:B,B404,G:G))*VLOOKUP(B404,'DATOS GENERALES'!G:H,2,0),"")</f>
        <v/>
      </c>
      <c r="J404" s="7" t="str">
        <f t="shared" si="27"/>
        <v/>
      </c>
      <c r="K404" s="16"/>
      <c r="L404" s="16"/>
      <c r="M404" s="16"/>
    </row>
    <row r="405" spans="1:13" x14ac:dyDescent="0.25">
      <c r="A405" s="16">
        <v>1890</v>
      </c>
      <c r="B405" s="6">
        <v>44166</v>
      </c>
      <c r="C405" s="16" t="s">
        <v>195</v>
      </c>
      <c r="D405" s="7">
        <f>SUMIFS('DATOS PROYECCIÓN'!$F:$F,'DATOS PROYECCIÓN'!A:A,A405,'DATOS PROYECCIÓN'!B:B,B405)</f>
        <v>29413074</v>
      </c>
      <c r="E405" s="13">
        <f>VLOOKUP(A405,'DATOS GENERALES'!A:B,2,0)</f>
        <v>1.1100000000000001</v>
      </c>
      <c r="F405" s="16">
        <f t="shared" si="24"/>
        <v>1.104894</v>
      </c>
      <c r="G405" s="7">
        <f t="shared" si="25"/>
        <v>-26620720.177682202</v>
      </c>
      <c r="H405" s="7">
        <f t="shared" si="26"/>
        <v>2792353.8223177977</v>
      </c>
      <c r="I405" s="7" t="str">
        <f>IFERROR((G405/SUMIF(B:B,B405,G:G))*VLOOKUP(B405,'DATOS GENERALES'!G:H,2,0),"")</f>
        <v/>
      </c>
      <c r="J405" s="7" t="str">
        <f t="shared" si="27"/>
        <v/>
      </c>
      <c r="K405" s="16"/>
      <c r="L405" s="16"/>
      <c r="M405" s="16"/>
    </row>
    <row r="406" spans="1:13" x14ac:dyDescent="0.25">
      <c r="A406" s="16">
        <v>1618</v>
      </c>
      <c r="B406" s="6">
        <v>43466</v>
      </c>
      <c r="C406" s="16" t="s">
        <v>195</v>
      </c>
      <c r="D406" s="7">
        <f>SUMIFS('DATOS PROYECCIÓN'!$F:$F,'DATOS PROYECCIÓN'!A:A,A406,'DATOS PROYECCIÓN'!B:B,B406)</f>
        <v>33554950.015926875</v>
      </c>
      <c r="E406" s="13">
        <f>VLOOKUP(A406,'DATOS GENERALES'!A:B,2,0)</f>
        <v>1.97</v>
      </c>
      <c r="F406" s="16">
        <f t="shared" si="24"/>
        <v>1.9609379999999998</v>
      </c>
      <c r="G406" s="7">
        <f t="shared" si="25"/>
        <v>-17111683.294386093</v>
      </c>
      <c r="H406" s="7">
        <f t="shared" si="26"/>
        <v>16443266.721540783</v>
      </c>
      <c r="I406" s="7">
        <f>IFERROR((G406/SUMIF(B:B,B406,G:G))*VLOOKUP(B406,'DATOS GENERALES'!G:H,2,0),"")</f>
        <v>-3754617.2246648986</v>
      </c>
      <c r="J406" s="7">
        <f t="shared" si="27"/>
        <v>12688649.496875884</v>
      </c>
      <c r="K406" s="16"/>
      <c r="L406" s="16"/>
      <c r="M406" s="16"/>
    </row>
    <row r="407" spans="1:13" x14ac:dyDescent="0.25">
      <c r="A407" s="16">
        <v>1618</v>
      </c>
      <c r="B407" s="6">
        <v>43497</v>
      </c>
      <c r="C407" s="16" t="s">
        <v>195</v>
      </c>
      <c r="D407" s="7">
        <f>SUMIFS('DATOS PROYECCIÓN'!$F:$F,'DATOS PROYECCIÓN'!A:A,A407,'DATOS PROYECCIÓN'!B:B,B407)</f>
        <v>13267655.116172869</v>
      </c>
      <c r="E407" s="13">
        <f>VLOOKUP(A407,'DATOS GENERALES'!A:B,2,0)</f>
        <v>1.97</v>
      </c>
      <c r="F407" s="16">
        <f t="shared" si="24"/>
        <v>1.9609379999999998</v>
      </c>
      <c r="G407" s="7">
        <f t="shared" si="25"/>
        <v>-6765973.7922223294</v>
      </c>
      <c r="H407" s="7">
        <f t="shared" si="26"/>
        <v>6501681.3239505393</v>
      </c>
      <c r="I407" s="7">
        <f>IFERROR((G407/SUMIF(B:B,B407,G:G))*VLOOKUP(B407,'DATOS GENERALES'!G:H,2,0),"")</f>
        <v>-1462518.3307391868</v>
      </c>
      <c r="J407" s="7">
        <f t="shared" si="27"/>
        <v>5039162.9932113523</v>
      </c>
      <c r="K407" s="16"/>
      <c r="L407" s="16"/>
      <c r="M407" s="16"/>
    </row>
    <row r="408" spans="1:13" x14ac:dyDescent="0.25">
      <c r="A408" s="16">
        <v>1715</v>
      </c>
      <c r="B408" s="6">
        <v>43466</v>
      </c>
      <c r="C408" s="16" t="s">
        <v>195</v>
      </c>
      <c r="D408" s="7">
        <f>SUMIFS('DATOS PROYECCIÓN'!$F:$F,'DATOS PROYECCIÓN'!A:A,A408,'DATOS PROYECCIÓN'!B:B,B408)</f>
        <v>55849596.75</v>
      </c>
      <c r="E408" s="13">
        <f>VLOOKUP(A408,'DATOS GENERALES'!A:B,2,0)</f>
        <v>1.93</v>
      </c>
      <c r="F408" s="16">
        <f t="shared" si="24"/>
        <v>1.9211219999999998</v>
      </c>
      <c r="G408" s="7">
        <f t="shared" si="25"/>
        <v>-29071343.074515834</v>
      </c>
      <c r="H408" s="7">
        <f t="shared" si="26"/>
        <v>26778253.675484166</v>
      </c>
      <c r="I408" s="7">
        <f>IFERROR((G408/SUMIF(B:B,B408,G:G))*VLOOKUP(B408,'DATOS GENERALES'!G:H,2,0),"")</f>
        <v>-6378785.977620896</v>
      </c>
      <c r="J408" s="7">
        <f t="shared" si="27"/>
        <v>20399467.69786327</v>
      </c>
      <c r="K408" s="16"/>
      <c r="L408" s="16"/>
      <c r="M408" s="16"/>
    </row>
    <row r="409" spans="1:13" x14ac:dyDescent="0.25">
      <c r="A409" s="16">
        <v>1715</v>
      </c>
      <c r="B409" s="6">
        <v>43497</v>
      </c>
      <c r="C409" s="16" t="s">
        <v>195</v>
      </c>
      <c r="D409" s="7">
        <f>SUMIFS('DATOS PROYECCIÓN'!$F:$F,'DATOS PROYECCIÓN'!A:A,A409,'DATOS PROYECCIÓN'!B:B,B409)</f>
        <v>55849596.75</v>
      </c>
      <c r="E409" s="13">
        <f>VLOOKUP(A409,'DATOS GENERALES'!A:B,2,0)</f>
        <v>1.93</v>
      </c>
      <c r="F409" s="16">
        <f t="shared" si="24"/>
        <v>1.9211219999999998</v>
      </c>
      <c r="G409" s="7">
        <f t="shared" si="25"/>
        <v>-29071343.074515834</v>
      </c>
      <c r="H409" s="7">
        <f t="shared" si="26"/>
        <v>26778253.675484166</v>
      </c>
      <c r="I409" s="7">
        <f>IFERROR((G409/SUMIF(B:B,B409,G:G))*VLOOKUP(B409,'DATOS GENERALES'!G:H,2,0),"")</f>
        <v>-6283998.9410780743</v>
      </c>
      <c r="J409" s="7">
        <f t="shared" si="27"/>
        <v>20494254.734406091</v>
      </c>
      <c r="K409" s="16"/>
      <c r="L409" s="16"/>
      <c r="M409" s="16"/>
    </row>
    <row r="410" spans="1:13" x14ac:dyDescent="0.25">
      <c r="A410" s="16">
        <v>1715</v>
      </c>
      <c r="B410" s="6">
        <v>43525</v>
      </c>
      <c r="C410" s="16" t="s">
        <v>195</v>
      </c>
      <c r="D410" s="7">
        <f>SUMIFS('DATOS PROYECCIÓN'!$F:$F,'DATOS PROYECCIÓN'!A:A,A410,'DATOS PROYECCIÓN'!B:B,B410)</f>
        <v>55849596.75</v>
      </c>
      <c r="E410" s="13">
        <f>VLOOKUP(A410,'DATOS GENERALES'!A:B,2,0)</f>
        <v>1.93</v>
      </c>
      <c r="F410" s="16">
        <f t="shared" si="24"/>
        <v>1.9211219999999998</v>
      </c>
      <c r="G410" s="7">
        <f t="shared" si="25"/>
        <v>-29071343.074515834</v>
      </c>
      <c r="H410" s="7">
        <f t="shared" si="26"/>
        <v>26778253.675484166</v>
      </c>
      <c r="I410" s="7">
        <f>IFERROR((G410/SUMIF(B:B,B410,G:G))*VLOOKUP(B410,'DATOS GENERALES'!G:H,2,0),"")</f>
        <v>-4546395.294261572</v>
      </c>
      <c r="J410" s="7">
        <f t="shared" si="27"/>
        <v>22231858.381222595</v>
      </c>
      <c r="K410" s="16"/>
      <c r="L410" s="16"/>
      <c r="M410" s="16"/>
    </row>
    <row r="411" spans="1:13" x14ac:dyDescent="0.25">
      <c r="A411" s="16">
        <v>1837</v>
      </c>
      <c r="B411" s="6">
        <v>43466</v>
      </c>
      <c r="C411" s="16" t="s">
        <v>195</v>
      </c>
      <c r="D411" s="7">
        <f>SUMIFS('DATOS PROYECCIÓN'!$F:$F,'DATOS PROYECCIÓN'!A:A,A411,'DATOS PROYECCIÓN'!B:B,B411)</f>
        <v>24433339.875</v>
      </c>
      <c r="E411" s="13">
        <f>VLOOKUP(A411,'DATOS GENERALES'!A:B,2,0)</f>
        <v>1.98</v>
      </c>
      <c r="F411" s="16">
        <f t="shared" si="24"/>
        <v>1.9708919999999999</v>
      </c>
      <c r="G411" s="7">
        <f t="shared" si="25"/>
        <v>-12397097.291480204</v>
      </c>
      <c r="H411" s="7">
        <f t="shared" si="26"/>
        <v>12036242.583519796</v>
      </c>
      <c r="I411" s="7">
        <f>IFERROR((G411/SUMIF(B:B,B411,G:G))*VLOOKUP(B411,'DATOS GENERALES'!G:H,2,0),"")</f>
        <v>-2720150.5676363707</v>
      </c>
      <c r="J411" s="7">
        <f t="shared" si="27"/>
        <v>9316092.0158834253</v>
      </c>
      <c r="K411" s="16"/>
      <c r="L411" s="16"/>
      <c r="M411" s="16"/>
    </row>
    <row r="412" spans="1:13" x14ac:dyDescent="0.25">
      <c r="A412" s="16">
        <v>1837</v>
      </c>
      <c r="B412" s="6">
        <v>43497</v>
      </c>
      <c r="C412" s="16" t="s">
        <v>195</v>
      </c>
      <c r="D412" s="7">
        <f>SUMIFS('DATOS PROYECCIÓN'!$F:$F,'DATOS PROYECCIÓN'!A:A,A412,'DATOS PROYECCIÓN'!B:B,B412)</f>
        <v>24433339.875</v>
      </c>
      <c r="E412" s="13">
        <f>VLOOKUP(A412,'DATOS GENERALES'!A:B,2,0)</f>
        <v>1.98</v>
      </c>
      <c r="F412" s="16">
        <f t="shared" si="24"/>
        <v>1.9708919999999999</v>
      </c>
      <c r="G412" s="7">
        <f t="shared" si="25"/>
        <v>-12397097.291480204</v>
      </c>
      <c r="H412" s="7">
        <f t="shared" si="26"/>
        <v>12036242.583519796</v>
      </c>
      <c r="I412" s="7">
        <f>IFERROR((G412/SUMIF(B:B,B412,G:G))*VLOOKUP(B412,'DATOS GENERALES'!G:H,2,0),"")</f>
        <v>-2679729.8649883894</v>
      </c>
      <c r="J412" s="7">
        <f t="shared" si="27"/>
        <v>9356512.7185314074</v>
      </c>
      <c r="K412" s="16"/>
      <c r="L412" s="16"/>
      <c r="M412" s="16"/>
    </row>
    <row r="413" spans="1:13" x14ac:dyDescent="0.25">
      <c r="A413" s="16">
        <v>1845</v>
      </c>
      <c r="B413" s="6">
        <v>43497</v>
      </c>
      <c r="C413" s="16" t="s">
        <v>195</v>
      </c>
      <c r="D413" s="7">
        <f>SUMIFS('DATOS PROYECCIÓN'!$F:$F,'DATOS PROYECCIÓN'!A:A,A413,'DATOS PROYECCIÓN'!B:B,B413)</f>
        <v>43907512.694785044</v>
      </c>
      <c r="E413" s="13">
        <f>VLOOKUP(A413,'DATOS GENERALES'!A:B,2,0)</f>
        <v>1</v>
      </c>
      <c r="F413" s="16">
        <f t="shared" si="24"/>
        <v>0.99539999999999995</v>
      </c>
      <c r="G413" s="7">
        <f t="shared" si="25"/>
        <v>-44110420.62968158</v>
      </c>
      <c r="H413" s="7">
        <f t="shared" si="26"/>
        <v>-202907.93489653617</v>
      </c>
      <c r="I413" s="7">
        <f>IFERROR((G413/SUMIF(B:B,B413,G:G))*VLOOKUP(B413,'DATOS GENERALES'!G:H,2,0),"")</f>
        <v>-9534813.5728346948</v>
      </c>
      <c r="J413" s="7">
        <f t="shared" si="27"/>
        <v>-9737721.5077312309</v>
      </c>
      <c r="K413" s="16"/>
      <c r="L413" s="16"/>
      <c r="M413" s="16"/>
    </row>
    <row r="414" spans="1:13" x14ac:dyDescent="0.25">
      <c r="A414" s="16">
        <v>1845</v>
      </c>
      <c r="B414" s="6">
        <v>43525</v>
      </c>
      <c r="C414" s="16" t="s">
        <v>195</v>
      </c>
      <c r="D414" s="7">
        <f>SUMIFS('DATOS PROYECCIÓN'!$F:$F,'DATOS PROYECCIÓN'!A:A,A414,'DATOS PROYECCIÓN'!B:B,B414)</f>
        <v>43907512.694785044</v>
      </c>
      <c r="E414" s="13">
        <f>VLOOKUP(A414,'DATOS GENERALES'!A:B,2,0)</f>
        <v>1</v>
      </c>
      <c r="F414" s="16">
        <f t="shared" si="24"/>
        <v>0.99539999999999995</v>
      </c>
      <c r="G414" s="7">
        <f t="shared" si="25"/>
        <v>-44110420.62968158</v>
      </c>
      <c r="H414" s="7">
        <f t="shared" si="26"/>
        <v>-202907.93489653617</v>
      </c>
      <c r="I414" s="7">
        <f>IFERROR((G414/SUMIF(B:B,B414,G:G))*VLOOKUP(B414,'DATOS GENERALES'!G:H,2,0),"")</f>
        <v>-6898319.3609132143</v>
      </c>
      <c r="J414" s="7">
        <f t="shared" si="27"/>
        <v>-7101227.2958097504</v>
      </c>
      <c r="K414" s="16"/>
      <c r="L414" s="16"/>
      <c r="M414" s="16"/>
    </row>
    <row r="415" spans="1:13" x14ac:dyDescent="0.25">
      <c r="A415" s="16">
        <v>1845</v>
      </c>
      <c r="B415" s="6">
        <v>43556</v>
      </c>
      <c r="C415" s="16" t="s">
        <v>195</v>
      </c>
      <c r="D415" s="7">
        <f>SUMIFS('DATOS PROYECCIÓN'!$F:$F,'DATOS PROYECCIÓN'!A:A,A415,'DATOS PROYECCIÓN'!B:B,B415)</f>
        <v>43907512.694785044</v>
      </c>
      <c r="E415" s="13">
        <f>VLOOKUP(A415,'DATOS GENERALES'!A:B,2,0)</f>
        <v>1</v>
      </c>
      <c r="F415" s="16">
        <f t="shared" si="24"/>
        <v>0.99539999999999995</v>
      </c>
      <c r="G415" s="7">
        <f t="shared" si="25"/>
        <v>-44110420.62968158</v>
      </c>
      <c r="H415" s="7">
        <f t="shared" si="26"/>
        <v>-202907.93489653617</v>
      </c>
      <c r="I415" s="7">
        <f>IFERROR((G415/SUMIF(B:B,B415,G:G))*VLOOKUP(B415,'DATOS GENERALES'!G:H,2,0),"")</f>
        <v>-7091992.2167569455</v>
      </c>
      <c r="J415" s="7">
        <f t="shared" si="27"/>
        <v>-7294900.1516534816</v>
      </c>
      <c r="K415" s="16"/>
      <c r="L415" s="16"/>
      <c r="M415" s="16"/>
    </row>
    <row r="416" spans="1:13" x14ac:dyDescent="0.25">
      <c r="A416" s="16">
        <v>1845</v>
      </c>
      <c r="B416" s="6">
        <v>43586</v>
      </c>
      <c r="C416" s="16" t="s">
        <v>195</v>
      </c>
      <c r="D416" s="7">
        <f>SUMIFS('DATOS PROYECCIÓN'!$F:$F,'DATOS PROYECCIÓN'!A:A,A416,'DATOS PROYECCIÓN'!B:B,B416)</f>
        <v>43907512.694785044</v>
      </c>
      <c r="E416" s="13">
        <f>VLOOKUP(A416,'DATOS GENERALES'!A:B,2,0)</f>
        <v>1</v>
      </c>
      <c r="F416" s="16">
        <f t="shared" si="24"/>
        <v>0.99539999999999995</v>
      </c>
      <c r="G416" s="7">
        <f t="shared" si="25"/>
        <v>-44110420.62968158</v>
      </c>
      <c r="H416" s="7">
        <f t="shared" si="26"/>
        <v>-202907.93489653617</v>
      </c>
      <c r="I416" s="7">
        <f>IFERROR((G416/SUMIF(B:B,B416,G:G))*VLOOKUP(B416,'DATOS GENERALES'!G:H,2,0),"")</f>
        <v>-5850397.6042798823</v>
      </c>
      <c r="J416" s="7">
        <f t="shared" si="27"/>
        <v>-6053305.5391764184</v>
      </c>
      <c r="K416" s="16"/>
      <c r="L416" s="16"/>
      <c r="M416" s="16"/>
    </row>
    <row r="417" spans="1:13" x14ac:dyDescent="0.25">
      <c r="A417" s="16">
        <v>1845</v>
      </c>
      <c r="B417" s="6">
        <v>43617</v>
      </c>
      <c r="C417" s="16" t="s">
        <v>195</v>
      </c>
      <c r="D417" s="7">
        <f>SUMIFS('DATOS PROYECCIÓN'!$F:$F,'DATOS PROYECCIÓN'!A:A,A417,'DATOS PROYECCIÓN'!B:B,B417)</f>
        <v>43907512.694785044</v>
      </c>
      <c r="E417" s="13">
        <f>VLOOKUP(A417,'DATOS GENERALES'!A:B,2,0)</f>
        <v>1</v>
      </c>
      <c r="F417" s="16">
        <f t="shared" si="24"/>
        <v>0.99539999999999995</v>
      </c>
      <c r="G417" s="7">
        <f t="shared" si="25"/>
        <v>-44110420.62968158</v>
      </c>
      <c r="H417" s="7">
        <f t="shared" si="26"/>
        <v>-202907.93489653617</v>
      </c>
      <c r="I417" s="7">
        <f>IFERROR((G417/SUMIF(B:B,B417,G:G))*VLOOKUP(B417,'DATOS GENERALES'!G:H,2,0),"")</f>
        <v>-7867414.7055124799</v>
      </c>
      <c r="J417" s="7">
        <f t="shared" si="27"/>
        <v>-8070322.6404090161</v>
      </c>
      <c r="K417" s="16"/>
      <c r="L417" s="16"/>
      <c r="M417" s="16"/>
    </row>
    <row r="418" spans="1:13" x14ac:dyDescent="0.25">
      <c r="A418" s="16">
        <v>1845</v>
      </c>
      <c r="B418" s="6">
        <v>43647</v>
      </c>
      <c r="C418" s="16" t="s">
        <v>195</v>
      </c>
      <c r="D418" s="7">
        <f>SUMIFS('DATOS PROYECCIÓN'!$F:$F,'DATOS PROYECCIÓN'!A:A,A418,'DATOS PROYECCIÓN'!B:B,B418)</f>
        <v>43907512.694785044</v>
      </c>
      <c r="E418" s="13">
        <f>VLOOKUP(A418,'DATOS GENERALES'!A:B,2,0)</f>
        <v>1</v>
      </c>
      <c r="F418" s="16">
        <f t="shared" si="24"/>
        <v>0.99539999999999995</v>
      </c>
      <c r="G418" s="7">
        <f t="shared" si="25"/>
        <v>-44110420.62968158</v>
      </c>
      <c r="H418" s="7">
        <f t="shared" si="26"/>
        <v>-202907.93489653617</v>
      </c>
      <c r="I418" s="7">
        <f>IFERROR((G418/SUMIF(B:B,B418,G:G))*VLOOKUP(B418,'DATOS GENERALES'!G:H,2,0),"")</f>
        <v>-11732636.40487621</v>
      </c>
      <c r="J418" s="7">
        <f t="shared" si="27"/>
        <v>-11935544.339772746</v>
      </c>
      <c r="K418" s="16"/>
      <c r="L418" s="16"/>
      <c r="M418" s="16"/>
    </row>
    <row r="419" spans="1:13" x14ac:dyDescent="0.25">
      <c r="A419" s="16">
        <v>1845</v>
      </c>
      <c r="B419" s="6">
        <v>43678</v>
      </c>
      <c r="C419" s="16" t="s">
        <v>195</v>
      </c>
      <c r="D419" s="7">
        <f>SUMIFS('DATOS PROYECCIÓN'!$F:$F,'DATOS PROYECCIÓN'!A:A,A419,'DATOS PROYECCIÓN'!B:B,B419)</f>
        <v>43907512.694785044</v>
      </c>
      <c r="E419" s="13">
        <f>VLOOKUP(A419,'DATOS GENERALES'!A:B,2,0)</f>
        <v>1</v>
      </c>
      <c r="F419" s="16">
        <f t="shared" si="24"/>
        <v>0.99539999999999995</v>
      </c>
      <c r="G419" s="7">
        <f t="shared" si="25"/>
        <v>-44110420.62968158</v>
      </c>
      <c r="H419" s="7">
        <f t="shared" si="26"/>
        <v>-202907.93489653617</v>
      </c>
      <c r="I419" s="7">
        <f>IFERROR((G419/SUMIF(B:B,B419,G:G))*VLOOKUP(B419,'DATOS GENERALES'!G:H,2,0),"")</f>
        <v>-11545339.597790498</v>
      </c>
      <c r="J419" s="7">
        <f t="shared" si="27"/>
        <v>-11748247.532687034</v>
      </c>
      <c r="K419" s="16"/>
      <c r="L419" s="16"/>
      <c r="M419" s="16"/>
    </row>
    <row r="420" spans="1:13" x14ac:dyDescent="0.25">
      <c r="A420" s="16">
        <v>1385</v>
      </c>
      <c r="B420" s="6">
        <v>43466</v>
      </c>
      <c r="C420" s="16" t="s">
        <v>195</v>
      </c>
      <c r="D420" s="7">
        <f>SUMIFS('DATOS PROYECCIÓN'!$F:$F,'DATOS PROYECCIÓN'!A:A,A420,'DATOS PROYECCIÓN'!B:B,B420)</f>
        <v>134267225.40000004</v>
      </c>
      <c r="E420" s="13">
        <f>VLOOKUP(A420,'DATOS GENERALES'!A:B,2,0)</f>
        <v>1.64</v>
      </c>
      <c r="F420" s="16">
        <f t="shared" si="24"/>
        <v>1.6324559999999999</v>
      </c>
      <c r="G420" s="7">
        <f t="shared" si="25"/>
        <v>-82248602.963877767</v>
      </c>
      <c r="H420" s="7">
        <f t="shared" si="26"/>
        <v>52018622.436122268</v>
      </c>
      <c r="I420" s="7">
        <f>IFERROR((G420/SUMIF(B:B,B420,G:G))*VLOOKUP(B420,'DATOS GENERALES'!G:H,2,0),"")</f>
        <v>-18046852.321893618</v>
      </c>
      <c r="J420" s="7">
        <f t="shared" si="27"/>
        <v>33971770.114228651</v>
      </c>
      <c r="K420" s="16"/>
      <c r="L420" s="16"/>
      <c r="M420" s="16"/>
    </row>
    <row r="421" spans="1:13" x14ac:dyDescent="0.25">
      <c r="A421" s="16">
        <v>1385</v>
      </c>
      <c r="B421" s="6">
        <v>43497</v>
      </c>
      <c r="C421" s="16" t="s">
        <v>195</v>
      </c>
      <c r="D421" s="7">
        <f>SUMIFS('DATOS PROYECCIÓN'!$F:$F,'DATOS PROYECCIÓN'!A:A,A421,'DATOS PROYECCIÓN'!B:B,B421)</f>
        <v>134267225.40000004</v>
      </c>
      <c r="E421" s="13">
        <f>VLOOKUP(A421,'DATOS GENERALES'!A:B,2,0)</f>
        <v>1.64</v>
      </c>
      <c r="F421" s="16">
        <f t="shared" si="24"/>
        <v>1.6324559999999999</v>
      </c>
      <c r="G421" s="7">
        <f t="shared" si="25"/>
        <v>-82248602.963877767</v>
      </c>
      <c r="H421" s="7">
        <f t="shared" si="26"/>
        <v>52018622.436122268</v>
      </c>
      <c r="I421" s="7">
        <f>IFERROR((G421/SUMIF(B:B,B421,G:G))*VLOOKUP(B421,'DATOS GENERALES'!G:H,2,0),"")</f>
        <v>-17778680.971338872</v>
      </c>
      <c r="J421" s="7">
        <f t="shared" si="27"/>
        <v>34239941.4647834</v>
      </c>
      <c r="K421" s="16"/>
      <c r="L421" s="16"/>
      <c r="M421" s="16"/>
    </row>
    <row r="422" spans="1:13" x14ac:dyDescent="0.25">
      <c r="A422" s="16">
        <v>1385</v>
      </c>
      <c r="B422" s="6">
        <v>43525</v>
      </c>
      <c r="C422" s="16" t="s">
        <v>195</v>
      </c>
      <c r="D422" s="7">
        <f>SUMIFS('DATOS PROYECCIÓN'!$F:$F,'DATOS PROYECCIÓN'!A:A,A422,'DATOS PROYECCIÓN'!B:B,B422)</f>
        <v>134267225.40000004</v>
      </c>
      <c r="E422" s="13">
        <f>VLOOKUP(A422,'DATOS GENERALES'!A:B,2,0)</f>
        <v>1.64</v>
      </c>
      <c r="F422" s="16">
        <f t="shared" si="24"/>
        <v>1.6324559999999999</v>
      </c>
      <c r="G422" s="7">
        <f t="shared" si="25"/>
        <v>-82248602.963877767</v>
      </c>
      <c r="H422" s="7">
        <f t="shared" si="26"/>
        <v>52018622.436122268</v>
      </c>
      <c r="I422" s="7">
        <f>IFERROR((G422/SUMIF(B:B,B422,G:G))*VLOOKUP(B422,'DATOS GENERALES'!G:H,2,0),"")</f>
        <v>-12862655.1761331</v>
      </c>
      <c r="J422" s="7">
        <f t="shared" si="27"/>
        <v>39155967.259989172</v>
      </c>
      <c r="K422" s="16"/>
      <c r="L422" s="16"/>
      <c r="M422" s="16"/>
    </row>
    <row r="423" spans="1:13" x14ac:dyDescent="0.25">
      <c r="A423" s="16">
        <v>1385</v>
      </c>
      <c r="B423" s="6">
        <v>43556</v>
      </c>
      <c r="C423" s="16" t="s">
        <v>195</v>
      </c>
      <c r="D423" s="7">
        <f>SUMIFS('DATOS PROYECCIÓN'!$F:$F,'DATOS PROYECCIÓN'!A:A,A423,'DATOS PROYECCIÓN'!B:B,B423)</f>
        <v>134267225.40000004</v>
      </c>
      <c r="E423" s="13">
        <f>VLOOKUP(A423,'DATOS GENERALES'!A:B,2,0)</f>
        <v>1.64</v>
      </c>
      <c r="F423" s="16">
        <f t="shared" si="24"/>
        <v>1.6324559999999999</v>
      </c>
      <c r="G423" s="7">
        <f t="shared" si="25"/>
        <v>-82248602.963877767</v>
      </c>
      <c r="H423" s="7">
        <f t="shared" si="26"/>
        <v>52018622.436122268</v>
      </c>
      <c r="I423" s="7">
        <f>IFERROR((G423/SUMIF(B:B,B423,G:G))*VLOOKUP(B423,'DATOS GENERALES'!G:H,2,0),"")</f>
        <v>-13223778.955906186</v>
      </c>
      <c r="J423" s="7">
        <f t="shared" si="27"/>
        <v>38794843.480216086</v>
      </c>
      <c r="K423" s="16"/>
      <c r="L423" s="16"/>
      <c r="M423" s="16"/>
    </row>
    <row r="424" spans="1:13" x14ac:dyDescent="0.25">
      <c r="A424" s="16">
        <v>1385</v>
      </c>
      <c r="B424" s="6">
        <v>43586</v>
      </c>
      <c r="C424" s="16" t="s">
        <v>195</v>
      </c>
      <c r="D424" s="7">
        <f>SUMIFS('DATOS PROYECCIÓN'!$F:$F,'DATOS PROYECCIÓN'!A:A,A424,'DATOS PROYECCIÓN'!B:B,B424)</f>
        <v>134267225.40000004</v>
      </c>
      <c r="E424" s="13">
        <f>VLOOKUP(A424,'DATOS GENERALES'!A:B,2,0)</f>
        <v>1.64</v>
      </c>
      <c r="F424" s="16">
        <f t="shared" si="24"/>
        <v>1.6324559999999999</v>
      </c>
      <c r="G424" s="7">
        <f t="shared" si="25"/>
        <v>-82248602.963877767</v>
      </c>
      <c r="H424" s="7">
        <f t="shared" si="26"/>
        <v>52018622.436122268</v>
      </c>
      <c r="I424" s="7">
        <f>IFERROR((G424/SUMIF(B:B,B424,G:G))*VLOOKUP(B424,'DATOS GENERALES'!G:H,2,0),"")</f>
        <v>-10908692.840971244</v>
      </c>
      <c r="J424" s="7">
        <f t="shared" si="27"/>
        <v>41109929.595151022</v>
      </c>
      <c r="K424" s="16"/>
      <c r="L424" s="16"/>
      <c r="M424" s="16"/>
    </row>
    <row r="425" spans="1:13" x14ac:dyDescent="0.25">
      <c r="A425" s="16">
        <v>1899</v>
      </c>
      <c r="B425" s="6">
        <v>43525</v>
      </c>
      <c r="C425" s="16" t="s">
        <v>195</v>
      </c>
      <c r="D425" s="7">
        <f>SUMIFS('DATOS PROYECCIÓN'!$F:$F,'DATOS PROYECCIÓN'!A:A,A425,'DATOS PROYECCIÓN'!B:B,B425)</f>
        <v>63859391.18</v>
      </c>
      <c r="E425" s="13">
        <f>VLOOKUP(A425,'DATOS GENERALES'!A:B,2,0)</f>
        <v>0.75</v>
      </c>
      <c r="F425" s="16">
        <f t="shared" si="24"/>
        <v>0.74654999999999994</v>
      </c>
      <c r="G425" s="7">
        <f t="shared" si="25"/>
        <v>-85539335.851583958</v>
      </c>
      <c r="H425" s="7">
        <f t="shared" si="26"/>
        <v>-21679944.671583958</v>
      </c>
      <c r="I425" s="7">
        <f>IFERROR((G425/SUMIF(B:B,B425,G:G))*VLOOKUP(B425,'DATOS GENERALES'!G:H,2,0),"")</f>
        <v>-13377284.736831108</v>
      </c>
      <c r="J425" s="7">
        <f t="shared" si="27"/>
        <v>-35057229.408415064</v>
      </c>
      <c r="K425" s="16"/>
      <c r="L425" s="16"/>
      <c r="M425" s="16"/>
    </row>
    <row r="426" spans="1:13" x14ac:dyDescent="0.25">
      <c r="A426" s="16">
        <v>1899</v>
      </c>
      <c r="B426" s="6">
        <v>43556</v>
      </c>
      <c r="C426" s="16" t="s">
        <v>195</v>
      </c>
      <c r="D426" s="7">
        <f>SUMIFS('DATOS PROYECCIÓN'!$F:$F,'DATOS PROYECCIÓN'!A:A,A426,'DATOS PROYECCIÓN'!B:B,B426)</f>
        <v>63859391.18</v>
      </c>
      <c r="E426" s="13">
        <f>VLOOKUP(A426,'DATOS GENERALES'!A:B,2,0)</f>
        <v>0.75</v>
      </c>
      <c r="F426" s="16">
        <f t="shared" si="24"/>
        <v>0.74654999999999994</v>
      </c>
      <c r="G426" s="7">
        <f t="shared" si="25"/>
        <v>-85539335.851583958</v>
      </c>
      <c r="H426" s="7">
        <f t="shared" si="26"/>
        <v>-21679944.671583958</v>
      </c>
      <c r="I426" s="7">
        <f>IFERROR((G426/SUMIF(B:B,B426,G:G))*VLOOKUP(B426,'DATOS GENERALES'!G:H,2,0),"")</f>
        <v>-13752856.930994334</v>
      </c>
      <c r="J426" s="7">
        <f t="shared" si="27"/>
        <v>-35432801.60257829</v>
      </c>
      <c r="K426" s="16"/>
      <c r="L426" s="16"/>
      <c r="M426" s="16"/>
    </row>
    <row r="427" spans="1:13" x14ac:dyDescent="0.25">
      <c r="A427" s="16">
        <v>1899</v>
      </c>
      <c r="B427" s="6">
        <v>43586</v>
      </c>
      <c r="C427" s="16" t="s">
        <v>195</v>
      </c>
      <c r="D427" s="7">
        <f>SUMIFS('DATOS PROYECCIÓN'!$F:$F,'DATOS PROYECCIÓN'!A:A,A427,'DATOS PROYECCIÓN'!B:B,B427)</f>
        <v>63859391.18</v>
      </c>
      <c r="E427" s="13">
        <f>VLOOKUP(A427,'DATOS GENERALES'!A:B,2,0)</f>
        <v>0.75</v>
      </c>
      <c r="F427" s="16">
        <f t="shared" si="24"/>
        <v>0.74654999999999994</v>
      </c>
      <c r="G427" s="7">
        <f t="shared" si="25"/>
        <v>-85539335.851583958</v>
      </c>
      <c r="H427" s="7">
        <f t="shared" si="26"/>
        <v>-21679944.671583958</v>
      </c>
      <c r="I427" s="7">
        <f>IFERROR((G427/SUMIF(B:B,B427,G:G))*VLOOKUP(B427,'DATOS GENERALES'!G:H,2,0),"")</f>
        <v>-11345145.169644045</v>
      </c>
      <c r="J427" s="7">
        <f t="shared" si="27"/>
        <v>-33025089.841228001</v>
      </c>
      <c r="K427" s="16"/>
      <c r="L427" s="16"/>
      <c r="M427" s="16"/>
    </row>
    <row r="428" spans="1:13" x14ac:dyDescent="0.25">
      <c r="A428" s="16">
        <v>1899</v>
      </c>
      <c r="B428" s="6">
        <v>43617</v>
      </c>
      <c r="C428" s="16" t="s">
        <v>195</v>
      </c>
      <c r="D428" s="7">
        <f>SUMIFS('DATOS PROYECCIÓN'!$F:$F,'DATOS PROYECCIÓN'!A:A,A428,'DATOS PROYECCIÓN'!B:B,B428)</f>
        <v>60800628.68</v>
      </c>
      <c r="E428" s="13">
        <f>VLOOKUP(A428,'DATOS GENERALES'!A:B,2,0)</f>
        <v>0.75</v>
      </c>
      <c r="F428" s="16">
        <f t="shared" si="24"/>
        <v>0.74654999999999994</v>
      </c>
      <c r="G428" s="7">
        <f t="shared" si="25"/>
        <v>-81442138.744893178</v>
      </c>
      <c r="H428" s="7">
        <f t="shared" si="26"/>
        <v>-20641510.064893179</v>
      </c>
      <c r="I428" s="7">
        <f>IFERROR((G428/SUMIF(B:B,B428,G:G))*VLOOKUP(B428,'DATOS GENERALES'!G:H,2,0),"")</f>
        <v>-14525798.459033774</v>
      </c>
      <c r="J428" s="7">
        <f t="shared" si="27"/>
        <v>-35167308.523926951</v>
      </c>
      <c r="K428" s="16"/>
      <c r="L428" s="16"/>
      <c r="M428" s="16"/>
    </row>
    <row r="429" spans="1:13" x14ac:dyDescent="0.25">
      <c r="A429" s="16">
        <v>1899</v>
      </c>
      <c r="B429" s="6">
        <v>43647</v>
      </c>
      <c r="C429" s="16" t="s">
        <v>195</v>
      </c>
      <c r="D429" s="7">
        <f>SUMIFS('DATOS PROYECCIÓN'!$F:$F,'DATOS PROYECCIÓN'!A:A,A429,'DATOS PROYECCIÓN'!B:B,B429)</f>
        <v>60800628.68</v>
      </c>
      <c r="E429" s="13">
        <f>VLOOKUP(A429,'DATOS GENERALES'!A:B,2,0)</f>
        <v>0.75</v>
      </c>
      <c r="F429" s="16">
        <f t="shared" si="24"/>
        <v>0.74654999999999994</v>
      </c>
      <c r="G429" s="7">
        <f t="shared" si="25"/>
        <v>-81442138.744893178</v>
      </c>
      <c r="H429" s="7">
        <f t="shared" si="26"/>
        <v>-20641510.064893179</v>
      </c>
      <c r="I429" s="7">
        <f>IFERROR((G429/SUMIF(B:B,B429,G:G))*VLOOKUP(B429,'DATOS GENERALES'!G:H,2,0),"")</f>
        <v>-21662250.966755535</v>
      </c>
      <c r="J429" s="7">
        <f t="shared" si="27"/>
        <v>-42303761.03164871</v>
      </c>
      <c r="K429" s="16"/>
      <c r="L429" s="16"/>
      <c r="M429" s="16"/>
    </row>
    <row r="430" spans="1:13" x14ac:dyDescent="0.25">
      <c r="A430" s="16">
        <v>1899</v>
      </c>
      <c r="B430" s="6">
        <v>43678</v>
      </c>
      <c r="C430" s="16" t="s">
        <v>195</v>
      </c>
      <c r="D430" s="7">
        <f>SUMIFS('DATOS PROYECCIÓN'!$F:$F,'DATOS PROYECCIÓN'!A:A,A430,'DATOS PROYECCIÓN'!B:B,B430)</f>
        <v>64680316.519999996</v>
      </c>
      <c r="E430" s="13">
        <f>VLOOKUP(A430,'DATOS GENERALES'!A:B,2,0)</f>
        <v>0.75</v>
      </c>
      <c r="F430" s="16">
        <f t="shared" si="24"/>
        <v>0.74654999999999994</v>
      </c>
      <c r="G430" s="7">
        <f t="shared" si="25"/>
        <v>-86638961.248409346</v>
      </c>
      <c r="H430" s="7">
        <f t="shared" si="26"/>
        <v>-21958644.72840935</v>
      </c>
      <c r="I430" s="7">
        <f>IFERROR((G430/SUMIF(B:B,B430,G:G))*VLOOKUP(B430,'DATOS GENERALES'!G:H,2,0),"")</f>
        <v>-22676642.292991839</v>
      </c>
      <c r="J430" s="7">
        <f t="shared" si="27"/>
        <v>-44635287.021401189</v>
      </c>
      <c r="K430" s="16"/>
      <c r="L430" s="16"/>
      <c r="M430" s="16"/>
    </row>
    <row r="431" spans="1:13" x14ac:dyDescent="0.25">
      <c r="A431" s="16">
        <v>1899</v>
      </c>
      <c r="B431" s="6">
        <v>43709</v>
      </c>
      <c r="C431" s="16" t="s">
        <v>195</v>
      </c>
      <c r="D431" s="7">
        <f>SUMIFS('DATOS PROYECCIÓN'!$F:$F,'DATOS PROYECCIÓN'!A:A,A431,'DATOS PROYECCIÓN'!B:B,B431)</f>
        <v>64680316.519999996</v>
      </c>
      <c r="E431" s="13">
        <f>VLOOKUP(A431,'DATOS GENERALES'!A:B,2,0)</f>
        <v>0.75</v>
      </c>
      <c r="F431" s="16">
        <f t="shared" si="24"/>
        <v>0.74654999999999994</v>
      </c>
      <c r="G431" s="7">
        <f t="shared" si="25"/>
        <v>-86638961.248409346</v>
      </c>
      <c r="H431" s="7">
        <f t="shared" si="26"/>
        <v>-21958644.72840935</v>
      </c>
      <c r="I431" s="7">
        <f>IFERROR((G431/SUMIF(B:B,B431,G:G))*VLOOKUP(B431,'DATOS GENERALES'!G:H,2,0),"")</f>
        <v>-25628529.910090804</v>
      </c>
      <c r="J431" s="7">
        <f t="shared" si="27"/>
        <v>-47587174.638500154</v>
      </c>
      <c r="K431" s="16"/>
      <c r="L431" s="16"/>
      <c r="M431" s="16"/>
    </row>
    <row r="432" spans="1:13" x14ac:dyDescent="0.25">
      <c r="A432" s="16">
        <v>1899</v>
      </c>
      <c r="B432" s="6">
        <v>43739</v>
      </c>
      <c r="C432" s="16" t="s">
        <v>195</v>
      </c>
      <c r="D432" s="7">
        <f>SUMIFS('DATOS PROYECCIÓN'!$F:$F,'DATOS PROYECCIÓN'!A:A,A432,'DATOS PROYECCIÓN'!B:B,B432)</f>
        <v>60757039.519999996</v>
      </c>
      <c r="E432" s="13">
        <f>VLOOKUP(A432,'DATOS GENERALES'!A:B,2,0)</f>
        <v>0.75</v>
      </c>
      <c r="F432" s="16">
        <f t="shared" si="24"/>
        <v>0.74654999999999994</v>
      </c>
      <c r="G432" s="7">
        <f t="shared" si="25"/>
        <v>-81383751.282566473</v>
      </c>
      <c r="H432" s="7">
        <f t="shared" si="26"/>
        <v>-20626711.762566477</v>
      </c>
      <c r="I432" s="7">
        <f>IFERROR((G432/SUMIF(B:B,B432,G:G))*VLOOKUP(B432,'DATOS GENERALES'!G:H,2,0),"")</f>
        <v>-26033539.531975053</v>
      </c>
      <c r="J432" s="7">
        <f t="shared" si="27"/>
        <v>-46660251.29454153</v>
      </c>
      <c r="K432" s="16"/>
      <c r="L432" s="16"/>
      <c r="M432" s="16"/>
    </row>
    <row r="433" spans="1:13" x14ac:dyDescent="0.25">
      <c r="A433" s="16">
        <v>1899</v>
      </c>
      <c r="B433" s="6">
        <v>43770</v>
      </c>
      <c r="C433" s="16" t="s">
        <v>195</v>
      </c>
      <c r="D433" s="7">
        <f>SUMIFS('DATOS PROYECCIÓN'!$F:$F,'DATOS PROYECCIÓN'!A:A,A433,'DATOS PROYECCIÓN'!B:B,B433)</f>
        <v>60757039.519999996</v>
      </c>
      <c r="E433" s="13">
        <f>VLOOKUP(A433,'DATOS GENERALES'!A:B,2,0)</f>
        <v>0.75</v>
      </c>
      <c r="F433" s="16">
        <f t="shared" si="24"/>
        <v>0.74654999999999994</v>
      </c>
      <c r="G433" s="7">
        <f t="shared" si="25"/>
        <v>-81383751.282566473</v>
      </c>
      <c r="H433" s="7">
        <f t="shared" si="26"/>
        <v>-20626711.762566477</v>
      </c>
      <c r="I433" s="7">
        <f>IFERROR((G433/SUMIF(B:B,B433,G:G))*VLOOKUP(B433,'DATOS GENERALES'!G:H,2,0),"")</f>
        <v>-34817941.823755637</v>
      </c>
      <c r="J433" s="7">
        <f t="shared" si="27"/>
        <v>-55444653.586322114</v>
      </c>
      <c r="K433" s="16"/>
      <c r="L433" s="16"/>
      <c r="M433" s="16"/>
    </row>
    <row r="434" spans="1:13" x14ac:dyDescent="0.25">
      <c r="A434" s="16">
        <v>1899</v>
      </c>
      <c r="B434" s="6">
        <v>43800</v>
      </c>
      <c r="C434" s="16" t="s">
        <v>195</v>
      </c>
      <c r="D434" s="7">
        <f>SUMIFS('DATOS PROYECCIÓN'!$F:$F,'DATOS PROYECCIÓN'!A:A,A434,'DATOS PROYECCIÓN'!B:B,B434)</f>
        <v>60757039.519999996</v>
      </c>
      <c r="E434" s="13">
        <f>VLOOKUP(A434,'DATOS GENERALES'!A:B,2,0)</f>
        <v>0.75</v>
      </c>
      <c r="F434" s="16">
        <f t="shared" si="24"/>
        <v>0.74654999999999994</v>
      </c>
      <c r="G434" s="7">
        <f t="shared" si="25"/>
        <v>-81383751.282566473</v>
      </c>
      <c r="H434" s="7">
        <f t="shared" si="26"/>
        <v>-20626711.762566477</v>
      </c>
      <c r="I434" s="7">
        <f>IFERROR((G434/SUMIF(B:B,B434,G:G))*VLOOKUP(B434,'DATOS GENERALES'!G:H,2,0),"")</f>
        <v>-29316268.102116518</v>
      </c>
      <c r="J434" s="7">
        <f t="shared" si="27"/>
        <v>-49942979.864682995</v>
      </c>
      <c r="K434" s="16"/>
      <c r="L434" s="16"/>
      <c r="M434" s="16"/>
    </row>
    <row r="435" spans="1:13" x14ac:dyDescent="0.25">
      <c r="A435" s="16">
        <v>1899</v>
      </c>
      <c r="B435" s="6">
        <v>43831</v>
      </c>
      <c r="C435" s="16" t="s">
        <v>195</v>
      </c>
      <c r="D435" s="7">
        <f>SUMIFS('DATOS PROYECCIÓN'!$F:$F,'DATOS PROYECCIÓN'!A:A,A435,'DATOS PROYECCIÓN'!B:B,B435)</f>
        <v>60757039.519999996</v>
      </c>
      <c r="E435" s="13">
        <f>VLOOKUP(A435,'DATOS GENERALES'!A:B,2,0)</f>
        <v>0.75</v>
      </c>
      <c r="F435" s="16">
        <f t="shared" si="24"/>
        <v>0.74654999999999994</v>
      </c>
      <c r="G435" s="7">
        <f t="shared" si="25"/>
        <v>-81383751.282566473</v>
      </c>
      <c r="H435" s="7">
        <f t="shared" si="26"/>
        <v>-20626711.762566477</v>
      </c>
      <c r="I435" s="7" t="str">
        <f>IFERROR((G435/SUMIF(B:B,B435,G:G))*VLOOKUP(B435,'DATOS GENERALES'!G:H,2,0),"")</f>
        <v/>
      </c>
      <c r="J435" s="7" t="str">
        <f t="shared" si="27"/>
        <v/>
      </c>
      <c r="K435" s="16"/>
      <c r="L435" s="16"/>
      <c r="M435" s="16"/>
    </row>
    <row r="436" spans="1:13" x14ac:dyDescent="0.25">
      <c r="A436" s="16">
        <v>1899</v>
      </c>
      <c r="B436" s="6">
        <v>43862</v>
      </c>
      <c r="C436" s="16" t="s">
        <v>195</v>
      </c>
      <c r="D436" s="7">
        <f>SUMIFS('DATOS PROYECCIÓN'!$F:$F,'DATOS PROYECCIÓN'!A:A,A436,'DATOS PROYECCIÓN'!B:B,B436)</f>
        <v>60757039.519999996</v>
      </c>
      <c r="E436" s="13">
        <f>VLOOKUP(A436,'DATOS GENERALES'!A:B,2,0)</f>
        <v>0.75</v>
      </c>
      <c r="F436" s="16">
        <f t="shared" si="24"/>
        <v>0.74654999999999994</v>
      </c>
      <c r="G436" s="7">
        <f t="shared" si="25"/>
        <v>-81383751.282566473</v>
      </c>
      <c r="H436" s="7">
        <f t="shared" si="26"/>
        <v>-20626711.762566477</v>
      </c>
      <c r="I436" s="7" t="str">
        <f>IFERROR((G436/SUMIF(B:B,B436,G:G))*VLOOKUP(B436,'DATOS GENERALES'!G:H,2,0),"")</f>
        <v/>
      </c>
      <c r="J436" s="7" t="str">
        <f t="shared" si="27"/>
        <v/>
      </c>
      <c r="K436" s="16"/>
      <c r="L436" s="16"/>
      <c r="M436" s="16"/>
    </row>
    <row r="437" spans="1:13" x14ac:dyDescent="0.25">
      <c r="A437" s="16">
        <v>1899</v>
      </c>
      <c r="B437" s="6">
        <v>43891</v>
      </c>
      <c r="C437" s="16" t="s">
        <v>195</v>
      </c>
      <c r="D437" s="7">
        <f>SUMIFS('DATOS PROYECCIÓN'!$F:$F,'DATOS PROYECCIÓN'!A:A,A437,'DATOS PROYECCIÓN'!B:B,B437)</f>
        <v>54757039.519999996</v>
      </c>
      <c r="E437" s="13">
        <f>VLOOKUP(A437,'DATOS GENERALES'!A:B,2,0)</f>
        <v>0.75</v>
      </c>
      <c r="F437" s="16">
        <f t="shared" si="24"/>
        <v>0.74654999999999994</v>
      </c>
      <c r="G437" s="7">
        <f t="shared" si="25"/>
        <v>-73346781.220279962</v>
      </c>
      <c r="H437" s="7">
        <f t="shared" si="26"/>
        <v>-18589741.700279966</v>
      </c>
      <c r="I437" s="7" t="str">
        <f>IFERROR((G437/SUMIF(B:B,B437,G:G))*VLOOKUP(B437,'DATOS GENERALES'!G:H,2,0),"")</f>
        <v/>
      </c>
      <c r="J437" s="7" t="str">
        <f t="shared" si="27"/>
        <v/>
      </c>
      <c r="K437" s="16"/>
      <c r="L437" s="16"/>
      <c r="M437" s="16"/>
    </row>
    <row r="438" spans="1:13" x14ac:dyDescent="0.25">
      <c r="A438" s="16">
        <v>1899</v>
      </c>
      <c r="B438" s="6">
        <v>43922</v>
      </c>
      <c r="C438" s="16" t="s">
        <v>195</v>
      </c>
      <c r="D438" s="7">
        <f>SUMIFS('DATOS PROYECCIÓN'!$F:$F,'DATOS PROYECCIÓN'!A:A,A438,'DATOS PROYECCIÓN'!B:B,B438)</f>
        <v>54757039.519999996</v>
      </c>
      <c r="E438" s="13">
        <f>VLOOKUP(A438,'DATOS GENERALES'!A:B,2,0)</f>
        <v>0.75</v>
      </c>
      <c r="F438" s="16">
        <f t="shared" si="24"/>
        <v>0.74654999999999994</v>
      </c>
      <c r="G438" s="7">
        <f t="shared" si="25"/>
        <v>-73346781.220279962</v>
      </c>
      <c r="H438" s="7">
        <f t="shared" si="26"/>
        <v>-18589741.700279966</v>
      </c>
      <c r="I438" s="7" t="str">
        <f>IFERROR((G438/SUMIF(B:B,B438,G:G))*VLOOKUP(B438,'DATOS GENERALES'!G:H,2,0),"")</f>
        <v/>
      </c>
      <c r="J438" s="7" t="str">
        <f t="shared" si="27"/>
        <v/>
      </c>
      <c r="K438" s="16"/>
      <c r="L438" s="16"/>
      <c r="M438" s="16"/>
    </row>
    <row r="439" spans="1:13" x14ac:dyDescent="0.25">
      <c r="A439" s="16">
        <v>1899</v>
      </c>
      <c r="B439" s="6">
        <v>43952</v>
      </c>
      <c r="C439" s="16" t="s">
        <v>195</v>
      </c>
      <c r="D439" s="7">
        <f>SUMIFS('DATOS PROYECCIÓN'!$F:$F,'DATOS PROYECCIÓN'!A:A,A439,'DATOS PROYECCIÓN'!B:B,B439)</f>
        <v>48757039.519999996</v>
      </c>
      <c r="E439" s="13">
        <f>VLOOKUP(A439,'DATOS GENERALES'!A:B,2,0)</f>
        <v>0.75</v>
      </c>
      <c r="F439" s="16">
        <f t="shared" si="24"/>
        <v>0.74654999999999994</v>
      </c>
      <c r="G439" s="7">
        <f t="shared" si="25"/>
        <v>-65309811.157993436</v>
      </c>
      <c r="H439" s="7">
        <f t="shared" si="26"/>
        <v>-16552771.63799344</v>
      </c>
      <c r="I439" s="7" t="str">
        <f>IFERROR((G439/SUMIF(B:B,B439,G:G))*VLOOKUP(B439,'DATOS GENERALES'!G:H,2,0),"")</f>
        <v/>
      </c>
      <c r="J439" s="7" t="str">
        <f t="shared" si="27"/>
        <v/>
      </c>
      <c r="K439" s="16"/>
      <c r="L439" s="16"/>
      <c r="M439" s="16"/>
    </row>
    <row r="440" spans="1:13" x14ac:dyDescent="0.25">
      <c r="A440" s="16">
        <v>1899</v>
      </c>
      <c r="B440" s="6">
        <v>43983</v>
      </c>
      <c r="C440" s="16" t="s">
        <v>195</v>
      </c>
      <c r="D440" s="7">
        <f>SUMIFS('DATOS PROYECCIÓN'!$F:$F,'DATOS PROYECCIÓN'!A:A,A440,'DATOS PROYECCIÓN'!B:B,B440)</f>
        <v>48757039.519999996</v>
      </c>
      <c r="E440" s="13">
        <f>VLOOKUP(A440,'DATOS GENERALES'!A:B,2,0)</f>
        <v>0.75</v>
      </c>
      <c r="F440" s="16">
        <f t="shared" si="24"/>
        <v>0.74654999999999994</v>
      </c>
      <c r="G440" s="7">
        <f t="shared" si="25"/>
        <v>-65309811.157993436</v>
      </c>
      <c r="H440" s="7">
        <f t="shared" si="26"/>
        <v>-16552771.63799344</v>
      </c>
      <c r="I440" s="7" t="str">
        <f>IFERROR((G440/SUMIF(B:B,B440,G:G))*VLOOKUP(B440,'DATOS GENERALES'!G:H,2,0),"")</f>
        <v/>
      </c>
      <c r="J440" s="7" t="str">
        <f t="shared" si="27"/>
        <v/>
      </c>
      <c r="K440" s="16"/>
      <c r="L440" s="16"/>
      <c r="M440" s="16"/>
    </row>
    <row r="441" spans="1:13" x14ac:dyDescent="0.25">
      <c r="A441" s="16">
        <v>1899</v>
      </c>
      <c r="B441" s="6">
        <v>44013</v>
      </c>
      <c r="C441" s="16" t="s">
        <v>195</v>
      </c>
      <c r="D441" s="7">
        <f>SUMIFS('DATOS PROYECCIÓN'!$F:$F,'DATOS PROYECCIÓN'!A:A,A441,'DATOS PROYECCIÓN'!B:B,B441)</f>
        <v>48757039.519999996</v>
      </c>
      <c r="E441" s="13">
        <f>VLOOKUP(A441,'DATOS GENERALES'!A:B,2,0)</f>
        <v>0.75</v>
      </c>
      <c r="F441" s="16">
        <f t="shared" si="24"/>
        <v>0.74654999999999994</v>
      </c>
      <c r="G441" s="7">
        <f t="shared" si="25"/>
        <v>-65309811.157993436</v>
      </c>
      <c r="H441" s="7">
        <f t="shared" si="26"/>
        <v>-16552771.63799344</v>
      </c>
      <c r="I441" s="7" t="str">
        <f>IFERROR((G441/SUMIF(B:B,B441,G:G))*VLOOKUP(B441,'DATOS GENERALES'!G:H,2,0),"")</f>
        <v/>
      </c>
      <c r="J441" s="7" t="str">
        <f t="shared" si="27"/>
        <v/>
      </c>
      <c r="K441" s="16"/>
      <c r="L441" s="16"/>
      <c r="M441" s="16"/>
    </row>
    <row r="442" spans="1:13" x14ac:dyDescent="0.25">
      <c r="A442" s="16">
        <v>1899</v>
      </c>
      <c r="B442" s="6">
        <v>44044</v>
      </c>
      <c r="C442" s="16" t="s">
        <v>195</v>
      </c>
      <c r="D442" s="7">
        <f>SUMIFS('DATOS PROYECCIÓN'!$F:$F,'DATOS PROYECCIÓN'!A:A,A442,'DATOS PROYECCIÓN'!B:B,B442)</f>
        <v>48757039.519999996</v>
      </c>
      <c r="E442" s="13">
        <f>VLOOKUP(A442,'DATOS GENERALES'!A:B,2,0)</f>
        <v>0.75</v>
      </c>
      <c r="F442" s="16">
        <f t="shared" si="24"/>
        <v>0.74654999999999994</v>
      </c>
      <c r="G442" s="7">
        <f t="shared" si="25"/>
        <v>-65309811.157993436</v>
      </c>
      <c r="H442" s="7">
        <f t="shared" si="26"/>
        <v>-16552771.63799344</v>
      </c>
      <c r="I442" s="7" t="str">
        <f>IFERROR((G442/SUMIF(B:B,B442,G:G))*VLOOKUP(B442,'DATOS GENERALES'!G:H,2,0),"")</f>
        <v/>
      </c>
      <c r="J442" s="7" t="str">
        <f t="shared" si="27"/>
        <v/>
      </c>
      <c r="K442" s="16"/>
      <c r="L442" s="16"/>
      <c r="M442" s="16"/>
    </row>
    <row r="443" spans="1:13" x14ac:dyDescent="0.25">
      <c r="A443" s="16">
        <v>1899</v>
      </c>
      <c r="B443" s="6">
        <v>44075</v>
      </c>
      <c r="C443" s="16" t="s">
        <v>195</v>
      </c>
      <c r="D443" s="7">
        <f>SUMIFS('DATOS PROYECCIÓN'!$F:$F,'DATOS PROYECCIÓN'!A:A,A443,'DATOS PROYECCIÓN'!B:B,B443)</f>
        <v>48757039.519999996</v>
      </c>
      <c r="E443" s="13">
        <f>VLOOKUP(A443,'DATOS GENERALES'!A:B,2,0)</f>
        <v>0.75</v>
      </c>
      <c r="F443" s="16">
        <f t="shared" si="24"/>
        <v>0.74654999999999994</v>
      </c>
      <c r="G443" s="7">
        <f t="shared" si="25"/>
        <v>-65309811.157993436</v>
      </c>
      <c r="H443" s="7">
        <f t="shared" si="26"/>
        <v>-16552771.63799344</v>
      </c>
      <c r="I443" s="7" t="str">
        <f>IFERROR((G443/SUMIF(B:B,B443,G:G))*VLOOKUP(B443,'DATOS GENERALES'!G:H,2,0),"")</f>
        <v/>
      </c>
      <c r="J443" s="7" t="str">
        <f t="shared" si="27"/>
        <v/>
      </c>
      <c r="K443" s="16"/>
      <c r="L443" s="16"/>
      <c r="M443" s="16"/>
    </row>
    <row r="444" spans="1:13" x14ac:dyDescent="0.25">
      <c r="A444" s="16">
        <v>1899</v>
      </c>
      <c r="B444" s="6">
        <v>44105</v>
      </c>
      <c r="C444" s="16" t="s">
        <v>195</v>
      </c>
      <c r="D444" s="7">
        <f>SUMIFS('DATOS PROYECCIÓN'!$F:$F,'DATOS PROYECCIÓN'!A:A,A444,'DATOS PROYECCIÓN'!B:B,B444)</f>
        <v>48757039.519999996</v>
      </c>
      <c r="E444" s="13">
        <f>VLOOKUP(A444,'DATOS GENERALES'!A:B,2,0)</f>
        <v>0.75</v>
      </c>
      <c r="F444" s="16">
        <f t="shared" si="24"/>
        <v>0.74654999999999994</v>
      </c>
      <c r="G444" s="7">
        <f t="shared" si="25"/>
        <v>-65309811.157993436</v>
      </c>
      <c r="H444" s="7">
        <f t="shared" si="26"/>
        <v>-16552771.63799344</v>
      </c>
      <c r="I444" s="7" t="str">
        <f>IFERROR((G444/SUMIF(B:B,B444,G:G))*VLOOKUP(B444,'DATOS GENERALES'!G:H,2,0),"")</f>
        <v/>
      </c>
      <c r="J444" s="7" t="str">
        <f t="shared" si="27"/>
        <v/>
      </c>
      <c r="K444" s="16"/>
      <c r="L444" s="16"/>
      <c r="M444" s="16"/>
    </row>
    <row r="445" spans="1:13" x14ac:dyDescent="0.25">
      <c r="A445" s="16">
        <v>1899</v>
      </c>
      <c r="B445" s="6">
        <v>44136</v>
      </c>
      <c r="C445" s="16" t="s">
        <v>195</v>
      </c>
      <c r="D445" s="7">
        <f>SUMIFS('DATOS PROYECCIÓN'!$F:$F,'DATOS PROYECCIÓN'!A:A,A445,'DATOS PROYECCIÓN'!B:B,B445)</f>
        <v>44678689.519999996</v>
      </c>
      <c r="E445" s="13">
        <f>VLOOKUP(A445,'DATOS GENERALES'!A:B,2,0)</f>
        <v>0.75</v>
      </c>
      <c r="F445" s="16">
        <f t="shared" si="24"/>
        <v>0.74654999999999994</v>
      </c>
      <c r="G445" s="7">
        <f t="shared" si="25"/>
        <v>-59846881.682405733</v>
      </c>
      <c r="H445" s="7">
        <f t="shared" si="26"/>
        <v>-15168192.162405737</v>
      </c>
      <c r="I445" s="7" t="str">
        <f>IFERROR((G445/SUMIF(B:B,B445,G:G))*VLOOKUP(B445,'DATOS GENERALES'!G:H,2,0),"")</f>
        <v/>
      </c>
      <c r="J445" s="7" t="str">
        <f t="shared" si="27"/>
        <v/>
      </c>
      <c r="K445" s="16"/>
      <c r="L445" s="16"/>
      <c r="M445" s="16"/>
    </row>
    <row r="446" spans="1:13" x14ac:dyDescent="0.25">
      <c r="A446" s="16">
        <v>1899</v>
      </c>
      <c r="B446" s="6">
        <v>44166</v>
      </c>
      <c r="C446" s="16" t="s">
        <v>195</v>
      </c>
      <c r="D446" s="7">
        <f>SUMIFS('DATOS PROYECCIÓN'!$F:$F,'DATOS PROYECCIÓN'!A:A,A446,'DATOS PROYECCIÓN'!B:B,B446)</f>
        <v>44678689.519999996</v>
      </c>
      <c r="E446" s="13">
        <f>VLOOKUP(A446,'DATOS GENERALES'!A:B,2,0)</f>
        <v>0.75</v>
      </c>
      <c r="F446" s="16">
        <f t="shared" si="24"/>
        <v>0.74654999999999994</v>
      </c>
      <c r="G446" s="7">
        <f t="shared" si="25"/>
        <v>-59846881.682405733</v>
      </c>
      <c r="H446" s="7">
        <f t="shared" si="26"/>
        <v>-15168192.162405737</v>
      </c>
      <c r="I446" s="7" t="str">
        <f>IFERROR((G446/SUMIF(B:B,B446,G:G))*VLOOKUP(B446,'DATOS GENERALES'!G:H,2,0),"")</f>
        <v/>
      </c>
      <c r="J446" s="7" t="str">
        <f t="shared" si="27"/>
        <v/>
      </c>
      <c r="K446" s="16"/>
      <c r="L446" s="16"/>
      <c r="M446" s="16"/>
    </row>
    <row r="447" spans="1:13" x14ac:dyDescent="0.25">
      <c r="A447" s="16">
        <v>1899</v>
      </c>
      <c r="B447" s="6">
        <v>44197</v>
      </c>
      <c r="C447" s="16" t="s">
        <v>195</v>
      </c>
      <c r="D447" s="7">
        <f>SUMIFS('DATOS PROYECCIÓN'!$F:$F,'DATOS PROYECCIÓN'!A:A,A447,'DATOS PROYECCIÓN'!B:B,B447)</f>
        <v>44678689.519999996</v>
      </c>
      <c r="E447" s="13">
        <f>VLOOKUP(A447,'DATOS GENERALES'!A:B,2,0)</f>
        <v>0.75</v>
      </c>
      <c r="F447" s="16">
        <f t="shared" si="24"/>
        <v>0.74654999999999994</v>
      </c>
      <c r="G447" s="7">
        <f t="shared" si="25"/>
        <v>-59846881.682405733</v>
      </c>
      <c r="H447" s="7">
        <f t="shared" si="26"/>
        <v>-15168192.162405737</v>
      </c>
      <c r="I447" s="7" t="str">
        <f>IFERROR((G447/SUMIF(B:B,B447,G:G))*VLOOKUP(B447,'DATOS GENERALES'!G:H,2,0),"")</f>
        <v/>
      </c>
      <c r="J447" s="7" t="str">
        <f t="shared" si="27"/>
        <v/>
      </c>
      <c r="K447" s="16"/>
      <c r="L447" s="16"/>
      <c r="M447" s="16"/>
    </row>
    <row r="448" spans="1:13" x14ac:dyDescent="0.25">
      <c r="A448" s="16">
        <v>1899</v>
      </c>
      <c r="B448" s="6">
        <v>44228</v>
      </c>
      <c r="C448" s="16" t="s">
        <v>195</v>
      </c>
      <c r="D448" s="7">
        <f>SUMIFS('DATOS PROYECCIÓN'!$F:$F,'DATOS PROYECCIÓN'!A:A,A448,'DATOS PROYECCIÓN'!B:B,B448)</f>
        <v>44678689.519999996</v>
      </c>
      <c r="E448" s="13">
        <f>VLOOKUP(A448,'DATOS GENERALES'!A:B,2,0)</f>
        <v>0.75</v>
      </c>
      <c r="F448" s="16">
        <f t="shared" si="24"/>
        <v>0.74654999999999994</v>
      </c>
      <c r="G448" s="7">
        <f t="shared" si="25"/>
        <v>-59846881.682405733</v>
      </c>
      <c r="H448" s="7">
        <f t="shared" si="26"/>
        <v>-15168192.162405737</v>
      </c>
      <c r="I448" s="7" t="str">
        <f>IFERROR((G448/SUMIF(B:B,B448,G:G))*VLOOKUP(B448,'DATOS GENERALES'!G:H,2,0),"")</f>
        <v/>
      </c>
      <c r="J448" s="7" t="str">
        <f t="shared" si="27"/>
        <v/>
      </c>
      <c r="K448" s="16"/>
      <c r="L448" s="16"/>
      <c r="M448" s="16"/>
    </row>
    <row r="449" spans="1:13" x14ac:dyDescent="0.25">
      <c r="A449" s="16">
        <v>1899</v>
      </c>
      <c r="B449" s="6">
        <v>44256</v>
      </c>
      <c r="C449" s="16" t="s">
        <v>195</v>
      </c>
      <c r="D449" s="7">
        <f>SUMIFS('DATOS PROYECCIÓN'!$F:$F,'DATOS PROYECCIÓN'!A:A,A449,'DATOS PROYECCIÓN'!B:B,B449)</f>
        <v>40862689.519999996</v>
      </c>
      <c r="E449" s="13">
        <f>VLOOKUP(A449,'DATOS GENERALES'!A:B,2,0)</f>
        <v>0.75</v>
      </c>
      <c r="F449" s="16">
        <f t="shared" si="24"/>
        <v>0.74654999999999994</v>
      </c>
      <c r="G449" s="7">
        <f t="shared" si="25"/>
        <v>-54735368.722791508</v>
      </c>
      <c r="H449" s="7">
        <f t="shared" si="26"/>
        <v>-13872679.202791512</v>
      </c>
      <c r="I449" s="7" t="str">
        <f>IFERROR((G449/SUMIF(B:B,B449,G:G))*VLOOKUP(B449,'DATOS GENERALES'!G:H,2,0),"")</f>
        <v/>
      </c>
      <c r="J449" s="7" t="str">
        <f t="shared" si="27"/>
        <v/>
      </c>
      <c r="K449" s="16"/>
      <c r="L449" s="16"/>
      <c r="M449" s="16"/>
    </row>
    <row r="450" spans="1:13" x14ac:dyDescent="0.25">
      <c r="A450" s="16">
        <v>1900</v>
      </c>
      <c r="B450" s="6">
        <v>43556</v>
      </c>
      <c r="C450" s="16" t="s">
        <v>195</v>
      </c>
      <c r="D450" s="7">
        <f>SUMIFS('DATOS PROYECCIÓN'!$F:$F,'DATOS PROYECCIÓN'!A:A,A450,'DATOS PROYECCIÓN'!B:B,B450)</f>
        <v>89776746.567000002</v>
      </c>
      <c r="E450" s="13">
        <f>VLOOKUP(A450,'DATOS GENERALES'!A:B,2,0)</f>
        <v>1</v>
      </c>
      <c r="F450" s="16">
        <f t="shared" ref="F450:F513" si="28">E450*0.9954</f>
        <v>0.99539999999999995</v>
      </c>
      <c r="G450" s="7">
        <f t="shared" ref="G450:G513" si="29">-D450/F450</f>
        <v>-90191628.05605787</v>
      </c>
      <c r="H450" s="7">
        <f t="shared" ref="H450:H513" si="30">D450+G450</f>
        <v>-414881.48905786872</v>
      </c>
      <c r="I450" s="7">
        <f>IFERROR((G450/SUMIF(B:B,B450,G:G))*VLOOKUP(B450,'DATOS GENERALES'!G:H,2,0),"")</f>
        <v>-14500843.906253565</v>
      </c>
      <c r="J450" s="7">
        <f t="shared" si="27"/>
        <v>-14915725.395311434</v>
      </c>
      <c r="K450" s="16"/>
      <c r="L450" s="16"/>
      <c r="M450" s="16"/>
    </row>
    <row r="451" spans="1:13" x14ac:dyDescent="0.25">
      <c r="A451" s="16">
        <v>1900</v>
      </c>
      <c r="B451" s="6">
        <v>43586</v>
      </c>
      <c r="C451" s="16" t="s">
        <v>195</v>
      </c>
      <c r="D451" s="7">
        <f>SUMIFS('DATOS PROYECCIÓN'!$F:$F,'DATOS PROYECCIÓN'!A:A,A451,'DATOS PROYECCIÓN'!B:B,B451)</f>
        <v>68117355.567000002</v>
      </c>
      <c r="E451" s="13">
        <f>VLOOKUP(A451,'DATOS GENERALES'!A:B,2,0)</f>
        <v>1</v>
      </c>
      <c r="F451" s="16">
        <f t="shared" si="28"/>
        <v>0.99539999999999995</v>
      </c>
      <c r="G451" s="7">
        <f t="shared" si="29"/>
        <v>-68432143.426763117</v>
      </c>
      <c r="H451" s="7">
        <f t="shared" si="30"/>
        <v>-314787.85976311564</v>
      </c>
      <c r="I451" s="7">
        <f>IFERROR((G451/SUMIF(B:B,B451,G:G))*VLOOKUP(B451,'DATOS GENERALES'!G:H,2,0),"")</f>
        <v>-9076205.6277077552</v>
      </c>
      <c r="J451" s="7">
        <f t="shared" ref="J451:J514" si="31">IFERROR(H451+I451,"")</f>
        <v>-9390993.4874708708</v>
      </c>
      <c r="K451" s="16"/>
      <c r="L451" s="16"/>
      <c r="M451" s="16"/>
    </row>
    <row r="452" spans="1:13" x14ac:dyDescent="0.25">
      <c r="A452" s="16">
        <v>1900</v>
      </c>
      <c r="B452" s="6">
        <v>43617</v>
      </c>
      <c r="C452" s="16" t="s">
        <v>195</v>
      </c>
      <c r="D452" s="7">
        <f>SUMIFS('DATOS PROYECCIÓN'!$F:$F,'DATOS PROYECCIÓN'!A:A,A452,'DATOS PROYECCIÓN'!B:B,B452)</f>
        <v>68117355.567000002</v>
      </c>
      <c r="E452" s="13">
        <f>VLOOKUP(A452,'DATOS GENERALES'!A:B,2,0)</f>
        <v>1</v>
      </c>
      <c r="F452" s="16">
        <f t="shared" si="28"/>
        <v>0.99539999999999995</v>
      </c>
      <c r="G452" s="7">
        <f t="shared" si="29"/>
        <v>-68432143.426763117</v>
      </c>
      <c r="H452" s="7">
        <f t="shared" si="30"/>
        <v>-314787.85976311564</v>
      </c>
      <c r="I452" s="7">
        <f>IFERROR((G452/SUMIF(B:B,B452,G:G))*VLOOKUP(B452,'DATOS GENERALES'!G:H,2,0),"")</f>
        <v>-12205371.062890764</v>
      </c>
      <c r="J452" s="7">
        <f t="shared" si="31"/>
        <v>-12520158.92265388</v>
      </c>
      <c r="K452" s="16"/>
      <c r="L452" s="16"/>
      <c r="M452" s="16"/>
    </row>
    <row r="453" spans="1:13" x14ac:dyDescent="0.25">
      <c r="A453" s="16">
        <v>1900</v>
      </c>
      <c r="B453" s="6">
        <v>43647</v>
      </c>
      <c r="C453" s="16" t="s">
        <v>195</v>
      </c>
      <c r="D453" s="7">
        <f>SUMIFS('DATOS PROYECCIÓN'!$F:$F,'DATOS PROYECCIÓN'!A:A,A453,'DATOS PROYECCIÓN'!B:B,B453)</f>
        <v>62912767.068000004</v>
      </c>
      <c r="E453" s="13">
        <f>VLOOKUP(A453,'DATOS GENERALES'!A:B,2,0)</f>
        <v>1</v>
      </c>
      <c r="F453" s="16">
        <f t="shared" si="28"/>
        <v>0.99539999999999995</v>
      </c>
      <c r="G453" s="7">
        <f t="shared" si="29"/>
        <v>-63203503.18264015</v>
      </c>
      <c r="H453" s="7">
        <f t="shared" si="30"/>
        <v>-290736.11464014649</v>
      </c>
      <c r="I453" s="7">
        <f>IFERROR((G453/SUMIF(B:B,B453,G:G))*VLOOKUP(B453,'DATOS GENERALES'!G:H,2,0),"")</f>
        <v>-16811078.012195919</v>
      </c>
      <c r="J453" s="7">
        <f t="shared" si="31"/>
        <v>-17101814.126836065</v>
      </c>
      <c r="K453" s="16"/>
      <c r="L453" s="16"/>
      <c r="M453" s="16"/>
    </row>
    <row r="454" spans="1:13" x14ac:dyDescent="0.25">
      <c r="A454" s="16">
        <v>1900</v>
      </c>
      <c r="B454" s="6">
        <v>43678</v>
      </c>
      <c r="C454" s="16" t="s">
        <v>195</v>
      </c>
      <c r="D454" s="7">
        <f>SUMIFS('DATOS PROYECCIÓN'!$F:$F,'DATOS PROYECCIÓN'!A:A,A454,'DATOS PROYECCIÓN'!B:B,B454)</f>
        <v>41200017.068000004</v>
      </c>
      <c r="E454" s="13">
        <f>VLOOKUP(A454,'DATOS GENERALES'!A:B,2,0)</f>
        <v>1</v>
      </c>
      <c r="F454" s="16">
        <f t="shared" si="28"/>
        <v>0.99539999999999995</v>
      </c>
      <c r="G454" s="7">
        <f t="shared" si="29"/>
        <v>-41390412.967651203</v>
      </c>
      <c r="H454" s="7">
        <f t="shared" si="30"/>
        <v>-190395.89965119958</v>
      </c>
      <c r="I454" s="7">
        <f>IFERROR((G454/SUMIF(B:B,B454,G:G))*VLOOKUP(B454,'DATOS GENERALES'!G:H,2,0),"")</f>
        <v>-10833412.308990134</v>
      </c>
      <c r="J454" s="7">
        <f t="shared" si="31"/>
        <v>-11023808.208641334</v>
      </c>
      <c r="K454" s="16"/>
      <c r="L454" s="16"/>
      <c r="M454" s="16"/>
    </row>
    <row r="455" spans="1:13" x14ac:dyDescent="0.25">
      <c r="A455" s="16">
        <v>1900</v>
      </c>
      <c r="B455" s="6">
        <v>43709</v>
      </c>
      <c r="C455" s="16" t="s">
        <v>195</v>
      </c>
      <c r="D455" s="7">
        <f>SUMIFS('DATOS PROYECCIÓN'!$F:$F,'DATOS PROYECCIÓN'!A:A,A455,'DATOS PROYECCIÓN'!B:B,B455)</f>
        <v>41200017.068000004</v>
      </c>
      <c r="E455" s="13">
        <f>VLOOKUP(A455,'DATOS GENERALES'!A:B,2,0)</f>
        <v>1</v>
      </c>
      <c r="F455" s="16">
        <f t="shared" si="28"/>
        <v>0.99539999999999995</v>
      </c>
      <c r="G455" s="7">
        <f t="shared" si="29"/>
        <v>-41390412.967651203</v>
      </c>
      <c r="H455" s="7">
        <f t="shared" si="30"/>
        <v>-190395.89965119958</v>
      </c>
      <c r="I455" s="7">
        <f>IFERROR((G455/SUMIF(B:B,B455,G:G))*VLOOKUP(B455,'DATOS GENERALES'!G:H,2,0),"")</f>
        <v>-12243630.595835827</v>
      </c>
      <c r="J455" s="7">
        <f t="shared" si="31"/>
        <v>-12434026.495487027</v>
      </c>
      <c r="K455" s="16"/>
      <c r="L455" s="16"/>
      <c r="M455" s="16"/>
    </row>
    <row r="456" spans="1:13" x14ac:dyDescent="0.25">
      <c r="A456" s="16">
        <v>1900</v>
      </c>
      <c r="B456" s="6">
        <v>43739</v>
      </c>
      <c r="C456" s="16" t="s">
        <v>195</v>
      </c>
      <c r="D456" s="7">
        <f>SUMIFS('DATOS PROYECCIÓN'!$F:$F,'DATOS PROYECCIÓN'!A:A,A456,'DATOS PROYECCIÓN'!B:B,B456)</f>
        <v>41200017.068000004</v>
      </c>
      <c r="E456" s="13">
        <f>VLOOKUP(A456,'DATOS GENERALES'!A:B,2,0)</f>
        <v>1</v>
      </c>
      <c r="F456" s="16">
        <f t="shared" si="28"/>
        <v>0.99539999999999995</v>
      </c>
      <c r="G456" s="7">
        <f t="shared" si="29"/>
        <v>-41390412.967651203</v>
      </c>
      <c r="H456" s="7">
        <f t="shared" si="30"/>
        <v>-190395.89965119958</v>
      </c>
      <c r="I456" s="7">
        <f>IFERROR((G456/SUMIF(B:B,B456,G:G))*VLOOKUP(B456,'DATOS GENERALES'!G:H,2,0),"")</f>
        <v>-13240222.221962681</v>
      </c>
      <c r="J456" s="7">
        <f t="shared" si="31"/>
        <v>-13430618.121613881</v>
      </c>
      <c r="K456" s="16"/>
      <c r="L456" s="16"/>
      <c r="M456" s="16"/>
    </row>
    <row r="457" spans="1:13" x14ac:dyDescent="0.25">
      <c r="A457" s="16">
        <v>1900</v>
      </c>
      <c r="B457" s="6">
        <v>43770</v>
      </c>
      <c r="C457" s="16" t="s">
        <v>195</v>
      </c>
      <c r="D457" s="7">
        <f>SUMIFS('DATOS PROYECCIÓN'!$F:$F,'DATOS PROYECCIÓN'!A:A,A457,'DATOS PROYECCIÓN'!B:B,B457)</f>
        <v>39238378.568000004</v>
      </c>
      <c r="E457" s="13">
        <f>VLOOKUP(A457,'DATOS GENERALES'!A:B,2,0)</f>
        <v>1</v>
      </c>
      <c r="F457" s="16">
        <f t="shared" si="28"/>
        <v>0.99539999999999995</v>
      </c>
      <c r="G457" s="7">
        <f t="shared" si="29"/>
        <v>-39419709.230460122</v>
      </c>
      <c r="H457" s="7">
        <f t="shared" si="30"/>
        <v>-181330.66246011853</v>
      </c>
      <c r="I457" s="7">
        <f>IFERROR((G457/SUMIF(B:B,B457,G:G))*VLOOKUP(B457,'DATOS GENERALES'!G:H,2,0),"")</f>
        <v>-16864707.279591016</v>
      </c>
      <c r="J457" s="7">
        <f t="shared" si="31"/>
        <v>-17046037.942051135</v>
      </c>
      <c r="K457" s="16"/>
      <c r="L457" s="16"/>
      <c r="M457" s="16"/>
    </row>
    <row r="458" spans="1:13" x14ac:dyDescent="0.25">
      <c r="A458" s="16">
        <v>1900</v>
      </c>
      <c r="B458" s="6">
        <v>43800</v>
      </c>
      <c r="C458" s="16" t="s">
        <v>195</v>
      </c>
      <c r="D458" s="7">
        <f>SUMIFS('DATOS PROYECCIÓN'!$F:$F,'DATOS PROYECCIÓN'!A:A,A458,'DATOS PROYECCIÓN'!B:B,B458)</f>
        <v>39238378.568000004</v>
      </c>
      <c r="E458" s="13">
        <f>VLOOKUP(A458,'DATOS GENERALES'!A:B,2,0)</f>
        <v>1</v>
      </c>
      <c r="F458" s="16">
        <f t="shared" si="28"/>
        <v>0.99539999999999995</v>
      </c>
      <c r="G458" s="7">
        <f t="shared" si="29"/>
        <v>-39419709.230460122</v>
      </c>
      <c r="H458" s="7">
        <f t="shared" si="30"/>
        <v>-181330.66246011853</v>
      </c>
      <c r="I458" s="7">
        <f>IFERROR((G458/SUMIF(B:B,B458,G:G))*VLOOKUP(B458,'DATOS GENERALES'!G:H,2,0),"")</f>
        <v>-14199870.933636848</v>
      </c>
      <c r="J458" s="7">
        <f t="shared" si="31"/>
        <v>-14381201.596096966</v>
      </c>
      <c r="K458" s="16"/>
      <c r="L458" s="16"/>
      <c r="M458" s="16"/>
    </row>
    <row r="459" spans="1:13" x14ac:dyDescent="0.25">
      <c r="A459" s="16">
        <v>1900</v>
      </c>
      <c r="B459" s="6">
        <v>43831</v>
      </c>
      <c r="C459" s="16" t="s">
        <v>195</v>
      </c>
      <c r="D459" s="7">
        <f>SUMIFS('DATOS PROYECCIÓN'!$F:$F,'DATOS PROYECCIÓN'!A:A,A459,'DATOS PROYECCIÓN'!B:B,B459)</f>
        <v>34612077.68</v>
      </c>
      <c r="E459" s="13">
        <f>VLOOKUP(A459,'DATOS GENERALES'!A:B,2,0)</f>
        <v>1</v>
      </c>
      <c r="F459" s="16">
        <f t="shared" si="28"/>
        <v>0.99539999999999995</v>
      </c>
      <c r="G459" s="7">
        <f t="shared" si="29"/>
        <v>-34772029.013461925</v>
      </c>
      <c r="H459" s="7">
        <f t="shared" si="30"/>
        <v>-159951.33346192539</v>
      </c>
      <c r="I459" s="7" t="str">
        <f>IFERROR((G459/SUMIF(B:B,B459,G:G))*VLOOKUP(B459,'DATOS GENERALES'!G:H,2,0),"")</f>
        <v/>
      </c>
      <c r="J459" s="7" t="str">
        <f t="shared" si="31"/>
        <v/>
      </c>
      <c r="K459" s="16"/>
      <c r="L459" s="16"/>
      <c r="M459" s="16"/>
    </row>
    <row r="460" spans="1:13" x14ac:dyDescent="0.25">
      <c r="A460" s="16">
        <v>1790</v>
      </c>
      <c r="B460" s="6">
        <v>43556</v>
      </c>
      <c r="C460" s="16" t="s">
        <v>195</v>
      </c>
      <c r="D460" s="7">
        <f>SUMIFS('DATOS PROYECCIÓN'!$F:$F,'DATOS PROYECCIÓN'!A:A,A460,'DATOS PROYECCIÓN'!B:B,B460)</f>
        <v>83414508.689999998</v>
      </c>
      <c r="E460" s="13">
        <f>VLOOKUP(A460,'DATOS GENERALES'!A:B,2,0)</f>
        <v>1</v>
      </c>
      <c r="F460" s="16">
        <f t="shared" si="28"/>
        <v>0.99539999999999995</v>
      </c>
      <c r="G460" s="7">
        <f t="shared" si="29"/>
        <v>-83799988.637733579</v>
      </c>
      <c r="H460" s="7">
        <f t="shared" si="30"/>
        <v>-385479.94773358107</v>
      </c>
      <c r="I460" s="7">
        <f>IFERROR((G460/SUMIF(B:B,B460,G:G))*VLOOKUP(B460,'DATOS GENERALES'!G:H,2,0),"")</f>
        <v>-13473207.888278918</v>
      </c>
      <c r="J460" s="7">
        <f t="shared" si="31"/>
        <v>-13858687.836012499</v>
      </c>
      <c r="K460" s="16"/>
      <c r="L460" s="16"/>
      <c r="M460" s="16"/>
    </row>
    <row r="461" spans="1:13" x14ac:dyDescent="0.25">
      <c r="A461" s="16">
        <v>1790</v>
      </c>
      <c r="B461" s="6">
        <v>43586</v>
      </c>
      <c r="C461" s="16" t="s">
        <v>195</v>
      </c>
      <c r="D461" s="7">
        <f>SUMIFS('DATOS PROYECCIÓN'!$F:$F,'DATOS PROYECCIÓN'!A:A,A461,'DATOS PROYECCIÓN'!B:B,B461)</f>
        <v>83414508.689999998</v>
      </c>
      <c r="E461" s="13">
        <f>VLOOKUP(A461,'DATOS GENERALES'!A:B,2,0)</f>
        <v>1</v>
      </c>
      <c r="F461" s="16">
        <f t="shared" si="28"/>
        <v>0.99539999999999995</v>
      </c>
      <c r="G461" s="7">
        <f t="shared" si="29"/>
        <v>-83799988.637733579</v>
      </c>
      <c r="H461" s="7">
        <f t="shared" si="30"/>
        <v>-385479.94773358107</v>
      </c>
      <c r="I461" s="7">
        <f>IFERROR((G461/SUMIF(B:B,B461,G:G))*VLOOKUP(B461,'DATOS GENERALES'!G:H,2,0),"")</f>
        <v>-11114454.266504621</v>
      </c>
      <c r="J461" s="7">
        <f t="shared" si="31"/>
        <v>-11499934.214238202</v>
      </c>
      <c r="K461" s="16"/>
      <c r="L461" s="16"/>
      <c r="M461" s="16"/>
    </row>
    <row r="462" spans="1:13" x14ac:dyDescent="0.25">
      <c r="A462" s="16">
        <v>1790</v>
      </c>
      <c r="B462" s="6">
        <v>43617</v>
      </c>
      <c r="C462" s="16" t="s">
        <v>195</v>
      </c>
      <c r="D462" s="7">
        <f>SUMIFS('DATOS PROYECCIÓN'!$F:$F,'DATOS PROYECCIÓN'!A:A,A462,'DATOS PROYECCIÓN'!B:B,B462)</f>
        <v>83414508.689999998</v>
      </c>
      <c r="E462" s="13">
        <f>VLOOKUP(A462,'DATOS GENERALES'!A:B,2,0)</f>
        <v>1</v>
      </c>
      <c r="F462" s="16">
        <f t="shared" si="28"/>
        <v>0.99539999999999995</v>
      </c>
      <c r="G462" s="7">
        <f t="shared" si="29"/>
        <v>-83799988.637733579</v>
      </c>
      <c r="H462" s="7">
        <f t="shared" si="30"/>
        <v>-385479.94773358107</v>
      </c>
      <c r="I462" s="7">
        <f>IFERROR((G462/SUMIF(B:B,B462,G:G))*VLOOKUP(B462,'DATOS GENERALES'!G:H,2,0),"")</f>
        <v>-14946338.155901715</v>
      </c>
      <c r="J462" s="7">
        <f t="shared" si="31"/>
        <v>-15331818.103635296</v>
      </c>
      <c r="K462" s="16"/>
      <c r="L462" s="16"/>
      <c r="M462" s="16"/>
    </row>
    <row r="463" spans="1:13" x14ac:dyDescent="0.25">
      <c r="A463" s="16">
        <v>1790</v>
      </c>
      <c r="B463" s="6">
        <v>43647</v>
      </c>
      <c r="C463" s="16" t="s">
        <v>195</v>
      </c>
      <c r="D463" s="7">
        <f>SUMIFS('DATOS PROYECCIÓN'!$F:$F,'DATOS PROYECCIÓN'!A:A,A463,'DATOS PROYECCIÓN'!B:B,B463)</f>
        <v>83414508.689999998</v>
      </c>
      <c r="E463" s="13">
        <f>VLOOKUP(A463,'DATOS GENERALES'!A:B,2,0)</f>
        <v>1</v>
      </c>
      <c r="F463" s="16">
        <f t="shared" si="28"/>
        <v>0.99539999999999995</v>
      </c>
      <c r="G463" s="7">
        <f t="shared" si="29"/>
        <v>-83799988.637733579</v>
      </c>
      <c r="H463" s="7">
        <f t="shared" si="30"/>
        <v>-385479.94773358107</v>
      </c>
      <c r="I463" s="7">
        <f>IFERROR((G463/SUMIF(B:B,B463,G:G))*VLOOKUP(B463,'DATOS GENERALES'!G:H,2,0),"")</f>
        <v>-22289399.724238884</v>
      </c>
      <c r="J463" s="7">
        <f t="shared" si="31"/>
        <v>-22674879.671972465</v>
      </c>
      <c r="K463" s="16"/>
      <c r="L463" s="16"/>
      <c r="M463" s="16"/>
    </row>
    <row r="464" spans="1:13" x14ac:dyDescent="0.25">
      <c r="A464" s="16">
        <v>1790</v>
      </c>
      <c r="B464" s="6">
        <v>43678</v>
      </c>
      <c r="C464" s="16" t="s">
        <v>195</v>
      </c>
      <c r="D464" s="7">
        <f>SUMIFS('DATOS PROYECCIÓN'!$F:$F,'DATOS PROYECCIÓN'!A:A,A464,'DATOS PROYECCIÓN'!B:B,B464)</f>
        <v>82688276.189999998</v>
      </c>
      <c r="E464" s="13">
        <f>VLOOKUP(A464,'DATOS GENERALES'!A:B,2,0)</f>
        <v>1</v>
      </c>
      <c r="F464" s="16">
        <f t="shared" si="28"/>
        <v>0.99539999999999995</v>
      </c>
      <c r="G464" s="7">
        <f t="shared" si="29"/>
        <v>-83070400.030138642</v>
      </c>
      <c r="H464" s="7">
        <f t="shared" si="30"/>
        <v>-382123.84013864398</v>
      </c>
      <c r="I464" s="7">
        <f>IFERROR((G464/SUMIF(B:B,B464,G:G))*VLOOKUP(B464,'DATOS GENERALES'!G:H,2,0),"")</f>
        <v>-21742616.941333391</v>
      </c>
      <c r="J464" s="7">
        <f t="shared" si="31"/>
        <v>-22124740.781472035</v>
      </c>
      <c r="K464" s="16"/>
      <c r="L464" s="16"/>
      <c r="M464" s="16"/>
    </row>
    <row r="465" spans="1:13" x14ac:dyDescent="0.25">
      <c r="A465" s="16">
        <v>1790</v>
      </c>
      <c r="B465" s="6">
        <v>43709</v>
      </c>
      <c r="C465" s="16" t="s">
        <v>195</v>
      </c>
      <c r="D465" s="7">
        <f>SUMIFS('DATOS PROYECCIÓN'!$F:$F,'DATOS PROYECCIÓN'!A:A,A465,'DATOS PROYECCIÓN'!B:B,B465)</f>
        <v>82688276.189999998</v>
      </c>
      <c r="E465" s="13">
        <f>VLOOKUP(A465,'DATOS GENERALES'!A:B,2,0)</f>
        <v>1</v>
      </c>
      <c r="F465" s="16">
        <f t="shared" si="28"/>
        <v>0.99539999999999995</v>
      </c>
      <c r="G465" s="7">
        <f t="shared" si="29"/>
        <v>-83070400.030138642</v>
      </c>
      <c r="H465" s="7">
        <f t="shared" si="30"/>
        <v>-382123.84013864398</v>
      </c>
      <c r="I465" s="7">
        <f>IFERROR((G465/SUMIF(B:B,B465,G:G))*VLOOKUP(B465,'DATOS GENERALES'!G:H,2,0),"")</f>
        <v>-24572919.632675111</v>
      </c>
      <c r="J465" s="7">
        <f t="shared" si="31"/>
        <v>-24955043.472813755</v>
      </c>
      <c r="K465" s="16"/>
      <c r="L465" s="16"/>
      <c r="M465" s="16"/>
    </row>
    <row r="466" spans="1:13" x14ac:dyDescent="0.25">
      <c r="A466" s="16">
        <v>1790</v>
      </c>
      <c r="B466" s="6">
        <v>43739</v>
      </c>
      <c r="C466" s="16" t="s">
        <v>195</v>
      </c>
      <c r="D466" s="7">
        <f>SUMIFS('DATOS PROYECCIÓN'!$F:$F,'DATOS PROYECCIÓN'!A:A,A466,'DATOS PROYECCIÓN'!B:B,B466)</f>
        <v>82688276.189999998</v>
      </c>
      <c r="E466" s="13">
        <f>VLOOKUP(A466,'DATOS GENERALES'!A:B,2,0)</f>
        <v>1</v>
      </c>
      <c r="F466" s="16">
        <f t="shared" si="28"/>
        <v>0.99539999999999995</v>
      </c>
      <c r="G466" s="7">
        <f t="shared" si="29"/>
        <v>-83070400.030138642</v>
      </c>
      <c r="H466" s="7">
        <f t="shared" si="30"/>
        <v>-382123.84013864398</v>
      </c>
      <c r="I466" s="7">
        <f>IFERROR((G466/SUMIF(B:B,B466,G:G))*VLOOKUP(B466,'DATOS GENERALES'!G:H,2,0),"")</f>
        <v>-26573075.202848982</v>
      </c>
      <c r="J466" s="7">
        <f t="shared" si="31"/>
        <v>-26955199.042987626</v>
      </c>
      <c r="K466" s="16"/>
      <c r="L466" s="16"/>
      <c r="M466" s="16"/>
    </row>
    <row r="467" spans="1:13" x14ac:dyDescent="0.25">
      <c r="A467" s="16">
        <v>1790</v>
      </c>
      <c r="B467" s="6">
        <v>43770</v>
      </c>
      <c r="C467" s="16" t="s">
        <v>195</v>
      </c>
      <c r="D467" s="7">
        <f>SUMIFS('DATOS PROYECCIÓN'!$F:$F,'DATOS PROYECCIÓN'!A:A,A467,'DATOS PROYECCIÓN'!B:B,B467)</f>
        <v>82688276.189999998</v>
      </c>
      <c r="E467" s="13">
        <f>VLOOKUP(A467,'DATOS GENERALES'!A:B,2,0)</f>
        <v>1</v>
      </c>
      <c r="F467" s="16">
        <f t="shared" si="28"/>
        <v>0.99539999999999995</v>
      </c>
      <c r="G467" s="7">
        <f t="shared" si="29"/>
        <v>-83070400.030138642</v>
      </c>
      <c r="H467" s="7">
        <f t="shared" si="30"/>
        <v>-382123.84013864398</v>
      </c>
      <c r="I467" s="7">
        <f>IFERROR((G467/SUMIF(B:B,B467,G:G))*VLOOKUP(B467,'DATOS GENERALES'!G:H,2,0),"")</f>
        <v>-35539531.048196532</v>
      </c>
      <c r="J467" s="7">
        <f t="shared" si="31"/>
        <v>-35921654.888335176</v>
      </c>
      <c r="K467" s="16"/>
      <c r="L467" s="16"/>
      <c r="M467" s="16"/>
    </row>
    <row r="468" spans="1:13" x14ac:dyDescent="0.25">
      <c r="A468" s="16">
        <v>1790</v>
      </c>
      <c r="B468" s="6">
        <v>43800</v>
      </c>
      <c r="C468" s="16" t="s">
        <v>195</v>
      </c>
      <c r="D468" s="7">
        <f>SUMIFS('DATOS PROYECCIÓN'!$F:$F,'DATOS PROYECCIÓN'!A:A,A468,'DATOS PROYECCIÓN'!B:B,B468)</f>
        <v>82688276.189999998</v>
      </c>
      <c r="E468" s="13">
        <f>VLOOKUP(A468,'DATOS GENERALES'!A:B,2,0)</f>
        <v>1</v>
      </c>
      <c r="F468" s="16">
        <f t="shared" si="28"/>
        <v>0.99539999999999995</v>
      </c>
      <c r="G468" s="7">
        <f t="shared" si="29"/>
        <v>-83070400.030138642</v>
      </c>
      <c r="H468" s="7">
        <f t="shared" si="30"/>
        <v>-382123.84013864398</v>
      </c>
      <c r="I468" s="7">
        <f>IFERROR((G468/SUMIF(B:B,B468,G:G))*VLOOKUP(B468,'DATOS GENERALES'!G:H,2,0),"")</f>
        <v>-29923837.132772848</v>
      </c>
      <c r="J468" s="7">
        <f t="shared" si="31"/>
        <v>-30305960.972911492</v>
      </c>
      <c r="K468" s="16"/>
      <c r="L468" s="16"/>
      <c r="M468" s="16"/>
    </row>
    <row r="469" spans="1:13" x14ac:dyDescent="0.25">
      <c r="A469" s="16">
        <v>1790</v>
      </c>
      <c r="B469" s="6">
        <v>43831</v>
      </c>
      <c r="C469" s="16" t="s">
        <v>195</v>
      </c>
      <c r="D469" s="7">
        <f>SUMIFS('DATOS PROYECCIÓN'!$F:$F,'DATOS PROYECCIÓN'!A:A,A469,'DATOS PROYECCIÓN'!B:B,B469)</f>
        <v>79010033.789999992</v>
      </c>
      <c r="E469" s="13">
        <f>VLOOKUP(A469,'DATOS GENERALES'!A:B,2,0)</f>
        <v>1</v>
      </c>
      <c r="F469" s="16">
        <f t="shared" si="28"/>
        <v>0.99539999999999995</v>
      </c>
      <c r="G469" s="7">
        <f t="shared" si="29"/>
        <v>-79375159.523809522</v>
      </c>
      <c r="H469" s="7">
        <f t="shared" si="30"/>
        <v>-365125.73380953074</v>
      </c>
      <c r="I469" s="7" t="str">
        <f>IFERROR((G469/SUMIF(B:B,B469,G:G))*VLOOKUP(B469,'DATOS GENERALES'!G:H,2,0),"")</f>
        <v/>
      </c>
      <c r="J469" s="7" t="str">
        <f t="shared" si="31"/>
        <v/>
      </c>
      <c r="K469" s="16"/>
      <c r="L469" s="16"/>
      <c r="M469" s="16"/>
    </row>
    <row r="470" spans="1:13" x14ac:dyDescent="0.25">
      <c r="A470" s="16">
        <v>1790</v>
      </c>
      <c r="B470" s="6">
        <v>43862</v>
      </c>
      <c r="C470" s="16" t="s">
        <v>195</v>
      </c>
      <c r="D470" s="7">
        <f>SUMIFS('DATOS PROYECCIÓN'!$F:$F,'DATOS PROYECCIÓN'!A:A,A470,'DATOS PROYECCIÓN'!B:B,B470)</f>
        <v>79010033.789999992</v>
      </c>
      <c r="E470" s="13">
        <f>VLOOKUP(A470,'DATOS GENERALES'!A:B,2,0)</f>
        <v>1</v>
      </c>
      <c r="F470" s="16">
        <f t="shared" si="28"/>
        <v>0.99539999999999995</v>
      </c>
      <c r="G470" s="7">
        <f t="shared" si="29"/>
        <v>-79375159.523809522</v>
      </c>
      <c r="H470" s="7">
        <f t="shared" si="30"/>
        <v>-365125.73380953074</v>
      </c>
      <c r="I470" s="7" t="str">
        <f>IFERROR((G470/SUMIF(B:B,B470,G:G))*VLOOKUP(B470,'DATOS GENERALES'!G:H,2,0),"")</f>
        <v/>
      </c>
      <c r="J470" s="7" t="str">
        <f t="shared" si="31"/>
        <v/>
      </c>
      <c r="K470" s="16"/>
      <c r="L470" s="16"/>
      <c r="M470" s="16"/>
    </row>
    <row r="471" spans="1:13" x14ac:dyDescent="0.25">
      <c r="A471" s="16">
        <v>1790</v>
      </c>
      <c r="B471" s="6">
        <v>43891</v>
      </c>
      <c r="C471" s="16" t="s">
        <v>195</v>
      </c>
      <c r="D471" s="7">
        <f>SUMIFS('DATOS PROYECCIÓN'!$F:$F,'DATOS PROYECCIÓN'!A:A,A471,'DATOS PROYECCIÓN'!B:B,B471)</f>
        <v>79010033.789999992</v>
      </c>
      <c r="E471" s="13">
        <f>VLOOKUP(A471,'DATOS GENERALES'!A:B,2,0)</f>
        <v>1</v>
      </c>
      <c r="F471" s="16">
        <f t="shared" si="28"/>
        <v>0.99539999999999995</v>
      </c>
      <c r="G471" s="7">
        <f t="shared" si="29"/>
        <v>-79375159.523809522</v>
      </c>
      <c r="H471" s="7">
        <f t="shared" si="30"/>
        <v>-365125.73380953074</v>
      </c>
      <c r="I471" s="7" t="str">
        <f>IFERROR((G471/SUMIF(B:B,B471,G:G))*VLOOKUP(B471,'DATOS GENERALES'!G:H,2,0),"")</f>
        <v/>
      </c>
      <c r="J471" s="7" t="str">
        <f t="shared" si="31"/>
        <v/>
      </c>
      <c r="K471" s="16"/>
      <c r="L471" s="16"/>
      <c r="M471" s="16"/>
    </row>
    <row r="472" spans="1:13" x14ac:dyDescent="0.25">
      <c r="A472" s="16">
        <v>1790</v>
      </c>
      <c r="B472" s="6">
        <v>43922</v>
      </c>
      <c r="C472" s="16" t="s">
        <v>195</v>
      </c>
      <c r="D472" s="7">
        <f>SUMIFS('DATOS PROYECCIÓN'!$F:$F,'DATOS PROYECCIÓN'!A:A,A472,'DATOS PROYECCIÓN'!B:B,B472)</f>
        <v>79010033.789999992</v>
      </c>
      <c r="E472" s="13">
        <f>VLOOKUP(A472,'DATOS GENERALES'!A:B,2,0)</f>
        <v>1</v>
      </c>
      <c r="F472" s="16">
        <f t="shared" si="28"/>
        <v>0.99539999999999995</v>
      </c>
      <c r="G472" s="7">
        <f t="shared" si="29"/>
        <v>-79375159.523809522</v>
      </c>
      <c r="H472" s="7">
        <f t="shared" si="30"/>
        <v>-365125.73380953074</v>
      </c>
      <c r="I472" s="7" t="str">
        <f>IFERROR((G472/SUMIF(B:B,B472,G:G))*VLOOKUP(B472,'DATOS GENERALES'!G:H,2,0),"")</f>
        <v/>
      </c>
      <c r="J472" s="7" t="str">
        <f t="shared" si="31"/>
        <v/>
      </c>
      <c r="K472" s="16"/>
      <c r="L472" s="16"/>
      <c r="M472" s="16"/>
    </row>
    <row r="473" spans="1:13" x14ac:dyDescent="0.25">
      <c r="A473" s="16">
        <v>1507</v>
      </c>
      <c r="B473" s="6">
        <v>43617</v>
      </c>
      <c r="C473" s="16" t="s">
        <v>195</v>
      </c>
      <c r="D473" s="7">
        <f>SUMIFS('DATOS PROYECCIÓN'!$F:$F,'DATOS PROYECCIÓN'!A:A,A473,'DATOS PROYECCIÓN'!B:B,B473)</f>
        <v>577000000</v>
      </c>
      <c r="E473" s="13">
        <f>VLOOKUP(A473,'DATOS GENERALES'!A:B,2,0)</f>
        <v>1.87</v>
      </c>
      <c r="F473" s="16">
        <f t="shared" si="28"/>
        <v>1.8613980000000001</v>
      </c>
      <c r="G473" s="7">
        <f t="shared" si="29"/>
        <v>-309982067.24193317</v>
      </c>
      <c r="H473" s="7">
        <f t="shared" si="30"/>
        <v>267017932.75806683</v>
      </c>
      <c r="I473" s="7">
        <f>IFERROR((G473/SUMIF(B:B,B473,G:G))*VLOOKUP(B473,'DATOS GENERALES'!G:H,2,0),"")</f>
        <v>-55287558.800183408</v>
      </c>
      <c r="J473" s="7">
        <f t="shared" si="31"/>
        <v>211730373.95788342</v>
      </c>
      <c r="K473" s="16"/>
      <c r="L473" s="16"/>
      <c r="M473" s="16"/>
    </row>
    <row r="474" spans="1:13" x14ac:dyDescent="0.25">
      <c r="A474" s="16">
        <v>1744</v>
      </c>
      <c r="B474" s="6">
        <v>43466</v>
      </c>
      <c r="C474" s="16" t="s">
        <v>195</v>
      </c>
      <c r="D474" s="7">
        <f>SUMIFS('DATOS PROYECCIÓN'!$F:$F,'DATOS PROYECCIÓN'!A:A,A474,'DATOS PROYECCIÓN'!B:B,B474)</f>
        <v>35458635</v>
      </c>
      <c r="E474" s="13">
        <f>VLOOKUP(A474,'DATOS GENERALES'!A:B,2,0)</f>
        <v>2.2200000000000002</v>
      </c>
      <c r="F474" s="16">
        <f t="shared" si="28"/>
        <v>2.2097880000000001</v>
      </c>
      <c r="G474" s="7">
        <f t="shared" si="29"/>
        <v>-16046170.492373023</v>
      </c>
      <c r="H474" s="7">
        <f t="shared" si="30"/>
        <v>19412464.507626977</v>
      </c>
      <c r="I474" s="7">
        <f>IFERROR((G474/SUMIF(B:B,B474,G:G))*VLOOKUP(B474,'DATOS GENERALES'!G:H,2,0),"")</f>
        <v>-3520824.1693170522</v>
      </c>
      <c r="J474" s="7">
        <f t="shared" si="31"/>
        <v>15891640.338309925</v>
      </c>
      <c r="K474" s="16"/>
      <c r="L474" s="16"/>
      <c r="M474" s="16"/>
    </row>
    <row r="475" spans="1:13" x14ac:dyDescent="0.25">
      <c r="A475" s="16">
        <v>1744</v>
      </c>
      <c r="B475" s="6">
        <v>43497</v>
      </c>
      <c r="C475" s="16" t="s">
        <v>195</v>
      </c>
      <c r="D475" s="7">
        <f>SUMIFS('DATOS PROYECCIÓN'!$F:$F,'DATOS PROYECCIÓN'!A:A,A475,'DATOS PROYECCIÓN'!B:B,B475)</f>
        <v>35458635</v>
      </c>
      <c r="E475" s="13">
        <f>VLOOKUP(A475,'DATOS GENERALES'!A:B,2,0)</f>
        <v>2.2200000000000002</v>
      </c>
      <c r="F475" s="16">
        <f t="shared" si="28"/>
        <v>2.2097880000000001</v>
      </c>
      <c r="G475" s="7">
        <f t="shared" si="29"/>
        <v>-16046170.492373023</v>
      </c>
      <c r="H475" s="7">
        <f t="shared" si="30"/>
        <v>19412464.507626977</v>
      </c>
      <c r="I475" s="7">
        <f>IFERROR((G475/SUMIF(B:B,B475,G:G))*VLOOKUP(B475,'DATOS GENERALES'!G:H,2,0),"")</f>
        <v>-3468505.6732319426</v>
      </c>
      <c r="J475" s="7">
        <f t="shared" si="31"/>
        <v>15943958.834395034</v>
      </c>
      <c r="K475" s="16"/>
      <c r="L475" s="16"/>
      <c r="M475" s="16"/>
    </row>
    <row r="476" spans="1:13" x14ac:dyDescent="0.25">
      <c r="A476" s="16">
        <v>1744</v>
      </c>
      <c r="B476" s="6">
        <v>43525</v>
      </c>
      <c r="C476" s="16" t="s">
        <v>195</v>
      </c>
      <c r="D476" s="7">
        <f>SUMIFS('DATOS PROYECCIÓN'!$F:$F,'DATOS PROYECCIÓN'!A:A,A476,'DATOS PROYECCIÓN'!B:B,B476)</f>
        <v>35458635</v>
      </c>
      <c r="E476" s="13">
        <f>VLOOKUP(A476,'DATOS GENERALES'!A:B,2,0)</f>
        <v>2.2200000000000002</v>
      </c>
      <c r="F476" s="16">
        <f t="shared" si="28"/>
        <v>2.2097880000000001</v>
      </c>
      <c r="G476" s="7">
        <f t="shared" si="29"/>
        <v>-16046170.492373023</v>
      </c>
      <c r="H476" s="7">
        <f t="shared" si="30"/>
        <v>19412464.507626977</v>
      </c>
      <c r="I476" s="7">
        <f>IFERROR((G476/SUMIF(B:B,B476,G:G))*VLOOKUP(B476,'DATOS GENERALES'!G:H,2,0),"")</f>
        <v>-2509420.8351658201</v>
      </c>
      <c r="J476" s="7">
        <f t="shared" si="31"/>
        <v>16903043.672461156</v>
      </c>
      <c r="K476" s="16"/>
      <c r="L476" s="16"/>
      <c r="M476" s="16"/>
    </row>
    <row r="477" spans="1:13" x14ac:dyDescent="0.25">
      <c r="A477" s="16">
        <v>1744</v>
      </c>
      <c r="B477" s="6">
        <v>43556</v>
      </c>
      <c r="C477" s="16" t="s">
        <v>195</v>
      </c>
      <c r="D477" s="7">
        <f>SUMIFS('DATOS PROYECCIÓN'!$F:$F,'DATOS PROYECCIÓN'!A:A,A477,'DATOS PROYECCIÓN'!B:B,B477)</f>
        <v>35458635</v>
      </c>
      <c r="E477" s="13">
        <f>VLOOKUP(A477,'DATOS GENERALES'!A:B,2,0)</f>
        <v>2.2200000000000002</v>
      </c>
      <c r="F477" s="16">
        <f t="shared" si="28"/>
        <v>2.2097880000000001</v>
      </c>
      <c r="G477" s="7">
        <f t="shared" si="29"/>
        <v>-16046170.492373023</v>
      </c>
      <c r="H477" s="7">
        <f t="shared" si="30"/>
        <v>19412464.507626977</v>
      </c>
      <c r="I477" s="7">
        <f>IFERROR((G477/SUMIF(B:B,B477,G:G))*VLOOKUP(B477,'DATOS GENERALES'!G:H,2,0),"")</f>
        <v>-2579873.7490181564</v>
      </c>
      <c r="J477" s="7">
        <f t="shared" si="31"/>
        <v>16832590.758608822</v>
      </c>
      <c r="K477" s="16"/>
      <c r="L477" s="16"/>
      <c r="M477" s="16"/>
    </row>
    <row r="478" spans="1:13" x14ac:dyDescent="0.25">
      <c r="A478" s="16">
        <v>1744</v>
      </c>
      <c r="B478" s="6">
        <v>43586</v>
      </c>
      <c r="C478" s="16" t="s">
        <v>195</v>
      </c>
      <c r="D478" s="7">
        <f>SUMIFS('DATOS PROYECCIÓN'!$F:$F,'DATOS PROYECCIÓN'!A:A,A478,'DATOS PROYECCIÓN'!B:B,B478)</f>
        <v>35458635</v>
      </c>
      <c r="E478" s="13">
        <f>VLOOKUP(A478,'DATOS GENERALES'!A:B,2,0)</f>
        <v>2.2200000000000002</v>
      </c>
      <c r="F478" s="16">
        <f t="shared" si="28"/>
        <v>2.2097880000000001</v>
      </c>
      <c r="G478" s="7">
        <f t="shared" si="29"/>
        <v>-16046170.492373023</v>
      </c>
      <c r="H478" s="7">
        <f t="shared" si="30"/>
        <v>19412464.507626977</v>
      </c>
      <c r="I478" s="7">
        <f>IFERROR((G478/SUMIF(B:B,B478,G:G))*VLOOKUP(B478,'DATOS GENERALES'!G:H,2,0),"")</f>
        <v>-2128215.4208993614</v>
      </c>
      <c r="J478" s="7">
        <f t="shared" si="31"/>
        <v>17284249.086727615</v>
      </c>
      <c r="K478" s="16"/>
      <c r="L478" s="16"/>
      <c r="M478" s="16"/>
    </row>
    <row r="479" spans="1:13" x14ac:dyDescent="0.25">
      <c r="A479" s="16">
        <v>1744</v>
      </c>
      <c r="B479" s="6">
        <v>43617</v>
      </c>
      <c r="C479" s="16" t="s">
        <v>195</v>
      </c>
      <c r="D479" s="7">
        <f>SUMIFS('DATOS PROYECCIÓN'!$F:$F,'DATOS PROYECCIÓN'!A:A,A479,'DATOS PROYECCIÓN'!B:B,B479)</f>
        <v>35458635</v>
      </c>
      <c r="E479" s="13">
        <f>VLOOKUP(A479,'DATOS GENERALES'!A:B,2,0)</f>
        <v>2.2200000000000002</v>
      </c>
      <c r="F479" s="16">
        <f t="shared" si="28"/>
        <v>2.2097880000000001</v>
      </c>
      <c r="G479" s="7">
        <f t="shared" si="29"/>
        <v>-16046170.492373023</v>
      </c>
      <c r="H479" s="7">
        <f t="shared" si="30"/>
        <v>19412464.507626977</v>
      </c>
      <c r="I479" s="7">
        <f>IFERROR((G479/SUMIF(B:B,B479,G:G))*VLOOKUP(B479,'DATOS GENERALES'!G:H,2,0),"")</f>
        <v>-2861951.3461159044</v>
      </c>
      <c r="J479" s="7">
        <f t="shared" si="31"/>
        <v>16550513.161511073</v>
      </c>
      <c r="K479" s="16"/>
      <c r="L479" s="16"/>
      <c r="M479" s="16"/>
    </row>
    <row r="480" spans="1:13" x14ac:dyDescent="0.25">
      <c r="A480" s="16">
        <v>1744</v>
      </c>
      <c r="B480" s="6">
        <v>43647</v>
      </c>
      <c r="C480" s="16" t="s">
        <v>195</v>
      </c>
      <c r="D480" s="7">
        <f>SUMIFS('DATOS PROYECCIÓN'!$F:$F,'DATOS PROYECCIÓN'!A:A,A480,'DATOS PROYECCIÓN'!B:B,B480)</f>
        <v>35458635</v>
      </c>
      <c r="E480" s="13">
        <f>VLOOKUP(A480,'DATOS GENERALES'!A:B,2,0)</f>
        <v>2.2200000000000002</v>
      </c>
      <c r="F480" s="16">
        <f t="shared" si="28"/>
        <v>2.2097880000000001</v>
      </c>
      <c r="G480" s="7">
        <f t="shared" si="29"/>
        <v>-16046170.492373023</v>
      </c>
      <c r="H480" s="7">
        <f t="shared" si="30"/>
        <v>19412464.507626977</v>
      </c>
      <c r="I480" s="7">
        <f>IFERROR((G480/SUMIF(B:B,B480,G:G))*VLOOKUP(B480,'DATOS GENERALES'!G:H,2,0),"")</f>
        <v>-4268013.8024116866</v>
      </c>
      <c r="J480" s="7">
        <f t="shared" si="31"/>
        <v>15144450.70521529</v>
      </c>
      <c r="K480" s="16"/>
      <c r="L480" s="16"/>
      <c r="M480" s="16"/>
    </row>
    <row r="481" spans="1:13" x14ac:dyDescent="0.25">
      <c r="A481" s="16">
        <v>1744</v>
      </c>
      <c r="B481" s="6">
        <v>43678</v>
      </c>
      <c r="C481" s="16" t="s">
        <v>195</v>
      </c>
      <c r="D481" s="7">
        <f>SUMIFS('DATOS PROYECCIÓN'!$F:$F,'DATOS PROYECCIÓN'!A:A,A481,'DATOS PROYECCIÓN'!B:B,B481)</f>
        <v>35458635</v>
      </c>
      <c r="E481" s="13">
        <f>VLOOKUP(A481,'DATOS GENERALES'!A:B,2,0)</f>
        <v>2.2200000000000002</v>
      </c>
      <c r="F481" s="16">
        <f t="shared" si="28"/>
        <v>2.2097880000000001</v>
      </c>
      <c r="G481" s="7">
        <f t="shared" si="29"/>
        <v>-16046170.492373023</v>
      </c>
      <c r="H481" s="7">
        <f t="shared" si="30"/>
        <v>19412464.507626977</v>
      </c>
      <c r="I481" s="7">
        <f>IFERROR((G481/SUMIF(B:B,B481,G:G))*VLOOKUP(B481,'DATOS GENERALES'!G:H,2,0),"")</f>
        <v>-4199880.3215635773</v>
      </c>
      <c r="J481" s="7">
        <f t="shared" si="31"/>
        <v>15212584.1860634</v>
      </c>
      <c r="K481" s="16"/>
      <c r="L481" s="16"/>
      <c r="M481" s="16"/>
    </row>
    <row r="482" spans="1:13" x14ac:dyDescent="0.25">
      <c r="A482" s="16">
        <v>1756</v>
      </c>
      <c r="B482" s="6">
        <v>43466</v>
      </c>
      <c r="C482" s="16" t="s">
        <v>195</v>
      </c>
      <c r="D482" s="7">
        <f>SUMIFS('DATOS PROYECCIÓN'!$F:$F,'DATOS PROYECCIÓN'!A:A,A482,'DATOS PROYECCIÓN'!B:B,B482)</f>
        <v>62778573</v>
      </c>
      <c r="E482" s="13">
        <f>VLOOKUP(A482,'DATOS GENERALES'!A:B,2,0)</f>
        <v>1.72</v>
      </c>
      <c r="F482" s="16">
        <f t="shared" si="28"/>
        <v>1.7120879999999998</v>
      </c>
      <c r="G482" s="7">
        <f t="shared" si="29"/>
        <v>-36667842.423987553</v>
      </c>
      <c r="H482" s="7">
        <f t="shared" si="30"/>
        <v>26110730.576012447</v>
      </c>
      <c r="I482" s="7">
        <f>IFERROR((G482/SUMIF(B:B,B482,G:G))*VLOOKUP(B482,'DATOS GENERALES'!G:H,2,0),"")</f>
        <v>-8045597.2909204792</v>
      </c>
      <c r="J482" s="7">
        <f t="shared" si="31"/>
        <v>18065133.285091966</v>
      </c>
      <c r="K482" s="16"/>
      <c r="L482" s="16"/>
      <c r="M482" s="16"/>
    </row>
    <row r="483" spans="1:13" x14ac:dyDescent="0.25">
      <c r="A483" s="16">
        <v>1756</v>
      </c>
      <c r="B483" s="6">
        <v>43497</v>
      </c>
      <c r="C483" s="16" t="s">
        <v>195</v>
      </c>
      <c r="D483" s="7">
        <f>SUMIFS('DATOS PROYECCIÓN'!$F:$F,'DATOS PROYECCIÓN'!A:A,A483,'DATOS PROYECCIÓN'!B:B,B483)</f>
        <v>62778573</v>
      </c>
      <c r="E483" s="13">
        <f>VLOOKUP(A483,'DATOS GENERALES'!A:B,2,0)</f>
        <v>1.72</v>
      </c>
      <c r="F483" s="16">
        <f t="shared" si="28"/>
        <v>1.7120879999999998</v>
      </c>
      <c r="G483" s="7">
        <f t="shared" si="29"/>
        <v>-36667842.423987553</v>
      </c>
      <c r="H483" s="7">
        <f t="shared" si="30"/>
        <v>26110730.576012447</v>
      </c>
      <c r="I483" s="7">
        <f>IFERROR((G483/SUMIF(B:B,B483,G:G))*VLOOKUP(B483,'DATOS GENERALES'!G:H,2,0),"")</f>
        <v>-7926041.8885133658</v>
      </c>
      <c r="J483" s="7">
        <f t="shared" si="31"/>
        <v>18184688.687499084</v>
      </c>
      <c r="K483" s="16"/>
      <c r="L483" s="16"/>
      <c r="M483" s="16"/>
    </row>
    <row r="484" spans="1:13" x14ac:dyDescent="0.25">
      <c r="A484" s="16">
        <v>1756</v>
      </c>
      <c r="B484" s="6">
        <v>43525</v>
      </c>
      <c r="C484" s="16" t="s">
        <v>195</v>
      </c>
      <c r="D484" s="7">
        <f>SUMIFS('DATOS PROYECCIÓN'!$F:$F,'DATOS PROYECCIÓN'!A:A,A484,'DATOS PROYECCIÓN'!B:B,B484)</f>
        <v>62778573</v>
      </c>
      <c r="E484" s="13">
        <f>VLOOKUP(A484,'DATOS GENERALES'!A:B,2,0)</f>
        <v>1.72</v>
      </c>
      <c r="F484" s="16">
        <f t="shared" si="28"/>
        <v>1.7120879999999998</v>
      </c>
      <c r="G484" s="7">
        <f t="shared" si="29"/>
        <v>-36667842.423987553</v>
      </c>
      <c r="H484" s="7">
        <f t="shared" si="30"/>
        <v>26110730.576012447</v>
      </c>
      <c r="I484" s="7">
        <f>IFERROR((G484/SUMIF(B:B,B484,G:G))*VLOOKUP(B484,'DATOS GENERALES'!G:H,2,0),"")</f>
        <v>-5734393.0006893296</v>
      </c>
      <c r="J484" s="7">
        <f t="shared" si="31"/>
        <v>20376337.57532312</v>
      </c>
      <c r="K484" s="16"/>
      <c r="L484" s="16"/>
      <c r="M484" s="16"/>
    </row>
    <row r="485" spans="1:13" x14ac:dyDescent="0.25">
      <c r="A485" s="16">
        <v>1756</v>
      </c>
      <c r="B485" s="6">
        <v>43556</v>
      </c>
      <c r="C485" s="16" t="s">
        <v>195</v>
      </c>
      <c r="D485" s="7">
        <f>SUMIFS('DATOS PROYECCIÓN'!$F:$F,'DATOS PROYECCIÓN'!A:A,A485,'DATOS PROYECCIÓN'!B:B,B485)</f>
        <v>62778573</v>
      </c>
      <c r="E485" s="13">
        <f>VLOOKUP(A485,'DATOS GENERALES'!A:B,2,0)</f>
        <v>1.72</v>
      </c>
      <c r="F485" s="16">
        <f t="shared" si="28"/>
        <v>1.7120879999999998</v>
      </c>
      <c r="G485" s="7">
        <f t="shared" si="29"/>
        <v>-36667842.423987553</v>
      </c>
      <c r="H485" s="7">
        <f t="shared" si="30"/>
        <v>26110730.576012447</v>
      </c>
      <c r="I485" s="7">
        <f>IFERROR((G485/SUMIF(B:B,B485,G:G))*VLOOKUP(B485,'DATOS GENERALES'!G:H,2,0),"")</f>
        <v>-5895388.1954416325</v>
      </c>
      <c r="J485" s="7">
        <f t="shared" si="31"/>
        <v>20215342.380570814</v>
      </c>
      <c r="K485" s="16"/>
      <c r="L485" s="16"/>
      <c r="M485" s="16"/>
    </row>
    <row r="486" spans="1:13" x14ac:dyDescent="0.25">
      <c r="A486" s="16">
        <v>1756</v>
      </c>
      <c r="B486" s="6">
        <v>43586</v>
      </c>
      <c r="C486" s="16" t="s">
        <v>195</v>
      </c>
      <c r="D486" s="7">
        <f>SUMIFS('DATOS PROYECCIÓN'!$F:$F,'DATOS PROYECCIÓN'!A:A,A486,'DATOS PROYECCIÓN'!B:B,B486)</f>
        <v>62778573</v>
      </c>
      <c r="E486" s="13">
        <f>VLOOKUP(A486,'DATOS GENERALES'!A:B,2,0)</f>
        <v>1.72</v>
      </c>
      <c r="F486" s="16">
        <f t="shared" si="28"/>
        <v>1.7120879999999998</v>
      </c>
      <c r="G486" s="7">
        <f t="shared" si="29"/>
        <v>-36667842.423987553</v>
      </c>
      <c r="H486" s="7">
        <f t="shared" si="30"/>
        <v>26110730.576012447</v>
      </c>
      <c r="I486" s="7">
        <f>IFERROR((G486/SUMIF(B:B,B486,G:G))*VLOOKUP(B486,'DATOS GENERALES'!G:H,2,0),"")</f>
        <v>-4863282.9705337035</v>
      </c>
      <c r="J486" s="7">
        <f t="shared" si="31"/>
        <v>21247447.605478745</v>
      </c>
      <c r="K486" s="16"/>
      <c r="L486" s="16"/>
      <c r="M486" s="16"/>
    </row>
    <row r="487" spans="1:13" x14ac:dyDescent="0.25">
      <c r="A487" s="16">
        <v>1802</v>
      </c>
      <c r="B487" s="6">
        <v>43831</v>
      </c>
      <c r="C487" s="16" t="s">
        <v>195</v>
      </c>
      <c r="D487" s="7">
        <f>SUMIFS('DATOS PROYECCIÓN'!$F:$F,'DATOS PROYECCIÓN'!A:A,A487,'DATOS PROYECCIÓN'!B:B,B487)</f>
        <v>21063300</v>
      </c>
      <c r="E487" s="13">
        <f>VLOOKUP(A487,'DATOS GENERALES'!A:B,2,0)</f>
        <v>1.95</v>
      </c>
      <c r="F487" s="16">
        <f t="shared" si="28"/>
        <v>1.9410299999999998</v>
      </c>
      <c r="G487" s="7">
        <f t="shared" si="29"/>
        <v>-10851609.712369207</v>
      </c>
      <c r="H487" s="7">
        <f t="shared" si="30"/>
        <v>10211690.287630793</v>
      </c>
      <c r="I487" s="7" t="str">
        <f>IFERROR((G487/SUMIF(B:B,B487,G:G))*VLOOKUP(B487,'DATOS GENERALES'!G:H,2,0),"")</f>
        <v/>
      </c>
      <c r="J487" s="7" t="str">
        <f t="shared" si="31"/>
        <v/>
      </c>
      <c r="K487" s="16"/>
      <c r="L487" s="16"/>
      <c r="M487" s="16"/>
    </row>
    <row r="488" spans="1:13" x14ac:dyDescent="0.25">
      <c r="A488" s="16">
        <v>1802</v>
      </c>
      <c r="B488" s="6">
        <v>43862</v>
      </c>
      <c r="C488" s="16" t="s">
        <v>195</v>
      </c>
      <c r="D488" s="7">
        <f>SUMIFS('DATOS PROYECCIÓN'!$F:$F,'DATOS PROYECCIÓN'!A:A,A488,'DATOS PROYECCIÓN'!B:B,B488)</f>
        <v>21063300</v>
      </c>
      <c r="E488" s="13">
        <f>VLOOKUP(A488,'DATOS GENERALES'!A:B,2,0)</f>
        <v>1.95</v>
      </c>
      <c r="F488" s="16">
        <f t="shared" si="28"/>
        <v>1.9410299999999998</v>
      </c>
      <c r="G488" s="7">
        <f t="shared" si="29"/>
        <v>-10851609.712369207</v>
      </c>
      <c r="H488" s="7">
        <f t="shared" si="30"/>
        <v>10211690.287630793</v>
      </c>
      <c r="I488" s="7" t="str">
        <f>IFERROR((G488/SUMIF(B:B,B488,G:G))*VLOOKUP(B488,'DATOS GENERALES'!G:H,2,0),"")</f>
        <v/>
      </c>
      <c r="J488" s="7" t="str">
        <f t="shared" si="31"/>
        <v/>
      </c>
      <c r="K488" s="16"/>
      <c r="L488" s="16"/>
      <c r="M488" s="16"/>
    </row>
    <row r="489" spans="1:13" x14ac:dyDescent="0.25">
      <c r="A489" s="16">
        <v>1804</v>
      </c>
      <c r="B489" s="6">
        <v>43466</v>
      </c>
      <c r="C489" s="16" t="s">
        <v>195</v>
      </c>
      <c r="D489" s="7">
        <f>SUMIFS('DATOS PROYECCIÓN'!$F:$F,'DATOS PROYECCIÓN'!A:A,A489,'DATOS PROYECCIÓN'!B:B,B489)</f>
        <v>29813870</v>
      </c>
      <c r="E489" s="13">
        <f>VLOOKUP(A489,'DATOS GENERALES'!A:B,2,0)</f>
        <v>2.27</v>
      </c>
      <c r="F489" s="16">
        <f t="shared" si="28"/>
        <v>2.2595579999999997</v>
      </c>
      <c r="G489" s="7">
        <f t="shared" si="29"/>
        <v>-13194558.404785363</v>
      </c>
      <c r="H489" s="7">
        <f t="shared" si="30"/>
        <v>16619311.595214637</v>
      </c>
      <c r="I489" s="7">
        <f>IFERROR((G489/SUMIF(B:B,B489,G:G))*VLOOKUP(B489,'DATOS GENERALES'!G:H,2,0),"")</f>
        <v>-2895128.1651354027</v>
      </c>
      <c r="J489" s="7">
        <f t="shared" si="31"/>
        <v>13724183.430079235</v>
      </c>
      <c r="K489" s="16"/>
      <c r="L489" s="16"/>
      <c r="M489" s="16"/>
    </row>
    <row r="490" spans="1:13" x14ac:dyDescent="0.25">
      <c r="A490" s="16">
        <v>1813</v>
      </c>
      <c r="B490" s="6">
        <v>43466</v>
      </c>
      <c r="C490" s="16" t="s">
        <v>195</v>
      </c>
      <c r="D490" s="7">
        <f>SUMIFS('DATOS PROYECCIÓN'!$F:$F,'DATOS PROYECCIÓN'!A:A,A490,'DATOS PROYECCIÓN'!B:B,B490)</f>
        <v>126579869.80723679</v>
      </c>
      <c r="E490" s="13">
        <f>VLOOKUP(A490,'DATOS GENERALES'!A:B,2,0)</f>
        <v>2.5499999999999998</v>
      </c>
      <c r="F490" s="16">
        <f t="shared" si="28"/>
        <v>2.5382699999999998</v>
      </c>
      <c r="G490" s="7">
        <f t="shared" si="29"/>
        <v>-49868560.006318003</v>
      </c>
      <c r="H490" s="7">
        <f t="shared" si="30"/>
        <v>76711309.800918788</v>
      </c>
      <c r="I490" s="7">
        <f>IFERROR((G490/SUMIF(B:B,B490,G:G))*VLOOKUP(B490,'DATOS GENERALES'!G:H,2,0),"")</f>
        <v>-10942076.892597962</v>
      </c>
      <c r="J490" s="7">
        <f t="shared" si="31"/>
        <v>65769232.908320829</v>
      </c>
      <c r="K490" s="16"/>
      <c r="L490" s="16"/>
      <c r="M490" s="16"/>
    </row>
    <row r="491" spans="1:13" x14ac:dyDescent="0.25">
      <c r="A491" s="16">
        <v>1813</v>
      </c>
      <c r="B491" s="6">
        <v>43497</v>
      </c>
      <c r="C491" s="16" t="s">
        <v>195</v>
      </c>
      <c r="D491" s="7">
        <f>SUMIFS('DATOS PROYECCIÓN'!$F:$F,'DATOS PROYECCIÓN'!A:A,A491,'DATOS PROYECCIÓN'!B:B,B491)</f>
        <v>253159739.61447358</v>
      </c>
      <c r="E491" s="13">
        <f>VLOOKUP(A491,'DATOS GENERALES'!A:B,2,0)</f>
        <v>2.5499999999999998</v>
      </c>
      <c r="F491" s="16">
        <f t="shared" si="28"/>
        <v>2.5382699999999998</v>
      </c>
      <c r="G491" s="7">
        <f t="shared" si="29"/>
        <v>-99737120.012636006</v>
      </c>
      <c r="H491" s="7">
        <f t="shared" si="30"/>
        <v>153422619.60183758</v>
      </c>
      <c r="I491" s="7">
        <f>IFERROR((G491/SUMIF(B:B,B491,G:G))*VLOOKUP(B491,'DATOS GENERALES'!G:H,2,0),"")</f>
        <v>-21558961.171456628</v>
      </c>
      <c r="J491" s="7">
        <f t="shared" si="31"/>
        <v>131863658.43038094</v>
      </c>
      <c r="K491" s="16"/>
      <c r="L491" s="16"/>
      <c r="M491" s="16"/>
    </row>
    <row r="492" spans="1:13" x14ac:dyDescent="0.25">
      <c r="A492" s="16">
        <v>1813</v>
      </c>
      <c r="B492" s="6">
        <v>43525</v>
      </c>
      <c r="C492" s="16" t="s">
        <v>195</v>
      </c>
      <c r="D492" s="7">
        <f>SUMIFS('DATOS PROYECCIÓN'!$F:$F,'DATOS PROYECCIÓN'!A:A,A492,'DATOS PROYECCIÓN'!B:B,B492)</f>
        <v>253159739.61447358</v>
      </c>
      <c r="E492" s="13">
        <f>VLOOKUP(A492,'DATOS GENERALES'!A:B,2,0)</f>
        <v>2.5499999999999998</v>
      </c>
      <c r="F492" s="16">
        <f t="shared" si="28"/>
        <v>2.5382699999999998</v>
      </c>
      <c r="G492" s="7">
        <f t="shared" si="29"/>
        <v>-99737120.012636006</v>
      </c>
      <c r="H492" s="7">
        <f t="shared" si="30"/>
        <v>153422619.60183758</v>
      </c>
      <c r="I492" s="7">
        <f>IFERROR((G492/SUMIF(B:B,B492,G:G))*VLOOKUP(B492,'DATOS GENERALES'!G:H,2,0),"")</f>
        <v>-15597641.014602548</v>
      </c>
      <c r="J492" s="7">
        <f t="shared" si="31"/>
        <v>137824978.58723503</v>
      </c>
      <c r="K492" s="16"/>
      <c r="L492" s="16"/>
      <c r="M492" s="16"/>
    </row>
    <row r="493" spans="1:13" x14ac:dyDescent="0.25">
      <c r="A493" s="16">
        <v>1813</v>
      </c>
      <c r="B493" s="6">
        <v>43556</v>
      </c>
      <c r="C493" s="16" t="s">
        <v>195</v>
      </c>
      <c r="D493" s="7">
        <f>SUMIFS('DATOS PROYECCIÓN'!$F:$F,'DATOS PROYECCIÓN'!A:A,A493,'DATOS PROYECCIÓN'!B:B,B493)</f>
        <v>126579869.80723679</v>
      </c>
      <c r="E493" s="13">
        <f>VLOOKUP(A493,'DATOS GENERALES'!A:B,2,0)</f>
        <v>2.5499999999999998</v>
      </c>
      <c r="F493" s="16">
        <f t="shared" si="28"/>
        <v>2.5382699999999998</v>
      </c>
      <c r="G493" s="7">
        <f t="shared" si="29"/>
        <v>-49868560.006318003</v>
      </c>
      <c r="H493" s="7">
        <f t="shared" si="30"/>
        <v>76711309.800918788</v>
      </c>
      <c r="I493" s="7">
        <f>IFERROR((G493/SUMIF(B:B,B493,G:G))*VLOOKUP(B493,'DATOS GENERALES'!G:H,2,0),"")</f>
        <v>-8017775.2643715153</v>
      </c>
      <c r="J493" s="7">
        <f t="shared" si="31"/>
        <v>68693534.536547273</v>
      </c>
      <c r="K493" s="16"/>
      <c r="L493" s="16"/>
      <c r="M493" s="16"/>
    </row>
    <row r="494" spans="1:13" x14ac:dyDescent="0.25">
      <c r="A494" s="16">
        <v>1857</v>
      </c>
      <c r="B494" s="6">
        <v>43466</v>
      </c>
      <c r="C494" s="16" t="s">
        <v>195</v>
      </c>
      <c r="D494" s="7">
        <f>SUMIFS('DATOS PROYECCIÓN'!$F:$F,'DATOS PROYECCIÓN'!A:A,A494,'DATOS PROYECCIÓN'!B:B,B494)</f>
        <v>9800000</v>
      </c>
      <c r="E494" s="13">
        <f>VLOOKUP(A494,'DATOS GENERALES'!A:B,2,0)</f>
        <v>1.85</v>
      </c>
      <c r="F494" s="16">
        <f t="shared" si="28"/>
        <v>1.8414900000000001</v>
      </c>
      <c r="G494" s="7">
        <f t="shared" si="29"/>
        <v>-5321777.4736762075</v>
      </c>
      <c r="H494" s="7">
        <f t="shared" si="30"/>
        <v>4478222.5263237925</v>
      </c>
      <c r="I494" s="7">
        <f>IFERROR((G494/SUMIF(B:B,B494,G:G))*VLOOKUP(B494,'DATOS GENERALES'!G:H,2,0),"")</f>
        <v>-1167695.6045027827</v>
      </c>
      <c r="J494" s="7">
        <f t="shared" si="31"/>
        <v>3310526.9218210098</v>
      </c>
      <c r="K494" s="16"/>
      <c r="L494" s="16"/>
      <c r="M494" s="16"/>
    </row>
    <row r="495" spans="1:13" x14ac:dyDescent="0.25">
      <c r="A495" s="16">
        <v>1857</v>
      </c>
      <c r="B495" s="6">
        <v>43497</v>
      </c>
      <c r="C495" s="16" t="s">
        <v>195</v>
      </c>
      <c r="D495" s="7">
        <f>SUMIFS('DATOS PROYECCIÓN'!$F:$F,'DATOS PROYECCIÓN'!A:A,A495,'DATOS PROYECCIÓN'!B:B,B495)</f>
        <v>9800000</v>
      </c>
      <c r="E495" s="13">
        <f>VLOOKUP(A495,'DATOS GENERALES'!A:B,2,0)</f>
        <v>1.85</v>
      </c>
      <c r="F495" s="16">
        <f t="shared" si="28"/>
        <v>1.8414900000000001</v>
      </c>
      <c r="G495" s="7">
        <f t="shared" si="29"/>
        <v>-5321777.4736762075</v>
      </c>
      <c r="H495" s="7">
        <f t="shared" si="30"/>
        <v>4478222.5263237925</v>
      </c>
      <c r="I495" s="7">
        <f>IFERROR((G495/SUMIF(B:B,B495,G:G))*VLOOKUP(B495,'DATOS GENERALES'!G:H,2,0),"")</f>
        <v>-1150343.9632464035</v>
      </c>
      <c r="J495" s="7">
        <f t="shared" si="31"/>
        <v>3327878.5630773893</v>
      </c>
      <c r="K495" s="16"/>
      <c r="L495" s="16"/>
      <c r="M495" s="16"/>
    </row>
    <row r="496" spans="1:13" x14ac:dyDescent="0.25">
      <c r="A496" s="16">
        <v>1857</v>
      </c>
      <c r="B496" s="6">
        <v>43525</v>
      </c>
      <c r="C496" s="16" t="s">
        <v>195</v>
      </c>
      <c r="D496" s="7">
        <f>SUMIFS('DATOS PROYECCIÓN'!$F:$F,'DATOS PROYECCIÓN'!A:A,A496,'DATOS PROYECCIÓN'!B:B,B496)</f>
        <v>9800000</v>
      </c>
      <c r="E496" s="13">
        <f>VLOOKUP(A496,'DATOS GENERALES'!A:B,2,0)</f>
        <v>1.85</v>
      </c>
      <c r="F496" s="16">
        <f t="shared" si="28"/>
        <v>1.8414900000000001</v>
      </c>
      <c r="G496" s="7">
        <f t="shared" si="29"/>
        <v>-5321777.4736762075</v>
      </c>
      <c r="H496" s="7">
        <f t="shared" si="30"/>
        <v>4478222.5263237925</v>
      </c>
      <c r="I496" s="7">
        <f>IFERROR((G496/SUMIF(B:B,B496,G:G))*VLOOKUP(B496,'DATOS GENERALES'!G:H,2,0),"")</f>
        <v>-832259.58984461869</v>
      </c>
      <c r="J496" s="7">
        <f t="shared" si="31"/>
        <v>3645962.9364791736</v>
      </c>
      <c r="K496" s="16"/>
      <c r="L496" s="16"/>
      <c r="M496" s="16"/>
    </row>
    <row r="497" spans="1:13" x14ac:dyDescent="0.25">
      <c r="A497" s="16">
        <v>1857</v>
      </c>
      <c r="B497" s="6">
        <v>43556</v>
      </c>
      <c r="C497" s="16" t="s">
        <v>195</v>
      </c>
      <c r="D497" s="7">
        <f>SUMIFS('DATOS PROYECCIÓN'!$F:$F,'DATOS PROYECCIÓN'!A:A,A497,'DATOS PROYECCIÓN'!B:B,B497)</f>
        <v>9800000</v>
      </c>
      <c r="E497" s="13">
        <f>VLOOKUP(A497,'DATOS GENERALES'!A:B,2,0)</f>
        <v>1.85</v>
      </c>
      <c r="F497" s="16">
        <f t="shared" si="28"/>
        <v>1.8414900000000001</v>
      </c>
      <c r="G497" s="7">
        <f t="shared" si="29"/>
        <v>-5321777.4736762075</v>
      </c>
      <c r="H497" s="7">
        <f t="shared" si="30"/>
        <v>4478222.5263237925</v>
      </c>
      <c r="I497" s="7">
        <f>IFERROR((G497/SUMIF(B:B,B497,G:G))*VLOOKUP(B497,'DATOS GENERALES'!G:H,2,0),"")</f>
        <v>-855625.58424636256</v>
      </c>
      <c r="J497" s="7">
        <f t="shared" si="31"/>
        <v>3622596.94207743</v>
      </c>
      <c r="K497" s="16"/>
      <c r="L497" s="16"/>
      <c r="M497" s="16"/>
    </row>
    <row r="498" spans="1:13" x14ac:dyDescent="0.25">
      <c r="A498" s="16">
        <v>1857</v>
      </c>
      <c r="B498" s="6">
        <v>43586</v>
      </c>
      <c r="C498" s="16" t="s">
        <v>195</v>
      </c>
      <c r="D498" s="7">
        <f>SUMIFS('DATOS PROYECCIÓN'!$F:$F,'DATOS PROYECCIÓN'!A:A,A498,'DATOS PROYECCIÓN'!B:B,B498)</f>
        <v>9800000</v>
      </c>
      <c r="E498" s="13">
        <f>VLOOKUP(A498,'DATOS GENERALES'!A:B,2,0)</f>
        <v>1.85</v>
      </c>
      <c r="F498" s="16">
        <f t="shared" si="28"/>
        <v>1.8414900000000001</v>
      </c>
      <c r="G498" s="7">
        <f t="shared" si="29"/>
        <v>-5321777.4736762075</v>
      </c>
      <c r="H498" s="7">
        <f t="shared" si="30"/>
        <v>4478222.5263237925</v>
      </c>
      <c r="I498" s="7">
        <f>IFERROR((G498/SUMIF(B:B,B498,G:G))*VLOOKUP(B498,'DATOS GENERALES'!G:H,2,0),"")</f>
        <v>-705831.26930228679</v>
      </c>
      <c r="J498" s="7">
        <f t="shared" si="31"/>
        <v>3772391.2570215059</v>
      </c>
      <c r="K498" s="16"/>
      <c r="L498" s="16"/>
      <c r="M498" s="16"/>
    </row>
    <row r="499" spans="1:13" x14ac:dyDescent="0.25">
      <c r="A499" s="16">
        <v>1857</v>
      </c>
      <c r="B499" s="6">
        <v>43617</v>
      </c>
      <c r="C499" s="16" t="s">
        <v>195</v>
      </c>
      <c r="D499" s="7">
        <f>SUMIFS('DATOS PROYECCIÓN'!$F:$F,'DATOS PROYECCIÓN'!A:A,A499,'DATOS PROYECCIÓN'!B:B,B499)</f>
        <v>9800000</v>
      </c>
      <c r="E499" s="13">
        <f>VLOOKUP(A499,'DATOS GENERALES'!A:B,2,0)</f>
        <v>1.85</v>
      </c>
      <c r="F499" s="16">
        <f t="shared" si="28"/>
        <v>1.8414900000000001</v>
      </c>
      <c r="G499" s="7">
        <f t="shared" si="29"/>
        <v>-5321777.4736762075</v>
      </c>
      <c r="H499" s="7">
        <f t="shared" si="30"/>
        <v>4478222.5263237925</v>
      </c>
      <c r="I499" s="7">
        <f>IFERROR((G499/SUMIF(B:B,B499,G:G))*VLOOKUP(B499,'DATOS GENERALES'!G:H,2,0),"")</f>
        <v>-949177.76249207114</v>
      </c>
      <c r="J499" s="7">
        <f t="shared" si="31"/>
        <v>3529044.7638317216</v>
      </c>
      <c r="K499" s="16"/>
      <c r="L499" s="16"/>
      <c r="M499" s="16"/>
    </row>
    <row r="500" spans="1:13" x14ac:dyDescent="0.25">
      <c r="A500" s="16">
        <v>1857</v>
      </c>
      <c r="B500" s="6">
        <v>43647</v>
      </c>
      <c r="C500" s="16" t="s">
        <v>195</v>
      </c>
      <c r="D500" s="7">
        <f>SUMIFS('DATOS PROYECCIÓN'!$F:$F,'DATOS PROYECCIÓN'!A:A,A500,'DATOS PROYECCIÓN'!B:B,B500)</f>
        <v>9800000</v>
      </c>
      <c r="E500" s="13">
        <f>VLOOKUP(A500,'DATOS GENERALES'!A:B,2,0)</f>
        <v>1.85</v>
      </c>
      <c r="F500" s="16">
        <f t="shared" si="28"/>
        <v>1.8414900000000001</v>
      </c>
      <c r="G500" s="7">
        <f t="shared" si="29"/>
        <v>-5321777.4736762075</v>
      </c>
      <c r="H500" s="7">
        <f t="shared" si="30"/>
        <v>4478222.5263237925</v>
      </c>
      <c r="I500" s="7">
        <f>IFERROR((G500/SUMIF(B:B,B500,G:G))*VLOOKUP(B500,'DATOS GENERALES'!G:H,2,0),"")</f>
        <v>-1415504.0744338138</v>
      </c>
      <c r="J500" s="7">
        <f t="shared" si="31"/>
        <v>3062718.4518899787</v>
      </c>
      <c r="K500" s="16"/>
      <c r="L500" s="16"/>
      <c r="M500" s="16"/>
    </row>
    <row r="501" spans="1:13" x14ac:dyDescent="0.25">
      <c r="A501" s="16">
        <v>1857</v>
      </c>
      <c r="B501" s="6">
        <v>43678</v>
      </c>
      <c r="C501" s="16" t="s">
        <v>195</v>
      </c>
      <c r="D501" s="7">
        <f>SUMIFS('DATOS PROYECCIÓN'!$F:$F,'DATOS PROYECCIÓN'!A:A,A501,'DATOS PROYECCIÓN'!B:B,B501)</f>
        <v>9800000</v>
      </c>
      <c r="E501" s="13">
        <f>VLOOKUP(A501,'DATOS GENERALES'!A:B,2,0)</f>
        <v>1.85</v>
      </c>
      <c r="F501" s="16">
        <f t="shared" si="28"/>
        <v>1.8414900000000001</v>
      </c>
      <c r="G501" s="7">
        <f t="shared" si="29"/>
        <v>-5321777.4736762075</v>
      </c>
      <c r="H501" s="7">
        <f t="shared" si="30"/>
        <v>4478222.5263237925</v>
      </c>
      <c r="I501" s="7">
        <f>IFERROR((G501/SUMIF(B:B,B501,G:G))*VLOOKUP(B501,'DATOS GENERALES'!G:H,2,0),"")</f>
        <v>-1392907.3293878252</v>
      </c>
      <c r="J501" s="7">
        <f t="shared" si="31"/>
        <v>3085315.1969359675</v>
      </c>
      <c r="K501" s="16"/>
      <c r="L501" s="16"/>
      <c r="M501" s="16"/>
    </row>
    <row r="502" spans="1:13" x14ac:dyDescent="0.25">
      <c r="A502" s="16">
        <v>1857</v>
      </c>
      <c r="B502" s="6">
        <v>43709</v>
      </c>
      <c r="C502" s="16" t="s">
        <v>195</v>
      </c>
      <c r="D502" s="7">
        <f>SUMIFS('DATOS PROYECCIÓN'!$F:$F,'DATOS PROYECCIÓN'!A:A,A502,'DATOS PROYECCIÓN'!B:B,B502)</f>
        <v>9800000</v>
      </c>
      <c r="E502" s="13">
        <f>VLOOKUP(A502,'DATOS GENERALES'!A:B,2,0)</f>
        <v>1.85</v>
      </c>
      <c r="F502" s="16">
        <f t="shared" si="28"/>
        <v>1.8414900000000001</v>
      </c>
      <c r="G502" s="7">
        <f t="shared" si="29"/>
        <v>-5321777.4736762075</v>
      </c>
      <c r="H502" s="7">
        <f t="shared" si="30"/>
        <v>4478222.5263237925</v>
      </c>
      <c r="I502" s="7">
        <f>IFERROR((G502/SUMIF(B:B,B502,G:G))*VLOOKUP(B502,'DATOS GENERALES'!G:H,2,0),"")</f>
        <v>-1574226.3202799216</v>
      </c>
      <c r="J502" s="7">
        <f t="shared" si="31"/>
        <v>2903996.2060438711</v>
      </c>
      <c r="K502" s="16"/>
      <c r="L502" s="16"/>
      <c r="M502" s="16"/>
    </row>
    <row r="503" spans="1:13" x14ac:dyDescent="0.25">
      <c r="A503" s="16">
        <v>1873</v>
      </c>
      <c r="B503" s="6">
        <v>43800</v>
      </c>
      <c r="C503" s="16" t="s">
        <v>195</v>
      </c>
      <c r="D503" s="7">
        <f>SUMIFS('DATOS PROYECCIÓN'!$F:$F,'DATOS PROYECCIÓN'!A:A,A503,'DATOS PROYECCIÓN'!B:B,B503)</f>
        <v>6950000</v>
      </c>
      <c r="E503" s="13">
        <f>VLOOKUP(A503,'DATOS GENERALES'!A:B,2,0)</f>
        <v>1.83</v>
      </c>
      <c r="F503" s="16">
        <f t="shared" si="28"/>
        <v>1.821582</v>
      </c>
      <c r="G503" s="7">
        <f t="shared" si="29"/>
        <v>-3815364.8861264549</v>
      </c>
      <c r="H503" s="7">
        <f t="shared" si="30"/>
        <v>3134635.1138735451</v>
      </c>
      <c r="I503" s="7">
        <f>IFERROR((G503/SUMIF(B:B,B503,G:G))*VLOOKUP(B503,'DATOS GENERALES'!G:H,2,0),"")</f>
        <v>-1374380.7350527563</v>
      </c>
      <c r="J503" s="7">
        <f t="shared" si="31"/>
        <v>1760254.3788207888</v>
      </c>
      <c r="K503" s="16"/>
      <c r="L503" s="16"/>
      <c r="M503" s="16"/>
    </row>
    <row r="504" spans="1:13" x14ac:dyDescent="0.25">
      <c r="A504" s="16">
        <v>1883</v>
      </c>
      <c r="B504" s="6">
        <v>43466</v>
      </c>
      <c r="C504" s="16" t="s">
        <v>195</v>
      </c>
      <c r="D504" s="7">
        <f>SUMIFS('DATOS PROYECCIÓN'!$F:$F,'DATOS PROYECCIÓN'!A:A,A504,'DATOS PROYECCIÓN'!B:B,B504)</f>
        <v>11029019</v>
      </c>
      <c r="E504" s="13">
        <f>VLOOKUP(A504,'DATOS GENERALES'!A:B,2,0)</f>
        <v>5.27</v>
      </c>
      <c r="F504" s="16">
        <f t="shared" si="28"/>
        <v>5.2457579999999995</v>
      </c>
      <c r="G504" s="7">
        <f t="shared" si="29"/>
        <v>-2102464.3149760244</v>
      </c>
      <c r="H504" s="7">
        <f t="shared" si="30"/>
        <v>8926554.6850239746</v>
      </c>
      <c r="I504" s="7">
        <f>IFERROR((G504/SUMIF(B:B,B504,G:G))*VLOOKUP(B504,'DATOS GENERALES'!G:H,2,0),"")</f>
        <v>-461319.23992784927</v>
      </c>
      <c r="J504" s="7">
        <f t="shared" si="31"/>
        <v>8465235.4450961258</v>
      </c>
      <c r="K504" s="16"/>
      <c r="L504" s="16"/>
      <c r="M504" s="16"/>
    </row>
    <row r="505" spans="1:13" x14ac:dyDescent="0.25">
      <c r="A505" s="16">
        <v>1883</v>
      </c>
      <c r="B505" s="6">
        <v>43497</v>
      </c>
      <c r="C505" s="16" t="s">
        <v>195</v>
      </c>
      <c r="D505" s="7">
        <f>SUMIFS('DATOS PROYECCIÓN'!$F:$F,'DATOS PROYECCIÓN'!A:A,A505,'DATOS PROYECCIÓN'!B:B,B505)</f>
        <v>11029019</v>
      </c>
      <c r="E505" s="13">
        <f>VLOOKUP(A505,'DATOS GENERALES'!A:B,2,0)</f>
        <v>5.27</v>
      </c>
      <c r="F505" s="16">
        <f t="shared" si="28"/>
        <v>5.2457579999999995</v>
      </c>
      <c r="G505" s="7">
        <f t="shared" si="29"/>
        <v>-2102464.3149760244</v>
      </c>
      <c r="H505" s="7">
        <f t="shared" si="30"/>
        <v>8926554.6850239746</v>
      </c>
      <c r="I505" s="7">
        <f>IFERROR((G505/SUMIF(B:B,B505,G:G))*VLOOKUP(B505,'DATOS GENERALES'!G:H,2,0),"")</f>
        <v>-454464.16063747031</v>
      </c>
      <c r="J505" s="7">
        <f t="shared" si="31"/>
        <v>8472090.5243865047</v>
      </c>
      <c r="K505" s="16"/>
      <c r="L505" s="16"/>
      <c r="M505" s="16"/>
    </row>
    <row r="506" spans="1:13" x14ac:dyDescent="0.25">
      <c r="A506" s="16">
        <v>1883</v>
      </c>
      <c r="B506" s="6">
        <v>43525</v>
      </c>
      <c r="C506" s="16" t="s">
        <v>195</v>
      </c>
      <c r="D506" s="7">
        <f>SUMIFS('DATOS PROYECCIÓN'!$F:$F,'DATOS PROYECCIÓN'!A:A,A506,'DATOS PROYECCIÓN'!B:B,B506)</f>
        <v>11029019</v>
      </c>
      <c r="E506" s="13">
        <f>VLOOKUP(A506,'DATOS GENERALES'!A:B,2,0)</f>
        <v>5.27</v>
      </c>
      <c r="F506" s="16">
        <f t="shared" si="28"/>
        <v>5.2457579999999995</v>
      </c>
      <c r="G506" s="7">
        <f t="shared" si="29"/>
        <v>-2102464.3149760244</v>
      </c>
      <c r="H506" s="7">
        <f t="shared" si="30"/>
        <v>8926554.6850239746</v>
      </c>
      <c r="I506" s="7">
        <f>IFERROR((G506/SUMIF(B:B,B506,G:G))*VLOOKUP(B506,'DATOS GENERALES'!G:H,2,0),"")</f>
        <v>-328799.18356228434</v>
      </c>
      <c r="J506" s="7">
        <f t="shared" si="31"/>
        <v>8597755.5014616903</v>
      </c>
      <c r="K506" s="16"/>
      <c r="L506" s="16"/>
      <c r="M506" s="16"/>
    </row>
    <row r="507" spans="1:13" x14ac:dyDescent="0.25">
      <c r="A507" s="16">
        <v>1883</v>
      </c>
      <c r="B507" s="6">
        <v>43556</v>
      </c>
      <c r="C507" s="16" t="s">
        <v>195</v>
      </c>
      <c r="D507" s="7">
        <f>SUMIFS('DATOS PROYECCIÓN'!$F:$F,'DATOS PROYECCIÓN'!A:A,A507,'DATOS PROYECCIÓN'!B:B,B507)</f>
        <v>11029019</v>
      </c>
      <c r="E507" s="13">
        <f>VLOOKUP(A507,'DATOS GENERALES'!A:B,2,0)</f>
        <v>5.27</v>
      </c>
      <c r="F507" s="16">
        <f t="shared" si="28"/>
        <v>5.2457579999999995</v>
      </c>
      <c r="G507" s="7">
        <f t="shared" si="29"/>
        <v>-2102464.3149760244</v>
      </c>
      <c r="H507" s="7">
        <f t="shared" si="30"/>
        <v>8926554.6850239746</v>
      </c>
      <c r="I507" s="7">
        <f>IFERROR((G507/SUMIF(B:B,B507,G:G))*VLOOKUP(B507,'DATOS GENERALES'!G:H,2,0),"")</f>
        <v>-338030.3416963091</v>
      </c>
      <c r="J507" s="7">
        <f t="shared" si="31"/>
        <v>8588524.3433276657</v>
      </c>
      <c r="K507" s="16"/>
      <c r="L507" s="16"/>
      <c r="M507" s="16"/>
    </row>
    <row r="508" spans="1:13" x14ac:dyDescent="0.25">
      <c r="A508" s="16">
        <v>1883</v>
      </c>
      <c r="B508" s="6">
        <v>43586</v>
      </c>
      <c r="C508" s="16" t="s">
        <v>195</v>
      </c>
      <c r="D508" s="7">
        <f>SUMIFS('DATOS PROYECCIÓN'!$F:$F,'DATOS PROYECCIÓN'!A:A,A508,'DATOS PROYECCIÓN'!B:B,B508)</f>
        <v>11029019</v>
      </c>
      <c r="E508" s="13">
        <f>VLOOKUP(A508,'DATOS GENERALES'!A:B,2,0)</f>
        <v>5.27</v>
      </c>
      <c r="F508" s="16">
        <f t="shared" si="28"/>
        <v>5.2457579999999995</v>
      </c>
      <c r="G508" s="7">
        <f t="shared" si="29"/>
        <v>-2102464.3149760244</v>
      </c>
      <c r="H508" s="7">
        <f t="shared" si="30"/>
        <v>8926554.6850239746</v>
      </c>
      <c r="I508" s="7">
        <f>IFERROR((G508/SUMIF(B:B,B508,G:G))*VLOOKUP(B508,'DATOS GENERALES'!G:H,2,0),"")</f>
        <v>-278851.39193487825</v>
      </c>
      <c r="J508" s="7">
        <f t="shared" si="31"/>
        <v>8647703.2930890955</v>
      </c>
      <c r="K508" s="16"/>
      <c r="L508" s="16"/>
      <c r="M508" s="16"/>
    </row>
    <row r="509" spans="1:13" x14ac:dyDescent="0.25">
      <c r="A509" s="16">
        <v>1883</v>
      </c>
      <c r="B509" s="6">
        <v>43617</v>
      </c>
      <c r="C509" s="16" t="s">
        <v>195</v>
      </c>
      <c r="D509" s="7">
        <f>SUMIFS('DATOS PROYECCIÓN'!$F:$F,'DATOS PROYECCIÓN'!A:A,A509,'DATOS PROYECCIÓN'!B:B,B509)</f>
        <v>11029019</v>
      </c>
      <c r="E509" s="13">
        <f>VLOOKUP(A509,'DATOS GENERALES'!A:B,2,0)</f>
        <v>5.27</v>
      </c>
      <c r="F509" s="16">
        <f t="shared" si="28"/>
        <v>5.2457579999999995</v>
      </c>
      <c r="G509" s="7">
        <f t="shared" si="29"/>
        <v>-2102464.3149760244</v>
      </c>
      <c r="H509" s="7">
        <f t="shared" si="30"/>
        <v>8926554.6850239746</v>
      </c>
      <c r="I509" s="7">
        <f>IFERROR((G509/SUMIF(B:B,B509,G:G))*VLOOKUP(B509,'DATOS GENERALES'!G:H,2,0),"")</f>
        <v>-374989.81948785379</v>
      </c>
      <c r="J509" s="7">
        <f t="shared" si="31"/>
        <v>8551564.8655361217</v>
      </c>
      <c r="K509" s="16"/>
      <c r="L509" s="16"/>
      <c r="M509" s="16"/>
    </row>
    <row r="510" spans="1:13" x14ac:dyDescent="0.25">
      <c r="A510" s="16">
        <v>1883</v>
      </c>
      <c r="B510" s="6">
        <v>43647</v>
      </c>
      <c r="C510" s="16" t="s">
        <v>195</v>
      </c>
      <c r="D510" s="7">
        <f>SUMIFS('DATOS PROYECCIÓN'!$F:$F,'DATOS PROYECCIÓN'!A:A,A510,'DATOS PROYECCIÓN'!B:B,B510)</f>
        <v>11029019</v>
      </c>
      <c r="E510" s="13">
        <f>VLOOKUP(A510,'DATOS GENERALES'!A:B,2,0)</f>
        <v>5.27</v>
      </c>
      <c r="F510" s="16">
        <f t="shared" si="28"/>
        <v>5.2457579999999995</v>
      </c>
      <c r="G510" s="7">
        <f t="shared" si="29"/>
        <v>-2102464.3149760244</v>
      </c>
      <c r="H510" s="7">
        <f t="shared" si="30"/>
        <v>8926554.6850239746</v>
      </c>
      <c r="I510" s="7">
        <f>IFERROR((G510/SUMIF(B:B,B510,G:G))*VLOOKUP(B510,'DATOS GENERALES'!G:H,2,0),"")</f>
        <v>-559220.45198640169</v>
      </c>
      <c r="J510" s="7">
        <f t="shared" si="31"/>
        <v>8367334.2330375733</v>
      </c>
      <c r="K510" s="16"/>
      <c r="L510" s="16"/>
      <c r="M510" s="16"/>
    </row>
    <row r="511" spans="1:13" x14ac:dyDescent="0.25">
      <c r="A511" s="16">
        <v>1883</v>
      </c>
      <c r="B511" s="6">
        <v>43678</v>
      </c>
      <c r="C511" s="16" t="s">
        <v>195</v>
      </c>
      <c r="D511" s="7">
        <f>SUMIFS('DATOS PROYECCIÓN'!$F:$F,'DATOS PROYECCIÓN'!A:A,A511,'DATOS PROYECCIÓN'!B:B,B511)</f>
        <v>11029019</v>
      </c>
      <c r="E511" s="13">
        <f>VLOOKUP(A511,'DATOS GENERALES'!A:B,2,0)</f>
        <v>5.27</v>
      </c>
      <c r="F511" s="16">
        <f t="shared" si="28"/>
        <v>5.2457579999999995</v>
      </c>
      <c r="G511" s="7">
        <f t="shared" si="29"/>
        <v>-2102464.3149760244</v>
      </c>
      <c r="H511" s="7">
        <f t="shared" si="30"/>
        <v>8926554.6850239746</v>
      </c>
      <c r="I511" s="7">
        <f>IFERROR((G511/SUMIF(B:B,B511,G:G))*VLOOKUP(B511,'DATOS GENERALES'!G:H,2,0),"")</f>
        <v>-550293.19970484707</v>
      </c>
      <c r="J511" s="7">
        <f t="shared" si="31"/>
        <v>8376261.4853191273</v>
      </c>
      <c r="K511" s="16"/>
      <c r="L511" s="16"/>
      <c r="M511" s="16"/>
    </row>
    <row r="512" spans="1:13" x14ac:dyDescent="0.25">
      <c r="A512" s="16">
        <v>1883</v>
      </c>
      <c r="B512" s="6">
        <v>43709</v>
      </c>
      <c r="C512" s="16" t="s">
        <v>195</v>
      </c>
      <c r="D512" s="7">
        <f>SUMIFS('DATOS PROYECCIÓN'!$F:$F,'DATOS PROYECCIÓN'!A:A,A512,'DATOS PROYECCIÓN'!B:B,B512)</f>
        <v>11029019</v>
      </c>
      <c r="E512" s="13">
        <f>VLOOKUP(A512,'DATOS GENERALES'!A:B,2,0)</f>
        <v>5.27</v>
      </c>
      <c r="F512" s="16">
        <f t="shared" si="28"/>
        <v>5.2457579999999995</v>
      </c>
      <c r="G512" s="7">
        <f t="shared" si="29"/>
        <v>-2102464.3149760244</v>
      </c>
      <c r="H512" s="7">
        <f t="shared" si="30"/>
        <v>8926554.6850239746</v>
      </c>
      <c r="I512" s="7">
        <f>IFERROR((G512/SUMIF(B:B,B512,G:G))*VLOOKUP(B512,'DATOS GENERALES'!G:H,2,0),"")</f>
        <v>-621926.54211041681</v>
      </c>
      <c r="J512" s="7">
        <f t="shared" si="31"/>
        <v>8304628.1429135576</v>
      </c>
      <c r="K512" s="16"/>
      <c r="L512" s="16"/>
      <c r="M512" s="16"/>
    </row>
    <row r="513" spans="1:13" x14ac:dyDescent="0.25">
      <c r="A513" s="16">
        <v>1883</v>
      </c>
      <c r="B513" s="6">
        <v>43739</v>
      </c>
      <c r="C513" s="16" t="s">
        <v>195</v>
      </c>
      <c r="D513" s="7">
        <f>SUMIFS('DATOS PROYECCIÓN'!$F:$F,'DATOS PROYECCIÓN'!A:A,A513,'DATOS PROYECCIÓN'!B:B,B513)</f>
        <v>11029019</v>
      </c>
      <c r="E513" s="13">
        <f>VLOOKUP(A513,'DATOS GENERALES'!A:B,2,0)</f>
        <v>5.27</v>
      </c>
      <c r="F513" s="16">
        <f t="shared" si="28"/>
        <v>5.2457579999999995</v>
      </c>
      <c r="G513" s="7">
        <f t="shared" si="29"/>
        <v>-2102464.3149760244</v>
      </c>
      <c r="H513" s="7">
        <f t="shared" si="30"/>
        <v>8926554.6850239746</v>
      </c>
      <c r="I513" s="7">
        <f>IFERROR((G513/SUMIF(B:B,B513,G:G))*VLOOKUP(B513,'DATOS GENERALES'!G:H,2,0),"")</f>
        <v>-672549.33565860451</v>
      </c>
      <c r="J513" s="7">
        <f t="shared" si="31"/>
        <v>8254005.3493653703</v>
      </c>
      <c r="K513" s="16"/>
      <c r="L513" s="16"/>
      <c r="M513" s="16"/>
    </row>
    <row r="514" spans="1:13" x14ac:dyDescent="0.25">
      <c r="A514" s="16">
        <v>1883</v>
      </c>
      <c r="B514" s="6">
        <v>43770</v>
      </c>
      <c r="C514" s="16" t="s">
        <v>195</v>
      </c>
      <c r="D514" s="7">
        <f>SUMIFS('DATOS PROYECCIÓN'!$F:$F,'DATOS PROYECCIÓN'!A:A,A514,'DATOS PROYECCIÓN'!B:B,B514)</f>
        <v>11029019</v>
      </c>
      <c r="E514" s="13">
        <f>VLOOKUP(A514,'DATOS GENERALES'!A:B,2,0)</f>
        <v>5.27</v>
      </c>
      <c r="F514" s="16">
        <f t="shared" ref="F514:F577" si="32">E514*0.9954</f>
        <v>5.2457579999999995</v>
      </c>
      <c r="G514" s="7">
        <f t="shared" ref="G514:G577" si="33">-D514/F514</f>
        <v>-2102464.3149760244</v>
      </c>
      <c r="H514" s="7">
        <f t="shared" ref="H514:H577" si="34">D514+G514</f>
        <v>8926554.6850239746</v>
      </c>
      <c r="I514" s="7">
        <f>IFERROR((G514/SUMIF(B:B,B514,G:G))*VLOOKUP(B514,'DATOS GENERALES'!G:H,2,0),"")</f>
        <v>-899485.20499126543</v>
      </c>
      <c r="J514" s="7">
        <f t="shared" si="31"/>
        <v>8027069.4800327094</v>
      </c>
      <c r="K514" s="16"/>
      <c r="L514" s="16"/>
      <c r="M514" s="16"/>
    </row>
    <row r="515" spans="1:13" x14ac:dyDescent="0.25">
      <c r="A515" s="16">
        <v>1883</v>
      </c>
      <c r="B515" s="6">
        <v>43800</v>
      </c>
      <c r="C515" s="16" t="s">
        <v>195</v>
      </c>
      <c r="D515" s="7">
        <f>SUMIFS('DATOS PROYECCIÓN'!$F:$F,'DATOS PROYECCIÓN'!A:A,A515,'DATOS PROYECCIÓN'!B:B,B515)</f>
        <v>11029019</v>
      </c>
      <c r="E515" s="13">
        <f>VLOOKUP(A515,'DATOS GENERALES'!A:B,2,0)</f>
        <v>5.27</v>
      </c>
      <c r="F515" s="16">
        <f t="shared" si="32"/>
        <v>5.2457579999999995</v>
      </c>
      <c r="G515" s="7">
        <f t="shared" si="33"/>
        <v>-2102464.3149760244</v>
      </c>
      <c r="H515" s="7">
        <f t="shared" si="34"/>
        <v>8926554.6850239746</v>
      </c>
      <c r="I515" s="7">
        <f>IFERROR((G515/SUMIF(B:B,B515,G:G))*VLOOKUP(B515,'DATOS GENERALES'!G:H,2,0),"")</f>
        <v>-757355.20373061567</v>
      </c>
      <c r="J515" s="7">
        <f t="shared" ref="J515:J578" si="35">IFERROR(H515+I515,"")</f>
        <v>8169199.4812933588</v>
      </c>
      <c r="K515" s="16"/>
      <c r="L515" s="16"/>
      <c r="M515" s="16"/>
    </row>
    <row r="516" spans="1:13" x14ac:dyDescent="0.25">
      <c r="A516" s="16">
        <v>1883</v>
      </c>
      <c r="B516" s="6">
        <v>43831</v>
      </c>
      <c r="C516" s="16" t="s">
        <v>195</v>
      </c>
      <c r="D516" s="7">
        <f>SUMIFS('DATOS PROYECCIÓN'!$F:$F,'DATOS PROYECCIÓN'!A:A,A516,'DATOS PROYECCIÓN'!B:B,B516)</f>
        <v>11029019</v>
      </c>
      <c r="E516" s="13">
        <f>VLOOKUP(A516,'DATOS GENERALES'!A:B,2,0)</f>
        <v>5.27</v>
      </c>
      <c r="F516" s="16">
        <f t="shared" si="32"/>
        <v>5.2457579999999995</v>
      </c>
      <c r="G516" s="7">
        <f t="shared" si="33"/>
        <v>-2102464.3149760244</v>
      </c>
      <c r="H516" s="7">
        <f t="shared" si="34"/>
        <v>8926554.6850239746</v>
      </c>
      <c r="I516" s="7" t="str">
        <f>IFERROR((G516/SUMIF(B:B,B516,G:G))*VLOOKUP(B516,'DATOS GENERALES'!G:H,2,0),"")</f>
        <v/>
      </c>
      <c r="J516" s="7" t="str">
        <f t="shared" si="35"/>
        <v/>
      </c>
      <c r="K516" s="16"/>
      <c r="L516" s="16"/>
      <c r="M516" s="16"/>
    </row>
    <row r="517" spans="1:13" x14ac:dyDescent="0.25">
      <c r="A517" s="16">
        <v>1883</v>
      </c>
      <c r="B517" s="6">
        <v>43862</v>
      </c>
      <c r="C517" s="16" t="s">
        <v>195</v>
      </c>
      <c r="D517" s="7">
        <f>SUMIFS('DATOS PROYECCIÓN'!$F:$F,'DATOS PROYECCIÓN'!A:A,A517,'DATOS PROYECCIÓN'!B:B,B517)</f>
        <v>11029019</v>
      </c>
      <c r="E517" s="13">
        <f>VLOOKUP(A517,'DATOS GENERALES'!A:B,2,0)</f>
        <v>5.27</v>
      </c>
      <c r="F517" s="16">
        <f t="shared" si="32"/>
        <v>5.2457579999999995</v>
      </c>
      <c r="G517" s="7">
        <f t="shared" si="33"/>
        <v>-2102464.3149760244</v>
      </c>
      <c r="H517" s="7">
        <f t="shared" si="34"/>
        <v>8926554.6850239746</v>
      </c>
      <c r="I517" s="7" t="str">
        <f>IFERROR((G517/SUMIF(B:B,B517,G:G))*VLOOKUP(B517,'DATOS GENERALES'!G:H,2,0),"")</f>
        <v/>
      </c>
      <c r="J517" s="7" t="str">
        <f t="shared" si="35"/>
        <v/>
      </c>
      <c r="K517" s="16"/>
      <c r="L517" s="16"/>
      <c r="M517" s="16"/>
    </row>
    <row r="518" spans="1:13" x14ac:dyDescent="0.25">
      <c r="A518" s="16">
        <v>1883</v>
      </c>
      <c r="B518" s="6">
        <v>43891</v>
      </c>
      <c r="C518" s="16" t="s">
        <v>195</v>
      </c>
      <c r="D518" s="7">
        <f>SUMIFS('DATOS PROYECCIÓN'!$F:$F,'DATOS PROYECCIÓN'!A:A,A518,'DATOS PROYECCIÓN'!B:B,B518)</f>
        <v>11029019</v>
      </c>
      <c r="E518" s="13">
        <f>VLOOKUP(A518,'DATOS GENERALES'!A:B,2,0)</f>
        <v>5.27</v>
      </c>
      <c r="F518" s="16">
        <f t="shared" si="32"/>
        <v>5.2457579999999995</v>
      </c>
      <c r="G518" s="7">
        <f t="shared" si="33"/>
        <v>-2102464.3149760244</v>
      </c>
      <c r="H518" s="7">
        <f t="shared" si="34"/>
        <v>8926554.6850239746</v>
      </c>
      <c r="I518" s="7" t="str">
        <f>IFERROR((G518/SUMIF(B:B,B518,G:G))*VLOOKUP(B518,'DATOS GENERALES'!G:H,2,0),"")</f>
        <v/>
      </c>
      <c r="J518" s="7" t="str">
        <f t="shared" si="35"/>
        <v/>
      </c>
      <c r="K518" s="16"/>
      <c r="L518" s="16"/>
      <c r="M518" s="16"/>
    </row>
    <row r="519" spans="1:13" x14ac:dyDescent="0.25">
      <c r="A519" s="16">
        <v>1883</v>
      </c>
      <c r="B519" s="6">
        <v>43922</v>
      </c>
      <c r="C519" s="16" t="s">
        <v>195</v>
      </c>
      <c r="D519" s="7">
        <f>SUMIFS('DATOS PROYECCIÓN'!$F:$F,'DATOS PROYECCIÓN'!A:A,A519,'DATOS PROYECCIÓN'!B:B,B519)</f>
        <v>11029019</v>
      </c>
      <c r="E519" s="13">
        <f>VLOOKUP(A519,'DATOS GENERALES'!A:B,2,0)</f>
        <v>5.27</v>
      </c>
      <c r="F519" s="16">
        <f t="shared" si="32"/>
        <v>5.2457579999999995</v>
      </c>
      <c r="G519" s="7">
        <f t="shared" si="33"/>
        <v>-2102464.3149760244</v>
      </c>
      <c r="H519" s="7">
        <f t="shared" si="34"/>
        <v>8926554.6850239746</v>
      </c>
      <c r="I519" s="7" t="str">
        <f>IFERROR((G519/SUMIF(B:B,B519,G:G))*VLOOKUP(B519,'DATOS GENERALES'!G:H,2,0),"")</f>
        <v/>
      </c>
      <c r="J519" s="7" t="str">
        <f t="shared" si="35"/>
        <v/>
      </c>
      <c r="K519" s="16"/>
      <c r="L519" s="16"/>
      <c r="M519" s="16"/>
    </row>
    <row r="520" spans="1:13" x14ac:dyDescent="0.25">
      <c r="A520" s="16">
        <v>1883</v>
      </c>
      <c r="B520" s="6">
        <v>43952</v>
      </c>
      <c r="C520" s="16" t="s">
        <v>195</v>
      </c>
      <c r="D520" s="7">
        <f>SUMIFS('DATOS PROYECCIÓN'!$F:$F,'DATOS PROYECCIÓN'!A:A,A520,'DATOS PROYECCIÓN'!B:B,B520)</f>
        <v>11029019</v>
      </c>
      <c r="E520" s="13">
        <f>VLOOKUP(A520,'DATOS GENERALES'!A:B,2,0)</f>
        <v>5.27</v>
      </c>
      <c r="F520" s="16">
        <f t="shared" si="32"/>
        <v>5.2457579999999995</v>
      </c>
      <c r="G520" s="7">
        <f t="shared" si="33"/>
        <v>-2102464.3149760244</v>
      </c>
      <c r="H520" s="7">
        <f t="shared" si="34"/>
        <v>8926554.6850239746</v>
      </c>
      <c r="I520" s="7" t="str">
        <f>IFERROR((G520/SUMIF(B:B,B520,G:G))*VLOOKUP(B520,'DATOS GENERALES'!G:H,2,0),"")</f>
        <v/>
      </c>
      <c r="J520" s="7" t="str">
        <f t="shared" si="35"/>
        <v/>
      </c>
      <c r="K520" s="16"/>
      <c r="L520" s="16"/>
      <c r="M520" s="16"/>
    </row>
    <row r="521" spans="1:13" x14ac:dyDescent="0.25">
      <c r="A521" s="16">
        <v>1883</v>
      </c>
      <c r="B521" s="6">
        <v>43983</v>
      </c>
      <c r="C521" s="16" t="s">
        <v>195</v>
      </c>
      <c r="D521" s="7">
        <f>SUMIFS('DATOS PROYECCIÓN'!$F:$F,'DATOS PROYECCIÓN'!A:A,A521,'DATOS PROYECCIÓN'!B:B,B521)</f>
        <v>11029019</v>
      </c>
      <c r="E521" s="13">
        <f>VLOOKUP(A521,'DATOS GENERALES'!A:B,2,0)</f>
        <v>5.27</v>
      </c>
      <c r="F521" s="16">
        <f t="shared" si="32"/>
        <v>5.2457579999999995</v>
      </c>
      <c r="G521" s="7">
        <f t="shared" si="33"/>
        <v>-2102464.3149760244</v>
      </c>
      <c r="H521" s="7">
        <f t="shared" si="34"/>
        <v>8926554.6850239746</v>
      </c>
      <c r="I521" s="7" t="str">
        <f>IFERROR((G521/SUMIF(B:B,B521,G:G))*VLOOKUP(B521,'DATOS GENERALES'!G:H,2,0),"")</f>
        <v/>
      </c>
      <c r="J521" s="7" t="str">
        <f t="shared" si="35"/>
        <v/>
      </c>
      <c r="K521" s="16"/>
      <c r="L521" s="16"/>
      <c r="M521" s="16"/>
    </row>
    <row r="522" spans="1:13" x14ac:dyDescent="0.25">
      <c r="A522" s="16">
        <v>1883</v>
      </c>
      <c r="B522" s="6">
        <v>44013</v>
      </c>
      <c r="C522" s="16" t="s">
        <v>195</v>
      </c>
      <c r="D522" s="7">
        <f>SUMIFS('DATOS PROYECCIÓN'!$F:$F,'DATOS PROYECCIÓN'!A:A,A522,'DATOS PROYECCIÓN'!B:B,B522)</f>
        <v>11029019</v>
      </c>
      <c r="E522" s="13">
        <f>VLOOKUP(A522,'DATOS GENERALES'!A:B,2,0)</f>
        <v>5.27</v>
      </c>
      <c r="F522" s="16">
        <f t="shared" si="32"/>
        <v>5.2457579999999995</v>
      </c>
      <c r="G522" s="7">
        <f t="shared" si="33"/>
        <v>-2102464.3149760244</v>
      </c>
      <c r="H522" s="7">
        <f t="shared" si="34"/>
        <v>8926554.6850239746</v>
      </c>
      <c r="I522" s="7" t="str">
        <f>IFERROR((G522/SUMIF(B:B,B522,G:G))*VLOOKUP(B522,'DATOS GENERALES'!G:H,2,0),"")</f>
        <v/>
      </c>
      <c r="J522" s="7" t="str">
        <f t="shared" si="35"/>
        <v/>
      </c>
      <c r="K522" s="16"/>
      <c r="L522" s="16"/>
      <c r="M522" s="16"/>
    </row>
    <row r="523" spans="1:13" x14ac:dyDescent="0.25">
      <c r="A523" s="16">
        <v>1883</v>
      </c>
      <c r="B523" s="6">
        <v>44044</v>
      </c>
      <c r="C523" s="16" t="s">
        <v>195</v>
      </c>
      <c r="D523" s="7">
        <f>SUMIFS('DATOS PROYECCIÓN'!$F:$F,'DATOS PROYECCIÓN'!A:A,A523,'DATOS PROYECCIÓN'!B:B,B523)</f>
        <v>11029019</v>
      </c>
      <c r="E523" s="13">
        <f>VLOOKUP(A523,'DATOS GENERALES'!A:B,2,0)</f>
        <v>5.27</v>
      </c>
      <c r="F523" s="16">
        <f t="shared" si="32"/>
        <v>5.2457579999999995</v>
      </c>
      <c r="G523" s="7">
        <f t="shared" si="33"/>
        <v>-2102464.3149760244</v>
      </c>
      <c r="H523" s="7">
        <f t="shared" si="34"/>
        <v>8926554.6850239746</v>
      </c>
      <c r="I523" s="7" t="str">
        <f>IFERROR((G523/SUMIF(B:B,B523,G:G))*VLOOKUP(B523,'DATOS GENERALES'!G:H,2,0),"")</f>
        <v/>
      </c>
      <c r="J523" s="7" t="str">
        <f t="shared" si="35"/>
        <v/>
      </c>
      <c r="K523" s="16"/>
      <c r="L523" s="16"/>
      <c r="M523" s="16"/>
    </row>
    <row r="524" spans="1:13" x14ac:dyDescent="0.25">
      <c r="A524" s="16">
        <v>1883</v>
      </c>
      <c r="B524" s="6">
        <v>44075</v>
      </c>
      <c r="C524" s="16" t="s">
        <v>195</v>
      </c>
      <c r="D524" s="7">
        <f>SUMIFS('DATOS PROYECCIÓN'!$F:$F,'DATOS PROYECCIÓN'!A:A,A524,'DATOS PROYECCIÓN'!B:B,B524)</f>
        <v>11029019</v>
      </c>
      <c r="E524" s="13">
        <f>VLOOKUP(A524,'DATOS GENERALES'!A:B,2,0)</f>
        <v>5.27</v>
      </c>
      <c r="F524" s="16">
        <f t="shared" si="32"/>
        <v>5.2457579999999995</v>
      </c>
      <c r="G524" s="7">
        <f t="shared" si="33"/>
        <v>-2102464.3149760244</v>
      </c>
      <c r="H524" s="7">
        <f t="shared" si="34"/>
        <v>8926554.6850239746</v>
      </c>
      <c r="I524" s="7" t="str">
        <f>IFERROR((G524/SUMIF(B:B,B524,G:G))*VLOOKUP(B524,'DATOS GENERALES'!G:H,2,0),"")</f>
        <v/>
      </c>
      <c r="J524" s="7" t="str">
        <f t="shared" si="35"/>
        <v/>
      </c>
      <c r="K524" s="16"/>
      <c r="L524" s="16"/>
      <c r="M524" s="16"/>
    </row>
    <row r="525" spans="1:13" x14ac:dyDescent="0.25">
      <c r="A525" s="16">
        <v>1883</v>
      </c>
      <c r="B525" s="6">
        <v>44105</v>
      </c>
      <c r="C525" s="16" t="s">
        <v>195</v>
      </c>
      <c r="D525" s="7">
        <f>SUMIFS('DATOS PROYECCIÓN'!$F:$F,'DATOS PROYECCIÓN'!A:A,A525,'DATOS PROYECCIÓN'!B:B,B525)</f>
        <v>11029019</v>
      </c>
      <c r="E525" s="13">
        <f>VLOOKUP(A525,'DATOS GENERALES'!A:B,2,0)</f>
        <v>5.27</v>
      </c>
      <c r="F525" s="16">
        <f t="shared" si="32"/>
        <v>5.2457579999999995</v>
      </c>
      <c r="G525" s="7">
        <f t="shared" si="33"/>
        <v>-2102464.3149760244</v>
      </c>
      <c r="H525" s="7">
        <f t="shared" si="34"/>
        <v>8926554.6850239746</v>
      </c>
      <c r="I525" s="7" t="str">
        <f>IFERROR((G525/SUMIF(B:B,B525,G:G))*VLOOKUP(B525,'DATOS GENERALES'!G:H,2,0),"")</f>
        <v/>
      </c>
      <c r="J525" s="7" t="str">
        <f t="shared" si="35"/>
        <v/>
      </c>
      <c r="K525" s="16"/>
      <c r="L525" s="16"/>
      <c r="M525" s="16"/>
    </row>
    <row r="526" spans="1:13" x14ac:dyDescent="0.25">
      <c r="A526" s="16">
        <v>1883</v>
      </c>
      <c r="B526" s="6">
        <v>44136</v>
      </c>
      <c r="C526" s="16" t="s">
        <v>195</v>
      </c>
      <c r="D526" s="7">
        <f>SUMIFS('DATOS PROYECCIÓN'!$F:$F,'DATOS PROYECCIÓN'!A:A,A526,'DATOS PROYECCIÓN'!B:B,B526)</f>
        <v>11029019</v>
      </c>
      <c r="E526" s="13">
        <f>VLOOKUP(A526,'DATOS GENERALES'!A:B,2,0)</f>
        <v>5.27</v>
      </c>
      <c r="F526" s="16">
        <f t="shared" si="32"/>
        <v>5.2457579999999995</v>
      </c>
      <c r="G526" s="7">
        <f t="shared" si="33"/>
        <v>-2102464.3149760244</v>
      </c>
      <c r="H526" s="7">
        <f t="shared" si="34"/>
        <v>8926554.6850239746</v>
      </c>
      <c r="I526" s="7" t="str">
        <f>IFERROR((G526/SUMIF(B:B,B526,G:G))*VLOOKUP(B526,'DATOS GENERALES'!G:H,2,0),"")</f>
        <v/>
      </c>
      <c r="J526" s="7" t="str">
        <f t="shared" si="35"/>
        <v/>
      </c>
      <c r="K526" s="16"/>
      <c r="L526" s="16"/>
      <c r="M526" s="16"/>
    </row>
    <row r="527" spans="1:13" x14ac:dyDescent="0.25">
      <c r="A527" s="16">
        <v>1883</v>
      </c>
      <c r="B527" s="6">
        <v>44166</v>
      </c>
      <c r="C527" s="16" t="s">
        <v>195</v>
      </c>
      <c r="D527" s="7">
        <f>SUMIFS('DATOS PROYECCIÓN'!$F:$F,'DATOS PROYECCIÓN'!A:A,A527,'DATOS PROYECCIÓN'!B:B,B527)</f>
        <v>11029019</v>
      </c>
      <c r="E527" s="13">
        <f>VLOOKUP(A527,'DATOS GENERALES'!A:B,2,0)</f>
        <v>5.27</v>
      </c>
      <c r="F527" s="16">
        <f t="shared" si="32"/>
        <v>5.2457579999999995</v>
      </c>
      <c r="G527" s="7">
        <f t="shared" si="33"/>
        <v>-2102464.3149760244</v>
      </c>
      <c r="H527" s="7">
        <f t="shared" si="34"/>
        <v>8926554.6850239746</v>
      </c>
      <c r="I527" s="7" t="str">
        <f>IFERROR((G527/SUMIF(B:B,B527,G:G))*VLOOKUP(B527,'DATOS GENERALES'!G:H,2,0),"")</f>
        <v/>
      </c>
      <c r="J527" s="7" t="str">
        <f t="shared" si="35"/>
        <v/>
      </c>
      <c r="K527" s="16"/>
      <c r="L527" s="16"/>
      <c r="M527" s="16"/>
    </row>
    <row r="528" spans="1:13" x14ac:dyDescent="0.25">
      <c r="A528" s="16">
        <v>1883</v>
      </c>
      <c r="B528" s="6">
        <v>44197</v>
      </c>
      <c r="C528" s="16" t="s">
        <v>195</v>
      </c>
      <c r="D528" s="7">
        <f>SUMIFS('DATOS PROYECCIÓN'!$F:$F,'DATOS PROYECCIÓN'!A:A,A528,'DATOS PROYECCIÓN'!B:B,B528)</f>
        <v>11029019</v>
      </c>
      <c r="E528" s="13">
        <f>VLOOKUP(A528,'DATOS GENERALES'!A:B,2,0)</f>
        <v>5.27</v>
      </c>
      <c r="F528" s="16">
        <f t="shared" si="32"/>
        <v>5.2457579999999995</v>
      </c>
      <c r="G528" s="7">
        <f t="shared" si="33"/>
        <v>-2102464.3149760244</v>
      </c>
      <c r="H528" s="7">
        <f t="shared" si="34"/>
        <v>8926554.6850239746</v>
      </c>
      <c r="I528" s="7" t="str">
        <f>IFERROR((G528/SUMIF(B:B,B528,G:G))*VLOOKUP(B528,'DATOS GENERALES'!G:H,2,0),"")</f>
        <v/>
      </c>
      <c r="J528" s="7" t="str">
        <f t="shared" si="35"/>
        <v/>
      </c>
      <c r="K528" s="16"/>
      <c r="L528" s="16"/>
      <c r="M528" s="16"/>
    </row>
    <row r="529" spans="1:13" x14ac:dyDescent="0.25">
      <c r="A529" s="16">
        <v>1883</v>
      </c>
      <c r="B529" s="6">
        <v>44228</v>
      </c>
      <c r="C529" s="16" t="s">
        <v>195</v>
      </c>
      <c r="D529" s="7">
        <f>SUMIFS('DATOS PROYECCIÓN'!$F:$F,'DATOS PROYECCIÓN'!A:A,A529,'DATOS PROYECCIÓN'!B:B,B529)</f>
        <v>11029019</v>
      </c>
      <c r="E529" s="13">
        <f>VLOOKUP(A529,'DATOS GENERALES'!A:B,2,0)</f>
        <v>5.27</v>
      </c>
      <c r="F529" s="16">
        <f t="shared" si="32"/>
        <v>5.2457579999999995</v>
      </c>
      <c r="G529" s="7">
        <f t="shared" si="33"/>
        <v>-2102464.3149760244</v>
      </c>
      <c r="H529" s="7">
        <f t="shared" si="34"/>
        <v>8926554.6850239746</v>
      </c>
      <c r="I529" s="7" t="str">
        <f>IFERROR((G529/SUMIF(B:B,B529,G:G))*VLOOKUP(B529,'DATOS GENERALES'!G:H,2,0),"")</f>
        <v/>
      </c>
      <c r="J529" s="7" t="str">
        <f t="shared" si="35"/>
        <v/>
      </c>
      <c r="K529" s="16"/>
      <c r="L529" s="16"/>
      <c r="M529" s="16"/>
    </row>
    <row r="530" spans="1:13" x14ac:dyDescent="0.25">
      <c r="A530" s="16">
        <v>1884</v>
      </c>
      <c r="B530" s="6">
        <v>43466</v>
      </c>
      <c r="C530" s="16" t="s">
        <v>195</v>
      </c>
      <c r="D530" s="7">
        <f>SUMIFS('DATOS PROYECCIÓN'!$F:$F,'DATOS PROYECCIÓN'!A:A,A530,'DATOS PROYECCIÓN'!B:B,B530)</f>
        <v>10920000</v>
      </c>
      <c r="E530" s="13">
        <f>VLOOKUP(A530,'DATOS GENERALES'!A:B,2,0)</f>
        <v>5.0599999999999996</v>
      </c>
      <c r="F530" s="16">
        <f t="shared" si="32"/>
        <v>5.0367239999999995</v>
      </c>
      <c r="G530" s="7">
        <f t="shared" si="33"/>
        <v>-2168075.9160120748</v>
      </c>
      <c r="H530" s="7">
        <f t="shared" si="34"/>
        <v>8751924.0839879252</v>
      </c>
      <c r="I530" s="7">
        <f>IFERROR((G530/SUMIF(B:B,B530,G:G))*VLOOKUP(B530,'DATOS GENERALES'!G:H,2,0),"")</f>
        <v>-475715.62882482097</v>
      </c>
      <c r="J530" s="7">
        <f t="shared" si="35"/>
        <v>8276208.4551631045</v>
      </c>
      <c r="K530" s="16"/>
      <c r="L530" s="16"/>
      <c r="M530" s="16"/>
    </row>
    <row r="531" spans="1:13" x14ac:dyDescent="0.25">
      <c r="A531" s="16">
        <v>1884</v>
      </c>
      <c r="B531" s="6">
        <v>43497</v>
      </c>
      <c r="C531" s="16" t="s">
        <v>195</v>
      </c>
      <c r="D531" s="7">
        <f>SUMIFS('DATOS PROYECCIÓN'!$F:$F,'DATOS PROYECCIÓN'!A:A,A531,'DATOS PROYECCIÓN'!B:B,B531)</f>
        <v>10920000</v>
      </c>
      <c r="E531" s="13">
        <f>VLOOKUP(A531,'DATOS GENERALES'!A:B,2,0)</f>
        <v>5.0599999999999996</v>
      </c>
      <c r="F531" s="16">
        <f t="shared" si="32"/>
        <v>5.0367239999999995</v>
      </c>
      <c r="G531" s="7">
        <f t="shared" si="33"/>
        <v>-2168075.9160120748</v>
      </c>
      <c r="H531" s="7">
        <f t="shared" si="34"/>
        <v>8751924.0839879252</v>
      </c>
      <c r="I531" s="7">
        <f>IFERROR((G531/SUMIF(B:B,B531,G:G))*VLOOKUP(B531,'DATOS GENERALES'!G:H,2,0),"")</f>
        <v>-468646.62308429158</v>
      </c>
      <c r="J531" s="7">
        <f t="shared" si="35"/>
        <v>8283277.4609036334</v>
      </c>
      <c r="K531" s="16"/>
      <c r="L531" s="16"/>
      <c r="M531" s="16"/>
    </row>
    <row r="532" spans="1:13" x14ac:dyDescent="0.25">
      <c r="A532" s="16">
        <v>1884</v>
      </c>
      <c r="B532" s="6">
        <v>43525</v>
      </c>
      <c r="C532" s="16" t="s">
        <v>195</v>
      </c>
      <c r="D532" s="7">
        <f>SUMIFS('DATOS PROYECCIÓN'!$F:$F,'DATOS PROYECCIÓN'!A:A,A532,'DATOS PROYECCIÓN'!B:B,B532)</f>
        <v>10920000</v>
      </c>
      <c r="E532" s="13">
        <f>VLOOKUP(A532,'DATOS GENERALES'!A:B,2,0)</f>
        <v>5.0599999999999996</v>
      </c>
      <c r="F532" s="16">
        <f t="shared" si="32"/>
        <v>5.0367239999999995</v>
      </c>
      <c r="G532" s="7">
        <f t="shared" si="33"/>
        <v>-2168075.9160120748</v>
      </c>
      <c r="H532" s="7">
        <f t="shared" si="34"/>
        <v>8751924.0839879252</v>
      </c>
      <c r="I532" s="7">
        <f>IFERROR((G532/SUMIF(B:B,B532,G:G))*VLOOKUP(B532,'DATOS GENERALES'!G:H,2,0),"")</f>
        <v>-339060.01923935203</v>
      </c>
      <c r="J532" s="7">
        <f t="shared" si="35"/>
        <v>8412864.064748574</v>
      </c>
      <c r="K532" s="16"/>
      <c r="L532" s="16"/>
      <c r="M532" s="16"/>
    </row>
    <row r="533" spans="1:13" x14ac:dyDescent="0.25">
      <c r="A533" s="16">
        <v>1884</v>
      </c>
      <c r="B533" s="6">
        <v>43556</v>
      </c>
      <c r="C533" s="16" t="s">
        <v>195</v>
      </c>
      <c r="D533" s="7">
        <f>SUMIFS('DATOS PROYECCIÓN'!$F:$F,'DATOS PROYECCIÓN'!A:A,A533,'DATOS PROYECCIÓN'!B:B,B533)</f>
        <v>10920000</v>
      </c>
      <c r="E533" s="13">
        <f>VLOOKUP(A533,'DATOS GENERALES'!A:B,2,0)</f>
        <v>5.0599999999999996</v>
      </c>
      <c r="F533" s="16">
        <f t="shared" si="32"/>
        <v>5.0367239999999995</v>
      </c>
      <c r="G533" s="7">
        <f t="shared" si="33"/>
        <v>-2168075.9160120748</v>
      </c>
      <c r="H533" s="7">
        <f t="shared" si="34"/>
        <v>8751924.0839879252</v>
      </c>
      <c r="I533" s="7">
        <f>IFERROR((G533/SUMIF(B:B,B533,G:G))*VLOOKUP(B533,'DATOS GENERALES'!G:H,2,0),"")</f>
        <v>-348579.25411278976</v>
      </c>
      <c r="J533" s="7">
        <f t="shared" si="35"/>
        <v>8403344.8298751358</v>
      </c>
      <c r="K533" s="16"/>
      <c r="L533" s="16"/>
      <c r="M533" s="16"/>
    </row>
    <row r="534" spans="1:13" x14ac:dyDescent="0.25">
      <c r="A534" s="16">
        <v>1884</v>
      </c>
      <c r="B534" s="6">
        <v>43586</v>
      </c>
      <c r="C534" s="16" t="s">
        <v>195</v>
      </c>
      <c r="D534" s="7">
        <f>SUMIFS('DATOS PROYECCIÓN'!$F:$F,'DATOS PROYECCIÓN'!A:A,A534,'DATOS PROYECCIÓN'!B:B,B534)</f>
        <v>10920000</v>
      </c>
      <c r="E534" s="13">
        <f>VLOOKUP(A534,'DATOS GENERALES'!A:B,2,0)</f>
        <v>5.0599999999999996</v>
      </c>
      <c r="F534" s="16">
        <f t="shared" si="32"/>
        <v>5.0367239999999995</v>
      </c>
      <c r="G534" s="7">
        <f t="shared" si="33"/>
        <v>-2168075.9160120748</v>
      </c>
      <c r="H534" s="7">
        <f t="shared" si="34"/>
        <v>8751924.0839879252</v>
      </c>
      <c r="I534" s="7">
        <f>IFERROR((G534/SUMIF(B:B,B534,G:G))*VLOOKUP(B534,'DATOS GENERALES'!G:H,2,0),"")</f>
        <v>-287553.50694613217</v>
      </c>
      <c r="J534" s="7">
        <f t="shared" si="35"/>
        <v>8464370.5770417936</v>
      </c>
      <c r="K534" s="16"/>
      <c r="L534" s="16"/>
      <c r="M534" s="16"/>
    </row>
    <row r="535" spans="1:13" x14ac:dyDescent="0.25">
      <c r="A535" s="16">
        <v>1884</v>
      </c>
      <c r="B535" s="6">
        <v>43617</v>
      </c>
      <c r="C535" s="16" t="s">
        <v>195</v>
      </c>
      <c r="D535" s="7">
        <f>SUMIFS('DATOS PROYECCIÓN'!$F:$F,'DATOS PROYECCIÓN'!A:A,A535,'DATOS PROYECCIÓN'!B:B,B535)</f>
        <v>10920000</v>
      </c>
      <c r="E535" s="13">
        <f>VLOOKUP(A535,'DATOS GENERALES'!A:B,2,0)</f>
        <v>5.0599999999999996</v>
      </c>
      <c r="F535" s="16">
        <f t="shared" si="32"/>
        <v>5.0367239999999995</v>
      </c>
      <c r="G535" s="7">
        <f t="shared" si="33"/>
        <v>-2168075.9160120748</v>
      </c>
      <c r="H535" s="7">
        <f t="shared" si="34"/>
        <v>8751924.0839879252</v>
      </c>
      <c r="I535" s="7">
        <f>IFERROR((G535/SUMIF(B:B,B535,G:G))*VLOOKUP(B535,'DATOS GENERALES'!G:H,2,0),"")</f>
        <v>-386692.12627782574</v>
      </c>
      <c r="J535" s="7">
        <f t="shared" si="35"/>
        <v>8365231.9577100994</v>
      </c>
      <c r="K535" s="16"/>
      <c r="L535" s="16"/>
      <c r="M535" s="16"/>
    </row>
    <row r="536" spans="1:13" x14ac:dyDescent="0.25">
      <c r="A536" s="16">
        <v>1884</v>
      </c>
      <c r="B536" s="6">
        <v>43647</v>
      </c>
      <c r="C536" s="16" t="s">
        <v>195</v>
      </c>
      <c r="D536" s="7">
        <f>SUMIFS('DATOS PROYECCIÓN'!$F:$F,'DATOS PROYECCIÓN'!A:A,A536,'DATOS PROYECCIÓN'!B:B,B536)</f>
        <v>10920000</v>
      </c>
      <c r="E536" s="13">
        <f>VLOOKUP(A536,'DATOS GENERALES'!A:B,2,0)</f>
        <v>5.0599999999999996</v>
      </c>
      <c r="F536" s="16">
        <f t="shared" si="32"/>
        <v>5.0367239999999995</v>
      </c>
      <c r="G536" s="7">
        <f t="shared" si="33"/>
        <v>-2168075.9160120748</v>
      </c>
      <c r="H536" s="7">
        <f t="shared" si="34"/>
        <v>8751924.0839879252</v>
      </c>
      <c r="I536" s="7">
        <f>IFERROR((G536/SUMIF(B:B,B536,G:G))*VLOOKUP(B536,'DATOS GENERALES'!G:H,2,0),"")</f>
        <v>-576672.0438757746</v>
      </c>
      <c r="J536" s="7">
        <f t="shared" si="35"/>
        <v>8175252.0401121508</v>
      </c>
      <c r="K536" s="16"/>
      <c r="L536" s="16"/>
      <c r="M536" s="16"/>
    </row>
    <row r="537" spans="1:13" x14ac:dyDescent="0.25">
      <c r="A537" s="16">
        <v>1884</v>
      </c>
      <c r="B537" s="6">
        <v>43678</v>
      </c>
      <c r="C537" s="16" t="s">
        <v>195</v>
      </c>
      <c r="D537" s="7">
        <f>SUMIFS('DATOS PROYECCIÓN'!$F:$F,'DATOS PROYECCIÓN'!A:A,A537,'DATOS PROYECCIÓN'!B:B,B537)</f>
        <v>10920000</v>
      </c>
      <c r="E537" s="13">
        <f>VLOOKUP(A537,'DATOS GENERALES'!A:B,2,0)</f>
        <v>5.0599999999999996</v>
      </c>
      <c r="F537" s="16">
        <f t="shared" si="32"/>
        <v>5.0367239999999995</v>
      </c>
      <c r="G537" s="7">
        <f t="shared" si="33"/>
        <v>-2168075.9160120748</v>
      </c>
      <c r="H537" s="7">
        <f t="shared" si="34"/>
        <v>8751924.0839879252</v>
      </c>
      <c r="I537" s="7">
        <f>IFERROR((G537/SUMIF(B:B,B537,G:G))*VLOOKUP(B537,'DATOS GENERALES'!G:H,2,0),"")</f>
        <v>-567466.19884433434</v>
      </c>
      <c r="J537" s="7">
        <f t="shared" si="35"/>
        <v>8184457.8851435911</v>
      </c>
      <c r="K537" s="16"/>
      <c r="L537" s="16"/>
      <c r="M537" s="16"/>
    </row>
    <row r="538" spans="1:13" x14ac:dyDescent="0.25">
      <c r="A538" s="16">
        <v>1884</v>
      </c>
      <c r="B538" s="6">
        <v>43709</v>
      </c>
      <c r="C538" s="16" t="s">
        <v>195</v>
      </c>
      <c r="D538" s="7">
        <f>SUMIFS('DATOS PROYECCIÓN'!$F:$F,'DATOS PROYECCIÓN'!A:A,A538,'DATOS PROYECCIÓN'!B:B,B538)</f>
        <v>10920000</v>
      </c>
      <c r="E538" s="13">
        <f>VLOOKUP(A538,'DATOS GENERALES'!A:B,2,0)</f>
        <v>5.0599999999999996</v>
      </c>
      <c r="F538" s="16">
        <f t="shared" si="32"/>
        <v>5.0367239999999995</v>
      </c>
      <c r="G538" s="7">
        <f t="shared" si="33"/>
        <v>-2168075.9160120748</v>
      </c>
      <c r="H538" s="7">
        <f t="shared" si="34"/>
        <v>8751924.0839879252</v>
      </c>
      <c r="I538" s="7">
        <f>IFERROR((G538/SUMIF(B:B,B538,G:G))*VLOOKUP(B538,'DATOS GENERALES'!G:H,2,0),"")</f>
        <v>-641335.00286954478</v>
      </c>
      <c r="J538" s="7">
        <f t="shared" si="35"/>
        <v>8110589.0811183807</v>
      </c>
      <c r="K538" s="16"/>
      <c r="L538" s="16"/>
      <c r="M538" s="16"/>
    </row>
    <row r="539" spans="1:13" x14ac:dyDescent="0.25">
      <c r="A539" s="16">
        <v>1884</v>
      </c>
      <c r="B539" s="6">
        <v>43739</v>
      </c>
      <c r="C539" s="16" t="s">
        <v>195</v>
      </c>
      <c r="D539" s="7">
        <f>SUMIFS('DATOS PROYECCIÓN'!$F:$F,'DATOS PROYECCIÓN'!A:A,A539,'DATOS PROYECCIÓN'!B:B,B539)</f>
        <v>10920000</v>
      </c>
      <c r="E539" s="13">
        <f>VLOOKUP(A539,'DATOS GENERALES'!A:B,2,0)</f>
        <v>5.0599999999999996</v>
      </c>
      <c r="F539" s="16">
        <f t="shared" si="32"/>
        <v>5.0367239999999995</v>
      </c>
      <c r="G539" s="7">
        <f t="shared" si="33"/>
        <v>-2168075.9160120748</v>
      </c>
      <c r="H539" s="7">
        <f t="shared" si="34"/>
        <v>8751924.0839879252</v>
      </c>
      <c r="I539" s="7">
        <f>IFERROR((G539/SUMIF(B:B,B539,G:G))*VLOOKUP(B539,'DATOS GENERALES'!G:H,2,0),"")</f>
        <v>-693537.58186757588</v>
      </c>
      <c r="J539" s="7">
        <f t="shared" si="35"/>
        <v>8058386.5021203496</v>
      </c>
      <c r="K539" s="16"/>
      <c r="L539" s="16"/>
      <c r="M539" s="16"/>
    </row>
    <row r="540" spans="1:13" x14ac:dyDescent="0.25">
      <c r="A540" s="16">
        <v>1884</v>
      </c>
      <c r="B540" s="6">
        <v>43770</v>
      </c>
      <c r="C540" s="16" t="s">
        <v>195</v>
      </c>
      <c r="D540" s="7">
        <f>SUMIFS('DATOS PROYECCIÓN'!$F:$F,'DATOS PROYECCIÓN'!A:A,A540,'DATOS PROYECCIÓN'!B:B,B540)</f>
        <v>10920000</v>
      </c>
      <c r="E540" s="13">
        <f>VLOOKUP(A540,'DATOS GENERALES'!A:B,2,0)</f>
        <v>5.0599999999999996</v>
      </c>
      <c r="F540" s="16">
        <f t="shared" si="32"/>
        <v>5.0367239999999995</v>
      </c>
      <c r="G540" s="7">
        <f t="shared" si="33"/>
        <v>-2168075.9160120748</v>
      </c>
      <c r="H540" s="7">
        <f t="shared" si="34"/>
        <v>8751924.0839879252</v>
      </c>
      <c r="I540" s="7">
        <f>IFERROR((G540/SUMIF(B:B,B540,G:G))*VLOOKUP(B540,'DATOS GENERALES'!G:H,2,0),"")</f>
        <v>-927555.43856780534</v>
      </c>
      <c r="J540" s="7">
        <f t="shared" si="35"/>
        <v>7824368.6454201201</v>
      </c>
      <c r="K540" s="16"/>
      <c r="L540" s="16"/>
      <c r="M540" s="16"/>
    </row>
    <row r="541" spans="1:13" x14ac:dyDescent="0.25">
      <c r="A541" s="16">
        <v>1884</v>
      </c>
      <c r="B541" s="6">
        <v>43800</v>
      </c>
      <c r="C541" s="16" t="s">
        <v>195</v>
      </c>
      <c r="D541" s="7">
        <f>SUMIFS('DATOS PROYECCIÓN'!$F:$F,'DATOS PROYECCIÓN'!A:A,A541,'DATOS PROYECCIÓN'!B:B,B541)</f>
        <v>10920000</v>
      </c>
      <c r="E541" s="13">
        <f>VLOOKUP(A541,'DATOS GENERALES'!A:B,2,0)</f>
        <v>5.0599999999999996</v>
      </c>
      <c r="F541" s="16">
        <f t="shared" si="32"/>
        <v>5.0367239999999995</v>
      </c>
      <c r="G541" s="7">
        <f t="shared" si="33"/>
        <v>-2168075.9160120748</v>
      </c>
      <c r="H541" s="7">
        <f t="shared" si="34"/>
        <v>8751924.0839879252</v>
      </c>
      <c r="I541" s="7">
        <f>IFERROR((G541/SUMIF(B:B,B541,G:G))*VLOOKUP(B541,'DATOS GENERALES'!G:H,2,0),"")</f>
        <v>-780989.98654989805</v>
      </c>
      <c r="J541" s="7">
        <f t="shared" si="35"/>
        <v>7970934.0974380272</v>
      </c>
      <c r="K541" s="16"/>
      <c r="L541" s="16"/>
      <c r="M541" s="16"/>
    </row>
    <row r="542" spans="1:13" x14ac:dyDescent="0.25">
      <c r="A542" s="16">
        <v>1884</v>
      </c>
      <c r="B542" s="6">
        <v>43831</v>
      </c>
      <c r="C542" s="16" t="s">
        <v>195</v>
      </c>
      <c r="D542" s="7">
        <f>SUMIFS('DATOS PROYECCIÓN'!$F:$F,'DATOS PROYECCIÓN'!A:A,A542,'DATOS PROYECCIÓN'!B:B,B542)</f>
        <v>10920000</v>
      </c>
      <c r="E542" s="13">
        <f>VLOOKUP(A542,'DATOS GENERALES'!A:B,2,0)</f>
        <v>5.0599999999999996</v>
      </c>
      <c r="F542" s="16">
        <f t="shared" si="32"/>
        <v>5.0367239999999995</v>
      </c>
      <c r="G542" s="7">
        <f t="shared" si="33"/>
        <v>-2168075.9160120748</v>
      </c>
      <c r="H542" s="7">
        <f t="shared" si="34"/>
        <v>8751924.0839879252</v>
      </c>
      <c r="I542" s="7" t="str">
        <f>IFERROR((G542/SUMIF(B:B,B542,G:G))*VLOOKUP(B542,'DATOS GENERALES'!G:H,2,0),"")</f>
        <v/>
      </c>
      <c r="J542" s="7" t="str">
        <f t="shared" si="35"/>
        <v/>
      </c>
      <c r="K542" s="16"/>
      <c r="L542" s="16"/>
      <c r="M542" s="16"/>
    </row>
    <row r="543" spans="1:13" x14ac:dyDescent="0.25">
      <c r="A543" s="16">
        <v>1791</v>
      </c>
      <c r="B543" s="6">
        <v>43466</v>
      </c>
      <c r="C543" s="16" t="s">
        <v>195</v>
      </c>
      <c r="D543" s="7">
        <f>SUMIFS('DATOS PROYECCIÓN'!$F:$F,'DATOS PROYECCIÓN'!A:A,A543,'DATOS PROYECCIÓN'!B:B,B543)</f>
        <v>60561853.894285716</v>
      </c>
      <c r="E543" s="13">
        <f>VLOOKUP(A543,'DATOS GENERALES'!A:B,2,0)</f>
        <v>2.06</v>
      </c>
      <c r="F543" s="16">
        <f t="shared" si="32"/>
        <v>2.0505239999999998</v>
      </c>
      <c r="G543" s="7">
        <f t="shared" si="33"/>
        <v>-29534818.365591295</v>
      </c>
      <c r="H543" s="7">
        <f t="shared" si="34"/>
        <v>31027035.528694421</v>
      </c>
      <c r="I543" s="7">
        <f>IFERROR((G543/SUMIF(B:B,B543,G:G))*VLOOKUP(B543,'DATOS GENERALES'!G:H,2,0),"")</f>
        <v>-6480480.9588299869</v>
      </c>
      <c r="J543" s="7">
        <f t="shared" si="35"/>
        <v>24546554.569864433</v>
      </c>
      <c r="K543" s="16"/>
      <c r="L543" s="16"/>
      <c r="M543" s="16"/>
    </row>
    <row r="544" spans="1:13" x14ac:dyDescent="0.25">
      <c r="A544" s="16">
        <v>1791</v>
      </c>
      <c r="B544" s="6">
        <v>43497</v>
      </c>
      <c r="C544" s="16" t="s">
        <v>195</v>
      </c>
      <c r="D544" s="7">
        <f>SUMIFS('DATOS PROYECCIÓN'!$F:$F,'DATOS PROYECCIÓN'!A:A,A544,'DATOS PROYECCIÓN'!B:B,B544)</f>
        <v>60561853.894285716</v>
      </c>
      <c r="E544" s="13">
        <f>VLOOKUP(A544,'DATOS GENERALES'!A:B,2,0)</f>
        <v>2.06</v>
      </c>
      <c r="F544" s="16">
        <f t="shared" si="32"/>
        <v>2.0505239999999998</v>
      </c>
      <c r="G544" s="7">
        <f t="shared" si="33"/>
        <v>-29534818.365591295</v>
      </c>
      <c r="H544" s="7">
        <f t="shared" si="34"/>
        <v>31027035.528694421</v>
      </c>
      <c r="I544" s="7">
        <f>IFERROR((G544/SUMIF(B:B,B544,G:G))*VLOOKUP(B544,'DATOS GENERALES'!G:H,2,0),"")</f>
        <v>-6384182.7623369945</v>
      </c>
      <c r="J544" s="7">
        <f t="shared" si="35"/>
        <v>24642852.766357426</v>
      </c>
      <c r="K544" s="16"/>
      <c r="L544" s="16"/>
      <c r="M544" s="16"/>
    </row>
    <row r="545" spans="1:13" x14ac:dyDescent="0.25">
      <c r="A545" s="16">
        <v>1791</v>
      </c>
      <c r="B545" s="6">
        <v>43525</v>
      </c>
      <c r="C545" s="16" t="s">
        <v>195</v>
      </c>
      <c r="D545" s="7">
        <f>SUMIFS('DATOS PROYECCIÓN'!$F:$F,'DATOS PROYECCIÓN'!A:A,A545,'DATOS PROYECCIÓN'!B:B,B545)</f>
        <v>60561853.894285716</v>
      </c>
      <c r="E545" s="13">
        <f>VLOOKUP(A545,'DATOS GENERALES'!A:B,2,0)</f>
        <v>2.06</v>
      </c>
      <c r="F545" s="16">
        <f t="shared" si="32"/>
        <v>2.0505239999999998</v>
      </c>
      <c r="G545" s="7">
        <f t="shared" si="33"/>
        <v>-29534818.365591295</v>
      </c>
      <c r="H545" s="7">
        <f t="shared" si="34"/>
        <v>31027035.528694421</v>
      </c>
      <c r="I545" s="7">
        <f>IFERROR((G545/SUMIF(B:B,B545,G:G))*VLOOKUP(B545,'DATOS GENERALES'!G:H,2,0),"")</f>
        <v>-4618877.0463757049</v>
      </c>
      <c r="J545" s="7">
        <f t="shared" si="35"/>
        <v>26408158.482318714</v>
      </c>
      <c r="K545" s="16"/>
      <c r="L545" s="16"/>
      <c r="M545" s="16"/>
    </row>
    <row r="546" spans="1:13" x14ac:dyDescent="0.25">
      <c r="A546" s="16">
        <v>1791</v>
      </c>
      <c r="B546" s="6">
        <v>43556</v>
      </c>
      <c r="C546" s="16" t="s">
        <v>195</v>
      </c>
      <c r="D546" s="7">
        <f>SUMIFS('DATOS PROYECCIÓN'!$F:$F,'DATOS PROYECCIÓN'!A:A,A546,'DATOS PROYECCIÓN'!B:B,B546)</f>
        <v>60561853.894285716</v>
      </c>
      <c r="E546" s="13">
        <f>VLOOKUP(A546,'DATOS GENERALES'!A:B,2,0)</f>
        <v>2.06</v>
      </c>
      <c r="F546" s="16">
        <f t="shared" si="32"/>
        <v>2.0505239999999998</v>
      </c>
      <c r="G546" s="7">
        <f t="shared" si="33"/>
        <v>-29534818.365591295</v>
      </c>
      <c r="H546" s="7">
        <f t="shared" si="34"/>
        <v>31027035.528694421</v>
      </c>
      <c r="I546" s="7">
        <f>IFERROR((G546/SUMIF(B:B,B546,G:G))*VLOOKUP(B546,'DATOS GENERALES'!G:H,2,0),"")</f>
        <v>-4748553.7200059919</v>
      </c>
      <c r="J546" s="7">
        <f t="shared" si="35"/>
        <v>26278481.808688428</v>
      </c>
      <c r="K546" s="16"/>
      <c r="L546" s="16"/>
      <c r="M546" s="16"/>
    </row>
    <row r="547" spans="1:13" x14ac:dyDescent="0.25">
      <c r="A547" s="16">
        <v>1791</v>
      </c>
      <c r="B547" s="6">
        <v>43586</v>
      </c>
      <c r="C547" s="16" t="s">
        <v>195</v>
      </c>
      <c r="D547" s="7">
        <f>SUMIFS('DATOS PROYECCIÓN'!$F:$F,'DATOS PROYECCIÓN'!A:A,A547,'DATOS PROYECCIÓN'!B:B,B547)</f>
        <v>60561853.894285716</v>
      </c>
      <c r="E547" s="13">
        <f>VLOOKUP(A547,'DATOS GENERALES'!A:B,2,0)</f>
        <v>2.06</v>
      </c>
      <c r="F547" s="16">
        <f t="shared" si="32"/>
        <v>2.0505239999999998</v>
      </c>
      <c r="G547" s="7">
        <f t="shared" si="33"/>
        <v>-29534818.365591295</v>
      </c>
      <c r="H547" s="7">
        <f t="shared" si="34"/>
        <v>31027035.528694421</v>
      </c>
      <c r="I547" s="7">
        <f>IFERROR((G547/SUMIF(B:B,B547,G:G))*VLOOKUP(B547,'DATOS GENERALES'!G:H,2,0),"")</f>
        <v>-3917224.7315326519</v>
      </c>
      <c r="J547" s="7">
        <f t="shared" si="35"/>
        <v>27109810.797161769</v>
      </c>
      <c r="K547" s="16"/>
      <c r="L547" s="16"/>
      <c r="M547" s="16"/>
    </row>
    <row r="548" spans="1:13" x14ac:dyDescent="0.25">
      <c r="A548" s="16">
        <v>1791</v>
      </c>
      <c r="B548" s="6">
        <v>43617</v>
      </c>
      <c r="C548" s="16" t="s">
        <v>195</v>
      </c>
      <c r="D548" s="7">
        <f>SUMIFS('DATOS PROYECCIÓN'!$F:$F,'DATOS PROYECCIÓN'!A:A,A548,'DATOS PROYECCIÓN'!B:B,B548)</f>
        <v>60561853.894285716</v>
      </c>
      <c r="E548" s="13">
        <f>VLOOKUP(A548,'DATOS GENERALES'!A:B,2,0)</f>
        <v>2.06</v>
      </c>
      <c r="F548" s="16">
        <f t="shared" si="32"/>
        <v>2.0505239999999998</v>
      </c>
      <c r="G548" s="7">
        <f t="shared" si="33"/>
        <v>-29534818.365591295</v>
      </c>
      <c r="H548" s="7">
        <f t="shared" si="34"/>
        <v>31027035.528694421</v>
      </c>
      <c r="I548" s="7">
        <f>IFERROR((G548/SUMIF(B:B,B548,G:G))*VLOOKUP(B548,'DATOS GENERALES'!G:H,2,0),"")</f>
        <v>-5267749.9107260359</v>
      </c>
      <c r="J548" s="7">
        <f t="shared" si="35"/>
        <v>25759285.617968384</v>
      </c>
      <c r="K548" s="16"/>
      <c r="L548" s="16"/>
      <c r="M548" s="16"/>
    </row>
    <row r="549" spans="1:13" x14ac:dyDescent="0.25">
      <c r="A549" s="16">
        <v>1791</v>
      </c>
      <c r="B549" s="6">
        <v>43647</v>
      </c>
      <c r="C549" s="16" t="s">
        <v>195</v>
      </c>
      <c r="D549" s="7">
        <f>SUMIFS('DATOS PROYECCIÓN'!$F:$F,'DATOS PROYECCIÓN'!A:A,A549,'DATOS PROYECCIÓN'!B:B,B549)</f>
        <v>60561853.894285716</v>
      </c>
      <c r="E549" s="13">
        <f>VLOOKUP(A549,'DATOS GENERALES'!A:B,2,0)</f>
        <v>2.06</v>
      </c>
      <c r="F549" s="16">
        <f t="shared" si="32"/>
        <v>2.0505239999999998</v>
      </c>
      <c r="G549" s="7">
        <f t="shared" si="33"/>
        <v>-29534818.365591295</v>
      </c>
      <c r="H549" s="7">
        <f t="shared" si="34"/>
        <v>31027035.528694421</v>
      </c>
      <c r="I549" s="7">
        <f>IFERROR((G549/SUMIF(B:B,B549,G:G))*VLOOKUP(B549,'DATOS GENERALES'!G:H,2,0),"")</f>
        <v>-7855769.2314176504</v>
      </c>
      <c r="J549" s="7">
        <f t="shared" si="35"/>
        <v>23171266.297276773</v>
      </c>
      <c r="K549" s="16"/>
      <c r="L549" s="16"/>
      <c r="M549" s="16"/>
    </row>
    <row r="550" spans="1:13" x14ac:dyDescent="0.25">
      <c r="A550" s="16">
        <v>1791</v>
      </c>
      <c r="B550" s="6">
        <v>43678</v>
      </c>
      <c r="C550" s="16" t="s">
        <v>195</v>
      </c>
      <c r="D550" s="7">
        <f>SUMIFS('DATOS PROYECCIÓN'!$F:$F,'DATOS PROYECCIÓN'!A:A,A550,'DATOS PROYECCIÓN'!B:B,B550)</f>
        <v>60561853.894285716</v>
      </c>
      <c r="E550" s="13">
        <f>VLOOKUP(A550,'DATOS GENERALES'!A:B,2,0)</f>
        <v>2.06</v>
      </c>
      <c r="F550" s="16">
        <f t="shared" si="32"/>
        <v>2.0505239999999998</v>
      </c>
      <c r="G550" s="7">
        <f t="shared" si="33"/>
        <v>-29534818.365591295</v>
      </c>
      <c r="H550" s="7">
        <f t="shared" si="34"/>
        <v>31027035.528694421</v>
      </c>
      <c r="I550" s="7">
        <f>IFERROR((G550/SUMIF(B:B,B550,G:G))*VLOOKUP(B550,'DATOS GENERALES'!G:H,2,0),"")</f>
        <v>-7730361.7404265217</v>
      </c>
      <c r="J550" s="7">
        <f t="shared" si="35"/>
        <v>23296673.788267899</v>
      </c>
      <c r="K550" s="16"/>
      <c r="L550" s="16"/>
      <c r="M550" s="16"/>
    </row>
    <row r="551" spans="1:13" x14ac:dyDescent="0.25">
      <c r="A551" s="16">
        <v>1791</v>
      </c>
      <c r="B551" s="6">
        <v>43709</v>
      </c>
      <c r="C551" s="16" t="s">
        <v>195</v>
      </c>
      <c r="D551" s="7">
        <f>SUMIFS('DATOS PROYECCIÓN'!$F:$F,'DATOS PROYECCIÓN'!A:A,A551,'DATOS PROYECCIÓN'!B:B,B551)</f>
        <v>60561853.894285716</v>
      </c>
      <c r="E551" s="13">
        <f>VLOOKUP(A551,'DATOS GENERALES'!A:B,2,0)</f>
        <v>2.06</v>
      </c>
      <c r="F551" s="16">
        <f t="shared" si="32"/>
        <v>2.0505239999999998</v>
      </c>
      <c r="G551" s="7">
        <f t="shared" si="33"/>
        <v>-29534818.365591295</v>
      </c>
      <c r="H551" s="7">
        <f t="shared" si="34"/>
        <v>31027035.528694421</v>
      </c>
      <c r="I551" s="7">
        <f>IFERROR((G551/SUMIF(B:B,B551,G:G))*VLOOKUP(B551,'DATOS GENERALES'!G:H,2,0),"")</f>
        <v>-8736646.4805757664</v>
      </c>
      <c r="J551" s="7">
        <f t="shared" si="35"/>
        <v>22290389.048118655</v>
      </c>
      <c r="K551" s="16"/>
      <c r="L551" s="16"/>
      <c r="M551" s="16"/>
    </row>
    <row r="552" spans="1:13" x14ac:dyDescent="0.25">
      <c r="A552" s="16">
        <v>1791</v>
      </c>
      <c r="B552" s="6">
        <v>43739</v>
      </c>
      <c r="C552" s="16" t="s">
        <v>195</v>
      </c>
      <c r="D552" s="7">
        <f>SUMIFS('DATOS PROYECCIÓN'!$F:$F,'DATOS PROYECCIÓN'!A:A,A552,'DATOS PROYECCIÓN'!B:B,B552)</f>
        <v>60561853.894285716</v>
      </c>
      <c r="E552" s="13">
        <f>VLOOKUP(A552,'DATOS GENERALES'!A:B,2,0)</f>
        <v>2.06</v>
      </c>
      <c r="F552" s="16">
        <f t="shared" si="32"/>
        <v>2.0505239999999998</v>
      </c>
      <c r="G552" s="7">
        <f t="shared" si="33"/>
        <v>-29534818.365591295</v>
      </c>
      <c r="H552" s="7">
        <f t="shared" si="34"/>
        <v>31027035.528694421</v>
      </c>
      <c r="I552" s="7">
        <f>IFERROR((G552/SUMIF(B:B,B552,G:G))*VLOOKUP(B552,'DATOS GENERALES'!G:H,2,0),"")</f>
        <v>-9447781.0296639875</v>
      </c>
      <c r="J552" s="7">
        <f t="shared" si="35"/>
        <v>21579254.499030434</v>
      </c>
      <c r="K552" s="16"/>
      <c r="L552" s="16"/>
      <c r="M552" s="16"/>
    </row>
    <row r="553" spans="1:13" x14ac:dyDescent="0.25">
      <c r="A553" s="16">
        <v>1791</v>
      </c>
      <c r="B553" s="6">
        <v>43770</v>
      </c>
      <c r="C553" s="16" t="s">
        <v>195</v>
      </c>
      <c r="D553" s="7">
        <f>SUMIFS('DATOS PROYECCIÓN'!$F:$F,'DATOS PROYECCIÓN'!A:A,A553,'DATOS PROYECCIÓN'!B:B,B553)</f>
        <v>60561853.894285716</v>
      </c>
      <c r="E553" s="13">
        <f>VLOOKUP(A553,'DATOS GENERALES'!A:B,2,0)</f>
        <v>2.06</v>
      </c>
      <c r="F553" s="16">
        <f t="shared" si="32"/>
        <v>2.0505239999999998</v>
      </c>
      <c r="G553" s="7">
        <f t="shared" si="33"/>
        <v>-29534818.365591295</v>
      </c>
      <c r="H553" s="7">
        <f t="shared" si="34"/>
        <v>31027035.528694421</v>
      </c>
      <c r="I553" s="7">
        <f>IFERROR((G553/SUMIF(B:B,B553,G:G))*VLOOKUP(B553,'DATOS GENERALES'!G:H,2,0),"")</f>
        <v>-12635711.323479287</v>
      </c>
      <c r="J553" s="7">
        <f t="shared" si="35"/>
        <v>18391324.205215134</v>
      </c>
      <c r="K553" s="16"/>
      <c r="L553" s="16"/>
      <c r="M553" s="16"/>
    </row>
    <row r="554" spans="1:13" x14ac:dyDescent="0.25">
      <c r="A554" s="16">
        <v>1791</v>
      </c>
      <c r="B554" s="6">
        <v>43800</v>
      </c>
      <c r="C554" s="16" t="s">
        <v>195</v>
      </c>
      <c r="D554" s="7">
        <f>SUMIFS('DATOS PROYECCIÓN'!$F:$F,'DATOS PROYECCIÓN'!A:A,A554,'DATOS PROYECCIÓN'!B:B,B554)</f>
        <v>60561853.894285716</v>
      </c>
      <c r="E554" s="13">
        <f>VLOOKUP(A554,'DATOS GENERALES'!A:B,2,0)</f>
        <v>2.06</v>
      </c>
      <c r="F554" s="16">
        <f t="shared" si="32"/>
        <v>2.0505239999999998</v>
      </c>
      <c r="G554" s="7">
        <f t="shared" si="33"/>
        <v>-29534818.365591295</v>
      </c>
      <c r="H554" s="7">
        <f t="shared" si="34"/>
        <v>31027035.528694421</v>
      </c>
      <c r="I554" s="7">
        <f>IFERROR((G554/SUMIF(B:B,B554,G:G))*VLOOKUP(B554,'DATOS GENERALES'!G:H,2,0),"")</f>
        <v>-10639109.649132952</v>
      </c>
      <c r="J554" s="7">
        <f t="shared" si="35"/>
        <v>20387925.879561469</v>
      </c>
      <c r="K554" s="16"/>
      <c r="L554" s="16"/>
      <c r="M554" s="16"/>
    </row>
    <row r="555" spans="1:13" x14ac:dyDescent="0.25">
      <c r="A555" s="16">
        <v>1453</v>
      </c>
      <c r="B555" s="6">
        <v>43466</v>
      </c>
      <c r="C555" s="16" t="s">
        <v>195</v>
      </c>
      <c r="D555" s="7">
        <f>SUMIFS('DATOS PROYECCIÓN'!$F:$F,'DATOS PROYECCIÓN'!A:A,A555,'DATOS PROYECCIÓN'!B:B,B555)</f>
        <v>15250000</v>
      </c>
      <c r="E555" s="13">
        <f>VLOOKUP(A555,'DATOS GENERALES'!A:B,2,0)</f>
        <v>2.0299999999999998</v>
      </c>
      <c r="F555" s="16">
        <f t="shared" si="32"/>
        <v>2.0206619999999997</v>
      </c>
      <c r="G555" s="7">
        <f t="shared" si="33"/>
        <v>-7547031.6163712693</v>
      </c>
      <c r="H555" s="7">
        <f t="shared" si="34"/>
        <v>7702968.3836287307</v>
      </c>
      <c r="I555" s="7">
        <f>IFERROR((G555/SUMIF(B:B,B555,G:G))*VLOOKUP(B555,'DATOS GENERALES'!G:H,2,0),"")</f>
        <v>-1655957.1851832091</v>
      </c>
      <c r="J555" s="7">
        <f t="shared" si="35"/>
        <v>6047011.1984455213</v>
      </c>
      <c r="K555" s="16"/>
      <c r="L555" s="16"/>
      <c r="M555" s="16"/>
    </row>
    <row r="556" spans="1:13" x14ac:dyDescent="0.25">
      <c r="A556" s="16">
        <v>1453</v>
      </c>
      <c r="B556" s="6">
        <v>43497</v>
      </c>
      <c r="C556" s="16" t="s">
        <v>195</v>
      </c>
      <c r="D556" s="7">
        <f>SUMIFS('DATOS PROYECCIÓN'!$F:$F,'DATOS PROYECCIÓN'!A:A,A556,'DATOS PROYECCIÓN'!B:B,B556)</f>
        <v>15250000</v>
      </c>
      <c r="E556" s="13">
        <f>VLOOKUP(A556,'DATOS GENERALES'!A:B,2,0)</f>
        <v>2.0299999999999998</v>
      </c>
      <c r="F556" s="16">
        <f t="shared" si="32"/>
        <v>2.0206619999999997</v>
      </c>
      <c r="G556" s="7">
        <f t="shared" si="33"/>
        <v>-7547031.6163712693</v>
      </c>
      <c r="H556" s="7">
        <f t="shared" si="34"/>
        <v>7702968.3836287307</v>
      </c>
      <c r="I556" s="7">
        <f>IFERROR((G556/SUMIF(B:B,B556,G:G))*VLOOKUP(B556,'DATOS GENERALES'!G:H,2,0),"")</f>
        <v>-1631350.1087307313</v>
      </c>
      <c r="J556" s="7">
        <f t="shared" si="35"/>
        <v>6071618.2748979991</v>
      </c>
      <c r="K556" s="16"/>
      <c r="L556" s="16"/>
      <c r="M556" s="16"/>
    </row>
    <row r="557" spans="1:13" x14ac:dyDescent="0.25">
      <c r="A557" s="16">
        <v>1453</v>
      </c>
      <c r="B557" s="6">
        <v>43525</v>
      </c>
      <c r="C557" s="16" t="s">
        <v>195</v>
      </c>
      <c r="D557" s="7">
        <f>SUMIFS('DATOS PROYECCIÓN'!$F:$F,'DATOS PROYECCIÓN'!A:A,A557,'DATOS PROYECCIÓN'!B:B,B557)</f>
        <v>15250000</v>
      </c>
      <c r="E557" s="13">
        <f>VLOOKUP(A557,'DATOS GENERALES'!A:B,2,0)</f>
        <v>2.0299999999999998</v>
      </c>
      <c r="F557" s="16">
        <f t="shared" si="32"/>
        <v>2.0206619999999997</v>
      </c>
      <c r="G557" s="7">
        <f t="shared" si="33"/>
        <v>-7547031.6163712693</v>
      </c>
      <c r="H557" s="7">
        <f t="shared" si="34"/>
        <v>7702968.3836287307</v>
      </c>
      <c r="I557" s="7">
        <f>IFERROR((G557/SUMIF(B:B,B557,G:G))*VLOOKUP(B557,'DATOS GENERALES'!G:H,2,0),"")</f>
        <v>-1180261.5702468739</v>
      </c>
      <c r="J557" s="7">
        <f t="shared" si="35"/>
        <v>6522706.8133818563</v>
      </c>
      <c r="K557" s="16"/>
      <c r="L557" s="16"/>
      <c r="M557" s="16"/>
    </row>
    <row r="558" spans="1:13" x14ac:dyDescent="0.25">
      <c r="A558" s="16">
        <v>1453</v>
      </c>
      <c r="B558" s="6">
        <v>43556</v>
      </c>
      <c r="C558" s="16" t="s">
        <v>195</v>
      </c>
      <c r="D558" s="7">
        <f>SUMIFS('DATOS PROYECCIÓN'!$F:$F,'DATOS PROYECCIÓN'!A:A,A558,'DATOS PROYECCIÓN'!B:B,B558)</f>
        <v>15250000</v>
      </c>
      <c r="E558" s="13">
        <f>VLOOKUP(A558,'DATOS GENERALES'!A:B,2,0)</f>
        <v>2.0299999999999998</v>
      </c>
      <c r="F558" s="16">
        <f t="shared" si="32"/>
        <v>2.0206619999999997</v>
      </c>
      <c r="G558" s="7">
        <f t="shared" si="33"/>
        <v>-7547031.6163712693</v>
      </c>
      <c r="H558" s="7">
        <f t="shared" si="34"/>
        <v>7702968.3836287307</v>
      </c>
      <c r="I558" s="7">
        <f>IFERROR((G558/SUMIF(B:B,B558,G:G))*VLOOKUP(B558,'DATOS GENERALES'!G:H,2,0),"")</f>
        <v>-1213397.8483739072</v>
      </c>
      <c r="J558" s="7">
        <f t="shared" si="35"/>
        <v>6489570.535254823</v>
      </c>
      <c r="K558" s="16"/>
      <c r="L558" s="16"/>
      <c r="M558" s="16"/>
    </row>
    <row r="559" spans="1:13" x14ac:dyDescent="0.25">
      <c r="A559" s="16">
        <v>1453</v>
      </c>
      <c r="B559" s="6">
        <v>43586</v>
      </c>
      <c r="C559" s="16" t="s">
        <v>195</v>
      </c>
      <c r="D559" s="7">
        <f>SUMIFS('DATOS PROYECCIÓN'!$F:$F,'DATOS PROYECCIÓN'!A:A,A559,'DATOS PROYECCIÓN'!B:B,B559)</f>
        <v>15250000</v>
      </c>
      <c r="E559" s="13">
        <f>VLOOKUP(A559,'DATOS GENERALES'!A:B,2,0)</f>
        <v>2.0299999999999998</v>
      </c>
      <c r="F559" s="16">
        <f t="shared" si="32"/>
        <v>2.0206619999999997</v>
      </c>
      <c r="G559" s="7">
        <f t="shared" si="33"/>
        <v>-7547031.6163712693</v>
      </c>
      <c r="H559" s="7">
        <f t="shared" si="34"/>
        <v>7702968.3836287307</v>
      </c>
      <c r="I559" s="7">
        <f>IFERROR((G559/SUMIF(B:B,B559,G:G))*VLOOKUP(B559,'DATOS GENERALES'!G:H,2,0),"")</f>
        <v>-1000968.3666025319</v>
      </c>
      <c r="J559" s="7">
        <f t="shared" si="35"/>
        <v>6702000.017026199</v>
      </c>
      <c r="K559" s="16"/>
      <c r="L559" s="16"/>
      <c r="M559" s="16"/>
    </row>
    <row r="560" spans="1:13" x14ac:dyDescent="0.25">
      <c r="A560" s="16">
        <v>1453</v>
      </c>
      <c r="B560" s="6">
        <v>43617</v>
      </c>
      <c r="C560" s="16" t="s">
        <v>195</v>
      </c>
      <c r="D560" s="7">
        <f>SUMIFS('DATOS PROYECCIÓN'!$F:$F,'DATOS PROYECCIÓN'!A:A,A560,'DATOS PROYECCIÓN'!B:B,B560)</f>
        <v>15250000</v>
      </c>
      <c r="E560" s="13">
        <f>VLOOKUP(A560,'DATOS GENERALES'!A:B,2,0)</f>
        <v>2.0299999999999998</v>
      </c>
      <c r="F560" s="16">
        <f t="shared" si="32"/>
        <v>2.0206619999999997</v>
      </c>
      <c r="G560" s="7">
        <f t="shared" si="33"/>
        <v>-7547031.6163712693</v>
      </c>
      <c r="H560" s="7">
        <f t="shared" si="34"/>
        <v>7702968.3836287307</v>
      </c>
      <c r="I560" s="7">
        <f>IFERROR((G560/SUMIF(B:B,B560,G:G))*VLOOKUP(B560,'DATOS GENERALES'!G:H,2,0),"")</f>
        <v>-1346068.0418371146</v>
      </c>
      <c r="J560" s="7">
        <f t="shared" si="35"/>
        <v>6356900.3417916158</v>
      </c>
      <c r="K560" s="16"/>
      <c r="L560" s="16"/>
      <c r="M560" s="16"/>
    </row>
    <row r="561" spans="1:13" x14ac:dyDescent="0.25">
      <c r="A561" s="16">
        <v>1453</v>
      </c>
      <c r="B561" s="6">
        <v>43647</v>
      </c>
      <c r="C561" s="16" t="s">
        <v>195</v>
      </c>
      <c r="D561" s="7">
        <f>SUMIFS('DATOS PROYECCIÓN'!$F:$F,'DATOS PROYECCIÓN'!A:A,A561,'DATOS PROYECCIÓN'!B:B,B561)</f>
        <v>15250000</v>
      </c>
      <c r="E561" s="13">
        <f>VLOOKUP(A561,'DATOS GENERALES'!A:B,2,0)</f>
        <v>2.0299999999999998</v>
      </c>
      <c r="F561" s="16">
        <f t="shared" si="32"/>
        <v>2.0206619999999997</v>
      </c>
      <c r="G561" s="7">
        <f t="shared" si="33"/>
        <v>-7547031.6163712693</v>
      </c>
      <c r="H561" s="7">
        <f t="shared" si="34"/>
        <v>7702968.3836287307</v>
      </c>
      <c r="I561" s="7">
        <f>IFERROR((G561/SUMIF(B:B,B561,G:G))*VLOOKUP(B561,'DATOS GENERALES'!G:H,2,0),"")</f>
        <v>-2007384.5732363516</v>
      </c>
      <c r="J561" s="7">
        <f t="shared" si="35"/>
        <v>5695583.8103923788</v>
      </c>
      <c r="K561" s="16"/>
      <c r="L561" s="16"/>
      <c r="M561" s="16"/>
    </row>
    <row r="562" spans="1:13" x14ac:dyDescent="0.25">
      <c r="A562" s="16">
        <v>1453</v>
      </c>
      <c r="B562" s="6">
        <v>43678</v>
      </c>
      <c r="C562" s="16" t="s">
        <v>195</v>
      </c>
      <c r="D562" s="7">
        <f>SUMIFS('DATOS PROYECCIÓN'!$F:$F,'DATOS PROYECCIÓN'!A:A,A562,'DATOS PROYECCIÓN'!B:B,B562)</f>
        <v>15250000</v>
      </c>
      <c r="E562" s="13">
        <f>VLOOKUP(A562,'DATOS GENERALES'!A:B,2,0)</f>
        <v>2.0299999999999998</v>
      </c>
      <c r="F562" s="16">
        <f t="shared" si="32"/>
        <v>2.0206619999999997</v>
      </c>
      <c r="G562" s="7">
        <f t="shared" si="33"/>
        <v>-7547031.6163712693</v>
      </c>
      <c r="H562" s="7">
        <f t="shared" si="34"/>
        <v>7702968.3836287307</v>
      </c>
      <c r="I562" s="7">
        <f>IFERROR((G562/SUMIF(B:B,B562,G:G))*VLOOKUP(B562,'DATOS GENERALES'!G:H,2,0),"")</f>
        <v>-1975339.1992738529</v>
      </c>
      <c r="J562" s="7">
        <f t="shared" si="35"/>
        <v>5727629.184354878</v>
      </c>
      <c r="K562" s="16"/>
      <c r="L562" s="16"/>
      <c r="M562" s="16"/>
    </row>
    <row r="563" spans="1:13" x14ac:dyDescent="0.25">
      <c r="A563" s="16">
        <v>1453</v>
      </c>
      <c r="B563" s="6">
        <v>43709</v>
      </c>
      <c r="C563" s="16" t="s">
        <v>195</v>
      </c>
      <c r="D563" s="7">
        <f>SUMIFS('DATOS PROYECCIÓN'!$F:$F,'DATOS PROYECCIÓN'!A:A,A563,'DATOS PROYECCIÓN'!B:B,B563)</f>
        <v>15250000</v>
      </c>
      <c r="E563" s="13">
        <f>VLOOKUP(A563,'DATOS GENERALES'!A:B,2,0)</f>
        <v>2.0299999999999998</v>
      </c>
      <c r="F563" s="16">
        <f t="shared" si="32"/>
        <v>2.0206619999999997</v>
      </c>
      <c r="G563" s="7">
        <f t="shared" si="33"/>
        <v>-7547031.6163712693</v>
      </c>
      <c r="H563" s="7">
        <f t="shared" si="34"/>
        <v>7702968.3836287307</v>
      </c>
      <c r="I563" s="7">
        <f>IFERROR((G563/SUMIF(B:B,B563,G:G))*VLOOKUP(B563,'DATOS GENERALES'!G:H,2,0),"")</f>
        <v>-2232475.121187157</v>
      </c>
      <c r="J563" s="7">
        <f t="shared" si="35"/>
        <v>5470493.2624415737</v>
      </c>
      <c r="K563" s="16"/>
      <c r="L563" s="16"/>
      <c r="M563" s="16"/>
    </row>
    <row r="564" spans="1:13" x14ac:dyDescent="0.25">
      <c r="A564" s="16">
        <v>1453</v>
      </c>
      <c r="B564" s="6">
        <v>43739</v>
      </c>
      <c r="C564" s="16" t="s">
        <v>195</v>
      </c>
      <c r="D564" s="7">
        <f>SUMIFS('DATOS PROYECCIÓN'!$F:$F,'DATOS PROYECCIÓN'!A:A,A564,'DATOS PROYECCIÓN'!B:B,B564)</f>
        <v>15250000</v>
      </c>
      <c r="E564" s="13">
        <f>VLOOKUP(A564,'DATOS GENERALES'!A:B,2,0)</f>
        <v>2.0299999999999998</v>
      </c>
      <c r="F564" s="16">
        <f t="shared" si="32"/>
        <v>2.0206619999999997</v>
      </c>
      <c r="G564" s="7">
        <f t="shared" si="33"/>
        <v>-7547031.6163712693</v>
      </c>
      <c r="H564" s="7">
        <f t="shared" si="34"/>
        <v>7702968.3836287307</v>
      </c>
      <c r="I564" s="7">
        <f>IFERROR((G564/SUMIF(B:B,B564,G:G))*VLOOKUP(B564,'DATOS GENERALES'!G:H,2,0),"")</f>
        <v>-2414191.3199810302</v>
      </c>
      <c r="J564" s="7">
        <f t="shared" si="35"/>
        <v>5288777.0636477005</v>
      </c>
      <c r="K564" s="16"/>
      <c r="L564" s="16"/>
      <c r="M564" s="16"/>
    </row>
    <row r="565" spans="1:13" x14ac:dyDescent="0.25">
      <c r="A565" s="16">
        <v>1453</v>
      </c>
      <c r="B565" s="6">
        <v>43770</v>
      </c>
      <c r="C565" s="16" t="s">
        <v>195</v>
      </c>
      <c r="D565" s="7">
        <f>SUMIFS('DATOS PROYECCIÓN'!$F:$F,'DATOS PROYECCIÓN'!A:A,A565,'DATOS PROYECCIÓN'!B:B,B565)</f>
        <v>15250000</v>
      </c>
      <c r="E565" s="13">
        <f>VLOOKUP(A565,'DATOS GENERALES'!A:B,2,0)</f>
        <v>2.0299999999999998</v>
      </c>
      <c r="F565" s="16">
        <f t="shared" si="32"/>
        <v>2.0206619999999997</v>
      </c>
      <c r="G565" s="7">
        <f t="shared" si="33"/>
        <v>-7547031.6163712693</v>
      </c>
      <c r="H565" s="7">
        <f t="shared" si="34"/>
        <v>7702968.3836287307</v>
      </c>
      <c r="I565" s="7">
        <f>IFERROR((G565/SUMIF(B:B,B565,G:G))*VLOOKUP(B565,'DATOS GENERALES'!G:H,2,0),"")</f>
        <v>-3228803.0917683779</v>
      </c>
      <c r="J565" s="7">
        <f t="shared" si="35"/>
        <v>4474165.2918603532</v>
      </c>
      <c r="K565" s="16"/>
      <c r="L565" s="16"/>
      <c r="M565" s="16"/>
    </row>
    <row r="566" spans="1:13" x14ac:dyDescent="0.25">
      <c r="A566" s="16">
        <v>1453</v>
      </c>
      <c r="B566" s="6">
        <v>43800</v>
      </c>
      <c r="C566" s="16" t="s">
        <v>195</v>
      </c>
      <c r="D566" s="7">
        <f>SUMIFS('DATOS PROYECCIÓN'!$F:$F,'DATOS PROYECCIÓN'!A:A,A566,'DATOS PROYECCIÓN'!B:B,B566)</f>
        <v>15250000</v>
      </c>
      <c r="E566" s="13">
        <f>VLOOKUP(A566,'DATOS GENERALES'!A:B,2,0)</f>
        <v>2.0299999999999998</v>
      </c>
      <c r="F566" s="16">
        <f t="shared" si="32"/>
        <v>2.0206619999999997</v>
      </c>
      <c r="G566" s="7">
        <f t="shared" si="33"/>
        <v>-7547031.6163712693</v>
      </c>
      <c r="H566" s="7">
        <f t="shared" si="34"/>
        <v>7702968.3836287307</v>
      </c>
      <c r="I566" s="7">
        <f>IFERROR((G566/SUMIF(B:B,B566,G:G))*VLOOKUP(B566,'DATOS GENERALES'!G:H,2,0),"")</f>
        <v>-2718611.5011152709</v>
      </c>
      <c r="J566" s="7">
        <f t="shared" si="35"/>
        <v>4984356.8825134598</v>
      </c>
      <c r="K566" s="16"/>
      <c r="L566" s="16"/>
      <c r="M566" s="16"/>
    </row>
    <row r="567" spans="1:13" x14ac:dyDescent="0.25">
      <c r="A567" s="16">
        <v>1826</v>
      </c>
      <c r="B567" s="6">
        <v>43466</v>
      </c>
      <c r="C567" s="16" t="s">
        <v>195</v>
      </c>
      <c r="D567" s="7">
        <f>SUMIFS('DATOS PROYECCIÓN'!$F:$F,'DATOS PROYECCIÓN'!A:A,A567,'DATOS PROYECCIÓN'!B:B,B567)</f>
        <v>20341421</v>
      </c>
      <c r="E567" s="13">
        <f>VLOOKUP(A567,'DATOS GENERALES'!A:B,2,0)</f>
        <v>2.62</v>
      </c>
      <c r="F567" s="16">
        <f t="shared" si="32"/>
        <v>2.6079479999999999</v>
      </c>
      <c r="G567" s="7">
        <f t="shared" si="33"/>
        <v>-7799780.1336529721</v>
      </c>
      <c r="H567" s="7">
        <f t="shared" si="34"/>
        <v>12541640.866347028</v>
      </c>
      <c r="I567" s="7">
        <f>IFERROR((G567/SUMIF(B:B,B567,G:G))*VLOOKUP(B567,'DATOS GENERALES'!G:H,2,0),"")</f>
        <v>-1711414.8464879699</v>
      </c>
      <c r="J567" s="7">
        <f t="shared" si="35"/>
        <v>10830226.019859059</v>
      </c>
      <c r="K567" s="16"/>
      <c r="L567" s="16"/>
      <c r="M567" s="16"/>
    </row>
    <row r="568" spans="1:13" x14ac:dyDescent="0.25">
      <c r="A568" s="16">
        <v>1826</v>
      </c>
      <c r="B568" s="6">
        <v>43497</v>
      </c>
      <c r="C568" s="16" t="s">
        <v>195</v>
      </c>
      <c r="D568" s="7">
        <f>SUMIFS('DATOS PROYECCIÓN'!$F:$F,'DATOS PROYECCIÓN'!A:A,A568,'DATOS PROYECCIÓN'!B:B,B568)</f>
        <v>20341421</v>
      </c>
      <c r="E568" s="13">
        <f>VLOOKUP(A568,'DATOS GENERALES'!A:B,2,0)</f>
        <v>2.62</v>
      </c>
      <c r="F568" s="16">
        <f t="shared" si="32"/>
        <v>2.6079479999999999</v>
      </c>
      <c r="G568" s="7">
        <f t="shared" si="33"/>
        <v>-7799780.1336529721</v>
      </c>
      <c r="H568" s="7">
        <f t="shared" si="34"/>
        <v>12541640.866347028</v>
      </c>
      <c r="I568" s="7">
        <f>IFERROR((G568/SUMIF(B:B,B568,G:G))*VLOOKUP(B568,'DATOS GENERALES'!G:H,2,0),"")</f>
        <v>-1685983.6841691348</v>
      </c>
      <c r="J568" s="7">
        <f t="shared" si="35"/>
        <v>10855657.182177894</v>
      </c>
      <c r="K568" s="16"/>
      <c r="L568" s="16"/>
      <c r="M568" s="16"/>
    </row>
    <row r="569" spans="1:13" x14ac:dyDescent="0.25">
      <c r="A569" s="16">
        <v>1826</v>
      </c>
      <c r="B569" s="6">
        <v>43525</v>
      </c>
      <c r="C569" s="16" t="s">
        <v>195</v>
      </c>
      <c r="D569" s="7">
        <f>SUMIFS('DATOS PROYECCIÓN'!$F:$F,'DATOS PROYECCIÓN'!A:A,A569,'DATOS PROYECCIÓN'!B:B,B569)</f>
        <v>20341421</v>
      </c>
      <c r="E569" s="13">
        <f>VLOOKUP(A569,'DATOS GENERALES'!A:B,2,0)</f>
        <v>2.62</v>
      </c>
      <c r="F569" s="16">
        <f t="shared" si="32"/>
        <v>2.6079479999999999</v>
      </c>
      <c r="G569" s="7">
        <f t="shared" si="33"/>
        <v>-7799780.1336529721</v>
      </c>
      <c r="H569" s="7">
        <f t="shared" si="34"/>
        <v>12541640.866347028</v>
      </c>
      <c r="I569" s="7">
        <f>IFERROR((G569/SUMIF(B:B,B569,G:G))*VLOOKUP(B569,'DATOS GENERALES'!G:H,2,0),"")</f>
        <v>-1219788.2844635427</v>
      </c>
      <c r="J569" s="7">
        <f t="shared" si="35"/>
        <v>11321852.581883484</v>
      </c>
      <c r="K569" s="16"/>
      <c r="L569" s="16"/>
      <c r="M569" s="16"/>
    </row>
    <row r="570" spans="1:13" x14ac:dyDescent="0.25">
      <c r="A570" s="16">
        <v>1858</v>
      </c>
      <c r="B570" s="6">
        <v>43466</v>
      </c>
      <c r="C570" s="16" t="s">
        <v>195</v>
      </c>
      <c r="D570" s="7">
        <f>SUMIFS('DATOS PROYECCIÓN'!$F:$F,'DATOS PROYECCIÓN'!A:A,A570,'DATOS PROYECCIÓN'!B:B,B570)</f>
        <v>118601976.15000001</v>
      </c>
      <c r="E570" s="13">
        <f>VLOOKUP(A570,'DATOS GENERALES'!A:B,2,0)</f>
        <v>0.73</v>
      </c>
      <c r="F570" s="16">
        <f t="shared" si="32"/>
        <v>0.7266419999999999</v>
      </c>
      <c r="G570" s="7">
        <f t="shared" si="33"/>
        <v>-163219269.11739209</v>
      </c>
      <c r="H570" s="7">
        <f t="shared" si="34"/>
        <v>-44617292.967392087</v>
      </c>
      <c r="I570" s="7">
        <f>IFERROR((G570/SUMIF(B:B,B570,G:G))*VLOOKUP(B570,'DATOS GENERALES'!G:H,2,0),"")</f>
        <v>-35813301.864137962</v>
      </c>
      <c r="J570" s="7">
        <f t="shared" si="35"/>
        <v>-80430594.831530049</v>
      </c>
      <c r="K570" s="16"/>
      <c r="L570" s="16"/>
      <c r="M570" s="16"/>
    </row>
    <row r="571" spans="1:13" x14ac:dyDescent="0.25">
      <c r="A571" s="16">
        <v>1858</v>
      </c>
      <c r="B571" s="6">
        <v>43497</v>
      </c>
      <c r="C571" s="16" t="s">
        <v>195</v>
      </c>
      <c r="D571" s="7">
        <f>SUMIFS('DATOS PROYECCIÓN'!$F:$F,'DATOS PROYECCIÓN'!A:A,A571,'DATOS PROYECCIÓN'!B:B,B571)</f>
        <v>197669960.25</v>
      </c>
      <c r="E571" s="13">
        <f>VLOOKUP(A571,'DATOS GENERALES'!A:B,2,0)</f>
        <v>0.73</v>
      </c>
      <c r="F571" s="16">
        <f t="shared" si="32"/>
        <v>0.7266419999999999</v>
      </c>
      <c r="G571" s="7">
        <f t="shared" si="33"/>
        <v>-272032115.19565344</v>
      </c>
      <c r="H571" s="7">
        <f t="shared" si="34"/>
        <v>-74362154.945653439</v>
      </c>
      <c r="I571" s="7">
        <f>IFERROR((G571/SUMIF(B:B,B571,G:G))*VLOOKUP(B571,'DATOS GENERALES'!G:H,2,0),"")</f>
        <v>-58801876.454315983</v>
      </c>
      <c r="J571" s="7">
        <f t="shared" si="35"/>
        <v>-133164031.39996943</v>
      </c>
      <c r="K571" s="16"/>
      <c r="L571" s="16"/>
      <c r="M571" s="16"/>
    </row>
    <row r="572" spans="1:13" x14ac:dyDescent="0.25">
      <c r="A572" s="16">
        <v>1858</v>
      </c>
      <c r="B572" s="6">
        <v>43525</v>
      </c>
      <c r="C572" s="16" t="s">
        <v>195</v>
      </c>
      <c r="D572" s="7">
        <f>SUMIFS('DATOS PROYECCIÓN'!$F:$F,'DATOS PROYECCIÓN'!A:A,A572,'DATOS PROYECCIÓN'!B:B,B572)</f>
        <v>171313965.55000007</v>
      </c>
      <c r="E572" s="13">
        <f>VLOOKUP(A572,'DATOS GENERALES'!A:B,2,0)</f>
        <v>0.73</v>
      </c>
      <c r="F572" s="16">
        <f t="shared" si="32"/>
        <v>0.7266419999999999</v>
      </c>
      <c r="G572" s="7">
        <f t="shared" si="33"/>
        <v>-235761166.50289977</v>
      </c>
      <c r="H572" s="7">
        <f t="shared" si="34"/>
        <v>-64447200.952899694</v>
      </c>
      <c r="I572" s="7">
        <f>IFERROR((G572/SUMIF(B:B,B572,G:G))*VLOOKUP(B572,'DATOS GENERALES'!G:H,2,0),"")</f>
        <v>-36870104.529088855</v>
      </c>
      <c r="J572" s="7">
        <f t="shared" si="35"/>
        <v>-101317305.48198855</v>
      </c>
      <c r="K572" s="16"/>
      <c r="L572" s="16"/>
      <c r="M572" s="16"/>
    </row>
    <row r="573" spans="1:13" x14ac:dyDescent="0.25">
      <c r="A573" s="16">
        <v>1858</v>
      </c>
      <c r="B573" s="6">
        <v>43556</v>
      </c>
      <c r="C573" s="16" t="s">
        <v>195</v>
      </c>
      <c r="D573" s="7">
        <f>SUMIFS('DATOS PROYECCIÓN'!$F:$F,'DATOS PROYECCIÓN'!A:A,A573,'DATOS PROYECCIÓN'!B:B,B573)</f>
        <v>210847957.5999999</v>
      </c>
      <c r="E573" s="13">
        <f>VLOOKUP(A573,'DATOS GENERALES'!A:B,2,0)</f>
        <v>0.73</v>
      </c>
      <c r="F573" s="16">
        <f t="shared" si="32"/>
        <v>0.7266419999999999</v>
      </c>
      <c r="G573" s="7">
        <f t="shared" si="33"/>
        <v>-290167589.54203022</v>
      </c>
      <c r="H573" s="7">
        <f t="shared" si="34"/>
        <v>-79319631.942030311</v>
      </c>
      <c r="I573" s="7">
        <f>IFERROR((G573/SUMIF(B:B,B573,G:G))*VLOOKUP(B573,'DATOS GENERALES'!G:H,2,0),"")</f>
        <v>-46652610.816467233</v>
      </c>
      <c r="J573" s="7">
        <f t="shared" si="35"/>
        <v>-125972242.75849754</v>
      </c>
      <c r="K573" s="16"/>
      <c r="L573" s="16"/>
      <c r="M573" s="16"/>
    </row>
    <row r="574" spans="1:13" x14ac:dyDescent="0.25">
      <c r="A574" s="16">
        <v>1848</v>
      </c>
      <c r="B574" s="6">
        <v>43466</v>
      </c>
      <c r="C574" s="16" t="s">
        <v>195</v>
      </c>
      <c r="D574" s="7">
        <f>SUMIFS('DATOS PROYECCIÓN'!$F:$F,'DATOS PROYECCIÓN'!A:A,A574,'DATOS PROYECCIÓN'!B:B,B574)</f>
        <v>12773052.833333334</v>
      </c>
      <c r="E574" s="13">
        <f>VLOOKUP(A574,'DATOS GENERALES'!A:B,2,0)</f>
        <v>2.2999999999999998</v>
      </c>
      <c r="F574" s="16">
        <f t="shared" si="32"/>
        <v>2.2894199999999998</v>
      </c>
      <c r="G574" s="7">
        <f t="shared" si="33"/>
        <v>-5579165.3926904351</v>
      </c>
      <c r="H574" s="7">
        <f t="shared" si="34"/>
        <v>7193887.4406428989</v>
      </c>
      <c r="I574" s="7">
        <f>IFERROR((G574/SUMIF(B:B,B574,G:G))*VLOOKUP(B574,'DATOS GENERALES'!G:H,2,0),"")</f>
        <v>-1224171.2356564121</v>
      </c>
      <c r="J574" s="7">
        <f t="shared" si="35"/>
        <v>5969716.2049864866</v>
      </c>
      <c r="K574" s="16"/>
      <c r="L574" s="16"/>
      <c r="M574" s="16"/>
    </row>
    <row r="575" spans="1:13" x14ac:dyDescent="0.25">
      <c r="A575" s="16">
        <v>1848</v>
      </c>
      <c r="B575" s="6">
        <v>43497</v>
      </c>
      <c r="C575" s="16" t="s">
        <v>195</v>
      </c>
      <c r="D575" s="7">
        <f>SUMIFS('DATOS PROYECCIÓN'!$F:$F,'DATOS PROYECCIÓN'!A:A,A575,'DATOS PROYECCIÓN'!B:B,B575)</f>
        <v>12773052.833333334</v>
      </c>
      <c r="E575" s="13">
        <f>VLOOKUP(A575,'DATOS GENERALES'!A:B,2,0)</f>
        <v>2.2999999999999998</v>
      </c>
      <c r="F575" s="16">
        <f t="shared" si="32"/>
        <v>2.2894199999999998</v>
      </c>
      <c r="G575" s="7">
        <f t="shared" si="33"/>
        <v>-5579165.3926904351</v>
      </c>
      <c r="H575" s="7">
        <f t="shared" si="34"/>
        <v>7193887.4406428989</v>
      </c>
      <c r="I575" s="7">
        <f>IFERROR((G575/SUMIF(B:B,B575,G:G))*VLOOKUP(B575,'DATOS GENERALES'!G:H,2,0),"")</f>
        <v>-1205980.3817767035</v>
      </c>
      <c r="J575" s="7">
        <f t="shared" si="35"/>
        <v>5987907.0588661954</v>
      </c>
      <c r="K575" s="16"/>
      <c r="L575" s="16"/>
      <c r="M575" s="16"/>
    </row>
    <row r="576" spans="1:13" x14ac:dyDescent="0.25">
      <c r="A576" s="16">
        <v>1806</v>
      </c>
      <c r="B576" s="6">
        <v>43466</v>
      </c>
      <c r="C576" s="16" t="s">
        <v>195</v>
      </c>
      <c r="D576" s="7">
        <f>SUMIFS('DATOS PROYECCIÓN'!$F:$F,'DATOS PROYECCIÓN'!A:A,A576,'DATOS PROYECCIÓN'!B:B,B576)</f>
        <v>50000000</v>
      </c>
      <c r="E576" s="13">
        <f>VLOOKUP(A576,'DATOS GENERALES'!A:B,2,0)</f>
        <v>2</v>
      </c>
      <c r="F576" s="16">
        <f t="shared" si="32"/>
        <v>1.9907999999999999</v>
      </c>
      <c r="G576" s="7">
        <f t="shared" si="33"/>
        <v>-25115531.444645371</v>
      </c>
      <c r="H576" s="7">
        <f t="shared" si="34"/>
        <v>24884468.555354629</v>
      </c>
      <c r="I576" s="7">
        <f>IFERROR((G576/SUMIF(B:B,B576,G:G))*VLOOKUP(B576,'DATOS GENERALES'!G:H,2,0),"")</f>
        <v>-5510808.337576909</v>
      </c>
      <c r="J576" s="7">
        <f t="shared" si="35"/>
        <v>19373660.217777722</v>
      </c>
      <c r="K576" s="16"/>
      <c r="L576" s="16"/>
      <c r="M576" s="16"/>
    </row>
    <row r="577" spans="1:13" x14ac:dyDescent="0.25">
      <c r="A577" s="16">
        <v>1806</v>
      </c>
      <c r="B577" s="6">
        <v>43497</v>
      </c>
      <c r="C577" s="16" t="s">
        <v>195</v>
      </c>
      <c r="D577" s="7">
        <f>SUMIFS('DATOS PROYECCIÓN'!$F:$F,'DATOS PROYECCIÓN'!A:A,A577,'DATOS PROYECCIÓN'!B:B,B577)</f>
        <v>50000000</v>
      </c>
      <c r="E577" s="13">
        <f>VLOOKUP(A577,'DATOS GENERALES'!A:B,2,0)</f>
        <v>2</v>
      </c>
      <c r="F577" s="16">
        <f t="shared" si="32"/>
        <v>1.9907999999999999</v>
      </c>
      <c r="G577" s="7">
        <f t="shared" si="33"/>
        <v>-25115531.444645371</v>
      </c>
      <c r="H577" s="7">
        <f t="shared" si="34"/>
        <v>24884468.555354629</v>
      </c>
      <c r="I577" s="7">
        <f>IFERROR((G577/SUMIF(B:B,B577,G:G))*VLOOKUP(B577,'DATOS GENERALES'!G:H,2,0),"")</f>
        <v>-5428919.2143006306</v>
      </c>
      <c r="J577" s="7">
        <f t="shared" si="35"/>
        <v>19455549.341054</v>
      </c>
      <c r="K577" s="16"/>
      <c r="L577" s="16"/>
      <c r="M577" s="16"/>
    </row>
    <row r="578" spans="1:13" x14ac:dyDescent="0.25">
      <c r="A578" s="16">
        <v>1806</v>
      </c>
      <c r="B578" s="6">
        <v>43525</v>
      </c>
      <c r="C578" s="16" t="s">
        <v>195</v>
      </c>
      <c r="D578" s="7">
        <f>SUMIFS('DATOS PROYECCIÓN'!$F:$F,'DATOS PROYECCIÓN'!A:A,A578,'DATOS PROYECCIÓN'!B:B,B578)</f>
        <v>50000000</v>
      </c>
      <c r="E578" s="13">
        <f>VLOOKUP(A578,'DATOS GENERALES'!A:B,2,0)</f>
        <v>2</v>
      </c>
      <c r="F578" s="16">
        <f t="shared" ref="F578:F641" si="36">E578*0.9954</f>
        <v>1.9907999999999999</v>
      </c>
      <c r="G578" s="7">
        <f t="shared" ref="G578:G641" si="37">-D578/F578</f>
        <v>-25115531.444645371</v>
      </c>
      <c r="H578" s="7">
        <f t="shared" ref="H578:H641" si="38">D578+G578</f>
        <v>24884468.555354629</v>
      </c>
      <c r="I578" s="7">
        <f>IFERROR((G578/SUMIF(B:B,B578,G:G))*VLOOKUP(B578,'DATOS GENERALES'!G:H,2,0),"")</f>
        <v>-3927755.7173789409</v>
      </c>
      <c r="J578" s="7">
        <f t="shared" si="35"/>
        <v>20956712.837975688</v>
      </c>
      <c r="K578" s="16"/>
      <c r="L578" s="16"/>
      <c r="M578" s="16"/>
    </row>
    <row r="579" spans="1:13" x14ac:dyDescent="0.25">
      <c r="A579" s="16">
        <v>1806</v>
      </c>
      <c r="B579" s="6">
        <v>43556</v>
      </c>
      <c r="C579" s="16" t="s">
        <v>195</v>
      </c>
      <c r="D579" s="7">
        <f>SUMIFS('DATOS PROYECCIÓN'!$F:$F,'DATOS PROYECCIÓN'!A:A,A579,'DATOS PROYECCIÓN'!B:B,B579)</f>
        <v>50000000</v>
      </c>
      <c r="E579" s="13">
        <f>VLOOKUP(A579,'DATOS GENERALES'!A:B,2,0)</f>
        <v>2</v>
      </c>
      <c r="F579" s="16">
        <f t="shared" si="36"/>
        <v>1.9907999999999999</v>
      </c>
      <c r="G579" s="7">
        <f t="shared" si="37"/>
        <v>-25115531.444645371</v>
      </c>
      <c r="H579" s="7">
        <f t="shared" si="38"/>
        <v>24884468.555354629</v>
      </c>
      <c r="I579" s="7">
        <f>IFERROR((G579/SUMIF(B:B,B579,G:G))*VLOOKUP(B579,'DATOS GENERALES'!G:H,2,0),"")</f>
        <v>-4038028.9052443136</v>
      </c>
      <c r="J579" s="7">
        <f t="shared" ref="J579:J642" si="39">IFERROR(H579+I579,"")</f>
        <v>20846439.650110316</v>
      </c>
      <c r="K579" s="16"/>
      <c r="L579" s="16"/>
      <c r="M579" s="16"/>
    </row>
    <row r="580" spans="1:13" x14ac:dyDescent="0.25">
      <c r="A580" s="16">
        <v>1806</v>
      </c>
      <c r="B580" s="6">
        <v>43586</v>
      </c>
      <c r="C580" s="16" t="s">
        <v>195</v>
      </c>
      <c r="D580" s="7">
        <f>SUMIFS('DATOS PROYECCIÓN'!$F:$F,'DATOS PROYECCIÓN'!A:A,A580,'DATOS PROYECCIÓN'!B:B,B580)</f>
        <v>50000000</v>
      </c>
      <c r="E580" s="13">
        <f>VLOOKUP(A580,'DATOS GENERALES'!A:B,2,0)</f>
        <v>2</v>
      </c>
      <c r="F580" s="16">
        <f t="shared" si="36"/>
        <v>1.9907999999999999</v>
      </c>
      <c r="G580" s="7">
        <f t="shared" si="37"/>
        <v>-25115531.444645371</v>
      </c>
      <c r="H580" s="7">
        <f t="shared" si="38"/>
        <v>24884468.555354629</v>
      </c>
      <c r="I580" s="7">
        <f>IFERROR((G580/SUMIF(B:B,B580,G:G))*VLOOKUP(B580,'DATOS GENERALES'!G:H,2,0),"")</f>
        <v>-3331091.4495133436</v>
      </c>
      <c r="J580" s="7">
        <f t="shared" si="39"/>
        <v>21553377.105841286</v>
      </c>
      <c r="K580" s="16"/>
      <c r="L580" s="16"/>
      <c r="M580" s="16"/>
    </row>
    <row r="581" spans="1:13" x14ac:dyDescent="0.25">
      <c r="A581" s="16">
        <v>1824</v>
      </c>
      <c r="B581" s="6">
        <v>43466</v>
      </c>
      <c r="C581" s="16" t="s">
        <v>195</v>
      </c>
      <c r="D581" s="7">
        <f>SUMIFS('DATOS PROYECCIÓN'!$F:$F,'DATOS PROYECCIÓN'!A:A,A581,'DATOS PROYECCIÓN'!B:B,B581)</f>
        <v>48166666.666666664</v>
      </c>
      <c r="E581" s="13">
        <f>VLOOKUP(A581,'DATOS GENERALES'!A:B,2,0)</f>
        <v>2.44</v>
      </c>
      <c r="F581" s="16">
        <f t="shared" si="36"/>
        <v>2.428776</v>
      </c>
      <c r="G581" s="7">
        <f t="shared" si="37"/>
        <v>-19831662.80738391</v>
      </c>
      <c r="H581" s="7">
        <f t="shared" si="38"/>
        <v>28335003.859282754</v>
      </c>
      <c r="I581" s="7">
        <f>IFERROR((G581/SUMIF(B:B,B581,G:G))*VLOOKUP(B581,'DATOS GENERALES'!G:H,2,0),"")</f>
        <v>-4351430.627212367</v>
      </c>
      <c r="J581" s="7">
        <f t="shared" si="39"/>
        <v>23983573.232070386</v>
      </c>
      <c r="K581" s="16"/>
      <c r="L581" s="16"/>
      <c r="M581" s="16"/>
    </row>
    <row r="582" spans="1:13" x14ac:dyDescent="0.25">
      <c r="A582" s="16">
        <v>1824</v>
      </c>
      <c r="B582" s="6">
        <v>43497</v>
      </c>
      <c r="C582" s="16" t="s">
        <v>195</v>
      </c>
      <c r="D582" s="7">
        <f>SUMIFS('DATOS PROYECCIÓN'!$F:$F,'DATOS PROYECCIÓN'!A:A,A582,'DATOS PROYECCIÓN'!B:B,B582)</f>
        <v>48166666.666666664</v>
      </c>
      <c r="E582" s="13">
        <f>VLOOKUP(A582,'DATOS GENERALES'!A:B,2,0)</f>
        <v>2.44</v>
      </c>
      <c r="F582" s="16">
        <f t="shared" si="36"/>
        <v>2.428776</v>
      </c>
      <c r="G582" s="7">
        <f t="shared" si="37"/>
        <v>-19831662.80738391</v>
      </c>
      <c r="H582" s="7">
        <f t="shared" si="38"/>
        <v>28335003.859282754</v>
      </c>
      <c r="I582" s="7">
        <f>IFERROR((G582/SUMIF(B:B,B582,G:G))*VLOOKUP(B582,'DATOS GENERALES'!G:H,2,0),"")</f>
        <v>-4286769.5435324647</v>
      </c>
      <c r="J582" s="7">
        <f t="shared" si="39"/>
        <v>24048234.31575029</v>
      </c>
      <c r="K582" s="16"/>
      <c r="L582" s="16"/>
      <c r="M582" s="16"/>
    </row>
    <row r="583" spans="1:13" x14ac:dyDescent="0.25">
      <c r="A583" s="16">
        <v>1824</v>
      </c>
      <c r="B583" s="6">
        <v>43525</v>
      </c>
      <c r="C583" s="16" t="s">
        <v>195</v>
      </c>
      <c r="D583" s="7">
        <f>SUMIFS('DATOS PROYECCIÓN'!$F:$F,'DATOS PROYECCIÓN'!A:A,A583,'DATOS PROYECCIÓN'!B:B,B583)</f>
        <v>48166666.666666664</v>
      </c>
      <c r="E583" s="13">
        <f>VLOOKUP(A583,'DATOS GENERALES'!A:B,2,0)</f>
        <v>2.44</v>
      </c>
      <c r="F583" s="16">
        <f t="shared" si="36"/>
        <v>2.428776</v>
      </c>
      <c r="G583" s="7">
        <f t="shared" si="37"/>
        <v>-19831662.80738391</v>
      </c>
      <c r="H583" s="7">
        <f t="shared" si="38"/>
        <v>28335003.859282754</v>
      </c>
      <c r="I583" s="7">
        <f>IFERROR((G583/SUMIF(B:B,B583,G:G))*VLOOKUP(B583,'DATOS GENERALES'!G:H,2,0),"")</f>
        <v>-3101424.5965096005</v>
      </c>
      <c r="J583" s="7">
        <f t="shared" si="39"/>
        <v>25233579.262773152</v>
      </c>
      <c r="K583" s="16"/>
      <c r="L583" s="16"/>
      <c r="M583" s="16"/>
    </row>
    <row r="584" spans="1:13" x14ac:dyDescent="0.25">
      <c r="A584" s="16">
        <v>1824</v>
      </c>
      <c r="B584" s="6">
        <v>43556</v>
      </c>
      <c r="C584" s="16" t="s">
        <v>195</v>
      </c>
      <c r="D584" s="7">
        <f>SUMIFS('DATOS PROYECCIÓN'!$F:$F,'DATOS PROYECCIÓN'!A:A,A584,'DATOS PROYECCIÓN'!B:B,B584)</f>
        <v>48166666.666666664</v>
      </c>
      <c r="E584" s="13">
        <f>VLOOKUP(A584,'DATOS GENERALES'!A:B,2,0)</f>
        <v>2.44</v>
      </c>
      <c r="F584" s="16">
        <f t="shared" si="36"/>
        <v>2.428776</v>
      </c>
      <c r="G584" s="7">
        <f t="shared" si="37"/>
        <v>-19831662.80738391</v>
      </c>
      <c r="H584" s="7">
        <f t="shared" si="38"/>
        <v>28335003.859282754</v>
      </c>
      <c r="I584" s="7">
        <f>IFERROR((G584/SUMIF(B:B,B584,G:G))*VLOOKUP(B584,'DATOS GENERALES'!G:H,2,0),"")</f>
        <v>-3188498.2339224215</v>
      </c>
      <c r="J584" s="7">
        <f t="shared" si="39"/>
        <v>25146505.625360332</v>
      </c>
      <c r="K584" s="16"/>
      <c r="L584" s="16"/>
      <c r="M584" s="16"/>
    </row>
    <row r="585" spans="1:13" x14ac:dyDescent="0.25">
      <c r="A585" s="16">
        <v>1824</v>
      </c>
      <c r="B585" s="6">
        <v>43586</v>
      </c>
      <c r="C585" s="16" t="s">
        <v>195</v>
      </c>
      <c r="D585" s="7">
        <f>SUMIFS('DATOS PROYECCIÓN'!$F:$F,'DATOS PROYECCIÓN'!A:A,A585,'DATOS PROYECCIÓN'!B:B,B585)</f>
        <v>48166666.666666664</v>
      </c>
      <c r="E585" s="13">
        <f>VLOOKUP(A585,'DATOS GENERALES'!A:B,2,0)</f>
        <v>2.44</v>
      </c>
      <c r="F585" s="16">
        <f t="shared" si="36"/>
        <v>2.428776</v>
      </c>
      <c r="G585" s="7">
        <f t="shared" si="37"/>
        <v>-19831662.80738391</v>
      </c>
      <c r="H585" s="7">
        <f t="shared" si="38"/>
        <v>28335003.859282754</v>
      </c>
      <c r="I585" s="7">
        <f>IFERROR((G585/SUMIF(B:B,B585,G:G))*VLOOKUP(B585,'DATOS GENERALES'!G:H,2,0),"")</f>
        <v>-2630288.0571293887</v>
      </c>
      <c r="J585" s="7">
        <f t="shared" si="39"/>
        <v>25704715.802153364</v>
      </c>
      <c r="K585" s="16"/>
      <c r="L585" s="16"/>
      <c r="M585" s="16"/>
    </row>
    <row r="586" spans="1:13" x14ac:dyDescent="0.25">
      <c r="A586" s="16">
        <v>1824</v>
      </c>
      <c r="B586" s="6">
        <v>43617</v>
      </c>
      <c r="C586" s="16" t="s">
        <v>195</v>
      </c>
      <c r="D586" s="7">
        <f>SUMIFS('DATOS PROYECCIÓN'!$F:$F,'DATOS PROYECCIÓN'!A:A,A586,'DATOS PROYECCIÓN'!B:B,B586)</f>
        <v>48166666.666666664</v>
      </c>
      <c r="E586" s="13">
        <f>VLOOKUP(A586,'DATOS GENERALES'!A:B,2,0)</f>
        <v>2.44</v>
      </c>
      <c r="F586" s="16">
        <f t="shared" si="36"/>
        <v>2.428776</v>
      </c>
      <c r="G586" s="7">
        <f t="shared" si="37"/>
        <v>-19831662.80738391</v>
      </c>
      <c r="H586" s="7">
        <f t="shared" si="38"/>
        <v>28335003.859282754</v>
      </c>
      <c r="I586" s="7">
        <f>IFERROR((G586/SUMIF(B:B,B586,G:G))*VLOOKUP(B586,'DATOS GENERALES'!G:H,2,0),"")</f>
        <v>-3537121.4642326431</v>
      </c>
      <c r="J586" s="7">
        <f t="shared" si="39"/>
        <v>24797882.395050112</v>
      </c>
      <c r="K586" s="16"/>
      <c r="L586" s="16"/>
      <c r="M586" s="16"/>
    </row>
    <row r="587" spans="1:13" x14ac:dyDescent="0.25">
      <c r="A587" s="16">
        <v>1866</v>
      </c>
      <c r="B587" s="6">
        <v>43497</v>
      </c>
      <c r="C587" s="16" t="s">
        <v>195</v>
      </c>
      <c r="D587" s="7">
        <f>SUMIFS('DATOS PROYECCIÓN'!$F:$F,'DATOS PROYECCIÓN'!A:A,A587,'DATOS PROYECCIÓN'!B:B,B587)</f>
        <v>9800000</v>
      </c>
      <c r="E587" s="13">
        <f>VLOOKUP(A587,'DATOS GENERALES'!A:B,2,0)</f>
        <v>1</v>
      </c>
      <c r="F587" s="16">
        <f t="shared" si="36"/>
        <v>0.99539999999999995</v>
      </c>
      <c r="G587" s="7">
        <f t="shared" si="37"/>
        <v>-9845288.3263009842</v>
      </c>
      <c r="H587" s="7">
        <f t="shared" si="38"/>
        <v>-45288.326300984249</v>
      </c>
      <c r="I587" s="7">
        <f>IFERROR((G587/SUMIF(B:B,B587,G:G))*VLOOKUP(B587,'DATOS GENERALES'!G:H,2,0),"")</f>
        <v>-2128136.3320058468</v>
      </c>
      <c r="J587" s="7">
        <f t="shared" si="39"/>
        <v>-2173424.658306831</v>
      </c>
      <c r="K587" s="16"/>
      <c r="L587" s="16"/>
      <c r="M587" s="16"/>
    </row>
    <row r="588" spans="1:13" x14ac:dyDescent="0.25">
      <c r="A588" s="16">
        <v>1866</v>
      </c>
      <c r="B588" s="6">
        <v>43525</v>
      </c>
      <c r="C588" s="16" t="s">
        <v>195</v>
      </c>
      <c r="D588" s="7">
        <f>SUMIFS('DATOS PROYECCIÓN'!$F:$F,'DATOS PROYECCIÓN'!A:A,A588,'DATOS PROYECCIÓN'!B:B,B588)</f>
        <v>9800000</v>
      </c>
      <c r="E588" s="13">
        <f>VLOOKUP(A588,'DATOS GENERALES'!A:B,2,0)</f>
        <v>1</v>
      </c>
      <c r="F588" s="16">
        <f t="shared" si="36"/>
        <v>0.99539999999999995</v>
      </c>
      <c r="G588" s="7">
        <f t="shared" si="37"/>
        <v>-9845288.3263009842</v>
      </c>
      <c r="H588" s="7">
        <f t="shared" si="38"/>
        <v>-45288.326300984249</v>
      </c>
      <c r="I588" s="7">
        <f>IFERROR((G588/SUMIF(B:B,B588,G:G))*VLOOKUP(B588,'DATOS GENERALES'!G:H,2,0),"")</f>
        <v>-1539680.2412125445</v>
      </c>
      <c r="J588" s="7">
        <f t="shared" si="39"/>
        <v>-1584968.5675135287</v>
      </c>
      <c r="K588" s="16"/>
      <c r="L588" s="16"/>
      <c r="M588" s="16"/>
    </row>
    <row r="589" spans="1:13" x14ac:dyDescent="0.25">
      <c r="A589" s="16">
        <v>1866</v>
      </c>
      <c r="B589" s="6">
        <v>43556</v>
      </c>
      <c r="C589" s="16" t="s">
        <v>195</v>
      </c>
      <c r="D589" s="7">
        <f>SUMIFS('DATOS PROYECCIÓN'!$F:$F,'DATOS PROYECCIÓN'!A:A,A589,'DATOS PROYECCIÓN'!B:B,B589)</f>
        <v>9800000</v>
      </c>
      <c r="E589" s="13">
        <f>VLOOKUP(A589,'DATOS GENERALES'!A:B,2,0)</f>
        <v>1</v>
      </c>
      <c r="F589" s="16">
        <f t="shared" si="36"/>
        <v>0.99539999999999995</v>
      </c>
      <c r="G589" s="7">
        <f t="shared" si="37"/>
        <v>-9845288.3263009842</v>
      </c>
      <c r="H589" s="7">
        <f t="shared" si="38"/>
        <v>-45288.326300984249</v>
      </c>
      <c r="I589" s="7">
        <f>IFERROR((G589/SUMIF(B:B,B589,G:G))*VLOOKUP(B589,'DATOS GENERALES'!G:H,2,0),"")</f>
        <v>-1582907.3308557707</v>
      </c>
      <c r="J589" s="7">
        <f t="shared" si="39"/>
        <v>-1628195.657156755</v>
      </c>
      <c r="K589" s="16"/>
      <c r="L589" s="16"/>
      <c r="M589" s="16"/>
    </row>
    <row r="590" spans="1:13" x14ac:dyDescent="0.25">
      <c r="A590" s="16">
        <v>1866</v>
      </c>
      <c r="B590" s="6">
        <v>43586</v>
      </c>
      <c r="C590" s="16" t="s">
        <v>195</v>
      </c>
      <c r="D590" s="7">
        <f>SUMIFS('DATOS PROYECCIÓN'!$F:$F,'DATOS PROYECCIÓN'!A:A,A590,'DATOS PROYECCIÓN'!B:B,B590)</f>
        <v>9800000</v>
      </c>
      <c r="E590" s="13">
        <f>VLOOKUP(A590,'DATOS GENERALES'!A:B,2,0)</f>
        <v>1</v>
      </c>
      <c r="F590" s="16">
        <f t="shared" si="36"/>
        <v>0.99539999999999995</v>
      </c>
      <c r="G590" s="7">
        <f t="shared" si="37"/>
        <v>-9845288.3263009842</v>
      </c>
      <c r="H590" s="7">
        <f t="shared" si="38"/>
        <v>-45288.326300984249</v>
      </c>
      <c r="I590" s="7">
        <f>IFERROR((G590/SUMIF(B:B,B590,G:G))*VLOOKUP(B590,'DATOS GENERALES'!G:H,2,0),"")</f>
        <v>-1305787.8482092305</v>
      </c>
      <c r="J590" s="7">
        <f t="shared" si="39"/>
        <v>-1351076.1745102147</v>
      </c>
      <c r="K590" s="16"/>
      <c r="L590" s="16"/>
      <c r="M590" s="16"/>
    </row>
    <row r="591" spans="1:13" x14ac:dyDescent="0.25">
      <c r="A591" s="16">
        <v>1866</v>
      </c>
      <c r="B591" s="6">
        <v>43617</v>
      </c>
      <c r="C591" s="16" t="s">
        <v>195</v>
      </c>
      <c r="D591" s="7">
        <f>SUMIFS('DATOS PROYECCIÓN'!$F:$F,'DATOS PROYECCIÓN'!A:A,A591,'DATOS PROYECCIÓN'!B:B,B591)</f>
        <v>9800000</v>
      </c>
      <c r="E591" s="13">
        <f>VLOOKUP(A591,'DATOS GENERALES'!A:B,2,0)</f>
        <v>1</v>
      </c>
      <c r="F591" s="16">
        <f t="shared" si="36"/>
        <v>0.99539999999999995</v>
      </c>
      <c r="G591" s="7">
        <f t="shared" si="37"/>
        <v>-9845288.3263009842</v>
      </c>
      <c r="H591" s="7">
        <f t="shared" si="38"/>
        <v>-45288.326300984249</v>
      </c>
      <c r="I591" s="7">
        <f>IFERROR((G591/SUMIF(B:B,B591,G:G))*VLOOKUP(B591,'DATOS GENERALES'!G:H,2,0),"")</f>
        <v>-1755978.8606103314</v>
      </c>
      <c r="J591" s="7">
        <f t="shared" si="39"/>
        <v>-1801267.1869113157</v>
      </c>
      <c r="K591" s="16"/>
      <c r="L591" s="16"/>
      <c r="M591" s="16"/>
    </row>
    <row r="592" spans="1:13" x14ac:dyDescent="0.25">
      <c r="A592" s="16">
        <v>1866</v>
      </c>
      <c r="B592" s="6">
        <v>43647</v>
      </c>
      <c r="C592" s="16" t="s">
        <v>195</v>
      </c>
      <c r="D592" s="7">
        <f>SUMIFS('DATOS PROYECCIÓN'!$F:$F,'DATOS PROYECCIÓN'!A:A,A592,'DATOS PROYECCIÓN'!B:B,B592)</f>
        <v>9800000</v>
      </c>
      <c r="E592" s="13">
        <f>VLOOKUP(A592,'DATOS GENERALES'!A:B,2,0)</f>
        <v>1</v>
      </c>
      <c r="F592" s="16">
        <f t="shared" si="36"/>
        <v>0.99539999999999995</v>
      </c>
      <c r="G592" s="7">
        <f t="shared" si="37"/>
        <v>-9845288.3263009842</v>
      </c>
      <c r="H592" s="7">
        <f t="shared" si="38"/>
        <v>-45288.326300984249</v>
      </c>
      <c r="I592" s="7">
        <f>IFERROR((G592/SUMIF(B:B,B592,G:G))*VLOOKUP(B592,'DATOS GENERALES'!G:H,2,0),"")</f>
        <v>-2618682.5377025553</v>
      </c>
      <c r="J592" s="7">
        <f t="shared" si="39"/>
        <v>-2663970.8640035396</v>
      </c>
      <c r="K592" s="16"/>
      <c r="L592" s="16"/>
      <c r="M592" s="16"/>
    </row>
    <row r="593" spans="1:13" x14ac:dyDescent="0.25">
      <c r="A593" s="16">
        <v>1866</v>
      </c>
      <c r="B593" s="6">
        <v>43678</v>
      </c>
      <c r="C593" s="16" t="s">
        <v>195</v>
      </c>
      <c r="D593" s="7">
        <f>SUMIFS('DATOS PROYECCIÓN'!$F:$F,'DATOS PROYECCIÓN'!A:A,A593,'DATOS PROYECCIÓN'!B:B,B593)</f>
        <v>9800000</v>
      </c>
      <c r="E593" s="13">
        <f>VLOOKUP(A593,'DATOS GENERALES'!A:B,2,0)</f>
        <v>1</v>
      </c>
      <c r="F593" s="16">
        <f t="shared" si="36"/>
        <v>0.99539999999999995</v>
      </c>
      <c r="G593" s="7">
        <f t="shared" si="37"/>
        <v>-9845288.3263009842</v>
      </c>
      <c r="H593" s="7">
        <f t="shared" si="38"/>
        <v>-45288.326300984249</v>
      </c>
      <c r="I593" s="7">
        <f>IFERROR((G593/SUMIF(B:B,B593,G:G))*VLOOKUP(B593,'DATOS GENERALES'!G:H,2,0),"")</f>
        <v>-2576878.559367477</v>
      </c>
      <c r="J593" s="7">
        <f t="shared" si="39"/>
        <v>-2622166.8856684612</v>
      </c>
      <c r="K593" s="16"/>
      <c r="L593" s="16"/>
      <c r="M593" s="16"/>
    </row>
    <row r="594" spans="1:13" x14ac:dyDescent="0.25">
      <c r="A594" s="16">
        <v>1866</v>
      </c>
      <c r="B594" s="6">
        <v>43709</v>
      </c>
      <c r="C594" s="16" t="s">
        <v>195</v>
      </c>
      <c r="D594" s="7">
        <f>SUMIFS('DATOS PROYECCIÓN'!$F:$F,'DATOS PROYECCIÓN'!A:A,A594,'DATOS PROYECCIÓN'!B:B,B594)</f>
        <v>9800000</v>
      </c>
      <c r="E594" s="13">
        <f>VLOOKUP(A594,'DATOS GENERALES'!A:B,2,0)</f>
        <v>1</v>
      </c>
      <c r="F594" s="16">
        <f t="shared" si="36"/>
        <v>0.99539999999999995</v>
      </c>
      <c r="G594" s="7">
        <f t="shared" si="37"/>
        <v>-9845288.3263009842</v>
      </c>
      <c r="H594" s="7">
        <f t="shared" si="38"/>
        <v>-45288.326300984249</v>
      </c>
      <c r="I594" s="7">
        <f>IFERROR((G594/SUMIF(B:B,B594,G:G))*VLOOKUP(B594,'DATOS GENERALES'!G:H,2,0),"")</f>
        <v>-2912318.6925178552</v>
      </c>
      <c r="J594" s="7">
        <f t="shared" si="39"/>
        <v>-2957607.0188188395</v>
      </c>
      <c r="K594" s="16"/>
      <c r="L594" s="16"/>
      <c r="M594" s="16"/>
    </row>
    <row r="595" spans="1:13" x14ac:dyDescent="0.25">
      <c r="A595" s="16">
        <v>1866</v>
      </c>
      <c r="B595" s="6">
        <v>43739</v>
      </c>
      <c r="C595" s="16" t="s">
        <v>195</v>
      </c>
      <c r="D595" s="7">
        <f>SUMIFS('DATOS PROYECCIÓN'!$F:$F,'DATOS PROYECCIÓN'!A:A,A595,'DATOS PROYECCIÓN'!B:B,B595)</f>
        <v>9800000</v>
      </c>
      <c r="E595" s="13">
        <f>VLOOKUP(A595,'DATOS GENERALES'!A:B,2,0)</f>
        <v>1</v>
      </c>
      <c r="F595" s="16">
        <f t="shared" si="36"/>
        <v>0.99539999999999995</v>
      </c>
      <c r="G595" s="7">
        <f t="shared" si="37"/>
        <v>-9845288.3263009842</v>
      </c>
      <c r="H595" s="7">
        <f t="shared" si="38"/>
        <v>-45288.326300984249</v>
      </c>
      <c r="I595" s="7">
        <f>IFERROR((G595/SUMIF(B:B,B595,G:G))*VLOOKUP(B595,'DATOS GENERALES'!G:H,2,0),"")</f>
        <v>-3149371.942275581</v>
      </c>
      <c r="J595" s="7">
        <f t="shared" si="39"/>
        <v>-3194660.2685765652</v>
      </c>
      <c r="K595" s="16"/>
      <c r="L595" s="16"/>
      <c r="M595" s="16"/>
    </row>
    <row r="596" spans="1:13" x14ac:dyDescent="0.25">
      <c r="A596" s="16">
        <v>1866</v>
      </c>
      <c r="B596" s="6">
        <v>43770</v>
      </c>
      <c r="C596" s="16" t="s">
        <v>195</v>
      </c>
      <c r="D596" s="7">
        <f>SUMIFS('DATOS PROYECCIÓN'!$F:$F,'DATOS PROYECCIÓN'!A:A,A596,'DATOS PROYECCIÓN'!B:B,B596)</f>
        <v>9800000</v>
      </c>
      <c r="E596" s="13">
        <f>VLOOKUP(A596,'DATOS GENERALES'!A:B,2,0)</f>
        <v>1</v>
      </c>
      <c r="F596" s="16">
        <f t="shared" si="36"/>
        <v>0.99539999999999995</v>
      </c>
      <c r="G596" s="7">
        <f t="shared" si="37"/>
        <v>-9845288.3263009842</v>
      </c>
      <c r="H596" s="7">
        <f t="shared" si="38"/>
        <v>-45288.326300984249</v>
      </c>
      <c r="I596" s="7">
        <f>IFERROR((G596/SUMIF(B:B,B596,G:G))*VLOOKUP(B596,'DATOS GENERALES'!G:H,2,0),"")</f>
        <v>-4212053.0300091868</v>
      </c>
      <c r="J596" s="7">
        <f t="shared" si="39"/>
        <v>-4257341.3563101711</v>
      </c>
      <c r="K596" s="16"/>
      <c r="L596" s="16"/>
      <c r="M596" s="16"/>
    </row>
    <row r="597" spans="1:13" x14ac:dyDescent="0.25">
      <c r="A597" s="16">
        <v>1866</v>
      </c>
      <c r="B597" s="6">
        <v>43800</v>
      </c>
      <c r="C597" s="16" t="s">
        <v>195</v>
      </c>
      <c r="D597" s="7">
        <f>SUMIFS('DATOS PROYECCIÓN'!$F:$F,'DATOS PROYECCIÓN'!A:A,A597,'DATOS PROYECCIÓN'!B:B,B597)</f>
        <v>9800000</v>
      </c>
      <c r="E597" s="13">
        <f>VLOOKUP(A597,'DATOS GENERALES'!A:B,2,0)</f>
        <v>1</v>
      </c>
      <c r="F597" s="16">
        <f t="shared" si="36"/>
        <v>0.99539999999999995</v>
      </c>
      <c r="G597" s="7">
        <f t="shared" si="37"/>
        <v>-9845288.3263009842</v>
      </c>
      <c r="H597" s="7">
        <f t="shared" si="38"/>
        <v>-45288.326300984249</v>
      </c>
      <c r="I597" s="7">
        <f>IFERROR((G597/SUMIF(B:B,B597,G:G))*VLOOKUP(B597,'DATOS GENERALES'!G:H,2,0),"")</f>
        <v>-3546495.5543073569</v>
      </c>
      <c r="J597" s="7">
        <f t="shared" si="39"/>
        <v>-3591783.8806083412</v>
      </c>
      <c r="K597" s="16"/>
      <c r="L597" s="16"/>
      <c r="M597" s="16"/>
    </row>
    <row r="598" spans="1:13" x14ac:dyDescent="0.25">
      <c r="A598" s="16">
        <v>1866</v>
      </c>
      <c r="B598" s="6">
        <v>43831</v>
      </c>
      <c r="C598" s="16" t="s">
        <v>195</v>
      </c>
      <c r="D598" s="7">
        <f>SUMIFS('DATOS PROYECCIÓN'!$F:$F,'DATOS PROYECCIÓN'!A:A,A598,'DATOS PROYECCIÓN'!B:B,B598)</f>
        <v>9800000</v>
      </c>
      <c r="E598" s="13">
        <f>VLOOKUP(A598,'DATOS GENERALES'!A:B,2,0)</f>
        <v>1</v>
      </c>
      <c r="F598" s="16">
        <f t="shared" si="36"/>
        <v>0.99539999999999995</v>
      </c>
      <c r="G598" s="7">
        <f t="shared" si="37"/>
        <v>-9845288.3263009842</v>
      </c>
      <c r="H598" s="7">
        <f t="shared" si="38"/>
        <v>-45288.326300984249</v>
      </c>
      <c r="I598" s="7" t="str">
        <f>IFERROR((G598/SUMIF(B:B,B598,G:G))*VLOOKUP(B598,'DATOS GENERALES'!G:H,2,0),"")</f>
        <v/>
      </c>
      <c r="J598" s="7" t="str">
        <f t="shared" si="39"/>
        <v/>
      </c>
      <c r="K598" s="16"/>
      <c r="L598" s="16"/>
      <c r="M598" s="16"/>
    </row>
    <row r="599" spans="1:13" x14ac:dyDescent="0.25">
      <c r="A599" s="16">
        <v>1866</v>
      </c>
      <c r="B599" s="6">
        <v>43862</v>
      </c>
      <c r="C599" s="16" t="s">
        <v>195</v>
      </c>
      <c r="D599" s="7">
        <f>SUMIFS('DATOS PROYECCIÓN'!$F:$F,'DATOS PROYECCIÓN'!A:A,A599,'DATOS PROYECCIÓN'!B:B,B599)</f>
        <v>9800000</v>
      </c>
      <c r="E599" s="13">
        <f>VLOOKUP(A599,'DATOS GENERALES'!A:B,2,0)</f>
        <v>1</v>
      </c>
      <c r="F599" s="16">
        <f t="shared" si="36"/>
        <v>0.99539999999999995</v>
      </c>
      <c r="G599" s="7">
        <f t="shared" si="37"/>
        <v>-9845288.3263009842</v>
      </c>
      <c r="H599" s="7">
        <f t="shared" si="38"/>
        <v>-45288.326300984249</v>
      </c>
      <c r="I599" s="7" t="str">
        <f>IFERROR((G599/SUMIF(B:B,B599,G:G))*VLOOKUP(B599,'DATOS GENERALES'!G:H,2,0),"")</f>
        <v/>
      </c>
      <c r="J599" s="7" t="str">
        <f t="shared" si="39"/>
        <v/>
      </c>
      <c r="K599" s="16"/>
      <c r="L599" s="16"/>
      <c r="M599" s="16"/>
    </row>
    <row r="600" spans="1:13" x14ac:dyDescent="0.25">
      <c r="A600" s="16">
        <v>1866</v>
      </c>
      <c r="B600" s="6">
        <v>43891</v>
      </c>
      <c r="C600" s="16" t="s">
        <v>195</v>
      </c>
      <c r="D600" s="7">
        <f>SUMIFS('DATOS PROYECCIÓN'!$F:$F,'DATOS PROYECCIÓN'!A:A,A600,'DATOS PROYECCIÓN'!B:B,B600)</f>
        <v>9800000</v>
      </c>
      <c r="E600" s="13">
        <f>VLOOKUP(A600,'DATOS GENERALES'!A:B,2,0)</f>
        <v>1</v>
      </c>
      <c r="F600" s="16">
        <f t="shared" si="36"/>
        <v>0.99539999999999995</v>
      </c>
      <c r="G600" s="7">
        <f t="shared" si="37"/>
        <v>-9845288.3263009842</v>
      </c>
      <c r="H600" s="7">
        <f t="shared" si="38"/>
        <v>-45288.326300984249</v>
      </c>
      <c r="I600" s="7" t="str">
        <f>IFERROR((G600/SUMIF(B:B,B600,G:G))*VLOOKUP(B600,'DATOS GENERALES'!G:H,2,0),"")</f>
        <v/>
      </c>
      <c r="J600" s="7" t="str">
        <f t="shared" si="39"/>
        <v/>
      </c>
      <c r="K600" s="16"/>
      <c r="L600" s="16"/>
      <c r="M600" s="16"/>
    </row>
    <row r="601" spans="1:13" x14ac:dyDescent="0.25">
      <c r="A601" s="16">
        <v>1848</v>
      </c>
      <c r="B601" s="6">
        <v>43525</v>
      </c>
      <c r="C601" s="16" t="s">
        <v>195</v>
      </c>
      <c r="D601" s="7">
        <f>SUMIFS('DATOS PROYECCIÓN'!$F:$F,'DATOS PROYECCIÓN'!A:A,A601,'DATOS PROYECCIÓN'!B:B,B601)</f>
        <v>12773052.833333334</v>
      </c>
      <c r="E601" s="13">
        <f>VLOOKUP(A601,'DATOS GENERALES'!A:B,2,0)</f>
        <v>2.2999999999999998</v>
      </c>
      <c r="F601" s="16">
        <f t="shared" si="36"/>
        <v>2.2894199999999998</v>
      </c>
      <c r="G601" s="7">
        <f t="shared" si="37"/>
        <v>-5579165.3926904351</v>
      </c>
      <c r="H601" s="7">
        <f t="shared" si="38"/>
        <v>7193887.4406428989</v>
      </c>
      <c r="I601" s="7">
        <f>IFERROR((G601/SUMIF(B:B,B601,G:G))*VLOOKUP(B601,'DATOS GENERALES'!G:H,2,0),"")</f>
        <v>-872511.84860014403</v>
      </c>
      <c r="J601" s="7">
        <f t="shared" si="39"/>
        <v>6321375.5920427553</v>
      </c>
      <c r="K601" s="16"/>
      <c r="L601" s="16"/>
      <c r="M601" s="16"/>
    </row>
    <row r="602" spans="1:13" x14ac:dyDescent="0.25">
      <c r="A602" s="16">
        <v>1848</v>
      </c>
      <c r="B602" s="6">
        <v>43556</v>
      </c>
      <c r="C602" s="16" t="s">
        <v>195</v>
      </c>
      <c r="D602" s="7">
        <f>SUMIFS('DATOS PROYECCIÓN'!$F:$F,'DATOS PROYECCIÓN'!A:A,A602,'DATOS PROYECCIÓN'!B:B,B602)</f>
        <v>12773052.833333334</v>
      </c>
      <c r="E602" s="13">
        <f>VLOOKUP(A602,'DATOS GENERALES'!A:B,2,0)</f>
        <v>2.2999999999999998</v>
      </c>
      <c r="F602" s="16">
        <f t="shared" si="36"/>
        <v>2.2894199999999998</v>
      </c>
      <c r="G602" s="7">
        <f t="shared" si="37"/>
        <v>-5579165.3926904351</v>
      </c>
      <c r="H602" s="7">
        <f t="shared" si="38"/>
        <v>7193887.4406428989</v>
      </c>
      <c r="I602" s="7">
        <f>IFERROR((G602/SUMIF(B:B,B602,G:G))*VLOOKUP(B602,'DATOS GENERALES'!G:H,2,0),"")</f>
        <v>-897007.93998630915</v>
      </c>
      <c r="J602" s="7">
        <f t="shared" si="39"/>
        <v>6296879.5006565899</v>
      </c>
      <c r="K602" s="16"/>
      <c r="L602" s="16"/>
      <c r="M602" s="16"/>
    </row>
    <row r="603" spans="1:13" x14ac:dyDescent="0.25">
      <c r="A603" s="16">
        <v>1848</v>
      </c>
      <c r="B603" s="6">
        <v>43586</v>
      </c>
      <c r="C603" s="16" t="s">
        <v>195</v>
      </c>
      <c r="D603" s="7">
        <f>SUMIFS('DATOS PROYECCIÓN'!$F:$F,'DATOS PROYECCIÓN'!A:A,A603,'DATOS PROYECCIÓN'!B:B,B603)</f>
        <v>12773052.833333334</v>
      </c>
      <c r="E603" s="13">
        <f>VLOOKUP(A603,'DATOS GENERALES'!A:B,2,0)</f>
        <v>2.2999999999999998</v>
      </c>
      <c r="F603" s="16">
        <f t="shared" si="36"/>
        <v>2.2894199999999998</v>
      </c>
      <c r="G603" s="7">
        <f t="shared" si="37"/>
        <v>-5579165.3926904351</v>
      </c>
      <c r="H603" s="7">
        <f t="shared" si="38"/>
        <v>7193887.4406428989</v>
      </c>
      <c r="I603" s="7">
        <f>IFERROR((G603/SUMIF(B:B,B603,G:G))*VLOOKUP(B603,'DATOS GENERALES'!G:H,2,0),"")</f>
        <v>-739968.81873563235</v>
      </c>
      <c r="J603" s="7">
        <f t="shared" si="39"/>
        <v>6453918.6219072668</v>
      </c>
      <c r="K603" s="16"/>
      <c r="L603" s="16"/>
      <c r="M603" s="16"/>
    </row>
    <row r="604" spans="1:13" x14ac:dyDescent="0.25">
      <c r="A604" s="16">
        <v>1848</v>
      </c>
      <c r="B604" s="6">
        <v>43617</v>
      </c>
      <c r="C604" s="16" t="s">
        <v>195</v>
      </c>
      <c r="D604" s="7">
        <f>SUMIFS('DATOS PROYECCIÓN'!$F:$F,'DATOS PROYECCIÓN'!A:A,A604,'DATOS PROYECCIÓN'!B:B,B604)</f>
        <v>12773052.833333334</v>
      </c>
      <c r="E604" s="13">
        <f>VLOOKUP(A604,'DATOS GENERALES'!A:B,2,0)</f>
        <v>2.2999999999999998</v>
      </c>
      <c r="F604" s="16">
        <f t="shared" si="36"/>
        <v>2.2894199999999998</v>
      </c>
      <c r="G604" s="7">
        <f t="shared" si="37"/>
        <v>-5579165.3926904351</v>
      </c>
      <c r="H604" s="7">
        <f t="shared" si="38"/>
        <v>7193887.4406428989</v>
      </c>
      <c r="I604" s="7">
        <f>IFERROR((G604/SUMIF(B:B,B604,G:G))*VLOOKUP(B604,'DATOS GENERALES'!G:H,2,0),"")</f>
        <v>-995084.77199610649</v>
      </c>
      <c r="J604" s="7">
        <f t="shared" si="39"/>
        <v>6198802.6686467919</v>
      </c>
      <c r="K604" s="16"/>
      <c r="L604" s="16"/>
      <c r="M604" s="16"/>
    </row>
    <row r="605" spans="1:13" x14ac:dyDescent="0.25">
      <c r="A605" s="16">
        <v>1848</v>
      </c>
      <c r="B605" s="6">
        <v>43647</v>
      </c>
      <c r="C605" s="16" t="s">
        <v>195</v>
      </c>
      <c r="D605" s="7">
        <f>SUMIFS('DATOS PROYECCIÓN'!$F:$F,'DATOS PROYECCIÓN'!A:A,A605,'DATOS PROYECCIÓN'!B:B,B605)</f>
        <v>12773052.833333334</v>
      </c>
      <c r="E605" s="13">
        <f>VLOOKUP(A605,'DATOS GENERALES'!A:B,2,0)</f>
        <v>2.2999999999999998</v>
      </c>
      <c r="F605" s="16">
        <f t="shared" si="36"/>
        <v>2.2894199999999998</v>
      </c>
      <c r="G605" s="7">
        <f t="shared" si="37"/>
        <v>-5579165.3926904351</v>
      </c>
      <c r="H605" s="7">
        <f t="shared" si="38"/>
        <v>7193887.4406428989</v>
      </c>
      <c r="I605" s="7">
        <f>IFERROR((G605/SUMIF(B:B,B605,G:G))*VLOOKUP(B605,'DATOS GENERALES'!G:H,2,0),"")</f>
        <v>-1483964.9692902465</v>
      </c>
      <c r="J605" s="7">
        <f t="shared" si="39"/>
        <v>5709922.4713526526</v>
      </c>
      <c r="K605" s="16"/>
      <c r="L605" s="16"/>
      <c r="M605" s="16"/>
    </row>
    <row r="606" spans="1:13" x14ac:dyDescent="0.25">
      <c r="A606" s="16">
        <v>1848</v>
      </c>
      <c r="B606" s="6">
        <v>43678</v>
      </c>
      <c r="C606" s="16" t="s">
        <v>195</v>
      </c>
      <c r="D606" s="7">
        <f>SUMIFS('DATOS PROYECCIÓN'!$F:$F,'DATOS PROYECCIÓN'!A:A,A606,'DATOS PROYECCIÓN'!B:B,B606)</f>
        <v>12773052.833333334</v>
      </c>
      <c r="E606" s="13">
        <f>VLOOKUP(A606,'DATOS GENERALES'!A:B,2,0)</f>
        <v>2.2999999999999998</v>
      </c>
      <c r="F606" s="16">
        <f t="shared" si="36"/>
        <v>2.2894199999999998</v>
      </c>
      <c r="G606" s="7">
        <f t="shared" si="37"/>
        <v>-5579165.3926904351</v>
      </c>
      <c r="H606" s="7">
        <f t="shared" si="38"/>
        <v>7193887.4406428989</v>
      </c>
      <c r="I606" s="7">
        <f>IFERROR((G606/SUMIF(B:B,B606,G:G))*VLOOKUP(B606,'DATOS GENERALES'!G:H,2,0),"")</f>
        <v>-1460275.3320268269</v>
      </c>
      <c r="J606" s="7">
        <f t="shared" si="39"/>
        <v>5733612.1086160718</v>
      </c>
      <c r="K606" s="16"/>
      <c r="L606" s="16"/>
      <c r="M606" s="16"/>
    </row>
    <row r="607" spans="1:13" x14ac:dyDescent="0.25">
      <c r="A607" s="16">
        <v>1848</v>
      </c>
      <c r="B607" s="6">
        <v>43709</v>
      </c>
      <c r="C607" s="16" t="s">
        <v>195</v>
      </c>
      <c r="D607" s="7">
        <f>SUMIFS('DATOS PROYECCIÓN'!$F:$F,'DATOS PROYECCIÓN'!A:A,A607,'DATOS PROYECCIÓN'!B:B,B607)</f>
        <v>12773052.833333334</v>
      </c>
      <c r="E607" s="13">
        <f>VLOOKUP(A607,'DATOS GENERALES'!A:B,2,0)</f>
        <v>2.2999999999999998</v>
      </c>
      <c r="F607" s="16">
        <f t="shared" si="36"/>
        <v>2.2894199999999998</v>
      </c>
      <c r="G607" s="7">
        <f t="shared" si="37"/>
        <v>-5579165.3926904351</v>
      </c>
      <c r="H607" s="7">
        <f t="shared" si="38"/>
        <v>7193887.4406428989</v>
      </c>
      <c r="I607" s="7">
        <f>IFERROR((G607/SUMIF(B:B,B607,G:G))*VLOOKUP(B607,'DATOS GENERALES'!G:H,2,0),"")</f>
        <v>-1650363.821075192</v>
      </c>
      <c r="J607" s="7">
        <f t="shared" si="39"/>
        <v>5543523.6195677072</v>
      </c>
      <c r="K607" s="16"/>
      <c r="L607" s="16"/>
      <c r="M607" s="16"/>
    </row>
    <row r="608" spans="1:13" x14ac:dyDescent="0.25">
      <c r="A608" s="16">
        <v>1848</v>
      </c>
      <c r="B608" s="6">
        <v>43739</v>
      </c>
      <c r="C608" s="16" t="s">
        <v>195</v>
      </c>
      <c r="D608" s="7">
        <f>SUMIFS('DATOS PROYECCIÓN'!$F:$F,'DATOS PROYECCIÓN'!A:A,A608,'DATOS PROYECCIÓN'!B:B,B608)</f>
        <v>12773052.833333334</v>
      </c>
      <c r="E608" s="13">
        <f>VLOOKUP(A608,'DATOS GENERALES'!A:B,2,0)</f>
        <v>2.2999999999999998</v>
      </c>
      <c r="F608" s="16">
        <f t="shared" si="36"/>
        <v>2.2894199999999998</v>
      </c>
      <c r="G608" s="7">
        <f t="shared" si="37"/>
        <v>-5579165.3926904351</v>
      </c>
      <c r="H608" s="7">
        <f t="shared" si="38"/>
        <v>7193887.4406428989</v>
      </c>
      <c r="I608" s="7">
        <f>IFERROR((G608/SUMIF(B:B,B608,G:G))*VLOOKUP(B608,'DATOS GENERALES'!G:H,2,0),"")</f>
        <v>-1784698.0572539316</v>
      </c>
      <c r="J608" s="7">
        <f t="shared" si="39"/>
        <v>5409189.3833889673</v>
      </c>
      <c r="K608" s="16"/>
      <c r="L608" s="16"/>
      <c r="M608" s="16"/>
    </row>
    <row r="609" spans="1:13" x14ac:dyDescent="0.25">
      <c r="A609" s="16">
        <v>1848</v>
      </c>
      <c r="B609" s="6">
        <v>43770</v>
      </c>
      <c r="C609" s="16" t="s">
        <v>195</v>
      </c>
      <c r="D609" s="7">
        <f>SUMIFS('DATOS PROYECCIÓN'!$F:$F,'DATOS PROYECCIÓN'!A:A,A609,'DATOS PROYECCIÓN'!B:B,B609)</f>
        <v>12773052.833333334</v>
      </c>
      <c r="E609" s="13">
        <f>VLOOKUP(A609,'DATOS GENERALES'!A:B,2,0)</f>
        <v>2.2999999999999998</v>
      </c>
      <c r="F609" s="16">
        <f t="shared" si="36"/>
        <v>2.2894199999999998</v>
      </c>
      <c r="G609" s="7">
        <f t="shared" si="37"/>
        <v>-5579165.3926904351</v>
      </c>
      <c r="H609" s="7">
        <f t="shared" si="38"/>
        <v>7193887.4406428989</v>
      </c>
      <c r="I609" s="7">
        <f>IFERROR((G609/SUMIF(B:B,B609,G:G))*VLOOKUP(B609,'DATOS GENERALES'!G:H,2,0),"")</f>
        <v>-2386902.2133588782</v>
      </c>
      <c r="J609" s="7">
        <f t="shared" si="39"/>
        <v>4806985.2272840207</v>
      </c>
      <c r="K609" s="16"/>
      <c r="L609" s="16"/>
      <c r="M609" s="16"/>
    </row>
    <row r="610" spans="1:13" x14ac:dyDescent="0.25">
      <c r="A610" s="16">
        <v>1898</v>
      </c>
      <c r="B610" s="6">
        <v>43556</v>
      </c>
      <c r="C610" s="16" t="s">
        <v>195</v>
      </c>
      <c r="D610" s="7">
        <f>SUMIFS('DATOS PROYECCIÓN'!$F:$F,'DATOS PROYECCIÓN'!A:A,A610,'DATOS PROYECCIÓN'!B:B,B610)</f>
        <v>10000000</v>
      </c>
      <c r="E610" s="13">
        <f>VLOOKUP(A610,'DATOS GENERALES'!A:B,2,0)</f>
        <v>1</v>
      </c>
      <c r="F610" s="16">
        <f t="shared" si="36"/>
        <v>0.99539999999999995</v>
      </c>
      <c r="G610" s="7">
        <f t="shared" si="37"/>
        <v>-10046212.577858148</v>
      </c>
      <c r="H610" s="7">
        <f t="shared" si="38"/>
        <v>-46212.577858148143</v>
      </c>
      <c r="I610" s="7">
        <f>IFERROR((G610/SUMIF(B:B,B610,G:G))*VLOOKUP(B610,'DATOS GENERALES'!G:H,2,0),"")</f>
        <v>-1615211.5620977255</v>
      </c>
      <c r="J610" s="7">
        <f t="shared" si="39"/>
        <v>-1661424.1399558736</v>
      </c>
      <c r="K610" s="16"/>
      <c r="L610" s="16"/>
      <c r="M610" s="16"/>
    </row>
    <row r="611" spans="1:13" x14ac:dyDescent="0.25">
      <c r="A611" s="16">
        <v>1898</v>
      </c>
      <c r="B611" s="6">
        <v>43586</v>
      </c>
      <c r="C611" s="16" t="s">
        <v>195</v>
      </c>
      <c r="D611" s="7">
        <f>SUMIFS('DATOS PROYECCIÓN'!$F:$F,'DATOS PROYECCIÓN'!A:A,A611,'DATOS PROYECCIÓN'!B:B,B611)</f>
        <v>10000000</v>
      </c>
      <c r="E611" s="13">
        <f>VLOOKUP(A611,'DATOS GENERALES'!A:B,2,0)</f>
        <v>1</v>
      </c>
      <c r="F611" s="16">
        <f t="shared" si="36"/>
        <v>0.99539999999999995</v>
      </c>
      <c r="G611" s="7">
        <f t="shared" si="37"/>
        <v>-10046212.577858148</v>
      </c>
      <c r="H611" s="7">
        <f t="shared" si="38"/>
        <v>-46212.577858148143</v>
      </c>
      <c r="I611" s="7">
        <f>IFERROR((G611/SUMIF(B:B,B611,G:G))*VLOOKUP(B611,'DATOS GENERALES'!G:H,2,0),"")</f>
        <v>-1332436.5798053374</v>
      </c>
      <c r="J611" s="7">
        <f t="shared" si="39"/>
        <v>-1378649.1576634855</v>
      </c>
      <c r="K611" s="16"/>
      <c r="L611" s="16"/>
      <c r="M611" s="16"/>
    </row>
    <row r="612" spans="1:13" x14ac:dyDescent="0.25">
      <c r="A612" s="16">
        <v>1898</v>
      </c>
      <c r="B612" s="6">
        <v>43617</v>
      </c>
      <c r="C612" s="16" t="s">
        <v>195</v>
      </c>
      <c r="D612" s="7">
        <f>SUMIFS('DATOS PROYECCIÓN'!$F:$F,'DATOS PROYECCIÓN'!A:A,A612,'DATOS PROYECCIÓN'!B:B,B612)</f>
        <v>10000000</v>
      </c>
      <c r="E612" s="13">
        <f>VLOOKUP(A612,'DATOS GENERALES'!A:B,2,0)</f>
        <v>1</v>
      </c>
      <c r="F612" s="16">
        <f t="shared" si="36"/>
        <v>0.99539999999999995</v>
      </c>
      <c r="G612" s="7">
        <f t="shared" si="37"/>
        <v>-10046212.577858148</v>
      </c>
      <c r="H612" s="7">
        <f t="shared" si="38"/>
        <v>-46212.577858148143</v>
      </c>
      <c r="I612" s="7">
        <f>IFERROR((G612/SUMIF(B:B,B612,G:G))*VLOOKUP(B612,'DATOS GENERALES'!G:H,2,0),"")</f>
        <v>-1791815.1638880933</v>
      </c>
      <c r="J612" s="7">
        <f t="shared" si="39"/>
        <v>-1838027.7417462415</v>
      </c>
      <c r="K612" s="16"/>
      <c r="L612" s="16"/>
      <c r="M612" s="16"/>
    </row>
    <row r="613" spans="1:13" x14ac:dyDescent="0.25">
      <c r="A613" s="16">
        <v>1751</v>
      </c>
      <c r="B613" s="6">
        <v>43525</v>
      </c>
      <c r="C613" s="16" t="s">
        <v>195</v>
      </c>
      <c r="D613" s="7">
        <f>SUMIFS('DATOS PROYECCIÓN'!$F:$F,'DATOS PROYECCIÓN'!A:A,A613,'DATOS PROYECCIÓN'!B:B,B613)</f>
        <v>43506691.09375</v>
      </c>
      <c r="E613" s="13">
        <f>VLOOKUP(A613,'DATOS GENERALES'!A:B,2,0)</f>
        <v>2</v>
      </c>
      <c r="F613" s="16">
        <f t="shared" si="36"/>
        <v>1.9907999999999999</v>
      </c>
      <c r="G613" s="7">
        <f t="shared" si="37"/>
        <v>-21853873.364351016</v>
      </c>
      <c r="H613" s="7">
        <f t="shared" si="38"/>
        <v>21652817.729398984</v>
      </c>
      <c r="I613" s="7">
        <f>IFERROR((G613/SUMIF(B:B,B613,G:G))*VLOOKUP(B613,'DATOS GENERALES'!G:H,2,0),"")</f>
        <v>-3417673.0937543199</v>
      </c>
      <c r="J613" s="7">
        <f t="shared" si="39"/>
        <v>18235144.635644663</v>
      </c>
      <c r="K613" s="16"/>
      <c r="L613" s="16"/>
      <c r="M613" s="16"/>
    </row>
    <row r="614" spans="1:13" x14ac:dyDescent="0.25">
      <c r="A614" s="16">
        <v>1751</v>
      </c>
      <c r="B614" s="6">
        <v>43556</v>
      </c>
      <c r="C614" s="16" t="s">
        <v>195</v>
      </c>
      <c r="D614" s="7">
        <f>SUMIFS('DATOS PROYECCIÓN'!$F:$F,'DATOS PROYECCIÓN'!A:A,A614,'DATOS PROYECCIÓN'!B:B,B614)</f>
        <v>43506691.09375</v>
      </c>
      <c r="E614" s="13">
        <f>VLOOKUP(A614,'DATOS GENERALES'!A:B,2,0)</f>
        <v>2</v>
      </c>
      <c r="F614" s="16">
        <f t="shared" si="36"/>
        <v>1.9907999999999999</v>
      </c>
      <c r="G614" s="7">
        <f t="shared" si="37"/>
        <v>-21853873.364351016</v>
      </c>
      <c r="H614" s="7">
        <f t="shared" si="38"/>
        <v>21652817.729398984</v>
      </c>
      <c r="I614" s="7">
        <f>IFERROR((G614/SUMIF(B:B,B614,G:G))*VLOOKUP(B614,'DATOS GENERALES'!G:H,2,0),"")</f>
        <v>-3513625.5241619558</v>
      </c>
      <c r="J614" s="7">
        <f t="shared" si="39"/>
        <v>18139192.205237027</v>
      </c>
      <c r="K614" s="16"/>
      <c r="L614" s="16"/>
      <c r="M614" s="16"/>
    </row>
    <row r="615" spans="1:13" x14ac:dyDescent="0.25">
      <c r="A615" s="16">
        <v>1723</v>
      </c>
      <c r="B615" s="6">
        <v>43647</v>
      </c>
      <c r="C615" s="16" t="s">
        <v>195</v>
      </c>
      <c r="D615" s="7">
        <f>SUMIFS('DATOS PROYECCIÓN'!$F:$F,'DATOS PROYECCIÓN'!A:A,A615,'DATOS PROYECCIÓN'!B:B,B615)</f>
        <v>125198487.89297774</v>
      </c>
      <c r="E615" s="13">
        <f>VLOOKUP(A615,'DATOS GENERALES'!A:B,2,0)</f>
        <v>1.82</v>
      </c>
      <c r="F615" s="16">
        <f t="shared" si="36"/>
        <v>1.811628</v>
      </c>
      <c r="G615" s="7">
        <f t="shared" si="37"/>
        <v>-69108276.032926038</v>
      </c>
      <c r="H615" s="7">
        <f t="shared" si="38"/>
        <v>56090211.860051706</v>
      </c>
      <c r="I615" s="7">
        <f>IFERROR((G615/SUMIF(B:B,B615,G:G))*VLOOKUP(B615,'DATOS GENERALES'!G:H,2,0),"")</f>
        <v>-18381649.136135098</v>
      </c>
      <c r="J615" s="7">
        <f t="shared" si="39"/>
        <v>37708562.723916605</v>
      </c>
      <c r="K615" s="16"/>
      <c r="L615" s="16"/>
      <c r="M615" s="16"/>
    </row>
    <row r="616" spans="1:13" x14ac:dyDescent="0.25">
      <c r="A616" s="16">
        <v>1723</v>
      </c>
      <c r="B616" s="6">
        <v>43678</v>
      </c>
      <c r="C616" s="16" t="s">
        <v>195</v>
      </c>
      <c r="D616" s="7">
        <f>SUMIFS('DATOS PROYECCIÓN'!$F:$F,'DATOS PROYECCIÓN'!A:A,A616,'DATOS PROYECCIÓN'!B:B,B616)</f>
        <v>125198487.89297774</v>
      </c>
      <c r="E616" s="13">
        <f>VLOOKUP(A616,'DATOS GENERALES'!A:B,2,0)</f>
        <v>1.82</v>
      </c>
      <c r="F616" s="16">
        <f t="shared" si="36"/>
        <v>1.811628</v>
      </c>
      <c r="G616" s="7">
        <f t="shared" si="37"/>
        <v>-69108276.032926038</v>
      </c>
      <c r="H616" s="7">
        <f t="shared" si="38"/>
        <v>56090211.860051706</v>
      </c>
      <c r="I616" s="7">
        <f>IFERROR((G616/SUMIF(B:B,B616,G:G))*VLOOKUP(B616,'DATOS GENERALES'!G:H,2,0),"")</f>
        <v>-18088209.190213218</v>
      </c>
      <c r="J616" s="7">
        <f t="shared" si="39"/>
        <v>38002002.669838488</v>
      </c>
      <c r="K616" s="16"/>
      <c r="L616" s="16"/>
      <c r="M616" s="16"/>
    </row>
    <row r="617" spans="1:13" x14ac:dyDescent="0.25">
      <c r="A617" s="16">
        <v>1723</v>
      </c>
      <c r="B617" s="6">
        <v>43709</v>
      </c>
      <c r="C617" s="16" t="s">
        <v>195</v>
      </c>
      <c r="D617" s="7">
        <f>SUMIFS('DATOS PROYECCIÓN'!$F:$F,'DATOS PROYECCIÓN'!A:A,A617,'DATOS PROYECCIÓN'!B:B,B617)</f>
        <v>125198487.89297774</v>
      </c>
      <c r="E617" s="13">
        <f>VLOOKUP(A617,'DATOS GENERALES'!A:B,2,0)</f>
        <v>1.82</v>
      </c>
      <c r="F617" s="16">
        <f t="shared" si="36"/>
        <v>1.811628</v>
      </c>
      <c r="G617" s="7">
        <f t="shared" si="37"/>
        <v>-69108276.032926038</v>
      </c>
      <c r="H617" s="7">
        <f t="shared" si="38"/>
        <v>56090211.860051706</v>
      </c>
      <c r="I617" s="7">
        <f>IFERROR((G617/SUMIF(B:B,B617,G:G))*VLOOKUP(B617,'DATOS GENERALES'!G:H,2,0),"")</f>
        <v>-20442806.490563437</v>
      </c>
      <c r="J617" s="7">
        <f t="shared" si="39"/>
        <v>35647405.369488269</v>
      </c>
      <c r="K617" s="16"/>
      <c r="L617" s="16"/>
      <c r="M617" s="16"/>
    </row>
    <row r="618" spans="1:13" x14ac:dyDescent="0.25">
      <c r="A618" s="16">
        <v>1723</v>
      </c>
      <c r="B618" s="6">
        <v>43739</v>
      </c>
      <c r="C618" s="16" t="s">
        <v>195</v>
      </c>
      <c r="D618" s="7">
        <f>SUMIFS('DATOS PROYECCIÓN'!$F:$F,'DATOS PROYECCIÓN'!A:A,A618,'DATOS PROYECCIÓN'!B:B,B618)</f>
        <v>37851706.567977756</v>
      </c>
      <c r="E618" s="13">
        <f>VLOOKUP(A618,'DATOS GENERALES'!A:B,2,0)</f>
        <v>1.82</v>
      </c>
      <c r="F618" s="16">
        <f t="shared" si="36"/>
        <v>1.811628</v>
      </c>
      <c r="G618" s="7">
        <f t="shared" si="37"/>
        <v>-20893752.231682088</v>
      </c>
      <c r="H618" s="7">
        <f t="shared" si="38"/>
        <v>16957954.336295668</v>
      </c>
      <c r="I618" s="7">
        <f>IFERROR((G618/SUMIF(B:B,B618,G:G))*VLOOKUP(B618,'DATOS GENERALES'!G:H,2,0),"")</f>
        <v>-6683623.157234665</v>
      </c>
      <c r="J618" s="7">
        <f t="shared" si="39"/>
        <v>10274331.179061003</v>
      </c>
      <c r="K618" s="16"/>
      <c r="L618" s="16"/>
      <c r="M618" s="16"/>
    </row>
    <row r="619" spans="1:13" x14ac:dyDescent="0.25">
      <c r="A619" s="16">
        <v>1618</v>
      </c>
      <c r="B619" s="6">
        <v>43525</v>
      </c>
      <c r="C619" s="16" t="s">
        <v>195</v>
      </c>
      <c r="D619" s="7">
        <f>SUMIFS('DATOS PROYECCIÓN'!$F:$F,'DATOS PROYECCIÓN'!A:A,A619,'DATOS PROYECCIÓN'!B:B,B619)</f>
        <v>13267655.116172869</v>
      </c>
      <c r="E619" s="13">
        <f>VLOOKUP(A619,'DATOS GENERALES'!A:B,2,0)</f>
        <v>1.97</v>
      </c>
      <c r="F619" s="16">
        <f t="shared" si="36"/>
        <v>1.9609379999999998</v>
      </c>
      <c r="G619" s="7">
        <f t="shared" si="37"/>
        <v>-6765973.7922223294</v>
      </c>
      <c r="H619" s="7">
        <f t="shared" si="38"/>
        <v>6501681.3239505393</v>
      </c>
      <c r="I619" s="7">
        <f>IFERROR((G619/SUMIF(B:B,B619,G:G))*VLOOKUP(B619,'DATOS GENERALES'!G:H,2,0),"")</f>
        <v>-1058113.872868222</v>
      </c>
      <c r="J619" s="7">
        <f t="shared" si="39"/>
        <v>5443567.4510823172</v>
      </c>
      <c r="K619" s="16"/>
      <c r="L619" s="16"/>
      <c r="M619" s="16"/>
    </row>
    <row r="620" spans="1:13" x14ac:dyDescent="0.25">
      <c r="A620" s="16">
        <v>1618</v>
      </c>
      <c r="B620" s="6">
        <v>43556</v>
      </c>
      <c r="C620" s="16" t="s">
        <v>195</v>
      </c>
      <c r="D620" s="7">
        <f>SUMIFS('DATOS PROYECCIÓN'!$F:$F,'DATOS PROYECCIÓN'!A:A,A620,'DATOS PROYECCIÓN'!B:B,B620)</f>
        <v>13267655.116172869</v>
      </c>
      <c r="E620" s="13">
        <f>VLOOKUP(A620,'DATOS GENERALES'!A:B,2,0)</f>
        <v>1.97</v>
      </c>
      <c r="F620" s="16">
        <f t="shared" si="36"/>
        <v>1.9609379999999998</v>
      </c>
      <c r="G620" s="7">
        <f t="shared" si="37"/>
        <v>-6765973.7922223294</v>
      </c>
      <c r="H620" s="7">
        <f t="shared" si="38"/>
        <v>6501681.3239505393</v>
      </c>
      <c r="I620" s="7">
        <f>IFERROR((G620/SUMIF(B:B,B620,G:G))*VLOOKUP(B620,'DATOS GENERALES'!G:H,2,0),"")</f>
        <v>-1087820.8094196678</v>
      </c>
      <c r="J620" s="7">
        <f t="shared" si="39"/>
        <v>5413860.5145308711</v>
      </c>
      <c r="K620" s="16"/>
      <c r="L620" s="16"/>
      <c r="M620" s="16"/>
    </row>
    <row r="621" spans="1:13" x14ac:dyDescent="0.25">
      <c r="A621" s="16">
        <v>1689</v>
      </c>
      <c r="B621" s="6">
        <v>43800</v>
      </c>
      <c r="C621" s="16" t="s">
        <v>195</v>
      </c>
      <c r="D621" s="7">
        <f>SUMIFS('DATOS PROYECCIÓN'!$F:$F,'DATOS PROYECCIÓN'!A:A,A621,'DATOS PROYECCIÓN'!B:B,B621)</f>
        <v>13258047.600000001</v>
      </c>
      <c r="E621" s="13">
        <f>VLOOKUP(A621,'DATOS GENERALES'!A:B,2,0)</f>
        <v>2.11</v>
      </c>
      <c r="F621" s="16">
        <f t="shared" si="36"/>
        <v>2.1002939999999999</v>
      </c>
      <c r="G621" s="7">
        <f t="shared" si="37"/>
        <v>-6312472.2538844571</v>
      </c>
      <c r="H621" s="7">
        <f t="shared" si="38"/>
        <v>6945575.3461155444</v>
      </c>
      <c r="I621" s="7">
        <f>IFERROR((G621/SUMIF(B:B,B621,G:G))*VLOOKUP(B621,'DATOS GENERALES'!G:H,2,0),"")</f>
        <v>-2273895.293171261</v>
      </c>
      <c r="J621" s="7">
        <f t="shared" si="39"/>
        <v>4671680.0529442839</v>
      </c>
      <c r="K621" s="16"/>
      <c r="L621" s="16"/>
      <c r="M621" s="16"/>
    </row>
    <row r="622" spans="1:13" x14ac:dyDescent="0.25">
      <c r="A622" s="16">
        <v>1715</v>
      </c>
      <c r="B622" s="6">
        <v>43556</v>
      </c>
      <c r="C622" s="16" t="s">
        <v>195</v>
      </c>
      <c r="D622" s="7">
        <f>SUMIFS('DATOS PROYECCIÓN'!$F:$F,'DATOS PROYECCIÓN'!A:A,A622,'DATOS PROYECCIÓN'!B:B,B622)</f>
        <v>55849596.75</v>
      </c>
      <c r="E622" s="13">
        <f>VLOOKUP(A622,'DATOS GENERALES'!A:B,2,0)</f>
        <v>1.93</v>
      </c>
      <c r="F622" s="16">
        <f t="shared" si="36"/>
        <v>1.9211219999999998</v>
      </c>
      <c r="G622" s="7">
        <f t="shared" si="37"/>
        <v>-29071343.074515834</v>
      </c>
      <c r="H622" s="7">
        <f t="shared" si="38"/>
        <v>26778253.675484166</v>
      </c>
      <c r="I622" s="7">
        <f>IFERROR((G622/SUMIF(B:B,B622,G:G))*VLOOKUP(B622,'DATOS GENERALES'!G:H,2,0),"")</f>
        <v>-4674037.0160153136</v>
      </c>
      <c r="J622" s="7">
        <f t="shared" si="39"/>
        <v>22104216.659468852</v>
      </c>
      <c r="K622" s="16"/>
      <c r="L622" s="16"/>
      <c r="M622" s="16"/>
    </row>
    <row r="623" spans="1:13" x14ac:dyDescent="0.25">
      <c r="A623" s="16">
        <v>1751</v>
      </c>
      <c r="B623" s="6">
        <v>43586</v>
      </c>
      <c r="C623" s="16" t="s">
        <v>195</v>
      </c>
      <c r="D623" s="7">
        <f>SUMIFS('DATOS PROYECCIÓN'!$F:$F,'DATOS PROYECCIÓN'!A:A,A623,'DATOS PROYECCIÓN'!B:B,B623)</f>
        <v>15500000</v>
      </c>
      <c r="E623" s="13">
        <f>VLOOKUP(A623,'DATOS GENERALES'!A:B,2,0)</f>
        <v>2</v>
      </c>
      <c r="F623" s="16">
        <f t="shared" si="36"/>
        <v>1.9907999999999999</v>
      </c>
      <c r="G623" s="7">
        <f t="shared" si="37"/>
        <v>-7785814.7478400646</v>
      </c>
      <c r="H623" s="7">
        <f t="shared" si="38"/>
        <v>7714185.2521599354</v>
      </c>
      <c r="I623" s="7">
        <f>IFERROR((G623/SUMIF(B:B,B623,G:G))*VLOOKUP(B623,'DATOS GENERALES'!G:H,2,0),"")</f>
        <v>-1032638.3493491366</v>
      </c>
      <c r="J623" s="7">
        <f t="shared" si="39"/>
        <v>6681546.902810799</v>
      </c>
      <c r="K623" s="16"/>
      <c r="L623" s="16"/>
      <c r="M623" s="16"/>
    </row>
    <row r="624" spans="1:13" x14ac:dyDescent="0.25">
      <c r="A624" s="16">
        <v>1756</v>
      </c>
      <c r="B624" s="6">
        <v>43617</v>
      </c>
      <c r="C624" s="16" t="s">
        <v>195</v>
      </c>
      <c r="D624" s="7">
        <f>SUMIFS('DATOS PROYECCIÓN'!$F:$F,'DATOS PROYECCIÓN'!A:A,A624,'DATOS PROYECCIÓN'!B:B,B624)</f>
        <v>62778573</v>
      </c>
      <c r="E624" s="13">
        <f>VLOOKUP(A624,'DATOS GENERALES'!A:B,2,0)</f>
        <v>1.72</v>
      </c>
      <c r="F624" s="16">
        <f t="shared" si="36"/>
        <v>1.7120879999999998</v>
      </c>
      <c r="G624" s="7">
        <f t="shared" si="37"/>
        <v>-36667842.423987553</v>
      </c>
      <c r="H624" s="7">
        <f t="shared" si="38"/>
        <v>26110730.576012447</v>
      </c>
      <c r="I624" s="7">
        <f>IFERROR((G624/SUMIF(B:B,B624,G:G))*VLOOKUP(B624,'DATOS GENERALES'!G:H,2,0),"")</f>
        <v>-6539976.6900381185</v>
      </c>
      <c r="J624" s="7">
        <f t="shared" si="39"/>
        <v>19570753.885974329</v>
      </c>
      <c r="K624" s="16"/>
      <c r="L624" s="16"/>
      <c r="M624" s="16"/>
    </row>
    <row r="625" spans="1:13" x14ac:dyDescent="0.25">
      <c r="A625" s="16">
        <v>1756</v>
      </c>
      <c r="B625" s="6">
        <v>43647</v>
      </c>
      <c r="C625" s="16" t="s">
        <v>195</v>
      </c>
      <c r="D625" s="7">
        <f>SUMIFS('DATOS PROYECCIÓN'!$F:$F,'DATOS PROYECCIÓN'!A:A,A625,'DATOS PROYECCIÓN'!B:B,B625)</f>
        <v>62778573</v>
      </c>
      <c r="E625" s="13">
        <f>VLOOKUP(A625,'DATOS GENERALES'!A:B,2,0)</f>
        <v>1.72</v>
      </c>
      <c r="F625" s="16">
        <f t="shared" si="36"/>
        <v>1.7120879999999998</v>
      </c>
      <c r="G625" s="7">
        <f t="shared" si="37"/>
        <v>-36667842.423987553</v>
      </c>
      <c r="H625" s="7">
        <f t="shared" si="38"/>
        <v>26110730.576012447</v>
      </c>
      <c r="I625" s="7">
        <f>IFERROR((G625/SUMIF(B:B,B625,G:G))*VLOOKUP(B625,'DATOS GENERALES'!G:H,2,0),"")</f>
        <v>-9753034.6972582545</v>
      </c>
      <c r="J625" s="7">
        <f t="shared" si="39"/>
        <v>16357695.878754193</v>
      </c>
      <c r="K625" s="16"/>
      <c r="L625" s="16"/>
      <c r="M625" s="16"/>
    </row>
    <row r="626" spans="1:13" x14ac:dyDescent="0.25">
      <c r="A626" s="16">
        <v>1756</v>
      </c>
      <c r="B626" s="6">
        <v>43678</v>
      </c>
      <c r="C626" s="16" t="s">
        <v>195</v>
      </c>
      <c r="D626" s="7">
        <f>SUMIFS('DATOS PROYECCIÓN'!$F:$F,'DATOS PROYECCIÓN'!A:A,A626,'DATOS PROYECCIÓN'!B:B,B626)</f>
        <v>62778573</v>
      </c>
      <c r="E626" s="13">
        <f>VLOOKUP(A626,'DATOS GENERALES'!A:B,2,0)</f>
        <v>1.72</v>
      </c>
      <c r="F626" s="16">
        <f t="shared" si="36"/>
        <v>1.7120879999999998</v>
      </c>
      <c r="G626" s="7">
        <f t="shared" si="37"/>
        <v>-36667842.423987553</v>
      </c>
      <c r="H626" s="7">
        <f t="shared" si="38"/>
        <v>26110730.576012447</v>
      </c>
      <c r="I626" s="7">
        <f>IFERROR((G626/SUMIF(B:B,B626,G:G))*VLOOKUP(B626,'DATOS GENERALES'!G:H,2,0),"")</f>
        <v>-9597339.7455734443</v>
      </c>
      <c r="J626" s="7">
        <f t="shared" si="39"/>
        <v>16513390.830439003</v>
      </c>
      <c r="K626" s="16"/>
      <c r="L626" s="16"/>
      <c r="M626" s="16"/>
    </row>
    <row r="627" spans="1:13" x14ac:dyDescent="0.25">
      <c r="A627" s="16">
        <v>1756</v>
      </c>
      <c r="B627" s="6">
        <v>43709</v>
      </c>
      <c r="C627" s="16" t="s">
        <v>195</v>
      </c>
      <c r="D627" s="7">
        <f>SUMIFS('DATOS PROYECCIÓN'!$F:$F,'DATOS PROYECCIÓN'!A:A,A627,'DATOS PROYECCIÓN'!B:B,B627)</f>
        <v>62778573</v>
      </c>
      <c r="E627" s="13">
        <f>VLOOKUP(A627,'DATOS GENERALES'!A:B,2,0)</f>
        <v>1.72</v>
      </c>
      <c r="F627" s="16">
        <f t="shared" si="36"/>
        <v>1.7120879999999998</v>
      </c>
      <c r="G627" s="7">
        <f t="shared" si="37"/>
        <v>-36667842.423987553</v>
      </c>
      <c r="H627" s="7">
        <f t="shared" si="38"/>
        <v>26110730.576012447</v>
      </c>
      <c r="I627" s="7">
        <f>IFERROR((G627/SUMIF(B:B,B627,G:G))*VLOOKUP(B627,'DATOS GENERALES'!G:H,2,0),"")</f>
        <v>-10846654.70084817</v>
      </c>
      <c r="J627" s="7">
        <f t="shared" si="39"/>
        <v>15264075.875164278</v>
      </c>
      <c r="K627" s="16"/>
      <c r="L627" s="16"/>
      <c r="M627" s="16"/>
    </row>
    <row r="628" spans="1:13" x14ac:dyDescent="0.25">
      <c r="A628" s="16">
        <v>1804</v>
      </c>
      <c r="B628" s="6">
        <v>43497</v>
      </c>
      <c r="C628" s="16" t="s">
        <v>195</v>
      </c>
      <c r="D628" s="7">
        <f>SUMIFS('DATOS PROYECCIÓN'!$F:$F,'DATOS PROYECCIÓN'!A:A,A628,'DATOS PROYECCIÓN'!B:B,B628)</f>
        <v>29813870</v>
      </c>
      <c r="E628" s="13">
        <f>VLOOKUP(A628,'DATOS GENERALES'!A:B,2,0)</f>
        <v>2.27</v>
      </c>
      <c r="F628" s="16">
        <f t="shared" si="36"/>
        <v>2.2595579999999997</v>
      </c>
      <c r="G628" s="7">
        <f t="shared" si="37"/>
        <v>-13194558.404785363</v>
      </c>
      <c r="H628" s="7">
        <f t="shared" si="38"/>
        <v>16619311.595214637</v>
      </c>
      <c r="I628" s="7">
        <f>IFERROR((G628/SUMIF(B:B,B628,G:G))*VLOOKUP(B628,'DATOS GENERALES'!G:H,2,0),"")</f>
        <v>-2852107.3426548219</v>
      </c>
      <c r="J628" s="7">
        <f t="shared" si="39"/>
        <v>13767204.252559815</v>
      </c>
      <c r="K628" s="16"/>
      <c r="L628" s="16"/>
      <c r="M628" s="16"/>
    </row>
    <row r="629" spans="1:13" x14ac:dyDescent="0.25">
      <c r="A629" s="16">
        <v>1804</v>
      </c>
      <c r="B629" s="6">
        <v>43525</v>
      </c>
      <c r="C629" s="16" t="s">
        <v>195</v>
      </c>
      <c r="D629" s="7">
        <f>SUMIFS('DATOS PROYECCIÓN'!$F:$F,'DATOS PROYECCIÓN'!A:A,A629,'DATOS PROYECCIÓN'!B:B,B629)</f>
        <v>29813870</v>
      </c>
      <c r="E629" s="13">
        <f>VLOOKUP(A629,'DATOS GENERALES'!A:B,2,0)</f>
        <v>2.27</v>
      </c>
      <c r="F629" s="16">
        <f t="shared" si="36"/>
        <v>2.2595579999999997</v>
      </c>
      <c r="G629" s="7">
        <f t="shared" si="37"/>
        <v>-13194558.404785363</v>
      </c>
      <c r="H629" s="7">
        <f t="shared" si="38"/>
        <v>16619311.595214637</v>
      </c>
      <c r="I629" s="7">
        <f>IFERROR((G629/SUMIF(B:B,B629,G:G))*VLOOKUP(B629,'DATOS GENERALES'!G:H,2,0),"")</f>
        <v>-2063464.288100308</v>
      </c>
      <c r="J629" s="7">
        <f t="shared" si="39"/>
        <v>14555847.307114329</v>
      </c>
      <c r="K629" s="16"/>
      <c r="L629" s="16"/>
      <c r="M629" s="16"/>
    </row>
    <row r="630" spans="1:13" x14ac:dyDescent="0.25">
      <c r="A630" s="16">
        <v>1813</v>
      </c>
      <c r="B630" s="6">
        <v>43586</v>
      </c>
      <c r="C630" s="16" t="s">
        <v>195</v>
      </c>
      <c r="D630" s="7">
        <f>SUMIFS('DATOS PROYECCIÓN'!$F:$F,'DATOS PROYECCIÓN'!A:A,A630,'DATOS PROYECCIÓN'!B:B,B630)</f>
        <v>126579869.80723679</v>
      </c>
      <c r="E630" s="13">
        <f>VLOOKUP(A630,'DATOS GENERALES'!A:B,2,0)</f>
        <v>2.5499999999999998</v>
      </c>
      <c r="F630" s="16">
        <f t="shared" si="36"/>
        <v>2.5382699999999998</v>
      </c>
      <c r="G630" s="7">
        <f t="shared" si="37"/>
        <v>-49868560.006318003</v>
      </c>
      <c r="H630" s="7">
        <f t="shared" si="38"/>
        <v>76711309.800918788</v>
      </c>
      <c r="I630" s="7">
        <f>IFERROR((G630/SUMIF(B:B,B630,G:G))*VLOOKUP(B630,'DATOS GENERALES'!G:H,2,0),"")</f>
        <v>-6614103.8744376274</v>
      </c>
      <c r="J630" s="7">
        <f t="shared" si="39"/>
        <v>70097205.926481158</v>
      </c>
      <c r="K630" s="16"/>
      <c r="L630" s="16"/>
      <c r="M630" s="16"/>
    </row>
    <row r="631" spans="1:13" x14ac:dyDescent="0.25">
      <c r="A631" s="16">
        <v>1700</v>
      </c>
      <c r="B631" s="6">
        <v>43617</v>
      </c>
      <c r="C631" s="16" t="s">
        <v>195</v>
      </c>
      <c r="D631" s="7">
        <f>SUMIFS('DATOS PROYECCIÓN'!$F:$F,'DATOS PROYECCIÓN'!A:A,A631,'DATOS PROYECCIÓN'!B:B,B631)</f>
        <v>161433687</v>
      </c>
      <c r="E631" s="13">
        <f>VLOOKUP(A631,'DATOS GENERALES'!A:B,2,0)</f>
        <v>0.75</v>
      </c>
      <c r="F631" s="16">
        <f t="shared" si="36"/>
        <v>0.74654999999999994</v>
      </c>
      <c r="G631" s="7">
        <f t="shared" si="37"/>
        <v>-216239618.24392205</v>
      </c>
      <c r="H631" s="7">
        <f t="shared" si="38"/>
        <v>-54805931.243922055</v>
      </c>
      <c r="I631" s="7">
        <f>IFERROR((G631/SUMIF(B:B,B631,G:G))*VLOOKUP(B631,'DATOS GENERALES'!G:H,2,0),"")</f>
        <v>-38567910.443861894</v>
      </c>
      <c r="J631" s="7">
        <f t="shared" si="39"/>
        <v>-93373841.687783957</v>
      </c>
      <c r="K631" s="16"/>
      <c r="L631" s="16"/>
      <c r="M631" s="16"/>
    </row>
    <row r="632" spans="1:13" x14ac:dyDescent="0.25">
      <c r="A632" s="16">
        <v>1700</v>
      </c>
      <c r="B632" s="6">
        <v>43556</v>
      </c>
      <c r="C632" s="16" t="s">
        <v>195</v>
      </c>
      <c r="D632" s="7">
        <f>SUMIFS('DATOS PROYECCIÓN'!$F:$F,'DATOS PROYECCIÓN'!A:A,A632,'DATOS PROYECCIÓN'!B:B,B632)</f>
        <v>113931505</v>
      </c>
      <c r="E632" s="13">
        <f>VLOOKUP(A632,'DATOS GENERALES'!A:B,2,0)</f>
        <v>0.75</v>
      </c>
      <c r="F632" s="16">
        <f t="shared" si="36"/>
        <v>0.74654999999999994</v>
      </c>
      <c r="G632" s="7">
        <f t="shared" si="37"/>
        <v>-152610682.47270781</v>
      </c>
      <c r="H632" s="7">
        <f t="shared" si="38"/>
        <v>-38679177.472707808</v>
      </c>
      <c r="I632" s="7">
        <f>IFERROR((G632/SUMIF(B:B,B632,G:G))*VLOOKUP(B632,'DATOS GENERALES'!G:H,2,0),"")</f>
        <v>-24536464.55509264</v>
      </c>
      <c r="J632" s="7">
        <f t="shared" si="39"/>
        <v>-63215642.027800448</v>
      </c>
      <c r="K632" s="16"/>
      <c r="L632" s="16"/>
      <c r="M632" s="16"/>
    </row>
    <row r="633" spans="1:13" x14ac:dyDescent="0.25">
      <c r="A633" s="16">
        <v>1700</v>
      </c>
      <c r="B633" s="6">
        <v>43586</v>
      </c>
      <c r="C633" s="16" t="s">
        <v>195</v>
      </c>
      <c r="D633" s="7">
        <f>SUMIFS('DATOS PROYECCIÓN'!$F:$F,'DATOS PROYECCIÓN'!A:A,A633,'DATOS PROYECCIÓN'!B:B,B633)</f>
        <v>886635143.78999996</v>
      </c>
      <c r="E633" s="13">
        <f>VLOOKUP(A633,'DATOS GENERALES'!A:B,2,0)</f>
        <v>0.75</v>
      </c>
      <c r="F633" s="16">
        <f t="shared" si="36"/>
        <v>0.74654999999999994</v>
      </c>
      <c r="G633" s="7">
        <f t="shared" si="37"/>
        <v>-1187643351.135222</v>
      </c>
      <c r="H633" s="7">
        <f t="shared" si="38"/>
        <v>-301008207.345222</v>
      </c>
      <c r="I633" s="7">
        <f>IFERROR((G633/SUMIF(B:B,B633,G:G))*VLOOKUP(B633,'DATOS GENERALES'!G:H,2,0),"")</f>
        <v>-157518013.13690147</v>
      </c>
      <c r="J633" s="7">
        <f t="shared" si="39"/>
        <v>-458526220.48212349</v>
      </c>
      <c r="K633" s="16"/>
      <c r="L633" s="16"/>
      <c r="M633" s="16"/>
    </row>
    <row r="634" spans="1:13" x14ac:dyDescent="0.25">
      <c r="A634" s="16">
        <v>1670</v>
      </c>
      <c r="B634" s="6">
        <v>43466</v>
      </c>
      <c r="C634" s="16" t="s">
        <v>195</v>
      </c>
      <c r="D634" s="7">
        <f>SUMIFS('DATOS PROYECCIÓN'!$F:$F,'DATOS PROYECCIÓN'!A:A,A634,'DATOS PROYECCIÓN'!B:B,B634)</f>
        <v>57276497</v>
      </c>
      <c r="E634" s="13">
        <f>VLOOKUP(A634,'DATOS GENERALES'!A:B,2,0)</f>
        <v>2.36</v>
      </c>
      <c r="F634" s="16">
        <f t="shared" si="36"/>
        <v>2.3491439999999999</v>
      </c>
      <c r="G634" s="7">
        <f t="shared" si="37"/>
        <v>-24381858.668519258</v>
      </c>
      <c r="H634" s="7">
        <f t="shared" si="38"/>
        <v>32894638.331480742</v>
      </c>
      <c r="I634" s="7">
        <f>IFERROR((G634/SUMIF(B:B,B634,G:G))*VLOOKUP(B634,'DATOS GENERALES'!G:H,2,0),"")</f>
        <v>-5349827.0714372685</v>
      </c>
      <c r="J634" s="7">
        <f t="shared" si="39"/>
        <v>27544811.260043472</v>
      </c>
      <c r="K634" s="16"/>
      <c r="L634" s="16"/>
      <c r="M634" s="16"/>
    </row>
    <row r="635" spans="1:13" x14ac:dyDescent="0.25">
      <c r="A635" s="16">
        <v>1670</v>
      </c>
      <c r="B635" s="6">
        <v>43497</v>
      </c>
      <c r="C635" s="16" t="s">
        <v>195</v>
      </c>
      <c r="D635" s="7">
        <f>SUMIFS('DATOS PROYECCIÓN'!$F:$F,'DATOS PROYECCIÓN'!A:A,A635,'DATOS PROYECCIÓN'!B:B,B635)</f>
        <v>57276497</v>
      </c>
      <c r="E635" s="13">
        <f>VLOOKUP(A635,'DATOS GENERALES'!A:B,2,0)</f>
        <v>2.36</v>
      </c>
      <c r="F635" s="16">
        <f t="shared" si="36"/>
        <v>2.3491439999999999</v>
      </c>
      <c r="G635" s="7">
        <f t="shared" si="37"/>
        <v>-24381858.668519258</v>
      </c>
      <c r="H635" s="7">
        <f t="shared" si="38"/>
        <v>32894638.331480742</v>
      </c>
      <c r="I635" s="7">
        <f>IFERROR((G635/SUMIF(B:B,B635,G:G))*VLOOKUP(B635,'DATOS GENERALES'!G:H,2,0),"")</f>
        <v>-5270330.08629038</v>
      </c>
      <c r="J635" s="7">
        <f t="shared" si="39"/>
        <v>27624308.24519036</v>
      </c>
      <c r="K635" s="16"/>
      <c r="L635" s="16"/>
      <c r="M635" s="16"/>
    </row>
    <row r="636" spans="1:13" x14ac:dyDescent="0.25">
      <c r="A636" s="16">
        <v>1670</v>
      </c>
      <c r="B636" s="6">
        <v>43525</v>
      </c>
      <c r="C636" s="16" t="s">
        <v>195</v>
      </c>
      <c r="D636" s="7">
        <f>SUMIFS('DATOS PROYECCIÓN'!$F:$F,'DATOS PROYECCIÓN'!A:A,A636,'DATOS PROYECCIÓN'!B:B,B636)</f>
        <v>57276497</v>
      </c>
      <c r="E636" s="13">
        <f>VLOOKUP(A636,'DATOS GENERALES'!A:B,2,0)</f>
        <v>2.36</v>
      </c>
      <c r="F636" s="16">
        <f t="shared" si="36"/>
        <v>2.3491439999999999</v>
      </c>
      <c r="G636" s="7">
        <f t="shared" si="37"/>
        <v>-24381858.668519258</v>
      </c>
      <c r="H636" s="7">
        <f t="shared" si="38"/>
        <v>32894638.331480742</v>
      </c>
      <c r="I636" s="7">
        <f>IFERROR((G636/SUMIF(B:B,B636,G:G))*VLOOKUP(B636,'DATOS GENERALES'!G:H,2,0),"")</f>
        <v>-3813018.4502235213</v>
      </c>
      <c r="J636" s="7">
        <f t="shared" si="39"/>
        <v>29081619.881257221</v>
      </c>
      <c r="K636" s="16"/>
      <c r="L636" s="16"/>
      <c r="M636" s="16"/>
    </row>
    <row r="637" spans="1:13" x14ac:dyDescent="0.25">
      <c r="A637" s="16">
        <v>1670</v>
      </c>
      <c r="B637" s="6">
        <v>43556</v>
      </c>
      <c r="C637" s="16" t="s">
        <v>195</v>
      </c>
      <c r="D637" s="7">
        <f>SUMIFS('DATOS PROYECCIÓN'!$F:$F,'DATOS PROYECCIÓN'!A:A,A637,'DATOS PROYECCIÓN'!B:B,B637)</f>
        <v>57276497</v>
      </c>
      <c r="E637" s="13">
        <f>VLOOKUP(A637,'DATOS GENERALES'!A:B,2,0)</f>
        <v>2.36</v>
      </c>
      <c r="F637" s="16">
        <f t="shared" si="36"/>
        <v>2.3491439999999999</v>
      </c>
      <c r="G637" s="7">
        <f t="shared" si="37"/>
        <v>-24381858.668519258</v>
      </c>
      <c r="H637" s="7">
        <f t="shared" si="38"/>
        <v>32894638.331480742</v>
      </c>
      <c r="I637" s="7">
        <f>IFERROR((G637/SUMIF(B:B,B637,G:G))*VLOOKUP(B637,'DATOS GENERALES'!G:H,2,0),"")</f>
        <v>-3920070.3470701561</v>
      </c>
      <c r="J637" s="7">
        <f t="shared" si="39"/>
        <v>28974567.984410584</v>
      </c>
      <c r="K637" s="16"/>
      <c r="L637" s="16"/>
      <c r="M637" s="16"/>
    </row>
    <row r="638" spans="1:13" x14ac:dyDescent="0.25">
      <c r="A638" s="16">
        <v>1670</v>
      </c>
      <c r="B638" s="6">
        <v>43586</v>
      </c>
      <c r="C638" s="16" t="s">
        <v>195</v>
      </c>
      <c r="D638" s="7">
        <f>SUMIFS('DATOS PROYECCIÓN'!$F:$F,'DATOS PROYECCIÓN'!A:A,A638,'DATOS PROYECCIÓN'!B:B,B638)</f>
        <v>57276497</v>
      </c>
      <c r="E638" s="13">
        <f>VLOOKUP(A638,'DATOS GENERALES'!A:B,2,0)</f>
        <v>2.36</v>
      </c>
      <c r="F638" s="16">
        <f t="shared" si="36"/>
        <v>2.3491439999999999</v>
      </c>
      <c r="G638" s="7">
        <f t="shared" si="37"/>
        <v>-24381858.668519258</v>
      </c>
      <c r="H638" s="7">
        <f t="shared" si="38"/>
        <v>32894638.331480742</v>
      </c>
      <c r="I638" s="7">
        <f>IFERROR((G638/SUMIF(B:B,B638,G:G))*VLOOKUP(B638,'DATOS GENERALES'!G:H,2,0),"")</f>
        <v>-3233783.8883860451</v>
      </c>
      <c r="J638" s="7">
        <f t="shared" si="39"/>
        <v>29660854.443094697</v>
      </c>
      <c r="K638" s="16"/>
      <c r="L638" s="16"/>
      <c r="M638" s="16"/>
    </row>
    <row r="639" spans="1:13" x14ac:dyDescent="0.25">
      <c r="A639" s="16">
        <v>1670</v>
      </c>
      <c r="B639" s="6">
        <v>43617</v>
      </c>
      <c r="C639" s="16" t="s">
        <v>195</v>
      </c>
      <c r="D639" s="7">
        <f>SUMIFS('DATOS PROYECCIÓN'!$F:$F,'DATOS PROYECCIÓN'!A:A,A639,'DATOS PROYECCIÓN'!B:B,B639)</f>
        <v>57276497</v>
      </c>
      <c r="E639" s="13">
        <f>VLOOKUP(A639,'DATOS GENERALES'!A:B,2,0)</f>
        <v>2.36</v>
      </c>
      <c r="F639" s="16">
        <f t="shared" si="36"/>
        <v>2.3491439999999999</v>
      </c>
      <c r="G639" s="7">
        <f t="shared" si="37"/>
        <v>-24381858.668519258</v>
      </c>
      <c r="H639" s="7">
        <f t="shared" si="38"/>
        <v>32894638.331480742</v>
      </c>
      <c r="I639" s="7">
        <f>IFERROR((G639/SUMIF(B:B,B639,G:G))*VLOOKUP(B639,'DATOS GENERALES'!G:H,2,0),"")</f>
        <v>-4348682.0279233437</v>
      </c>
      <c r="J639" s="7">
        <f t="shared" si="39"/>
        <v>28545956.303557396</v>
      </c>
      <c r="K639" s="16"/>
      <c r="L639" s="16"/>
      <c r="M639" s="16"/>
    </row>
    <row r="640" spans="1:13" x14ac:dyDescent="0.25">
      <c r="A640" s="16">
        <v>1670</v>
      </c>
      <c r="B640" s="6">
        <v>43647</v>
      </c>
      <c r="C640" s="16" t="s">
        <v>195</v>
      </c>
      <c r="D640" s="7">
        <f>SUMIFS('DATOS PROYECCIÓN'!$F:$F,'DATOS PROYECCIÓN'!A:A,A640,'DATOS PROYECCIÓN'!B:B,B640)</f>
        <v>57276497</v>
      </c>
      <c r="E640" s="13">
        <f>VLOOKUP(A640,'DATOS GENERALES'!A:B,2,0)</f>
        <v>2.36</v>
      </c>
      <c r="F640" s="16">
        <f t="shared" si="36"/>
        <v>2.3491439999999999</v>
      </c>
      <c r="G640" s="7">
        <f t="shared" si="37"/>
        <v>-24381858.668519258</v>
      </c>
      <c r="H640" s="7">
        <f t="shared" si="38"/>
        <v>32894638.331480742</v>
      </c>
      <c r="I640" s="7">
        <f>IFERROR((G640/SUMIF(B:B,B640,G:G))*VLOOKUP(B640,'DATOS GENERALES'!G:H,2,0),"")</f>
        <v>-6485167.8707485646</v>
      </c>
      <c r="J640" s="7">
        <f t="shared" si="39"/>
        <v>26409470.460732177</v>
      </c>
      <c r="K640" s="16"/>
      <c r="L640" s="16"/>
      <c r="M640" s="16"/>
    </row>
    <row r="641" spans="1:13" x14ac:dyDescent="0.25">
      <c r="A641" s="16">
        <v>1670</v>
      </c>
      <c r="B641" s="6">
        <v>43678</v>
      </c>
      <c r="C641" s="16" t="s">
        <v>195</v>
      </c>
      <c r="D641" s="7">
        <f>SUMIFS('DATOS PROYECCIÓN'!$F:$F,'DATOS PROYECCIÓN'!A:A,A641,'DATOS PROYECCIÓN'!B:B,B641)</f>
        <v>57276497</v>
      </c>
      <c r="E641" s="13">
        <f>VLOOKUP(A641,'DATOS GENERALES'!A:B,2,0)</f>
        <v>2.36</v>
      </c>
      <c r="F641" s="16">
        <f t="shared" si="36"/>
        <v>2.3491439999999999</v>
      </c>
      <c r="G641" s="7">
        <f t="shared" si="37"/>
        <v>-24381858.668519258</v>
      </c>
      <c r="H641" s="7">
        <f t="shared" si="38"/>
        <v>32894638.331480742</v>
      </c>
      <c r="I641" s="7">
        <f>IFERROR((G641/SUMIF(B:B,B641,G:G))*VLOOKUP(B641,'DATOS GENERALES'!G:H,2,0),"")</f>
        <v>-6381640.3093642183</v>
      </c>
      <c r="J641" s="7">
        <f t="shared" si="39"/>
        <v>26512998.022116523</v>
      </c>
      <c r="K641" s="16"/>
      <c r="L641" s="16"/>
      <c r="M641" s="16"/>
    </row>
    <row r="642" spans="1:13" x14ac:dyDescent="0.25">
      <c r="A642" s="16">
        <v>1670</v>
      </c>
      <c r="B642" s="6">
        <v>43709</v>
      </c>
      <c r="C642" s="16" t="s">
        <v>195</v>
      </c>
      <c r="D642" s="7">
        <f>SUMIFS('DATOS PROYECCIÓN'!$F:$F,'DATOS PROYECCIÓN'!A:A,A642,'DATOS PROYECCIÓN'!B:B,B642)</f>
        <v>57276497</v>
      </c>
      <c r="E642" s="13">
        <f>VLOOKUP(A642,'DATOS GENERALES'!A:B,2,0)</f>
        <v>2.36</v>
      </c>
      <c r="F642" s="16">
        <f t="shared" ref="F642:F661" si="40">E642*0.9954</f>
        <v>2.3491439999999999</v>
      </c>
      <c r="G642" s="7">
        <f t="shared" ref="G642:G661" si="41">-D642/F642</f>
        <v>-24381858.668519258</v>
      </c>
      <c r="H642" s="7">
        <f t="shared" ref="H642:H661" si="42">D642+G642</f>
        <v>32894638.331480742</v>
      </c>
      <c r="I642" s="7">
        <f>IFERROR((G642/SUMIF(B:B,B642,G:G))*VLOOKUP(B642,'DATOS GENERALES'!G:H,2,0),"")</f>
        <v>-7212357.8716293182</v>
      </c>
      <c r="J642" s="7">
        <f t="shared" si="39"/>
        <v>25682280.459851421</v>
      </c>
      <c r="K642" s="16"/>
      <c r="L642" s="16"/>
      <c r="M642" s="16"/>
    </row>
    <row r="643" spans="1:13" x14ac:dyDescent="0.25">
      <c r="A643" s="16">
        <v>1670</v>
      </c>
      <c r="B643" s="6">
        <v>43739</v>
      </c>
      <c r="C643" s="16" t="s">
        <v>195</v>
      </c>
      <c r="D643" s="7">
        <f>SUMIFS('DATOS PROYECCIÓN'!$F:$F,'DATOS PROYECCIÓN'!A:A,A643,'DATOS PROYECCIÓN'!B:B,B643)</f>
        <v>57276497</v>
      </c>
      <c r="E643" s="13">
        <f>VLOOKUP(A643,'DATOS GENERALES'!A:B,2,0)</f>
        <v>2.36</v>
      </c>
      <c r="F643" s="16">
        <f t="shared" si="40"/>
        <v>2.3491439999999999</v>
      </c>
      <c r="G643" s="7">
        <f t="shared" si="41"/>
        <v>-24381858.668519258</v>
      </c>
      <c r="H643" s="7">
        <f t="shared" si="42"/>
        <v>32894638.331480742</v>
      </c>
      <c r="I643" s="7">
        <f>IFERROR((G643/SUMIF(B:B,B643,G:G))*VLOOKUP(B643,'DATOS GENERALES'!G:H,2,0),"")</f>
        <v>-7799420.2959024347</v>
      </c>
      <c r="J643" s="7">
        <f t="shared" ref="J643:J661" si="43">IFERROR(H643+I643,"")</f>
        <v>25095218.035578307</v>
      </c>
      <c r="K643" s="16"/>
      <c r="L643" s="16"/>
      <c r="M643" s="16"/>
    </row>
    <row r="644" spans="1:13" x14ac:dyDescent="0.25">
      <c r="A644" s="16">
        <v>1670</v>
      </c>
      <c r="B644" s="6">
        <v>43770</v>
      </c>
      <c r="C644" s="16" t="s">
        <v>195</v>
      </c>
      <c r="D644" s="7">
        <f>SUMIFS('DATOS PROYECCIÓN'!$F:$F,'DATOS PROYECCIÓN'!A:A,A644,'DATOS PROYECCIÓN'!B:B,B644)</f>
        <v>57276497</v>
      </c>
      <c r="E644" s="13">
        <f>VLOOKUP(A644,'DATOS GENERALES'!A:B,2,0)</f>
        <v>2.36</v>
      </c>
      <c r="F644" s="16">
        <f t="shared" si="40"/>
        <v>2.3491439999999999</v>
      </c>
      <c r="G644" s="7">
        <f t="shared" si="41"/>
        <v>-24381858.668519258</v>
      </c>
      <c r="H644" s="7">
        <f t="shared" si="42"/>
        <v>32894638.331480742</v>
      </c>
      <c r="I644" s="7">
        <f>IFERROR((G644/SUMIF(B:B,B644,G:G))*VLOOKUP(B644,'DATOS GENERALES'!G:H,2,0),"")</f>
        <v>-10431150.23941379</v>
      </c>
      <c r="J644" s="7">
        <f t="shared" si="43"/>
        <v>22463488.092066951</v>
      </c>
      <c r="K644" s="16"/>
      <c r="L644" s="16"/>
      <c r="M644" s="16"/>
    </row>
    <row r="645" spans="1:13" x14ac:dyDescent="0.25">
      <c r="A645" s="16">
        <v>1670</v>
      </c>
      <c r="B645" s="6">
        <v>43800</v>
      </c>
      <c r="C645" s="16" t="s">
        <v>195</v>
      </c>
      <c r="D645" s="7">
        <f>SUMIFS('DATOS PROYECCIÓN'!$F:$F,'DATOS PROYECCIÓN'!A:A,A645,'DATOS PROYECCIÓN'!B:B,B645)</f>
        <v>57276497</v>
      </c>
      <c r="E645" s="13">
        <f>VLOOKUP(A645,'DATOS GENERALES'!A:B,2,0)</f>
        <v>2.36</v>
      </c>
      <c r="F645" s="16">
        <f t="shared" si="40"/>
        <v>2.3491439999999999</v>
      </c>
      <c r="G645" s="7">
        <f t="shared" si="41"/>
        <v>-24381858.668519258</v>
      </c>
      <c r="H645" s="7">
        <f t="shared" si="42"/>
        <v>32894638.331480742</v>
      </c>
      <c r="I645" s="7">
        <f>IFERROR((G645/SUMIF(B:B,B645,G:G))*VLOOKUP(B645,'DATOS GENERALES'!G:H,2,0),"")</f>
        <v>-8782897.0069525559</v>
      </c>
      <c r="J645" s="7">
        <f t="shared" si="43"/>
        <v>24111741.324528188</v>
      </c>
      <c r="K645" s="16"/>
      <c r="L645" s="16"/>
      <c r="M645" s="16"/>
    </row>
    <row r="646" spans="1:13" x14ac:dyDescent="0.25">
      <c r="A646" s="16">
        <v>1837</v>
      </c>
      <c r="B646" s="6">
        <v>43525</v>
      </c>
      <c r="C646" s="16" t="s">
        <v>195</v>
      </c>
      <c r="D646" s="7">
        <f>SUMIFS('DATOS PROYECCIÓN'!$F:$F,'DATOS PROYECCIÓN'!A:A,A646,'DATOS PROYECCIÓN'!B:B,B646)</f>
        <v>24433339.875</v>
      </c>
      <c r="E646" s="13">
        <f>VLOOKUP(A646,'DATOS GENERALES'!A:B,2,0)</f>
        <v>1.98</v>
      </c>
      <c r="F646" s="16">
        <f t="shared" si="40"/>
        <v>1.9708919999999999</v>
      </c>
      <c r="G646" s="7">
        <f t="shared" si="41"/>
        <v>-12397097.291480204</v>
      </c>
      <c r="H646" s="7">
        <f t="shared" si="42"/>
        <v>12036242.583519796</v>
      </c>
      <c r="I646" s="7">
        <f>IFERROR((G646/SUMIF(B:B,B646,G:G))*VLOOKUP(B646,'DATOS GENERALES'!G:H,2,0),"")</f>
        <v>-1938751.3209837195</v>
      </c>
      <c r="J646" s="7">
        <f t="shared" si="43"/>
        <v>10097491.262536077</v>
      </c>
      <c r="K646" s="16"/>
      <c r="L646" s="16"/>
      <c r="M646" s="16"/>
    </row>
    <row r="647" spans="1:13" x14ac:dyDescent="0.25">
      <c r="A647" s="16">
        <v>1837</v>
      </c>
      <c r="B647" s="6">
        <v>43556</v>
      </c>
      <c r="C647" s="16" t="s">
        <v>195</v>
      </c>
      <c r="D647" s="7">
        <f>SUMIFS('DATOS PROYECCIÓN'!$F:$F,'DATOS PROYECCIÓN'!A:A,A647,'DATOS PROYECCIÓN'!B:B,B647)</f>
        <v>23469243</v>
      </c>
      <c r="E647" s="13">
        <f>VLOOKUP(A647,'DATOS GENERALES'!A:B,2,0)</f>
        <v>1.98</v>
      </c>
      <c r="F647" s="16">
        <f t="shared" si="40"/>
        <v>1.9708919999999999</v>
      </c>
      <c r="G647" s="7">
        <f t="shared" si="41"/>
        <v>-11907929.506030772</v>
      </c>
      <c r="H647" s="7">
        <f t="shared" si="42"/>
        <v>11561313.493969228</v>
      </c>
      <c r="I647" s="7">
        <f>IFERROR((G647/SUMIF(B:B,B647,G:G))*VLOOKUP(B647,'DATOS GENERALES'!G:H,2,0),"")</f>
        <v>-1914534.9821859144</v>
      </c>
      <c r="J647" s="7">
        <f t="shared" si="43"/>
        <v>9646778.511783313</v>
      </c>
      <c r="K647" s="16"/>
      <c r="L647" s="16"/>
      <c r="M647" s="16"/>
    </row>
    <row r="648" spans="1:13" x14ac:dyDescent="0.25">
      <c r="A648" s="16">
        <v>1837</v>
      </c>
      <c r="B648" s="6">
        <v>43586</v>
      </c>
      <c r="C648" s="16" t="s">
        <v>195</v>
      </c>
      <c r="D648" s="7">
        <f>SUMIFS('DATOS PROYECCIÓN'!$F:$F,'DATOS PROYECCIÓN'!A:A,A648,'DATOS PROYECCIÓN'!B:B,B648)</f>
        <v>23469243</v>
      </c>
      <c r="E648" s="13">
        <f>VLOOKUP(A648,'DATOS GENERALES'!A:B,2,0)</f>
        <v>1.98</v>
      </c>
      <c r="F648" s="16">
        <f t="shared" si="40"/>
        <v>1.9708919999999999</v>
      </c>
      <c r="G648" s="7">
        <f t="shared" si="41"/>
        <v>-11907929.506030772</v>
      </c>
      <c r="H648" s="7">
        <f t="shared" si="42"/>
        <v>11561313.493969228</v>
      </c>
      <c r="I648" s="7">
        <f>IFERROR((G648/SUMIF(B:B,B648,G:G))*VLOOKUP(B648,'DATOS GENERALES'!G:H,2,0),"")</f>
        <v>-1579357.468360624</v>
      </c>
      <c r="J648" s="7">
        <f t="shared" si="43"/>
        <v>9981956.0256086048</v>
      </c>
      <c r="K648" s="16"/>
      <c r="L648" s="16"/>
      <c r="M648" s="16"/>
    </row>
    <row r="649" spans="1:13" x14ac:dyDescent="0.25">
      <c r="A649" s="16">
        <v>1837</v>
      </c>
      <c r="B649" s="6">
        <v>43617</v>
      </c>
      <c r="C649" s="16" t="s">
        <v>195</v>
      </c>
      <c r="D649" s="7">
        <f>SUMIFS('DATOS PROYECCIÓN'!$F:$F,'DATOS PROYECCIÓN'!A:A,A649,'DATOS PROYECCIÓN'!B:B,B649)</f>
        <v>23469243</v>
      </c>
      <c r="E649" s="13">
        <f>VLOOKUP(A649,'DATOS GENERALES'!A:B,2,0)</f>
        <v>1.98</v>
      </c>
      <c r="F649" s="16">
        <f t="shared" si="40"/>
        <v>1.9708919999999999</v>
      </c>
      <c r="G649" s="7">
        <f t="shared" si="41"/>
        <v>-11907929.506030772</v>
      </c>
      <c r="H649" s="7">
        <f t="shared" si="42"/>
        <v>11561313.493969228</v>
      </c>
      <c r="I649" s="7">
        <f>IFERROR((G649/SUMIF(B:B,B649,G:G))*VLOOKUP(B649,'DATOS GENERALES'!G:H,2,0),"")</f>
        <v>-2123865.9339583074</v>
      </c>
      <c r="J649" s="7">
        <f t="shared" si="43"/>
        <v>9437447.5600109212</v>
      </c>
      <c r="K649" s="16"/>
      <c r="L649" s="16"/>
      <c r="M649" s="16"/>
    </row>
    <row r="650" spans="1:13" x14ac:dyDescent="0.25">
      <c r="A650" s="16">
        <v>1706</v>
      </c>
      <c r="B650" s="6">
        <v>43617</v>
      </c>
      <c r="C650" s="16" t="s">
        <v>195</v>
      </c>
      <c r="D650" s="7">
        <f>SUMIFS('DATOS PROYECCIÓN'!$F:$F,'DATOS PROYECCIÓN'!A:A,A650,'DATOS PROYECCIÓN'!B:B,B650,'DATOS PROYECCIÓN'!C:C,C650)</f>
        <v>283865048.44304019</v>
      </c>
      <c r="E650" s="13">
        <f>VLOOKUP(A650,'DATOS GENERALES'!A:B,2,0)</f>
        <v>0.65</v>
      </c>
      <c r="F650" s="16">
        <f t="shared" si="40"/>
        <v>0.64700999999999997</v>
      </c>
      <c r="G650" s="7">
        <f t="shared" si="41"/>
        <v>-438733633.85888964</v>
      </c>
      <c r="H650" s="7">
        <f t="shared" si="42"/>
        <v>-154868585.41584945</v>
      </c>
      <c r="I650" s="7">
        <f>IFERROR((G650/SUMIF(B:B,B650,G:G))*VLOOKUP(B650,'DATOS GENERALES'!G:H,2,0),"")</f>
        <v>-78251338.19970271</v>
      </c>
      <c r="J650" s="7">
        <f t="shared" si="43"/>
        <v>-233119923.61555216</v>
      </c>
      <c r="K650" s="16"/>
      <c r="L650" s="16"/>
      <c r="M650" s="16"/>
    </row>
    <row r="651" spans="1:13" x14ac:dyDescent="0.25">
      <c r="A651" s="16">
        <v>1706</v>
      </c>
      <c r="B651" s="6">
        <v>43647</v>
      </c>
      <c r="C651" s="16" t="s">
        <v>195</v>
      </c>
      <c r="D651" s="7">
        <f>SUMIFS('DATOS PROYECCIÓN'!$F:$F,'DATOS PROYECCIÓN'!A:A,A651,'DATOS PROYECCIÓN'!B:B,B651,'DATOS PROYECCIÓN'!C:C,C651)</f>
        <v>142959743.37775993</v>
      </c>
      <c r="E651" s="13">
        <f>VLOOKUP(A651,'DATOS GENERALES'!A:B,2,0)</f>
        <v>0.65</v>
      </c>
      <c r="F651" s="16">
        <f t="shared" si="40"/>
        <v>0.64700999999999997</v>
      </c>
      <c r="G651" s="7">
        <f t="shared" si="41"/>
        <v>-220954457.23831153</v>
      </c>
      <c r="H651" s="7">
        <f t="shared" si="42"/>
        <v>-77994713.860551596</v>
      </c>
      <c r="I651" s="7">
        <f>IFERROR((G651/SUMIF(B:B,B651,G:G))*VLOOKUP(B651,'DATOS GENERALES'!G:H,2,0),"")</f>
        <v>-58770201.503575906</v>
      </c>
      <c r="J651" s="7">
        <f t="shared" si="43"/>
        <v>-136764915.36412752</v>
      </c>
      <c r="K651" s="16"/>
      <c r="L651" s="16"/>
      <c r="M651" s="16"/>
    </row>
    <row r="652" spans="1:13" x14ac:dyDescent="0.25">
      <c r="A652" s="16">
        <v>1706</v>
      </c>
      <c r="B652" s="6">
        <v>43678</v>
      </c>
      <c r="C652" s="16" t="s">
        <v>195</v>
      </c>
      <c r="D652" s="7">
        <f>SUMIFS('DATOS PROYECCIÓN'!$F:$F,'DATOS PROYECCIÓN'!A:A,A652,'DATOS PROYECCIÓN'!B:B,B652,'DATOS PROYECCIÓN'!C:C,C652)</f>
        <v>194610256.35320002</v>
      </c>
      <c r="E652" s="13">
        <f>VLOOKUP(A652,'DATOS GENERALES'!A:B,2,0)</f>
        <v>0.65</v>
      </c>
      <c r="F652" s="16">
        <f t="shared" si="40"/>
        <v>0.64700999999999997</v>
      </c>
      <c r="G652" s="7">
        <f t="shared" si="41"/>
        <v>-300784000.79318714</v>
      </c>
      <c r="H652" s="7">
        <f t="shared" si="42"/>
        <v>-106173744.43998712</v>
      </c>
      <c r="I652" s="7">
        <f>IFERROR((G652/SUMIF(B:B,B652,G:G))*VLOOKUP(B652,'DATOS GENERALES'!G:H,2,0),"")</f>
        <v>-78726373.160057992</v>
      </c>
      <c r="J652" s="7">
        <f t="shared" si="43"/>
        <v>-184900117.60004511</v>
      </c>
      <c r="K652" s="16"/>
      <c r="L652" s="16"/>
      <c r="M652" s="16"/>
    </row>
    <row r="653" spans="1:13" x14ac:dyDescent="0.25">
      <c r="A653" s="16">
        <v>1706</v>
      </c>
      <c r="B653" s="6">
        <v>43709</v>
      </c>
      <c r="C653" s="16" t="s">
        <v>195</v>
      </c>
      <c r="D653" s="7">
        <f>SUMIFS('DATOS PROYECCIÓN'!$F:$F,'DATOS PROYECCIÓN'!A:A,A653,'DATOS PROYECCIÓN'!B:B,B653,'DATOS PROYECCIÓN'!C:C,C653)</f>
        <v>184627166.86367989</v>
      </c>
      <c r="E653" s="13">
        <f>VLOOKUP(A653,'DATOS GENERALES'!A:B,2,0)</f>
        <v>0.65</v>
      </c>
      <c r="F653" s="16">
        <f t="shared" si="40"/>
        <v>0.64700999999999997</v>
      </c>
      <c r="G653" s="7">
        <f t="shared" si="41"/>
        <v>-285354425.53234088</v>
      </c>
      <c r="H653" s="7">
        <f t="shared" si="42"/>
        <v>-100727258.668661</v>
      </c>
      <c r="I653" s="7">
        <f>IFERROR((G653/SUMIF(B:B,B653,G:G))*VLOOKUP(B653,'DATOS GENERALES'!G:H,2,0),"")</f>
        <v>-84410227.504506767</v>
      </c>
      <c r="J653" s="7">
        <f t="shared" si="43"/>
        <v>-185137486.17316777</v>
      </c>
      <c r="K653" s="16"/>
      <c r="L653" s="16"/>
      <c r="M653" s="16"/>
    </row>
    <row r="654" spans="1:13" x14ac:dyDescent="0.25">
      <c r="A654" s="16">
        <v>1706</v>
      </c>
      <c r="B654" s="6">
        <v>43739</v>
      </c>
      <c r="C654" s="16" t="s">
        <v>195</v>
      </c>
      <c r="D654" s="7">
        <f>SUMIFS('DATOS PROYECCIÓN'!$F:$F,'DATOS PROYECCIÓN'!A:A,A654,'DATOS PROYECCIÓN'!B:B,B654,'DATOS PROYECCIÓN'!C:C,C654)</f>
        <v>192950650.32607999</v>
      </c>
      <c r="E654" s="13">
        <f>VLOOKUP(A654,'DATOS GENERALES'!A:B,2,0)</f>
        <v>0.65</v>
      </c>
      <c r="F654" s="16">
        <f t="shared" si="40"/>
        <v>0.64700999999999997</v>
      </c>
      <c r="G654" s="7">
        <f t="shared" si="41"/>
        <v>-298218961.57104218</v>
      </c>
      <c r="H654" s="7">
        <f t="shared" si="42"/>
        <v>-105268311.24496219</v>
      </c>
      <c r="I654" s="7">
        <f>IFERROR((G654/SUMIF(B:B,B654,G:G))*VLOOKUP(B654,'DATOS GENERALES'!G:H,2,0),"")</f>
        <v>-95396132.55585292</v>
      </c>
      <c r="J654" s="7">
        <f t="shared" si="43"/>
        <v>-200664443.80081511</v>
      </c>
      <c r="K654" s="16"/>
      <c r="L654" s="16"/>
      <c r="M654" s="16"/>
    </row>
    <row r="655" spans="1:13" x14ac:dyDescent="0.25">
      <c r="A655" s="16">
        <v>1706</v>
      </c>
      <c r="B655" s="6">
        <v>43770</v>
      </c>
      <c r="C655" s="16" t="s">
        <v>195</v>
      </c>
      <c r="D655" s="7">
        <f>SUMIFS('DATOS PROYECCIÓN'!$F:$F,'DATOS PROYECCIÓN'!A:A,A655,'DATOS PROYECCIÓN'!B:B,B655,'DATOS PROYECCIÓN'!C:C,C655)</f>
        <v>167475190.21959996</v>
      </c>
      <c r="E655" s="13">
        <f>VLOOKUP(A655,'DATOS GENERALES'!A:B,2,0)</f>
        <v>0.65</v>
      </c>
      <c r="F655" s="16">
        <f t="shared" si="40"/>
        <v>0.64700999999999997</v>
      </c>
      <c r="G655" s="7">
        <f t="shared" si="41"/>
        <v>-258844824.99435863</v>
      </c>
      <c r="H655" s="7">
        <f t="shared" si="42"/>
        <v>-91369634.774758667</v>
      </c>
      <c r="I655" s="7">
        <f>IFERROR((G655/SUMIF(B:B,B655,G:G))*VLOOKUP(B655,'DATOS GENERALES'!G:H,2,0),"")</f>
        <v>-110740091.43105668</v>
      </c>
      <c r="J655" s="7">
        <f t="shared" si="43"/>
        <v>-202109726.20581535</v>
      </c>
      <c r="K655" s="16"/>
      <c r="L655" s="16"/>
      <c r="M655" s="16"/>
    </row>
    <row r="656" spans="1:13" x14ac:dyDescent="0.25">
      <c r="A656" s="16">
        <v>1706</v>
      </c>
      <c r="B656" s="6">
        <v>43800</v>
      </c>
      <c r="C656" s="16" t="s">
        <v>195</v>
      </c>
      <c r="D656" s="7">
        <f>SUMIFS('DATOS PROYECCIÓN'!$F:$F,'DATOS PROYECCIÓN'!A:A,A656,'DATOS PROYECCIÓN'!B:B,B656,'DATOS PROYECCIÓN'!C:C,C656)</f>
        <v>205289550.99032</v>
      </c>
      <c r="E656" s="13">
        <f>VLOOKUP(A656,'DATOS GENERALES'!A:B,2,0)</f>
        <v>0.65</v>
      </c>
      <c r="F656" s="16">
        <f t="shared" si="40"/>
        <v>0.64700999999999997</v>
      </c>
      <c r="G656" s="7">
        <f t="shared" si="41"/>
        <v>-317289610.65566218</v>
      </c>
      <c r="H656" s="7">
        <f t="shared" si="42"/>
        <v>-112000059.66534218</v>
      </c>
      <c r="I656" s="7">
        <f>IFERROR((G656/SUMIF(B:B,B656,G:G))*VLOOKUP(B656,'DATOS GENERALES'!G:H,2,0),"")</f>
        <v>-114294894.80893616</v>
      </c>
      <c r="J656" s="7">
        <f t="shared" si="43"/>
        <v>-226294954.47427833</v>
      </c>
      <c r="K656" s="16"/>
      <c r="L656" s="16"/>
      <c r="M656" s="16"/>
    </row>
    <row r="657" spans="1:13" x14ac:dyDescent="0.25">
      <c r="A657" s="16">
        <v>1706</v>
      </c>
      <c r="B657" s="6">
        <v>43466</v>
      </c>
      <c r="C657" s="16" t="s">
        <v>195</v>
      </c>
      <c r="D657" s="7">
        <f>SUMIFS('DATOS PROYECCIÓN'!$F:$F,'DATOS PROYECCIÓN'!A:A,A657,'DATOS PROYECCIÓN'!B:B,B657,'DATOS PROYECCIÓN'!C:C,C657)</f>
        <v>13105734.300000001</v>
      </c>
      <c r="E657" s="13">
        <f>VLOOKUP(A657,'DATOS GENERALES'!A:B,2,0)</f>
        <v>0.65</v>
      </c>
      <c r="F657" s="16">
        <f t="shared" si="40"/>
        <v>0.64700999999999997</v>
      </c>
      <c r="G657" s="7">
        <f t="shared" si="41"/>
        <v>-20255845.041034918</v>
      </c>
      <c r="H657" s="7">
        <f t="shared" si="42"/>
        <v>-7150110.7410349175</v>
      </c>
      <c r="I657" s="7">
        <f>IFERROR((G657/SUMIF(B:B,B657,G:G))*VLOOKUP(B657,'DATOS GENERALES'!G:H,2,0),"")</f>
        <v>-4444503.9908004729</v>
      </c>
      <c r="J657" s="7">
        <f t="shared" si="43"/>
        <v>-11594614.731835391</v>
      </c>
      <c r="K657" s="16"/>
      <c r="L657" s="16"/>
      <c r="M657" s="16"/>
    </row>
    <row r="658" spans="1:13" x14ac:dyDescent="0.25">
      <c r="A658" s="16">
        <v>1706</v>
      </c>
      <c r="B658" s="6">
        <v>43497</v>
      </c>
      <c r="C658" s="16" t="s">
        <v>195</v>
      </c>
      <c r="D658" s="7">
        <f>SUMIFS('DATOS PROYECCIÓN'!$F:$F,'DATOS PROYECCIÓN'!A:A,A658,'DATOS PROYECCIÓN'!B:B,B658,'DATOS PROYECCIÓN'!C:C,C658)</f>
        <v>39691874.539999999</v>
      </c>
      <c r="E658" s="13">
        <f>VLOOKUP(A658,'DATOS GENERALES'!A:B,2,0)</f>
        <v>0.65</v>
      </c>
      <c r="F658" s="16">
        <f t="shared" si="40"/>
        <v>0.64700999999999997</v>
      </c>
      <c r="G658" s="7">
        <f t="shared" si="41"/>
        <v>-61346616.806540862</v>
      </c>
      <c r="H658" s="7">
        <f t="shared" si="42"/>
        <v>-21654742.266540863</v>
      </c>
      <c r="I658" s="7">
        <f>IFERROR((G658/SUMIF(B:B,B658,G:G))*VLOOKUP(B658,'DATOS GENERALES'!G:H,2,0),"")</f>
        <v>-13260552.636419445</v>
      </c>
      <c r="J658" s="7">
        <f t="shared" si="43"/>
        <v>-34915294.902960308</v>
      </c>
      <c r="K658" s="16"/>
      <c r="L658" s="16"/>
      <c r="M658" s="16"/>
    </row>
    <row r="659" spans="1:13" x14ac:dyDescent="0.25">
      <c r="A659" s="16">
        <v>1706</v>
      </c>
      <c r="B659" s="6">
        <v>43525</v>
      </c>
      <c r="C659" s="16" t="s">
        <v>195</v>
      </c>
      <c r="D659" s="7">
        <f>SUMIFS('DATOS PROYECCIÓN'!$F:$F,'DATOS PROYECCIÓN'!A:A,A659,'DATOS PROYECCIÓN'!B:B,B659,'DATOS PROYECCIÓN'!C:C,C659)</f>
        <v>466647576.91000003</v>
      </c>
      <c r="E659" s="13">
        <f>VLOOKUP(A659,'DATOS GENERALES'!A:B,2,0)</f>
        <v>0.65</v>
      </c>
      <c r="F659" s="16">
        <f t="shared" si="40"/>
        <v>0.64700999999999997</v>
      </c>
      <c r="G659" s="7">
        <f t="shared" si="41"/>
        <v>-721237039.47388768</v>
      </c>
      <c r="H659" s="7">
        <f t="shared" si="42"/>
        <v>-254589462.56388766</v>
      </c>
      <c r="I659" s="7">
        <f>IFERROR((G659/SUMIF(B:B,B659,G:G))*VLOOKUP(B659,'DATOS GENERALES'!G:H,2,0),"")</f>
        <v>-112792473.12057118</v>
      </c>
      <c r="J659" s="7">
        <f t="shared" si="43"/>
        <v>-367381935.68445885</v>
      </c>
      <c r="K659" s="16"/>
      <c r="L659" s="16"/>
      <c r="M659" s="16"/>
    </row>
    <row r="660" spans="1:13" x14ac:dyDescent="0.25">
      <c r="A660" s="16">
        <v>1706</v>
      </c>
      <c r="B660" s="6">
        <v>43556</v>
      </c>
      <c r="C660" s="16" t="s">
        <v>195</v>
      </c>
      <c r="D660" s="7">
        <f>SUMIFS('DATOS PROYECCIÓN'!$F:$F,'DATOS PROYECCIÓN'!A:A,A660,'DATOS PROYECCIÓN'!B:B,B660,'DATOS PROYECCIÓN'!C:C,C660)</f>
        <v>277757983.00000006</v>
      </c>
      <c r="E660" s="13">
        <f>VLOOKUP(A660,'DATOS GENERALES'!A:B,2,0)</f>
        <v>0.65</v>
      </c>
      <c r="F660" s="16">
        <f t="shared" si="40"/>
        <v>0.64700999999999997</v>
      </c>
      <c r="G660" s="7">
        <f t="shared" si="41"/>
        <v>-429294729.60232466</v>
      </c>
      <c r="H660" s="7">
        <f t="shared" si="42"/>
        <v>-151536746.6023246</v>
      </c>
      <c r="I660" s="7">
        <f>IFERROR((G660/SUMIF(B:B,B660,G:G))*VLOOKUP(B660,'DATOS GENERALES'!G:H,2,0),"")</f>
        <v>-69021216.247160539</v>
      </c>
      <c r="J660" s="7">
        <f t="shared" si="43"/>
        <v>-220557962.84948516</v>
      </c>
      <c r="K660" s="16"/>
      <c r="L660" s="16"/>
      <c r="M660" s="16"/>
    </row>
    <row r="661" spans="1:13" x14ac:dyDescent="0.25">
      <c r="A661" s="16">
        <v>1706</v>
      </c>
      <c r="B661" s="6">
        <v>43586</v>
      </c>
      <c r="C661" s="16" t="s">
        <v>195</v>
      </c>
      <c r="D661" s="7">
        <f>SUMIFS('DATOS PROYECCIÓN'!$F:$F,'DATOS PROYECCIÓN'!A:A,A661,'DATOS PROYECCIÓN'!B:B,B661,'DATOS PROYECCIÓN'!C:C,C661)</f>
        <v>193325410.73000008</v>
      </c>
      <c r="E661" s="13">
        <f>VLOOKUP(A661,'DATOS GENERALES'!A:B,2,0)</f>
        <v>0.65</v>
      </c>
      <c r="F661" s="16">
        <f t="shared" si="40"/>
        <v>0.64700999999999997</v>
      </c>
      <c r="G661" s="7">
        <f t="shared" si="41"/>
        <v>-298798180.44543374</v>
      </c>
      <c r="H661" s="7">
        <f t="shared" si="42"/>
        <v>-105472769.71543366</v>
      </c>
      <c r="I661" s="7">
        <f>IFERROR((G661/SUMIF(B:B,B661,G:G))*VLOOKUP(B661,'DATOS GENERALES'!G:H,2,0),"")</f>
        <v>-39629822.93269898</v>
      </c>
      <c r="J661" s="7">
        <f t="shared" si="43"/>
        <v>-145102592.64813262</v>
      </c>
      <c r="K661" s="16"/>
      <c r="L661" s="16"/>
      <c r="M661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Q1369"/>
  <sheetViews>
    <sheetView zoomScaleNormal="100" workbookViewId="0">
      <pane xSplit="1" ySplit="1" topLeftCell="F1355" activePane="bottomRight" state="frozen"/>
      <selection pane="topRight" activeCell="B1" sqref="B1"/>
      <selection pane="bottomLeft" activeCell="A2" sqref="A2"/>
      <selection pane="bottomRight" sqref="A1:Q1369"/>
    </sheetView>
  </sheetViews>
  <sheetFormatPr baseColWidth="10" defaultRowHeight="15" x14ac:dyDescent="0.25"/>
  <cols>
    <col min="1" max="1" width="6.5703125" style="16" bestFit="1" customWidth="1"/>
    <col min="2" max="2" width="10.5703125" style="6" bestFit="1" customWidth="1"/>
    <col min="3" max="3" width="10.5703125" style="6" customWidth="1"/>
    <col min="4" max="4" width="31.140625" style="16" bestFit="1" customWidth="1"/>
    <col min="5" max="5" width="31.140625" style="16" customWidth="1"/>
    <col min="6" max="6" width="15.7109375" style="7" bestFit="1" customWidth="1"/>
    <col min="7" max="7" width="9.7109375" style="7" bestFit="1" customWidth="1"/>
    <col min="8" max="8" width="9.28515625" style="7" bestFit="1" customWidth="1"/>
    <col min="9" max="9" width="15.140625" style="7" bestFit="1" customWidth="1"/>
    <col min="10" max="10" width="13.5703125" style="7" bestFit="1" customWidth="1"/>
    <col min="11" max="11" width="15.140625" style="7" bestFit="1" customWidth="1"/>
    <col min="12" max="14" width="15.140625" style="7" customWidth="1"/>
    <col min="15" max="15" width="9.7109375" style="16" bestFit="1" customWidth="1"/>
    <col min="16" max="16" width="11.28515625" style="16" bestFit="1" customWidth="1"/>
    <col min="17" max="17" width="11.140625" style="16" bestFit="1" customWidth="1"/>
    <col min="18" max="16384" width="11.42578125" style="16"/>
  </cols>
  <sheetData>
    <row r="1" spans="1:17" ht="75" x14ac:dyDescent="0.25">
      <c r="A1" s="1" t="s">
        <v>0</v>
      </c>
      <c r="B1" s="2" t="s">
        <v>1</v>
      </c>
      <c r="C1" s="2" t="s">
        <v>219</v>
      </c>
      <c r="D1" s="1" t="s">
        <v>196</v>
      </c>
      <c r="E1" s="1" t="s">
        <v>224</v>
      </c>
      <c r="F1" s="3" t="s">
        <v>189</v>
      </c>
      <c r="G1" s="3" t="s">
        <v>187</v>
      </c>
      <c r="H1" s="3" t="s">
        <v>188</v>
      </c>
      <c r="I1" s="3" t="s">
        <v>190</v>
      </c>
      <c r="J1" s="3" t="s">
        <v>193</v>
      </c>
      <c r="K1" s="3" t="s">
        <v>194</v>
      </c>
      <c r="L1" s="3" t="s">
        <v>211</v>
      </c>
      <c r="M1" s="3" t="s">
        <v>214</v>
      </c>
      <c r="N1" s="3" t="s">
        <v>216</v>
      </c>
      <c r="O1" s="1" t="s">
        <v>4</v>
      </c>
      <c r="P1" s="1" t="s">
        <v>5</v>
      </c>
      <c r="Q1" s="1" t="s">
        <v>6</v>
      </c>
    </row>
    <row r="2" spans="1:17" x14ac:dyDescent="0.25">
      <c r="A2" s="36">
        <v>1580</v>
      </c>
      <c r="B2" s="37">
        <v>43466</v>
      </c>
      <c r="C2" s="37">
        <v>43506.500245518575</v>
      </c>
      <c r="D2" s="36" t="s">
        <v>212</v>
      </c>
      <c r="E2" s="36"/>
      <c r="F2" s="38">
        <v>70115372.945178598</v>
      </c>
      <c r="G2" s="40">
        <f>VLOOKUP(A2,'DATOS GENERALES'!A:B,2,0)</f>
        <v>1.74</v>
      </c>
      <c r="H2" s="36">
        <f>G2*0.9954</f>
        <v>1.7319959999999999</v>
      </c>
      <c r="I2" s="38">
        <f>F2/H2</f>
        <v>40482410.435808517</v>
      </c>
      <c r="J2" s="38">
        <f>F2-I2</f>
        <v>29632962.509370081</v>
      </c>
      <c r="K2" s="38">
        <v>8882583.4900828656</v>
      </c>
      <c r="L2" s="38">
        <f>IFERROR(J2-K2,"")</f>
        <v>20750379.019287214</v>
      </c>
      <c r="M2" s="41">
        <f>VLOOKUP(INDICADORES!$B$21,'DATOS GENERALES'!$K:$M,3,0)*F2</f>
        <v>477207.07168423192</v>
      </c>
      <c r="N2" s="38">
        <f>IFERROR(L2-M2,"")</f>
        <v>20273171.947602984</v>
      </c>
      <c r="O2" s="36"/>
      <c r="P2" s="36"/>
      <c r="Q2" s="36"/>
    </row>
    <row r="3" spans="1:17" x14ac:dyDescent="0.25">
      <c r="A3" s="36">
        <v>1580</v>
      </c>
      <c r="B3" s="37">
        <v>43497</v>
      </c>
      <c r="C3" s="37">
        <v>43540.661109240456</v>
      </c>
      <c r="D3" s="36" t="s">
        <v>212</v>
      </c>
      <c r="E3" s="36"/>
      <c r="F3" s="38">
        <v>70115372.945178598</v>
      </c>
      <c r="G3" s="40">
        <f>VLOOKUP(A3,'DATOS GENERALES'!A:B,2,0)</f>
        <v>1.74</v>
      </c>
      <c r="H3" s="36">
        <f t="shared" ref="H3:H66" si="0">G3*0.9954</f>
        <v>1.7319959999999999</v>
      </c>
      <c r="I3" s="38">
        <f t="shared" ref="I3:I66" si="1">F3/H3</f>
        <v>40482410.435808517</v>
      </c>
      <c r="J3" s="38">
        <f t="shared" ref="J3:J66" si="2">F3-I3</f>
        <v>29632962.509370081</v>
      </c>
      <c r="K3" s="38">
        <v>8750590.6988490727</v>
      </c>
      <c r="L3" s="38">
        <f t="shared" ref="L3:L66" si="3">IFERROR(J3-K3,"")</f>
        <v>20882371.810521007</v>
      </c>
      <c r="M3" s="41">
        <f>VLOOKUP(INDICADORES!$B$21,'DATOS GENERALES'!$K:$M,3,0)*F3</f>
        <v>477207.07168423192</v>
      </c>
      <c r="N3" s="38">
        <f t="shared" ref="N3:N66" si="4">IFERROR(L3-M3,"")</f>
        <v>20405164.738836776</v>
      </c>
      <c r="O3" s="36"/>
      <c r="P3" s="36"/>
      <c r="Q3" s="36"/>
    </row>
    <row r="4" spans="1:17" x14ac:dyDescent="0.25">
      <c r="A4" s="36">
        <v>1580</v>
      </c>
      <c r="B4" s="37">
        <v>43525</v>
      </c>
      <c r="C4" s="37">
        <v>43610.54554049197</v>
      </c>
      <c r="D4" s="36" t="s">
        <v>212</v>
      </c>
      <c r="E4" s="36"/>
      <c r="F4" s="38">
        <v>70115372.945178598</v>
      </c>
      <c r="G4" s="40">
        <f>VLOOKUP(A4,'DATOS GENERALES'!A:B,2,0)</f>
        <v>1.74</v>
      </c>
      <c r="H4" s="36">
        <f t="shared" si="0"/>
        <v>1.7319959999999999</v>
      </c>
      <c r="I4" s="38">
        <f t="shared" si="1"/>
        <v>40482410.435808517</v>
      </c>
      <c r="J4" s="38">
        <f t="shared" si="2"/>
        <v>29632962.509370081</v>
      </c>
      <c r="K4" s="38">
        <v>6330943.8381972862</v>
      </c>
      <c r="L4" s="38">
        <f t="shared" si="3"/>
        <v>23302018.671172794</v>
      </c>
      <c r="M4" s="41">
        <f>VLOOKUP(INDICADORES!$B$21,'DATOS GENERALES'!$K:$M,3,0)*F4</f>
        <v>477207.07168423192</v>
      </c>
      <c r="N4" s="38">
        <f t="shared" si="4"/>
        <v>22824811.599488564</v>
      </c>
      <c r="O4" s="36"/>
      <c r="P4" s="36"/>
      <c r="Q4" s="36"/>
    </row>
    <row r="5" spans="1:17" x14ac:dyDescent="0.25">
      <c r="A5" s="36">
        <v>1580</v>
      </c>
      <c r="B5" s="37">
        <v>43556</v>
      </c>
      <c r="C5" s="37">
        <v>43617.056998497799</v>
      </c>
      <c r="D5" s="36" t="s">
        <v>212</v>
      </c>
      <c r="E5" s="36"/>
      <c r="F5" s="38">
        <v>74111007.329178602</v>
      </c>
      <c r="G5" s="40">
        <f>VLOOKUP(A5,'DATOS GENERALES'!A:B,2,0)</f>
        <v>1.74</v>
      </c>
      <c r="H5" s="36">
        <f t="shared" si="0"/>
        <v>1.7319959999999999</v>
      </c>
      <c r="I5" s="38">
        <f t="shared" si="1"/>
        <v>42789364.022306405</v>
      </c>
      <c r="J5" s="38">
        <f t="shared" si="2"/>
        <v>31321643.306872196</v>
      </c>
      <c r="K5" s="38">
        <v>6879595.1676320992</v>
      </c>
      <c r="L5" s="38">
        <f t="shared" si="3"/>
        <v>24442048.139240097</v>
      </c>
      <c r="M5" s="41">
        <f>VLOOKUP(INDICADORES!$B$21,'DATOS GENERALES'!$K:$M,3,0)*F5</f>
        <v>504401.46435187571</v>
      </c>
      <c r="N5" s="38">
        <f t="shared" si="4"/>
        <v>23937646.674888223</v>
      </c>
      <c r="O5" s="36"/>
      <c r="P5" s="36"/>
      <c r="Q5" s="36"/>
    </row>
    <row r="6" spans="1:17" x14ac:dyDescent="0.25">
      <c r="A6" s="36">
        <v>1580</v>
      </c>
      <c r="B6" s="37">
        <v>43586</v>
      </c>
      <c r="C6" s="37">
        <v>43644.046646688359</v>
      </c>
      <c r="D6" s="36" t="s">
        <v>212</v>
      </c>
      <c r="E6" s="36"/>
      <c r="F6" s="38">
        <v>74111007.329178602</v>
      </c>
      <c r="G6" s="40">
        <f>VLOOKUP(A6,'DATOS GENERALES'!A:B,2,0)</f>
        <v>1.74</v>
      </c>
      <c r="H6" s="36">
        <f t="shared" si="0"/>
        <v>1.7319959999999999</v>
      </c>
      <c r="I6" s="38">
        <f t="shared" si="1"/>
        <v>42789364.022306405</v>
      </c>
      <c r="J6" s="38">
        <f t="shared" si="2"/>
        <v>31321643.306872196</v>
      </c>
      <c r="K6" s="38">
        <v>5675184.8926217835</v>
      </c>
      <c r="L6" s="38">
        <f t="shared" si="3"/>
        <v>25646458.414250411</v>
      </c>
      <c r="M6" s="41">
        <f>VLOOKUP(INDICADORES!$B$21,'DATOS GENERALES'!$K:$M,3,0)*F6</f>
        <v>504401.46435187571</v>
      </c>
      <c r="N6" s="38">
        <f t="shared" si="4"/>
        <v>25142056.949898534</v>
      </c>
      <c r="O6" s="36"/>
      <c r="P6" s="36"/>
      <c r="Q6" s="36"/>
    </row>
    <row r="7" spans="1:17" x14ac:dyDescent="0.25">
      <c r="A7" s="36">
        <v>1580</v>
      </c>
      <c r="B7" s="37">
        <v>43617</v>
      </c>
      <c r="C7" s="37">
        <v>43642.662310267769</v>
      </c>
      <c r="D7" s="36" t="s">
        <v>212</v>
      </c>
      <c r="E7" s="36"/>
      <c r="F7" s="38">
        <v>74111007.329178602</v>
      </c>
      <c r="G7" s="40">
        <f>VLOOKUP(A7,'DATOS GENERALES'!A:B,2,0)</f>
        <v>1.74</v>
      </c>
      <c r="H7" s="36">
        <f t="shared" si="0"/>
        <v>1.7319959999999999</v>
      </c>
      <c r="I7" s="38">
        <f t="shared" si="1"/>
        <v>42789364.022306405</v>
      </c>
      <c r="J7" s="38">
        <f t="shared" si="2"/>
        <v>31321643.306872196</v>
      </c>
      <c r="K7" s="38">
        <v>6374375.5252148733</v>
      </c>
      <c r="L7" s="38">
        <f t="shared" si="3"/>
        <v>24947267.781657323</v>
      </c>
      <c r="M7" s="41">
        <f>VLOOKUP(INDICADORES!$B$21,'DATOS GENERALES'!$K:$M,3,0)*F7</f>
        <v>504401.46435187571</v>
      </c>
      <c r="N7" s="38">
        <f t="shared" si="4"/>
        <v>24442866.317305446</v>
      </c>
      <c r="O7" s="36"/>
      <c r="P7" s="36"/>
      <c r="Q7" s="36"/>
    </row>
    <row r="8" spans="1:17" x14ac:dyDescent="0.25">
      <c r="A8" s="36">
        <v>1580</v>
      </c>
      <c r="B8" s="37">
        <v>43647</v>
      </c>
      <c r="C8" s="37">
        <v>43689.735288327123</v>
      </c>
      <c r="D8" s="36" t="s">
        <v>212</v>
      </c>
      <c r="E8" s="36"/>
      <c r="F8" s="38">
        <v>74111007.329178602</v>
      </c>
      <c r="G8" s="40">
        <f>VLOOKUP(A8,'DATOS GENERALES'!A:B,2,0)</f>
        <v>1.74</v>
      </c>
      <c r="H8" s="36">
        <f t="shared" si="0"/>
        <v>1.7319959999999999</v>
      </c>
      <c r="I8" s="38">
        <f t="shared" si="1"/>
        <v>42789364.022306405</v>
      </c>
      <c r="J8" s="38">
        <f t="shared" si="2"/>
        <v>31321643.306872196</v>
      </c>
      <c r="K8" s="38">
        <v>11069215.900658011</v>
      </c>
      <c r="L8" s="38">
        <f t="shared" si="3"/>
        <v>20252427.406214185</v>
      </c>
      <c r="M8" s="41">
        <f>VLOOKUP(INDICADORES!$B$21,'DATOS GENERALES'!$K:$M,3,0)*F8</f>
        <v>504401.46435187571</v>
      </c>
      <c r="N8" s="38">
        <f t="shared" si="4"/>
        <v>19748025.941862307</v>
      </c>
      <c r="O8" s="36"/>
      <c r="P8" s="36"/>
      <c r="Q8" s="36"/>
    </row>
    <row r="9" spans="1:17" x14ac:dyDescent="0.25">
      <c r="A9" s="36">
        <v>1580</v>
      </c>
      <c r="B9" s="37">
        <v>43678</v>
      </c>
      <c r="C9" s="37">
        <v>43722.874186285932</v>
      </c>
      <c r="D9" s="36" t="s">
        <v>212</v>
      </c>
      <c r="E9" s="36"/>
      <c r="F9" s="38">
        <v>74111007.329178602</v>
      </c>
      <c r="G9" s="40">
        <f>VLOOKUP(A9,'DATOS GENERALES'!A:B,2,0)</f>
        <v>1.74</v>
      </c>
      <c r="H9" s="36">
        <f t="shared" si="0"/>
        <v>1.7319959999999999</v>
      </c>
      <c r="I9" s="38">
        <f t="shared" si="1"/>
        <v>42789364.022306405</v>
      </c>
      <c r="J9" s="38">
        <f t="shared" si="2"/>
        <v>31321643.306872196</v>
      </c>
      <c r="K9" s="38">
        <v>11115281.850709744</v>
      </c>
      <c r="L9" s="38">
        <f t="shared" si="3"/>
        <v>20206361.456162453</v>
      </c>
      <c r="M9" s="41">
        <f>VLOOKUP(INDICADORES!$B$21,'DATOS GENERALES'!$K:$M,3,0)*F9</f>
        <v>504401.46435187571</v>
      </c>
      <c r="N9" s="38">
        <f t="shared" si="4"/>
        <v>19701959.991810575</v>
      </c>
      <c r="O9" s="36"/>
      <c r="P9" s="36"/>
      <c r="Q9" s="36"/>
    </row>
    <row r="10" spans="1:17" x14ac:dyDescent="0.25">
      <c r="A10" s="36">
        <v>1580</v>
      </c>
      <c r="B10" s="37">
        <v>43709</v>
      </c>
      <c r="C10" s="37">
        <v>43772.583398989162</v>
      </c>
      <c r="D10" s="36" t="s">
        <v>212</v>
      </c>
      <c r="E10" s="36"/>
      <c r="F10" s="38">
        <v>74111007.329178602</v>
      </c>
      <c r="G10" s="40">
        <f>VLOOKUP(A10,'DATOS GENERALES'!A:B,2,0)</f>
        <v>1.74</v>
      </c>
      <c r="H10" s="36">
        <f t="shared" si="0"/>
        <v>1.7319959999999999</v>
      </c>
      <c r="I10" s="38">
        <f t="shared" si="1"/>
        <v>42789364.022306405</v>
      </c>
      <c r="J10" s="38">
        <f t="shared" si="2"/>
        <v>31321643.306872196</v>
      </c>
      <c r="K10" s="38">
        <v>12268617.192712884</v>
      </c>
      <c r="L10" s="38">
        <f t="shared" si="3"/>
        <v>19053026.114159312</v>
      </c>
      <c r="M10" s="41">
        <f>VLOOKUP(INDICADORES!$B$21,'DATOS GENERALES'!$K:$M,3,0)*F10</f>
        <v>504401.46435187571</v>
      </c>
      <c r="N10" s="38">
        <f t="shared" si="4"/>
        <v>18548624.649807438</v>
      </c>
      <c r="O10" s="36"/>
      <c r="P10" s="36"/>
      <c r="Q10" s="36"/>
    </row>
    <row r="11" spans="1:17" x14ac:dyDescent="0.25">
      <c r="A11" s="36">
        <v>1580</v>
      </c>
      <c r="B11" s="37">
        <v>43739</v>
      </c>
      <c r="C11" s="37">
        <v>43802.621654181057</v>
      </c>
      <c r="D11" s="36" t="s">
        <v>212</v>
      </c>
      <c r="E11" s="36"/>
      <c r="F11" s="38">
        <v>69313527.964878604</v>
      </c>
      <c r="G11" s="40">
        <f>VLOOKUP(A11,'DATOS GENERALES'!A:B,2,0)</f>
        <v>1.74</v>
      </c>
      <c r="H11" s="36">
        <f t="shared" si="0"/>
        <v>1.7319959999999999</v>
      </c>
      <c r="I11" s="38">
        <f t="shared" si="1"/>
        <v>40019450.371062413</v>
      </c>
      <c r="J11" s="38">
        <f t="shared" si="2"/>
        <v>29294077.593816191</v>
      </c>
      <c r="K11" s="38">
        <v>12452541.654586233</v>
      </c>
      <c r="L11" s="38">
        <f t="shared" si="3"/>
        <v>16841535.939229958</v>
      </c>
      <c r="M11" s="41">
        <f>VLOOKUP(INDICADORES!$B$21,'DATOS GENERALES'!$K:$M,3,0)*F11</f>
        <v>471749.69366681995</v>
      </c>
      <c r="N11" s="38">
        <f t="shared" si="4"/>
        <v>16369786.245563138</v>
      </c>
      <c r="O11" s="36"/>
      <c r="P11" s="36"/>
      <c r="Q11" s="36"/>
    </row>
    <row r="12" spans="1:17" x14ac:dyDescent="0.25">
      <c r="A12" s="36">
        <v>1580</v>
      </c>
      <c r="B12" s="37">
        <v>43770</v>
      </c>
      <c r="C12" s="37">
        <v>43819.823267149804</v>
      </c>
      <c r="D12" s="36" t="s">
        <v>212</v>
      </c>
      <c r="E12" s="36"/>
      <c r="F12" s="38">
        <v>69313527.964878604</v>
      </c>
      <c r="G12" s="40">
        <f>VLOOKUP(A12,'DATOS GENERALES'!A:B,2,0)</f>
        <v>1.74</v>
      </c>
      <c r="H12" s="36">
        <f t="shared" si="0"/>
        <v>1.7319959999999999</v>
      </c>
      <c r="I12" s="38">
        <f t="shared" si="1"/>
        <v>40019450.371062413</v>
      </c>
      <c r="J12" s="38">
        <f t="shared" si="2"/>
        <v>29294077.593816191</v>
      </c>
      <c r="K12" s="38">
        <v>16341426.624851571</v>
      </c>
      <c r="L12" s="38">
        <f t="shared" si="3"/>
        <v>12952650.96896462</v>
      </c>
      <c r="M12" s="41">
        <f>VLOOKUP(INDICADORES!$B$21,'DATOS GENERALES'!$K:$M,3,0)*F12</f>
        <v>471749.69366681995</v>
      </c>
      <c r="N12" s="38">
        <f t="shared" si="4"/>
        <v>12480901.2752978</v>
      </c>
      <c r="O12" s="36"/>
      <c r="P12" s="36"/>
      <c r="Q12" s="36"/>
    </row>
    <row r="13" spans="1:17" x14ac:dyDescent="0.25">
      <c r="A13" s="36">
        <v>1580</v>
      </c>
      <c r="B13" s="37">
        <v>43800</v>
      </c>
      <c r="C13" s="37">
        <v>43814.792723407816</v>
      </c>
      <c r="D13" s="36" t="s">
        <v>212</v>
      </c>
      <c r="E13" s="36"/>
      <c r="F13" s="38">
        <v>69313527.964878604</v>
      </c>
      <c r="G13" s="40">
        <f>VLOOKUP(A13,'DATOS GENERALES'!A:B,2,0)</f>
        <v>1.74</v>
      </c>
      <c r="H13" s="36">
        <f t="shared" si="0"/>
        <v>1.7319959999999999</v>
      </c>
      <c r="I13" s="38">
        <f t="shared" si="1"/>
        <v>40019450.371062413</v>
      </c>
      <c r="J13" s="38">
        <f t="shared" si="2"/>
        <v>29294077.593816191</v>
      </c>
      <c r="K13" s="38">
        <v>14095289.899996761</v>
      </c>
      <c r="L13" s="38">
        <f t="shared" si="3"/>
        <v>15198787.69381943</v>
      </c>
      <c r="M13" s="41">
        <f>VLOOKUP(INDICADORES!$B$21,'DATOS GENERALES'!$K:$M,3,0)*F13</f>
        <v>471749.69366681995</v>
      </c>
      <c r="N13" s="38">
        <f t="shared" si="4"/>
        <v>14727038.00015261</v>
      </c>
      <c r="O13" s="36"/>
      <c r="P13" s="36"/>
      <c r="Q13" s="36"/>
    </row>
    <row r="14" spans="1:17" x14ac:dyDescent="0.25">
      <c r="A14" s="36">
        <v>1580</v>
      </c>
      <c r="B14" s="37">
        <v>43831</v>
      </c>
      <c r="C14" s="37">
        <v>43874.352727351776</v>
      </c>
      <c r="D14" s="36" t="s">
        <v>212</v>
      </c>
      <c r="E14" s="36"/>
      <c r="F14" s="38">
        <v>65317893.580878608</v>
      </c>
      <c r="G14" s="40">
        <f>VLOOKUP(A14,'DATOS GENERALES'!A:B,2,0)</f>
        <v>1.74</v>
      </c>
      <c r="H14" s="36">
        <f t="shared" si="0"/>
        <v>1.7319959999999999</v>
      </c>
      <c r="I14" s="38">
        <f t="shared" si="1"/>
        <v>37712496.784564525</v>
      </c>
      <c r="J14" s="38">
        <f t="shared" si="2"/>
        <v>27605396.796314083</v>
      </c>
      <c r="K14" s="38" t="s">
        <v>213</v>
      </c>
      <c r="L14" s="38" t="str">
        <f t="shared" si="3"/>
        <v/>
      </c>
      <c r="M14" s="41">
        <f>VLOOKUP(INDICADORES!$B$21,'DATOS GENERALES'!$K:$M,3,0)*F14</f>
        <v>444555.30099917628</v>
      </c>
      <c r="N14" s="38" t="str">
        <f t="shared" si="4"/>
        <v/>
      </c>
      <c r="O14" s="36"/>
      <c r="P14" s="36"/>
      <c r="Q14" s="36"/>
    </row>
    <row r="15" spans="1:17" x14ac:dyDescent="0.25">
      <c r="A15" s="36">
        <v>1580</v>
      </c>
      <c r="B15" s="37">
        <v>43862</v>
      </c>
      <c r="C15" s="37">
        <v>43971.345612271019</v>
      </c>
      <c r="D15" s="36" t="s">
        <v>212</v>
      </c>
      <c r="E15" s="36"/>
      <c r="F15" s="38">
        <v>54776389.5693786</v>
      </c>
      <c r="G15" s="40">
        <f>VLOOKUP(A15,'DATOS GENERALES'!A:B,2,0)</f>
        <v>1.74</v>
      </c>
      <c r="H15" s="36">
        <f t="shared" si="0"/>
        <v>1.7319959999999999</v>
      </c>
      <c r="I15" s="38">
        <f t="shared" si="1"/>
        <v>31626164.015031561</v>
      </c>
      <c r="J15" s="38">
        <f t="shared" si="2"/>
        <v>23150225.554347038</v>
      </c>
      <c r="K15" s="38" t="s">
        <v>213</v>
      </c>
      <c r="L15" s="38" t="str">
        <f t="shared" si="3"/>
        <v/>
      </c>
      <c r="M15" s="41">
        <f>VLOOKUP(INDICADORES!$B$21,'DATOS GENERALES'!$K:$M,3,0)*F15</f>
        <v>372809.54754780827</v>
      </c>
      <c r="N15" s="38" t="str">
        <f t="shared" si="4"/>
        <v/>
      </c>
      <c r="O15" s="36"/>
      <c r="P15" s="36"/>
      <c r="Q15" s="36"/>
    </row>
    <row r="16" spans="1:17" x14ac:dyDescent="0.25">
      <c r="A16" s="36">
        <v>1588</v>
      </c>
      <c r="B16" s="37">
        <v>43466</v>
      </c>
      <c r="C16" s="37">
        <v>43500.596933420107</v>
      </c>
      <c r="D16" s="36" t="s">
        <v>212</v>
      </c>
      <c r="E16" s="36"/>
      <c r="F16" s="38">
        <v>68877916.829865009</v>
      </c>
      <c r="G16" s="40">
        <f>VLOOKUP(A16,'DATOS GENERALES'!A:B,2,0)</f>
        <v>1.49</v>
      </c>
      <c r="H16" s="36">
        <f t="shared" si="0"/>
        <v>1.4831459999999999</v>
      </c>
      <c r="I16" s="38">
        <f t="shared" si="1"/>
        <v>46440415.731064245</v>
      </c>
      <c r="J16" s="38">
        <f t="shared" si="2"/>
        <v>22437501.098800763</v>
      </c>
      <c r="K16" s="38">
        <v>10189879.150092591</v>
      </c>
      <c r="L16" s="38">
        <f t="shared" si="3"/>
        <v>12247621.948708173</v>
      </c>
      <c r="M16" s="41">
        <f>VLOOKUP(INDICADORES!$B$21,'DATOS GENERALES'!$K:$M,3,0)*F16</f>
        <v>468784.91282916517</v>
      </c>
      <c r="N16" s="38">
        <f t="shared" si="4"/>
        <v>11778837.035879008</v>
      </c>
      <c r="O16" s="36"/>
      <c r="P16" s="36"/>
      <c r="Q16" s="36"/>
    </row>
    <row r="17" spans="1:17" x14ac:dyDescent="0.25">
      <c r="A17" s="36">
        <v>1588</v>
      </c>
      <c r="B17" s="37">
        <v>43497</v>
      </c>
      <c r="C17" s="37">
        <v>43581.61964071713</v>
      </c>
      <c r="D17" s="36" t="s">
        <v>212</v>
      </c>
      <c r="E17" s="36"/>
      <c r="F17" s="38">
        <v>68877916.829865009</v>
      </c>
      <c r="G17" s="40">
        <f>VLOOKUP(A17,'DATOS GENERALES'!A:B,2,0)</f>
        <v>1.49</v>
      </c>
      <c r="H17" s="36">
        <f t="shared" si="0"/>
        <v>1.4831459999999999</v>
      </c>
      <c r="I17" s="38">
        <f t="shared" si="1"/>
        <v>46440415.731064245</v>
      </c>
      <c r="J17" s="38">
        <f t="shared" si="2"/>
        <v>22437501.098800763</v>
      </c>
      <c r="K17" s="38">
        <v>10038460.29848738</v>
      </c>
      <c r="L17" s="38">
        <f t="shared" si="3"/>
        <v>12399040.800313383</v>
      </c>
      <c r="M17" s="41">
        <f>VLOOKUP(INDICADORES!$B$21,'DATOS GENERALES'!$K:$M,3,0)*F17</f>
        <v>468784.91282916517</v>
      </c>
      <c r="N17" s="38">
        <f t="shared" si="4"/>
        <v>11930255.887484219</v>
      </c>
      <c r="O17" s="36"/>
      <c r="P17" s="36"/>
      <c r="Q17" s="36"/>
    </row>
    <row r="18" spans="1:17" x14ac:dyDescent="0.25">
      <c r="A18" s="36">
        <v>1588</v>
      </c>
      <c r="B18" s="37">
        <v>43525</v>
      </c>
      <c r="C18" s="37">
        <v>43609.465092629333</v>
      </c>
      <c r="D18" s="36" t="s">
        <v>212</v>
      </c>
      <c r="E18" s="36"/>
      <c r="F18" s="38">
        <v>68877916.829865009</v>
      </c>
      <c r="G18" s="40">
        <f>VLOOKUP(A18,'DATOS GENERALES'!A:B,2,0)</f>
        <v>1.49</v>
      </c>
      <c r="H18" s="36">
        <f t="shared" si="0"/>
        <v>1.4831459999999999</v>
      </c>
      <c r="I18" s="38">
        <f t="shared" si="1"/>
        <v>46440415.731064245</v>
      </c>
      <c r="J18" s="38">
        <f t="shared" si="2"/>
        <v>22437501.098800763</v>
      </c>
      <c r="K18" s="38">
        <v>7262701.5202591531</v>
      </c>
      <c r="L18" s="38">
        <f t="shared" si="3"/>
        <v>15174799.57854161</v>
      </c>
      <c r="M18" s="41">
        <f>VLOOKUP(INDICADORES!$B$21,'DATOS GENERALES'!$K:$M,3,0)*F18</f>
        <v>468784.91282916517</v>
      </c>
      <c r="N18" s="38">
        <f t="shared" si="4"/>
        <v>14706014.665712446</v>
      </c>
      <c r="O18" s="36"/>
      <c r="P18" s="36"/>
      <c r="Q18" s="36"/>
    </row>
    <row r="19" spans="1:17" x14ac:dyDescent="0.25">
      <c r="A19" s="36">
        <v>1596</v>
      </c>
      <c r="B19" s="37">
        <v>43466</v>
      </c>
      <c r="C19" s="37">
        <v>43529.466009058298</v>
      </c>
      <c r="D19" s="36" t="s">
        <v>212</v>
      </c>
      <c r="E19" s="36"/>
      <c r="F19" s="38">
        <v>45333415.275986843</v>
      </c>
      <c r="G19" s="40">
        <f>VLOOKUP(A19,'DATOS GENERALES'!A:B,2,0)</f>
        <v>2.4300000000000002</v>
      </c>
      <c r="H19" s="36">
        <f t="shared" si="0"/>
        <v>2.418822</v>
      </c>
      <c r="I19" s="38">
        <f t="shared" si="1"/>
        <v>18741939.372135215</v>
      </c>
      <c r="J19" s="38">
        <f t="shared" si="2"/>
        <v>26591475.903851628</v>
      </c>
      <c r="K19" s="38">
        <v>4112325.3147941511</v>
      </c>
      <c r="L19" s="38">
        <f t="shared" si="3"/>
        <v>22479150.589057475</v>
      </c>
      <c r="M19" s="41">
        <f>VLOOKUP(INDICADORES!$B$21,'DATOS GENERALES'!$K:$M,3,0)*F19</f>
        <v>308540.41623958165</v>
      </c>
      <c r="N19" s="38">
        <f t="shared" si="4"/>
        <v>22170610.172817893</v>
      </c>
      <c r="O19" s="36"/>
      <c r="P19" s="36"/>
      <c r="Q19" s="36"/>
    </row>
    <row r="20" spans="1:17" x14ac:dyDescent="0.25">
      <c r="A20" s="36">
        <v>1596</v>
      </c>
      <c r="B20" s="37">
        <v>43497</v>
      </c>
      <c r="C20" s="37">
        <v>43538.980708475239</v>
      </c>
      <c r="D20" s="36" t="s">
        <v>212</v>
      </c>
      <c r="E20" s="36"/>
      <c r="F20" s="38">
        <v>45333415.275986843</v>
      </c>
      <c r="G20" s="40">
        <f>VLOOKUP(A20,'DATOS GENERALES'!A:B,2,0)</f>
        <v>2.4300000000000002</v>
      </c>
      <c r="H20" s="36">
        <f t="shared" si="0"/>
        <v>2.418822</v>
      </c>
      <c r="I20" s="38">
        <f t="shared" si="1"/>
        <v>18741939.372135215</v>
      </c>
      <c r="J20" s="38">
        <f t="shared" si="2"/>
        <v>26591475.903851628</v>
      </c>
      <c r="K20" s="38">
        <v>4051217.2714678957</v>
      </c>
      <c r="L20" s="38">
        <f t="shared" si="3"/>
        <v>22540258.632383734</v>
      </c>
      <c r="M20" s="41">
        <f>VLOOKUP(INDICADORES!$B$21,'DATOS GENERALES'!$K:$M,3,0)*F20</f>
        <v>308540.41623958165</v>
      </c>
      <c r="N20" s="38">
        <f t="shared" si="4"/>
        <v>22231718.216144152</v>
      </c>
      <c r="O20" s="36"/>
      <c r="P20" s="36"/>
      <c r="Q20" s="36"/>
    </row>
    <row r="21" spans="1:17" x14ac:dyDescent="0.25">
      <c r="A21" s="36">
        <v>1596</v>
      </c>
      <c r="B21" s="37">
        <v>43525</v>
      </c>
      <c r="C21" s="37">
        <v>43597.126599585426</v>
      </c>
      <c r="D21" s="36" t="s">
        <v>212</v>
      </c>
      <c r="E21" s="36"/>
      <c r="F21" s="38">
        <v>45333415.275986843</v>
      </c>
      <c r="G21" s="40">
        <f>VLOOKUP(A21,'DATOS GENERALES'!A:B,2,0)</f>
        <v>2.4300000000000002</v>
      </c>
      <c r="H21" s="36">
        <f t="shared" si="0"/>
        <v>2.418822</v>
      </c>
      <c r="I21" s="38">
        <f t="shared" si="1"/>
        <v>18741939.372135215</v>
      </c>
      <c r="J21" s="38">
        <f t="shared" si="2"/>
        <v>26591475.903851628</v>
      </c>
      <c r="K21" s="38">
        <v>2931005.4491945864</v>
      </c>
      <c r="L21" s="38">
        <f t="shared" si="3"/>
        <v>23660470.454657041</v>
      </c>
      <c r="M21" s="41">
        <f>VLOOKUP(INDICADORES!$B$21,'DATOS GENERALES'!$K:$M,3,0)*F21</f>
        <v>308540.41623958165</v>
      </c>
      <c r="N21" s="38">
        <f t="shared" si="4"/>
        <v>23351930.038417459</v>
      </c>
      <c r="O21" s="36"/>
      <c r="P21" s="36"/>
      <c r="Q21" s="36"/>
    </row>
    <row r="22" spans="1:17" x14ac:dyDescent="0.25">
      <c r="A22" s="36">
        <v>1596</v>
      </c>
      <c r="B22" s="37">
        <v>43556</v>
      </c>
      <c r="C22" s="37">
        <v>43632.796090886979</v>
      </c>
      <c r="D22" s="36" t="s">
        <v>212</v>
      </c>
      <c r="E22" s="36"/>
      <c r="F22" s="38">
        <v>39811433.775986843</v>
      </c>
      <c r="G22" s="40">
        <f>VLOOKUP(A22,'DATOS GENERALES'!A:B,2,0)</f>
        <v>2.4300000000000002</v>
      </c>
      <c r="H22" s="36">
        <f t="shared" si="0"/>
        <v>2.418822</v>
      </c>
      <c r="I22" s="38">
        <f t="shared" si="1"/>
        <v>16459017.561435625</v>
      </c>
      <c r="J22" s="38">
        <f t="shared" si="2"/>
        <v>23352416.214551218</v>
      </c>
      <c r="K22" s="38">
        <v>2646250.5406856723</v>
      </c>
      <c r="L22" s="38">
        <f t="shared" si="3"/>
        <v>20706165.673865546</v>
      </c>
      <c r="M22" s="41">
        <f>VLOOKUP(INDICADORES!$B$21,'DATOS GENERALES'!$K:$M,3,0)*F22</f>
        <v>270957.66497089993</v>
      </c>
      <c r="N22" s="38">
        <f t="shared" si="4"/>
        <v>20435208.008894645</v>
      </c>
      <c r="O22" s="36"/>
      <c r="P22" s="36"/>
      <c r="Q22" s="36"/>
    </row>
    <row r="23" spans="1:17" x14ac:dyDescent="0.25">
      <c r="A23" s="36">
        <v>1596</v>
      </c>
      <c r="B23" s="37">
        <v>43586</v>
      </c>
      <c r="C23" s="37">
        <v>43636.850043209975</v>
      </c>
      <c r="D23" s="36" t="s">
        <v>212</v>
      </c>
      <c r="E23" s="36"/>
      <c r="F23" s="38">
        <v>33697792.894736841</v>
      </c>
      <c r="G23" s="40">
        <f>VLOOKUP(A23,'DATOS GENERALES'!A:B,2,0)</f>
        <v>2.4300000000000002</v>
      </c>
      <c r="H23" s="36">
        <f t="shared" si="0"/>
        <v>2.418822</v>
      </c>
      <c r="I23" s="38">
        <f t="shared" si="1"/>
        <v>13931489.334368896</v>
      </c>
      <c r="J23" s="38">
        <f t="shared" si="2"/>
        <v>19766303.560367946</v>
      </c>
      <c r="K23" s="38">
        <v>1847743.7000679735</v>
      </c>
      <c r="L23" s="38">
        <f t="shared" si="3"/>
        <v>17918559.860299971</v>
      </c>
      <c r="M23" s="41">
        <f>VLOOKUP(INDICADORES!$B$21,'DATOS GENERALES'!$K:$M,3,0)*F23</f>
        <v>229348.06439797828</v>
      </c>
      <c r="N23" s="38">
        <f t="shared" si="4"/>
        <v>17689211.795901991</v>
      </c>
      <c r="O23" s="36"/>
      <c r="P23" s="36"/>
      <c r="Q23" s="36"/>
    </row>
    <row r="24" spans="1:17" x14ac:dyDescent="0.25">
      <c r="A24" s="36">
        <v>1596</v>
      </c>
      <c r="B24" s="37">
        <v>43617</v>
      </c>
      <c r="C24" s="37">
        <v>43635.645827987813</v>
      </c>
      <c r="D24" s="36" t="s">
        <v>212</v>
      </c>
      <c r="E24" s="36"/>
      <c r="F24" s="38">
        <v>33697792.894736841</v>
      </c>
      <c r="G24" s="40">
        <f>VLOOKUP(A24,'DATOS GENERALES'!A:B,2,0)</f>
        <v>2.4300000000000002</v>
      </c>
      <c r="H24" s="36">
        <f t="shared" si="0"/>
        <v>2.418822</v>
      </c>
      <c r="I24" s="38">
        <f t="shared" si="1"/>
        <v>13931489.334368896</v>
      </c>
      <c r="J24" s="38">
        <f t="shared" si="2"/>
        <v>19766303.560367946</v>
      </c>
      <c r="K24" s="38">
        <v>2075388.2809872725</v>
      </c>
      <c r="L24" s="38">
        <f t="shared" si="3"/>
        <v>17690915.279380672</v>
      </c>
      <c r="M24" s="41">
        <f>VLOOKUP(INDICADORES!$B$21,'DATOS GENERALES'!$K:$M,3,0)*F24</f>
        <v>229348.06439797828</v>
      </c>
      <c r="N24" s="38">
        <f t="shared" si="4"/>
        <v>17461567.214982692</v>
      </c>
      <c r="O24" s="36"/>
      <c r="P24" s="36"/>
      <c r="Q24" s="36"/>
    </row>
    <row r="25" spans="1:17" x14ac:dyDescent="0.25">
      <c r="A25" s="36">
        <v>1687</v>
      </c>
      <c r="B25" s="37">
        <v>43466</v>
      </c>
      <c r="C25" s="37">
        <v>43519.351447615569</v>
      </c>
      <c r="D25" s="36" t="s">
        <v>212</v>
      </c>
      <c r="E25" s="36"/>
      <c r="F25" s="38">
        <v>71364366.272</v>
      </c>
      <c r="G25" s="40">
        <f>VLOOKUP(A25,'DATOS GENERALES'!A:B,2,0)</f>
        <v>1.71</v>
      </c>
      <c r="H25" s="36">
        <f t="shared" si="0"/>
        <v>1.7021339999999998</v>
      </c>
      <c r="I25" s="38">
        <f t="shared" si="1"/>
        <v>41926409.008926444</v>
      </c>
      <c r="J25" s="38">
        <f t="shared" si="2"/>
        <v>29437957.263073556</v>
      </c>
      <c r="K25" s="38">
        <v>9199423.2668451443</v>
      </c>
      <c r="L25" s="38">
        <f t="shared" si="3"/>
        <v>20238533.996228412</v>
      </c>
      <c r="M25" s="41">
        <f>VLOOKUP(INDICADORES!$B$21,'DATOS GENERALES'!$K:$M,3,0)*F25</f>
        <v>485707.75310414832</v>
      </c>
      <c r="N25" s="38">
        <f t="shared" si="4"/>
        <v>19752826.243124265</v>
      </c>
      <c r="O25" s="36"/>
      <c r="P25" s="36"/>
      <c r="Q25" s="36"/>
    </row>
    <row r="26" spans="1:17" x14ac:dyDescent="0.25">
      <c r="A26" s="36">
        <v>1687</v>
      </c>
      <c r="B26" s="37">
        <v>43497</v>
      </c>
      <c r="C26" s="37">
        <v>43552.831155215164</v>
      </c>
      <c r="D26" s="36" t="s">
        <v>212</v>
      </c>
      <c r="E26" s="36"/>
      <c r="F26" s="38">
        <v>39364366.272</v>
      </c>
      <c r="G26" s="40">
        <f>VLOOKUP(A26,'DATOS GENERALES'!A:B,2,0)</f>
        <v>1.71</v>
      </c>
      <c r="H26" s="36">
        <f t="shared" si="0"/>
        <v>1.7021339999999998</v>
      </c>
      <c r="I26" s="38">
        <f t="shared" si="1"/>
        <v>23126479.038665585</v>
      </c>
      <c r="J26" s="38">
        <f t="shared" si="2"/>
        <v>16237887.233334415</v>
      </c>
      <c r="K26" s="38">
        <v>4998969.9277854618</v>
      </c>
      <c r="L26" s="38">
        <f t="shared" si="3"/>
        <v>11238917.305548953</v>
      </c>
      <c r="M26" s="41">
        <f>VLOOKUP(INDICADORES!$B$21,'DATOS GENERALES'!$K:$M,3,0)*F26</f>
        <v>267914.91178481124</v>
      </c>
      <c r="N26" s="38">
        <f t="shared" si="4"/>
        <v>10971002.393764142</v>
      </c>
      <c r="O26" s="36"/>
      <c r="P26" s="36"/>
      <c r="Q26" s="36"/>
    </row>
    <row r="27" spans="1:17" x14ac:dyDescent="0.25">
      <c r="A27" s="36">
        <v>1687</v>
      </c>
      <c r="B27" s="37">
        <v>43525</v>
      </c>
      <c r="C27" s="37">
        <v>43568.032584733504</v>
      </c>
      <c r="D27" s="36" t="s">
        <v>212</v>
      </c>
      <c r="E27" s="36"/>
      <c r="F27" s="38">
        <v>39364366.272</v>
      </c>
      <c r="G27" s="40">
        <f>VLOOKUP(A27,'DATOS GENERALES'!A:B,2,0)</f>
        <v>1.71</v>
      </c>
      <c r="H27" s="36">
        <f t="shared" si="0"/>
        <v>1.7021339999999998</v>
      </c>
      <c r="I27" s="38">
        <f t="shared" si="1"/>
        <v>23126479.038665585</v>
      </c>
      <c r="J27" s="38">
        <f t="shared" si="2"/>
        <v>16237887.233334415</v>
      </c>
      <c r="K27" s="38">
        <v>3616692.7411893979</v>
      </c>
      <c r="L27" s="38">
        <f t="shared" si="3"/>
        <v>12621194.492145017</v>
      </c>
      <c r="M27" s="41">
        <f>VLOOKUP(INDICADORES!$B$21,'DATOS GENERALES'!$K:$M,3,0)*F27</f>
        <v>267914.91178481124</v>
      </c>
      <c r="N27" s="38">
        <f t="shared" si="4"/>
        <v>12353279.580360206</v>
      </c>
      <c r="O27" s="36"/>
      <c r="P27" s="36"/>
      <c r="Q27" s="36"/>
    </row>
    <row r="28" spans="1:17" x14ac:dyDescent="0.25">
      <c r="A28" s="36">
        <v>1687</v>
      </c>
      <c r="B28" s="37">
        <v>43556</v>
      </c>
      <c r="C28" s="37">
        <v>43641.535256900264</v>
      </c>
      <c r="D28" s="36" t="s">
        <v>212</v>
      </c>
      <c r="E28" s="36"/>
      <c r="F28" s="38">
        <v>35374979.772</v>
      </c>
      <c r="G28" s="40">
        <f>VLOOKUP(A28,'DATOS GENERALES'!A:B,2,0)</f>
        <v>1.71</v>
      </c>
      <c r="H28" s="36">
        <f t="shared" si="0"/>
        <v>1.7021339999999998</v>
      </c>
      <c r="I28" s="38">
        <f t="shared" si="1"/>
        <v>20782723.200406082</v>
      </c>
      <c r="J28" s="38">
        <f t="shared" si="2"/>
        <v>14592256.571593918</v>
      </c>
      <c r="K28" s="38">
        <v>3341407.972906875</v>
      </c>
      <c r="L28" s="38">
        <f t="shared" si="3"/>
        <v>11250848.598687043</v>
      </c>
      <c r="M28" s="41">
        <f>VLOOKUP(INDICADORES!$B$21,'DATOS GENERALES'!$K:$M,3,0)*F28</f>
        <v>240763.04237993609</v>
      </c>
      <c r="N28" s="38">
        <f t="shared" si="4"/>
        <v>11010085.556307107</v>
      </c>
      <c r="O28" s="36"/>
      <c r="P28" s="36"/>
      <c r="Q28" s="36"/>
    </row>
    <row r="29" spans="1:17" x14ac:dyDescent="0.25">
      <c r="A29" s="36">
        <v>1689</v>
      </c>
      <c r="B29" s="37">
        <v>43466</v>
      </c>
      <c r="C29" s="37">
        <v>43508.674818343556</v>
      </c>
      <c r="D29" s="36" t="s">
        <v>212</v>
      </c>
      <c r="E29" s="36"/>
      <c r="F29" s="38">
        <v>36819716.200000003</v>
      </c>
      <c r="G29" s="40">
        <f>VLOOKUP(A29,'DATOS GENERALES'!A:B,2,0)</f>
        <v>2.11</v>
      </c>
      <c r="H29" s="36">
        <f t="shared" si="0"/>
        <v>2.1002939999999999</v>
      </c>
      <c r="I29" s="38">
        <f t="shared" si="1"/>
        <v>17530743.886332106</v>
      </c>
      <c r="J29" s="38">
        <f t="shared" si="2"/>
        <v>19288972.313667897</v>
      </c>
      <c r="K29" s="38">
        <v>3846566.8061075942</v>
      </c>
      <c r="L29" s="38">
        <f t="shared" si="3"/>
        <v>15442405.507560303</v>
      </c>
      <c r="M29" s="41">
        <f>VLOOKUP(INDICADORES!$B$21,'DATOS GENERALES'!$K:$M,3,0)*F29</f>
        <v>250595.95649280079</v>
      </c>
      <c r="N29" s="38">
        <f t="shared" si="4"/>
        <v>15191809.551067503</v>
      </c>
      <c r="O29" s="36"/>
      <c r="P29" s="36"/>
      <c r="Q29" s="36"/>
    </row>
    <row r="30" spans="1:17" x14ac:dyDescent="0.25">
      <c r="A30" s="36">
        <v>1689</v>
      </c>
      <c r="B30" s="37">
        <v>43497</v>
      </c>
      <c r="C30" s="37">
        <v>43575.144329542498</v>
      </c>
      <c r="D30" s="36" t="s">
        <v>212</v>
      </c>
      <c r="E30" s="36"/>
      <c r="F30" s="38">
        <v>36819716.200000003</v>
      </c>
      <c r="G30" s="40">
        <f>VLOOKUP(A30,'DATOS GENERALES'!A:B,2,0)</f>
        <v>2.11</v>
      </c>
      <c r="H30" s="36">
        <f t="shared" si="0"/>
        <v>2.1002939999999999</v>
      </c>
      <c r="I30" s="38">
        <f t="shared" si="1"/>
        <v>17530743.886332106</v>
      </c>
      <c r="J30" s="38">
        <f t="shared" si="2"/>
        <v>19288972.313667897</v>
      </c>
      <c r="K30" s="38">
        <v>3789407.8624317762</v>
      </c>
      <c r="L30" s="38">
        <f t="shared" si="3"/>
        <v>15499564.451236121</v>
      </c>
      <c r="M30" s="41">
        <f>VLOOKUP(INDICADORES!$B$21,'DATOS GENERALES'!$K:$M,3,0)*F30</f>
        <v>250595.95649280079</v>
      </c>
      <c r="N30" s="38">
        <f t="shared" si="4"/>
        <v>15248968.494743321</v>
      </c>
      <c r="O30" s="36"/>
      <c r="P30" s="36"/>
      <c r="Q30" s="36"/>
    </row>
    <row r="31" spans="1:17" x14ac:dyDescent="0.25">
      <c r="A31" s="36">
        <v>1689</v>
      </c>
      <c r="B31" s="37">
        <v>43525</v>
      </c>
      <c r="C31" s="37">
        <v>43580.207338017033</v>
      </c>
      <c r="D31" s="36" t="s">
        <v>212</v>
      </c>
      <c r="E31" s="36"/>
      <c r="F31" s="38">
        <v>36819716.200000003</v>
      </c>
      <c r="G31" s="40">
        <f>VLOOKUP(A31,'DATOS GENERALES'!A:B,2,0)</f>
        <v>2.11</v>
      </c>
      <c r="H31" s="36">
        <f t="shared" si="0"/>
        <v>2.1002939999999999</v>
      </c>
      <c r="I31" s="38">
        <f t="shared" si="1"/>
        <v>17530743.886332106</v>
      </c>
      <c r="J31" s="38">
        <f t="shared" si="2"/>
        <v>19288972.313667897</v>
      </c>
      <c r="K31" s="38">
        <v>2741589.5889444551</v>
      </c>
      <c r="L31" s="38">
        <f t="shared" si="3"/>
        <v>16547382.724723442</v>
      </c>
      <c r="M31" s="41">
        <f>VLOOKUP(INDICADORES!$B$21,'DATOS GENERALES'!$K:$M,3,0)*F31</f>
        <v>250595.95649280079</v>
      </c>
      <c r="N31" s="38">
        <f t="shared" si="4"/>
        <v>16296786.768230641</v>
      </c>
      <c r="O31" s="36"/>
      <c r="P31" s="36"/>
      <c r="Q31" s="36"/>
    </row>
    <row r="32" spans="1:17" x14ac:dyDescent="0.25">
      <c r="A32" s="36">
        <v>1689</v>
      </c>
      <c r="B32" s="37">
        <v>43556</v>
      </c>
      <c r="C32" s="37">
        <v>43626.511064699058</v>
      </c>
      <c r="D32" s="36" t="s">
        <v>212</v>
      </c>
      <c r="E32" s="36"/>
      <c r="F32" s="38">
        <v>36819716.200000003</v>
      </c>
      <c r="G32" s="40">
        <f>VLOOKUP(A32,'DATOS GENERALES'!A:B,2,0)</f>
        <v>2.11</v>
      </c>
      <c r="H32" s="36">
        <f t="shared" si="0"/>
        <v>2.1002939999999999</v>
      </c>
      <c r="I32" s="38">
        <f t="shared" si="1"/>
        <v>17530743.886332106</v>
      </c>
      <c r="J32" s="38">
        <f t="shared" si="2"/>
        <v>19288972.313667897</v>
      </c>
      <c r="K32" s="38">
        <v>2818560.7260377691</v>
      </c>
      <c r="L32" s="38">
        <f t="shared" si="3"/>
        <v>16470411.587630128</v>
      </c>
      <c r="M32" s="41">
        <f>VLOOKUP(INDICADORES!$B$21,'DATOS GENERALES'!$K:$M,3,0)*F32</f>
        <v>250595.95649280079</v>
      </c>
      <c r="N32" s="38">
        <f t="shared" si="4"/>
        <v>16219815.631137328</v>
      </c>
      <c r="O32" s="36"/>
      <c r="P32" s="36"/>
      <c r="Q32" s="36"/>
    </row>
    <row r="33" spans="1:17" x14ac:dyDescent="0.25">
      <c r="A33" s="36">
        <v>1689</v>
      </c>
      <c r="B33" s="37">
        <v>43586</v>
      </c>
      <c r="C33" s="37">
        <v>43664.137211573179</v>
      </c>
      <c r="D33" s="36" t="s">
        <v>212</v>
      </c>
      <c r="E33" s="36"/>
      <c r="F33" s="38">
        <v>36819716.200000003</v>
      </c>
      <c r="G33" s="40">
        <f>VLOOKUP(A33,'DATOS GENERALES'!A:B,2,0)</f>
        <v>2.11</v>
      </c>
      <c r="H33" s="36">
        <f t="shared" si="0"/>
        <v>2.1002939999999999</v>
      </c>
      <c r="I33" s="38">
        <f t="shared" si="1"/>
        <v>17530743.886332106</v>
      </c>
      <c r="J33" s="38">
        <f t="shared" si="2"/>
        <v>19288972.313667897</v>
      </c>
      <c r="K33" s="38">
        <v>2325115.484499108</v>
      </c>
      <c r="L33" s="38">
        <f t="shared" si="3"/>
        <v>16963856.829168789</v>
      </c>
      <c r="M33" s="41">
        <f>VLOOKUP(INDICADORES!$B$21,'DATOS GENERALES'!$K:$M,3,0)*F33</f>
        <v>250595.95649280079</v>
      </c>
      <c r="N33" s="38">
        <f t="shared" si="4"/>
        <v>16713260.872675989</v>
      </c>
      <c r="O33" s="36"/>
      <c r="P33" s="36"/>
      <c r="Q33" s="36"/>
    </row>
    <row r="34" spans="1:17" x14ac:dyDescent="0.25">
      <c r="A34" s="36">
        <v>1689</v>
      </c>
      <c r="B34" s="37">
        <v>43617</v>
      </c>
      <c r="C34" s="37">
        <v>43688.458938198812</v>
      </c>
      <c r="D34" s="36" t="s">
        <v>212</v>
      </c>
      <c r="E34" s="36"/>
      <c r="F34" s="38">
        <v>36819716.200000003</v>
      </c>
      <c r="G34" s="40">
        <f>VLOOKUP(A34,'DATOS GENERALES'!A:B,2,0)</f>
        <v>2.11</v>
      </c>
      <c r="H34" s="36">
        <f t="shared" si="0"/>
        <v>2.1002939999999999</v>
      </c>
      <c r="I34" s="38">
        <f t="shared" si="1"/>
        <v>17530743.886332106</v>
      </c>
      <c r="J34" s="38">
        <f t="shared" si="2"/>
        <v>19288972.313667897</v>
      </c>
      <c r="K34" s="38">
        <v>2611572.9298895597</v>
      </c>
      <c r="L34" s="38">
        <f t="shared" si="3"/>
        <v>16677399.383778337</v>
      </c>
      <c r="M34" s="41">
        <f>VLOOKUP(INDICADORES!$B$21,'DATOS GENERALES'!$K:$M,3,0)*F34</f>
        <v>250595.95649280079</v>
      </c>
      <c r="N34" s="38">
        <f t="shared" si="4"/>
        <v>16426803.427285537</v>
      </c>
      <c r="O34" s="36"/>
      <c r="P34" s="36"/>
      <c r="Q34" s="36"/>
    </row>
    <row r="35" spans="1:17" x14ac:dyDescent="0.25">
      <c r="A35" s="36">
        <v>1689</v>
      </c>
      <c r="B35" s="37">
        <v>43647</v>
      </c>
      <c r="C35" s="37">
        <v>43707.101760762736</v>
      </c>
      <c r="D35" s="36" t="s">
        <v>212</v>
      </c>
      <c r="E35" s="36"/>
      <c r="F35" s="38">
        <v>36819716.200000003</v>
      </c>
      <c r="G35" s="40">
        <f>VLOOKUP(A35,'DATOS GENERALES'!A:B,2,0)</f>
        <v>2.11</v>
      </c>
      <c r="H35" s="36">
        <f t="shared" si="0"/>
        <v>2.1002939999999999</v>
      </c>
      <c r="I35" s="38">
        <f t="shared" si="1"/>
        <v>17530743.886332106</v>
      </c>
      <c r="J35" s="38">
        <f t="shared" si="2"/>
        <v>19288972.313667897</v>
      </c>
      <c r="K35" s="38">
        <v>4535042.6072187023</v>
      </c>
      <c r="L35" s="38">
        <f t="shared" si="3"/>
        <v>14753929.706449196</v>
      </c>
      <c r="M35" s="41">
        <f>VLOOKUP(INDICADORES!$B$21,'DATOS GENERALES'!$K:$M,3,0)*F35</f>
        <v>250595.95649280079</v>
      </c>
      <c r="N35" s="38">
        <f t="shared" si="4"/>
        <v>14503333.749956395</v>
      </c>
      <c r="O35" s="36"/>
      <c r="P35" s="36"/>
      <c r="Q35" s="36"/>
    </row>
    <row r="36" spans="1:17" x14ac:dyDescent="0.25">
      <c r="A36" s="36">
        <v>1689</v>
      </c>
      <c r="B36" s="37">
        <v>43678</v>
      </c>
      <c r="C36" s="37">
        <v>43702.174147506383</v>
      </c>
      <c r="D36" s="36" t="s">
        <v>212</v>
      </c>
      <c r="E36" s="36"/>
      <c r="F36" s="38">
        <v>36819716.200000003</v>
      </c>
      <c r="G36" s="40">
        <f>VLOOKUP(A36,'DATOS GENERALES'!A:B,2,0)</f>
        <v>2.11</v>
      </c>
      <c r="H36" s="36">
        <f t="shared" si="0"/>
        <v>2.1002939999999999</v>
      </c>
      <c r="I36" s="38">
        <f t="shared" si="1"/>
        <v>17530743.886332106</v>
      </c>
      <c r="J36" s="38">
        <f t="shared" si="2"/>
        <v>19288972.313667897</v>
      </c>
      <c r="K36" s="38">
        <v>4553915.7639175607</v>
      </c>
      <c r="L36" s="38">
        <f t="shared" si="3"/>
        <v>14735056.549750336</v>
      </c>
      <c r="M36" s="41">
        <f>VLOOKUP(INDICADORES!$B$21,'DATOS GENERALES'!$K:$M,3,0)*F36</f>
        <v>250595.95649280079</v>
      </c>
      <c r="N36" s="38">
        <f t="shared" si="4"/>
        <v>14484460.593257535</v>
      </c>
      <c r="O36" s="36"/>
      <c r="P36" s="36"/>
      <c r="Q36" s="36"/>
    </row>
    <row r="37" spans="1:17" x14ac:dyDescent="0.25">
      <c r="A37" s="36">
        <v>1689</v>
      </c>
      <c r="B37" s="37">
        <v>43709</v>
      </c>
      <c r="C37" s="37">
        <v>43798.567904356489</v>
      </c>
      <c r="D37" s="36" t="s">
        <v>212</v>
      </c>
      <c r="E37" s="36"/>
      <c r="F37" s="38">
        <v>28923787.600000001</v>
      </c>
      <c r="G37" s="40">
        <f>VLOOKUP(A37,'DATOS GENERALES'!A:B,2,0)</f>
        <v>2.11</v>
      </c>
      <c r="H37" s="36">
        <f t="shared" si="0"/>
        <v>2.1002939999999999</v>
      </c>
      <c r="I37" s="38">
        <f t="shared" si="1"/>
        <v>13771304.207887087</v>
      </c>
      <c r="J37" s="38">
        <f t="shared" si="2"/>
        <v>15152483.392112914</v>
      </c>
      <c r="K37" s="38">
        <v>3948524.6726940232</v>
      </c>
      <c r="L37" s="38">
        <f t="shared" si="3"/>
        <v>11203958.719418891</v>
      </c>
      <c r="M37" s="41">
        <f>VLOOKUP(INDICADORES!$B$21,'DATOS GENERALES'!$K:$M,3,0)*F37</f>
        <v>196856.05884753156</v>
      </c>
      <c r="N37" s="38">
        <f t="shared" si="4"/>
        <v>11007102.660571359</v>
      </c>
      <c r="O37" s="36"/>
      <c r="P37" s="36"/>
      <c r="Q37" s="36"/>
    </row>
    <row r="38" spans="1:17" x14ac:dyDescent="0.25">
      <c r="A38" s="36">
        <v>1689</v>
      </c>
      <c r="B38" s="37">
        <v>43739</v>
      </c>
      <c r="C38" s="37">
        <v>43836.335447323276</v>
      </c>
      <c r="D38" s="36" t="s">
        <v>212</v>
      </c>
      <c r="E38" s="36"/>
      <c r="F38" s="38">
        <v>13258047.600000001</v>
      </c>
      <c r="G38" s="40">
        <f>VLOOKUP(A38,'DATOS GENERALES'!A:B,2,0)</f>
        <v>2.11</v>
      </c>
      <c r="H38" s="36">
        <f t="shared" si="0"/>
        <v>2.1002939999999999</v>
      </c>
      <c r="I38" s="38">
        <f t="shared" si="1"/>
        <v>6312472.2538844571</v>
      </c>
      <c r="J38" s="38">
        <f t="shared" si="2"/>
        <v>6945575.3461155444</v>
      </c>
      <c r="K38" s="38">
        <v>1964202.9802027303</v>
      </c>
      <c r="L38" s="38">
        <f t="shared" si="3"/>
        <v>4981372.3659128137</v>
      </c>
      <c r="M38" s="41">
        <f>VLOOKUP(INDICADORES!$B$21,'DATOS GENERALES'!$K:$M,3,0)*F38</f>
        <v>90234.620535969312</v>
      </c>
      <c r="N38" s="38">
        <f t="shared" si="4"/>
        <v>4891137.745376844</v>
      </c>
      <c r="O38" s="36"/>
      <c r="P38" s="36"/>
      <c r="Q38" s="36"/>
    </row>
    <row r="39" spans="1:17" x14ac:dyDescent="0.25">
      <c r="A39" s="36">
        <v>1689</v>
      </c>
      <c r="B39" s="37">
        <v>43770</v>
      </c>
      <c r="C39" s="37">
        <v>43842.817814049777</v>
      </c>
      <c r="D39" s="36" t="s">
        <v>212</v>
      </c>
      <c r="E39" s="36"/>
      <c r="F39" s="38">
        <v>13258047.600000001</v>
      </c>
      <c r="G39" s="40">
        <f>VLOOKUP(A39,'DATOS GENERALES'!A:B,2,0)</f>
        <v>2.11</v>
      </c>
      <c r="H39" s="36">
        <f t="shared" si="0"/>
        <v>2.1002939999999999</v>
      </c>
      <c r="I39" s="38">
        <f t="shared" si="1"/>
        <v>6312472.2538844571</v>
      </c>
      <c r="J39" s="38">
        <f t="shared" si="2"/>
        <v>6945575.3461155444</v>
      </c>
      <c r="K39" s="38">
        <v>2577616.6639423487</v>
      </c>
      <c r="L39" s="38">
        <f t="shared" si="3"/>
        <v>4367958.6821731962</v>
      </c>
      <c r="M39" s="41">
        <f>VLOOKUP(INDICADORES!$B$21,'DATOS GENERALES'!$K:$M,3,0)*F39</f>
        <v>90234.620535969312</v>
      </c>
      <c r="N39" s="38">
        <f t="shared" si="4"/>
        <v>4277724.0616372265</v>
      </c>
      <c r="O39" s="36"/>
      <c r="P39" s="36"/>
      <c r="Q39" s="36"/>
    </row>
    <row r="40" spans="1:17" x14ac:dyDescent="0.25">
      <c r="A40" s="36">
        <v>1701</v>
      </c>
      <c r="B40" s="37">
        <v>43466</v>
      </c>
      <c r="C40" s="37">
        <v>43501.052291270651</v>
      </c>
      <c r="D40" s="36" t="s">
        <v>212</v>
      </c>
      <c r="E40" s="36"/>
      <c r="F40" s="38">
        <v>43079526.100000001</v>
      </c>
      <c r="G40" s="40">
        <f>VLOOKUP(A40,'DATOS GENERALES'!A:B,2,0)</f>
        <v>2.1800000000000002</v>
      </c>
      <c r="H40" s="36">
        <f t="shared" si="0"/>
        <v>2.169972</v>
      </c>
      <c r="I40" s="38">
        <f t="shared" si="1"/>
        <v>19852572.337338917</v>
      </c>
      <c r="J40" s="38">
        <f t="shared" si="2"/>
        <v>23226953.762661085</v>
      </c>
      <c r="K40" s="38">
        <v>4356018.561664992</v>
      </c>
      <c r="L40" s="38">
        <f t="shared" si="3"/>
        <v>18870935.200996093</v>
      </c>
      <c r="M40" s="41">
        <f>VLOOKUP(INDICADORES!$B$21,'DATOS GENERALES'!$K:$M,3,0)*F40</f>
        <v>293200.38725029811</v>
      </c>
      <c r="N40" s="38">
        <f t="shared" si="4"/>
        <v>18577734.813745797</v>
      </c>
      <c r="O40" s="36"/>
      <c r="P40" s="36"/>
      <c r="Q40" s="36"/>
    </row>
    <row r="41" spans="1:17" x14ac:dyDescent="0.25">
      <c r="A41" s="36">
        <v>1701</v>
      </c>
      <c r="B41" s="37">
        <v>43497</v>
      </c>
      <c r="C41" s="37">
        <v>43551.068399177326</v>
      </c>
      <c r="D41" s="36" t="s">
        <v>212</v>
      </c>
      <c r="E41" s="36"/>
      <c r="F41" s="38">
        <v>39433007.350000001</v>
      </c>
      <c r="G41" s="40">
        <f>VLOOKUP(A41,'DATOS GENERALES'!A:B,2,0)</f>
        <v>2.1800000000000002</v>
      </c>
      <c r="H41" s="36">
        <f t="shared" si="0"/>
        <v>2.169972</v>
      </c>
      <c r="I41" s="38">
        <f t="shared" si="1"/>
        <v>18172127.267079946</v>
      </c>
      <c r="J41" s="38">
        <f t="shared" si="2"/>
        <v>21260880.082920056</v>
      </c>
      <c r="K41" s="38">
        <v>3928047.9133958346</v>
      </c>
      <c r="L41" s="38">
        <f t="shared" si="3"/>
        <v>17332832.169524223</v>
      </c>
      <c r="M41" s="41">
        <f>VLOOKUP(INDICADORES!$B$21,'DATOS GENERALES'!$K:$M,3,0)*F41</f>
        <v>268382.08476633759</v>
      </c>
      <c r="N41" s="38">
        <f t="shared" si="4"/>
        <v>17064450.084757887</v>
      </c>
      <c r="O41" s="36"/>
      <c r="P41" s="36"/>
      <c r="Q41" s="36"/>
    </row>
    <row r="42" spans="1:17" x14ac:dyDescent="0.25">
      <c r="A42" s="36">
        <v>1701</v>
      </c>
      <c r="B42" s="37">
        <v>43525</v>
      </c>
      <c r="C42" s="37">
        <v>43578.951983385406</v>
      </c>
      <c r="D42" s="36" t="s">
        <v>212</v>
      </c>
      <c r="E42" s="36"/>
      <c r="F42" s="38">
        <v>39433007.350000001</v>
      </c>
      <c r="G42" s="40">
        <f>VLOOKUP(A42,'DATOS GENERALES'!A:B,2,0)</f>
        <v>2.1800000000000002</v>
      </c>
      <c r="H42" s="36">
        <f t="shared" si="0"/>
        <v>2.169972</v>
      </c>
      <c r="I42" s="38">
        <f t="shared" si="1"/>
        <v>18172127.267079946</v>
      </c>
      <c r="J42" s="38">
        <f t="shared" si="2"/>
        <v>21260880.082920056</v>
      </c>
      <c r="K42" s="38">
        <v>2841893.9462827207</v>
      </c>
      <c r="L42" s="38">
        <f t="shared" si="3"/>
        <v>18418986.136637334</v>
      </c>
      <c r="M42" s="41">
        <f>VLOOKUP(INDICADORES!$B$21,'DATOS GENERALES'!$K:$M,3,0)*F42</f>
        <v>268382.08476633759</v>
      </c>
      <c r="N42" s="38">
        <f t="shared" si="4"/>
        <v>18150604.051870998</v>
      </c>
      <c r="O42" s="36"/>
      <c r="P42" s="36"/>
      <c r="Q42" s="36"/>
    </row>
    <row r="43" spans="1:17" x14ac:dyDescent="0.25">
      <c r="A43" s="36">
        <v>1701</v>
      </c>
      <c r="B43" s="37">
        <v>43556</v>
      </c>
      <c r="C43" s="37">
        <v>43632.307219876675</v>
      </c>
      <c r="D43" s="36" t="s">
        <v>212</v>
      </c>
      <c r="E43" s="36"/>
      <c r="F43" s="38">
        <v>39433007.350000001</v>
      </c>
      <c r="G43" s="40">
        <f>VLOOKUP(A43,'DATOS GENERALES'!A:B,2,0)</f>
        <v>2.1800000000000002</v>
      </c>
      <c r="H43" s="36">
        <f t="shared" si="0"/>
        <v>2.169972</v>
      </c>
      <c r="I43" s="38">
        <f t="shared" si="1"/>
        <v>18172127.267079946</v>
      </c>
      <c r="J43" s="38">
        <f t="shared" si="2"/>
        <v>21260880.082920056</v>
      </c>
      <c r="K43" s="38">
        <v>2921681.1651378251</v>
      </c>
      <c r="L43" s="38">
        <f t="shared" si="3"/>
        <v>18339198.917782232</v>
      </c>
      <c r="M43" s="41">
        <f>VLOOKUP(INDICADORES!$B$21,'DATOS GENERALES'!$K:$M,3,0)*F43</f>
        <v>268382.08476633759</v>
      </c>
      <c r="N43" s="38">
        <f t="shared" si="4"/>
        <v>18070816.833015896</v>
      </c>
      <c r="O43" s="36"/>
      <c r="P43" s="36"/>
      <c r="Q43" s="36"/>
    </row>
    <row r="44" spans="1:17" x14ac:dyDescent="0.25">
      <c r="A44" s="36">
        <v>1701</v>
      </c>
      <c r="B44" s="37">
        <v>43586</v>
      </c>
      <c r="C44" s="37">
        <v>43622.182834451029</v>
      </c>
      <c r="D44" s="36" t="s">
        <v>212</v>
      </c>
      <c r="E44" s="36"/>
      <c r="F44" s="38">
        <v>39433007.350000001</v>
      </c>
      <c r="G44" s="40">
        <f>VLOOKUP(A44,'DATOS GENERALES'!A:B,2,0)</f>
        <v>2.1800000000000002</v>
      </c>
      <c r="H44" s="36">
        <f t="shared" si="0"/>
        <v>2.169972</v>
      </c>
      <c r="I44" s="38">
        <f t="shared" si="1"/>
        <v>18172127.267079946</v>
      </c>
      <c r="J44" s="38">
        <f t="shared" si="2"/>
        <v>21260880.082920056</v>
      </c>
      <c r="K44" s="38">
        <v>2410182.6350859054</v>
      </c>
      <c r="L44" s="38">
        <f t="shared" si="3"/>
        <v>18850697.447834149</v>
      </c>
      <c r="M44" s="41">
        <f>VLOOKUP(INDICADORES!$B$21,'DATOS GENERALES'!$K:$M,3,0)*F44</f>
        <v>268382.08476633759</v>
      </c>
      <c r="N44" s="38">
        <f t="shared" si="4"/>
        <v>18582315.363067813</v>
      </c>
      <c r="O44" s="36"/>
      <c r="P44" s="36"/>
      <c r="Q44" s="36"/>
    </row>
    <row r="45" spans="1:17" x14ac:dyDescent="0.25">
      <c r="A45" s="36">
        <v>1701</v>
      </c>
      <c r="B45" s="37">
        <v>43617</v>
      </c>
      <c r="C45" s="37">
        <v>43680.507171092147</v>
      </c>
      <c r="D45" s="36" t="s">
        <v>212</v>
      </c>
      <c r="E45" s="36"/>
      <c r="F45" s="38">
        <v>22497185.125</v>
      </c>
      <c r="G45" s="40">
        <f>VLOOKUP(A45,'DATOS GENERALES'!A:B,2,0)</f>
        <v>2.1800000000000002</v>
      </c>
      <c r="H45" s="36">
        <f t="shared" si="0"/>
        <v>2.169972</v>
      </c>
      <c r="I45" s="38">
        <f t="shared" si="1"/>
        <v>10367500.191246707</v>
      </c>
      <c r="J45" s="38">
        <f t="shared" si="2"/>
        <v>12129684.933753293</v>
      </c>
      <c r="K45" s="38">
        <v>1544457.1562758503</v>
      </c>
      <c r="L45" s="38">
        <f t="shared" si="3"/>
        <v>10585227.777477443</v>
      </c>
      <c r="M45" s="41">
        <f>VLOOKUP(INDICADORES!$B$21,'DATOS GENERALES'!$K:$M,3,0)*F45</f>
        <v>153116.43343940235</v>
      </c>
      <c r="N45" s="38">
        <f t="shared" si="4"/>
        <v>10432111.344038041</v>
      </c>
      <c r="O45" s="36"/>
      <c r="P45" s="36"/>
      <c r="Q45" s="36"/>
    </row>
    <row r="46" spans="1:17" x14ac:dyDescent="0.25">
      <c r="A46" s="36">
        <v>1701</v>
      </c>
      <c r="B46" s="37">
        <v>43647</v>
      </c>
      <c r="C46" s="37">
        <v>43724.074264502509</v>
      </c>
      <c r="D46" s="36" t="s">
        <v>212</v>
      </c>
      <c r="E46" s="36"/>
      <c r="F46" s="38">
        <v>22497185.125</v>
      </c>
      <c r="G46" s="40">
        <f>VLOOKUP(A46,'DATOS GENERALES'!A:B,2,0)</f>
        <v>2.1800000000000002</v>
      </c>
      <c r="H46" s="36">
        <f t="shared" si="0"/>
        <v>2.169972</v>
      </c>
      <c r="I46" s="38">
        <f t="shared" si="1"/>
        <v>10367500.191246707</v>
      </c>
      <c r="J46" s="38">
        <f t="shared" si="2"/>
        <v>12129684.933753293</v>
      </c>
      <c r="K46" s="38">
        <v>2681977.1826287895</v>
      </c>
      <c r="L46" s="38">
        <f t="shared" si="3"/>
        <v>9447707.7511245031</v>
      </c>
      <c r="M46" s="41">
        <f>VLOOKUP(INDICADORES!$B$21,'DATOS GENERALES'!$K:$M,3,0)*F46</f>
        <v>153116.43343940235</v>
      </c>
      <c r="N46" s="38">
        <f t="shared" si="4"/>
        <v>9294591.3176851012</v>
      </c>
      <c r="O46" s="36"/>
      <c r="P46" s="36"/>
      <c r="Q46" s="36"/>
    </row>
    <row r="47" spans="1:17" x14ac:dyDescent="0.25">
      <c r="A47" s="36">
        <v>1701</v>
      </c>
      <c r="B47" s="37">
        <v>43678</v>
      </c>
      <c r="C47" s="37">
        <v>43750.635932802528</v>
      </c>
      <c r="D47" s="36" t="s">
        <v>212</v>
      </c>
      <c r="E47" s="36"/>
      <c r="F47" s="38">
        <v>22497185.125</v>
      </c>
      <c r="G47" s="40">
        <f>VLOOKUP(A47,'DATOS GENERALES'!A:B,2,0)</f>
        <v>2.1800000000000002</v>
      </c>
      <c r="H47" s="36">
        <f t="shared" si="0"/>
        <v>2.169972</v>
      </c>
      <c r="I47" s="38">
        <f t="shared" si="1"/>
        <v>10367500.191246707</v>
      </c>
      <c r="J47" s="38">
        <f t="shared" si="2"/>
        <v>12129684.933753293</v>
      </c>
      <c r="K47" s="38">
        <v>2693138.5718404246</v>
      </c>
      <c r="L47" s="38">
        <f t="shared" si="3"/>
        <v>9436546.3619128689</v>
      </c>
      <c r="M47" s="41">
        <f>VLOOKUP(INDICADORES!$B$21,'DATOS GENERALES'!$K:$M,3,0)*F47</f>
        <v>153116.43343940235</v>
      </c>
      <c r="N47" s="38">
        <f t="shared" si="4"/>
        <v>9283429.928473467</v>
      </c>
      <c r="O47" s="36"/>
      <c r="P47" s="36"/>
      <c r="Q47" s="36"/>
    </row>
    <row r="48" spans="1:17" x14ac:dyDescent="0.25">
      <c r="A48" s="36">
        <v>1701</v>
      </c>
      <c r="B48" s="37">
        <v>43709</v>
      </c>
      <c r="C48" s="37">
        <v>43759.309883061615</v>
      </c>
      <c r="D48" s="36" t="s">
        <v>212</v>
      </c>
      <c r="E48" s="36"/>
      <c r="F48" s="38">
        <v>22497185.125</v>
      </c>
      <c r="G48" s="40">
        <f>VLOOKUP(A48,'DATOS GENERALES'!A:B,2,0)</f>
        <v>2.1800000000000002</v>
      </c>
      <c r="H48" s="36">
        <f t="shared" si="0"/>
        <v>2.169972</v>
      </c>
      <c r="I48" s="38">
        <f t="shared" si="1"/>
        <v>10367500.191246707</v>
      </c>
      <c r="J48" s="38">
        <f t="shared" si="2"/>
        <v>12129684.933753293</v>
      </c>
      <c r="K48" s="38">
        <v>2972581.9487636192</v>
      </c>
      <c r="L48" s="38">
        <f t="shared" si="3"/>
        <v>9157102.9849896729</v>
      </c>
      <c r="M48" s="41">
        <f>VLOOKUP(INDICADORES!$B$21,'DATOS GENERALES'!$K:$M,3,0)*F48</f>
        <v>153116.43343940235</v>
      </c>
      <c r="N48" s="38">
        <f t="shared" si="4"/>
        <v>9003986.551550271</v>
      </c>
      <c r="O48" s="36"/>
      <c r="P48" s="36"/>
      <c r="Q48" s="36"/>
    </row>
    <row r="49" spans="1:17" x14ac:dyDescent="0.25">
      <c r="A49" s="36">
        <v>1701</v>
      </c>
      <c r="B49" s="37">
        <v>43739</v>
      </c>
      <c r="C49" s="37">
        <v>43802.788590517041</v>
      </c>
      <c r="D49" s="36" t="s">
        <v>212</v>
      </c>
      <c r="E49" s="36"/>
      <c r="F49" s="38">
        <v>22497185.125</v>
      </c>
      <c r="G49" s="40">
        <f>VLOOKUP(A49,'DATOS GENERALES'!A:B,2,0)</f>
        <v>2.1800000000000002</v>
      </c>
      <c r="H49" s="36">
        <f t="shared" si="0"/>
        <v>2.169972</v>
      </c>
      <c r="I49" s="38">
        <f t="shared" si="1"/>
        <v>10367500.191246707</v>
      </c>
      <c r="J49" s="38">
        <f t="shared" si="2"/>
        <v>12129684.933753293</v>
      </c>
      <c r="K49" s="38">
        <v>3225974.5395899359</v>
      </c>
      <c r="L49" s="38">
        <f t="shared" si="3"/>
        <v>8903710.3941633571</v>
      </c>
      <c r="M49" s="41">
        <f>VLOOKUP(INDICADORES!$B$21,'DATOS GENERALES'!$K:$M,3,0)*F49</f>
        <v>153116.43343940235</v>
      </c>
      <c r="N49" s="38">
        <f t="shared" si="4"/>
        <v>8750593.9607239552</v>
      </c>
      <c r="O49" s="36"/>
      <c r="P49" s="36"/>
      <c r="Q49" s="36"/>
    </row>
    <row r="50" spans="1:17" x14ac:dyDescent="0.25">
      <c r="A50" s="36">
        <v>1701</v>
      </c>
      <c r="B50" s="37">
        <v>43770</v>
      </c>
      <c r="C50" s="37">
        <v>43818.527791177316</v>
      </c>
      <c r="D50" s="36" t="s">
        <v>212</v>
      </c>
      <c r="E50" s="36"/>
      <c r="F50" s="38">
        <v>22497185.125</v>
      </c>
      <c r="G50" s="40">
        <f>VLOOKUP(A50,'DATOS GENERALES'!A:B,2,0)</f>
        <v>2.1800000000000002</v>
      </c>
      <c r="H50" s="36">
        <f t="shared" si="0"/>
        <v>2.169972</v>
      </c>
      <c r="I50" s="38">
        <f t="shared" si="1"/>
        <v>10367500.191246707</v>
      </c>
      <c r="J50" s="38">
        <f t="shared" si="2"/>
        <v>12129684.933753293</v>
      </c>
      <c r="K50" s="38">
        <v>4233435.0443977639</v>
      </c>
      <c r="L50" s="38">
        <f t="shared" si="3"/>
        <v>7896249.8893555291</v>
      </c>
      <c r="M50" s="41">
        <f>VLOOKUP(INDICADORES!$B$21,'DATOS GENERALES'!$K:$M,3,0)*F50</f>
        <v>153116.43343940235</v>
      </c>
      <c r="N50" s="38">
        <f t="shared" si="4"/>
        <v>7743133.4559161272</v>
      </c>
      <c r="O50" s="36"/>
      <c r="P50" s="36"/>
      <c r="Q50" s="36"/>
    </row>
    <row r="51" spans="1:17" x14ac:dyDescent="0.25">
      <c r="A51" s="36">
        <v>1701</v>
      </c>
      <c r="B51" s="37">
        <v>43800</v>
      </c>
      <c r="C51" s="37">
        <v>43857.298000685209</v>
      </c>
      <c r="D51" s="36" t="s">
        <v>212</v>
      </c>
      <c r="E51" s="36"/>
      <c r="F51" s="38">
        <v>22497185.125</v>
      </c>
      <c r="G51" s="40">
        <f>VLOOKUP(A51,'DATOS GENERALES'!A:B,2,0)</f>
        <v>2.1800000000000002</v>
      </c>
      <c r="H51" s="36">
        <f t="shared" si="0"/>
        <v>2.169972</v>
      </c>
      <c r="I51" s="38">
        <f t="shared" si="1"/>
        <v>10367500.191246707</v>
      </c>
      <c r="J51" s="38">
        <f t="shared" si="2"/>
        <v>12129684.933753293</v>
      </c>
      <c r="K51" s="38">
        <v>3651547.4195408029</v>
      </c>
      <c r="L51" s="38">
        <f t="shared" si="3"/>
        <v>8478137.5142124891</v>
      </c>
      <c r="M51" s="41">
        <f>VLOOKUP(INDICADORES!$B$21,'DATOS GENERALES'!$K:$M,3,0)*F51</f>
        <v>153116.43343940235</v>
      </c>
      <c r="N51" s="38">
        <f t="shared" si="4"/>
        <v>8325021.0807730872</v>
      </c>
      <c r="O51" s="36"/>
      <c r="P51" s="36"/>
      <c r="Q51" s="36"/>
    </row>
    <row r="52" spans="1:17" x14ac:dyDescent="0.25">
      <c r="A52" s="36">
        <v>1701</v>
      </c>
      <c r="B52" s="37">
        <v>43831</v>
      </c>
      <c r="C52" s="37">
        <v>43877.869899050107</v>
      </c>
      <c r="D52" s="36" t="s">
        <v>212</v>
      </c>
      <c r="E52" s="36"/>
      <c r="F52" s="38">
        <v>3497185.125</v>
      </c>
      <c r="G52" s="40">
        <f>VLOOKUP(A52,'DATOS GENERALES'!A:B,2,0)</f>
        <v>2.1800000000000002</v>
      </c>
      <c r="H52" s="36">
        <f t="shared" si="0"/>
        <v>2.169972</v>
      </c>
      <c r="I52" s="38">
        <f t="shared" si="1"/>
        <v>1611626.8435721751</v>
      </c>
      <c r="J52" s="38">
        <f t="shared" si="2"/>
        <v>1885558.2814278249</v>
      </c>
      <c r="K52" s="38" t="s">
        <v>213</v>
      </c>
      <c r="L52" s="38" t="str">
        <f t="shared" si="3"/>
        <v/>
      </c>
      <c r="M52" s="41">
        <f>VLOOKUP(INDICADORES!$B$21,'DATOS GENERALES'!$K:$M,3,0)*F52</f>
        <v>23801.933906045968</v>
      </c>
      <c r="N52" s="38" t="str">
        <f t="shared" si="4"/>
        <v/>
      </c>
      <c r="O52" s="36"/>
      <c r="P52" s="36"/>
      <c r="Q52" s="36"/>
    </row>
    <row r="53" spans="1:17" x14ac:dyDescent="0.25">
      <c r="A53" s="36">
        <v>1751</v>
      </c>
      <c r="B53" s="37">
        <v>43466</v>
      </c>
      <c r="C53" s="37">
        <v>43504.049831359342</v>
      </c>
      <c r="D53" s="36" t="s">
        <v>212</v>
      </c>
      <c r="E53" s="36"/>
      <c r="F53" s="38">
        <v>28006691.09375</v>
      </c>
      <c r="G53" s="40">
        <f>VLOOKUP(A53,'DATOS GENERALES'!A:B,2,0)</f>
        <v>2</v>
      </c>
      <c r="H53" s="36">
        <f t="shared" si="0"/>
        <v>1.9907999999999999</v>
      </c>
      <c r="I53" s="38">
        <f t="shared" si="1"/>
        <v>14068058.616510952</v>
      </c>
      <c r="J53" s="38">
        <f t="shared" si="2"/>
        <v>13938632.477239048</v>
      </c>
      <c r="K53" s="38">
        <v>3086790.1357475691</v>
      </c>
      <c r="L53" s="38">
        <f t="shared" si="3"/>
        <v>10851842.341491479</v>
      </c>
      <c r="M53" s="41">
        <f>VLOOKUP(INDICADORES!$B$21,'DATOS GENERALES'!$K:$M,3,0)*F53</f>
        <v>190614.27591439951</v>
      </c>
      <c r="N53" s="38">
        <f t="shared" si="4"/>
        <v>10661228.06557708</v>
      </c>
      <c r="O53" s="36"/>
      <c r="P53" s="36"/>
      <c r="Q53" s="36"/>
    </row>
    <row r="54" spans="1:17" x14ac:dyDescent="0.25">
      <c r="A54" s="36">
        <v>1751</v>
      </c>
      <c r="B54" s="37">
        <v>43497</v>
      </c>
      <c r="C54" s="37">
        <v>43560.981842247049</v>
      </c>
      <c r="D54" s="36" t="s">
        <v>212</v>
      </c>
      <c r="E54" s="36"/>
      <c r="F54" s="38">
        <v>28006691.09375</v>
      </c>
      <c r="G54" s="40">
        <f>VLOOKUP(A54,'DATOS GENERALES'!A:B,2,0)</f>
        <v>2</v>
      </c>
      <c r="H54" s="36">
        <f t="shared" si="0"/>
        <v>1.9907999999999999</v>
      </c>
      <c r="I54" s="38">
        <f t="shared" si="1"/>
        <v>14068058.616510952</v>
      </c>
      <c r="J54" s="38">
        <f t="shared" si="2"/>
        <v>13938632.477239048</v>
      </c>
      <c r="K54" s="38">
        <v>3040921.2681568344</v>
      </c>
      <c r="L54" s="38">
        <f t="shared" si="3"/>
        <v>10897711.209082214</v>
      </c>
      <c r="M54" s="41">
        <f>VLOOKUP(INDICADORES!$B$21,'DATOS GENERALES'!$K:$M,3,0)*F54</f>
        <v>190614.27591439951</v>
      </c>
      <c r="N54" s="38">
        <f t="shared" si="4"/>
        <v>10707096.933167815</v>
      </c>
      <c r="O54" s="36"/>
      <c r="P54" s="36"/>
      <c r="Q54" s="36"/>
    </row>
    <row r="55" spans="1:17" x14ac:dyDescent="0.25">
      <c r="A55" s="36">
        <v>1758</v>
      </c>
      <c r="B55" s="37">
        <v>43466</v>
      </c>
      <c r="C55" s="37">
        <v>43511.855602143267</v>
      </c>
      <c r="D55" s="36" t="s">
        <v>212</v>
      </c>
      <c r="E55" s="36"/>
      <c r="F55" s="38">
        <v>39944033.964749999</v>
      </c>
      <c r="G55" s="40">
        <f>VLOOKUP(A55,'DATOS GENERALES'!A:B,2,0)</f>
        <v>2.4300000000000002</v>
      </c>
      <c r="H55" s="36">
        <f t="shared" si="0"/>
        <v>2.418822</v>
      </c>
      <c r="I55" s="38">
        <f t="shared" si="1"/>
        <v>16513837.713047922</v>
      </c>
      <c r="J55" s="38">
        <f t="shared" si="2"/>
        <v>23430196.251702078</v>
      </c>
      <c r="K55" s="38">
        <v>3623438.936780239</v>
      </c>
      <c r="L55" s="38">
        <f t="shared" si="3"/>
        <v>19806757.314921837</v>
      </c>
      <c r="M55" s="41">
        <f>VLOOKUP(INDICADORES!$B$21,'DATOS GENERALES'!$K:$M,3,0)*F55</f>
        <v>271860.14534184395</v>
      </c>
      <c r="N55" s="38">
        <f t="shared" si="4"/>
        <v>19534897.169579994</v>
      </c>
      <c r="O55" s="36"/>
      <c r="P55" s="36"/>
      <c r="Q55" s="36"/>
    </row>
    <row r="56" spans="1:17" x14ac:dyDescent="0.25">
      <c r="A56" s="36">
        <v>1758</v>
      </c>
      <c r="B56" s="37">
        <v>43497</v>
      </c>
      <c r="C56" s="37">
        <v>43538.160194242628</v>
      </c>
      <c r="D56" s="36" t="s">
        <v>212</v>
      </c>
      <c r="E56" s="36"/>
      <c r="F56" s="38">
        <v>39944033.964749999</v>
      </c>
      <c r="G56" s="40">
        <f>VLOOKUP(A56,'DATOS GENERALES'!A:B,2,0)</f>
        <v>2.4300000000000002</v>
      </c>
      <c r="H56" s="36">
        <f t="shared" si="0"/>
        <v>2.418822</v>
      </c>
      <c r="I56" s="38">
        <f t="shared" si="1"/>
        <v>16513837.713047922</v>
      </c>
      <c r="J56" s="38">
        <f t="shared" si="2"/>
        <v>23430196.251702078</v>
      </c>
      <c r="K56" s="38">
        <v>3569595.612969683</v>
      </c>
      <c r="L56" s="38">
        <f t="shared" si="3"/>
        <v>19860600.638732396</v>
      </c>
      <c r="M56" s="41">
        <f>VLOOKUP(INDICADORES!$B$21,'DATOS GENERALES'!$K:$M,3,0)*F56</f>
        <v>271860.14534184395</v>
      </c>
      <c r="N56" s="38">
        <f t="shared" si="4"/>
        <v>19588740.493390553</v>
      </c>
      <c r="O56" s="36"/>
      <c r="P56" s="36"/>
      <c r="Q56" s="36"/>
    </row>
    <row r="57" spans="1:17" x14ac:dyDescent="0.25">
      <c r="A57" s="36">
        <v>1758</v>
      </c>
      <c r="B57" s="37">
        <v>43525</v>
      </c>
      <c r="C57" s="37">
        <v>43578.910938119043</v>
      </c>
      <c r="D57" s="36" t="s">
        <v>212</v>
      </c>
      <c r="E57" s="36"/>
      <c r="F57" s="38">
        <v>39944033.964749999</v>
      </c>
      <c r="G57" s="40">
        <f>VLOOKUP(A57,'DATOS GENERALES'!A:B,2,0)</f>
        <v>2.4300000000000002</v>
      </c>
      <c r="H57" s="36">
        <f t="shared" si="0"/>
        <v>2.418822</v>
      </c>
      <c r="I57" s="38">
        <f t="shared" si="1"/>
        <v>16513837.713047922</v>
      </c>
      <c r="J57" s="38">
        <f t="shared" si="2"/>
        <v>23430196.251702078</v>
      </c>
      <c r="K57" s="38">
        <v>2582558.1527609117</v>
      </c>
      <c r="L57" s="38">
        <f t="shared" si="3"/>
        <v>20847638.098941166</v>
      </c>
      <c r="M57" s="41">
        <f>VLOOKUP(INDICADORES!$B$21,'DATOS GENERALES'!$K:$M,3,0)*F57</f>
        <v>271860.14534184395</v>
      </c>
      <c r="N57" s="38">
        <f t="shared" si="4"/>
        <v>20575777.953599323</v>
      </c>
      <c r="O57" s="36"/>
      <c r="P57" s="36"/>
      <c r="Q57" s="36"/>
    </row>
    <row r="58" spans="1:17" x14ac:dyDescent="0.25">
      <c r="A58" s="36">
        <v>1758</v>
      </c>
      <c r="B58" s="37">
        <v>43556</v>
      </c>
      <c r="C58" s="37">
        <v>43614.733415323703</v>
      </c>
      <c r="D58" s="36" t="s">
        <v>212</v>
      </c>
      <c r="E58" s="36"/>
      <c r="F58" s="38">
        <v>39944033.964749999</v>
      </c>
      <c r="G58" s="40">
        <f>VLOOKUP(A58,'DATOS GENERALES'!A:B,2,0)</f>
        <v>2.4300000000000002</v>
      </c>
      <c r="H58" s="36">
        <f t="shared" si="0"/>
        <v>2.418822</v>
      </c>
      <c r="I58" s="38">
        <f t="shared" si="1"/>
        <v>16513837.713047922</v>
      </c>
      <c r="J58" s="38">
        <f t="shared" si="2"/>
        <v>23430196.251702078</v>
      </c>
      <c r="K58" s="38">
        <v>2655064.4237320344</v>
      </c>
      <c r="L58" s="38">
        <f t="shared" si="3"/>
        <v>20775131.827970043</v>
      </c>
      <c r="M58" s="41">
        <f>VLOOKUP(INDICADORES!$B$21,'DATOS GENERALES'!$K:$M,3,0)*F58</f>
        <v>271860.14534184395</v>
      </c>
      <c r="N58" s="38">
        <f t="shared" si="4"/>
        <v>20503271.682628199</v>
      </c>
      <c r="O58" s="36"/>
      <c r="P58" s="36"/>
      <c r="Q58" s="36"/>
    </row>
    <row r="59" spans="1:17" x14ac:dyDescent="0.25">
      <c r="A59" s="36">
        <v>1758</v>
      </c>
      <c r="B59" s="37">
        <v>43586</v>
      </c>
      <c r="C59" s="37">
        <v>43639.352383795907</v>
      </c>
      <c r="D59" s="36" t="s">
        <v>212</v>
      </c>
      <c r="E59" s="36"/>
      <c r="F59" s="38">
        <v>39944033.964749999</v>
      </c>
      <c r="G59" s="40">
        <f>VLOOKUP(A59,'DATOS GENERALES'!A:B,2,0)</f>
        <v>2.4300000000000002</v>
      </c>
      <c r="H59" s="36">
        <f t="shared" si="0"/>
        <v>2.418822</v>
      </c>
      <c r="I59" s="38">
        <f t="shared" si="1"/>
        <v>16513837.713047922</v>
      </c>
      <c r="J59" s="38">
        <f t="shared" si="2"/>
        <v>23430196.251702078</v>
      </c>
      <c r="K59" s="38">
        <v>2190242.4691201532</v>
      </c>
      <c r="L59" s="38">
        <f t="shared" si="3"/>
        <v>21239953.782581925</v>
      </c>
      <c r="M59" s="41">
        <f>VLOOKUP(INDICADORES!$B$21,'DATOS GENERALES'!$K:$M,3,0)*F59</f>
        <v>271860.14534184395</v>
      </c>
      <c r="N59" s="38">
        <f t="shared" si="4"/>
        <v>20968093.637240082</v>
      </c>
      <c r="O59" s="36"/>
      <c r="P59" s="36"/>
      <c r="Q59" s="36"/>
    </row>
    <row r="60" spans="1:17" x14ac:dyDescent="0.25">
      <c r="A60" s="36">
        <v>1758</v>
      </c>
      <c r="B60" s="37">
        <v>43617</v>
      </c>
      <c r="C60" s="37">
        <v>43681.153136574263</v>
      </c>
      <c r="D60" s="36" t="s">
        <v>212</v>
      </c>
      <c r="E60" s="36"/>
      <c r="F60" s="38">
        <v>39944033.964749999</v>
      </c>
      <c r="G60" s="40">
        <f>VLOOKUP(A60,'DATOS GENERALES'!A:B,2,0)</f>
        <v>2.4300000000000002</v>
      </c>
      <c r="H60" s="36">
        <f t="shared" si="0"/>
        <v>2.418822</v>
      </c>
      <c r="I60" s="38">
        <f t="shared" si="1"/>
        <v>16513837.713047922</v>
      </c>
      <c r="J60" s="38">
        <f t="shared" si="2"/>
        <v>23430196.251702078</v>
      </c>
      <c r="K60" s="38">
        <v>2460083.3723667269</v>
      </c>
      <c r="L60" s="38">
        <f t="shared" si="3"/>
        <v>20970112.879335351</v>
      </c>
      <c r="M60" s="41">
        <f>VLOOKUP(INDICADORES!$B$21,'DATOS GENERALES'!$K:$M,3,0)*F60</f>
        <v>271860.14534184395</v>
      </c>
      <c r="N60" s="38">
        <f t="shared" si="4"/>
        <v>20698252.733993508</v>
      </c>
      <c r="O60" s="36"/>
      <c r="P60" s="36"/>
      <c r="Q60" s="36"/>
    </row>
    <row r="61" spans="1:17" x14ac:dyDescent="0.25">
      <c r="A61" s="36">
        <v>1758</v>
      </c>
      <c r="B61" s="37">
        <v>43647</v>
      </c>
      <c r="C61" s="37">
        <v>43721.090647144032</v>
      </c>
      <c r="D61" s="36" t="s">
        <v>212</v>
      </c>
      <c r="E61" s="36"/>
      <c r="F61" s="38">
        <v>39944033.964749999</v>
      </c>
      <c r="G61" s="40">
        <f>VLOOKUP(A61,'DATOS GENERALES'!A:B,2,0)</f>
        <v>2.4300000000000002</v>
      </c>
      <c r="H61" s="36">
        <f t="shared" si="0"/>
        <v>2.418822</v>
      </c>
      <c r="I61" s="38">
        <f t="shared" si="1"/>
        <v>16513837.713047922</v>
      </c>
      <c r="J61" s="38">
        <f t="shared" si="2"/>
        <v>23430196.251702078</v>
      </c>
      <c r="K61" s="38">
        <v>4271978.3098169798</v>
      </c>
      <c r="L61" s="38">
        <f t="shared" si="3"/>
        <v>19158217.941885099</v>
      </c>
      <c r="M61" s="41">
        <f>VLOOKUP(INDICADORES!$B$21,'DATOS GENERALES'!$K:$M,3,0)*F61</f>
        <v>271860.14534184395</v>
      </c>
      <c r="N61" s="38">
        <f t="shared" si="4"/>
        <v>18886357.796543255</v>
      </c>
      <c r="O61" s="36"/>
      <c r="P61" s="36"/>
      <c r="Q61" s="36"/>
    </row>
    <row r="62" spans="1:17" x14ac:dyDescent="0.25">
      <c r="A62" s="36">
        <v>1758</v>
      </c>
      <c r="B62" s="37">
        <v>43678</v>
      </c>
      <c r="C62" s="37">
        <v>43700.895632255524</v>
      </c>
      <c r="D62" s="36" t="s">
        <v>212</v>
      </c>
      <c r="E62" s="36"/>
      <c r="F62" s="38">
        <v>39944033.964749999</v>
      </c>
      <c r="G62" s="40">
        <f>VLOOKUP(A62,'DATOS GENERALES'!A:B,2,0)</f>
        <v>2.4300000000000002</v>
      </c>
      <c r="H62" s="36">
        <f t="shared" si="0"/>
        <v>2.418822</v>
      </c>
      <c r="I62" s="38">
        <f t="shared" si="1"/>
        <v>16513837.713047922</v>
      </c>
      <c r="J62" s="38">
        <f t="shared" si="2"/>
        <v>23430196.251702078</v>
      </c>
      <c r="K62" s="38">
        <v>4289756.6909785941</v>
      </c>
      <c r="L62" s="38">
        <f t="shared" si="3"/>
        <v>19140439.560723484</v>
      </c>
      <c r="M62" s="41">
        <f>VLOOKUP(INDICADORES!$B$21,'DATOS GENERALES'!$K:$M,3,0)*F62</f>
        <v>271860.14534184395</v>
      </c>
      <c r="N62" s="38">
        <f t="shared" si="4"/>
        <v>18868579.41538164</v>
      </c>
      <c r="O62" s="36"/>
      <c r="P62" s="36"/>
      <c r="Q62" s="36"/>
    </row>
    <row r="63" spans="1:17" x14ac:dyDescent="0.25">
      <c r="A63" s="36">
        <v>1758</v>
      </c>
      <c r="B63" s="37">
        <v>43709</v>
      </c>
      <c r="C63" s="37">
        <v>43738.137479776306</v>
      </c>
      <c r="D63" s="36" t="s">
        <v>212</v>
      </c>
      <c r="E63" s="36"/>
      <c r="F63" s="38">
        <v>39944033.964749999</v>
      </c>
      <c r="G63" s="40">
        <f>VLOOKUP(A63,'DATOS GENERALES'!A:B,2,0)</f>
        <v>2.4300000000000002</v>
      </c>
      <c r="H63" s="36">
        <f t="shared" si="0"/>
        <v>2.418822</v>
      </c>
      <c r="I63" s="38">
        <f t="shared" si="1"/>
        <v>16513837.713047922</v>
      </c>
      <c r="J63" s="38">
        <f t="shared" si="2"/>
        <v>23430196.251702078</v>
      </c>
      <c r="K63" s="38">
        <v>4734867.1314290231</v>
      </c>
      <c r="L63" s="38">
        <f t="shared" si="3"/>
        <v>18695329.120273054</v>
      </c>
      <c r="M63" s="41">
        <f>VLOOKUP(INDICADORES!$B$21,'DATOS GENERALES'!$K:$M,3,0)*F63</f>
        <v>271860.14534184395</v>
      </c>
      <c r="N63" s="38">
        <f t="shared" si="4"/>
        <v>18423468.97493121</v>
      </c>
      <c r="O63" s="36"/>
      <c r="P63" s="36"/>
      <c r="Q63" s="36"/>
    </row>
    <row r="64" spans="1:17" x14ac:dyDescent="0.25">
      <c r="A64" s="36">
        <v>1758</v>
      </c>
      <c r="B64" s="37">
        <v>43739</v>
      </c>
      <c r="C64" s="37">
        <v>43803.138752017505</v>
      </c>
      <c r="D64" s="36" t="s">
        <v>212</v>
      </c>
      <c r="E64" s="36"/>
      <c r="F64" s="38">
        <v>39944033.964749999</v>
      </c>
      <c r="G64" s="40">
        <f>VLOOKUP(A64,'DATOS GENERALES'!A:B,2,0)</f>
        <v>2.4300000000000002</v>
      </c>
      <c r="H64" s="36">
        <f t="shared" si="0"/>
        <v>2.418822</v>
      </c>
      <c r="I64" s="38">
        <f t="shared" si="1"/>
        <v>16513837.713047922</v>
      </c>
      <c r="J64" s="38">
        <f t="shared" si="2"/>
        <v>23430196.251702078</v>
      </c>
      <c r="K64" s="38">
        <v>5138482.665106806</v>
      </c>
      <c r="L64" s="38">
        <f t="shared" si="3"/>
        <v>18291713.586595271</v>
      </c>
      <c r="M64" s="41">
        <f>VLOOKUP(INDICADORES!$B$21,'DATOS GENERALES'!$K:$M,3,0)*F64</f>
        <v>271860.14534184395</v>
      </c>
      <c r="N64" s="38">
        <f t="shared" si="4"/>
        <v>18019853.441253427</v>
      </c>
      <c r="O64" s="36"/>
      <c r="P64" s="36"/>
      <c r="Q64" s="36"/>
    </row>
    <row r="65" spans="1:17" x14ac:dyDescent="0.25">
      <c r="A65" s="36">
        <v>1758</v>
      </c>
      <c r="B65" s="37">
        <v>43770</v>
      </c>
      <c r="C65" s="37">
        <v>43802.641914743952</v>
      </c>
      <c r="D65" s="36" t="s">
        <v>212</v>
      </c>
      <c r="E65" s="36"/>
      <c r="F65" s="38">
        <v>39944033.964749999</v>
      </c>
      <c r="G65" s="40">
        <f>VLOOKUP(A65,'DATOS GENERALES'!A:B,2,0)</f>
        <v>2.4300000000000002</v>
      </c>
      <c r="H65" s="36">
        <f t="shared" si="0"/>
        <v>2.418822</v>
      </c>
      <c r="I65" s="38">
        <f t="shared" si="1"/>
        <v>16513837.713047922</v>
      </c>
      <c r="J65" s="38">
        <f t="shared" si="2"/>
        <v>23430196.251702078</v>
      </c>
      <c r="K65" s="38">
        <v>6743212.7323170742</v>
      </c>
      <c r="L65" s="38">
        <f t="shared" si="3"/>
        <v>16686983.519385003</v>
      </c>
      <c r="M65" s="41">
        <f>VLOOKUP(INDICADORES!$B$21,'DATOS GENERALES'!$K:$M,3,0)*F65</f>
        <v>271860.14534184395</v>
      </c>
      <c r="N65" s="38">
        <f t="shared" si="4"/>
        <v>16415123.374043159</v>
      </c>
      <c r="O65" s="36"/>
      <c r="P65" s="36"/>
      <c r="Q65" s="36"/>
    </row>
    <row r="66" spans="1:17" x14ac:dyDescent="0.25">
      <c r="A66" s="36">
        <v>1758</v>
      </c>
      <c r="B66" s="37">
        <v>43800</v>
      </c>
      <c r="C66" s="37">
        <v>43846.065278164046</v>
      </c>
      <c r="D66" s="36" t="s">
        <v>212</v>
      </c>
      <c r="E66" s="36"/>
      <c r="F66" s="38">
        <v>39944033.964749999</v>
      </c>
      <c r="G66" s="40">
        <f>VLOOKUP(A66,'DATOS GENERALES'!A:B,2,0)</f>
        <v>2.4300000000000002</v>
      </c>
      <c r="H66" s="36">
        <f t="shared" si="0"/>
        <v>2.418822</v>
      </c>
      <c r="I66" s="38">
        <f t="shared" si="1"/>
        <v>16513837.713047922</v>
      </c>
      <c r="J66" s="38">
        <f t="shared" si="2"/>
        <v>23430196.251702078</v>
      </c>
      <c r="K66" s="38">
        <v>5816354.9916023146</v>
      </c>
      <c r="L66" s="38">
        <f t="shared" si="3"/>
        <v>17613841.260099761</v>
      </c>
      <c r="M66" s="41">
        <f>VLOOKUP(INDICADORES!$B$21,'DATOS GENERALES'!$K:$M,3,0)*F66</f>
        <v>271860.14534184395</v>
      </c>
      <c r="N66" s="38">
        <f t="shared" si="4"/>
        <v>17341981.114757918</v>
      </c>
      <c r="O66" s="36"/>
      <c r="P66" s="36"/>
      <c r="Q66" s="36"/>
    </row>
    <row r="67" spans="1:17" x14ac:dyDescent="0.25">
      <c r="A67" s="36">
        <v>1789</v>
      </c>
      <c r="B67" s="37">
        <v>43466</v>
      </c>
      <c r="C67" s="37">
        <v>43550.890464597302</v>
      </c>
      <c r="D67" s="36" t="s">
        <v>212</v>
      </c>
      <c r="E67" s="36"/>
      <c r="F67" s="38">
        <v>43502787.700000003</v>
      </c>
      <c r="G67" s="40">
        <f>VLOOKUP(A67,'DATOS GENERALES'!A:B,2,0)</f>
        <v>1.45</v>
      </c>
      <c r="H67" s="36">
        <f t="shared" ref="H67:H130" si="5">G67*0.9954</f>
        <v>1.4433299999999998</v>
      </c>
      <c r="I67" s="38">
        <f t="shared" ref="I67:I130" si="6">F67/H67</f>
        <v>30140569.169905711</v>
      </c>
      <c r="J67" s="38">
        <f t="shared" ref="J67:J130" si="7">F67-I67</f>
        <v>13362218.530094292</v>
      </c>
      <c r="K67" s="38">
        <v>6613393.7976551233</v>
      </c>
      <c r="L67" s="38">
        <f t="shared" ref="L67:L130" si="8">IFERROR(J67-K67,"")</f>
        <v>6748824.7324391687</v>
      </c>
      <c r="M67" s="41">
        <f>VLOOKUP(INDICADORES!$B$21,'DATOS GENERALES'!$K:$M,3,0)*F67</f>
        <v>296081.11682796589</v>
      </c>
      <c r="N67" s="38">
        <f t="shared" ref="N67:N130" si="9">IFERROR(L67-M67,"")</f>
        <v>6452743.615611203</v>
      </c>
      <c r="O67" s="36"/>
      <c r="P67" s="36"/>
      <c r="Q67" s="36"/>
    </row>
    <row r="68" spans="1:17" x14ac:dyDescent="0.25">
      <c r="A68" s="36">
        <v>1802</v>
      </c>
      <c r="B68" s="37">
        <v>43466</v>
      </c>
      <c r="C68" s="37">
        <v>43538.2482536424</v>
      </c>
      <c r="D68" s="36" t="s">
        <v>212</v>
      </c>
      <c r="E68" s="36"/>
      <c r="F68" s="38">
        <v>53929329.834749997</v>
      </c>
      <c r="G68" s="40">
        <f>VLOOKUP(A68,'DATOS GENERALES'!A:B,2,0)</f>
        <v>1.95</v>
      </c>
      <c r="H68" s="36">
        <f t="shared" si="5"/>
        <v>1.9410299999999998</v>
      </c>
      <c r="I68" s="38">
        <f t="shared" si="6"/>
        <v>27783872.394939803</v>
      </c>
      <c r="J68" s="38">
        <f t="shared" si="7"/>
        <v>26145457.439810194</v>
      </c>
      <c r="K68" s="38">
        <v>6096291.2921697525</v>
      </c>
      <c r="L68" s="38">
        <f t="shared" si="8"/>
        <v>20049166.147640441</v>
      </c>
      <c r="M68" s="41">
        <f>VLOOKUP(INDICADORES!$B$21,'DATOS GENERALES'!$K:$M,3,0)*F68</f>
        <v>367044.43672368425</v>
      </c>
      <c r="N68" s="38">
        <f t="shared" si="9"/>
        <v>19682121.710916758</v>
      </c>
      <c r="O68" s="36"/>
      <c r="P68" s="36"/>
      <c r="Q68" s="36"/>
    </row>
    <row r="69" spans="1:17" x14ac:dyDescent="0.25">
      <c r="A69" s="36">
        <v>1802</v>
      </c>
      <c r="B69" s="37">
        <v>43497</v>
      </c>
      <c r="C69" s="37">
        <v>43561.698439349995</v>
      </c>
      <c r="D69" s="36" t="s">
        <v>212</v>
      </c>
      <c r="E69" s="36"/>
      <c r="F69" s="38">
        <v>53929329.834749997</v>
      </c>
      <c r="G69" s="40">
        <f>VLOOKUP(A69,'DATOS GENERALES'!A:B,2,0)</f>
        <v>1.95</v>
      </c>
      <c r="H69" s="36">
        <f t="shared" si="5"/>
        <v>1.9410299999999998</v>
      </c>
      <c r="I69" s="38">
        <f t="shared" si="6"/>
        <v>27783872.394939803</v>
      </c>
      <c r="J69" s="38">
        <f t="shared" si="7"/>
        <v>26145457.439810194</v>
      </c>
      <c r="K69" s="38">
        <v>6005702.0503431903</v>
      </c>
      <c r="L69" s="38">
        <f t="shared" si="8"/>
        <v>20139755.389467005</v>
      </c>
      <c r="M69" s="41">
        <f>VLOOKUP(INDICADORES!$B$21,'DATOS GENERALES'!$K:$M,3,0)*F69</f>
        <v>367044.43672368425</v>
      </c>
      <c r="N69" s="38">
        <f t="shared" si="9"/>
        <v>19772710.952743322</v>
      </c>
      <c r="O69" s="36"/>
      <c r="P69" s="36"/>
      <c r="Q69" s="36"/>
    </row>
    <row r="70" spans="1:17" x14ac:dyDescent="0.25">
      <c r="A70" s="36">
        <v>1802</v>
      </c>
      <c r="B70" s="37">
        <v>43525</v>
      </c>
      <c r="C70" s="37">
        <v>43571.077692914434</v>
      </c>
      <c r="D70" s="36" t="s">
        <v>212</v>
      </c>
      <c r="E70" s="36"/>
      <c r="F70" s="38">
        <v>53929329.834749997</v>
      </c>
      <c r="G70" s="40">
        <f>VLOOKUP(A70,'DATOS GENERALES'!A:B,2,0)</f>
        <v>1.95</v>
      </c>
      <c r="H70" s="36">
        <f t="shared" si="5"/>
        <v>1.9410299999999998</v>
      </c>
      <c r="I70" s="38">
        <f t="shared" si="6"/>
        <v>27783872.394939803</v>
      </c>
      <c r="J70" s="38">
        <f t="shared" si="7"/>
        <v>26145457.439810194</v>
      </c>
      <c r="K70" s="38">
        <v>4345050.9454944413</v>
      </c>
      <c r="L70" s="38">
        <f t="shared" si="8"/>
        <v>21800406.494315751</v>
      </c>
      <c r="M70" s="41">
        <f>VLOOKUP(INDICADORES!$B$21,'DATOS GENERALES'!$K:$M,3,0)*F70</f>
        <v>367044.43672368425</v>
      </c>
      <c r="N70" s="38">
        <f t="shared" si="9"/>
        <v>21433362.057592068</v>
      </c>
      <c r="O70" s="36"/>
      <c r="P70" s="36"/>
      <c r="Q70" s="36"/>
    </row>
    <row r="71" spans="1:17" x14ac:dyDescent="0.25">
      <c r="A71" s="36">
        <v>1802</v>
      </c>
      <c r="B71" s="37">
        <v>43556</v>
      </c>
      <c r="C71" s="37">
        <v>43611.339273062658</v>
      </c>
      <c r="D71" s="36" t="s">
        <v>212</v>
      </c>
      <c r="E71" s="36"/>
      <c r="F71" s="38">
        <v>53929329.834749997</v>
      </c>
      <c r="G71" s="40">
        <f>VLOOKUP(A71,'DATOS GENERALES'!A:B,2,0)</f>
        <v>1.95</v>
      </c>
      <c r="H71" s="36">
        <f t="shared" si="5"/>
        <v>1.9410299999999998</v>
      </c>
      <c r="I71" s="38">
        <f t="shared" si="6"/>
        <v>27783872.394939803</v>
      </c>
      <c r="J71" s="38">
        <f t="shared" si="7"/>
        <v>26145457.439810194</v>
      </c>
      <c r="K71" s="38">
        <v>4467039.8505266672</v>
      </c>
      <c r="L71" s="38">
        <f t="shared" si="8"/>
        <v>21678417.589283526</v>
      </c>
      <c r="M71" s="41">
        <f>VLOOKUP(INDICADORES!$B$21,'DATOS GENERALES'!$K:$M,3,0)*F71</f>
        <v>367044.43672368425</v>
      </c>
      <c r="N71" s="38">
        <f t="shared" si="9"/>
        <v>21311373.152559843</v>
      </c>
      <c r="O71" s="36"/>
      <c r="P71" s="36"/>
      <c r="Q71" s="36"/>
    </row>
    <row r="72" spans="1:17" x14ac:dyDescent="0.25">
      <c r="A72" s="36">
        <v>1802</v>
      </c>
      <c r="B72" s="37">
        <v>43586</v>
      </c>
      <c r="C72" s="37">
        <v>43635.771856294617</v>
      </c>
      <c r="D72" s="36" t="s">
        <v>212</v>
      </c>
      <c r="E72" s="36"/>
      <c r="F72" s="38">
        <v>53929329.834749997</v>
      </c>
      <c r="G72" s="40">
        <f>VLOOKUP(A72,'DATOS GENERALES'!A:B,2,0)</f>
        <v>1.95</v>
      </c>
      <c r="H72" s="36">
        <f t="shared" si="5"/>
        <v>1.9410299999999998</v>
      </c>
      <c r="I72" s="38">
        <f t="shared" si="6"/>
        <v>27783872.394939803</v>
      </c>
      <c r="J72" s="38">
        <f t="shared" si="7"/>
        <v>26145457.439810194</v>
      </c>
      <c r="K72" s="38">
        <v>3684995.4767286275</v>
      </c>
      <c r="L72" s="38">
        <f t="shared" si="8"/>
        <v>22460461.963081568</v>
      </c>
      <c r="M72" s="41">
        <f>VLOOKUP(INDICADORES!$B$21,'DATOS GENERALES'!$K:$M,3,0)*F72</f>
        <v>367044.43672368425</v>
      </c>
      <c r="N72" s="38">
        <f t="shared" si="9"/>
        <v>22093417.526357885</v>
      </c>
      <c r="O72" s="36"/>
      <c r="P72" s="36"/>
      <c r="Q72" s="36"/>
    </row>
    <row r="73" spans="1:17" x14ac:dyDescent="0.25">
      <c r="A73" s="36">
        <v>1802</v>
      </c>
      <c r="B73" s="37">
        <v>43617</v>
      </c>
      <c r="C73" s="37">
        <v>43676.838079015586</v>
      </c>
      <c r="D73" s="36" t="s">
        <v>212</v>
      </c>
      <c r="E73" s="36"/>
      <c r="F73" s="38">
        <v>53929329.834749997</v>
      </c>
      <c r="G73" s="40">
        <f>VLOOKUP(A73,'DATOS GENERALES'!A:B,2,0)</f>
        <v>1.95</v>
      </c>
      <c r="H73" s="36">
        <f t="shared" si="5"/>
        <v>1.9410299999999998</v>
      </c>
      <c r="I73" s="38">
        <f t="shared" si="6"/>
        <v>27783872.394939803</v>
      </c>
      <c r="J73" s="38">
        <f t="shared" si="7"/>
        <v>26145457.439810194</v>
      </c>
      <c r="K73" s="38">
        <v>4138992.0190837933</v>
      </c>
      <c r="L73" s="38">
        <f t="shared" si="8"/>
        <v>22006465.4207264</v>
      </c>
      <c r="M73" s="41">
        <f>VLOOKUP(INDICADORES!$B$21,'DATOS GENERALES'!$K:$M,3,0)*F73</f>
        <v>367044.43672368425</v>
      </c>
      <c r="N73" s="38">
        <f t="shared" si="9"/>
        <v>21639420.984002717</v>
      </c>
      <c r="O73" s="36"/>
      <c r="P73" s="36"/>
      <c r="Q73" s="36"/>
    </row>
    <row r="74" spans="1:17" x14ac:dyDescent="0.25">
      <c r="A74" s="36">
        <v>1802</v>
      </c>
      <c r="B74" s="37">
        <v>43647</v>
      </c>
      <c r="C74" s="37">
        <v>43736.657914084659</v>
      </c>
      <c r="D74" s="36" t="s">
        <v>212</v>
      </c>
      <c r="E74" s="36"/>
      <c r="F74" s="38">
        <v>53929329.834749997</v>
      </c>
      <c r="G74" s="40">
        <f>VLOOKUP(A74,'DATOS GENERALES'!A:B,2,0)</f>
        <v>1.95</v>
      </c>
      <c r="H74" s="36">
        <f t="shared" si="5"/>
        <v>1.9410299999999998</v>
      </c>
      <c r="I74" s="38">
        <f t="shared" si="6"/>
        <v>27783872.394939803</v>
      </c>
      <c r="J74" s="38">
        <f t="shared" si="7"/>
        <v>26145457.439810194</v>
      </c>
      <c r="K74" s="38">
        <v>7187432.8848541686</v>
      </c>
      <c r="L74" s="38">
        <f t="shared" si="8"/>
        <v>18958024.554956026</v>
      </c>
      <c r="M74" s="41">
        <f>VLOOKUP(INDICADORES!$B$21,'DATOS GENERALES'!$K:$M,3,0)*F74</f>
        <v>367044.43672368425</v>
      </c>
      <c r="N74" s="38">
        <f t="shared" si="9"/>
        <v>18590980.118232343</v>
      </c>
      <c r="O74" s="36"/>
      <c r="P74" s="36"/>
      <c r="Q74" s="36"/>
    </row>
    <row r="75" spans="1:17" x14ac:dyDescent="0.25">
      <c r="A75" s="36">
        <v>1802</v>
      </c>
      <c r="B75" s="37">
        <v>43678</v>
      </c>
      <c r="C75" s="37">
        <v>43768.818685535334</v>
      </c>
      <c r="D75" s="36" t="s">
        <v>212</v>
      </c>
      <c r="E75" s="36"/>
      <c r="F75" s="38">
        <v>45341011.5</v>
      </c>
      <c r="G75" s="40">
        <f>VLOOKUP(A75,'DATOS GENERALES'!A:B,2,0)</f>
        <v>1.95</v>
      </c>
      <c r="H75" s="36">
        <f t="shared" si="5"/>
        <v>1.9410299999999998</v>
      </c>
      <c r="I75" s="38">
        <f t="shared" si="6"/>
        <v>23359253.334569793</v>
      </c>
      <c r="J75" s="38">
        <f t="shared" si="7"/>
        <v>21981758.165430207</v>
      </c>
      <c r="K75" s="38">
        <v>6067972.5106575554</v>
      </c>
      <c r="L75" s="38">
        <f t="shared" si="8"/>
        <v>15913785.65477265</v>
      </c>
      <c r="M75" s="41">
        <f>VLOOKUP(INDICADORES!$B$21,'DATOS GENERALES'!$K:$M,3,0)*F75</f>
        <v>308592.11633992929</v>
      </c>
      <c r="N75" s="38">
        <f t="shared" si="9"/>
        <v>15605193.538432721</v>
      </c>
      <c r="O75" s="36"/>
      <c r="P75" s="36"/>
      <c r="Q75" s="36"/>
    </row>
    <row r="76" spans="1:17" x14ac:dyDescent="0.25">
      <c r="A76" s="36">
        <v>1802</v>
      </c>
      <c r="B76" s="37">
        <v>43709</v>
      </c>
      <c r="C76" s="37">
        <v>43751.557491360509</v>
      </c>
      <c r="D76" s="36" t="s">
        <v>212</v>
      </c>
      <c r="E76" s="36"/>
      <c r="F76" s="38">
        <v>28318301.25</v>
      </c>
      <c r="G76" s="40">
        <f>VLOOKUP(A76,'DATOS GENERALES'!A:B,2,0)</f>
        <v>1.95</v>
      </c>
      <c r="H76" s="36">
        <f t="shared" si="5"/>
        <v>1.9410299999999998</v>
      </c>
      <c r="I76" s="38">
        <f t="shared" si="6"/>
        <v>14589316.625709033</v>
      </c>
      <c r="J76" s="38">
        <f t="shared" si="7"/>
        <v>13728984.624290967</v>
      </c>
      <c r="K76" s="38">
        <v>4183066.1631427053</v>
      </c>
      <c r="L76" s="38">
        <f t="shared" si="8"/>
        <v>9545918.461148262</v>
      </c>
      <c r="M76" s="41">
        <f>VLOOKUP(INDICADORES!$B$21,'DATOS GENERALES'!$K:$M,3,0)*F76</f>
        <v>192735.10283045107</v>
      </c>
      <c r="N76" s="38">
        <f t="shared" si="9"/>
        <v>9353183.358317811</v>
      </c>
      <c r="O76" s="36"/>
      <c r="P76" s="36"/>
      <c r="Q76" s="36"/>
    </row>
    <row r="77" spans="1:17" x14ac:dyDescent="0.25">
      <c r="A77" s="36">
        <v>1802</v>
      </c>
      <c r="B77" s="37">
        <v>43739</v>
      </c>
      <c r="C77" s="37">
        <v>43789.0628047012</v>
      </c>
      <c r="D77" s="36" t="s">
        <v>212</v>
      </c>
      <c r="E77" s="36"/>
      <c r="F77" s="38">
        <v>28318301.25</v>
      </c>
      <c r="G77" s="40">
        <f>VLOOKUP(A77,'DATOS GENERALES'!A:B,2,0)</f>
        <v>1.95</v>
      </c>
      <c r="H77" s="36">
        <f t="shared" si="5"/>
        <v>1.9410299999999998</v>
      </c>
      <c r="I77" s="38">
        <f t="shared" si="6"/>
        <v>14589316.625709033</v>
      </c>
      <c r="J77" s="38">
        <f t="shared" si="7"/>
        <v>13728984.624290967</v>
      </c>
      <c r="K77" s="38">
        <v>4539644.3806473557</v>
      </c>
      <c r="L77" s="38">
        <f t="shared" si="8"/>
        <v>9189340.2436436117</v>
      </c>
      <c r="M77" s="41">
        <f>VLOOKUP(INDICADORES!$B$21,'DATOS GENERALES'!$K:$M,3,0)*F77</f>
        <v>192735.10283045107</v>
      </c>
      <c r="N77" s="38">
        <f t="shared" si="9"/>
        <v>8996605.1408131607</v>
      </c>
      <c r="O77" s="36"/>
      <c r="P77" s="36"/>
      <c r="Q77" s="36"/>
    </row>
    <row r="78" spans="1:17" x14ac:dyDescent="0.25">
      <c r="A78" s="36">
        <v>1802</v>
      </c>
      <c r="B78" s="37">
        <v>43770</v>
      </c>
      <c r="C78" s="37">
        <v>43872.760198134711</v>
      </c>
      <c r="D78" s="36" t="s">
        <v>212</v>
      </c>
      <c r="E78" s="36"/>
      <c r="F78" s="38">
        <v>28318301.25</v>
      </c>
      <c r="G78" s="40">
        <f>VLOOKUP(A78,'DATOS GENERALES'!A:B,2,0)</f>
        <v>1.95</v>
      </c>
      <c r="H78" s="36">
        <f t="shared" si="5"/>
        <v>1.9410299999999998</v>
      </c>
      <c r="I78" s="38">
        <f t="shared" si="6"/>
        <v>14589316.625709033</v>
      </c>
      <c r="J78" s="38">
        <f t="shared" si="7"/>
        <v>13728984.624290967</v>
      </c>
      <c r="K78" s="38">
        <v>5957359.3573924471</v>
      </c>
      <c r="L78" s="38">
        <f t="shared" si="8"/>
        <v>7771625.2668985203</v>
      </c>
      <c r="M78" s="41">
        <f>VLOOKUP(INDICADORES!$B$21,'DATOS GENERALES'!$K:$M,3,0)*F78</f>
        <v>192735.10283045107</v>
      </c>
      <c r="N78" s="38">
        <f t="shared" si="9"/>
        <v>7578890.1640680693</v>
      </c>
      <c r="O78" s="36"/>
      <c r="P78" s="36"/>
      <c r="Q78" s="36"/>
    </row>
    <row r="79" spans="1:17" x14ac:dyDescent="0.25">
      <c r="A79" s="36">
        <v>1802</v>
      </c>
      <c r="B79" s="37">
        <v>43800</v>
      </c>
      <c r="C79" s="37">
        <v>43908.885047502328</v>
      </c>
      <c r="D79" s="36" t="s">
        <v>212</v>
      </c>
      <c r="E79" s="36"/>
      <c r="F79" s="38">
        <v>28318301.25</v>
      </c>
      <c r="G79" s="40">
        <f>VLOOKUP(A79,'DATOS GENERALES'!A:B,2,0)</f>
        <v>1.95</v>
      </c>
      <c r="H79" s="36">
        <f t="shared" si="5"/>
        <v>1.9410299999999998</v>
      </c>
      <c r="I79" s="38">
        <f t="shared" si="6"/>
        <v>14589316.625709033</v>
      </c>
      <c r="J79" s="38">
        <f t="shared" si="7"/>
        <v>13728984.624290967</v>
      </c>
      <c r="K79" s="38">
        <v>5138517.5302384375</v>
      </c>
      <c r="L79" s="38">
        <f t="shared" si="8"/>
        <v>8590467.0940525308</v>
      </c>
      <c r="M79" s="41">
        <f>VLOOKUP(INDICADORES!$B$21,'DATOS GENERALES'!$K:$M,3,0)*F79</f>
        <v>192735.10283045107</v>
      </c>
      <c r="N79" s="38">
        <f t="shared" si="9"/>
        <v>8397731.9912220798</v>
      </c>
      <c r="O79" s="36"/>
      <c r="P79" s="36"/>
      <c r="Q79" s="36"/>
    </row>
    <row r="80" spans="1:17" x14ac:dyDescent="0.25">
      <c r="A80" s="36">
        <v>1818</v>
      </c>
      <c r="B80" s="37">
        <v>43466</v>
      </c>
      <c r="C80" s="37">
        <v>43515.240592904476</v>
      </c>
      <c r="D80" s="36" t="s">
        <v>212</v>
      </c>
      <c r="E80" s="36"/>
      <c r="F80" s="38">
        <v>37932512.950000003</v>
      </c>
      <c r="G80" s="40">
        <f>VLOOKUP(A80,'DATOS GENERALES'!A:B,2,0)</f>
        <v>1.1100000000000001</v>
      </c>
      <c r="H80" s="36">
        <f t="shared" si="5"/>
        <v>1.104894</v>
      </c>
      <c r="I80" s="38">
        <f t="shared" si="6"/>
        <v>34331359.343068205</v>
      </c>
      <c r="J80" s="38">
        <f t="shared" si="7"/>
        <v>3601153.6069317982</v>
      </c>
      <c r="K80" s="38">
        <v>7532930.0407244712</v>
      </c>
      <c r="L80" s="38">
        <f t="shared" si="8"/>
        <v>-3931776.4337926731</v>
      </c>
      <c r="M80" s="41">
        <f>VLOOKUP(INDICADORES!$B$21,'DATOS GENERALES'!$K:$M,3,0)*F80</f>
        <v>258169.68043009529</v>
      </c>
      <c r="N80" s="38">
        <f t="shared" si="9"/>
        <v>-4189946.1142227682</v>
      </c>
      <c r="O80" s="36"/>
      <c r="P80" s="36"/>
      <c r="Q80" s="36"/>
    </row>
    <row r="81" spans="1:17" x14ac:dyDescent="0.25">
      <c r="A81" s="36">
        <v>1818</v>
      </c>
      <c r="B81" s="37">
        <v>43497</v>
      </c>
      <c r="C81" s="37">
        <v>43537.574245488002</v>
      </c>
      <c r="D81" s="36" t="s">
        <v>212</v>
      </c>
      <c r="E81" s="36"/>
      <c r="F81" s="38">
        <v>37932512.950000003</v>
      </c>
      <c r="G81" s="40">
        <f>VLOOKUP(A81,'DATOS GENERALES'!A:B,2,0)</f>
        <v>1.1100000000000001</v>
      </c>
      <c r="H81" s="36">
        <f t="shared" si="5"/>
        <v>1.104894</v>
      </c>
      <c r="I81" s="38">
        <f t="shared" si="6"/>
        <v>34331359.343068205</v>
      </c>
      <c r="J81" s="38">
        <f t="shared" si="7"/>
        <v>3601153.6069317982</v>
      </c>
      <c r="K81" s="38">
        <v>7420992.7351698196</v>
      </c>
      <c r="L81" s="38">
        <f t="shared" si="8"/>
        <v>-3819839.1282380214</v>
      </c>
      <c r="M81" s="41">
        <f>VLOOKUP(INDICADORES!$B$21,'DATOS GENERALES'!$K:$M,3,0)*F81</f>
        <v>258169.68043009529</v>
      </c>
      <c r="N81" s="38">
        <f t="shared" si="9"/>
        <v>-4078008.8086681166</v>
      </c>
      <c r="O81" s="36"/>
      <c r="P81" s="36"/>
      <c r="Q81" s="36"/>
    </row>
    <row r="82" spans="1:17" x14ac:dyDescent="0.25">
      <c r="A82" s="36">
        <v>1818</v>
      </c>
      <c r="B82" s="37">
        <v>43525</v>
      </c>
      <c r="C82" s="37">
        <v>43576.735534589374</v>
      </c>
      <c r="D82" s="36" t="s">
        <v>212</v>
      </c>
      <c r="E82" s="36"/>
      <c r="F82" s="38">
        <v>37932512.950000003</v>
      </c>
      <c r="G82" s="40">
        <f>VLOOKUP(A82,'DATOS GENERALES'!A:B,2,0)</f>
        <v>1.1100000000000001</v>
      </c>
      <c r="H82" s="36">
        <f t="shared" si="5"/>
        <v>1.104894</v>
      </c>
      <c r="I82" s="38">
        <f t="shared" si="6"/>
        <v>34331359.343068205</v>
      </c>
      <c r="J82" s="38">
        <f t="shared" si="7"/>
        <v>3601153.6069317982</v>
      </c>
      <c r="K82" s="38">
        <v>5368996.2023031786</v>
      </c>
      <c r="L82" s="38">
        <f t="shared" si="8"/>
        <v>-1767842.5953713804</v>
      </c>
      <c r="M82" s="41">
        <f>VLOOKUP(INDICADORES!$B$21,'DATOS GENERALES'!$K:$M,3,0)*F82</f>
        <v>258169.68043009529</v>
      </c>
      <c r="N82" s="38">
        <f t="shared" si="9"/>
        <v>-2026012.2758014756</v>
      </c>
      <c r="O82" s="36"/>
      <c r="P82" s="36"/>
      <c r="Q82" s="36"/>
    </row>
    <row r="83" spans="1:17" x14ac:dyDescent="0.25">
      <c r="A83" s="36">
        <v>1818</v>
      </c>
      <c r="B83" s="37">
        <v>43556</v>
      </c>
      <c r="C83" s="37">
        <v>43602.079643524768</v>
      </c>
      <c r="D83" s="36" t="s">
        <v>212</v>
      </c>
      <c r="E83" s="36"/>
      <c r="F83" s="38">
        <v>37932512.950000003</v>
      </c>
      <c r="G83" s="40">
        <f>VLOOKUP(A83,'DATOS GENERALES'!A:B,2,0)</f>
        <v>1.1100000000000001</v>
      </c>
      <c r="H83" s="36">
        <f t="shared" si="5"/>
        <v>1.104894</v>
      </c>
      <c r="I83" s="38">
        <f t="shared" si="6"/>
        <v>34331359.343068205</v>
      </c>
      <c r="J83" s="38">
        <f t="shared" si="7"/>
        <v>3601153.6069317982</v>
      </c>
      <c r="K83" s="38">
        <v>5519732.7474109624</v>
      </c>
      <c r="L83" s="38">
        <f t="shared" si="8"/>
        <v>-1918579.1404791642</v>
      </c>
      <c r="M83" s="41">
        <f>VLOOKUP(INDICADORES!$B$21,'DATOS GENERALES'!$K:$M,3,0)*F83</f>
        <v>258169.68043009529</v>
      </c>
      <c r="N83" s="38">
        <f t="shared" si="9"/>
        <v>-2176748.8209092594</v>
      </c>
      <c r="O83" s="36"/>
      <c r="P83" s="36"/>
      <c r="Q83" s="36"/>
    </row>
    <row r="84" spans="1:17" x14ac:dyDescent="0.25">
      <c r="A84" s="36">
        <v>1818</v>
      </c>
      <c r="B84" s="37">
        <v>43586</v>
      </c>
      <c r="C84" s="37">
        <v>43667.960787812633</v>
      </c>
      <c r="D84" s="36" t="s">
        <v>212</v>
      </c>
      <c r="E84" s="36"/>
      <c r="F84" s="38">
        <v>37932512.950000003</v>
      </c>
      <c r="G84" s="40">
        <f>VLOOKUP(A84,'DATOS GENERALES'!A:B,2,0)</f>
        <v>1.1100000000000001</v>
      </c>
      <c r="H84" s="36">
        <f t="shared" si="5"/>
        <v>1.104894</v>
      </c>
      <c r="I84" s="38">
        <f t="shared" si="6"/>
        <v>34331359.343068205</v>
      </c>
      <c r="J84" s="38">
        <f t="shared" si="7"/>
        <v>3601153.6069317982</v>
      </c>
      <c r="K84" s="38">
        <v>4553393.4971639346</v>
      </c>
      <c r="L84" s="38">
        <f t="shared" si="8"/>
        <v>-952239.89023213647</v>
      </c>
      <c r="M84" s="41">
        <f>VLOOKUP(INDICADORES!$B$21,'DATOS GENERALES'!$K:$M,3,0)*F84</f>
        <v>258169.68043009529</v>
      </c>
      <c r="N84" s="38">
        <f t="shared" si="9"/>
        <v>-1210409.5706622317</v>
      </c>
      <c r="O84" s="36"/>
      <c r="P84" s="36"/>
      <c r="Q84" s="36"/>
    </row>
    <row r="85" spans="1:17" x14ac:dyDescent="0.25">
      <c r="A85" s="36">
        <v>1818</v>
      </c>
      <c r="B85" s="37">
        <v>43617</v>
      </c>
      <c r="C85" s="37">
        <v>43676.181603979559</v>
      </c>
      <c r="D85" s="36" t="s">
        <v>212</v>
      </c>
      <c r="E85" s="36"/>
      <c r="F85" s="38">
        <v>37932512.950000003</v>
      </c>
      <c r="G85" s="40">
        <f>VLOOKUP(A85,'DATOS GENERALES'!A:B,2,0)</f>
        <v>1.1100000000000001</v>
      </c>
      <c r="H85" s="36">
        <f t="shared" si="5"/>
        <v>1.104894</v>
      </c>
      <c r="I85" s="38">
        <f t="shared" si="6"/>
        <v>34331359.343068205</v>
      </c>
      <c r="J85" s="38">
        <f t="shared" si="7"/>
        <v>3601153.6069317982</v>
      </c>
      <c r="K85" s="38">
        <v>5114377.8774026074</v>
      </c>
      <c r="L85" s="38">
        <f t="shared" si="8"/>
        <v>-1513224.2704708092</v>
      </c>
      <c r="M85" s="41">
        <f>VLOOKUP(INDICADORES!$B$21,'DATOS GENERALES'!$K:$M,3,0)*F85</f>
        <v>258169.68043009529</v>
      </c>
      <c r="N85" s="38">
        <f t="shared" si="9"/>
        <v>-1771393.9509009044</v>
      </c>
      <c r="O85" s="36"/>
      <c r="P85" s="36"/>
      <c r="Q85" s="36"/>
    </row>
    <row r="86" spans="1:17" x14ac:dyDescent="0.25">
      <c r="A86" s="36">
        <v>1818</v>
      </c>
      <c r="B86" s="37">
        <v>43647</v>
      </c>
      <c r="C86" s="37">
        <v>43697.561992063624</v>
      </c>
      <c r="D86" s="36" t="s">
        <v>212</v>
      </c>
      <c r="E86" s="36"/>
      <c r="F86" s="38">
        <v>35575919.200000003</v>
      </c>
      <c r="G86" s="40">
        <f>VLOOKUP(A86,'DATOS GENERALES'!A:B,2,0)</f>
        <v>1.1100000000000001</v>
      </c>
      <c r="H86" s="36">
        <f t="shared" si="5"/>
        <v>1.104894</v>
      </c>
      <c r="I86" s="38">
        <f t="shared" si="6"/>
        <v>32198490.714946412</v>
      </c>
      <c r="J86" s="38">
        <f t="shared" si="7"/>
        <v>3377428.4850535914</v>
      </c>
      <c r="K86" s="38">
        <v>8329454.1422320269</v>
      </c>
      <c r="L86" s="38">
        <f t="shared" si="8"/>
        <v>-4952025.6571784355</v>
      </c>
      <c r="M86" s="41">
        <f>VLOOKUP(INDICADORES!$B$21,'DATOS GENERALES'!$K:$M,3,0)*F86</f>
        <v>242130.64140984867</v>
      </c>
      <c r="N86" s="38">
        <f t="shared" si="9"/>
        <v>-5194156.2985882843</v>
      </c>
      <c r="O86" s="36"/>
      <c r="P86" s="36"/>
      <c r="Q86" s="36"/>
    </row>
    <row r="87" spans="1:17" x14ac:dyDescent="0.25">
      <c r="A87" s="36">
        <v>1818</v>
      </c>
      <c r="B87" s="37">
        <v>43678</v>
      </c>
      <c r="C87" s="37">
        <v>43762.48155372667</v>
      </c>
      <c r="D87" s="36" t="s">
        <v>212</v>
      </c>
      <c r="E87" s="36"/>
      <c r="F87" s="38">
        <v>35575919.200000003</v>
      </c>
      <c r="G87" s="40">
        <f>VLOOKUP(A87,'DATOS GENERALES'!A:B,2,0)</f>
        <v>1.1100000000000001</v>
      </c>
      <c r="H87" s="36">
        <f t="shared" si="5"/>
        <v>1.104894</v>
      </c>
      <c r="I87" s="38">
        <f t="shared" si="6"/>
        <v>32198490.714946412</v>
      </c>
      <c r="J87" s="38">
        <f t="shared" si="7"/>
        <v>3377428.4850535914</v>
      </c>
      <c r="K87" s="38">
        <v>8364118.2252093451</v>
      </c>
      <c r="L87" s="38">
        <f t="shared" si="8"/>
        <v>-4986689.7401557537</v>
      </c>
      <c r="M87" s="41">
        <f>VLOOKUP(INDICADORES!$B$21,'DATOS GENERALES'!$K:$M,3,0)*F87</f>
        <v>242130.64140984867</v>
      </c>
      <c r="N87" s="38">
        <f t="shared" si="9"/>
        <v>-5228820.3815656025</v>
      </c>
      <c r="O87" s="36"/>
      <c r="P87" s="36"/>
      <c r="Q87" s="36"/>
    </row>
    <row r="88" spans="1:17" x14ac:dyDescent="0.25">
      <c r="A88" s="36">
        <v>1818</v>
      </c>
      <c r="B88" s="37">
        <v>43709</v>
      </c>
      <c r="C88" s="37">
        <v>43746.292750708511</v>
      </c>
      <c r="D88" s="36" t="s">
        <v>212</v>
      </c>
      <c r="E88" s="36"/>
      <c r="F88" s="38">
        <v>35195556.700000003</v>
      </c>
      <c r="G88" s="40">
        <f>VLOOKUP(A88,'DATOS GENERALES'!A:B,2,0)</f>
        <v>1.1100000000000001</v>
      </c>
      <c r="H88" s="36">
        <f t="shared" si="5"/>
        <v>1.104894</v>
      </c>
      <c r="I88" s="38">
        <f t="shared" si="6"/>
        <v>31854238.234617982</v>
      </c>
      <c r="J88" s="38">
        <f t="shared" si="7"/>
        <v>3341318.4653820209</v>
      </c>
      <c r="K88" s="38">
        <v>9133284.9598389827</v>
      </c>
      <c r="L88" s="38">
        <f t="shared" si="8"/>
        <v>-5791966.4944569618</v>
      </c>
      <c r="M88" s="41">
        <f>VLOOKUP(INDICADORES!$B$21,'DATOS GENERALES'!$K:$M,3,0)*F88</f>
        <v>239541.88423465099</v>
      </c>
      <c r="N88" s="38">
        <f t="shared" si="9"/>
        <v>-6031508.3786916127</v>
      </c>
      <c r="O88" s="36"/>
      <c r="P88" s="36"/>
      <c r="Q88" s="36"/>
    </row>
    <row r="89" spans="1:17" x14ac:dyDescent="0.25">
      <c r="A89" s="36">
        <v>1818</v>
      </c>
      <c r="B89" s="37">
        <v>43739</v>
      </c>
      <c r="C89" s="37">
        <v>43789.525235042296</v>
      </c>
      <c r="D89" s="36" t="s">
        <v>212</v>
      </c>
      <c r="E89" s="36"/>
      <c r="F89" s="38">
        <v>35195556.700000003</v>
      </c>
      <c r="G89" s="40">
        <f>VLOOKUP(A89,'DATOS GENERALES'!A:B,2,0)</f>
        <v>1.1100000000000001</v>
      </c>
      <c r="H89" s="36">
        <f t="shared" si="5"/>
        <v>1.104894</v>
      </c>
      <c r="I89" s="38">
        <f t="shared" si="6"/>
        <v>31854238.234617982</v>
      </c>
      <c r="J89" s="38">
        <f t="shared" si="7"/>
        <v>3341318.4653820209</v>
      </c>
      <c r="K89" s="38">
        <v>9911835.9900944196</v>
      </c>
      <c r="L89" s="38">
        <f t="shared" si="8"/>
        <v>-6570517.5247123986</v>
      </c>
      <c r="M89" s="41">
        <f>VLOOKUP(INDICADORES!$B$21,'DATOS GENERALES'!$K:$M,3,0)*F89</f>
        <v>239541.88423465099</v>
      </c>
      <c r="N89" s="38">
        <f t="shared" si="9"/>
        <v>-6810059.4089470496</v>
      </c>
      <c r="O89" s="36"/>
      <c r="P89" s="36"/>
      <c r="Q89" s="36"/>
    </row>
    <row r="90" spans="1:17" x14ac:dyDescent="0.25">
      <c r="A90" s="36">
        <v>1818</v>
      </c>
      <c r="B90" s="37">
        <v>43770</v>
      </c>
      <c r="C90" s="37">
        <v>43814.850445110642</v>
      </c>
      <c r="D90" s="36" t="s">
        <v>212</v>
      </c>
      <c r="E90" s="36"/>
      <c r="F90" s="38">
        <v>35195556.700000003</v>
      </c>
      <c r="G90" s="40">
        <f>VLOOKUP(A90,'DATOS GENERALES'!A:B,2,0)</f>
        <v>1.1100000000000001</v>
      </c>
      <c r="H90" s="36">
        <f t="shared" si="5"/>
        <v>1.104894</v>
      </c>
      <c r="I90" s="38">
        <f t="shared" si="6"/>
        <v>31854238.234617982</v>
      </c>
      <c r="J90" s="38">
        <f t="shared" si="7"/>
        <v>3341318.4653820209</v>
      </c>
      <c r="K90" s="38">
        <v>13007267.515546644</v>
      </c>
      <c r="L90" s="38">
        <f t="shared" si="8"/>
        <v>-9665949.0501646232</v>
      </c>
      <c r="M90" s="41">
        <f>VLOOKUP(INDICADORES!$B$21,'DATOS GENERALES'!$K:$M,3,0)*F90</f>
        <v>239541.88423465099</v>
      </c>
      <c r="N90" s="38">
        <f t="shared" si="9"/>
        <v>-9905490.9343992732</v>
      </c>
      <c r="O90" s="36"/>
      <c r="P90" s="36"/>
      <c r="Q90" s="36"/>
    </row>
    <row r="91" spans="1:17" x14ac:dyDescent="0.25">
      <c r="A91" s="36">
        <v>1818</v>
      </c>
      <c r="B91" s="37">
        <v>43800</v>
      </c>
      <c r="C91" s="37">
        <v>43857.647238135753</v>
      </c>
      <c r="D91" s="36" t="s">
        <v>212</v>
      </c>
      <c r="E91" s="36"/>
      <c r="F91" s="38">
        <v>31409130.699999999</v>
      </c>
      <c r="G91" s="40">
        <f>VLOOKUP(A91,'DATOS GENERALES'!A:B,2,0)</f>
        <v>1.1100000000000001</v>
      </c>
      <c r="H91" s="36">
        <f t="shared" si="5"/>
        <v>1.104894</v>
      </c>
      <c r="I91" s="38">
        <f t="shared" si="6"/>
        <v>28427279.630444184</v>
      </c>
      <c r="J91" s="38">
        <f t="shared" si="7"/>
        <v>2981851.0695558153</v>
      </c>
      <c r="K91" s="38">
        <v>10012400.064072801</v>
      </c>
      <c r="L91" s="38">
        <f t="shared" si="8"/>
        <v>-7030548.9945169855</v>
      </c>
      <c r="M91" s="41">
        <f>VLOOKUP(INDICADORES!$B$21,'DATOS GENERALES'!$K:$M,3,0)*F91</f>
        <v>213771.36932885682</v>
      </c>
      <c r="N91" s="38">
        <f t="shared" si="9"/>
        <v>-7244320.363845842</v>
      </c>
      <c r="O91" s="36"/>
      <c r="P91" s="36"/>
      <c r="Q91" s="36"/>
    </row>
    <row r="92" spans="1:17" x14ac:dyDescent="0.25">
      <c r="A92" s="36">
        <v>1829</v>
      </c>
      <c r="B92" s="37">
        <v>43466</v>
      </c>
      <c r="C92" s="37">
        <v>43531.488157782878</v>
      </c>
      <c r="D92" s="36" t="s">
        <v>212</v>
      </c>
      <c r="E92" s="36"/>
      <c r="F92" s="38">
        <v>71699753.276983202</v>
      </c>
      <c r="G92" s="40">
        <f>VLOOKUP(A92,'DATOS GENERALES'!A:B,2,0)</f>
        <v>1.35</v>
      </c>
      <c r="H92" s="36">
        <f t="shared" si="5"/>
        <v>1.34379</v>
      </c>
      <c r="I92" s="38">
        <f t="shared" si="6"/>
        <v>53356367.644485518</v>
      </c>
      <c r="J92" s="38">
        <f t="shared" si="7"/>
        <v>18343385.632497683</v>
      </c>
      <c r="K92" s="38">
        <v>11707365.871437222</v>
      </c>
      <c r="L92" s="38">
        <f t="shared" si="8"/>
        <v>6636019.7610604614</v>
      </c>
      <c r="M92" s="41">
        <f>VLOOKUP(INDICADORES!$B$21,'DATOS GENERALES'!$K:$M,3,0)*F92</f>
        <v>487990.40587780066</v>
      </c>
      <c r="N92" s="38">
        <f t="shared" si="9"/>
        <v>6148029.3551826607</v>
      </c>
      <c r="O92" s="36"/>
      <c r="P92" s="36"/>
      <c r="Q92" s="36"/>
    </row>
    <row r="93" spans="1:17" x14ac:dyDescent="0.25">
      <c r="A93" s="36">
        <v>1829</v>
      </c>
      <c r="B93" s="37">
        <v>43497</v>
      </c>
      <c r="C93" s="37">
        <v>43562.560537497156</v>
      </c>
      <c r="D93" s="36" t="s">
        <v>212</v>
      </c>
      <c r="E93" s="36"/>
      <c r="F93" s="38">
        <v>71699753.276983202</v>
      </c>
      <c r="G93" s="40">
        <f>VLOOKUP(A93,'DATOS GENERALES'!A:B,2,0)</f>
        <v>1.35</v>
      </c>
      <c r="H93" s="36">
        <f t="shared" si="5"/>
        <v>1.34379</v>
      </c>
      <c r="I93" s="38">
        <f t="shared" si="6"/>
        <v>53356367.644485518</v>
      </c>
      <c r="J93" s="38">
        <f t="shared" si="7"/>
        <v>18343385.632497683</v>
      </c>
      <c r="K93" s="38">
        <v>11533397.577067515</v>
      </c>
      <c r="L93" s="38">
        <f t="shared" si="8"/>
        <v>6809988.0554301683</v>
      </c>
      <c r="M93" s="41">
        <f>VLOOKUP(INDICADORES!$B$21,'DATOS GENERALES'!$K:$M,3,0)*F93</f>
        <v>487990.40587780066</v>
      </c>
      <c r="N93" s="38">
        <f t="shared" si="9"/>
        <v>6321997.6495523676</v>
      </c>
      <c r="O93" s="36"/>
      <c r="P93" s="36"/>
      <c r="Q93" s="36"/>
    </row>
    <row r="94" spans="1:17" x14ac:dyDescent="0.25">
      <c r="A94" s="36">
        <v>1829</v>
      </c>
      <c r="B94" s="37">
        <v>43525</v>
      </c>
      <c r="C94" s="37">
        <v>43557.20085483732</v>
      </c>
      <c r="D94" s="36" t="s">
        <v>212</v>
      </c>
      <c r="E94" s="36"/>
      <c r="F94" s="38">
        <v>71699753.276983202</v>
      </c>
      <c r="G94" s="40">
        <f>VLOOKUP(A94,'DATOS GENERALES'!A:B,2,0)</f>
        <v>1.35</v>
      </c>
      <c r="H94" s="36">
        <f t="shared" si="5"/>
        <v>1.34379</v>
      </c>
      <c r="I94" s="38">
        <f t="shared" si="6"/>
        <v>53356367.644485518</v>
      </c>
      <c r="J94" s="38">
        <f t="shared" si="7"/>
        <v>18343385.632497683</v>
      </c>
      <c r="K94" s="38">
        <v>8344270.0998023758</v>
      </c>
      <c r="L94" s="38">
        <f t="shared" si="8"/>
        <v>9999115.5326953083</v>
      </c>
      <c r="M94" s="41">
        <f>VLOOKUP(INDICADORES!$B$21,'DATOS GENERALES'!$K:$M,3,0)*F94</f>
        <v>487990.40587780066</v>
      </c>
      <c r="N94" s="38">
        <f t="shared" si="9"/>
        <v>9511125.1268175077</v>
      </c>
      <c r="O94" s="36"/>
      <c r="P94" s="36"/>
      <c r="Q94" s="36"/>
    </row>
    <row r="95" spans="1:17" x14ac:dyDescent="0.25">
      <c r="A95" s="36">
        <v>1829</v>
      </c>
      <c r="B95" s="37">
        <v>43556</v>
      </c>
      <c r="C95" s="37">
        <v>43609.234518501253</v>
      </c>
      <c r="D95" s="36" t="s">
        <v>212</v>
      </c>
      <c r="E95" s="36"/>
      <c r="F95" s="38">
        <v>71699753.276983202</v>
      </c>
      <c r="G95" s="40">
        <f>VLOOKUP(A95,'DATOS GENERALES'!A:B,2,0)</f>
        <v>1.35</v>
      </c>
      <c r="H95" s="36">
        <f t="shared" si="5"/>
        <v>1.34379</v>
      </c>
      <c r="I95" s="38">
        <f t="shared" si="6"/>
        <v>53356367.644485518</v>
      </c>
      <c r="J95" s="38">
        <f t="shared" si="7"/>
        <v>18343385.632497683</v>
      </c>
      <c r="K95" s="38">
        <v>8578538.5550027788</v>
      </c>
      <c r="L95" s="38">
        <f t="shared" si="8"/>
        <v>9764847.0774949044</v>
      </c>
      <c r="M95" s="41">
        <f>VLOOKUP(INDICADORES!$B$21,'DATOS GENERALES'!$K:$M,3,0)*F95</f>
        <v>487990.40587780066</v>
      </c>
      <c r="N95" s="38">
        <f t="shared" si="9"/>
        <v>9276856.6716171037</v>
      </c>
      <c r="O95" s="36"/>
      <c r="P95" s="36"/>
      <c r="Q95" s="36"/>
    </row>
    <row r="96" spans="1:17" x14ac:dyDescent="0.25">
      <c r="A96" s="36">
        <v>1829</v>
      </c>
      <c r="B96" s="37">
        <v>43586</v>
      </c>
      <c r="C96" s="37">
        <v>43637.868721787636</v>
      </c>
      <c r="D96" s="36" t="s">
        <v>212</v>
      </c>
      <c r="E96" s="36"/>
      <c r="F96" s="38">
        <v>71699753.276983202</v>
      </c>
      <c r="G96" s="40">
        <f>VLOOKUP(A96,'DATOS GENERALES'!A:B,2,0)</f>
        <v>1.35</v>
      </c>
      <c r="H96" s="36">
        <f t="shared" si="5"/>
        <v>1.34379</v>
      </c>
      <c r="I96" s="38">
        <f t="shared" si="6"/>
        <v>53356367.644485518</v>
      </c>
      <c r="J96" s="38">
        <f t="shared" si="7"/>
        <v>18343385.632497683</v>
      </c>
      <c r="K96" s="38">
        <v>7076694.3725385191</v>
      </c>
      <c r="L96" s="38">
        <f t="shared" si="8"/>
        <v>11266691.259959165</v>
      </c>
      <c r="M96" s="41">
        <f>VLOOKUP(INDICADORES!$B$21,'DATOS GENERALES'!$K:$M,3,0)*F96</f>
        <v>487990.40587780066</v>
      </c>
      <c r="N96" s="38">
        <f t="shared" si="9"/>
        <v>10778700.854081364</v>
      </c>
      <c r="O96" s="36"/>
      <c r="P96" s="36"/>
      <c r="Q96" s="36"/>
    </row>
    <row r="97" spans="1:17" x14ac:dyDescent="0.25">
      <c r="A97" s="36">
        <v>1829</v>
      </c>
      <c r="B97" s="37">
        <v>43617</v>
      </c>
      <c r="C97" s="37">
        <v>43648.837682362398</v>
      </c>
      <c r="D97" s="36" t="s">
        <v>212</v>
      </c>
      <c r="E97" s="36"/>
      <c r="F97" s="38">
        <v>71699753.276983202</v>
      </c>
      <c r="G97" s="40">
        <f>VLOOKUP(A97,'DATOS GENERALES'!A:B,2,0)</f>
        <v>1.35</v>
      </c>
      <c r="H97" s="36">
        <f t="shared" si="5"/>
        <v>1.34379</v>
      </c>
      <c r="I97" s="38">
        <f t="shared" si="6"/>
        <v>53356367.644485518</v>
      </c>
      <c r="J97" s="38">
        <f t="shared" si="7"/>
        <v>18343385.632497683</v>
      </c>
      <c r="K97" s="38">
        <v>7948552.9125899505</v>
      </c>
      <c r="L97" s="38">
        <f t="shared" si="8"/>
        <v>10394832.719907733</v>
      </c>
      <c r="M97" s="41">
        <f>VLOOKUP(INDICADORES!$B$21,'DATOS GENERALES'!$K:$M,3,0)*F97</f>
        <v>487990.40587780066</v>
      </c>
      <c r="N97" s="38">
        <f t="shared" si="9"/>
        <v>9906842.314029932</v>
      </c>
      <c r="O97" s="36"/>
      <c r="P97" s="36"/>
      <c r="Q97" s="36"/>
    </row>
    <row r="98" spans="1:17" x14ac:dyDescent="0.25">
      <c r="A98" s="36">
        <v>1829</v>
      </c>
      <c r="B98" s="37">
        <v>43647</v>
      </c>
      <c r="C98" s="37">
        <v>43710.646632035649</v>
      </c>
      <c r="D98" s="36" t="s">
        <v>212</v>
      </c>
      <c r="E98" s="36"/>
      <c r="F98" s="38">
        <v>71699753.276983202</v>
      </c>
      <c r="G98" s="40">
        <f>VLOOKUP(A98,'DATOS GENERALES'!A:B,2,0)</f>
        <v>1.35</v>
      </c>
      <c r="H98" s="36">
        <f t="shared" si="5"/>
        <v>1.34379</v>
      </c>
      <c r="I98" s="38">
        <f t="shared" si="6"/>
        <v>53356367.644485518</v>
      </c>
      <c r="J98" s="38">
        <f t="shared" si="7"/>
        <v>18343385.632497683</v>
      </c>
      <c r="K98" s="38">
        <v>13802802.790520627</v>
      </c>
      <c r="L98" s="38">
        <f t="shared" si="8"/>
        <v>4540582.8419770561</v>
      </c>
      <c r="M98" s="41">
        <f>VLOOKUP(INDICADORES!$B$21,'DATOS GENERALES'!$K:$M,3,0)*F98</f>
        <v>487990.40587780066</v>
      </c>
      <c r="N98" s="38">
        <f t="shared" si="9"/>
        <v>4052592.4360992555</v>
      </c>
      <c r="O98" s="36"/>
      <c r="P98" s="36"/>
      <c r="Q98" s="36"/>
    </row>
    <row r="99" spans="1:17" x14ac:dyDescent="0.25">
      <c r="A99" s="36">
        <v>1829</v>
      </c>
      <c r="B99" s="37">
        <v>43678</v>
      </c>
      <c r="C99" s="37">
        <v>43763.081459482819</v>
      </c>
      <c r="D99" s="36" t="s">
        <v>212</v>
      </c>
      <c r="E99" s="36"/>
      <c r="F99" s="38">
        <v>71699753.276983202</v>
      </c>
      <c r="G99" s="40">
        <f>VLOOKUP(A99,'DATOS GENERALES'!A:B,2,0)</f>
        <v>1.35</v>
      </c>
      <c r="H99" s="36">
        <f t="shared" si="5"/>
        <v>1.34379</v>
      </c>
      <c r="I99" s="38">
        <f t="shared" si="6"/>
        <v>53356367.644485518</v>
      </c>
      <c r="J99" s="38">
        <f t="shared" si="7"/>
        <v>18343385.632497683</v>
      </c>
      <c r="K99" s="38">
        <v>13860244.910145761</v>
      </c>
      <c r="L99" s="38">
        <f t="shared" si="8"/>
        <v>4483140.7223519217</v>
      </c>
      <c r="M99" s="41">
        <f>VLOOKUP(INDICADORES!$B$21,'DATOS GENERALES'!$K:$M,3,0)*F99</f>
        <v>487990.40587780066</v>
      </c>
      <c r="N99" s="38">
        <f t="shared" si="9"/>
        <v>3995150.3164741211</v>
      </c>
      <c r="O99" s="36"/>
      <c r="P99" s="36"/>
      <c r="Q99" s="36"/>
    </row>
    <row r="100" spans="1:17" x14ac:dyDescent="0.25">
      <c r="A100" s="36">
        <v>1829</v>
      </c>
      <c r="B100" s="37">
        <v>43709</v>
      </c>
      <c r="C100" s="37">
        <v>43777.774260437349</v>
      </c>
      <c r="D100" s="36" t="s">
        <v>212</v>
      </c>
      <c r="E100" s="36"/>
      <c r="F100" s="38">
        <v>71699753.276983202</v>
      </c>
      <c r="G100" s="40">
        <f>VLOOKUP(A100,'DATOS GENERALES'!A:B,2,0)</f>
        <v>1.35</v>
      </c>
      <c r="H100" s="36">
        <f t="shared" si="5"/>
        <v>1.34379</v>
      </c>
      <c r="I100" s="38">
        <f t="shared" si="6"/>
        <v>53356367.644485518</v>
      </c>
      <c r="J100" s="38">
        <f t="shared" si="7"/>
        <v>18343385.632497683</v>
      </c>
      <c r="K100" s="38">
        <v>15298401.001767455</v>
      </c>
      <c r="L100" s="38">
        <f t="shared" si="8"/>
        <v>3044984.6307302285</v>
      </c>
      <c r="M100" s="41">
        <f>VLOOKUP(INDICADORES!$B$21,'DATOS GENERALES'!$K:$M,3,0)*F100</f>
        <v>487990.40587780066</v>
      </c>
      <c r="N100" s="38">
        <f t="shared" si="9"/>
        <v>2556994.2248524278</v>
      </c>
      <c r="O100" s="36"/>
      <c r="P100" s="36"/>
      <c r="Q100" s="36"/>
    </row>
    <row r="101" spans="1:17" x14ac:dyDescent="0.25">
      <c r="A101" s="36">
        <v>1829</v>
      </c>
      <c r="B101" s="37">
        <v>43739</v>
      </c>
      <c r="C101" s="37">
        <v>43800.549156182882</v>
      </c>
      <c r="D101" s="36" t="s">
        <v>212</v>
      </c>
      <c r="E101" s="36"/>
      <c r="F101" s="38">
        <v>71699753.276983202</v>
      </c>
      <c r="G101" s="40">
        <f>VLOOKUP(A101,'DATOS GENERALES'!A:B,2,0)</f>
        <v>1.35</v>
      </c>
      <c r="H101" s="36">
        <f t="shared" si="5"/>
        <v>1.34379</v>
      </c>
      <c r="I101" s="38">
        <f t="shared" si="6"/>
        <v>53356367.644485518</v>
      </c>
      <c r="J101" s="38">
        <f t="shared" si="7"/>
        <v>18343385.632497683</v>
      </c>
      <c r="K101" s="38">
        <v>16602486.652610525</v>
      </c>
      <c r="L101" s="38">
        <f t="shared" si="8"/>
        <v>1740898.9798871577</v>
      </c>
      <c r="M101" s="41">
        <f>VLOOKUP(INDICADORES!$B$21,'DATOS GENERALES'!$K:$M,3,0)*F101</f>
        <v>487990.40587780066</v>
      </c>
      <c r="N101" s="38">
        <f t="shared" si="9"/>
        <v>1252908.574009357</v>
      </c>
      <c r="O101" s="36"/>
      <c r="P101" s="36"/>
      <c r="Q101" s="36"/>
    </row>
    <row r="102" spans="1:17" x14ac:dyDescent="0.25">
      <c r="A102" s="36">
        <v>1829</v>
      </c>
      <c r="B102" s="37">
        <v>43770</v>
      </c>
      <c r="C102" s="37">
        <v>43842.025837585272</v>
      </c>
      <c r="D102" s="36" t="s">
        <v>212</v>
      </c>
      <c r="E102" s="36"/>
      <c r="F102" s="38">
        <v>71699753.276983202</v>
      </c>
      <c r="G102" s="40">
        <f>VLOOKUP(A102,'DATOS GENERALES'!A:B,2,0)</f>
        <v>1.35</v>
      </c>
      <c r="H102" s="36">
        <f t="shared" si="5"/>
        <v>1.34379</v>
      </c>
      <c r="I102" s="38">
        <f t="shared" si="6"/>
        <v>53356367.644485518</v>
      </c>
      <c r="J102" s="38">
        <f t="shared" si="7"/>
        <v>18343385.632497683</v>
      </c>
      <c r="K102" s="38">
        <v>21787384.852777466</v>
      </c>
      <c r="L102" s="38">
        <f t="shared" si="8"/>
        <v>-3443999.220279783</v>
      </c>
      <c r="M102" s="41">
        <f>VLOOKUP(INDICADORES!$B$21,'DATOS GENERALES'!$K:$M,3,0)*F102</f>
        <v>487990.40587780066</v>
      </c>
      <c r="N102" s="38">
        <f t="shared" si="9"/>
        <v>-3931989.6261575837</v>
      </c>
      <c r="O102" s="36"/>
      <c r="P102" s="36"/>
      <c r="Q102" s="36"/>
    </row>
    <row r="103" spans="1:17" x14ac:dyDescent="0.25">
      <c r="A103" s="36">
        <v>1829</v>
      </c>
      <c r="B103" s="37">
        <v>43800</v>
      </c>
      <c r="C103" s="37">
        <v>43840.064699135757</v>
      </c>
      <c r="D103" s="36" t="s">
        <v>212</v>
      </c>
      <c r="E103" s="36"/>
      <c r="F103" s="38">
        <v>71699753.276983202</v>
      </c>
      <c r="G103" s="40">
        <f>VLOOKUP(A103,'DATOS GENERALES'!A:B,2,0)</f>
        <v>1.35</v>
      </c>
      <c r="H103" s="36">
        <f t="shared" si="5"/>
        <v>1.34379</v>
      </c>
      <c r="I103" s="38">
        <f t="shared" si="6"/>
        <v>53356367.644485518</v>
      </c>
      <c r="J103" s="38">
        <f t="shared" si="7"/>
        <v>18343385.632497683</v>
      </c>
      <c r="K103" s="38">
        <v>18792698.624957781</v>
      </c>
      <c r="L103" s="38">
        <f t="shared" si="8"/>
        <v>-449312.99246009812</v>
      </c>
      <c r="M103" s="41">
        <f>VLOOKUP(INDICADORES!$B$21,'DATOS GENERALES'!$K:$M,3,0)*F103</f>
        <v>487990.40587780066</v>
      </c>
      <c r="N103" s="38">
        <f t="shared" si="9"/>
        <v>-937303.39833789878</v>
      </c>
      <c r="O103" s="36"/>
      <c r="P103" s="36"/>
      <c r="Q103" s="36"/>
    </row>
    <row r="104" spans="1:17" x14ac:dyDescent="0.25">
      <c r="A104" s="36">
        <v>1829</v>
      </c>
      <c r="B104" s="37">
        <v>43831</v>
      </c>
      <c r="C104" s="37">
        <v>43901.321251347348</v>
      </c>
      <c r="D104" s="36" t="s">
        <v>212</v>
      </c>
      <c r="E104" s="36"/>
      <c r="F104" s="38">
        <v>65878695.026983202</v>
      </c>
      <c r="G104" s="40">
        <f>VLOOKUP(A104,'DATOS GENERALES'!A:B,2,0)</f>
        <v>1.35</v>
      </c>
      <c r="H104" s="36">
        <f t="shared" si="5"/>
        <v>1.34379</v>
      </c>
      <c r="I104" s="38">
        <f t="shared" si="6"/>
        <v>49024546.266145155</v>
      </c>
      <c r="J104" s="38">
        <f t="shared" si="7"/>
        <v>16854148.760838047</v>
      </c>
      <c r="K104" s="38" t="s">
        <v>213</v>
      </c>
      <c r="L104" s="38" t="str">
        <f t="shared" si="8"/>
        <v/>
      </c>
      <c r="M104" s="41">
        <f>VLOOKUP(INDICADORES!$B$21,'DATOS GENERALES'!$K:$M,3,0)*F104</f>
        <v>448372.13038552355</v>
      </c>
      <c r="N104" s="38" t="str">
        <f t="shared" si="9"/>
        <v/>
      </c>
      <c r="O104" s="36"/>
      <c r="P104" s="36"/>
      <c r="Q104" s="36"/>
    </row>
    <row r="105" spans="1:17" x14ac:dyDescent="0.25">
      <c r="A105" s="36">
        <v>1829</v>
      </c>
      <c r="B105" s="37">
        <v>43862</v>
      </c>
      <c r="C105" s="37">
        <v>43905.185054695219</v>
      </c>
      <c r="D105" s="36" t="s">
        <v>212</v>
      </c>
      <c r="E105" s="36"/>
      <c r="F105" s="38">
        <v>65878695.026983202</v>
      </c>
      <c r="G105" s="40">
        <f>VLOOKUP(A105,'DATOS GENERALES'!A:B,2,0)</f>
        <v>1.35</v>
      </c>
      <c r="H105" s="36">
        <f t="shared" si="5"/>
        <v>1.34379</v>
      </c>
      <c r="I105" s="38">
        <f t="shared" si="6"/>
        <v>49024546.266145155</v>
      </c>
      <c r="J105" s="38">
        <f t="shared" si="7"/>
        <v>16854148.760838047</v>
      </c>
      <c r="K105" s="38" t="s">
        <v>213</v>
      </c>
      <c r="L105" s="38" t="str">
        <f t="shared" si="8"/>
        <v/>
      </c>
      <c r="M105" s="41">
        <f>VLOOKUP(INDICADORES!$B$21,'DATOS GENERALES'!$K:$M,3,0)*F105</f>
        <v>448372.13038552355</v>
      </c>
      <c r="N105" s="38" t="str">
        <f t="shared" si="9"/>
        <v/>
      </c>
      <c r="O105" s="36"/>
      <c r="P105" s="36"/>
      <c r="Q105" s="36"/>
    </row>
    <row r="106" spans="1:17" x14ac:dyDescent="0.25">
      <c r="A106" s="36">
        <v>1829</v>
      </c>
      <c r="B106" s="37">
        <v>43891</v>
      </c>
      <c r="C106" s="37">
        <v>43952.512551642052</v>
      </c>
      <c r="D106" s="36" t="s">
        <v>212</v>
      </c>
      <c r="E106" s="36"/>
      <c r="F106" s="38">
        <v>61723893.851983197</v>
      </c>
      <c r="G106" s="40">
        <f>VLOOKUP(A106,'DATOS GENERALES'!A:B,2,0)</f>
        <v>1.35</v>
      </c>
      <c r="H106" s="36">
        <f t="shared" si="5"/>
        <v>1.34379</v>
      </c>
      <c r="I106" s="38">
        <f t="shared" si="6"/>
        <v>45932693.242235169</v>
      </c>
      <c r="J106" s="38">
        <f t="shared" si="7"/>
        <v>15791200.609748028</v>
      </c>
      <c r="K106" s="38" t="s">
        <v>213</v>
      </c>
      <c r="L106" s="38" t="str">
        <f t="shared" si="8"/>
        <v/>
      </c>
      <c r="M106" s="41">
        <f>VLOOKUP(INDICADORES!$B$21,'DATOS GENERALES'!$K:$M,3,0)*F106</f>
        <v>420094.44435364316</v>
      </c>
      <c r="N106" s="38" t="str">
        <f t="shared" si="9"/>
        <v/>
      </c>
      <c r="O106" s="36"/>
      <c r="P106" s="36"/>
      <c r="Q106" s="36"/>
    </row>
    <row r="107" spans="1:17" x14ac:dyDescent="0.25">
      <c r="A107" s="36">
        <v>1829</v>
      </c>
      <c r="B107" s="37">
        <v>43922</v>
      </c>
      <c r="C107" s="37">
        <v>43982.420948012375</v>
      </c>
      <c r="D107" s="36" t="s">
        <v>212</v>
      </c>
      <c r="E107" s="36"/>
      <c r="F107" s="38">
        <v>49714833.851983197</v>
      </c>
      <c r="G107" s="40">
        <f>VLOOKUP(A107,'DATOS GENERALES'!A:B,2,0)</f>
        <v>1.35</v>
      </c>
      <c r="H107" s="36">
        <f t="shared" si="5"/>
        <v>1.34379</v>
      </c>
      <c r="I107" s="38">
        <f t="shared" si="6"/>
        <v>36995984.381475672</v>
      </c>
      <c r="J107" s="38">
        <f t="shared" si="7"/>
        <v>12718849.470507525</v>
      </c>
      <c r="K107" s="38" t="s">
        <v>213</v>
      </c>
      <c r="L107" s="38" t="str">
        <f t="shared" si="8"/>
        <v/>
      </c>
      <c r="M107" s="41">
        <f>VLOOKUP(INDICADORES!$B$21,'DATOS GENERALES'!$K:$M,3,0)*F107</f>
        <v>338360.46626069321</v>
      </c>
      <c r="N107" s="38" t="str">
        <f t="shared" si="9"/>
        <v/>
      </c>
      <c r="O107" s="36"/>
      <c r="P107" s="36"/>
      <c r="Q107" s="36"/>
    </row>
    <row r="108" spans="1:17" x14ac:dyDescent="0.25">
      <c r="A108" s="36">
        <v>1829</v>
      </c>
      <c r="B108" s="37">
        <v>43952</v>
      </c>
      <c r="C108" s="37">
        <v>44026.621680801305</v>
      </c>
      <c r="D108" s="36" t="s">
        <v>212</v>
      </c>
      <c r="E108" s="36"/>
      <c r="F108" s="38">
        <v>48046908.851983197</v>
      </c>
      <c r="G108" s="40">
        <f>VLOOKUP(A108,'DATOS GENERALES'!A:B,2,0)</f>
        <v>1.35</v>
      </c>
      <c r="H108" s="36">
        <f t="shared" si="5"/>
        <v>1.34379</v>
      </c>
      <c r="I108" s="38">
        <f t="shared" si="6"/>
        <v>35754774.817481302</v>
      </c>
      <c r="J108" s="38">
        <f t="shared" si="7"/>
        <v>12292134.034501895</v>
      </c>
      <c r="K108" s="38" t="s">
        <v>213</v>
      </c>
      <c r="L108" s="38" t="str">
        <f t="shared" si="8"/>
        <v/>
      </c>
      <c r="M108" s="41">
        <f>VLOOKUP(INDICADORES!$B$21,'DATOS GENERALES'!$K:$M,3,0)*F108</f>
        <v>327008.52485889464</v>
      </c>
      <c r="N108" s="38" t="str">
        <f t="shared" si="9"/>
        <v/>
      </c>
      <c r="O108" s="36"/>
      <c r="P108" s="36"/>
      <c r="Q108" s="36"/>
    </row>
    <row r="109" spans="1:17" x14ac:dyDescent="0.25">
      <c r="A109" s="36">
        <v>1829</v>
      </c>
      <c r="B109" s="37">
        <v>43983</v>
      </c>
      <c r="C109" s="37">
        <v>44055.048408057388</v>
      </c>
      <c r="D109" s="36" t="s">
        <v>212</v>
      </c>
      <c r="E109" s="36"/>
      <c r="F109" s="38">
        <v>40541246.351983197</v>
      </c>
      <c r="G109" s="40">
        <f>VLOOKUP(A109,'DATOS GENERALES'!A:B,2,0)</f>
        <v>1.35</v>
      </c>
      <c r="H109" s="36">
        <f t="shared" si="5"/>
        <v>1.34379</v>
      </c>
      <c r="I109" s="38">
        <f t="shared" si="6"/>
        <v>30169331.779506616</v>
      </c>
      <c r="J109" s="38">
        <f t="shared" si="7"/>
        <v>10371914.572476581</v>
      </c>
      <c r="K109" s="38" t="s">
        <v>213</v>
      </c>
      <c r="L109" s="38" t="str">
        <f t="shared" si="8"/>
        <v/>
      </c>
      <c r="M109" s="41">
        <f>VLOOKUP(INDICADORES!$B$21,'DATOS GENERALES'!$K:$M,3,0)*F109</f>
        <v>275924.78855080093</v>
      </c>
      <c r="N109" s="38" t="str">
        <f t="shared" si="9"/>
        <v/>
      </c>
      <c r="O109" s="36"/>
      <c r="P109" s="36"/>
      <c r="Q109" s="36"/>
    </row>
    <row r="110" spans="1:17" x14ac:dyDescent="0.25">
      <c r="A110" s="36">
        <v>1838</v>
      </c>
      <c r="B110" s="37">
        <v>43466</v>
      </c>
      <c r="C110" s="37">
        <v>43502.226959761225</v>
      </c>
      <c r="D110" s="36" t="s">
        <v>212</v>
      </c>
      <c r="E110" s="36"/>
      <c r="F110" s="38">
        <v>15824227.25</v>
      </c>
      <c r="G110" s="40">
        <f>VLOOKUP(A110,'DATOS GENERALES'!A:B,2,0)</f>
        <v>1.92</v>
      </c>
      <c r="H110" s="36">
        <f t="shared" si="5"/>
        <v>1.9111679999999998</v>
      </c>
      <c r="I110" s="38">
        <f t="shared" si="6"/>
        <v>8279872.4392622737</v>
      </c>
      <c r="J110" s="38">
        <f t="shared" si="7"/>
        <v>7544354.8107377263</v>
      </c>
      <c r="K110" s="38">
        <v>1816755.9055210776</v>
      </c>
      <c r="L110" s="38">
        <f t="shared" si="8"/>
        <v>5727598.9052166492</v>
      </c>
      <c r="M110" s="41">
        <f>VLOOKUP(INDICADORES!$B$21,'DATOS GENERALES'!$K:$M,3,0)*F110</f>
        <v>107700.10670188686</v>
      </c>
      <c r="N110" s="38">
        <f t="shared" si="9"/>
        <v>5619898.798514762</v>
      </c>
      <c r="O110" s="36"/>
      <c r="P110" s="36"/>
      <c r="Q110" s="36"/>
    </row>
    <row r="111" spans="1:17" x14ac:dyDescent="0.25">
      <c r="A111" s="36">
        <v>1838</v>
      </c>
      <c r="B111" s="37">
        <v>43497</v>
      </c>
      <c r="C111" s="37">
        <v>43552.164315703762</v>
      </c>
      <c r="D111" s="36" t="s">
        <v>212</v>
      </c>
      <c r="E111" s="36"/>
      <c r="F111" s="38">
        <v>15824227.25</v>
      </c>
      <c r="G111" s="40">
        <f>VLOOKUP(A111,'DATOS GENERALES'!A:B,2,0)</f>
        <v>1.92</v>
      </c>
      <c r="H111" s="36">
        <f t="shared" si="5"/>
        <v>1.9111679999999998</v>
      </c>
      <c r="I111" s="38">
        <f t="shared" si="6"/>
        <v>8279872.4392622737</v>
      </c>
      <c r="J111" s="38">
        <f t="shared" si="7"/>
        <v>7544354.8107377263</v>
      </c>
      <c r="K111" s="38">
        <v>1789759.4035205129</v>
      </c>
      <c r="L111" s="38">
        <f t="shared" si="8"/>
        <v>5754595.4072172139</v>
      </c>
      <c r="M111" s="41">
        <f>VLOOKUP(INDICADORES!$B$21,'DATOS GENERALES'!$K:$M,3,0)*F111</f>
        <v>107700.10670188686</v>
      </c>
      <c r="N111" s="38">
        <f t="shared" si="9"/>
        <v>5646895.3005153267</v>
      </c>
      <c r="O111" s="36"/>
      <c r="P111" s="36"/>
      <c r="Q111" s="36"/>
    </row>
    <row r="112" spans="1:17" x14ac:dyDescent="0.25">
      <c r="A112" s="36">
        <v>1838</v>
      </c>
      <c r="B112" s="37">
        <v>43525</v>
      </c>
      <c r="C112" s="37">
        <v>43583.395581716068</v>
      </c>
      <c r="D112" s="36" t="s">
        <v>212</v>
      </c>
      <c r="E112" s="36"/>
      <c r="F112" s="38">
        <v>15824227.25</v>
      </c>
      <c r="G112" s="40">
        <f>VLOOKUP(A112,'DATOS GENERALES'!A:B,2,0)</f>
        <v>1.92</v>
      </c>
      <c r="H112" s="36">
        <f t="shared" si="5"/>
        <v>1.9111679999999998</v>
      </c>
      <c r="I112" s="38">
        <f t="shared" si="6"/>
        <v>8279872.4392622737</v>
      </c>
      <c r="J112" s="38">
        <f t="shared" si="7"/>
        <v>7544354.8107377263</v>
      </c>
      <c r="K112" s="38">
        <v>1294868.7302977319</v>
      </c>
      <c r="L112" s="38">
        <f t="shared" si="8"/>
        <v>6249486.0804399941</v>
      </c>
      <c r="M112" s="41">
        <f>VLOOKUP(INDICADORES!$B$21,'DATOS GENERALES'!$K:$M,3,0)*F112</f>
        <v>107700.10670188686</v>
      </c>
      <c r="N112" s="38">
        <f t="shared" si="9"/>
        <v>6141785.9737381069</v>
      </c>
      <c r="O112" s="36"/>
      <c r="P112" s="36"/>
      <c r="Q112" s="36"/>
    </row>
    <row r="113" spans="1:17" x14ac:dyDescent="0.25">
      <c r="A113" s="36">
        <v>1846</v>
      </c>
      <c r="B113" s="37">
        <v>43466</v>
      </c>
      <c r="C113" s="37">
        <v>43525.487348978211</v>
      </c>
      <c r="D113" s="36" t="s">
        <v>212</v>
      </c>
      <c r="E113" s="36"/>
      <c r="F113" s="38">
        <v>153017477.52499998</v>
      </c>
      <c r="G113" s="40">
        <f>VLOOKUP(A113,'DATOS GENERALES'!A:B,2,0)</f>
        <v>1.72</v>
      </c>
      <c r="H113" s="36">
        <f t="shared" si="5"/>
        <v>1.7120879999999998</v>
      </c>
      <c r="I113" s="38">
        <f t="shared" si="6"/>
        <v>89374773.682777986</v>
      </c>
      <c r="J113" s="38">
        <f t="shared" si="7"/>
        <v>63642703.84222199</v>
      </c>
      <c r="K113" s="38">
        <v>19610464.905575749</v>
      </c>
      <c r="L113" s="38">
        <f t="shared" si="8"/>
        <v>44032238.936646238</v>
      </c>
      <c r="M113" s="41">
        <f>VLOOKUP(INDICADORES!$B$21,'DATOS GENERALES'!$K:$M,3,0)*F113</f>
        <v>1041440.9750527359</v>
      </c>
      <c r="N113" s="38">
        <f t="shared" si="9"/>
        <v>42990797.961593501</v>
      </c>
      <c r="O113" s="36"/>
      <c r="P113" s="36"/>
      <c r="Q113" s="36"/>
    </row>
    <row r="114" spans="1:17" x14ac:dyDescent="0.25">
      <c r="A114" s="36">
        <v>1846</v>
      </c>
      <c r="B114" s="37">
        <v>43497</v>
      </c>
      <c r="C114" s="37">
        <v>43560.834942117901</v>
      </c>
      <c r="D114" s="36" t="s">
        <v>212</v>
      </c>
      <c r="E114" s="36"/>
      <c r="F114" s="38">
        <v>151568477.52499998</v>
      </c>
      <c r="G114" s="40">
        <f>VLOOKUP(A114,'DATOS GENERALES'!A:B,2,0)</f>
        <v>1.72</v>
      </c>
      <c r="H114" s="36">
        <f t="shared" si="5"/>
        <v>1.7120879999999998</v>
      </c>
      <c r="I114" s="38">
        <f t="shared" si="6"/>
        <v>88528438.681306094</v>
      </c>
      <c r="J114" s="38">
        <f t="shared" si="7"/>
        <v>63040038.843693882</v>
      </c>
      <c r="K114" s="38">
        <v>19136116.742273621</v>
      </c>
      <c r="L114" s="38">
        <f t="shared" si="8"/>
        <v>43903922.101420261</v>
      </c>
      <c r="M114" s="41">
        <f>VLOOKUP(INDICADORES!$B$21,'DATOS GENERALES'!$K:$M,3,0)*F114</f>
        <v>1031579.0429567446</v>
      </c>
      <c r="N114" s="38">
        <f t="shared" si="9"/>
        <v>42872343.058463514</v>
      </c>
      <c r="O114" s="36"/>
      <c r="P114" s="36"/>
      <c r="Q114" s="36"/>
    </row>
    <row r="115" spans="1:17" x14ac:dyDescent="0.25">
      <c r="A115" s="36">
        <v>1846</v>
      </c>
      <c r="B115" s="37">
        <v>43525</v>
      </c>
      <c r="C115" s="37">
        <v>43596.654555775225</v>
      </c>
      <c r="D115" s="36" t="s">
        <v>212</v>
      </c>
      <c r="E115" s="36"/>
      <c r="F115" s="38">
        <v>98609116.699999988</v>
      </c>
      <c r="G115" s="40">
        <f>VLOOKUP(A115,'DATOS GENERALES'!A:B,2,0)</f>
        <v>1.72</v>
      </c>
      <c r="H115" s="36">
        <f t="shared" si="5"/>
        <v>1.7120879999999998</v>
      </c>
      <c r="I115" s="38">
        <f t="shared" si="6"/>
        <v>57595822.586222202</v>
      </c>
      <c r="J115" s="38">
        <f t="shared" si="7"/>
        <v>41013294.113777786</v>
      </c>
      <c r="K115" s="38">
        <v>9007267.9512584209</v>
      </c>
      <c r="L115" s="38">
        <f t="shared" si="8"/>
        <v>32006026.162519366</v>
      </c>
      <c r="M115" s="41">
        <f>VLOOKUP(INDICADORES!$B$21,'DATOS GENERALES'!$K:$M,3,0)*F115</f>
        <v>671136.24081509653</v>
      </c>
      <c r="N115" s="38">
        <f t="shared" si="9"/>
        <v>31334889.92170427</v>
      </c>
      <c r="O115" s="36"/>
      <c r="P115" s="36"/>
      <c r="Q115" s="36"/>
    </row>
    <row r="116" spans="1:17" x14ac:dyDescent="0.25">
      <c r="A116" s="36">
        <v>1856</v>
      </c>
      <c r="B116" s="37">
        <v>43466</v>
      </c>
      <c r="C116" s="37">
        <v>43560.885433151336</v>
      </c>
      <c r="D116" s="36" t="s">
        <v>212</v>
      </c>
      <c r="E116" s="36"/>
      <c r="F116" s="38">
        <v>51152180.402000003</v>
      </c>
      <c r="G116" s="40">
        <f>VLOOKUP(A116,'DATOS GENERALES'!A:B,2,0)</f>
        <v>1.69</v>
      </c>
      <c r="H116" s="36">
        <f t="shared" si="5"/>
        <v>1.6822259999999998</v>
      </c>
      <c r="I116" s="38">
        <f t="shared" si="6"/>
        <v>30407436.576298315</v>
      </c>
      <c r="J116" s="38">
        <f t="shared" si="7"/>
        <v>20744743.825701687</v>
      </c>
      <c r="K116" s="38">
        <v>6671949.4022385757</v>
      </c>
      <c r="L116" s="38">
        <f t="shared" si="8"/>
        <v>14072794.423463112</v>
      </c>
      <c r="M116" s="41">
        <f>VLOOKUP(INDICADORES!$B$21,'DATOS GENERALES'!$K:$M,3,0)*F116</f>
        <v>348143.08466971532</v>
      </c>
      <c r="N116" s="38">
        <f t="shared" si="9"/>
        <v>13724651.338793397</v>
      </c>
      <c r="O116" s="36"/>
      <c r="P116" s="36"/>
      <c r="Q116" s="36"/>
    </row>
    <row r="117" spans="1:17" x14ac:dyDescent="0.25">
      <c r="A117" s="36">
        <v>1856</v>
      </c>
      <c r="B117" s="37">
        <v>43497</v>
      </c>
      <c r="C117" s="37">
        <v>43531.516129961194</v>
      </c>
      <c r="D117" s="36" t="s">
        <v>212</v>
      </c>
      <c r="E117" s="36"/>
      <c r="F117" s="38">
        <v>47167910.304499999</v>
      </c>
      <c r="G117" s="40">
        <f>VLOOKUP(A117,'DATOS GENERALES'!A:B,2,0)</f>
        <v>1.69</v>
      </c>
      <c r="H117" s="36">
        <f t="shared" si="5"/>
        <v>1.6822259999999998</v>
      </c>
      <c r="I117" s="38">
        <f t="shared" si="6"/>
        <v>28038985.430316739</v>
      </c>
      <c r="J117" s="38">
        <f t="shared" si="7"/>
        <v>19128924.87418326</v>
      </c>
      <c r="K117" s="38">
        <v>6060846.7349232845</v>
      </c>
      <c r="L117" s="38">
        <f t="shared" si="8"/>
        <v>13068078.139259975</v>
      </c>
      <c r="M117" s="41">
        <f>VLOOKUP(INDICADORES!$B$21,'DATOS GENERALES'!$K:$M,3,0)*F117</f>
        <v>321026.03763477161</v>
      </c>
      <c r="N117" s="38">
        <f t="shared" si="9"/>
        <v>12747052.101625204</v>
      </c>
      <c r="O117" s="36"/>
      <c r="P117" s="36"/>
      <c r="Q117" s="36"/>
    </row>
    <row r="118" spans="1:17" x14ac:dyDescent="0.25">
      <c r="A118" s="36">
        <v>1856</v>
      </c>
      <c r="B118" s="37">
        <v>43525</v>
      </c>
      <c r="C118" s="37">
        <v>43566.245521438941</v>
      </c>
      <c r="D118" s="36" t="s">
        <v>212</v>
      </c>
      <c r="E118" s="36"/>
      <c r="F118" s="38">
        <v>47167910.304499999</v>
      </c>
      <c r="G118" s="40">
        <f>VLOOKUP(A118,'DATOS GENERALES'!A:B,2,0)</f>
        <v>1.69</v>
      </c>
      <c r="H118" s="36">
        <f t="shared" si="5"/>
        <v>1.6822259999999998</v>
      </c>
      <c r="I118" s="38">
        <f t="shared" si="6"/>
        <v>28038985.430316739</v>
      </c>
      <c r="J118" s="38">
        <f t="shared" si="7"/>
        <v>19128924.87418326</v>
      </c>
      <c r="K118" s="38">
        <v>4384947.4408359034</v>
      </c>
      <c r="L118" s="38">
        <f t="shared" si="8"/>
        <v>14743977.433347356</v>
      </c>
      <c r="M118" s="41">
        <f>VLOOKUP(INDICADORES!$B$21,'DATOS GENERALES'!$K:$M,3,0)*F118</f>
        <v>321026.03763477161</v>
      </c>
      <c r="N118" s="38">
        <f t="shared" si="9"/>
        <v>14422951.395712584</v>
      </c>
      <c r="O118" s="36"/>
      <c r="P118" s="36"/>
      <c r="Q118" s="36"/>
    </row>
    <row r="119" spans="1:17" x14ac:dyDescent="0.25">
      <c r="A119" s="36">
        <v>1856</v>
      </c>
      <c r="B119" s="37">
        <v>43556</v>
      </c>
      <c r="C119" s="37">
        <v>43598.496510720506</v>
      </c>
      <c r="D119" s="36" t="s">
        <v>212</v>
      </c>
      <c r="E119" s="36"/>
      <c r="F119" s="38">
        <v>53612578.7795</v>
      </c>
      <c r="G119" s="40">
        <f>VLOOKUP(A119,'DATOS GENERALES'!A:B,2,0)</f>
        <v>1.69</v>
      </c>
      <c r="H119" s="36">
        <f t="shared" si="5"/>
        <v>1.6822259999999998</v>
      </c>
      <c r="I119" s="38">
        <f t="shared" si="6"/>
        <v>31870021.495030992</v>
      </c>
      <c r="J119" s="38">
        <f t="shared" si="7"/>
        <v>21742557.284469008</v>
      </c>
      <c r="K119" s="38">
        <v>5124003.3797942931</v>
      </c>
      <c r="L119" s="38">
        <f t="shared" si="8"/>
        <v>16618553.904674716</v>
      </c>
      <c r="M119" s="41">
        <f>VLOOKUP(INDICADORES!$B$21,'DATOS GENERALES'!$K:$M,3,0)*F119</f>
        <v>364888.62071387819</v>
      </c>
      <c r="N119" s="38">
        <f t="shared" si="9"/>
        <v>16253665.283960838</v>
      </c>
      <c r="O119" s="36"/>
      <c r="P119" s="36"/>
      <c r="Q119" s="36"/>
    </row>
    <row r="120" spans="1:17" x14ac:dyDescent="0.25">
      <c r="A120" s="36">
        <v>1856</v>
      </c>
      <c r="B120" s="37">
        <v>43586</v>
      </c>
      <c r="C120" s="37">
        <v>43619.737156272546</v>
      </c>
      <c r="D120" s="36" t="s">
        <v>212</v>
      </c>
      <c r="E120" s="36"/>
      <c r="F120" s="38">
        <v>53612578.7795</v>
      </c>
      <c r="G120" s="40">
        <f>VLOOKUP(A120,'DATOS GENERALES'!A:B,2,0)</f>
        <v>1.69</v>
      </c>
      <c r="H120" s="36">
        <f t="shared" si="5"/>
        <v>1.6822259999999998</v>
      </c>
      <c r="I120" s="38">
        <f t="shared" si="6"/>
        <v>31870021.495030992</v>
      </c>
      <c r="J120" s="38">
        <f t="shared" si="7"/>
        <v>21742557.284469008</v>
      </c>
      <c r="K120" s="38">
        <v>4226944.4439941533</v>
      </c>
      <c r="L120" s="38">
        <f t="shared" si="8"/>
        <v>17515612.840474855</v>
      </c>
      <c r="M120" s="41">
        <f>VLOOKUP(INDICADORES!$B$21,'DATOS GENERALES'!$K:$M,3,0)*F120</f>
        <v>364888.62071387819</v>
      </c>
      <c r="N120" s="38">
        <f t="shared" si="9"/>
        <v>17150724.219760977</v>
      </c>
      <c r="O120" s="36"/>
      <c r="P120" s="36"/>
      <c r="Q120" s="36"/>
    </row>
    <row r="121" spans="1:17" x14ac:dyDescent="0.25">
      <c r="A121" s="36">
        <v>1856</v>
      </c>
      <c r="B121" s="37">
        <v>43617</v>
      </c>
      <c r="C121" s="37">
        <v>43674.024859042598</v>
      </c>
      <c r="D121" s="36" t="s">
        <v>212</v>
      </c>
      <c r="E121" s="36"/>
      <c r="F121" s="38">
        <v>53612578.7795</v>
      </c>
      <c r="G121" s="40">
        <f>VLOOKUP(A121,'DATOS GENERALES'!A:B,2,0)</f>
        <v>1.69</v>
      </c>
      <c r="H121" s="36">
        <f t="shared" si="5"/>
        <v>1.6822259999999998</v>
      </c>
      <c r="I121" s="38">
        <f t="shared" si="6"/>
        <v>31870021.495030992</v>
      </c>
      <c r="J121" s="38">
        <f t="shared" si="7"/>
        <v>21742557.284469008</v>
      </c>
      <c r="K121" s="38">
        <v>4747709.8491132781</v>
      </c>
      <c r="L121" s="38">
        <f t="shared" si="8"/>
        <v>16994847.43535573</v>
      </c>
      <c r="M121" s="41">
        <f>VLOOKUP(INDICADORES!$B$21,'DATOS GENERALES'!$K:$M,3,0)*F121</f>
        <v>364888.62071387819</v>
      </c>
      <c r="N121" s="38">
        <f t="shared" si="9"/>
        <v>16629958.814641852</v>
      </c>
      <c r="O121" s="36"/>
      <c r="P121" s="36"/>
      <c r="Q121" s="36"/>
    </row>
    <row r="122" spans="1:17" x14ac:dyDescent="0.25">
      <c r="A122" s="36">
        <v>1856</v>
      </c>
      <c r="B122" s="37">
        <v>43647</v>
      </c>
      <c r="C122" s="37">
        <v>43721.18658891489</v>
      </c>
      <c r="D122" s="36" t="s">
        <v>212</v>
      </c>
      <c r="E122" s="36"/>
      <c r="F122" s="38">
        <v>53612578.7795</v>
      </c>
      <c r="G122" s="40">
        <f>VLOOKUP(A122,'DATOS GENERALES'!A:B,2,0)</f>
        <v>1.69</v>
      </c>
      <c r="H122" s="36">
        <f t="shared" si="5"/>
        <v>1.6822259999999998</v>
      </c>
      <c r="I122" s="38">
        <f t="shared" si="6"/>
        <v>31870021.495030992</v>
      </c>
      <c r="J122" s="38">
        <f t="shared" si="7"/>
        <v>21742557.284469008</v>
      </c>
      <c r="K122" s="38">
        <v>8244482.1685876166</v>
      </c>
      <c r="L122" s="38">
        <f t="shared" si="8"/>
        <v>13498075.115881391</v>
      </c>
      <c r="M122" s="41">
        <f>VLOOKUP(INDICADORES!$B$21,'DATOS GENERALES'!$K:$M,3,0)*F122</f>
        <v>364888.62071387819</v>
      </c>
      <c r="N122" s="38">
        <f t="shared" si="9"/>
        <v>13133186.495167512</v>
      </c>
      <c r="O122" s="36"/>
      <c r="P122" s="36"/>
      <c r="Q122" s="36"/>
    </row>
    <row r="123" spans="1:17" x14ac:dyDescent="0.25">
      <c r="A123" s="36">
        <v>1856</v>
      </c>
      <c r="B123" s="37">
        <v>43678</v>
      </c>
      <c r="C123" s="37">
        <v>43736.022592592592</v>
      </c>
      <c r="D123" s="36" t="s">
        <v>212</v>
      </c>
      <c r="E123" s="36"/>
      <c r="F123" s="38">
        <v>53612578.7795</v>
      </c>
      <c r="G123" s="40">
        <f>VLOOKUP(A123,'DATOS GENERALES'!A:B,2,0)</f>
        <v>1.69</v>
      </c>
      <c r="H123" s="36">
        <f t="shared" si="5"/>
        <v>1.6822259999999998</v>
      </c>
      <c r="I123" s="38">
        <f t="shared" si="6"/>
        <v>31870021.495030992</v>
      </c>
      <c r="J123" s="38">
        <f t="shared" si="7"/>
        <v>21742557.284469008</v>
      </c>
      <c r="K123" s="38">
        <v>8278792.6298875874</v>
      </c>
      <c r="L123" s="38">
        <f t="shared" si="8"/>
        <v>13463764.65458142</v>
      </c>
      <c r="M123" s="41">
        <f>VLOOKUP(INDICADORES!$B$21,'DATOS GENERALES'!$K:$M,3,0)*F123</f>
        <v>364888.62071387819</v>
      </c>
      <c r="N123" s="38">
        <f t="shared" si="9"/>
        <v>13098876.033867542</v>
      </c>
      <c r="O123" s="36"/>
      <c r="P123" s="36"/>
      <c r="Q123" s="36"/>
    </row>
    <row r="124" spans="1:17" x14ac:dyDescent="0.25">
      <c r="A124" s="36">
        <v>1856</v>
      </c>
      <c r="B124" s="37">
        <v>43709</v>
      </c>
      <c r="C124" s="37">
        <v>43770.825419101384</v>
      </c>
      <c r="D124" s="36" t="s">
        <v>212</v>
      </c>
      <c r="E124" s="36"/>
      <c r="F124" s="38">
        <v>49351847.829500005</v>
      </c>
      <c r="G124" s="40">
        <f>VLOOKUP(A124,'DATOS GENERALES'!A:B,2,0)</f>
        <v>1.69</v>
      </c>
      <c r="H124" s="36">
        <f t="shared" si="5"/>
        <v>1.6822259999999998</v>
      </c>
      <c r="I124" s="38">
        <f t="shared" si="6"/>
        <v>29337228.071317416</v>
      </c>
      <c r="J124" s="38">
        <f t="shared" si="7"/>
        <v>20014619.758182589</v>
      </c>
      <c r="K124" s="38">
        <v>8411604.8211109489</v>
      </c>
      <c r="L124" s="38">
        <f t="shared" si="8"/>
        <v>11603014.93707164</v>
      </c>
      <c r="M124" s="41">
        <f>VLOOKUP(INDICADORES!$B$21,'DATOS GENERALES'!$K:$M,3,0)*F124</f>
        <v>335889.97384832386</v>
      </c>
      <c r="N124" s="38">
        <f t="shared" si="9"/>
        <v>11267124.963223316</v>
      </c>
      <c r="O124" s="36"/>
      <c r="P124" s="36"/>
      <c r="Q124" s="36"/>
    </row>
    <row r="125" spans="1:17" x14ac:dyDescent="0.25">
      <c r="A125" s="36">
        <v>1856</v>
      </c>
      <c r="B125" s="37">
        <v>43739</v>
      </c>
      <c r="C125" s="37">
        <v>43810.863871687972</v>
      </c>
      <c r="D125" s="36" t="s">
        <v>212</v>
      </c>
      <c r="E125" s="36"/>
      <c r="F125" s="38">
        <v>49351847.829500005</v>
      </c>
      <c r="G125" s="40">
        <f>VLOOKUP(A125,'DATOS GENERALES'!A:B,2,0)</f>
        <v>1.69</v>
      </c>
      <c r="H125" s="36">
        <f t="shared" si="5"/>
        <v>1.6822259999999998</v>
      </c>
      <c r="I125" s="38">
        <f t="shared" si="6"/>
        <v>29337228.071317416</v>
      </c>
      <c r="J125" s="38">
        <f t="shared" si="7"/>
        <v>20014619.758182589</v>
      </c>
      <c r="K125" s="38">
        <v>9128637.480047388</v>
      </c>
      <c r="L125" s="38">
        <f t="shared" si="8"/>
        <v>10885982.278135201</v>
      </c>
      <c r="M125" s="41">
        <f>VLOOKUP(INDICADORES!$B$21,'DATOS GENERALES'!$K:$M,3,0)*F125</f>
        <v>335889.97384832386</v>
      </c>
      <c r="N125" s="38">
        <f t="shared" si="9"/>
        <v>10550092.304286877</v>
      </c>
      <c r="O125" s="36"/>
      <c r="P125" s="36"/>
      <c r="Q125" s="36"/>
    </row>
    <row r="126" spans="1:17" x14ac:dyDescent="0.25">
      <c r="A126" s="36">
        <v>1856</v>
      </c>
      <c r="B126" s="37">
        <v>43770</v>
      </c>
      <c r="C126" s="37">
        <v>43830.160534834256</v>
      </c>
      <c r="D126" s="36" t="s">
        <v>212</v>
      </c>
      <c r="E126" s="36"/>
      <c r="F126" s="38">
        <v>49351847.829500005</v>
      </c>
      <c r="G126" s="40">
        <f>VLOOKUP(A126,'DATOS GENERALES'!A:B,2,0)</f>
        <v>1.69</v>
      </c>
      <c r="H126" s="36">
        <f t="shared" si="5"/>
        <v>1.6822259999999998</v>
      </c>
      <c r="I126" s="38">
        <f t="shared" si="6"/>
        <v>29337228.071317416</v>
      </c>
      <c r="J126" s="38">
        <f t="shared" si="7"/>
        <v>20014619.758182589</v>
      </c>
      <c r="K126" s="38">
        <v>11979478.864872832</v>
      </c>
      <c r="L126" s="38">
        <f t="shared" si="8"/>
        <v>8035140.8933097571</v>
      </c>
      <c r="M126" s="41">
        <f>VLOOKUP(INDICADORES!$B$21,'DATOS GENERALES'!$K:$M,3,0)*F126</f>
        <v>335889.97384832386</v>
      </c>
      <c r="N126" s="38">
        <f t="shared" si="9"/>
        <v>7699250.9194614328</v>
      </c>
      <c r="O126" s="36"/>
      <c r="P126" s="36"/>
      <c r="Q126" s="36"/>
    </row>
    <row r="127" spans="1:17" x14ac:dyDescent="0.25">
      <c r="A127" s="36">
        <v>1856</v>
      </c>
      <c r="B127" s="37">
        <v>43800</v>
      </c>
      <c r="C127" s="37">
        <v>43857.240721414091</v>
      </c>
      <c r="D127" s="36" t="s">
        <v>212</v>
      </c>
      <c r="E127" s="36"/>
      <c r="F127" s="38">
        <v>49351847.829500005</v>
      </c>
      <c r="G127" s="40">
        <f>VLOOKUP(A127,'DATOS GENERALES'!A:B,2,0)</f>
        <v>1.69</v>
      </c>
      <c r="H127" s="36">
        <f t="shared" si="5"/>
        <v>1.6822259999999998</v>
      </c>
      <c r="I127" s="38">
        <f t="shared" si="6"/>
        <v>29337228.071317416</v>
      </c>
      <c r="J127" s="38">
        <f t="shared" si="7"/>
        <v>20014619.758182589</v>
      </c>
      <c r="K127" s="38">
        <v>10332893.897677086</v>
      </c>
      <c r="L127" s="38">
        <f t="shared" si="8"/>
        <v>9681725.8605055027</v>
      </c>
      <c r="M127" s="41">
        <f>VLOOKUP(INDICADORES!$B$21,'DATOS GENERALES'!$K:$M,3,0)*F127</f>
        <v>335889.97384832386</v>
      </c>
      <c r="N127" s="38">
        <f t="shared" si="9"/>
        <v>9345835.8866571784</v>
      </c>
      <c r="O127" s="36"/>
      <c r="P127" s="36"/>
      <c r="Q127" s="36"/>
    </row>
    <row r="128" spans="1:17" x14ac:dyDescent="0.25">
      <c r="A128" s="36">
        <v>1856</v>
      </c>
      <c r="B128" s="37">
        <v>43831</v>
      </c>
      <c r="C128" s="37">
        <v>43872.509811944423</v>
      </c>
      <c r="D128" s="36" t="s">
        <v>212</v>
      </c>
      <c r="E128" s="36"/>
      <c r="F128" s="38">
        <v>49351847.829500005</v>
      </c>
      <c r="G128" s="40">
        <f>VLOOKUP(A128,'DATOS GENERALES'!A:B,2,0)</f>
        <v>1.69</v>
      </c>
      <c r="H128" s="36">
        <f t="shared" si="5"/>
        <v>1.6822259999999998</v>
      </c>
      <c r="I128" s="38">
        <f t="shared" si="6"/>
        <v>29337228.071317416</v>
      </c>
      <c r="J128" s="38">
        <f t="shared" si="7"/>
        <v>20014619.758182589</v>
      </c>
      <c r="K128" s="38" t="s">
        <v>213</v>
      </c>
      <c r="L128" s="38" t="str">
        <f t="shared" si="8"/>
        <v/>
      </c>
      <c r="M128" s="41">
        <f>VLOOKUP(INDICADORES!$B$21,'DATOS GENERALES'!$K:$M,3,0)*F128</f>
        <v>335889.97384832386</v>
      </c>
      <c r="N128" s="38" t="str">
        <f t="shared" si="9"/>
        <v/>
      </c>
      <c r="O128" s="36"/>
      <c r="P128" s="36"/>
      <c r="Q128" s="36"/>
    </row>
    <row r="129" spans="1:17" x14ac:dyDescent="0.25">
      <c r="A129" s="36">
        <v>1856</v>
      </c>
      <c r="B129" s="37">
        <v>43862</v>
      </c>
      <c r="C129" s="37">
        <v>43903.323580139346</v>
      </c>
      <c r="D129" s="36" t="s">
        <v>212</v>
      </c>
      <c r="E129" s="36"/>
      <c r="F129" s="38">
        <v>49351847.829500005</v>
      </c>
      <c r="G129" s="40">
        <f>VLOOKUP(A129,'DATOS GENERALES'!A:B,2,0)</f>
        <v>1.69</v>
      </c>
      <c r="H129" s="36">
        <f t="shared" si="5"/>
        <v>1.6822259999999998</v>
      </c>
      <c r="I129" s="38">
        <f t="shared" si="6"/>
        <v>29337228.071317416</v>
      </c>
      <c r="J129" s="38">
        <f t="shared" si="7"/>
        <v>20014619.758182589</v>
      </c>
      <c r="K129" s="38" t="s">
        <v>213</v>
      </c>
      <c r="L129" s="38" t="str">
        <f t="shared" si="8"/>
        <v/>
      </c>
      <c r="M129" s="41">
        <f>VLOOKUP(INDICADORES!$B$21,'DATOS GENERALES'!$K:$M,3,0)*F129</f>
        <v>335889.97384832386</v>
      </c>
      <c r="N129" s="38" t="str">
        <f t="shared" si="9"/>
        <v/>
      </c>
      <c r="O129" s="36"/>
      <c r="P129" s="36"/>
      <c r="Q129" s="36"/>
    </row>
    <row r="130" spans="1:17" x14ac:dyDescent="0.25">
      <c r="A130" s="36">
        <v>1856</v>
      </c>
      <c r="B130" s="37">
        <v>43891</v>
      </c>
      <c r="C130" s="37">
        <v>43979.300298258262</v>
      </c>
      <c r="D130" s="36" t="s">
        <v>212</v>
      </c>
      <c r="E130" s="36"/>
      <c r="F130" s="38">
        <v>49351847.829500005</v>
      </c>
      <c r="G130" s="40">
        <f>VLOOKUP(A130,'DATOS GENERALES'!A:B,2,0)</f>
        <v>1.69</v>
      </c>
      <c r="H130" s="36">
        <f t="shared" si="5"/>
        <v>1.6822259999999998</v>
      </c>
      <c r="I130" s="38">
        <f t="shared" si="6"/>
        <v>29337228.071317416</v>
      </c>
      <c r="J130" s="38">
        <f t="shared" si="7"/>
        <v>20014619.758182589</v>
      </c>
      <c r="K130" s="38" t="s">
        <v>213</v>
      </c>
      <c r="L130" s="38" t="str">
        <f t="shared" si="8"/>
        <v/>
      </c>
      <c r="M130" s="41">
        <f>VLOOKUP(INDICADORES!$B$21,'DATOS GENERALES'!$K:$M,3,0)*F130</f>
        <v>335889.97384832386</v>
      </c>
      <c r="N130" s="38" t="str">
        <f t="shared" si="9"/>
        <v/>
      </c>
      <c r="O130" s="36"/>
      <c r="P130" s="36"/>
      <c r="Q130" s="36"/>
    </row>
    <row r="131" spans="1:17" x14ac:dyDescent="0.25">
      <c r="A131" s="36">
        <v>1856</v>
      </c>
      <c r="B131" s="37">
        <v>43922</v>
      </c>
      <c r="C131" s="37">
        <v>43994.161611408919</v>
      </c>
      <c r="D131" s="36" t="s">
        <v>212</v>
      </c>
      <c r="E131" s="36"/>
      <c r="F131" s="38">
        <v>49351847.829500005</v>
      </c>
      <c r="G131" s="40">
        <f>VLOOKUP(A131,'DATOS GENERALES'!A:B,2,0)</f>
        <v>1.69</v>
      </c>
      <c r="H131" s="36">
        <f t="shared" ref="H131:H194" si="10">G131*0.9954</f>
        <v>1.6822259999999998</v>
      </c>
      <c r="I131" s="38">
        <f t="shared" ref="I131:I194" si="11">F131/H131</f>
        <v>29337228.071317416</v>
      </c>
      <c r="J131" s="38">
        <f t="shared" ref="J131:J194" si="12">F131-I131</f>
        <v>20014619.758182589</v>
      </c>
      <c r="K131" s="38" t="s">
        <v>213</v>
      </c>
      <c r="L131" s="38" t="str">
        <f t="shared" ref="L131:L194" si="13">IFERROR(J131-K131,"")</f>
        <v/>
      </c>
      <c r="M131" s="41">
        <f>VLOOKUP(INDICADORES!$B$21,'DATOS GENERALES'!$K:$M,3,0)*F131</f>
        <v>335889.97384832386</v>
      </c>
      <c r="N131" s="38" t="str">
        <f t="shared" ref="N131:N194" si="14">IFERROR(L131-M131,"")</f>
        <v/>
      </c>
      <c r="O131" s="36"/>
      <c r="P131" s="36"/>
      <c r="Q131" s="36"/>
    </row>
    <row r="132" spans="1:17" x14ac:dyDescent="0.25">
      <c r="A132" s="36">
        <v>1856</v>
      </c>
      <c r="B132" s="37">
        <v>43952</v>
      </c>
      <c r="C132" s="37">
        <v>44057.255188608789</v>
      </c>
      <c r="D132" s="36" t="s">
        <v>212</v>
      </c>
      <c r="E132" s="36"/>
      <c r="F132" s="38">
        <v>49351847.829500005</v>
      </c>
      <c r="G132" s="40">
        <f>VLOOKUP(A132,'DATOS GENERALES'!A:B,2,0)</f>
        <v>1.69</v>
      </c>
      <c r="H132" s="36">
        <f t="shared" si="10"/>
        <v>1.6822259999999998</v>
      </c>
      <c r="I132" s="38">
        <f t="shared" si="11"/>
        <v>29337228.071317416</v>
      </c>
      <c r="J132" s="38">
        <f t="shared" si="12"/>
        <v>20014619.758182589</v>
      </c>
      <c r="K132" s="38" t="s">
        <v>213</v>
      </c>
      <c r="L132" s="38" t="str">
        <f t="shared" si="13"/>
        <v/>
      </c>
      <c r="M132" s="41">
        <f>VLOOKUP(INDICADORES!$B$21,'DATOS GENERALES'!$K:$M,3,0)*F132</f>
        <v>335889.97384832386</v>
      </c>
      <c r="N132" s="38" t="str">
        <f t="shared" si="14"/>
        <v/>
      </c>
      <c r="O132" s="36"/>
      <c r="P132" s="36"/>
      <c r="Q132" s="36"/>
    </row>
    <row r="133" spans="1:17" x14ac:dyDescent="0.25">
      <c r="A133" s="36">
        <v>1856</v>
      </c>
      <c r="B133" s="37">
        <v>43983</v>
      </c>
      <c r="C133" s="37">
        <v>44035.18321092007</v>
      </c>
      <c r="D133" s="36" t="s">
        <v>212</v>
      </c>
      <c r="E133" s="36"/>
      <c r="F133" s="38">
        <v>49351847.829500005</v>
      </c>
      <c r="G133" s="40">
        <f>VLOOKUP(A133,'DATOS GENERALES'!A:B,2,0)</f>
        <v>1.69</v>
      </c>
      <c r="H133" s="36">
        <f t="shared" si="10"/>
        <v>1.6822259999999998</v>
      </c>
      <c r="I133" s="38">
        <f t="shared" si="11"/>
        <v>29337228.071317416</v>
      </c>
      <c r="J133" s="38">
        <f t="shared" si="12"/>
        <v>20014619.758182589</v>
      </c>
      <c r="K133" s="38" t="s">
        <v>213</v>
      </c>
      <c r="L133" s="38" t="str">
        <f t="shared" si="13"/>
        <v/>
      </c>
      <c r="M133" s="41">
        <f>VLOOKUP(INDICADORES!$B$21,'DATOS GENERALES'!$K:$M,3,0)*F133</f>
        <v>335889.97384832386</v>
      </c>
      <c r="N133" s="38" t="str">
        <f t="shared" si="14"/>
        <v/>
      </c>
      <c r="O133" s="36"/>
      <c r="P133" s="36"/>
      <c r="Q133" s="36"/>
    </row>
    <row r="134" spans="1:17" x14ac:dyDescent="0.25">
      <c r="A134" s="36">
        <v>1856</v>
      </c>
      <c r="B134" s="37">
        <v>44013</v>
      </c>
      <c r="C134" s="37">
        <v>44067.512734095551</v>
      </c>
      <c r="D134" s="36" t="s">
        <v>212</v>
      </c>
      <c r="E134" s="36"/>
      <c r="F134" s="38">
        <v>49351847.829500005</v>
      </c>
      <c r="G134" s="40">
        <f>VLOOKUP(A134,'DATOS GENERALES'!A:B,2,0)</f>
        <v>1.69</v>
      </c>
      <c r="H134" s="36">
        <f t="shared" si="10"/>
        <v>1.6822259999999998</v>
      </c>
      <c r="I134" s="38">
        <f t="shared" si="11"/>
        <v>29337228.071317416</v>
      </c>
      <c r="J134" s="38">
        <f t="shared" si="12"/>
        <v>20014619.758182589</v>
      </c>
      <c r="K134" s="38" t="s">
        <v>213</v>
      </c>
      <c r="L134" s="38" t="str">
        <f t="shared" si="13"/>
        <v/>
      </c>
      <c r="M134" s="41">
        <f>VLOOKUP(INDICADORES!$B$21,'DATOS GENERALES'!$K:$M,3,0)*F134</f>
        <v>335889.97384832386</v>
      </c>
      <c r="N134" s="38" t="str">
        <f t="shared" si="14"/>
        <v/>
      </c>
      <c r="O134" s="36"/>
      <c r="P134" s="36"/>
      <c r="Q134" s="36"/>
    </row>
    <row r="135" spans="1:17" x14ac:dyDescent="0.25">
      <c r="A135" s="36">
        <v>1856</v>
      </c>
      <c r="B135" s="37">
        <v>44044</v>
      </c>
      <c r="C135" s="37">
        <v>44093.925912402068</v>
      </c>
      <c r="D135" s="36" t="s">
        <v>212</v>
      </c>
      <c r="E135" s="36"/>
      <c r="F135" s="38">
        <v>49351847.829500005</v>
      </c>
      <c r="G135" s="40">
        <f>VLOOKUP(A135,'DATOS GENERALES'!A:B,2,0)</f>
        <v>1.69</v>
      </c>
      <c r="H135" s="36">
        <f t="shared" si="10"/>
        <v>1.6822259999999998</v>
      </c>
      <c r="I135" s="38">
        <f t="shared" si="11"/>
        <v>29337228.071317416</v>
      </c>
      <c r="J135" s="38">
        <f t="shared" si="12"/>
        <v>20014619.758182589</v>
      </c>
      <c r="K135" s="38" t="s">
        <v>213</v>
      </c>
      <c r="L135" s="38" t="str">
        <f t="shared" si="13"/>
        <v/>
      </c>
      <c r="M135" s="41">
        <f>VLOOKUP(INDICADORES!$B$21,'DATOS GENERALES'!$K:$M,3,0)*F135</f>
        <v>335889.97384832386</v>
      </c>
      <c r="N135" s="38" t="str">
        <f t="shared" si="14"/>
        <v/>
      </c>
      <c r="O135" s="36"/>
      <c r="P135" s="36"/>
      <c r="Q135" s="36"/>
    </row>
    <row r="136" spans="1:17" x14ac:dyDescent="0.25">
      <c r="A136" s="36">
        <v>1856</v>
      </c>
      <c r="B136" s="37">
        <v>44075</v>
      </c>
      <c r="C136" s="37">
        <v>44127.885734600255</v>
      </c>
      <c r="D136" s="36" t="s">
        <v>212</v>
      </c>
      <c r="E136" s="36"/>
      <c r="F136" s="38">
        <v>49351847.829500005</v>
      </c>
      <c r="G136" s="40">
        <f>VLOOKUP(A136,'DATOS GENERALES'!A:B,2,0)</f>
        <v>1.69</v>
      </c>
      <c r="H136" s="36">
        <f t="shared" si="10"/>
        <v>1.6822259999999998</v>
      </c>
      <c r="I136" s="38">
        <f t="shared" si="11"/>
        <v>29337228.071317416</v>
      </c>
      <c r="J136" s="38">
        <f t="shared" si="12"/>
        <v>20014619.758182589</v>
      </c>
      <c r="K136" s="38" t="s">
        <v>213</v>
      </c>
      <c r="L136" s="38" t="str">
        <f t="shared" si="13"/>
        <v/>
      </c>
      <c r="M136" s="41">
        <f>VLOOKUP(INDICADORES!$B$21,'DATOS GENERALES'!$K:$M,3,0)*F136</f>
        <v>335889.97384832386</v>
      </c>
      <c r="N136" s="38" t="str">
        <f t="shared" si="14"/>
        <v/>
      </c>
      <c r="O136" s="36"/>
      <c r="P136" s="36"/>
      <c r="Q136" s="36"/>
    </row>
    <row r="137" spans="1:17" x14ac:dyDescent="0.25">
      <c r="A137" s="36">
        <v>1856</v>
      </c>
      <c r="B137" s="37">
        <v>44105</v>
      </c>
      <c r="C137" s="37">
        <v>44156.393974309984</v>
      </c>
      <c r="D137" s="36" t="s">
        <v>212</v>
      </c>
      <c r="E137" s="36"/>
      <c r="F137" s="38">
        <v>49351847.829500005</v>
      </c>
      <c r="G137" s="40">
        <f>VLOOKUP(A137,'DATOS GENERALES'!A:B,2,0)</f>
        <v>1.69</v>
      </c>
      <c r="H137" s="36">
        <f t="shared" si="10"/>
        <v>1.6822259999999998</v>
      </c>
      <c r="I137" s="38">
        <f t="shared" si="11"/>
        <v>29337228.071317416</v>
      </c>
      <c r="J137" s="38">
        <f t="shared" si="12"/>
        <v>20014619.758182589</v>
      </c>
      <c r="K137" s="38" t="s">
        <v>213</v>
      </c>
      <c r="L137" s="38" t="str">
        <f t="shared" si="13"/>
        <v/>
      </c>
      <c r="M137" s="41">
        <f>VLOOKUP(INDICADORES!$B$21,'DATOS GENERALES'!$K:$M,3,0)*F137</f>
        <v>335889.97384832386</v>
      </c>
      <c r="N137" s="38" t="str">
        <f t="shared" si="14"/>
        <v/>
      </c>
      <c r="O137" s="36"/>
      <c r="P137" s="36"/>
      <c r="Q137" s="36"/>
    </row>
    <row r="138" spans="1:17" x14ac:dyDescent="0.25">
      <c r="A138" s="36">
        <v>1856</v>
      </c>
      <c r="B138" s="37">
        <v>44136</v>
      </c>
      <c r="C138" s="37">
        <v>44189.088731693322</v>
      </c>
      <c r="D138" s="36" t="s">
        <v>212</v>
      </c>
      <c r="E138" s="36"/>
      <c r="F138" s="38">
        <v>49351847.829500005</v>
      </c>
      <c r="G138" s="40">
        <f>VLOOKUP(A138,'DATOS GENERALES'!A:B,2,0)</f>
        <v>1.69</v>
      </c>
      <c r="H138" s="36">
        <f t="shared" si="10"/>
        <v>1.6822259999999998</v>
      </c>
      <c r="I138" s="38">
        <f t="shared" si="11"/>
        <v>29337228.071317416</v>
      </c>
      <c r="J138" s="38">
        <f t="shared" si="12"/>
        <v>20014619.758182589</v>
      </c>
      <c r="K138" s="38" t="s">
        <v>213</v>
      </c>
      <c r="L138" s="38" t="str">
        <f t="shared" si="13"/>
        <v/>
      </c>
      <c r="M138" s="41">
        <f>VLOOKUP(INDICADORES!$B$21,'DATOS GENERALES'!$K:$M,3,0)*F138</f>
        <v>335889.97384832386</v>
      </c>
      <c r="N138" s="38" t="str">
        <f t="shared" si="14"/>
        <v/>
      </c>
      <c r="O138" s="36"/>
      <c r="P138" s="36"/>
      <c r="Q138" s="36"/>
    </row>
    <row r="139" spans="1:17" x14ac:dyDescent="0.25">
      <c r="A139" s="36">
        <v>1856</v>
      </c>
      <c r="B139" s="37">
        <v>44166</v>
      </c>
      <c r="C139" s="37">
        <v>44214.14490639828</v>
      </c>
      <c r="D139" s="36" t="s">
        <v>212</v>
      </c>
      <c r="E139" s="36"/>
      <c r="F139" s="38">
        <v>49351847.829500005</v>
      </c>
      <c r="G139" s="40">
        <f>VLOOKUP(A139,'DATOS GENERALES'!A:B,2,0)</f>
        <v>1.69</v>
      </c>
      <c r="H139" s="36">
        <f t="shared" si="10"/>
        <v>1.6822259999999998</v>
      </c>
      <c r="I139" s="38">
        <f t="shared" si="11"/>
        <v>29337228.071317416</v>
      </c>
      <c r="J139" s="38">
        <f t="shared" si="12"/>
        <v>20014619.758182589</v>
      </c>
      <c r="K139" s="38" t="s">
        <v>213</v>
      </c>
      <c r="L139" s="38" t="str">
        <f t="shared" si="13"/>
        <v/>
      </c>
      <c r="M139" s="41">
        <f>VLOOKUP(INDICADORES!$B$21,'DATOS GENERALES'!$K:$M,3,0)*F139</f>
        <v>335889.97384832386</v>
      </c>
      <c r="N139" s="38" t="str">
        <f t="shared" si="14"/>
        <v/>
      </c>
      <c r="O139" s="36"/>
      <c r="P139" s="36"/>
      <c r="Q139" s="36"/>
    </row>
    <row r="140" spans="1:17" x14ac:dyDescent="0.25">
      <c r="A140" s="36">
        <v>1856</v>
      </c>
      <c r="B140" s="37">
        <v>44197</v>
      </c>
      <c r="C140" s="37">
        <v>44237.794482052232</v>
      </c>
      <c r="D140" s="36" t="s">
        <v>212</v>
      </c>
      <c r="E140" s="36"/>
      <c r="F140" s="38">
        <v>49351847.829500005</v>
      </c>
      <c r="G140" s="40">
        <f>VLOOKUP(A140,'DATOS GENERALES'!A:B,2,0)</f>
        <v>1.69</v>
      </c>
      <c r="H140" s="36">
        <f t="shared" si="10"/>
        <v>1.6822259999999998</v>
      </c>
      <c r="I140" s="38">
        <f t="shared" si="11"/>
        <v>29337228.071317416</v>
      </c>
      <c r="J140" s="38">
        <f t="shared" si="12"/>
        <v>20014619.758182589</v>
      </c>
      <c r="K140" s="38" t="s">
        <v>213</v>
      </c>
      <c r="L140" s="38" t="str">
        <f t="shared" si="13"/>
        <v/>
      </c>
      <c r="M140" s="41">
        <f>VLOOKUP(INDICADORES!$B$21,'DATOS GENERALES'!$K:$M,3,0)*F140</f>
        <v>335889.97384832386</v>
      </c>
      <c r="N140" s="38" t="str">
        <f t="shared" si="14"/>
        <v/>
      </c>
      <c r="O140" s="36"/>
      <c r="P140" s="36"/>
      <c r="Q140" s="36"/>
    </row>
    <row r="141" spans="1:17" x14ac:dyDescent="0.25">
      <c r="A141" s="36">
        <v>1856</v>
      </c>
      <c r="B141" s="37">
        <v>44228</v>
      </c>
      <c r="C141" s="37">
        <v>44300.8251431932</v>
      </c>
      <c r="D141" s="36" t="s">
        <v>212</v>
      </c>
      <c r="E141" s="36"/>
      <c r="F141" s="38">
        <v>9910003.9500000011</v>
      </c>
      <c r="G141" s="40">
        <f>VLOOKUP(A141,'DATOS GENERALES'!A:B,2,0)</f>
        <v>1.69</v>
      </c>
      <c r="H141" s="36">
        <f t="shared" si="10"/>
        <v>1.6822259999999998</v>
      </c>
      <c r="I141" s="38">
        <f t="shared" si="11"/>
        <v>5891006.291663547</v>
      </c>
      <c r="J141" s="38">
        <f t="shared" si="12"/>
        <v>4018997.6583364541</v>
      </c>
      <c r="K141" s="38" t="s">
        <v>213</v>
      </c>
      <c r="L141" s="38" t="str">
        <f t="shared" si="13"/>
        <v/>
      </c>
      <c r="M141" s="41">
        <f>VLOOKUP(INDICADORES!$B$21,'DATOS GENERALES'!$K:$M,3,0)*F141</f>
        <v>67447.747429886062</v>
      </c>
      <c r="N141" s="38" t="str">
        <f t="shared" si="14"/>
        <v/>
      </c>
      <c r="O141" s="36"/>
      <c r="P141" s="36"/>
      <c r="Q141" s="36"/>
    </row>
    <row r="142" spans="1:17" x14ac:dyDescent="0.25">
      <c r="A142" s="36">
        <v>1860</v>
      </c>
      <c r="B142" s="37">
        <v>43466</v>
      </c>
      <c r="C142" s="37">
        <v>43523.445300714862</v>
      </c>
      <c r="D142" s="36" t="s">
        <v>212</v>
      </c>
      <c r="E142" s="36"/>
      <c r="F142" s="38">
        <v>20348195</v>
      </c>
      <c r="G142" s="40">
        <f>VLOOKUP(A142,'DATOS GENERALES'!A:B,2,0)</f>
        <v>1.61</v>
      </c>
      <c r="H142" s="36">
        <f t="shared" si="10"/>
        <v>1.6025940000000001</v>
      </c>
      <c r="I142" s="38">
        <f t="shared" si="11"/>
        <v>12697036.804081382</v>
      </c>
      <c r="J142" s="38">
        <f t="shared" si="12"/>
        <v>7651158.1959186178</v>
      </c>
      <c r="K142" s="38">
        <v>2785962.7990221307</v>
      </c>
      <c r="L142" s="38">
        <f t="shared" si="13"/>
        <v>4865195.3968964871</v>
      </c>
      <c r="M142" s="41">
        <f>VLOOKUP(INDICADORES!$B$21,'DATOS GENERALES'!$K:$M,3,0)*F142</f>
        <v>138490.35014906025</v>
      </c>
      <c r="N142" s="38">
        <f t="shared" si="14"/>
        <v>4726705.0467474265</v>
      </c>
      <c r="O142" s="36"/>
      <c r="P142" s="36"/>
      <c r="Q142" s="36"/>
    </row>
    <row r="143" spans="1:17" x14ac:dyDescent="0.25">
      <c r="A143" s="36">
        <v>1860</v>
      </c>
      <c r="B143" s="37">
        <v>43497</v>
      </c>
      <c r="C143" s="37">
        <v>43565.157710449363</v>
      </c>
      <c r="D143" s="36" t="s">
        <v>212</v>
      </c>
      <c r="E143" s="36"/>
      <c r="F143" s="38">
        <v>20348195</v>
      </c>
      <c r="G143" s="40">
        <f>VLOOKUP(A143,'DATOS GENERALES'!A:B,2,0)</f>
        <v>1.61</v>
      </c>
      <c r="H143" s="36">
        <f t="shared" si="10"/>
        <v>1.6025940000000001</v>
      </c>
      <c r="I143" s="38">
        <f t="shared" si="11"/>
        <v>12697036.804081382</v>
      </c>
      <c r="J143" s="38">
        <f t="shared" si="12"/>
        <v>7651158.1959186178</v>
      </c>
      <c r="K143" s="38">
        <v>2744564.1443934408</v>
      </c>
      <c r="L143" s="38">
        <f t="shared" si="13"/>
        <v>4906594.0515251774</v>
      </c>
      <c r="M143" s="41">
        <f>VLOOKUP(INDICADORES!$B$21,'DATOS GENERALES'!$K:$M,3,0)*F143</f>
        <v>138490.35014906025</v>
      </c>
      <c r="N143" s="38">
        <f t="shared" si="14"/>
        <v>4768103.7013761168</v>
      </c>
      <c r="O143" s="36"/>
      <c r="P143" s="36"/>
      <c r="Q143" s="36"/>
    </row>
    <row r="144" spans="1:17" x14ac:dyDescent="0.25">
      <c r="A144" s="36">
        <v>1860</v>
      </c>
      <c r="B144" s="37">
        <v>43525</v>
      </c>
      <c r="C144" s="37">
        <v>43591.503443780843</v>
      </c>
      <c r="D144" s="36" t="s">
        <v>212</v>
      </c>
      <c r="E144" s="36"/>
      <c r="F144" s="38">
        <v>20348195</v>
      </c>
      <c r="G144" s="40">
        <f>VLOOKUP(A144,'DATOS GENERALES'!A:B,2,0)</f>
        <v>1.61</v>
      </c>
      <c r="H144" s="36">
        <f t="shared" si="10"/>
        <v>1.6025940000000001</v>
      </c>
      <c r="I144" s="38">
        <f t="shared" si="11"/>
        <v>12697036.804081382</v>
      </c>
      <c r="J144" s="38">
        <f t="shared" si="12"/>
        <v>7651158.1959186178</v>
      </c>
      <c r="K144" s="38">
        <v>1985658.1180022748</v>
      </c>
      <c r="L144" s="38">
        <f t="shared" si="13"/>
        <v>5665500.0779163428</v>
      </c>
      <c r="M144" s="41">
        <f>VLOOKUP(INDICADORES!$B$21,'DATOS GENERALES'!$K:$M,3,0)*F144</f>
        <v>138490.35014906025</v>
      </c>
      <c r="N144" s="38">
        <f t="shared" si="14"/>
        <v>5527009.7277672822</v>
      </c>
      <c r="O144" s="36"/>
      <c r="P144" s="36"/>
      <c r="Q144" s="36"/>
    </row>
    <row r="145" spans="1:17" x14ac:dyDescent="0.25">
      <c r="A145" s="36">
        <v>1860</v>
      </c>
      <c r="B145" s="37">
        <v>43556</v>
      </c>
      <c r="C145" s="37">
        <v>43610.236563424856</v>
      </c>
      <c r="D145" s="36" t="s">
        <v>212</v>
      </c>
      <c r="E145" s="36"/>
      <c r="F145" s="38">
        <v>20348195</v>
      </c>
      <c r="G145" s="40">
        <f>VLOOKUP(A145,'DATOS GENERALES'!A:B,2,0)</f>
        <v>1.61</v>
      </c>
      <c r="H145" s="36">
        <f t="shared" si="10"/>
        <v>1.6025940000000001</v>
      </c>
      <c r="I145" s="38">
        <f t="shared" si="11"/>
        <v>12697036.804081382</v>
      </c>
      <c r="J145" s="38">
        <f t="shared" si="12"/>
        <v>7651158.1959186178</v>
      </c>
      <c r="K145" s="38">
        <v>2041406.2007341066</v>
      </c>
      <c r="L145" s="38">
        <f t="shared" si="13"/>
        <v>5609751.9951845109</v>
      </c>
      <c r="M145" s="41">
        <f>VLOOKUP(INDICADORES!$B$21,'DATOS GENERALES'!$K:$M,3,0)*F145</f>
        <v>138490.35014906025</v>
      </c>
      <c r="N145" s="38">
        <f t="shared" si="14"/>
        <v>5471261.6450354503</v>
      </c>
      <c r="O145" s="36"/>
      <c r="P145" s="36"/>
      <c r="Q145" s="36"/>
    </row>
    <row r="146" spans="1:17" x14ac:dyDescent="0.25">
      <c r="A146" s="36">
        <v>1860</v>
      </c>
      <c r="B146" s="37">
        <v>43586</v>
      </c>
      <c r="C146" s="37">
        <v>43653.486142524904</v>
      </c>
      <c r="D146" s="36" t="s">
        <v>212</v>
      </c>
      <c r="E146" s="36"/>
      <c r="F146" s="38">
        <v>20348195</v>
      </c>
      <c r="G146" s="40">
        <f>VLOOKUP(A146,'DATOS GENERALES'!A:B,2,0)</f>
        <v>1.61</v>
      </c>
      <c r="H146" s="36">
        <f t="shared" si="10"/>
        <v>1.6025940000000001</v>
      </c>
      <c r="I146" s="38">
        <f t="shared" si="11"/>
        <v>12697036.804081382</v>
      </c>
      <c r="J146" s="38">
        <f t="shared" si="12"/>
        <v>7651158.1959186178</v>
      </c>
      <c r="K146" s="38">
        <v>1684017.3509945383</v>
      </c>
      <c r="L146" s="38">
        <f t="shared" si="13"/>
        <v>5967140.8449240793</v>
      </c>
      <c r="M146" s="41">
        <f>VLOOKUP(INDICADORES!$B$21,'DATOS GENERALES'!$K:$M,3,0)*F146</f>
        <v>138490.35014906025</v>
      </c>
      <c r="N146" s="38">
        <f t="shared" si="14"/>
        <v>5828650.4947750187</v>
      </c>
      <c r="O146" s="36"/>
      <c r="P146" s="36"/>
      <c r="Q146" s="36"/>
    </row>
    <row r="147" spans="1:17" x14ac:dyDescent="0.25">
      <c r="A147" s="36">
        <v>1860</v>
      </c>
      <c r="B147" s="37">
        <v>43617</v>
      </c>
      <c r="C147" s="37">
        <v>43692.502058331389</v>
      </c>
      <c r="D147" s="36" t="s">
        <v>212</v>
      </c>
      <c r="E147" s="36"/>
      <c r="F147" s="38">
        <v>20348195</v>
      </c>
      <c r="G147" s="40">
        <f>VLOOKUP(A147,'DATOS GENERALES'!A:B,2,0)</f>
        <v>1.61</v>
      </c>
      <c r="H147" s="36">
        <f t="shared" si="10"/>
        <v>1.6025940000000001</v>
      </c>
      <c r="I147" s="38">
        <f t="shared" si="11"/>
        <v>12697036.804081382</v>
      </c>
      <c r="J147" s="38">
        <f t="shared" si="12"/>
        <v>7651158.1959186178</v>
      </c>
      <c r="K147" s="38">
        <v>1891490.6191290077</v>
      </c>
      <c r="L147" s="38">
        <f t="shared" si="13"/>
        <v>5759667.5767896101</v>
      </c>
      <c r="M147" s="41">
        <f>VLOOKUP(INDICADORES!$B$21,'DATOS GENERALES'!$K:$M,3,0)*F147</f>
        <v>138490.35014906025</v>
      </c>
      <c r="N147" s="38">
        <f t="shared" si="14"/>
        <v>5621177.2266405495</v>
      </c>
      <c r="O147" s="36"/>
      <c r="P147" s="36"/>
      <c r="Q147" s="36"/>
    </row>
    <row r="148" spans="1:17" x14ac:dyDescent="0.25">
      <c r="A148" s="36">
        <v>1860</v>
      </c>
      <c r="B148" s="37">
        <v>43647</v>
      </c>
      <c r="C148" s="37">
        <v>43690.815019031637</v>
      </c>
      <c r="D148" s="36" t="s">
        <v>212</v>
      </c>
      <c r="E148" s="36"/>
      <c r="F148" s="38">
        <v>20348195</v>
      </c>
      <c r="G148" s="40">
        <f>VLOOKUP(A148,'DATOS GENERALES'!A:B,2,0)</f>
        <v>1.61</v>
      </c>
      <c r="H148" s="36">
        <f t="shared" si="10"/>
        <v>1.6025940000000001</v>
      </c>
      <c r="I148" s="38">
        <f t="shared" si="11"/>
        <v>12697036.804081382</v>
      </c>
      <c r="J148" s="38">
        <f t="shared" si="12"/>
        <v>7651158.1959186178</v>
      </c>
      <c r="K148" s="38">
        <v>3284606.93198688</v>
      </c>
      <c r="L148" s="38">
        <f t="shared" si="13"/>
        <v>4366551.2639317382</v>
      </c>
      <c r="M148" s="41">
        <f>VLOOKUP(INDICADORES!$B$21,'DATOS GENERALES'!$K:$M,3,0)*F148</f>
        <v>138490.35014906025</v>
      </c>
      <c r="N148" s="38">
        <f t="shared" si="14"/>
        <v>4228060.9137826776</v>
      </c>
      <c r="O148" s="36"/>
      <c r="P148" s="36"/>
      <c r="Q148" s="36"/>
    </row>
    <row r="149" spans="1:17" x14ac:dyDescent="0.25">
      <c r="A149" s="36">
        <v>1860</v>
      </c>
      <c r="B149" s="37">
        <v>43678</v>
      </c>
      <c r="C149" s="37">
        <v>43728.70770411272</v>
      </c>
      <c r="D149" s="36" t="s">
        <v>212</v>
      </c>
      <c r="E149" s="36"/>
      <c r="F149" s="38">
        <v>20348195</v>
      </c>
      <c r="G149" s="40">
        <f>VLOOKUP(A149,'DATOS GENERALES'!A:B,2,0)</f>
        <v>1.61</v>
      </c>
      <c r="H149" s="36">
        <f t="shared" si="10"/>
        <v>1.6025940000000001</v>
      </c>
      <c r="I149" s="38">
        <f t="shared" si="11"/>
        <v>12697036.804081382</v>
      </c>
      <c r="J149" s="38">
        <f t="shared" si="12"/>
        <v>7651158.1959186178</v>
      </c>
      <c r="K149" s="38">
        <v>3298276.2415591581</v>
      </c>
      <c r="L149" s="38">
        <f t="shared" si="13"/>
        <v>4352881.9543594597</v>
      </c>
      <c r="M149" s="41">
        <f>VLOOKUP(INDICADORES!$B$21,'DATOS GENERALES'!$K:$M,3,0)*F149</f>
        <v>138490.35014906025</v>
      </c>
      <c r="N149" s="38">
        <f t="shared" si="14"/>
        <v>4214391.6042103991</v>
      </c>
      <c r="O149" s="36"/>
      <c r="P149" s="36"/>
      <c r="Q149" s="36"/>
    </row>
    <row r="150" spans="1:17" x14ac:dyDescent="0.25">
      <c r="A150" s="36">
        <v>1860</v>
      </c>
      <c r="B150" s="37">
        <v>43709</v>
      </c>
      <c r="C150" s="37">
        <v>43758.966283942282</v>
      </c>
      <c r="D150" s="36" t="s">
        <v>212</v>
      </c>
      <c r="E150" s="36"/>
      <c r="F150" s="38">
        <v>20348195</v>
      </c>
      <c r="G150" s="40">
        <f>VLOOKUP(A150,'DATOS GENERALES'!A:B,2,0)</f>
        <v>1.61</v>
      </c>
      <c r="H150" s="36">
        <f t="shared" si="10"/>
        <v>1.6025940000000001</v>
      </c>
      <c r="I150" s="38">
        <f t="shared" si="11"/>
        <v>12697036.804081382</v>
      </c>
      <c r="J150" s="38">
        <f t="shared" si="12"/>
        <v>7651158.1959186178</v>
      </c>
      <c r="K150" s="38">
        <v>3640509.448793266</v>
      </c>
      <c r="L150" s="38">
        <f t="shared" si="13"/>
        <v>4010648.7471253518</v>
      </c>
      <c r="M150" s="41">
        <f>VLOOKUP(INDICADORES!$B$21,'DATOS GENERALES'!$K:$M,3,0)*F150</f>
        <v>138490.35014906025</v>
      </c>
      <c r="N150" s="38">
        <f t="shared" si="14"/>
        <v>3872158.3969762917</v>
      </c>
      <c r="O150" s="36"/>
      <c r="P150" s="36"/>
      <c r="Q150" s="36"/>
    </row>
    <row r="151" spans="1:17" x14ac:dyDescent="0.25">
      <c r="A151" s="36">
        <v>1860</v>
      </c>
      <c r="B151" s="37">
        <v>43739</v>
      </c>
      <c r="C151" s="37">
        <v>43806.169273155552</v>
      </c>
      <c r="D151" s="36" t="s">
        <v>212</v>
      </c>
      <c r="E151" s="36"/>
      <c r="F151" s="38">
        <v>20348195</v>
      </c>
      <c r="G151" s="40">
        <f>VLOOKUP(A151,'DATOS GENERALES'!A:B,2,0)</f>
        <v>1.61</v>
      </c>
      <c r="H151" s="36">
        <f t="shared" si="10"/>
        <v>1.6025940000000001</v>
      </c>
      <c r="I151" s="38">
        <f t="shared" si="11"/>
        <v>12697036.804081382</v>
      </c>
      <c r="J151" s="38">
        <f t="shared" si="12"/>
        <v>7651158.1959186178</v>
      </c>
      <c r="K151" s="38">
        <v>3950838.3605129574</v>
      </c>
      <c r="L151" s="38">
        <f t="shared" si="13"/>
        <v>3700319.8354056603</v>
      </c>
      <c r="M151" s="41">
        <f>VLOOKUP(INDICADORES!$B$21,'DATOS GENERALES'!$K:$M,3,0)*F151</f>
        <v>138490.35014906025</v>
      </c>
      <c r="N151" s="38">
        <f t="shared" si="14"/>
        <v>3561829.4852566002</v>
      </c>
      <c r="O151" s="36"/>
      <c r="P151" s="36"/>
      <c r="Q151" s="36"/>
    </row>
    <row r="152" spans="1:17" x14ac:dyDescent="0.25">
      <c r="A152" s="36">
        <v>1860</v>
      </c>
      <c r="B152" s="37">
        <v>43770</v>
      </c>
      <c r="C152" s="37">
        <v>43835.251871578796</v>
      </c>
      <c r="D152" s="36" t="s">
        <v>212</v>
      </c>
      <c r="E152" s="36"/>
      <c r="F152" s="38">
        <v>20348195</v>
      </c>
      <c r="G152" s="40">
        <f>VLOOKUP(A152,'DATOS GENERALES'!A:B,2,0)</f>
        <v>1.61</v>
      </c>
      <c r="H152" s="36">
        <f t="shared" si="10"/>
        <v>1.6025940000000001</v>
      </c>
      <c r="I152" s="38">
        <f t="shared" si="11"/>
        <v>12697036.804081382</v>
      </c>
      <c r="J152" s="38">
        <f t="shared" si="12"/>
        <v>7651158.1959186178</v>
      </c>
      <c r="K152" s="38">
        <v>5184671.2876638537</v>
      </c>
      <c r="L152" s="38">
        <f t="shared" si="13"/>
        <v>2466486.908254764</v>
      </c>
      <c r="M152" s="41">
        <f>VLOOKUP(INDICADORES!$B$21,'DATOS GENERALES'!$K:$M,3,0)*F152</f>
        <v>138490.35014906025</v>
      </c>
      <c r="N152" s="38">
        <f t="shared" si="14"/>
        <v>2327996.5581057039</v>
      </c>
      <c r="O152" s="36"/>
      <c r="P152" s="36"/>
      <c r="Q152" s="36"/>
    </row>
    <row r="153" spans="1:17" x14ac:dyDescent="0.25">
      <c r="A153" s="36">
        <v>1860</v>
      </c>
      <c r="B153" s="37">
        <v>43800</v>
      </c>
      <c r="C153" s="37">
        <v>43866.376936612956</v>
      </c>
      <c r="D153" s="36" t="s">
        <v>212</v>
      </c>
      <c r="E153" s="36"/>
      <c r="F153" s="38">
        <v>20348195</v>
      </c>
      <c r="G153" s="40">
        <f>VLOOKUP(A153,'DATOS GENERALES'!A:B,2,0)</f>
        <v>1.61</v>
      </c>
      <c r="H153" s="36">
        <f t="shared" si="10"/>
        <v>1.6025940000000001</v>
      </c>
      <c r="I153" s="38">
        <f t="shared" si="11"/>
        <v>12697036.804081382</v>
      </c>
      <c r="J153" s="38">
        <f t="shared" si="12"/>
        <v>7651158.1959186178</v>
      </c>
      <c r="K153" s="38">
        <v>4472035.7967201211</v>
      </c>
      <c r="L153" s="38">
        <f t="shared" si="13"/>
        <v>3179122.3991984967</v>
      </c>
      <c r="M153" s="41">
        <f>VLOOKUP(INDICADORES!$B$21,'DATOS GENERALES'!$K:$M,3,0)*F153</f>
        <v>138490.35014906025</v>
      </c>
      <c r="N153" s="38">
        <f t="shared" si="14"/>
        <v>3040632.0490494366</v>
      </c>
      <c r="O153" s="36"/>
      <c r="P153" s="36"/>
      <c r="Q153" s="36"/>
    </row>
    <row r="154" spans="1:17" x14ac:dyDescent="0.25">
      <c r="A154" s="36">
        <v>1860</v>
      </c>
      <c r="B154" s="37">
        <v>43831</v>
      </c>
      <c r="C154" s="37">
        <v>43906.934399965707</v>
      </c>
      <c r="D154" s="36" t="s">
        <v>212</v>
      </c>
      <c r="E154" s="36"/>
      <c r="F154" s="38">
        <v>20348195</v>
      </c>
      <c r="G154" s="40">
        <f>VLOOKUP(A154,'DATOS GENERALES'!A:B,2,0)</f>
        <v>1.61</v>
      </c>
      <c r="H154" s="36">
        <f t="shared" si="10"/>
        <v>1.6025940000000001</v>
      </c>
      <c r="I154" s="38">
        <f t="shared" si="11"/>
        <v>12697036.804081382</v>
      </c>
      <c r="J154" s="38">
        <f t="shared" si="12"/>
        <v>7651158.1959186178</v>
      </c>
      <c r="K154" s="38" t="s">
        <v>213</v>
      </c>
      <c r="L154" s="38" t="str">
        <f t="shared" si="13"/>
        <v/>
      </c>
      <c r="M154" s="41">
        <f>VLOOKUP(INDICADORES!$B$21,'DATOS GENERALES'!$K:$M,3,0)*F154</f>
        <v>138490.35014906025</v>
      </c>
      <c r="N154" s="38" t="str">
        <f t="shared" si="14"/>
        <v/>
      </c>
      <c r="O154" s="36"/>
      <c r="P154" s="36"/>
      <c r="Q154" s="36"/>
    </row>
    <row r="155" spans="1:17" x14ac:dyDescent="0.25">
      <c r="A155" s="36">
        <v>1860</v>
      </c>
      <c r="B155" s="37">
        <v>43862</v>
      </c>
      <c r="C155" s="37">
        <v>43925.217611362823</v>
      </c>
      <c r="D155" s="36" t="s">
        <v>212</v>
      </c>
      <c r="E155" s="36"/>
      <c r="F155" s="38">
        <v>20348195</v>
      </c>
      <c r="G155" s="40">
        <f>VLOOKUP(A155,'DATOS GENERALES'!A:B,2,0)</f>
        <v>1.61</v>
      </c>
      <c r="H155" s="36">
        <f t="shared" si="10"/>
        <v>1.6025940000000001</v>
      </c>
      <c r="I155" s="38">
        <f t="shared" si="11"/>
        <v>12697036.804081382</v>
      </c>
      <c r="J155" s="38">
        <f t="shared" si="12"/>
        <v>7651158.1959186178</v>
      </c>
      <c r="K155" s="38" t="s">
        <v>213</v>
      </c>
      <c r="L155" s="38" t="str">
        <f t="shared" si="13"/>
        <v/>
      </c>
      <c r="M155" s="41">
        <f>VLOOKUP(INDICADORES!$B$21,'DATOS GENERALES'!$K:$M,3,0)*F155</f>
        <v>138490.35014906025</v>
      </c>
      <c r="N155" s="38" t="str">
        <f t="shared" si="14"/>
        <v/>
      </c>
      <c r="O155" s="36"/>
      <c r="P155" s="36"/>
      <c r="Q155" s="36"/>
    </row>
    <row r="156" spans="1:17" x14ac:dyDescent="0.25">
      <c r="A156" s="36">
        <v>1860</v>
      </c>
      <c r="B156" s="37">
        <v>43891</v>
      </c>
      <c r="C156" s="37">
        <v>43970.301531226483</v>
      </c>
      <c r="D156" s="36" t="s">
        <v>212</v>
      </c>
      <c r="E156" s="36"/>
      <c r="F156" s="38">
        <v>20348195</v>
      </c>
      <c r="G156" s="40">
        <f>VLOOKUP(A156,'DATOS GENERALES'!A:B,2,0)</f>
        <v>1.61</v>
      </c>
      <c r="H156" s="36">
        <f t="shared" si="10"/>
        <v>1.6025940000000001</v>
      </c>
      <c r="I156" s="38">
        <f t="shared" si="11"/>
        <v>12697036.804081382</v>
      </c>
      <c r="J156" s="38">
        <f t="shared" si="12"/>
        <v>7651158.1959186178</v>
      </c>
      <c r="K156" s="38" t="s">
        <v>213</v>
      </c>
      <c r="L156" s="38" t="str">
        <f t="shared" si="13"/>
        <v/>
      </c>
      <c r="M156" s="41">
        <f>VLOOKUP(INDICADORES!$B$21,'DATOS GENERALES'!$K:$M,3,0)*F156</f>
        <v>138490.35014906025</v>
      </c>
      <c r="N156" s="38" t="str">
        <f t="shared" si="14"/>
        <v/>
      </c>
      <c r="O156" s="36"/>
      <c r="P156" s="36"/>
      <c r="Q156" s="36"/>
    </row>
    <row r="157" spans="1:17" x14ac:dyDescent="0.25">
      <c r="A157" s="36">
        <v>1860</v>
      </c>
      <c r="B157" s="37">
        <v>43922</v>
      </c>
      <c r="C157" s="37">
        <v>43993.599413241609</v>
      </c>
      <c r="D157" s="36" t="s">
        <v>212</v>
      </c>
      <c r="E157" s="36"/>
      <c r="F157" s="38">
        <v>20348195</v>
      </c>
      <c r="G157" s="40">
        <f>VLOOKUP(A157,'DATOS GENERALES'!A:B,2,0)</f>
        <v>1.61</v>
      </c>
      <c r="H157" s="36">
        <f t="shared" si="10"/>
        <v>1.6025940000000001</v>
      </c>
      <c r="I157" s="38">
        <f t="shared" si="11"/>
        <v>12697036.804081382</v>
      </c>
      <c r="J157" s="38">
        <f t="shared" si="12"/>
        <v>7651158.1959186178</v>
      </c>
      <c r="K157" s="38" t="s">
        <v>213</v>
      </c>
      <c r="L157" s="38" t="str">
        <f t="shared" si="13"/>
        <v/>
      </c>
      <c r="M157" s="41">
        <f>VLOOKUP(INDICADORES!$B$21,'DATOS GENERALES'!$K:$M,3,0)*F157</f>
        <v>138490.35014906025</v>
      </c>
      <c r="N157" s="38" t="str">
        <f t="shared" si="14"/>
        <v/>
      </c>
      <c r="O157" s="36"/>
      <c r="P157" s="36"/>
      <c r="Q157" s="36"/>
    </row>
    <row r="158" spans="1:17" x14ac:dyDescent="0.25">
      <c r="A158" s="36">
        <v>1860</v>
      </c>
      <c r="B158" s="37">
        <v>43952</v>
      </c>
      <c r="C158" s="37">
        <v>43995.660212650124</v>
      </c>
      <c r="D158" s="36" t="s">
        <v>212</v>
      </c>
      <c r="E158" s="36"/>
      <c r="F158" s="38">
        <v>20348195</v>
      </c>
      <c r="G158" s="40">
        <f>VLOOKUP(A158,'DATOS GENERALES'!A:B,2,0)</f>
        <v>1.61</v>
      </c>
      <c r="H158" s="36">
        <f t="shared" si="10"/>
        <v>1.6025940000000001</v>
      </c>
      <c r="I158" s="38">
        <f t="shared" si="11"/>
        <v>12697036.804081382</v>
      </c>
      <c r="J158" s="38">
        <f t="shared" si="12"/>
        <v>7651158.1959186178</v>
      </c>
      <c r="K158" s="38" t="s">
        <v>213</v>
      </c>
      <c r="L158" s="38" t="str">
        <f t="shared" si="13"/>
        <v/>
      </c>
      <c r="M158" s="41">
        <f>VLOOKUP(INDICADORES!$B$21,'DATOS GENERALES'!$K:$M,3,0)*F158</f>
        <v>138490.35014906025</v>
      </c>
      <c r="N158" s="38" t="str">
        <f t="shared" si="14"/>
        <v/>
      </c>
      <c r="O158" s="36"/>
      <c r="P158" s="36"/>
      <c r="Q158" s="36"/>
    </row>
    <row r="159" spans="1:17" x14ac:dyDescent="0.25">
      <c r="A159" s="36">
        <v>1860</v>
      </c>
      <c r="B159" s="37">
        <v>43983</v>
      </c>
      <c r="C159" s="37">
        <v>44016.327623458739</v>
      </c>
      <c r="D159" s="36" t="s">
        <v>212</v>
      </c>
      <c r="E159" s="36"/>
      <c r="F159" s="38">
        <v>20348195</v>
      </c>
      <c r="G159" s="40">
        <f>VLOOKUP(A159,'DATOS GENERALES'!A:B,2,0)</f>
        <v>1.61</v>
      </c>
      <c r="H159" s="36">
        <f t="shared" si="10"/>
        <v>1.6025940000000001</v>
      </c>
      <c r="I159" s="38">
        <f t="shared" si="11"/>
        <v>12697036.804081382</v>
      </c>
      <c r="J159" s="38">
        <f t="shared" si="12"/>
        <v>7651158.1959186178</v>
      </c>
      <c r="K159" s="38" t="s">
        <v>213</v>
      </c>
      <c r="L159" s="38" t="str">
        <f t="shared" si="13"/>
        <v/>
      </c>
      <c r="M159" s="41">
        <f>VLOOKUP(INDICADORES!$B$21,'DATOS GENERALES'!$K:$M,3,0)*F159</f>
        <v>138490.35014906025</v>
      </c>
      <c r="N159" s="38" t="str">
        <f t="shared" si="14"/>
        <v/>
      </c>
      <c r="O159" s="36"/>
      <c r="P159" s="36"/>
      <c r="Q159" s="36"/>
    </row>
    <row r="160" spans="1:17" x14ac:dyDescent="0.25">
      <c r="A160" s="36">
        <v>1860</v>
      </c>
      <c r="B160" s="37">
        <v>44013</v>
      </c>
      <c r="C160" s="37">
        <v>44046.152998334619</v>
      </c>
      <c r="D160" s="36" t="s">
        <v>212</v>
      </c>
      <c r="E160" s="36"/>
      <c r="F160" s="38">
        <v>20348195</v>
      </c>
      <c r="G160" s="40">
        <f>VLOOKUP(A160,'DATOS GENERALES'!A:B,2,0)</f>
        <v>1.61</v>
      </c>
      <c r="H160" s="36">
        <f t="shared" si="10"/>
        <v>1.6025940000000001</v>
      </c>
      <c r="I160" s="38">
        <f t="shared" si="11"/>
        <v>12697036.804081382</v>
      </c>
      <c r="J160" s="38">
        <f t="shared" si="12"/>
        <v>7651158.1959186178</v>
      </c>
      <c r="K160" s="38" t="s">
        <v>213</v>
      </c>
      <c r="L160" s="38" t="str">
        <f t="shared" si="13"/>
        <v/>
      </c>
      <c r="M160" s="41">
        <f>VLOOKUP(INDICADORES!$B$21,'DATOS GENERALES'!$K:$M,3,0)*F160</f>
        <v>138490.35014906025</v>
      </c>
      <c r="N160" s="38" t="str">
        <f t="shared" si="14"/>
        <v/>
      </c>
      <c r="O160" s="36"/>
      <c r="P160" s="36"/>
      <c r="Q160" s="36"/>
    </row>
    <row r="161" spans="1:17" x14ac:dyDescent="0.25">
      <c r="A161" s="36">
        <v>1860</v>
      </c>
      <c r="B161" s="37">
        <v>44044</v>
      </c>
      <c r="C161" s="37">
        <v>44124.708590706214</v>
      </c>
      <c r="D161" s="36" t="s">
        <v>212</v>
      </c>
      <c r="E161" s="36"/>
      <c r="F161" s="38">
        <v>24271520</v>
      </c>
      <c r="G161" s="40">
        <f>VLOOKUP(A161,'DATOS GENERALES'!A:B,2,0)</f>
        <v>1.61</v>
      </c>
      <c r="H161" s="36">
        <f t="shared" si="10"/>
        <v>1.6025940000000001</v>
      </c>
      <c r="I161" s="38">
        <f t="shared" si="11"/>
        <v>15145145.932157489</v>
      </c>
      <c r="J161" s="38">
        <f t="shared" si="12"/>
        <v>9126374.0678425115</v>
      </c>
      <c r="K161" s="38" t="s">
        <v>213</v>
      </c>
      <c r="L161" s="38" t="str">
        <f t="shared" si="13"/>
        <v/>
      </c>
      <c r="M161" s="41">
        <f>VLOOKUP(INDICADORES!$B$21,'DATOS GENERALES'!$K:$M,3,0)*F161</f>
        <v>165192.60324809738</v>
      </c>
      <c r="N161" s="38" t="str">
        <f t="shared" si="14"/>
        <v/>
      </c>
      <c r="O161" s="36"/>
      <c r="P161" s="36"/>
      <c r="Q161" s="36"/>
    </row>
    <row r="162" spans="1:17" x14ac:dyDescent="0.25">
      <c r="A162" s="36">
        <v>1860</v>
      </c>
      <c r="B162" s="37">
        <v>44075</v>
      </c>
      <c r="C162" s="37">
        <v>44142.570643576626</v>
      </c>
      <c r="D162" s="36" t="s">
        <v>212</v>
      </c>
      <c r="E162" s="36"/>
      <c r="F162" s="38">
        <v>24271520</v>
      </c>
      <c r="G162" s="40">
        <f>VLOOKUP(A162,'DATOS GENERALES'!A:B,2,0)</f>
        <v>1.61</v>
      </c>
      <c r="H162" s="36">
        <f t="shared" si="10"/>
        <v>1.6025940000000001</v>
      </c>
      <c r="I162" s="38">
        <f t="shared" si="11"/>
        <v>15145145.932157489</v>
      </c>
      <c r="J162" s="38">
        <f t="shared" si="12"/>
        <v>9126374.0678425115</v>
      </c>
      <c r="K162" s="38" t="s">
        <v>213</v>
      </c>
      <c r="L162" s="38" t="str">
        <f t="shared" si="13"/>
        <v/>
      </c>
      <c r="M162" s="41">
        <f>VLOOKUP(INDICADORES!$B$21,'DATOS GENERALES'!$K:$M,3,0)*F162</f>
        <v>165192.60324809738</v>
      </c>
      <c r="N162" s="38" t="str">
        <f t="shared" si="14"/>
        <v/>
      </c>
      <c r="O162" s="36"/>
      <c r="P162" s="36"/>
      <c r="Q162" s="36"/>
    </row>
    <row r="163" spans="1:17" x14ac:dyDescent="0.25">
      <c r="A163" s="36">
        <v>1860</v>
      </c>
      <c r="B163" s="37">
        <v>44105</v>
      </c>
      <c r="C163" s="37">
        <v>44164.438376383281</v>
      </c>
      <c r="D163" s="36" t="s">
        <v>212</v>
      </c>
      <c r="E163" s="36"/>
      <c r="F163" s="38">
        <v>24271520</v>
      </c>
      <c r="G163" s="40">
        <f>VLOOKUP(A163,'DATOS GENERALES'!A:B,2,0)</f>
        <v>1.61</v>
      </c>
      <c r="H163" s="36">
        <f t="shared" si="10"/>
        <v>1.6025940000000001</v>
      </c>
      <c r="I163" s="38">
        <f t="shared" si="11"/>
        <v>15145145.932157489</v>
      </c>
      <c r="J163" s="38">
        <f t="shared" si="12"/>
        <v>9126374.0678425115</v>
      </c>
      <c r="K163" s="38" t="s">
        <v>213</v>
      </c>
      <c r="L163" s="38" t="str">
        <f t="shared" si="13"/>
        <v/>
      </c>
      <c r="M163" s="41">
        <f>VLOOKUP(INDICADORES!$B$21,'DATOS GENERALES'!$K:$M,3,0)*F163</f>
        <v>165192.60324809738</v>
      </c>
      <c r="N163" s="38" t="str">
        <f t="shared" si="14"/>
        <v/>
      </c>
      <c r="O163" s="36"/>
      <c r="P163" s="36"/>
      <c r="Q163" s="36"/>
    </row>
    <row r="164" spans="1:17" x14ac:dyDescent="0.25">
      <c r="A164" s="36">
        <v>1860</v>
      </c>
      <c r="B164" s="37">
        <v>44136</v>
      </c>
      <c r="C164" s="37">
        <v>44215.997426425893</v>
      </c>
      <c r="D164" s="36" t="s">
        <v>212</v>
      </c>
      <c r="E164" s="36"/>
      <c r="F164" s="38">
        <v>24271520</v>
      </c>
      <c r="G164" s="40">
        <f>VLOOKUP(A164,'DATOS GENERALES'!A:B,2,0)</f>
        <v>1.61</v>
      </c>
      <c r="H164" s="36">
        <f t="shared" si="10"/>
        <v>1.6025940000000001</v>
      </c>
      <c r="I164" s="38">
        <f t="shared" si="11"/>
        <v>15145145.932157489</v>
      </c>
      <c r="J164" s="38">
        <f t="shared" si="12"/>
        <v>9126374.0678425115</v>
      </c>
      <c r="K164" s="38" t="s">
        <v>213</v>
      </c>
      <c r="L164" s="38" t="str">
        <f t="shared" si="13"/>
        <v/>
      </c>
      <c r="M164" s="41">
        <f>VLOOKUP(INDICADORES!$B$21,'DATOS GENERALES'!$K:$M,3,0)*F164</f>
        <v>165192.60324809738</v>
      </c>
      <c r="N164" s="38" t="str">
        <f t="shared" si="14"/>
        <v/>
      </c>
      <c r="O164" s="36"/>
      <c r="P164" s="36"/>
      <c r="Q164" s="36"/>
    </row>
    <row r="165" spans="1:17" x14ac:dyDescent="0.25">
      <c r="A165" s="36">
        <v>1860</v>
      </c>
      <c r="B165" s="37">
        <v>44166</v>
      </c>
      <c r="C165" s="37">
        <v>44252.519171389875</v>
      </c>
      <c r="D165" s="36" t="s">
        <v>212</v>
      </c>
      <c r="E165" s="36"/>
      <c r="F165" s="38">
        <v>24271520</v>
      </c>
      <c r="G165" s="40">
        <f>VLOOKUP(A165,'DATOS GENERALES'!A:B,2,0)</f>
        <v>1.61</v>
      </c>
      <c r="H165" s="36">
        <f t="shared" si="10"/>
        <v>1.6025940000000001</v>
      </c>
      <c r="I165" s="38">
        <f t="shared" si="11"/>
        <v>15145145.932157489</v>
      </c>
      <c r="J165" s="38">
        <f t="shared" si="12"/>
        <v>9126374.0678425115</v>
      </c>
      <c r="K165" s="38" t="s">
        <v>213</v>
      </c>
      <c r="L165" s="38" t="str">
        <f t="shared" si="13"/>
        <v/>
      </c>
      <c r="M165" s="41">
        <f>VLOOKUP(INDICADORES!$B$21,'DATOS GENERALES'!$K:$M,3,0)*F165</f>
        <v>165192.60324809738</v>
      </c>
      <c r="N165" s="38" t="str">
        <f t="shared" si="14"/>
        <v/>
      </c>
      <c r="O165" s="36"/>
      <c r="P165" s="36"/>
      <c r="Q165" s="36"/>
    </row>
    <row r="166" spans="1:17" x14ac:dyDescent="0.25">
      <c r="A166" s="36">
        <v>1860</v>
      </c>
      <c r="B166" s="37">
        <v>44197</v>
      </c>
      <c r="C166" s="37">
        <v>44242.840390776306</v>
      </c>
      <c r="D166" s="36" t="s">
        <v>212</v>
      </c>
      <c r="E166" s="36"/>
      <c r="F166" s="38">
        <v>24271520</v>
      </c>
      <c r="G166" s="40">
        <f>VLOOKUP(A166,'DATOS GENERALES'!A:B,2,0)</f>
        <v>1.61</v>
      </c>
      <c r="H166" s="36">
        <f t="shared" si="10"/>
        <v>1.6025940000000001</v>
      </c>
      <c r="I166" s="38">
        <f t="shared" si="11"/>
        <v>15145145.932157489</v>
      </c>
      <c r="J166" s="38">
        <f t="shared" si="12"/>
        <v>9126374.0678425115</v>
      </c>
      <c r="K166" s="38" t="s">
        <v>213</v>
      </c>
      <c r="L166" s="38" t="str">
        <f t="shared" si="13"/>
        <v/>
      </c>
      <c r="M166" s="41">
        <f>VLOOKUP(INDICADORES!$B$21,'DATOS GENERALES'!$K:$M,3,0)*F166</f>
        <v>165192.60324809738</v>
      </c>
      <c r="N166" s="38" t="str">
        <f t="shared" si="14"/>
        <v/>
      </c>
      <c r="O166" s="36"/>
      <c r="P166" s="36"/>
      <c r="Q166" s="36"/>
    </row>
    <row r="167" spans="1:17" x14ac:dyDescent="0.25">
      <c r="A167" s="36">
        <v>1860</v>
      </c>
      <c r="B167" s="37">
        <v>44228</v>
      </c>
      <c r="C167" s="37">
        <v>44281.305242162656</v>
      </c>
      <c r="D167" s="36" t="s">
        <v>212</v>
      </c>
      <c r="E167" s="36"/>
      <c r="F167" s="38">
        <v>24271520</v>
      </c>
      <c r="G167" s="40">
        <f>VLOOKUP(A167,'DATOS GENERALES'!A:B,2,0)</f>
        <v>1.61</v>
      </c>
      <c r="H167" s="36">
        <f t="shared" si="10"/>
        <v>1.6025940000000001</v>
      </c>
      <c r="I167" s="38">
        <f t="shared" si="11"/>
        <v>15145145.932157489</v>
      </c>
      <c r="J167" s="38">
        <f t="shared" si="12"/>
        <v>9126374.0678425115</v>
      </c>
      <c r="K167" s="38" t="s">
        <v>213</v>
      </c>
      <c r="L167" s="38" t="str">
        <f t="shared" si="13"/>
        <v/>
      </c>
      <c r="M167" s="41">
        <f>VLOOKUP(INDICADORES!$B$21,'DATOS GENERALES'!$K:$M,3,0)*F167</f>
        <v>165192.60324809738</v>
      </c>
      <c r="N167" s="38" t="str">
        <f t="shared" si="14"/>
        <v/>
      </c>
      <c r="O167" s="36"/>
      <c r="P167" s="36"/>
      <c r="Q167" s="36"/>
    </row>
    <row r="168" spans="1:17" x14ac:dyDescent="0.25">
      <c r="A168" s="36">
        <v>1860</v>
      </c>
      <c r="B168" s="37">
        <v>44256</v>
      </c>
      <c r="C168" s="37">
        <v>44302.321102962342</v>
      </c>
      <c r="D168" s="36" t="s">
        <v>212</v>
      </c>
      <c r="E168" s="36"/>
      <c r="F168" s="38">
        <v>24271520</v>
      </c>
      <c r="G168" s="40">
        <f>VLOOKUP(A168,'DATOS GENERALES'!A:B,2,0)</f>
        <v>1.61</v>
      </c>
      <c r="H168" s="36">
        <f t="shared" si="10"/>
        <v>1.6025940000000001</v>
      </c>
      <c r="I168" s="38">
        <f t="shared" si="11"/>
        <v>15145145.932157489</v>
      </c>
      <c r="J168" s="38">
        <f t="shared" si="12"/>
        <v>9126374.0678425115</v>
      </c>
      <c r="K168" s="38" t="s">
        <v>213</v>
      </c>
      <c r="L168" s="38" t="str">
        <f t="shared" si="13"/>
        <v/>
      </c>
      <c r="M168" s="41">
        <f>VLOOKUP(INDICADORES!$B$21,'DATOS GENERALES'!$K:$M,3,0)*F168</f>
        <v>165192.60324809738</v>
      </c>
      <c r="N168" s="38" t="str">
        <f t="shared" si="14"/>
        <v/>
      </c>
      <c r="O168" s="36"/>
      <c r="P168" s="36"/>
      <c r="Q168" s="36"/>
    </row>
    <row r="169" spans="1:17" x14ac:dyDescent="0.25">
      <c r="A169" s="36">
        <v>1860</v>
      </c>
      <c r="B169" s="37">
        <v>44287</v>
      </c>
      <c r="C169" s="37">
        <v>44310.835111713612</v>
      </c>
      <c r="D169" s="36" t="s">
        <v>212</v>
      </c>
      <c r="E169" s="36"/>
      <c r="F169" s="38">
        <v>19513445</v>
      </c>
      <c r="G169" s="40">
        <f>VLOOKUP(A169,'DATOS GENERALES'!A:B,2,0)</f>
        <v>1.61</v>
      </c>
      <c r="H169" s="36">
        <f t="shared" si="10"/>
        <v>1.6025940000000001</v>
      </c>
      <c r="I169" s="38">
        <f t="shared" si="11"/>
        <v>12176162.521511998</v>
      </c>
      <c r="J169" s="38">
        <f t="shared" si="12"/>
        <v>7337282.478488002</v>
      </c>
      <c r="K169" s="38" t="s">
        <v>213</v>
      </c>
      <c r="L169" s="38" t="str">
        <f t="shared" si="13"/>
        <v/>
      </c>
      <c r="M169" s="41">
        <f>VLOOKUP(INDICADORES!$B$21,'DATOS GENERALES'!$K:$M,3,0)*F169</f>
        <v>132809.0197024566</v>
      </c>
      <c r="N169" s="38" t="str">
        <f t="shared" si="14"/>
        <v/>
      </c>
      <c r="O169" s="36"/>
      <c r="P169" s="36"/>
      <c r="Q169" s="36"/>
    </row>
    <row r="170" spans="1:17" x14ac:dyDescent="0.25">
      <c r="A170" s="36">
        <v>1860</v>
      </c>
      <c r="B170" s="37">
        <v>44317</v>
      </c>
      <c r="C170" s="37">
        <v>44378.143049202583</v>
      </c>
      <c r="D170" s="36" t="s">
        <v>212</v>
      </c>
      <c r="E170" s="36"/>
      <c r="F170" s="38">
        <v>3923324.9999999995</v>
      </c>
      <c r="G170" s="40">
        <f>VLOOKUP(A170,'DATOS GENERALES'!A:B,2,0)</f>
        <v>1.61</v>
      </c>
      <c r="H170" s="36">
        <f t="shared" si="10"/>
        <v>1.6025940000000001</v>
      </c>
      <c r="I170" s="38">
        <f t="shared" si="11"/>
        <v>2448109.1280761063</v>
      </c>
      <c r="J170" s="38">
        <f t="shared" si="12"/>
        <v>1475215.8719238932</v>
      </c>
      <c r="K170" s="38" t="s">
        <v>213</v>
      </c>
      <c r="L170" s="38" t="str">
        <f t="shared" si="13"/>
        <v/>
      </c>
      <c r="M170" s="41">
        <f>VLOOKUP(INDICADORES!$B$21,'DATOS GENERALES'!$K:$M,3,0)*F170</f>
        <v>26702.253099037127</v>
      </c>
      <c r="N170" s="38" t="str">
        <f t="shared" si="14"/>
        <v/>
      </c>
      <c r="O170" s="36"/>
      <c r="P170" s="36"/>
      <c r="Q170" s="36"/>
    </row>
    <row r="171" spans="1:17" x14ac:dyDescent="0.25">
      <c r="A171" s="36">
        <v>1860</v>
      </c>
      <c r="B171" s="37">
        <v>44348</v>
      </c>
      <c r="C171" s="37">
        <v>44390.994935482551</v>
      </c>
      <c r="D171" s="36" t="s">
        <v>212</v>
      </c>
      <c r="E171" s="36"/>
      <c r="F171" s="38">
        <v>3923324.9999999995</v>
      </c>
      <c r="G171" s="40">
        <f>VLOOKUP(A171,'DATOS GENERALES'!A:B,2,0)</f>
        <v>1.61</v>
      </c>
      <c r="H171" s="36">
        <f t="shared" si="10"/>
        <v>1.6025940000000001</v>
      </c>
      <c r="I171" s="38">
        <f t="shared" si="11"/>
        <v>2448109.1280761063</v>
      </c>
      <c r="J171" s="38">
        <f t="shared" si="12"/>
        <v>1475215.8719238932</v>
      </c>
      <c r="K171" s="38" t="s">
        <v>213</v>
      </c>
      <c r="L171" s="38" t="str">
        <f t="shared" si="13"/>
        <v/>
      </c>
      <c r="M171" s="41">
        <f>VLOOKUP(INDICADORES!$B$21,'DATOS GENERALES'!$K:$M,3,0)*F171</f>
        <v>26702.253099037127</v>
      </c>
      <c r="N171" s="38" t="str">
        <f t="shared" si="14"/>
        <v/>
      </c>
      <c r="O171" s="36"/>
      <c r="P171" s="36"/>
      <c r="Q171" s="36"/>
    </row>
    <row r="172" spans="1:17" x14ac:dyDescent="0.25">
      <c r="A172" s="36">
        <v>1860</v>
      </c>
      <c r="B172" s="37">
        <v>44378</v>
      </c>
      <c r="C172" s="37">
        <v>44423.063849916405</v>
      </c>
      <c r="D172" s="36" t="s">
        <v>212</v>
      </c>
      <c r="E172" s="36"/>
      <c r="F172" s="38">
        <v>3923324.9999999995</v>
      </c>
      <c r="G172" s="40">
        <f>VLOOKUP(A172,'DATOS GENERALES'!A:B,2,0)</f>
        <v>1.61</v>
      </c>
      <c r="H172" s="36">
        <f t="shared" si="10"/>
        <v>1.6025940000000001</v>
      </c>
      <c r="I172" s="38">
        <f t="shared" si="11"/>
        <v>2448109.1280761063</v>
      </c>
      <c r="J172" s="38">
        <f t="shared" si="12"/>
        <v>1475215.8719238932</v>
      </c>
      <c r="K172" s="38" t="s">
        <v>213</v>
      </c>
      <c r="L172" s="38" t="str">
        <f t="shared" si="13"/>
        <v/>
      </c>
      <c r="M172" s="41">
        <f>VLOOKUP(INDICADORES!$B$21,'DATOS GENERALES'!$K:$M,3,0)*F172</f>
        <v>26702.253099037127</v>
      </c>
      <c r="N172" s="38" t="str">
        <f t="shared" si="14"/>
        <v/>
      </c>
      <c r="O172" s="36"/>
      <c r="P172" s="36"/>
      <c r="Q172" s="36"/>
    </row>
    <row r="173" spans="1:17" x14ac:dyDescent="0.25">
      <c r="A173" s="36">
        <v>1861</v>
      </c>
      <c r="B173" s="37">
        <v>43466</v>
      </c>
      <c r="C173" s="37">
        <v>43544.63712913551</v>
      </c>
      <c r="D173" s="36" t="s">
        <v>212</v>
      </c>
      <c r="E173" s="36"/>
      <c r="F173" s="38">
        <v>195728607.46069998</v>
      </c>
      <c r="G173" s="40">
        <f>VLOOKUP(A173,'DATOS GENERALES'!A:B,2,0)</f>
        <v>2.2200000000000002</v>
      </c>
      <c r="H173" s="36">
        <f t="shared" si="10"/>
        <v>2.2097880000000001</v>
      </c>
      <c r="I173" s="38">
        <f t="shared" si="11"/>
        <v>88573477.392718196</v>
      </c>
      <c r="J173" s="38">
        <f t="shared" si="12"/>
        <v>107155130.06798178</v>
      </c>
      <c r="K173" s="38">
        <v>19434645.79994132</v>
      </c>
      <c r="L173" s="38">
        <f t="shared" si="13"/>
        <v>87720484.268040463</v>
      </c>
      <c r="M173" s="41">
        <f>VLOOKUP(INDICADORES!$B$21,'DATOS GENERALES'!$K:$M,3,0)*F173</f>
        <v>1332134.0483232201</v>
      </c>
      <c r="N173" s="38">
        <f t="shared" si="14"/>
        <v>86388350.219717249</v>
      </c>
      <c r="O173" s="36"/>
      <c r="P173" s="36"/>
      <c r="Q173" s="36"/>
    </row>
    <row r="174" spans="1:17" x14ac:dyDescent="0.25">
      <c r="A174" s="36">
        <v>1861</v>
      </c>
      <c r="B174" s="37">
        <v>43497</v>
      </c>
      <c r="C174" s="37">
        <v>43566.926576912454</v>
      </c>
      <c r="D174" s="36" t="s">
        <v>212</v>
      </c>
      <c r="E174" s="36"/>
      <c r="F174" s="38">
        <v>195728607.46069998</v>
      </c>
      <c r="G174" s="40">
        <f>VLOOKUP(A174,'DATOS GENERALES'!A:B,2,0)</f>
        <v>2.2200000000000002</v>
      </c>
      <c r="H174" s="36">
        <f t="shared" si="10"/>
        <v>2.2097880000000001</v>
      </c>
      <c r="I174" s="38">
        <f t="shared" si="11"/>
        <v>88573477.392718196</v>
      </c>
      <c r="J174" s="38">
        <f t="shared" si="12"/>
        <v>107155130.06798178</v>
      </c>
      <c r="K174" s="38">
        <v>19145852.213183776</v>
      </c>
      <c r="L174" s="38">
        <f t="shared" si="13"/>
        <v>88009277.854798004</v>
      </c>
      <c r="M174" s="41">
        <f>VLOOKUP(INDICADORES!$B$21,'DATOS GENERALES'!$K:$M,3,0)*F174</f>
        <v>1332134.0483232201</v>
      </c>
      <c r="N174" s="38">
        <f t="shared" si="14"/>
        <v>86677143.80647479</v>
      </c>
      <c r="O174" s="36"/>
      <c r="P174" s="36"/>
      <c r="Q174" s="36"/>
    </row>
    <row r="175" spans="1:17" x14ac:dyDescent="0.25">
      <c r="A175" s="36">
        <v>1861</v>
      </c>
      <c r="B175" s="37">
        <v>43525</v>
      </c>
      <c r="C175" s="37">
        <v>43583.303843097623</v>
      </c>
      <c r="D175" s="36" t="s">
        <v>212</v>
      </c>
      <c r="E175" s="36"/>
      <c r="F175" s="38">
        <v>195728607.46069998</v>
      </c>
      <c r="G175" s="40">
        <f>VLOOKUP(A175,'DATOS GENERALES'!A:B,2,0)</f>
        <v>2.2200000000000002</v>
      </c>
      <c r="H175" s="36">
        <f t="shared" si="10"/>
        <v>2.2097880000000001</v>
      </c>
      <c r="I175" s="38">
        <f t="shared" si="11"/>
        <v>88573477.392718196</v>
      </c>
      <c r="J175" s="38">
        <f t="shared" si="12"/>
        <v>107155130.06798178</v>
      </c>
      <c r="K175" s="38">
        <v>13851786.612763651</v>
      </c>
      <c r="L175" s="38">
        <f t="shared" si="13"/>
        <v>93303343.455218136</v>
      </c>
      <c r="M175" s="41">
        <f>VLOOKUP(INDICADORES!$B$21,'DATOS GENERALES'!$K:$M,3,0)*F175</f>
        <v>1332134.0483232201</v>
      </c>
      <c r="N175" s="38">
        <f t="shared" si="14"/>
        <v>91971209.406894922</v>
      </c>
      <c r="O175" s="36"/>
      <c r="P175" s="36"/>
      <c r="Q175" s="36"/>
    </row>
    <row r="176" spans="1:17" x14ac:dyDescent="0.25">
      <c r="A176" s="36">
        <v>1861</v>
      </c>
      <c r="B176" s="37">
        <v>43556</v>
      </c>
      <c r="C176" s="37">
        <v>43631.487299757253</v>
      </c>
      <c r="D176" s="36" t="s">
        <v>212</v>
      </c>
      <c r="E176" s="36"/>
      <c r="F176" s="38">
        <v>131698607.46069999</v>
      </c>
      <c r="G176" s="40">
        <f>VLOOKUP(A176,'DATOS GENERALES'!A:B,2,0)</f>
        <v>2.2200000000000002</v>
      </c>
      <c r="H176" s="36">
        <f t="shared" si="10"/>
        <v>2.2097880000000001</v>
      </c>
      <c r="I176" s="38">
        <f t="shared" si="11"/>
        <v>59597847.151265182</v>
      </c>
      <c r="J176" s="38">
        <f t="shared" si="12"/>
        <v>72100760.309434801</v>
      </c>
      <c r="K176" s="38">
        <v>9582032.1388600152</v>
      </c>
      <c r="L176" s="38">
        <f t="shared" si="13"/>
        <v>62518728.170574784</v>
      </c>
      <c r="M176" s="41">
        <f>VLOOKUP(INDICADORES!$B$21,'DATOS GENERALES'!$K:$M,3,0)*F176</f>
        <v>896344.18489580916</v>
      </c>
      <c r="N176" s="38">
        <f t="shared" si="14"/>
        <v>61622383.985678978</v>
      </c>
      <c r="O176" s="36"/>
      <c r="P176" s="36"/>
      <c r="Q176" s="36"/>
    </row>
    <row r="177" spans="1:17" x14ac:dyDescent="0.25">
      <c r="A177" s="36">
        <v>1861</v>
      </c>
      <c r="B177" s="37">
        <v>43586</v>
      </c>
      <c r="C177" s="37">
        <v>43624.35002069881</v>
      </c>
      <c r="D177" s="36" t="s">
        <v>212</v>
      </c>
      <c r="E177" s="36"/>
      <c r="F177" s="38">
        <v>131698607.46069999</v>
      </c>
      <c r="G177" s="40">
        <f>VLOOKUP(A177,'DATOS GENERALES'!A:B,2,0)</f>
        <v>2.2200000000000002</v>
      </c>
      <c r="H177" s="36">
        <f t="shared" si="10"/>
        <v>2.2097880000000001</v>
      </c>
      <c r="I177" s="38">
        <f t="shared" si="11"/>
        <v>59597847.151265182</v>
      </c>
      <c r="J177" s="38">
        <f t="shared" si="12"/>
        <v>72100760.309434801</v>
      </c>
      <c r="K177" s="38">
        <v>7904506.4004531894</v>
      </c>
      <c r="L177" s="38">
        <f t="shared" si="13"/>
        <v>64196253.908981614</v>
      </c>
      <c r="M177" s="41">
        <f>VLOOKUP(INDICADORES!$B$21,'DATOS GENERALES'!$K:$M,3,0)*F177</f>
        <v>896344.18489580916</v>
      </c>
      <c r="N177" s="38">
        <f t="shared" si="14"/>
        <v>63299909.724085808</v>
      </c>
      <c r="O177" s="36"/>
      <c r="P177" s="36"/>
      <c r="Q177" s="36"/>
    </row>
    <row r="178" spans="1:17" x14ac:dyDescent="0.25">
      <c r="A178" s="36">
        <v>1861</v>
      </c>
      <c r="B178" s="37">
        <v>43617</v>
      </c>
      <c r="C178" s="37">
        <v>43655.027158516597</v>
      </c>
      <c r="D178" s="36" t="s">
        <v>212</v>
      </c>
      <c r="E178" s="36"/>
      <c r="F178" s="38">
        <v>131698607.46069999</v>
      </c>
      <c r="G178" s="40">
        <f>VLOOKUP(A178,'DATOS GENERALES'!A:B,2,0)</f>
        <v>2.2200000000000002</v>
      </c>
      <c r="H178" s="36">
        <f t="shared" si="10"/>
        <v>2.2097880000000001</v>
      </c>
      <c r="I178" s="38">
        <f t="shared" si="11"/>
        <v>59597847.151265182</v>
      </c>
      <c r="J178" s="38">
        <f t="shared" si="12"/>
        <v>72100760.309434801</v>
      </c>
      <c r="K178" s="38">
        <v>8878352.5279431026</v>
      </c>
      <c r="L178" s="38">
        <f t="shared" si="13"/>
        <v>63222407.781491697</v>
      </c>
      <c r="M178" s="41">
        <f>VLOOKUP(INDICADORES!$B$21,'DATOS GENERALES'!$K:$M,3,0)*F178</f>
        <v>896344.18489580916</v>
      </c>
      <c r="N178" s="38">
        <f t="shared" si="14"/>
        <v>62326063.596595891</v>
      </c>
      <c r="O178" s="36"/>
      <c r="P178" s="36"/>
      <c r="Q178" s="36"/>
    </row>
    <row r="179" spans="1:17" x14ac:dyDescent="0.25">
      <c r="A179" s="36">
        <v>1861</v>
      </c>
      <c r="B179" s="37">
        <v>43647</v>
      </c>
      <c r="C179" s="37">
        <v>43725.705289094185</v>
      </c>
      <c r="D179" s="36" t="s">
        <v>212</v>
      </c>
      <c r="E179" s="36"/>
      <c r="F179" s="38">
        <v>131698607.46069999</v>
      </c>
      <c r="G179" s="40">
        <f>VLOOKUP(A179,'DATOS GENERALES'!A:B,2,0)</f>
        <v>2.2200000000000002</v>
      </c>
      <c r="H179" s="36">
        <f t="shared" si="10"/>
        <v>2.2097880000000001</v>
      </c>
      <c r="I179" s="38">
        <f t="shared" si="11"/>
        <v>59597847.151265182</v>
      </c>
      <c r="J179" s="38">
        <f t="shared" si="12"/>
        <v>72100760.309434801</v>
      </c>
      <c r="K179" s="38">
        <v>15417416.276340617</v>
      </c>
      <c r="L179" s="38">
        <f t="shared" si="13"/>
        <v>56683344.033094183</v>
      </c>
      <c r="M179" s="41">
        <f>VLOOKUP(INDICADORES!$B$21,'DATOS GENERALES'!$K:$M,3,0)*F179</f>
        <v>896344.18489580916</v>
      </c>
      <c r="N179" s="38">
        <f t="shared" si="14"/>
        <v>55786999.848198377</v>
      </c>
      <c r="O179" s="36"/>
      <c r="P179" s="36"/>
      <c r="Q179" s="36"/>
    </row>
    <row r="180" spans="1:17" x14ac:dyDescent="0.25">
      <c r="A180" s="36">
        <v>1861</v>
      </c>
      <c r="B180" s="37">
        <v>43678</v>
      </c>
      <c r="C180" s="37">
        <v>43749.074736160088</v>
      </c>
      <c r="D180" s="36" t="s">
        <v>212</v>
      </c>
      <c r="E180" s="36"/>
      <c r="F180" s="38">
        <v>131698607.46069999</v>
      </c>
      <c r="G180" s="40">
        <f>VLOOKUP(A180,'DATOS GENERALES'!A:B,2,0)</f>
        <v>2.2200000000000002</v>
      </c>
      <c r="H180" s="36">
        <f t="shared" si="10"/>
        <v>2.2097880000000001</v>
      </c>
      <c r="I180" s="38">
        <f t="shared" si="11"/>
        <v>59597847.151265182</v>
      </c>
      <c r="J180" s="38">
        <f t="shared" si="12"/>
        <v>72100760.309434801</v>
      </c>
      <c r="K180" s="38">
        <v>15481577.81537704</v>
      </c>
      <c r="L180" s="38">
        <f t="shared" si="13"/>
        <v>56619182.49405776</v>
      </c>
      <c r="M180" s="41">
        <f>VLOOKUP(INDICADORES!$B$21,'DATOS GENERALES'!$K:$M,3,0)*F180</f>
        <v>896344.18489580916</v>
      </c>
      <c r="N180" s="38">
        <f t="shared" si="14"/>
        <v>55722838.309161954</v>
      </c>
      <c r="O180" s="36"/>
      <c r="P180" s="36"/>
      <c r="Q180" s="36"/>
    </row>
    <row r="181" spans="1:17" x14ac:dyDescent="0.25">
      <c r="A181" s="36">
        <v>1861</v>
      </c>
      <c r="B181" s="37">
        <v>43709</v>
      </c>
      <c r="C181" s="37">
        <v>43787.789260476471</v>
      </c>
      <c r="D181" s="36" t="s">
        <v>212</v>
      </c>
      <c r="E181" s="36"/>
      <c r="F181" s="38">
        <v>131698607.46069999</v>
      </c>
      <c r="G181" s="40">
        <f>VLOOKUP(A181,'DATOS GENERALES'!A:B,2,0)</f>
        <v>2.2200000000000002</v>
      </c>
      <c r="H181" s="36">
        <f t="shared" si="10"/>
        <v>2.2097880000000001</v>
      </c>
      <c r="I181" s="38">
        <f t="shared" si="11"/>
        <v>59597847.151265182</v>
      </c>
      <c r="J181" s="38">
        <f t="shared" si="12"/>
        <v>72100760.309434801</v>
      </c>
      <c r="K181" s="38">
        <v>17087965.407186598</v>
      </c>
      <c r="L181" s="38">
        <f t="shared" si="13"/>
        <v>55012794.902248204</v>
      </c>
      <c r="M181" s="41">
        <f>VLOOKUP(INDICADORES!$B$21,'DATOS GENERALES'!$K:$M,3,0)*F181</f>
        <v>896344.18489580916</v>
      </c>
      <c r="N181" s="38">
        <f t="shared" si="14"/>
        <v>54116450.717352398</v>
      </c>
      <c r="O181" s="36"/>
      <c r="P181" s="36"/>
      <c r="Q181" s="36"/>
    </row>
    <row r="182" spans="1:17" x14ac:dyDescent="0.25">
      <c r="A182" s="36">
        <v>1861</v>
      </c>
      <c r="B182" s="37">
        <v>43739</v>
      </c>
      <c r="C182" s="37">
        <v>43812.731861261891</v>
      </c>
      <c r="D182" s="36" t="s">
        <v>212</v>
      </c>
      <c r="E182" s="36"/>
      <c r="F182" s="38">
        <v>131698607.46069999</v>
      </c>
      <c r="G182" s="40">
        <f>VLOOKUP(A182,'DATOS GENERALES'!A:B,2,0)</f>
        <v>2.2200000000000002</v>
      </c>
      <c r="H182" s="36">
        <f t="shared" si="10"/>
        <v>2.2097880000000001</v>
      </c>
      <c r="I182" s="38">
        <f t="shared" si="11"/>
        <v>59597847.151265182</v>
      </c>
      <c r="J182" s="38">
        <f t="shared" si="12"/>
        <v>72100760.309434801</v>
      </c>
      <c r="K182" s="38">
        <v>18544599.370895635</v>
      </c>
      <c r="L182" s="38">
        <f t="shared" si="13"/>
        <v>53556160.938539162</v>
      </c>
      <c r="M182" s="41">
        <f>VLOOKUP(INDICADORES!$B$21,'DATOS GENERALES'!$K:$M,3,0)*F182</f>
        <v>896344.18489580916</v>
      </c>
      <c r="N182" s="38">
        <f t="shared" si="14"/>
        <v>52659816.753643356</v>
      </c>
      <c r="O182" s="36"/>
      <c r="P182" s="36"/>
      <c r="Q182" s="36"/>
    </row>
    <row r="183" spans="1:17" x14ac:dyDescent="0.25">
      <c r="A183" s="36">
        <v>1861</v>
      </c>
      <c r="B183" s="37">
        <v>43770</v>
      </c>
      <c r="C183" s="37">
        <v>43824.921433372037</v>
      </c>
      <c r="D183" s="36" t="s">
        <v>212</v>
      </c>
      <c r="E183" s="36"/>
      <c r="F183" s="38">
        <v>131698607.46069999</v>
      </c>
      <c r="G183" s="40">
        <f>VLOOKUP(A183,'DATOS GENERALES'!A:B,2,0)</f>
        <v>2.2200000000000002</v>
      </c>
      <c r="H183" s="36">
        <f t="shared" si="10"/>
        <v>2.2097880000000001</v>
      </c>
      <c r="I183" s="38">
        <f t="shared" si="11"/>
        <v>59597847.151265182</v>
      </c>
      <c r="J183" s="38">
        <f t="shared" si="12"/>
        <v>72100760.309434801</v>
      </c>
      <c r="K183" s="38">
        <v>24336012.543684129</v>
      </c>
      <c r="L183" s="38">
        <f t="shared" si="13"/>
        <v>47764747.765750676</v>
      </c>
      <c r="M183" s="41">
        <f>VLOOKUP(INDICADORES!$B$21,'DATOS GENERALES'!$K:$M,3,0)*F183</f>
        <v>896344.18489580916</v>
      </c>
      <c r="N183" s="38">
        <f t="shared" si="14"/>
        <v>46868403.58085487</v>
      </c>
      <c r="O183" s="36"/>
      <c r="P183" s="36"/>
      <c r="Q183" s="36"/>
    </row>
    <row r="184" spans="1:17" x14ac:dyDescent="0.25">
      <c r="A184" s="36">
        <v>1861</v>
      </c>
      <c r="B184" s="37">
        <v>43800</v>
      </c>
      <c r="C184" s="37">
        <v>43887.108275376035</v>
      </c>
      <c r="D184" s="36" t="s">
        <v>212</v>
      </c>
      <c r="E184" s="36"/>
      <c r="F184" s="38">
        <v>131698607.46069999</v>
      </c>
      <c r="G184" s="40">
        <f>VLOOKUP(A184,'DATOS GENERALES'!A:B,2,0)</f>
        <v>2.2200000000000002</v>
      </c>
      <c r="H184" s="36">
        <f t="shared" si="10"/>
        <v>2.2097880000000001</v>
      </c>
      <c r="I184" s="38">
        <f t="shared" si="11"/>
        <v>59597847.151265182</v>
      </c>
      <c r="J184" s="38">
        <f t="shared" si="12"/>
        <v>72100760.309434801</v>
      </c>
      <c r="K184" s="38">
        <v>20991016.248943992</v>
      </c>
      <c r="L184" s="38">
        <f t="shared" si="13"/>
        <v>51109744.060490809</v>
      </c>
      <c r="M184" s="41">
        <f>VLOOKUP(INDICADORES!$B$21,'DATOS GENERALES'!$K:$M,3,0)*F184</f>
        <v>896344.18489580916</v>
      </c>
      <c r="N184" s="38">
        <f t="shared" si="14"/>
        <v>50213399.875595003</v>
      </c>
      <c r="O184" s="36"/>
      <c r="P184" s="36"/>
      <c r="Q184" s="36"/>
    </row>
    <row r="185" spans="1:17" x14ac:dyDescent="0.25">
      <c r="A185" s="36">
        <v>1861</v>
      </c>
      <c r="B185" s="37">
        <v>43831</v>
      </c>
      <c r="C185" s="37">
        <v>43896.094021914862</v>
      </c>
      <c r="D185" s="36" t="s">
        <v>212</v>
      </c>
      <c r="E185" s="36"/>
      <c r="F185" s="38">
        <v>127335452.6857</v>
      </c>
      <c r="G185" s="40">
        <f>VLOOKUP(A185,'DATOS GENERALES'!A:B,2,0)</f>
        <v>2.2200000000000002</v>
      </c>
      <c r="H185" s="36">
        <f t="shared" si="10"/>
        <v>2.2097880000000001</v>
      </c>
      <c r="I185" s="38">
        <f t="shared" si="11"/>
        <v>57623379.566591904</v>
      </c>
      <c r="J185" s="38">
        <f t="shared" si="12"/>
        <v>69712073.119108096</v>
      </c>
      <c r="K185" s="38" t="s">
        <v>213</v>
      </c>
      <c r="L185" s="38" t="str">
        <f t="shared" si="13"/>
        <v/>
      </c>
      <c r="M185" s="41">
        <f>VLOOKUP(INDICADORES!$B$21,'DATOS GENERALES'!$K:$M,3,0)*F185</f>
        <v>866648.4387844567</v>
      </c>
      <c r="N185" s="38" t="str">
        <f t="shared" si="14"/>
        <v/>
      </c>
      <c r="O185" s="36"/>
      <c r="P185" s="36"/>
      <c r="Q185" s="36"/>
    </row>
    <row r="186" spans="1:17" x14ac:dyDescent="0.25">
      <c r="A186" s="36">
        <v>1861</v>
      </c>
      <c r="B186" s="37">
        <v>43862</v>
      </c>
      <c r="C186" s="37">
        <v>43917.188106810165</v>
      </c>
      <c r="D186" s="36" t="s">
        <v>212</v>
      </c>
      <c r="E186" s="36"/>
      <c r="F186" s="38">
        <v>127335452.6857</v>
      </c>
      <c r="G186" s="40">
        <f>VLOOKUP(A186,'DATOS GENERALES'!A:B,2,0)</f>
        <v>2.2200000000000002</v>
      </c>
      <c r="H186" s="36">
        <f t="shared" si="10"/>
        <v>2.2097880000000001</v>
      </c>
      <c r="I186" s="38">
        <f t="shared" si="11"/>
        <v>57623379.566591904</v>
      </c>
      <c r="J186" s="38">
        <f t="shared" si="12"/>
        <v>69712073.119108096</v>
      </c>
      <c r="K186" s="38" t="s">
        <v>213</v>
      </c>
      <c r="L186" s="38" t="str">
        <f t="shared" si="13"/>
        <v/>
      </c>
      <c r="M186" s="41">
        <f>VLOOKUP(INDICADORES!$B$21,'DATOS GENERALES'!$K:$M,3,0)*F186</f>
        <v>866648.4387844567</v>
      </c>
      <c r="N186" s="38" t="str">
        <f t="shared" si="14"/>
        <v/>
      </c>
      <c r="O186" s="36"/>
      <c r="P186" s="36"/>
      <c r="Q186" s="36"/>
    </row>
    <row r="187" spans="1:17" x14ac:dyDescent="0.25">
      <c r="A187" s="36">
        <v>1861</v>
      </c>
      <c r="B187" s="37">
        <v>43891</v>
      </c>
      <c r="C187" s="37">
        <v>43959.843158333788</v>
      </c>
      <c r="D187" s="36" t="s">
        <v>212</v>
      </c>
      <c r="E187" s="36"/>
      <c r="F187" s="38">
        <v>127335452.6857</v>
      </c>
      <c r="G187" s="40">
        <f>VLOOKUP(A187,'DATOS GENERALES'!A:B,2,0)</f>
        <v>2.2200000000000002</v>
      </c>
      <c r="H187" s="36">
        <f t="shared" si="10"/>
        <v>2.2097880000000001</v>
      </c>
      <c r="I187" s="38">
        <f t="shared" si="11"/>
        <v>57623379.566591904</v>
      </c>
      <c r="J187" s="38">
        <f t="shared" si="12"/>
        <v>69712073.119108096</v>
      </c>
      <c r="K187" s="38" t="s">
        <v>213</v>
      </c>
      <c r="L187" s="38" t="str">
        <f t="shared" si="13"/>
        <v/>
      </c>
      <c r="M187" s="41">
        <f>VLOOKUP(INDICADORES!$B$21,'DATOS GENERALES'!$K:$M,3,0)*F187</f>
        <v>866648.4387844567</v>
      </c>
      <c r="N187" s="38" t="str">
        <f t="shared" si="14"/>
        <v/>
      </c>
      <c r="O187" s="36"/>
      <c r="P187" s="36"/>
      <c r="Q187" s="36"/>
    </row>
    <row r="188" spans="1:17" x14ac:dyDescent="0.25">
      <c r="A188" s="36">
        <v>1861</v>
      </c>
      <c r="B188" s="37">
        <v>43922</v>
      </c>
      <c r="C188" s="37">
        <v>43983.07653492067</v>
      </c>
      <c r="D188" s="36" t="s">
        <v>212</v>
      </c>
      <c r="E188" s="36"/>
      <c r="F188" s="38">
        <v>127335452.6857</v>
      </c>
      <c r="G188" s="40">
        <f>VLOOKUP(A188,'DATOS GENERALES'!A:B,2,0)</f>
        <v>2.2200000000000002</v>
      </c>
      <c r="H188" s="36">
        <f t="shared" si="10"/>
        <v>2.2097880000000001</v>
      </c>
      <c r="I188" s="38">
        <f t="shared" si="11"/>
        <v>57623379.566591904</v>
      </c>
      <c r="J188" s="38">
        <f t="shared" si="12"/>
        <v>69712073.119108096</v>
      </c>
      <c r="K188" s="38" t="s">
        <v>213</v>
      </c>
      <c r="L188" s="38" t="str">
        <f t="shared" si="13"/>
        <v/>
      </c>
      <c r="M188" s="41">
        <f>VLOOKUP(INDICADORES!$B$21,'DATOS GENERALES'!$K:$M,3,0)*F188</f>
        <v>866648.4387844567</v>
      </c>
      <c r="N188" s="38" t="str">
        <f t="shared" si="14"/>
        <v/>
      </c>
      <c r="O188" s="36"/>
      <c r="P188" s="36"/>
      <c r="Q188" s="36"/>
    </row>
    <row r="189" spans="1:17" x14ac:dyDescent="0.25">
      <c r="A189" s="36">
        <v>1861</v>
      </c>
      <c r="B189" s="37">
        <v>43952</v>
      </c>
      <c r="C189" s="37">
        <v>44019.954497512816</v>
      </c>
      <c r="D189" s="36" t="s">
        <v>212</v>
      </c>
      <c r="E189" s="36"/>
      <c r="F189" s="38">
        <v>127335452.6857</v>
      </c>
      <c r="G189" s="40">
        <f>VLOOKUP(A189,'DATOS GENERALES'!A:B,2,0)</f>
        <v>2.2200000000000002</v>
      </c>
      <c r="H189" s="36">
        <f t="shared" si="10"/>
        <v>2.2097880000000001</v>
      </c>
      <c r="I189" s="38">
        <f t="shared" si="11"/>
        <v>57623379.566591904</v>
      </c>
      <c r="J189" s="38">
        <f t="shared" si="12"/>
        <v>69712073.119108096</v>
      </c>
      <c r="K189" s="38" t="s">
        <v>213</v>
      </c>
      <c r="L189" s="38" t="str">
        <f t="shared" si="13"/>
        <v/>
      </c>
      <c r="M189" s="41">
        <f>VLOOKUP(INDICADORES!$B$21,'DATOS GENERALES'!$K:$M,3,0)*F189</f>
        <v>866648.4387844567</v>
      </c>
      <c r="N189" s="38" t="str">
        <f t="shared" si="14"/>
        <v/>
      </c>
      <c r="O189" s="36"/>
      <c r="P189" s="36"/>
      <c r="Q189" s="36"/>
    </row>
    <row r="190" spans="1:17" x14ac:dyDescent="0.25">
      <c r="A190" s="36">
        <v>1861</v>
      </c>
      <c r="B190" s="37">
        <v>43983</v>
      </c>
      <c r="C190" s="37">
        <v>44049.59575819553</v>
      </c>
      <c r="D190" s="36" t="s">
        <v>212</v>
      </c>
      <c r="E190" s="36"/>
      <c r="F190" s="38">
        <v>115277855.6902</v>
      </c>
      <c r="G190" s="40">
        <f>VLOOKUP(A190,'DATOS GENERALES'!A:B,2,0)</f>
        <v>2.2200000000000002</v>
      </c>
      <c r="H190" s="36">
        <f t="shared" si="10"/>
        <v>2.2097880000000001</v>
      </c>
      <c r="I190" s="38">
        <f t="shared" si="11"/>
        <v>52166929.900153317</v>
      </c>
      <c r="J190" s="38">
        <f t="shared" si="12"/>
        <v>63110925.790046684</v>
      </c>
      <c r="K190" s="38" t="s">
        <v>213</v>
      </c>
      <c r="L190" s="38" t="str">
        <f t="shared" si="13"/>
        <v/>
      </c>
      <c r="M190" s="41">
        <f>VLOOKUP(INDICADORES!$B$21,'DATOS GENERALES'!$K:$M,3,0)*F190</f>
        <v>784584.11662403645</v>
      </c>
      <c r="N190" s="38" t="str">
        <f t="shared" si="14"/>
        <v/>
      </c>
      <c r="O190" s="36"/>
      <c r="P190" s="36"/>
      <c r="Q190" s="36"/>
    </row>
    <row r="191" spans="1:17" x14ac:dyDescent="0.25">
      <c r="A191" s="36">
        <v>1861</v>
      </c>
      <c r="B191" s="37">
        <v>44013</v>
      </c>
      <c r="C191" s="37">
        <v>44083.322386078697</v>
      </c>
      <c r="D191" s="36" t="s">
        <v>212</v>
      </c>
      <c r="E191" s="36"/>
      <c r="F191" s="38">
        <v>115277855.6902</v>
      </c>
      <c r="G191" s="40">
        <f>VLOOKUP(A191,'DATOS GENERALES'!A:B,2,0)</f>
        <v>2.2200000000000002</v>
      </c>
      <c r="H191" s="36">
        <f t="shared" si="10"/>
        <v>2.2097880000000001</v>
      </c>
      <c r="I191" s="38">
        <f t="shared" si="11"/>
        <v>52166929.900153317</v>
      </c>
      <c r="J191" s="38">
        <f t="shared" si="12"/>
        <v>63110925.790046684</v>
      </c>
      <c r="K191" s="38" t="s">
        <v>213</v>
      </c>
      <c r="L191" s="38" t="str">
        <f t="shared" si="13"/>
        <v/>
      </c>
      <c r="M191" s="41">
        <f>VLOOKUP(INDICADORES!$B$21,'DATOS GENERALES'!$K:$M,3,0)*F191</f>
        <v>784584.11662403645</v>
      </c>
      <c r="N191" s="38" t="str">
        <f t="shared" si="14"/>
        <v/>
      </c>
      <c r="O191" s="36"/>
      <c r="P191" s="36"/>
      <c r="Q191" s="36"/>
    </row>
    <row r="192" spans="1:17" x14ac:dyDescent="0.25">
      <c r="A192" s="36">
        <v>1861</v>
      </c>
      <c r="B192" s="37">
        <v>44044</v>
      </c>
      <c r="C192" s="37">
        <v>44088.07908988819</v>
      </c>
      <c r="D192" s="36" t="s">
        <v>212</v>
      </c>
      <c r="E192" s="36"/>
      <c r="F192" s="38">
        <v>109546785.0652</v>
      </c>
      <c r="G192" s="40">
        <f>VLOOKUP(A192,'DATOS GENERALES'!A:B,2,0)</f>
        <v>2.2200000000000002</v>
      </c>
      <c r="H192" s="36">
        <f t="shared" si="10"/>
        <v>2.2097880000000001</v>
      </c>
      <c r="I192" s="38">
        <f t="shared" si="11"/>
        <v>49573436.485852942</v>
      </c>
      <c r="J192" s="38">
        <f t="shared" si="12"/>
        <v>59973348.579347059</v>
      </c>
      <c r="K192" s="38" t="s">
        <v>213</v>
      </c>
      <c r="L192" s="38" t="str">
        <f t="shared" si="13"/>
        <v/>
      </c>
      <c r="M192" s="41">
        <f>VLOOKUP(INDICADORES!$B$21,'DATOS GENERALES'!$K:$M,3,0)*F192</f>
        <v>745578.29927339463</v>
      </c>
      <c r="N192" s="38" t="str">
        <f t="shared" si="14"/>
        <v/>
      </c>
      <c r="O192" s="36"/>
      <c r="P192" s="36"/>
      <c r="Q192" s="36"/>
    </row>
    <row r="193" spans="1:17" x14ac:dyDescent="0.25">
      <c r="A193" s="36">
        <v>1861</v>
      </c>
      <c r="B193" s="37">
        <v>44075</v>
      </c>
      <c r="C193" s="37">
        <v>44083.550893879845</v>
      </c>
      <c r="D193" s="36" t="s">
        <v>212</v>
      </c>
      <c r="E193" s="36"/>
      <c r="F193" s="38">
        <v>103283498.605</v>
      </c>
      <c r="G193" s="40">
        <f>VLOOKUP(A193,'DATOS GENERALES'!A:B,2,0)</f>
        <v>2.2200000000000002</v>
      </c>
      <c r="H193" s="36">
        <f t="shared" si="10"/>
        <v>2.2097880000000001</v>
      </c>
      <c r="I193" s="38">
        <f t="shared" si="11"/>
        <v>46739098.323006548</v>
      </c>
      <c r="J193" s="38">
        <f t="shared" si="12"/>
        <v>56544400.281993456</v>
      </c>
      <c r="K193" s="38" t="s">
        <v>213</v>
      </c>
      <c r="L193" s="38" t="str">
        <f t="shared" si="13"/>
        <v/>
      </c>
      <c r="M193" s="41">
        <f>VLOOKUP(INDICADORES!$B$21,'DATOS GENERALES'!$K:$M,3,0)*F193</f>
        <v>702950.20695577306</v>
      </c>
      <c r="N193" s="38" t="str">
        <f t="shared" si="14"/>
        <v/>
      </c>
      <c r="O193" s="36"/>
      <c r="P193" s="36"/>
      <c r="Q193" s="36"/>
    </row>
    <row r="194" spans="1:17" x14ac:dyDescent="0.25">
      <c r="A194" s="36">
        <v>1861</v>
      </c>
      <c r="B194" s="37">
        <v>44105</v>
      </c>
      <c r="C194" s="37">
        <v>44165.425748125475</v>
      </c>
      <c r="D194" s="36" t="s">
        <v>212</v>
      </c>
      <c r="E194" s="36"/>
      <c r="F194" s="38">
        <v>92003446.254999995</v>
      </c>
      <c r="G194" s="40">
        <f>VLOOKUP(A194,'DATOS GENERALES'!A:B,2,0)</f>
        <v>2.2200000000000002</v>
      </c>
      <c r="H194" s="36">
        <f t="shared" si="10"/>
        <v>2.2097880000000001</v>
      </c>
      <c r="I194" s="38">
        <f t="shared" si="11"/>
        <v>41634512.566363826</v>
      </c>
      <c r="J194" s="38">
        <f t="shared" si="12"/>
        <v>50368933.688636169</v>
      </c>
      <c r="K194" s="38" t="s">
        <v>213</v>
      </c>
      <c r="L194" s="38" t="str">
        <f t="shared" si="13"/>
        <v/>
      </c>
      <c r="M194" s="41">
        <f>VLOOKUP(INDICADORES!$B$21,'DATOS GENERALES'!$K:$M,3,0)*F194</f>
        <v>626177.87409523036</v>
      </c>
      <c r="N194" s="38" t="str">
        <f t="shared" si="14"/>
        <v/>
      </c>
      <c r="O194" s="36"/>
      <c r="P194" s="36"/>
      <c r="Q194" s="36"/>
    </row>
    <row r="195" spans="1:17" x14ac:dyDescent="0.25">
      <c r="A195" s="36">
        <v>1861</v>
      </c>
      <c r="B195" s="37">
        <v>44136</v>
      </c>
      <c r="C195" s="37">
        <v>44223.997033097374</v>
      </c>
      <c r="D195" s="36" t="s">
        <v>212</v>
      </c>
      <c r="E195" s="36"/>
      <c r="F195" s="38">
        <v>92003446.254999995</v>
      </c>
      <c r="G195" s="40">
        <f>VLOOKUP(A195,'DATOS GENERALES'!A:B,2,0)</f>
        <v>2.2200000000000002</v>
      </c>
      <c r="H195" s="36">
        <f t="shared" ref="H195:H258" si="15">G195*0.9954</f>
        <v>2.2097880000000001</v>
      </c>
      <c r="I195" s="38">
        <f t="shared" ref="I195:I258" si="16">F195/H195</f>
        <v>41634512.566363826</v>
      </c>
      <c r="J195" s="38">
        <f t="shared" ref="J195:J258" si="17">F195-I195</f>
        <v>50368933.688636169</v>
      </c>
      <c r="K195" s="38" t="s">
        <v>213</v>
      </c>
      <c r="L195" s="38" t="str">
        <f t="shared" ref="L195:L258" si="18">IFERROR(J195-K195,"")</f>
        <v/>
      </c>
      <c r="M195" s="41">
        <f>VLOOKUP(INDICADORES!$B$21,'DATOS GENERALES'!$K:$M,3,0)*F195</f>
        <v>626177.87409523036</v>
      </c>
      <c r="N195" s="38" t="str">
        <f t="shared" ref="N195:N258" si="19">IFERROR(L195-M195,"")</f>
        <v/>
      </c>
      <c r="O195" s="36"/>
      <c r="P195" s="36"/>
      <c r="Q195" s="36"/>
    </row>
    <row r="196" spans="1:17" x14ac:dyDescent="0.25">
      <c r="A196" s="36">
        <v>1861</v>
      </c>
      <c r="B196" s="37">
        <v>44166</v>
      </c>
      <c r="C196" s="37">
        <v>44235.946433874946</v>
      </c>
      <c r="D196" s="36" t="s">
        <v>212</v>
      </c>
      <c r="E196" s="36"/>
      <c r="F196" s="38">
        <v>54343675.75</v>
      </c>
      <c r="G196" s="40">
        <f>VLOOKUP(A196,'DATOS GENERALES'!A:B,2,0)</f>
        <v>2.2200000000000002</v>
      </c>
      <c r="H196" s="36">
        <f t="shared" si="15"/>
        <v>2.2097880000000001</v>
      </c>
      <c r="I196" s="38">
        <f t="shared" si="16"/>
        <v>24592257.605706971</v>
      </c>
      <c r="J196" s="38">
        <f t="shared" si="17"/>
        <v>29751418.144293029</v>
      </c>
      <c r="K196" s="38" t="s">
        <v>213</v>
      </c>
      <c r="L196" s="38" t="str">
        <f t="shared" si="18"/>
        <v/>
      </c>
      <c r="M196" s="41">
        <f>VLOOKUP(INDICADORES!$B$21,'DATOS GENERALES'!$K:$M,3,0)*F196</f>
        <v>369864.48591653927</v>
      </c>
      <c r="N196" s="38" t="str">
        <f t="shared" si="19"/>
        <v/>
      </c>
      <c r="O196" s="36"/>
      <c r="P196" s="36"/>
      <c r="Q196" s="36"/>
    </row>
    <row r="197" spans="1:17" x14ac:dyDescent="0.25">
      <c r="A197" s="36">
        <v>1873</v>
      </c>
      <c r="B197" s="37">
        <v>43466</v>
      </c>
      <c r="C197" s="37">
        <v>43513.823245510102</v>
      </c>
      <c r="D197" s="36" t="s">
        <v>212</v>
      </c>
      <c r="E197" s="36"/>
      <c r="F197" s="38">
        <v>23358981.669500001</v>
      </c>
      <c r="G197" s="40">
        <f>VLOOKUP(A197,'DATOS GENERALES'!A:B,2,0)</f>
        <v>1.83</v>
      </c>
      <c r="H197" s="36">
        <f t="shared" si="15"/>
        <v>1.821582</v>
      </c>
      <c r="I197" s="38">
        <f t="shared" si="16"/>
        <v>12823458.767982995</v>
      </c>
      <c r="J197" s="38">
        <f t="shared" si="17"/>
        <v>10535522.901517006</v>
      </c>
      <c r="K197" s="38">
        <v>2813702.0970838638</v>
      </c>
      <c r="L197" s="38">
        <f t="shared" si="18"/>
        <v>7721820.8044331418</v>
      </c>
      <c r="M197" s="41">
        <f>VLOOKUP(INDICADORES!$B$21,'DATOS GENERALES'!$K:$M,3,0)*F197</f>
        <v>158981.84337895989</v>
      </c>
      <c r="N197" s="38">
        <f t="shared" si="19"/>
        <v>7562838.9610541817</v>
      </c>
      <c r="O197" s="36"/>
      <c r="P197" s="36"/>
      <c r="Q197" s="36"/>
    </row>
    <row r="198" spans="1:17" x14ac:dyDescent="0.25">
      <c r="A198" s="36">
        <v>1873</v>
      </c>
      <c r="B198" s="37">
        <v>43497</v>
      </c>
      <c r="C198" s="37">
        <v>43538.524170167293</v>
      </c>
      <c r="D198" s="36" t="s">
        <v>212</v>
      </c>
      <c r="E198" s="36"/>
      <c r="F198" s="38">
        <v>23358981.669500001</v>
      </c>
      <c r="G198" s="40">
        <f>VLOOKUP(A198,'DATOS GENERALES'!A:B,2,0)</f>
        <v>1.83</v>
      </c>
      <c r="H198" s="36">
        <f t="shared" si="15"/>
        <v>1.821582</v>
      </c>
      <c r="I198" s="38">
        <f t="shared" si="16"/>
        <v>12823458.767982995</v>
      </c>
      <c r="J198" s="38">
        <f t="shared" si="17"/>
        <v>10535522.901517006</v>
      </c>
      <c r="K198" s="38">
        <v>2771891.2439791202</v>
      </c>
      <c r="L198" s="38">
        <f t="shared" si="18"/>
        <v>7763631.657537885</v>
      </c>
      <c r="M198" s="41">
        <f>VLOOKUP(INDICADORES!$B$21,'DATOS GENERALES'!$K:$M,3,0)*F198</f>
        <v>158981.84337895989</v>
      </c>
      <c r="N198" s="38">
        <f t="shared" si="19"/>
        <v>7604649.8141589249</v>
      </c>
      <c r="O198" s="36"/>
      <c r="P198" s="36"/>
      <c r="Q198" s="36"/>
    </row>
    <row r="199" spans="1:17" x14ac:dyDescent="0.25">
      <c r="A199" s="36">
        <v>1873</v>
      </c>
      <c r="B199" s="37">
        <v>43525</v>
      </c>
      <c r="C199" s="37">
        <v>43624.003800625178</v>
      </c>
      <c r="D199" s="36" t="s">
        <v>212</v>
      </c>
      <c r="E199" s="36"/>
      <c r="F199" s="38">
        <v>19235315</v>
      </c>
      <c r="G199" s="40">
        <f>VLOOKUP(A199,'DATOS GENERALES'!A:B,2,0)</f>
        <v>1.83</v>
      </c>
      <c r="H199" s="36">
        <f t="shared" si="15"/>
        <v>1.821582</v>
      </c>
      <c r="I199" s="38">
        <f t="shared" si="16"/>
        <v>10559675.600659207</v>
      </c>
      <c r="J199" s="38">
        <f t="shared" si="17"/>
        <v>8675639.3993407935</v>
      </c>
      <c r="K199" s="38">
        <v>1651401.4965428391</v>
      </c>
      <c r="L199" s="38">
        <f t="shared" si="18"/>
        <v>7024237.9027979542</v>
      </c>
      <c r="M199" s="41">
        <f>VLOOKUP(INDICADORES!$B$21,'DATOS GENERALES'!$K:$M,3,0)*F199</f>
        <v>130916.05961007701</v>
      </c>
      <c r="N199" s="38">
        <f t="shared" si="19"/>
        <v>6893321.843187877</v>
      </c>
      <c r="O199" s="36"/>
      <c r="P199" s="36"/>
      <c r="Q199" s="36"/>
    </row>
    <row r="200" spans="1:17" x14ac:dyDescent="0.25">
      <c r="A200" s="36">
        <v>1873</v>
      </c>
      <c r="B200" s="37">
        <v>43556</v>
      </c>
      <c r="C200" s="37">
        <v>43596.695535802675</v>
      </c>
      <c r="D200" s="36" t="s">
        <v>212</v>
      </c>
      <c r="E200" s="36"/>
      <c r="F200" s="38">
        <v>19235315</v>
      </c>
      <c r="G200" s="40">
        <f>VLOOKUP(A200,'DATOS GENERALES'!A:B,2,0)</f>
        <v>1.83</v>
      </c>
      <c r="H200" s="36">
        <f t="shared" si="15"/>
        <v>1.821582</v>
      </c>
      <c r="I200" s="38">
        <f t="shared" si="16"/>
        <v>10559675.600659207</v>
      </c>
      <c r="J200" s="38">
        <f t="shared" si="17"/>
        <v>8675639.3993407935</v>
      </c>
      <c r="K200" s="38">
        <v>1697765.2015623935</v>
      </c>
      <c r="L200" s="38">
        <f t="shared" si="18"/>
        <v>6977874.1977784</v>
      </c>
      <c r="M200" s="41">
        <f>VLOOKUP(INDICADORES!$B$21,'DATOS GENERALES'!$K:$M,3,0)*F200</f>
        <v>130916.05961007701</v>
      </c>
      <c r="N200" s="38">
        <f t="shared" si="19"/>
        <v>6846958.1381683229</v>
      </c>
      <c r="O200" s="36"/>
      <c r="P200" s="36"/>
      <c r="Q200" s="36"/>
    </row>
    <row r="201" spans="1:17" x14ac:dyDescent="0.25">
      <c r="A201" s="36">
        <v>1873</v>
      </c>
      <c r="B201" s="37">
        <v>43586</v>
      </c>
      <c r="C201" s="37">
        <v>43641.002575140825</v>
      </c>
      <c r="D201" s="36" t="s">
        <v>212</v>
      </c>
      <c r="E201" s="36"/>
      <c r="F201" s="38">
        <v>19235315</v>
      </c>
      <c r="G201" s="40">
        <f>VLOOKUP(A201,'DATOS GENERALES'!A:B,2,0)</f>
        <v>1.83</v>
      </c>
      <c r="H201" s="36">
        <f t="shared" si="15"/>
        <v>1.821582</v>
      </c>
      <c r="I201" s="38">
        <f t="shared" si="16"/>
        <v>10559675.600659207</v>
      </c>
      <c r="J201" s="38">
        <f t="shared" si="17"/>
        <v>8675639.3993407935</v>
      </c>
      <c r="K201" s="38">
        <v>1400537.5590206722</v>
      </c>
      <c r="L201" s="38">
        <f t="shared" si="18"/>
        <v>7275101.8403201215</v>
      </c>
      <c r="M201" s="41">
        <f>VLOOKUP(INDICADORES!$B$21,'DATOS GENERALES'!$K:$M,3,0)*F201</f>
        <v>130916.05961007701</v>
      </c>
      <c r="N201" s="38">
        <f t="shared" si="19"/>
        <v>7144185.7807100443</v>
      </c>
      <c r="O201" s="36"/>
      <c r="P201" s="36"/>
      <c r="Q201" s="36"/>
    </row>
    <row r="202" spans="1:17" x14ac:dyDescent="0.25">
      <c r="A202" s="36">
        <v>1873</v>
      </c>
      <c r="B202" s="37">
        <v>43617</v>
      </c>
      <c r="C202" s="37">
        <v>43698.752665962784</v>
      </c>
      <c r="D202" s="36" t="s">
        <v>212</v>
      </c>
      <c r="E202" s="36"/>
      <c r="F202" s="38">
        <v>19235315</v>
      </c>
      <c r="G202" s="40">
        <f>VLOOKUP(A202,'DATOS GENERALES'!A:B,2,0)</f>
        <v>1.83</v>
      </c>
      <c r="H202" s="36">
        <f t="shared" si="15"/>
        <v>1.821582</v>
      </c>
      <c r="I202" s="38">
        <f t="shared" si="16"/>
        <v>10559675.600659207</v>
      </c>
      <c r="J202" s="38">
        <f t="shared" si="17"/>
        <v>8675639.3993407935</v>
      </c>
      <c r="K202" s="38">
        <v>1573085.7244795884</v>
      </c>
      <c r="L202" s="38">
        <f t="shared" si="18"/>
        <v>7102553.6748612048</v>
      </c>
      <c r="M202" s="41">
        <f>VLOOKUP(INDICADORES!$B$21,'DATOS GENERALES'!$K:$M,3,0)*F202</f>
        <v>130916.05961007701</v>
      </c>
      <c r="N202" s="38">
        <f t="shared" si="19"/>
        <v>6971637.6152511276</v>
      </c>
      <c r="O202" s="36"/>
      <c r="P202" s="36"/>
      <c r="Q202" s="36"/>
    </row>
    <row r="203" spans="1:17" x14ac:dyDescent="0.25">
      <c r="A203" s="36">
        <v>1873</v>
      </c>
      <c r="B203" s="37">
        <v>43647</v>
      </c>
      <c r="C203" s="37">
        <v>43703.175796660289</v>
      </c>
      <c r="D203" s="36" t="s">
        <v>212</v>
      </c>
      <c r="E203" s="36"/>
      <c r="F203" s="38">
        <v>19235315</v>
      </c>
      <c r="G203" s="40">
        <f>VLOOKUP(A203,'DATOS GENERALES'!A:B,2,0)</f>
        <v>1.83</v>
      </c>
      <c r="H203" s="36">
        <f t="shared" si="15"/>
        <v>1.821582</v>
      </c>
      <c r="I203" s="38">
        <f t="shared" si="16"/>
        <v>10559675.600659207</v>
      </c>
      <c r="J203" s="38">
        <f t="shared" si="17"/>
        <v>8675639.3993407935</v>
      </c>
      <c r="K203" s="38">
        <v>2731691.1979265013</v>
      </c>
      <c r="L203" s="38">
        <f t="shared" si="18"/>
        <v>5943948.2014142927</v>
      </c>
      <c r="M203" s="41">
        <f>VLOOKUP(INDICADORES!$B$21,'DATOS GENERALES'!$K:$M,3,0)*F203</f>
        <v>130916.05961007701</v>
      </c>
      <c r="N203" s="38">
        <f t="shared" si="19"/>
        <v>5813032.1418042155</v>
      </c>
      <c r="O203" s="36"/>
      <c r="P203" s="36"/>
      <c r="Q203" s="36"/>
    </row>
    <row r="204" spans="1:17" x14ac:dyDescent="0.25">
      <c r="A204" s="36">
        <v>1873</v>
      </c>
      <c r="B204" s="37">
        <v>43678</v>
      </c>
      <c r="C204" s="37">
        <v>43732.812204945993</v>
      </c>
      <c r="D204" s="36" t="s">
        <v>212</v>
      </c>
      <c r="E204" s="36"/>
      <c r="F204" s="38">
        <v>19235315</v>
      </c>
      <c r="G204" s="40">
        <f>VLOOKUP(A204,'DATOS GENERALES'!A:B,2,0)</f>
        <v>1.83</v>
      </c>
      <c r="H204" s="36">
        <f t="shared" si="15"/>
        <v>1.821582</v>
      </c>
      <c r="I204" s="38">
        <f t="shared" si="16"/>
        <v>10559675.600659207</v>
      </c>
      <c r="J204" s="38">
        <f t="shared" si="17"/>
        <v>8675639.3993407935</v>
      </c>
      <c r="K204" s="38">
        <v>2743059.4783367659</v>
      </c>
      <c r="L204" s="38">
        <f t="shared" si="18"/>
        <v>5932579.9210040271</v>
      </c>
      <c r="M204" s="41">
        <f>VLOOKUP(INDICADORES!$B$21,'DATOS GENERALES'!$K:$M,3,0)*F204</f>
        <v>130916.05961007701</v>
      </c>
      <c r="N204" s="38">
        <f t="shared" si="19"/>
        <v>5801663.8613939499</v>
      </c>
      <c r="O204" s="36"/>
      <c r="P204" s="36"/>
      <c r="Q204" s="36"/>
    </row>
    <row r="205" spans="1:17" x14ac:dyDescent="0.25">
      <c r="A205" s="36">
        <v>1873</v>
      </c>
      <c r="B205" s="37">
        <v>43709</v>
      </c>
      <c r="C205" s="37">
        <v>43795.446293852765</v>
      </c>
      <c r="D205" s="36" t="s">
        <v>212</v>
      </c>
      <c r="E205" s="36"/>
      <c r="F205" s="38">
        <v>15111650</v>
      </c>
      <c r="G205" s="40">
        <f>VLOOKUP(A205,'DATOS GENERALES'!A:B,2,0)</f>
        <v>1.83</v>
      </c>
      <c r="H205" s="36">
        <f t="shared" si="15"/>
        <v>1.821582</v>
      </c>
      <c r="I205" s="38">
        <f t="shared" si="16"/>
        <v>8295893.3498464515</v>
      </c>
      <c r="J205" s="38">
        <f t="shared" si="17"/>
        <v>6815756.6501535485</v>
      </c>
      <c r="K205" s="38">
        <v>2378608.3786564451</v>
      </c>
      <c r="L205" s="38">
        <f t="shared" si="18"/>
        <v>4437148.2714971034</v>
      </c>
      <c r="M205" s="41">
        <f>VLOOKUP(INDICADORES!$B$21,'DATOS GENERALES'!$K:$M,3,0)*F205</f>
        <v>102850.287203855</v>
      </c>
      <c r="N205" s="38">
        <f t="shared" si="19"/>
        <v>4334297.9842932485</v>
      </c>
      <c r="O205" s="36"/>
      <c r="P205" s="36"/>
      <c r="Q205" s="36"/>
    </row>
    <row r="206" spans="1:17" x14ac:dyDescent="0.25">
      <c r="A206" s="36">
        <v>1873</v>
      </c>
      <c r="B206" s="37">
        <v>43739</v>
      </c>
      <c r="C206" s="37">
        <v>43789.084162798565</v>
      </c>
      <c r="D206" s="36" t="s">
        <v>212</v>
      </c>
      <c r="E206" s="36"/>
      <c r="F206" s="38">
        <v>15111650</v>
      </c>
      <c r="G206" s="40">
        <f>VLOOKUP(A206,'DATOS GENERALES'!A:B,2,0)</f>
        <v>1.83</v>
      </c>
      <c r="H206" s="36">
        <f t="shared" si="15"/>
        <v>1.821582</v>
      </c>
      <c r="I206" s="38">
        <f t="shared" si="16"/>
        <v>8295893.3498464515</v>
      </c>
      <c r="J206" s="38">
        <f t="shared" si="17"/>
        <v>6815756.6501535485</v>
      </c>
      <c r="K206" s="38">
        <v>2581368.7230363977</v>
      </c>
      <c r="L206" s="38">
        <f t="shared" si="18"/>
        <v>4234387.9271171503</v>
      </c>
      <c r="M206" s="41">
        <f>VLOOKUP(INDICADORES!$B$21,'DATOS GENERALES'!$K:$M,3,0)*F206</f>
        <v>102850.287203855</v>
      </c>
      <c r="N206" s="38">
        <f t="shared" si="19"/>
        <v>4131537.6399132954</v>
      </c>
      <c r="O206" s="36"/>
      <c r="P206" s="36"/>
      <c r="Q206" s="36"/>
    </row>
    <row r="207" spans="1:17" x14ac:dyDescent="0.25">
      <c r="A207" s="36">
        <v>1873</v>
      </c>
      <c r="B207" s="37">
        <v>43770</v>
      </c>
      <c r="C207" s="37">
        <v>43830.757684491429</v>
      </c>
      <c r="D207" s="36" t="s">
        <v>212</v>
      </c>
      <c r="E207" s="36"/>
      <c r="F207" s="38">
        <v>15111650</v>
      </c>
      <c r="G207" s="40">
        <f>VLOOKUP(A207,'DATOS GENERALES'!A:B,2,0)</f>
        <v>1.83</v>
      </c>
      <c r="H207" s="36">
        <f t="shared" si="15"/>
        <v>1.821582</v>
      </c>
      <c r="I207" s="38">
        <f t="shared" si="16"/>
        <v>8295893.3498464515</v>
      </c>
      <c r="J207" s="38">
        <f t="shared" si="17"/>
        <v>6815756.6501535485</v>
      </c>
      <c r="K207" s="38">
        <v>3387521.09804428</v>
      </c>
      <c r="L207" s="38">
        <f t="shared" si="18"/>
        <v>3428235.5521092685</v>
      </c>
      <c r="M207" s="41">
        <f>VLOOKUP(INDICADORES!$B$21,'DATOS GENERALES'!$K:$M,3,0)*F207</f>
        <v>102850.287203855</v>
      </c>
      <c r="N207" s="38">
        <f t="shared" si="19"/>
        <v>3325385.2649054136</v>
      </c>
      <c r="O207" s="36"/>
      <c r="P207" s="36"/>
      <c r="Q207" s="36"/>
    </row>
    <row r="208" spans="1:17" x14ac:dyDescent="0.25">
      <c r="A208" s="36">
        <v>1874</v>
      </c>
      <c r="B208" s="37">
        <v>43466</v>
      </c>
      <c r="C208" s="37">
        <v>43505.56528824805</v>
      </c>
      <c r="D208" s="36" t="s">
        <v>212</v>
      </c>
      <c r="E208" s="36"/>
      <c r="F208" s="38">
        <v>45806040.531499997</v>
      </c>
      <c r="G208" s="40">
        <f>VLOOKUP(A208,'DATOS GENERALES'!A:B,2,0)</f>
        <v>2.48</v>
      </c>
      <c r="H208" s="36">
        <f t="shared" si="15"/>
        <v>2.4685919999999997</v>
      </c>
      <c r="I208" s="38">
        <f t="shared" si="16"/>
        <v>18555533.085864332</v>
      </c>
      <c r="J208" s="38">
        <f t="shared" si="17"/>
        <v>27250507.445635665</v>
      </c>
      <c r="K208" s="38">
        <v>4071424.3560060649</v>
      </c>
      <c r="L208" s="38">
        <f t="shared" si="18"/>
        <v>23179083.089629602</v>
      </c>
      <c r="M208" s="41">
        <f>VLOOKUP(INDICADORES!$B$21,'DATOS GENERALES'!$K:$M,3,0)*F208</f>
        <v>311757.11615450314</v>
      </c>
      <c r="N208" s="38">
        <f t="shared" si="19"/>
        <v>22867325.973475099</v>
      </c>
      <c r="O208" s="36"/>
      <c r="P208" s="36"/>
      <c r="Q208" s="36"/>
    </row>
    <row r="209" spans="1:17" x14ac:dyDescent="0.25">
      <c r="A209" s="36">
        <v>1874</v>
      </c>
      <c r="B209" s="37">
        <v>43497</v>
      </c>
      <c r="C209" s="37">
        <v>43561.065942706693</v>
      </c>
      <c r="D209" s="36" t="s">
        <v>212</v>
      </c>
      <c r="E209" s="36"/>
      <c r="F209" s="38">
        <v>45806040.531499997</v>
      </c>
      <c r="G209" s="40">
        <f>VLOOKUP(A209,'DATOS GENERALES'!A:B,2,0)</f>
        <v>2.48</v>
      </c>
      <c r="H209" s="36">
        <f t="shared" si="15"/>
        <v>2.4685919999999997</v>
      </c>
      <c r="I209" s="38">
        <f t="shared" si="16"/>
        <v>18555533.085864332</v>
      </c>
      <c r="J209" s="38">
        <f t="shared" si="17"/>
        <v>27250507.445635665</v>
      </c>
      <c r="K209" s="38">
        <v>4010924.0898789321</v>
      </c>
      <c r="L209" s="38">
        <f t="shared" si="18"/>
        <v>23239583.355756734</v>
      </c>
      <c r="M209" s="41">
        <f>VLOOKUP(INDICADORES!$B$21,'DATOS GENERALES'!$K:$M,3,0)*F209</f>
        <v>311757.11615450314</v>
      </c>
      <c r="N209" s="38">
        <f t="shared" si="19"/>
        <v>22927826.23960223</v>
      </c>
      <c r="O209" s="36"/>
      <c r="P209" s="36"/>
      <c r="Q209" s="36"/>
    </row>
    <row r="210" spans="1:17" x14ac:dyDescent="0.25">
      <c r="A210" s="36">
        <v>1874</v>
      </c>
      <c r="B210" s="37">
        <v>43525</v>
      </c>
      <c r="C210" s="37">
        <v>43609.439811095384</v>
      </c>
      <c r="D210" s="36" t="s">
        <v>212</v>
      </c>
      <c r="E210" s="36"/>
      <c r="F210" s="38">
        <v>45806040.531499997</v>
      </c>
      <c r="G210" s="40">
        <f>VLOOKUP(A210,'DATOS GENERALES'!A:B,2,0)</f>
        <v>2.48</v>
      </c>
      <c r="H210" s="36">
        <f t="shared" si="15"/>
        <v>2.4685919999999997</v>
      </c>
      <c r="I210" s="38">
        <f t="shared" si="16"/>
        <v>18555533.085864332</v>
      </c>
      <c r="J210" s="38">
        <f t="shared" si="17"/>
        <v>27250507.445635665</v>
      </c>
      <c r="K210" s="38">
        <v>2901853.8320659776</v>
      </c>
      <c r="L210" s="38">
        <f t="shared" si="18"/>
        <v>24348653.613569688</v>
      </c>
      <c r="M210" s="41">
        <f>VLOOKUP(INDICADORES!$B$21,'DATOS GENERALES'!$K:$M,3,0)*F210</f>
        <v>311757.11615450314</v>
      </c>
      <c r="N210" s="38">
        <f t="shared" si="19"/>
        <v>24036896.497415185</v>
      </c>
      <c r="O210" s="36"/>
      <c r="P210" s="36"/>
      <c r="Q210" s="36"/>
    </row>
    <row r="211" spans="1:17" x14ac:dyDescent="0.25">
      <c r="A211" s="36">
        <v>1874</v>
      </c>
      <c r="B211" s="37">
        <v>43556</v>
      </c>
      <c r="C211" s="37">
        <v>43606.846523318323</v>
      </c>
      <c r="D211" s="36" t="s">
        <v>212</v>
      </c>
      <c r="E211" s="36"/>
      <c r="F211" s="38">
        <v>45806040.531499997</v>
      </c>
      <c r="G211" s="40">
        <f>VLOOKUP(A211,'DATOS GENERALES'!A:B,2,0)</f>
        <v>2.48</v>
      </c>
      <c r="H211" s="36">
        <f t="shared" si="15"/>
        <v>2.4685919999999997</v>
      </c>
      <c r="I211" s="38">
        <f t="shared" si="16"/>
        <v>18555533.085864332</v>
      </c>
      <c r="J211" s="38">
        <f t="shared" si="17"/>
        <v>27250507.445635665</v>
      </c>
      <c r="K211" s="38">
        <v>2983324.4467901546</v>
      </c>
      <c r="L211" s="38">
        <f t="shared" si="18"/>
        <v>24267182.99884551</v>
      </c>
      <c r="M211" s="41">
        <f>VLOOKUP(INDICADORES!$B$21,'DATOS GENERALES'!$K:$M,3,0)*F211</f>
        <v>311757.11615450314</v>
      </c>
      <c r="N211" s="38">
        <f t="shared" si="19"/>
        <v>23955425.882691007</v>
      </c>
      <c r="O211" s="36"/>
      <c r="P211" s="36"/>
      <c r="Q211" s="36"/>
    </row>
    <row r="212" spans="1:17" x14ac:dyDescent="0.25">
      <c r="A212" s="36">
        <v>1874</v>
      </c>
      <c r="B212" s="37">
        <v>43586</v>
      </c>
      <c r="C212" s="37">
        <v>43621.430476050366</v>
      </c>
      <c r="D212" s="36" t="s">
        <v>212</v>
      </c>
      <c r="E212" s="36"/>
      <c r="F212" s="38">
        <v>45806040.531499997</v>
      </c>
      <c r="G212" s="40">
        <f>VLOOKUP(A212,'DATOS GENERALES'!A:B,2,0)</f>
        <v>2.48</v>
      </c>
      <c r="H212" s="36">
        <f t="shared" si="15"/>
        <v>2.4685919999999997</v>
      </c>
      <c r="I212" s="38">
        <f t="shared" si="16"/>
        <v>18555533.085864332</v>
      </c>
      <c r="J212" s="38">
        <f t="shared" si="17"/>
        <v>27250507.445635665</v>
      </c>
      <c r="K212" s="38">
        <v>2461034.0314603439</v>
      </c>
      <c r="L212" s="38">
        <f t="shared" si="18"/>
        <v>24789473.41417532</v>
      </c>
      <c r="M212" s="41">
        <f>VLOOKUP(INDICADORES!$B$21,'DATOS GENERALES'!$K:$M,3,0)*F212</f>
        <v>311757.11615450314</v>
      </c>
      <c r="N212" s="38">
        <f t="shared" si="19"/>
        <v>24477716.298020817</v>
      </c>
      <c r="O212" s="36"/>
      <c r="P212" s="36"/>
      <c r="Q212" s="36"/>
    </row>
    <row r="213" spans="1:17" x14ac:dyDescent="0.25">
      <c r="A213" s="36">
        <v>1874</v>
      </c>
      <c r="B213" s="37">
        <v>43617</v>
      </c>
      <c r="C213" s="37">
        <v>43700.96864259705</v>
      </c>
      <c r="D213" s="36" t="s">
        <v>212</v>
      </c>
      <c r="E213" s="36"/>
      <c r="F213" s="38">
        <v>45806040.531499997</v>
      </c>
      <c r="G213" s="40">
        <f>VLOOKUP(A213,'DATOS GENERALES'!A:B,2,0)</f>
        <v>2.48</v>
      </c>
      <c r="H213" s="36">
        <f t="shared" si="15"/>
        <v>2.4685919999999997</v>
      </c>
      <c r="I213" s="38">
        <f t="shared" si="16"/>
        <v>18555533.085864332</v>
      </c>
      <c r="J213" s="38">
        <f t="shared" si="17"/>
        <v>27250507.445635665</v>
      </c>
      <c r="K213" s="38">
        <v>2764236.829932509</v>
      </c>
      <c r="L213" s="38">
        <f t="shared" si="18"/>
        <v>24486270.615703158</v>
      </c>
      <c r="M213" s="41">
        <f>VLOOKUP(INDICADORES!$B$21,'DATOS GENERALES'!$K:$M,3,0)*F213</f>
        <v>311757.11615450314</v>
      </c>
      <c r="N213" s="38">
        <f t="shared" si="19"/>
        <v>24174513.499548655</v>
      </c>
      <c r="O213" s="36"/>
      <c r="P213" s="36"/>
      <c r="Q213" s="36"/>
    </row>
    <row r="214" spans="1:17" x14ac:dyDescent="0.25">
      <c r="A214" s="36">
        <v>1874</v>
      </c>
      <c r="B214" s="37">
        <v>43647</v>
      </c>
      <c r="C214" s="37">
        <v>43721.216626121408</v>
      </c>
      <c r="D214" s="36" t="s">
        <v>212</v>
      </c>
      <c r="E214" s="36"/>
      <c r="F214" s="38">
        <v>45806040.531499997</v>
      </c>
      <c r="G214" s="40">
        <f>VLOOKUP(A214,'DATOS GENERALES'!A:B,2,0)</f>
        <v>2.48</v>
      </c>
      <c r="H214" s="36">
        <f t="shared" si="15"/>
        <v>2.4685919999999997</v>
      </c>
      <c r="I214" s="38">
        <f t="shared" si="16"/>
        <v>18555533.085864332</v>
      </c>
      <c r="J214" s="38">
        <f t="shared" si="17"/>
        <v>27250507.445635665</v>
      </c>
      <c r="K214" s="38">
        <v>4800146.1711878041</v>
      </c>
      <c r="L214" s="38">
        <f t="shared" si="18"/>
        <v>22450361.274447862</v>
      </c>
      <c r="M214" s="41">
        <f>VLOOKUP(INDICADORES!$B$21,'DATOS GENERALES'!$K:$M,3,0)*F214</f>
        <v>311757.11615450314</v>
      </c>
      <c r="N214" s="38">
        <f t="shared" si="19"/>
        <v>22138604.158293359</v>
      </c>
      <c r="O214" s="36"/>
      <c r="P214" s="36"/>
      <c r="Q214" s="36"/>
    </row>
    <row r="215" spans="1:17" x14ac:dyDescent="0.25">
      <c r="A215" s="36">
        <v>1874</v>
      </c>
      <c r="B215" s="37">
        <v>43678</v>
      </c>
      <c r="C215" s="37">
        <v>43775.058184825808</v>
      </c>
      <c r="D215" s="36" t="s">
        <v>212</v>
      </c>
      <c r="E215" s="36"/>
      <c r="F215" s="38">
        <v>45806040.531499997</v>
      </c>
      <c r="G215" s="40">
        <f>VLOOKUP(A215,'DATOS GENERALES'!A:B,2,0)</f>
        <v>2.48</v>
      </c>
      <c r="H215" s="36">
        <f t="shared" si="15"/>
        <v>2.4685919999999997</v>
      </c>
      <c r="I215" s="38">
        <f t="shared" si="16"/>
        <v>18555533.085864332</v>
      </c>
      <c r="J215" s="38">
        <f t="shared" si="17"/>
        <v>27250507.445635665</v>
      </c>
      <c r="K215" s="38">
        <v>4820122.5900911344</v>
      </c>
      <c r="L215" s="38">
        <f t="shared" si="18"/>
        <v>22430384.85554453</v>
      </c>
      <c r="M215" s="41">
        <f>VLOOKUP(INDICADORES!$B$21,'DATOS GENERALES'!$K:$M,3,0)*F215</f>
        <v>311757.11615450314</v>
      </c>
      <c r="N215" s="38">
        <f t="shared" si="19"/>
        <v>22118627.739390027</v>
      </c>
      <c r="O215" s="36"/>
      <c r="P215" s="36"/>
      <c r="Q215" s="36"/>
    </row>
    <row r="216" spans="1:17" x14ac:dyDescent="0.25">
      <c r="A216" s="36">
        <v>1874</v>
      </c>
      <c r="B216" s="37">
        <v>43709</v>
      </c>
      <c r="C216" s="37">
        <v>43747.182877547471</v>
      </c>
      <c r="D216" s="36" t="s">
        <v>212</v>
      </c>
      <c r="E216" s="36"/>
      <c r="F216" s="38">
        <v>33732090.531499997</v>
      </c>
      <c r="G216" s="40">
        <f>VLOOKUP(A216,'DATOS GENERALES'!A:B,2,0)</f>
        <v>2.48</v>
      </c>
      <c r="H216" s="36">
        <f t="shared" si="15"/>
        <v>2.4685919999999997</v>
      </c>
      <c r="I216" s="38">
        <f t="shared" si="16"/>
        <v>13664506.136088913</v>
      </c>
      <c r="J216" s="38">
        <f t="shared" si="17"/>
        <v>20067584.395411082</v>
      </c>
      <c r="K216" s="38">
        <v>3917903.4029053766</v>
      </c>
      <c r="L216" s="38">
        <f t="shared" si="18"/>
        <v>16149680.992505705</v>
      </c>
      <c r="M216" s="41">
        <f>VLOOKUP(INDICADORES!$B$21,'DATOS GENERALES'!$K:$M,3,0)*F216</f>
        <v>229581.49501551536</v>
      </c>
      <c r="N216" s="38">
        <f t="shared" si="19"/>
        <v>15920099.49749019</v>
      </c>
      <c r="O216" s="36"/>
      <c r="P216" s="36"/>
      <c r="Q216" s="36"/>
    </row>
    <row r="217" spans="1:17" x14ac:dyDescent="0.25">
      <c r="A217" s="36">
        <v>1874</v>
      </c>
      <c r="B217" s="37">
        <v>43739</v>
      </c>
      <c r="C217" s="37">
        <v>43788.625137515148</v>
      </c>
      <c r="D217" s="36" t="s">
        <v>212</v>
      </c>
      <c r="E217" s="36"/>
      <c r="F217" s="38">
        <v>33732090.531499997</v>
      </c>
      <c r="G217" s="40">
        <f>VLOOKUP(A217,'DATOS GENERALES'!A:B,2,0)</f>
        <v>2.48</v>
      </c>
      <c r="H217" s="36">
        <f t="shared" si="15"/>
        <v>2.4685919999999997</v>
      </c>
      <c r="I217" s="38">
        <f t="shared" si="16"/>
        <v>13664506.136088913</v>
      </c>
      <c r="J217" s="38">
        <f t="shared" si="17"/>
        <v>20067584.395411082</v>
      </c>
      <c r="K217" s="38">
        <v>4251878.2809679834</v>
      </c>
      <c r="L217" s="38">
        <f t="shared" si="18"/>
        <v>15815706.114443097</v>
      </c>
      <c r="M217" s="41">
        <f>VLOOKUP(INDICADORES!$B$21,'DATOS GENERALES'!$K:$M,3,0)*F217</f>
        <v>229581.49501551536</v>
      </c>
      <c r="N217" s="38">
        <f t="shared" si="19"/>
        <v>15586124.619427582</v>
      </c>
      <c r="O217" s="36"/>
      <c r="P217" s="36"/>
      <c r="Q217" s="36"/>
    </row>
    <row r="218" spans="1:17" x14ac:dyDescent="0.25">
      <c r="A218" s="36">
        <v>1881</v>
      </c>
      <c r="B218" s="37">
        <v>43466</v>
      </c>
      <c r="C218" s="37">
        <v>43508.815983613662</v>
      </c>
      <c r="D218" s="36" t="s">
        <v>212</v>
      </c>
      <c r="E218" s="36"/>
      <c r="F218" s="38">
        <v>18731301.130000003</v>
      </c>
      <c r="G218" s="40">
        <f>VLOOKUP(A218,'DATOS GENERALES'!A:B,2,0)</f>
        <v>1.96</v>
      </c>
      <c r="H218" s="36">
        <f t="shared" si="15"/>
        <v>1.9509839999999998</v>
      </c>
      <c r="I218" s="38">
        <f t="shared" si="16"/>
        <v>9600950.6638701316</v>
      </c>
      <c r="J218" s="38">
        <f t="shared" si="17"/>
        <v>9130350.4661298711</v>
      </c>
      <c r="K218" s="38">
        <v>2106624.7028748528</v>
      </c>
      <c r="L218" s="38">
        <f t="shared" si="18"/>
        <v>7023725.7632550187</v>
      </c>
      <c r="M218" s="41">
        <f>VLOOKUP(INDICADORES!$B$21,'DATOS GENERALES'!$K:$M,3,0)*F218</f>
        <v>127485.72795971281</v>
      </c>
      <c r="N218" s="38">
        <f t="shared" si="19"/>
        <v>6896240.0352953058</v>
      </c>
      <c r="O218" s="36"/>
      <c r="P218" s="36"/>
      <c r="Q218" s="36"/>
    </row>
    <row r="219" spans="1:17" x14ac:dyDescent="0.25">
      <c r="A219" s="36">
        <v>1881</v>
      </c>
      <c r="B219" s="37">
        <v>43497</v>
      </c>
      <c r="C219" s="37">
        <v>43543.599958831146</v>
      </c>
      <c r="D219" s="36" t="s">
        <v>212</v>
      </c>
      <c r="E219" s="36"/>
      <c r="F219" s="38">
        <v>18731301.130000003</v>
      </c>
      <c r="G219" s="40">
        <f>VLOOKUP(A219,'DATOS GENERALES'!A:B,2,0)</f>
        <v>1.96</v>
      </c>
      <c r="H219" s="36">
        <f t="shared" si="15"/>
        <v>1.9509839999999998</v>
      </c>
      <c r="I219" s="38">
        <f t="shared" si="16"/>
        <v>9600950.6638701316</v>
      </c>
      <c r="J219" s="38">
        <f t="shared" si="17"/>
        <v>9130350.4661298711</v>
      </c>
      <c r="K219" s="38">
        <v>2075320.8288471047</v>
      </c>
      <c r="L219" s="38">
        <f t="shared" si="18"/>
        <v>7055029.6372827664</v>
      </c>
      <c r="M219" s="41">
        <f>VLOOKUP(INDICADORES!$B$21,'DATOS GENERALES'!$K:$M,3,0)*F219</f>
        <v>127485.72795971281</v>
      </c>
      <c r="N219" s="38">
        <f t="shared" si="19"/>
        <v>6927543.9093230534</v>
      </c>
      <c r="O219" s="36"/>
      <c r="P219" s="36"/>
      <c r="Q219" s="36"/>
    </row>
    <row r="220" spans="1:17" x14ac:dyDescent="0.25">
      <c r="A220" s="36">
        <v>1881</v>
      </c>
      <c r="B220" s="37">
        <v>43525</v>
      </c>
      <c r="C220" s="37">
        <v>43599.196886823229</v>
      </c>
      <c r="D220" s="36" t="s">
        <v>212</v>
      </c>
      <c r="E220" s="36"/>
      <c r="F220" s="38">
        <v>18731301.130000003</v>
      </c>
      <c r="G220" s="40">
        <f>VLOOKUP(A220,'DATOS GENERALES'!A:B,2,0)</f>
        <v>1.96</v>
      </c>
      <c r="H220" s="36">
        <f t="shared" si="15"/>
        <v>1.9509839999999998</v>
      </c>
      <c r="I220" s="38">
        <f t="shared" si="16"/>
        <v>9600950.6638701316</v>
      </c>
      <c r="J220" s="38">
        <f t="shared" si="17"/>
        <v>9130350.4661298711</v>
      </c>
      <c r="K220" s="38">
        <v>1501468.8797409006</v>
      </c>
      <c r="L220" s="38">
        <f t="shared" si="18"/>
        <v>7628881.5863889707</v>
      </c>
      <c r="M220" s="41">
        <f>VLOOKUP(INDICADORES!$B$21,'DATOS GENERALES'!$K:$M,3,0)*F220</f>
        <v>127485.72795971281</v>
      </c>
      <c r="N220" s="38">
        <f t="shared" si="19"/>
        <v>7501395.8584292578</v>
      </c>
      <c r="O220" s="36"/>
      <c r="P220" s="36"/>
      <c r="Q220" s="36"/>
    </row>
    <row r="221" spans="1:17" x14ac:dyDescent="0.25">
      <c r="A221" s="36">
        <v>1881</v>
      </c>
      <c r="B221" s="37">
        <v>43556</v>
      </c>
      <c r="C221" s="37">
        <v>43621.841164095546</v>
      </c>
      <c r="D221" s="36" t="s">
        <v>212</v>
      </c>
      <c r="E221" s="36"/>
      <c r="F221" s="38">
        <v>18731301.130000003</v>
      </c>
      <c r="G221" s="40">
        <f>VLOOKUP(A221,'DATOS GENERALES'!A:B,2,0)</f>
        <v>1.96</v>
      </c>
      <c r="H221" s="36">
        <f t="shared" si="15"/>
        <v>1.9509839999999998</v>
      </c>
      <c r="I221" s="38">
        <f t="shared" si="16"/>
        <v>9600950.6638701316</v>
      </c>
      <c r="J221" s="38">
        <f t="shared" si="17"/>
        <v>9130350.4661298711</v>
      </c>
      <c r="K221" s="38">
        <v>1543623.1713423568</v>
      </c>
      <c r="L221" s="38">
        <f t="shared" si="18"/>
        <v>7586727.294787514</v>
      </c>
      <c r="M221" s="41">
        <f>VLOOKUP(INDICADORES!$B$21,'DATOS GENERALES'!$K:$M,3,0)*F221</f>
        <v>127485.72795971281</v>
      </c>
      <c r="N221" s="38">
        <f t="shared" si="19"/>
        <v>7459241.5668278011</v>
      </c>
      <c r="O221" s="36"/>
      <c r="P221" s="36"/>
      <c r="Q221" s="36"/>
    </row>
    <row r="222" spans="1:17" x14ac:dyDescent="0.25">
      <c r="A222" s="36">
        <v>1881</v>
      </c>
      <c r="B222" s="37">
        <v>43586</v>
      </c>
      <c r="C222" s="37">
        <v>43637.937995955086</v>
      </c>
      <c r="D222" s="36" t="s">
        <v>212</v>
      </c>
      <c r="E222" s="36"/>
      <c r="F222" s="38">
        <v>18731301.130000003</v>
      </c>
      <c r="G222" s="40">
        <f>VLOOKUP(A222,'DATOS GENERALES'!A:B,2,0)</f>
        <v>1.96</v>
      </c>
      <c r="H222" s="36">
        <f t="shared" si="15"/>
        <v>1.9509839999999998</v>
      </c>
      <c r="I222" s="38">
        <f t="shared" si="16"/>
        <v>9600950.6638701316</v>
      </c>
      <c r="J222" s="38">
        <f t="shared" si="17"/>
        <v>9130350.4661298711</v>
      </c>
      <c r="K222" s="38">
        <v>1273381.1639265846</v>
      </c>
      <c r="L222" s="38">
        <f t="shared" si="18"/>
        <v>7856969.3022032864</v>
      </c>
      <c r="M222" s="41">
        <f>VLOOKUP(INDICADORES!$B$21,'DATOS GENERALES'!$K:$M,3,0)*F222</f>
        <v>127485.72795971281</v>
      </c>
      <c r="N222" s="38">
        <f t="shared" si="19"/>
        <v>7729483.5742435735</v>
      </c>
      <c r="O222" s="36"/>
      <c r="P222" s="36"/>
      <c r="Q222" s="36"/>
    </row>
    <row r="223" spans="1:17" x14ac:dyDescent="0.25">
      <c r="A223" s="36">
        <v>1881</v>
      </c>
      <c r="B223" s="37">
        <v>43617</v>
      </c>
      <c r="C223" s="37">
        <v>43701.796230676242</v>
      </c>
      <c r="D223" s="36" t="s">
        <v>212</v>
      </c>
      <c r="E223" s="36"/>
      <c r="F223" s="38">
        <v>18731301.130000003</v>
      </c>
      <c r="G223" s="40">
        <f>VLOOKUP(A223,'DATOS GENERALES'!A:B,2,0)</f>
        <v>1.96</v>
      </c>
      <c r="H223" s="36">
        <f t="shared" si="15"/>
        <v>1.9509839999999998</v>
      </c>
      <c r="I223" s="38">
        <f t="shared" si="16"/>
        <v>9600950.6638701316</v>
      </c>
      <c r="J223" s="38">
        <f t="shared" si="17"/>
        <v>9130350.4661298711</v>
      </c>
      <c r="K223" s="38">
        <v>1430263.4855396592</v>
      </c>
      <c r="L223" s="38">
        <f t="shared" si="18"/>
        <v>7700086.9805902122</v>
      </c>
      <c r="M223" s="41">
        <f>VLOOKUP(INDICADORES!$B$21,'DATOS GENERALES'!$K:$M,3,0)*F223</f>
        <v>127485.72795971281</v>
      </c>
      <c r="N223" s="38">
        <f t="shared" si="19"/>
        <v>7572601.2526304992</v>
      </c>
      <c r="O223" s="36"/>
      <c r="P223" s="36"/>
      <c r="Q223" s="36"/>
    </row>
    <row r="224" spans="1:17" x14ac:dyDescent="0.25">
      <c r="A224" s="36">
        <v>1881</v>
      </c>
      <c r="B224" s="37">
        <v>43647</v>
      </c>
      <c r="C224" s="37">
        <v>43680.736487605893</v>
      </c>
      <c r="D224" s="36" t="s">
        <v>212</v>
      </c>
      <c r="E224" s="36"/>
      <c r="F224" s="38">
        <v>18731301.130000003</v>
      </c>
      <c r="G224" s="40">
        <f>VLOOKUP(A224,'DATOS GENERALES'!A:B,2,0)</f>
        <v>1.96</v>
      </c>
      <c r="H224" s="36">
        <f t="shared" si="15"/>
        <v>1.9509839999999998</v>
      </c>
      <c r="I224" s="38">
        <f t="shared" si="16"/>
        <v>9600950.6638701316</v>
      </c>
      <c r="J224" s="38">
        <f t="shared" si="17"/>
        <v>9130350.4661298711</v>
      </c>
      <c r="K224" s="38">
        <v>2483677.8526210957</v>
      </c>
      <c r="L224" s="38">
        <f t="shared" si="18"/>
        <v>6646672.6135087758</v>
      </c>
      <c r="M224" s="41">
        <f>VLOOKUP(INDICADORES!$B$21,'DATOS GENERALES'!$K:$M,3,0)*F224</f>
        <v>127485.72795971281</v>
      </c>
      <c r="N224" s="38">
        <f t="shared" si="19"/>
        <v>6519186.8855490629</v>
      </c>
      <c r="O224" s="36"/>
      <c r="P224" s="36"/>
      <c r="Q224" s="36"/>
    </row>
    <row r="225" spans="1:17" x14ac:dyDescent="0.25">
      <c r="A225" s="36">
        <v>1881</v>
      </c>
      <c r="B225" s="37">
        <v>43678</v>
      </c>
      <c r="C225" s="37">
        <v>43749.875128498825</v>
      </c>
      <c r="D225" s="36" t="s">
        <v>212</v>
      </c>
      <c r="E225" s="36"/>
      <c r="F225" s="38">
        <v>18731301.130000003</v>
      </c>
      <c r="G225" s="40">
        <f>VLOOKUP(A225,'DATOS GENERALES'!A:B,2,0)</f>
        <v>1.96</v>
      </c>
      <c r="H225" s="36">
        <f t="shared" si="15"/>
        <v>1.9509839999999998</v>
      </c>
      <c r="I225" s="38">
        <f t="shared" si="16"/>
        <v>9600950.6638701316</v>
      </c>
      <c r="J225" s="38">
        <f t="shared" si="17"/>
        <v>9130350.4661298711</v>
      </c>
      <c r="K225" s="38">
        <v>2494013.9939458519</v>
      </c>
      <c r="L225" s="38">
        <f t="shared" si="18"/>
        <v>6636336.4721840192</v>
      </c>
      <c r="M225" s="41">
        <f>VLOOKUP(INDICADORES!$B$21,'DATOS GENERALES'!$K:$M,3,0)*F225</f>
        <v>127485.72795971281</v>
      </c>
      <c r="N225" s="38">
        <f t="shared" si="19"/>
        <v>6508850.7442243062</v>
      </c>
      <c r="O225" s="36"/>
      <c r="P225" s="36"/>
      <c r="Q225" s="36"/>
    </row>
    <row r="226" spans="1:17" x14ac:dyDescent="0.25">
      <c r="A226" s="36">
        <v>1881</v>
      </c>
      <c r="B226" s="37">
        <v>43709</v>
      </c>
      <c r="C226" s="37">
        <v>43797.087530405479</v>
      </c>
      <c r="D226" s="36" t="s">
        <v>212</v>
      </c>
      <c r="E226" s="36"/>
      <c r="F226" s="38">
        <v>18731301.130000003</v>
      </c>
      <c r="G226" s="40">
        <f>VLOOKUP(A226,'DATOS GENERALES'!A:B,2,0)</f>
        <v>1.96</v>
      </c>
      <c r="H226" s="36">
        <f t="shared" si="15"/>
        <v>1.9509839999999998</v>
      </c>
      <c r="I226" s="38">
        <f t="shared" si="16"/>
        <v>9600950.6638701316</v>
      </c>
      <c r="J226" s="38">
        <f t="shared" si="17"/>
        <v>9130350.4661298711</v>
      </c>
      <c r="K226" s="38">
        <v>2752795.9592888621</v>
      </c>
      <c r="L226" s="38">
        <f t="shared" si="18"/>
        <v>6377554.5068410095</v>
      </c>
      <c r="M226" s="41">
        <f>VLOOKUP(INDICADORES!$B$21,'DATOS GENERALES'!$K:$M,3,0)*F226</f>
        <v>127485.72795971281</v>
      </c>
      <c r="N226" s="38">
        <f t="shared" si="19"/>
        <v>6250068.7788812965</v>
      </c>
      <c r="O226" s="36"/>
      <c r="P226" s="36"/>
      <c r="Q226" s="36"/>
    </row>
    <row r="227" spans="1:17" x14ac:dyDescent="0.25">
      <c r="A227" s="36">
        <v>1881</v>
      </c>
      <c r="B227" s="37">
        <v>43739</v>
      </c>
      <c r="C227" s="37">
        <v>43825.226163143248</v>
      </c>
      <c r="D227" s="36" t="s">
        <v>212</v>
      </c>
      <c r="E227" s="36"/>
      <c r="F227" s="38">
        <v>18731301.130000003</v>
      </c>
      <c r="G227" s="40">
        <f>VLOOKUP(A227,'DATOS GENERALES'!A:B,2,0)</f>
        <v>1.96</v>
      </c>
      <c r="H227" s="36">
        <f t="shared" si="15"/>
        <v>1.9509839999999998</v>
      </c>
      <c r="I227" s="38">
        <f t="shared" si="16"/>
        <v>9600950.6638701316</v>
      </c>
      <c r="J227" s="38">
        <f t="shared" si="17"/>
        <v>9130350.4661298711</v>
      </c>
      <c r="K227" s="38">
        <v>2987453.2747686077</v>
      </c>
      <c r="L227" s="38">
        <f t="shared" si="18"/>
        <v>6142897.1913612634</v>
      </c>
      <c r="M227" s="41">
        <f>VLOOKUP(INDICADORES!$B$21,'DATOS GENERALES'!$K:$M,3,0)*F227</f>
        <v>127485.72795971281</v>
      </c>
      <c r="N227" s="38">
        <f t="shared" si="19"/>
        <v>6015411.4634015504</v>
      </c>
      <c r="O227" s="36"/>
      <c r="P227" s="36"/>
      <c r="Q227" s="36"/>
    </row>
    <row r="228" spans="1:17" x14ac:dyDescent="0.25">
      <c r="A228" s="36">
        <v>1881</v>
      </c>
      <c r="B228" s="37">
        <v>43770</v>
      </c>
      <c r="C228" s="37">
        <v>43817.007007647269</v>
      </c>
      <c r="D228" s="36" t="s">
        <v>212</v>
      </c>
      <c r="E228" s="36"/>
      <c r="F228" s="38">
        <v>18731301.130000003</v>
      </c>
      <c r="G228" s="40">
        <f>VLOOKUP(A228,'DATOS GENERALES'!A:B,2,0)</f>
        <v>1.96</v>
      </c>
      <c r="H228" s="36">
        <f t="shared" si="15"/>
        <v>1.9509839999999998</v>
      </c>
      <c r="I228" s="38">
        <f t="shared" si="16"/>
        <v>9600950.6638701316</v>
      </c>
      <c r="J228" s="38">
        <f t="shared" si="17"/>
        <v>9130350.4661298711</v>
      </c>
      <c r="K228" s="38">
        <v>3920424.427315508</v>
      </c>
      <c r="L228" s="38">
        <f t="shared" si="18"/>
        <v>5209926.0388143631</v>
      </c>
      <c r="M228" s="41">
        <f>VLOOKUP(INDICADORES!$B$21,'DATOS GENERALES'!$K:$M,3,0)*F228</f>
        <v>127485.72795971281</v>
      </c>
      <c r="N228" s="38">
        <f t="shared" si="19"/>
        <v>5082440.3108546501</v>
      </c>
      <c r="O228" s="36"/>
      <c r="P228" s="36"/>
      <c r="Q228" s="36"/>
    </row>
    <row r="229" spans="1:17" x14ac:dyDescent="0.25">
      <c r="A229" s="36">
        <v>1881</v>
      </c>
      <c r="B229" s="37">
        <v>43800</v>
      </c>
      <c r="C229" s="37">
        <v>43819.970994571166</v>
      </c>
      <c r="D229" s="36" t="s">
        <v>212</v>
      </c>
      <c r="E229" s="36"/>
      <c r="F229" s="38">
        <v>18731301.130000003</v>
      </c>
      <c r="G229" s="40">
        <f>VLOOKUP(A229,'DATOS GENERALES'!A:B,2,0)</f>
        <v>1.96</v>
      </c>
      <c r="H229" s="36">
        <f t="shared" si="15"/>
        <v>1.9509839999999998</v>
      </c>
      <c r="I229" s="38">
        <f t="shared" si="16"/>
        <v>9600950.6638701316</v>
      </c>
      <c r="J229" s="38">
        <f t="shared" si="17"/>
        <v>9130350.4661298711</v>
      </c>
      <c r="K229" s="38">
        <v>3381560.2580256839</v>
      </c>
      <c r="L229" s="38">
        <f t="shared" si="18"/>
        <v>5748790.2081041876</v>
      </c>
      <c r="M229" s="41">
        <f>VLOOKUP(INDICADORES!$B$21,'DATOS GENERALES'!$K:$M,3,0)*F229</f>
        <v>127485.72795971281</v>
      </c>
      <c r="N229" s="38">
        <f t="shared" si="19"/>
        <v>5621304.4801444747</v>
      </c>
      <c r="O229" s="36"/>
      <c r="P229" s="36"/>
      <c r="Q229" s="36"/>
    </row>
    <row r="230" spans="1:17" x14ac:dyDescent="0.25">
      <c r="A230" s="36">
        <v>1881</v>
      </c>
      <c r="B230" s="37">
        <v>43831</v>
      </c>
      <c r="C230" s="37">
        <v>43887.052854295092</v>
      </c>
      <c r="D230" s="36" t="s">
        <v>212</v>
      </c>
      <c r="E230" s="36"/>
      <c r="F230" s="38">
        <v>18731301.130000003</v>
      </c>
      <c r="G230" s="40">
        <f>VLOOKUP(A230,'DATOS GENERALES'!A:B,2,0)</f>
        <v>1.96</v>
      </c>
      <c r="H230" s="36">
        <f t="shared" si="15"/>
        <v>1.9509839999999998</v>
      </c>
      <c r="I230" s="38">
        <f t="shared" si="16"/>
        <v>9600950.6638701316</v>
      </c>
      <c r="J230" s="38">
        <f t="shared" si="17"/>
        <v>9130350.4661298711</v>
      </c>
      <c r="K230" s="38" t="s">
        <v>213</v>
      </c>
      <c r="L230" s="38" t="str">
        <f t="shared" si="18"/>
        <v/>
      </c>
      <c r="M230" s="41">
        <f>VLOOKUP(INDICADORES!$B$21,'DATOS GENERALES'!$K:$M,3,0)*F230</f>
        <v>127485.72795971281</v>
      </c>
      <c r="N230" s="38" t="str">
        <f t="shared" si="19"/>
        <v/>
      </c>
      <c r="O230" s="36"/>
      <c r="P230" s="36"/>
      <c r="Q230" s="36"/>
    </row>
    <row r="231" spans="1:17" x14ac:dyDescent="0.25">
      <c r="A231" s="36">
        <v>1881</v>
      </c>
      <c r="B231" s="37">
        <v>43862</v>
      </c>
      <c r="C231" s="37">
        <v>43941.17104778986</v>
      </c>
      <c r="D231" s="36" t="s">
        <v>212</v>
      </c>
      <c r="E231" s="36"/>
      <c r="F231" s="38">
        <v>18731301.130000003</v>
      </c>
      <c r="G231" s="40">
        <f>VLOOKUP(A231,'DATOS GENERALES'!A:B,2,0)</f>
        <v>1.96</v>
      </c>
      <c r="H231" s="36">
        <f t="shared" si="15"/>
        <v>1.9509839999999998</v>
      </c>
      <c r="I231" s="38">
        <f t="shared" si="16"/>
        <v>9600950.6638701316</v>
      </c>
      <c r="J231" s="38">
        <f t="shared" si="17"/>
        <v>9130350.4661298711</v>
      </c>
      <c r="K231" s="38" t="s">
        <v>213</v>
      </c>
      <c r="L231" s="38" t="str">
        <f t="shared" si="18"/>
        <v/>
      </c>
      <c r="M231" s="41">
        <f>VLOOKUP(INDICADORES!$B$21,'DATOS GENERALES'!$K:$M,3,0)*F231</f>
        <v>127485.72795971281</v>
      </c>
      <c r="N231" s="38" t="str">
        <f t="shared" si="19"/>
        <v/>
      </c>
      <c r="O231" s="36"/>
      <c r="P231" s="36"/>
      <c r="Q231" s="36"/>
    </row>
    <row r="232" spans="1:17" x14ac:dyDescent="0.25">
      <c r="A232" s="36">
        <v>1881</v>
      </c>
      <c r="B232" s="37">
        <v>43891</v>
      </c>
      <c r="C232" s="37">
        <v>43968.758909682379</v>
      </c>
      <c r="D232" s="36" t="s">
        <v>212</v>
      </c>
      <c r="E232" s="36"/>
      <c r="F232" s="38">
        <v>18731301.130000003</v>
      </c>
      <c r="G232" s="40">
        <f>VLOOKUP(A232,'DATOS GENERALES'!A:B,2,0)</f>
        <v>1.96</v>
      </c>
      <c r="H232" s="36">
        <f t="shared" si="15"/>
        <v>1.9509839999999998</v>
      </c>
      <c r="I232" s="38">
        <f t="shared" si="16"/>
        <v>9600950.6638701316</v>
      </c>
      <c r="J232" s="38">
        <f t="shared" si="17"/>
        <v>9130350.4661298711</v>
      </c>
      <c r="K232" s="38" t="s">
        <v>213</v>
      </c>
      <c r="L232" s="38" t="str">
        <f t="shared" si="18"/>
        <v/>
      </c>
      <c r="M232" s="41">
        <f>VLOOKUP(INDICADORES!$B$21,'DATOS GENERALES'!$K:$M,3,0)*F232</f>
        <v>127485.72795971281</v>
      </c>
      <c r="N232" s="38" t="str">
        <f t="shared" si="19"/>
        <v/>
      </c>
      <c r="O232" s="36"/>
      <c r="P232" s="36"/>
      <c r="Q232" s="36"/>
    </row>
    <row r="233" spans="1:17" x14ac:dyDescent="0.25">
      <c r="A233" s="36">
        <v>1881</v>
      </c>
      <c r="B233" s="37">
        <v>43922</v>
      </c>
      <c r="C233" s="37">
        <v>43997.281836708862</v>
      </c>
      <c r="D233" s="36" t="s">
        <v>212</v>
      </c>
      <c r="E233" s="36"/>
      <c r="F233" s="38">
        <v>18731301.130000003</v>
      </c>
      <c r="G233" s="40">
        <f>VLOOKUP(A233,'DATOS GENERALES'!A:B,2,0)</f>
        <v>1.96</v>
      </c>
      <c r="H233" s="36">
        <f t="shared" si="15"/>
        <v>1.9509839999999998</v>
      </c>
      <c r="I233" s="38">
        <f t="shared" si="16"/>
        <v>9600950.6638701316</v>
      </c>
      <c r="J233" s="38">
        <f t="shared" si="17"/>
        <v>9130350.4661298711</v>
      </c>
      <c r="K233" s="38" t="s">
        <v>213</v>
      </c>
      <c r="L233" s="38" t="str">
        <f t="shared" si="18"/>
        <v/>
      </c>
      <c r="M233" s="41">
        <f>VLOOKUP(INDICADORES!$B$21,'DATOS GENERALES'!$K:$M,3,0)*F233</f>
        <v>127485.72795971281</v>
      </c>
      <c r="N233" s="38" t="str">
        <f t="shared" si="19"/>
        <v/>
      </c>
      <c r="O233" s="36"/>
      <c r="P233" s="36"/>
      <c r="Q233" s="36"/>
    </row>
    <row r="234" spans="1:17" x14ac:dyDescent="0.25">
      <c r="A234" s="36">
        <v>1881</v>
      </c>
      <c r="B234" s="37">
        <v>43952</v>
      </c>
      <c r="C234" s="37">
        <v>44015.895549689572</v>
      </c>
      <c r="D234" s="36" t="s">
        <v>212</v>
      </c>
      <c r="E234" s="36"/>
      <c r="F234" s="38">
        <v>18731301.130000003</v>
      </c>
      <c r="G234" s="40">
        <f>VLOOKUP(A234,'DATOS GENERALES'!A:B,2,0)</f>
        <v>1.96</v>
      </c>
      <c r="H234" s="36">
        <f t="shared" si="15"/>
        <v>1.9509839999999998</v>
      </c>
      <c r="I234" s="38">
        <f t="shared" si="16"/>
        <v>9600950.6638701316</v>
      </c>
      <c r="J234" s="38">
        <f t="shared" si="17"/>
        <v>9130350.4661298711</v>
      </c>
      <c r="K234" s="38" t="s">
        <v>213</v>
      </c>
      <c r="L234" s="38" t="str">
        <f t="shared" si="18"/>
        <v/>
      </c>
      <c r="M234" s="41">
        <f>VLOOKUP(INDICADORES!$B$21,'DATOS GENERALES'!$K:$M,3,0)*F234</f>
        <v>127485.72795971281</v>
      </c>
      <c r="N234" s="38" t="str">
        <f t="shared" si="19"/>
        <v/>
      </c>
      <c r="O234" s="36"/>
      <c r="P234" s="36"/>
      <c r="Q234" s="36"/>
    </row>
    <row r="235" spans="1:17" x14ac:dyDescent="0.25">
      <c r="A235" s="36">
        <v>1881</v>
      </c>
      <c r="B235" s="37">
        <v>43983</v>
      </c>
      <c r="C235" s="37">
        <v>44030.282447020443</v>
      </c>
      <c r="D235" s="36" t="s">
        <v>212</v>
      </c>
      <c r="E235" s="36"/>
      <c r="F235" s="38">
        <v>18731301.130000003</v>
      </c>
      <c r="G235" s="40">
        <f>VLOOKUP(A235,'DATOS GENERALES'!A:B,2,0)</f>
        <v>1.96</v>
      </c>
      <c r="H235" s="36">
        <f t="shared" si="15"/>
        <v>1.9509839999999998</v>
      </c>
      <c r="I235" s="38">
        <f t="shared" si="16"/>
        <v>9600950.6638701316</v>
      </c>
      <c r="J235" s="38">
        <f t="shared" si="17"/>
        <v>9130350.4661298711</v>
      </c>
      <c r="K235" s="38" t="s">
        <v>213</v>
      </c>
      <c r="L235" s="38" t="str">
        <f t="shared" si="18"/>
        <v/>
      </c>
      <c r="M235" s="41">
        <f>VLOOKUP(INDICADORES!$B$21,'DATOS GENERALES'!$K:$M,3,0)*F235</f>
        <v>127485.72795971281</v>
      </c>
      <c r="N235" s="38" t="str">
        <f t="shared" si="19"/>
        <v/>
      </c>
      <c r="O235" s="36"/>
      <c r="P235" s="36"/>
      <c r="Q235" s="36"/>
    </row>
    <row r="236" spans="1:17" x14ac:dyDescent="0.25">
      <c r="A236" s="36">
        <v>1881</v>
      </c>
      <c r="B236" s="37">
        <v>44013</v>
      </c>
      <c r="C236" s="37">
        <v>44085.370091118508</v>
      </c>
      <c r="D236" s="36" t="s">
        <v>212</v>
      </c>
      <c r="E236" s="36"/>
      <c r="F236" s="38">
        <v>18731301.130000003</v>
      </c>
      <c r="G236" s="40">
        <f>VLOOKUP(A236,'DATOS GENERALES'!A:B,2,0)</f>
        <v>1.96</v>
      </c>
      <c r="H236" s="36">
        <f t="shared" si="15"/>
        <v>1.9509839999999998</v>
      </c>
      <c r="I236" s="38">
        <f t="shared" si="16"/>
        <v>9600950.6638701316</v>
      </c>
      <c r="J236" s="38">
        <f t="shared" si="17"/>
        <v>9130350.4661298711</v>
      </c>
      <c r="K236" s="38" t="s">
        <v>213</v>
      </c>
      <c r="L236" s="38" t="str">
        <f t="shared" si="18"/>
        <v/>
      </c>
      <c r="M236" s="41">
        <f>VLOOKUP(INDICADORES!$B$21,'DATOS GENERALES'!$K:$M,3,0)*F236</f>
        <v>127485.72795971281</v>
      </c>
      <c r="N236" s="38" t="str">
        <f t="shared" si="19"/>
        <v/>
      </c>
      <c r="O236" s="36"/>
      <c r="P236" s="36"/>
      <c r="Q236" s="36"/>
    </row>
    <row r="237" spans="1:17" x14ac:dyDescent="0.25">
      <c r="A237" s="36">
        <v>1880</v>
      </c>
      <c r="B237" s="37">
        <v>43466</v>
      </c>
      <c r="C237" s="37">
        <v>43529.261134353277</v>
      </c>
      <c r="D237" s="36" t="s">
        <v>212</v>
      </c>
      <c r="E237" s="36"/>
      <c r="F237" s="38">
        <v>28582181.75662316</v>
      </c>
      <c r="G237" s="40">
        <f>VLOOKUP(A237,'DATOS GENERALES'!A:B,2,0)</f>
        <v>2.16</v>
      </c>
      <c r="H237" s="36">
        <f t="shared" si="15"/>
        <v>2.150064</v>
      </c>
      <c r="I237" s="38">
        <f t="shared" si="16"/>
        <v>13293642.308611818</v>
      </c>
      <c r="J237" s="38">
        <f t="shared" si="17"/>
        <v>15288539.448011342</v>
      </c>
      <c r="K237" s="38">
        <v>2916868.99130625</v>
      </c>
      <c r="L237" s="38">
        <f t="shared" si="18"/>
        <v>12371670.456705093</v>
      </c>
      <c r="M237" s="41">
        <f>VLOOKUP(INDICADORES!$B$21,'DATOS GENERALES'!$K:$M,3,0)*F237</f>
        <v>194531.0804962712</v>
      </c>
      <c r="N237" s="38">
        <f t="shared" si="19"/>
        <v>12177139.376208821</v>
      </c>
      <c r="O237" s="36"/>
      <c r="P237" s="36"/>
      <c r="Q237" s="36"/>
    </row>
    <row r="238" spans="1:17" x14ac:dyDescent="0.25">
      <c r="A238" s="36">
        <v>1880</v>
      </c>
      <c r="B238" s="37">
        <v>43497</v>
      </c>
      <c r="C238" s="37">
        <v>43565.335710727581</v>
      </c>
      <c r="D238" s="36" t="s">
        <v>212</v>
      </c>
      <c r="E238" s="36"/>
      <c r="F238" s="38">
        <v>28582181.75662316</v>
      </c>
      <c r="G238" s="40">
        <f>VLOOKUP(A238,'DATOS GENERALES'!A:B,2,0)</f>
        <v>2.16</v>
      </c>
      <c r="H238" s="36">
        <f t="shared" si="15"/>
        <v>2.150064</v>
      </c>
      <c r="I238" s="38">
        <f t="shared" si="16"/>
        <v>13293642.308611818</v>
      </c>
      <c r="J238" s="38">
        <f t="shared" si="17"/>
        <v>15288539.448011342</v>
      </c>
      <c r="K238" s="38">
        <v>2873525.1060215631</v>
      </c>
      <c r="L238" s="38">
        <f t="shared" si="18"/>
        <v>12415014.34198978</v>
      </c>
      <c r="M238" s="41">
        <f>VLOOKUP(INDICADORES!$B$21,'DATOS GENERALES'!$K:$M,3,0)*F238</f>
        <v>194531.0804962712</v>
      </c>
      <c r="N238" s="38">
        <f t="shared" si="19"/>
        <v>12220483.261493508</v>
      </c>
      <c r="O238" s="36"/>
      <c r="P238" s="36"/>
      <c r="Q238" s="36"/>
    </row>
    <row r="239" spans="1:17" x14ac:dyDescent="0.25">
      <c r="A239" s="36">
        <v>1880</v>
      </c>
      <c r="B239" s="37">
        <v>43525</v>
      </c>
      <c r="C239" s="37">
        <v>43557.181555091491</v>
      </c>
      <c r="D239" s="36" t="s">
        <v>212</v>
      </c>
      <c r="E239" s="36"/>
      <c r="F239" s="38">
        <v>25155129.655423157</v>
      </c>
      <c r="G239" s="40">
        <f>VLOOKUP(A239,'DATOS GENERALES'!A:B,2,0)</f>
        <v>2.16</v>
      </c>
      <c r="H239" s="36">
        <f t="shared" si="15"/>
        <v>2.150064</v>
      </c>
      <c r="I239" s="38">
        <f t="shared" si="16"/>
        <v>11699712.034350213</v>
      </c>
      <c r="J239" s="38">
        <f t="shared" si="17"/>
        <v>13455417.621072944</v>
      </c>
      <c r="K239" s="38">
        <v>1829688.9689906822</v>
      </c>
      <c r="L239" s="38">
        <f t="shared" si="18"/>
        <v>11625728.652082263</v>
      </c>
      <c r="M239" s="41">
        <f>VLOOKUP(INDICADORES!$B$21,'DATOS GENERALES'!$K:$M,3,0)*F239</f>
        <v>171206.47379409143</v>
      </c>
      <c r="N239" s="38">
        <f t="shared" si="19"/>
        <v>11454522.178288171</v>
      </c>
      <c r="O239" s="36"/>
      <c r="P239" s="36"/>
      <c r="Q239" s="36"/>
    </row>
    <row r="240" spans="1:17" x14ac:dyDescent="0.25">
      <c r="A240" s="36">
        <v>1880</v>
      </c>
      <c r="B240" s="37">
        <v>43556</v>
      </c>
      <c r="C240" s="37">
        <v>43615.086211889407</v>
      </c>
      <c r="D240" s="36" t="s">
        <v>212</v>
      </c>
      <c r="E240" s="36"/>
      <c r="F240" s="38">
        <v>25155129.655423157</v>
      </c>
      <c r="G240" s="40">
        <f>VLOOKUP(A240,'DATOS GENERALES'!A:B,2,0)</f>
        <v>2.16</v>
      </c>
      <c r="H240" s="36">
        <f t="shared" si="15"/>
        <v>2.150064</v>
      </c>
      <c r="I240" s="38">
        <f t="shared" si="16"/>
        <v>11699712.034350213</v>
      </c>
      <c r="J240" s="38">
        <f t="shared" si="17"/>
        <v>13455417.621072944</v>
      </c>
      <c r="K240" s="38">
        <v>1881058.160440132</v>
      </c>
      <c r="L240" s="38">
        <f t="shared" si="18"/>
        <v>11574359.460632812</v>
      </c>
      <c r="M240" s="41">
        <f>VLOOKUP(INDICADORES!$B$21,'DATOS GENERALES'!$K:$M,3,0)*F240</f>
        <v>171206.47379409143</v>
      </c>
      <c r="N240" s="38">
        <f t="shared" si="19"/>
        <v>11403152.986838721</v>
      </c>
      <c r="O240" s="36"/>
      <c r="P240" s="36"/>
      <c r="Q240" s="36"/>
    </row>
    <row r="241" spans="1:17" x14ac:dyDescent="0.25">
      <c r="A241" s="36">
        <v>1880</v>
      </c>
      <c r="B241" s="37">
        <v>43586</v>
      </c>
      <c r="C241" s="37">
        <v>43628.100449390062</v>
      </c>
      <c r="D241" s="36" t="s">
        <v>212</v>
      </c>
      <c r="E241" s="36"/>
      <c r="F241" s="38">
        <v>19133530.631668162</v>
      </c>
      <c r="G241" s="40">
        <f>VLOOKUP(A241,'DATOS GENERALES'!A:B,2,0)</f>
        <v>2.16</v>
      </c>
      <c r="H241" s="36">
        <f t="shared" si="15"/>
        <v>2.150064</v>
      </c>
      <c r="I241" s="38">
        <f t="shared" si="16"/>
        <v>8899051.6708656866</v>
      </c>
      <c r="J241" s="38">
        <f t="shared" si="17"/>
        <v>10234478.960802475</v>
      </c>
      <c r="K241" s="38">
        <v>1180287.7830768789</v>
      </c>
      <c r="L241" s="38">
        <f t="shared" si="18"/>
        <v>9054191.1777255964</v>
      </c>
      <c r="M241" s="41">
        <f>VLOOKUP(INDICADORES!$B$21,'DATOS GENERALES'!$K:$M,3,0)*F241</f>
        <v>130223.31252317435</v>
      </c>
      <c r="N241" s="38">
        <f t="shared" si="19"/>
        <v>8923967.8652024213</v>
      </c>
      <c r="O241" s="36"/>
      <c r="P241" s="36"/>
      <c r="Q241" s="36"/>
    </row>
    <row r="242" spans="1:17" x14ac:dyDescent="0.25">
      <c r="A242" s="36">
        <v>1880</v>
      </c>
      <c r="B242" s="37">
        <v>43617</v>
      </c>
      <c r="C242" s="37">
        <v>43710.951178209718</v>
      </c>
      <c r="D242" s="36" t="s">
        <v>212</v>
      </c>
      <c r="E242" s="36"/>
      <c r="F242" s="38">
        <v>15168446</v>
      </c>
      <c r="G242" s="40">
        <f>VLOOKUP(A242,'DATOS GENERALES'!A:B,2,0)</f>
        <v>2.16</v>
      </c>
      <c r="H242" s="36">
        <f t="shared" si="15"/>
        <v>2.150064</v>
      </c>
      <c r="I242" s="38">
        <f t="shared" si="16"/>
        <v>7054881.1570260236</v>
      </c>
      <c r="J242" s="38">
        <f t="shared" si="17"/>
        <v>8113564.8429739764</v>
      </c>
      <c r="K242" s="38">
        <v>1050972.8949746215</v>
      </c>
      <c r="L242" s="38">
        <f t="shared" si="18"/>
        <v>7062591.9479993545</v>
      </c>
      <c r="M242" s="41">
        <f>VLOOKUP(INDICADORES!$B$21,'DATOS GENERALES'!$K:$M,3,0)*F242</f>
        <v>103236.84227309166</v>
      </c>
      <c r="N242" s="38">
        <f t="shared" si="19"/>
        <v>6959355.1057262626</v>
      </c>
      <c r="O242" s="36"/>
      <c r="P242" s="36"/>
      <c r="Q242" s="36"/>
    </row>
    <row r="243" spans="1:17" x14ac:dyDescent="0.25">
      <c r="A243" s="36">
        <v>1877</v>
      </c>
      <c r="B243" s="37">
        <v>43466</v>
      </c>
      <c r="C243" s="37">
        <v>43538.49191616098</v>
      </c>
      <c r="D243" s="36" t="s">
        <v>212</v>
      </c>
      <c r="E243" s="36"/>
      <c r="F243" s="38">
        <v>103091506.81246251</v>
      </c>
      <c r="G243" s="40">
        <f>VLOOKUP(A243,'DATOS GENERALES'!A:B,2,0)</f>
        <v>1.82</v>
      </c>
      <c r="H243" s="36">
        <f t="shared" si="15"/>
        <v>1.811628</v>
      </c>
      <c r="I243" s="38">
        <f t="shared" si="16"/>
        <v>56905450.132401638</v>
      </c>
      <c r="J243" s="38">
        <f t="shared" si="17"/>
        <v>46186056.680060871</v>
      </c>
      <c r="K243" s="38">
        <v>12486099.676384287</v>
      </c>
      <c r="L243" s="38">
        <f t="shared" si="18"/>
        <v>33699957.003676586</v>
      </c>
      <c r="M243" s="41">
        <f>VLOOKUP(INDICADORES!$B$21,'DATOS GENERALES'!$K:$M,3,0)*F243</f>
        <v>701643.50576806266</v>
      </c>
      <c r="N243" s="38">
        <f t="shared" si="19"/>
        <v>32998313.497908521</v>
      </c>
      <c r="O243" s="36"/>
      <c r="P243" s="36"/>
      <c r="Q243" s="36"/>
    </row>
    <row r="244" spans="1:17" x14ac:dyDescent="0.25">
      <c r="A244" s="36">
        <v>1877</v>
      </c>
      <c r="B244" s="37">
        <v>43497</v>
      </c>
      <c r="C244" s="37">
        <v>43549.670137180976</v>
      </c>
      <c r="D244" s="36" t="s">
        <v>212</v>
      </c>
      <c r="E244" s="36"/>
      <c r="F244" s="38">
        <v>103091506.81246251</v>
      </c>
      <c r="G244" s="40">
        <f>VLOOKUP(A244,'DATOS GENERALES'!A:B,2,0)</f>
        <v>1.82</v>
      </c>
      <c r="H244" s="36">
        <f t="shared" si="15"/>
        <v>1.811628</v>
      </c>
      <c r="I244" s="38">
        <f t="shared" si="16"/>
        <v>56905450.132401638</v>
      </c>
      <c r="J244" s="38">
        <f t="shared" si="17"/>
        <v>46186056.680060871</v>
      </c>
      <c r="K244" s="38">
        <v>12300559.608030375</v>
      </c>
      <c r="L244" s="38">
        <f t="shared" si="18"/>
        <v>33885497.0720305</v>
      </c>
      <c r="M244" s="41">
        <f>VLOOKUP(INDICADORES!$B$21,'DATOS GENERALES'!$K:$M,3,0)*F244</f>
        <v>701643.50576806266</v>
      </c>
      <c r="N244" s="38">
        <f t="shared" si="19"/>
        <v>33183853.566262435</v>
      </c>
      <c r="O244" s="36"/>
      <c r="P244" s="36"/>
      <c r="Q244" s="36"/>
    </row>
    <row r="245" spans="1:17" x14ac:dyDescent="0.25">
      <c r="A245" s="36">
        <v>1877</v>
      </c>
      <c r="B245" s="37">
        <v>43525</v>
      </c>
      <c r="C245" s="37">
        <v>43591.256015968698</v>
      </c>
      <c r="D245" s="36" t="s">
        <v>212</v>
      </c>
      <c r="E245" s="36"/>
      <c r="F245" s="38">
        <v>93763648.062462509</v>
      </c>
      <c r="G245" s="40">
        <f>VLOOKUP(A245,'DATOS GENERALES'!A:B,2,0)</f>
        <v>1.82</v>
      </c>
      <c r="H245" s="36">
        <f t="shared" si="15"/>
        <v>1.811628</v>
      </c>
      <c r="I245" s="38">
        <f t="shared" si="16"/>
        <v>51756568.159943715</v>
      </c>
      <c r="J245" s="38">
        <f t="shared" si="17"/>
        <v>42007079.902518794</v>
      </c>
      <c r="K245" s="38">
        <v>8094081.4232888781</v>
      </c>
      <c r="L245" s="38">
        <f t="shared" si="18"/>
        <v>33912998.479229912</v>
      </c>
      <c r="M245" s="41">
        <f>VLOOKUP(INDICADORES!$B$21,'DATOS GENERALES'!$K:$M,3,0)*F245</f>
        <v>638157.85387468955</v>
      </c>
      <c r="N245" s="38">
        <f t="shared" si="19"/>
        <v>33274840.625355221</v>
      </c>
      <c r="O245" s="36"/>
      <c r="P245" s="36"/>
      <c r="Q245" s="36"/>
    </row>
    <row r="246" spans="1:17" x14ac:dyDescent="0.25">
      <c r="A246" s="36">
        <v>1877</v>
      </c>
      <c r="B246" s="37">
        <v>43556</v>
      </c>
      <c r="C246" s="37">
        <v>43606.405288988288</v>
      </c>
      <c r="D246" s="36" t="s">
        <v>212</v>
      </c>
      <c r="E246" s="36"/>
      <c r="F246" s="38">
        <v>93763648.062462509</v>
      </c>
      <c r="G246" s="40">
        <f>VLOOKUP(A246,'DATOS GENERALES'!A:B,2,0)</f>
        <v>1.82</v>
      </c>
      <c r="H246" s="36">
        <f t="shared" si="15"/>
        <v>1.811628</v>
      </c>
      <c r="I246" s="38">
        <f t="shared" si="16"/>
        <v>51756568.159943715</v>
      </c>
      <c r="J246" s="38">
        <f t="shared" si="17"/>
        <v>42007079.902518794</v>
      </c>
      <c r="K246" s="38">
        <v>8321325.7392830448</v>
      </c>
      <c r="L246" s="38">
        <f t="shared" si="18"/>
        <v>33685754.163235746</v>
      </c>
      <c r="M246" s="41">
        <f>VLOOKUP(INDICADORES!$B$21,'DATOS GENERALES'!$K:$M,3,0)*F246</f>
        <v>638157.85387468955</v>
      </c>
      <c r="N246" s="38">
        <f t="shared" si="19"/>
        <v>33047596.309361055</v>
      </c>
      <c r="O246" s="36"/>
      <c r="P246" s="36"/>
      <c r="Q246" s="36"/>
    </row>
    <row r="247" spans="1:17" x14ac:dyDescent="0.25">
      <c r="A247" s="36">
        <v>1877</v>
      </c>
      <c r="B247" s="37">
        <v>43586</v>
      </c>
      <c r="C247" s="37">
        <v>43638.07680085957</v>
      </c>
      <c r="D247" s="36" t="s">
        <v>212</v>
      </c>
      <c r="E247" s="36"/>
      <c r="F247" s="38">
        <v>93763648.062462509</v>
      </c>
      <c r="G247" s="40">
        <f>VLOOKUP(A247,'DATOS GENERALES'!A:B,2,0)</f>
        <v>1.82</v>
      </c>
      <c r="H247" s="36">
        <f t="shared" si="15"/>
        <v>1.811628</v>
      </c>
      <c r="I247" s="38">
        <f t="shared" si="16"/>
        <v>51756568.159943715</v>
      </c>
      <c r="J247" s="38">
        <f t="shared" si="17"/>
        <v>42007079.902518794</v>
      </c>
      <c r="K247" s="38">
        <v>6864511.7876054347</v>
      </c>
      <c r="L247" s="38">
        <f t="shared" si="18"/>
        <v>35142568.114913359</v>
      </c>
      <c r="M247" s="41">
        <f>VLOOKUP(INDICADORES!$B$21,'DATOS GENERALES'!$K:$M,3,0)*F247</f>
        <v>638157.85387468955</v>
      </c>
      <c r="N247" s="38">
        <f t="shared" si="19"/>
        <v>34504410.261038668</v>
      </c>
      <c r="O247" s="36"/>
      <c r="P247" s="36"/>
      <c r="Q247" s="36"/>
    </row>
    <row r="248" spans="1:17" x14ac:dyDescent="0.25">
      <c r="A248" s="36">
        <v>1877</v>
      </c>
      <c r="B248" s="37">
        <v>43617</v>
      </c>
      <c r="C248" s="37">
        <v>43684.671149985639</v>
      </c>
      <c r="D248" s="36" t="s">
        <v>212</v>
      </c>
      <c r="E248" s="36"/>
      <c r="F248" s="38">
        <v>93763648.062462509</v>
      </c>
      <c r="G248" s="40">
        <f>VLOOKUP(A248,'DATOS GENERALES'!A:B,2,0)</f>
        <v>1.82</v>
      </c>
      <c r="H248" s="36">
        <f t="shared" si="15"/>
        <v>1.811628</v>
      </c>
      <c r="I248" s="38">
        <f t="shared" si="16"/>
        <v>51756568.159943715</v>
      </c>
      <c r="J248" s="38">
        <f t="shared" si="17"/>
        <v>42007079.902518794</v>
      </c>
      <c r="K248" s="38">
        <v>7710229.1395561071</v>
      </c>
      <c r="L248" s="38">
        <f t="shared" si="18"/>
        <v>34296850.762962684</v>
      </c>
      <c r="M248" s="41">
        <f>VLOOKUP(INDICADORES!$B$21,'DATOS GENERALES'!$K:$M,3,0)*F248</f>
        <v>638157.85387468955</v>
      </c>
      <c r="N248" s="38">
        <f t="shared" si="19"/>
        <v>33658692.909087993</v>
      </c>
      <c r="O248" s="36"/>
      <c r="P248" s="36"/>
      <c r="Q248" s="36"/>
    </row>
    <row r="249" spans="1:17" x14ac:dyDescent="0.25">
      <c r="A249" s="36">
        <v>1877</v>
      </c>
      <c r="B249" s="37">
        <v>43647</v>
      </c>
      <c r="C249" s="37">
        <v>43709.618907297699</v>
      </c>
      <c r="D249" s="36" t="s">
        <v>212</v>
      </c>
      <c r="E249" s="36"/>
      <c r="F249" s="38">
        <v>93763648.062462509</v>
      </c>
      <c r="G249" s="40">
        <f>VLOOKUP(A249,'DATOS GENERALES'!A:B,2,0)</f>
        <v>1.82</v>
      </c>
      <c r="H249" s="36">
        <f t="shared" si="15"/>
        <v>1.811628</v>
      </c>
      <c r="I249" s="38">
        <f t="shared" si="16"/>
        <v>51756568.159943715</v>
      </c>
      <c r="J249" s="38">
        <f t="shared" si="17"/>
        <v>42007079.902518794</v>
      </c>
      <c r="K249" s="38">
        <v>13388949.341263399</v>
      </c>
      <c r="L249" s="38">
        <f t="shared" si="18"/>
        <v>28618130.561255395</v>
      </c>
      <c r="M249" s="41">
        <f>VLOOKUP(INDICADORES!$B$21,'DATOS GENERALES'!$K:$M,3,0)*F249</f>
        <v>638157.85387468955</v>
      </c>
      <c r="N249" s="38">
        <f t="shared" si="19"/>
        <v>27979972.707380705</v>
      </c>
      <c r="O249" s="36"/>
      <c r="P249" s="36"/>
      <c r="Q249" s="36"/>
    </row>
    <row r="250" spans="1:17" x14ac:dyDescent="0.25">
      <c r="A250" s="36">
        <v>1877</v>
      </c>
      <c r="B250" s="37">
        <v>43678</v>
      </c>
      <c r="C250" s="37">
        <v>43761.420242439533</v>
      </c>
      <c r="D250" s="36" t="s">
        <v>212</v>
      </c>
      <c r="E250" s="36"/>
      <c r="F250" s="38">
        <v>88864260.739212513</v>
      </c>
      <c r="G250" s="40">
        <f>VLOOKUP(A250,'DATOS GENERALES'!A:B,2,0)</f>
        <v>1.82</v>
      </c>
      <c r="H250" s="36">
        <f t="shared" si="15"/>
        <v>1.811628</v>
      </c>
      <c r="I250" s="38">
        <f t="shared" si="16"/>
        <v>49052156.811007842</v>
      </c>
      <c r="J250" s="38">
        <f t="shared" si="17"/>
        <v>39812103.928204671</v>
      </c>
      <c r="K250" s="38">
        <v>12742151.251776779</v>
      </c>
      <c r="L250" s="38">
        <f t="shared" si="18"/>
        <v>27069952.676427893</v>
      </c>
      <c r="M250" s="41">
        <f>VLOOKUP(INDICADORES!$B$21,'DATOS GENERALES'!$K:$M,3,0)*F250</f>
        <v>604812.49494173459</v>
      </c>
      <c r="N250" s="38">
        <f t="shared" si="19"/>
        <v>26465140.18148616</v>
      </c>
      <c r="O250" s="36"/>
      <c r="P250" s="36"/>
      <c r="Q250" s="36"/>
    </row>
    <row r="251" spans="1:17" x14ac:dyDescent="0.25">
      <c r="A251" s="36">
        <v>1877</v>
      </c>
      <c r="B251" s="37">
        <v>43709</v>
      </c>
      <c r="C251" s="37">
        <v>43782.661300396976</v>
      </c>
      <c r="D251" s="36" t="s">
        <v>212</v>
      </c>
      <c r="E251" s="36"/>
      <c r="F251" s="38">
        <v>70971349.444212496</v>
      </c>
      <c r="G251" s="40">
        <f>VLOOKUP(A251,'DATOS GENERALES'!A:B,2,0)</f>
        <v>1.82</v>
      </c>
      <c r="H251" s="36">
        <f t="shared" si="15"/>
        <v>1.811628</v>
      </c>
      <c r="I251" s="38">
        <f t="shared" si="16"/>
        <v>39175454.035934806</v>
      </c>
      <c r="J251" s="38">
        <f t="shared" si="17"/>
        <v>31795895.40827769</v>
      </c>
      <c r="K251" s="38">
        <v>11232432.635994496</v>
      </c>
      <c r="L251" s="38">
        <f t="shared" si="18"/>
        <v>20563462.772283196</v>
      </c>
      <c r="M251" s="41">
        <f>VLOOKUP(INDICADORES!$B$21,'DATOS GENERALES'!$K:$M,3,0)*F251</f>
        <v>483032.87024133105</v>
      </c>
      <c r="N251" s="38">
        <f t="shared" si="19"/>
        <v>20080429.902041864</v>
      </c>
      <c r="O251" s="36"/>
      <c r="P251" s="36"/>
      <c r="Q251" s="36"/>
    </row>
    <row r="252" spans="1:17" x14ac:dyDescent="0.25">
      <c r="A252" s="36">
        <v>1877</v>
      </c>
      <c r="B252" s="37">
        <v>43739</v>
      </c>
      <c r="C252" s="37">
        <v>43801.828045097813</v>
      </c>
      <c r="D252" s="36" t="s">
        <v>212</v>
      </c>
      <c r="E252" s="36"/>
      <c r="F252" s="38">
        <v>70971349.444212496</v>
      </c>
      <c r="G252" s="40">
        <f>VLOOKUP(A252,'DATOS GENERALES'!A:B,2,0)</f>
        <v>1.82</v>
      </c>
      <c r="H252" s="36">
        <f t="shared" si="15"/>
        <v>1.811628</v>
      </c>
      <c r="I252" s="38">
        <f t="shared" si="16"/>
        <v>39175454.035934806</v>
      </c>
      <c r="J252" s="38">
        <f t="shared" si="17"/>
        <v>31795895.40827769</v>
      </c>
      <c r="K252" s="38">
        <v>12189921.867906351</v>
      </c>
      <c r="L252" s="38">
        <f t="shared" si="18"/>
        <v>19605973.54037134</v>
      </c>
      <c r="M252" s="41">
        <f>VLOOKUP(INDICADORES!$B$21,'DATOS GENERALES'!$K:$M,3,0)*F252</f>
        <v>483032.87024133105</v>
      </c>
      <c r="N252" s="38">
        <f t="shared" si="19"/>
        <v>19122940.670130007</v>
      </c>
      <c r="O252" s="36"/>
      <c r="P252" s="36"/>
      <c r="Q252" s="36"/>
    </row>
    <row r="253" spans="1:17" x14ac:dyDescent="0.25">
      <c r="A253" s="36">
        <v>1877</v>
      </c>
      <c r="B253" s="37">
        <v>43770</v>
      </c>
      <c r="C253" s="37">
        <v>43842.658288023216</v>
      </c>
      <c r="D253" s="36" t="s">
        <v>212</v>
      </c>
      <c r="E253" s="36"/>
      <c r="F253" s="38">
        <v>60371192.323249996</v>
      </c>
      <c r="G253" s="40">
        <f>VLOOKUP(A253,'DATOS GENERALES'!A:B,2,0)</f>
        <v>1.82</v>
      </c>
      <c r="H253" s="36">
        <f t="shared" si="15"/>
        <v>1.811628</v>
      </c>
      <c r="I253" s="38">
        <f t="shared" si="16"/>
        <v>33324276.464732271</v>
      </c>
      <c r="J253" s="38">
        <f t="shared" si="17"/>
        <v>27046915.858517725</v>
      </c>
      <c r="K253" s="38">
        <v>13607538.674955415</v>
      </c>
      <c r="L253" s="38">
        <f t="shared" si="18"/>
        <v>13439377.18356231</v>
      </c>
      <c r="M253" s="41">
        <f>VLOOKUP(INDICADORES!$B$21,'DATOS GENERALES'!$K:$M,3,0)*F253</f>
        <v>410887.92218489898</v>
      </c>
      <c r="N253" s="38">
        <f t="shared" si="19"/>
        <v>13028489.261377411</v>
      </c>
      <c r="O253" s="36"/>
      <c r="P253" s="36"/>
      <c r="Q253" s="36"/>
    </row>
    <row r="254" spans="1:17" x14ac:dyDescent="0.25">
      <c r="A254" s="36">
        <v>1877</v>
      </c>
      <c r="B254" s="37">
        <v>43800</v>
      </c>
      <c r="C254" s="37">
        <v>43860.795917143041</v>
      </c>
      <c r="D254" s="36" t="s">
        <v>212</v>
      </c>
      <c r="E254" s="36"/>
      <c r="F254" s="38">
        <v>60371192.323249996</v>
      </c>
      <c r="G254" s="40">
        <f>VLOOKUP(A254,'DATOS GENERALES'!A:B,2,0)</f>
        <v>1.82</v>
      </c>
      <c r="H254" s="36">
        <f t="shared" si="15"/>
        <v>1.811628</v>
      </c>
      <c r="I254" s="38">
        <f t="shared" si="16"/>
        <v>33324276.464732271</v>
      </c>
      <c r="J254" s="38">
        <f t="shared" si="17"/>
        <v>27046915.858517725</v>
      </c>
      <c r="K254" s="38">
        <v>11737176.126179038</v>
      </c>
      <c r="L254" s="38">
        <f t="shared" si="18"/>
        <v>15309739.732338687</v>
      </c>
      <c r="M254" s="41">
        <f>VLOOKUP(INDICADORES!$B$21,'DATOS GENERALES'!$K:$M,3,0)*F254</f>
        <v>410887.92218489898</v>
      </c>
      <c r="N254" s="38">
        <f t="shared" si="19"/>
        <v>14898851.810153788</v>
      </c>
      <c r="O254" s="36"/>
      <c r="P254" s="36"/>
      <c r="Q254" s="36"/>
    </row>
    <row r="255" spans="1:17" x14ac:dyDescent="0.25">
      <c r="A255" s="36">
        <v>1877</v>
      </c>
      <c r="B255" s="37">
        <v>43831</v>
      </c>
      <c r="C255" s="37">
        <v>43863.238499613384</v>
      </c>
      <c r="D255" s="36" t="s">
        <v>212</v>
      </c>
      <c r="E255" s="36"/>
      <c r="F255" s="38">
        <v>48562280</v>
      </c>
      <c r="G255" s="40">
        <f>VLOOKUP(A255,'DATOS GENERALES'!A:B,2,0)</f>
        <v>1.82</v>
      </c>
      <c r="H255" s="36">
        <f t="shared" si="15"/>
        <v>1.811628</v>
      </c>
      <c r="I255" s="38">
        <f t="shared" si="16"/>
        <v>26805878.469531272</v>
      </c>
      <c r="J255" s="38">
        <f t="shared" si="17"/>
        <v>21756401.530468728</v>
      </c>
      <c r="K255" s="38" t="s">
        <v>213</v>
      </c>
      <c r="L255" s="38" t="str">
        <f t="shared" si="18"/>
        <v/>
      </c>
      <c r="M255" s="41">
        <f>VLOOKUP(INDICADORES!$B$21,'DATOS GENERALES'!$K:$M,3,0)*F255</f>
        <v>330516.15444203804</v>
      </c>
      <c r="N255" s="38" t="str">
        <f t="shared" si="19"/>
        <v/>
      </c>
      <c r="O255" s="36"/>
      <c r="P255" s="36"/>
      <c r="Q255" s="36"/>
    </row>
    <row r="256" spans="1:17" x14ac:dyDescent="0.25">
      <c r="A256" s="36">
        <v>1877</v>
      </c>
      <c r="B256" s="37">
        <v>43862</v>
      </c>
      <c r="C256" s="37">
        <v>43905.344490847623</v>
      </c>
      <c r="D256" s="36" t="s">
        <v>212</v>
      </c>
      <c r="E256" s="36"/>
      <c r="F256" s="38">
        <v>48562280</v>
      </c>
      <c r="G256" s="40">
        <f>VLOOKUP(A256,'DATOS GENERALES'!A:B,2,0)</f>
        <v>1.82</v>
      </c>
      <c r="H256" s="36">
        <f t="shared" si="15"/>
        <v>1.811628</v>
      </c>
      <c r="I256" s="38">
        <f t="shared" si="16"/>
        <v>26805878.469531272</v>
      </c>
      <c r="J256" s="38">
        <f t="shared" si="17"/>
        <v>21756401.530468728</v>
      </c>
      <c r="K256" s="38" t="s">
        <v>213</v>
      </c>
      <c r="L256" s="38" t="str">
        <f t="shared" si="18"/>
        <v/>
      </c>
      <c r="M256" s="41">
        <f>VLOOKUP(INDICADORES!$B$21,'DATOS GENERALES'!$K:$M,3,0)*F256</f>
        <v>330516.15444203804</v>
      </c>
      <c r="N256" s="38" t="str">
        <f t="shared" si="19"/>
        <v/>
      </c>
      <c r="O256" s="36"/>
      <c r="P256" s="36"/>
      <c r="Q256" s="36"/>
    </row>
    <row r="257" spans="1:17" x14ac:dyDescent="0.25">
      <c r="A257" s="36">
        <v>1877</v>
      </c>
      <c r="B257" s="37">
        <v>43891</v>
      </c>
      <c r="C257" s="37">
        <v>43958.892497611356</v>
      </c>
      <c r="D257" s="36" t="s">
        <v>212</v>
      </c>
      <c r="E257" s="36"/>
      <c r="F257" s="38">
        <v>48562280</v>
      </c>
      <c r="G257" s="40">
        <f>VLOOKUP(A257,'DATOS GENERALES'!A:B,2,0)</f>
        <v>1.82</v>
      </c>
      <c r="H257" s="36">
        <f t="shared" si="15"/>
        <v>1.811628</v>
      </c>
      <c r="I257" s="38">
        <f t="shared" si="16"/>
        <v>26805878.469531272</v>
      </c>
      <c r="J257" s="38">
        <f t="shared" si="17"/>
        <v>21756401.530468728</v>
      </c>
      <c r="K257" s="38" t="s">
        <v>213</v>
      </c>
      <c r="L257" s="38" t="str">
        <f t="shared" si="18"/>
        <v/>
      </c>
      <c r="M257" s="41">
        <f>VLOOKUP(INDICADORES!$B$21,'DATOS GENERALES'!$K:$M,3,0)*F257</f>
        <v>330516.15444203804</v>
      </c>
      <c r="N257" s="38" t="str">
        <f t="shared" si="19"/>
        <v/>
      </c>
      <c r="O257" s="36"/>
      <c r="P257" s="36"/>
      <c r="Q257" s="36"/>
    </row>
    <row r="258" spans="1:17" x14ac:dyDescent="0.25">
      <c r="A258" s="36">
        <v>1753</v>
      </c>
      <c r="B258" s="37">
        <v>43466</v>
      </c>
      <c r="C258" s="37">
        <v>43523.237879266075</v>
      </c>
      <c r="D258" s="36" t="s">
        <v>212</v>
      </c>
      <c r="E258" s="36"/>
      <c r="F258" s="38">
        <v>28159952.859999999</v>
      </c>
      <c r="G258" s="40">
        <f>VLOOKUP(A258,'DATOS GENERALES'!A:B,2,0)</f>
        <v>2.42</v>
      </c>
      <c r="H258" s="36">
        <f t="shared" si="15"/>
        <v>2.408868</v>
      </c>
      <c r="I258" s="38">
        <f t="shared" si="16"/>
        <v>11690118.703058863</v>
      </c>
      <c r="J258" s="38">
        <f t="shared" si="17"/>
        <v>16469834.156941136</v>
      </c>
      <c r="K258" s="38">
        <v>2565026.4959778627</v>
      </c>
      <c r="L258" s="38">
        <f t="shared" si="18"/>
        <v>13904807.660963275</v>
      </c>
      <c r="M258" s="41">
        <f>VLOOKUP(INDICADORES!$B$21,'DATOS GENERALES'!$K:$M,3,0)*F258</f>
        <v>191657.37952493725</v>
      </c>
      <c r="N258" s="38">
        <f t="shared" si="19"/>
        <v>13713150.281438338</v>
      </c>
      <c r="O258" s="36"/>
      <c r="P258" s="36"/>
      <c r="Q258" s="36"/>
    </row>
    <row r="259" spans="1:17" x14ac:dyDescent="0.25">
      <c r="A259" s="36">
        <v>1723</v>
      </c>
      <c r="B259" s="37">
        <v>43466</v>
      </c>
      <c r="C259" s="37">
        <v>43518.702654349465</v>
      </c>
      <c r="D259" s="36" t="s">
        <v>212</v>
      </c>
      <c r="E259" s="36"/>
      <c r="F259" s="38">
        <v>141764652.89297777</v>
      </c>
      <c r="G259" s="40">
        <f>VLOOKUP(A259,'DATOS GENERALES'!A:B,2,0)</f>
        <v>1.82</v>
      </c>
      <c r="H259" s="36">
        <f t="shared" ref="H259:H322" si="20">G259*0.9954</f>
        <v>1.811628</v>
      </c>
      <c r="I259" s="38">
        <f t="shared" ref="I259:I322" si="21">F259/H259</f>
        <v>78252628.515886143</v>
      </c>
      <c r="J259" s="38">
        <f t="shared" ref="J259:J322" si="22">F259-I259</f>
        <v>63512024.377091631</v>
      </c>
      <c r="K259" s="38">
        <v>17170062.222776227</v>
      </c>
      <c r="L259" s="38">
        <f t="shared" ref="L259:L322" si="23">IFERROR(J259-K259,"")</f>
        <v>46341962.154315405</v>
      </c>
      <c r="M259" s="41">
        <f>VLOOKUP(INDICADORES!$B$21,'DATOS GENERALES'!$K:$M,3,0)*F259</f>
        <v>964853.9547566002</v>
      </c>
      <c r="N259" s="38">
        <f t="shared" ref="N259:N322" si="24">IFERROR(L259-M259,"")</f>
        <v>45377108.199558802</v>
      </c>
      <c r="O259" s="36"/>
      <c r="P259" s="36"/>
      <c r="Q259" s="36"/>
    </row>
    <row r="260" spans="1:17" x14ac:dyDescent="0.25">
      <c r="A260" s="36">
        <v>1723</v>
      </c>
      <c r="B260" s="37">
        <v>43497</v>
      </c>
      <c r="C260" s="37">
        <v>43593.233363278494</v>
      </c>
      <c r="D260" s="36" t="s">
        <v>212</v>
      </c>
      <c r="E260" s="36"/>
      <c r="F260" s="38">
        <v>135543402.89297777</v>
      </c>
      <c r="G260" s="40">
        <f>VLOOKUP(A260,'DATOS GENERALES'!A:B,2,0)</f>
        <v>1.82</v>
      </c>
      <c r="H260" s="36">
        <f t="shared" si="20"/>
        <v>1.811628</v>
      </c>
      <c r="I260" s="38">
        <f t="shared" si="21"/>
        <v>74818562.581820205</v>
      </c>
      <c r="J260" s="38">
        <f t="shared" si="22"/>
        <v>60724840.311157569</v>
      </c>
      <c r="K260" s="38">
        <v>16172619.435986342</v>
      </c>
      <c r="L260" s="38">
        <f t="shared" si="23"/>
        <v>44552220.875171229</v>
      </c>
      <c r="M260" s="41">
        <f>VLOOKUP(INDICADORES!$B$21,'DATOS GENERALES'!$K:$M,3,0)*F260</f>
        <v>922511.96369229001</v>
      </c>
      <c r="N260" s="38">
        <f t="shared" si="24"/>
        <v>43629708.911478937</v>
      </c>
      <c r="O260" s="36"/>
      <c r="P260" s="36"/>
      <c r="Q260" s="36"/>
    </row>
    <row r="261" spans="1:17" x14ac:dyDescent="0.25">
      <c r="A261" s="36">
        <v>1723</v>
      </c>
      <c r="B261" s="37">
        <v>43525</v>
      </c>
      <c r="C261" s="37">
        <v>43585.378031287575</v>
      </c>
      <c r="D261" s="36" t="s">
        <v>212</v>
      </c>
      <c r="E261" s="36"/>
      <c r="F261" s="38">
        <v>129322152.89297776</v>
      </c>
      <c r="G261" s="40">
        <f>VLOOKUP(A261,'DATOS GENERALES'!A:B,2,0)</f>
        <v>1.82</v>
      </c>
      <c r="H261" s="36">
        <f t="shared" si="20"/>
        <v>1.811628</v>
      </c>
      <c r="I261" s="38">
        <f t="shared" si="21"/>
        <v>71384496.647754267</v>
      </c>
      <c r="J261" s="38">
        <f t="shared" si="22"/>
        <v>57937656.245223492</v>
      </c>
      <c r="K261" s="38">
        <v>11163644.514486745</v>
      </c>
      <c r="L261" s="38">
        <f t="shared" si="23"/>
        <v>46774011.730736747</v>
      </c>
      <c r="M261" s="41">
        <f>VLOOKUP(INDICADORES!$B$21,'DATOS GENERALES'!$K:$M,3,0)*F261</f>
        <v>880169.97262797982</v>
      </c>
      <c r="N261" s="38">
        <f t="shared" si="24"/>
        <v>45893841.758108765</v>
      </c>
      <c r="O261" s="36"/>
      <c r="P261" s="36"/>
      <c r="Q261" s="36"/>
    </row>
    <row r="262" spans="1:17" x14ac:dyDescent="0.25">
      <c r="A262" s="36">
        <v>1723</v>
      </c>
      <c r="B262" s="37">
        <v>43556</v>
      </c>
      <c r="C262" s="37">
        <v>43623.010547621401</v>
      </c>
      <c r="D262" s="36" t="s">
        <v>212</v>
      </c>
      <c r="E262" s="36"/>
      <c r="F262" s="38">
        <v>125198487.89297776</v>
      </c>
      <c r="G262" s="40">
        <f>VLOOKUP(A262,'DATOS GENERALES'!A:B,2,0)</f>
        <v>1.82</v>
      </c>
      <c r="H262" s="36">
        <f t="shared" si="20"/>
        <v>1.811628</v>
      </c>
      <c r="I262" s="38">
        <f t="shared" si="21"/>
        <v>69108276.032926053</v>
      </c>
      <c r="J262" s="38">
        <f t="shared" si="22"/>
        <v>56090211.860051706</v>
      </c>
      <c r="K262" s="38">
        <v>11111101.384719215</v>
      </c>
      <c r="L262" s="38">
        <f t="shared" si="23"/>
        <v>44979110.475332491</v>
      </c>
      <c r="M262" s="41">
        <f>VLOOKUP(INDICADORES!$B$21,'DATOS GENERALES'!$K:$M,3,0)*F262</f>
        <v>852104.20022175775</v>
      </c>
      <c r="N262" s="38">
        <f t="shared" si="24"/>
        <v>44127006.275110736</v>
      </c>
      <c r="O262" s="36"/>
      <c r="P262" s="36"/>
      <c r="Q262" s="36"/>
    </row>
    <row r="263" spans="1:17" x14ac:dyDescent="0.25">
      <c r="A263" s="36">
        <v>1723</v>
      </c>
      <c r="B263" s="37">
        <v>43586</v>
      </c>
      <c r="C263" s="37">
        <v>43611.650778179341</v>
      </c>
      <c r="D263" s="36" t="s">
        <v>212</v>
      </c>
      <c r="E263" s="36"/>
      <c r="F263" s="38">
        <v>125198487.89297776</v>
      </c>
      <c r="G263" s="40">
        <f>VLOOKUP(A263,'DATOS GENERALES'!A:B,2,0)</f>
        <v>1.82</v>
      </c>
      <c r="H263" s="36">
        <f t="shared" si="20"/>
        <v>1.811628</v>
      </c>
      <c r="I263" s="38">
        <f t="shared" si="21"/>
        <v>69108276.032926053</v>
      </c>
      <c r="J263" s="38">
        <f t="shared" si="22"/>
        <v>56090211.860051706</v>
      </c>
      <c r="K263" s="38">
        <v>9165881.5936768819</v>
      </c>
      <c r="L263" s="38">
        <f t="shared" si="23"/>
        <v>46924330.266374826</v>
      </c>
      <c r="M263" s="41">
        <f>VLOOKUP(INDICADORES!$B$21,'DATOS GENERALES'!$K:$M,3,0)*F263</f>
        <v>852104.20022175775</v>
      </c>
      <c r="N263" s="38">
        <f t="shared" si="24"/>
        <v>46072226.066153072</v>
      </c>
      <c r="O263" s="36"/>
      <c r="P263" s="36"/>
      <c r="Q263" s="36"/>
    </row>
    <row r="264" spans="1:17" x14ac:dyDescent="0.25">
      <c r="A264" s="36">
        <v>1723</v>
      </c>
      <c r="B264" s="37">
        <v>43617</v>
      </c>
      <c r="C264" s="37">
        <v>43658.727353911258</v>
      </c>
      <c r="D264" s="36" t="s">
        <v>212</v>
      </c>
      <c r="E264" s="36"/>
      <c r="F264" s="38">
        <v>125198487.89297776</v>
      </c>
      <c r="G264" s="40">
        <f>VLOOKUP(A264,'DATOS GENERALES'!A:B,2,0)</f>
        <v>1.82</v>
      </c>
      <c r="H264" s="36">
        <f t="shared" si="20"/>
        <v>1.811628</v>
      </c>
      <c r="I264" s="38">
        <f t="shared" si="21"/>
        <v>69108276.032926053</v>
      </c>
      <c r="J264" s="38">
        <f t="shared" si="22"/>
        <v>56090211.860051706</v>
      </c>
      <c r="K264" s="38">
        <v>10295130.890574351</v>
      </c>
      <c r="L264" s="38">
        <f t="shared" si="23"/>
        <v>45795080.969477355</v>
      </c>
      <c r="M264" s="41">
        <f>VLOOKUP(INDICADORES!$B$21,'DATOS GENERALES'!$K:$M,3,0)*F264</f>
        <v>852104.20022175775</v>
      </c>
      <c r="N264" s="38">
        <f t="shared" si="24"/>
        <v>44942976.769255601</v>
      </c>
      <c r="O264" s="36"/>
      <c r="P264" s="36"/>
      <c r="Q264" s="36"/>
    </row>
    <row r="265" spans="1:17" x14ac:dyDescent="0.25">
      <c r="A265" s="36">
        <v>1577</v>
      </c>
      <c r="B265" s="37">
        <v>43466</v>
      </c>
      <c r="C265" s="37">
        <v>43528.82192948219</v>
      </c>
      <c r="D265" s="36" t="s">
        <v>212</v>
      </c>
      <c r="E265" s="36"/>
      <c r="F265" s="38">
        <v>121885113.19781627</v>
      </c>
      <c r="G265" s="40">
        <f>VLOOKUP(A265,'DATOS GENERALES'!A:B,2,0)</f>
        <v>1.41</v>
      </c>
      <c r="H265" s="36">
        <f t="shared" si="20"/>
        <v>1.4035139999999999</v>
      </c>
      <c r="I265" s="38">
        <f t="shared" si="21"/>
        <v>86842819.663940847</v>
      </c>
      <c r="J265" s="38">
        <f t="shared" si="22"/>
        <v>35042293.533875421</v>
      </c>
      <c r="K265" s="38">
        <v>19054907.74573138</v>
      </c>
      <c r="L265" s="38">
        <f t="shared" si="23"/>
        <v>15987385.788144041</v>
      </c>
      <c r="M265" s="41">
        <f>VLOOKUP(INDICADORES!$B$21,'DATOS GENERALES'!$K:$M,3,0)*F265</f>
        <v>829553.28493379487</v>
      </c>
      <c r="N265" s="38">
        <f t="shared" si="24"/>
        <v>15157832.503210247</v>
      </c>
      <c r="O265" s="36"/>
      <c r="P265" s="36"/>
      <c r="Q265" s="36"/>
    </row>
    <row r="266" spans="1:17" x14ac:dyDescent="0.25">
      <c r="A266" s="36">
        <v>1577</v>
      </c>
      <c r="B266" s="37">
        <v>43497</v>
      </c>
      <c r="C266" s="37">
        <v>43532.013966981191</v>
      </c>
      <c r="D266" s="36" t="s">
        <v>212</v>
      </c>
      <c r="E266" s="36"/>
      <c r="F266" s="38">
        <v>106137074.99812877</v>
      </c>
      <c r="G266" s="40">
        <f>VLOOKUP(A266,'DATOS GENERALES'!A:B,2,0)</f>
        <v>1.41</v>
      </c>
      <c r="H266" s="36">
        <f t="shared" si="20"/>
        <v>1.4035139999999999</v>
      </c>
      <c r="I266" s="38">
        <f t="shared" si="21"/>
        <v>75622384.242785454</v>
      </c>
      <c r="J266" s="38">
        <f t="shared" si="22"/>
        <v>30514690.755343318</v>
      </c>
      <c r="K266" s="38">
        <v>16346371.7959435</v>
      </c>
      <c r="L266" s="38">
        <f t="shared" si="23"/>
        <v>14168318.959399818</v>
      </c>
      <c r="M266" s="41">
        <f>VLOOKUP(INDICADORES!$B$21,'DATOS GENERALES'!$K:$M,3,0)*F266</f>
        <v>722371.72291143867</v>
      </c>
      <c r="N266" s="38">
        <f t="shared" si="24"/>
        <v>13445947.23648838</v>
      </c>
      <c r="O266" s="36"/>
      <c r="P266" s="36"/>
      <c r="Q266" s="36"/>
    </row>
    <row r="267" spans="1:17" x14ac:dyDescent="0.25">
      <c r="A267" s="36">
        <v>1577</v>
      </c>
      <c r="B267" s="37">
        <v>43525</v>
      </c>
      <c r="C267" s="37">
        <v>43587.608780660936</v>
      </c>
      <c r="D267" s="36" t="s">
        <v>212</v>
      </c>
      <c r="E267" s="36"/>
      <c r="F267" s="38">
        <v>106137074.99812877</v>
      </c>
      <c r="G267" s="40">
        <f>VLOOKUP(A267,'DATOS GENERALES'!A:B,2,0)</f>
        <v>1.41</v>
      </c>
      <c r="H267" s="36">
        <f t="shared" si="20"/>
        <v>1.4035139999999999</v>
      </c>
      <c r="I267" s="38">
        <f t="shared" si="21"/>
        <v>75622384.242785454</v>
      </c>
      <c r="J267" s="38">
        <f t="shared" si="22"/>
        <v>30514690.755343318</v>
      </c>
      <c r="K267" s="38">
        <v>11826397.252475962</v>
      </c>
      <c r="L267" s="38">
        <f t="shared" si="23"/>
        <v>18688293.502867356</v>
      </c>
      <c r="M267" s="41">
        <f>VLOOKUP(INDICADORES!$B$21,'DATOS GENERALES'!$K:$M,3,0)*F267</f>
        <v>722371.72291143867</v>
      </c>
      <c r="N267" s="38">
        <f t="shared" si="24"/>
        <v>17965921.779955916</v>
      </c>
      <c r="O267" s="36"/>
      <c r="P267" s="36"/>
      <c r="Q267" s="36"/>
    </row>
    <row r="268" spans="1:17" x14ac:dyDescent="0.25">
      <c r="A268" s="36">
        <v>1577</v>
      </c>
      <c r="B268" s="37">
        <v>43556</v>
      </c>
      <c r="C268" s="37">
        <v>43607.675011574072</v>
      </c>
      <c r="D268" s="36" t="s">
        <v>212</v>
      </c>
      <c r="E268" s="36"/>
      <c r="F268" s="38">
        <v>99367677.590628773</v>
      </c>
      <c r="G268" s="40">
        <f>VLOOKUP(A268,'DATOS GENERALES'!A:B,2,0)</f>
        <v>1.41</v>
      </c>
      <c r="H268" s="36">
        <f t="shared" si="20"/>
        <v>1.4035139999999999</v>
      </c>
      <c r="I268" s="38">
        <f t="shared" si="21"/>
        <v>70799206.556278586</v>
      </c>
      <c r="J268" s="38">
        <f t="shared" si="22"/>
        <v>28568471.034350187</v>
      </c>
      <c r="K268" s="38">
        <v>11382966.081076784</v>
      </c>
      <c r="L268" s="38">
        <f t="shared" si="23"/>
        <v>17185504.953273401</v>
      </c>
      <c r="M268" s="41">
        <f>VLOOKUP(INDICADORES!$B$21,'DATOS GENERALES'!$K:$M,3,0)*F268</f>
        <v>676299.02618021437</v>
      </c>
      <c r="N268" s="38">
        <f t="shared" si="24"/>
        <v>16509205.927093185</v>
      </c>
      <c r="O268" s="36"/>
      <c r="P268" s="36"/>
      <c r="Q268" s="36"/>
    </row>
    <row r="269" spans="1:17" x14ac:dyDescent="0.25">
      <c r="A269" s="36">
        <v>1577</v>
      </c>
      <c r="B269" s="37">
        <v>43586</v>
      </c>
      <c r="C269" s="37">
        <v>43633.345866996919</v>
      </c>
      <c r="D269" s="36" t="s">
        <v>212</v>
      </c>
      <c r="E269" s="36"/>
      <c r="F269" s="38">
        <v>99367677.590628773</v>
      </c>
      <c r="G269" s="40">
        <f>VLOOKUP(A269,'DATOS GENERALES'!A:B,2,0)</f>
        <v>1.41</v>
      </c>
      <c r="H269" s="36">
        <f t="shared" si="20"/>
        <v>1.4035139999999999</v>
      </c>
      <c r="I269" s="38">
        <f t="shared" si="21"/>
        <v>70799206.556278586</v>
      </c>
      <c r="J269" s="38">
        <f t="shared" si="22"/>
        <v>28568471.034350187</v>
      </c>
      <c r="K269" s="38">
        <v>9390150.9554650281</v>
      </c>
      <c r="L269" s="38">
        <f t="shared" si="23"/>
        <v>19178320.07888516</v>
      </c>
      <c r="M269" s="41">
        <f>VLOOKUP(INDICADORES!$B$21,'DATOS GENERALES'!$K:$M,3,0)*F269</f>
        <v>676299.02618021437</v>
      </c>
      <c r="N269" s="38">
        <f t="shared" si="24"/>
        <v>18502021.052704945</v>
      </c>
      <c r="O269" s="36"/>
      <c r="P269" s="36"/>
      <c r="Q269" s="36"/>
    </row>
    <row r="270" spans="1:17" x14ac:dyDescent="0.25">
      <c r="A270" s="36">
        <v>1577</v>
      </c>
      <c r="B270" s="37">
        <v>43617</v>
      </c>
      <c r="C270" s="37">
        <v>43668.743705146306</v>
      </c>
      <c r="D270" s="36" t="s">
        <v>212</v>
      </c>
      <c r="E270" s="36"/>
      <c r="F270" s="38">
        <v>38237656.60828501</v>
      </c>
      <c r="G270" s="40">
        <f>VLOOKUP(A270,'DATOS GENERALES'!A:B,2,0)</f>
        <v>1.41</v>
      </c>
      <c r="H270" s="36">
        <f t="shared" si="20"/>
        <v>1.4035139999999999</v>
      </c>
      <c r="I270" s="38">
        <f t="shared" si="21"/>
        <v>27244228.848650608</v>
      </c>
      <c r="J270" s="38">
        <f t="shared" si="22"/>
        <v>10993427.759634402</v>
      </c>
      <c r="K270" s="38">
        <v>4058600.7655000109</v>
      </c>
      <c r="L270" s="38">
        <f t="shared" si="23"/>
        <v>6934826.9941343907</v>
      </c>
      <c r="M270" s="41">
        <f>VLOOKUP(INDICADORES!$B$21,'DATOS GENERALES'!$K:$M,3,0)*F270</f>
        <v>260246.49619098494</v>
      </c>
      <c r="N270" s="38">
        <f t="shared" si="24"/>
        <v>6674580.497943406</v>
      </c>
      <c r="O270" s="36"/>
      <c r="P270" s="36"/>
      <c r="Q270" s="36"/>
    </row>
    <row r="271" spans="1:17" x14ac:dyDescent="0.25">
      <c r="A271" s="36">
        <v>1577</v>
      </c>
      <c r="B271" s="37">
        <v>43647</v>
      </c>
      <c r="C271" s="37">
        <v>43691.357932782914</v>
      </c>
      <c r="D271" s="36" t="s">
        <v>212</v>
      </c>
      <c r="E271" s="36"/>
      <c r="F271" s="38">
        <v>38237656.60828501</v>
      </c>
      <c r="G271" s="40">
        <f>VLOOKUP(A271,'DATOS GENERALES'!A:B,2,0)</f>
        <v>1.41</v>
      </c>
      <c r="H271" s="36">
        <f t="shared" si="20"/>
        <v>1.4035139999999999</v>
      </c>
      <c r="I271" s="38">
        <f t="shared" si="21"/>
        <v>27244228.848650608</v>
      </c>
      <c r="J271" s="38">
        <f t="shared" si="22"/>
        <v>10993427.759634402</v>
      </c>
      <c r="K271" s="38">
        <v>7047832.0504001239</v>
      </c>
      <c r="L271" s="38">
        <f t="shared" si="23"/>
        <v>3945595.7092342777</v>
      </c>
      <c r="M271" s="41">
        <f>VLOOKUP(INDICADORES!$B$21,'DATOS GENERALES'!$K:$M,3,0)*F271</f>
        <v>260246.49619098494</v>
      </c>
      <c r="N271" s="38">
        <f t="shared" si="24"/>
        <v>3685349.213043293</v>
      </c>
      <c r="O271" s="36"/>
      <c r="P271" s="36"/>
      <c r="Q271" s="36"/>
    </row>
    <row r="272" spans="1:17" x14ac:dyDescent="0.25">
      <c r="A272" s="36">
        <v>1622</v>
      </c>
      <c r="B272" s="37">
        <v>43466</v>
      </c>
      <c r="C272" s="37">
        <v>43543.01315477163</v>
      </c>
      <c r="D272" s="36" t="s">
        <v>212</v>
      </c>
      <c r="E272" s="36"/>
      <c r="F272" s="38">
        <v>180800040.98000002</v>
      </c>
      <c r="G272" s="40">
        <f>VLOOKUP(A272,'DATOS GENERALES'!A:B,2,0)</f>
        <v>0.95</v>
      </c>
      <c r="H272" s="36">
        <f t="shared" si="20"/>
        <v>0.94562999999999986</v>
      </c>
      <c r="I272" s="38">
        <f t="shared" si="21"/>
        <v>191195331.13374159</v>
      </c>
      <c r="J272" s="38">
        <f t="shared" si="22"/>
        <v>-10395290.153741568</v>
      </c>
      <c r="K272" s="38">
        <v>41951763.084919199</v>
      </c>
      <c r="L272" s="38">
        <f t="shared" si="23"/>
        <v>-52347053.238660768</v>
      </c>
      <c r="M272" s="41">
        <f>VLOOKUP(INDICADORES!$B$21,'DATOS GENERALES'!$K:$M,3,0)*F272</f>
        <v>1230529.832365212</v>
      </c>
      <c r="N272" s="38">
        <f t="shared" si="24"/>
        <v>-53577583.071025982</v>
      </c>
      <c r="O272" s="36"/>
      <c r="P272" s="36"/>
      <c r="Q272" s="36"/>
    </row>
    <row r="273" spans="1:17" x14ac:dyDescent="0.25">
      <c r="A273" s="36">
        <v>1622</v>
      </c>
      <c r="B273" s="37">
        <v>43497</v>
      </c>
      <c r="C273" s="37">
        <v>43544.772881961639</v>
      </c>
      <c r="D273" s="36" t="s">
        <v>212</v>
      </c>
      <c r="E273" s="36"/>
      <c r="F273" s="38">
        <v>159566345.48000002</v>
      </c>
      <c r="G273" s="40">
        <f>VLOOKUP(A273,'DATOS GENERALES'!A:B,2,0)</f>
        <v>0.95</v>
      </c>
      <c r="H273" s="36">
        <f t="shared" si="20"/>
        <v>0.94562999999999986</v>
      </c>
      <c r="I273" s="38">
        <f t="shared" si="21"/>
        <v>168740781.78568789</v>
      </c>
      <c r="J273" s="38">
        <f t="shared" si="22"/>
        <v>-9174436.3056878746</v>
      </c>
      <c r="K273" s="38">
        <v>36474644.165562302</v>
      </c>
      <c r="L273" s="38">
        <f t="shared" si="23"/>
        <v>-45649080.471250176</v>
      </c>
      <c r="M273" s="41">
        <f>VLOOKUP(INDICADORES!$B$21,'DATOS GENERALES'!$K:$M,3,0)*F273</f>
        <v>1086012.7425322551</v>
      </c>
      <c r="N273" s="38">
        <f t="shared" si="24"/>
        <v>-46735093.21378243</v>
      </c>
      <c r="O273" s="36"/>
      <c r="P273" s="36"/>
      <c r="Q273" s="36"/>
    </row>
    <row r="274" spans="1:17" x14ac:dyDescent="0.25">
      <c r="A274" s="36">
        <v>1622</v>
      </c>
      <c r="B274" s="37">
        <v>43525</v>
      </c>
      <c r="C274" s="37">
        <v>43584.059243006515</v>
      </c>
      <c r="D274" s="36" t="s">
        <v>212</v>
      </c>
      <c r="E274" s="36"/>
      <c r="F274" s="38">
        <v>147730918.13</v>
      </c>
      <c r="G274" s="40">
        <f>VLOOKUP(A274,'DATOS GENERALES'!A:B,2,0)</f>
        <v>0.95</v>
      </c>
      <c r="H274" s="36">
        <f t="shared" si="20"/>
        <v>0.94562999999999986</v>
      </c>
      <c r="I274" s="38">
        <f t="shared" si="21"/>
        <v>156224863.98485667</v>
      </c>
      <c r="J274" s="38">
        <f t="shared" si="22"/>
        <v>-8493945.8548566699</v>
      </c>
      <c r="K274" s="38">
        <v>24431619.297631484</v>
      </c>
      <c r="L274" s="38">
        <f t="shared" si="23"/>
        <v>-32925565.152488153</v>
      </c>
      <c r="M274" s="41">
        <f>VLOOKUP(INDICADORES!$B$21,'DATOS GENERALES'!$K:$M,3,0)*F274</f>
        <v>1005460.5128202208</v>
      </c>
      <c r="N274" s="38">
        <f t="shared" si="24"/>
        <v>-33931025.665308371</v>
      </c>
      <c r="O274" s="36"/>
      <c r="P274" s="36"/>
      <c r="Q274" s="36"/>
    </row>
    <row r="275" spans="1:17" x14ac:dyDescent="0.25">
      <c r="A275" s="36">
        <v>1622</v>
      </c>
      <c r="B275" s="37">
        <v>43556</v>
      </c>
      <c r="C275" s="37">
        <v>43621.215437788866</v>
      </c>
      <c r="D275" s="36" t="s">
        <v>212</v>
      </c>
      <c r="E275" s="36"/>
      <c r="F275" s="38">
        <v>207125397.61500004</v>
      </c>
      <c r="G275" s="40">
        <f>VLOOKUP(A275,'DATOS GENERALES'!A:B,2,0)</f>
        <v>0.95</v>
      </c>
      <c r="H275" s="36">
        <f t="shared" si="20"/>
        <v>0.94562999999999986</v>
      </c>
      <c r="I275" s="38">
        <f t="shared" si="21"/>
        <v>219034292.07512459</v>
      </c>
      <c r="J275" s="38">
        <f t="shared" si="22"/>
        <v>-11908894.460124552</v>
      </c>
      <c r="K275" s="38">
        <v>35215930.213877551</v>
      </c>
      <c r="L275" s="38">
        <f t="shared" si="23"/>
        <v>-47124824.674002104</v>
      </c>
      <c r="M275" s="41">
        <f>VLOOKUP(INDICADORES!$B$21,'DATOS GENERALES'!$K:$M,3,0)*F275</f>
        <v>1409700.9017490095</v>
      </c>
      <c r="N275" s="38">
        <f t="shared" si="24"/>
        <v>-48534525.575751111</v>
      </c>
      <c r="O275" s="36"/>
      <c r="P275" s="36"/>
      <c r="Q275" s="36"/>
    </row>
    <row r="276" spans="1:17" x14ac:dyDescent="0.25">
      <c r="A276" s="36">
        <v>1622</v>
      </c>
      <c r="B276" s="37">
        <v>43586</v>
      </c>
      <c r="C276" s="37">
        <v>43647.276359247277</v>
      </c>
      <c r="D276" s="36" t="s">
        <v>212</v>
      </c>
      <c r="E276" s="36"/>
      <c r="F276" s="38">
        <v>142765645.45500004</v>
      </c>
      <c r="G276" s="40">
        <f>VLOOKUP(A276,'DATOS GENERALES'!A:B,2,0)</f>
        <v>0.95</v>
      </c>
      <c r="H276" s="36">
        <f t="shared" si="20"/>
        <v>0.94562999999999986</v>
      </c>
      <c r="I276" s="38">
        <f t="shared" si="21"/>
        <v>150974107.69011143</v>
      </c>
      <c r="J276" s="38">
        <f t="shared" si="22"/>
        <v>-8208462.2351113856</v>
      </c>
      <c r="K276" s="38">
        <v>20023807.194080181</v>
      </c>
      <c r="L276" s="38">
        <f t="shared" si="23"/>
        <v>-28232269.429191567</v>
      </c>
      <c r="M276" s="41">
        <f>VLOOKUP(INDICADORES!$B$21,'DATOS GENERALES'!$K:$M,3,0)*F276</f>
        <v>971666.73645104875</v>
      </c>
      <c r="N276" s="38">
        <f t="shared" si="24"/>
        <v>-29203936.165642615</v>
      </c>
      <c r="O276" s="36"/>
      <c r="P276" s="36"/>
      <c r="Q276" s="36"/>
    </row>
    <row r="277" spans="1:17" x14ac:dyDescent="0.25">
      <c r="A277" s="36">
        <v>1622</v>
      </c>
      <c r="B277" s="37">
        <v>43617</v>
      </c>
      <c r="C277" s="37">
        <v>43714.539772684948</v>
      </c>
      <c r="D277" s="36" t="s">
        <v>212</v>
      </c>
      <c r="E277" s="36"/>
      <c r="F277" s="38">
        <v>142765645.45500004</v>
      </c>
      <c r="G277" s="40">
        <f>VLOOKUP(A277,'DATOS GENERALES'!A:B,2,0)</f>
        <v>0.95</v>
      </c>
      <c r="H277" s="36">
        <f t="shared" si="20"/>
        <v>0.94562999999999986</v>
      </c>
      <c r="I277" s="38">
        <f t="shared" si="21"/>
        <v>150974107.69011143</v>
      </c>
      <c r="J277" s="38">
        <f t="shared" si="22"/>
        <v>-8208462.2351113856</v>
      </c>
      <c r="K277" s="38">
        <v>22490767.951103751</v>
      </c>
      <c r="L277" s="38">
        <f t="shared" si="23"/>
        <v>-30699230.186215136</v>
      </c>
      <c r="M277" s="41">
        <f>VLOOKUP(INDICADORES!$B$21,'DATOS GENERALES'!$K:$M,3,0)*F277</f>
        <v>971666.73645104875</v>
      </c>
      <c r="N277" s="38">
        <f t="shared" si="24"/>
        <v>-31670896.922666185</v>
      </c>
      <c r="O277" s="36"/>
      <c r="P277" s="36"/>
      <c r="Q277" s="36"/>
    </row>
    <row r="278" spans="1:17" x14ac:dyDescent="0.25">
      <c r="A278" s="36">
        <v>1622</v>
      </c>
      <c r="B278" s="37">
        <v>43647</v>
      </c>
      <c r="C278" s="37">
        <v>43696.248085262036</v>
      </c>
      <c r="D278" s="36" t="s">
        <v>212</v>
      </c>
      <c r="E278" s="36"/>
      <c r="F278" s="38">
        <v>138859487.68500003</v>
      </c>
      <c r="G278" s="40">
        <f>VLOOKUP(A278,'DATOS GENERALES'!A:B,2,0)</f>
        <v>0.95</v>
      </c>
      <c r="H278" s="36">
        <f t="shared" si="20"/>
        <v>0.94562999999999986</v>
      </c>
      <c r="I278" s="38">
        <f t="shared" si="21"/>
        <v>146843361.23536694</v>
      </c>
      <c r="J278" s="38">
        <f t="shared" si="22"/>
        <v>-7983873.5503669083</v>
      </c>
      <c r="K278" s="38">
        <v>37987030.33410915</v>
      </c>
      <c r="L278" s="38">
        <f t="shared" si="23"/>
        <v>-45970903.884476058</v>
      </c>
      <c r="M278" s="41">
        <f>VLOOKUP(INDICADORES!$B$21,'DATOS GENERALES'!$K:$M,3,0)*F278</f>
        <v>945081.32397073915</v>
      </c>
      <c r="N278" s="38">
        <f t="shared" si="24"/>
        <v>-46915985.208446801</v>
      </c>
      <c r="O278" s="36"/>
      <c r="P278" s="36"/>
      <c r="Q278" s="36"/>
    </row>
    <row r="279" spans="1:17" x14ac:dyDescent="0.25">
      <c r="A279" s="36">
        <v>1622</v>
      </c>
      <c r="B279" s="37">
        <v>43678</v>
      </c>
      <c r="C279" s="37">
        <v>43753.296122084037</v>
      </c>
      <c r="D279" s="36" t="s">
        <v>212</v>
      </c>
      <c r="E279" s="36"/>
      <c r="F279" s="38">
        <v>138859487.68500003</v>
      </c>
      <c r="G279" s="40">
        <f>VLOOKUP(A279,'DATOS GENERALES'!A:B,2,0)</f>
        <v>0.95</v>
      </c>
      <c r="H279" s="36">
        <f t="shared" si="20"/>
        <v>0.94562999999999986</v>
      </c>
      <c r="I279" s="38">
        <f t="shared" si="21"/>
        <v>146843361.23536694</v>
      </c>
      <c r="J279" s="38">
        <f t="shared" si="22"/>
        <v>-7983873.5503669083</v>
      </c>
      <c r="K279" s="38">
        <v>38145118.19305864</v>
      </c>
      <c r="L279" s="38">
        <f t="shared" si="23"/>
        <v>-46128991.743425548</v>
      </c>
      <c r="M279" s="41">
        <f>VLOOKUP(INDICADORES!$B$21,'DATOS GENERALES'!$K:$M,3,0)*F279</f>
        <v>945081.32397073915</v>
      </c>
      <c r="N279" s="38">
        <f t="shared" si="24"/>
        <v>-47074073.067396291</v>
      </c>
      <c r="O279" s="36"/>
      <c r="P279" s="36"/>
      <c r="Q279" s="36"/>
    </row>
    <row r="280" spans="1:17" x14ac:dyDescent="0.25">
      <c r="A280" s="36">
        <v>1622</v>
      </c>
      <c r="B280" s="37">
        <v>43709</v>
      </c>
      <c r="C280" s="37">
        <v>43753.543391703577</v>
      </c>
      <c r="D280" s="36" t="s">
        <v>212</v>
      </c>
      <c r="E280" s="36"/>
      <c r="F280" s="38">
        <v>125986492.18499999</v>
      </c>
      <c r="G280" s="40">
        <f>VLOOKUP(A280,'DATOS GENERALES'!A:B,2,0)</f>
        <v>0.95</v>
      </c>
      <c r="H280" s="36">
        <f t="shared" si="20"/>
        <v>0.94562999999999986</v>
      </c>
      <c r="I280" s="38">
        <f t="shared" si="21"/>
        <v>133230219.20307097</v>
      </c>
      <c r="J280" s="38">
        <f t="shared" si="22"/>
        <v>-7243727.0180709809</v>
      </c>
      <c r="K280" s="38">
        <v>38199926.436195679</v>
      </c>
      <c r="L280" s="38">
        <f t="shared" si="23"/>
        <v>-45443653.45426666</v>
      </c>
      <c r="M280" s="41">
        <f>VLOOKUP(INDICADORES!$B$21,'DATOS GENERALES'!$K:$M,3,0)*F280</f>
        <v>857467.37815086253</v>
      </c>
      <c r="N280" s="38">
        <f t="shared" si="24"/>
        <v>-46301120.832417525</v>
      </c>
      <c r="O280" s="36"/>
      <c r="P280" s="36"/>
      <c r="Q280" s="36"/>
    </row>
    <row r="281" spans="1:17" x14ac:dyDescent="0.25">
      <c r="A281" s="36">
        <v>1622</v>
      </c>
      <c r="B281" s="37">
        <v>43739</v>
      </c>
      <c r="C281" s="37">
        <v>43788.714620367355</v>
      </c>
      <c r="D281" s="36" t="s">
        <v>212</v>
      </c>
      <c r="E281" s="36"/>
      <c r="F281" s="38">
        <v>125986492.18499999</v>
      </c>
      <c r="G281" s="40">
        <f>VLOOKUP(A281,'DATOS GENERALES'!A:B,2,0)</f>
        <v>0.95</v>
      </c>
      <c r="H281" s="36">
        <f t="shared" si="20"/>
        <v>0.94562999999999986</v>
      </c>
      <c r="I281" s="38">
        <f t="shared" si="21"/>
        <v>133230219.20307097</v>
      </c>
      <c r="J281" s="38">
        <f t="shared" si="22"/>
        <v>-7243727.0180709809</v>
      </c>
      <c r="K281" s="38">
        <v>41456212.888809159</v>
      </c>
      <c r="L281" s="38">
        <f t="shared" si="23"/>
        <v>-48699939.90688014</v>
      </c>
      <c r="M281" s="41">
        <f>VLOOKUP(INDICADORES!$B$21,'DATOS GENERALES'!$K:$M,3,0)*F281</f>
        <v>857467.37815086253</v>
      </c>
      <c r="N281" s="38">
        <f t="shared" si="24"/>
        <v>-49557407.285031006</v>
      </c>
      <c r="O281" s="36"/>
      <c r="P281" s="36"/>
      <c r="Q281" s="36"/>
    </row>
    <row r="282" spans="1:17" x14ac:dyDescent="0.25">
      <c r="A282" s="36">
        <v>1622</v>
      </c>
      <c r="B282" s="37">
        <v>43770</v>
      </c>
      <c r="C282" s="37">
        <v>43836.160934992222</v>
      </c>
      <c r="D282" s="36" t="s">
        <v>212</v>
      </c>
      <c r="E282" s="36"/>
      <c r="F282" s="38">
        <v>18409623</v>
      </c>
      <c r="G282" s="40">
        <f>VLOOKUP(A282,'DATOS GENERALES'!A:B,2,0)</f>
        <v>0.95</v>
      </c>
      <c r="H282" s="36">
        <f t="shared" si="20"/>
        <v>0.94562999999999986</v>
      </c>
      <c r="I282" s="38">
        <f t="shared" si="21"/>
        <v>19468103.803813335</v>
      </c>
      <c r="J282" s="38">
        <f t="shared" si="22"/>
        <v>-1058480.8038133346</v>
      </c>
      <c r="K282" s="38">
        <v>7949549.2038304005</v>
      </c>
      <c r="L282" s="38">
        <f t="shared" si="23"/>
        <v>-9008030.007643735</v>
      </c>
      <c r="M282" s="41">
        <f>VLOOKUP(INDICADORES!$B$21,'DATOS GENERALES'!$K:$M,3,0)*F282</f>
        <v>125296.37814961931</v>
      </c>
      <c r="N282" s="38">
        <f t="shared" si="24"/>
        <v>-9133326.3857933544</v>
      </c>
      <c r="O282" s="36"/>
      <c r="P282" s="36"/>
      <c r="Q282" s="36"/>
    </row>
    <row r="283" spans="1:17" x14ac:dyDescent="0.25">
      <c r="A283" s="36">
        <v>1622</v>
      </c>
      <c r="B283" s="37">
        <v>43800</v>
      </c>
      <c r="C283" s="37">
        <v>43863.912914912245</v>
      </c>
      <c r="D283" s="36" t="s">
        <v>212</v>
      </c>
      <c r="E283" s="36"/>
      <c r="F283" s="38">
        <v>18409623</v>
      </c>
      <c r="G283" s="40">
        <f>VLOOKUP(A283,'DATOS GENERALES'!A:B,2,0)</f>
        <v>0.95</v>
      </c>
      <c r="H283" s="36">
        <f t="shared" si="20"/>
        <v>0.94562999999999986</v>
      </c>
      <c r="I283" s="38">
        <f t="shared" si="21"/>
        <v>19468103.803813335</v>
      </c>
      <c r="J283" s="38">
        <f t="shared" si="22"/>
        <v>-1058480.8038133346</v>
      </c>
      <c r="K283" s="38">
        <v>6856879.9514648048</v>
      </c>
      <c r="L283" s="38">
        <f t="shared" si="23"/>
        <v>-7915360.7552781394</v>
      </c>
      <c r="M283" s="41">
        <f>VLOOKUP(INDICADORES!$B$21,'DATOS GENERALES'!$K:$M,3,0)*F283</f>
        <v>125296.37814961931</v>
      </c>
      <c r="N283" s="38">
        <f t="shared" si="24"/>
        <v>-8040657.1334277587</v>
      </c>
      <c r="O283" s="36"/>
      <c r="P283" s="36"/>
      <c r="Q283" s="36"/>
    </row>
    <row r="284" spans="1:17" x14ac:dyDescent="0.25">
      <c r="A284" s="36">
        <v>1622</v>
      </c>
      <c r="B284" s="37">
        <v>43831</v>
      </c>
      <c r="C284" s="37">
        <v>43885.663101851853</v>
      </c>
      <c r="D284" s="36" t="s">
        <v>212</v>
      </c>
      <c r="E284" s="36"/>
      <c r="F284" s="38">
        <v>18409623</v>
      </c>
      <c r="G284" s="40">
        <f>VLOOKUP(A284,'DATOS GENERALES'!A:B,2,0)</f>
        <v>0.95</v>
      </c>
      <c r="H284" s="36">
        <f t="shared" si="20"/>
        <v>0.94562999999999986</v>
      </c>
      <c r="I284" s="38">
        <f t="shared" si="21"/>
        <v>19468103.803813335</v>
      </c>
      <c r="J284" s="38">
        <f t="shared" si="22"/>
        <v>-1058480.8038133346</v>
      </c>
      <c r="K284" s="38" t="s">
        <v>213</v>
      </c>
      <c r="L284" s="38" t="str">
        <f t="shared" si="23"/>
        <v/>
      </c>
      <c r="M284" s="41">
        <f>VLOOKUP(INDICADORES!$B$21,'DATOS GENERALES'!$K:$M,3,0)*F284</f>
        <v>125296.37814961931</v>
      </c>
      <c r="N284" s="38" t="str">
        <f t="shared" si="24"/>
        <v/>
      </c>
      <c r="O284" s="36"/>
      <c r="P284" s="36"/>
      <c r="Q284" s="36"/>
    </row>
    <row r="285" spans="1:17" x14ac:dyDescent="0.25">
      <c r="A285" s="36">
        <v>1622</v>
      </c>
      <c r="B285" s="37">
        <v>43862</v>
      </c>
      <c r="C285" s="37">
        <v>43933.353201006459</v>
      </c>
      <c r="D285" s="36" t="s">
        <v>212</v>
      </c>
      <c r="E285" s="36"/>
      <c r="F285" s="38">
        <v>10956546</v>
      </c>
      <c r="G285" s="40">
        <f>VLOOKUP(A285,'DATOS GENERALES'!A:B,2,0)</f>
        <v>0.95</v>
      </c>
      <c r="H285" s="36">
        <f t="shared" si="20"/>
        <v>0.94562999999999986</v>
      </c>
      <c r="I285" s="38">
        <f t="shared" si="21"/>
        <v>11586504.235271726</v>
      </c>
      <c r="J285" s="38">
        <f t="shared" si="22"/>
        <v>-629958.2352717258</v>
      </c>
      <c r="K285" s="38" t="s">
        <v>213</v>
      </c>
      <c r="L285" s="38" t="str">
        <f t="shared" si="23"/>
        <v/>
      </c>
      <c r="M285" s="41">
        <f>VLOOKUP(INDICADORES!$B$21,'DATOS GENERALES'!$K:$M,3,0)*F285</f>
        <v>74570.540137063042</v>
      </c>
      <c r="N285" s="38" t="str">
        <f t="shared" si="24"/>
        <v/>
      </c>
      <c r="O285" s="36"/>
      <c r="P285" s="36"/>
      <c r="Q285" s="36"/>
    </row>
    <row r="286" spans="1:17" x14ac:dyDescent="0.25">
      <c r="A286" s="36">
        <v>1622</v>
      </c>
      <c r="B286" s="37">
        <v>43891</v>
      </c>
      <c r="C286" s="37">
        <v>43929.322347025649</v>
      </c>
      <c r="D286" s="36" t="s">
        <v>212</v>
      </c>
      <c r="E286" s="36"/>
      <c r="F286" s="38">
        <v>10956546</v>
      </c>
      <c r="G286" s="40">
        <f>VLOOKUP(A286,'DATOS GENERALES'!A:B,2,0)</f>
        <v>0.95</v>
      </c>
      <c r="H286" s="36">
        <f t="shared" si="20"/>
        <v>0.94562999999999986</v>
      </c>
      <c r="I286" s="38">
        <f t="shared" si="21"/>
        <v>11586504.235271726</v>
      </c>
      <c r="J286" s="38">
        <f t="shared" si="22"/>
        <v>-629958.2352717258</v>
      </c>
      <c r="K286" s="38" t="s">
        <v>213</v>
      </c>
      <c r="L286" s="38" t="str">
        <f t="shared" si="23"/>
        <v/>
      </c>
      <c r="M286" s="41">
        <f>VLOOKUP(INDICADORES!$B$21,'DATOS GENERALES'!$K:$M,3,0)*F286</f>
        <v>74570.540137063042</v>
      </c>
      <c r="N286" s="38" t="str">
        <f t="shared" si="24"/>
        <v/>
      </c>
      <c r="O286" s="36"/>
      <c r="P286" s="36"/>
      <c r="Q286" s="36"/>
    </row>
    <row r="287" spans="1:17" x14ac:dyDescent="0.25">
      <c r="A287" s="36">
        <v>1622</v>
      </c>
      <c r="B287" s="37">
        <v>43922</v>
      </c>
      <c r="C287" s="37">
        <v>44004.313740605852</v>
      </c>
      <c r="D287" s="36" t="s">
        <v>212</v>
      </c>
      <c r="E287" s="36"/>
      <c r="F287" s="38">
        <v>10956546</v>
      </c>
      <c r="G287" s="40">
        <f>VLOOKUP(A287,'DATOS GENERALES'!A:B,2,0)</f>
        <v>0.95</v>
      </c>
      <c r="H287" s="36">
        <f t="shared" si="20"/>
        <v>0.94562999999999986</v>
      </c>
      <c r="I287" s="38">
        <f t="shared" si="21"/>
        <v>11586504.235271726</v>
      </c>
      <c r="J287" s="38">
        <f t="shared" si="22"/>
        <v>-629958.2352717258</v>
      </c>
      <c r="K287" s="38" t="s">
        <v>213</v>
      </c>
      <c r="L287" s="38" t="str">
        <f t="shared" si="23"/>
        <v/>
      </c>
      <c r="M287" s="41">
        <f>VLOOKUP(INDICADORES!$B$21,'DATOS GENERALES'!$K:$M,3,0)*F287</f>
        <v>74570.540137063042</v>
      </c>
      <c r="N287" s="38" t="str">
        <f t="shared" si="24"/>
        <v/>
      </c>
      <c r="O287" s="36"/>
      <c r="P287" s="36"/>
      <c r="Q287" s="36"/>
    </row>
    <row r="288" spans="1:17" x14ac:dyDescent="0.25">
      <c r="A288" s="36">
        <v>1622</v>
      </c>
      <c r="B288" s="37">
        <v>43952</v>
      </c>
      <c r="C288" s="37">
        <v>43990.89046994003</v>
      </c>
      <c r="D288" s="36" t="s">
        <v>212</v>
      </c>
      <c r="E288" s="36"/>
      <c r="F288" s="38">
        <v>10956546</v>
      </c>
      <c r="G288" s="40">
        <f>VLOOKUP(A288,'DATOS GENERALES'!A:B,2,0)</f>
        <v>0.95</v>
      </c>
      <c r="H288" s="36">
        <f t="shared" si="20"/>
        <v>0.94562999999999986</v>
      </c>
      <c r="I288" s="38">
        <f t="shared" si="21"/>
        <v>11586504.235271726</v>
      </c>
      <c r="J288" s="38">
        <f t="shared" si="22"/>
        <v>-629958.2352717258</v>
      </c>
      <c r="K288" s="38" t="s">
        <v>213</v>
      </c>
      <c r="L288" s="38" t="str">
        <f t="shared" si="23"/>
        <v/>
      </c>
      <c r="M288" s="41">
        <f>VLOOKUP(INDICADORES!$B$21,'DATOS GENERALES'!$K:$M,3,0)*F288</f>
        <v>74570.540137063042</v>
      </c>
      <c r="N288" s="38" t="str">
        <f t="shared" si="24"/>
        <v/>
      </c>
      <c r="O288" s="36"/>
      <c r="P288" s="36"/>
      <c r="Q288" s="36"/>
    </row>
    <row r="289" spans="1:17" x14ac:dyDescent="0.25">
      <c r="A289" s="36">
        <v>1622</v>
      </c>
      <c r="B289" s="37">
        <v>43983</v>
      </c>
      <c r="C289" s="37">
        <v>44081.368877389126</v>
      </c>
      <c r="D289" s="36" t="s">
        <v>212</v>
      </c>
      <c r="E289" s="36"/>
      <c r="F289" s="38">
        <v>10956546</v>
      </c>
      <c r="G289" s="40">
        <f>VLOOKUP(A289,'DATOS GENERALES'!A:B,2,0)</f>
        <v>0.95</v>
      </c>
      <c r="H289" s="36">
        <f t="shared" si="20"/>
        <v>0.94562999999999986</v>
      </c>
      <c r="I289" s="38">
        <f t="shared" si="21"/>
        <v>11586504.235271726</v>
      </c>
      <c r="J289" s="38">
        <f t="shared" si="22"/>
        <v>-629958.2352717258</v>
      </c>
      <c r="K289" s="38" t="s">
        <v>213</v>
      </c>
      <c r="L289" s="38" t="str">
        <f t="shared" si="23"/>
        <v/>
      </c>
      <c r="M289" s="41">
        <f>VLOOKUP(INDICADORES!$B$21,'DATOS GENERALES'!$K:$M,3,0)*F289</f>
        <v>74570.540137063042</v>
      </c>
      <c r="N289" s="38" t="str">
        <f t="shared" si="24"/>
        <v/>
      </c>
      <c r="O289" s="36"/>
      <c r="P289" s="36"/>
      <c r="Q289" s="36"/>
    </row>
    <row r="290" spans="1:17" x14ac:dyDescent="0.25">
      <c r="A290" s="36">
        <v>1622</v>
      </c>
      <c r="B290" s="37">
        <v>44013</v>
      </c>
      <c r="C290" s="37">
        <v>44096.717387407589</v>
      </c>
      <c r="D290" s="36" t="s">
        <v>212</v>
      </c>
      <c r="E290" s="36"/>
      <c r="F290" s="38">
        <v>10956546</v>
      </c>
      <c r="G290" s="40">
        <f>VLOOKUP(A290,'DATOS GENERALES'!A:B,2,0)</f>
        <v>0.95</v>
      </c>
      <c r="H290" s="36">
        <f t="shared" si="20"/>
        <v>0.94562999999999986</v>
      </c>
      <c r="I290" s="38">
        <f t="shared" si="21"/>
        <v>11586504.235271726</v>
      </c>
      <c r="J290" s="38">
        <f t="shared" si="22"/>
        <v>-629958.2352717258</v>
      </c>
      <c r="K290" s="38" t="s">
        <v>213</v>
      </c>
      <c r="L290" s="38" t="str">
        <f t="shared" si="23"/>
        <v/>
      </c>
      <c r="M290" s="41">
        <f>VLOOKUP(INDICADORES!$B$21,'DATOS GENERALES'!$K:$M,3,0)*F290</f>
        <v>74570.540137063042</v>
      </c>
      <c r="N290" s="38" t="str">
        <f t="shared" si="24"/>
        <v/>
      </c>
      <c r="O290" s="36"/>
      <c r="P290" s="36"/>
      <c r="Q290" s="36"/>
    </row>
    <row r="291" spans="1:17" x14ac:dyDescent="0.25">
      <c r="A291" s="36">
        <v>1622</v>
      </c>
      <c r="B291" s="37">
        <v>44044</v>
      </c>
      <c r="C291" s="37">
        <v>44110.95063847032</v>
      </c>
      <c r="D291" s="36" t="s">
        <v>212</v>
      </c>
      <c r="E291" s="36"/>
      <c r="F291" s="38">
        <v>10956546</v>
      </c>
      <c r="G291" s="40">
        <f>VLOOKUP(A291,'DATOS GENERALES'!A:B,2,0)</f>
        <v>0.95</v>
      </c>
      <c r="H291" s="36">
        <f t="shared" si="20"/>
        <v>0.94562999999999986</v>
      </c>
      <c r="I291" s="38">
        <f t="shared" si="21"/>
        <v>11586504.235271726</v>
      </c>
      <c r="J291" s="38">
        <f t="shared" si="22"/>
        <v>-629958.2352717258</v>
      </c>
      <c r="K291" s="38" t="s">
        <v>213</v>
      </c>
      <c r="L291" s="38" t="str">
        <f t="shared" si="23"/>
        <v/>
      </c>
      <c r="M291" s="41">
        <f>VLOOKUP(INDICADORES!$B$21,'DATOS GENERALES'!$K:$M,3,0)*F291</f>
        <v>74570.540137063042</v>
      </c>
      <c r="N291" s="38" t="str">
        <f t="shared" si="24"/>
        <v/>
      </c>
      <c r="O291" s="36"/>
      <c r="P291" s="36"/>
      <c r="Q291" s="36"/>
    </row>
    <row r="292" spans="1:17" x14ac:dyDescent="0.25">
      <c r="A292" s="36">
        <v>1622</v>
      </c>
      <c r="B292" s="37">
        <v>44075</v>
      </c>
      <c r="C292" s="37">
        <v>44116.769039808678</v>
      </c>
      <c r="D292" s="36" t="s">
        <v>212</v>
      </c>
      <c r="E292" s="36"/>
      <c r="F292" s="38">
        <v>10956546</v>
      </c>
      <c r="G292" s="40">
        <f>VLOOKUP(A292,'DATOS GENERALES'!A:B,2,0)</f>
        <v>0.95</v>
      </c>
      <c r="H292" s="36">
        <f t="shared" si="20"/>
        <v>0.94562999999999986</v>
      </c>
      <c r="I292" s="38">
        <f t="shared" si="21"/>
        <v>11586504.235271726</v>
      </c>
      <c r="J292" s="38">
        <f t="shared" si="22"/>
        <v>-629958.2352717258</v>
      </c>
      <c r="K292" s="38" t="s">
        <v>213</v>
      </c>
      <c r="L292" s="38" t="str">
        <f t="shared" si="23"/>
        <v/>
      </c>
      <c r="M292" s="41">
        <f>VLOOKUP(INDICADORES!$B$21,'DATOS GENERALES'!$K:$M,3,0)*F292</f>
        <v>74570.540137063042</v>
      </c>
      <c r="N292" s="38" t="str">
        <f t="shared" si="24"/>
        <v/>
      </c>
      <c r="O292" s="36"/>
      <c r="P292" s="36"/>
      <c r="Q292" s="36"/>
    </row>
    <row r="293" spans="1:17" x14ac:dyDescent="0.25">
      <c r="A293" s="36">
        <v>1622</v>
      </c>
      <c r="B293" s="37">
        <v>44105</v>
      </c>
      <c r="C293" s="37">
        <v>44173.528533834855</v>
      </c>
      <c r="D293" s="36" t="s">
        <v>212</v>
      </c>
      <c r="E293" s="36"/>
      <c r="F293" s="38">
        <v>10956546</v>
      </c>
      <c r="G293" s="40">
        <f>VLOOKUP(A293,'DATOS GENERALES'!A:B,2,0)</f>
        <v>0.95</v>
      </c>
      <c r="H293" s="36">
        <f t="shared" si="20"/>
        <v>0.94562999999999986</v>
      </c>
      <c r="I293" s="38">
        <f t="shared" si="21"/>
        <v>11586504.235271726</v>
      </c>
      <c r="J293" s="38">
        <f t="shared" si="22"/>
        <v>-629958.2352717258</v>
      </c>
      <c r="K293" s="38" t="s">
        <v>213</v>
      </c>
      <c r="L293" s="38" t="str">
        <f t="shared" si="23"/>
        <v/>
      </c>
      <c r="M293" s="41">
        <f>VLOOKUP(INDICADORES!$B$21,'DATOS GENERALES'!$K:$M,3,0)*F293</f>
        <v>74570.540137063042</v>
      </c>
      <c r="N293" s="38" t="str">
        <f t="shared" si="24"/>
        <v/>
      </c>
      <c r="O293" s="36"/>
      <c r="P293" s="36"/>
      <c r="Q293" s="36"/>
    </row>
    <row r="294" spans="1:17" x14ac:dyDescent="0.25">
      <c r="A294" s="36">
        <v>1622</v>
      </c>
      <c r="B294" s="37">
        <v>44136</v>
      </c>
      <c r="C294" s="37">
        <v>44182.104768398633</v>
      </c>
      <c r="D294" s="36" t="s">
        <v>212</v>
      </c>
      <c r="E294" s="36"/>
      <c r="F294" s="38">
        <v>10956546</v>
      </c>
      <c r="G294" s="40">
        <f>VLOOKUP(A294,'DATOS GENERALES'!A:B,2,0)</f>
        <v>0.95</v>
      </c>
      <c r="H294" s="36">
        <f t="shared" si="20"/>
        <v>0.94562999999999986</v>
      </c>
      <c r="I294" s="38">
        <f t="shared" si="21"/>
        <v>11586504.235271726</v>
      </c>
      <c r="J294" s="38">
        <f t="shared" si="22"/>
        <v>-629958.2352717258</v>
      </c>
      <c r="K294" s="38" t="s">
        <v>213</v>
      </c>
      <c r="L294" s="38" t="str">
        <f t="shared" si="23"/>
        <v/>
      </c>
      <c r="M294" s="41">
        <f>VLOOKUP(INDICADORES!$B$21,'DATOS GENERALES'!$K:$M,3,0)*F294</f>
        <v>74570.540137063042</v>
      </c>
      <c r="N294" s="38" t="str">
        <f t="shared" si="24"/>
        <v/>
      </c>
      <c r="O294" s="36"/>
      <c r="P294" s="36"/>
      <c r="Q294" s="36"/>
    </row>
    <row r="295" spans="1:17" x14ac:dyDescent="0.25">
      <c r="A295" s="36">
        <v>1622</v>
      </c>
      <c r="B295" s="37">
        <v>44166</v>
      </c>
      <c r="C295" s="37">
        <v>44204.707314421452</v>
      </c>
      <c r="D295" s="36" t="s">
        <v>212</v>
      </c>
      <c r="E295" s="36"/>
      <c r="F295" s="38">
        <v>10956546</v>
      </c>
      <c r="G295" s="40">
        <f>VLOOKUP(A295,'DATOS GENERALES'!A:B,2,0)</f>
        <v>0.95</v>
      </c>
      <c r="H295" s="36">
        <f t="shared" si="20"/>
        <v>0.94562999999999986</v>
      </c>
      <c r="I295" s="38">
        <f t="shared" si="21"/>
        <v>11586504.235271726</v>
      </c>
      <c r="J295" s="38">
        <f t="shared" si="22"/>
        <v>-629958.2352717258</v>
      </c>
      <c r="K295" s="38" t="s">
        <v>213</v>
      </c>
      <c r="L295" s="38" t="str">
        <f t="shared" si="23"/>
        <v/>
      </c>
      <c r="M295" s="41">
        <f>VLOOKUP(INDICADORES!$B$21,'DATOS GENERALES'!$K:$M,3,0)*F295</f>
        <v>74570.540137063042</v>
      </c>
      <c r="N295" s="38" t="str">
        <f t="shared" si="24"/>
        <v/>
      </c>
      <c r="O295" s="36"/>
      <c r="P295" s="36"/>
      <c r="Q295" s="36"/>
    </row>
    <row r="296" spans="1:17" x14ac:dyDescent="0.25">
      <c r="A296" s="36">
        <v>1622</v>
      </c>
      <c r="B296" s="37">
        <v>44197</v>
      </c>
      <c r="C296" s="37">
        <v>44227.303949963047</v>
      </c>
      <c r="D296" s="36" t="s">
        <v>212</v>
      </c>
      <c r="E296" s="36"/>
      <c r="F296" s="38">
        <v>10956546</v>
      </c>
      <c r="G296" s="40">
        <f>VLOOKUP(A296,'DATOS GENERALES'!A:B,2,0)</f>
        <v>0.95</v>
      </c>
      <c r="H296" s="36">
        <f t="shared" si="20"/>
        <v>0.94562999999999986</v>
      </c>
      <c r="I296" s="38">
        <f t="shared" si="21"/>
        <v>11586504.235271726</v>
      </c>
      <c r="J296" s="38">
        <f t="shared" si="22"/>
        <v>-629958.2352717258</v>
      </c>
      <c r="K296" s="38" t="s">
        <v>213</v>
      </c>
      <c r="L296" s="38" t="str">
        <f t="shared" si="23"/>
        <v/>
      </c>
      <c r="M296" s="41">
        <f>VLOOKUP(INDICADORES!$B$21,'DATOS GENERALES'!$K:$M,3,0)*F296</f>
        <v>74570.540137063042</v>
      </c>
      <c r="N296" s="38" t="str">
        <f t="shared" si="24"/>
        <v/>
      </c>
      <c r="O296" s="36"/>
      <c r="P296" s="36"/>
      <c r="Q296" s="36"/>
    </row>
    <row r="297" spans="1:17" x14ac:dyDescent="0.25">
      <c r="A297" s="36">
        <v>1622</v>
      </c>
      <c r="B297" s="37">
        <v>44228</v>
      </c>
      <c r="C297" s="37">
        <v>44283.037137439642</v>
      </c>
      <c r="D297" s="36" t="s">
        <v>212</v>
      </c>
      <c r="E297" s="36"/>
      <c r="F297" s="38">
        <v>10956546</v>
      </c>
      <c r="G297" s="40">
        <f>VLOOKUP(A297,'DATOS GENERALES'!A:B,2,0)</f>
        <v>0.95</v>
      </c>
      <c r="H297" s="36">
        <f t="shared" si="20"/>
        <v>0.94562999999999986</v>
      </c>
      <c r="I297" s="38">
        <f t="shared" si="21"/>
        <v>11586504.235271726</v>
      </c>
      <c r="J297" s="38">
        <f t="shared" si="22"/>
        <v>-629958.2352717258</v>
      </c>
      <c r="K297" s="38" t="s">
        <v>213</v>
      </c>
      <c r="L297" s="38" t="str">
        <f t="shared" si="23"/>
        <v/>
      </c>
      <c r="M297" s="41">
        <f>VLOOKUP(INDICADORES!$B$21,'DATOS GENERALES'!$K:$M,3,0)*F297</f>
        <v>74570.540137063042</v>
      </c>
      <c r="N297" s="38" t="str">
        <f t="shared" si="24"/>
        <v/>
      </c>
      <c r="O297" s="36"/>
      <c r="P297" s="36"/>
      <c r="Q297" s="36"/>
    </row>
    <row r="298" spans="1:17" x14ac:dyDescent="0.25">
      <c r="A298" s="36">
        <v>1622</v>
      </c>
      <c r="B298" s="37">
        <v>44256</v>
      </c>
      <c r="C298" s="37">
        <v>44318.444984147318</v>
      </c>
      <c r="D298" s="36" t="s">
        <v>212</v>
      </c>
      <c r="E298" s="36"/>
      <c r="F298" s="38">
        <v>10956546</v>
      </c>
      <c r="G298" s="40">
        <f>VLOOKUP(A298,'DATOS GENERALES'!A:B,2,0)</f>
        <v>0.95</v>
      </c>
      <c r="H298" s="36">
        <f t="shared" si="20"/>
        <v>0.94562999999999986</v>
      </c>
      <c r="I298" s="38">
        <f t="shared" si="21"/>
        <v>11586504.235271726</v>
      </c>
      <c r="J298" s="38">
        <f t="shared" si="22"/>
        <v>-629958.2352717258</v>
      </c>
      <c r="K298" s="38" t="s">
        <v>213</v>
      </c>
      <c r="L298" s="38" t="str">
        <f t="shared" si="23"/>
        <v/>
      </c>
      <c r="M298" s="41">
        <f>VLOOKUP(INDICADORES!$B$21,'DATOS GENERALES'!$K:$M,3,0)*F298</f>
        <v>74570.540137063042</v>
      </c>
      <c r="N298" s="38" t="str">
        <f t="shared" si="24"/>
        <v/>
      </c>
      <c r="O298" s="36"/>
      <c r="P298" s="36"/>
      <c r="Q298" s="36"/>
    </row>
    <row r="299" spans="1:17" x14ac:dyDescent="0.25">
      <c r="A299" s="36">
        <v>1622</v>
      </c>
      <c r="B299" s="37">
        <v>44287</v>
      </c>
      <c r="C299" s="37">
        <v>44365.921883378294</v>
      </c>
      <c r="D299" s="36" t="s">
        <v>212</v>
      </c>
      <c r="E299" s="36"/>
      <c r="F299" s="38">
        <v>10956546</v>
      </c>
      <c r="G299" s="40">
        <f>VLOOKUP(A299,'DATOS GENERALES'!A:B,2,0)</f>
        <v>0.95</v>
      </c>
      <c r="H299" s="36">
        <f t="shared" si="20"/>
        <v>0.94562999999999986</v>
      </c>
      <c r="I299" s="38">
        <f t="shared" si="21"/>
        <v>11586504.235271726</v>
      </c>
      <c r="J299" s="38">
        <f t="shared" si="22"/>
        <v>-629958.2352717258</v>
      </c>
      <c r="K299" s="38" t="s">
        <v>213</v>
      </c>
      <c r="L299" s="38" t="str">
        <f t="shared" si="23"/>
        <v/>
      </c>
      <c r="M299" s="41">
        <f>VLOOKUP(INDICADORES!$B$21,'DATOS GENERALES'!$K:$M,3,0)*F299</f>
        <v>74570.540137063042</v>
      </c>
      <c r="N299" s="38" t="str">
        <f t="shared" si="24"/>
        <v/>
      </c>
      <c r="O299" s="36"/>
      <c r="P299" s="36"/>
      <c r="Q299" s="36"/>
    </row>
    <row r="300" spans="1:17" x14ac:dyDescent="0.25">
      <c r="A300" s="36">
        <v>1622</v>
      </c>
      <c r="B300" s="37">
        <v>44317</v>
      </c>
      <c r="C300" s="37">
        <v>44396.211275635134</v>
      </c>
      <c r="D300" s="36" t="s">
        <v>212</v>
      </c>
      <c r="E300" s="36"/>
      <c r="F300" s="38">
        <v>10956546</v>
      </c>
      <c r="G300" s="40">
        <f>VLOOKUP(A300,'DATOS GENERALES'!A:B,2,0)</f>
        <v>0.95</v>
      </c>
      <c r="H300" s="36">
        <f t="shared" si="20"/>
        <v>0.94562999999999986</v>
      </c>
      <c r="I300" s="38">
        <f t="shared" si="21"/>
        <v>11586504.235271726</v>
      </c>
      <c r="J300" s="38">
        <f t="shared" si="22"/>
        <v>-629958.2352717258</v>
      </c>
      <c r="K300" s="38" t="s">
        <v>213</v>
      </c>
      <c r="L300" s="38" t="str">
        <f t="shared" si="23"/>
        <v/>
      </c>
      <c r="M300" s="41">
        <f>VLOOKUP(INDICADORES!$B$21,'DATOS GENERALES'!$K:$M,3,0)*F300</f>
        <v>74570.540137063042</v>
      </c>
      <c r="N300" s="38" t="str">
        <f t="shared" si="24"/>
        <v/>
      </c>
      <c r="O300" s="36"/>
      <c r="P300" s="36"/>
      <c r="Q300" s="36"/>
    </row>
    <row r="301" spans="1:17" x14ac:dyDescent="0.25">
      <c r="A301" s="36">
        <v>1622</v>
      </c>
      <c r="B301" s="37">
        <v>44348</v>
      </c>
      <c r="C301" s="37">
        <v>44415.590254284027</v>
      </c>
      <c r="D301" s="36" t="s">
        <v>212</v>
      </c>
      <c r="E301" s="36"/>
      <c r="F301" s="38">
        <v>10956546</v>
      </c>
      <c r="G301" s="40">
        <f>VLOOKUP(A301,'DATOS GENERALES'!A:B,2,0)</f>
        <v>0.95</v>
      </c>
      <c r="H301" s="36">
        <f t="shared" si="20"/>
        <v>0.94562999999999986</v>
      </c>
      <c r="I301" s="38">
        <f t="shared" si="21"/>
        <v>11586504.235271726</v>
      </c>
      <c r="J301" s="38">
        <f t="shared" si="22"/>
        <v>-629958.2352717258</v>
      </c>
      <c r="K301" s="38" t="s">
        <v>213</v>
      </c>
      <c r="L301" s="38" t="str">
        <f t="shared" si="23"/>
        <v/>
      </c>
      <c r="M301" s="41">
        <f>VLOOKUP(INDICADORES!$B$21,'DATOS GENERALES'!$K:$M,3,0)*F301</f>
        <v>74570.540137063042</v>
      </c>
      <c r="N301" s="38" t="str">
        <f t="shared" si="24"/>
        <v/>
      </c>
      <c r="O301" s="36"/>
      <c r="P301" s="36"/>
      <c r="Q301" s="36"/>
    </row>
    <row r="302" spans="1:17" x14ac:dyDescent="0.25">
      <c r="A302" s="36">
        <v>1622</v>
      </c>
      <c r="B302" s="37">
        <v>44378</v>
      </c>
      <c r="C302" s="37">
        <v>44463.840696824314</v>
      </c>
      <c r="D302" s="36" t="s">
        <v>212</v>
      </c>
      <c r="E302" s="36"/>
      <c r="F302" s="38">
        <v>10956546</v>
      </c>
      <c r="G302" s="40">
        <f>VLOOKUP(A302,'DATOS GENERALES'!A:B,2,0)</f>
        <v>0.95</v>
      </c>
      <c r="H302" s="36">
        <f t="shared" si="20"/>
        <v>0.94562999999999986</v>
      </c>
      <c r="I302" s="38">
        <f t="shared" si="21"/>
        <v>11586504.235271726</v>
      </c>
      <c r="J302" s="38">
        <f t="shared" si="22"/>
        <v>-629958.2352717258</v>
      </c>
      <c r="K302" s="38" t="s">
        <v>213</v>
      </c>
      <c r="L302" s="38" t="str">
        <f t="shared" si="23"/>
        <v/>
      </c>
      <c r="M302" s="41">
        <f>VLOOKUP(INDICADORES!$B$21,'DATOS GENERALES'!$K:$M,3,0)*F302</f>
        <v>74570.540137063042</v>
      </c>
      <c r="N302" s="38" t="str">
        <f t="shared" si="24"/>
        <v/>
      </c>
      <c r="O302" s="36"/>
      <c r="P302" s="36"/>
      <c r="Q302" s="36"/>
    </row>
    <row r="303" spans="1:17" x14ac:dyDescent="0.25">
      <c r="A303" s="36">
        <v>1622</v>
      </c>
      <c r="B303" s="37">
        <v>44409</v>
      </c>
      <c r="C303" s="37">
        <v>44496.858820492242</v>
      </c>
      <c r="D303" s="36" t="s">
        <v>212</v>
      </c>
      <c r="E303" s="36"/>
      <c r="F303" s="38">
        <v>10956546</v>
      </c>
      <c r="G303" s="40">
        <f>VLOOKUP(A303,'DATOS GENERALES'!A:B,2,0)</f>
        <v>0.95</v>
      </c>
      <c r="H303" s="36">
        <f t="shared" si="20"/>
        <v>0.94562999999999986</v>
      </c>
      <c r="I303" s="38">
        <f t="shared" si="21"/>
        <v>11586504.235271726</v>
      </c>
      <c r="J303" s="38">
        <f t="shared" si="22"/>
        <v>-629958.2352717258</v>
      </c>
      <c r="K303" s="38" t="s">
        <v>213</v>
      </c>
      <c r="L303" s="38" t="str">
        <f t="shared" si="23"/>
        <v/>
      </c>
      <c r="M303" s="41">
        <f>VLOOKUP(INDICADORES!$B$21,'DATOS GENERALES'!$K:$M,3,0)*F303</f>
        <v>74570.540137063042</v>
      </c>
      <c r="N303" s="38" t="str">
        <f t="shared" si="24"/>
        <v/>
      </c>
      <c r="O303" s="36"/>
      <c r="P303" s="36"/>
      <c r="Q303" s="36"/>
    </row>
    <row r="304" spans="1:17" x14ac:dyDescent="0.25">
      <c r="A304" s="36">
        <v>1622</v>
      </c>
      <c r="B304" s="37">
        <v>44440</v>
      </c>
      <c r="C304" s="37">
        <v>44498.871887287591</v>
      </c>
      <c r="D304" s="36" t="s">
        <v>212</v>
      </c>
      <c r="E304" s="36"/>
      <c r="F304" s="38">
        <v>10956546</v>
      </c>
      <c r="G304" s="40">
        <f>VLOOKUP(A304,'DATOS GENERALES'!A:B,2,0)</f>
        <v>0.95</v>
      </c>
      <c r="H304" s="36">
        <f t="shared" si="20"/>
        <v>0.94562999999999986</v>
      </c>
      <c r="I304" s="38">
        <f t="shared" si="21"/>
        <v>11586504.235271726</v>
      </c>
      <c r="J304" s="38">
        <f t="shared" si="22"/>
        <v>-629958.2352717258</v>
      </c>
      <c r="K304" s="38" t="s">
        <v>213</v>
      </c>
      <c r="L304" s="38" t="str">
        <f t="shared" si="23"/>
        <v/>
      </c>
      <c r="M304" s="41">
        <f>VLOOKUP(INDICADORES!$B$21,'DATOS GENERALES'!$K:$M,3,0)*F304</f>
        <v>74570.540137063042</v>
      </c>
      <c r="N304" s="38" t="str">
        <f t="shared" si="24"/>
        <v/>
      </c>
      <c r="O304" s="36"/>
      <c r="P304" s="36"/>
      <c r="Q304" s="36"/>
    </row>
    <row r="305" spans="1:17" x14ac:dyDescent="0.25">
      <c r="A305" s="36">
        <v>1622</v>
      </c>
      <c r="B305" s="37">
        <v>44470</v>
      </c>
      <c r="C305" s="37">
        <v>44517.614707931891</v>
      </c>
      <c r="D305" s="36" t="s">
        <v>212</v>
      </c>
      <c r="E305" s="36"/>
      <c r="F305" s="38">
        <v>10956546</v>
      </c>
      <c r="G305" s="40">
        <f>VLOOKUP(A305,'DATOS GENERALES'!A:B,2,0)</f>
        <v>0.95</v>
      </c>
      <c r="H305" s="36">
        <f t="shared" si="20"/>
        <v>0.94562999999999986</v>
      </c>
      <c r="I305" s="38">
        <f t="shared" si="21"/>
        <v>11586504.235271726</v>
      </c>
      <c r="J305" s="38">
        <f t="shared" si="22"/>
        <v>-629958.2352717258</v>
      </c>
      <c r="K305" s="38" t="s">
        <v>213</v>
      </c>
      <c r="L305" s="38" t="str">
        <f t="shared" si="23"/>
        <v/>
      </c>
      <c r="M305" s="41">
        <f>VLOOKUP(INDICADORES!$B$21,'DATOS GENERALES'!$K:$M,3,0)*F305</f>
        <v>74570.540137063042</v>
      </c>
      <c r="N305" s="38" t="str">
        <f t="shared" si="24"/>
        <v/>
      </c>
      <c r="O305" s="36"/>
      <c r="P305" s="36"/>
      <c r="Q305" s="36"/>
    </row>
    <row r="306" spans="1:17" x14ac:dyDescent="0.25">
      <c r="A306" s="36">
        <v>1734</v>
      </c>
      <c r="B306" s="37">
        <v>43466</v>
      </c>
      <c r="C306" s="37">
        <v>43512.886966532154</v>
      </c>
      <c r="D306" s="36" t="s">
        <v>212</v>
      </c>
      <c r="E306" s="36"/>
      <c r="F306" s="38">
        <v>56127548.580235153</v>
      </c>
      <c r="G306" s="40">
        <f>VLOOKUP(A306,'DATOS GENERALES'!A:B,2,0)</f>
        <v>1.73</v>
      </c>
      <c r="H306" s="36">
        <f t="shared" si="20"/>
        <v>1.7220419999999999</v>
      </c>
      <c r="I306" s="38">
        <f t="shared" si="21"/>
        <v>32593600.260757379</v>
      </c>
      <c r="J306" s="38">
        <f t="shared" si="22"/>
        <v>23533948.319477774</v>
      </c>
      <c r="K306" s="38">
        <v>7151633.8192765992</v>
      </c>
      <c r="L306" s="38">
        <f t="shared" si="23"/>
        <v>16382314.500201175</v>
      </c>
      <c r="M306" s="41">
        <f>VLOOKUP(INDICADORES!$B$21,'DATOS GENERALES'!$K:$M,3,0)*F306</f>
        <v>382005.57129932928</v>
      </c>
      <c r="N306" s="38">
        <f t="shared" si="24"/>
        <v>16000308.928901846</v>
      </c>
      <c r="O306" s="36"/>
      <c r="P306" s="36"/>
      <c r="Q306" s="36"/>
    </row>
    <row r="307" spans="1:17" x14ac:dyDescent="0.25">
      <c r="A307" s="36">
        <v>1734</v>
      </c>
      <c r="B307" s="37">
        <v>43497</v>
      </c>
      <c r="C307" s="37">
        <v>43586.984011614957</v>
      </c>
      <c r="D307" s="36" t="s">
        <v>212</v>
      </c>
      <c r="E307" s="36"/>
      <c r="F307" s="38">
        <v>60393607.013095886</v>
      </c>
      <c r="G307" s="40">
        <f>VLOOKUP(A307,'DATOS GENERALES'!A:B,2,0)</f>
        <v>1.73</v>
      </c>
      <c r="H307" s="36">
        <f t="shared" si="20"/>
        <v>1.7220419999999999</v>
      </c>
      <c r="I307" s="38">
        <f t="shared" si="21"/>
        <v>35070925.68769861</v>
      </c>
      <c r="J307" s="38">
        <f t="shared" si="22"/>
        <v>25322681.325397275</v>
      </c>
      <c r="K307" s="38">
        <v>7580855.804261677</v>
      </c>
      <c r="L307" s="38">
        <f t="shared" si="23"/>
        <v>17741825.521135598</v>
      </c>
      <c r="M307" s="41">
        <f>VLOOKUP(INDICADORES!$B$21,'DATOS GENERALES'!$K:$M,3,0)*F307</f>
        <v>411040.47715329984</v>
      </c>
      <c r="N307" s="38">
        <f t="shared" si="24"/>
        <v>17330785.043982297</v>
      </c>
      <c r="O307" s="36"/>
      <c r="P307" s="36"/>
      <c r="Q307" s="36"/>
    </row>
    <row r="308" spans="1:17" x14ac:dyDescent="0.25">
      <c r="A308" s="36">
        <v>1734</v>
      </c>
      <c r="B308" s="37">
        <v>43525</v>
      </c>
      <c r="C308" s="37">
        <v>43554.84730915515</v>
      </c>
      <c r="D308" s="36" t="s">
        <v>212</v>
      </c>
      <c r="E308" s="36"/>
      <c r="F308" s="38">
        <v>60987214.319031961</v>
      </c>
      <c r="G308" s="40">
        <f>VLOOKUP(A308,'DATOS GENERALES'!A:B,2,0)</f>
        <v>1.73</v>
      </c>
      <c r="H308" s="36">
        <f t="shared" si="20"/>
        <v>1.7220419999999999</v>
      </c>
      <c r="I308" s="38">
        <f t="shared" si="21"/>
        <v>35415636.969964705</v>
      </c>
      <c r="J308" s="38">
        <f t="shared" si="22"/>
        <v>25571577.349067256</v>
      </c>
      <c r="K308" s="38">
        <v>5538563.6931466488</v>
      </c>
      <c r="L308" s="38">
        <f t="shared" si="23"/>
        <v>20033013.655920606</v>
      </c>
      <c r="M308" s="41">
        <f>VLOOKUP(INDICADORES!$B$21,'DATOS GENERALES'!$K:$M,3,0)*F308</f>
        <v>415080.58408416656</v>
      </c>
      <c r="N308" s="38">
        <f t="shared" si="24"/>
        <v>19617933.071836438</v>
      </c>
      <c r="O308" s="36"/>
      <c r="P308" s="36"/>
      <c r="Q308" s="36"/>
    </row>
    <row r="309" spans="1:17" x14ac:dyDescent="0.25">
      <c r="A309" s="36">
        <v>1734</v>
      </c>
      <c r="B309" s="37">
        <v>43556</v>
      </c>
      <c r="C309" s="37">
        <v>43632.086365675401</v>
      </c>
      <c r="D309" s="36" t="s">
        <v>212</v>
      </c>
      <c r="E309" s="36"/>
      <c r="F309" s="38">
        <v>64608218.885242015</v>
      </c>
      <c r="G309" s="40">
        <f>VLOOKUP(A309,'DATOS GENERALES'!A:B,2,0)</f>
        <v>1.73</v>
      </c>
      <c r="H309" s="36">
        <f t="shared" si="20"/>
        <v>1.7220419999999999</v>
      </c>
      <c r="I309" s="38">
        <f t="shared" si="21"/>
        <v>37518375.7917879</v>
      </c>
      <c r="J309" s="38">
        <f t="shared" si="22"/>
        <v>27089843.093454115</v>
      </c>
      <c r="K309" s="38">
        <v>6032135.3843921097</v>
      </c>
      <c r="L309" s="38">
        <f t="shared" si="23"/>
        <v>21057707.709062006</v>
      </c>
      <c r="M309" s="41">
        <f>VLOOKUP(INDICADORES!$B$21,'DATOS GENERALES'!$K:$M,3,0)*F309</f>
        <v>439725.23636245349</v>
      </c>
      <c r="N309" s="38">
        <f t="shared" si="24"/>
        <v>20617982.472699553</v>
      </c>
      <c r="O309" s="36"/>
      <c r="P309" s="36"/>
      <c r="Q309" s="36"/>
    </row>
    <row r="310" spans="1:17" x14ac:dyDescent="0.25">
      <c r="A310" s="36">
        <v>1734</v>
      </c>
      <c r="B310" s="37">
        <v>43586</v>
      </c>
      <c r="C310" s="37">
        <v>43647.022827913876</v>
      </c>
      <c r="D310" s="36" t="s">
        <v>212</v>
      </c>
      <c r="E310" s="36"/>
      <c r="F310" s="38">
        <v>67101369.570173509</v>
      </c>
      <c r="G310" s="40">
        <f>VLOOKUP(A310,'DATOS GENERALES'!A:B,2,0)</f>
        <v>1.73</v>
      </c>
      <c r="H310" s="36">
        <f t="shared" si="20"/>
        <v>1.7220419999999999</v>
      </c>
      <c r="I310" s="38">
        <f t="shared" si="21"/>
        <v>38966163.177305497</v>
      </c>
      <c r="J310" s="38">
        <f t="shared" si="22"/>
        <v>28135206.392868012</v>
      </c>
      <c r="K310" s="38">
        <v>5168110.9462621929</v>
      </c>
      <c r="L310" s="38">
        <f t="shared" si="23"/>
        <v>22967095.44660582</v>
      </c>
      <c r="M310" s="41">
        <f>VLOOKUP(INDICADORES!$B$21,'DATOS GENERALES'!$K:$M,3,0)*F310</f>
        <v>456693.68547209352</v>
      </c>
      <c r="N310" s="38">
        <f t="shared" si="24"/>
        <v>22510401.761133727</v>
      </c>
      <c r="O310" s="36"/>
      <c r="P310" s="36"/>
      <c r="Q310" s="36"/>
    </row>
    <row r="311" spans="1:17" x14ac:dyDescent="0.25">
      <c r="A311" s="36">
        <v>1734</v>
      </c>
      <c r="B311" s="37">
        <v>43617</v>
      </c>
      <c r="C311" s="37">
        <v>43663.629228947451</v>
      </c>
      <c r="D311" s="36" t="s">
        <v>212</v>
      </c>
      <c r="E311" s="36"/>
      <c r="F311" s="38">
        <v>68644748.565607309</v>
      </c>
      <c r="G311" s="40">
        <f>VLOOKUP(A311,'DATOS GENERALES'!A:B,2,0)</f>
        <v>1.73</v>
      </c>
      <c r="H311" s="36">
        <f t="shared" si="20"/>
        <v>1.7220419999999999</v>
      </c>
      <c r="I311" s="38">
        <f t="shared" si="21"/>
        <v>39862412.511197358</v>
      </c>
      <c r="J311" s="38">
        <f t="shared" si="22"/>
        <v>28782336.054409951</v>
      </c>
      <c r="K311" s="38">
        <v>5938344.5511116376</v>
      </c>
      <c r="L311" s="38">
        <f t="shared" si="23"/>
        <v>22843991.503298312</v>
      </c>
      <c r="M311" s="41">
        <f>VLOOKUP(INDICADORES!$B$21,'DATOS GENERALES'!$K:$M,3,0)*F311</f>
        <v>467197.96349234699</v>
      </c>
      <c r="N311" s="38">
        <f t="shared" si="24"/>
        <v>22376793.539805964</v>
      </c>
      <c r="O311" s="36"/>
      <c r="P311" s="36"/>
      <c r="Q311" s="36"/>
    </row>
    <row r="312" spans="1:17" x14ac:dyDescent="0.25">
      <c r="A312" s="36">
        <v>1734</v>
      </c>
      <c r="B312" s="37">
        <v>43647</v>
      </c>
      <c r="C312" s="37">
        <v>43661.727134555571</v>
      </c>
      <c r="D312" s="36" t="s">
        <v>212</v>
      </c>
      <c r="E312" s="36"/>
      <c r="F312" s="38">
        <v>85079795.189299077</v>
      </c>
      <c r="G312" s="40">
        <f>VLOOKUP(A312,'DATOS GENERALES'!A:B,2,0)</f>
        <v>1.73</v>
      </c>
      <c r="H312" s="36">
        <f t="shared" si="20"/>
        <v>1.7220419999999999</v>
      </c>
      <c r="I312" s="38">
        <f t="shared" si="21"/>
        <v>49406341.534816854</v>
      </c>
      <c r="J312" s="38">
        <f t="shared" si="22"/>
        <v>35673453.654482223</v>
      </c>
      <c r="K312" s="38">
        <v>12780967.275546269</v>
      </c>
      <c r="L312" s="38">
        <f t="shared" si="23"/>
        <v>22892486.378935955</v>
      </c>
      <c r="M312" s="41">
        <f>VLOOKUP(INDICADORES!$B$21,'DATOS GENERALES'!$K:$M,3,0)*F312</f>
        <v>579055.32291077229</v>
      </c>
      <c r="N312" s="38">
        <f t="shared" si="24"/>
        <v>22313431.056025185</v>
      </c>
      <c r="O312" s="36"/>
      <c r="P312" s="36"/>
      <c r="Q312" s="36"/>
    </row>
    <row r="313" spans="1:17" x14ac:dyDescent="0.25">
      <c r="A313" s="36">
        <v>1734</v>
      </c>
      <c r="B313" s="37">
        <v>43678</v>
      </c>
      <c r="C313" s="37">
        <v>43742.770176929873</v>
      </c>
      <c r="D313" s="36" t="s">
        <v>212</v>
      </c>
      <c r="E313" s="36"/>
      <c r="F313" s="38">
        <v>89917694.732678071</v>
      </c>
      <c r="G313" s="40">
        <f>VLOOKUP(A313,'DATOS GENERALES'!A:B,2,0)</f>
        <v>1.73</v>
      </c>
      <c r="H313" s="36">
        <f t="shared" si="20"/>
        <v>1.7220419999999999</v>
      </c>
      <c r="I313" s="38">
        <f t="shared" si="21"/>
        <v>52215738.485285535</v>
      </c>
      <c r="J313" s="38">
        <f t="shared" si="22"/>
        <v>37701956.247392535</v>
      </c>
      <c r="K313" s="38">
        <v>13563946.638803456</v>
      </c>
      <c r="L313" s="38">
        <f t="shared" si="23"/>
        <v>24138009.608589079</v>
      </c>
      <c r="M313" s="41">
        <f>VLOOKUP(INDICADORES!$B$21,'DATOS GENERALES'!$K:$M,3,0)*F313</f>
        <v>611982.19439733576</v>
      </c>
      <c r="N313" s="38">
        <f t="shared" si="24"/>
        <v>23526027.414191745</v>
      </c>
      <c r="O313" s="36"/>
      <c r="P313" s="36"/>
      <c r="Q313" s="36"/>
    </row>
    <row r="314" spans="1:17" x14ac:dyDescent="0.25">
      <c r="A314" s="36">
        <v>1734</v>
      </c>
      <c r="B314" s="37">
        <v>43709</v>
      </c>
      <c r="C314" s="37">
        <v>43776.484158864077</v>
      </c>
      <c r="D314" s="36" t="s">
        <v>212</v>
      </c>
      <c r="E314" s="36"/>
      <c r="F314" s="38">
        <v>87216781.490668952</v>
      </c>
      <c r="G314" s="40">
        <f>VLOOKUP(A314,'DATOS GENERALES'!A:B,2,0)</f>
        <v>1.73</v>
      </c>
      <c r="H314" s="36">
        <f t="shared" si="20"/>
        <v>1.7220419999999999</v>
      </c>
      <c r="I314" s="38">
        <f t="shared" si="21"/>
        <v>50647302.15097481</v>
      </c>
      <c r="J314" s="38">
        <f t="shared" si="22"/>
        <v>36569479.339694142</v>
      </c>
      <c r="K314" s="38">
        <v>14521654.531019621</v>
      </c>
      <c r="L314" s="38">
        <f t="shared" si="23"/>
        <v>22047824.808674522</v>
      </c>
      <c r="M314" s="41">
        <f>VLOOKUP(INDICADORES!$B$21,'DATOS GENERALES'!$K:$M,3,0)*F314</f>
        <v>593599.70786189241</v>
      </c>
      <c r="N314" s="38">
        <f t="shared" si="24"/>
        <v>21454225.100812629</v>
      </c>
      <c r="O314" s="36"/>
      <c r="P314" s="36"/>
      <c r="Q314" s="36"/>
    </row>
    <row r="315" spans="1:17" x14ac:dyDescent="0.25">
      <c r="A315" s="36">
        <v>1734</v>
      </c>
      <c r="B315" s="37">
        <v>43739</v>
      </c>
      <c r="C315" s="37">
        <v>43809.564495037113</v>
      </c>
      <c r="D315" s="36" t="s">
        <v>212</v>
      </c>
      <c r="E315" s="36"/>
      <c r="F315" s="38">
        <v>88225913.910760283</v>
      </c>
      <c r="G315" s="40">
        <f>VLOOKUP(A315,'DATOS GENERALES'!A:B,2,0)</f>
        <v>1.73</v>
      </c>
      <c r="H315" s="36">
        <f t="shared" si="20"/>
        <v>1.7220419999999999</v>
      </c>
      <c r="I315" s="38">
        <f t="shared" si="21"/>
        <v>51233311.330827177</v>
      </c>
      <c r="J315" s="38">
        <f t="shared" si="22"/>
        <v>36992602.579933107</v>
      </c>
      <c r="K315" s="38">
        <v>15941871.703236323</v>
      </c>
      <c r="L315" s="38">
        <f t="shared" si="23"/>
        <v>21050730.876696784</v>
      </c>
      <c r="M315" s="41">
        <f>VLOOKUP(INDICADORES!$B$21,'DATOS GENERALES'!$K:$M,3,0)*F315</f>
        <v>600467.88964436587</v>
      </c>
      <c r="N315" s="38">
        <f t="shared" si="24"/>
        <v>20450262.987052418</v>
      </c>
      <c r="O315" s="36"/>
      <c r="P315" s="36"/>
      <c r="Q315" s="36"/>
    </row>
    <row r="316" spans="1:17" x14ac:dyDescent="0.25">
      <c r="A316" s="36">
        <v>1734</v>
      </c>
      <c r="B316" s="37">
        <v>43770</v>
      </c>
      <c r="C316" s="37">
        <v>43834.189524287736</v>
      </c>
      <c r="D316" s="36" t="s">
        <v>212</v>
      </c>
      <c r="E316" s="36"/>
      <c r="F316" s="38">
        <v>89977055.463271677</v>
      </c>
      <c r="G316" s="40">
        <f>VLOOKUP(A316,'DATOS GENERALES'!A:B,2,0)</f>
        <v>1.73</v>
      </c>
      <c r="H316" s="36">
        <f t="shared" si="20"/>
        <v>1.7220419999999999</v>
      </c>
      <c r="I316" s="38">
        <f t="shared" si="21"/>
        <v>52250209.613512151</v>
      </c>
      <c r="J316" s="38">
        <f t="shared" si="22"/>
        <v>37726845.849759527</v>
      </c>
      <c r="K316" s="38">
        <v>21335699.481513288</v>
      </c>
      <c r="L316" s="38">
        <f t="shared" si="23"/>
        <v>16391146.368246239</v>
      </c>
      <c r="M316" s="41">
        <f>VLOOKUP(INDICADORES!$B$21,'DATOS GENERALES'!$K:$M,3,0)*F316</f>
        <v>612386.20509042253</v>
      </c>
      <c r="N316" s="38">
        <f t="shared" si="24"/>
        <v>15778760.163155816</v>
      </c>
      <c r="O316" s="36"/>
      <c r="P316" s="36"/>
      <c r="Q316" s="36"/>
    </row>
    <row r="317" spans="1:17" x14ac:dyDescent="0.25">
      <c r="A317" s="36">
        <v>1734</v>
      </c>
      <c r="B317" s="37">
        <v>43800</v>
      </c>
      <c r="C317" s="37">
        <v>43875.413526433702</v>
      </c>
      <c r="D317" s="36" t="s">
        <v>212</v>
      </c>
      <c r="E317" s="36"/>
      <c r="F317" s="38">
        <v>84456507.518066227</v>
      </c>
      <c r="G317" s="40">
        <f>VLOOKUP(A317,'DATOS GENERALES'!A:B,2,0)</f>
        <v>1.73</v>
      </c>
      <c r="H317" s="36">
        <f t="shared" si="20"/>
        <v>1.7220419999999999</v>
      </c>
      <c r="I317" s="38">
        <f t="shared" si="21"/>
        <v>49044394.688437469</v>
      </c>
      <c r="J317" s="38">
        <f t="shared" si="22"/>
        <v>35412112.829628758</v>
      </c>
      <c r="K317" s="38">
        <v>17273974.397290938</v>
      </c>
      <c r="L317" s="38">
        <f t="shared" si="23"/>
        <v>18138138.432337821</v>
      </c>
      <c r="M317" s="41">
        <f>VLOOKUP(INDICADORES!$B$21,'DATOS GENERALES'!$K:$M,3,0)*F317</f>
        <v>574813.21063336241</v>
      </c>
      <c r="N317" s="38">
        <f t="shared" si="24"/>
        <v>17563325.221704457</v>
      </c>
      <c r="O317" s="36"/>
      <c r="P317" s="36"/>
      <c r="Q317" s="36"/>
    </row>
    <row r="318" spans="1:17" x14ac:dyDescent="0.25">
      <c r="A318" s="36">
        <v>1734</v>
      </c>
      <c r="B318" s="37">
        <v>43831</v>
      </c>
      <c r="C318" s="37">
        <v>43886.259709253834</v>
      </c>
      <c r="D318" s="36" t="s">
        <v>212</v>
      </c>
      <c r="E318" s="36"/>
      <c r="F318" s="38">
        <v>84812671.901627824</v>
      </c>
      <c r="G318" s="40">
        <f>VLOOKUP(A318,'DATOS GENERALES'!A:B,2,0)</f>
        <v>1.73</v>
      </c>
      <c r="H318" s="36">
        <f t="shared" si="20"/>
        <v>1.7220419999999999</v>
      </c>
      <c r="I318" s="38">
        <f t="shared" si="21"/>
        <v>49251221.457797095</v>
      </c>
      <c r="J318" s="38">
        <f t="shared" si="22"/>
        <v>35561450.443830729</v>
      </c>
      <c r="K318" s="38" t="s">
        <v>213</v>
      </c>
      <c r="L318" s="38" t="str">
        <f t="shared" si="23"/>
        <v/>
      </c>
      <c r="M318" s="41">
        <f>VLOOKUP(INDICADORES!$B$21,'DATOS GENERALES'!$K:$M,3,0)*F318</f>
        <v>577237.27479188202</v>
      </c>
      <c r="N318" s="38" t="str">
        <f t="shared" si="24"/>
        <v/>
      </c>
      <c r="O318" s="36"/>
      <c r="P318" s="36"/>
      <c r="Q318" s="36"/>
    </row>
    <row r="319" spans="1:17" x14ac:dyDescent="0.25">
      <c r="A319" s="36">
        <v>1734</v>
      </c>
      <c r="B319" s="37">
        <v>43862</v>
      </c>
      <c r="C319" s="37">
        <v>43931.37145490379</v>
      </c>
      <c r="D319" s="36" t="s">
        <v>212</v>
      </c>
      <c r="E319" s="36"/>
      <c r="F319" s="38">
        <v>87038699.298888147</v>
      </c>
      <c r="G319" s="40">
        <f>VLOOKUP(A319,'DATOS GENERALES'!A:B,2,0)</f>
        <v>1.73</v>
      </c>
      <c r="H319" s="36">
        <f t="shared" si="20"/>
        <v>1.7220419999999999</v>
      </c>
      <c r="I319" s="38">
        <f t="shared" si="21"/>
        <v>50543888.766294986</v>
      </c>
      <c r="J319" s="38">
        <f t="shared" si="22"/>
        <v>36494810.532593161</v>
      </c>
      <c r="K319" s="38" t="s">
        <v>213</v>
      </c>
      <c r="L319" s="38" t="str">
        <f t="shared" si="23"/>
        <v/>
      </c>
      <c r="M319" s="41">
        <f>VLOOKUP(INDICADORES!$B$21,'DATOS GENERALES'!$K:$M,3,0)*F319</f>
        <v>592387.67578263255</v>
      </c>
      <c r="N319" s="38" t="str">
        <f t="shared" si="24"/>
        <v/>
      </c>
      <c r="O319" s="36"/>
      <c r="P319" s="36"/>
      <c r="Q319" s="36"/>
    </row>
    <row r="320" spans="1:17" x14ac:dyDescent="0.25">
      <c r="A320" s="36">
        <v>1734</v>
      </c>
      <c r="B320" s="37">
        <v>43891</v>
      </c>
      <c r="C320" s="37">
        <v>43921.055934942626</v>
      </c>
      <c r="D320" s="36" t="s">
        <v>212</v>
      </c>
      <c r="E320" s="36"/>
      <c r="F320" s="38">
        <v>84219064.595691785</v>
      </c>
      <c r="G320" s="40">
        <f>VLOOKUP(A320,'DATOS GENERALES'!A:B,2,0)</f>
        <v>1.73</v>
      </c>
      <c r="H320" s="36">
        <f t="shared" si="20"/>
        <v>1.7220419999999999</v>
      </c>
      <c r="I320" s="38">
        <f t="shared" si="21"/>
        <v>48906510.175531022</v>
      </c>
      <c r="J320" s="38">
        <f t="shared" si="22"/>
        <v>35312554.420160763</v>
      </c>
      <c r="K320" s="38" t="s">
        <v>213</v>
      </c>
      <c r="L320" s="38" t="str">
        <f t="shared" si="23"/>
        <v/>
      </c>
      <c r="M320" s="41">
        <f>VLOOKUP(INDICADORES!$B$21,'DATOS GENERALES'!$K:$M,3,0)*F320</f>
        <v>573197.16786101565</v>
      </c>
      <c r="N320" s="38" t="str">
        <f t="shared" si="24"/>
        <v/>
      </c>
      <c r="O320" s="36"/>
      <c r="P320" s="36"/>
      <c r="Q320" s="36"/>
    </row>
    <row r="321" spans="1:17" x14ac:dyDescent="0.25">
      <c r="A321" s="36">
        <v>1734</v>
      </c>
      <c r="B321" s="37">
        <v>43922</v>
      </c>
      <c r="C321" s="37">
        <v>43960.029789252629</v>
      </c>
      <c r="D321" s="36" t="s">
        <v>212</v>
      </c>
      <c r="E321" s="36"/>
      <c r="F321" s="38">
        <v>86415411.627655238</v>
      </c>
      <c r="G321" s="40">
        <f>VLOOKUP(A321,'DATOS GENERALES'!A:B,2,0)</f>
        <v>1.73</v>
      </c>
      <c r="H321" s="36">
        <f t="shared" si="20"/>
        <v>1.7220419999999999</v>
      </c>
      <c r="I321" s="38">
        <f t="shared" si="21"/>
        <v>50181941.919915572</v>
      </c>
      <c r="J321" s="38">
        <f t="shared" si="22"/>
        <v>36233469.707739666</v>
      </c>
      <c r="K321" s="38" t="s">
        <v>213</v>
      </c>
      <c r="L321" s="38" t="str">
        <f t="shared" si="23"/>
        <v/>
      </c>
      <c r="M321" s="41">
        <f>VLOOKUP(INDICADORES!$B$21,'DATOS GENERALES'!$K:$M,3,0)*F321</f>
        <v>588145.56350522232</v>
      </c>
      <c r="N321" s="38" t="str">
        <f t="shared" si="24"/>
        <v/>
      </c>
      <c r="O321" s="36"/>
      <c r="P321" s="36"/>
      <c r="Q321" s="36"/>
    </row>
    <row r="322" spans="1:17" x14ac:dyDescent="0.25">
      <c r="A322" s="36">
        <v>1734</v>
      </c>
      <c r="B322" s="37">
        <v>43952</v>
      </c>
      <c r="C322" s="37">
        <v>44030.499592113461</v>
      </c>
      <c r="D322" s="36" t="s">
        <v>212</v>
      </c>
      <c r="E322" s="36"/>
      <c r="F322" s="38">
        <v>86919977.837700903</v>
      </c>
      <c r="G322" s="40">
        <f>VLOOKUP(A322,'DATOS GENERALES'!A:B,2,0)</f>
        <v>1.73</v>
      </c>
      <c r="H322" s="36">
        <f t="shared" si="20"/>
        <v>1.7220419999999999</v>
      </c>
      <c r="I322" s="38">
        <f t="shared" si="21"/>
        <v>50474946.509841755</v>
      </c>
      <c r="J322" s="38">
        <f t="shared" si="22"/>
        <v>36445031.327859148</v>
      </c>
      <c r="K322" s="38" t="s">
        <v>213</v>
      </c>
      <c r="L322" s="38" t="str">
        <f t="shared" si="23"/>
        <v/>
      </c>
      <c r="M322" s="41">
        <f>VLOOKUP(INDICADORES!$B$21,'DATOS GENERALES'!$K:$M,3,0)*F322</f>
        <v>591579.65439645899</v>
      </c>
      <c r="N322" s="38" t="str">
        <f t="shared" si="24"/>
        <v/>
      </c>
      <c r="O322" s="36"/>
      <c r="P322" s="36"/>
      <c r="Q322" s="36"/>
    </row>
    <row r="323" spans="1:17" x14ac:dyDescent="0.25">
      <c r="A323" s="36">
        <v>1734</v>
      </c>
      <c r="B323" s="37">
        <v>43983</v>
      </c>
      <c r="C323" s="37">
        <v>44065.178916475161</v>
      </c>
      <c r="D323" s="36" t="s">
        <v>212</v>
      </c>
      <c r="E323" s="36"/>
      <c r="F323" s="38">
        <v>82467923.043180406</v>
      </c>
      <c r="G323" s="40">
        <f>VLOOKUP(A323,'DATOS GENERALES'!A:B,2,0)</f>
        <v>1.73</v>
      </c>
      <c r="H323" s="36">
        <f t="shared" ref="H323:H386" si="25">G323*0.9954</f>
        <v>1.7220419999999999</v>
      </c>
      <c r="I323" s="38">
        <f t="shared" ref="I323:I386" si="26">F323/H323</f>
        <v>47889611.892846063</v>
      </c>
      <c r="J323" s="38">
        <f t="shared" ref="J323:J386" si="27">F323-I323</f>
        <v>34578311.150334343</v>
      </c>
      <c r="K323" s="38" t="s">
        <v>213</v>
      </c>
      <c r="L323" s="38" t="str">
        <f t="shared" ref="L323:L386" si="28">IFERROR(J323-K323,"")</f>
        <v/>
      </c>
      <c r="M323" s="41">
        <f>VLOOKUP(INDICADORES!$B$21,'DATOS GENERALES'!$K:$M,3,0)*F323</f>
        <v>561278.85241495911</v>
      </c>
      <c r="N323" s="38" t="str">
        <f t="shared" ref="N323:N386" si="29">IFERROR(L323-M323,"")</f>
        <v/>
      </c>
      <c r="O323" s="36"/>
      <c r="P323" s="36"/>
      <c r="Q323" s="36"/>
    </row>
    <row r="324" spans="1:17" x14ac:dyDescent="0.25">
      <c r="A324" s="36">
        <v>1734</v>
      </c>
      <c r="B324" s="37">
        <v>44013</v>
      </c>
      <c r="C324" s="37">
        <v>44077.51805012516</v>
      </c>
      <c r="D324" s="36" t="s">
        <v>212</v>
      </c>
      <c r="E324" s="36"/>
      <c r="F324" s="38">
        <v>81013585.143636942</v>
      </c>
      <c r="G324" s="40">
        <f>VLOOKUP(A324,'DATOS GENERALES'!A:B,2,0)</f>
        <v>1.73</v>
      </c>
      <c r="H324" s="36">
        <f t="shared" si="25"/>
        <v>1.7220419999999999</v>
      </c>
      <c r="I324" s="38">
        <f t="shared" si="26"/>
        <v>47045069.251294076</v>
      </c>
      <c r="J324" s="38">
        <f t="shared" si="27"/>
        <v>33968515.892342865</v>
      </c>
      <c r="K324" s="38" t="s">
        <v>213</v>
      </c>
      <c r="L324" s="38" t="str">
        <f t="shared" si="28"/>
        <v/>
      </c>
      <c r="M324" s="41">
        <f>VLOOKUP(INDICADORES!$B$21,'DATOS GENERALES'!$K:$M,3,0)*F324</f>
        <v>551380.59043433517</v>
      </c>
      <c r="N324" s="38" t="str">
        <f t="shared" si="29"/>
        <v/>
      </c>
      <c r="O324" s="36"/>
      <c r="P324" s="36"/>
      <c r="Q324" s="36"/>
    </row>
    <row r="325" spans="1:17" x14ac:dyDescent="0.25">
      <c r="A325" s="36">
        <v>1734</v>
      </c>
      <c r="B325" s="37">
        <v>44044</v>
      </c>
      <c r="C325" s="37">
        <v>44089.561526252481</v>
      </c>
      <c r="D325" s="36" t="s">
        <v>212</v>
      </c>
      <c r="E325" s="36"/>
      <c r="F325" s="38">
        <v>80894863.682449803</v>
      </c>
      <c r="G325" s="40">
        <f>VLOOKUP(A325,'DATOS GENERALES'!A:B,2,0)</f>
        <v>1.73</v>
      </c>
      <c r="H325" s="36">
        <f t="shared" si="25"/>
        <v>1.7220419999999999</v>
      </c>
      <c r="I325" s="38">
        <f t="shared" si="26"/>
        <v>46976126.994840898</v>
      </c>
      <c r="J325" s="38">
        <f t="shared" si="27"/>
        <v>33918736.687608905</v>
      </c>
      <c r="K325" s="38" t="s">
        <v>213</v>
      </c>
      <c r="L325" s="38" t="str">
        <f t="shared" si="28"/>
        <v/>
      </c>
      <c r="M325" s="41">
        <f>VLOOKUP(INDICADORES!$B$21,'DATOS GENERALES'!$K:$M,3,0)*F325</f>
        <v>550572.56904816232</v>
      </c>
      <c r="N325" s="38" t="str">
        <f t="shared" si="29"/>
        <v/>
      </c>
      <c r="O325" s="36"/>
      <c r="P325" s="36"/>
      <c r="Q325" s="36"/>
    </row>
    <row r="326" spans="1:17" x14ac:dyDescent="0.25">
      <c r="A326" s="36">
        <v>1734</v>
      </c>
      <c r="B326" s="37">
        <v>44075</v>
      </c>
      <c r="C326" s="37">
        <v>44157.517764642522</v>
      </c>
      <c r="D326" s="36" t="s">
        <v>212</v>
      </c>
      <c r="E326" s="36"/>
      <c r="F326" s="38">
        <v>78609475.554595888</v>
      </c>
      <c r="G326" s="40">
        <f>VLOOKUP(A326,'DATOS GENERALES'!A:B,2,0)</f>
        <v>1.73</v>
      </c>
      <c r="H326" s="36">
        <f t="shared" si="25"/>
        <v>1.7220419999999999</v>
      </c>
      <c r="I326" s="38">
        <f t="shared" si="26"/>
        <v>45648988.558116406</v>
      </c>
      <c r="J326" s="38">
        <f t="shared" si="27"/>
        <v>32960486.996479481</v>
      </c>
      <c r="K326" s="38" t="s">
        <v>213</v>
      </c>
      <c r="L326" s="38" t="str">
        <f t="shared" si="28"/>
        <v/>
      </c>
      <c r="M326" s="41">
        <f>VLOOKUP(INDICADORES!$B$21,'DATOS GENERALES'!$K:$M,3,0)*F326</f>
        <v>535018.15736432525</v>
      </c>
      <c r="N326" s="38" t="str">
        <f t="shared" si="29"/>
        <v/>
      </c>
      <c r="O326" s="36"/>
      <c r="P326" s="36"/>
      <c r="Q326" s="36"/>
    </row>
    <row r="327" spans="1:17" x14ac:dyDescent="0.25">
      <c r="A327" s="36">
        <v>1888</v>
      </c>
      <c r="B327" s="37">
        <v>43525</v>
      </c>
      <c r="C327" s="37">
        <v>43583.293532971795</v>
      </c>
      <c r="D327" s="36" t="s">
        <v>212</v>
      </c>
      <c r="E327" s="36"/>
      <c r="F327" s="38">
        <v>50337339</v>
      </c>
      <c r="G327" s="40">
        <f>VLOOKUP(A327,'DATOS GENERALES'!A:B,2,0)</f>
        <v>1</v>
      </c>
      <c r="H327" s="36">
        <f t="shared" si="25"/>
        <v>0.99539999999999995</v>
      </c>
      <c r="I327" s="38">
        <f t="shared" si="26"/>
        <v>50569960.819770947</v>
      </c>
      <c r="J327" s="38">
        <f t="shared" si="27"/>
        <v>-232621.8197709471</v>
      </c>
      <c r="K327" s="38">
        <v>7908510.8421956766</v>
      </c>
      <c r="L327" s="38">
        <f t="shared" si="28"/>
        <v>-8141132.6619666237</v>
      </c>
      <c r="M327" s="41">
        <f>VLOOKUP(INDICADORES!$B$21,'DATOS GENERALES'!$K:$M,3,0)*F327</f>
        <v>342597.25266452116</v>
      </c>
      <c r="N327" s="38">
        <f t="shared" si="29"/>
        <v>-8483729.9146311451</v>
      </c>
      <c r="O327" s="36"/>
      <c r="P327" s="36"/>
      <c r="Q327" s="36"/>
    </row>
    <row r="328" spans="1:17" x14ac:dyDescent="0.25">
      <c r="A328" s="36">
        <v>1888</v>
      </c>
      <c r="B328" s="37">
        <v>43556</v>
      </c>
      <c r="C328" s="37">
        <v>43633.948741187392</v>
      </c>
      <c r="D328" s="36" t="s">
        <v>212</v>
      </c>
      <c r="E328" s="36"/>
      <c r="F328" s="38">
        <v>50337339</v>
      </c>
      <c r="G328" s="40">
        <f>VLOOKUP(A328,'DATOS GENERALES'!A:B,2,0)</f>
        <v>1</v>
      </c>
      <c r="H328" s="36">
        <f t="shared" si="25"/>
        <v>0.99539999999999995</v>
      </c>
      <c r="I328" s="38">
        <f t="shared" si="26"/>
        <v>50569960.819770947</v>
      </c>
      <c r="J328" s="38">
        <f t="shared" si="27"/>
        <v>-232621.8197709471</v>
      </c>
      <c r="K328" s="38">
        <v>8130545.1958032735</v>
      </c>
      <c r="L328" s="38">
        <f t="shared" si="28"/>
        <v>-8363167.0155742206</v>
      </c>
      <c r="M328" s="41">
        <f>VLOOKUP(INDICADORES!$B$21,'DATOS GENERALES'!$K:$M,3,0)*F328</f>
        <v>342597.25266452116</v>
      </c>
      <c r="N328" s="38">
        <f t="shared" si="29"/>
        <v>-8705764.2682387419</v>
      </c>
      <c r="O328" s="36"/>
      <c r="P328" s="36"/>
      <c r="Q328" s="36"/>
    </row>
    <row r="329" spans="1:17" x14ac:dyDescent="0.25">
      <c r="A329" s="36">
        <v>1888</v>
      </c>
      <c r="B329" s="37">
        <v>43586</v>
      </c>
      <c r="C329" s="37">
        <v>43684.36982952449</v>
      </c>
      <c r="D329" s="36" t="s">
        <v>212</v>
      </c>
      <c r="E329" s="36"/>
      <c r="F329" s="38">
        <v>50337339</v>
      </c>
      <c r="G329" s="40">
        <f>VLOOKUP(A329,'DATOS GENERALES'!A:B,2,0)</f>
        <v>1</v>
      </c>
      <c r="H329" s="36">
        <f t="shared" si="25"/>
        <v>0.99539999999999995</v>
      </c>
      <c r="I329" s="38">
        <f t="shared" si="26"/>
        <v>50569960.819770947</v>
      </c>
      <c r="J329" s="38">
        <f t="shared" si="27"/>
        <v>-232621.8197709471</v>
      </c>
      <c r="K329" s="38">
        <v>6707131.1813661829</v>
      </c>
      <c r="L329" s="38">
        <f t="shared" si="28"/>
        <v>-6939753.00113713</v>
      </c>
      <c r="M329" s="41">
        <f>VLOOKUP(INDICADORES!$B$21,'DATOS GENERALES'!$K:$M,3,0)*F329</f>
        <v>342597.25266452116</v>
      </c>
      <c r="N329" s="38">
        <f t="shared" si="29"/>
        <v>-7282350.2538016513</v>
      </c>
      <c r="O329" s="36"/>
      <c r="P329" s="36"/>
      <c r="Q329" s="36"/>
    </row>
    <row r="330" spans="1:17" x14ac:dyDescent="0.25">
      <c r="A330" s="36">
        <v>1888</v>
      </c>
      <c r="B330" s="37">
        <v>43617</v>
      </c>
      <c r="C330" s="37">
        <v>43650.813157042576</v>
      </c>
      <c r="D330" s="36" t="s">
        <v>212</v>
      </c>
      <c r="E330" s="36"/>
      <c r="F330" s="38">
        <v>50337339</v>
      </c>
      <c r="G330" s="40">
        <f>VLOOKUP(A330,'DATOS GENERALES'!A:B,2,0)</f>
        <v>1</v>
      </c>
      <c r="H330" s="36">
        <f t="shared" si="25"/>
        <v>0.99539999999999995</v>
      </c>
      <c r="I330" s="38">
        <f t="shared" si="26"/>
        <v>50569960.819770947</v>
      </c>
      <c r="J330" s="38">
        <f t="shared" si="27"/>
        <v>-232621.8197709471</v>
      </c>
      <c r="K330" s="38">
        <v>7533459.0248309979</v>
      </c>
      <c r="L330" s="38">
        <f t="shared" si="28"/>
        <v>-7766080.844601945</v>
      </c>
      <c r="M330" s="41">
        <f>VLOOKUP(INDICADORES!$B$21,'DATOS GENERALES'!$K:$M,3,0)*F330</f>
        <v>342597.25266452116</v>
      </c>
      <c r="N330" s="38">
        <f t="shared" si="29"/>
        <v>-8108678.0972664664</v>
      </c>
      <c r="O330" s="36"/>
      <c r="P330" s="36"/>
      <c r="Q330" s="36"/>
    </row>
    <row r="331" spans="1:17" x14ac:dyDescent="0.25">
      <c r="A331" s="36">
        <v>1888</v>
      </c>
      <c r="B331" s="37">
        <v>43647</v>
      </c>
      <c r="C331" s="37">
        <v>43699.094746035495</v>
      </c>
      <c r="D331" s="36" t="s">
        <v>212</v>
      </c>
      <c r="E331" s="36"/>
      <c r="F331" s="38">
        <v>39863714</v>
      </c>
      <c r="G331" s="40">
        <f>VLOOKUP(A331,'DATOS GENERALES'!A:B,2,0)</f>
        <v>1</v>
      </c>
      <c r="H331" s="36">
        <f t="shared" si="25"/>
        <v>0.99539999999999995</v>
      </c>
      <c r="I331" s="38">
        <f t="shared" si="26"/>
        <v>40047934.498693995</v>
      </c>
      <c r="J331" s="38">
        <f t="shared" si="27"/>
        <v>-184220.49869399518</v>
      </c>
      <c r="K331" s="38">
        <v>10360033.234201822</v>
      </c>
      <c r="L331" s="38">
        <f t="shared" si="28"/>
        <v>-10544253.732895818</v>
      </c>
      <c r="M331" s="41">
        <f>VLOOKUP(INDICADORES!$B$21,'DATOS GENERALES'!$K:$M,3,0)*F331</f>
        <v>271313.48555004486</v>
      </c>
      <c r="N331" s="38">
        <f t="shared" si="29"/>
        <v>-10815567.218445862</v>
      </c>
      <c r="O331" s="36"/>
      <c r="P331" s="36"/>
      <c r="Q331" s="36"/>
    </row>
    <row r="332" spans="1:17" x14ac:dyDescent="0.25">
      <c r="A332" s="36">
        <v>1888</v>
      </c>
      <c r="B332" s="37">
        <v>43678</v>
      </c>
      <c r="C332" s="37">
        <v>43739.781993943223</v>
      </c>
      <c r="D332" s="36" t="s">
        <v>212</v>
      </c>
      <c r="E332" s="36"/>
      <c r="F332" s="38">
        <v>39863714</v>
      </c>
      <c r="G332" s="40">
        <f>VLOOKUP(A332,'DATOS GENERALES'!A:B,2,0)</f>
        <v>1</v>
      </c>
      <c r="H332" s="36">
        <f t="shared" si="25"/>
        <v>0.99539999999999995</v>
      </c>
      <c r="I332" s="38">
        <f t="shared" si="26"/>
        <v>40047934.498693995</v>
      </c>
      <c r="J332" s="38">
        <f t="shared" si="27"/>
        <v>-184220.49869399518</v>
      </c>
      <c r="K332" s="38">
        <v>10403147.830374137</v>
      </c>
      <c r="L332" s="38">
        <f t="shared" si="28"/>
        <v>-10587368.329068132</v>
      </c>
      <c r="M332" s="41">
        <f>VLOOKUP(INDICADORES!$B$21,'DATOS GENERALES'!$K:$M,3,0)*F332</f>
        <v>271313.48555004486</v>
      </c>
      <c r="N332" s="38">
        <f t="shared" si="29"/>
        <v>-10858681.814618176</v>
      </c>
      <c r="O332" s="36"/>
      <c r="P332" s="36"/>
      <c r="Q332" s="36"/>
    </row>
    <row r="333" spans="1:17" x14ac:dyDescent="0.25">
      <c r="A333" s="36">
        <v>1888</v>
      </c>
      <c r="B333" s="37">
        <v>43709</v>
      </c>
      <c r="C333" s="37">
        <v>43786.916092884479</v>
      </c>
      <c r="D333" s="36" t="s">
        <v>212</v>
      </c>
      <c r="E333" s="36"/>
      <c r="F333" s="38">
        <v>39863714</v>
      </c>
      <c r="G333" s="40">
        <f>VLOOKUP(A333,'DATOS GENERALES'!A:B,2,0)</f>
        <v>1</v>
      </c>
      <c r="H333" s="36">
        <f t="shared" si="25"/>
        <v>0.99539999999999995</v>
      </c>
      <c r="I333" s="38">
        <f t="shared" si="26"/>
        <v>40047934.498693995</v>
      </c>
      <c r="J333" s="38">
        <f t="shared" si="27"/>
        <v>-184220.49869399518</v>
      </c>
      <c r="K333" s="38">
        <v>11482591.268876566</v>
      </c>
      <c r="L333" s="38">
        <f t="shared" si="28"/>
        <v>-11666811.767570561</v>
      </c>
      <c r="M333" s="41">
        <f>VLOOKUP(INDICADORES!$B$21,'DATOS GENERALES'!$K:$M,3,0)*F333</f>
        <v>271313.48555004486</v>
      </c>
      <c r="N333" s="38">
        <f t="shared" si="29"/>
        <v>-11938125.253120605</v>
      </c>
      <c r="O333" s="36"/>
      <c r="P333" s="36"/>
      <c r="Q333" s="36"/>
    </row>
    <row r="334" spans="1:17" x14ac:dyDescent="0.25">
      <c r="A334" s="36">
        <v>1888</v>
      </c>
      <c r="B334" s="37">
        <v>43739</v>
      </c>
      <c r="C334" s="37">
        <v>43807.543040138749</v>
      </c>
      <c r="D334" s="36" t="s">
        <v>212</v>
      </c>
      <c r="E334" s="36"/>
      <c r="F334" s="38">
        <v>39863714</v>
      </c>
      <c r="G334" s="40">
        <f>VLOOKUP(A334,'DATOS GENERALES'!A:B,2,0)</f>
        <v>1</v>
      </c>
      <c r="H334" s="36">
        <f t="shared" si="25"/>
        <v>0.99539999999999995</v>
      </c>
      <c r="I334" s="38">
        <f t="shared" si="26"/>
        <v>40047934.498693995</v>
      </c>
      <c r="J334" s="38">
        <f t="shared" si="27"/>
        <v>-184220.49869399518</v>
      </c>
      <c r="K334" s="38">
        <v>12461404.839426056</v>
      </c>
      <c r="L334" s="38">
        <f t="shared" si="28"/>
        <v>-12645625.338120051</v>
      </c>
      <c r="M334" s="41">
        <f>VLOOKUP(INDICADORES!$B$21,'DATOS GENERALES'!$K:$M,3,0)*F334</f>
        <v>271313.48555004486</v>
      </c>
      <c r="N334" s="38">
        <f t="shared" si="29"/>
        <v>-12916938.823670095</v>
      </c>
      <c r="O334" s="36"/>
      <c r="P334" s="36"/>
      <c r="Q334" s="36"/>
    </row>
    <row r="335" spans="1:17" x14ac:dyDescent="0.25">
      <c r="A335" s="36">
        <v>1888</v>
      </c>
      <c r="B335" s="37">
        <v>43770</v>
      </c>
      <c r="C335" s="37">
        <v>43844.96258200553</v>
      </c>
      <c r="D335" s="36" t="s">
        <v>212</v>
      </c>
      <c r="E335" s="36"/>
      <c r="F335" s="38">
        <v>39863714</v>
      </c>
      <c r="G335" s="40">
        <f>VLOOKUP(A335,'DATOS GENERALES'!A:B,2,0)</f>
        <v>1</v>
      </c>
      <c r="H335" s="36">
        <f t="shared" si="25"/>
        <v>0.99539999999999995</v>
      </c>
      <c r="I335" s="38">
        <f t="shared" si="26"/>
        <v>40047934.498693995</v>
      </c>
      <c r="J335" s="38">
        <f t="shared" si="27"/>
        <v>-184220.49869399518</v>
      </c>
      <c r="K335" s="38">
        <v>16353057.751150122</v>
      </c>
      <c r="L335" s="38">
        <f t="shared" si="28"/>
        <v>-16537278.249844117</v>
      </c>
      <c r="M335" s="41">
        <f>VLOOKUP(INDICADORES!$B$21,'DATOS GENERALES'!$K:$M,3,0)*F335</f>
        <v>271313.48555004486</v>
      </c>
      <c r="N335" s="38">
        <f t="shared" si="29"/>
        <v>-16808591.735394161</v>
      </c>
      <c r="O335" s="36"/>
      <c r="P335" s="36"/>
      <c r="Q335" s="36"/>
    </row>
    <row r="336" spans="1:17" x14ac:dyDescent="0.25">
      <c r="A336" s="36">
        <v>1888</v>
      </c>
      <c r="B336" s="37">
        <v>43800</v>
      </c>
      <c r="C336" s="37">
        <v>43853.379972111688</v>
      </c>
      <c r="D336" s="36" t="s">
        <v>212</v>
      </c>
      <c r="E336" s="36"/>
      <c r="F336" s="38">
        <v>39863714</v>
      </c>
      <c r="G336" s="40">
        <f>VLOOKUP(A336,'DATOS GENERALES'!A:B,2,0)</f>
        <v>1</v>
      </c>
      <c r="H336" s="36">
        <f t="shared" si="25"/>
        <v>0.99539999999999995</v>
      </c>
      <c r="I336" s="38">
        <f t="shared" si="26"/>
        <v>40047934.498693995</v>
      </c>
      <c r="J336" s="38">
        <f t="shared" si="27"/>
        <v>-184220.49869399518</v>
      </c>
      <c r="K336" s="38">
        <v>14105322.32255112</v>
      </c>
      <c r="L336" s="38">
        <f t="shared" si="28"/>
        <v>-14289542.821245115</v>
      </c>
      <c r="M336" s="41">
        <f>VLOOKUP(INDICADORES!$B$21,'DATOS GENERALES'!$K:$M,3,0)*F336</f>
        <v>271313.48555004486</v>
      </c>
      <c r="N336" s="38">
        <f t="shared" si="29"/>
        <v>-14560856.306795159</v>
      </c>
      <c r="O336" s="36"/>
      <c r="P336" s="36"/>
      <c r="Q336" s="36"/>
    </row>
    <row r="337" spans="1:17" x14ac:dyDescent="0.25">
      <c r="A337" s="36">
        <v>1888</v>
      </c>
      <c r="B337" s="37">
        <v>43831</v>
      </c>
      <c r="C337" s="37">
        <v>43901.174262517889</v>
      </c>
      <c r="D337" s="36" t="s">
        <v>212</v>
      </c>
      <c r="E337" s="36"/>
      <c r="F337" s="38">
        <v>39863714</v>
      </c>
      <c r="G337" s="40">
        <f>VLOOKUP(A337,'DATOS GENERALES'!A:B,2,0)</f>
        <v>1</v>
      </c>
      <c r="H337" s="36">
        <f t="shared" si="25"/>
        <v>0.99539999999999995</v>
      </c>
      <c r="I337" s="38">
        <f t="shared" si="26"/>
        <v>40047934.498693995</v>
      </c>
      <c r="J337" s="38">
        <f t="shared" si="27"/>
        <v>-184220.49869399518</v>
      </c>
      <c r="K337" s="38" t="s">
        <v>213</v>
      </c>
      <c r="L337" s="38" t="str">
        <f t="shared" si="28"/>
        <v/>
      </c>
      <c r="M337" s="41">
        <f>VLOOKUP(INDICADORES!$B$21,'DATOS GENERALES'!$K:$M,3,0)*F337</f>
        <v>271313.48555004486</v>
      </c>
      <c r="N337" s="38" t="str">
        <f t="shared" si="29"/>
        <v/>
      </c>
      <c r="O337" s="36"/>
      <c r="P337" s="36"/>
      <c r="Q337" s="36"/>
    </row>
    <row r="338" spans="1:17" x14ac:dyDescent="0.25">
      <c r="A338" s="36">
        <v>1888</v>
      </c>
      <c r="B338" s="37">
        <v>43862</v>
      </c>
      <c r="C338" s="37">
        <v>43946.668196720348</v>
      </c>
      <c r="D338" s="36" t="s">
        <v>212</v>
      </c>
      <c r="E338" s="36"/>
      <c r="F338" s="38">
        <v>35856914</v>
      </c>
      <c r="G338" s="40">
        <f>VLOOKUP(A338,'DATOS GENERALES'!A:B,2,0)</f>
        <v>1</v>
      </c>
      <c r="H338" s="36">
        <f t="shared" si="25"/>
        <v>0.99539999999999995</v>
      </c>
      <c r="I338" s="38">
        <f t="shared" si="26"/>
        <v>36022618.042997792</v>
      </c>
      <c r="J338" s="38">
        <f t="shared" si="27"/>
        <v>-165704.04299779236</v>
      </c>
      <c r="K338" s="38" t="s">
        <v>213</v>
      </c>
      <c r="L338" s="38" t="str">
        <f t="shared" si="28"/>
        <v/>
      </c>
      <c r="M338" s="41">
        <f>VLOOKUP(INDICADORES!$B$21,'DATOS GENERALES'!$K:$M,3,0)*F338</f>
        <v>244043.09940634738</v>
      </c>
      <c r="N338" s="38" t="str">
        <f t="shared" si="29"/>
        <v/>
      </c>
      <c r="O338" s="36"/>
      <c r="P338" s="36"/>
      <c r="Q338" s="36"/>
    </row>
    <row r="339" spans="1:17" x14ac:dyDescent="0.25">
      <c r="A339" s="36">
        <v>1888</v>
      </c>
      <c r="B339" s="37">
        <v>43891</v>
      </c>
      <c r="C339" s="37">
        <v>43912.435151740043</v>
      </c>
      <c r="D339" s="36" t="s">
        <v>212</v>
      </c>
      <c r="E339" s="36"/>
      <c r="F339" s="38">
        <v>3170664</v>
      </c>
      <c r="G339" s="40">
        <f>VLOOKUP(A339,'DATOS GENERALES'!A:B,2,0)</f>
        <v>1</v>
      </c>
      <c r="H339" s="36">
        <f t="shared" si="25"/>
        <v>0.99539999999999995</v>
      </c>
      <c r="I339" s="38">
        <f t="shared" si="26"/>
        <v>3185316.4556962028</v>
      </c>
      <c r="J339" s="38">
        <f t="shared" si="27"/>
        <v>-14652.455696202815</v>
      </c>
      <c r="K339" s="38" t="s">
        <v>213</v>
      </c>
      <c r="L339" s="38" t="str">
        <f t="shared" si="28"/>
        <v/>
      </c>
      <c r="M339" s="41">
        <f>VLOOKUP(INDICADORES!$B$21,'DATOS GENERALES'!$K:$M,3,0)*F339</f>
        <v>21579.622544654205</v>
      </c>
      <c r="N339" s="38" t="str">
        <f t="shared" si="29"/>
        <v/>
      </c>
      <c r="O339" s="36"/>
      <c r="P339" s="36"/>
      <c r="Q339" s="36"/>
    </row>
    <row r="340" spans="1:17" x14ac:dyDescent="0.25">
      <c r="A340" s="36">
        <v>1888</v>
      </c>
      <c r="B340" s="37">
        <v>43922</v>
      </c>
      <c r="C340" s="37">
        <v>43979.390057887242</v>
      </c>
      <c r="D340" s="36" t="s">
        <v>212</v>
      </c>
      <c r="E340" s="36"/>
      <c r="F340" s="38">
        <v>3170664</v>
      </c>
      <c r="G340" s="40">
        <f>VLOOKUP(A340,'DATOS GENERALES'!A:B,2,0)</f>
        <v>1</v>
      </c>
      <c r="H340" s="36">
        <f t="shared" si="25"/>
        <v>0.99539999999999995</v>
      </c>
      <c r="I340" s="38">
        <f t="shared" si="26"/>
        <v>3185316.4556962028</v>
      </c>
      <c r="J340" s="38">
        <f t="shared" si="27"/>
        <v>-14652.455696202815</v>
      </c>
      <c r="K340" s="38" t="s">
        <v>213</v>
      </c>
      <c r="L340" s="38" t="str">
        <f t="shared" si="28"/>
        <v/>
      </c>
      <c r="M340" s="41">
        <f>VLOOKUP(INDICADORES!$B$21,'DATOS GENERALES'!$K:$M,3,0)*F340</f>
        <v>21579.622544654205</v>
      </c>
      <c r="N340" s="38" t="str">
        <f t="shared" si="29"/>
        <v/>
      </c>
      <c r="O340" s="36"/>
      <c r="P340" s="36"/>
      <c r="Q340" s="36"/>
    </row>
    <row r="341" spans="1:17" x14ac:dyDescent="0.25">
      <c r="A341" s="36">
        <v>1888</v>
      </c>
      <c r="B341" s="37">
        <v>43952</v>
      </c>
      <c r="C341" s="37">
        <v>44010.835090645211</v>
      </c>
      <c r="D341" s="36" t="s">
        <v>212</v>
      </c>
      <c r="E341" s="36"/>
      <c r="F341" s="38">
        <v>3170664</v>
      </c>
      <c r="G341" s="40">
        <f>VLOOKUP(A341,'DATOS GENERALES'!A:B,2,0)</f>
        <v>1</v>
      </c>
      <c r="H341" s="36">
        <f t="shared" si="25"/>
        <v>0.99539999999999995</v>
      </c>
      <c r="I341" s="38">
        <f t="shared" si="26"/>
        <v>3185316.4556962028</v>
      </c>
      <c r="J341" s="38">
        <f t="shared" si="27"/>
        <v>-14652.455696202815</v>
      </c>
      <c r="K341" s="38" t="s">
        <v>213</v>
      </c>
      <c r="L341" s="38" t="str">
        <f t="shared" si="28"/>
        <v/>
      </c>
      <c r="M341" s="41">
        <f>VLOOKUP(INDICADORES!$B$21,'DATOS GENERALES'!$K:$M,3,0)*F341</f>
        <v>21579.622544654205</v>
      </c>
      <c r="N341" s="38" t="str">
        <f t="shared" si="29"/>
        <v/>
      </c>
      <c r="O341" s="36"/>
      <c r="P341" s="36"/>
      <c r="Q341" s="36"/>
    </row>
    <row r="342" spans="1:17" x14ac:dyDescent="0.25">
      <c r="A342" s="36">
        <v>1891</v>
      </c>
      <c r="B342" s="37">
        <v>43497</v>
      </c>
      <c r="C342" s="37">
        <v>43569.412346134646</v>
      </c>
      <c r="D342" s="36" t="s">
        <v>212</v>
      </c>
      <c r="E342" s="36"/>
      <c r="F342" s="38">
        <v>71835513.627000004</v>
      </c>
      <c r="G342" s="40">
        <f>VLOOKUP(A342,'DATOS GENERALES'!A:B,2,0)</f>
        <v>2.79</v>
      </c>
      <c r="H342" s="36">
        <f t="shared" si="25"/>
        <v>2.7771659999999998</v>
      </c>
      <c r="I342" s="38">
        <f t="shared" si="26"/>
        <v>25866481.739658345</v>
      </c>
      <c r="J342" s="38">
        <f t="shared" si="27"/>
        <v>45969031.887341663</v>
      </c>
      <c r="K342" s="38">
        <v>5591243.0136025101</v>
      </c>
      <c r="L342" s="38">
        <f t="shared" si="28"/>
        <v>40377788.873739153</v>
      </c>
      <c r="M342" s="41">
        <f>VLOOKUP(INDICADORES!$B$21,'DATOS GENERALES'!$K:$M,3,0)*F342</f>
        <v>488914.3943893215</v>
      </c>
      <c r="N342" s="38">
        <f t="shared" si="29"/>
        <v>39888874.479349829</v>
      </c>
      <c r="O342" s="36"/>
      <c r="P342" s="36"/>
      <c r="Q342" s="36"/>
    </row>
    <row r="343" spans="1:17" x14ac:dyDescent="0.25">
      <c r="A343" s="36">
        <v>1891</v>
      </c>
      <c r="B343" s="37">
        <v>43525</v>
      </c>
      <c r="C343" s="37">
        <v>43584.47389961272</v>
      </c>
      <c r="D343" s="36" t="s">
        <v>212</v>
      </c>
      <c r="E343" s="36"/>
      <c r="F343" s="38">
        <v>71835513.627000004</v>
      </c>
      <c r="G343" s="40">
        <f>VLOOKUP(A343,'DATOS GENERALES'!A:B,2,0)</f>
        <v>2.79</v>
      </c>
      <c r="H343" s="36">
        <f t="shared" si="25"/>
        <v>2.7771659999999998</v>
      </c>
      <c r="I343" s="38">
        <f t="shared" si="26"/>
        <v>25866481.739658345</v>
      </c>
      <c r="J343" s="38">
        <f t="shared" si="27"/>
        <v>45969031.887341663</v>
      </c>
      <c r="K343" s="38">
        <v>4045194.9728932194</v>
      </c>
      <c r="L343" s="38">
        <f t="shared" si="28"/>
        <v>41923836.91444844</v>
      </c>
      <c r="M343" s="41">
        <f>VLOOKUP(INDICADORES!$B$21,'DATOS GENERALES'!$K:$M,3,0)*F343</f>
        <v>488914.3943893215</v>
      </c>
      <c r="N343" s="38">
        <f t="shared" si="29"/>
        <v>41434922.520059116</v>
      </c>
      <c r="O343" s="36"/>
      <c r="P343" s="36"/>
      <c r="Q343" s="36"/>
    </row>
    <row r="344" spans="1:17" x14ac:dyDescent="0.25">
      <c r="A344" s="36">
        <v>1891</v>
      </c>
      <c r="B344" s="37">
        <v>43556</v>
      </c>
      <c r="C344" s="37">
        <v>43637.336718217019</v>
      </c>
      <c r="D344" s="36" t="s">
        <v>212</v>
      </c>
      <c r="E344" s="36"/>
      <c r="F344" s="38">
        <v>71835513.627000004</v>
      </c>
      <c r="G344" s="40">
        <f>VLOOKUP(A344,'DATOS GENERALES'!A:B,2,0)</f>
        <v>2.79</v>
      </c>
      <c r="H344" s="36">
        <f t="shared" si="25"/>
        <v>2.7771659999999998</v>
      </c>
      <c r="I344" s="38">
        <f t="shared" si="26"/>
        <v>25866481.739658345</v>
      </c>
      <c r="J344" s="38">
        <f t="shared" si="27"/>
        <v>45969031.887341663</v>
      </c>
      <c r="K344" s="38">
        <v>4158765.311095308</v>
      </c>
      <c r="L344" s="38">
        <f t="shared" si="28"/>
        <v>41810266.576246358</v>
      </c>
      <c r="M344" s="41">
        <f>VLOOKUP(INDICADORES!$B$21,'DATOS GENERALES'!$K:$M,3,0)*F344</f>
        <v>488914.3943893215</v>
      </c>
      <c r="N344" s="38">
        <f t="shared" si="29"/>
        <v>41321352.181857035</v>
      </c>
      <c r="O344" s="36"/>
      <c r="P344" s="36"/>
      <c r="Q344" s="36"/>
    </row>
    <row r="345" spans="1:17" x14ac:dyDescent="0.25">
      <c r="A345" s="36">
        <v>1891</v>
      </c>
      <c r="B345" s="37">
        <v>43586</v>
      </c>
      <c r="C345" s="37">
        <v>43634.103841138472</v>
      </c>
      <c r="D345" s="36" t="s">
        <v>212</v>
      </c>
      <c r="E345" s="36"/>
      <c r="F345" s="38">
        <v>71835513.627000004</v>
      </c>
      <c r="G345" s="40">
        <f>VLOOKUP(A345,'DATOS GENERALES'!A:B,2,0)</f>
        <v>2.79</v>
      </c>
      <c r="H345" s="36">
        <f t="shared" si="25"/>
        <v>2.7771659999999998</v>
      </c>
      <c r="I345" s="38">
        <f t="shared" si="26"/>
        <v>25866481.739658345</v>
      </c>
      <c r="J345" s="38">
        <f t="shared" si="27"/>
        <v>45969031.887341663</v>
      </c>
      <c r="K345" s="38">
        <v>3430690.5407067961</v>
      </c>
      <c r="L345" s="38">
        <f t="shared" si="28"/>
        <v>42538341.346634865</v>
      </c>
      <c r="M345" s="41">
        <f>VLOOKUP(INDICADORES!$B$21,'DATOS GENERALES'!$K:$M,3,0)*F345</f>
        <v>488914.3943893215</v>
      </c>
      <c r="N345" s="38">
        <f t="shared" si="29"/>
        <v>42049426.952245541</v>
      </c>
      <c r="O345" s="36"/>
      <c r="P345" s="36"/>
      <c r="Q345" s="36"/>
    </row>
    <row r="346" spans="1:17" x14ac:dyDescent="0.25">
      <c r="A346" s="36">
        <v>1891</v>
      </c>
      <c r="B346" s="37">
        <v>43617</v>
      </c>
      <c r="C346" s="37">
        <v>43664.385975027457</v>
      </c>
      <c r="D346" s="36" t="s">
        <v>212</v>
      </c>
      <c r="E346" s="36"/>
      <c r="F346" s="38">
        <v>71835513.627000004</v>
      </c>
      <c r="G346" s="40">
        <f>VLOOKUP(A346,'DATOS GENERALES'!A:B,2,0)</f>
        <v>2.79</v>
      </c>
      <c r="H346" s="36">
        <f t="shared" si="25"/>
        <v>2.7771659999999998</v>
      </c>
      <c r="I346" s="38">
        <f t="shared" si="26"/>
        <v>25866481.739658345</v>
      </c>
      <c r="J346" s="38">
        <f t="shared" si="27"/>
        <v>45969031.887341663</v>
      </c>
      <c r="K346" s="38">
        <v>3853356.3630144414</v>
      </c>
      <c r="L346" s="38">
        <f t="shared" si="28"/>
        <v>42115675.524327219</v>
      </c>
      <c r="M346" s="41">
        <f>VLOOKUP(INDICADORES!$B$21,'DATOS GENERALES'!$K:$M,3,0)*F346</f>
        <v>488914.3943893215</v>
      </c>
      <c r="N346" s="38">
        <f t="shared" si="29"/>
        <v>41626761.129937895</v>
      </c>
      <c r="O346" s="36"/>
      <c r="P346" s="36"/>
      <c r="Q346" s="36"/>
    </row>
    <row r="347" spans="1:17" x14ac:dyDescent="0.25">
      <c r="A347" s="36">
        <v>1891</v>
      </c>
      <c r="B347" s="37">
        <v>43647</v>
      </c>
      <c r="C347" s="37">
        <v>43729.345789858635</v>
      </c>
      <c r="D347" s="36" t="s">
        <v>212</v>
      </c>
      <c r="E347" s="36"/>
      <c r="F347" s="38">
        <v>71835513.627000004</v>
      </c>
      <c r="G347" s="40">
        <f>VLOOKUP(A347,'DATOS GENERALES'!A:B,2,0)</f>
        <v>2.79</v>
      </c>
      <c r="H347" s="36">
        <f t="shared" si="25"/>
        <v>2.7771659999999998</v>
      </c>
      <c r="I347" s="38">
        <f t="shared" si="26"/>
        <v>25866481.739658345</v>
      </c>
      <c r="J347" s="38">
        <f t="shared" si="27"/>
        <v>45969031.887341663</v>
      </c>
      <c r="K347" s="38">
        <v>6691421.5134734111</v>
      </c>
      <c r="L347" s="38">
        <f t="shared" si="28"/>
        <v>39277610.373868249</v>
      </c>
      <c r="M347" s="41">
        <f>VLOOKUP(INDICADORES!$B$21,'DATOS GENERALES'!$K:$M,3,0)*F347</f>
        <v>488914.3943893215</v>
      </c>
      <c r="N347" s="38">
        <f t="shared" si="29"/>
        <v>38788695.979478925</v>
      </c>
      <c r="O347" s="36"/>
      <c r="P347" s="36"/>
      <c r="Q347" s="36"/>
    </row>
    <row r="348" spans="1:17" x14ac:dyDescent="0.25">
      <c r="A348" s="36">
        <v>1891</v>
      </c>
      <c r="B348" s="37">
        <v>43678</v>
      </c>
      <c r="C348" s="37">
        <v>43723.267455464251</v>
      </c>
      <c r="D348" s="36" t="s">
        <v>212</v>
      </c>
      <c r="E348" s="36"/>
      <c r="F348" s="38">
        <v>71835513.627000004</v>
      </c>
      <c r="G348" s="40">
        <f>VLOOKUP(A348,'DATOS GENERALES'!A:B,2,0)</f>
        <v>2.79</v>
      </c>
      <c r="H348" s="36">
        <f t="shared" si="25"/>
        <v>2.7771659999999998</v>
      </c>
      <c r="I348" s="38">
        <f t="shared" si="26"/>
        <v>25866481.739658345</v>
      </c>
      <c r="J348" s="38">
        <f t="shared" si="27"/>
        <v>45969031.887341663</v>
      </c>
      <c r="K348" s="38">
        <v>6719268.7152970219</v>
      </c>
      <c r="L348" s="38">
        <f t="shared" si="28"/>
        <v>39249763.172044642</v>
      </c>
      <c r="M348" s="41">
        <f>VLOOKUP(INDICADORES!$B$21,'DATOS GENERALES'!$K:$M,3,0)*F348</f>
        <v>488914.3943893215</v>
      </c>
      <c r="N348" s="38">
        <f t="shared" si="29"/>
        <v>38760848.777655318</v>
      </c>
      <c r="O348" s="36"/>
      <c r="P348" s="36"/>
      <c r="Q348" s="36"/>
    </row>
    <row r="349" spans="1:17" x14ac:dyDescent="0.25">
      <c r="A349" s="36">
        <v>1891</v>
      </c>
      <c r="B349" s="37">
        <v>43709</v>
      </c>
      <c r="C349" s="37">
        <v>43792.984736953513</v>
      </c>
      <c r="D349" s="36" t="s">
        <v>212</v>
      </c>
      <c r="E349" s="36"/>
      <c r="F349" s="38">
        <v>71835513.627000004</v>
      </c>
      <c r="G349" s="40">
        <f>VLOOKUP(A349,'DATOS GENERALES'!A:B,2,0)</f>
        <v>2.79</v>
      </c>
      <c r="H349" s="36">
        <f t="shared" si="25"/>
        <v>2.7771659999999998</v>
      </c>
      <c r="I349" s="38">
        <f t="shared" si="26"/>
        <v>25866481.739658345</v>
      </c>
      <c r="J349" s="38">
        <f t="shared" si="27"/>
        <v>45969031.887341663</v>
      </c>
      <c r="K349" s="38">
        <v>7416468.3172372347</v>
      </c>
      <c r="L349" s="38">
        <f t="shared" si="28"/>
        <v>38552563.570104428</v>
      </c>
      <c r="M349" s="41">
        <f>VLOOKUP(INDICADORES!$B$21,'DATOS GENERALES'!$K:$M,3,0)*F349</f>
        <v>488914.3943893215</v>
      </c>
      <c r="N349" s="38">
        <f t="shared" si="29"/>
        <v>38063649.175715104</v>
      </c>
      <c r="O349" s="36"/>
      <c r="P349" s="36"/>
      <c r="Q349" s="36"/>
    </row>
    <row r="350" spans="1:17" x14ac:dyDescent="0.25">
      <c r="A350" s="36">
        <v>1891</v>
      </c>
      <c r="B350" s="37">
        <v>43739</v>
      </c>
      <c r="C350" s="37">
        <v>43774.31355421614</v>
      </c>
      <c r="D350" s="36" t="s">
        <v>212</v>
      </c>
      <c r="E350" s="36"/>
      <c r="F350" s="38">
        <v>71835513.627000004</v>
      </c>
      <c r="G350" s="40">
        <f>VLOOKUP(A350,'DATOS GENERALES'!A:B,2,0)</f>
        <v>2.79</v>
      </c>
      <c r="H350" s="36">
        <f t="shared" si="25"/>
        <v>2.7771659999999998</v>
      </c>
      <c r="I350" s="38">
        <f t="shared" si="26"/>
        <v>25866481.739658345</v>
      </c>
      <c r="J350" s="38">
        <f t="shared" si="27"/>
        <v>45969031.887341663</v>
      </c>
      <c r="K350" s="38">
        <v>8048672.2914515305</v>
      </c>
      <c r="L350" s="38">
        <f t="shared" si="28"/>
        <v>37920359.595890135</v>
      </c>
      <c r="M350" s="41">
        <f>VLOOKUP(INDICADORES!$B$21,'DATOS GENERALES'!$K:$M,3,0)*F350</f>
        <v>488914.3943893215</v>
      </c>
      <c r="N350" s="38">
        <f t="shared" si="29"/>
        <v>37431445.201500811</v>
      </c>
      <c r="O350" s="36"/>
      <c r="P350" s="36"/>
      <c r="Q350" s="36"/>
    </row>
    <row r="351" spans="1:17" x14ac:dyDescent="0.25">
      <c r="A351" s="36">
        <v>1891</v>
      </c>
      <c r="B351" s="37">
        <v>43770</v>
      </c>
      <c r="C351" s="37">
        <v>43808.072074039243</v>
      </c>
      <c r="D351" s="36" t="s">
        <v>212</v>
      </c>
      <c r="E351" s="36"/>
      <c r="F351" s="38">
        <v>71835513.627000004</v>
      </c>
      <c r="G351" s="40">
        <f>VLOOKUP(A351,'DATOS GENERALES'!A:B,2,0)</f>
        <v>2.79</v>
      </c>
      <c r="H351" s="36">
        <f t="shared" si="25"/>
        <v>2.7771659999999998</v>
      </c>
      <c r="I351" s="38">
        <f t="shared" si="26"/>
        <v>25866481.739658345</v>
      </c>
      <c r="J351" s="38">
        <f t="shared" si="27"/>
        <v>45969031.887341663</v>
      </c>
      <c r="K351" s="38">
        <v>10562244.345497953</v>
      </c>
      <c r="L351" s="38">
        <f t="shared" si="28"/>
        <v>35406787.541843712</v>
      </c>
      <c r="M351" s="41">
        <f>VLOOKUP(INDICADORES!$B$21,'DATOS GENERALES'!$K:$M,3,0)*F351</f>
        <v>488914.3943893215</v>
      </c>
      <c r="N351" s="38">
        <f t="shared" si="29"/>
        <v>34917873.147454388</v>
      </c>
      <c r="O351" s="36"/>
      <c r="P351" s="36"/>
      <c r="Q351" s="36"/>
    </row>
    <row r="352" spans="1:17" x14ac:dyDescent="0.25">
      <c r="A352" s="36">
        <v>1891</v>
      </c>
      <c r="B352" s="37">
        <v>43800</v>
      </c>
      <c r="C352" s="37">
        <v>43824.753468708397</v>
      </c>
      <c r="D352" s="36" t="s">
        <v>212</v>
      </c>
      <c r="E352" s="36"/>
      <c r="F352" s="38">
        <v>67834346.519999996</v>
      </c>
      <c r="G352" s="40">
        <f>VLOOKUP(A352,'DATOS GENERALES'!A:B,2,0)</f>
        <v>2.79</v>
      </c>
      <c r="H352" s="36">
        <f t="shared" si="25"/>
        <v>2.7771659999999998</v>
      </c>
      <c r="I352" s="38">
        <f t="shared" si="26"/>
        <v>24425744.273118712</v>
      </c>
      <c r="J352" s="38">
        <f t="shared" si="27"/>
        <v>43408602.246881284</v>
      </c>
      <c r="K352" s="38">
        <v>8603015.3677908685</v>
      </c>
      <c r="L352" s="38">
        <f t="shared" si="28"/>
        <v>34805586.879090413</v>
      </c>
      <c r="M352" s="41">
        <f>VLOOKUP(INDICADORES!$B$21,'DATOS GENERALES'!$K:$M,3,0)*F352</f>
        <v>461682.34586347762</v>
      </c>
      <c r="N352" s="38">
        <f t="shared" si="29"/>
        <v>34343904.533226937</v>
      </c>
      <c r="O352" s="36"/>
      <c r="P352" s="36"/>
      <c r="Q352" s="36"/>
    </row>
    <row r="353" spans="1:17" x14ac:dyDescent="0.25">
      <c r="A353" s="36">
        <v>1891</v>
      </c>
      <c r="B353" s="37">
        <v>43831</v>
      </c>
      <c r="C353" s="37">
        <v>43893.126850375964</v>
      </c>
      <c r="D353" s="36" t="s">
        <v>212</v>
      </c>
      <c r="E353" s="36"/>
      <c r="F353" s="38">
        <v>67834346.519999996</v>
      </c>
      <c r="G353" s="40">
        <f>VLOOKUP(A353,'DATOS GENERALES'!A:B,2,0)</f>
        <v>2.79</v>
      </c>
      <c r="H353" s="36">
        <f t="shared" si="25"/>
        <v>2.7771659999999998</v>
      </c>
      <c r="I353" s="38">
        <f t="shared" si="26"/>
        <v>24425744.273118712</v>
      </c>
      <c r="J353" s="38">
        <f t="shared" si="27"/>
        <v>43408602.246881284</v>
      </c>
      <c r="K353" s="38" t="s">
        <v>213</v>
      </c>
      <c r="L353" s="38" t="str">
        <f t="shared" si="28"/>
        <v/>
      </c>
      <c r="M353" s="41">
        <f>VLOOKUP(INDICADORES!$B$21,'DATOS GENERALES'!$K:$M,3,0)*F353</f>
        <v>461682.34586347762</v>
      </c>
      <c r="N353" s="38" t="str">
        <f t="shared" si="29"/>
        <v/>
      </c>
      <c r="O353" s="36"/>
      <c r="P353" s="36"/>
      <c r="Q353" s="36"/>
    </row>
    <row r="354" spans="1:17" x14ac:dyDescent="0.25">
      <c r="A354" s="36">
        <v>1891</v>
      </c>
      <c r="B354" s="37">
        <v>43862</v>
      </c>
      <c r="C354" s="37">
        <v>43966.308522011765</v>
      </c>
      <c r="D354" s="36" t="s">
        <v>212</v>
      </c>
      <c r="E354" s="36"/>
      <c r="F354" s="38">
        <v>67834346.519999996</v>
      </c>
      <c r="G354" s="40">
        <f>VLOOKUP(A354,'DATOS GENERALES'!A:B,2,0)</f>
        <v>2.79</v>
      </c>
      <c r="H354" s="36">
        <f t="shared" si="25"/>
        <v>2.7771659999999998</v>
      </c>
      <c r="I354" s="38">
        <f t="shared" si="26"/>
        <v>24425744.273118712</v>
      </c>
      <c r="J354" s="38">
        <f t="shared" si="27"/>
        <v>43408602.246881284</v>
      </c>
      <c r="K354" s="38" t="s">
        <v>213</v>
      </c>
      <c r="L354" s="38" t="str">
        <f t="shared" si="28"/>
        <v/>
      </c>
      <c r="M354" s="41">
        <f>VLOOKUP(INDICADORES!$B$21,'DATOS GENERALES'!$K:$M,3,0)*F354</f>
        <v>461682.34586347762</v>
      </c>
      <c r="N354" s="38" t="str">
        <f t="shared" si="29"/>
        <v/>
      </c>
      <c r="O354" s="36"/>
      <c r="P354" s="36"/>
      <c r="Q354" s="36"/>
    </row>
    <row r="355" spans="1:17" x14ac:dyDescent="0.25">
      <c r="A355" s="36">
        <v>1891</v>
      </c>
      <c r="B355" s="37">
        <v>43891</v>
      </c>
      <c r="C355" s="37">
        <v>43979.755844127299</v>
      </c>
      <c r="D355" s="36" t="s">
        <v>212</v>
      </c>
      <c r="E355" s="36"/>
      <c r="F355" s="38">
        <v>67834346.519999996</v>
      </c>
      <c r="G355" s="40">
        <f>VLOOKUP(A355,'DATOS GENERALES'!A:B,2,0)</f>
        <v>2.79</v>
      </c>
      <c r="H355" s="36">
        <f t="shared" si="25"/>
        <v>2.7771659999999998</v>
      </c>
      <c r="I355" s="38">
        <f t="shared" si="26"/>
        <v>24425744.273118712</v>
      </c>
      <c r="J355" s="38">
        <f t="shared" si="27"/>
        <v>43408602.246881284</v>
      </c>
      <c r="K355" s="38" t="s">
        <v>213</v>
      </c>
      <c r="L355" s="38" t="str">
        <f t="shared" si="28"/>
        <v/>
      </c>
      <c r="M355" s="41">
        <f>VLOOKUP(INDICADORES!$B$21,'DATOS GENERALES'!$K:$M,3,0)*F355</f>
        <v>461682.34586347762</v>
      </c>
      <c r="N355" s="38" t="str">
        <f t="shared" si="29"/>
        <v/>
      </c>
      <c r="O355" s="36"/>
      <c r="P355" s="36"/>
      <c r="Q355" s="36"/>
    </row>
    <row r="356" spans="1:17" x14ac:dyDescent="0.25">
      <c r="A356" s="36">
        <v>1891</v>
      </c>
      <c r="B356" s="37">
        <v>43922</v>
      </c>
      <c r="C356" s="37">
        <v>44001.043897000505</v>
      </c>
      <c r="D356" s="36" t="s">
        <v>212</v>
      </c>
      <c r="E356" s="36"/>
      <c r="F356" s="38">
        <v>60294326.969999999</v>
      </c>
      <c r="G356" s="40">
        <f>VLOOKUP(A356,'DATOS GENERALES'!A:B,2,0)</f>
        <v>2.79</v>
      </c>
      <c r="H356" s="36">
        <f t="shared" si="25"/>
        <v>2.7771659999999998</v>
      </c>
      <c r="I356" s="38">
        <f t="shared" si="26"/>
        <v>21710739.282419562</v>
      </c>
      <c r="J356" s="38">
        <f t="shared" si="27"/>
        <v>38583587.687580436</v>
      </c>
      <c r="K356" s="38" t="s">
        <v>213</v>
      </c>
      <c r="L356" s="38" t="str">
        <f t="shared" si="28"/>
        <v/>
      </c>
      <c r="M356" s="41">
        <f>VLOOKUP(INDICADORES!$B$21,'DATOS GENERALES'!$K:$M,3,0)*F356</f>
        <v>410364.77456979483</v>
      </c>
      <c r="N356" s="38" t="str">
        <f t="shared" si="29"/>
        <v/>
      </c>
      <c r="O356" s="36"/>
      <c r="P356" s="36"/>
      <c r="Q356" s="36"/>
    </row>
    <row r="357" spans="1:17" x14ac:dyDescent="0.25">
      <c r="A357" s="36">
        <v>1891</v>
      </c>
      <c r="B357" s="37">
        <v>43952</v>
      </c>
      <c r="C357" s="37">
        <v>44011.91191837917</v>
      </c>
      <c r="D357" s="36" t="s">
        <v>212</v>
      </c>
      <c r="E357" s="36"/>
      <c r="F357" s="38">
        <v>60294326.969999999</v>
      </c>
      <c r="G357" s="40">
        <f>VLOOKUP(A357,'DATOS GENERALES'!A:B,2,0)</f>
        <v>2.79</v>
      </c>
      <c r="H357" s="36">
        <f t="shared" si="25"/>
        <v>2.7771659999999998</v>
      </c>
      <c r="I357" s="38">
        <f t="shared" si="26"/>
        <v>21710739.282419562</v>
      </c>
      <c r="J357" s="38">
        <f t="shared" si="27"/>
        <v>38583587.687580436</v>
      </c>
      <c r="K357" s="38" t="s">
        <v>213</v>
      </c>
      <c r="L357" s="38" t="str">
        <f t="shared" si="28"/>
        <v/>
      </c>
      <c r="M357" s="41">
        <f>VLOOKUP(INDICADORES!$B$21,'DATOS GENERALES'!$K:$M,3,0)*F357</f>
        <v>410364.77456979483</v>
      </c>
      <c r="N357" s="38" t="str">
        <f t="shared" si="29"/>
        <v/>
      </c>
      <c r="O357" s="36"/>
      <c r="P357" s="36"/>
      <c r="Q357" s="36"/>
    </row>
    <row r="358" spans="1:17" x14ac:dyDescent="0.25">
      <c r="A358" s="36">
        <v>1891</v>
      </c>
      <c r="B358" s="37">
        <v>43983</v>
      </c>
      <c r="C358" s="37">
        <v>44067.090615198715</v>
      </c>
      <c r="D358" s="36" t="s">
        <v>212</v>
      </c>
      <c r="E358" s="36"/>
      <c r="F358" s="38">
        <v>60294326.969999999</v>
      </c>
      <c r="G358" s="40">
        <f>VLOOKUP(A358,'DATOS GENERALES'!A:B,2,0)</f>
        <v>2.79</v>
      </c>
      <c r="H358" s="36">
        <f t="shared" si="25"/>
        <v>2.7771659999999998</v>
      </c>
      <c r="I358" s="38">
        <f t="shared" si="26"/>
        <v>21710739.282419562</v>
      </c>
      <c r="J358" s="38">
        <f t="shared" si="27"/>
        <v>38583587.687580436</v>
      </c>
      <c r="K358" s="38" t="s">
        <v>213</v>
      </c>
      <c r="L358" s="38" t="str">
        <f t="shared" si="28"/>
        <v/>
      </c>
      <c r="M358" s="41">
        <f>VLOOKUP(INDICADORES!$B$21,'DATOS GENERALES'!$K:$M,3,0)*F358</f>
        <v>410364.77456979483</v>
      </c>
      <c r="N358" s="38" t="str">
        <f t="shared" si="29"/>
        <v/>
      </c>
      <c r="O358" s="36"/>
      <c r="P358" s="36"/>
      <c r="Q358" s="36"/>
    </row>
    <row r="359" spans="1:17" x14ac:dyDescent="0.25">
      <c r="A359" s="36">
        <v>1891</v>
      </c>
      <c r="B359" s="37">
        <v>44013</v>
      </c>
      <c r="C359" s="37">
        <v>44075.990255252749</v>
      </c>
      <c r="D359" s="36" t="s">
        <v>212</v>
      </c>
      <c r="E359" s="36"/>
      <c r="F359" s="38">
        <v>42670815.644999996</v>
      </c>
      <c r="G359" s="40">
        <f>VLOOKUP(A359,'DATOS GENERALES'!A:B,2,0)</f>
        <v>2.79</v>
      </c>
      <c r="H359" s="36">
        <f t="shared" si="25"/>
        <v>2.7771659999999998</v>
      </c>
      <c r="I359" s="38">
        <f t="shared" si="26"/>
        <v>15364877.592841048</v>
      </c>
      <c r="J359" s="38">
        <f t="shared" si="27"/>
        <v>27305938.052158948</v>
      </c>
      <c r="K359" s="38" t="s">
        <v>213</v>
      </c>
      <c r="L359" s="38" t="str">
        <f t="shared" si="28"/>
        <v/>
      </c>
      <c r="M359" s="41">
        <f>VLOOKUP(INDICADORES!$B$21,'DATOS GENERALES'!$K:$M,3,0)*F359</f>
        <v>290418.6931480678</v>
      </c>
      <c r="N359" s="38" t="str">
        <f t="shared" si="29"/>
        <v/>
      </c>
      <c r="O359" s="36"/>
      <c r="P359" s="36"/>
      <c r="Q359" s="36"/>
    </row>
    <row r="360" spans="1:17" x14ac:dyDescent="0.25">
      <c r="A360" s="36">
        <v>1891</v>
      </c>
      <c r="B360" s="37">
        <v>44044</v>
      </c>
      <c r="C360" s="37">
        <v>44095.597008550663</v>
      </c>
      <c r="D360" s="36" t="s">
        <v>212</v>
      </c>
      <c r="E360" s="36"/>
      <c r="F360" s="38">
        <v>37747146.719999999</v>
      </c>
      <c r="G360" s="40">
        <f>VLOOKUP(A360,'DATOS GENERALES'!A:B,2,0)</f>
        <v>2.79</v>
      </c>
      <c r="H360" s="36">
        <f t="shared" si="25"/>
        <v>2.7771659999999998</v>
      </c>
      <c r="I360" s="38">
        <f t="shared" si="26"/>
        <v>13591966.313860966</v>
      </c>
      <c r="J360" s="38">
        <f t="shared" si="27"/>
        <v>24155180.406139031</v>
      </c>
      <c r="K360" s="38" t="s">
        <v>213</v>
      </c>
      <c r="L360" s="38" t="str">
        <f t="shared" si="28"/>
        <v/>
      </c>
      <c r="M360" s="41">
        <f>VLOOKUP(INDICADORES!$B$21,'DATOS GENERALES'!$K:$M,3,0)*F360</f>
        <v>256908.07299520919</v>
      </c>
      <c r="N360" s="38" t="str">
        <f t="shared" si="29"/>
        <v/>
      </c>
      <c r="O360" s="36"/>
      <c r="P360" s="36"/>
      <c r="Q360" s="36"/>
    </row>
    <row r="361" spans="1:17" x14ac:dyDescent="0.25">
      <c r="A361" s="36">
        <v>1891</v>
      </c>
      <c r="B361" s="37">
        <v>44075</v>
      </c>
      <c r="C361" s="37">
        <v>44152.529498554351</v>
      </c>
      <c r="D361" s="36" t="s">
        <v>212</v>
      </c>
      <c r="E361" s="36"/>
      <c r="F361" s="38">
        <v>37747146.719999999</v>
      </c>
      <c r="G361" s="40">
        <f>VLOOKUP(A361,'DATOS GENERALES'!A:B,2,0)</f>
        <v>2.79</v>
      </c>
      <c r="H361" s="36">
        <f t="shared" si="25"/>
        <v>2.7771659999999998</v>
      </c>
      <c r="I361" s="38">
        <f t="shared" si="26"/>
        <v>13591966.313860966</v>
      </c>
      <c r="J361" s="38">
        <f t="shared" si="27"/>
        <v>24155180.406139031</v>
      </c>
      <c r="K361" s="38" t="s">
        <v>213</v>
      </c>
      <c r="L361" s="38" t="str">
        <f t="shared" si="28"/>
        <v/>
      </c>
      <c r="M361" s="41">
        <f>VLOOKUP(INDICADORES!$B$21,'DATOS GENERALES'!$K:$M,3,0)*F361</f>
        <v>256908.07299520919</v>
      </c>
      <c r="N361" s="38" t="str">
        <f t="shared" si="29"/>
        <v/>
      </c>
      <c r="O361" s="36"/>
      <c r="P361" s="36"/>
      <c r="Q361" s="36"/>
    </row>
    <row r="362" spans="1:17" x14ac:dyDescent="0.25">
      <c r="A362" s="36">
        <v>1891</v>
      </c>
      <c r="B362" s="37">
        <v>44105</v>
      </c>
      <c r="C362" s="37">
        <v>44161.958450420258</v>
      </c>
      <c r="D362" s="36" t="s">
        <v>212</v>
      </c>
      <c r="E362" s="36"/>
      <c r="F362" s="38">
        <v>33878898.524999999</v>
      </c>
      <c r="G362" s="40">
        <f>VLOOKUP(A362,'DATOS GENERALES'!A:B,2,0)</f>
        <v>2.79</v>
      </c>
      <c r="H362" s="36">
        <f t="shared" si="25"/>
        <v>2.7771659999999998</v>
      </c>
      <c r="I362" s="38">
        <f t="shared" si="26"/>
        <v>12199090.196624905</v>
      </c>
      <c r="J362" s="38">
        <f t="shared" si="27"/>
        <v>21679808.328375094</v>
      </c>
      <c r="K362" s="38" t="s">
        <v>213</v>
      </c>
      <c r="L362" s="38" t="str">
        <f t="shared" si="28"/>
        <v/>
      </c>
      <c r="M362" s="41">
        <f>VLOOKUP(INDICADORES!$B$21,'DATOS GENERALES'!$K:$M,3,0)*F362</f>
        <v>230580.67407903899</v>
      </c>
      <c r="N362" s="38" t="str">
        <f t="shared" si="29"/>
        <v/>
      </c>
      <c r="O362" s="36"/>
      <c r="P362" s="36"/>
      <c r="Q362" s="36"/>
    </row>
    <row r="363" spans="1:17" x14ac:dyDescent="0.25">
      <c r="A363" s="36">
        <v>1891</v>
      </c>
      <c r="B363" s="37">
        <v>44136</v>
      </c>
      <c r="C363" s="37">
        <v>44180.420777035928</v>
      </c>
      <c r="D363" s="36" t="s">
        <v>212</v>
      </c>
      <c r="E363" s="36"/>
      <c r="F363" s="38">
        <v>33878898.524999999</v>
      </c>
      <c r="G363" s="40">
        <f>VLOOKUP(A363,'DATOS GENERALES'!A:B,2,0)</f>
        <v>2.79</v>
      </c>
      <c r="H363" s="36">
        <f t="shared" si="25"/>
        <v>2.7771659999999998</v>
      </c>
      <c r="I363" s="38">
        <f t="shared" si="26"/>
        <v>12199090.196624905</v>
      </c>
      <c r="J363" s="38">
        <f t="shared" si="27"/>
        <v>21679808.328375094</v>
      </c>
      <c r="K363" s="38" t="s">
        <v>213</v>
      </c>
      <c r="L363" s="38" t="str">
        <f t="shared" si="28"/>
        <v/>
      </c>
      <c r="M363" s="41">
        <f>VLOOKUP(INDICADORES!$B$21,'DATOS GENERALES'!$K:$M,3,0)*F363</f>
        <v>230580.67407903899</v>
      </c>
      <c r="N363" s="38" t="str">
        <f t="shared" si="29"/>
        <v/>
      </c>
      <c r="O363" s="36"/>
      <c r="P363" s="36"/>
      <c r="Q363" s="36"/>
    </row>
    <row r="364" spans="1:17" x14ac:dyDescent="0.25">
      <c r="A364" s="36">
        <v>1891</v>
      </c>
      <c r="B364" s="37">
        <v>44166</v>
      </c>
      <c r="C364" s="37">
        <v>44218.10549231687</v>
      </c>
      <c r="D364" s="36" t="s">
        <v>212</v>
      </c>
      <c r="E364" s="36"/>
      <c r="F364" s="38">
        <v>33878898.524999999</v>
      </c>
      <c r="G364" s="40">
        <f>VLOOKUP(A364,'DATOS GENERALES'!A:B,2,0)</f>
        <v>2.79</v>
      </c>
      <c r="H364" s="36">
        <f t="shared" si="25"/>
        <v>2.7771659999999998</v>
      </c>
      <c r="I364" s="38">
        <f t="shared" si="26"/>
        <v>12199090.196624905</v>
      </c>
      <c r="J364" s="38">
        <f t="shared" si="27"/>
        <v>21679808.328375094</v>
      </c>
      <c r="K364" s="38" t="s">
        <v>213</v>
      </c>
      <c r="L364" s="38" t="str">
        <f t="shared" si="28"/>
        <v/>
      </c>
      <c r="M364" s="41">
        <f>VLOOKUP(INDICADORES!$B$21,'DATOS GENERALES'!$K:$M,3,0)*F364</f>
        <v>230580.67407903899</v>
      </c>
      <c r="N364" s="38" t="str">
        <f t="shared" si="29"/>
        <v/>
      </c>
      <c r="O364" s="36"/>
      <c r="P364" s="36"/>
      <c r="Q364" s="36"/>
    </row>
    <row r="365" spans="1:17" x14ac:dyDescent="0.25">
      <c r="A365" s="36">
        <v>1895</v>
      </c>
      <c r="B365" s="37">
        <v>43466</v>
      </c>
      <c r="C365" s="37">
        <v>43540.708507945506</v>
      </c>
      <c r="D365" s="36" t="s">
        <v>212</v>
      </c>
      <c r="E365" s="36"/>
      <c r="F365" s="38">
        <v>18830171.789000001</v>
      </c>
      <c r="G365" s="40">
        <f>VLOOKUP(A365,'DATOS GENERALES'!A:B,2,0)</f>
        <v>5.94</v>
      </c>
      <c r="H365" s="36">
        <f t="shared" si="25"/>
        <v>5.9126760000000003</v>
      </c>
      <c r="I365" s="38">
        <f t="shared" si="26"/>
        <v>3184712.2671697214</v>
      </c>
      <c r="J365" s="38">
        <f t="shared" si="27"/>
        <v>15645459.521830279</v>
      </c>
      <c r="K365" s="38">
        <v>698784.29422778916</v>
      </c>
      <c r="L365" s="38">
        <f t="shared" si="28"/>
        <v>14946675.227602489</v>
      </c>
      <c r="M365" s="41">
        <f>VLOOKUP(INDICADORES!$B$21,'DATOS GENERALES'!$K:$M,3,0)*F365</f>
        <v>128158.64426429795</v>
      </c>
      <c r="N365" s="38">
        <f t="shared" si="29"/>
        <v>14818516.583338192</v>
      </c>
      <c r="O365" s="36"/>
      <c r="P365" s="36"/>
      <c r="Q365" s="36"/>
    </row>
    <row r="366" spans="1:17" x14ac:dyDescent="0.25">
      <c r="A366" s="36">
        <v>1846</v>
      </c>
      <c r="B366" s="37">
        <v>43556</v>
      </c>
      <c r="C366" s="37">
        <v>43624.579684939417</v>
      </c>
      <c r="D366" s="36" t="s">
        <v>212</v>
      </c>
      <c r="E366" s="36"/>
      <c r="F366" s="38">
        <v>19561500</v>
      </c>
      <c r="G366" s="40">
        <f>VLOOKUP(A366,'DATOS GENERALES'!A:B,2,0)</f>
        <v>1.72</v>
      </c>
      <c r="H366" s="36">
        <f t="shared" si="25"/>
        <v>1.7120879999999998</v>
      </c>
      <c r="I366" s="38">
        <f t="shared" si="26"/>
        <v>11425522.519870475</v>
      </c>
      <c r="J366" s="38">
        <f t="shared" si="27"/>
        <v>8135977.4801295251</v>
      </c>
      <c r="K366" s="38">
        <v>1836974.4751148054</v>
      </c>
      <c r="L366" s="38">
        <f t="shared" si="28"/>
        <v>6299003.0050147194</v>
      </c>
      <c r="M366" s="41">
        <f>VLOOKUP(INDICADORES!$B$21,'DATOS GENERALES'!$K:$M,3,0)*F366</f>
        <v>133136.08329588163</v>
      </c>
      <c r="N366" s="38">
        <f t="shared" si="29"/>
        <v>6165866.9217188377</v>
      </c>
      <c r="O366" s="36"/>
      <c r="P366" s="36"/>
      <c r="Q366" s="36"/>
    </row>
    <row r="367" spans="1:17" x14ac:dyDescent="0.25">
      <c r="A367" s="36">
        <v>1893</v>
      </c>
      <c r="B367" s="37">
        <v>43466</v>
      </c>
      <c r="C367" s="37">
        <v>43525.207559203111</v>
      </c>
      <c r="D367" s="36" t="s">
        <v>212</v>
      </c>
      <c r="E367" s="36"/>
      <c r="F367" s="38">
        <v>37763484.710000001</v>
      </c>
      <c r="G367" s="40">
        <f>VLOOKUP(A367,'DATOS GENERALES'!A:B,2,0)</f>
        <v>1.87</v>
      </c>
      <c r="H367" s="36">
        <f t="shared" si="25"/>
        <v>1.8613980000000001</v>
      </c>
      <c r="I367" s="38">
        <f t="shared" si="26"/>
        <v>20287700.271516353</v>
      </c>
      <c r="J367" s="38">
        <f t="shared" si="27"/>
        <v>17475784.438483648</v>
      </c>
      <c r="K367" s="38">
        <v>4451493.6127449432</v>
      </c>
      <c r="L367" s="38">
        <f t="shared" si="28"/>
        <v>13024290.825738706</v>
      </c>
      <c r="M367" s="41">
        <f>VLOOKUP(INDICADORES!$B$21,'DATOS GENERALES'!$K:$M,3,0)*F367</f>
        <v>257019.26978469506</v>
      </c>
      <c r="N367" s="38">
        <f t="shared" si="29"/>
        <v>12767271.555954011</v>
      </c>
      <c r="O367" s="36"/>
      <c r="P367" s="36"/>
      <c r="Q367" s="36"/>
    </row>
    <row r="368" spans="1:17" x14ac:dyDescent="0.25">
      <c r="A368" s="36">
        <v>1893</v>
      </c>
      <c r="B368" s="37">
        <v>43497</v>
      </c>
      <c r="C368" s="37">
        <v>43550.672094612011</v>
      </c>
      <c r="D368" s="36" t="s">
        <v>212</v>
      </c>
      <c r="E368" s="36"/>
      <c r="F368" s="38">
        <v>37763484.710000001</v>
      </c>
      <c r="G368" s="40">
        <f>VLOOKUP(A368,'DATOS GENERALES'!A:B,2,0)</f>
        <v>1.87</v>
      </c>
      <c r="H368" s="36">
        <f t="shared" si="25"/>
        <v>1.8613980000000001</v>
      </c>
      <c r="I368" s="38">
        <f t="shared" si="26"/>
        <v>20287700.271516353</v>
      </c>
      <c r="J368" s="38">
        <f t="shared" si="27"/>
        <v>17475784.438483648</v>
      </c>
      <c r="K368" s="38">
        <v>4385345.6201297762</v>
      </c>
      <c r="L368" s="38">
        <f t="shared" si="28"/>
        <v>13090438.818353873</v>
      </c>
      <c r="M368" s="41">
        <f>VLOOKUP(INDICADORES!$B$21,'DATOS GENERALES'!$K:$M,3,0)*F368</f>
        <v>257019.26978469506</v>
      </c>
      <c r="N368" s="38">
        <f t="shared" si="29"/>
        <v>12833419.548569178</v>
      </c>
      <c r="O368" s="36"/>
      <c r="P368" s="36"/>
      <c r="Q368" s="36"/>
    </row>
    <row r="369" spans="1:17" x14ac:dyDescent="0.25">
      <c r="A369" s="36">
        <v>1893</v>
      </c>
      <c r="B369" s="37">
        <v>43525</v>
      </c>
      <c r="C369" s="37">
        <v>43551.764605102537</v>
      </c>
      <c r="D369" s="36" t="s">
        <v>212</v>
      </c>
      <c r="E369" s="36"/>
      <c r="F369" s="38">
        <v>37763484.710000001</v>
      </c>
      <c r="G369" s="40">
        <f>VLOOKUP(A369,'DATOS GENERALES'!A:B,2,0)</f>
        <v>1.87</v>
      </c>
      <c r="H369" s="36">
        <f t="shared" si="25"/>
        <v>1.8613980000000001</v>
      </c>
      <c r="I369" s="38">
        <f t="shared" si="26"/>
        <v>20287700.271516353</v>
      </c>
      <c r="J369" s="38">
        <f t="shared" si="27"/>
        <v>17475784.438483648</v>
      </c>
      <c r="K369" s="38">
        <v>3172743.1653017043</v>
      </c>
      <c r="L369" s="38">
        <f t="shared" si="28"/>
        <v>14303041.273181943</v>
      </c>
      <c r="M369" s="41">
        <f>VLOOKUP(INDICADORES!$B$21,'DATOS GENERALES'!$K:$M,3,0)*F369</f>
        <v>257019.26978469506</v>
      </c>
      <c r="N369" s="38">
        <f t="shared" si="29"/>
        <v>14046022.003397249</v>
      </c>
      <c r="O369" s="36"/>
      <c r="P369" s="36"/>
      <c r="Q369" s="36"/>
    </row>
    <row r="370" spans="1:17" x14ac:dyDescent="0.25">
      <c r="A370" s="36">
        <v>1893</v>
      </c>
      <c r="B370" s="37">
        <v>43556</v>
      </c>
      <c r="C370" s="37">
        <v>43596.496330671594</v>
      </c>
      <c r="D370" s="36" t="s">
        <v>212</v>
      </c>
      <c r="E370" s="36"/>
      <c r="F370" s="38">
        <v>37763484.710000001</v>
      </c>
      <c r="G370" s="40">
        <f>VLOOKUP(A370,'DATOS GENERALES'!A:B,2,0)</f>
        <v>1.87</v>
      </c>
      <c r="H370" s="36">
        <f t="shared" si="25"/>
        <v>1.8613980000000001</v>
      </c>
      <c r="I370" s="38">
        <f t="shared" si="26"/>
        <v>20287700.271516353</v>
      </c>
      <c r="J370" s="38">
        <f t="shared" si="27"/>
        <v>17475784.438483648</v>
      </c>
      <c r="K370" s="38">
        <v>3261819.0977910506</v>
      </c>
      <c r="L370" s="38">
        <f t="shared" si="28"/>
        <v>14213965.340692598</v>
      </c>
      <c r="M370" s="41">
        <f>VLOOKUP(INDICADORES!$B$21,'DATOS GENERALES'!$K:$M,3,0)*F370</f>
        <v>257019.26978469506</v>
      </c>
      <c r="N370" s="38">
        <f t="shared" si="29"/>
        <v>13956946.070907904</v>
      </c>
      <c r="O370" s="36"/>
      <c r="P370" s="36"/>
      <c r="Q370" s="36"/>
    </row>
    <row r="371" spans="1:17" x14ac:dyDescent="0.25">
      <c r="A371" s="36">
        <v>1893</v>
      </c>
      <c r="B371" s="37">
        <v>43586</v>
      </c>
      <c r="C371" s="37">
        <v>43616.971998133755</v>
      </c>
      <c r="D371" s="36" t="s">
        <v>212</v>
      </c>
      <c r="E371" s="36"/>
      <c r="F371" s="38">
        <v>37763484.710000001</v>
      </c>
      <c r="G371" s="40">
        <f>VLOOKUP(A371,'DATOS GENERALES'!A:B,2,0)</f>
        <v>1.87</v>
      </c>
      <c r="H371" s="36">
        <f t="shared" si="25"/>
        <v>1.8613980000000001</v>
      </c>
      <c r="I371" s="38">
        <f t="shared" si="26"/>
        <v>20287700.271516353</v>
      </c>
      <c r="J371" s="38">
        <f t="shared" si="27"/>
        <v>17475784.438483648</v>
      </c>
      <c r="K371" s="38">
        <v>2690772.6421670346</v>
      </c>
      <c r="L371" s="38">
        <f t="shared" si="28"/>
        <v>14785011.796316613</v>
      </c>
      <c r="M371" s="41">
        <f>VLOOKUP(INDICADORES!$B$21,'DATOS GENERALES'!$K:$M,3,0)*F371</f>
        <v>257019.26978469506</v>
      </c>
      <c r="N371" s="38">
        <f t="shared" si="29"/>
        <v>14527992.526531918</v>
      </c>
      <c r="O371" s="36"/>
      <c r="P371" s="36"/>
      <c r="Q371" s="36"/>
    </row>
    <row r="372" spans="1:17" x14ac:dyDescent="0.25">
      <c r="A372" s="36">
        <v>1893</v>
      </c>
      <c r="B372" s="37">
        <v>43617</v>
      </c>
      <c r="C372" s="37">
        <v>43683.203090342569</v>
      </c>
      <c r="D372" s="36" t="s">
        <v>212</v>
      </c>
      <c r="E372" s="36"/>
      <c r="F372" s="38">
        <v>37763484.710000001</v>
      </c>
      <c r="G372" s="40">
        <f>VLOOKUP(A372,'DATOS GENERALES'!A:B,2,0)</f>
        <v>1.87</v>
      </c>
      <c r="H372" s="36">
        <f t="shared" si="25"/>
        <v>1.8613980000000001</v>
      </c>
      <c r="I372" s="38">
        <f t="shared" si="26"/>
        <v>20287700.271516353</v>
      </c>
      <c r="J372" s="38">
        <f t="shared" si="27"/>
        <v>17475784.438483648</v>
      </c>
      <c r="K372" s="38">
        <v>3022279.5554108443</v>
      </c>
      <c r="L372" s="38">
        <f t="shared" si="28"/>
        <v>14453504.883072805</v>
      </c>
      <c r="M372" s="41">
        <f>VLOOKUP(INDICADORES!$B$21,'DATOS GENERALES'!$K:$M,3,0)*F372</f>
        <v>257019.26978469506</v>
      </c>
      <c r="N372" s="38">
        <f t="shared" si="29"/>
        <v>14196485.61328811</v>
      </c>
      <c r="O372" s="36"/>
      <c r="P372" s="36"/>
      <c r="Q372" s="36"/>
    </row>
    <row r="373" spans="1:17" x14ac:dyDescent="0.25">
      <c r="A373" s="36">
        <v>1893</v>
      </c>
      <c r="B373" s="37">
        <v>43647</v>
      </c>
      <c r="C373" s="37">
        <v>43714.310587762659</v>
      </c>
      <c r="D373" s="36" t="s">
        <v>212</v>
      </c>
      <c r="E373" s="36"/>
      <c r="F373" s="38">
        <v>37763484.710000001</v>
      </c>
      <c r="G373" s="40">
        <f>VLOOKUP(A373,'DATOS GENERALES'!A:B,2,0)</f>
        <v>1.87</v>
      </c>
      <c r="H373" s="36">
        <f t="shared" si="25"/>
        <v>1.8613980000000001</v>
      </c>
      <c r="I373" s="38">
        <f t="shared" si="26"/>
        <v>20287700.271516353</v>
      </c>
      <c r="J373" s="38">
        <f t="shared" si="27"/>
        <v>17475784.438483648</v>
      </c>
      <c r="K373" s="38">
        <v>5248241.9303120105</v>
      </c>
      <c r="L373" s="38">
        <f t="shared" si="28"/>
        <v>12227542.508171637</v>
      </c>
      <c r="M373" s="41">
        <f>VLOOKUP(INDICADORES!$B$21,'DATOS GENERALES'!$K:$M,3,0)*F373</f>
        <v>257019.26978469506</v>
      </c>
      <c r="N373" s="38">
        <f t="shared" si="29"/>
        <v>11970523.238386942</v>
      </c>
      <c r="O373" s="36"/>
      <c r="P373" s="36"/>
      <c r="Q373" s="36"/>
    </row>
    <row r="374" spans="1:17" x14ac:dyDescent="0.25">
      <c r="A374" s="36">
        <v>1893</v>
      </c>
      <c r="B374" s="37">
        <v>43678</v>
      </c>
      <c r="C374" s="37">
        <v>43742.380767221497</v>
      </c>
      <c r="D374" s="36" t="s">
        <v>212</v>
      </c>
      <c r="E374" s="36"/>
      <c r="F374" s="38">
        <v>37763484.710000001</v>
      </c>
      <c r="G374" s="40">
        <f>VLOOKUP(A374,'DATOS GENERALES'!A:B,2,0)</f>
        <v>1.87</v>
      </c>
      <c r="H374" s="36">
        <f t="shared" si="25"/>
        <v>1.8613980000000001</v>
      </c>
      <c r="I374" s="38">
        <f t="shared" si="26"/>
        <v>20287700.271516353</v>
      </c>
      <c r="J374" s="38">
        <f t="shared" si="27"/>
        <v>17475784.438483648</v>
      </c>
      <c r="K374" s="38">
        <v>5270083.1567178294</v>
      </c>
      <c r="L374" s="38">
        <f t="shared" si="28"/>
        <v>12205701.281765819</v>
      </c>
      <c r="M374" s="41">
        <f>VLOOKUP(INDICADORES!$B$21,'DATOS GENERALES'!$K:$M,3,0)*F374</f>
        <v>257019.26978469506</v>
      </c>
      <c r="N374" s="38">
        <f t="shared" si="29"/>
        <v>11948682.011981124</v>
      </c>
      <c r="O374" s="36"/>
      <c r="P374" s="36"/>
      <c r="Q374" s="36"/>
    </row>
    <row r="375" spans="1:17" x14ac:dyDescent="0.25">
      <c r="A375" s="36">
        <v>1893</v>
      </c>
      <c r="B375" s="37">
        <v>43709</v>
      </c>
      <c r="C375" s="37">
        <v>43732.815845378951</v>
      </c>
      <c r="D375" s="36" t="s">
        <v>212</v>
      </c>
      <c r="E375" s="36"/>
      <c r="F375" s="38">
        <v>37763484.710000001</v>
      </c>
      <c r="G375" s="40">
        <f>VLOOKUP(A375,'DATOS GENERALES'!A:B,2,0)</f>
        <v>1.87</v>
      </c>
      <c r="H375" s="36">
        <f t="shared" si="25"/>
        <v>1.8613980000000001</v>
      </c>
      <c r="I375" s="38">
        <f t="shared" si="26"/>
        <v>20287700.271516353</v>
      </c>
      <c r="J375" s="38">
        <f t="shared" si="27"/>
        <v>17475784.438483648</v>
      </c>
      <c r="K375" s="38">
        <v>5816913.479293054</v>
      </c>
      <c r="L375" s="38">
        <f t="shared" si="28"/>
        <v>11658870.959190594</v>
      </c>
      <c r="M375" s="41">
        <f>VLOOKUP(INDICADORES!$B$21,'DATOS GENERALES'!$K:$M,3,0)*F375</f>
        <v>257019.26978469506</v>
      </c>
      <c r="N375" s="38">
        <f t="shared" si="29"/>
        <v>11401851.689405899</v>
      </c>
      <c r="O375" s="36"/>
      <c r="P375" s="36"/>
      <c r="Q375" s="36"/>
    </row>
    <row r="376" spans="1:17" x14ac:dyDescent="0.25">
      <c r="A376" s="36">
        <v>1893</v>
      </c>
      <c r="B376" s="37">
        <v>43739</v>
      </c>
      <c r="C376" s="37">
        <v>43814.653750954283</v>
      </c>
      <c r="D376" s="36" t="s">
        <v>212</v>
      </c>
      <c r="E376" s="36"/>
      <c r="F376" s="38">
        <v>37763484.710000001</v>
      </c>
      <c r="G376" s="40">
        <f>VLOOKUP(A376,'DATOS GENERALES'!A:B,2,0)</f>
        <v>1.87</v>
      </c>
      <c r="H376" s="36">
        <f t="shared" si="25"/>
        <v>1.8613980000000001</v>
      </c>
      <c r="I376" s="38">
        <f t="shared" si="26"/>
        <v>20287700.271516353</v>
      </c>
      <c r="J376" s="38">
        <f t="shared" si="27"/>
        <v>17475784.438483648</v>
      </c>
      <c r="K376" s="38">
        <v>6312766.1765563386</v>
      </c>
      <c r="L376" s="38">
        <f t="shared" si="28"/>
        <v>11163018.26192731</v>
      </c>
      <c r="M376" s="41">
        <f>VLOOKUP(INDICADORES!$B$21,'DATOS GENERALES'!$K:$M,3,0)*F376</f>
        <v>257019.26978469506</v>
      </c>
      <c r="N376" s="38">
        <f t="shared" si="29"/>
        <v>10905998.992142616</v>
      </c>
      <c r="O376" s="36"/>
      <c r="P376" s="36"/>
      <c r="Q376" s="36"/>
    </row>
    <row r="377" spans="1:17" x14ac:dyDescent="0.25">
      <c r="A377" s="36">
        <v>1893</v>
      </c>
      <c r="B377" s="37">
        <v>43770</v>
      </c>
      <c r="C377" s="37">
        <v>43807.018216440236</v>
      </c>
      <c r="D377" s="36" t="s">
        <v>212</v>
      </c>
      <c r="E377" s="36"/>
      <c r="F377" s="38">
        <v>37763484.710000001</v>
      </c>
      <c r="G377" s="40">
        <f>VLOOKUP(A377,'DATOS GENERALES'!A:B,2,0)</f>
        <v>1.87</v>
      </c>
      <c r="H377" s="36">
        <f t="shared" si="25"/>
        <v>1.8613980000000001</v>
      </c>
      <c r="I377" s="38">
        <f t="shared" si="26"/>
        <v>20287700.271516353</v>
      </c>
      <c r="J377" s="38">
        <f t="shared" si="27"/>
        <v>17475784.438483648</v>
      </c>
      <c r="K377" s="38">
        <v>8284220.8551092744</v>
      </c>
      <c r="L377" s="38">
        <f t="shared" si="28"/>
        <v>9191563.5833743736</v>
      </c>
      <c r="M377" s="41">
        <f>VLOOKUP(INDICADORES!$B$21,'DATOS GENERALES'!$K:$M,3,0)*F377</f>
        <v>257019.26978469506</v>
      </c>
      <c r="N377" s="38">
        <f t="shared" si="29"/>
        <v>8934544.3135896791</v>
      </c>
      <c r="O377" s="36"/>
      <c r="P377" s="36"/>
      <c r="Q377" s="36"/>
    </row>
    <row r="378" spans="1:17" x14ac:dyDescent="0.25">
      <c r="A378" s="36">
        <v>1893</v>
      </c>
      <c r="B378" s="37">
        <v>43800</v>
      </c>
      <c r="C378" s="37">
        <v>43891.353808489672</v>
      </c>
      <c r="D378" s="36" t="s">
        <v>212</v>
      </c>
      <c r="E378" s="36"/>
      <c r="F378" s="38">
        <v>37763484.710000001</v>
      </c>
      <c r="G378" s="40">
        <f>VLOOKUP(A378,'DATOS GENERALES'!A:B,2,0)</f>
        <v>1.87</v>
      </c>
      <c r="H378" s="36">
        <f t="shared" si="25"/>
        <v>1.8613980000000001</v>
      </c>
      <c r="I378" s="38">
        <f t="shared" si="26"/>
        <v>20287700.271516353</v>
      </c>
      <c r="J378" s="38">
        <f t="shared" si="27"/>
        <v>17475784.438483648</v>
      </c>
      <c r="K378" s="38">
        <v>7145550.8279054472</v>
      </c>
      <c r="L378" s="38">
        <f t="shared" si="28"/>
        <v>10330233.610578202</v>
      </c>
      <c r="M378" s="41">
        <f>VLOOKUP(INDICADORES!$B$21,'DATOS GENERALES'!$K:$M,3,0)*F378</f>
        <v>257019.26978469506</v>
      </c>
      <c r="N378" s="38">
        <f t="shared" si="29"/>
        <v>10073214.340793507</v>
      </c>
      <c r="O378" s="36"/>
      <c r="P378" s="36"/>
      <c r="Q378" s="36"/>
    </row>
    <row r="379" spans="1:17" x14ac:dyDescent="0.25">
      <c r="A379" s="36">
        <v>1893</v>
      </c>
      <c r="B379" s="37">
        <v>43831</v>
      </c>
      <c r="C379" s="37">
        <v>43888</v>
      </c>
      <c r="D379" s="36" t="s">
        <v>212</v>
      </c>
      <c r="E379" s="36"/>
      <c r="F379" s="38">
        <v>37763484.710000001</v>
      </c>
      <c r="G379" s="40">
        <f>VLOOKUP(A379,'DATOS GENERALES'!A:B,2,0)</f>
        <v>1.87</v>
      </c>
      <c r="H379" s="36">
        <f t="shared" si="25"/>
        <v>1.8613980000000001</v>
      </c>
      <c r="I379" s="38">
        <f t="shared" si="26"/>
        <v>20287700.271516353</v>
      </c>
      <c r="J379" s="38">
        <f t="shared" si="27"/>
        <v>17475784.438483648</v>
      </c>
      <c r="K379" s="38" t="s">
        <v>213</v>
      </c>
      <c r="L379" s="38" t="str">
        <f t="shared" si="28"/>
        <v/>
      </c>
      <c r="M379" s="41">
        <f>VLOOKUP(INDICADORES!$B$21,'DATOS GENERALES'!$K:$M,3,0)*F379</f>
        <v>257019.26978469506</v>
      </c>
      <c r="N379" s="38" t="str">
        <f t="shared" si="29"/>
        <v/>
      </c>
      <c r="O379" s="36"/>
      <c r="P379" s="36"/>
      <c r="Q379" s="36"/>
    </row>
    <row r="380" spans="1:17" x14ac:dyDescent="0.25">
      <c r="A380" s="36">
        <v>1893</v>
      </c>
      <c r="B380" s="37">
        <v>43862</v>
      </c>
      <c r="C380" s="37">
        <v>43917.798934930732</v>
      </c>
      <c r="D380" s="36" t="s">
        <v>212</v>
      </c>
      <c r="E380" s="36"/>
      <c r="F380" s="38">
        <v>37763484.710000001</v>
      </c>
      <c r="G380" s="40">
        <f>VLOOKUP(A380,'DATOS GENERALES'!A:B,2,0)</f>
        <v>1.87</v>
      </c>
      <c r="H380" s="36">
        <f t="shared" si="25"/>
        <v>1.8613980000000001</v>
      </c>
      <c r="I380" s="38">
        <f t="shared" si="26"/>
        <v>20287700.271516353</v>
      </c>
      <c r="J380" s="38">
        <f t="shared" si="27"/>
        <v>17475784.438483648</v>
      </c>
      <c r="K380" s="38" t="s">
        <v>213</v>
      </c>
      <c r="L380" s="38" t="str">
        <f t="shared" si="28"/>
        <v/>
      </c>
      <c r="M380" s="41">
        <f>VLOOKUP(INDICADORES!$B$21,'DATOS GENERALES'!$K:$M,3,0)*F380</f>
        <v>257019.26978469506</v>
      </c>
      <c r="N380" s="38" t="str">
        <f t="shared" si="29"/>
        <v/>
      </c>
      <c r="O380" s="36"/>
      <c r="P380" s="36"/>
      <c r="Q380" s="36"/>
    </row>
    <row r="381" spans="1:17" x14ac:dyDescent="0.25">
      <c r="A381" s="36">
        <v>1893</v>
      </c>
      <c r="B381" s="37">
        <v>43891</v>
      </c>
      <c r="C381" s="37">
        <v>43956.815959557927</v>
      </c>
      <c r="D381" s="36" t="s">
        <v>212</v>
      </c>
      <c r="E381" s="36"/>
      <c r="F381" s="38">
        <v>37763484.710000001</v>
      </c>
      <c r="G381" s="40">
        <f>VLOOKUP(A381,'DATOS GENERALES'!A:B,2,0)</f>
        <v>1.87</v>
      </c>
      <c r="H381" s="36">
        <f t="shared" si="25"/>
        <v>1.8613980000000001</v>
      </c>
      <c r="I381" s="38">
        <f t="shared" si="26"/>
        <v>20287700.271516353</v>
      </c>
      <c r="J381" s="38">
        <f t="shared" si="27"/>
        <v>17475784.438483648</v>
      </c>
      <c r="K381" s="38" t="s">
        <v>213</v>
      </c>
      <c r="L381" s="38" t="str">
        <f t="shared" si="28"/>
        <v/>
      </c>
      <c r="M381" s="41">
        <f>VLOOKUP(INDICADORES!$B$21,'DATOS GENERALES'!$K:$M,3,0)*F381</f>
        <v>257019.26978469506</v>
      </c>
      <c r="N381" s="38" t="str">
        <f t="shared" si="29"/>
        <v/>
      </c>
      <c r="O381" s="36"/>
      <c r="P381" s="36"/>
      <c r="Q381" s="36"/>
    </row>
    <row r="382" spans="1:17" x14ac:dyDescent="0.25">
      <c r="A382" s="36">
        <v>1890</v>
      </c>
      <c r="B382" s="37">
        <v>43466</v>
      </c>
      <c r="C382" s="37">
        <v>43524.01525402991</v>
      </c>
      <c r="D382" s="36" t="s">
        <v>212</v>
      </c>
      <c r="E382" s="36"/>
      <c r="F382" s="38">
        <v>25318074</v>
      </c>
      <c r="G382" s="40">
        <f>VLOOKUP(A382,'DATOS GENERALES'!A:B,2,0)</f>
        <v>1.1100000000000001</v>
      </c>
      <c r="H382" s="36">
        <f t="shared" si="25"/>
        <v>1.104894</v>
      </c>
      <c r="I382" s="38">
        <f t="shared" si="26"/>
        <v>22914482.294229127</v>
      </c>
      <c r="J382" s="38">
        <f t="shared" si="27"/>
        <v>2403591.7057708725</v>
      </c>
      <c r="K382" s="38">
        <v>5027857.7762374459</v>
      </c>
      <c r="L382" s="38">
        <f t="shared" si="28"/>
        <v>-2624266.0704665734</v>
      </c>
      <c r="M382" s="41">
        <f>VLOOKUP(INDICADORES!$B$21,'DATOS GENERALES'!$K:$M,3,0)*F382</f>
        <v>172315.47728728855</v>
      </c>
      <c r="N382" s="38">
        <f t="shared" si="29"/>
        <v>-2796581.5477538621</v>
      </c>
      <c r="O382" s="36"/>
      <c r="P382" s="36"/>
      <c r="Q382" s="36"/>
    </row>
    <row r="383" spans="1:17" x14ac:dyDescent="0.25">
      <c r="A383" s="36">
        <v>1890</v>
      </c>
      <c r="B383" s="37">
        <v>43497</v>
      </c>
      <c r="C383" s="37">
        <v>43573.792938907653</v>
      </c>
      <c r="D383" s="36" t="s">
        <v>212</v>
      </c>
      <c r="E383" s="36"/>
      <c r="F383" s="38">
        <v>29324874</v>
      </c>
      <c r="G383" s="40">
        <f>VLOOKUP(A383,'DATOS GENERALES'!A:B,2,0)</f>
        <v>1.1100000000000001</v>
      </c>
      <c r="H383" s="36">
        <f t="shared" si="25"/>
        <v>1.104894</v>
      </c>
      <c r="I383" s="38">
        <f t="shared" si="26"/>
        <v>26540893.515577059</v>
      </c>
      <c r="J383" s="38">
        <f t="shared" si="27"/>
        <v>2783980.4844229408</v>
      </c>
      <c r="K383" s="38">
        <v>5737022.4113709899</v>
      </c>
      <c r="L383" s="38">
        <f t="shared" si="28"/>
        <v>-2953041.9269480491</v>
      </c>
      <c r="M383" s="41">
        <f>VLOOKUP(INDICADORES!$B$21,'DATOS GENERALES'!$K:$M,3,0)*F383</f>
        <v>199585.86343098604</v>
      </c>
      <c r="N383" s="38">
        <f t="shared" si="29"/>
        <v>-3152627.7903790353</v>
      </c>
      <c r="O383" s="36"/>
      <c r="P383" s="36"/>
      <c r="Q383" s="36"/>
    </row>
    <row r="384" spans="1:17" x14ac:dyDescent="0.25">
      <c r="A384" s="36">
        <v>1890</v>
      </c>
      <c r="B384" s="37">
        <v>43525</v>
      </c>
      <c r="C384" s="37">
        <v>43574.878673889572</v>
      </c>
      <c r="D384" s="36" t="s">
        <v>212</v>
      </c>
      <c r="E384" s="36"/>
      <c r="F384" s="38">
        <v>29324874</v>
      </c>
      <c r="G384" s="40">
        <f>VLOOKUP(A384,'DATOS GENERALES'!A:B,2,0)</f>
        <v>1.1100000000000001</v>
      </c>
      <c r="H384" s="36">
        <f t="shared" si="25"/>
        <v>1.104894</v>
      </c>
      <c r="I384" s="38">
        <f t="shared" si="26"/>
        <v>26540893.515577059</v>
      </c>
      <c r="J384" s="38">
        <f t="shared" si="27"/>
        <v>2783980.4844229408</v>
      </c>
      <c r="K384" s="38">
        <v>4150664.5590961091</v>
      </c>
      <c r="L384" s="38">
        <f t="shared" si="28"/>
        <v>-1366684.0746731684</v>
      </c>
      <c r="M384" s="41">
        <f>VLOOKUP(INDICADORES!$B$21,'DATOS GENERALES'!$K:$M,3,0)*F384</f>
        <v>199585.86343098604</v>
      </c>
      <c r="N384" s="38">
        <f t="shared" si="29"/>
        <v>-1566269.9381041543</v>
      </c>
      <c r="O384" s="36"/>
      <c r="P384" s="36"/>
      <c r="Q384" s="36"/>
    </row>
    <row r="385" spans="1:17" x14ac:dyDescent="0.25">
      <c r="A385" s="36">
        <v>1890</v>
      </c>
      <c r="B385" s="37">
        <v>43556</v>
      </c>
      <c r="C385" s="37">
        <v>43649.980261245022</v>
      </c>
      <c r="D385" s="36" t="s">
        <v>212</v>
      </c>
      <c r="E385" s="36"/>
      <c r="F385" s="38">
        <v>29324874</v>
      </c>
      <c r="G385" s="40">
        <f>VLOOKUP(A385,'DATOS GENERALES'!A:B,2,0)</f>
        <v>1.1100000000000001</v>
      </c>
      <c r="H385" s="36">
        <f t="shared" si="25"/>
        <v>1.104894</v>
      </c>
      <c r="I385" s="38">
        <f t="shared" si="26"/>
        <v>26540893.515577059</v>
      </c>
      <c r="J385" s="38">
        <f t="shared" si="27"/>
        <v>2783980.4844229408</v>
      </c>
      <c r="K385" s="38">
        <v>4267195.9947620686</v>
      </c>
      <c r="L385" s="38">
        <f t="shared" si="28"/>
        <v>-1483215.5103391279</v>
      </c>
      <c r="M385" s="41">
        <f>VLOOKUP(INDICADORES!$B$21,'DATOS GENERALES'!$K:$M,3,0)*F385</f>
        <v>199585.86343098604</v>
      </c>
      <c r="N385" s="38">
        <f t="shared" si="29"/>
        <v>-1682801.3737701138</v>
      </c>
      <c r="O385" s="36"/>
      <c r="P385" s="36"/>
      <c r="Q385" s="36"/>
    </row>
    <row r="386" spans="1:17" x14ac:dyDescent="0.25">
      <c r="A386" s="36">
        <v>1890</v>
      </c>
      <c r="B386" s="37">
        <v>43586</v>
      </c>
      <c r="C386" s="37">
        <v>43630.021993372982</v>
      </c>
      <c r="D386" s="36" t="s">
        <v>212</v>
      </c>
      <c r="E386" s="36"/>
      <c r="F386" s="38">
        <v>29324874</v>
      </c>
      <c r="G386" s="40">
        <f>VLOOKUP(A386,'DATOS GENERALES'!A:B,2,0)</f>
        <v>1.1100000000000001</v>
      </c>
      <c r="H386" s="36">
        <f t="shared" si="25"/>
        <v>1.104894</v>
      </c>
      <c r="I386" s="38">
        <f t="shared" si="26"/>
        <v>26540893.515577059</v>
      </c>
      <c r="J386" s="38">
        <f t="shared" si="27"/>
        <v>2783980.4844229408</v>
      </c>
      <c r="K386" s="38">
        <v>3520138.271692114</v>
      </c>
      <c r="L386" s="38">
        <f t="shared" si="28"/>
        <v>-736157.78726917319</v>
      </c>
      <c r="M386" s="41">
        <f>VLOOKUP(INDICADORES!$B$21,'DATOS GENERALES'!$K:$M,3,0)*F386</f>
        <v>199585.86343098604</v>
      </c>
      <c r="N386" s="38">
        <f t="shared" si="29"/>
        <v>-935743.65070015925</v>
      </c>
      <c r="O386" s="36"/>
      <c r="P386" s="36"/>
      <c r="Q386" s="36"/>
    </row>
    <row r="387" spans="1:17" x14ac:dyDescent="0.25">
      <c r="A387" s="36">
        <v>1890</v>
      </c>
      <c r="B387" s="37">
        <v>43617</v>
      </c>
      <c r="C387" s="37">
        <v>43674.40614358327</v>
      </c>
      <c r="D387" s="36" t="s">
        <v>212</v>
      </c>
      <c r="E387" s="36"/>
      <c r="F387" s="38">
        <v>29324874</v>
      </c>
      <c r="G387" s="40">
        <f>VLOOKUP(A387,'DATOS GENERALES'!A:B,2,0)</f>
        <v>1.1100000000000001</v>
      </c>
      <c r="H387" s="36">
        <f t="shared" ref="H387:H450" si="30">G387*0.9954</f>
        <v>1.104894</v>
      </c>
      <c r="I387" s="38">
        <f t="shared" ref="I387:I450" si="31">F387/H387</f>
        <v>26540893.515577059</v>
      </c>
      <c r="J387" s="38">
        <f t="shared" ref="J387:J450" si="32">F387-I387</f>
        <v>2783980.4844229408</v>
      </c>
      <c r="K387" s="38">
        <v>3953824.1782428203</v>
      </c>
      <c r="L387" s="38">
        <f t="shared" ref="L387:L450" si="33">IFERROR(J387-K387,"")</f>
        <v>-1169843.6938198796</v>
      </c>
      <c r="M387" s="41">
        <f>VLOOKUP(INDICADORES!$B$21,'DATOS GENERALES'!$K:$M,3,0)*F387</f>
        <v>199585.86343098604</v>
      </c>
      <c r="N387" s="38">
        <f t="shared" ref="N387:N450" si="34">IFERROR(L387-M387,"")</f>
        <v>-1369429.5572508655</v>
      </c>
      <c r="O387" s="36"/>
      <c r="P387" s="36"/>
      <c r="Q387" s="36"/>
    </row>
    <row r="388" spans="1:17" x14ac:dyDescent="0.25">
      <c r="A388" s="36">
        <v>1890</v>
      </c>
      <c r="B388" s="37">
        <v>43647</v>
      </c>
      <c r="C388" s="37">
        <v>43705.393365122538</v>
      </c>
      <c r="D388" s="36" t="s">
        <v>212</v>
      </c>
      <c r="E388" s="36"/>
      <c r="F388" s="38">
        <v>29324874</v>
      </c>
      <c r="G388" s="40">
        <f>VLOOKUP(A388,'DATOS GENERALES'!A:B,2,0)</f>
        <v>1.1100000000000001</v>
      </c>
      <c r="H388" s="36">
        <f t="shared" si="30"/>
        <v>1.104894</v>
      </c>
      <c r="I388" s="38">
        <f t="shared" si="31"/>
        <v>26540893.515577059</v>
      </c>
      <c r="J388" s="38">
        <f t="shared" si="32"/>
        <v>2783980.4844229408</v>
      </c>
      <c r="K388" s="38">
        <v>6865885.6524986783</v>
      </c>
      <c r="L388" s="38">
        <f t="shared" si="33"/>
        <v>-4081905.1680757375</v>
      </c>
      <c r="M388" s="41">
        <f>VLOOKUP(INDICADORES!$B$21,'DATOS GENERALES'!$K:$M,3,0)*F388</f>
        <v>199585.86343098604</v>
      </c>
      <c r="N388" s="38">
        <f t="shared" si="34"/>
        <v>-4281491.0315067237</v>
      </c>
      <c r="O388" s="36"/>
      <c r="P388" s="36"/>
      <c r="Q388" s="36"/>
    </row>
    <row r="389" spans="1:17" x14ac:dyDescent="0.25">
      <c r="A389" s="36">
        <v>1890</v>
      </c>
      <c r="B389" s="37">
        <v>43678</v>
      </c>
      <c r="C389" s="37">
        <v>43772.871453039414</v>
      </c>
      <c r="D389" s="36" t="s">
        <v>212</v>
      </c>
      <c r="E389" s="36"/>
      <c r="F389" s="38">
        <v>29324874</v>
      </c>
      <c r="G389" s="40">
        <f>VLOOKUP(A389,'DATOS GENERALES'!A:B,2,0)</f>
        <v>1.1100000000000001</v>
      </c>
      <c r="H389" s="36">
        <f t="shared" si="30"/>
        <v>1.104894</v>
      </c>
      <c r="I389" s="38">
        <f t="shared" si="31"/>
        <v>26540893.515577059</v>
      </c>
      <c r="J389" s="38">
        <f t="shared" si="32"/>
        <v>2783980.4844229408</v>
      </c>
      <c r="K389" s="38">
        <v>6894458.9090298936</v>
      </c>
      <c r="L389" s="38">
        <f t="shared" si="33"/>
        <v>-4110478.4246069528</v>
      </c>
      <c r="M389" s="41">
        <f>VLOOKUP(INDICADORES!$B$21,'DATOS GENERALES'!$K:$M,3,0)*F389</f>
        <v>199585.86343098604</v>
      </c>
      <c r="N389" s="38">
        <f t="shared" si="34"/>
        <v>-4310064.288037939</v>
      </c>
      <c r="O389" s="36"/>
      <c r="P389" s="36"/>
      <c r="Q389" s="36"/>
    </row>
    <row r="390" spans="1:17" x14ac:dyDescent="0.25">
      <c r="A390" s="36">
        <v>1890</v>
      </c>
      <c r="B390" s="37">
        <v>43709</v>
      </c>
      <c r="C390" s="37">
        <v>43782.634585135369</v>
      </c>
      <c r="D390" s="36" t="s">
        <v>212</v>
      </c>
      <c r="E390" s="36"/>
      <c r="F390" s="38">
        <v>29324874</v>
      </c>
      <c r="G390" s="40">
        <f>VLOOKUP(A390,'DATOS GENERALES'!A:B,2,0)</f>
        <v>1.1100000000000001</v>
      </c>
      <c r="H390" s="36">
        <f t="shared" si="30"/>
        <v>1.104894</v>
      </c>
      <c r="I390" s="38">
        <f t="shared" si="31"/>
        <v>26540893.515577059</v>
      </c>
      <c r="J390" s="38">
        <f t="shared" si="32"/>
        <v>2783980.4844229408</v>
      </c>
      <c r="K390" s="38">
        <v>7609836.4613557365</v>
      </c>
      <c r="L390" s="38">
        <f t="shared" si="33"/>
        <v>-4825855.9769327957</v>
      </c>
      <c r="M390" s="41">
        <f>VLOOKUP(INDICADORES!$B$21,'DATOS GENERALES'!$K:$M,3,0)*F390</f>
        <v>199585.86343098604</v>
      </c>
      <c r="N390" s="38">
        <f t="shared" si="34"/>
        <v>-5025441.8403637819</v>
      </c>
      <c r="O390" s="36"/>
      <c r="P390" s="36"/>
      <c r="Q390" s="36"/>
    </row>
    <row r="391" spans="1:17" x14ac:dyDescent="0.25">
      <c r="A391" s="36">
        <v>1890</v>
      </c>
      <c r="B391" s="37">
        <v>43739</v>
      </c>
      <c r="C391" s="37">
        <v>43820.187793314471</v>
      </c>
      <c r="D391" s="36" t="s">
        <v>212</v>
      </c>
      <c r="E391" s="36"/>
      <c r="F391" s="38">
        <v>29324874</v>
      </c>
      <c r="G391" s="40">
        <f>VLOOKUP(A391,'DATOS GENERALES'!A:B,2,0)</f>
        <v>1.1100000000000001</v>
      </c>
      <c r="H391" s="36">
        <f t="shared" si="30"/>
        <v>1.104894</v>
      </c>
      <c r="I391" s="38">
        <f t="shared" si="31"/>
        <v>26540893.515577059</v>
      </c>
      <c r="J391" s="38">
        <f t="shared" si="32"/>
        <v>2783980.4844229408</v>
      </c>
      <c r="K391" s="38">
        <v>8258523.7675238736</v>
      </c>
      <c r="L391" s="38">
        <f t="shared" si="33"/>
        <v>-5474543.2831009328</v>
      </c>
      <c r="M391" s="41">
        <f>VLOOKUP(INDICADORES!$B$21,'DATOS GENERALES'!$K:$M,3,0)*F391</f>
        <v>199585.86343098604</v>
      </c>
      <c r="N391" s="38">
        <f t="shared" si="34"/>
        <v>-5674129.146531919</v>
      </c>
      <c r="O391" s="36"/>
      <c r="P391" s="36"/>
      <c r="Q391" s="36"/>
    </row>
    <row r="392" spans="1:17" x14ac:dyDescent="0.25">
      <c r="A392" s="36">
        <v>1890</v>
      </c>
      <c r="B392" s="37">
        <v>43770</v>
      </c>
      <c r="C392" s="37">
        <v>43833.733716165545</v>
      </c>
      <c r="D392" s="36" t="s">
        <v>212</v>
      </c>
      <c r="E392" s="36"/>
      <c r="F392" s="38">
        <v>29324874</v>
      </c>
      <c r="G392" s="40">
        <f>VLOOKUP(A392,'DATOS GENERALES'!A:B,2,0)</f>
        <v>1.1100000000000001</v>
      </c>
      <c r="H392" s="36">
        <f t="shared" si="30"/>
        <v>1.104894</v>
      </c>
      <c r="I392" s="38">
        <f t="shared" si="31"/>
        <v>26540893.515577059</v>
      </c>
      <c r="J392" s="38">
        <f t="shared" si="32"/>
        <v>2783980.4844229408</v>
      </c>
      <c r="K392" s="38">
        <v>10837631.69962015</v>
      </c>
      <c r="L392" s="38">
        <f t="shared" si="33"/>
        <v>-8053651.2151972093</v>
      </c>
      <c r="M392" s="41">
        <f>VLOOKUP(INDICADORES!$B$21,'DATOS GENERALES'!$K:$M,3,0)*F392</f>
        <v>199585.86343098604</v>
      </c>
      <c r="N392" s="38">
        <f t="shared" si="34"/>
        <v>-8253237.0786281954</v>
      </c>
      <c r="O392" s="36"/>
      <c r="P392" s="36"/>
      <c r="Q392" s="36"/>
    </row>
    <row r="393" spans="1:17" x14ac:dyDescent="0.25">
      <c r="A393" s="36">
        <v>1890</v>
      </c>
      <c r="B393" s="37">
        <v>43800</v>
      </c>
      <c r="C393" s="37">
        <v>43845.208790398108</v>
      </c>
      <c r="D393" s="36" t="s">
        <v>212</v>
      </c>
      <c r="E393" s="36"/>
      <c r="F393" s="38">
        <v>29324874</v>
      </c>
      <c r="G393" s="40">
        <f>VLOOKUP(A393,'DATOS GENERALES'!A:B,2,0)</f>
        <v>1.1100000000000001</v>
      </c>
      <c r="H393" s="36">
        <f t="shared" si="30"/>
        <v>1.104894</v>
      </c>
      <c r="I393" s="38">
        <f t="shared" si="31"/>
        <v>26540893.515577059</v>
      </c>
      <c r="J393" s="38">
        <f t="shared" si="32"/>
        <v>2783980.4844229408</v>
      </c>
      <c r="K393" s="38">
        <v>9347994.1587981246</v>
      </c>
      <c r="L393" s="38">
        <f t="shared" si="33"/>
        <v>-6564013.6743751839</v>
      </c>
      <c r="M393" s="41">
        <f>VLOOKUP(INDICADORES!$B$21,'DATOS GENERALES'!$K:$M,3,0)*F393</f>
        <v>199585.86343098604</v>
      </c>
      <c r="N393" s="38">
        <f t="shared" si="34"/>
        <v>-6763599.5378061701</v>
      </c>
      <c r="O393" s="36"/>
      <c r="P393" s="36"/>
      <c r="Q393" s="36"/>
    </row>
    <row r="394" spans="1:17" x14ac:dyDescent="0.25">
      <c r="A394" s="36">
        <v>1890</v>
      </c>
      <c r="B394" s="37">
        <v>43831</v>
      </c>
      <c r="C394" s="37">
        <v>43920.274128440178</v>
      </c>
      <c r="D394" s="36" t="s">
        <v>212</v>
      </c>
      <c r="E394" s="36"/>
      <c r="F394" s="38">
        <v>43647924</v>
      </c>
      <c r="G394" s="40">
        <f>VLOOKUP(A394,'DATOS GENERALES'!A:B,2,0)</f>
        <v>1.1100000000000001</v>
      </c>
      <c r="H394" s="36">
        <f t="shared" si="30"/>
        <v>1.104894</v>
      </c>
      <c r="I394" s="38">
        <f t="shared" si="31"/>
        <v>39504173.251008689</v>
      </c>
      <c r="J394" s="38">
        <f t="shared" si="32"/>
        <v>4143750.7489913106</v>
      </c>
      <c r="K394" s="38" t="s">
        <v>213</v>
      </c>
      <c r="L394" s="38" t="str">
        <f t="shared" si="33"/>
        <v/>
      </c>
      <c r="M394" s="41">
        <f>VLOOKUP(INDICADORES!$B$21,'DATOS GENERALES'!$K:$M,3,0)*F394</f>
        <v>297068.91830157762</v>
      </c>
      <c r="N394" s="38" t="str">
        <f t="shared" si="34"/>
        <v/>
      </c>
      <c r="O394" s="36"/>
      <c r="P394" s="36"/>
      <c r="Q394" s="36"/>
    </row>
    <row r="395" spans="1:17" x14ac:dyDescent="0.25">
      <c r="A395" s="36">
        <v>1890</v>
      </c>
      <c r="B395" s="37">
        <v>43862</v>
      </c>
      <c r="C395" s="37">
        <v>43897.604805329953</v>
      </c>
      <c r="D395" s="36" t="s">
        <v>212</v>
      </c>
      <c r="E395" s="36"/>
      <c r="F395" s="38">
        <v>43647924</v>
      </c>
      <c r="G395" s="40">
        <f>VLOOKUP(A395,'DATOS GENERALES'!A:B,2,0)</f>
        <v>1.1100000000000001</v>
      </c>
      <c r="H395" s="36">
        <f t="shared" si="30"/>
        <v>1.104894</v>
      </c>
      <c r="I395" s="38">
        <f t="shared" si="31"/>
        <v>39504173.251008689</v>
      </c>
      <c r="J395" s="38">
        <f t="shared" si="32"/>
        <v>4143750.7489913106</v>
      </c>
      <c r="K395" s="38" t="s">
        <v>213</v>
      </c>
      <c r="L395" s="38" t="str">
        <f t="shared" si="33"/>
        <v/>
      </c>
      <c r="M395" s="41">
        <f>VLOOKUP(INDICADORES!$B$21,'DATOS GENERALES'!$K:$M,3,0)*F395</f>
        <v>297068.91830157762</v>
      </c>
      <c r="N395" s="38" t="str">
        <f t="shared" si="34"/>
        <v/>
      </c>
      <c r="O395" s="36"/>
      <c r="P395" s="36"/>
      <c r="Q395" s="36"/>
    </row>
    <row r="396" spans="1:17" x14ac:dyDescent="0.25">
      <c r="A396" s="36">
        <v>1890</v>
      </c>
      <c r="B396" s="37">
        <v>43891</v>
      </c>
      <c r="C396" s="37">
        <v>43974.478671829529</v>
      </c>
      <c r="D396" s="36" t="s">
        <v>212</v>
      </c>
      <c r="E396" s="36"/>
      <c r="F396" s="38">
        <v>43647924</v>
      </c>
      <c r="G396" s="40">
        <f>VLOOKUP(A396,'DATOS GENERALES'!A:B,2,0)</f>
        <v>1.1100000000000001</v>
      </c>
      <c r="H396" s="36">
        <f t="shared" si="30"/>
        <v>1.104894</v>
      </c>
      <c r="I396" s="38">
        <f t="shared" si="31"/>
        <v>39504173.251008689</v>
      </c>
      <c r="J396" s="38">
        <f t="shared" si="32"/>
        <v>4143750.7489913106</v>
      </c>
      <c r="K396" s="38" t="s">
        <v>213</v>
      </c>
      <c r="L396" s="38" t="str">
        <f t="shared" si="33"/>
        <v/>
      </c>
      <c r="M396" s="41">
        <f>VLOOKUP(INDICADORES!$B$21,'DATOS GENERALES'!$K:$M,3,0)*F396</f>
        <v>297068.91830157762</v>
      </c>
      <c r="N396" s="38" t="str">
        <f t="shared" si="34"/>
        <v/>
      </c>
      <c r="O396" s="36"/>
      <c r="P396" s="36"/>
      <c r="Q396" s="36"/>
    </row>
    <row r="397" spans="1:17" x14ac:dyDescent="0.25">
      <c r="A397" s="36">
        <v>1890</v>
      </c>
      <c r="B397" s="37">
        <v>43922</v>
      </c>
      <c r="C397" s="37">
        <v>44006.301150932166</v>
      </c>
      <c r="D397" s="36" t="s">
        <v>212</v>
      </c>
      <c r="E397" s="36"/>
      <c r="F397" s="38">
        <v>43647924</v>
      </c>
      <c r="G397" s="40">
        <f>VLOOKUP(A397,'DATOS GENERALES'!A:B,2,0)</f>
        <v>1.1100000000000001</v>
      </c>
      <c r="H397" s="36">
        <f t="shared" si="30"/>
        <v>1.104894</v>
      </c>
      <c r="I397" s="38">
        <f t="shared" si="31"/>
        <v>39504173.251008689</v>
      </c>
      <c r="J397" s="38">
        <f t="shared" si="32"/>
        <v>4143750.7489913106</v>
      </c>
      <c r="K397" s="38" t="s">
        <v>213</v>
      </c>
      <c r="L397" s="38" t="str">
        <f t="shared" si="33"/>
        <v/>
      </c>
      <c r="M397" s="41">
        <f>VLOOKUP(INDICADORES!$B$21,'DATOS GENERALES'!$K:$M,3,0)*F397</f>
        <v>297068.91830157762</v>
      </c>
      <c r="N397" s="38" t="str">
        <f t="shared" si="34"/>
        <v/>
      </c>
      <c r="O397" s="36"/>
      <c r="P397" s="36"/>
      <c r="Q397" s="36"/>
    </row>
    <row r="398" spans="1:17" x14ac:dyDescent="0.25">
      <c r="A398" s="36">
        <v>1890</v>
      </c>
      <c r="B398" s="37">
        <v>43952</v>
      </c>
      <c r="C398" s="37">
        <v>44017.386419229049</v>
      </c>
      <c r="D398" s="36" t="s">
        <v>212</v>
      </c>
      <c r="E398" s="36"/>
      <c r="F398" s="38">
        <v>43647924</v>
      </c>
      <c r="G398" s="40">
        <f>VLOOKUP(A398,'DATOS GENERALES'!A:B,2,0)</f>
        <v>1.1100000000000001</v>
      </c>
      <c r="H398" s="36">
        <f t="shared" si="30"/>
        <v>1.104894</v>
      </c>
      <c r="I398" s="38">
        <f t="shared" si="31"/>
        <v>39504173.251008689</v>
      </c>
      <c r="J398" s="38">
        <f t="shared" si="32"/>
        <v>4143750.7489913106</v>
      </c>
      <c r="K398" s="38" t="s">
        <v>213</v>
      </c>
      <c r="L398" s="38" t="str">
        <f t="shared" si="33"/>
        <v/>
      </c>
      <c r="M398" s="41">
        <f>VLOOKUP(INDICADORES!$B$21,'DATOS GENERALES'!$K:$M,3,0)*F398</f>
        <v>297068.91830157762</v>
      </c>
      <c r="N398" s="38" t="str">
        <f t="shared" si="34"/>
        <v/>
      </c>
      <c r="O398" s="36"/>
      <c r="P398" s="36"/>
      <c r="Q398" s="36"/>
    </row>
    <row r="399" spans="1:17" x14ac:dyDescent="0.25">
      <c r="A399" s="36">
        <v>1890</v>
      </c>
      <c r="B399" s="37">
        <v>43983</v>
      </c>
      <c r="C399" s="37">
        <v>44062.798356422732</v>
      </c>
      <c r="D399" s="36" t="s">
        <v>212</v>
      </c>
      <c r="E399" s="36"/>
      <c r="F399" s="38">
        <v>43647924</v>
      </c>
      <c r="G399" s="40">
        <f>VLOOKUP(A399,'DATOS GENERALES'!A:B,2,0)</f>
        <v>1.1100000000000001</v>
      </c>
      <c r="H399" s="36">
        <f t="shared" si="30"/>
        <v>1.104894</v>
      </c>
      <c r="I399" s="38">
        <f t="shared" si="31"/>
        <v>39504173.251008689</v>
      </c>
      <c r="J399" s="38">
        <f t="shared" si="32"/>
        <v>4143750.7489913106</v>
      </c>
      <c r="K399" s="38" t="s">
        <v>213</v>
      </c>
      <c r="L399" s="38" t="str">
        <f t="shared" si="33"/>
        <v/>
      </c>
      <c r="M399" s="41">
        <f>VLOOKUP(INDICADORES!$B$21,'DATOS GENERALES'!$K:$M,3,0)*F399</f>
        <v>297068.91830157762</v>
      </c>
      <c r="N399" s="38" t="str">
        <f t="shared" si="34"/>
        <v/>
      </c>
      <c r="O399" s="36"/>
      <c r="P399" s="36"/>
      <c r="Q399" s="36"/>
    </row>
    <row r="400" spans="1:17" x14ac:dyDescent="0.25">
      <c r="A400" s="36">
        <v>1890</v>
      </c>
      <c r="B400" s="37">
        <v>44013</v>
      </c>
      <c r="C400" s="37">
        <v>44050.262215660841</v>
      </c>
      <c r="D400" s="36" t="s">
        <v>212</v>
      </c>
      <c r="E400" s="36"/>
      <c r="F400" s="38">
        <v>43647924</v>
      </c>
      <c r="G400" s="40">
        <f>VLOOKUP(A400,'DATOS GENERALES'!A:B,2,0)</f>
        <v>1.1100000000000001</v>
      </c>
      <c r="H400" s="36">
        <f t="shared" si="30"/>
        <v>1.104894</v>
      </c>
      <c r="I400" s="38">
        <f t="shared" si="31"/>
        <v>39504173.251008689</v>
      </c>
      <c r="J400" s="38">
        <f t="shared" si="32"/>
        <v>4143750.7489913106</v>
      </c>
      <c r="K400" s="38" t="s">
        <v>213</v>
      </c>
      <c r="L400" s="38" t="str">
        <f t="shared" si="33"/>
        <v/>
      </c>
      <c r="M400" s="41">
        <f>VLOOKUP(INDICADORES!$B$21,'DATOS GENERALES'!$K:$M,3,0)*F400</f>
        <v>297068.91830157762</v>
      </c>
      <c r="N400" s="38" t="str">
        <f t="shared" si="34"/>
        <v/>
      </c>
      <c r="O400" s="36"/>
      <c r="P400" s="36"/>
      <c r="Q400" s="36"/>
    </row>
    <row r="401" spans="1:17" x14ac:dyDescent="0.25">
      <c r="A401" s="36">
        <v>1890</v>
      </c>
      <c r="B401" s="37">
        <v>44044</v>
      </c>
      <c r="C401" s="37">
        <v>44132.423608632103</v>
      </c>
      <c r="D401" s="36" t="s">
        <v>212</v>
      </c>
      <c r="E401" s="36"/>
      <c r="F401" s="38">
        <v>43647924</v>
      </c>
      <c r="G401" s="40">
        <f>VLOOKUP(A401,'DATOS GENERALES'!A:B,2,0)</f>
        <v>1.1100000000000001</v>
      </c>
      <c r="H401" s="36">
        <f t="shared" si="30"/>
        <v>1.104894</v>
      </c>
      <c r="I401" s="38">
        <f t="shared" si="31"/>
        <v>39504173.251008689</v>
      </c>
      <c r="J401" s="38">
        <f t="shared" si="32"/>
        <v>4143750.7489913106</v>
      </c>
      <c r="K401" s="38" t="s">
        <v>213</v>
      </c>
      <c r="L401" s="38" t="str">
        <f t="shared" si="33"/>
        <v/>
      </c>
      <c r="M401" s="41">
        <f>VLOOKUP(INDICADORES!$B$21,'DATOS GENERALES'!$K:$M,3,0)*F401</f>
        <v>297068.91830157762</v>
      </c>
      <c r="N401" s="38" t="str">
        <f t="shared" si="34"/>
        <v/>
      </c>
      <c r="O401" s="36"/>
      <c r="P401" s="36"/>
      <c r="Q401" s="36"/>
    </row>
    <row r="402" spans="1:17" x14ac:dyDescent="0.25">
      <c r="A402" s="36">
        <v>1890</v>
      </c>
      <c r="B402" s="37">
        <v>44075</v>
      </c>
      <c r="C402" s="37">
        <v>44133.846107510602</v>
      </c>
      <c r="D402" s="36" t="s">
        <v>212</v>
      </c>
      <c r="E402" s="36"/>
      <c r="F402" s="38">
        <v>43647924</v>
      </c>
      <c r="G402" s="40">
        <f>VLOOKUP(A402,'DATOS GENERALES'!A:B,2,0)</f>
        <v>1.1100000000000001</v>
      </c>
      <c r="H402" s="36">
        <f t="shared" si="30"/>
        <v>1.104894</v>
      </c>
      <c r="I402" s="38">
        <f t="shared" si="31"/>
        <v>39504173.251008689</v>
      </c>
      <c r="J402" s="38">
        <f t="shared" si="32"/>
        <v>4143750.7489913106</v>
      </c>
      <c r="K402" s="38" t="s">
        <v>213</v>
      </c>
      <c r="L402" s="38" t="str">
        <f t="shared" si="33"/>
        <v/>
      </c>
      <c r="M402" s="41">
        <f>VLOOKUP(INDICADORES!$B$21,'DATOS GENERALES'!$K:$M,3,0)*F402</f>
        <v>297068.91830157762</v>
      </c>
      <c r="N402" s="38" t="str">
        <f t="shared" si="34"/>
        <v/>
      </c>
      <c r="O402" s="36"/>
      <c r="P402" s="36"/>
      <c r="Q402" s="36"/>
    </row>
    <row r="403" spans="1:17" x14ac:dyDescent="0.25">
      <c r="A403" s="36">
        <v>1890</v>
      </c>
      <c r="B403" s="37">
        <v>44105</v>
      </c>
      <c r="C403" s="37">
        <v>44158.410202198909</v>
      </c>
      <c r="D403" s="36" t="s">
        <v>212</v>
      </c>
      <c r="E403" s="36"/>
      <c r="F403" s="38">
        <v>43647924</v>
      </c>
      <c r="G403" s="40">
        <f>VLOOKUP(A403,'DATOS GENERALES'!A:B,2,0)</f>
        <v>1.1100000000000001</v>
      </c>
      <c r="H403" s="36">
        <f t="shared" si="30"/>
        <v>1.104894</v>
      </c>
      <c r="I403" s="38">
        <f t="shared" si="31"/>
        <v>39504173.251008689</v>
      </c>
      <c r="J403" s="38">
        <f t="shared" si="32"/>
        <v>4143750.7489913106</v>
      </c>
      <c r="K403" s="38" t="s">
        <v>213</v>
      </c>
      <c r="L403" s="38" t="str">
        <f t="shared" si="33"/>
        <v/>
      </c>
      <c r="M403" s="41">
        <f>VLOOKUP(INDICADORES!$B$21,'DATOS GENERALES'!$K:$M,3,0)*F403</f>
        <v>297068.91830157762</v>
      </c>
      <c r="N403" s="38" t="str">
        <f t="shared" si="34"/>
        <v/>
      </c>
      <c r="O403" s="36"/>
      <c r="P403" s="36"/>
      <c r="Q403" s="36"/>
    </row>
    <row r="404" spans="1:17" x14ac:dyDescent="0.25">
      <c r="A404" s="36">
        <v>1890</v>
      </c>
      <c r="B404" s="37">
        <v>44136</v>
      </c>
      <c r="C404" s="37">
        <v>44197.607956229185</v>
      </c>
      <c r="D404" s="36" t="s">
        <v>212</v>
      </c>
      <c r="E404" s="36"/>
      <c r="F404" s="38">
        <v>29413074</v>
      </c>
      <c r="G404" s="40">
        <f>VLOOKUP(A404,'DATOS GENERALES'!A:B,2,0)</f>
        <v>1.1100000000000001</v>
      </c>
      <c r="H404" s="36">
        <f t="shared" si="30"/>
        <v>1.104894</v>
      </c>
      <c r="I404" s="38">
        <f t="shared" si="31"/>
        <v>26620720.177682202</v>
      </c>
      <c r="J404" s="38">
        <f t="shared" si="32"/>
        <v>2792353.8223177977</v>
      </c>
      <c r="K404" s="38" t="s">
        <v>213</v>
      </c>
      <c r="L404" s="38" t="str">
        <f t="shared" si="33"/>
        <v/>
      </c>
      <c r="M404" s="41">
        <f>VLOOKUP(INDICADORES!$B$21,'DATOS GENERALES'!$K:$M,3,0)*F404</f>
        <v>200186.15494987246</v>
      </c>
      <c r="N404" s="38" t="str">
        <f t="shared" si="34"/>
        <v/>
      </c>
      <c r="O404" s="36"/>
      <c r="P404" s="36"/>
      <c r="Q404" s="36"/>
    </row>
    <row r="405" spans="1:17" x14ac:dyDescent="0.25">
      <c r="A405" s="36">
        <v>1890</v>
      </c>
      <c r="B405" s="37">
        <v>44166</v>
      </c>
      <c r="C405" s="37">
        <v>44253.011916321731</v>
      </c>
      <c r="D405" s="36" t="s">
        <v>212</v>
      </c>
      <c r="E405" s="36"/>
      <c r="F405" s="38">
        <v>29413074</v>
      </c>
      <c r="G405" s="40">
        <f>VLOOKUP(A405,'DATOS GENERALES'!A:B,2,0)</f>
        <v>1.1100000000000001</v>
      </c>
      <c r="H405" s="36">
        <f t="shared" si="30"/>
        <v>1.104894</v>
      </c>
      <c r="I405" s="38">
        <f t="shared" si="31"/>
        <v>26620720.177682202</v>
      </c>
      <c r="J405" s="38">
        <f t="shared" si="32"/>
        <v>2792353.8223177977</v>
      </c>
      <c r="K405" s="38" t="s">
        <v>213</v>
      </c>
      <c r="L405" s="38" t="str">
        <f t="shared" si="33"/>
        <v/>
      </c>
      <c r="M405" s="41">
        <f>VLOOKUP(INDICADORES!$B$21,'DATOS GENERALES'!$K:$M,3,0)*F405</f>
        <v>200186.15494987246</v>
      </c>
      <c r="N405" s="38" t="str">
        <f t="shared" si="34"/>
        <v/>
      </c>
      <c r="O405" s="36"/>
      <c r="P405" s="36"/>
      <c r="Q405" s="36"/>
    </row>
    <row r="406" spans="1:17" x14ac:dyDescent="0.25">
      <c r="A406" s="36">
        <v>1618</v>
      </c>
      <c r="B406" s="37">
        <v>43466</v>
      </c>
      <c r="C406" s="37">
        <v>43497.536516182176</v>
      </c>
      <c r="D406" s="36" t="s">
        <v>212</v>
      </c>
      <c r="E406" s="36"/>
      <c r="F406" s="38">
        <v>33554950.015926875</v>
      </c>
      <c r="G406" s="40">
        <f>VLOOKUP(A406,'DATOS GENERALES'!A:B,2,0)</f>
        <v>1.97</v>
      </c>
      <c r="H406" s="36">
        <f t="shared" si="30"/>
        <v>1.9609379999999998</v>
      </c>
      <c r="I406" s="38">
        <f t="shared" si="31"/>
        <v>17111683.294386093</v>
      </c>
      <c r="J406" s="38">
        <f t="shared" si="32"/>
        <v>16443266.721540783</v>
      </c>
      <c r="K406" s="38">
        <v>3754617.2246648986</v>
      </c>
      <c r="L406" s="38">
        <f t="shared" si="33"/>
        <v>12688649.496875884</v>
      </c>
      <c r="M406" s="41">
        <f>VLOOKUP(INDICADORES!$B$21,'DATOS GENERALES'!$K:$M,3,0)*F406</f>
        <v>228375.87200928279</v>
      </c>
      <c r="N406" s="38">
        <f t="shared" si="34"/>
        <v>12460273.624866601</v>
      </c>
      <c r="O406" s="36"/>
      <c r="P406" s="36"/>
      <c r="Q406" s="36"/>
    </row>
    <row r="407" spans="1:17" x14ac:dyDescent="0.25">
      <c r="A407" s="36">
        <v>1618</v>
      </c>
      <c r="B407" s="37">
        <v>43497</v>
      </c>
      <c r="C407" s="37">
        <v>43538.480366727556</v>
      </c>
      <c r="D407" s="36" t="s">
        <v>212</v>
      </c>
      <c r="E407" s="36"/>
      <c r="F407" s="38">
        <v>13267655.116172869</v>
      </c>
      <c r="G407" s="40">
        <f>VLOOKUP(A407,'DATOS GENERALES'!A:B,2,0)</f>
        <v>1.97</v>
      </c>
      <c r="H407" s="36">
        <f t="shared" si="30"/>
        <v>1.9609379999999998</v>
      </c>
      <c r="I407" s="38">
        <f t="shared" si="31"/>
        <v>6765973.7922223294</v>
      </c>
      <c r="J407" s="38">
        <f t="shared" si="32"/>
        <v>6501681.3239505393</v>
      </c>
      <c r="K407" s="38">
        <v>1462518.3307391868</v>
      </c>
      <c r="L407" s="38">
        <f t="shared" si="33"/>
        <v>5039162.9932113523</v>
      </c>
      <c r="M407" s="41">
        <f>VLOOKUP(INDICADORES!$B$21,'DATOS GENERALES'!$K:$M,3,0)*F407</f>
        <v>90300.009543635257</v>
      </c>
      <c r="N407" s="38">
        <f t="shared" si="34"/>
        <v>4948862.9836677173</v>
      </c>
      <c r="O407" s="36"/>
      <c r="P407" s="36"/>
      <c r="Q407" s="36"/>
    </row>
    <row r="408" spans="1:17" x14ac:dyDescent="0.25">
      <c r="A408" s="36">
        <v>1715</v>
      </c>
      <c r="B408" s="37">
        <v>43466</v>
      </c>
      <c r="C408" s="37">
        <v>43517.536683575148</v>
      </c>
      <c r="D408" s="36" t="s">
        <v>212</v>
      </c>
      <c r="E408" s="36"/>
      <c r="F408" s="38">
        <v>55849596.75</v>
      </c>
      <c r="G408" s="40">
        <f>VLOOKUP(A408,'DATOS GENERALES'!A:B,2,0)</f>
        <v>1.93</v>
      </c>
      <c r="H408" s="36">
        <f t="shared" si="30"/>
        <v>1.9211219999999998</v>
      </c>
      <c r="I408" s="38">
        <f t="shared" si="31"/>
        <v>29071343.074515834</v>
      </c>
      <c r="J408" s="38">
        <f t="shared" si="32"/>
        <v>26778253.675484166</v>
      </c>
      <c r="K408" s="38">
        <v>6378785.977620896</v>
      </c>
      <c r="L408" s="38">
        <f t="shared" si="33"/>
        <v>20399467.69786327</v>
      </c>
      <c r="M408" s="41">
        <f>VLOOKUP(INDICADORES!$B$21,'DATOS GENERALES'!$K:$M,3,0)*F408</f>
        <v>380113.82383505354</v>
      </c>
      <c r="N408" s="38">
        <f t="shared" si="34"/>
        <v>20019353.874028217</v>
      </c>
      <c r="O408" s="36"/>
      <c r="P408" s="36"/>
      <c r="Q408" s="36"/>
    </row>
    <row r="409" spans="1:17" x14ac:dyDescent="0.25">
      <c r="A409" s="36">
        <v>1715</v>
      </c>
      <c r="B409" s="37">
        <v>43497</v>
      </c>
      <c r="C409" s="37">
        <v>43567.680201318268</v>
      </c>
      <c r="D409" s="36" t="s">
        <v>212</v>
      </c>
      <c r="E409" s="36"/>
      <c r="F409" s="38">
        <v>55849596.75</v>
      </c>
      <c r="G409" s="40">
        <f>VLOOKUP(A409,'DATOS GENERALES'!A:B,2,0)</f>
        <v>1.93</v>
      </c>
      <c r="H409" s="36">
        <f t="shared" si="30"/>
        <v>1.9211219999999998</v>
      </c>
      <c r="I409" s="38">
        <f t="shared" si="31"/>
        <v>29071343.074515834</v>
      </c>
      <c r="J409" s="38">
        <f t="shared" si="32"/>
        <v>26778253.675484166</v>
      </c>
      <c r="K409" s="38">
        <v>6283998.9410780743</v>
      </c>
      <c r="L409" s="38">
        <f t="shared" si="33"/>
        <v>20494254.734406091</v>
      </c>
      <c r="M409" s="41">
        <f>VLOOKUP(INDICADORES!$B$21,'DATOS GENERALES'!$K:$M,3,0)*F409</f>
        <v>380113.82383505354</v>
      </c>
      <c r="N409" s="38">
        <f t="shared" si="34"/>
        <v>20114140.910571039</v>
      </c>
      <c r="O409" s="36"/>
      <c r="P409" s="36"/>
      <c r="Q409" s="36"/>
    </row>
    <row r="410" spans="1:17" x14ac:dyDescent="0.25">
      <c r="A410" s="36">
        <v>1715</v>
      </c>
      <c r="B410" s="37">
        <v>43525</v>
      </c>
      <c r="C410" s="37">
        <v>43562.331997602545</v>
      </c>
      <c r="D410" s="36" t="s">
        <v>212</v>
      </c>
      <c r="E410" s="36"/>
      <c r="F410" s="38">
        <v>55849596.75</v>
      </c>
      <c r="G410" s="40">
        <f>VLOOKUP(A410,'DATOS GENERALES'!A:B,2,0)</f>
        <v>1.93</v>
      </c>
      <c r="H410" s="36">
        <f t="shared" si="30"/>
        <v>1.9211219999999998</v>
      </c>
      <c r="I410" s="38">
        <f t="shared" si="31"/>
        <v>29071343.074515834</v>
      </c>
      <c r="J410" s="38">
        <f t="shared" si="32"/>
        <v>26778253.675484166</v>
      </c>
      <c r="K410" s="38">
        <v>4546395.294261572</v>
      </c>
      <c r="L410" s="38">
        <f t="shared" si="33"/>
        <v>22231858.381222595</v>
      </c>
      <c r="M410" s="41">
        <f>VLOOKUP(INDICADORES!$B$21,'DATOS GENERALES'!$K:$M,3,0)*F410</f>
        <v>380113.82383505354</v>
      </c>
      <c r="N410" s="38">
        <f t="shared" si="34"/>
        <v>21851744.557387542</v>
      </c>
      <c r="O410" s="36"/>
      <c r="P410" s="36"/>
      <c r="Q410" s="36"/>
    </row>
    <row r="411" spans="1:17" x14ac:dyDescent="0.25">
      <c r="A411" s="36">
        <v>1837</v>
      </c>
      <c r="B411" s="37">
        <v>43466</v>
      </c>
      <c r="C411" s="37">
        <v>43547.055688097826</v>
      </c>
      <c r="D411" s="36" t="s">
        <v>212</v>
      </c>
      <c r="E411" s="36"/>
      <c r="F411" s="38">
        <v>24433339.875</v>
      </c>
      <c r="G411" s="40">
        <f>VLOOKUP(A411,'DATOS GENERALES'!A:B,2,0)</f>
        <v>1.98</v>
      </c>
      <c r="H411" s="36">
        <f t="shared" si="30"/>
        <v>1.9708919999999999</v>
      </c>
      <c r="I411" s="38">
        <f t="shared" si="31"/>
        <v>12397097.291480204</v>
      </c>
      <c r="J411" s="38">
        <f t="shared" si="32"/>
        <v>12036242.583519796</v>
      </c>
      <c r="K411" s="38">
        <v>2720150.5676363707</v>
      </c>
      <c r="L411" s="38">
        <f t="shared" si="33"/>
        <v>9316092.0158834253</v>
      </c>
      <c r="M411" s="41">
        <f>VLOOKUP(INDICADORES!$B$21,'DATOS GENERALES'!$K:$M,3,0)*F411</f>
        <v>166293.95357179083</v>
      </c>
      <c r="N411" s="38">
        <f t="shared" si="34"/>
        <v>9149798.0623116344</v>
      </c>
      <c r="O411" s="36"/>
      <c r="P411" s="36"/>
      <c r="Q411" s="36"/>
    </row>
    <row r="412" spans="1:17" x14ac:dyDescent="0.25">
      <c r="A412" s="36">
        <v>1837</v>
      </c>
      <c r="B412" s="37">
        <v>43497</v>
      </c>
      <c r="C412" s="37">
        <v>43534.767459712195</v>
      </c>
      <c r="D412" s="36" t="s">
        <v>212</v>
      </c>
      <c r="E412" s="36"/>
      <c r="F412" s="38">
        <v>24433339.875</v>
      </c>
      <c r="G412" s="40">
        <f>VLOOKUP(A412,'DATOS GENERALES'!A:B,2,0)</f>
        <v>1.98</v>
      </c>
      <c r="H412" s="36">
        <f t="shared" si="30"/>
        <v>1.9708919999999999</v>
      </c>
      <c r="I412" s="38">
        <f t="shared" si="31"/>
        <v>12397097.291480204</v>
      </c>
      <c r="J412" s="38">
        <f t="shared" si="32"/>
        <v>12036242.583519796</v>
      </c>
      <c r="K412" s="38">
        <v>2679729.8649883894</v>
      </c>
      <c r="L412" s="38">
        <f t="shared" si="33"/>
        <v>9356512.7185314074</v>
      </c>
      <c r="M412" s="41">
        <f>VLOOKUP(INDICADORES!$B$21,'DATOS GENERALES'!$K:$M,3,0)*F412</f>
        <v>166293.95357179083</v>
      </c>
      <c r="N412" s="38">
        <f t="shared" si="34"/>
        <v>9190218.7649596166</v>
      </c>
      <c r="O412" s="36"/>
      <c r="P412" s="36"/>
      <c r="Q412" s="36"/>
    </row>
    <row r="413" spans="1:17" x14ac:dyDescent="0.25">
      <c r="A413" s="36">
        <v>1845</v>
      </c>
      <c r="B413" s="37">
        <v>43497</v>
      </c>
      <c r="C413" s="37">
        <v>43556.31458501178</v>
      </c>
      <c r="D413" s="36" t="s">
        <v>212</v>
      </c>
      <c r="E413" s="36"/>
      <c r="F413" s="38">
        <v>43907512.694785044</v>
      </c>
      <c r="G413" s="40">
        <f>VLOOKUP(A413,'DATOS GENERALES'!A:B,2,0)</f>
        <v>1</v>
      </c>
      <c r="H413" s="36">
        <f t="shared" si="30"/>
        <v>0.99539999999999995</v>
      </c>
      <c r="I413" s="38">
        <f t="shared" si="31"/>
        <v>44110420.62968158</v>
      </c>
      <c r="J413" s="38">
        <f t="shared" si="32"/>
        <v>-202907.93489653617</v>
      </c>
      <c r="K413" s="38">
        <v>9534813.5728346948</v>
      </c>
      <c r="L413" s="38">
        <f t="shared" si="33"/>
        <v>-9737721.5077312309</v>
      </c>
      <c r="M413" s="41">
        <f>VLOOKUP(INDICADORES!$B$21,'DATOS GENERALES'!$K:$M,3,0)*F413</f>
        <v>298835.68578319054</v>
      </c>
      <c r="N413" s="38">
        <f t="shared" si="34"/>
        <v>-10036557.193514422</v>
      </c>
      <c r="O413" s="36"/>
      <c r="P413" s="36"/>
      <c r="Q413" s="36"/>
    </row>
    <row r="414" spans="1:17" x14ac:dyDescent="0.25">
      <c r="A414" s="36">
        <v>1845</v>
      </c>
      <c r="B414" s="37">
        <v>43525</v>
      </c>
      <c r="C414" s="37">
        <v>43569.489740751713</v>
      </c>
      <c r="D414" s="36" t="s">
        <v>212</v>
      </c>
      <c r="E414" s="36"/>
      <c r="F414" s="38">
        <v>43907512.694785044</v>
      </c>
      <c r="G414" s="40">
        <f>VLOOKUP(A414,'DATOS GENERALES'!A:B,2,0)</f>
        <v>1</v>
      </c>
      <c r="H414" s="36">
        <f t="shared" si="30"/>
        <v>0.99539999999999995</v>
      </c>
      <c r="I414" s="38">
        <f t="shared" si="31"/>
        <v>44110420.62968158</v>
      </c>
      <c r="J414" s="38">
        <f t="shared" si="32"/>
        <v>-202907.93489653617</v>
      </c>
      <c r="K414" s="38">
        <v>6898319.3609132143</v>
      </c>
      <c r="L414" s="38">
        <f t="shared" si="33"/>
        <v>-7101227.2958097504</v>
      </c>
      <c r="M414" s="41">
        <f>VLOOKUP(INDICADORES!$B$21,'DATOS GENERALES'!$K:$M,3,0)*F414</f>
        <v>298835.68578319054</v>
      </c>
      <c r="N414" s="38">
        <f t="shared" si="34"/>
        <v>-7400062.9815929411</v>
      </c>
      <c r="O414" s="36"/>
      <c r="P414" s="36"/>
      <c r="Q414" s="36"/>
    </row>
    <row r="415" spans="1:17" x14ac:dyDescent="0.25">
      <c r="A415" s="36">
        <v>1845</v>
      </c>
      <c r="B415" s="37">
        <v>43556</v>
      </c>
      <c r="C415" s="37">
        <v>43582.259345831109</v>
      </c>
      <c r="D415" s="36" t="s">
        <v>212</v>
      </c>
      <c r="E415" s="36"/>
      <c r="F415" s="38">
        <v>43907512.694785044</v>
      </c>
      <c r="G415" s="40">
        <f>VLOOKUP(A415,'DATOS GENERALES'!A:B,2,0)</f>
        <v>1</v>
      </c>
      <c r="H415" s="36">
        <f t="shared" si="30"/>
        <v>0.99539999999999995</v>
      </c>
      <c r="I415" s="38">
        <f t="shared" si="31"/>
        <v>44110420.62968158</v>
      </c>
      <c r="J415" s="38">
        <f t="shared" si="32"/>
        <v>-202907.93489653617</v>
      </c>
      <c r="K415" s="38">
        <v>7091992.2167569455</v>
      </c>
      <c r="L415" s="38">
        <f t="shared" si="33"/>
        <v>-7294900.1516534816</v>
      </c>
      <c r="M415" s="41">
        <f>VLOOKUP(INDICADORES!$B$21,'DATOS GENERALES'!$K:$M,3,0)*F415</f>
        <v>298835.68578319054</v>
      </c>
      <c r="N415" s="38">
        <f t="shared" si="34"/>
        <v>-7593735.8374366723</v>
      </c>
      <c r="O415" s="36"/>
      <c r="P415" s="36"/>
      <c r="Q415" s="36"/>
    </row>
    <row r="416" spans="1:17" x14ac:dyDescent="0.25">
      <c r="A416" s="36">
        <v>1845</v>
      </c>
      <c r="B416" s="37">
        <v>43586</v>
      </c>
      <c r="C416" s="37">
        <v>43643.496990414431</v>
      </c>
      <c r="D416" s="36" t="s">
        <v>212</v>
      </c>
      <c r="E416" s="36"/>
      <c r="F416" s="38">
        <v>43907512.694785044</v>
      </c>
      <c r="G416" s="40">
        <f>VLOOKUP(A416,'DATOS GENERALES'!A:B,2,0)</f>
        <v>1</v>
      </c>
      <c r="H416" s="36">
        <f t="shared" si="30"/>
        <v>0.99539999999999995</v>
      </c>
      <c r="I416" s="38">
        <f t="shared" si="31"/>
        <v>44110420.62968158</v>
      </c>
      <c r="J416" s="38">
        <f t="shared" si="32"/>
        <v>-202907.93489653617</v>
      </c>
      <c r="K416" s="38">
        <v>5850397.6042798823</v>
      </c>
      <c r="L416" s="38">
        <f t="shared" si="33"/>
        <v>-6053305.5391764184</v>
      </c>
      <c r="M416" s="41">
        <f>VLOOKUP(INDICADORES!$B$21,'DATOS GENERALES'!$K:$M,3,0)*F416</f>
        <v>298835.68578319054</v>
      </c>
      <c r="N416" s="38">
        <f t="shared" si="34"/>
        <v>-6352141.2249596091</v>
      </c>
      <c r="O416" s="36"/>
      <c r="P416" s="36"/>
      <c r="Q416" s="36"/>
    </row>
    <row r="417" spans="1:17" x14ac:dyDescent="0.25">
      <c r="A417" s="36">
        <v>1845</v>
      </c>
      <c r="B417" s="37">
        <v>43617</v>
      </c>
      <c r="C417" s="37">
        <v>43671.19415226415</v>
      </c>
      <c r="D417" s="36" t="s">
        <v>212</v>
      </c>
      <c r="E417" s="36"/>
      <c r="F417" s="38">
        <v>43907512.694785044</v>
      </c>
      <c r="G417" s="40">
        <f>VLOOKUP(A417,'DATOS GENERALES'!A:B,2,0)</f>
        <v>1</v>
      </c>
      <c r="H417" s="36">
        <f t="shared" si="30"/>
        <v>0.99539999999999995</v>
      </c>
      <c r="I417" s="38">
        <f t="shared" si="31"/>
        <v>44110420.62968158</v>
      </c>
      <c r="J417" s="38">
        <f t="shared" si="32"/>
        <v>-202907.93489653617</v>
      </c>
      <c r="K417" s="38">
        <v>6571174.6854240745</v>
      </c>
      <c r="L417" s="38">
        <f t="shared" si="33"/>
        <v>-6774082.6203206107</v>
      </c>
      <c r="M417" s="41">
        <f>VLOOKUP(INDICADORES!$B$21,'DATOS GENERALES'!$K:$M,3,0)*F417</f>
        <v>298835.68578319054</v>
      </c>
      <c r="N417" s="38">
        <f t="shared" si="34"/>
        <v>-7072918.3061038014</v>
      </c>
      <c r="O417" s="36"/>
      <c r="P417" s="36"/>
      <c r="Q417" s="36"/>
    </row>
    <row r="418" spans="1:17" x14ac:dyDescent="0.25">
      <c r="A418" s="36">
        <v>1845</v>
      </c>
      <c r="B418" s="37">
        <v>43647</v>
      </c>
      <c r="C418" s="37">
        <v>43698.256104920481</v>
      </c>
      <c r="D418" s="36" t="s">
        <v>212</v>
      </c>
      <c r="E418" s="36"/>
      <c r="F418" s="38">
        <v>43907512.694785044</v>
      </c>
      <c r="G418" s="40">
        <f>VLOOKUP(A418,'DATOS GENERALES'!A:B,2,0)</f>
        <v>1</v>
      </c>
      <c r="H418" s="36">
        <f t="shared" si="30"/>
        <v>0.99539999999999995</v>
      </c>
      <c r="I418" s="38">
        <f t="shared" si="31"/>
        <v>44110420.62968158</v>
      </c>
      <c r="J418" s="38">
        <f t="shared" si="32"/>
        <v>-202907.93489653617</v>
      </c>
      <c r="K418" s="38">
        <v>11410961.124924572</v>
      </c>
      <c r="L418" s="38">
        <f t="shared" si="33"/>
        <v>-11613869.059821108</v>
      </c>
      <c r="M418" s="41">
        <f>VLOOKUP(INDICADORES!$B$21,'DATOS GENERALES'!$K:$M,3,0)*F418</f>
        <v>298835.68578319054</v>
      </c>
      <c r="N418" s="38">
        <f t="shared" si="34"/>
        <v>-11912704.745604299</v>
      </c>
      <c r="O418" s="36"/>
      <c r="P418" s="36"/>
      <c r="Q418" s="36"/>
    </row>
    <row r="419" spans="1:17" x14ac:dyDescent="0.25">
      <c r="A419" s="36">
        <v>1845</v>
      </c>
      <c r="B419" s="37">
        <v>43678</v>
      </c>
      <c r="C419" s="37">
        <v>43750.029882972864</v>
      </c>
      <c r="D419" s="36" t="s">
        <v>212</v>
      </c>
      <c r="E419" s="36"/>
      <c r="F419" s="38">
        <v>43907512.694785044</v>
      </c>
      <c r="G419" s="40">
        <f>VLOOKUP(A419,'DATOS GENERALES'!A:B,2,0)</f>
        <v>1</v>
      </c>
      <c r="H419" s="36">
        <f t="shared" si="30"/>
        <v>0.99539999999999995</v>
      </c>
      <c r="I419" s="38">
        <f t="shared" si="31"/>
        <v>44110420.62968158</v>
      </c>
      <c r="J419" s="38">
        <f t="shared" si="32"/>
        <v>-202907.93489653617</v>
      </c>
      <c r="K419" s="38">
        <v>11458449.291199455</v>
      </c>
      <c r="L419" s="38">
        <f t="shared" si="33"/>
        <v>-11661357.226095991</v>
      </c>
      <c r="M419" s="41">
        <f>VLOOKUP(INDICADORES!$B$21,'DATOS GENERALES'!$K:$M,3,0)*F419</f>
        <v>298835.68578319054</v>
      </c>
      <c r="N419" s="38">
        <f t="shared" si="34"/>
        <v>-11960192.911879182</v>
      </c>
      <c r="O419" s="36"/>
      <c r="P419" s="36"/>
      <c r="Q419" s="36"/>
    </row>
    <row r="420" spans="1:17" x14ac:dyDescent="0.25">
      <c r="A420" s="36">
        <v>1385</v>
      </c>
      <c r="B420" s="37">
        <v>43466</v>
      </c>
      <c r="C420" s="37">
        <v>43549.76504412097</v>
      </c>
      <c r="D420" s="36" t="s">
        <v>212</v>
      </c>
      <c r="E420" s="36"/>
      <c r="F420" s="38">
        <v>134267225.40000004</v>
      </c>
      <c r="G420" s="40">
        <f>VLOOKUP(A420,'DATOS GENERALES'!A:B,2,0)</f>
        <v>1.64</v>
      </c>
      <c r="H420" s="36">
        <f t="shared" si="30"/>
        <v>1.6324559999999999</v>
      </c>
      <c r="I420" s="38">
        <f t="shared" si="31"/>
        <v>82248602.963877767</v>
      </c>
      <c r="J420" s="38">
        <f t="shared" si="32"/>
        <v>52018622.436122268</v>
      </c>
      <c r="K420" s="38">
        <v>18046852.321893618</v>
      </c>
      <c r="L420" s="38">
        <f t="shared" si="33"/>
        <v>33971770.114228651</v>
      </c>
      <c r="M420" s="41">
        <f>VLOOKUP(INDICADORES!$B$21,'DATOS GENERALES'!$K:$M,3,0)*F420</f>
        <v>913826.26612280845</v>
      </c>
      <c r="N420" s="38">
        <f t="shared" si="34"/>
        <v>33057943.848105844</v>
      </c>
      <c r="O420" s="36"/>
      <c r="P420" s="36"/>
      <c r="Q420" s="36"/>
    </row>
    <row r="421" spans="1:17" x14ac:dyDescent="0.25">
      <c r="A421" s="36">
        <v>1385</v>
      </c>
      <c r="B421" s="37">
        <v>43497</v>
      </c>
      <c r="C421" s="37">
        <v>43558.226666387643</v>
      </c>
      <c r="D421" s="36" t="s">
        <v>212</v>
      </c>
      <c r="E421" s="36"/>
      <c r="F421" s="38">
        <v>134267225.40000004</v>
      </c>
      <c r="G421" s="40">
        <f>VLOOKUP(A421,'DATOS GENERALES'!A:B,2,0)</f>
        <v>1.64</v>
      </c>
      <c r="H421" s="36">
        <f t="shared" si="30"/>
        <v>1.6324559999999999</v>
      </c>
      <c r="I421" s="38">
        <f t="shared" si="31"/>
        <v>82248602.963877767</v>
      </c>
      <c r="J421" s="38">
        <f t="shared" si="32"/>
        <v>52018622.436122268</v>
      </c>
      <c r="K421" s="38">
        <v>17778680.971338872</v>
      </c>
      <c r="L421" s="38">
        <f t="shared" si="33"/>
        <v>34239941.4647834</v>
      </c>
      <c r="M421" s="41">
        <f>VLOOKUP(INDICADORES!$B$21,'DATOS GENERALES'!$K:$M,3,0)*F421</f>
        <v>913826.26612280845</v>
      </c>
      <c r="N421" s="38">
        <f t="shared" si="34"/>
        <v>33326115.198660593</v>
      </c>
      <c r="O421" s="36"/>
      <c r="P421" s="36"/>
      <c r="Q421" s="36"/>
    </row>
    <row r="422" spans="1:17" x14ac:dyDescent="0.25">
      <c r="A422" s="36">
        <v>1385</v>
      </c>
      <c r="B422" s="37">
        <v>43525</v>
      </c>
      <c r="C422" s="37">
        <v>43588.460481393107</v>
      </c>
      <c r="D422" s="36" t="s">
        <v>212</v>
      </c>
      <c r="E422" s="36"/>
      <c r="F422" s="38">
        <v>134267225.40000004</v>
      </c>
      <c r="G422" s="40">
        <f>VLOOKUP(A422,'DATOS GENERALES'!A:B,2,0)</f>
        <v>1.64</v>
      </c>
      <c r="H422" s="36">
        <f t="shared" si="30"/>
        <v>1.6324559999999999</v>
      </c>
      <c r="I422" s="38">
        <f t="shared" si="31"/>
        <v>82248602.963877767</v>
      </c>
      <c r="J422" s="38">
        <f t="shared" si="32"/>
        <v>52018622.436122268</v>
      </c>
      <c r="K422" s="38">
        <v>12862655.1761331</v>
      </c>
      <c r="L422" s="38">
        <f t="shared" si="33"/>
        <v>39155967.259989172</v>
      </c>
      <c r="M422" s="41">
        <f>VLOOKUP(INDICADORES!$B$21,'DATOS GENERALES'!$K:$M,3,0)*F422</f>
        <v>913826.26612280845</v>
      </c>
      <c r="N422" s="38">
        <f t="shared" si="34"/>
        <v>38242140.993866362</v>
      </c>
      <c r="O422" s="36"/>
      <c r="P422" s="36"/>
      <c r="Q422" s="36"/>
    </row>
    <row r="423" spans="1:17" x14ac:dyDescent="0.25">
      <c r="A423" s="36">
        <v>1385</v>
      </c>
      <c r="B423" s="37">
        <v>43556</v>
      </c>
      <c r="C423" s="37">
        <v>43620.962919843609</v>
      </c>
      <c r="D423" s="36" t="s">
        <v>212</v>
      </c>
      <c r="E423" s="36"/>
      <c r="F423" s="38">
        <v>134267225.40000004</v>
      </c>
      <c r="G423" s="40">
        <f>VLOOKUP(A423,'DATOS GENERALES'!A:B,2,0)</f>
        <v>1.64</v>
      </c>
      <c r="H423" s="36">
        <f t="shared" si="30"/>
        <v>1.6324559999999999</v>
      </c>
      <c r="I423" s="38">
        <f t="shared" si="31"/>
        <v>82248602.963877767</v>
      </c>
      <c r="J423" s="38">
        <f t="shared" si="32"/>
        <v>52018622.436122268</v>
      </c>
      <c r="K423" s="38">
        <v>13223778.955906186</v>
      </c>
      <c r="L423" s="38">
        <f t="shared" si="33"/>
        <v>38794843.480216086</v>
      </c>
      <c r="M423" s="41">
        <f>VLOOKUP(INDICADORES!$B$21,'DATOS GENERALES'!$K:$M,3,0)*F423</f>
        <v>913826.26612280845</v>
      </c>
      <c r="N423" s="38">
        <f t="shared" si="34"/>
        <v>37881017.214093275</v>
      </c>
      <c r="O423" s="36"/>
      <c r="P423" s="36"/>
      <c r="Q423" s="36"/>
    </row>
    <row r="424" spans="1:17" x14ac:dyDescent="0.25">
      <c r="A424" s="36">
        <v>1385</v>
      </c>
      <c r="B424" s="37">
        <v>43586</v>
      </c>
      <c r="C424" s="37">
        <v>43658.735621531858</v>
      </c>
      <c r="D424" s="36" t="s">
        <v>212</v>
      </c>
      <c r="E424" s="36"/>
      <c r="F424" s="38">
        <v>134267225.40000004</v>
      </c>
      <c r="G424" s="40">
        <f>VLOOKUP(A424,'DATOS GENERALES'!A:B,2,0)</f>
        <v>1.64</v>
      </c>
      <c r="H424" s="36">
        <f t="shared" si="30"/>
        <v>1.6324559999999999</v>
      </c>
      <c r="I424" s="38">
        <f t="shared" si="31"/>
        <v>82248602.963877767</v>
      </c>
      <c r="J424" s="38">
        <f t="shared" si="32"/>
        <v>52018622.436122268</v>
      </c>
      <c r="K424" s="38">
        <v>10908692.840971244</v>
      </c>
      <c r="L424" s="38">
        <f t="shared" si="33"/>
        <v>41109929.595151022</v>
      </c>
      <c r="M424" s="41">
        <f>VLOOKUP(INDICADORES!$B$21,'DATOS GENERALES'!$K:$M,3,0)*F424</f>
        <v>913826.26612280845</v>
      </c>
      <c r="N424" s="38">
        <f t="shared" si="34"/>
        <v>40196103.329028212</v>
      </c>
      <c r="O424" s="36"/>
      <c r="P424" s="36"/>
      <c r="Q424" s="36"/>
    </row>
    <row r="425" spans="1:17" x14ac:dyDescent="0.25">
      <c r="A425" s="36">
        <v>1899</v>
      </c>
      <c r="B425" s="37">
        <v>43525</v>
      </c>
      <c r="C425" s="37">
        <v>43564.108131172885</v>
      </c>
      <c r="D425" s="36" t="s">
        <v>212</v>
      </c>
      <c r="E425" s="36"/>
      <c r="F425" s="38">
        <v>63859391.18</v>
      </c>
      <c r="G425" s="40">
        <f>VLOOKUP(A425,'DATOS GENERALES'!A:B,2,0)</f>
        <v>0.75</v>
      </c>
      <c r="H425" s="36">
        <f t="shared" si="30"/>
        <v>0.74654999999999994</v>
      </c>
      <c r="I425" s="38">
        <f t="shared" si="31"/>
        <v>85539335.851583958</v>
      </c>
      <c r="J425" s="38">
        <f t="shared" si="32"/>
        <v>-21679944.671583958</v>
      </c>
      <c r="K425" s="38">
        <v>13377284.736831108</v>
      </c>
      <c r="L425" s="38">
        <f t="shared" si="33"/>
        <v>-35057229.408415064</v>
      </c>
      <c r="M425" s="41">
        <f>VLOOKUP(INDICADORES!$B$21,'DATOS GENERALES'!$K:$M,3,0)*F425</f>
        <v>434628.69531297544</v>
      </c>
      <c r="N425" s="38">
        <f t="shared" si="34"/>
        <v>-35491858.103728041</v>
      </c>
      <c r="O425" s="36"/>
      <c r="P425" s="36"/>
      <c r="Q425" s="36"/>
    </row>
    <row r="426" spans="1:17" x14ac:dyDescent="0.25">
      <c r="A426" s="36">
        <v>1899</v>
      </c>
      <c r="B426" s="37">
        <v>43556</v>
      </c>
      <c r="C426" s="37">
        <v>43582.723438749432</v>
      </c>
      <c r="D426" s="36" t="s">
        <v>212</v>
      </c>
      <c r="E426" s="36"/>
      <c r="F426" s="38">
        <v>63859391.18</v>
      </c>
      <c r="G426" s="40">
        <f>VLOOKUP(A426,'DATOS GENERALES'!A:B,2,0)</f>
        <v>0.75</v>
      </c>
      <c r="H426" s="36">
        <f t="shared" si="30"/>
        <v>0.74654999999999994</v>
      </c>
      <c r="I426" s="38">
        <f t="shared" si="31"/>
        <v>85539335.851583958</v>
      </c>
      <c r="J426" s="38">
        <f t="shared" si="32"/>
        <v>-21679944.671583958</v>
      </c>
      <c r="K426" s="38">
        <v>13752856.930994334</v>
      </c>
      <c r="L426" s="38">
        <f t="shared" si="33"/>
        <v>-35432801.60257829</v>
      </c>
      <c r="M426" s="41">
        <f>VLOOKUP(INDICADORES!$B$21,'DATOS GENERALES'!$K:$M,3,0)*F426</f>
        <v>434628.69531297544</v>
      </c>
      <c r="N426" s="38">
        <f t="shared" si="34"/>
        <v>-35867430.297891267</v>
      </c>
      <c r="O426" s="36"/>
      <c r="P426" s="36"/>
      <c r="Q426" s="36"/>
    </row>
    <row r="427" spans="1:17" x14ac:dyDescent="0.25">
      <c r="A427" s="36">
        <v>1899</v>
      </c>
      <c r="B427" s="37">
        <v>43586</v>
      </c>
      <c r="C427" s="37">
        <v>43655.416469935735</v>
      </c>
      <c r="D427" s="36" t="s">
        <v>212</v>
      </c>
      <c r="E427" s="36"/>
      <c r="F427" s="38">
        <v>63859391.18</v>
      </c>
      <c r="G427" s="40">
        <f>VLOOKUP(A427,'DATOS GENERALES'!A:B,2,0)</f>
        <v>0.75</v>
      </c>
      <c r="H427" s="36">
        <f t="shared" si="30"/>
        <v>0.74654999999999994</v>
      </c>
      <c r="I427" s="38">
        <f t="shared" si="31"/>
        <v>85539335.851583958</v>
      </c>
      <c r="J427" s="38">
        <f t="shared" si="32"/>
        <v>-21679944.671583958</v>
      </c>
      <c r="K427" s="38">
        <v>11345145.169644045</v>
      </c>
      <c r="L427" s="38">
        <f t="shared" si="33"/>
        <v>-33025089.841228001</v>
      </c>
      <c r="M427" s="41">
        <f>VLOOKUP(INDICADORES!$B$21,'DATOS GENERALES'!$K:$M,3,0)*F427</f>
        <v>434628.69531297544</v>
      </c>
      <c r="N427" s="38">
        <f t="shared" si="34"/>
        <v>-33459718.536540978</v>
      </c>
      <c r="O427" s="36"/>
      <c r="P427" s="36"/>
      <c r="Q427" s="36"/>
    </row>
    <row r="428" spans="1:17" x14ac:dyDescent="0.25">
      <c r="A428" s="36">
        <v>1899</v>
      </c>
      <c r="B428" s="37">
        <v>43617</v>
      </c>
      <c r="C428" s="37">
        <v>43664.918229676718</v>
      </c>
      <c r="D428" s="36" t="s">
        <v>212</v>
      </c>
      <c r="E428" s="36"/>
      <c r="F428" s="38">
        <v>60800628.68</v>
      </c>
      <c r="G428" s="40">
        <f>VLOOKUP(A428,'DATOS GENERALES'!A:B,2,0)</f>
        <v>0.75</v>
      </c>
      <c r="H428" s="36">
        <f t="shared" si="30"/>
        <v>0.74654999999999994</v>
      </c>
      <c r="I428" s="38">
        <f t="shared" si="31"/>
        <v>81442138.744893178</v>
      </c>
      <c r="J428" s="38">
        <f t="shared" si="32"/>
        <v>-20641510.064893179</v>
      </c>
      <c r="K428" s="38">
        <v>12132519.092033435</v>
      </c>
      <c r="L428" s="38">
        <f t="shared" si="33"/>
        <v>-32774029.156926613</v>
      </c>
      <c r="M428" s="41">
        <f>VLOOKUP(INDICADORES!$B$21,'DATOS GENERALES'!$K:$M,3,0)*F428</f>
        <v>413810.6773193492</v>
      </c>
      <c r="N428" s="38">
        <f t="shared" si="34"/>
        <v>-33187839.834245961</v>
      </c>
      <c r="O428" s="36"/>
      <c r="P428" s="36"/>
      <c r="Q428" s="36"/>
    </row>
    <row r="429" spans="1:17" x14ac:dyDescent="0.25">
      <c r="A429" s="36">
        <v>1899</v>
      </c>
      <c r="B429" s="37">
        <v>43647</v>
      </c>
      <c r="C429" s="37">
        <v>43728.848788169744</v>
      </c>
      <c r="D429" s="36" t="s">
        <v>212</v>
      </c>
      <c r="E429" s="36"/>
      <c r="F429" s="38">
        <v>60800628.68</v>
      </c>
      <c r="G429" s="40">
        <f>VLOOKUP(A429,'DATOS GENERALES'!A:B,2,0)</f>
        <v>0.75</v>
      </c>
      <c r="H429" s="36">
        <f t="shared" si="30"/>
        <v>0.74654999999999994</v>
      </c>
      <c r="I429" s="38">
        <f t="shared" si="31"/>
        <v>81442138.744893178</v>
      </c>
      <c r="J429" s="38">
        <f t="shared" si="32"/>
        <v>-20641510.064893179</v>
      </c>
      <c r="K429" s="38">
        <v>21068334.100703359</v>
      </c>
      <c r="L429" s="38">
        <f t="shared" si="33"/>
        <v>-41709844.165596537</v>
      </c>
      <c r="M429" s="41">
        <f>VLOOKUP(INDICADORES!$B$21,'DATOS GENERALES'!$K:$M,3,0)*F429</f>
        <v>413810.6773193492</v>
      </c>
      <c r="N429" s="38">
        <f t="shared" si="34"/>
        <v>-42123654.842915885</v>
      </c>
      <c r="O429" s="36"/>
      <c r="P429" s="36"/>
      <c r="Q429" s="36"/>
    </row>
    <row r="430" spans="1:17" x14ac:dyDescent="0.25">
      <c r="A430" s="36">
        <v>1899</v>
      </c>
      <c r="B430" s="37">
        <v>43678</v>
      </c>
      <c r="C430" s="37">
        <v>43767.828276690496</v>
      </c>
      <c r="D430" s="36" t="s">
        <v>212</v>
      </c>
      <c r="E430" s="36"/>
      <c r="F430" s="38">
        <v>64680316.519999996</v>
      </c>
      <c r="G430" s="40">
        <f>VLOOKUP(A430,'DATOS GENERALES'!A:B,2,0)</f>
        <v>0.75</v>
      </c>
      <c r="H430" s="36">
        <f t="shared" si="30"/>
        <v>0.74654999999999994</v>
      </c>
      <c r="I430" s="38">
        <f t="shared" si="31"/>
        <v>86638961.248409346</v>
      </c>
      <c r="J430" s="38">
        <f t="shared" si="32"/>
        <v>-21958644.72840935</v>
      </c>
      <c r="K430" s="38">
        <v>22505977.724435486</v>
      </c>
      <c r="L430" s="38">
        <f t="shared" si="33"/>
        <v>-44464622.452844836</v>
      </c>
      <c r="M430" s="41">
        <f>VLOOKUP(INDICADORES!$B$21,'DATOS GENERALES'!$K:$M,3,0)*F430</f>
        <v>440215.93476015172</v>
      </c>
      <c r="N430" s="38">
        <f t="shared" si="34"/>
        <v>-44904838.387604989</v>
      </c>
      <c r="O430" s="36"/>
      <c r="P430" s="36"/>
      <c r="Q430" s="36"/>
    </row>
    <row r="431" spans="1:17" x14ac:dyDescent="0.25">
      <c r="A431" s="36">
        <v>1899</v>
      </c>
      <c r="B431" s="37">
        <v>43709</v>
      </c>
      <c r="C431" s="37">
        <v>43765.626453410543</v>
      </c>
      <c r="D431" s="36" t="s">
        <v>212</v>
      </c>
      <c r="E431" s="36"/>
      <c r="F431" s="38">
        <v>64680316.519999996</v>
      </c>
      <c r="G431" s="40">
        <f>VLOOKUP(A431,'DATOS GENERALES'!A:B,2,0)</f>
        <v>0.75</v>
      </c>
      <c r="H431" s="36">
        <f t="shared" si="30"/>
        <v>0.74654999999999994</v>
      </c>
      <c r="I431" s="38">
        <f t="shared" si="31"/>
        <v>86638961.248409346</v>
      </c>
      <c r="J431" s="38">
        <f t="shared" si="32"/>
        <v>-21958644.72840935</v>
      </c>
      <c r="K431" s="38">
        <v>24841225.706857946</v>
      </c>
      <c r="L431" s="38">
        <f t="shared" si="33"/>
        <v>-46799870.435267299</v>
      </c>
      <c r="M431" s="41">
        <f>VLOOKUP(INDICADORES!$B$21,'DATOS GENERALES'!$K:$M,3,0)*F431</f>
        <v>440215.93476015172</v>
      </c>
      <c r="N431" s="38">
        <f t="shared" si="34"/>
        <v>-47240086.370027453</v>
      </c>
      <c r="O431" s="36"/>
      <c r="P431" s="36"/>
      <c r="Q431" s="36"/>
    </row>
    <row r="432" spans="1:17" x14ac:dyDescent="0.25">
      <c r="A432" s="36">
        <v>1899</v>
      </c>
      <c r="B432" s="37">
        <v>43739</v>
      </c>
      <c r="C432" s="37">
        <v>43804.504928133552</v>
      </c>
      <c r="D432" s="36" t="s">
        <v>212</v>
      </c>
      <c r="E432" s="36"/>
      <c r="F432" s="38">
        <v>60757039.519999996</v>
      </c>
      <c r="G432" s="40">
        <f>VLOOKUP(A432,'DATOS GENERALES'!A:B,2,0)</f>
        <v>0.75</v>
      </c>
      <c r="H432" s="36">
        <f t="shared" si="30"/>
        <v>0.74654999999999994</v>
      </c>
      <c r="I432" s="38">
        <f t="shared" si="31"/>
        <v>81383751.282566473</v>
      </c>
      <c r="J432" s="38">
        <f t="shared" si="32"/>
        <v>-20626711.762566477</v>
      </c>
      <c r="K432" s="38">
        <v>25323550.010208219</v>
      </c>
      <c r="L432" s="38">
        <f t="shared" si="33"/>
        <v>-45950261.772774696</v>
      </c>
      <c r="M432" s="41">
        <f>VLOOKUP(INDICADORES!$B$21,'DATOS GENERALES'!$K:$M,3,0)*F432</f>
        <v>413514.00835037656</v>
      </c>
      <c r="N432" s="38">
        <f t="shared" si="34"/>
        <v>-46363775.781125076</v>
      </c>
      <c r="O432" s="36"/>
      <c r="P432" s="36"/>
      <c r="Q432" s="36"/>
    </row>
    <row r="433" spans="1:17" x14ac:dyDescent="0.25">
      <c r="A433" s="36">
        <v>1899</v>
      </c>
      <c r="B433" s="37">
        <v>43770</v>
      </c>
      <c r="C433" s="37">
        <v>43812.284115100236</v>
      </c>
      <c r="D433" s="36" t="s">
        <v>212</v>
      </c>
      <c r="E433" s="36"/>
      <c r="F433" s="38">
        <v>60757039.519999996</v>
      </c>
      <c r="G433" s="40">
        <f>VLOOKUP(A433,'DATOS GENERALES'!A:B,2,0)</f>
        <v>0.75</v>
      </c>
      <c r="H433" s="36">
        <f t="shared" si="30"/>
        <v>0.74654999999999994</v>
      </c>
      <c r="I433" s="38">
        <f t="shared" si="31"/>
        <v>81383751.282566473</v>
      </c>
      <c r="J433" s="38">
        <f t="shared" si="32"/>
        <v>-20626711.762566477</v>
      </c>
      <c r="K433" s="38">
        <v>33232005.629964478</v>
      </c>
      <c r="L433" s="38">
        <f t="shared" si="33"/>
        <v>-53858717.392530955</v>
      </c>
      <c r="M433" s="41">
        <f>VLOOKUP(INDICADORES!$B$21,'DATOS GENERALES'!$K:$M,3,0)*F433</f>
        <v>413514.00835037656</v>
      </c>
      <c r="N433" s="38">
        <f t="shared" si="34"/>
        <v>-54272231.400881335</v>
      </c>
      <c r="O433" s="36"/>
      <c r="P433" s="36"/>
      <c r="Q433" s="36"/>
    </row>
    <row r="434" spans="1:17" x14ac:dyDescent="0.25">
      <c r="A434" s="36">
        <v>1899</v>
      </c>
      <c r="B434" s="37">
        <v>43800</v>
      </c>
      <c r="C434" s="37">
        <v>43876.177483906889</v>
      </c>
      <c r="D434" s="36" t="s">
        <v>212</v>
      </c>
      <c r="E434" s="36"/>
      <c r="F434" s="38">
        <v>60757039.519999996</v>
      </c>
      <c r="G434" s="40">
        <f>VLOOKUP(A434,'DATOS GENERALES'!A:B,2,0)</f>
        <v>0.75</v>
      </c>
      <c r="H434" s="36">
        <f t="shared" si="30"/>
        <v>0.74654999999999994</v>
      </c>
      <c r="I434" s="38">
        <f t="shared" si="31"/>
        <v>81383751.282566473</v>
      </c>
      <c r="J434" s="38">
        <f t="shared" si="32"/>
        <v>-20626711.762566477</v>
      </c>
      <c r="K434" s="38">
        <v>28664250.929005306</v>
      </c>
      <c r="L434" s="38">
        <f t="shared" si="33"/>
        <v>-49290962.691571787</v>
      </c>
      <c r="M434" s="41">
        <f>VLOOKUP(INDICADORES!$B$21,'DATOS GENERALES'!$K:$M,3,0)*F434</f>
        <v>413514.00835037656</v>
      </c>
      <c r="N434" s="38">
        <f t="shared" si="34"/>
        <v>-49704476.699922167</v>
      </c>
      <c r="O434" s="36"/>
      <c r="P434" s="36"/>
      <c r="Q434" s="36"/>
    </row>
    <row r="435" spans="1:17" x14ac:dyDescent="0.25">
      <c r="A435" s="36">
        <v>1899</v>
      </c>
      <c r="B435" s="37">
        <v>43831</v>
      </c>
      <c r="C435" s="37">
        <v>43902.840795006858</v>
      </c>
      <c r="D435" s="36" t="s">
        <v>212</v>
      </c>
      <c r="E435" s="36"/>
      <c r="F435" s="38">
        <v>60757039.519999996</v>
      </c>
      <c r="G435" s="40">
        <f>VLOOKUP(A435,'DATOS GENERALES'!A:B,2,0)</f>
        <v>0.75</v>
      </c>
      <c r="H435" s="36">
        <f t="shared" si="30"/>
        <v>0.74654999999999994</v>
      </c>
      <c r="I435" s="38">
        <f t="shared" si="31"/>
        <v>81383751.282566473</v>
      </c>
      <c r="J435" s="38">
        <f t="shared" si="32"/>
        <v>-20626711.762566477</v>
      </c>
      <c r="K435" s="38" t="s">
        <v>213</v>
      </c>
      <c r="L435" s="38" t="str">
        <f t="shared" si="33"/>
        <v/>
      </c>
      <c r="M435" s="41">
        <f>VLOOKUP(INDICADORES!$B$21,'DATOS GENERALES'!$K:$M,3,0)*F435</f>
        <v>413514.00835037656</v>
      </c>
      <c r="N435" s="38" t="str">
        <f t="shared" si="34"/>
        <v/>
      </c>
      <c r="O435" s="36"/>
      <c r="P435" s="36"/>
      <c r="Q435" s="36"/>
    </row>
    <row r="436" spans="1:17" x14ac:dyDescent="0.25">
      <c r="A436" s="36">
        <v>1899</v>
      </c>
      <c r="B436" s="37">
        <v>43862</v>
      </c>
      <c r="C436" s="37">
        <v>43954.775965229906</v>
      </c>
      <c r="D436" s="36" t="s">
        <v>212</v>
      </c>
      <c r="E436" s="36"/>
      <c r="F436" s="38">
        <v>60757039.519999996</v>
      </c>
      <c r="G436" s="40">
        <f>VLOOKUP(A436,'DATOS GENERALES'!A:B,2,0)</f>
        <v>0.75</v>
      </c>
      <c r="H436" s="36">
        <f t="shared" si="30"/>
        <v>0.74654999999999994</v>
      </c>
      <c r="I436" s="38">
        <f t="shared" si="31"/>
        <v>81383751.282566473</v>
      </c>
      <c r="J436" s="38">
        <f t="shared" si="32"/>
        <v>-20626711.762566477</v>
      </c>
      <c r="K436" s="38" t="s">
        <v>213</v>
      </c>
      <c r="L436" s="38" t="str">
        <f t="shared" si="33"/>
        <v/>
      </c>
      <c r="M436" s="41">
        <f>VLOOKUP(INDICADORES!$B$21,'DATOS GENERALES'!$K:$M,3,0)*F436</f>
        <v>413514.00835037656</v>
      </c>
      <c r="N436" s="38" t="str">
        <f t="shared" si="34"/>
        <v/>
      </c>
      <c r="O436" s="36"/>
      <c r="P436" s="36"/>
      <c r="Q436" s="36"/>
    </row>
    <row r="437" spans="1:17" x14ac:dyDescent="0.25">
      <c r="A437" s="36">
        <v>1899</v>
      </c>
      <c r="B437" s="37">
        <v>43891</v>
      </c>
      <c r="C437" s="37">
        <v>43960.625701656092</v>
      </c>
      <c r="D437" s="36" t="s">
        <v>212</v>
      </c>
      <c r="E437" s="36"/>
      <c r="F437" s="38">
        <v>54757039.519999996</v>
      </c>
      <c r="G437" s="40">
        <f>VLOOKUP(A437,'DATOS GENERALES'!A:B,2,0)</f>
        <v>0.75</v>
      </c>
      <c r="H437" s="36">
        <f t="shared" si="30"/>
        <v>0.74654999999999994</v>
      </c>
      <c r="I437" s="38">
        <f t="shared" si="31"/>
        <v>73346781.220279962</v>
      </c>
      <c r="J437" s="38">
        <f t="shared" si="32"/>
        <v>-18589741.700279966</v>
      </c>
      <c r="K437" s="38" t="s">
        <v>213</v>
      </c>
      <c r="L437" s="38" t="str">
        <f t="shared" si="33"/>
        <v/>
      </c>
      <c r="M437" s="41">
        <f>VLOOKUP(INDICADORES!$B$21,'DATOS GENERALES'!$K:$M,3,0)*F437</f>
        <v>372677.8506030009</v>
      </c>
      <c r="N437" s="38" t="str">
        <f t="shared" si="34"/>
        <v/>
      </c>
      <c r="O437" s="36"/>
      <c r="P437" s="36"/>
      <c r="Q437" s="36"/>
    </row>
    <row r="438" spans="1:17" x14ac:dyDescent="0.25">
      <c r="A438" s="36">
        <v>1899</v>
      </c>
      <c r="B438" s="37">
        <v>43922</v>
      </c>
      <c r="C438" s="37">
        <v>43982.409862042645</v>
      </c>
      <c r="D438" s="36" t="s">
        <v>212</v>
      </c>
      <c r="E438" s="36"/>
      <c r="F438" s="38">
        <v>54757039.519999996</v>
      </c>
      <c r="G438" s="40">
        <f>VLOOKUP(A438,'DATOS GENERALES'!A:B,2,0)</f>
        <v>0.75</v>
      </c>
      <c r="H438" s="36">
        <f t="shared" si="30"/>
        <v>0.74654999999999994</v>
      </c>
      <c r="I438" s="38">
        <f t="shared" si="31"/>
        <v>73346781.220279962</v>
      </c>
      <c r="J438" s="38">
        <f t="shared" si="32"/>
        <v>-18589741.700279966</v>
      </c>
      <c r="K438" s="38" t="s">
        <v>213</v>
      </c>
      <c r="L438" s="38" t="str">
        <f t="shared" si="33"/>
        <v/>
      </c>
      <c r="M438" s="41">
        <f>VLOOKUP(INDICADORES!$B$21,'DATOS GENERALES'!$K:$M,3,0)*F438</f>
        <v>372677.8506030009</v>
      </c>
      <c r="N438" s="38" t="str">
        <f t="shared" si="34"/>
        <v/>
      </c>
      <c r="O438" s="36"/>
      <c r="P438" s="36"/>
      <c r="Q438" s="36"/>
    </row>
    <row r="439" spans="1:17" x14ac:dyDescent="0.25">
      <c r="A439" s="36">
        <v>1899</v>
      </c>
      <c r="B439" s="37">
        <v>43952</v>
      </c>
      <c r="C439" s="37">
        <v>44010.463525617757</v>
      </c>
      <c r="D439" s="36" t="s">
        <v>212</v>
      </c>
      <c r="E439" s="36"/>
      <c r="F439" s="38">
        <v>48757039.519999996</v>
      </c>
      <c r="G439" s="40">
        <f>VLOOKUP(A439,'DATOS GENERALES'!A:B,2,0)</f>
        <v>0.75</v>
      </c>
      <c r="H439" s="36">
        <f t="shared" si="30"/>
        <v>0.74654999999999994</v>
      </c>
      <c r="I439" s="38">
        <f t="shared" si="31"/>
        <v>65309811.157993436</v>
      </c>
      <c r="J439" s="38">
        <f t="shared" si="32"/>
        <v>-16552771.63799344</v>
      </c>
      <c r="K439" s="38" t="s">
        <v>213</v>
      </c>
      <c r="L439" s="38" t="str">
        <f t="shared" si="33"/>
        <v/>
      </c>
      <c r="M439" s="41">
        <f>VLOOKUP(INDICADORES!$B$21,'DATOS GENERALES'!$K:$M,3,0)*F439</f>
        <v>331841.69285562518</v>
      </c>
      <c r="N439" s="38" t="str">
        <f t="shared" si="34"/>
        <v/>
      </c>
      <c r="O439" s="36"/>
      <c r="P439" s="36"/>
      <c r="Q439" s="36"/>
    </row>
    <row r="440" spans="1:17" x14ac:dyDescent="0.25">
      <c r="A440" s="36">
        <v>1899</v>
      </c>
      <c r="B440" s="37">
        <v>43983</v>
      </c>
      <c r="C440" s="37">
        <v>44043.683341334436</v>
      </c>
      <c r="D440" s="36" t="s">
        <v>212</v>
      </c>
      <c r="E440" s="36"/>
      <c r="F440" s="38">
        <v>48757039.519999996</v>
      </c>
      <c r="G440" s="40">
        <f>VLOOKUP(A440,'DATOS GENERALES'!A:B,2,0)</f>
        <v>0.75</v>
      </c>
      <c r="H440" s="36">
        <f t="shared" si="30"/>
        <v>0.74654999999999994</v>
      </c>
      <c r="I440" s="38">
        <f t="shared" si="31"/>
        <v>65309811.157993436</v>
      </c>
      <c r="J440" s="38">
        <f t="shared" si="32"/>
        <v>-16552771.63799344</v>
      </c>
      <c r="K440" s="38" t="s">
        <v>213</v>
      </c>
      <c r="L440" s="38" t="str">
        <f t="shared" si="33"/>
        <v/>
      </c>
      <c r="M440" s="41">
        <f>VLOOKUP(INDICADORES!$B$21,'DATOS GENERALES'!$K:$M,3,0)*F440</f>
        <v>331841.69285562518</v>
      </c>
      <c r="N440" s="38" t="str">
        <f t="shared" si="34"/>
        <v/>
      </c>
      <c r="O440" s="36"/>
      <c r="P440" s="36"/>
      <c r="Q440" s="36"/>
    </row>
    <row r="441" spans="1:17" x14ac:dyDescent="0.25">
      <c r="A441" s="36">
        <v>1899</v>
      </c>
      <c r="B441" s="37">
        <v>44013</v>
      </c>
      <c r="C441" s="37">
        <v>44081.571949443365</v>
      </c>
      <c r="D441" s="36" t="s">
        <v>212</v>
      </c>
      <c r="E441" s="36"/>
      <c r="F441" s="38">
        <v>48757039.519999996</v>
      </c>
      <c r="G441" s="40">
        <f>VLOOKUP(A441,'DATOS GENERALES'!A:B,2,0)</f>
        <v>0.75</v>
      </c>
      <c r="H441" s="36">
        <f t="shared" si="30"/>
        <v>0.74654999999999994</v>
      </c>
      <c r="I441" s="38">
        <f t="shared" si="31"/>
        <v>65309811.157993436</v>
      </c>
      <c r="J441" s="38">
        <f t="shared" si="32"/>
        <v>-16552771.63799344</v>
      </c>
      <c r="K441" s="38" t="s">
        <v>213</v>
      </c>
      <c r="L441" s="38" t="str">
        <f t="shared" si="33"/>
        <v/>
      </c>
      <c r="M441" s="41">
        <f>VLOOKUP(INDICADORES!$B$21,'DATOS GENERALES'!$K:$M,3,0)*F441</f>
        <v>331841.69285562518</v>
      </c>
      <c r="N441" s="38" t="str">
        <f t="shared" si="34"/>
        <v/>
      </c>
      <c r="O441" s="36"/>
      <c r="P441" s="36"/>
      <c r="Q441" s="36"/>
    </row>
    <row r="442" spans="1:17" x14ac:dyDescent="0.25">
      <c r="A442" s="36">
        <v>1899</v>
      </c>
      <c r="B442" s="37">
        <v>44044</v>
      </c>
      <c r="C442" s="37">
        <v>44134.829705670862</v>
      </c>
      <c r="D442" s="36" t="s">
        <v>212</v>
      </c>
      <c r="E442" s="36"/>
      <c r="F442" s="38">
        <v>48757039.519999996</v>
      </c>
      <c r="G442" s="40">
        <f>VLOOKUP(A442,'DATOS GENERALES'!A:B,2,0)</f>
        <v>0.75</v>
      </c>
      <c r="H442" s="36">
        <f t="shared" si="30"/>
        <v>0.74654999999999994</v>
      </c>
      <c r="I442" s="38">
        <f t="shared" si="31"/>
        <v>65309811.157993436</v>
      </c>
      <c r="J442" s="38">
        <f t="shared" si="32"/>
        <v>-16552771.63799344</v>
      </c>
      <c r="K442" s="38" t="s">
        <v>213</v>
      </c>
      <c r="L442" s="38" t="str">
        <f t="shared" si="33"/>
        <v/>
      </c>
      <c r="M442" s="41">
        <f>VLOOKUP(INDICADORES!$B$21,'DATOS GENERALES'!$K:$M,3,0)*F442</f>
        <v>331841.69285562518</v>
      </c>
      <c r="N442" s="38" t="str">
        <f t="shared" si="34"/>
        <v/>
      </c>
      <c r="O442" s="36"/>
      <c r="P442" s="36"/>
      <c r="Q442" s="36"/>
    </row>
    <row r="443" spans="1:17" x14ac:dyDescent="0.25">
      <c r="A443" s="36">
        <v>1899</v>
      </c>
      <c r="B443" s="37">
        <v>44075</v>
      </c>
      <c r="C443" s="37">
        <v>44143.031260371412</v>
      </c>
      <c r="D443" s="36" t="s">
        <v>212</v>
      </c>
      <c r="E443" s="36"/>
      <c r="F443" s="38">
        <v>48757039.519999996</v>
      </c>
      <c r="G443" s="40">
        <f>VLOOKUP(A443,'DATOS GENERALES'!A:B,2,0)</f>
        <v>0.75</v>
      </c>
      <c r="H443" s="36">
        <f t="shared" si="30"/>
        <v>0.74654999999999994</v>
      </c>
      <c r="I443" s="38">
        <f t="shared" si="31"/>
        <v>65309811.157993436</v>
      </c>
      <c r="J443" s="38">
        <f t="shared" si="32"/>
        <v>-16552771.63799344</v>
      </c>
      <c r="K443" s="38" t="s">
        <v>213</v>
      </c>
      <c r="L443" s="38" t="str">
        <f t="shared" si="33"/>
        <v/>
      </c>
      <c r="M443" s="41">
        <f>VLOOKUP(INDICADORES!$B$21,'DATOS GENERALES'!$K:$M,3,0)*F443</f>
        <v>331841.69285562518</v>
      </c>
      <c r="N443" s="38" t="str">
        <f t="shared" si="34"/>
        <v/>
      </c>
      <c r="O443" s="36"/>
      <c r="P443" s="36"/>
      <c r="Q443" s="36"/>
    </row>
    <row r="444" spans="1:17" x14ac:dyDescent="0.25">
      <c r="A444" s="36">
        <v>1899</v>
      </c>
      <c r="B444" s="37">
        <v>44105</v>
      </c>
      <c r="C444" s="37">
        <v>44160.655427843318</v>
      </c>
      <c r="D444" s="36" t="s">
        <v>212</v>
      </c>
      <c r="E444" s="36"/>
      <c r="F444" s="38">
        <v>48757039.519999996</v>
      </c>
      <c r="G444" s="40">
        <f>VLOOKUP(A444,'DATOS GENERALES'!A:B,2,0)</f>
        <v>0.75</v>
      </c>
      <c r="H444" s="36">
        <f t="shared" si="30"/>
        <v>0.74654999999999994</v>
      </c>
      <c r="I444" s="38">
        <f t="shared" si="31"/>
        <v>65309811.157993436</v>
      </c>
      <c r="J444" s="38">
        <f t="shared" si="32"/>
        <v>-16552771.63799344</v>
      </c>
      <c r="K444" s="38" t="s">
        <v>213</v>
      </c>
      <c r="L444" s="38" t="str">
        <f t="shared" si="33"/>
        <v/>
      </c>
      <c r="M444" s="41">
        <f>VLOOKUP(INDICADORES!$B$21,'DATOS GENERALES'!$K:$M,3,0)*F444</f>
        <v>331841.69285562518</v>
      </c>
      <c r="N444" s="38" t="str">
        <f t="shared" si="34"/>
        <v/>
      </c>
      <c r="O444" s="36"/>
      <c r="P444" s="36"/>
      <c r="Q444" s="36"/>
    </row>
    <row r="445" spans="1:17" x14ac:dyDescent="0.25">
      <c r="A445" s="36">
        <v>1899</v>
      </c>
      <c r="B445" s="37">
        <v>44136</v>
      </c>
      <c r="C445" s="37">
        <v>44204.420633510985</v>
      </c>
      <c r="D445" s="36" t="s">
        <v>212</v>
      </c>
      <c r="E445" s="36"/>
      <c r="F445" s="38">
        <v>44678689.519999996</v>
      </c>
      <c r="G445" s="40">
        <f>VLOOKUP(A445,'DATOS GENERALES'!A:B,2,0)</f>
        <v>0.75</v>
      </c>
      <c r="H445" s="36">
        <f t="shared" si="30"/>
        <v>0.74654999999999994</v>
      </c>
      <c r="I445" s="38">
        <f t="shared" si="31"/>
        <v>59846881.682405733</v>
      </c>
      <c r="J445" s="38">
        <f t="shared" si="32"/>
        <v>-15168192.162405737</v>
      </c>
      <c r="K445" s="38" t="s">
        <v>213</v>
      </c>
      <c r="L445" s="38" t="str">
        <f t="shared" si="33"/>
        <v/>
      </c>
      <c r="M445" s="41">
        <f>VLOOKUP(INDICADORES!$B$21,'DATOS GENERALES'!$K:$M,3,0)*F445</f>
        <v>304084.33553079021</v>
      </c>
      <c r="N445" s="38" t="str">
        <f t="shared" si="34"/>
        <v/>
      </c>
      <c r="O445" s="36"/>
      <c r="P445" s="36"/>
      <c r="Q445" s="36"/>
    </row>
    <row r="446" spans="1:17" x14ac:dyDescent="0.25">
      <c r="A446" s="36">
        <v>1899</v>
      </c>
      <c r="B446" s="37">
        <v>44166</v>
      </c>
      <c r="C446" s="37">
        <v>44248.640705949823</v>
      </c>
      <c r="D446" s="36" t="s">
        <v>212</v>
      </c>
      <c r="E446" s="36"/>
      <c r="F446" s="38">
        <v>44678689.519999996</v>
      </c>
      <c r="G446" s="40">
        <f>VLOOKUP(A446,'DATOS GENERALES'!A:B,2,0)</f>
        <v>0.75</v>
      </c>
      <c r="H446" s="36">
        <f t="shared" si="30"/>
        <v>0.74654999999999994</v>
      </c>
      <c r="I446" s="38">
        <f t="shared" si="31"/>
        <v>59846881.682405733</v>
      </c>
      <c r="J446" s="38">
        <f t="shared" si="32"/>
        <v>-15168192.162405737</v>
      </c>
      <c r="K446" s="38" t="s">
        <v>213</v>
      </c>
      <c r="L446" s="38" t="str">
        <f t="shared" si="33"/>
        <v/>
      </c>
      <c r="M446" s="41">
        <f>VLOOKUP(INDICADORES!$B$21,'DATOS GENERALES'!$K:$M,3,0)*F446</f>
        <v>304084.33553079021</v>
      </c>
      <c r="N446" s="38" t="str">
        <f t="shared" si="34"/>
        <v/>
      </c>
      <c r="O446" s="36"/>
      <c r="P446" s="36"/>
      <c r="Q446" s="36"/>
    </row>
    <row r="447" spans="1:17" x14ac:dyDescent="0.25">
      <c r="A447" s="36">
        <v>1899</v>
      </c>
      <c r="B447" s="37">
        <v>44197</v>
      </c>
      <c r="C447" s="37">
        <v>44270.897137529115</v>
      </c>
      <c r="D447" s="36" t="s">
        <v>212</v>
      </c>
      <c r="E447" s="36"/>
      <c r="F447" s="38">
        <v>44678689.519999996</v>
      </c>
      <c r="G447" s="40">
        <f>VLOOKUP(A447,'DATOS GENERALES'!A:B,2,0)</f>
        <v>0.75</v>
      </c>
      <c r="H447" s="36">
        <f t="shared" si="30"/>
        <v>0.74654999999999994</v>
      </c>
      <c r="I447" s="38">
        <f t="shared" si="31"/>
        <v>59846881.682405733</v>
      </c>
      <c r="J447" s="38">
        <f t="shared" si="32"/>
        <v>-15168192.162405737</v>
      </c>
      <c r="K447" s="38" t="s">
        <v>213</v>
      </c>
      <c r="L447" s="38" t="str">
        <f t="shared" si="33"/>
        <v/>
      </c>
      <c r="M447" s="41">
        <f>VLOOKUP(INDICADORES!$B$21,'DATOS GENERALES'!$K:$M,3,0)*F447</f>
        <v>304084.33553079021</v>
      </c>
      <c r="N447" s="38" t="str">
        <f t="shared" si="34"/>
        <v/>
      </c>
      <c r="O447" s="36"/>
      <c r="P447" s="36"/>
      <c r="Q447" s="36"/>
    </row>
    <row r="448" spans="1:17" x14ac:dyDescent="0.25">
      <c r="A448" s="36">
        <v>1899</v>
      </c>
      <c r="B448" s="37">
        <v>44228</v>
      </c>
      <c r="C448" s="37">
        <v>44305.129706870393</v>
      </c>
      <c r="D448" s="36" t="s">
        <v>212</v>
      </c>
      <c r="E448" s="36"/>
      <c r="F448" s="38">
        <v>44678689.519999996</v>
      </c>
      <c r="G448" s="40">
        <f>VLOOKUP(A448,'DATOS GENERALES'!A:B,2,0)</f>
        <v>0.75</v>
      </c>
      <c r="H448" s="36">
        <f t="shared" si="30"/>
        <v>0.74654999999999994</v>
      </c>
      <c r="I448" s="38">
        <f t="shared" si="31"/>
        <v>59846881.682405733</v>
      </c>
      <c r="J448" s="38">
        <f t="shared" si="32"/>
        <v>-15168192.162405737</v>
      </c>
      <c r="K448" s="38" t="s">
        <v>213</v>
      </c>
      <c r="L448" s="38" t="str">
        <f t="shared" si="33"/>
        <v/>
      </c>
      <c r="M448" s="41">
        <f>VLOOKUP(INDICADORES!$B$21,'DATOS GENERALES'!$K:$M,3,0)*F448</f>
        <v>304084.33553079021</v>
      </c>
      <c r="N448" s="38" t="str">
        <f t="shared" si="34"/>
        <v/>
      </c>
      <c r="O448" s="36"/>
      <c r="P448" s="36"/>
      <c r="Q448" s="36"/>
    </row>
    <row r="449" spans="1:17" x14ac:dyDescent="0.25">
      <c r="A449" s="36">
        <v>1899</v>
      </c>
      <c r="B449" s="37">
        <v>44256</v>
      </c>
      <c r="C449" s="37">
        <v>44311.6027740789</v>
      </c>
      <c r="D449" s="36" t="s">
        <v>212</v>
      </c>
      <c r="E449" s="36"/>
      <c r="F449" s="38">
        <v>40862689.519999996</v>
      </c>
      <c r="G449" s="40">
        <f>VLOOKUP(A449,'DATOS GENERALES'!A:B,2,0)</f>
        <v>0.75</v>
      </c>
      <c r="H449" s="36">
        <f t="shared" si="30"/>
        <v>0.74654999999999994</v>
      </c>
      <c r="I449" s="38">
        <f t="shared" si="31"/>
        <v>54735368.722791508</v>
      </c>
      <c r="J449" s="38">
        <f t="shared" si="32"/>
        <v>-13872679.202791512</v>
      </c>
      <c r="K449" s="38" t="s">
        <v>213</v>
      </c>
      <c r="L449" s="38" t="str">
        <f t="shared" si="33"/>
        <v/>
      </c>
      <c r="M449" s="41">
        <f>VLOOKUP(INDICADORES!$B$21,'DATOS GENERALES'!$K:$M,3,0)*F449</f>
        <v>278112.53920345928</v>
      </c>
      <c r="N449" s="38" t="str">
        <f t="shared" si="34"/>
        <v/>
      </c>
      <c r="O449" s="36"/>
      <c r="P449" s="36"/>
      <c r="Q449" s="36"/>
    </row>
    <row r="450" spans="1:17" x14ac:dyDescent="0.25">
      <c r="A450" s="36">
        <v>1900</v>
      </c>
      <c r="B450" s="37">
        <v>43556</v>
      </c>
      <c r="C450" s="37">
        <v>43614.483107831817</v>
      </c>
      <c r="D450" s="36" t="s">
        <v>212</v>
      </c>
      <c r="E450" s="36"/>
      <c r="F450" s="38">
        <v>89776746.567000002</v>
      </c>
      <c r="G450" s="40">
        <f>VLOOKUP(A450,'DATOS GENERALES'!A:B,2,0)</f>
        <v>1</v>
      </c>
      <c r="H450" s="36">
        <f t="shared" si="30"/>
        <v>0.99539999999999995</v>
      </c>
      <c r="I450" s="38">
        <f t="shared" si="31"/>
        <v>90191628.05605787</v>
      </c>
      <c r="J450" s="38">
        <f t="shared" si="32"/>
        <v>-414881.48905786872</v>
      </c>
      <c r="K450" s="38">
        <v>14500843.906253565</v>
      </c>
      <c r="L450" s="38">
        <f t="shared" si="33"/>
        <v>-14915725.395311434</v>
      </c>
      <c r="M450" s="41">
        <f>VLOOKUP(INDICADORES!$B$21,'DATOS GENERALES'!$K:$M,3,0)*F450</f>
        <v>611022.89747603028</v>
      </c>
      <c r="N450" s="38">
        <f t="shared" si="34"/>
        <v>-15526748.292787464</v>
      </c>
      <c r="O450" s="36"/>
      <c r="P450" s="36"/>
      <c r="Q450" s="36"/>
    </row>
    <row r="451" spans="1:17" x14ac:dyDescent="0.25">
      <c r="A451" s="36">
        <v>1900</v>
      </c>
      <c r="B451" s="37">
        <v>43586</v>
      </c>
      <c r="C451" s="37">
        <v>43675.715908712438</v>
      </c>
      <c r="D451" s="36" t="s">
        <v>212</v>
      </c>
      <c r="E451" s="36"/>
      <c r="F451" s="38">
        <v>68117355.567000002</v>
      </c>
      <c r="G451" s="40">
        <f>VLOOKUP(A451,'DATOS GENERALES'!A:B,2,0)</f>
        <v>1</v>
      </c>
      <c r="H451" s="36">
        <f t="shared" ref="H451:H514" si="35">G451*0.9954</f>
        <v>0.99539999999999995</v>
      </c>
      <c r="I451" s="38">
        <f t="shared" ref="I451:I514" si="36">F451/H451</f>
        <v>68432143.426763117</v>
      </c>
      <c r="J451" s="38">
        <f t="shared" ref="J451:J514" si="37">F451-I451</f>
        <v>-314787.85976311564</v>
      </c>
      <c r="K451" s="38">
        <v>9076205.6277077552</v>
      </c>
      <c r="L451" s="38">
        <f t="shared" ref="L451:L514" si="38">IFERROR(J451-K451,"")</f>
        <v>-9390993.4874708708</v>
      </c>
      <c r="M451" s="41">
        <f>VLOOKUP(INDICADORES!$B$21,'DATOS GENERALES'!$K:$M,3,0)*F451</f>
        <v>463608.5128780154</v>
      </c>
      <c r="N451" s="38">
        <f t="shared" ref="N451:N514" si="39">IFERROR(L451-M451,"")</f>
        <v>-9854602.0003488865</v>
      </c>
      <c r="O451" s="36"/>
      <c r="P451" s="36"/>
      <c r="Q451" s="36"/>
    </row>
    <row r="452" spans="1:17" x14ac:dyDescent="0.25">
      <c r="A452" s="36">
        <v>1900</v>
      </c>
      <c r="B452" s="37">
        <v>43617</v>
      </c>
      <c r="C452" s="37">
        <v>43711.596568346227</v>
      </c>
      <c r="D452" s="36" t="s">
        <v>212</v>
      </c>
      <c r="E452" s="36"/>
      <c r="F452" s="38">
        <v>68117355.567000002</v>
      </c>
      <c r="G452" s="40">
        <f>VLOOKUP(A452,'DATOS GENERALES'!A:B,2,0)</f>
        <v>1</v>
      </c>
      <c r="H452" s="36">
        <f t="shared" si="35"/>
        <v>0.99539999999999995</v>
      </c>
      <c r="I452" s="38">
        <f t="shared" si="36"/>
        <v>68432143.426763117</v>
      </c>
      <c r="J452" s="38">
        <f t="shared" si="37"/>
        <v>-314787.85976311564</v>
      </c>
      <c r="K452" s="38">
        <v>10194406.721496308</v>
      </c>
      <c r="L452" s="38">
        <f t="shared" si="38"/>
        <v>-10509194.581259424</v>
      </c>
      <c r="M452" s="41">
        <f>VLOOKUP(INDICADORES!$B$21,'DATOS GENERALES'!$K:$M,3,0)*F452</f>
        <v>463608.5128780154</v>
      </c>
      <c r="N452" s="38">
        <f t="shared" si="39"/>
        <v>-10972803.09413744</v>
      </c>
      <c r="O452" s="36"/>
      <c r="P452" s="36"/>
      <c r="Q452" s="36"/>
    </row>
    <row r="453" spans="1:17" x14ac:dyDescent="0.25">
      <c r="A453" s="36">
        <v>1900</v>
      </c>
      <c r="B453" s="37">
        <v>43647</v>
      </c>
      <c r="C453" s="37">
        <v>43705.423302062431</v>
      </c>
      <c r="D453" s="36" t="s">
        <v>212</v>
      </c>
      <c r="E453" s="36"/>
      <c r="F453" s="38">
        <v>62912767.068000004</v>
      </c>
      <c r="G453" s="40">
        <f>VLOOKUP(A453,'DATOS GENERALES'!A:B,2,0)</f>
        <v>1</v>
      </c>
      <c r="H453" s="36">
        <f t="shared" si="35"/>
        <v>0.99539999999999995</v>
      </c>
      <c r="I453" s="38">
        <f t="shared" si="36"/>
        <v>63203503.18264015</v>
      </c>
      <c r="J453" s="38">
        <f t="shared" si="37"/>
        <v>-290736.11464014649</v>
      </c>
      <c r="K453" s="38">
        <v>16350166.411490859</v>
      </c>
      <c r="L453" s="38">
        <f t="shared" si="38"/>
        <v>-16640902.526131006</v>
      </c>
      <c r="M453" s="41">
        <f>VLOOKUP(INDICADORES!$B$21,'DATOS GENERALES'!$K:$M,3,0)*F453</f>
        <v>428185.94671879185</v>
      </c>
      <c r="N453" s="38">
        <f t="shared" si="39"/>
        <v>-17069088.472849797</v>
      </c>
      <c r="O453" s="36"/>
      <c r="P453" s="36"/>
      <c r="Q453" s="36"/>
    </row>
    <row r="454" spans="1:17" x14ac:dyDescent="0.25">
      <c r="A454" s="36">
        <v>1900</v>
      </c>
      <c r="B454" s="37">
        <v>43678</v>
      </c>
      <c r="C454" s="37">
        <v>43756.764587707599</v>
      </c>
      <c r="D454" s="36" t="s">
        <v>212</v>
      </c>
      <c r="E454" s="36"/>
      <c r="F454" s="38">
        <v>41200017.068000004</v>
      </c>
      <c r="G454" s="40">
        <f>VLOOKUP(A454,'DATOS GENERALES'!A:B,2,0)</f>
        <v>1</v>
      </c>
      <c r="H454" s="36">
        <f t="shared" si="35"/>
        <v>0.99539999999999995</v>
      </c>
      <c r="I454" s="38">
        <f t="shared" si="36"/>
        <v>41390412.967651203</v>
      </c>
      <c r="J454" s="38">
        <f t="shared" si="37"/>
        <v>-190395.89965119958</v>
      </c>
      <c r="K454" s="38">
        <v>10751879.97215567</v>
      </c>
      <c r="L454" s="38">
        <f t="shared" si="38"/>
        <v>-10942275.871806869</v>
      </c>
      <c r="M454" s="41">
        <f>VLOOKUP(INDICADORES!$B$21,'DATOS GENERALES'!$K:$M,3,0)*F454</f>
        <v>280408.39936390327</v>
      </c>
      <c r="N454" s="38">
        <f t="shared" si="39"/>
        <v>-11222684.271170773</v>
      </c>
      <c r="O454" s="36"/>
      <c r="P454" s="36"/>
      <c r="Q454" s="36"/>
    </row>
    <row r="455" spans="1:17" x14ac:dyDescent="0.25">
      <c r="A455" s="36">
        <v>1900</v>
      </c>
      <c r="B455" s="37">
        <v>43709</v>
      </c>
      <c r="C455" s="37">
        <v>43765.620791148642</v>
      </c>
      <c r="D455" s="36" t="s">
        <v>212</v>
      </c>
      <c r="E455" s="36"/>
      <c r="F455" s="38">
        <v>41200017.068000004</v>
      </c>
      <c r="G455" s="40">
        <f>VLOOKUP(A455,'DATOS GENERALES'!A:B,2,0)</f>
        <v>1</v>
      </c>
      <c r="H455" s="36">
        <f t="shared" si="35"/>
        <v>0.99539999999999995</v>
      </c>
      <c r="I455" s="38">
        <f t="shared" si="36"/>
        <v>41390412.967651203</v>
      </c>
      <c r="J455" s="38">
        <f t="shared" si="37"/>
        <v>-190395.89965119958</v>
      </c>
      <c r="K455" s="38">
        <v>11867508.287426064</v>
      </c>
      <c r="L455" s="38">
        <f t="shared" si="38"/>
        <v>-12057904.187077263</v>
      </c>
      <c r="M455" s="41">
        <f>VLOOKUP(INDICADORES!$B$21,'DATOS GENERALES'!$K:$M,3,0)*F455</f>
        <v>280408.39936390327</v>
      </c>
      <c r="N455" s="38">
        <f t="shared" si="39"/>
        <v>-12338312.586441167</v>
      </c>
      <c r="O455" s="36"/>
      <c r="P455" s="36"/>
      <c r="Q455" s="36"/>
    </row>
    <row r="456" spans="1:17" x14ac:dyDescent="0.25">
      <c r="A456" s="36">
        <v>1900</v>
      </c>
      <c r="B456" s="37">
        <v>43739</v>
      </c>
      <c r="C456" s="37">
        <v>43831.246229509212</v>
      </c>
      <c r="D456" s="36" t="s">
        <v>212</v>
      </c>
      <c r="E456" s="36"/>
      <c r="F456" s="38">
        <v>41200017.068000004</v>
      </c>
      <c r="G456" s="40">
        <f>VLOOKUP(A456,'DATOS GENERALES'!A:B,2,0)</f>
        <v>1</v>
      </c>
      <c r="H456" s="36">
        <f t="shared" si="35"/>
        <v>0.99539999999999995</v>
      </c>
      <c r="I456" s="38">
        <f t="shared" si="36"/>
        <v>41390412.967651203</v>
      </c>
      <c r="J456" s="38">
        <f t="shared" si="37"/>
        <v>-190395.89965119958</v>
      </c>
      <c r="K456" s="38">
        <v>12879133.441395134</v>
      </c>
      <c r="L456" s="38">
        <f t="shared" si="38"/>
        <v>-13069529.341046333</v>
      </c>
      <c r="M456" s="41">
        <f>VLOOKUP(INDICADORES!$B$21,'DATOS GENERALES'!$K:$M,3,0)*F456</f>
        <v>280408.39936390327</v>
      </c>
      <c r="N456" s="38">
        <f t="shared" si="39"/>
        <v>-13349937.740410237</v>
      </c>
      <c r="O456" s="36"/>
      <c r="P456" s="36"/>
      <c r="Q456" s="36"/>
    </row>
    <row r="457" spans="1:17" x14ac:dyDescent="0.25">
      <c r="A457" s="36">
        <v>1900</v>
      </c>
      <c r="B457" s="37">
        <v>43770</v>
      </c>
      <c r="C457" s="37">
        <v>43827.970111070717</v>
      </c>
      <c r="D457" s="36" t="s">
        <v>212</v>
      </c>
      <c r="E457" s="36"/>
      <c r="F457" s="38">
        <v>39238378.568000004</v>
      </c>
      <c r="G457" s="40">
        <f>VLOOKUP(A457,'DATOS GENERALES'!A:B,2,0)</f>
        <v>1</v>
      </c>
      <c r="H457" s="36">
        <f t="shared" si="35"/>
        <v>0.99539999999999995</v>
      </c>
      <c r="I457" s="38">
        <f t="shared" si="36"/>
        <v>39419709.230460122</v>
      </c>
      <c r="J457" s="38">
        <f t="shared" si="37"/>
        <v>-181330.66246011853</v>
      </c>
      <c r="K457" s="38">
        <v>16096530.06200063</v>
      </c>
      <c r="L457" s="38">
        <f t="shared" si="38"/>
        <v>-16277860.724460749</v>
      </c>
      <c r="M457" s="41">
        <f>VLOOKUP(INDICADORES!$B$21,'DATOS GENERALES'!$K:$M,3,0)*F457</f>
        <v>267057.43615901569</v>
      </c>
      <c r="N457" s="38">
        <f t="shared" si="39"/>
        <v>-16544918.160619766</v>
      </c>
      <c r="O457" s="36"/>
      <c r="P457" s="36"/>
      <c r="Q457" s="36"/>
    </row>
    <row r="458" spans="1:17" x14ac:dyDescent="0.25">
      <c r="A458" s="36">
        <v>1900</v>
      </c>
      <c r="B458" s="37">
        <v>43800</v>
      </c>
      <c r="C458" s="37">
        <v>43840.2549003233</v>
      </c>
      <c r="D458" s="36" t="s">
        <v>212</v>
      </c>
      <c r="E458" s="36"/>
      <c r="F458" s="38">
        <v>39238378.568000004</v>
      </c>
      <c r="G458" s="40">
        <f>VLOOKUP(A458,'DATOS GENERALES'!A:B,2,0)</f>
        <v>1</v>
      </c>
      <c r="H458" s="36">
        <f t="shared" si="35"/>
        <v>0.99539999999999995</v>
      </c>
      <c r="I458" s="38">
        <f t="shared" si="36"/>
        <v>39419709.230460122</v>
      </c>
      <c r="J458" s="38">
        <f t="shared" si="37"/>
        <v>-181330.66246011853</v>
      </c>
      <c r="K458" s="38">
        <v>13884054.484133663</v>
      </c>
      <c r="L458" s="38">
        <f t="shared" si="38"/>
        <v>-14065385.146593781</v>
      </c>
      <c r="M458" s="41">
        <f>VLOOKUP(INDICADORES!$B$21,'DATOS GENERALES'!$K:$M,3,0)*F458</f>
        <v>267057.43615901569</v>
      </c>
      <c r="N458" s="38">
        <f t="shared" si="39"/>
        <v>-14332442.582752798</v>
      </c>
      <c r="O458" s="36"/>
      <c r="P458" s="36"/>
      <c r="Q458" s="36"/>
    </row>
    <row r="459" spans="1:17" x14ac:dyDescent="0.25">
      <c r="A459" s="36">
        <v>1900</v>
      </c>
      <c r="B459" s="37">
        <v>43831</v>
      </c>
      <c r="C459" s="37">
        <v>43904.358930201801</v>
      </c>
      <c r="D459" s="36" t="s">
        <v>212</v>
      </c>
      <c r="E459" s="36"/>
      <c r="F459" s="38">
        <v>34612077.68</v>
      </c>
      <c r="G459" s="40">
        <f>VLOOKUP(A459,'DATOS GENERALES'!A:B,2,0)</f>
        <v>1</v>
      </c>
      <c r="H459" s="36">
        <f t="shared" si="35"/>
        <v>0.99539999999999995</v>
      </c>
      <c r="I459" s="38">
        <f t="shared" si="36"/>
        <v>34772029.013461925</v>
      </c>
      <c r="J459" s="38">
        <f t="shared" si="37"/>
        <v>-159951.33346192539</v>
      </c>
      <c r="K459" s="38" t="s">
        <v>213</v>
      </c>
      <c r="L459" s="38" t="str">
        <f t="shared" si="38"/>
        <v/>
      </c>
      <c r="M459" s="41">
        <f>VLOOKUP(INDICADORES!$B$21,'DATOS GENERALES'!$K:$M,3,0)*F459</f>
        <v>235570.71068415025</v>
      </c>
      <c r="N459" s="38" t="str">
        <f t="shared" si="39"/>
        <v/>
      </c>
      <c r="O459" s="36"/>
      <c r="P459" s="36"/>
      <c r="Q459" s="36"/>
    </row>
    <row r="460" spans="1:17" x14ac:dyDescent="0.25">
      <c r="A460" s="36">
        <v>1790</v>
      </c>
      <c r="B460" s="37">
        <v>43556</v>
      </c>
      <c r="C460" s="37">
        <v>43603.62908364772</v>
      </c>
      <c r="D460" s="36" t="s">
        <v>212</v>
      </c>
      <c r="E460" s="36"/>
      <c r="F460" s="38">
        <v>83414508.689999998</v>
      </c>
      <c r="G460" s="40">
        <f>VLOOKUP(A460,'DATOS GENERALES'!A:B,2,0)</f>
        <v>1</v>
      </c>
      <c r="H460" s="36">
        <f t="shared" si="35"/>
        <v>0.99539999999999995</v>
      </c>
      <c r="I460" s="38">
        <f t="shared" si="36"/>
        <v>83799988.637733579</v>
      </c>
      <c r="J460" s="38">
        <f t="shared" si="37"/>
        <v>-385479.94773358107</v>
      </c>
      <c r="K460" s="38">
        <v>13473207.888278918</v>
      </c>
      <c r="L460" s="38">
        <f t="shared" si="38"/>
        <v>-13858687.836012499</v>
      </c>
      <c r="M460" s="41">
        <f>VLOOKUP(INDICADORES!$B$21,'DATOS GENERALES'!$K:$M,3,0)*F460</f>
        <v>567721.33921411354</v>
      </c>
      <c r="N460" s="38">
        <f t="shared" si="39"/>
        <v>-14426409.175226614</v>
      </c>
      <c r="O460" s="36"/>
      <c r="P460" s="36"/>
      <c r="Q460" s="36"/>
    </row>
    <row r="461" spans="1:17" x14ac:dyDescent="0.25">
      <c r="A461" s="36">
        <v>1790</v>
      </c>
      <c r="B461" s="37">
        <v>43586</v>
      </c>
      <c r="C461" s="37">
        <v>43632.225900384605</v>
      </c>
      <c r="D461" s="36" t="s">
        <v>212</v>
      </c>
      <c r="E461" s="36"/>
      <c r="F461" s="38">
        <v>83414508.689999998</v>
      </c>
      <c r="G461" s="40">
        <f>VLOOKUP(A461,'DATOS GENERALES'!A:B,2,0)</f>
        <v>1</v>
      </c>
      <c r="H461" s="36">
        <f t="shared" si="35"/>
        <v>0.99539999999999995</v>
      </c>
      <c r="I461" s="38">
        <f t="shared" si="36"/>
        <v>83799988.637733579</v>
      </c>
      <c r="J461" s="38">
        <f t="shared" si="37"/>
        <v>-385479.94773358107</v>
      </c>
      <c r="K461" s="38">
        <v>11114454.266504621</v>
      </c>
      <c r="L461" s="38">
        <f t="shared" si="38"/>
        <v>-11499934.214238202</v>
      </c>
      <c r="M461" s="41">
        <f>VLOOKUP(INDICADORES!$B$21,'DATOS GENERALES'!$K:$M,3,0)*F461</f>
        <v>567721.33921411354</v>
      </c>
      <c r="N461" s="38">
        <f t="shared" si="39"/>
        <v>-12067655.553452317</v>
      </c>
      <c r="O461" s="36"/>
      <c r="P461" s="36"/>
      <c r="Q461" s="36"/>
    </row>
    <row r="462" spans="1:17" x14ac:dyDescent="0.25">
      <c r="A462" s="36">
        <v>1790</v>
      </c>
      <c r="B462" s="37">
        <v>43617</v>
      </c>
      <c r="C462" s="37">
        <v>43685.980321746531</v>
      </c>
      <c r="D462" s="36" t="s">
        <v>212</v>
      </c>
      <c r="E462" s="36"/>
      <c r="F462" s="38">
        <v>83414508.689999998</v>
      </c>
      <c r="G462" s="40">
        <f>VLOOKUP(A462,'DATOS GENERALES'!A:B,2,0)</f>
        <v>1</v>
      </c>
      <c r="H462" s="36">
        <f t="shared" si="35"/>
        <v>0.99539999999999995</v>
      </c>
      <c r="I462" s="38">
        <f t="shared" si="36"/>
        <v>83799988.637733579</v>
      </c>
      <c r="J462" s="38">
        <f t="shared" si="37"/>
        <v>-385479.94773358107</v>
      </c>
      <c r="K462" s="38">
        <v>12483770.413301431</v>
      </c>
      <c r="L462" s="38">
        <f t="shared" si="38"/>
        <v>-12869250.361035012</v>
      </c>
      <c r="M462" s="41">
        <f>VLOOKUP(INDICADORES!$B$21,'DATOS GENERALES'!$K:$M,3,0)*F462</f>
        <v>567721.33921411354</v>
      </c>
      <c r="N462" s="38">
        <f t="shared" si="39"/>
        <v>-13436971.700249124</v>
      </c>
      <c r="O462" s="36"/>
      <c r="P462" s="36"/>
      <c r="Q462" s="36"/>
    </row>
    <row r="463" spans="1:17" x14ac:dyDescent="0.25">
      <c r="A463" s="36">
        <v>1790</v>
      </c>
      <c r="B463" s="37">
        <v>43647</v>
      </c>
      <c r="C463" s="37">
        <v>43737.907530841549</v>
      </c>
      <c r="D463" s="36" t="s">
        <v>212</v>
      </c>
      <c r="E463" s="36"/>
      <c r="F463" s="38">
        <v>83414508.689999998</v>
      </c>
      <c r="G463" s="40">
        <f>VLOOKUP(A463,'DATOS GENERALES'!A:B,2,0)</f>
        <v>1</v>
      </c>
      <c r="H463" s="36">
        <f t="shared" si="35"/>
        <v>0.99539999999999995</v>
      </c>
      <c r="I463" s="38">
        <f t="shared" si="36"/>
        <v>83799988.637733579</v>
      </c>
      <c r="J463" s="38">
        <f t="shared" si="37"/>
        <v>-385479.94773358107</v>
      </c>
      <c r="K463" s="38">
        <v>21678288.235838152</v>
      </c>
      <c r="L463" s="38">
        <f t="shared" si="38"/>
        <v>-22063768.183571734</v>
      </c>
      <c r="M463" s="41">
        <f>VLOOKUP(INDICADORES!$B$21,'DATOS GENERALES'!$K:$M,3,0)*F463</f>
        <v>567721.33921411354</v>
      </c>
      <c r="N463" s="38">
        <f t="shared" si="39"/>
        <v>-22631489.522785846</v>
      </c>
      <c r="O463" s="36"/>
      <c r="P463" s="36"/>
      <c r="Q463" s="36"/>
    </row>
    <row r="464" spans="1:17" x14ac:dyDescent="0.25">
      <c r="A464" s="36">
        <v>1790</v>
      </c>
      <c r="B464" s="37">
        <v>43678</v>
      </c>
      <c r="C464" s="37">
        <v>43735.002176013622</v>
      </c>
      <c r="D464" s="36" t="s">
        <v>212</v>
      </c>
      <c r="E464" s="36"/>
      <c r="F464" s="38">
        <v>82688276.189999998</v>
      </c>
      <c r="G464" s="40">
        <f>VLOOKUP(A464,'DATOS GENERALES'!A:B,2,0)</f>
        <v>1</v>
      </c>
      <c r="H464" s="36">
        <f t="shared" si="35"/>
        <v>0.99539999999999995</v>
      </c>
      <c r="I464" s="38">
        <f t="shared" si="36"/>
        <v>83070400.030138642</v>
      </c>
      <c r="J464" s="38">
        <f t="shared" si="37"/>
        <v>-382123.84013864398</v>
      </c>
      <c r="K464" s="38">
        <v>21578981.85410862</v>
      </c>
      <c r="L464" s="38">
        <f t="shared" si="38"/>
        <v>-21961105.694247264</v>
      </c>
      <c r="M464" s="41">
        <f>VLOOKUP(INDICADORES!$B$21,'DATOS GENERALES'!$K:$M,3,0)*F464</f>
        <v>562778.58172556839</v>
      </c>
      <c r="N464" s="38">
        <f t="shared" si="39"/>
        <v>-22523884.275972832</v>
      </c>
      <c r="O464" s="36"/>
      <c r="P464" s="36"/>
      <c r="Q464" s="36"/>
    </row>
    <row r="465" spans="1:17" x14ac:dyDescent="0.25">
      <c r="A465" s="36">
        <v>1790</v>
      </c>
      <c r="B465" s="37">
        <v>43709</v>
      </c>
      <c r="C465" s="37">
        <v>43748.094035596609</v>
      </c>
      <c r="D465" s="36" t="s">
        <v>212</v>
      </c>
      <c r="E465" s="36"/>
      <c r="F465" s="38">
        <v>82688276.189999998</v>
      </c>
      <c r="G465" s="40">
        <f>VLOOKUP(A465,'DATOS GENERALES'!A:B,2,0)</f>
        <v>1</v>
      </c>
      <c r="H465" s="36">
        <f t="shared" si="35"/>
        <v>0.99539999999999995</v>
      </c>
      <c r="I465" s="38">
        <f t="shared" si="36"/>
        <v>83070400.030138642</v>
      </c>
      <c r="J465" s="38">
        <f t="shared" si="37"/>
        <v>-382123.84013864398</v>
      </c>
      <c r="K465" s="38">
        <v>23818043.602704655</v>
      </c>
      <c r="L465" s="38">
        <f t="shared" si="38"/>
        <v>-24200167.442843299</v>
      </c>
      <c r="M465" s="41">
        <f>VLOOKUP(INDICADORES!$B$21,'DATOS GENERALES'!$K:$M,3,0)*F465</f>
        <v>562778.58172556839</v>
      </c>
      <c r="N465" s="38">
        <f t="shared" si="39"/>
        <v>-24762946.024568867</v>
      </c>
      <c r="O465" s="36"/>
      <c r="P465" s="36"/>
      <c r="Q465" s="36"/>
    </row>
    <row r="466" spans="1:17" x14ac:dyDescent="0.25">
      <c r="A466" s="36">
        <v>1790</v>
      </c>
      <c r="B466" s="37">
        <v>43739</v>
      </c>
      <c r="C466" s="37">
        <v>43816.749597138514</v>
      </c>
      <c r="D466" s="36" t="s">
        <v>212</v>
      </c>
      <c r="E466" s="36"/>
      <c r="F466" s="38">
        <v>82688276.189999998</v>
      </c>
      <c r="G466" s="40">
        <f>VLOOKUP(A466,'DATOS GENERALES'!A:B,2,0)</f>
        <v>1</v>
      </c>
      <c r="H466" s="36">
        <f t="shared" si="35"/>
        <v>0.99539999999999995</v>
      </c>
      <c r="I466" s="38">
        <f t="shared" si="36"/>
        <v>83070400.030138642</v>
      </c>
      <c r="J466" s="38">
        <f t="shared" si="37"/>
        <v>-382123.84013864398</v>
      </c>
      <c r="K466" s="38">
        <v>25848371.405581135</v>
      </c>
      <c r="L466" s="38">
        <f t="shared" si="38"/>
        <v>-26230495.245719779</v>
      </c>
      <c r="M466" s="41">
        <f>VLOOKUP(INDICADORES!$B$21,'DATOS GENERALES'!$K:$M,3,0)*F466</f>
        <v>562778.58172556839</v>
      </c>
      <c r="N466" s="38">
        <f t="shared" si="39"/>
        <v>-26793273.827445347</v>
      </c>
      <c r="O466" s="36"/>
      <c r="P466" s="36"/>
      <c r="Q466" s="36"/>
    </row>
    <row r="467" spans="1:17" x14ac:dyDescent="0.25">
      <c r="A467" s="36">
        <v>1790</v>
      </c>
      <c r="B467" s="37">
        <v>43770</v>
      </c>
      <c r="C467" s="37">
        <v>43854.539267879045</v>
      </c>
      <c r="D467" s="36" t="s">
        <v>212</v>
      </c>
      <c r="E467" s="36"/>
      <c r="F467" s="38">
        <v>82688276.189999998</v>
      </c>
      <c r="G467" s="40">
        <f>VLOOKUP(A467,'DATOS GENERALES'!A:B,2,0)</f>
        <v>1</v>
      </c>
      <c r="H467" s="36">
        <f t="shared" si="35"/>
        <v>0.99539999999999995</v>
      </c>
      <c r="I467" s="38">
        <f t="shared" si="36"/>
        <v>83070400.030138642</v>
      </c>
      <c r="J467" s="38">
        <f t="shared" si="37"/>
        <v>-382123.84013864398</v>
      </c>
      <c r="K467" s="38">
        <v>33920726.901615888</v>
      </c>
      <c r="L467" s="38">
        <f t="shared" si="38"/>
        <v>-34302850.741754532</v>
      </c>
      <c r="M467" s="41">
        <f>VLOOKUP(INDICADORES!$B$21,'DATOS GENERALES'!$K:$M,3,0)*F467</f>
        <v>562778.58172556839</v>
      </c>
      <c r="N467" s="38">
        <f t="shared" si="39"/>
        <v>-34865629.323480099</v>
      </c>
      <c r="O467" s="36"/>
      <c r="P467" s="36"/>
      <c r="Q467" s="36"/>
    </row>
    <row r="468" spans="1:17" x14ac:dyDescent="0.25">
      <c r="A468" s="36">
        <v>1790</v>
      </c>
      <c r="B468" s="37">
        <v>43800</v>
      </c>
      <c r="C468" s="37">
        <v>43857.717929625389</v>
      </c>
      <c r="D468" s="36" t="s">
        <v>212</v>
      </c>
      <c r="E468" s="36"/>
      <c r="F468" s="38">
        <v>82688276.189999998</v>
      </c>
      <c r="G468" s="40">
        <f>VLOOKUP(A468,'DATOS GENERALES'!A:B,2,0)</f>
        <v>1</v>
      </c>
      <c r="H468" s="36">
        <f t="shared" si="35"/>
        <v>0.99539999999999995</v>
      </c>
      <c r="I468" s="38">
        <f t="shared" si="36"/>
        <v>83070400.030138642</v>
      </c>
      <c r="J468" s="38">
        <f t="shared" si="37"/>
        <v>-382123.84013864398</v>
      </c>
      <c r="K468" s="38">
        <v>29258307.140074283</v>
      </c>
      <c r="L468" s="38">
        <f t="shared" si="38"/>
        <v>-29640430.980212927</v>
      </c>
      <c r="M468" s="41">
        <f>VLOOKUP(INDICADORES!$B$21,'DATOS GENERALES'!$K:$M,3,0)*F468</f>
        <v>562778.58172556839</v>
      </c>
      <c r="N468" s="38">
        <f t="shared" si="39"/>
        <v>-30203209.561938494</v>
      </c>
      <c r="O468" s="36"/>
      <c r="P468" s="36"/>
      <c r="Q468" s="36"/>
    </row>
    <row r="469" spans="1:17" x14ac:dyDescent="0.25">
      <c r="A469" s="36">
        <v>1790</v>
      </c>
      <c r="B469" s="37">
        <v>43831</v>
      </c>
      <c r="C469" s="37">
        <v>43908.226677304359</v>
      </c>
      <c r="D469" s="36" t="s">
        <v>212</v>
      </c>
      <c r="E469" s="36"/>
      <c r="F469" s="38">
        <v>79010033.789999992</v>
      </c>
      <c r="G469" s="40">
        <f>VLOOKUP(A469,'DATOS GENERALES'!A:B,2,0)</f>
        <v>1</v>
      </c>
      <c r="H469" s="36">
        <f t="shared" si="35"/>
        <v>0.99539999999999995</v>
      </c>
      <c r="I469" s="38">
        <f t="shared" si="36"/>
        <v>79375159.523809522</v>
      </c>
      <c r="J469" s="38">
        <f t="shared" si="37"/>
        <v>-365125.73380953074</v>
      </c>
      <c r="K469" s="38" t="s">
        <v>213</v>
      </c>
      <c r="L469" s="38" t="str">
        <f t="shared" si="38"/>
        <v/>
      </c>
      <c r="M469" s="41">
        <f>VLOOKUP(INDICADORES!$B$21,'DATOS GENERALES'!$K:$M,3,0)*F469</f>
        <v>537744.36724565399</v>
      </c>
      <c r="N469" s="38" t="str">
        <f t="shared" si="39"/>
        <v/>
      </c>
      <c r="O469" s="36"/>
      <c r="P469" s="36"/>
      <c r="Q469" s="36"/>
    </row>
    <row r="470" spans="1:17" x14ac:dyDescent="0.25">
      <c r="A470" s="36">
        <v>1790</v>
      </c>
      <c r="B470" s="37">
        <v>43862</v>
      </c>
      <c r="C470" s="37">
        <v>43929.257446844495</v>
      </c>
      <c r="D470" s="36" t="s">
        <v>212</v>
      </c>
      <c r="E470" s="36"/>
      <c r="F470" s="38">
        <v>79010033.789999992</v>
      </c>
      <c r="G470" s="40">
        <f>VLOOKUP(A470,'DATOS GENERALES'!A:B,2,0)</f>
        <v>1</v>
      </c>
      <c r="H470" s="36">
        <f t="shared" si="35"/>
        <v>0.99539999999999995</v>
      </c>
      <c r="I470" s="38">
        <f t="shared" si="36"/>
        <v>79375159.523809522</v>
      </c>
      <c r="J470" s="38">
        <f t="shared" si="37"/>
        <v>-365125.73380953074</v>
      </c>
      <c r="K470" s="38" t="s">
        <v>213</v>
      </c>
      <c r="L470" s="38" t="str">
        <f t="shared" si="38"/>
        <v/>
      </c>
      <c r="M470" s="41">
        <f>VLOOKUP(INDICADORES!$B$21,'DATOS GENERALES'!$K:$M,3,0)*F470</f>
        <v>537744.36724565399</v>
      </c>
      <c r="N470" s="38" t="str">
        <f t="shared" si="39"/>
        <v/>
      </c>
      <c r="O470" s="36"/>
      <c r="P470" s="36"/>
      <c r="Q470" s="36"/>
    </row>
    <row r="471" spans="1:17" x14ac:dyDescent="0.25">
      <c r="A471" s="36">
        <v>1790</v>
      </c>
      <c r="B471" s="37">
        <v>43891</v>
      </c>
      <c r="C471" s="37">
        <v>43944.717922113065</v>
      </c>
      <c r="D471" s="36" t="s">
        <v>212</v>
      </c>
      <c r="E471" s="36"/>
      <c r="F471" s="38">
        <v>79010033.789999992</v>
      </c>
      <c r="G471" s="40">
        <f>VLOOKUP(A471,'DATOS GENERALES'!A:B,2,0)</f>
        <v>1</v>
      </c>
      <c r="H471" s="36">
        <f t="shared" si="35"/>
        <v>0.99539999999999995</v>
      </c>
      <c r="I471" s="38">
        <f t="shared" si="36"/>
        <v>79375159.523809522</v>
      </c>
      <c r="J471" s="38">
        <f t="shared" si="37"/>
        <v>-365125.73380953074</v>
      </c>
      <c r="K471" s="38" t="s">
        <v>213</v>
      </c>
      <c r="L471" s="38" t="str">
        <f t="shared" si="38"/>
        <v/>
      </c>
      <c r="M471" s="41">
        <f>VLOOKUP(INDICADORES!$B$21,'DATOS GENERALES'!$K:$M,3,0)*F471</f>
        <v>537744.36724565399</v>
      </c>
      <c r="N471" s="38" t="str">
        <f t="shared" si="39"/>
        <v/>
      </c>
      <c r="O471" s="36"/>
      <c r="P471" s="36"/>
      <c r="Q471" s="36"/>
    </row>
    <row r="472" spans="1:17" x14ac:dyDescent="0.25">
      <c r="A472" s="36">
        <v>1790</v>
      </c>
      <c r="B472" s="37">
        <v>43922</v>
      </c>
      <c r="C472" s="37">
        <v>43996.348727719327</v>
      </c>
      <c r="D472" s="36" t="s">
        <v>212</v>
      </c>
      <c r="E472" s="36"/>
      <c r="F472" s="38">
        <v>79010033.789999992</v>
      </c>
      <c r="G472" s="40">
        <f>VLOOKUP(A472,'DATOS GENERALES'!A:B,2,0)</f>
        <v>1</v>
      </c>
      <c r="H472" s="36">
        <f t="shared" si="35"/>
        <v>0.99539999999999995</v>
      </c>
      <c r="I472" s="38">
        <f t="shared" si="36"/>
        <v>79375159.523809522</v>
      </c>
      <c r="J472" s="38">
        <f t="shared" si="37"/>
        <v>-365125.73380953074</v>
      </c>
      <c r="K472" s="38" t="s">
        <v>213</v>
      </c>
      <c r="L472" s="38" t="str">
        <f t="shared" si="38"/>
        <v/>
      </c>
      <c r="M472" s="41">
        <f>VLOOKUP(INDICADORES!$B$21,'DATOS GENERALES'!$K:$M,3,0)*F472</f>
        <v>537744.36724565399</v>
      </c>
      <c r="N472" s="38" t="str">
        <f t="shared" si="39"/>
        <v/>
      </c>
      <c r="O472" s="36"/>
      <c r="P472" s="36"/>
      <c r="Q472" s="36"/>
    </row>
    <row r="473" spans="1:17" x14ac:dyDescent="0.25">
      <c r="A473" s="36">
        <v>1507</v>
      </c>
      <c r="B473" s="37">
        <v>43617</v>
      </c>
      <c r="C473" s="37">
        <v>43681.828364693385</v>
      </c>
      <c r="D473" s="36" t="s">
        <v>212</v>
      </c>
      <c r="E473" s="36"/>
      <c r="F473" s="38">
        <v>577000000</v>
      </c>
      <c r="G473" s="40">
        <f>VLOOKUP(A473,'DATOS GENERALES'!A:B,2,0)</f>
        <v>1.87</v>
      </c>
      <c r="H473" s="36">
        <f t="shared" si="35"/>
        <v>1.8613980000000001</v>
      </c>
      <c r="I473" s="38">
        <f t="shared" si="36"/>
        <v>309982067.24193317</v>
      </c>
      <c r="J473" s="38">
        <f t="shared" si="37"/>
        <v>267017932.75806683</v>
      </c>
      <c r="K473" s="38">
        <v>46178347.068968281</v>
      </c>
      <c r="L473" s="38">
        <f t="shared" si="38"/>
        <v>220839585.68909854</v>
      </c>
      <c r="M473" s="41">
        <f>VLOOKUP(INDICADORES!$B$21,'DATOS GENERALES'!$K:$M,3,0)*F473</f>
        <v>3927077.1700392966</v>
      </c>
      <c r="N473" s="38">
        <f t="shared" si="39"/>
        <v>216912508.51905924</v>
      </c>
      <c r="O473" s="36"/>
      <c r="P473" s="36"/>
      <c r="Q473" s="36"/>
    </row>
    <row r="474" spans="1:17" x14ac:dyDescent="0.25">
      <c r="A474" s="36">
        <v>1744</v>
      </c>
      <c r="B474" s="37">
        <v>43466</v>
      </c>
      <c r="C474" s="37">
        <v>43506.449967129854</v>
      </c>
      <c r="D474" s="36" t="s">
        <v>212</v>
      </c>
      <c r="E474" s="36"/>
      <c r="F474" s="38">
        <v>35458635</v>
      </c>
      <c r="G474" s="40">
        <f>VLOOKUP(A474,'DATOS GENERALES'!A:B,2,0)</f>
        <v>2.2200000000000002</v>
      </c>
      <c r="H474" s="36">
        <f t="shared" si="35"/>
        <v>2.2097880000000001</v>
      </c>
      <c r="I474" s="38">
        <f t="shared" si="36"/>
        <v>16046170.492373023</v>
      </c>
      <c r="J474" s="38">
        <f t="shared" si="37"/>
        <v>19412464.507626977</v>
      </c>
      <c r="K474" s="38">
        <v>3520824.1693170522</v>
      </c>
      <c r="L474" s="38">
        <f t="shared" si="38"/>
        <v>15891640.338309925</v>
      </c>
      <c r="M474" s="41">
        <f>VLOOKUP(INDICADORES!$B$21,'DATOS GENERALES'!$K:$M,3,0)*F474</f>
        <v>241332.40206110285</v>
      </c>
      <c r="N474" s="38">
        <f t="shared" si="39"/>
        <v>15650307.936248822</v>
      </c>
      <c r="O474" s="36"/>
      <c r="P474" s="36"/>
      <c r="Q474" s="36"/>
    </row>
    <row r="475" spans="1:17" x14ac:dyDescent="0.25">
      <c r="A475" s="36">
        <v>1744</v>
      </c>
      <c r="B475" s="37">
        <v>43497</v>
      </c>
      <c r="C475" s="37">
        <v>43576.985918924664</v>
      </c>
      <c r="D475" s="36" t="s">
        <v>212</v>
      </c>
      <c r="E475" s="36"/>
      <c r="F475" s="38">
        <v>35458635</v>
      </c>
      <c r="G475" s="40">
        <f>VLOOKUP(A475,'DATOS GENERALES'!A:B,2,0)</f>
        <v>2.2200000000000002</v>
      </c>
      <c r="H475" s="36">
        <f t="shared" si="35"/>
        <v>2.2097880000000001</v>
      </c>
      <c r="I475" s="38">
        <f t="shared" si="36"/>
        <v>16046170.492373023</v>
      </c>
      <c r="J475" s="38">
        <f t="shared" si="37"/>
        <v>19412464.507626977</v>
      </c>
      <c r="K475" s="38">
        <v>3468505.6732319426</v>
      </c>
      <c r="L475" s="38">
        <f t="shared" si="38"/>
        <v>15943958.834395034</v>
      </c>
      <c r="M475" s="41">
        <f>VLOOKUP(INDICADORES!$B$21,'DATOS GENERALES'!$K:$M,3,0)*F475</f>
        <v>241332.40206110285</v>
      </c>
      <c r="N475" s="38">
        <f t="shared" si="39"/>
        <v>15702626.432333931</v>
      </c>
      <c r="O475" s="36"/>
      <c r="P475" s="36"/>
      <c r="Q475" s="36"/>
    </row>
    <row r="476" spans="1:17" x14ac:dyDescent="0.25">
      <c r="A476" s="36">
        <v>1744</v>
      </c>
      <c r="B476" s="37">
        <v>43525</v>
      </c>
      <c r="C476" s="37">
        <v>43607.180354686541</v>
      </c>
      <c r="D476" s="36" t="s">
        <v>212</v>
      </c>
      <c r="E476" s="36"/>
      <c r="F476" s="38">
        <v>35458635</v>
      </c>
      <c r="G476" s="40">
        <f>VLOOKUP(A476,'DATOS GENERALES'!A:B,2,0)</f>
        <v>2.2200000000000002</v>
      </c>
      <c r="H476" s="36">
        <f t="shared" si="35"/>
        <v>2.2097880000000001</v>
      </c>
      <c r="I476" s="38">
        <f t="shared" si="36"/>
        <v>16046170.492373023</v>
      </c>
      <c r="J476" s="38">
        <f t="shared" si="37"/>
        <v>19412464.507626977</v>
      </c>
      <c r="K476" s="38">
        <v>2509420.8351658201</v>
      </c>
      <c r="L476" s="38">
        <f t="shared" si="38"/>
        <v>16903043.672461156</v>
      </c>
      <c r="M476" s="41">
        <f>VLOOKUP(INDICADORES!$B$21,'DATOS GENERALES'!$K:$M,3,0)*F476</f>
        <v>241332.40206110285</v>
      </c>
      <c r="N476" s="38">
        <f t="shared" si="39"/>
        <v>16661711.270400053</v>
      </c>
      <c r="O476" s="36"/>
      <c r="P476" s="36"/>
      <c r="Q476" s="36"/>
    </row>
    <row r="477" spans="1:17" x14ac:dyDescent="0.25">
      <c r="A477" s="36">
        <v>1744</v>
      </c>
      <c r="B477" s="37">
        <v>43556</v>
      </c>
      <c r="C477" s="37">
        <v>43608.037597294249</v>
      </c>
      <c r="D477" s="36" t="s">
        <v>212</v>
      </c>
      <c r="E477" s="36"/>
      <c r="F477" s="38">
        <v>35458635</v>
      </c>
      <c r="G477" s="40">
        <f>VLOOKUP(A477,'DATOS GENERALES'!A:B,2,0)</f>
        <v>2.2200000000000002</v>
      </c>
      <c r="H477" s="36">
        <f t="shared" si="35"/>
        <v>2.2097880000000001</v>
      </c>
      <c r="I477" s="38">
        <f t="shared" si="36"/>
        <v>16046170.492373023</v>
      </c>
      <c r="J477" s="38">
        <f t="shared" si="37"/>
        <v>19412464.507626977</v>
      </c>
      <c r="K477" s="38">
        <v>2579873.7490181564</v>
      </c>
      <c r="L477" s="38">
        <f t="shared" si="38"/>
        <v>16832590.758608822</v>
      </c>
      <c r="M477" s="41">
        <f>VLOOKUP(INDICADORES!$B$21,'DATOS GENERALES'!$K:$M,3,0)*F477</f>
        <v>241332.40206110285</v>
      </c>
      <c r="N477" s="38">
        <f t="shared" si="39"/>
        <v>16591258.356547719</v>
      </c>
      <c r="O477" s="36"/>
      <c r="P477" s="36"/>
      <c r="Q477" s="36"/>
    </row>
    <row r="478" spans="1:17" x14ac:dyDescent="0.25">
      <c r="A478" s="36">
        <v>1744</v>
      </c>
      <c r="B478" s="37">
        <v>43586</v>
      </c>
      <c r="C478" s="37">
        <v>43638.014943527378</v>
      </c>
      <c r="D478" s="36" t="s">
        <v>212</v>
      </c>
      <c r="E478" s="36"/>
      <c r="F478" s="38">
        <v>35458635</v>
      </c>
      <c r="G478" s="40">
        <f>VLOOKUP(A478,'DATOS GENERALES'!A:B,2,0)</f>
        <v>2.2200000000000002</v>
      </c>
      <c r="H478" s="36">
        <f t="shared" si="35"/>
        <v>2.2097880000000001</v>
      </c>
      <c r="I478" s="38">
        <f t="shared" si="36"/>
        <v>16046170.492373023</v>
      </c>
      <c r="J478" s="38">
        <f t="shared" si="37"/>
        <v>19412464.507626977</v>
      </c>
      <c r="K478" s="38">
        <v>2128215.4208993614</v>
      </c>
      <c r="L478" s="38">
        <f t="shared" si="38"/>
        <v>17284249.086727615</v>
      </c>
      <c r="M478" s="41">
        <f>VLOOKUP(INDICADORES!$B$21,'DATOS GENERALES'!$K:$M,3,0)*F478</f>
        <v>241332.40206110285</v>
      </c>
      <c r="N478" s="38">
        <f t="shared" si="39"/>
        <v>17042916.684666514</v>
      </c>
      <c r="O478" s="36"/>
      <c r="P478" s="36"/>
      <c r="Q478" s="36"/>
    </row>
    <row r="479" spans="1:17" x14ac:dyDescent="0.25">
      <c r="A479" s="36">
        <v>1744</v>
      </c>
      <c r="B479" s="37">
        <v>43617</v>
      </c>
      <c r="C479" s="37">
        <v>43702.11124243246</v>
      </c>
      <c r="D479" s="36" t="s">
        <v>212</v>
      </c>
      <c r="E479" s="36"/>
      <c r="F479" s="38">
        <v>35458635</v>
      </c>
      <c r="G479" s="40">
        <f>VLOOKUP(A479,'DATOS GENERALES'!A:B,2,0)</f>
        <v>2.2200000000000002</v>
      </c>
      <c r="H479" s="36">
        <f t="shared" si="35"/>
        <v>2.2097880000000001</v>
      </c>
      <c r="I479" s="38">
        <f t="shared" si="36"/>
        <v>16046170.492373023</v>
      </c>
      <c r="J479" s="38">
        <f t="shared" si="37"/>
        <v>19412464.507626977</v>
      </c>
      <c r="K479" s="38">
        <v>2390414.5059666261</v>
      </c>
      <c r="L479" s="38">
        <f t="shared" si="38"/>
        <v>17022050.001660351</v>
      </c>
      <c r="M479" s="41">
        <f>VLOOKUP(INDICADORES!$B$21,'DATOS GENERALES'!$K:$M,3,0)*F479</f>
        <v>241332.40206110285</v>
      </c>
      <c r="N479" s="38">
        <f t="shared" si="39"/>
        <v>16780717.59959925</v>
      </c>
      <c r="O479" s="36"/>
      <c r="P479" s="36"/>
      <c r="Q479" s="36"/>
    </row>
    <row r="480" spans="1:17" x14ac:dyDescent="0.25">
      <c r="A480" s="36">
        <v>1744</v>
      </c>
      <c r="B480" s="37">
        <v>43647</v>
      </c>
      <c r="C480" s="37">
        <v>43726.277830640145</v>
      </c>
      <c r="D480" s="36" t="s">
        <v>212</v>
      </c>
      <c r="E480" s="36"/>
      <c r="F480" s="38">
        <v>35458635</v>
      </c>
      <c r="G480" s="40">
        <f>VLOOKUP(A480,'DATOS GENERALES'!A:B,2,0)</f>
        <v>2.2200000000000002</v>
      </c>
      <c r="H480" s="36">
        <f t="shared" si="35"/>
        <v>2.2097880000000001</v>
      </c>
      <c r="I480" s="38">
        <f t="shared" si="36"/>
        <v>16046170.492373023</v>
      </c>
      <c r="J480" s="38">
        <f t="shared" si="37"/>
        <v>19412464.507626977</v>
      </c>
      <c r="K480" s="38">
        <v>4150997.0904510529</v>
      </c>
      <c r="L480" s="38">
        <f t="shared" si="38"/>
        <v>15261467.417175924</v>
      </c>
      <c r="M480" s="41">
        <f>VLOOKUP(INDICADORES!$B$21,'DATOS GENERALES'!$K:$M,3,0)*F480</f>
        <v>241332.40206110285</v>
      </c>
      <c r="N480" s="38">
        <f t="shared" si="39"/>
        <v>15020135.015114821</v>
      </c>
      <c r="O480" s="36"/>
      <c r="P480" s="36"/>
      <c r="Q480" s="36"/>
    </row>
    <row r="481" spans="1:17" x14ac:dyDescent="0.25">
      <c r="A481" s="36">
        <v>1744</v>
      </c>
      <c r="B481" s="37">
        <v>43678</v>
      </c>
      <c r="C481" s="37">
        <v>43725.918843044426</v>
      </c>
      <c r="D481" s="36" t="s">
        <v>212</v>
      </c>
      <c r="E481" s="36"/>
      <c r="F481" s="38">
        <v>35458635</v>
      </c>
      <c r="G481" s="40">
        <f>VLOOKUP(A481,'DATOS GENERALES'!A:B,2,0)</f>
        <v>2.2200000000000002</v>
      </c>
      <c r="H481" s="36">
        <f t="shared" si="35"/>
        <v>2.2097880000000001</v>
      </c>
      <c r="I481" s="38">
        <f t="shared" si="36"/>
        <v>16046170.492373023</v>
      </c>
      <c r="J481" s="38">
        <f t="shared" si="37"/>
        <v>19412464.507626977</v>
      </c>
      <c r="K481" s="38">
        <v>4168271.9928786261</v>
      </c>
      <c r="L481" s="38">
        <f t="shared" si="38"/>
        <v>15244192.51474835</v>
      </c>
      <c r="M481" s="41">
        <f>VLOOKUP(INDICADORES!$B$21,'DATOS GENERALES'!$K:$M,3,0)*F481</f>
        <v>241332.40206110285</v>
      </c>
      <c r="N481" s="38">
        <f t="shared" si="39"/>
        <v>15002860.112687247</v>
      </c>
      <c r="O481" s="36"/>
      <c r="P481" s="36"/>
      <c r="Q481" s="36"/>
    </row>
    <row r="482" spans="1:17" x14ac:dyDescent="0.25">
      <c r="A482" s="36">
        <v>1756</v>
      </c>
      <c r="B482" s="37">
        <v>43466</v>
      </c>
      <c r="C482" s="37">
        <v>43546.594506791655</v>
      </c>
      <c r="D482" s="36" t="s">
        <v>212</v>
      </c>
      <c r="E482" s="36"/>
      <c r="F482" s="38">
        <v>62778573</v>
      </c>
      <c r="G482" s="40">
        <f>VLOOKUP(A482,'DATOS GENERALES'!A:B,2,0)</f>
        <v>1.72</v>
      </c>
      <c r="H482" s="36">
        <f t="shared" si="35"/>
        <v>1.7120879999999998</v>
      </c>
      <c r="I482" s="38">
        <f t="shared" si="36"/>
        <v>36667842.423987553</v>
      </c>
      <c r="J482" s="38">
        <f t="shared" si="37"/>
        <v>26110730.576012447</v>
      </c>
      <c r="K482" s="38">
        <v>8045597.2909204792</v>
      </c>
      <c r="L482" s="38">
        <f t="shared" si="38"/>
        <v>18065133.285091966</v>
      </c>
      <c r="M482" s="41">
        <f>VLOOKUP(INDICADORES!$B$21,'DATOS GENERALES'!$K:$M,3,0)*F482</f>
        <v>427272.61836385686</v>
      </c>
      <c r="N482" s="38">
        <f t="shared" si="39"/>
        <v>17637860.666728109</v>
      </c>
      <c r="O482" s="36"/>
      <c r="P482" s="36"/>
      <c r="Q482" s="36"/>
    </row>
    <row r="483" spans="1:17" x14ac:dyDescent="0.25">
      <c r="A483" s="36">
        <v>1756</v>
      </c>
      <c r="B483" s="37">
        <v>43497</v>
      </c>
      <c r="C483" s="37">
        <v>43552.07457964636</v>
      </c>
      <c r="D483" s="36" t="s">
        <v>212</v>
      </c>
      <c r="E483" s="36"/>
      <c r="F483" s="38">
        <v>62778573</v>
      </c>
      <c r="G483" s="40">
        <f>VLOOKUP(A483,'DATOS GENERALES'!A:B,2,0)</f>
        <v>1.72</v>
      </c>
      <c r="H483" s="36">
        <f t="shared" si="35"/>
        <v>1.7120879999999998</v>
      </c>
      <c r="I483" s="38">
        <f t="shared" si="36"/>
        <v>36667842.423987553</v>
      </c>
      <c r="J483" s="38">
        <f t="shared" si="37"/>
        <v>26110730.576012447</v>
      </c>
      <c r="K483" s="38">
        <v>7926041.8885133658</v>
      </c>
      <c r="L483" s="38">
        <f t="shared" si="38"/>
        <v>18184688.687499084</v>
      </c>
      <c r="M483" s="41">
        <f>VLOOKUP(INDICADORES!$B$21,'DATOS GENERALES'!$K:$M,3,0)*F483</f>
        <v>427272.61836385686</v>
      </c>
      <c r="N483" s="38">
        <f t="shared" si="39"/>
        <v>17757416.069135226</v>
      </c>
      <c r="O483" s="36"/>
      <c r="P483" s="36"/>
      <c r="Q483" s="36"/>
    </row>
    <row r="484" spans="1:17" x14ac:dyDescent="0.25">
      <c r="A484" s="36">
        <v>1756</v>
      </c>
      <c r="B484" s="37">
        <v>43525</v>
      </c>
      <c r="C484" s="37">
        <v>43604.065547044891</v>
      </c>
      <c r="D484" s="36" t="s">
        <v>212</v>
      </c>
      <c r="E484" s="36"/>
      <c r="F484" s="38">
        <v>62778573</v>
      </c>
      <c r="G484" s="40">
        <f>VLOOKUP(A484,'DATOS GENERALES'!A:B,2,0)</f>
        <v>1.72</v>
      </c>
      <c r="H484" s="36">
        <f t="shared" si="35"/>
        <v>1.7120879999999998</v>
      </c>
      <c r="I484" s="38">
        <f t="shared" si="36"/>
        <v>36667842.423987553</v>
      </c>
      <c r="J484" s="38">
        <f t="shared" si="37"/>
        <v>26110730.576012447</v>
      </c>
      <c r="K484" s="38">
        <v>5734393.0006893296</v>
      </c>
      <c r="L484" s="38">
        <f t="shared" si="38"/>
        <v>20376337.57532312</v>
      </c>
      <c r="M484" s="41">
        <f>VLOOKUP(INDICADORES!$B$21,'DATOS GENERALES'!$K:$M,3,0)*F484</f>
        <v>427272.61836385686</v>
      </c>
      <c r="N484" s="38">
        <f t="shared" si="39"/>
        <v>19949064.956959262</v>
      </c>
      <c r="O484" s="36"/>
      <c r="P484" s="36"/>
      <c r="Q484" s="36"/>
    </row>
    <row r="485" spans="1:17" x14ac:dyDescent="0.25">
      <c r="A485" s="36">
        <v>1756</v>
      </c>
      <c r="B485" s="37">
        <v>43556</v>
      </c>
      <c r="C485" s="37">
        <v>43619.342236685872</v>
      </c>
      <c r="D485" s="36" t="s">
        <v>212</v>
      </c>
      <c r="E485" s="36"/>
      <c r="F485" s="38">
        <v>62778573</v>
      </c>
      <c r="G485" s="40">
        <f>VLOOKUP(A485,'DATOS GENERALES'!A:B,2,0)</f>
        <v>1.72</v>
      </c>
      <c r="H485" s="36">
        <f t="shared" si="35"/>
        <v>1.7120879999999998</v>
      </c>
      <c r="I485" s="38">
        <f t="shared" si="36"/>
        <v>36667842.423987553</v>
      </c>
      <c r="J485" s="38">
        <f t="shared" si="37"/>
        <v>26110730.576012447</v>
      </c>
      <c r="K485" s="38">
        <v>5895388.1954416325</v>
      </c>
      <c r="L485" s="38">
        <f t="shared" si="38"/>
        <v>20215342.380570814</v>
      </c>
      <c r="M485" s="41">
        <f>VLOOKUP(INDICADORES!$B$21,'DATOS GENERALES'!$K:$M,3,0)*F485</f>
        <v>427272.61836385686</v>
      </c>
      <c r="N485" s="38">
        <f t="shared" si="39"/>
        <v>19788069.762206957</v>
      </c>
      <c r="O485" s="36"/>
      <c r="P485" s="36"/>
      <c r="Q485" s="36"/>
    </row>
    <row r="486" spans="1:17" x14ac:dyDescent="0.25">
      <c r="A486" s="36">
        <v>1756</v>
      </c>
      <c r="B486" s="37">
        <v>43586</v>
      </c>
      <c r="C486" s="37">
        <v>43615.876349281512</v>
      </c>
      <c r="D486" s="36" t="s">
        <v>212</v>
      </c>
      <c r="E486" s="36"/>
      <c r="F486" s="38">
        <v>62778573</v>
      </c>
      <c r="G486" s="40">
        <f>VLOOKUP(A486,'DATOS GENERALES'!A:B,2,0)</f>
        <v>1.72</v>
      </c>
      <c r="H486" s="36">
        <f t="shared" si="35"/>
        <v>1.7120879999999998</v>
      </c>
      <c r="I486" s="38">
        <f t="shared" si="36"/>
        <v>36667842.423987553</v>
      </c>
      <c r="J486" s="38">
        <f t="shared" si="37"/>
        <v>26110730.576012447</v>
      </c>
      <c r="K486" s="38">
        <v>4863282.9705337035</v>
      </c>
      <c r="L486" s="38">
        <f t="shared" si="38"/>
        <v>21247447.605478745</v>
      </c>
      <c r="M486" s="41">
        <f>VLOOKUP(INDICADORES!$B$21,'DATOS GENERALES'!$K:$M,3,0)*F486</f>
        <v>427272.61836385686</v>
      </c>
      <c r="N486" s="38">
        <f t="shared" si="39"/>
        <v>20820174.987114888</v>
      </c>
      <c r="O486" s="36"/>
      <c r="P486" s="36"/>
      <c r="Q486" s="36"/>
    </row>
    <row r="487" spans="1:17" x14ac:dyDescent="0.25">
      <c r="A487" s="36">
        <v>1802</v>
      </c>
      <c r="B487" s="37">
        <v>43831</v>
      </c>
      <c r="C487" s="37">
        <v>43898.586871545987</v>
      </c>
      <c r="D487" s="36" t="s">
        <v>212</v>
      </c>
      <c r="E487" s="36"/>
      <c r="F487" s="38">
        <v>21063300</v>
      </c>
      <c r="G487" s="40">
        <f>VLOOKUP(A487,'DATOS GENERALES'!A:B,2,0)</f>
        <v>1.95</v>
      </c>
      <c r="H487" s="36">
        <f t="shared" si="35"/>
        <v>1.9410299999999998</v>
      </c>
      <c r="I487" s="38">
        <f t="shared" si="36"/>
        <v>10851609.712369207</v>
      </c>
      <c r="J487" s="38">
        <f t="shared" si="37"/>
        <v>10211690.287630793</v>
      </c>
      <c r="K487" s="38" t="s">
        <v>213</v>
      </c>
      <c r="L487" s="38" t="str">
        <f t="shared" si="38"/>
        <v/>
      </c>
      <c r="M487" s="41">
        <f>VLOOKUP(INDICADORES!$B$21,'DATOS GENERALES'!$K:$M,3,0)*F487</f>
        <v>143357.37358004975</v>
      </c>
      <c r="N487" s="38" t="str">
        <f t="shared" si="39"/>
        <v/>
      </c>
      <c r="O487" s="36"/>
      <c r="P487" s="36"/>
      <c r="Q487" s="36"/>
    </row>
    <row r="488" spans="1:17" x14ac:dyDescent="0.25">
      <c r="A488" s="36">
        <v>1802</v>
      </c>
      <c r="B488" s="37">
        <v>43862</v>
      </c>
      <c r="C488" s="37">
        <v>43949.102086485495</v>
      </c>
      <c r="D488" s="36" t="s">
        <v>212</v>
      </c>
      <c r="E488" s="36"/>
      <c r="F488" s="38">
        <v>21063300</v>
      </c>
      <c r="G488" s="40">
        <f>VLOOKUP(A488,'DATOS GENERALES'!A:B,2,0)</f>
        <v>1.95</v>
      </c>
      <c r="H488" s="36">
        <f t="shared" si="35"/>
        <v>1.9410299999999998</v>
      </c>
      <c r="I488" s="38">
        <f t="shared" si="36"/>
        <v>10851609.712369207</v>
      </c>
      <c r="J488" s="38">
        <f t="shared" si="37"/>
        <v>10211690.287630793</v>
      </c>
      <c r="K488" s="38" t="s">
        <v>213</v>
      </c>
      <c r="L488" s="38" t="str">
        <f t="shared" si="38"/>
        <v/>
      </c>
      <c r="M488" s="41">
        <f>VLOOKUP(INDICADORES!$B$21,'DATOS GENERALES'!$K:$M,3,0)*F488</f>
        <v>143357.37358004975</v>
      </c>
      <c r="N488" s="38" t="str">
        <f t="shared" si="39"/>
        <v/>
      </c>
      <c r="O488" s="36"/>
      <c r="P488" s="36"/>
      <c r="Q488" s="36"/>
    </row>
    <row r="489" spans="1:17" x14ac:dyDescent="0.25">
      <c r="A489" s="36">
        <v>1804</v>
      </c>
      <c r="B489" s="37">
        <v>43466</v>
      </c>
      <c r="C489" s="37">
        <v>43531.973931482731</v>
      </c>
      <c r="D489" s="36" t="s">
        <v>212</v>
      </c>
      <c r="E489" s="36"/>
      <c r="F489" s="38">
        <v>29813870</v>
      </c>
      <c r="G489" s="40">
        <f>VLOOKUP(A489,'DATOS GENERALES'!A:B,2,0)</f>
        <v>2.27</v>
      </c>
      <c r="H489" s="36">
        <f t="shared" si="35"/>
        <v>2.2595579999999997</v>
      </c>
      <c r="I489" s="38">
        <f t="shared" si="36"/>
        <v>13194558.404785363</v>
      </c>
      <c r="J489" s="38">
        <f t="shared" si="37"/>
        <v>16619311.595214637</v>
      </c>
      <c r="K489" s="38">
        <v>2895128.1651354027</v>
      </c>
      <c r="L489" s="38">
        <f t="shared" si="38"/>
        <v>13724183.430079235</v>
      </c>
      <c r="M489" s="41">
        <f>VLOOKUP(INDICADORES!$B$21,'DATOS GENERALES'!$K:$M,3,0)*F489</f>
        <v>202913.98306329199</v>
      </c>
      <c r="N489" s="38">
        <f t="shared" si="39"/>
        <v>13521269.447015943</v>
      </c>
      <c r="O489" s="36"/>
      <c r="P489" s="36"/>
      <c r="Q489" s="36"/>
    </row>
    <row r="490" spans="1:17" x14ac:dyDescent="0.25">
      <c r="A490" s="36">
        <v>1813</v>
      </c>
      <c r="B490" s="37">
        <v>43466</v>
      </c>
      <c r="C490" s="37">
        <v>43545.877659619568</v>
      </c>
      <c r="D490" s="36" t="s">
        <v>212</v>
      </c>
      <c r="E490" s="36"/>
      <c r="F490" s="38">
        <v>126579869.80723679</v>
      </c>
      <c r="G490" s="40">
        <f>VLOOKUP(A490,'DATOS GENERALES'!A:B,2,0)</f>
        <v>2.5499999999999998</v>
      </c>
      <c r="H490" s="36">
        <f t="shared" si="35"/>
        <v>2.5382699999999998</v>
      </c>
      <c r="I490" s="38">
        <f t="shared" si="36"/>
        <v>49868560.006318003</v>
      </c>
      <c r="J490" s="38">
        <f t="shared" si="37"/>
        <v>76711309.800918788</v>
      </c>
      <c r="K490" s="38">
        <v>10942076.892597962</v>
      </c>
      <c r="L490" s="38">
        <f t="shared" si="38"/>
        <v>65769232.908320829</v>
      </c>
      <c r="M490" s="41">
        <f>VLOOKUP(INDICADORES!$B$21,'DATOS GENERALES'!$K:$M,3,0)*F490</f>
        <v>861505.92184843333</v>
      </c>
      <c r="N490" s="38">
        <f t="shared" si="39"/>
        <v>64907726.986472398</v>
      </c>
      <c r="O490" s="36"/>
      <c r="P490" s="36"/>
      <c r="Q490" s="36"/>
    </row>
    <row r="491" spans="1:17" x14ac:dyDescent="0.25">
      <c r="A491" s="36">
        <v>1813</v>
      </c>
      <c r="B491" s="37">
        <v>43497</v>
      </c>
      <c r="C491" s="37">
        <v>43555.871532998295</v>
      </c>
      <c r="D491" s="36" t="s">
        <v>212</v>
      </c>
      <c r="E491" s="36"/>
      <c r="F491" s="38">
        <v>253159739.61447358</v>
      </c>
      <c r="G491" s="40">
        <f>VLOOKUP(A491,'DATOS GENERALES'!A:B,2,0)</f>
        <v>2.5499999999999998</v>
      </c>
      <c r="H491" s="36">
        <f t="shared" si="35"/>
        <v>2.5382699999999998</v>
      </c>
      <c r="I491" s="38">
        <f t="shared" si="36"/>
        <v>99737120.012636006</v>
      </c>
      <c r="J491" s="38">
        <f t="shared" si="37"/>
        <v>153422619.60183758</v>
      </c>
      <c r="K491" s="38">
        <v>21558961.171456628</v>
      </c>
      <c r="L491" s="38">
        <f t="shared" si="38"/>
        <v>131863658.43038094</v>
      </c>
      <c r="M491" s="41">
        <f>VLOOKUP(INDICADORES!$B$21,'DATOS GENERALES'!$K:$M,3,0)*F491</f>
        <v>1723011.8436968667</v>
      </c>
      <c r="N491" s="38">
        <f t="shared" si="39"/>
        <v>130140646.58668408</v>
      </c>
      <c r="O491" s="36"/>
      <c r="P491" s="36"/>
      <c r="Q491" s="36"/>
    </row>
    <row r="492" spans="1:17" x14ac:dyDescent="0.25">
      <c r="A492" s="36">
        <v>1813</v>
      </c>
      <c r="B492" s="37">
        <v>43525</v>
      </c>
      <c r="C492" s="37">
        <v>43605.840306095095</v>
      </c>
      <c r="D492" s="36" t="s">
        <v>212</v>
      </c>
      <c r="E492" s="36"/>
      <c r="F492" s="38">
        <v>253159739.61447358</v>
      </c>
      <c r="G492" s="40">
        <f>VLOOKUP(A492,'DATOS GENERALES'!A:B,2,0)</f>
        <v>2.5499999999999998</v>
      </c>
      <c r="H492" s="36">
        <f t="shared" si="35"/>
        <v>2.5382699999999998</v>
      </c>
      <c r="I492" s="38">
        <f t="shared" si="36"/>
        <v>99737120.012636006</v>
      </c>
      <c r="J492" s="38">
        <f t="shared" si="37"/>
        <v>153422619.60183758</v>
      </c>
      <c r="K492" s="38">
        <v>15597641.014602548</v>
      </c>
      <c r="L492" s="38">
        <f t="shared" si="38"/>
        <v>137824978.58723503</v>
      </c>
      <c r="M492" s="41">
        <f>VLOOKUP(INDICADORES!$B$21,'DATOS GENERALES'!$K:$M,3,0)*F492</f>
        <v>1723011.8436968667</v>
      </c>
      <c r="N492" s="38">
        <f t="shared" si="39"/>
        <v>136101966.74353817</v>
      </c>
      <c r="O492" s="36"/>
      <c r="P492" s="36"/>
      <c r="Q492" s="36"/>
    </row>
    <row r="493" spans="1:17" x14ac:dyDescent="0.25">
      <c r="A493" s="36">
        <v>1813</v>
      </c>
      <c r="B493" s="37">
        <v>43556</v>
      </c>
      <c r="C493" s="37">
        <v>43620.913301264285</v>
      </c>
      <c r="D493" s="36" t="s">
        <v>212</v>
      </c>
      <c r="E493" s="36"/>
      <c r="F493" s="38">
        <v>126579869.80723679</v>
      </c>
      <c r="G493" s="40">
        <f>VLOOKUP(A493,'DATOS GENERALES'!A:B,2,0)</f>
        <v>2.5499999999999998</v>
      </c>
      <c r="H493" s="36">
        <f t="shared" si="35"/>
        <v>2.5382699999999998</v>
      </c>
      <c r="I493" s="38">
        <f t="shared" si="36"/>
        <v>49868560.006318003</v>
      </c>
      <c r="J493" s="38">
        <f t="shared" si="37"/>
        <v>76711309.800918788</v>
      </c>
      <c r="K493" s="38">
        <v>8017775.2643715153</v>
      </c>
      <c r="L493" s="38">
        <f t="shared" si="38"/>
        <v>68693534.536547273</v>
      </c>
      <c r="M493" s="41">
        <f>VLOOKUP(INDICADORES!$B$21,'DATOS GENERALES'!$K:$M,3,0)*F493</f>
        <v>861505.92184843333</v>
      </c>
      <c r="N493" s="38">
        <f t="shared" si="39"/>
        <v>67832028.614698842</v>
      </c>
      <c r="O493" s="36"/>
      <c r="P493" s="36"/>
      <c r="Q493" s="36"/>
    </row>
    <row r="494" spans="1:17" x14ac:dyDescent="0.25">
      <c r="A494" s="36">
        <v>1857</v>
      </c>
      <c r="B494" s="37">
        <v>43466</v>
      </c>
      <c r="C494" s="37">
        <v>43526.614759041324</v>
      </c>
      <c r="D494" s="36" t="s">
        <v>212</v>
      </c>
      <c r="E494" s="36"/>
      <c r="F494" s="38">
        <v>9800000</v>
      </c>
      <c r="G494" s="40">
        <f>VLOOKUP(A494,'DATOS GENERALES'!A:B,2,0)</f>
        <v>1.85</v>
      </c>
      <c r="H494" s="36">
        <f t="shared" si="35"/>
        <v>1.8414900000000001</v>
      </c>
      <c r="I494" s="38">
        <f t="shared" si="36"/>
        <v>5321777.4736762075</v>
      </c>
      <c r="J494" s="38">
        <f t="shared" si="37"/>
        <v>4478222.5263237925</v>
      </c>
      <c r="K494" s="38">
        <v>1167695.6045027827</v>
      </c>
      <c r="L494" s="38">
        <f t="shared" si="38"/>
        <v>3310526.9218210098</v>
      </c>
      <c r="M494" s="41">
        <f>VLOOKUP(INDICADORES!$B$21,'DATOS GENERALES'!$K:$M,3,0)*F494</f>
        <v>66699.057654046977</v>
      </c>
      <c r="N494" s="38">
        <f t="shared" si="39"/>
        <v>3243827.8641669629</v>
      </c>
      <c r="O494" s="36"/>
      <c r="P494" s="36"/>
      <c r="Q494" s="36"/>
    </row>
    <row r="495" spans="1:17" x14ac:dyDescent="0.25">
      <c r="A495" s="36">
        <v>1857</v>
      </c>
      <c r="B495" s="37">
        <v>43497</v>
      </c>
      <c r="C495" s="37">
        <v>43554.62942610326</v>
      </c>
      <c r="D495" s="36" t="s">
        <v>212</v>
      </c>
      <c r="E495" s="36"/>
      <c r="F495" s="38">
        <v>9800000</v>
      </c>
      <c r="G495" s="40">
        <f>VLOOKUP(A495,'DATOS GENERALES'!A:B,2,0)</f>
        <v>1.85</v>
      </c>
      <c r="H495" s="36">
        <f t="shared" si="35"/>
        <v>1.8414900000000001</v>
      </c>
      <c r="I495" s="38">
        <f t="shared" si="36"/>
        <v>5321777.4736762075</v>
      </c>
      <c r="J495" s="38">
        <f t="shared" si="37"/>
        <v>4478222.5263237925</v>
      </c>
      <c r="K495" s="38">
        <v>1150343.9632464035</v>
      </c>
      <c r="L495" s="38">
        <f t="shared" si="38"/>
        <v>3327878.5630773893</v>
      </c>
      <c r="M495" s="41">
        <f>VLOOKUP(INDICADORES!$B$21,'DATOS GENERALES'!$K:$M,3,0)*F495</f>
        <v>66699.057654046977</v>
      </c>
      <c r="N495" s="38">
        <f t="shared" si="39"/>
        <v>3261179.5054233423</v>
      </c>
      <c r="O495" s="36"/>
      <c r="P495" s="36"/>
      <c r="Q495" s="36"/>
    </row>
    <row r="496" spans="1:17" x14ac:dyDescent="0.25">
      <c r="A496" s="36">
        <v>1857</v>
      </c>
      <c r="B496" s="37">
        <v>43525</v>
      </c>
      <c r="C496" s="37">
        <v>43564.606314839708</v>
      </c>
      <c r="D496" s="36" t="s">
        <v>212</v>
      </c>
      <c r="E496" s="36"/>
      <c r="F496" s="38">
        <v>9800000</v>
      </c>
      <c r="G496" s="40">
        <f>VLOOKUP(A496,'DATOS GENERALES'!A:B,2,0)</f>
        <v>1.85</v>
      </c>
      <c r="H496" s="36">
        <f t="shared" si="35"/>
        <v>1.8414900000000001</v>
      </c>
      <c r="I496" s="38">
        <f t="shared" si="36"/>
        <v>5321777.4736762075</v>
      </c>
      <c r="J496" s="38">
        <f t="shared" si="37"/>
        <v>4478222.5263237925</v>
      </c>
      <c r="K496" s="38">
        <v>832259.58984461869</v>
      </c>
      <c r="L496" s="38">
        <f t="shared" si="38"/>
        <v>3645962.9364791736</v>
      </c>
      <c r="M496" s="41">
        <f>VLOOKUP(INDICADORES!$B$21,'DATOS GENERALES'!$K:$M,3,0)*F496</f>
        <v>66699.057654046977</v>
      </c>
      <c r="N496" s="38">
        <f t="shared" si="39"/>
        <v>3579263.8788251267</v>
      </c>
      <c r="O496" s="36"/>
      <c r="P496" s="36"/>
      <c r="Q496" s="36"/>
    </row>
    <row r="497" spans="1:17" x14ac:dyDescent="0.25">
      <c r="A497" s="36">
        <v>1857</v>
      </c>
      <c r="B497" s="37">
        <v>43556</v>
      </c>
      <c r="C497" s="37">
        <v>43629.258887115437</v>
      </c>
      <c r="D497" s="36" t="s">
        <v>212</v>
      </c>
      <c r="E497" s="36"/>
      <c r="F497" s="38">
        <v>9800000</v>
      </c>
      <c r="G497" s="40">
        <f>VLOOKUP(A497,'DATOS GENERALES'!A:B,2,0)</f>
        <v>1.85</v>
      </c>
      <c r="H497" s="36">
        <f t="shared" si="35"/>
        <v>1.8414900000000001</v>
      </c>
      <c r="I497" s="38">
        <f t="shared" si="36"/>
        <v>5321777.4736762075</v>
      </c>
      <c r="J497" s="38">
        <f t="shared" si="37"/>
        <v>4478222.5263237925</v>
      </c>
      <c r="K497" s="38">
        <v>855625.58424636256</v>
      </c>
      <c r="L497" s="38">
        <f t="shared" si="38"/>
        <v>3622596.94207743</v>
      </c>
      <c r="M497" s="41">
        <f>VLOOKUP(INDICADORES!$B$21,'DATOS GENERALES'!$K:$M,3,0)*F497</f>
        <v>66699.057654046977</v>
      </c>
      <c r="N497" s="38">
        <f t="shared" si="39"/>
        <v>3555897.884423383</v>
      </c>
      <c r="O497" s="36"/>
      <c r="P497" s="36"/>
      <c r="Q497" s="36"/>
    </row>
    <row r="498" spans="1:17" x14ac:dyDescent="0.25">
      <c r="A498" s="36">
        <v>1857</v>
      </c>
      <c r="B498" s="37">
        <v>43586</v>
      </c>
      <c r="C498" s="37">
        <v>43637.240445060888</v>
      </c>
      <c r="D498" s="36" t="s">
        <v>212</v>
      </c>
      <c r="E498" s="36"/>
      <c r="F498" s="38">
        <v>9800000</v>
      </c>
      <c r="G498" s="40">
        <f>VLOOKUP(A498,'DATOS GENERALES'!A:B,2,0)</f>
        <v>1.85</v>
      </c>
      <c r="H498" s="36">
        <f t="shared" si="35"/>
        <v>1.8414900000000001</v>
      </c>
      <c r="I498" s="38">
        <f t="shared" si="36"/>
        <v>5321777.4736762075</v>
      </c>
      <c r="J498" s="38">
        <f t="shared" si="37"/>
        <v>4478222.5263237925</v>
      </c>
      <c r="K498" s="38">
        <v>705831.26930228679</v>
      </c>
      <c r="L498" s="38">
        <f t="shared" si="38"/>
        <v>3772391.2570215059</v>
      </c>
      <c r="M498" s="41">
        <f>VLOOKUP(INDICADORES!$B$21,'DATOS GENERALES'!$K:$M,3,0)*F498</f>
        <v>66699.057654046977</v>
      </c>
      <c r="N498" s="38">
        <f t="shared" si="39"/>
        <v>3705692.1993674589</v>
      </c>
      <c r="O498" s="36"/>
      <c r="P498" s="36"/>
      <c r="Q498" s="36"/>
    </row>
    <row r="499" spans="1:17" x14ac:dyDescent="0.25">
      <c r="A499" s="36">
        <v>1857</v>
      </c>
      <c r="B499" s="37">
        <v>43617</v>
      </c>
      <c r="C499" s="37">
        <v>43660.712622769388</v>
      </c>
      <c r="D499" s="36" t="s">
        <v>212</v>
      </c>
      <c r="E499" s="36"/>
      <c r="F499" s="38">
        <v>9800000</v>
      </c>
      <c r="G499" s="40">
        <f>VLOOKUP(A499,'DATOS GENERALES'!A:B,2,0)</f>
        <v>1.85</v>
      </c>
      <c r="H499" s="36">
        <f t="shared" si="35"/>
        <v>1.8414900000000001</v>
      </c>
      <c r="I499" s="38">
        <f t="shared" si="36"/>
        <v>5321777.4736762075</v>
      </c>
      <c r="J499" s="38">
        <f t="shared" si="37"/>
        <v>4478222.5263237925</v>
      </c>
      <c r="K499" s="38">
        <v>792790.65847197792</v>
      </c>
      <c r="L499" s="38">
        <f t="shared" si="38"/>
        <v>3685431.8678518147</v>
      </c>
      <c r="M499" s="41">
        <f>VLOOKUP(INDICADORES!$B$21,'DATOS GENERALES'!$K:$M,3,0)*F499</f>
        <v>66699.057654046977</v>
      </c>
      <c r="N499" s="38">
        <f t="shared" si="39"/>
        <v>3618732.8101977678</v>
      </c>
      <c r="O499" s="36"/>
      <c r="P499" s="36"/>
      <c r="Q499" s="36"/>
    </row>
    <row r="500" spans="1:17" x14ac:dyDescent="0.25">
      <c r="A500" s="36">
        <v>1857</v>
      </c>
      <c r="B500" s="37">
        <v>43647</v>
      </c>
      <c r="C500" s="37">
        <v>43676.637278950911</v>
      </c>
      <c r="D500" s="36" t="s">
        <v>212</v>
      </c>
      <c r="E500" s="36"/>
      <c r="F500" s="38">
        <v>9800000</v>
      </c>
      <c r="G500" s="40">
        <f>VLOOKUP(A500,'DATOS GENERALES'!A:B,2,0)</f>
        <v>1.85</v>
      </c>
      <c r="H500" s="36">
        <f t="shared" si="35"/>
        <v>1.8414900000000001</v>
      </c>
      <c r="I500" s="38">
        <f t="shared" si="36"/>
        <v>5321777.4736762075</v>
      </c>
      <c r="J500" s="38">
        <f t="shared" si="37"/>
        <v>4478222.5263237925</v>
      </c>
      <c r="K500" s="38">
        <v>1376695.0076816094</v>
      </c>
      <c r="L500" s="38">
        <f t="shared" si="38"/>
        <v>3101527.5186421834</v>
      </c>
      <c r="M500" s="41">
        <f>VLOOKUP(INDICADORES!$B$21,'DATOS GENERALES'!$K:$M,3,0)*F500</f>
        <v>66699.057654046977</v>
      </c>
      <c r="N500" s="38">
        <f t="shared" si="39"/>
        <v>3034828.4609881365</v>
      </c>
      <c r="O500" s="36"/>
      <c r="P500" s="36"/>
      <c r="Q500" s="36"/>
    </row>
    <row r="501" spans="1:17" x14ac:dyDescent="0.25">
      <c r="A501" s="36">
        <v>1857</v>
      </c>
      <c r="B501" s="37">
        <v>43678</v>
      </c>
      <c r="C501" s="37">
        <v>43729.303951966074</v>
      </c>
      <c r="D501" s="36" t="s">
        <v>212</v>
      </c>
      <c r="E501" s="36"/>
      <c r="F501" s="38">
        <v>9800000</v>
      </c>
      <c r="G501" s="40">
        <f>VLOOKUP(A501,'DATOS GENERALES'!A:B,2,0)</f>
        <v>1.85</v>
      </c>
      <c r="H501" s="36">
        <f t="shared" si="35"/>
        <v>1.8414900000000001</v>
      </c>
      <c r="I501" s="38">
        <f t="shared" si="36"/>
        <v>5321777.4736762075</v>
      </c>
      <c r="J501" s="38">
        <f t="shared" si="37"/>
        <v>4478222.5263237925</v>
      </c>
      <c r="K501" s="38">
        <v>1382424.2990812433</v>
      </c>
      <c r="L501" s="38">
        <f t="shared" si="38"/>
        <v>3095798.227242549</v>
      </c>
      <c r="M501" s="41">
        <f>VLOOKUP(INDICADORES!$B$21,'DATOS GENERALES'!$K:$M,3,0)*F501</f>
        <v>66699.057654046977</v>
      </c>
      <c r="N501" s="38">
        <f t="shared" si="39"/>
        <v>3029099.169588502</v>
      </c>
      <c r="O501" s="36"/>
      <c r="P501" s="36"/>
      <c r="Q501" s="36"/>
    </row>
    <row r="502" spans="1:17" x14ac:dyDescent="0.25">
      <c r="A502" s="36">
        <v>1857</v>
      </c>
      <c r="B502" s="37">
        <v>43709</v>
      </c>
      <c r="C502" s="37">
        <v>43784.923280795847</v>
      </c>
      <c r="D502" s="36" t="s">
        <v>212</v>
      </c>
      <c r="E502" s="36"/>
      <c r="F502" s="38">
        <v>9800000</v>
      </c>
      <c r="G502" s="40">
        <f>VLOOKUP(A502,'DATOS GENERALES'!A:B,2,0)</f>
        <v>1.85</v>
      </c>
      <c r="H502" s="36">
        <f t="shared" si="35"/>
        <v>1.8414900000000001</v>
      </c>
      <c r="I502" s="38">
        <f t="shared" si="36"/>
        <v>5321777.4736762075</v>
      </c>
      <c r="J502" s="38">
        <f t="shared" si="37"/>
        <v>4478222.5263237925</v>
      </c>
      <c r="K502" s="38">
        <v>1525866.3478919545</v>
      </c>
      <c r="L502" s="38">
        <f t="shared" si="38"/>
        <v>2952356.1784318378</v>
      </c>
      <c r="M502" s="41">
        <f>VLOOKUP(INDICADORES!$B$21,'DATOS GENERALES'!$K:$M,3,0)*F502</f>
        <v>66699.057654046977</v>
      </c>
      <c r="N502" s="38">
        <f t="shared" si="39"/>
        <v>2885657.1207777909</v>
      </c>
      <c r="O502" s="36"/>
      <c r="P502" s="36"/>
      <c r="Q502" s="36"/>
    </row>
    <row r="503" spans="1:17" x14ac:dyDescent="0.25">
      <c r="A503" s="36">
        <v>1873</v>
      </c>
      <c r="B503" s="37">
        <v>43800</v>
      </c>
      <c r="C503" s="37">
        <v>43855.683398809961</v>
      </c>
      <c r="D503" s="36" t="s">
        <v>212</v>
      </c>
      <c r="E503" s="36"/>
      <c r="F503" s="38">
        <v>6950000</v>
      </c>
      <c r="G503" s="40">
        <f>VLOOKUP(A503,'DATOS GENERALES'!A:B,2,0)</f>
        <v>1.83</v>
      </c>
      <c r="H503" s="36">
        <f t="shared" si="35"/>
        <v>1.821582</v>
      </c>
      <c r="I503" s="38">
        <f t="shared" si="36"/>
        <v>3815364.8861264549</v>
      </c>
      <c r="J503" s="38">
        <f t="shared" si="37"/>
        <v>3134635.1138735451</v>
      </c>
      <c r="K503" s="38">
        <v>1343813.4118680258</v>
      </c>
      <c r="L503" s="38">
        <f t="shared" si="38"/>
        <v>1790821.7020055193</v>
      </c>
      <c r="M503" s="41">
        <f>VLOOKUP(INDICADORES!$B$21,'DATOS GENERALES'!$K:$M,3,0)*F503</f>
        <v>47301.88272404352</v>
      </c>
      <c r="N503" s="38">
        <f t="shared" si="39"/>
        <v>1743519.8192814759</v>
      </c>
      <c r="O503" s="36"/>
      <c r="P503" s="36"/>
      <c r="Q503" s="36"/>
    </row>
    <row r="504" spans="1:17" x14ac:dyDescent="0.25">
      <c r="A504" s="36">
        <v>1883</v>
      </c>
      <c r="B504" s="37">
        <v>43466</v>
      </c>
      <c r="C504" s="37">
        <v>43561.878013555513</v>
      </c>
      <c r="D504" s="36" t="s">
        <v>212</v>
      </c>
      <c r="E504" s="36"/>
      <c r="F504" s="38">
        <v>11029019</v>
      </c>
      <c r="G504" s="40">
        <f>VLOOKUP(A504,'DATOS GENERALES'!A:B,2,0)</f>
        <v>5.27</v>
      </c>
      <c r="H504" s="36">
        <f t="shared" si="35"/>
        <v>5.2457579999999995</v>
      </c>
      <c r="I504" s="38">
        <f t="shared" si="36"/>
        <v>2102464.3149760244</v>
      </c>
      <c r="J504" s="38">
        <f t="shared" si="37"/>
        <v>8926554.6850239746</v>
      </c>
      <c r="K504" s="38">
        <v>461319.23992784927</v>
      </c>
      <c r="L504" s="38">
        <f t="shared" si="38"/>
        <v>8465235.4450961258</v>
      </c>
      <c r="M504" s="41">
        <f>VLOOKUP(INDICADORES!$B$21,'DATOS GENERALES'!$K:$M,3,0)*F504</f>
        <v>75063.793280467304</v>
      </c>
      <c r="N504" s="38">
        <f t="shared" si="39"/>
        <v>8390171.6518156584</v>
      </c>
      <c r="O504" s="36"/>
      <c r="P504" s="36"/>
      <c r="Q504" s="36"/>
    </row>
    <row r="505" spans="1:17" x14ac:dyDescent="0.25">
      <c r="A505" s="36">
        <v>1883</v>
      </c>
      <c r="B505" s="37">
        <v>43497</v>
      </c>
      <c r="C505" s="37">
        <v>43575.031275453897</v>
      </c>
      <c r="D505" s="36" t="s">
        <v>212</v>
      </c>
      <c r="E505" s="36"/>
      <c r="F505" s="38">
        <v>11029019</v>
      </c>
      <c r="G505" s="40">
        <f>VLOOKUP(A505,'DATOS GENERALES'!A:B,2,0)</f>
        <v>5.27</v>
      </c>
      <c r="H505" s="36">
        <f t="shared" si="35"/>
        <v>5.2457579999999995</v>
      </c>
      <c r="I505" s="38">
        <f t="shared" si="36"/>
        <v>2102464.3149760244</v>
      </c>
      <c r="J505" s="38">
        <f t="shared" si="37"/>
        <v>8926554.6850239746</v>
      </c>
      <c r="K505" s="38">
        <v>454464.16063747031</v>
      </c>
      <c r="L505" s="38">
        <f t="shared" si="38"/>
        <v>8472090.5243865047</v>
      </c>
      <c r="M505" s="41">
        <f>VLOOKUP(INDICADORES!$B$21,'DATOS GENERALES'!$K:$M,3,0)*F505</f>
        <v>75063.793280467304</v>
      </c>
      <c r="N505" s="38">
        <f t="shared" si="39"/>
        <v>8397026.7311060373</v>
      </c>
      <c r="O505" s="36"/>
      <c r="P505" s="36"/>
      <c r="Q505" s="36"/>
    </row>
    <row r="506" spans="1:17" x14ac:dyDescent="0.25">
      <c r="A506" s="36">
        <v>1883</v>
      </c>
      <c r="B506" s="37">
        <v>43525</v>
      </c>
      <c r="C506" s="37">
        <v>43575.915022730274</v>
      </c>
      <c r="D506" s="36" t="s">
        <v>212</v>
      </c>
      <c r="E506" s="36"/>
      <c r="F506" s="38">
        <v>11029019</v>
      </c>
      <c r="G506" s="40">
        <f>VLOOKUP(A506,'DATOS GENERALES'!A:B,2,0)</f>
        <v>5.27</v>
      </c>
      <c r="H506" s="36">
        <f t="shared" si="35"/>
        <v>5.2457579999999995</v>
      </c>
      <c r="I506" s="38">
        <f t="shared" si="36"/>
        <v>2102464.3149760244</v>
      </c>
      <c r="J506" s="38">
        <f t="shared" si="37"/>
        <v>8926554.6850239746</v>
      </c>
      <c r="K506" s="38">
        <v>328799.18356228434</v>
      </c>
      <c r="L506" s="38">
        <f t="shared" si="38"/>
        <v>8597755.5014616903</v>
      </c>
      <c r="M506" s="41">
        <f>VLOOKUP(INDICADORES!$B$21,'DATOS GENERALES'!$K:$M,3,0)*F506</f>
        <v>75063.793280467304</v>
      </c>
      <c r="N506" s="38">
        <f t="shared" si="39"/>
        <v>8522691.7081812229</v>
      </c>
      <c r="O506" s="36"/>
      <c r="P506" s="36"/>
      <c r="Q506" s="36"/>
    </row>
    <row r="507" spans="1:17" x14ac:dyDescent="0.25">
      <c r="A507" s="36">
        <v>1883</v>
      </c>
      <c r="B507" s="37">
        <v>43556</v>
      </c>
      <c r="C507" s="37">
        <v>43594.835873756776</v>
      </c>
      <c r="D507" s="36" t="s">
        <v>212</v>
      </c>
      <c r="E507" s="36"/>
      <c r="F507" s="38">
        <v>11029019</v>
      </c>
      <c r="G507" s="40">
        <f>VLOOKUP(A507,'DATOS GENERALES'!A:B,2,0)</f>
        <v>5.27</v>
      </c>
      <c r="H507" s="36">
        <f t="shared" si="35"/>
        <v>5.2457579999999995</v>
      </c>
      <c r="I507" s="38">
        <f t="shared" si="36"/>
        <v>2102464.3149760244</v>
      </c>
      <c r="J507" s="38">
        <f t="shared" si="37"/>
        <v>8926554.6850239746</v>
      </c>
      <c r="K507" s="38">
        <v>338030.3416963091</v>
      </c>
      <c r="L507" s="38">
        <f t="shared" si="38"/>
        <v>8588524.3433276657</v>
      </c>
      <c r="M507" s="41">
        <f>VLOOKUP(INDICADORES!$B$21,'DATOS GENERALES'!$K:$M,3,0)*F507</f>
        <v>75063.793280467304</v>
      </c>
      <c r="N507" s="38">
        <f t="shared" si="39"/>
        <v>8513460.5500471983</v>
      </c>
      <c r="O507" s="36"/>
      <c r="P507" s="36"/>
      <c r="Q507" s="36"/>
    </row>
    <row r="508" spans="1:17" x14ac:dyDescent="0.25">
      <c r="A508" s="36">
        <v>1883</v>
      </c>
      <c r="B508" s="37">
        <v>43586</v>
      </c>
      <c r="C508" s="37">
        <v>43653.022704021671</v>
      </c>
      <c r="D508" s="36" t="s">
        <v>212</v>
      </c>
      <c r="E508" s="36"/>
      <c r="F508" s="38">
        <v>11029019</v>
      </c>
      <c r="G508" s="40">
        <f>VLOOKUP(A508,'DATOS GENERALES'!A:B,2,0)</f>
        <v>5.27</v>
      </c>
      <c r="H508" s="36">
        <f t="shared" si="35"/>
        <v>5.2457579999999995</v>
      </c>
      <c r="I508" s="38">
        <f t="shared" si="36"/>
        <v>2102464.3149760244</v>
      </c>
      <c r="J508" s="38">
        <f t="shared" si="37"/>
        <v>8926554.6850239746</v>
      </c>
      <c r="K508" s="38">
        <v>278851.39193487825</v>
      </c>
      <c r="L508" s="38">
        <f t="shared" si="38"/>
        <v>8647703.2930890955</v>
      </c>
      <c r="M508" s="41">
        <f>VLOOKUP(INDICADORES!$B$21,'DATOS GENERALES'!$K:$M,3,0)*F508</f>
        <v>75063.793280467304</v>
      </c>
      <c r="N508" s="38">
        <f t="shared" si="39"/>
        <v>8572639.4998086281</v>
      </c>
      <c r="O508" s="36"/>
      <c r="P508" s="36"/>
      <c r="Q508" s="36"/>
    </row>
    <row r="509" spans="1:17" x14ac:dyDescent="0.25">
      <c r="A509" s="36">
        <v>1883</v>
      </c>
      <c r="B509" s="37">
        <v>43617</v>
      </c>
      <c r="C509" s="37">
        <v>43709.605498136014</v>
      </c>
      <c r="D509" s="36" t="s">
        <v>212</v>
      </c>
      <c r="E509" s="36"/>
      <c r="F509" s="38">
        <v>11029019</v>
      </c>
      <c r="G509" s="40">
        <f>VLOOKUP(A509,'DATOS GENERALES'!A:B,2,0)</f>
        <v>5.27</v>
      </c>
      <c r="H509" s="36">
        <f t="shared" si="35"/>
        <v>5.2457579999999995</v>
      </c>
      <c r="I509" s="38">
        <f t="shared" si="36"/>
        <v>2102464.3149760244</v>
      </c>
      <c r="J509" s="38">
        <f t="shared" si="37"/>
        <v>8926554.6850239746</v>
      </c>
      <c r="K509" s="38">
        <v>313206.26932043949</v>
      </c>
      <c r="L509" s="38">
        <f t="shared" si="38"/>
        <v>8613348.4157035351</v>
      </c>
      <c r="M509" s="41">
        <f>VLOOKUP(INDICADORES!$B$21,'DATOS GENERALES'!$K:$M,3,0)*F509</f>
        <v>75063.793280467304</v>
      </c>
      <c r="N509" s="38">
        <f t="shared" si="39"/>
        <v>8538284.6224230677</v>
      </c>
      <c r="O509" s="36"/>
      <c r="P509" s="36"/>
      <c r="Q509" s="36"/>
    </row>
    <row r="510" spans="1:17" x14ac:dyDescent="0.25">
      <c r="A510" s="36">
        <v>1883</v>
      </c>
      <c r="B510" s="37">
        <v>43647</v>
      </c>
      <c r="C510" s="37">
        <v>43695.300672322781</v>
      </c>
      <c r="D510" s="36" t="s">
        <v>212</v>
      </c>
      <c r="E510" s="36"/>
      <c r="F510" s="38">
        <v>11029019</v>
      </c>
      <c r="G510" s="40">
        <f>VLOOKUP(A510,'DATOS GENERALES'!A:B,2,0)</f>
        <v>5.27</v>
      </c>
      <c r="H510" s="36">
        <f t="shared" si="35"/>
        <v>5.2457579999999995</v>
      </c>
      <c r="I510" s="38">
        <f t="shared" si="36"/>
        <v>2102464.3149760244</v>
      </c>
      <c r="J510" s="38">
        <f t="shared" si="37"/>
        <v>8926554.6850239746</v>
      </c>
      <c r="K510" s="38">
        <v>543888.22918158991</v>
      </c>
      <c r="L510" s="38">
        <f t="shared" si="38"/>
        <v>8382666.4558423851</v>
      </c>
      <c r="M510" s="41">
        <f>VLOOKUP(INDICADORES!$B$21,'DATOS GENERALES'!$K:$M,3,0)*F510</f>
        <v>75063.793280467304</v>
      </c>
      <c r="N510" s="38">
        <f t="shared" si="39"/>
        <v>8307602.6625619177</v>
      </c>
      <c r="O510" s="36"/>
      <c r="P510" s="36"/>
      <c r="Q510" s="36"/>
    </row>
    <row r="511" spans="1:17" x14ac:dyDescent="0.25">
      <c r="A511" s="36">
        <v>1883</v>
      </c>
      <c r="B511" s="37">
        <v>43678</v>
      </c>
      <c r="C511" s="37">
        <v>43764.878828819303</v>
      </c>
      <c r="D511" s="36" t="s">
        <v>212</v>
      </c>
      <c r="E511" s="36"/>
      <c r="F511" s="38">
        <v>11029019</v>
      </c>
      <c r="G511" s="40">
        <f>VLOOKUP(A511,'DATOS GENERALES'!A:B,2,0)</f>
        <v>5.27</v>
      </c>
      <c r="H511" s="36">
        <f t="shared" si="35"/>
        <v>5.2457579999999995</v>
      </c>
      <c r="I511" s="38">
        <f t="shared" si="36"/>
        <v>2102464.3149760244</v>
      </c>
      <c r="J511" s="38">
        <f t="shared" si="37"/>
        <v>8926554.6850239746</v>
      </c>
      <c r="K511" s="38">
        <v>546151.68923368945</v>
      </c>
      <c r="L511" s="38">
        <f t="shared" si="38"/>
        <v>8380402.9957902851</v>
      </c>
      <c r="M511" s="41">
        <f>VLOOKUP(INDICADORES!$B$21,'DATOS GENERALES'!$K:$M,3,0)*F511</f>
        <v>75063.793280467304</v>
      </c>
      <c r="N511" s="38">
        <f t="shared" si="39"/>
        <v>8305339.2025098177</v>
      </c>
      <c r="O511" s="36"/>
      <c r="P511" s="36"/>
      <c r="Q511" s="36"/>
    </row>
    <row r="512" spans="1:17" x14ac:dyDescent="0.25">
      <c r="A512" s="36">
        <v>1883</v>
      </c>
      <c r="B512" s="37">
        <v>43709</v>
      </c>
      <c r="C512" s="37">
        <v>43795.305862873785</v>
      </c>
      <c r="D512" s="36" t="s">
        <v>212</v>
      </c>
      <c r="E512" s="36"/>
      <c r="F512" s="38">
        <v>11029019</v>
      </c>
      <c r="G512" s="40">
        <f>VLOOKUP(A512,'DATOS GENERALES'!A:B,2,0)</f>
        <v>5.27</v>
      </c>
      <c r="H512" s="36">
        <f t="shared" si="35"/>
        <v>5.2457579999999995</v>
      </c>
      <c r="I512" s="38">
        <f t="shared" si="36"/>
        <v>2102464.3149760244</v>
      </c>
      <c r="J512" s="38">
        <f t="shared" si="37"/>
        <v>8926554.6850239746</v>
      </c>
      <c r="K512" s="38">
        <v>602821.06152205018</v>
      </c>
      <c r="L512" s="38">
        <f t="shared" si="38"/>
        <v>8323733.6235019248</v>
      </c>
      <c r="M512" s="41">
        <f>VLOOKUP(INDICADORES!$B$21,'DATOS GENERALES'!$K:$M,3,0)*F512</f>
        <v>75063.793280467304</v>
      </c>
      <c r="N512" s="38">
        <f t="shared" si="39"/>
        <v>8248669.8302214574</v>
      </c>
      <c r="O512" s="36"/>
      <c r="P512" s="36"/>
      <c r="Q512" s="36"/>
    </row>
    <row r="513" spans="1:17" x14ac:dyDescent="0.25">
      <c r="A513" s="36">
        <v>1883</v>
      </c>
      <c r="B513" s="37">
        <v>43739</v>
      </c>
      <c r="C513" s="37">
        <v>43821.907705640799</v>
      </c>
      <c r="D513" s="36" t="s">
        <v>212</v>
      </c>
      <c r="E513" s="36"/>
      <c r="F513" s="38">
        <v>11029019</v>
      </c>
      <c r="G513" s="40">
        <f>VLOOKUP(A513,'DATOS GENERALES'!A:B,2,0)</f>
        <v>5.27</v>
      </c>
      <c r="H513" s="36">
        <f t="shared" si="35"/>
        <v>5.2457579999999995</v>
      </c>
      <c r="I513" s="38">
        <f t="shared" si="36"/>
        <v>2102464.3149760244</v>
      </c>
      <c r="J513" s="38">
        <f t="shared" si="37"/>
        <v>8926554.6850239746</v>
      </c>
      <c r="K513" s="38">
        <v>654207.49702377839</v>
      </c>
      <c r="L513" s="38">
        <f t="shared" si="38"/>
        <v>8272347.1880001966</v>
      </c>
      <c r="M513" s="41">
        <f>VLOOKUP(INDICADORES!$B$21,'DATOS GENERALES'!$K:$M,3,0)*F513</f>
        <v>75063.793280467304</v>
      </c>
      <c r="N513" s="38">
        <f t="shared" si="39"/>
        <v>8197283.3947197292</v>
      </c>
      <c r="O513" s="36"/>
      <c r="P513" s="36"/>
      <c r="Q513" s="36"/>
    </row>
    <row r="514" spans="1:17" x14ac:dyDescent="0.25">
      <c r="A514" s="36">
        <v>1883</v>
      </c>
      <c r="B514" s="37">
        <v>43770</v>
      </c>
      <c r="C514" s="37">
        <v>43835.866197184878</v>
      </c>
      <c r="D514" s="36" t="s">
        <v>212</v>
      </c>
      <c r="E514" s="36"/>
      <c r="F514" s="38">
        <v>11029019</v>
      </c>
      <c r="G514" s="40">
        <f>VLOOKUP(A514,'DATOS GENERALES'!A:B,2,0)</f>
        <v>5.27</v>
      </c>
      <c r="H514" s="36">
        <f t="shared" si="35"/>
        <v>5.2457579999999995</v>
      </c>
      <c r="I514" s="38">
        <f t="shared" si="36"/>
        <v>2102464.3149760244</v>
      </c>
      <c r="J514" s="38">
        <f t="shared" si="37"/>
        <v>8926554.6850239746</v>
      </c>
      <c r="K514" s="38">
        <v>858514.19787096477</v>
      </c>
      <c r="L514" s="38">
        <f t="shared" si="38"/>
        <v>8068040.4871530095</v>
      </c>
      <c r="M514" s="41">
        <f>VLOOKUP(INDICADORES!$B$21,'DATOS GENERALES'!$K:$M,3,0)*F514</f>
        <v>75063.793280467304</v>
      </c>
      <c r="N514" s="38">
        <f t="shared" si="39"/>
        <v>7992976.6938725421</v>
      </c>
      <c r="O514" s="36"/>
      <c r="P514" s="36"/>
      <c r="Q514" s="36"/>
    </row>
    <row r="515" spans="1:17" x14ac:dyDescent="0.25">
      <c r="A515" s="36">
        <v>1883</v>
      </c>
      <c r="B515" s="37">
        <v>43800</v>
      </c>
      <c r="C515" s="37">
        <v>43880.396304529699</v>
      </c>
      <c r="D515" s="36" t="s">
        <v>212</v>
      </c>
      <c r="E515" s="36"/>
      <c r="F515" s="38">
        <v>11029019</v>
      </c>
      <c r="G515" s="40">
        <f>VLOOKUP(A515,'DATOS GENERALES'!A:B,2,0)</f>
        <v>5.27</v>
      </c>
      <c r="H515" s="36">
        <f t="shared" ref="H515:H578" si="40">G515*0.9954</f>
        <v>5.2457579999999995</v>
      </c>
      <c r="I515" s="38">
        <f t="shared" ref="I515:I578" si="41">F515/H515</f>
        <v>2102464.3149760244</v>
      </c>
      <c r="J515" s="38">
        <f t="shared" ref="J515:J578" si="42">F515-I515</f>
        <v>8926554.6850239746</v>
      </c>
      <c r="K515" s="38">
        <v>740511.02024663903</v>
      </c>
      <c r="L515" s="38">
        <f t="shared" ref="L515:L578" si="43">IFERROR(J515-K515,"")</f>
        <v>8186043.6647773357</v>
      </c>
      <c r="M515" s="41">
        <f>VLOOKUP(INDICADORES!$B$21,'DATOS GENERALES'!$K:$M,3,0)*F515</f>
        <v>75063.793280467304</v>
      </c>
      <c r="N515" s="38">
        <f t="shared" ref="N515:N578" si="44">IFERROR(L515-M515,"")</f>
        <v>8110979.8714968683</v>
      </c>
      <c r="O515" s="36"/>
      <c r="P515" s="36"/>
      <c r="Q515" s="36"/>
    </row>
    <row r="516" spans="1:17" x14ac:dyDescent="0.25">
      <c r="A516" s="36">
        <v>1883</v>
      </c>
      <c r="B516" s="37">
        <v>43831</v>
      </c>
      <c r="C516" s="37">
        <v>43910.566237789746</v>
      </c>
      <c r="D516" s="36" t="s">
        <v>212</v>
      </c>
      <c r="E516" s="36"/>
      <c r="F516" s="38">
        <v>11029019</v>
      </c>
      <c r="G516" s="40">
        <f>VLOOKUP(A516,'DATOS GENERALES'!A:B,2,0)</f>
        <v>5.27</v>
      </c>
      <c r="H516" s="36">
        <f t="shared" si="40"/>
        <v>5.2457579999999995</v>
      </c>
      <c r="I516" s="38">
        <f t="shared" si="41"/>
        <v>2102464.3149760244</v>
      </c>
      <c r="J516" s="38">
        <f t="shared" si="42"/>
        <v>8926554.6850239746</v>
      </c>
      <c r="K516" s="38" t="s">
        <v>213</v>
      </c>
      <c r="L516" s="38" t="str">
        <f t="shared" si="43"/>
        <v/>
      </c>
      <c r="M516" s="41">
        <f>VLOOKUP(INDICADORES!$B$21,'DATOS GENERALES'!$K:$M,3,0)*F516</f>
        <v>75063.793280467304</v>
      </c>
      <c r="N516" s="38" t="str">
        <f t="shared" si="44"/>
        <v/>
      </c>
      <c r="O516" s="36"/>
      <c r="P516" s="36"/>
      <c r="Q516" s="36"/>
    </row>
    <row r="517" spans="1:17" x14ac:dyDescent="0.25">
      <c r="A517" s="36">
        <v>1883</v>
      </c>
      <c r="B517" s="37">
        <v>43862</v>
      </c>
      <c r="C517" s="37">
        <v>43927.35054937128</v>
      </c>
      <c r="D517" s="36" t="s">
        <v>212</v>
      </c>
      <c r="E517" s="36"/>
      <c r="F517" s="38">
        <v>11029019</v>
      </c>
      <c r="G517" s="40">
        <f>VLOOKUP(A517,'DATOS GENERALES'!A:B,2,0)</f>
        <v>5.27</v>
      </c>
      <c r="H517" s="36">
        <f t="shared" si="40"/>
        <v>5.2457579999999995</v>
      </c>
      <c r="I517" s="38">
        <f t="shared" si="41"/>
        <v>2102464.3149760244</v>
      </c>
      <c r="J517" s="38">
        <f t="shared" si="42"/>
        <v>8926554.6850239746</v>
      </c>
      <c r="K517" s="38" t="s">
        <v>213</v>
      </c>
      <c r="L517" s="38" t="str">
        <f t="shared" si="43"/>
        <v/>
      </c>
      <c r="M517" s="41">
        <f>VLOOKUP(INDICADORES!$B$21,'DATOS GENERALES'!$K:$M,3,0)*F517</f>
        <v>75063.793280467304</v>
      </c>
      <c r="N517" s="38" t="str">
        <f t="shared" si="44"/>
        <v/>
      </c>
      <c r="O517" s="36"/>
      <c r="P517" s="36"/>
      <c r="Q517" s="36"/>
    </row>
    <row r="518" spans="1:17" x14ac:dyDescent="0.25">
      <c r="A518" s="36">
        <v>1883</v>
      </c>
      <c r="B518" s="37">
        <v>43891</v>
      </c>
      <c r="C518" s="37">
        <v>43936.307935696874</v>
      </c>
      <c r="D518" s="36" t="s">
        <v>212</v>
      </c>
      <c r="E518" s="36"/>
      <c r="F518" s="38">
        <v>11029019</v>
      </c>
      <c r="G518" s="40">
        <f>VLOOKUP(A518,'DATOS GENERALES'!A:B,2,0)</f>
        <v>5.27</v>
      </c>
      <c r="H518" s="36">
        <f t="shared" si="40"/>
        <v>5.2457579999999995</v>
      </c>
      <c r="I518" s="38">
        <f t="shared" si="41"/>
        <v>2102464.3149760244</v>
      </c>
      <c r="J518" s="38">
        <f t="shared" si="42"/>
        <v>8926554.6850239746</v>
      </c>
      <c r="K518" s="38" t="s">
        <v>213</v>
      </c>
      <c r="L518" s="38" t="str">
        <f t="shared" si="43"/>
        <v/>
      </c>
      <c r="M518" s="41">
        <f>VLOOKUP(INDICADORES!$B$21,'DATOS GENERALES'!$K:$M,3,0)*F518</f>
        <v>75063.793280467304</v>
      </c>
      <c r="N518" s="38" t="str">
        <f t="shared" si="44"/>
        <v/>
      </c>
      <c r="O518" s="36"/>
      <c r="P518" s="36"/>
      <c r="Q518" s="36"/>
    </row>
    <row r="519" spans="1:17" x14ac:dyDescent="0.25">
      <c r="A519" s="36">
        <v>1883</v>
      </c>
      <c r="B519" s="37">
        <v>43922</v>
      </c>
      <c r="C519" s="37">
        <v>43986.356184189157</v>
      </c>
      <c r="D519" s="36" t="s">
        <v>212</v>
      </c>
      <c r="E519" s="36"/>
      <c r="F519" s="38">
        <v>11029019</v>
      </c>
      <c r="G519" s="40">
        <f>VLOOKUP(A519,'DATOS GENERALES'!A:B,2,0)</f>
        <v>5.27</v>
      </c>
      <c r="H519" s="36">
        <f t="shared" si="40"/>
        <v>5.2457579999999995</v>
      </c>
      <c r="I519" s="38">
        <f t="shared" si="41"/>
        <v>2102464.3149760244</v>
      </c>
      <c r="J519" s="38">
        <f t="shared" si="42"/>
        <v>8926554.6850239746</v>
      </c>
      <c r="K519" s="38" t="s">
        <v>213</v>
      </c>
      <c r="L519" s="38" t="str">
        <f t="shared" si="43"/>
        <v/>
      </c>
      <c r="M519" s="41">
        <f>VLOOKUP(INDICADORES!$B$21,'DATOS GENERALES'!$K:$M,3,0)*F519</f>
        <v>75063.793280467304</v>
      </c>
      <c r="N519" s="38" t="str">
        <f t="shared" si="44"/>
        <v/>
      </c>
      <c r="O519" s="36"/>
      <c r="P519" s="36"/>
      <c r="Q519" s="36"/>
    </row>
    <row r="520" spans="1:17" x14ac:dyDescent="0.25">
      <c r="A520" s="36">
        <v>1883</v>
      </c>
      <c r="B520" s="37">
        <v>43952</v>
      </c>
      <c r="C520" s="37">
        <v>44013.065536065951</v>
      </c>
      <c r="D520" s="36" t="s">
        <v>212</v>
      </c>
      <c r="E520" s="36"/>
      <c r="F520" s="38">
        <v>11029019</v>
      </c>
      <c r="G520" s="40">
        <f>VLOOKUP(A520,'DATOS GENERALES'!A:B,2,0)</f>
        <v>5.27</v>
      </c>
      <c r="H520" s="36">
        <f t="shared" si="40"/>
        <v>5.2457579999999995</v>
      </c>
      <c r="I520" s="38">
        <f t="shared" si="41"/>
        <v>2102464.3149760244</v>
      </c>
      <c r="J520" s="38">
        <f t="shared" si="42"/>
        <v>8926554.6850239746</v>
      </c>
      <c r="K520" s="38" t="s">
        <v>213</v>
      </c>
      <c r="L520" s="38" t="str">
        <f t="shared" si="43"/>
        <v/>
      </c>
      <c r="M520" s="41">
        <f>VLOOKUP(INDICADORES!$B$21,'DATOS GENERALES'!$K:$M,3,0)*F520</f>
        <v>75063.793280467304</v>
      </c>
      <c r="N520" s="38" t="str">
        <f t="shared" si="44"/>
        <v/>
      </c>
      <c r="O520" s="36"/>
      <c r="P520" s="36"/>
      <c r="Q520" s="36"/>
    </row>
    <row r="521" spans="1:17" x14ac:dyDescent="0.25">
      <c r="A521" s="36">
        <v>1883</v>
      </c>
      <c r="B521" s="37">
        <v>43983</v>
      </c>
      <c r="C521" s="37">
        <v>44013.599515792033</v>
      </c>
      <c r="D521" s="36" t="s">
        <v>212</v>
      </c>
      <c r="E521" s="36"/>
      <c r="F521" s="38">
        <v>11029019</v>
      </c>
      <c r="G521" s="40">
        <f>VLOOKUP(A521,'DATOS GENERALES'!A:B,2,0)</f>
        <v>5.27</v>
      </c>
      <c r="H521" s="36">
        <f t="shared" si="40"/>
        <v>5.2457579999999995</v>
      </c>
      <c r="I521" s="38">
        <f t="shared" si="41"/>
        <v>2102464.3149760244</v>
      </c>
      <c r="J521" s="38">
        <f t="shared" si="42"/>
        <v>8926554.6850239746</v>
      </c>
      <c r="K521" s="38" t="s">
        <v>213</v>
      </c>
      <c r="L521" s="38" t="str">
        <f t="shared" si="43"/>
        <v/>
      </c>
      <c r="M521" s="41">
        <f>VLOOKUP(INDICADORES!$B$21,'DATOS GENERALES'!$K:$M,3,0)*F521</f>
        <v>75063.793280467304</v>
      </c>
      <c r="N521" s="38" t="str">
        <f t="shared" si="44"/>
        <v/>
      </c>
      <c r="O521" s="36"/>
      <c r="P521" s="36"/>
      <c r="Q521" s="36"/>
    </row>
    <row r="522" spans="1:17" x14ac:dyDescent="0.25">
      <c r="A522" s="36">
        <v>1883</v>
      </c>
      <c r="B522" s="37">
        <v>44013</v>
      </c>
      <c r="C522" s="37">
        <v>44063.821229420741</v>
      </c>
      <c r="D522" s="36" t="s">
        <v>212</v>
      </c>
      <c r="E522" s="36"/>
      <c r="F522" s="38">
        <v>11029019</v>
      </c>
      <c r="G522" s="40">
        <f>VLOOKUP(A522,'DATOS GENERALES'!A:B,2,0)</f>
        <v>5.27</v>
      </c>
      <c r="H522" s="36">
        <f t="shared" si="40"/>
        <v>5.2457579999999995</v>
      </c>
      <c r="I522" s="38">
        <f t="shared" si="41"/>
        <v>2102464.3149760244</v>
      </c>
      <c r="J522" s="38">
        <f t="shared" si="42"/>
        <v>8926554.6850239746</v>
      </c>
      <c r="K522" s="38" t="s">
        <v>213</v>
      </c>
      <c r="L522" s="38" t="str">
        <f t="shared" si="43"/>
        <v/>
      </c>
      <c r="M522" s="41">
        <f>VLOOKUP(INDICADORES!$B$21,'DATOS GENERALES'!$K:$M,3,0)*F522</f>
        <v>75063.793280467304</v>
      </c>
      <c r="N522" s="38" t="str">
        <f t="shared" si="44"/>
        <v/>
      </c>
      <c r="O522" s="36"/>
      <c r="P522" s="36"/>
      <c r="Q522" s="36"/>
    </row>
    <row r="523" spans="1:17" x14ac:dyDescent="0.25">
      <c r="A523" s="36">
        <v>1883</v>
      </c>
      <c r="B523" s="37">
        <v>44044</v>
      </c>
      <c r="C523" s="37">
        <v>44104.299113740795</v>
      </c>
      <c r="D523" s="36" t="s">
        <v>212</v>
      </c>
      <c r="E523" s="36"/>
      <c r="F523" s="38">
        <v>11029019</v>
      </c>
      <c r="G523" s="40">
        <f>VLOOKUP(A523,'DATOS GENERALES'!A:B,2,0)</f>
        <v>5.27</v>
      </c>
      <c r="H523" s="36">
        <f t="shared" si="40"/>
        <v>5.2457579999999995</v>
      </c>
      <c r="I523" s="38">
        <f t="shared" si="41"/>
        <v>2102464.3149760244</v>
      </c>
      <c r="J523" s="38">
        <f t="shared" si="42"/>
        <v>8926554.6850239746</v>
      </c>
      <c r="K523" s="38" t="s">
        <v>213</v>
      </c>
      <c r="L523" s="38" t="str">
        <f t="shared" si="43"/>
        <v/>
      </c>
      <c r="M523" s="41">
        <f>VLOOKUP(INDICADORES!$B$21,'DATOS GENERALES'!$K:$M,3,0)*F523</f>
        <v>75063.793280467304</v>
      </c>
      <c r="N523" s="38" t="str">
        <f t="shared" si="44"/>
        <v/>
      </c>
      <c r="O523" s="36"/>
      <c r="P523" s="36"/>
      <c r="Q523" s="36"/>
    </row>
    <row r="524" spans="1:17" x14ac:dyDescent="0.25">
      <c r="A524" s="36">
        <v>1883</v>
      </c>
      <c r="B524" s="37">
        <v>44075</v>
      </c>
      <c r="C524" s="37">
        <v>44122.584466604603</v>
      </c>
      <c r="D524" s="36" t="s">
        <v>212</v>
      </c>
      <c r="E524" s="36"/>
      <c r="F524" s="38">
        <v>11029019</v>
      </c>
      <c r="G524" s="40">
        <f>VLOOKUP(A524,'DATOS GENERALES'!A:B,2,0)</f>
        <v>5.27</v>
      </c>
      <c r="H524" s="36">
        <f t="shared" si="40"/>
        <v>5.2457579999999995</v>
      </c>
      <c r="I524" s="38">
        <f t="shared" si="41"/>
        <v>2102464.3149760244</v>
      </c>
      <c r="J524" s="38">
        <f t="shared" si="42"/>
        <v>8926554.6850239746</v>
      </c>
      <c r="K524" s="38" t="s">
        <v>213</v>
      </c>
      <c r="L524" s="38" t="str">
        <f t="shared" si="43"/>
        <v/>
      </c>
      <c r="M524" s="41">
        <f>VLOOKUP(INDICADORES!$B$21,'DATOS GENERALES'!$K:$M,3,0)*F524</f>
        <v>75063.793280467304</v>
      </c>
      <c r="N524" s="38" t="str">
        <f t="shared" si="44"/>
        <v/>
      </c>
      <c r="O524" s="36"/>
      <c r="P524" s="36"/>
      <c r="Q524" s="36"/>
    </row>
    <row r="525" spans="1:17" x14ac:dyDescent="0.25">
      <c r="A525" s="36">
        <v>1883</v>
      </c>
      <c r="B525" s="37">
        <v>44105</v>
      </c>
      <c r="C525" s="37">
        <v>44137.140619018079</v>
      </c>
      <c r="D525" s="36" t="s">
        <v>212</v>
      </c>
      <c r="E525" s="36"/>
      <c r="F525" s="38">
        <v>11029019</v>
      </c>
      <c r="G525" s="40">
        <f>VLOOKUP(A525,'DATOS GENERALES'!A:B,2,0)</f>
        <v>5.27</v>
      </c>
      <c r="H525" s="36">
        <f t="shared" si="40"/>
        <v>5.2457579999999995</v>
      </c>
      <c r="I525" s="38">
        <f t="shared" si="41"/>
        <v>2102464.3149760244</v>
      </c>
      <c r="J525" s="38">
        <f t="shared" si="42"/>
        <v>8926554.6850239746</v>
      </c>
      <c r="K525" s="38" t="s">
        <v>213</v>
      </c>
      <c r="L525" s="38" t="str">
        <f t="shared" si="43"/>
        <v/>
      </c>
      <c r="M525" s="41">
        <f>VLOOKUP(INDICADORES!$B$21,'DATOS GENERALES'!$K:$M,3,0)*F525</f>
        <v>75063.793280467304</v>
      </c>
      <c r="N525" s="38" t="str">
        <f t="shared" si="44"/>
        <v/>
      </c>
      <c r="O525" s="36"/>
      <c r="P525" s="36"/>
      <c r="Q525" s="36"/>
    </row>
    <row r="526" spans="1:17" x14ac:dyDescent="0.25">
      <c r="A526" s="36">
        <v>1883</v>
      </c>
      <c r="B526" s="37">
        <v>44136</v>
      </c>
      <c r="C526" s="37">
        <v>44177.410395674255</v>
      </c>
      <c r="D526" s="36" t="s">
        <v>212</v>
      </c>
      <c r="E526" s="36"/>
      <c r="F526" s="38">
        <v>11029019</v>
      </c>
      <c r="G526" s="40">
        <f>VLOOKUP(A526,'DATOS GENERALES'!A:B,2,0)</f>
        <v>5.27</v>
      </c>
      <c r="H526" s="36">
        <f t="shared" si="40"/>
        <v>5.2457579999999995</v>
      </c>
      <c r="I526" s="38">
        <f t="shared" si="41"/>
        <v>2102464.3149760244</v>
      </c>
      <c r="J526" s="38">
        <f t="shared" si="42"/>
        <v>8926554.6850239746</v>
      </c>
      <c r="K526" s="38" t="s">
        <v>213</v>
      </c>
      <c r="L526" s="38" t="str">
        <f t="shared" si="43"/>
        <v/>
      </c>
      <c r="M526" s="41">
        <f>VLOOKUP(INDICADORES!$B$21,'DATOS GENERALES'!$K:$M,3,0)*F526</f>
        <v>75063.793280467304</v>
      </c>
      <c r="N526" s="38" t="str">
        <f t="shared" si="44"/>
        <v/>
      </c>
      <c r="O526" s="36"/>
      <c r="P526" s="36"/>
      <c r="Q526" s="36"/>
    </row>
    <row r="527" spans="1:17" x14ac:dyDescent="0.25">
      <c r="A527" s="36">
        <v>1883</v>
      </c>
      <c r="B527" s="37">
        <v>44166</v>
      </c>
      <c r="C527" s="37">
        <v>44263.636684821344</v>
      </c>
      <c r="D527" s="36" t="s">
        <v>212</v>
      </c>
      <c r="E527" s="36"/>
      <c r="F527" s="38">
        <v>11029019</v>
      </c>
      <c r="G527" s="40">
        <f>VLOOKUP(A527,'DATOS GENERALES'!A:B,2,0)</f>
        <v>5.27</v>
      </c>
      <c r="H527" s="36">
        <f t="shared" si="40"/>
        <v>5.2457579999999995</v>
      </c>
      <c r="I527" s="38">
        <f t="shared" si="41"/>
        <v>2102464.3149760244</v>
      </c>
      <c r="J527" s="38">
        <f t="shared" si="42"/>
        <v>8926554.6850239746</v>
      </c>
      <c r="K527" s="38" t="s">
        <v>213</v>
      </c>
      <c r="L527" s="38" t="str">
        <f t="shared" si="43"/>
        <v/>
      </c>
      <c r="M527" s="41">
        <f>VLOOKUP(INDICADORES!$B$21,'DATOS GENERALES'!$K:$M,3,0)*F527</f>
        <v>75063.793280467304</v>
      </c>
      <c r="N527" s="38" t="str">
        <f t="shared" si="44"/>
        <v/>
      </c>
      <c r="O527" s="36"/>
      <c r="P527" s="36"/>
      <c r="Q527" s="36"/>
    </row>
    <row r="528" spans="1:17" x14ac:dyDescent="0.25">
      <c r="A528" s="36">
        <v>1883</v>
      </c>
      <c r="B528" s="37">
        <v>44197</v>
      </c>
      <c r="C528" s="37">
        <v>44260.112372092641</v>
      </c>
      <c r="D528" s="36" t="s">
        <v>212</v>
      </c>
      <c r="E528" s="36"/>
      <c r="F528" s="38">
        <v>11029019</v>
      </c>
      <c r="G528" s="40">
        <f>VLOOKUP(A528,'DATOS GENERALES'!A:B,2,0)</f>
        <v>5.27</v>
      </c>
      <c r="H528" s="36">
        <f t="shared" si="40"/>
        <v>5.2457579999999995</v>
      </c>
      <c r="I528" s="38">
        <f t="shared" si="41"/>
        <v>2102464.3149760244</v>
      </c>
      <c r="J528" s="38">
        <f t="shared" si="42"/>
        <v>8926554.6850239746</v>
      </c>
      <c r="K528" s="38" t="s">
        <v>213</v>
      </c>
      <c r="L528" s="38" t="str">
        <f t="shared" si="43"/>
        <v/>
      </c>
      <c r="M528" s="41">
        <f>VLOOKUP(INDICADORES!$B$21,'DATOS GENERALES'!$K:$M,3,0)*F528</f>
        <v>75063.793280467304</v>
      </c>
      <c r="N528" s="38" t="str">
        <f t="shared" si="44"/>
        <v/>
      </c>
      <c r="O528" s="36"/>
      <c r="P528" s="36"/>
      <c r="Q528" s="36"/>
    </row>
    <row r="529" spans="1:17" x14ac:dyDescent="0.25">
      <c r="A529" s="36">
        <v>1883</v>
      </c>
      <c r="B529" s="37">
        <v>44228</v>
      </c>
      <c r="C529" s="37">
        <v>44284.658191193041</v>
      </c>
      <c r="D529" s="36" t="s">
        <v>212</v>
      </c>
      <c r="E529" s="36"/>
      <c r="F529" s="38">
        <v>11029019</v>
      </c>
      <c r="G529" s="40">
        <f>VLOOKUP(A529,'DATOS GENERALES'!A:B,2,0)</f>
        <v>5.27</v>
      </c>
      <c r="H529" s="36">
        <f t="shared" si="40"/>
        <v>5.2457579999999995</v>
      </c>
      <c r="I529" s="38">
        <f t="shared" si="41"/>
        <v>2102464.3149760244</v>
      </c>
      <c r="J529" s="38">
        <f t="shared" si="42"/>
        <v>8926554.6850239746</v>
      </c>
      <c r="K529" s="38" t="s">
        <v>213</v>
      </c>
      <c r="L529" s="38" t="str">
        <f t="shared" si="43"/>
        <v/>
      </c>
      <c r="M529" s="41">
        <f>VLOOKUP(INDICADORES!$B$21,'DATOS GENERALES'!$K:$M,3,0)*F529</f>
        <v>75063.793280467304</v>
      </c>
      <c r="N529" s="38" t="str">
        <f t="shared" si="44"/>
        <v/>
      </c>
      <c r="O529" s="36"/>
      <c r="P529" s="36"/>
      <c r="Q529" s="36"/>
    </row>
    <row r="530" spans="1:17" x14ac:dyDescent="0.25">
      <c r="A530" s="36">
        <v>1884</v>
      </c>
      <c r="B530" s="37">
        <v>43466</v>
      </c>
      <c r="C530" s="37">
        <v>43526.483742306067</v>
      </c>
      <c r="D530" s="36" t="s">
        <v>212</v>
      </c>
      <c r="E530" s="36"/>
      <c r="F530" s="38">
        <v>10920000</v>
      </c>
      <c r="G530" s="40">
        <f>VLOOKUP(A530,'DATOS GENERALES'!A:B,2,0)</f>
        <v>5.0599999999999996</v>
      </c>
      <c r="H530" s="36">
        <f t="shared" si="40"/>
        <v>5.0367239999999995</v>
      </c>
      <c r="I530" s="38">
        <f t="shared" si="41"/>
        <v>2168075.9160120748</v>
      </c>
      <c r="J530" s="38">
        <f t="shared" si="42"/>
        <v>8751924.0839879252</v>
      </c>
      <c r="K530" s="38">
        <v>475715.62882482097</v>
      </c>
      <c r="L530" s="38">
        <f t="shared" si="43"/>
        <v>8276208.4551631045</v>
      </c>
      <c r="M530" s="41">
        <f>VLOOKUP(INDICADORES!$B$21,'DATOS GENERALES'!$K:$M,3,0)*F530</f>
        <v>74321.80710022377</v>
      </c>
      <c r="N530" s="38">
        <f t="shared" si="44"/>
        <v>8201886.6480628811</v>
      </c>
      <c r="O530" s="36"/>
      <c r="P530" s="36"/>
      <c r="Q530" s="36"/>
    </row>
    <row r="531" spans="1:17" x14ac:dyDescent="0.25">
      <c r="A531" s="36">
        <v>1884</v>
      </c>
      <c r="B531" s="37">
        <v>43497</v>
      </c>
      <c r="C531" s="37">
        <v>43558.109666313932</v>
      </c>
      <c r="D531" s="36" t="s">
        <v>212</v>
      </c>
      <c r="E531" s="36"/>
      <c r="F531" s="38">
        <v>10920000</v>
      </c>
      <c r="G531" s="40">
        <f>VLOOKUP(A531,'DATOS GENERALES'!A:B,2,0)</f>
        <v>5.0599999999999996</v>
      </c>
      <c r="H531" s="36">
        <f t="shared" si="40"/>
        <v>5.0367239999999995</v>
      </c>
      <c r="I531" s="38">
        <f t="shared" si="41"/>
        <v>2168075.9160120748</v>
      </c>
      <c r="J531" s="38">
        <f t="shared" si="42"/>
        <v>8751924.0839879252</v>
      </c>
      <c r="K531" s="38">
        <v>468646.62308429158</v>
      </c>
      <c r="L531" s="38">
        <f t="shared" si="43"/>
        <v>8283277.4609036334</v>
      </c>
      <c r="M531" s="41">
        <f>VLOOKUP(INDICADORES!$B$21,'DATOS GENERALES'!$K:$M,3,0)*F531</f>
        <v>74321.80710022377</v>
      </c>
      <c r="N531" s="38">
        <f t="shared" si="44"/>
        <v>8208955.65380341</v>
      </c>
      <c r="O531" s="36"/>
      <c r="P531" s="36"/>
      <c r="Q531" s="36"/>
    </row>
    <row r="532" spans="1:17" x14ac:dyDescent="0.25">
      <c r="A532" s="36">
        <v>1884</v>
      </c>
      <c r="B532" s="37">
        <v>43525</v>
      </c>
      <c r="C532" s="37">
        <v>43631.08249439676</v>
      </c>
      <c r="D532" s="36" t="s">
        <v>212</v>
      </c>
      <c r="E532" s="36"/>
      <c r="F532" s="38">
        <v>10920000</v>
      </c>
      <c r="G532" s="40">
        <f>VLOOKUP(A532,'DATOS GENERALES'!A:B,2,0)</f>
        <v>5.0599999999999996</v>
      </c>
      <c r="H532" s="36">
        <f t="shared" si="40"/>
        <v>5.0367239999999995</v>
      </c>
      <c r="I532" s="38">
        <f t="shared" si="41"/>
        <v>2168075.9160120748</v>
      </c>
      <c r="J532" s="38">
        <f t="shared" si="42"/>
        <v>8751924.0839879252</v>
      </c>
      <c r="K532" s="38">
        <v>339060.01923935203</v>
      </c>
      <c r="L532" s="38">
        <f t="shared" si="43"/>
        <v>8412864.064748574</v>
      </c>
      <c r="M532" s="41">
        <f>VLOOKUP(INDICADORES!$B$21,'DATOS GENERALES'!$K:$M,3,0)*F532</f>
        <v>74321.80710022377</v>
      </c>
      <c r="N532" s="38">
        <f t="shared" si="44"/>
        <v>8338542.2576483507</v>
      </c>
      <c r="O532" s="36"/>
      <c r="P532" s="36"/>
      <c r="Q532" s="36"/>
    </row>
    <row r="533" spans="1:17" x14ac:dyDescent="0.25">
      <c r="A533" s="36">
        <v>1884</v>
      </c>
      <c r="B533" s="37">
        <v>43556</v>
      </c>
      <c r="C533" s="37">
        <v>43614.647318570678</v>
      </c>
      <c r="D533" s="36" t="s">
        <v>212</v>
      </c>
      <c r="E533" s="36"/>
      <c r="F533" s="38">
        <v>10920000</v>
      </c>
      <c r="G533" s="40">
        <f>VLOOKUP(A533,'DATOS GENERALES'!A:B,2,0)</f>
        <v>5.0599999999999996</v>
      </c>
      <c r="H533" s="36">
        <f t="shared" si="40"/>
        <v>5.0367239999999995</v>
      </c>
      <c r="I533" s="38">
        <f t="shared" si="41"/>
        <v>2168075.9160120748</v>
      </c>
      <c r="J533" s="38">
        <f t="shared" si="42"/>
        <v>8751924.0839879252</v>
      </c>
      <c r="K533" s="38">
        <v>348579.25411278976</v>
      </c>
      <c r="L533" s="38">
        <f t="shared" si="43"/>
        <v>8403344.8298751358</v>
      </c>
      <c r="M533" s="41">
        <f>VLOOKUP(INDICADORES!$B$21,'DATOS GENERALES'!$K:$M,3,0)*F533</f>
        <v>74321.80710022377</v>
      </c>
      <c r="N533" s="38">
        <f t="shared" si="44"/>
        <v>8329023.0227749124</v>
      </c>
      <c r="O533" s="36"/>
      <c r="P533" s="36"/>
      <c r="Q533" s="36"/>
    </row>
    <row r="534" spans="1:17" x14ac:dyDescent="0.25">
      <c r="A534" s="36">
        <v>1884</v>
      </c>
      <c r="B534" s="37">
        <v>43586</v>
      </c>
      <c r="C534" s="37">
        <v>43646.496120465104</v>
      </c>
      <c r="D534" s="36" t="s">
        <v>212</v>
      </c>
      <c r="E534" s="36"/>
      <c r="F534" s="38">
        <v>10920000</v>
      </c>
      <c r="G534" s="40">
        <f>VLOOKUP(A534,'DATOS GENERALES'!A:B,2,0)</f>
        <v>5.0599999999999996</v>
      </c>
      <c r="H534" s="36">
        <f t="shared" si="40"/>
        <v>5.0367239999999995</v>
      </c>
      <c r="I534" s="38">
        <f t="shared" si="41"/>
        <v>2168075.9160120748</v>
      </c>
      <c r="J534" s="38">
        <f t="shared" si="42"/>
        <v>8751924.0839879252</v>
      </c>
      <c r="K534" s="38">
        <v>287553.50694613217</v>
      </c>
      <c r="L534" s="38">
        <f t="shared" si="43"/>
        <v>8464370.5770417936</v>
      </c>
      <c r="M534" s="41">
        <f>VLOOKUP(INDICADORES!$B$21,'DATOS GENERALES'!$K:$M,3,0)*F534</f>
        <v>74321.80710022377</v>
      </c>
      <c r="N534" s="38">
        <f t="shared" si="44"/>
        <v>8390048.7699415702</v>
      </c>
      <c r="O534" s="36"/>
      <c r="P534" s="36"/>
      <c r="Q534" s="36"/>
    </row>
    <row r="535" spans="1:17" x14ac:dyDescent="0.25">
      <c r="A535" s="36">
        <v>1884</v>
      </c>
      <c r="B535" s="37">
        <v>43617</v>
      </c>
      <c r="C535" s="37">
        <v>43680.321994250749</v>
      </c>
      <c r="D535" s="36" t="s">
        <v>212</v>
      </c>
      <c r="E535" s="36"/>
      <c r="F535" s="38">
        <v>10920000</v>
      </c>
      <c r="G535" s="40">
        <f>VLOOKUP(A535,'DATOS GENERALES'!A:B,2,0)</f>
        <v>5.0599999999999996</v>
      </c>
      <c r="H535" s="36">
        <f t="shared" si="40"/>
        <v>5.0367239999999995</v>
      </c>
      <c r="I535" s="38">
        <f t="shared" si="41"/>
        <v>2168075.9160120748</v>
      </c>
      <c r="J535" s="38">
        <f t="shared" si="42"/>
        <v>8751924.0839879252</v>
      </c>
      <c r="K535" s="38">
        <v>322980.49694383523</v>
      </c>
      <c r="L535" s="38">
        <f t="shared" si="43"/>
        <v>8428943.58704409</v>
      </c>
      <c r="M535" s="41">
        <f>VLOOKUP(INDICADORES!$B$21,'DATOS GENERALES'!$K:$M,3,0)*F535</f>
        <v>74321.80710022377</v>
      </c>
      <c r="N535" s="38">
        <f t="shared" si="44"/>
        <v>8354621.7799438667</v>
      </c>
      <c r="O535" s="36"/>
      <c r="P535" s="36"/>
      <c r="Q535" s="36"/>
    </row>
    <row r="536" spans="1:17" x14ac:dyDescent="0.25">
      <c r="A536" s="36">
        <v>1884</v>
      </c>
      <c r="B536" s="37">
        <v>43647</v>
      </c>
      <c r="C536" s="37">
        <v>43687.80337276389</v>
      </c>
      <c r="D536" s="36" t="s">
        <v>212</v>
      </c>
      <c r="E536" s="36"/>
      <c r="F536" s="38">
        <v>10920000</v>
      </c>
      <c r="G536" s="40">
        <f>VLOOKUP(A536,'DATOS GENERALES'!A:B,2,0)</f>
        <v>5.0599999999999996</v>
      </c>
      <c r="H536" s="36">
        <f t="shared" si="40"/>
        <v>5.0367239999999995</v>
      </c>
      <c r="I536" s="38">
        <f t="shared" si="41"/>
        <v>2168075.9160120748</v>
      </c>
      <c r="J536" s="38">
        <f t="shared" si="42"/>
        <v>8751924.0839879252</v>
      </c>
      <c r="K536" s="38">
        <v>560861.34841461398</v>
      </c>
      <c r="L536" s="38">
        <f t="shared" si="43"/>
        <v>8191062.7355733113</v>
      </c>
      <c r="M536" s="41">
        <f>VLOOKUP(INDICADORES!$B$21,'DATOS GENERALES'!$K:$M,3,0)*F536</f>
        <v>74321.80710022377</v>
      </c>
      <c r="N536" s="38">
        <f t="shared" si="44"/>
        <v>8116740.928473088</v>
      </c>
      <c r="O536" s="36"/>
      <c r="P536" s="36"/>
      <c r="Q536" s="36"/>
    </row>
    <row r="537" spans="1:17" x14ac:dyDescent="0.25">
      <c r="A537" s="36">
        <v>1884</v>
      </c>
      <c r="B537" s="37">
        <v>43678</v>
      </c>
      <c r="C537" s="37">
        <v>43722.346543528685</v>
      </c>
      <c r="D537" s="36" t="s">
        <v>212</v>
      </c>
      <c r="E537" s="36"/>
      <c r="F537" s="38">
        <v>10920000</v>
      </c>
      <c r="G537" s="40">
        <f>VLOOKUP(A537,'DATOS GENERALES'!A:B,2,0)</f>
        <v>5.0599999999999996</v>
      </c>
      <c r="H537" s="36">
        <f t="shared" si="40"/>
        <v>5.0367239999999995</v>
      </c>
      <c r="I537" s="38">
        <f t="shared" si="41"/>
        <v>2168075.9160120748</v>
      </c>
      <c r="J537" s="38">
        <f t="shared" si="42"/>
        <v>8751924.0839879252</v>
      </c>
      <c r="K537" s="38">
        <v>563195.44426150038</v>
      </c>
      <c r="L537" s="38">
        <f t="shared" si="43"/>
        <v>8188728.6397264246</v>
      </c>
      <c r="M537" s="41">
        <f>VLOOKUP(INDICADORES!$B$21,'DATOS GENERALES'!$K:$M,3,0)*F537</f>
        <v>74321.80710022377</v>
      </c>
      <c r="N537" s="38">
        <f t="shared" si="44"/>
        <v>8114406.8326262012</v>
      </c>
      <c r="O537" s="36"/>
      <c r="P537" s="36"/>
      <c r="Q537" s="36"/>
    </row>
    <row r="538" spans="1:17" x14ac:dyDescent="0.25">
      <c r="A538" s="36">
        <v>1884</v>
      </c>
      <c r="B538" s="37">
        <v>43709</v>
      </c>
      <c r="C538" s="37">
        <v>43788.181252792529</v>
      </c>
      <c r="D538" s="36" t="s">
        <v>212</v>
      </c>
      <c r="E538" s="36"/>
      <c r="F538" s="38">
        <v>10920000</v>
      </c>
      <c r="G538" s="40">
        <f>VLOOKUP(A538,'DATOS GENERALES'!A:B,2,0)</f>
        <v>5.0599999999999996</v>
      </c>
      <c r="H538" s="36">
        <f t="shared" si="40"/>
        <v>5.0367239999999995</v>
      </c>
      <c r="I538" s="38">
        <f t="shared" si="41"/>
        <v>2168075.9160120748</v>
      </c>
      <c r="J538" s="38">
        <f t="shared" si="42"/>
        <v>8751924.0839879252</v>
      </c>
      <c r="K538" s="38">
        <v>621633.29757427739</v>
      </c>
      <c r="L538" s="38">
        <f t="shared" si="43"/>
        <v>8130290.7864136482</v>
      </c>
      <c r="M538" s="41">
        <f>VLOOKUP(INDICADORES!$B$21,'DATOS GENERALES'!$K:$M,3,0)*F538</f>
        <v>74321.80710022377</v>
      </c>
      <c r="N538" s="38">
        <f t="shared" si="44"/>
        <v>8055968.9793134248</v>
      </c>
      <c r="O538" s="36"/>
      <c r="P538" s="36"/>
      <c r="Q538" s="36"/>
    </row>
    <row r="539" spans="1:17" x14ac:dyDescent="0.25">
      <c r="A539" s="36">
        <v>1884</v>
      </c>
      <c r="B539" s="37">
        <v>43739</v>
      </c>
      <c r="C539" s="37">
        <v>43821.673788160937</v>
      </c>
      <c r="D539" s="36" t="s">
        <v>212</v>
      </c>
      <c r="E539" s="36"/>
      <c r="F539" s="38">
        <v>10920000</v>
      </c>
      <c r="G539" s="40">
        <f>VLOOKUP(A539,'DATOS GENERALES'!A:B,2,0)</f>
        <v>5.0599999999999996</v>
      </c>
      <c r="H539" s="36">
        <f t="shared" si="40"/>
        <v>5.0367239999999995</v>
      </c>
      <c r="I539" s="38">
        <f t="shared" si="41"/>
        <v>2168075.9160120748</v>
      </c>
      <c r="J539" s="38">
        <f t="shared" si="42"/>
        <v>8751924.0839879252</v>
      </c>
      <c r="K539" s="38">
        <v>674623.34949926089</v>
      </c>
      <c r="L539" s="38">
        <f t="shared" si="43"/>
        <v>8077300.7344886642</v>
      </c>
      <c r="M539" s="41">
        <f>VLOOKUP(INDICADORES!$B$21,'DATOS GENERALES'!$K:$M,3,0)*F539</f>
        <v>74321.80710022377</v>
      </c>
      <c r="N539" s="38">
        <f t="shared" si="44"/>
        <v>8002978.9273884408</v>
      </c>
      <c r="O539" s="36"/>
      <c r="P539" s="36"/>
      <c r="Q539" s="36"/>
    </row>
    <row r="540" spans="1:17" x14ac:dyDescent="0.25">
      <c r="A540" s="36">
        <v>1884</v>
      </c>
      <c r="B540" s="37">
        <v>43770</v>
      </c>
      <c r="C540" s="37">
        <v>43858.211139792802</v>
      </c>
      <c r="D540" s="36" t="s">
        <v>212</v>
      </c>
      <c r="E540" s="36"/>
      <c r="F540" s="38">
        <v>10920000</v>
      </c>
      <c r="G540" s="40">
        <f>VLOOKUP(A540,'DATOS GENERALES'!A:B,2,0)</f>
        <v>5.0599999999999996</v>
      </c>
      <c r="H540" s="36">
        <f t="shared" si="40"/>
        <v>5.0367239999999995</v>
      </c>
      <c r="I540" s="38">
        <f t="shared" si="41"/>
        <v>2168075.9160120748</v>
      </c>
      <c r="J540" s="38">
        <f t="shared" si="42"/>
        <v>8751924.0839879252</v>
      </c>
      <c r="K540" s="38">
        <v>885305.84928367217</v>
      </c>
      <c r="L540" s="38">
        <f t="shared" si="43"/>
        <v>7866618.2347042533</v>
      </c>
      <c r="M540" s="41">
        <f>VLOOKUP(INDICADORES!$B$21,'DATOS GENERALES'!$K:$M,3,0)*F540</f>
        <v>74321.80710022377</v>
      </c>
      <c r="N540" s="38">
        <f t="shared" si="44"/>
        <v>7792296.4276040299</v>
      </c>
      <c r="O540" s="36"/>
      <c r="P540" s="36"/>
      <c r="Q540" s="36"/>
    </row>
    <row r="541" spans="1:17" x14ac:dyDescent="0.25">
      <c r="A541" s="36">
        <v>1884</v>
      </c>
      <c r="B541" s="37">
        <v>43800</v>
      </c>
      <c r="C541" s="37">
        <v>43858.08599921564</v>
      </c>
      <c r="D541" s="36" t="s">
        <v>212</v>
      </c>
      <c r="E541" s="36"/>
      <c r="F541" s="38">
        <v>10920000</v>
      </c>
      <c r="G541" s="40">
        <f>VLOOKUP(A541,'DATOS GENERALES'!A:B,2,0)</f>
        <v>5.0599999999999996</v>
      </c>
      <c r="H541" s="36">
        <f t="shared" si="40"/>
        <v>5.0367239999999995</v>
      </c>
      <c r="I541" s="38">
        <f t="shared" si="41"/>
        <v>2168075.9160120748</v>
      </c>
      <c r="J541" s="38">
        <f t="shared" si="42"/>
        <v>8751924.0839879252</v>
      </c>
      <c r="K541" s="38">
        <v>763620.14665470144</v>
      </c>
      <c r="L541" s="38">
        <f t="shared" si="43"/>
        <v>7988303.9373332234</v>
      </c>
      <c r="M541" s="41">
        <f>VLOOKUP(INDICADORES!$B$21,'DATOS GENERALES'!$K:$M,3,0)*F541</f>
        <v>74321.80710022377</v>
      </c>
      <c r="N541" s="38">
        <f t="shared" si="44"/>
        <v>7913982.130233</v>
      </c>
      <c r="O541" s="36"/>
      <c r="P541" s="36"/>
      <c r="Q541" s="36"/>
    </row>
    <row r="542" spans="1:17" x14ac:dyDescent="0.25">
      <c r="A542" s="36">
        <v>1884</v>
      </c>
      <c r="B542" s="37">
        <v>43831</v>
      </c>
      <c r="C542" s="37">
        <v>43873.158792064052</v>
      </c>
      <c r="D542" s="36" t="s">
        <v>212</v>
      </c>
      <c r="E542" s="36"/>
      <c r="F542" s="38">
        <v>10920000</v>
      </c>
      <c r="G542" s="40">
        <f>VLOOKUP(A542,'DATOS GENERALES'!A:B,2,0)</f>
        <v>5.0599999999999996</v>
      </c>
      <c r="H542" s="36">
        <f t="shared" si="40"/>
        <v>5.0367239999999995</v>
      </c>
      <c r="I542" s="38">
        <f t="shared" si="41"/>
        <v>2168075.9160120748</v>
      </c>
      <c r="J542" s="38">
        <f t="shared" si="42"/>
        <v>8751924.0839879252</v>
      </c>
      <c r="K542" s="38" t="s">
        <v>213</v>
      </c>
      <c r="L542" s="38" t="str">
        <f t="shared" si="43"/>
        <v/>
      </c>
      <c r="M542" s="41">
        <f>VLOOKUP(INDICADORES!$B$21,'DATOS GENERALES'!$K:$M,3,0)*F542</f>
        <v>74321.80710022377</v>
      </c>
      <c r="N542" s="38" t="str">
        <f t="shared" si="44"/>
        <v/>
      </c>
      <c r="O542" s="36"/>
      <c r="P542" s="36"/>
      <c r="Q542" s="36"/>
    </row>
    <row r="543" spans="1:17" x14ac:dyDescent="0.25">
      <c r="A543" s="36">
        <v>1791</v>
      </c>
      <c r="B543" s="37">
        <v>43466</v>
      </c>
      <c r="C543" s="37">
        <v>43542.228491712398</v>
      </c>
      <c r="D543" s="36" t="s">
        <v>212</v>
      </c>
      <c r="E543" s="36"/>
      <c r="F543" s="38">
        <v>60561853.894285716</v>
      </c>
      <c r="G543" s="40">
        <f>VLOOKUP(A543,'DATOS GENERALES'!A:B,2,0)</f>
        <v>2.06</v>
      </c>
      <c r="H543" s="36">
        <f t="shared" si="40"/>
        <v>2.0505239999999998</v>
      </c>
      <c r="I543" s="38">
        <f t="shared" si="41"/>
        <v>29534818.365591295</v>
      </c>
      <c r="J543" s="38">
        <f t="shared" si="42"/>
        <v>31027035.528694421</v>
      </c>
      <c r="K543" s="38">
        <v>6480480.9588299869</v>
      </c>
      <c r="L543" s="38">
        <f t="shared" si="43"/>
        <v>24546554.569864433</v>
      </c>
      <c r="M543" s="41">
        <f>VLOOKUP(INDICADORES!$B$21,'DATOS GENERALES'!$K:$M,3,0)*F543</f>
        <v>412185.56985009514</v>
      </c>
      <c r="N543" s="38">
        <f t="shared" si="44"/>
        <v>24134369.000014339</v>
      </c>
      <c r="O543" s="36"/>
      <c r="P543" s="36"/>
      <c r="Q543" s="36"/>
    </row>
    <row r="544" spans="1:17" x14ac:dyDescent="0.25">
      <c r="A544" s="36">
        <v>1791</v>
      </c>
      <c r="B544" s="37">
        <v>43497</v>
      </c>
      <c r="C544" s="37">
        <v>43580.661967954438</v>
      </c>
      <c r="D544" s="36" t="s">
        <v>212</v>
      </c>
      <c r="E544" s="36"/>
      <c r="F544" s="38">
        <v>60561853.894285716</v>
      </c>
      <c r="G544" s="40">
        <f>VLOOKUP(A544,'DATOS GENERALES'!A:B,2,0)</f>
        <v>2.06</v>
      </c>
      <c r="H544" s="36">
        <f t="shared" si="40"/>
        <v>2.0505239999999998</v>
      </c>
      <c r="I544" s="38">
        <f t="shared" si="41"/>
        <v>29534818.365591295</v>
      </c>
      <c r="J544" s="38">
        <f t="shared" si="42"/>
        <v>31027035.528694421</v>
      </c>
      <c r="K544" s="38">
        <v>6384182.7623369945</v>
      </c>
      <c r="L544" s="38">
        <f t="shared" si="43"/>
        <v>24642852.766357426</v>
      </c>
      <c r="M544" s="41">
        <f>VLOOKUP(INDICADORES!$B$21,'DATOS GENERALES'!$K:$M,3,0)*F544</f>
        <v>412185.56985009514</v>
      </c>
      <c r="N544" s="38">
        <f t="shared" si="44"/>
        <v>24230667.196507331</v>
      </c>
      <c r="O544" s="36"/>
      <c r="P544" s="36"/>
      <c r="Q544" s="36"/>
    </row>
    <row r="545" spans="1:17" x14ac:dyDescent="0.25">
      <c r="A545" s="36">
        <v>1791</v>
      </c>
      <c r="B545" s="37">
        <v>43525</v>
      </c>
      <c r="C545" s="37">
        <v>43598.074890713593</v>
      </c>
      <c r="D545" s="36" t="s">
        <v>212</v>
      </c>
      <c r="E545" s="36"/>
      <c r="F545" s="38">
        <v>60561853.894285716</v>
      </c>
      <c r="G545" s="40">
        <f>VLOOKUP(A545,'DATOS GENERALES'!A:B,2,0)</f>
        <v>2.06</v>
      </c>
      <c r="H545" s="36">
        <f t="shared" si="40"/>
        <v>2.0505239999999998</v>
      </c>
      <c r="I545" s="38">
        <f t="shared" si="41"/>
        <v>29534818.365591295</v>
      </c>
      <c r="J545" s="38">
        <f t="shared" si="42"/>
        <v>31027035.528694421</v>
      </c>
      <c r="K545" s="38">
        <v>4618877.0463757049</v>
      </c>
      <c r="L545" s="38">
        <f t="shared" si="43"/>
        <v>26408158.482318714</v>
      </c>
      <c r="M545" s="41">
        <f>VLOOKUP(INDICADORES!$B$21,'DATOS GENERALES'!$K:$M,3,0)*F545</f>
        <v>412185.56985009514</v>
      </c>
      <c r="N545" s="38">
        <f t="shared" si="44"/>
        <v>25995972.91246862</v>
      </c>
      <c r="O545" s="36"/>
      <c r="P545" s="36"/>
      <c r="Q545" s="36"/>
    </row>
    <row r="546" spans="1:17" x14ac:dyDescent="0.25">
      <c r="A546" s="36">
        <v>1791</v>
      </c>
      <c r="B546" s="37">
        <v>43556</v>
      </c>
      <c r="C546" s="37">
        <v>43632.654558649716</v>
      </c>
      <c r="D546" s="36" t="s">
        <v>212</v>
      </c>
      <c r="E546" s="36"/>
      <c r="F546" s="38">
        <v>60561853.894285716</v>
      </c>
      <c r="G546" s="40">
        <f>VLOOKUP(A546,'DATOS GENERALES'!A:B,2,0)</f>
        <v>2.06</v>
      </c>
      <c r="H546" s="36">
        <f t="shared" si="40"/>
        <v>2.0505239999999998</v>
      </c>
      <c r="I546" s="38">
        <f t="shared" si="41"/>
        <v>29534818.365591295</v>
      </c>
      <c r="J546" s="38">
        <f t="shared" si="42"/>
        <v>31027035.528694421</v>
      </c>
      <c r="K546" s="38">
        <v>4748553.7200059919</v>
      </c>
      <c r="L546" s="38">
        <f t="shared" si="43"/>
        <v>26278481.808688428</v>
      </c>
      <c r="M546" s="41">
        <f>VLOOKUP(INDICADORES!$B$21,'DATOS GENERALES'!$K:$M,3,0)*F546</f>
        <v>412185.56985009514</v>
      </c>
      <c r="N546" s="38">
        <f t="shared" si="44"/>
        <v>25866296.238838334</v>
      </c>
      <c r="O546" s="36"/>
      <c r="P546" s="36"/>
      <c r="Q546" s="36"/>
    </row>
    <row r="547" spans="1:17" x14ac:dyDescent="0.25">
      <c r="A547" s="36">
        <v>1791</v>
      </c>
      <c r="B547" s="37">
        <v>43586</v>
      </c>
      <c r="C547" s="37">
        <v>43642.684545617558</v>
      </c>
      <c r="D547" s="36" t="s">
        <v>212</v>
      </c>
      <c r="E547" s="36"/>
      <c r="F547" s="38">
        <v>60561853.894285716</v>
      </c>
      <c r="G547" s="40">
        <f>VLOOKUP(A547,'DATOS GENERALES'!A:B,2,0)</f>
        <v>2.06</v>
      </c>
      <c r="H547" s="36">
        <f t="shared" si="40"/>
        <v>2.0505239999999998</v>
      </c>
      <c r="I547" s="38">
        <f t="shared" si="41"/>
        <v>29534818.365591295</v>
      </c>
      <c r="J547" s="38">
        <f t="shared" si="42"/>
        <v>31027035.528694421</v>
      </c>
      <c r="K547" s="38">
        <v>3917224.7315326519</v>
      </c>
      <c r="L547" s="38">
        <f t="shared" si="43"/>
        <v>27109810.797161769</v>
      </c>
      <c r="M547" s="41">
        <f>VLOOKUP(INDICADORES!$B$21,'DATOS GENERALES'!$K:$M,3,0)*F547</f>
        <v>412185.56985009514</v>
      </c>
      <c r="N547" s="38">
        <f t="shared" si="44"/>
        <v>26697625.227311675</v>
      </c>
      <c r="O547" s="36"/>
      <c r="P547" s="36"/>
      <c r="Q547" s="36"/>
    </row>
    <row r="548" spans="1:17" x14ac:dyDescent="0.25">
      <c r="A548" s="36">
        <v>1791</v>
      </c>
      <c r="B548" s="37">
        <v>43617</v>
      </c>
      <c r="C548" s="37">
        <v>43673.984590983171</v>
      </c>
      <c r="D548" s="36" t="s">
        <v>212</v>
      </c>
      <c r="E548" s="36"/>
      <c r="F548" s="38">
        <v>60561853.894285716</v>
      </c>
      <c r="G548" s="40">
        <f>VLOOKUP(A548,'DATOS GENERALES'!A:B,2,0)</f>
        <v>2.06</v>
      </c>
      <c r="H548" s="36">
        <f t="shared" si="40"/>
        <v>2.0505239999999998</v>
      </c>
      <c r="I548" s="38">
        <f t="shared" si="41"/>
        <v>29534818.365591295</v>
      </c>
      <c r="J548" s="38">
        <f t="shared" si="42"/>
        <v>31027035.528694421</v>
      </c>
      <c r="K548" s="38">
        <v>4399832.2394590266</v>
      </c>
      <c r="L548" s="38">
        <f t="shared" si="43"/>
        <v>26627203.289235394</v>
      </c>
      <c r="M548" s="41">
        <f>VLOOKUP(INDICADORES!$B$21,'DATOS GENERALES'!$K:$M,3,0)*F548</f>
        <v>412185.56985009514</v>
      </c>
      <c r="N548" s="38">
        <f t="shared" si="44"/>
        <v>26215017.7193853</v>
      </c>
      <c r="O548" s="36"/>
      <c r="P548" s="36"/>
      <c r="Q548" s="36"/>
    </row>
    <row r="549" spans="1:17" x14ac:dyDescent="0.25">
      <c r="A549" s="36">
        <v>1791</v>
      </c>
      <c r="B549" s="37">
        <v>43647</v>
      </c>
      <c r="C549" s="37">
        <v>43693.905429138846</v>
      </c>
      <c r="D549" s="36" t="s">
        <v>212</v>
      </c>
      <c r="E549" s="36"/>
      <c r="F549" s="38">
        <v>60561853.894285716</v>
      </c>
      <c r="G549" s="40">
        <f>VLOOKUP(A549,'DATOS GENERALES'!A:B,2,0)</f>
        <v>2.06</v>
      </c>
      <c r="H549" s="36">
        <f t="shared" si="40"/>
        <v>2.0505239999999998</v>
      </c>
      <c r="I549" s="38">
        <f t="shared" si="41"/>
        <v>29534818.365591295</v>
      </c>
      <c r="J549" s="38">
        <f t="shared" si="42"/>
        <v>31027035.528694421</v>
      </c>
      <c r="K549" s="38">
        <v>7640386.5433713822</v>
      </c>
      <c r="L549" s="38">
        <f t="shared" si="43"/>
        <v>23386648.985323038</v>
      </c>
      <c r="M549" s="41">
        <f>VLOOKUP(INDICADORES!$B$21,'DATOS GENERALES'!$K:$M,3,0)*F549</f>
        <v>412185.56985009514</v>
      </c>
      <c r="N549" s="38">
        <f t="shared" si="44"/>
        <v>22974463.415472943</v>
      </c>
      <c r="O549" s="36"/>
      <c r="P549" s="36"/>
      <c r="Q549" s="36"/>
    </row>
    <row r="550" spans="1:17" x14ac:dyDescent="0.25">
      <c r="A550" s="36">
        <v>1791</v>
      </c>
      <c r="B550" s="37">
        <v>43678</v>
      </c>
      <c r="C550" s="37">
        <v>43734.314317010729</v>
      </c>
      <c r="D550" s="36" t="s">
        <v>212</v>
      </c>
      <c r="E550" s="36"/>
      <c r="F550" s="38">
        <v>60561853.894285716</v>
      </c>
      <c r="G550" s="40">
        <f>VLOOKUP(A550,'DATOS GENERALES'!A:B,2,0)</f>
        <v>2.06</v>
      </c>
      <c r="H550" s="36">
        <f t="shared" si="40"/>
        <v>2.0505239999999998</v>
      </c>
      <c r="I550" s="38">
        <f t="shared" si="41"/>
        <v>29534818.365591295</v>
      </c>
      <c r="J550" s="38">
        <f t="shared" si="42"/>
        <v>31027035.528694421</v>
      </c>
      <c r="K550" s="38">
        <v>7672182.9838818572</v>
      </c>
      <c r="L550" s="38">
        <f t="shared" si="43"/>
        <v>23354852.544812564</v>
      </c>
      <c r="M550" s="41">
        <f>VLOOKUP(INDICADORES!$B$21,'DATOS GENERALES'!$K:$M,3,0)*F550</f>
        <v>412185.56985009514</v>
      </c>
      <c r="N550" s="38">
        <f t="shared" si="44"/>
        <v>22942666.974962469</v>
      </c>
      <c r="O550" s="36"/>
      <c r="P550" s="36"/>
      <c r="Q550" s="36"/>
    </row>
    <row r="551" spans="1:17" x14ac:dyDescent="0.25">
      <c r="A551" s="36">
        <v>1791</v>
      </c>
      <c r="B551" s="37">
        <v>43709</v>
      </c>
      <c r="C551" s="37">
        <v>43766.821864939433</v>
      </c>
      <c r="D551" s="36" t="s">
        <v>212</v>
      </c>
      <c r="E551" s="36"/>
      <c r="F551" s="38">
        <v>60561853.894285716</v>
      </c>
      <c r="G551" s="40">
        <f>VLOOKUP(A551,'DATOS GENERALES'!A:B,2,0)</f>
        <v>2.06</v>
      </c>
      <c r="H551" s="36">
        <f t="shared" si="40"/>
        <v>2.0505239999999998</v>
      </c>
      <c r="I551" s="38">
        <f t="shared" si="41"/>
        <v>29534818.365591295</v>
      </c>
      <c r="J551" s="38">
        <f t="shared" si="42"/>
        <v>31027035.528694421</v>
      </c>
      <c r="K551" s="38">
        <v>8468258.1445905399</v>
      </c>
      <c r="L551" s="38">
        <f t="shared" si="43"/>
        <v>22558777.384103879</v>
      </c>
      <c r="M551" s="41">
        <f>VLOOKUP(INDICADORES!$B$21,'DATOS GENERALES'!$K:$M,3,0)*F551</f>
        <v>412185.56985009514</v>
      </c>
      <c r="N551" s="38">
        <f t="shared" si="44"/>
        <v>22146591.814253785</v>
      </c>
      <c r="O551" s="36"/>
      <c r="P551" s="36"/>
      <c r="Q551" s="36"/>
    </row>
    <row r="552" spans="1:17" x14ac:dyDescent="0.25">
      <c r="A552" s="36">
        <v>1791</v>
      </c>
      <c r="B552" s="37">
        <v>43739</v>
      </c>
      <c r="C552" s="37">
        <v>43798.972386690577</v>
      </c>
      <c r="D552" s="36" t="s">
        <v>212</v>
      </c>
      <c r="E552" s="36"/>
      <c r="F552" s="38">
        <v>60561853.894285716</v>
      </c>
      <c r="G552" s="40">
        <f>VLOOKUP(A552,'DATOS GENERALES'!A:B,2,0)</f>
        <v>2.06</v>
      </c>
      <c r="H552" s="36">
        <f t="shared" si="40"/>
        <v>2.0505239999999998</v>
      </c>
      <c r="I552" s="38">
        <f t="shared" si="41"/>
        <v>29534818.365591295</v>
      </c>
      <c r="J552" s="38">
        <f t="shared" si="42"/>
        <v>31027035.528694421</v>
      </c>
      <c r="K552" s="38">
        <v>9190120.1177941225</v>
      </c>
      <c r="L552" s="38">
        <f t="shared" si="43"/>
        <v>21836915.410900299</v>
      </c>
      <c r="M552" s="41">
        <f>VLOOKUP(INDICADORES!$B$21,'DATOS GENERALES'!$K:$M,3,0)*F552</f>
        <v>412185.56985009514</v>
      </c>
      <c r="N552" s="38">
        <f t="shared" si="44"/>
        <v>21424729.841050204</v>
      </c>
      <c r="O552" s="36"/>
      <c r="P552" s="36"/>
      <c r="Q552" s="36"/>
    </row>
    <row r="553" spans="1:17" x14ac:dyDescent="0.25">
      <c r="A553" s="36">
        <v>1791</v>
      </c>
      <c r="B553" s="37">
        <v>43770</v>
      </c>
      <c r="C553" s="37">
        <v>43818.797629341934</v>
      </c>
      <c r="D553" s="36" t="s">
        <v>212</v>
      </c>
      <c r="E553" s="36"/>
      <c r="F553" s="38">
        <v>60561853.894285716</v>
      </c>
      <c r="G553" s="40">
        <f>VLOOKUP(A553,'DATOS GENERALES'!A:B,2,0)</f>
        <v>2.06</v>
      </c>
      <c r="H553" s="36">
        <f t="shared" si="40"/>
        <v>2.0505239999999998</v>
      </c>
      <c r="I553" s="38">
        <f t="shared" si="41"/>
        <v>29534818.365591295</v>
      </c>
      <c r="J553" s="38">
        <f t="shared" si="42"/>
        <v>31027035.528694421</v>
      </c>
      <c r="K553" s="38">
        <v>12060162.314188624</v>
      </c>
      <c r="L553" s="38">
        <f t="shared" si="43"/>
        <v>18966873.214505799</v>
      </c>
      <c r="M553" s="41">
        <f>VLOOKUP(INDICADORES!$B$21,'DATOS GENERALES'!$K:$M,3,0)*F553</f>
        <v>412185.56985009514</v>
      </c>
      <c r="N553" s="38">
        <f t="shared" si="44"/>
        <v>18554687.644655704</v>
      </c>
      <c r="O553" s="36"/>
      <c r="P553" s="36"/>
      <c r="Q553" s="36"/>
    </row>
    <row r="554" spans="1:17" x14ac:dyDescent="0.25">
      <c r="A554" s="36">
        <v>1791</v>
      </c>
      <c r="B554" s="37">
        <v>43800</v>
      </c>
      <c r="C554" s="37">
        <v>43886.054229214737</v>
      </c>
      <c r="D554" s="36" t="s">
        <v>212</v>
      </c>
      <c r="E554" s="36"/>
      <c r="F554" s="38">
        <v>60561853.894285716</v>
      </c>
      <c r="G554" s="40">
        <f>VLOOKUP(A554,'DATOS GENERALES'!A:B,2,0)</f>
        <v>2.06</v>
      </c>
      <c r="H554" s="36">
        <f t="shared" si="40"/>
        <v>2.0505239999999998</v>
      </c>
      <c r="I554" s="38">
        <f t="shared" si="41"/>
        <v>29534818.365591295</v>
      </c>
      <c r="J554" s="38">
        <f t="shared" si="42"/>
        <v>31027035.528694421</v>
      </c>
      <c r="K554" s="38">
        <v>10402487.369186377</v>
      </c>
      <c r="L554" s="38">
        <f t="shared" si="43"/>
        <v>20624548.159508042</v>
      </c>
      <c r="M554" s="41">
        <f>VLOOKUP(INDICADORES!$B$21,'DATOS GENERALES'!$K:$M,3,0)*F554</f>
        <v>412185.56985009514</v>
      </c>
      <c r="N554" s="38">
        <f t="shared" si="44"/>
        <v>20212362.589657947</v>
      </c>
      <c r="O554" s="36"/>
      <c r="P554" s="36"/>
      <c r="Q554" s="36"/>
    </row>
    <row r="555" spans="1:17" x14ac:dyDescent="0.25">
      <c r="A555" s="36">
        <v>1453</v>
      </c>
      <c r="B555" s="37">
        <v>43466</v>
      </c>
      <c r="C555" s="37">
        <v>43557.871644515246</v>
      </c>
      <c r="D555" s="36" t="s">
        <v>212</v>
      </c>
      <c r="E555" s="36"/>
      <c r="F555" s="38">
        <v>15250000</v>
      </c>
      <c r="G555" s="40">
        <f>VLOOKUP(A555,'DATOS GENERALES'!A:B,2,0)</f>
        <v>2.0299999999999998</v>
      </c>
      <c r="H555" s="36">
        <f t="shared" si="40"/>
        <v>2.0206619999999997</v>
      </c>
      <c r="I555" s="38">
        <f t="shared" si="41"/>
        <v>7547031.6163712693</v>
      </c>
      <c r="J555" s="38">
        <f t="shared" si="42"/>
        <v>7702968.3836287307</v>
      </c>
      <c r="K555" s="38">
        <v>1655957.1851832091</v>
      </c>
      <c r="L555" s="38">
        <f t="shared" si="43"/>
        <v>6047011.1984455213</v>
      </c>
      <c r="M555" s="41">
        <f>VLOOKUP(INDICADORES!$B$21,'DATOS GENERALES'!$K:$M,3,0)*F555</f>
        <v>103791.90094124657</v>
      </c>
      <c r="N555" s="38">
        <f t="shared" si="44"/>
        <v>5943219.2975042751</v>
      </c>
      <c r="O555" s="36"/>
      <c r="P555" s="36"/>
      <c r="Q555" s="36"/>
    </row>
    <row r="556" spans="1:17" x14ac:dyDescent="0.25">
      <c r="A556" s="36">
        <v>1453</v>
      </c>
      <c r="B556" s="37">
        <v>43497</v>
      </c>
      <c r="C556" s="37">
        <v>43583.520776720288</v>
      </c>
      <c r="D556" s="36" t="s">
        <v>212</v>
      </c>
      <c r="E556" s="36"/>
      <c r="F556" s="38">
        <v>15250000</v>
      </c>
      <c r="G556" s="40">
        <f>VLOOKUP(A556,'DATOS GENERALES'!A:B,2,0)</f>
        <v>2.0299999999999998</v>
      </c>
      <c r="H556" s="36">
        <f t="shared" si="40"/>
        <v>2.0206619999999997</v>
      </c>
      <c r="I556" s="38">
        <f t="shared" si="41"/>
        <v>7547031.6163712693</v>
      </c>
      <c r="J556" s="38">
        <f t="shared" si="42"/>
        <v>7702968.3836287307</v>
      </c>
      <c r="K556" s="38">
        <v>1631350.1087307313</v>
      </c>
      <c r="L556" s="38">
        <f t="shared" si="43"/>
        <v>6071618.2748979991</v>
      </c>
      <c r="M556" s="41">
        <f>VLOOKUP(INDICADORES!$B$21,'DATOS GENERALES'!$K:$M,3,0)*F556</f>
        <v>103791.90094124657</v>
      </c>
      <c r="N556" s="38">
        <f t="shared" si="44"/>
        <v>5967826.3739567529</v>
      </c>
      <c r="O556" s="36"/>
      <c r="P556" s="36"/>
      <c r="Q556" s="36"/>
    </row>
    <row r="557" spans="1:17" x14ac:dyDescent="0.25">
      <c r="A557" s="36">
        <v>1453</v>
      </c>
      <c r="B557" s="37">
        <v>43525</v>
      </c>
      <c r="C557" s="37">
        <v>43572.274680648428</v>
      </c>
      <c r="D557" s="36" t="s">
        <v>212</v>
      </c>
      <c r="E557" s="36"/>
      <c r="F557" s="38">
        <v>15250000</v>
      </c>
      <c r="G557" s="40">
        <f>VLOOKUP(A557,'DATOS GENERALES'!A:B,2,0)</f>
        <v>2.0299999999999998</v>
      </c>
      <c r="H557" s="36">
        <f t="shared" si="40"/>
        <v>2.0206619999999997</v>
      </c>
      <c r="I557" s="38">
        <f t="shared" si="41"/>
        <v>7547031.6163712693</v>
      </c>
      <c r="J557" s="38">
        <f t="shared" si="42"/>
        <v>7702968.3836287307</v>
      </c>
      <c r="K557" s="38">
        <v>1180261.5702468739</v>
      </c>
      <c r="L557" s="38">
        <f t="shared" si="43"/>
        <v>6522706.8133818563</v>
      </c>
      <c r="M557" s="41">
        <f>VLOOKUP(INDICADORES!$B$21,'DATOS GENERALES'!$K:$M,3,0)*F557</f>
        <v>103791.90094124657</v>
      </c>
      <c r="N557" s="38">
        <f t="shared" si="44"/>
        <v>6418914.9124406101</v>
      </c>
      <c r="O557" s="36"/>
      <c r="P557" s="36"/>
      <c r="Q557" s="36"/>
    </row>
    <row r="558" spans="1:17" x14ac:dyDescent="0.25">
      <c r="A558" s="36">
        <v>1453</v>
      </c>
      <c r="B558" s="37">
        <v>43556</v>
      </c>
      <c r="C558" s="37">
        <v>43605.856678580829</v>
      </c>
      <c r="D558" s="36" t="s">
        <v>212</v>
      </c>
      <c r="E558" s="36"/>
      <c r="F558" s="38">
        <v>15250000</v>
      </c>
      <c r="G558" s="40">
        <f>VLOOKUP(A558,'DATOS GENERALES'!A:B,2,0)</f>
        <v>2.0299999999999998</v>
      </c>
      <c r="H558" s="36">
        <f t="shared" si="40"/>
        <v>2.0206619999999997</v>
      </c>
      <c r="I558" s="38">
        <f t="shared" si="41"/>
        <v>7547031.6163712693</v>
      </c>
      <c r="J558" s="38">
        <f t="shared" si="42"/>
        <v>7702968.3836287307</v>
      </c>
      <c r="K558" s="38">
        <v>1213397.8483739072</v>
      </c>
      <c r="L558" s="38">
        <f t="shared" si="43"/>
        <v>6489570.535254823</v>
      </c>
      <c r="M558" s="41">
        <f>VLOOKUP(INDICADORES!$B$21,'DATOS GENERALES'!$K:$M,3,0)*F558</f>
        <v>103791.90094124657</v>
      </c>
      <c r="N558" s="38">
        <f t="shared" si="44"/>
        <v>6385778.6343135769</v>
      </c>
      <c r="O558" s="36"/>
      <c r="P558" s="36"/>
      <c r="Q558" s="36"/>
    </row>
    <row r="559" spans="1:17" x14ac:dyDescent="0.25">
      <c r="A559" s="36">
        <v>1453</v>
      </c>
      <c r="B559" s="37">
        <v>43586</v>
      </c>
      <c r="C559" s="37">
        <v>43674.343074578981</v>
      </c>
      <c r="D559" s="36" t="s">
        <v>212</v>
      </c>
      <c r="E559" s="36"/>
      <c r="F559" s="38">
        <v>15250000</v>
      </c>
      <c r="G559" s="40">
        <f>VLOOKUP(A559,'DATOS GENERALES'!A:B,2,0)</f>
        <v>2.0299999999999998</v>
      </c>
      <c r="H559" s="36">
        <f t="shared" si="40"/>
        <v>2.0206619999999997</v>
      </c>
      <c r="I559" s="38">
        <f t="shared" si="41"/>
        <v>7547031.6163712693</v>
      </c>
      <c r="J559" s="38">
        <f t="shared" si="42"/>
        <v>7702968.3836287307</v>
      </c>
      <c r="K559" s="38">
        <v>1000968.3666025319</v>
      </c>
      <c r="L559" s="38">
        <f t="shared" si="43"/>
        <v>6702000.017026199</v>
      </c>
      <c r="M559" s="41">
        <f>VLOOKUP(INDICADORES!$B$21,'DATOS GENERALES'!$K:$M,3,0)*F559</f>
        <v>103791.90094124657</v>
      </c>
      <c r="N559" s="38">
        <f t="shared" si="44"/>
        <v>6598208.1160849528</v>
      </c>
      <c r="O559" s="36"/>
      <c r="P559" s="36"/>
      <c r="Q559" s="36"/>
    </row>
    <row r="560" spans="1:17" x14ac:dyDescent="0.25">
      <c r="A560" s="36">
        <v>1453</v>
      </c>
      <c r="B560" s="37">
        <v>43617</v>
      </c>
      <c r="C560" s="37">
        <v>43698.325068259852</v>
      </c>
      <c r="D560" s="36" t="s">
        <v>212</v>
      </c>
      <c r="E560" s="36"/>
      <c r="F560" s="38">
        <v>15250000</v>
      </c>
      <c r="G560" s="40">
        <f>VLOOKUP(A560,'DATOS GENERALES'!A:B,2,0)</f>
        <v>2.0299999999999998</v>
      </c>
      <c r="H560" s="36">
        <f t="shared" si="40"/>
        <v>2.0206619999999997</v>
      </c>
      <c r="I560" s="38">
        <f t="shared" si="41"/>
        <v>7547031.6163712693</v>
      </c>
      <c r="J560" s="38">
        <f t="shared" si="42"/>
        <v>7702968.3836287307</v>
      </c>
      <c r="K560" s="38">
        <v>1124289.054596395</v>
      </c>
      <c r="L560" s="38">
        <f t="shared" si="43"/>
        <v>6578679.3290323354</v>
      </c>
      <c r="M560" s="41">
        <f>VLOOKUP(INDICADORES!$B$21,'DATOS GENERALES'!$K:$M,3,0)*F560</f>
        <v>103791.90094124657</v>
      </c>
      <c r="N560" s="38">
        <f t="shared" si="44"/>
        <v>6474887.4280910892</v>
      </c>
      <c r="O560" s="36"/>
      <c r="P560" s="36"/>
      <c r="Q560" s="36"/>
    </row>
    <row r="561" spans="1:17" x14ac:dyDescent="0.25">
      <c r="A561" s="36">
        <v>1453</v>
      </c>
      <c r="B561" s="37">
        <v>43647</v>
      </c>
      <c r="C561" s="37">
        <v>43685.797903869345</v>
      </c>
      <c r="D561" s="36" t="s">
        <v>212</v>
      </c>
      <c r="E561" s="36"/>
      <c r="F561" s="38">
        <v>15250000</v>
      </c>
      <c r="G561" s="40">
        <f>VLOOKUP(A561,'DATOS GENERALES'!A:B,2,0)</f>
        <v>2.0299999999999998</v>
      </c>
      <c r="H561" s="36">
        <f t="shared" si="40"/>
        <v>2.0206619999999997</v>
      </c>
      <c r="I561" s="38">
        <f t="shared" si="41"/>
        <v>7547031.6163712693</v>
      </c>
      <c r="J561" s="38">
        <f t="shared" si="42"/>
        <v>7702968.3836287307</v>
      </c>
      <c r="K561" s="38">
        <v>1952347.8387562789</v>
      </c>
      <c r="L561" s="38">
        <f t="shared" si="43"/>
        <v>5750620.5448724516</v>
      </c>
      <c r="M561" s="41">
        <f>VLOOKUP(INDICADORES!$B$21,'DATOS GENERALES'!$K:$M,3,0)*F561</f>
        <v>103791.90094124657</v>
      </c>
      <c r="N561" s="38">
        <f t="shared" si="44"/>
        <v>5646828.6439312054</v>
      </c>
      <c r="O561" s="36"/>
      <c r="P561" s="36"/>
      <c r="Q561" s="36"/>
    </row>
    <row r="562" spans="1:17" x14ac:dyDescent="0.25">
      <c r="A562" s="36">
        <v>1453</v>
      </c>
      <c r="B562" s="37">
        <v>43678</v>
      </c>
      <c r="C562" s="37">
        <v>43723.04094197286</v>
      </c>
      <c r="D562" s="36" t="s">
        <v>212</v>
      </c>
      <c r="E562" s="36"/>
      <c r="F562" s="38">
        <v>15250000</v>
      </c>
      <c r="G562" s="40">
        <f>VLOOKUP(A562,'DATOS GENERALES'!A:B,2,0)</f>
        <v>2.0299999999999998</v>
      </c>
      <c r="H562" s="36">
        <f t="shared" si="40"/>
        <v>2.0206619999999997</v>
      </c>
      <c r="I562" s="38">
        <f t="shared" si="41"/>
        <v>7547031.6163712693</v>
      </c>
      <c r="J562" s="38">
        <f t="shared" si="42"/>
        <v>7702968.3836287307</v>
      </c>
      <c r="K562" s="38">
        <v>1960472.7826394683</v>
      </c>
      <c r="L562" s="38">
        <f t="shared" si="43"/>
        <v>5742495.6009892626</v>
      </c>
      <c r="M562" s="41">
        <f>VLOOKUP(INDICADORES!$B$21,'DATOS GENERALES'!$K:$M,3,0)*F562</f>
        <v>103791.90094124657</v>
      </c>
      <c r="N562" s="38">
        <f t="shared" si="44"/>
        <v>5638703.7000480164</v>
      </c>
      <c r="O562" s="36"/>
      <c r="P562" s="36"/>
      <c r="Q562" s="36"/>
    </row>
    <row r="563" spans="1:17" x14ac:dyDescent="0.25">
      <c r="A563" s="36">
        <v>1453</v>
      </c>
      <c r="B563" s="37">
        <v>43709</v>
      </c>
      <c r="C563" s="37">
        <v>43755.183940287396</v>
      </c>
      <c r="D563" s="36" t="s">
        <v>212</v>
      </c>
      <c r="E563" s="36"/>
      <c r="F563" s="38">
        <v>15250000</v>
      </c>
      <c r="G563" s="40">
        <f>VLOOKUP(A563,'DATOS GENERALES'!A:B,2,0)</f>
        <v>2.0299999999999998</v>
      </c>
      <c r="H563" s="36">
        <f t="shared" si="40"/>
        <v>2.0206619999999997</v>
      </c>
      <c r="I563" s="38">
        <f t="shared" si="41"/>
        <v>7547031.6163712693</v>
      </c>
      <c r="J563" s="38">
        <f t="shared" si="42"/>
        <v>7702968.3836287307</v>
      </c>
      <c r="K563" s="38">
        <v>2163893.8544235332</v>
      </c>
      <c r="L563" s="38">
        <f t="shared" si="43"/>
        <v>5539074.5292051975</v>
      </c>
      <c r="M563" s="41">
        <f>VLOOKUP(INDICADORES!$B$21,'DATOS GENERALES'!$K:$M,3,0)*F563</f>
        <v>103791.90094124657</v>
      </c>
      <c r="N563" s="38">
        <f t="shared" si="44"/>
        <v>5435282.6282639513</v>
      </c>
      <c r="O563" s="36"/>
      <c r="P563" s="36"/>
      <c r="Q563" s="36"/>
    </row>
    <row r="564" spans="1:17" x14ac:dyDescent="0.25">
      <c r="A564" s="36">
        <v>1453</v>
      </c>
      <c r="B564" s="37">
        <v>43739</v>
      </c>
      <c r="C564" s="37">
        <v>43785.313981251857</v>
      </c>
      <c r="D564" s="36" t="s">
        <v>212</v>
      </c>
      <c r="E564" s="36"/>
      <c r="F564" s="38">
        <v>15250000</v>
      </c>
      <c r="G564" s="40">
        <f>VLOOKUP(A564,'DATOS GENERALES'!A:B,2,0)</f>
        <v>2.0299999999999998</v>
      </c>
      <c r="H564" s="36">
        <f t="shared" si="40"/>
        <v>2.0206619999999997</v>
      </c>
      <c r="I564" s="38">
        <f t="shared" si="41"/>
        <v>7547031.6163712693</v>
      </c>
      <c r="J564" s="38">
        <f t="shared" si="42"/>
        <v>7702968.3836287307</v>
      </c>
      <c r="K564" s="38">
        <v>2348351.2317125206</v>
      </c>
      <c r="L564" s="38">
        <f t="shared" si="43"/>
        <v>5354617.1519162096</v>
      </c>
      <c r="M564" s="41">
        <f>VLOOKUP(INDICADORES!$B$21,'DATOS GENERALES'!$K:$M,3,0)*F564</f>
        <v>103791.90094124657</v>
      </c>
      <c r="N564" s="38">
        <f t="shared" si="44"/>
        <v>5250825.2509749634</v>
      </c>
      <c r="O564" s="36"/>
      <c r="P564" s="36"/>
      <c r="Q564" s="36"/>
    </row>
    <row r="565" spans="1:17" x14ac:dyDescent="0.25">
      <c r="A565" s="36">
        <v>1453</v>
      </c>
      <c r="B565" s="37">
        <v>43770</v>
      </c>
      <c r="C565" s="37">
        <v>43815.118812905137</v>
      </c>
      <c r="D565" s="36" t="s">
        <v>212</v>
      </c>
      <c r="E565" s="36"/>
      <c r="F565" s="38">
        <v>15250000</v>
      </c>
      <c r="G565" s="40">
        <f>VLOOKUP(A565,'DATOS GENERALES'!A:B,2,0)</f>
        <v>2.0299999999999998</v>
      </c>
      <c r="H565" s="36">
        <f t="shared" si="40"/>
        <v>2.0206619999999997</v>
      </c>
      <c r="I565" s="38">
        <f t="shared" si="41"/>
        <v>7547031.6163712693</v>
      </c>
      <c r="J565" s="38">
        <f t="shared" si="42"/>
        <v>7702968.3836287307</v>
      </c>
      <c r="K565" s="38">
        <v>3081733.063569109</v>
      </c>
      <c r="L565" s="38">
        <f t="shared" si="43"/>
        <v>4621235.3200596217</v>
      </c>
      <c r="M565" s="41">
        <f>VLOOKUP(INDICADORES!$B$21,'DATOS GENERALES'!$K:$M,3,0)*F565</f>
        <v>103791.90094124657</v>
      </c>
      <c r="N565" s="38">
        <f t="shared" si="44"/>
        <v>4517443.4191183755</v>
      </c>
      <c r="O565" s="36"/>
      <c r="P565" s="36"/>
      <c r="Q565" s="36"/>
    </row>
    <row r="566" spans="1:17" x14ac:dyDescent="0.25">
      <c r="A566" s="36">
        <v>1453</v>
      </c>
      <c r="B566" s="37">
        <v>43800</v>
      </c>
      <c r="C566" s="37">
        <v>43880.514976256025</v>
      </c>
      <c r="D566" s="36" t="s">
        <v>212</v>
      </c>
      <c r="E566" s="36"/>
      <c r="F566" s="38">
        <v>15250000</v>
      </c>
      <c r="G566" s="40">
        <f>VLOOKUP(A566,'DATOS GENERALES'!A:B,2,0)</f>
        <v>2.0299999999999998</v>
      </c>
      <c r="H566" s="36">
        <f t="shared" si="40"/>
        <v>2.0206619999999997</v>
      </c>
      <c r="I566" s="38">
        <f t="shared" si="41"/>
        <v>7547031.6163712693</v>
      </c>
      <c r="J566" s="38">
        <f t="shared" si="42"/>
        <v>7702968.3836287307</v>
      </c>
      <c r="K566" s="38">
        <v>2658147.4140912876</v>
      </c>
      <c r="L566" s="38">
        <f t="shared" si="43"/>
        <v>5044820.9695374426</v>
      </c>
      <c r="M566" s="41">
        <f>VLOOKUP(INDICADORES!$B$21,'DATOS GENERALES'!$K:$M,3,0)*F566</f>
        <v>103791.90094124657</v>
      </c>
      <c r="N566" s="38">
        <f t="shared" si="44"/>
        <v>4941029.0685961964</v>
      </c>
      <c r="O566" s="36"/>
      <c r="P566" s="36"/>
      <c r="Q566" s="36"/>
    </row>
    <row r="567" spans="1:17" x14ac:dyDescent="0.25">
      <c r="A567" s="36">
        <v>1826</v>
      </c>
      <c r="B567" s="37">
        <v>43466</v>
      </c>
      <c r="C567" s="37">
        <v>43502.978851896354</v>
      </c>
      <c r="D567" s="36" t="s">
        <v>212</v>
      </c>
      <c r="E567" s="36"/>
      <c r="F567" s="38">
        <v>20341421</v>
      </c>
      <c r="G567" s="40">
        <f>VLOOKUP(A567,'DATOS GENERALES'!A:B,2,0)</f>
        <v>2.62</v>
      </c>
      <c r="H567" s="36">
        <f t="shared" si="40"/>
        <v>2.6079479999999999</v>
      </c>
      <c r="I567" s="38">
        <f t="shared" si="41"/>
        <v>7799780.1336529721</v>
      </c>
      <c r="J567" s="38">
        <f t="shared" si="42"/>
        <v>12541640.866347028</v>
      </c>
      <c r="K567" s="38">
        <v>1711414.8464879699</v>
      </c>
      <c r="L567" s="38">
        <f t="shared" si="43"/>
        <v>10830226.019859059</v>
      </c>
      <c r="M567" s="41">
        <f>VLOOKUP(INDICADORES!$B$21,'DATOS GENERALES'!$K:$M,3,0)*F567</f>
        <v>138444.24612696347</v>
      </c>
      <c r="N567" s="38">
        <f t="shared" si="44"/>
        <v>10691781.773732096</v>
      </c>
      <c r="O567" s="36"/>
      <c r="P567" s="36"/>
      <c r="Q567" s="36"/>
    </row>
    <row r="568" spans="1:17" x14ac:dyDescent="0.25">
      <c r="A568" s="36">
        <v>1826</v>
      </c>
      <c r="B568" s="37">
        <v>43497</v>
      </c>
      <c r="C568" s="37">
        <v>43549.584518678312</v>
      </c>
      <c r="D568" s="36" t="s">
        <v>212</v>
      </c>
      <c r="E568" s="36"/>
      <c r="F568" s="38">
        <v>20341421</v>
      </c>
      <c r="G568" s="40">
        <f>VLOOKUP(A568,'DATOS GENERALES'!A:B,2,0)</f>
        <v>2.62</v>
      </c>
      <c r="H568" s="36">
        <f t="shared" si="40"/>
        <v>2.6079479999999999</v>
      </c>
      <c r="I568" s="38">
        <f t="shared" si="41"/>
        <v>7799780.1336529721</v>
      </c>
      <c r="J568" s="38">
        <f t="shared" si="42"/>
        <v>12541640.866347028</v>
      </c>
      <c r="K568" s="38">
        <v>1685983.6841691348</v>
      </c>
      <c r="L568" s="38">
        <f t="shared" si="43"/>
        <v>10855657.182177894</v>
      </c>
      <c r="M568" s="41">
        <f>VLOOKUP(INDICADORES!$B$21,'DATOS GENERALES'!$K:$M,3,0)*F568</f>
        <v>138444.24612696347</v>
      </c>
      <c r="N568" s="38">
        <f t="shared" si="44"/>
        <v>10717212.936050931</v>
      </c>
      <c r="O568" s="36"/>
      <c r="P568" s="36"/>
      <c r="Q568" s="36"/>
    </row>
    <row r="569" spans="1:17" x14ac:dyDescent="0.25">
      <c r="A569" s="36">
        <v>1826</v>
      </c>
      <c r="B569" s="37">
        <v>43525</v>
      </c>
      <c r="C569" s="37">
        <v>43598.651723149211</v>
      </c>
      <c r="D569" s="36" t="s">
        <v>212</v>
      </c>
      <c r="E569" s="36"/>
      <c r="F569" s="38">
        <v>20341421</v>
      </c>
      <c r="G569" s="40">
        <f>VLOOKUP(A569,'DATOS GENERALES'!A:B,2,0)</f>
        <v>2.62</v>
      </c>
      <c r="H569" s="36">
        <f t="shared" si="40"/>
        <v>2.6079479999999999</v>
      </c>
      <c r="I569" s="38">
        <f t="shared" si="41"/>
        <v>7799780.1336529721</v>
      </c>
      <c r="J569" s="38">
        <f t="shared" si="42"/>
        <v>12541640.866347028</v>
      </c>
      <c r="K569" s="38">
        <v>1219788.2844635427</v>
      </c>
      <c r="L569" s="38">
        <f t="shared" si="43"/>
        <v>11321852.581883484</v>
      </c>
      <c r="M569" s="41">
        <f>VLOOKUP(INDICADORES!$B$21,'DATOS GENERALES'!$K:$M,3,0)*F569</f>
        <v>138444.24612696347</v>
      </c>
      <c r="N569" s="38">
        <f t="shared" si="44"/>
        <v>11183408.335756522</v>
      </c>
      <c r="O569" s="36"/>
      <c r="P569" s="36"/>
      <c r="Q569" s="36"/>
    </row>
    <row r="570" spans="1:17" x14ac:dyDescent="0.25">
      <c r="A570" s="36">
        <v>1858</v>
      </c>
      <c r="B570" s="37">
        <v>43466</v>
      </c>
      <c r="C570" s="37">
        <v>43527.140814978768</v>
      </c>
      <c r="D570" s="36" t="s">
        <v>212</v>
      </c>
      <c r="E570" s="36"/>
      <c r="F570" s="38">
        <v>118601976.15000001</v>
      </c>
      <c r="G570" s="40">
        <f>VLOOKUP(A570,'DATOS GENERALES'!A:B,2,0)</f>
        <v>0.73</v>
      </c>
      <c r="H570" s="36">
        <f t="shared" si="40"/>
        <v>0.7266419999999999</v>
      </c>
      <c r="I570" s="38">
        <f t="shared" si="41"/>
        <v>163219269.11739209</v>
      </c>
      <c r="J570" s="38">
        <f t="shared" si="42"/>
        <v>-44617292.967392087</v>
      </c>
      <c r="K570" s="38">
        <v>35813301.864137962</v>
      </c>
      <c r="L570" s="38">
        <f t="shared" si="43"/>
        <v>-80430594.831530049</v>
      </c>
      <c r="M570" s="41">
        <f>VLOOKUP(INDICADORES!$B$21,'DATOS GENERALES'!$K:$M,3,0)*F570</f>
        <v>807208.16786864842</v>
      </c>
      <c r="N570" s="38">
        <f t="shared" si="44"/>
        <v>-81237802.999398693</v>
      </c>
      <c r="O570" s="36"/>
      <c r="P570" s="36"/>
      <c r="Q570" s="36"/>
    </row>
    <row r="571" spans="1:17" x14ac:dyDescent="0.25">
      <c r="A571" s="36">
        <v>1858</v>
      </c>
      <c r="B571" s="37">
        <v>43497</v>
      </c>
      <c r="C571" s="37">
        <v>43578.569469613292</v>
      </c>
      <c r="D571" s="36" t="s">
        <v>212</v>
      </c>
      <c r="E571" s="36"/>
      <c r="F571" s="38">
        <v>197669960.25</v>
      </c>
      <c r="G571" s="40">
        <f>VLOOKUP(A571,'DATOS GENERALES'!A:B,2,0)</f>
        <v>0.73</v>
      </c>
      <c r="H571" s="36">
        <f t="shared" si="40"/>
        <v>0.7266419999999999</v>
      </c>
      <c r="I571" s="38">
        <f t="shared" si="41"/>
        <v>272032115.19565344</v>
      </c>
      <c r="J571" s="38">
        <f t="shared" si="42"/>
        <v>-74362154.945653439</v>
      </c>
      <c r="K571" s="38">
        <v>58801876.454315983</v>
      </c>
      <c r="L571" s="38">
        <f t="shared" si="43"/>
        <v>-133164031.39996943</v>
      </c>
      <c r="M571" s="41">
        <f>VLOOKUP(INDICADORES!$B$21,'DATOS GENERALES'!$K:$M,3,0)*F571</f>
        <v>1345346.9464477473</v>
      </c>
      <c r="N571" s="38">
        <f t="shared" si="44"/>
        <v>-134509378.34641719</v>
      </c>
      <c r="O571" s="36"/>
      <c r="P571" s="36"/>
      <c r="Q571" s="36"/>
    </row>
    <row r="572" spans="1:17" x14ac:dyDescent="0.25">
      <c r="A572" s="36">
        <v>1858</v>
      </c>
      <c r="B572" s="37">
        <v>43525</v>
      </c>
      <c r="C572" s="37">
        <v>43588.070213989871</v>
      </c>
      <c r="D572" s="36" t="s">
        <v>212</v>
      </c>
      <c r="E572" s="36"/>
      <c r="F572" s="38">
        <v>171313965.55000007</v>
      </c>
      <c r="G572" s="40">
        <f>VLOOKUP(A572,'DATOS GENERALES'!A:B,2,0)</f>
        <v>0.73</v>
      </c>
      <c r="H572" s="36">
        <f t="shared" si="40"/>
        <v>0.7266419999999999</v>
      </c>
      <c r="I572" s="38">
        <f t="shared" si="41"/>
        <v>235761166.50289977</v>
      </c>
      <c r="J572" s="38">
        <f t="shared" si="42"/>
        <v>-64447200.952899694</v>
      </c>
      <c r="K572" s="38">
        <v>36870104.529088855</v>
      </c>
      <c r="L572" s="38">
        <f t="shared" si="43"/>
        <v>-101317305.48198855</v>
      </c>
      <c r="M572" s="41">
        <f>VLOOKUP(INDICADORES!$B$21,'DATOS GENERALES'!$K:$M,3,0)*F572</f>
        <v>1165967.3535880481</v>
      </c>
      <c r="N572" s="38">
        <f t="shared" si="44"/>
        <v>-102483272.83557659</v>
      </c>
      <c r="O572" s="36"/>
      <c r="P572" s="36"/>
      <c r="Q572" s="36"/>
    </row>
    <row r="573" spans="1:17" x14ac:dyDescent="0.25">
      <c r="A573" s="36">
        <v>1858</v>
      </c>
      <c r="B573" s="37">
        <v>43556</v>
      </c>
      <c r="C573" s="37">
        <v>43620.478248179803</v>
      </c>
      <c r="D573" s="36" t="s">
        <v>212</v>
      </c>
      <c r="E573" s="36"/>
      <c r="F573" s="38">
        <v>210847957.5999999</v>
      </c>
      <c r="G573" s="40">
        <f>VLOOKUP(A573,'DATOS GENERALES'!A:B,2,0)</f>
        <v>0.73</v>
      </c>
      <c r="H573" s="36">
        <f t="shared" si="40"/>
        <v>0.7266419999999999</v>
      </c>
      <c r="I573" s="38">
        <f t="shared" si="41"/>
        <v>290167589.54203022</v>
      </c>
      <c r="J573" s="38">
        <f t="shared" si="42"/>
        <v>-79319631.942030311</v>
      </c>
      <c r="K573" s="38">
        <v>46652610.816467233</v>
      </c>
      <c r="L573" s="38">
        <f t="shared" si="43"/>
        <v>-125972242.75849754</v>
      </c>
      <c r="M573" s="41">
        <f>VLOOKUP(INDICADORES!$B$21,'DATOS GENERALES'!$K:$M,3,0)*F573</f>
        <v>1435036.7428775965</v>
      </c>
      <c r="N573" s="38">
        <f t="shared" si="44"/>
        <v>-127407279.50137514</v>
      </c>
      <c r="O573" s="36"/>
      <c r="P573" s="36"/>
      <c r="Q573" s="36"/>
    </row>
    <row r="574" spans="1:17" x14ac:dyDescent="0.25">
      <c r="A574" s="36">
        <v>1848</v>
      </c>
      <c r="B574" s="37">
        <v>43466</v>
      </c>
      <c r="C574" s="37">
        <v>43553.732497928911</v>
      </c>
      <c r="D574" s="36" t="s">
        <v>212</v>
      </c>
      <c r="E574" s="36"/>
      <c r="F574" s="38">
        <v>12773052.833333334</v>
      </c>
      <c r="G574" s="40">
        <f>VLOOKUP(A574,'DATOS GENERALES'!A:B,2,0)</f>
        <v>2.2999999999999998</v>
      </c>
      <c r="H574" s="36">
        <f t="shared" si="40"/>
        <v>2.2894199999999998</v>
      </c>
      <c r="I574" s="38">
        <f t="shared" si="41"/>
        <v>5579165.3926904351</v>
      </c>
      <c r="J574" s="38">
        <f t="shared" si="42"/>
        <v>7193887.4406428989</v>
      </c>
      <c r="K574" s="38">
        <v>1224171.2356564121</v>
      </c>
      <c r="L574" s="38">
        <f t="shared" si="43"/>
        <v>5969716.2049864866</v>
      </c>
      <c r="M574" s="41">
        <f>VLOOKUP(INDICADORES!$B$21,'DATOS GENERALES'!$K:$M,3,0)*F574</f>
        <v>86933.733402927362</v>
      </c>
      <c r="N574" s="38">
        <f t="shared" si="44"/>
        <v>5882782.4715835592</v>
      </c>
      <c r="O574" s="36"/>
      <c r="P574" s="36"/>
      <c r="Q574" s="36"/>
    </row>
    <row r="575" spans="1:17" x14ac:dyDescent="0.25">
      <c r="A575" s="36">
        <v>1848</v>
      </c>
      <c r="B575" s="37">
        <v>43497</v>
      </c>
      <c r="C575" s="37">
        <v>43575.459966230948</v>
      </c>
      <c r="D575" s="36" t="s">
        <v>212</v>
      </c>
      <c r="E575" s="36"/>
      <c r="F575" s="38">
        <v>12773052.833333334</v>
      </c>
      <c r="G575" s="40">
        <f>VLOOKUP(A575,'DATOS GENERALES'!A:B,2,0)</f>
        <v>2.2999999999999998</v>
      </c>
      <c r="H575" s="36">
        <f t="shared" si="40"/>
        <v>2.2894199999999998</v>
      </c>
      <c r="I575" s="38">
        <f t="shared" si="41"/>
        <v>5579165.3926904351</v>
      </c>
      <c r="J575" s="38">
        <f t="shared" si="42"/>
        <v>7193887.4406428989</v>
      </c>
      <c r="K575" s="38">
        <v>1205980.3817767035</v>
      </c>
      <c r="L575" s="38">
        <f t="shared" si="43"/>
        <v>5987907.0588661954</v>
      </c>
      <c r="M575" s="41">
        <f>VLOOKUP(INDICADORES!$B$21,'DATOS GENERALES'!$K:$M,3,0)*F575</f>
        <v>86933.733402927362</v>
      </c>
      <c r="N575" s="38">
        <f t="shared" si="44"/>
        <v>5900973.325463268</v>
      </c>
      <c r="O575" s="36"/>
      <c r="P575" s="36"/>
      <c r="Q575" s="36"/>
    </row>
    <row r="576" spans="1:17" x14ac:dyDescent="0.25">
      <c r="A576" s="36">
        <v>1806</v>
      </c>
      <c r="B576" s="37">
        <v>43466</v>
      </c>
      <c r="C576" s="37">
        <v>43488.353498244578</v>
      </c>
      <c r="D576" s="36" t="s">
        <v>212</v>
      </c>
      <c r="E576" s="36"/>
      <c r="F576" s="38">
        <v>50000000</v>
      </c>
      <c r="G576" s="40">
        <f>VLOOKUP(A576,'DATOS GENERALES'!A:B,2,0)</f>
        <v>2</v>
      </c>
      <c r="H576" s="36">
        <f t="shared" si="40"/>
        <v>1.9907999999999999</v>
      </c>
      <c r="I576" s="38">
        <f t="shared" si="41"/>
        <v>25115531.444645371</v>
      </c>
      <c r="J576" s="38">
        <f t="shared" si="42"/>
        <v>24884468.555354629</v>
      </c>
      <c r="K576" s="38">
        <v>5510808.337576909</v>
      </c>
      <c r="L576" s="38">
        <f t="shared" si="43"/>
        <v>19373660.217777722</v>
      </c>
      <c r="M576" s="41">
        <f>VLOOKUP(INDICADORES!$B$21,'DATOS GENERALES'!$K:$M,3,0)*F576</f>
        <v>340301.31456146418</v>
      </c>
      <c r="N576" s="38">
        <f t="shared" si="44"/>
        <v>19033358.903216258</v>
      </c>
      <c r="O576" s="36"/>
      <c r="P576" s="36"/>
      <c r="Q576" s="36"/>
    </row>
    <row r="577" spans="1:17" x14ac:dyDescent="0.25">
      <c r="A577" s="36">
        <v>1806</v>
      </c>
      <c r="B577" s="37">
        <v>43497</v>
      </c>
      <c r="C577" s="37">
        <v>43576.950907185383</v>
      </c>
      <c r="D577" s="36" t="s">
        <v>212</v>
      </c>
      <c r="E577" s="36"/>
      <c r="F577" s="38">
        <v>50000000</v>
      </c>
      <c r="G577" s="40">
        <f>VLOOKUP(A577,'DATOS GENERALES'!A:B,2,0)</f>
        <v>2</v>
      </c>
      <c r="H577" s="36">
        <f t="shared" si="40"/>
        <v>1.9907999999999999</v>
      </c>
      <c r="I577" s="38">
        <f t="shared" si="41"/>
        <v>25115531.444645371</v>
      </c>
      <c r="J577" s="38">
        <f t="shared" si="42"/>
        <v>24884468.555354629</v>
      </c>
      <c r="K577" s="38">
        <v>5428919.2143006306</v>
      </c>
      <c r="L577" s="38">
        <f t="shared" si="43"/>
        <v>19455549.341054</v>
      </c>
      <c r="M577" s="41">
        <f>VLOOKUP(INDICADORES!$B$21,'DATOS GENERALES'!$K:$M,3,0)*F577</f>
        <v>340301.31456146418</v>
      </c>
      <c r="N577" s="38">
        <f t="shared" si="44"/>
        <v>19115248.026492536</v>
      </c>
      <c r="O577" s="36"/>
      <c r="P577" s="36"/>
      <c r="Q577" s="36"/>
    </row>
    <row r="578" spans="1:17" x14ac:dyDescent="0.25">
      <c r="A578" s="36">
        <v>1806</v>
      </c>
      <c r="B578" s="37">
        <v>43525</v>
      </c>
      <c r="C578" s="37">
        <v>43579.143592776454</v>
      </c>
      <c r="D578" s="36" t="s">
        <v>212</v>
      </c>
      <c r="E578" s="36"/>
      <c r="F578" s="38">
        <v>50000000</v>
      </c>
      <c r="G578" s="40">
        <f>VLOOKUP(A578,'DATOS GENERALES'!A:B,2,0)</f>
        <v>2</v>
      </c>
      <c r="H578" s="36">
        <f t="shared" si="40"/>
        <v>1.9907999999999999</v>
      </c>
      <c r="I578" s="38">
        <f t="shared" si="41"/>
        <v>25115531.444645371</v>
      </c>
      <c r="J578" s="38">
        <f t="shared" si="42"/>
        <v>24884468.555354629</v>
      </c>
      <c r="K578" s="38">
        <v>3927755.7173789409</v>
      </c>
      <c r="L578" s="38">
        <f t="shared" si="43"/>
        <v>20956712.837975688</v>
      </c>
      <c r="M578" s="41">
        <f>VLOOKUP(INDICADORES!$B$21,'DATOS GENERALES'!$K:$M,3,0)*F578</f>
        <v>340301.31456146418</v>
      </c>
      <c r="N578" s="38">
        <f t="shared" si="44"/>
        <v>20616411.523414224</v>
      </c>
      <c r="O578" s="36"/>
      <c r="P578" s="36"/>
      <c r="Q578" s="36"/>
    </row>
    <row r="579" spans="1:17" x14ac:dyDescent="0.25">
      <c r="A579" s="36">
        <v>1806</v>
      </c>
      <c r="B579" s="37">
        <v>43556</v>
      </c>
      <c r="C579" s="37">
        <v>43614.459929072022</v>
      </c>
      <c r="D579" s="36" t="s">
        <v>212</v>
      </c>
      <c r="E579" s="36"/>
      <c r="F579" s="38">
        <v>50000000</v>
      </c>
      <c r="G579" s="40">
        <f>VLOOKUP(A579,'DATOS GENERALES'!A:B,2,0)</f>
        <v>2</v>
      </c>
      <c r="H579" s="36">
        <f t="shared" ref="H579:H642" si="45">G579*0.9954</f>
        <v>1.9907999999999999</v>
      </c>
      <c r="I579" s="38">
        <f t="shared" ref="I579:I642" si="46">F579/H579</f>
        <v>25115531.444645371</v>
      </c>
      <c r="J579" s="38">
        <f t="shared" ref="J579:J642" si="47">F579-I579</f>
        <v>24884468.555354629</v>
      </c>
      <c r="K579" s="38">
        <v>4038028.9052443136</v>
      </c>
      <c r="L579" s="38">
        <f t="shared" ref="L579:L642" si="48">IFERROR(J579-K579,"")</f>
        <v>20846439.650110316</v>
      </c>
      <c r="M579" s="41">
        <f>VLOOKUP(INDICADORES!$B$21,'DATOS GENERALES'!$K:$M,3,0)*F579</f>
        <v>340301.31456146418</v>
      </c>
      <c r="N579" s="38">
        <f t="shared" ref="N579:N642" si="49">IFERROR(L579-M579,"")</f>
        <v>20506138.335548852</v>
      </c>
      <c r="O579" s="36"/>
      <c r="P579" s="36"/>
      <c r="Q579" s="36"/>
    </row>
    <row r="580" spans="1:17" x14ac:dyDescent="0.25">
      <c r="A580" s="36">
        <v>1806</v>
      </c>
      <c r="B580" s="37">
        <v>43586</v>
      </c>
      <c r="C580" s="37">
        <v>43602.535910271057</v>
      </c>
      <c r="D580" s="36" t="s">
        <v>212</v>
      </c>
      <c r="E580" s="36"/>
      <c r="F580" s="38">
        <v>50000000</v>
      </c>
      <c r="G580" s="40">
        <f>VLOOKUP(A580,'DATOS GENERALES'!A:B,2,0)</f>
        <v>2</v>
      </c>
      <c r="H580" s="36">
        <f t="shared" si="45"/>
        <v>1.9907999999999999</v>
      </c>
      <c r="I580" s="38">
        <f t="shared" si="46"/>
        <v>25115531.444645371</v>
      </c>
      <c r="J580" s="38">
        <f t="shared" si="47"/>
        <v>24884468.555354629</v>
      </c>
      <c r="K580" s="38">
        <v>3331091.4495133436</v>
      </c>
      <c r="L580" s="38">
        <f t="shared" si="48"/>
        <v>21553377.105841286</v>
      </c>
      <c r="M580" s="41">
        <f>VLOOKUP(INDICADORES!$B$21,'DATOS GENERALES'!$K:$M,3,0)*F580</f>
        <v>340301.31456146418</v>
      </c>
      <c r="N580" s="38">
        <f t="shared" si="49"/>
        <v>21213075.791279823</v>
      </c>
      <c r="O580" s="36"/>
      <c r="P580" s="36"/>
      <c r="Q580" s="36"/>
    </row>
    <row r="581" spans="1:17" x14ac:dyDescent="0.25">
      <c r="A581" s="36">
        <v>1824</v>
      </c>
      <c r="B581" s="37">
        <v>43466</v>
      </c>
      <c r="C581" s="37">
        <v>43503.210364970641</v>
      </c>
      <c r="D581" s="36" t="s">
        <v>212</v>
      </c>
      <c r="E581" s="36"/>
      <c r="F581" s="38">
        <v>48166666.666666664</v>
      </c>
      <c r="G581" s="40">
        <f>VLOOKUP(A581,'DATOS GENERALES'!A:B,2,0)</f>
        <v>2.44</v>
      </c>
      <c r="H581" s="36">
        <f t="shared" si="45"/>
        <v>2.428776</v>
      </c>
      <c r="I581" s="38">
        <f t="shared" si="46"/>
        <v>19831662.80738391</v>
      </c>
      <c r="J581" s="38">
        <f t="shared" si="47"/>
        <v>28335003.859282754</v>
      </c>
      <c r="K581" s="38">
        <v>4351430.627212367</v>
      </c>
      <c r="L581" s="38">
        <f t="shared" si="48"/>
        <v>23983573.232070386</v>
      </c>
      <c r="M581" s="41">
        <f>VLOOKUP(INDICADORES!$B$21,'DATOS GENERALES'!$K:$M,3,0)*F581</f>
        <v>327823.59969421045</v>
      </c>
      <c r="N581" s="38">
        <f t="shared" si="49"/>
        <v>23655749.632376175</v>
      </c>
      <c r="O581" s="36"/>
      <c r="P581" s="36"/>
      <c r="Q581" s="36"/>
    </row>
    <row r="582" spans="1:17" x14ac:dyDescent="0.25">
      <c r="A582" s="36">
        <v>1824</v>
      </c>
      <c r="B582" s="37">
        <v>43497</v>
      </c>
      <c r="C582" s="37">
        <v>43542.266153544362</v>
      </c>
      <c r="D582" s="36" t="s">
        <v>212</v>
      </c>
      <c r="E582" s="36"/>
      <c r="F582" s="38">
        <v>48166666.666666664</v>
      </c>
      <c r="G582" s="40">
        <f>VLOOKUP(A582,'DATOS GENERALES'!A:B,2,0)</f>
        <v>2.44</v>
      </c>
      <c r="H582" s="36">
        <f t="shared" si="45"/>
        <v>2.428776</v>
      </c>
      <c r="I582" s="38">
        <f t="shared" si="46"/>
        <v>19831662.80738391</v>
      </c>
      <c r="J582" s="38">
        <f t="shared" si="47"/>
        <v>28335003.859282754</v>
      </c>
      <c r="K582" s="38">
        <v>4286769.5435324647</v>
      </c>
      <c r="L582" s="38">
        <f t="shared" si="48"/>
        <v>24048234.31575029</v>
      </c>
      <c r="M582" s="41">
        <f>VLOOKUP(INDICADORES!$B$21,'DATOS GENERALES'!$K:$M,3,0)*F582</f>
        <v>327823.59969421045</v>
      </c>
      <c r="N582" s="38">
        <f t="shared" si="49"/>
        <v>23720410.716056079</v>
      </c>
      <c r="O582" s="36"/>
      <c r="P582" s="36"/>
      <c r="Q582" s="36"/>
    </row>
    <row r="583" spans="1:17" x14ac:dyDescent="0.25">
      <c r="A583" s="36">
        <v>1824</v>
      </c>
      <c r="B583" s="37">
        <v>43525</v>
      </c>
      <c r="C583" s="37">
        <v>43535.213170527531</v>
      </c>
      <c r="D583" s="36" t="s">
        <v>212</v>
      </c>
      <c r="E583" s="36"/>
      <c r="F583" s="38">
        <v>48166666.666666664</v>
      </c>
      <c r="G583" s="40">
        <f>VLOOKUP(A583,'DATOS GENERALES'!A:B,2,0)</f>
        <v>2.44</v>
      </c>
      <c r="H583" s="36">
        <f t="shared" si="45"/>
        <v>2.428776</v>
      </c>
      <c r="I583" s="38">
        <f t="shared" si="46"/>
        <v>19831662.80738391</v>
      </c>
      <c r="J583" s="38">
        <f t="shared" si="47"/>
        <v>28335003.859282754</v>
      </c>
      <c r="K583" s="38">
        <v>3101424.5965096005</v>
      </c>
      <c r="L583" s="38">
        <f t="shared" si="48"/>
        <v>25233579.262773152</v>
      </c>
      <c r="M583" s="41">
        <f>VLOOKUP(INDICADORES!$B$21,'DATOS GENERALES'!$K:$M,3,0)*F583</f>
        <v>327823.59969421045</v>
      </c>
      <c r="N583" s="38">
        <f t="shared" si="49"/>
        <v>24905755.663078941</v>
      </c>
      <c r="O583" s="36"/>
      <c r="P583" s="36"/>
      <c r="Q583" s="36"/>
    </row>
    <row r="584" spans="1:17" x14ac:dyDescent="0.25">
      <c r="A584" s="36">
        <v>1824</v>
      </c>
      <c r="B584" s="37">
        <v>43556</v>
      </c>
      <c r="C584" s="37">
        <v>43614.865775423379</v>
      </c>
      <c r="D584" s="36" t="s">
        <v>212</v>
      </c>
      <c r="E584" s="36"/>
      <c r="F584" s="38">
        <v>48166666.666666664</v>
      </c>
      <c r="G584" s="40">
        <f>VLOOKUP(A584,'DATOS GENERALES'!A:B,2,0)</f>
        <v>2.44</v>
      </c>
      <c r="H584" s="36">
        <f t="shared" si="45"/>
        <v>2.428776</v>
      </c>
      <c r="I584" s="38">
        <f t="shared" si="46"/>
        <v>19831662.80738391</v>
      </c>
      <c r="J584" s="38">
        <f t="shared" si="47"/>
        <v>28335003.859282754</v>
      </c>
      <c r="K584" s="38">
        <v>3188498.2339224215</v>
      </c>
      <c r="L584" s="38">
        <f t="shared" si="48"/>
        <v>25146505.625360332</v>
      </c>
      <c r="M584" s="41">
        <f>VLOOKUP(INDICADORES!$B$21,'DATOS GENERALES'!$K:$M,3,0)*F584</f>
        <v>327823.59969421045</v>
      </c>
      <c r="N584" s="38">
        <f t="shared" si="49"/>
        <v>24818682.025666121</v>
      </c>
      <c r="O584" s="36"/>
      <c r="P584" s="36"/>
      <c r="Q584" s="36"/>
    </row>
    <row r="585" spans="1:17" x14ac:dyDescent="0.25">
      <c r="A585" s="36">
        <v>1824</v>
      </c>
      <c r="B585" s="37">
        <v>43586</v>
      </c>
      <c r="C585" s="37">
        <v>43655.713661060479</v>
      </c>
      <c r="D585" s="36" t="s">
        <v>212</v>
      </c>
      <c r="E585" s="36"/>
      <c r="F585" s="38">
        <v>48166666.666666664</v>
      </c>
      <c r="G585" s="40">
        <f>VLOOKUP(A585,'DATOS GENERALES'!A:B,2,0)</f>
        <v>2.44</v>
      </c>
      <c r="H585" s="36">
        <f t="shared" si="45"/>
        <v>2.428776</v>
      </c>
      <c r="I585" s="38">
        <f t="shared" si="46"/>
        <v>19831662.80738391</v>
      </c>
      <c r="J585" s="38">
        <f t="shared" si="47"/>
        <v>28335003.859282754</v>
      </c>
      <c r="K585" s="38">
        <v>2630288.0571293887</v>
      </c>
      <c r="L585" s="38">
        <f t="shared" si="48"/>
        <v>25704715.802153364</v>
      </c>
      <c r="M585" s="41">
        <f>VLOOKUP(INDICADORES!$B$21,'DATOS GENERALES'!$K:$M,3,0)*F585</f>
        <v>327823.59969421045</v>
      </c>
      <c r="N585" s="38">
        <f t="shared" si="49"/>
        <v>25376892.202459153</v>
      </c>
      <c r="O585" s="36"/>
      <c r="P585" s="36"/>
      <c r="Q585" s="36"/>
    </row>
    <row r="586" spans="1:17" x14ac:dyDescent="0.25">
      <c r="A586" s="36">
        <v>1824</v>
      </c>
      <c r="B586" s="37">
        <v>43617</v>
      </c>
      <c r="C586" s="37">
        <v>43714.292107730733</v>
      </c>
      <c r="D586" s="36" t="s">
        <v>212</v>
      </c>
      <c r="E586" s="36"/>
      <c r="F586" s="38">
        <v>48166666.666666664</v>
      </c>
      <c r="G586" s="40">
        <f>VLOOKUP(A586,'DATOS GENERALES'!A:B,2,0)</f>
        <v>2.44</v>
      </c>
      <c r="H586" s="36">
        <f t="shared" si="45"/>
        <v>2.428776</v>
      </c>
      <c r="I586" s="38">
        <f t="shared" si="46"/>
        <v>19831662.80738391</v>
      </c>
      <c r="J586" s="38">
        <f t="shared" si="47"/>
        <v>28335003.859282754</v>
      </c>
      <c r="K586" s="38">
        <v>2954343.1857926492</v>
      </c>
      <c r="L586" s="38">
        <f t="shared" si="48"/>
        <v>25380660.673490107</v>
      </c>
      <c r="M586" s="41">
        <f>VLOOKUP(INDICADORES!$B$21,'DATOS GENERALES'!$K:$M,3,0)*F586</f>
        <v>327823.59969421045</v>
      </c>
      <c r="N586" s="38">
        <f t="shared" si="49"/>
        <v>25052837.073795896</v>
      </c>
      <c r="O586" s="36"/>
      <c r="P586" s="36"/>
      <c r="Q586" s="36"/>
    </row>
    <row r="587" spans="1:17" x14ac:dyDescent="0.25">
      <c r="A587" s="36">
        <v>1866</v>
      </c>
      <c r="B587" s="37">
        <v>43497</v>
      </c>
      <c r="C587" s="37">
        <v>43568.49458635351</v>
      </c>
      <c r="D587" s="36" t="s">
        <v>212</v>
      </c>
      <c r="E587" s="36"/>
      <c r="F587" s="38">
        <v>9800000</v>
      </c>
      <c r="G587" s="40">
        <f>VLOOKUP(A587,'DATOS GENERALES'!A:B,2,0)</f>
        <v>1</v>
      </c>
      <c r="H587" s="36">
        <f t="shared" si="45"/>
        <v>0.99539999999999995</v>
      </c>
      <c r="I587" s="38">
        <f t="shared" si="46"/>
        <v>9845288.3263009842</v>
      </c>
      <c r="J587" s="38">
        <f t="shared" si="47"/>
        <v>-45288.326300984249</v>
      </c>
      <c r="K587" s="38">
        <v>2128136.3320058468</v>
      </c>
      <c r="L587" s="38">
        <f t="shared" si="48"/>
        <v>-2173424.658306831</v>
      </c>
      <c r="M587" s="41">
        <f>VLOOKUP(INDICADORES!$B$21,'DATOS GENERALES'!$K:$M,3,0)*F587</f>
        <v>66699.057654046977</v>
      </c>
      <c r="N587" s="38">
        <f t="shared" si="49"/>
        <v>-2240123.7159608779</v>
      </c>
      <c r="O587" s="36"/>
      <c r="P587" s="36"/>
      <c r="Q587" s="36"/>
    </row>
    <row r="588" spans="1:17" x14ac:dyDescent="0.25">
      <c r="A588" s="36">
        <v>1866</v>
      </c>
      <c r="B588" s="37">
        <v>43525</v>
      </c>
      <c r="C588" s="37">
        <v>43597.905184145806</v>
      </c>
      <c r="D588" s="36" t="s">
        <v>212</v>
      </c>
      <c r="E588" s="36"/>
      <c r="F588" s="38">
        <v>9800000</v>
      </c>
      <c r="G588" s="40">
        <f>VLOOKUP(A588,'DATOS GENERALES'!A:B,2,0)</f>
        <v>1</v>
      </c>
      <c r="H588" s="36">
        <f t="shared" si="45"/>
        <v>0.99539999999999995</v>
      </c>
      <c r="I588" s="38">
        <f t="shared" si="46"/>
        <v>9845288.3263009842</v>
      </c>
      <c r="J588" s="38">
        <f t="shared" si="47"/>
        <v>-45288.326300984249</v>
      </c>
      <c r="K588" s="38">
        <v>1539680.2412125445</v>
      </c>
      <c r="L588" s="38">
        <f t="shared" si="48"/>
        <v>-1584968.5675135287</v>
      </c>
      <c r="M588" s="41">
        <f>VLOOKUP(INDICADORES!$B$21,'DATOS GENERALES'!$K:$M,3,0)*F588</f>
        <v>66699.057654046977</v>
      </c>
      <c r="N588" s="38">
        <f t="shared" si="49"/>
        <v>-1651667.6251675757</v>
      </c>
      <c r="O588" s="36"/>
      <c r="P588" s="36"/>
      <c r="Q588" s="36"/>
    </row>
    <row r="589" spans="1:17" x14ac:dyDescent="0.25">
      <c r="A589" s="36">
        <v>1866</v>
      </c>
      <c r="B589" s="37">
        <v>43556</v>
      </c>
      <c r="C589" s="37">
        <v>43600.635545287667</v>
      </c>
      <c r="D589" s="36" t="s">
        <v>212</v>
      </c>
      <c r="E589" s="36"/>
      <c r="F589" s="38">
        <v>9800000</v>
      </c>
      <c r="G589" s="40">
        <f>VLOOKUP(A589,'DATOS GENERALES'!A:B,2,0)</f>
        <v>1</v>
      </c>
      <c r="H589" s="36">
        <f t="shared" si="45"/>
        <v>0.99539999999999995</v>
      </c>
      <c r="I589" s="38">
        <f t="shared" si="46"/>
        <v>9845288.3263009842</v>
      </c>
      <c r="J589" s="38">
        <f t="shared" si="47"/>
        <v>-45288.326300984249</v>
      </c>
      <c r="K589" s="38">
        <v>1582907.3308557707</v>
      </c>
      <c r="L589" s="38">
        <f t="shared" si="48"/>
        <v>-1628195.657156755</v>
      </c>
      <c r="M589" s="41">
        <f>VLOOKUP(INDICADORES!$B$21,'DATOS GENERALES'!$K:$M,3,0)*F589</f>
        <v>66699.057654046977</v>
      </c>
      <c r="N589" s="38">
        <f t="shared" si="49"/>
        <v>-1694894.7148108019</v>
      </c>
      <c r="O589" s="36"/>
      <c r="P589" s="36"/>
      <c r="Q589" s="36"/>
    </row>
    <row r="590" spans="1:17" x14ac:dyDescent="0.25">
      <c r="A590" s="36">
        <v>1866</v>
      </c>
      <c r="B590" s="37">
        <v>43586</v>
      </c>
      <c r="C590" s="37">
        <v>43674.822904857727</v>
      </c>
      <c r="D590" s="36" t="s">
        <v>212</v>
      </c>
      <c r="E590" s="36"/>
      <c r="F590" s="38">
        <v>9800000</v>
      </c>
      <c r="G590" s="40">
        <f>VLOOKUP(A590,'DATOS GENERALES'!A:B,2,0)</f>
        <v>1</v>
      </c>
      <c r="H590" s="36">
        <f t="shared" si="45"/>
        <v>0.99539999999999995</v>
      </c>
      <c r="I590" s="38">
        <f t="shared" si="46"/>
        <v>9845288.3263009842</v>
      </c>
      <c r="J590" s="38">
        <f t="shared" si="47"/>
        <v>-45288.326300984249</v>
      </c>
      <c r="K590" s="38">
        <v>1305787.8482092305</v>
      </c>
      <c r="L590" s="38">
        <f t="shared" si="48"/>
        <v>-1351076.1745102147</v>
      </c>
      <c r="M590" s="41">
        <f>VLOOKUP(INDICADORES!$B$21,'DATOS GENERALES'!$K:$M,3,0)*F590</f>
        <v>66699.057654046977</v>
      </c>
      <c r="N590" s="38">
        <f t="shared" si="49"/>
        <v>-1417775.2321642616</v>
      </c>
      <c r="O590" s="36"/>
      <c r="P590" s="36"/>
      <c r="Q590" s="36"/>
    </row>
    <row r="591" spans="1:17" x14ac:dyDescent="0.25">
      <c r="A591" s="36">
        <v>1866</v>
      </c>
      <c r="B591" s="37">
        <v>43617</v>
      </c>
      <c r="C591" s="37">
        <v>43660.24463381587</v>
      </c>
      <c r="D591" s="36" t="s">
        <v>212</v>
      </c>
      <c r="E591" s="36"/>
      <c r="F591" s="38">
        <v>9800000</v>
      </c>
      <c r="G591" s="40">
        <f>VLOOKUP(A591,'DATOS GENERALES'!A:B,2,0)</f>
        <v>1</v>
      </c>
      <c r="H591" s="36">
        <f t="shared" si="45"/>
        <v>0.99539999999999995</v>
      </c>
      <c r="I591" s="38">
        <f t="shared" si="46"/>
        <v>9845288.3263009842</v>
      </c>
      <c r="J591" s="38">
        <f t="shared" si="47"/>
        <v>-45288.326300984249</v>
      </c>
      <c r="K591" s="38">
        <v>1466662.7181731593</v>
      </c>
      <c r="L591" s="38">
        <f t="shared" si="48"/>
        <v>-1511951.0444741435</v>
      </c>
      <c r="M591" s="41">
        <f>VLOOKUP(INDICADORES!$B$21,'DATOS GENERALES'!$K:$M,3,0)*F591</f>
        <v>66699.057654046977</v>
      </c>
      <c r="N591" s="38">
        <f t="shared" si="49"/>
        <v>-1578650.1021281905</v>
      </c>
      <c r="O591" s="36"/>
      <c r="P591" s="36"/>
      <c r="Q591" s="36"/>
    </row>
    <row r="592" spans="1:17" x14ac:dyDescent="0.25">
      <c r="A592" s="36">
        <v>1866</v>
      </c>
      <c r="B592" s="37">
        <v>43647</v>
      </c>
      <c r="C592" s="37">
        <v>43647.865087396975</v>
      </c>
      <c r="D592" s="36" t="s">
        <v>212</v>
      </c>
      <c r="E592" s="36"/>
      <c r="F592" s="38">
        <v>9800000</v>
      </c>
      <c r="G592" s="40">
        <f>VLOOKUP(A592,'DATOS GENERALES'!A:B,2,0)</f>
        <v>1</v>
      </c>
      <c r="H592" s="36">
        <f t="shared" si="45"/>
        <v>0.99539999999999995</v>
      </c>
      <c r="I592" s="38">
        <f t="shared" si="46"/>
        <v>9845288.3263009842</v>
      </c>
      <c r="J592" s="38">
        <f t="shared" si="47"/>
        <v>-45288.326300984249</v>
      </c>
      <c r="K592" s="38">
        <v>2546885.7642109776</v>
      </c>
      <c r="L592" s="38">
        <f t="shared" si="48"/>
        <v>-2592174.0905119618</v>
      </c>
      <c r="M592" s="41">
        <f>VLOOKUP(INDICADORES!$B$21,'DATOS GENERALES'!$K:$M,3,0)*F592</f>
        <v>66699.057654046977</v>
      </c>
      <c r="N592" s="38">
        <f t="shared" si="49"/>
        <v>-2658873.1481660088</v>
      </c>
      <c r="O592" s="36"/>
      <c r="P592" s="36"/>
      <c r="Q592" s="36"/>
    </row>
    <row r="593" spans="1:17" x14ac:dyDescent="0.25">
      <c r="A593" s="36">
        <v>1866</v>
      </c>
      <c r="B593" s="37">
        <v>43678</v>
      </c>
      <c r="C593" s="37">
        <v>43753.638184033138</v>
      </c>
      <c r="D593" s="36" t="s">
        <v>212</v>
      </c>
      <c r="E593" s="36"/>
      <c r="F593" s="38">
        <v>9800000</v>
      </c>
      <c r="G593" s="40">
        <f>VLOOKUP(A593,'DATOS GENERALES'!A:B,2,0)</f>
        <v>1</v>
      </c>
      <c r="H593" s="36">
        <f t="shared" si="45"/>
        <v>0.99539999999999995</v>
      </c>
      <c r="I593" s="38">
        <f t="shared" si="46"/>
        <v>9845288.3263009842</v>
      </c>
      <c r="J593" s="38">
        <f t="shared" si="47"/>
        <v>-45288.326300984249</v>
      </c>
      <c r="K593" s="38">
        <v>2557484.9533003001</v>
      </c>
      <c r="L593" s="38">
        <f t="shared" si="48"/>
        <v>-2602773.2796012843</v>
      </c>
      <c r="M593" s="41">
        <f>VLOOKUP(INDICADORES!$B$21,'DATOS GENERALES'!$K:$M,3,0)*F593</f>
        <v>66699.057654046977</v>
      </c>
      <c r="N593" s="38">
        <f t="shared" si="49"/>
        <v>-2669472.3372553312</v>
      </c>
      <c r="O593" s="36"/>
      <c r="P593" s="36"/>
      <c r="Q593" s="36"/>
    </row>
    <row r="594" spans="1:17" x14ac:dyDescent="0.25">
      <c r="A594" s="36">
        <v>1866</v>
      </c>
      <c r="B594" s="37">
        <v>43709</v>
      </c>
      <c r="C594" s="37">
        <v>43752.98509713426</v>
      </c>
      <c r="D594" s="36" t="s">
        <v>212</v>
      </c>
      <c r="E594" s="36"/>
      <c r="F594" s="38">
        <v>9800000</v>
      </c>
      <c r="G594" s="40">
        <f>VLOOKUP(A594,'DATOS GENERALES'!A:B,2,0)</f>
        <v>1</v>
      </c>
      <c r="H594" s="36">
        <f t="shared" si="45"/>
        <v>0.99539999999999995</v>
      </c>
      <c r="I594" s="38">
        <f t="shared" si="46"/>
        <v>9845288.3263009842</v>
      </c>
      <c r="J594" s="38">
        <f t="shared" si="47"/>
        <v>-45288.326300984249</v>
      </c>
      <c r="K594" s="38">
        <v>2822852.7436001156</v>
      </c>
      <c r="L594" s="38">
        <f t="shared" si="48"/>
        <v>-2868141.0699010999</v>
      </c>
      <c r="M594" s="41">
        <f>VLOOKUP(INDICADORES!$B$21,'DATOS GENERALES'!$K:$M,3,0)*F594</f>
        <v>66699.057654046977</v>
      </c>
      <c r="N594" s="38">
        <f t="shared" si="49"/>
        <v>-2934840.1275551468</v>
      </c>
      <c r="O594" s="36"/>
      <c r="P594" s="36"/>
      <c r="Q594" s="36"/>
    </row>
    <row r="595" spans="1:17" x14ac:dyDescent="0.25">
      <c r="A595" s="36">
        <v>1866</v>
      </c>
      <c r="B595" s="37">
        <v>43739</v>
      </c>
      <c r="C595" s="37">
        <v>43806.686916414023</v>
      </c>
      <c r="D595" s="36" t="s">
        <v>212</v>
      </c>
      <c r="E595" s="36"/>
      <c r="F595" s="38">
        <v>9800000</v>
      </c>
      <c r="G595" s="40">
        <f>VLOOKUP(A595,'DATOS GENERALES'!A:B,2,0)</f>
        <v>1</v>
      </c>
      <c r="H595" s="36">
        <f t="shared" si="45"/>
        <v>0.99539999999999995</v>
      </c>
      <c r="I595" s="38">
        <f t="shared" si="46"/>
        <v>9845288.3263009842</v>
      </c>
      <c r="J595" s="38">
        <f t="shared" si="47"/>
        <v>-45288.326300984249</v>
      </c>
      <c r="K595" s="38">
        <v>3063481.9281107462</v>
      </c>
      <c r="L595" s="38">
        <f t="shared" si="48"/>
        <v>-3108770.2544117304</v>
      </c>
      <c r="M595" s="41">
        <f>VLOOKUP(INDICADORES!$B$21,'DATOS GENERALES'!$K:$M,3,0)*F595</f>
        <v>66699.057654046977</v>
      </c>
      <c r="N595" s="38">
        <f t="shared" si="49"/>
        <v>-3175469.3120657774</v>
      </c>
      <c r="O595" s="36"/>
      <c r="P595" s="36"/>
      <c r="Q595" s="36"/>
    </row>
    <row r="596" spans="1:17" x14ac:dyDescent="0.25">
      <c r="A596" s="36">
        <v>1866</v>
      </c>
      <c r="B596" s="37">
        <v>43770</v>
      </c>
      <c r="C596" s="37">
        <v>43818.9443394513</v>
      </c>
      <c r="D596" s="36" t="s">
        <v>212</v>
      </c>
      <c r="E596" s="36"/>
      <c r="F596" s="38">
        <v>9800000</v>
      </c>
      <c r="G596" s="40">
        <f>VLOOKUP(A596,'DATOS GENERALES'!A:B,2,0)</f>
        <v>1</v>
      </c>
      <c r="H596" s="36">
        <f t="shared" si="45"/>
        <v>0.99539999999999995</v>
      </c>
      <c r="I596" s="38">
        <f t="shared" si="46"/>
        <v>9845288.3263009842</v>
      </c>
      <c r="J596" s="38">
        <f t="shared" si="47"/>
        <v>-45288.326300984249</v>
      </c>
      <c r="K596" s="38">
        <v>4020196.5617471365</v>
      </c>
      <c r="L596" s="38">
        <f t="shared" si="48"/>
        <v>-4065484.8880481208</v>
      </c>
      <c r="M596" s="41">
        <f>VLOOKUP(INDICADORES!$B$21,'DATOS GENERALES'!$K:$M,3,0)*F596</f>
        <v>66699.057654046977</v>
      </c>
      <c r="N596" s="38">
        <f t="shared" si="49"/>
        <v>-4132183.9457021677</v>
      </c>
      <c r="O596" s="36"/>
      <c r="P596" s="36"/>
      <c r="Q596" s="36"/>
    </row>
    <row r="597" spans="1:17" x14ac:dyDescent="0.25">
      <c r="A597" s="36">
        <v>1866</v>
      </c>
      <c r="B597" s="37">
        <v>43800</v>
      </c>
      <c r="C597" s="37">
        <v>43870.035541140816</v>
      </c>
      <c r="D597" s="36" t="s">
        <v>212</v>
      </c>
      <c r="E597" s="36"/>
      <c r="F597" s="38">
        <v>9800000</v>
      </c>
      <c r="G597" s="40">
        <f>VLOOKUP(A597,'DATOS GENERALES'!A:B,2,0)</f>
        <v>1</v>
      </c>
      <c r="H597" s="36">
        <f t="shared" si="45"/>
        <v>0.99539999999999995</v>
      </c>
      <c r="I597" s="38">
        <f t="shared" si="46"/>
        <v>9845288.3263009842</v>
      </c>
      <c r="J597" s="38">
        <f t="shared" si="47"/>
        <v>-45288.326300984249</v>
      </c>
      <c r="K597" s="38">
        <v>3467618.6659627589</v>
      </c>
      <c r="L597" s="38">
        <f t="shared" si="48"/>
        <v>-3512906.9922637432</v>
      </c>
      <c r="M597" s="41">
        <f>VLOOKUP(INDICADORES!$B$21,'DATOS GENERALES'!$K:$M,3,0)*F597</f>
        <v>66699.057654046977</v>
      </c>
      <c r="N597" s="38">
        <f t="shared" si="49"/>
        <v>-3579606.0499177901</v>
      </c>
      <c r="O597" s="36"/>
      <c r="P597" s="36"/>
      <c r="Q597" s="36"/>
    </row>
    <row r="598" spans="1:17" x14ac:dyDescent="0.25">
      <c r="A598" s="36">
        <v>1866</v>
      </c>
      <c r="B598" s="37">
        <v>43831</v>
      </c>
      <c r="C598" s="37">
        <v>43878.592385315882</v>
      </c>
      <c r="D598" s="36" t="s">
        <v>212</v>
      </c>
      <c r="E598" s="36"/>
      <c r="F598" s="38">
        <v>9800000</v>
      </c>
      <c r="G598" s="40">
        <f>VLOOKUP(A598,'DATOS GENERALES'!A:B,2,0)</f>
        <v>1</v>
      </c>
      <c r="H598" s="36">
        <f t="shared" si="45"/>
        <v>0.99539999999999995</v>
      </c>
      <c r="I598" s="38">
        <f t="shared" si="46"/>
        <v>9845288.3263009842</v>
      </c>
      <c r="J598" s="38">
        <f t="shared" si="47"/>
        <v>-45288.326300984249</v>
      </c>
      <c r="K598" s="38" t="s">
        <v>213</v>
      </c>
      <c r="L598" s="38" t="str">
        <f t="shared" si="48"/>
        <v/>
      </c>
      <c r="M598" s="41">
        <f>VLOOKUP(INDICADORES!$B$21,'DATOS GENERALES'!$K:$M,3,0)*F598</f>
        <v>66699.057654046977</v>
      </c>
      <c r="N598" s="38" t="str">
        <f t="shared" si="49"/>
        <v/>
      </c>
      <c r="O598" s="36"/>
      <c r="P598" s="36"/>
      <c r="Q598" s="36"/>
    </row>
    <row r="599" spans="1:17" x14ac:dyDescent="0.25">
      <c r="A599" s="36">
        <v>1866</v>
      </c>
      <c r="B599" s="37">
        <v>43862</v>
      </c>
      <c r="C599" s="37">
        <v>43942.586890830236</v>
      </c>
      <c r="D599" s="36" t="s">
        <v>212</v>
      </c>
      <c r="E599" s="36"/>
      <c r="F599" s="38">
        <v>9800000</v>
      </c>
      <c r="G599" s="40">
        <f>VLOOKUP(A599,'DATOS GENERALES'!A:B,2,0)</f>
        <v>1</v>
      </c>
      <c r="H599" s="36">
        <f t="shared" si="45"/>
        <v>0.99539999999999995</v>
      </c>
      <c r="I599" s="38">
        <f t="shared" si="46"/>
        <v>9845288.3263009842</v>
      </c>
      <c r="J599" s="38">
        <f t="shared" si="47"/>
        <v>-45288.326300984249</v>
      </c>
      <c r="K599" s="38" t="s">
        <v>213</v>
      </c>
      <c r="L599" s="38" t="str">
        <f t="shared" si="48"/>
        <v/>
      </c>
      <c r="M599" s="41">
        <f>VLOOKUP(INDICADORES!$B$21,'DATOS GENERALES'!$K:$M,3,0)*F599</f>
        <v>66699.057654046977</v>
      </c>
      <c r="N599" s="38" t="str">
        <f t="shared" si="49"/>
        <v/>
      </c>
      <c r="O599" s="36"/>
      <c r="P599" s="36"/>
      <c r="Q599" s="36"/>
    </row>
    <row r="600" spans="1:17" x14ac:dyDescent="0.25">
      <c r="A600" s="36">
        <v>1866</v>
      </c>
      <c r="B600" s="37">
        <v>43891</v>
      </c>
      <c r="C600" s="37">
        <v>43919.376835829258</v>
      </c>
      <c r="D600" s="36" t="s">
        <v>212</v>
      </c>
      <c r="E600" s="36"/>
      <c r="F600" s="38">
        <v>9800000</v>
      </c>
      <c r="G600" s="40">
        <f>VLOOKUP(A600,'DATOS GENERALES'!A:B,2,0)</f>
        <v>1</v>
      </c>
      <c r="H600" s="36">
        <f t="shared" si="45"/>
        <v>0.99539999999999995</v>
      </c>
      <c r="I600" s="38">
        <f t="shared" si="46"/>
        <v>9845288.3263009842</v>
      </c>
      <c r="J600" s="38">
        <f t="shared" si="47"/>
        <v>-45288.326300984249</v>
      </c>
      <c r="K600" s="38" t="s">
        <v>213</v>
      </c>
      <c r="L600" s="38" t="str">
        <f t="shared" si="48"/>
        <v/>
      </c>
      <c r="M600" s="41">
        <f>VLOOKUP(INDICADORES!$B$21,'DATOS GENERALES'!$K:$M,3,0)*F600</f>
        <v>66699.057654046977</v>
      </c>
      <c r="N600" s="38" t="str">
        <f t="shared" si="49"/>
        <v/>
      </c>
      <c r="O600" s="36"/>
      <c r="P600" s="36"/>
      <c r="Q600" s="36"/>
    </row>
    <row r="601" spans="1:17" x14ac:dyDescent="0.25">
      <c r="A601" s="36">
        <v>1848</v>
      </c>
      <c r="B601" s="37">
        <v>43525</v>
      </c>
      <c r="C601" s="37">
        <v>43583.705163566061</v>
      </c>
      <c r="D601" s="36" t="s">
        <v>212</v>
      </c>
      <c r="E601" s="36"/>
      <c r="F601" s="38">
        <v>12773052.833333334</v>
      </c>
      <c r="G601" s="40">
        <f>VLOOKUP(A601,'DATOS GENERALES'!A:B,2,0)</f>
        <v>2.2999999999999998</v>
      </c>
      <c r="H601" s="36">
        <f t="shared" si="45"/>
        <v>2.2894199999999998</v>
      </c>
      <c r="I601" s="38">
        <f t="shared" si="46"/>
        <v>5579165.3926904351</v>
      </c>
      <c r="J601" s="38">
        <f t="shared" si="47"/>
        <v>7193887.4406428989</v>
      </c>
      <c r="K601" s="38">
        <v>872511.84860014403</v>
      </c>
      <c r="L601" s="38">
        <f t="shared" si="48"/>
        <v>6321375.5920427553</v>
      </c>
      <c r="M601" s="41">
        <f>VLOOKUP(INDICADORES!$B$21,'DATOS GENERALES'!$K:$M,3,0)*F601</f>
        <v>86933.733402927362</v>
      </c>
      <c r="N601" s="38">
        <f t="shared" si="49"/>
        <v>6234441.8586398279</v>
      </c>
      <c r="O601" s="36"/>
      <c r="P601" s="36"/>
      <c r="Q601" s="36"/>
    </row>
    <row r="602" spans="1:17" x14ac:dyDescent="0.25">
      <c r="A602" s="36">
        <v>1848</v>
      </c>
      <c r="B602" s="37">
        <v>43556</v>
      </c>
      <c r="C602" s="37">
        <v>43645.82677925218</v>
      </c>
      <c r="D602" s="36" t="s">
        <v>212</v>
      </c>
      <c r="E602" s="36"/>
      <c r="F602" s="38">
        <v>12773052.833333334</v>
      </c>
      <c r="G602" s="40">
        <f>VLOOKUP(A602,'DATOS GENERALES'!A:B,2,0)</f>
        <v>2.2999999999999998</v>
      </c>
      <c r="H602" s="36">
        <f t="shared" si="45"/>
        <v>2.2894199999999998</v>
      </c>
      <c r="I602" s="38">
        <f t="shared" si="46"/>
        <v>5579165.3926904351</v>
      </c>
      <c r="J602" s="38">
        <f t="shared" si="47"/>
        <v>7193887.4406428989</v>
      </c>
      <c r="K602" s="38">
        <v>897007.93998630915</v>
      </c>
      <c r="L602" s="38">
        <f t="shared" si="48"/>
        <v>6296879.5006565899</v>
      </c>
      <c r="M602" s="41">
        <f>VLOOKUP(INDICADORES!$B$21,'DATOS GENERALES'!$K:$M,3,0)*F602</f>
        <v>86933.733402927362</v>
      </c>
      <c r="N602" s="38">
        <f t="shared" si="49"/>
        <v>6209945.7672536625</v>
      </c>
      <c r="O602" s="36"/>
      <c r="P602" s="36"/>
      <c r="Q602" s="36"/>
    </row>
    <row r="603" spans="1:17" x14ac:dyDescent="0.25">
      <c r="A603" s="36">
        <v>1848</v>
      </c>
      <c r="B603" s="37">
        <v>43586</v>
      </c>
      <c r="C603" s="37">
        <v>43637.292078707091</v>
      </c>
      <c r="D603" s="36" t="s">
        <v>212</v>
      </c>
      <c r="E603" s="36"/>
      <c r="F603" s="38">
        <v>12773052.833333334</v>
      </c>
      <c r="G603" s="40">
        <f>VLOOKUP(A603,'DATOS GENERALES'!A:B,2,0)</f>
        <v>2.2999999999999998</v>
      </c>
      <c r="H603" s="36">
        <f t="shared" si="45"/>
        <v>2.2894199999999998</v>
      </c>
      <c r="I603" s="38">
        <f t="shared" si="46"/>
        <v>5579165.3926904351</v>
      </c>
      <c r="J603" s="38">
        <f t="shared" si="47"/>
        <v>7193887.4406428989</v>
      </c>
      <c r="K603" s="38">
        <v>739968.81873563235</v>
      </c>
      <c r="L603" s="38">
        <f t="shared" si="48"/>
        <v>6453918.6219072668</v>
      </c>
      <c r="M603" s="41">
        <f>VLOOKUP(INDICADORES!$B$21,'DATOS GENERALES'!$K:$M,3,0)*F603</f>
        <v>86933.733402927362</v>
      </c>
      <c r="N603" s="38">
        <f t="shared" si="49"/>
        <v>6366984.8885043394</v>
      </c>
      <c r="O603" s="36"/>
      <c r="P603" s="36"/>
      <c r="Q603" s="36"/>
    </row>
    <row r="604" spans="1:17" x14ac:dyDescent="0.25">
      <c r="A604" s="36">
        <v>1848</v>
      </c>
      <c r="B604" s="37">
        <v>43617</v>
      </c>
      <c r="C604" s="37">
        <v>43695.827277156975</v>
      </c>
      <c r="D604" s="36" t="s">
        <v>212</v>
      </c>
      <c r="E604" s="36"/>
      <c r="F604" s="38">
        <v>12773052.833333334</v>
      </c>
      <c r="G604" s="40">
        <f>VLOOKUP(A604,'DATOS GENERALES'!A:B,2,0)</f>
        <v>2.2999999999999998</v>
      </c>
      <c r="H604" s="36">
        <f t="shared" si="45"/>
        <v>2.2894199999999998</v>
      </c>
      <c r="I604" s="38">
        <f t="shared" si="46"/>
        <v>5579165.3926904351</v>
      </c>
      <c r="J604" s="38">
        <f t="shared" si="47"/>
        <v>7193887.4406428989</v>
      </c>
      <c r="K604" s="38">
        <v>831134.00123806763</v>
      </c>
      <c r="L604" s="38">
        <f t="shared" si="48"/>
        <v>6362753.4394048313</v>
      </c>
      <c r="M604" s="41">
        <f>VLOOKUP(INDICADORES!$B$21,'DATOS GENERALES'!$K:$M,3,0)*F604</f>
        <v>86933.733402927362</v>
      </c>
      <c r="N604" s="38">
        <f t="shared" si="49"/>
        <v>6275819.7060019039</v>
      </c>
      <c r="O604" s="36"/>
      <c r="P604" s="36"/>
      <c r="Q604" s="36"/>
    </row>
    <row r="605" spans="1:17" x14ac:dyDescent="0.25">
      <c r="A605" s="36">
        <v>1848</v>
      </c>
      <c r="B605" s="37">
        <v>43647</v>
      </c>
      <c r="C605" s="37">
        <v>43708.412252222006</v>
      </c>
      <c r="D605" s="36" t="s">
        <v>212</v>
      </c>
      <c r="E605" s="36"/>
      <c r="F605" s="38">
        <v>12773052.833333334</v>
      </c>
      <c r="G605" s="40">
        <f>VLOOKUP(A605,'DATOS GENERALES'!A:B,2,0)</f>
        <v>2.2999999999999998</v>
      </c>
      <c r="H605" s="36">
        <f t="shared" si="45"/>
        <v>2.2894199999999998</v>
      </c>
      <c r="I605" s="38">
        <f t="shared" si="46"/>
        <v>5579165.3926904351</v>
      </c>
      <c r="J605" s="38">
        <f t="shared" si="47"/>
        <v>7193887.4406428989</v>
      </c>
      <c r="K605" s="38">
        <v>1443278.9009197589</v>
      </c>
      <c r="L605" s="38">
        <f t="shared" si="48"/>
        <v>5750608.5397231402</v>
      </c>
      <c r="M605" s="41">
        <f>VLOOKUP(INDICADORES!$B$21,'DATOS GENERALES'!$K:$M,3,0)*F605</f>
        <v>86933.733402927362</v>
      </c>
      <c r="N605" s="38">
        <f t="shared" si="49"/>
        <v>5663674.8063202128</v>
      </c>
      <c r="O605" s="36"/>
      <c r="P605" s="36"/>
      <c r="Q605" s="36"/>
    </row>
    <row r="606" spans="1:17" x14ac:dyDescent="0.25">
      <c r="A606" s="36">
        <v>1848</v>
      </c>
      <c r="B606" s="37">
        <v>43678</v>
      </c>
      <c r="C606" s="37">
        <v>43748.467615549707</v>
      </c>
      <c r="D606" s="36" t="s">
        <v>212</v>
      </c>
      <c r="E606" s="36"/>
      <c r="F606" s="38">
        <v>12773052.833333334</v>
      </c>
      <c r="G606" s="40">
        <f>VLOOKUP(A606,'DATOS GENERALES'!A:B,2,0)</f>
        <v>2.2999999999999998</v>
      </c>
      <c r="H606" s="36">
        <f t="shared" si="45"/>
        <v>2.2894199999999998</v>
      </c>
      <c r="I606" s="38">
        <f t="shared" si="46"/>
        <v>5579165.3926904351</v>
      </c>
      <c r="J606" s="38">
        <f t="shared" si="47"/>
        <v>7193887.4406428989</v>
      </c>
      <c r="K606" s="38">
        <v>1449285.289661037</v>
      </c>
      <c r="L606" s="38">
        <f t="shared" si="48"/>
        <v>5744602.1509818621</v>
      </c>
      <c r="M606" s="41">
        <f>VLOOKUP(INDICADORES!$B$21,'DATOS GENERALES'!$K:$M,3,0)*F606</f>
        <v>86933.733402927362</v>
      </c>
      <c r="N606" s="38">
        <f t="shared" si="49"/>
        <v>5657668.4175789347</v>
      </c>
      <c r="O606" s="36"/>
      <c r="P606" s="36"/>
      <c r="Q606" s="36"/>
    </row>
    <row r="607" spans="1:17" x14ac:dyDescent="0.25">
      <c r="A607" s="36">
        <v>1848</v>
      </c>
      <c r="B607" s="37">
        <v>43709</v>
      </c>
      <c r="C607" s="37">
        <v>43832.446582481003</v>
      </c>
      <c r="D607" s="36" t="s">
        <v>212</v>
      </c>
      <c r="E607" s="36"/>
      <c r="F607" s="38">
        <v>12773052.833333334</v>
      </c>
      <c r="G607" s="40">
        <f>VLOOKUP(A607,'DATOS GENERALES'!A:B,2,0)</f>
        <v>2.2999999999999998</v>
      </c>
      <c r="H607" s="36">
        <f t="shared" si="45"/>
        <v>2.2894199999999998</v>
      </c>
      <c r="I607" s="38">
        <f t="shared" si="46"/>
        <v>5579165.3926904351</v>
      </c>
      <c r="J607" s="38">
        <f t="shared" si="47"/>
        <v>7193887.4406428989</v>
      </c>
      <c r="K607" s="38">
        <v>1599664.9172459731</v>
      </c>
      <c r="L607" s="38">
        <f t="shared" si="48"/>
        <v>5594222.523396926</v>
      </c>
      <c r="M607" s="41">
        <f>VLOOKUP(INDICADORES!$B$21,'DATOS GENERALES'!$K:$M,3,0)*F607</f>
        <v>86933.733402927362</v>
      </c>
      <c r="N607" s="38">
        <f t="shared" si="49"/>
        <v>5507288.7899939986</v>
      </c>
      <c r="O607" s="36"/>
      <c r="P607" s="36"/>
      <c r="Q607" s="36"/>
    </row>
    <row r="608" spans="1:17" x14ac:dyDescent="0.25">
      <c r="A608" s="36">
        <v>1848</v>
      </c>
      <c r="B608" s="37">
        <v>43739</v>
      </c>
      <c r="C608" s="37">
        <v>43793.979428682374</v>
      </c>
      <c r="D608" s="36" t="s">
        <v>212</v>
      </c>
      <c r="E608" s="36"/>
      <c r="F608" s="38">
        <v>12773052.833333334</v>
      </c>
      <c r="G608" s="40">
        <f>VLOOKUP(A608,'DATOS GENERALES'!A:B,2,0)</f>
        <v>2.2999999999999998</v>
      </c>
      <c r="H608" s="36">
        <f t="shared" si="45"/>
        <v>2.2894199999999998</v>
      </c>
      <c r="I608" s="38">
        <f t="shared" si="46"/>
        <v>5579165.3926904351</v>
      </c>
      <c r="J608" s="38">
        <f t="shared" si="47"/>
        <v>7193887.4406428989</v>
      </c>
      <c r="K608" s="38">
        <v>1736025.57771608</v>
      </c>
      <c r="L608" s="38">
        <f t="shared" si="48"/>
        <v>5457861.8629268184</v>
      </c>
      <c r="M608" s="41">
        <f>VLOOKUP(INDICADORES!$B$21,'DATOS GENERALES'!$K:$M,3,0)*F608</f>
        <v>86933.733402927362</v>
      </c>
      <c r="N608" s="38">
        <f t="shared" si="49"/>
        <v>5370928.129523891</v>
      </c>
      <c r="O608" s="36"/>
      <c r="P608" s="36"/>
      <c r="Q608" s="36"/>
    </row>
    <row r="609" spans="1:17" x14ac:dyDescent="0.25">
      <c r="A609" s="36">
        <v>1848</v>
      </c>
      <c r="B609" s="37">
        <v>43770</v>
      </c>
      <c r="C609" s="37">
        <v>43823.69601879378</v>
      </c>
      <c r="D609" s="36" t="s">
        <v>212</v>
      </c>
      <c r="E609" s="36"/>
      <c r="F609" s="38">
        <v>12773052.833333334</v>
      </c>
      <c r="G609" s="40">
        <f>VLOOKUP(A609,'DATOS GENERALES'!A:B,2,0)</f>
        <v>2.2999999999999998</v>
      </c>
      <c r="H609" s="36">
        <f t="shared" si="45"/>
        <v>2.2894199999999998</v>
      </c>
      <c r="I609" s="38">
        <f t="shared" si="46"/>
        <v>5579165.3926904351</v>
      </c>
      <c r="J609" s="38">
        <f t="shared" si="47"/>
        <v>7193887.4406428989</v>
      </c>
      <c r="K609" s="38">
        <v>2278180.2610284477</v>
      </c>
      <c r="L609" s="38">
        <f t="shared" si="48"/>
        <v>4915707.1796144508</v>
      </c>
      <c r="M609" s="41">
        <f>VLOOKUP(INDICADORES!$B$21,'DATOS GENERALES'!$K:$M,3,0)*F609</f>
        <v>86933.733402927362</v>
      </c>
      <c r="N609" s="38">
        <f t="shared" si="49"/>
        <v>4828773.4462115234</v>
      </c>
      <c r="O609" s="36"/>
      <c r="P609" s="36"/>
      <c r="Q609" s="36"/>
    </row>
    <row r="610" spans="1:17" x14ac:dyDescent="0.25">
      <c r="A610" s="36">
        <v>1898</v>
      </c>
      <c r="B610" s="37">
        <v>43556</v>
      </c>
      <c r="C610" s="37">
        <v>43604.203468018823</v>
      </c>
      <c r="D610" s="36" t="s">
        <v>212</v>
      </c>
      <c r="E610" s="36"/>
      <c r="F610" s="38">
        <v>10000000</v>
      </c>
      <c r="G610" s="40">
        <f>VLOOKUP(A610,'DATOS GENERALES'!A:B,2,0)</f>
        <v>1</v>
      </c>
      <c r="H610" s="36">
        <f t="shared" si="45"/>
        <v>0.99539999999999995</v>
      </c>
      <c r="I610" s="38">
        <f t="shared" si="46"/>
        <v>10046212.577858148</v>
      </c>
      <c r="J610" s="38">
        <f t="shared" si="47"/>
        <v>-46212.577858148143</v>
      </c>
      <c r="K610" s="38">
        <v>1615211.5620977255</v>
      </c>
      <c r="L610" s="38">
        <f t="shared" si="48"/>
        <v>-1661424.1399558736</v>
      </c>
      <c r="M610" s="41">
        <f>VLOOKUP(INDICADORES!$B$21,'DATOS GENERALES'!$K:$M,3,0)*F610</f>
        <v>68060.262912292834</v>
      </c>
      <c r="N610" s="38">
        <f t="shared" si="49"/>
        <v>-1729484.4028681663</v>
      </c>
      <c r="O610" s="36"/>
      <c r="P610" s="36"/>
      <c r="Q610" s="36"/>
    </row>
    <row r="611" spans="1:17" x14ac:dyDescent="0.25">
      <c r="A611" s="36">
        <v>1898</v>
      </c>
      <c r="B611" s="37">
        <v>43586</v>
      </c>
      <c r="C611" s="37">
        <v>43640.001917534268</v>
      </c>
      <c r="D611" s="36" t="s">
        <v>212</v>
      </c>
      <c r="E611" s="36"/>
      <c r="F611" s="38">
        <v>10000000</v>
      </c>
      <c r="G611" s="40">
        <f>VLOOKUP(A611,'DATOS GENERALES'!A:B,2,0)</f>
        <v>1</v>
      </c>
      <c r="H611" s="36">
        <f t="shared" si="45"/>
        <v>0.99539999999999995</v>
      </c>
      <c r="I611" s="38">
        <f t="shared" si="46"/>
        <v>10046212.577858148</v>
      </c>
      <c r="J611" s="38">
        <f t="shared" si="47"/>
        <v>-46212.577858148143</v>
      </c>
      <c r="K611" s="38">
        <v>1332436.5798053374</v>
      </c>
      <c r="L611" s="38">
        <f t="shared" si="48"/>
        <v>-1378649.1576634855</v>
      </c>
      <c r="M611" s="41">
        <f>VLOOKUP(INDICADORES!$B$21,'DATOS GENERALES'!$K:$M,3,0)*F611</f>
        <v>68060.262912292834</v>
      </c>
      <c r="N611" s="38">
        <f t="shared" si="49"/>
        <v>-1446709.4205757782</v>
      </c>
      <c r="O611" s="36"/>
      <c r="P611" s="36"/>
      <c r="Q611" s="36"/>
    </row>
    <row r="612" spans="1:17" x14ac:dyDescent="0.25">
      <c r="A612" s="36">
        <v>1898</v>
      </c>
      <c r="B612" s="37">
        <v>43617</v>
      </c>
      <c r="C612" s="37">
        <v>43689.58223332902</v>
      </c>
      <c r="D612" s="36" t="s">
        <v>212</v>
      </c>
      <c r="E612" s="36"/>
      <c r="F612" s="38">
        <v>10000000</v>
      </c>
      <c r="G612" s="40">
        <f>VLOOKUP(A612,'DATOS GENERALES'!A:B,2,0)</f>
        <v>1</v>
      </c>
      <c r="H612" s="36">
        <f t="shared" si="45"/>
        <v>0.99539999999999995</v>
      </c>
      <c r="I612" s="38">
        <f t="shared" si="46"/>
        <v>10046212.577858148</v>
      </c>
      <c r="J612" s="38">
        <f t="shared" si="47"/>
        <v>-46212.577858148143</v>
      </c>
      <c r="K612" s="38">
        <v>1496594.6103807748</v>
      </c>
      <c r="L612" s="38">
        <f t="shared" si="48"/>
        <v>-1542807.188238923</v>
      </c>
      <c r="M612" s="41">
        <f>VLOOKUP(INDICADORES!$B$21,'DATOS GENERALES'!$K:$M,3,0)*F612</f>
        <v>68060.262912292834</v>
      </c>
      <c r="N612" s="38">
        <f t="shared" si="49"/>
        <v>-1610867.4511512157</v>
      </c>
      <c r="O612" s="36"/>
      <c r="P612" s="36"/>
      <c r="Q612" s="36"/>
    </row>
    <row r="613" spans="1:17" x14ac:dyDescent="0.25">
      <c r="A613" s="36">
        <v>1751</v>
      </c>
      <c r="B613" s="37">
        <v>43525</v>
      </c>
      <c r="C613" s="37">
        <v>43633.095113296673</v>
      </c>
      <c r="D613" s="36" t="s">
        <v>212</v>
      </c>
      <c r="E613" s="36"/>
      <c r="F613" s="38">
        <v>43506691.09375</v>
      </c>
      <c r="G613" s="40">
        <f>VLOOKUP(A613,'DATOS GENERALES'!A:B,2,0)</f>
        <v>2</v>
      </c>
      <c r="H613" s="36">
        <f t="shared" si="45"/>
        <v>1.9907999999999999</v>
      </c>
      <c r="I613" s="38">
        <f t="shared" si="46"/>
        <v>21853873.364351016</v>
      </c>
      <c r="J613" s="38">
        <f t="shared" si="47"/>
        <v>21652817.729398984</v>
      </c>
      <c r="K613" s="38">
        <v>3417673.0937543199</v>
      </c>
      <c r="L613" s="38">
        <f t="shared" si="48"/>
        <v>18235144.635644663</v>
      </c>
      <c r="M613" s="41">
        <f>VLOOKUP(INDICADORES!$B$21,'DATOS GENERALES'!$K:$M,3,0)*F613</f>
        <v>296107.6834284534</v>
      </c>
      <c r="N613" s="38">
        <f t="shared" si="49"/>
        <v>17939036.952216208</v>
      </c>
      <c r="O613" s="36"/>
      <c r="P613" s="36"/>
      <c r="Q613" s="36"/>
    </row>
    <row r="614" spans="1:17" x14ac:dyDescent="0.25">
      <c r="A614" s="36">
        <v>1751</v>
      </c>
      <c r="B614" s="37">
        <v>43556</v>
      </c>
      <c r="C614" s="37">
        <v>43599.068954761693</v>
      </c>
      <c r="D614" s="36" t="s">
        <v>212</v>
      </c>
      <c r="E614" s="36"/>
      <c r="F614" s="38">
        <v>43506691.09375</v>
      </c>
      <c r="G614" s="40">
        <f>VLOOKUP(A614,'DATOS GENERALES'!A:B,2,0)</f>
        <v>2</v>
      </c>
      <c r="H614" s="36">
        <f t="shared" si="45"/>
        <v>1.9907999999999999</v>
      </c>
      <c r="I614" s="38">
        <f t="shared" si="46"/>
        <v>21853873.364351016</v>
      </c>
      <c r="J614" s="38">
        <f t="shared" si="47"/>
        <v>21652817.729398984</v>
      </c>
      <c r="K614" s="38">
        <v>3513625.5241619558</v>
      </c>
      <c r="L614" s="38">
        <f t="shared" si="48"/>
        <v>18139192.205237027</v>
      </c>
      <c r="M614" s="41">
        <f>VLOOKUP(INDICADORES!$B$21,'DATOS GENERALES'!$K:$M,3,0)*F614</f>
        <v>296107.6834284534</v>
      </c>
      <c r="N614" s="38">
        <f t="shared" si="49"/>
        <v>17843084.521808572</v>
      </c>
      <c r="O614" s="36"/>
      <c r="P614" s="36"/>
      <c r="Q614" s="36"/>
    </row>
    <row r="615" spans="1:17" x14ac:dyDescent="0.25">
      <c r="A615" s="36">
        <v>1723</v>
      </c>
      <c r="B615" s="37">
        <v>43647</v>
      </c>
      <c r="C615" s="37">
        <v>43703.784894960598</v>
      </c>
      <c r="D615" s="36" t="s">
        <v>212</v>
      </c>
      <c r="E615" s="36"/>
      <c r="F615" s="38">
        <v>125198487.89297774</v>
      </c>
      <c r="G615" s="40">
        <f>VLOOKUP(A615,'DATOS GENERALES'!A:B,2,0)</f>
        <v>1.82</v>
      </c>
      <c r="H615" s="36">
        <f t="shared" si="45"/>
        <v>1.811628</v>
      </c>
      <c r="I615" s="38">
        <f t="shared" si="46"/>
        <v>69108276.032926038</v>
      </c>
      <c r="J615" s="38">
        <f t="shared" si="47"/>
        <v>56090211.860051706</v>
      </c>
      <c r="K615" s="38">
        <v>17877676.974398151</v>
      </c>
      <c r="L615" s="38">
        <f t="shared" si="48"/>
        <v>38212534.885653555</v>
      </c>
      <c r="M615" s="41">
        <f>VLOOKUP(INDICADORES!$B$21,'DATOS GENERALES'!$K:$M,3,0)*F615</f>
        <v>852104.20022175764</v>
      </c>
      <c r="N615" s="38">
        <f t="shared" si="49"/>
        <v>37360430.685431801</v>
      </c>
      <c r="O615" s="36"/>
      <c r="P615" s="36"/>
      <c r="Q615" s="36"/>
    </row>
    <row r="616" spans="1:17" x14ac:dyDescent="0.25">
      <c r="A616" s="36">
        <v>1723</v>
      </c>
      <c r="B616" s="37">
        <v>43678</v>
      </c>
      <c r="C616" s="37">
        <v>43743.844825079606</v>
      </c>
      <c r="D616" s="36" t="s">
        <v>212</v>
      </c>
      <c r="E616" s="36"/>
      <c r="F616" s="38">
        <v>125198487.89297774</v>
      </c>
      <c r="G616" s="40">
        <f>VLOOKUP(A616,'DATOS GENERALES'!A:B,2,0)</f>
        <v>1.82</v>
      </c>
      <c r="H616" s="36">
        <f t="shared" si="45"/>
        <v>1.811628</v>
      </c>
      <c r="I616" s="38">
        <f t="shared" si="46"/>
        <v>69108276.032926038</v>
      </c>
      <c r="J616" s="38">
        <f t="shared" si="47"/>
        <v>56090211.860051706</v>
      </c>
      <c r="K616" s="38">
        <v>17952077.201291788</v>
      </c>
      <c r="L616" s="38">
        <f t="shared" si="48"/>
        <v>38138134.658759922</v>
      </c>
      <c r="M616" s="41">
        <f>VLOOKUP(INDICADORES!$B$21,'DATOS GENERALES'!$K:$M,3,0)*F616</f>
        <v>852104.20022175764</v>
      </c>
      <c r="N616" s="38">
        <f t="shared" si="49"/>
        <v>37286030.458538167</v>
      </c>
      <c r="O616" s="36"/>
      <c r="P616" s="36"/>
      <c r="Q616" s="36"/>
    </row>
    <row r="617" spans="1:17" x14ac:dyDescent="0.25">
      <c r="A617" s="36">
        <v>1723</v>
      </c>
      <c r="B617" s="37">
        <v>43709</v>
      </c>
      <c r="C617" s="37">
        <v>43775.289519100152</v>
      </c>
      <c r="D617" s="36" t="s">
        <v>212</v>
      </c>
      <c r="E617" s="36"/>
      <c r="F617" s="38">
        <v>125198487.89297774</v>
      </c>
      <c r="G617" s="40">
        <f>VLOOKUP(A617,'DATOS GENERALES'!A:B,2,0)</f>
        <v>1.82</v>
      </c>
      <c r="H617" s="36">
        <f t="shared" si="45"/>
        <v>1.811628</v>
      </c>
      <c r="I617" s="38">
        <f t="shared" si="46"/>
        <v>69108276.032926038</v>
      </c>
      <c r="J617" s="38">
        <f t="shared" si="47"/>
        <v>56090211.860051706</v>
      </c>
      <c r="K617" s="38">
        <v>19814806.853738397</v>
      </c>
      <c r="L617" s="38">
        <f t="shared" si="48"/>
        <v>36275405.006313309</v>
      </c>
      <c r="M617" s="41">
        <f>VLOOKUP(INDICADORES!$B$21,'DATOS GENERALES'!$K:$M,3,0)*F617</f>
        <v>852104.20022175764</v>
      </c>
      <c r="N617" s="38">
        <f t="shared" si="49"/>
        <v>35423300.806091554</v>
      </c>
      <c r="O617" s="36"/>
      <c r="P617" s="36"/>
      <c r="Q617" s="36"/>
    </row>
    <row r="618" spans="1:17" x14ac:dyDescent="0.25">
      <c r="A618" s="36">
        <v>1723</v>
      </c>
      <c r="B618" s="37">
        <v>43739</v>
      </c>
      <c r="C618" s="37">
        <v>43791.367630196801</v>
      </c>
      <c r="D618" s="36" t="s">
        <v>212</v>
      </c>
      <c r="E618" s="36"/>
      <c r="F618" s="38">
        <v>37851706.567977756</v>
      </c>
      <c r="G618" s="40">
        <f>VLOOKUP(A618,'DATOS GENERALES'!A:B,2,0)</f>
        <v>1.82</v>
      </c>
      <c r="H618" s="36">
        <f t="shared" si="45"/>
        <v>1.811628</v>
      </c>
      <c r="I618" s="38">
        <f t="shared" si="46"/>
        <v>20893752.231682088</v>
      </c>
      <c r="J618" s="38">
        <f t="shared" si="47"/>
        <v>16957954.336295668</v>
      </c>
      <c r="K618" s="38">
        <v>6501346.6595173078</v>
      </c>
      <c r="L618" s="38">
        <f t="shared" si="48"/>
        <v>10456607.676778361</v>
      </c>
      <c r="M618" s="41">
        <f>VLOOKUP(INDICADORES!$B$21,'DATOS GENERALES'!$K:$M,3,0)*F618</f>
        <v>257619.71006955276</v>
      </c>
      <c r="N618" s="38">
        <f t="shared" si="49"/>
        <v>10198987.966708809</v>
      </c>
      <c r="O618" s="36"/>
      <c r="P618" s="36"/>
      <c r="Q618" s="36"/>
    </row>
    <row r="619" spans="1:17" x14ac:dyDescent="0.25">
      <c r="A619" s="36">
        <v>1618</v>
      </c>
      <c r="B619" s="37">
        <v>43525</v>
      </c>
      <c r="C619" s="37">
        <v>43587.147633569853</v>
      </c>
      <c r="D619" s="36" t="s">
        <v>212</v>
      </c>
      <c r="E619" s="36"/>
      <c r="F619" s="38">
        <v>13267655.116172869</v>
      </c>
      <c r="G619" s="40">
        <f>VLOOKUP(A619,'DATOS GENERALES'!A:B,2,0)</f>
        <v>1.97</v>
      </c>
      <c r="H619" s="36">
        <f t="shared" si="45"/>
        <v>1.9609379999999998</v>
      </c>
      <c r="I619" s="38">
        <f t="shared" si="46"/>
        <v>6765973.7922223294</v>
      </c>
      <c r="J619" s="38">
        <f t="shared" si="47"/>
        <v>6501681.3239505393</v>
      </c>
      <c r="K619" s="38">
        <v>1058113.872868222</v>
      </c>
      <c r="L619" s="38">
        <f t="shared" si="48"/>
        <v>5443567.4510823172</v>
      </c>
      <c r="M619" s="41">
        <f>VLOOKUP(INDICADORES!$B$21,'DATOS GENERALES'!$K:$M,3,0)*F619</f>
        <v>90300.009543635257</v>
      </c>
      <c r="N619" s="38">
        <f t="shared" si="49"/>
        <v>5353267.4415386822</v>
      </c>
      <c r="O619" s="36"/>
      <c r="P619" s="36"/>
      <c r="Q619" s="36"/>
    </row>
    <row r="620" spans="1:17" x14ac:dyDescent="0.25">
      <c r="A620" s="36">
        <v>1618</v>
      </c>
      <c r="B620" s="37">
        <v>43556</v>
      </c>
      <c r="C620" s="37">
        <v>43597.544127940346</v>
      </c>
      <c r="D620" s="36" t="s">
        <v>212</v>
      </c>
      <c r="E620" s="36"/>
      <c r="F620" s="38">
        <v>13267655.116172869</v>
      </c>
      <c r="G620" s="40">
        <f>VLOOKUP(A620,'DATOS GENERALES'!A:B,2,0)</f>
        <v>1.97</v>
      </c>
      <c r="H620" s="36">
        <f t="shared" si="45"/>
        <v>1.9609379999999998</v>
      </c>
      <c r="I620" s="38">
        <f t="shared" si="46"/>
        <v>6765973.7922223294</v>
      </c>
      <c r="J620" s="38">
        <f t="shared" si="47"/>
        <v>6501681.3239505393</v>
      </c>
      <c r="K620" s="38">
        <v>1087820.8094196678</v>
      </c>
      <c r="L620" s="38">
        <f t="shared" si="48"/>
        <v>5413860.5145308711</v>
      </c>
      <c r="M620" s="41">
        <f>VLOOKUP(INDICADORES!$B$21,'DATOS GENERALES'!$K:$M,3,0)*F620</f>
        <v>90300.009543635257</v>
      </c>
      <c r="N620" s="38">
        <f t="shared" si="49"/>
        <v>5323560.5049872361</v>
      </c>
      <c r="O620" s="36"/>
      <c r="P620" s="36"/>
      <c r="Q620" s="36"/>
    </row>
    <row r="621" spans="1:17" x14ac:dyDescent="0.25">
      <c r="A621" s="36">
        <v>1689</v>
      </c>
      <c r="B621" s="37">
        <v>43800</v>
      </c>
      <c r="C621" s="37">
        <v>43868.375122755991</v>
      </c>
      <c r="D621" s="36" t="s">
        <v>212</v>
      </c>
      <c r="E621" s="36"/>
      <c r="F621" s="38">
        <v>13258047.600000001</v>
      </c>
      <c r="G621" s="40">
        <f>VLOOKUP(A621,'DATOS GENERALES'!A:B,2,0)</f>
        <v>2.11</v>
      </c>
      <c r="H621" s="36">
        <f t="shared" si="45"/>
        <v>2.1002939999999999</v>
      </c>
      <c r="I621" s="38">
        <f t="shared" si="46"/>
        <v>6312472.2538844571</v>
      </c>
      <c r="J621" s="38">
        <f t="shared" si="47"/>
        <v>6945575.3461155444</v>
      </c>
      <c r="K621" s="38">
        <v>2223322.0491335122</v>
      </c>
      <c r="L621" s="38">
        <f t="shared" si="48"/>
        <v>4722253.2969820322</v>
      </c>
      <c r="M621" s="41">
        <f>VLOOKUP(INDICADORES!$B$21,'DATOS GENERALES'!$K:$M,3,0)*F621</f>
        <v>90234.620535969312</v>
      </c>
      <c r="N621" s="38">
        <f t="shared" si="49"/>
        <v>4632018.6764460625</v>
      </c>
      <c r="O621" s="36"/>
      <c r="P621" s="36"/>
      <c r="Q621" s="36"/>
    </row>
    <row r="622" spans="1:17" x14ac:dyDescent="0.25">
      <c r="A622" s="36">
        <v>1715</v>
      </c>
      <c r="B622" s="37">
        <v>43556</v>
      </c>
      <c r="C622" s="37">
        <v>43635.182965408108</v>
      </c>
      <c r="D622" s="36" t="s">
        <v>212</v>
      </c>
      <c r="E622" s="36"/>
      <c r="F622" s="38">
        <v>55849596.75</v>
      </c>
      <c r="G622" s="40">
        <f>VLOOKUP(A622,'DATOS GENERALES'!A:B,2,0)</f>
        <v>1.93</v>
      </c>
      <c r="H622" s="36">
        <f t="shared" si="45"/>
        <v>1.9211219999999998</v>
      </c>
      <c r="I622" s="38">
        <f t="shared" si="46"/>
        <v>29071343.074515834</v>
      </c>
      <c r="J622" s="38">
        <f t="shared" si="47"/>
        <v>26778253.675484166</v>
      </c>
      <c r="K622" s="38">
        <v>4674037.0160153136</v>
      </c>
      <c r="L622" s="38">
        <f t="shared" si="48"/>
        <v>22104216.659468852</v>
      </c>
      <c r="M622" s="41">
        <f>VLOOKUP(INDICADORES!$B$21,'DATOS GENERALES'!$K:$M,3,0)*F622</f>
        <v>380113.82383505354</v>
      </c>
      <c r="N622" s="38">
        <f t="shared" si="49"/>
        <v>21724102.835633799</v>
      </c>
      <c r="O622" s="36"/>
      <c r="P622" s="36"/>
      <c r="Q622" s="36"/>
    </row>
    <row r="623" spans="1:17" x14ac:dyDescent="0.25">
      <c r="A623" s="36">
        <v>1751</v>
      </c>
      <c r="B623" s="37">
        <v>43586</v>
      </c>
      <c r="C623" s="37">
        <v>43677.832137386293</v>
      </c>
      <c r="D623" s="36" t="s">
        <v>212</v>
      </c>
      <c r="E623" s="36"/>
      <c r="F623" s="38">
        <v>15500000</v>
      </c>
      <c r="G623" s="40">
        <f>VLOOKUP(A623,'DATOS GENERALES'!A:B,2,0)</f>
        <v>2</v>
      </c>
      <c r="H623" s="36">
        <f t="shared" si="45"/>
        <v>1.9907999999999999</v>
      </c>
      <c r="I623" s="38">
        <f t="shared" si="46"/>
        <v>7785814.7478400646</v>
      </c>
      <c r="J623" s="38">
        <f t="shared" si="47"/>
        <v>7714185.2521599354</v>
      </c>
      <c r="K623" s="38">
        <v>1032638.3493491366</v>
      </c>
      <c r="L623" s="38">
        <f t="shared" si="48"/>
        <v>6681546.902810799</v>
      </c>
      <c r="M623" s="41">
        <f>VLOOKUP(INDICADORES!$B$21,'DATOS GENERALES'!$K:$M,3,0)*F623</f>
        <v>105493.40751405389</v>
      </c>
      <c r="N623" s="38">
        <f t="shared" si="49"/>
        <v>6576053.4952967446</v>
      </c>
      <c r="O623" s="36"/>
      <c r="P623" s="36"/>
      <c r="Q623" s="36"/>
    </row>
    <row r="624" spans="1:17" x14ac:dyDescent="0.25">
      <c r="A624" s="36">
        <v>1756</v>
      </c>
      <c r="B624" s="37">
        <v>43617</v>
      </c>
      <c r="C624" s="37">
        <v>43678.396239245107</v>
      </c>
      <c r="D624" s="36" t="s">
        <v>212</v>
      </c>
      <c r="E624" s="36"/>
      <c r="F624" s="38">
        <v>62778573</v>
      </c>
      <c r="G624" s="40">
        <f>VLOOKUP(A624,'DATOS GENERALES'!A:B,2,0)</f>
        <v>1.72</v>
      </c>
      <c r="H624" s="36">
        <f t="shared" si="45"/>
        <v>1.7120879999999998</v>
      </c>
      <c r="I624" s="38">
        <f t="shared" si="46"/>
        <v>36667842.423987553</v>
      </c>
      <c r="J624" s="38">
        <f t="shared" si="47"/>
        <v>26110730.576012447</v>
      </c>
      <c r="K624" s="38">
        <v>5462446.1627439549</v>
      </c>
      <c r="L624" s="38">
        <f t="shared" si="48"/>
        <v>20648284.413268492</v>
      </c>
      <c r="M624" s="41">
        <f>VLOOKUP(INDICADORES!$B$21,'DATOS GENERALES'!$K:$M,3,0)*F624</f>
        <v>427272.61836385686</v>
      </c>
      <c r="N624" s="38">
        <f t="shared" si="49"/>
        <v>20221011.794904634</v>
      </c>
      <c r="O624" s="36"/>
      <c r="P624" s="36"/>
      <c r="Q624" s="36"/>
    </row>
    <row r="625" spans="1:17" x14ac:dyDescent="0.25">
      <c r="A625" s="36">
        <v>1756</v>
      </c>
      <c r="B625" s="37">
        <v>43647</v>
      </c>
      <c r="C625" s="37">
        <v>43713.604411318513</v>
      </c>
      <c r="D625" s="36" t="s">
        <v>212</v>
      </c>
      <c r="E625" s="36"/>
      <c r="F625" s="38">
        <v>62778573</v>
      </c>
      <c r="G625" s="40">
        <f>VLOOKUP(A625,'DATOS GENERALES'!A:B,2,0)</f>
        <v>1.72</v>
      </c>
      <c r="H625" s="36">
        <f t="shared" si="45"/>
        <v>1.7120879999999998</v>
      </c>
      <c r="I625" s="38">
        <f t="shared" si="46"/>
        <v>36667842.423987553</v>
      </c>
      <c r="J625" s="38">
        <f t="shared" si="47"/>
        <v>26110730.576012447</v>
      </c>
      <c r="K625" s="38">
        <v>9485634.4252005015</v>
      </c>
      <c r="L625" s="38">
        <f t="shared" si="48"/>
        <v>16625096.150811946</v>
      </c>
      <c r="M625" s="41">
        <f>VLOOKUP(INDICADORES!$B$21,'DATOS GENERALES'!$K:$M,3,0)*F625</f>
        <v>427272.61836385686</v>
      </c>
      <c r="N625" s="38">
        <f t="shared" si="49"/>
        <v>16197823.532448089</v>
      </c>
      <c r="O625" s="36"/>
      <c r="P625" s="36"/>
      <c r="Q625" s="36"/>
    </row>
    <row r="626" spans="1:17" x14ac:dyDescent="0.25">
      <c r="A626" s="36">
        <v>1756</v>
      </c>
      <c r="B626" s="37">
        <v>43678</v>
      </c>
      <c r="C626" s="37">
        <v>43708.014770030983</v>
      </c>
      <c r="D626" s="36" t="s">
        <v>212</v>
      </c>
      <c r="E626" s="36"/>
      <c r="F626" s="38">
        <v>62778573</v>
      </c>
      <c r="G626" s="40">
        <f>VLOOKUP(A626,'DATOS GENERALES'!A:B,2,0)</f>
        <v>1.72</v>
      </c>
      <c r="H626" s="36">
        <f t="shared" si="45"/>
        <v>1.7120879999999998</v>
      </c>
      <c r="I626" s="38">
        <f t="shared" si="46"/>
        <v>36667842.423987553</v>
      </c>
      <c r="J626" s="38">
        <f t="shared" si="47"/>
        <v>26110730.576012447</v>
      </c>
      <c r="K626" s="38">
        <v>9525110.0994995553</v>
      </c>
      <c r="L626" s="38">
        <f t="shared" si="48"/>
        <v>16585620.476512892</v>
      </c>
      <c r="M626" s="41">
        <f>VLOOKUP(INDICADORES!$B$21,'DATOS GENERALES'!$K:$M,3,0)*F626</f>
        <v>427272.61836385686</v>
      </c>
      <c r="N626" s="38">
        <f t="shared" si="49"/>
        <v>16158347.858149035</v>
      </c>
      <c r="O626" s="36"/>
      <c r="P626" s="36"/>
      <c r="Q626" s="36"/>
    </row>
    <row r="627" spans="1:17" x14ac:dyDescent="0.25">
      <c r="A627" s="36">
        <v>1756</v>
      </c>
      <c r="B627" s="37">
        <v>43709</v>
      </c>
      <c r="C627" s="37">
        <v>43757.765909639253</v>
      </c>
      <c r="D627" s="36" t="s">
        <v>212</v>
      </c>
      <c r="E627" s="36"/>
      <c r="F627" s="38">
        <v>62778573</v>
      </c>
      <c r="G627" s="40">
        <f>VLOOKUP(A627,'DATOS GENERALES'!A:B,2,0)</f>
        <v>1.72</v>
      </c>
      <c r="H627" s="36">
        <f t="shared" si="45"/>
        <v>1.7120879999999998</v>
      </c>
      <c r="I627" s="38">
        <f t="shared" si="46"/>
        <v>36667842.423987553</v>
      </c>
      <c r="J627" s="38">
        <f t="shared" si="47"/>
        <v>26110730.576012447</v>
      </c>
      <c r="K627" s="38">
        <v>10513447.261055421</v>
      </c>
      <c r="L627" s="38">
        <f t="shared" si="48"/>
        <v>15597283.314957026</v>
      </c>
      <c r="M627" s="41">
        <f>VLOOKUP(INDICADORES!$B$21,'DATOS GENERALES'!$K:$M,3,0)*F627</f>
        <v>427272.61836385686</v>
      </c>
      <c r="N627" s="38">
        <f t="shared" si="49"/>
        <v>15170010.696593169</v>
      </c>
      <c r="O627" s="36"/>
      <c r="P627" s="36"/>
      <c r="Q627" s="36"/>
    </row>
    <row r="628" spans="1:17" x14ac:dyDescent="0.25">
      <c r="A628" s="36">
        <v>1804</v>
      </c>
      <c r="B628" s="37">
        <v>43497</v>
      </c>
      <c r="C628" s="37">
        <v>43511.532386532184</v>
      </c>
      <c r="D628" s="36" t="s">
        <v>212</v>
      </c>
      <c r="E628" s="36"/>
      <c r="F628" s="38">
        <v>29813870</v>
      </c>
      <c r="G628" s="40">
        <f>VLOOKUP(A628,'DATOS GENERALES'!A:B,2,0)</f>
        <v>2.27</v>
      </c>
      <c r="H628" s="36">
        <f t="shared" si="45"/>
        <v>2.2595579999999997</v>
      </c>
      <c r="I628" s="38">
        <f t="shared" si="46"/>
        <v>13194558.404785363</v>
      </c>
      <c r="J628" s="38">
        <f t="shared" si="47"/>
        <v>16619311.595214637</v>
      </c>
      <c r="K628" s="38">
        <v>2852107.3426548219</v>
      </c>
      <c r="L628" s="38">
        <f t="shared" si="48"/>
        <v>13767204.252559815</v>
      </c>
      <c r="M628" s="41">
        <f>VLOOKUP(INDICADORES!$B$21,'DATOS GENERALES'!$K:$M,3,0)*F628</f>
        <v>202913.98306329199</v>
      </c>
      <c r="N628" s="38">
        <f t="shared" si="49"/>
        <v>13564290.269496523</v>
      </c>
      <c r="O628" s="36"/>
      <c r="P628" s="36"/>
      <c r="Q628" s="36"/>
    </row>
    <row r="629" spans="1:17" x14ac:dyDescent="0.25">
      <c r="A629" s="36">
        <v>1804</v>
      </c>
      <c r="B629" s="37">
        <v>43525</v>
      </c>
      <c r="C629" s="37">
        <v>43576.862665259774</v>
      </c>
      <c r="D629" s="36" t="s">
        <v>212</v>
      </c>
      <c r="E629" s="36"/>
      <c r="F629" s="38">
        <v>29813870</v>
      </c>
      <c r="G629" s="40">
        <f>VLOOKUP(A629,'DATOS GENERALES'!A:B,2,0)</f>
        <v>2.27</v>
      </c>
      <c r="H629" s="36">
        <f t="shared" si="45"/>
        <v>2.2595579999999997</v>
      </c>
      <c r="I629" s="38">
        <f t="shared" si="46"/>
        <v>13194558.404785363</v>
      </c>
      <c r="J629" s="38">
        <f t="shared" si="47"/>
        <v>16619311.595214637</v>
      </c>
      <c r="K629" s="38">
        <v>2063464.288100308</v>
      </c>
      <c r="L629" s="38">
        <f t="shared" si="48"/>
        <v>14555847.307114329</v>
      </c>
      <c r="M629" s="41">
        <f>VLOOKUP(INDICADORES!$B$21,'DATOS GENERALES'!$K:$M,3,0)*F629</f>
        <v>202913.98306329199</v>
      </c>
      <c r="N629" s="38">
        <f t="shared" si="49"/>
        <v>14352933.324051037</v>
      </c>
      <c r="O629" s="36"/>
      <c r="P629" s="36"/>
      <c r="Q629" s="36"/>
    </row>
    <row r="630" spans="1:17" x14ac:dyDescent="0.25">
      <c r="A630" s="36">
        <v>1813</v>
      </c>
      <c r="B630" s="37">
        <v>43586</v>
      </c>
      <c r="C630" s="37">
        <v>43658.773398786238</v>
      </c>
      <c r="D630" s="36" t="s">
        <v>212</v>
      </c>
      <c r="E630" s="36"/>
      <c r="F630" s="38">
        <v>126579869.80723679</v>
      </c>
      <c r="G630" s="40">
        <f>VLOOKUP(A630,'DATOS GENERALES'!A:B,2,0)</f>
        <v>2.5499999999999998</v>
      </c>
      <c r="H630" s="36">
        <f t="shared" si="45"/>
        <v>2.5382699999999998</v>
      </c>
      <c r="I630" s="38">
        <f t="shared" si="46"/>
        <v>49868560.006318003</v>
      </c>
      <c r="J630" s="38">
        <f t="shared" si="47"/>
        <v>76711309.800918788</v>
      </c>
      <c r="K630" s="38">
        <v>6614103.8744376274</v>
      </c>
      <c r="L630" s="38">
        <f t="shared" si="48"/>
        <v>70097205.926481158</v>
      </c>
      <c r="M630" s="41">
        <f>VLOOKUP(INDICADORES!$B$21,'DATOS GENERALES'!$K:$M,3,0)*F630</f>
        <v>861505.92184843333</v>
      </c>
      <c r="N630" s="38">
        <f t="shared" si="49"/>
        <v>69235700.004632726</v>
      </c>
      <c r="O630" s="36"/>
      <c r="P630" s="36"/>
      <c r="Q630" s="36"/>
    </row>
    <row r="631" spans="1:17" x14ac:dyDescent="0.25">
      <c r="A631" s="36">
        <v>1700</v>
      </c>
      <c r="B631" s="37">
        <v>43617</v>
      </c>
      <c r="C631" s="37">
        <v>43680.893740201827</v>
      </c>
      <c r="D631" s="36" t="s">
        <v>212</v>
      </c>
      <c r="E631" s="36"/>
      <c r="F631" s="38">
        <v>161433687</v>
      </c>
      <c r="G631" s="40">
        <f>VLOOKUP(A631,'DATOS GENERALES'!A:B,2,0)</f>
        <v>0.75</v>
      </c>
      <c r="H631" s="36">
        <f t="shared" si="45"/>
        <v>0.74654999999999994</v>
      </c>
      <c r="I631" s="38">
        <f t="shared" si="46"/>
        <v>216239618.24392205</v>
      </c>
      <c r="J631" s="38">
        <f t="shared" si="47"/>
        <v>-54805931.243922055</v>
      </c>
      <c r="K631" s="38">
        <v>32213438.119746257</v>
      </c>
      <c r="L631" s="38">
        <f t="shared" si="48"/>
        <v>-87019369.363668308</v>
      </c>
      <c r="M631" s="41">
        <f>VLOOKUP(INDICADORES!$B$21,'DATOS GENERALES'!$K:$M,3,0)*F631</f>
        <v>1098721.9180120791</v>
      </c>
      <c r="N631" s="38">
        <f t="shared" si="49"/>
        <v>-88118091.28168039</v>
      </c>
      <c r="O631" s="36"/>
      <c r="P631" s="36"/>
      <c r="Q631" s="36"/>
    </row>
    <row r="632" spans="1:17" x14ac:dyDescent="0.25">
      <c r="A632" s="36">
        <v>1700</v>
      </c>
      <c r="B632" s="37">
        <v>43556</v>
      </c>
      <c r="C632" s="37">
        <v>43617.012650862365</v>
      </c>
      <c r="D632" s="36" t="s">
        <v>212</v>
      </c>
      <c r="E632" s="36"/>
      <c r="F632" s="38">
        <v>113931505</v>
      </c>
      <c r="G632" s="40">
        <f>VLOOKUP(A632,'DATOS GENERALES'!A:B,2,0)</f>
        <v>0.75</v>
      </c>
      <c r="H632" s="36">
        <f t="shared" si="45"/>
        <v>0.74654999999999994</v>
      </c>
      <c r="I632" s="38">
        <f t="shared" si="46"/>
        <v>152610682.47270781</v>
      </c>
      <c r="J632" s="38">
        <f t="shared" si="47"/>
        <v>-38679177.472707808</v>
      </c>
      <c r="K632" s="38">
        <v>24536464.55509264</v>
      </c>
      <c r="L632" s="38">
        <f t="shared" si="48"/>
        <v>-63215642.027800448</v>
      </c>
      <c r="M632" s="41">
        <f>VLOOKUP(INDICADORES!$B$21,'DATOS GENERALES'!$K:$M,3,0)*F632</f>
        <v>775420.81842932058</v>
      </c>
      <c r="N632" s="38">
        <f t="shared" si="49"/>
        <v>-63991062.846229769</v>
      </c>
      <c r="O632" s="36"/>
      <c r="P632" s="36"/>
      <c r="Q632" s="36"/>
    </row>
    <row r="633" spans="1:17" x14ac:dyDescent="0.25">
      <c r="A633" s="36">
        <v>1700</v>
      </c>
      <c r="B633" s="37">
        <v>43586</v>
      </c>
      <c r="C633" s="37">
        <v>43617.924560317442</v>
      </c>
      <c r="D633" s="36" t="s">
        <v>212</v>
      </c>
      <c r="E633" s="36"/>
      <c r="F633" s="38">
        <v>886635143.78999996</v>
      </c>
      <c r="G633" s="40">
        <f>VLOOKUP(A633,'DATOS GENERALES'!A:B,2,0)</f>
        <v>0.75</v>
      </c>
      <c r="H633" s="36">
        <f t="shared" si="45"/>
        <v>0.74654999999999994</v>
      </c>
      <c r="I633" s="38">
        <f t="shared" si="46"/>
        <v>1187643351.135222</v>
      </c>
      <c r="J633" s="38">
        <f t="shared" si="47"/>
        <v>-301008207.345222</v>
      </c>
      <c r="K633" s="38">
        <v>157518013.13690147</v>
      </c>
      <c r="L633" s="38">
        <f t="shared" si="48"/>
        <v>-458526220.48212349</v>
      </c>
      <c r="M633" s="41">
        <f>VLOOKUP(INDICADORES!$B$21,'DATOS GENERALES'!$K:$M,3,0)*F633</f>
        <v>6034462.0993625959</v>
      </c>
      <c r="N633" s="38">
        <f t="shared" si="49"/>
        <v>-464560682.58148611</v>
      </c>
      <c r="O633" s="36"/>
      <c r="P633" s="36"/>
      <c r="Q633" s="36"/>
    </row>
    <row r="634" spans="1:17" x14ac:dyDescent="0.25">
      <c r="A634" s="36">
        <v>1670</v>
      </c>
      <c r="B634" s="37">
        <v>43466</v>
      </c>
      <c r="C634" s="37">
        <v>43576.055623388907</v>
      </c>
      <c r="D634" s="36" t="s">
        <v>212</v>
      </c>
      <c r="E634" s="36"/>
      <c r="F634" s="38">
        <v>57276497</v>
      </c>
      <c r="G634" s="40">
        <f>VLOOKUP(A634,'DATOS GENERALES'!A:B,2,0)</f>
        <v>2.36</v>
      </c>
      <c r="H634" s="36">
        <f t="shared" si="45"/>
        <v>2.3491439999999999</v>
      </c>
      <c r="I634" s="38">
        <f t="shared" si="46"/>
        <v>24381858.668519258</v>
      </c>
      <c r="J634" s="38">
        <f t="shared" si="47"/>
        <v>32894638.331480742</v>
      </c>
      <c r="K634" s="38">
        <v>5349827.0714372685</v>
      </c>
      <c r="L634" s="38">
        <f t="shared" si="48"/>
        <v>27544811.260043472</v>
      </c>
      <c r="M634" s="41">
        <f>VLOOKUP(INDICADORES!$B$21,'DATOS GENERALES'!$K:$M,3,0)*F634</f>
        <v>389825.34445151518</v>
      </c>
      <c r="N634" s="38">
        <f t="shared" si="49"/>
        <v>27154985.915591955</v>
      </c>
      <c r="O634" s="36"/>
      <c r="P634" s="36"/>
      <c r="Q634" s="36"/>
    </row>
    <row r="635" spans="1:17" x14ac:dyDescent="0.25">
      <c r="A635" s="36">
        <v>1670</v>
      </c>
      <c r="B635" s="37">
        <v>43497</v>
      </c>
      <c r="C635" s="37">
        <v>43571.779027037897</v>
      </c>
      <c r="D635" s="36" t="s">
        <v>212</v>
      </c>
      <c r="E635" s="36"/>
      <c r="F635" s="38">
        <v>57276497</v>
      </c>
      <c r="G635" s="40">
        <f>VLOOKUP(A635,'DATOS GENERALES'!A:B,2,0)</f>
        <v>2.36</v>
      </c>
      <c r="H635" s="36">
        <f t="shared" si="45"/>
        <v>2.3491439999999999</v>
      </c>
      <c r="I635" s="38">
        <f t="shared" si="46"/>
        <v>24381858.668519258</v>
      </c>
      <c r="J635" s="38">
        <f t="shared" si="47"/>
        <v>32894638.331480742</v>
      </c>
      <c r="K635" s="38">
        <v>5270330.08629038</v>
      </c>
      <c r="L635" s="38">
        <f t="shared" si="48"/>
        <v>27624308.24519036</v>
      </c>
      <c r="M635" s="41">
        <f>VLOOKUP(INDICADORES!$B$21,'DATOS GENERALES'!$K:$M,3,0)*F635</f>
        <v>389825.34445151518</v>
      </c>
      <c r="N635" s="38">
        <f t="shared" si="49"/>
        <v>27234482.900738843</v>
      </c>
      <c r="O635" s="36"/>
      <c r="P635" s="36"/>
      <c r="Q635" s="36"/>
    </row>
    <row r="636" spans="1:17" x14ac:dyDescent="0.25">
      <c r="A636" s="36">
        <v>1670</v>
      </c>
      <c r="B636" s="37">
        <v>43525</v>
      </c>
      <c r="C636" s="37">
        <v>43606.982275718612</v>
      </c>
      <c r="D636" s="36" t="s">
        <v>212</v>
      </c>
      <c r="E636" s="36"/>
      <c r="F636" s="38">
        <v>57276497</v>
      </c>
      <c r="G636" s="40">
        <f>VLOOKUP(A636,'DATOS GENERALES'!A:B,2,0)</f>
        <v>2.36</v>
      </c>
      <c r="H636" s="36">
        <f t="shared" si="45"/>
        <v>2.3491439999999999</v>
      </c>
      <c r="I636" s="38">
        <f t="shared" si="46"/>
        <v>24381858.668519258</v>
      </c>
      <c r="J636" s="38">
        <f t="shared" si="47"/>
        <v>32894638.331480742</v>
      </c>
      <c r="K636" s="38">
        <v>3813018.4502235213</v>
      </c>
      <c r="L636" s="38">
        <f t="shared" si="48"/>
        <v>29081619.881257221</v>
      </c>
      <c r="M636" s="41">
        <f>VLOOKUP(INDICADORES!$B$21,'DATOS GENERALES'!$K:$M,3,0)*F636</f>
        <v>389825.34445151518</v>
      </c>
      <c r="N636" s="38">
        <f t="shared" si="49"/>
        <v>28691794.536805704</v>
      </c>
      <c r="O636" s="36"/>
      <c r="P636" s="36"/>
      <c r="Q636" s="36"/>
    </row>
    <row r="637" spans="1:17" x14ac:dyDescent="0.25">
      <c r="A637" s="36">
        <v>1670</v>
      </c>
      <c r="B637" s="37">
        <v>43556</v>
      </c>
      <c r="C637" s="37">
        <v>43602.329302537022</v>
      </c>
      <c r="D637" s="36" t="s">
        <v>212</v>
      </c>
      <c r="E637" s="36"/>
      <c r="F637" s="38">
        <v>57276497</v>
      </c>
      <c r="G637" s="40">
        <f>VLOOKUP(A637,'DATOS GENERALES'!A:B,2,0)</f>
        <v>2.36</v>
      </c>
      <c r="H637" s="36">
        <f t="shared" si="45"/>
        <v>2.3491439999999999</v>
      </c>
      <c r="I637" s="38">
        <f t="shared" si="46"/>
        <v>24381858.668519258</v>
      </c>
      <c r="J637" s="38">
        <f t="shared" si="47"/>
        <v>32894638.331480742</v>
      </c>
      <c r="K637" s="38">
        <v>3920070.3470701561</v>
      </c>
      <c r="L637" s="38">
        <f t="shared" si="48"/>
        <v>28974567.984410584</v>
      </c>
      <c r="M637" s="41">
        <f>VLOOKUP(INDICADORES!$B$21,'DATOS GENERALES'!$K:$M,3,0)*F637</f>
        <v>389825.34445151518</v>
      </c>
      <c r="N637" s="38">
        <f t="shared" si="49"/>
        <v>28584742.639959067</v>
      </c>
      <c r="O637" s="36"/>
      <c r="P637" s="36"/>
      <c r="Q637" s="36"/>
    </row>
    <row r="638" spans="1:17" x14ac:dyDescent="0.25">
      <c r="A638" s="36">
        <v>1670</v>
      </c>
      <c r="B638" s="37">
        <v>43586</v>
      </c>
      <c r="C638" s="37">
        <v>43682.854759702546</v>
      </c>
      <c r="D638" s="36" t="s">
        <v>212</v>
      </c>
      <c r="E638" s="36"/>
      <c r="F638" s="38">
        <v>57276497</v>
      </c>
      <c r="G638" s="40">
        <f>VLOOKUP(A638,'DATOS GENERALES'!A:B,2,0)</f>
        <v>2.36</v>
      </c>
      <c r="H638" s="36">
        <f t="shared" si="45"/>
        <v>2.3491439999999999</v>
      </c>
      <c r="I638" s="38">
        <f t="shared" si="46"/>
        <v>24381858.668519258</v>
      </c>
      <c r="J638" s="38">
        <f t="shared" si="47"/>
        <v>32894638.331480742</v>
      </c>
      <c r="K638" s="38">
        <v>3233783.8883860451</v>
      </c>
      <c r="L638" s="38">
        <f t="shared" si="48"/>
        <v>29660854.443094697</v>
      </c>
      <c r="M638" s="41">
        <f>VLOOKUP(INDICADORES!$B$21,'DATOS GENERALES'!$K:$M,3,0)*F638</f>
        <v>389825.34445151518</v>
      </c>
      <c r="N638" s="38">
        <f t="shared" si="49"/>
        <v>29271029.09864318</v>
      </c>
      <c r="O638" s="36"/>
      <c r="P638" s="36"/>
      <c r="Q638" s="36"/>
    </row>
    <row r="639" spans="1:17" x14ac:dyDescent="0.25">
      <c r="A639" s="36">
        <v>1670</v>
      </c>
      <c r="B639" s="37">
        <v>43617</v>
      </c>
      <c r="C639" s="37">
        <v>43681.37967760711</v>
      </c>
      <c r="D639" s="36" t="s">
        <v>212</v>
      </c>
      <c r="E639" s="36"/>
      <c r="F639" s="38">
        <v>57276497</v>
      </c>
      <c r="G639" s="40">
        <f>VLOOKUP(A639,'DATOS GENERALES'!A:B,2,0)</f>
        <v>2.36</v>
      </c>
      <c r="H639" s="36">
        <f t="shared" si="45"/>
        <v>2.3491439999999999</v>
      </c>
      <c r="I639" s="38">
        <f t="shared" si="46"/>
        <v>24381858.668519258</v>
      </c>
      <c r="J639" s="38">
        <f t="shared" si="47"/>
        <v>32894638.331480742</v>
      </c>
      <c r="K639" s="38">
        <v>3632190.5386309586</v>
      </c>
      <c r="L639" s="38">
        <f t="shared" si="48"/>
        <v>29262447.792849783</v>
      </c>
      <c r="M639" s="41">
        <f>VLOOKUP(INDICADORES!$B$21,'DATOS GENERALES'!$K:$M,3,0)*F639</f>
        <v>389825.34445151518</v>
      </c>
      <c r="N639" s="38">
        <f t="shared" si="49"/>
        <v>28872622.448398266</v>
      </c>
      <c r="O639" s="36"/>
      <c r="P639" s="36"/>
      <c r="Q639" s="36"/>
    </row>
    <row r="640" spans="1:17" x14ac:dyDescent="0.25">
      <c r="A640" s="36">
        <v>1670</v>
      </c>
      <c r="B640" s="37">
        <v>43647</v>
      </c>
      <c r="C640" s="37">
        <v>43711.037593953362</v>
      </c>
      <c r="D640" s="36" t="s">
        <v>212</v>
      </c>
      <c r="E640" s="36"/>
      <c r="F640" s="38">
        <v>57276497</v>
      </c>
      <c r="G640" s="40">
        <f>VLOOKUP(A640,'DATOS GENERALES'!A:B,2,0)</f>
        <v>2.36</v>
      </c>
      <c r="H640" s="36">
        <f t="shared" si="45"/>
        <v>2.3491439999999999</v>
      </c>
      <c r="I640" s="38">
        <f t="shared" si="46"/>
        <v>24381858.668519258</v>
      </c>
      <c r="J640" s="38">
        <f t="shared" si="47"/>
        <v>32894638.331480742</v>
      </c>
      <c r="K640" s="38">
        <v>6307363.1456750603</v>
      </c>
      <c r="L640" s="38">
        <f t="shared" si="48"/>
        <v>26587275.185805682</v>
      </c>
      <c r="M640" s="41">
        <f>VLOOKUP(INDICADORES!$B$21,'DATOS GENERALES'!$K:$M,3,0)*F640</f>
        <v>389825.34445151518</v>
      </c>
      <c r="N640" s="38">
        <f t="shared" si="49"/>
        <v>26197449.841354165</v>
      </c>
      <c r="O640" s="36"/>
      <c r="P640" s="36"/>
      <c r="Q640" s="36"/>
    </row>
    <row r="641" spans="1:17" x14ac:dyDescent="0.25">
      <c r="A641" s="36">
        <v>1670</v>
      </c>
      <c r="B641" s="37">
        <v>43678</v>
      </c>
      <c r="C641" s="37">
        <v>43714.721531472926</v>
      </c>
      <c r="D641" s="36" t="s">
        <v>212</v>
      </c>
      <c r="E641" s="36"/>
      <c r="F641" s="38">
        <v>57276497</v>
      </c>
      <c r="G641" s="40">
        <f>VLOOKUP(A641,'DATOS GENERALES'!A:B,2,0)</f>
        <v>2.36</v>
      </c>
      <c r="H641" s="36">
        <f t="shared" si="45"/>
        <v>2.3491439999999999</v>
      </c>
      <c r="I641" s="38">
        <f t="shared" si="46"/>
        <v>24381858.668519258</v>
      </c>
      <c r="J641" s="38">
        <f t="shared" si="47"/>
        <v>32894638.331480742</v>
      </c>
      <c r="K641" s="38">
        <v>6333612.0397461867</v>
      </c>
      <c r="L641" s="38">
        <f t="shared" si="48"/>
        <v>26561026.291734554</v>
      </c>
      <c r="M641" s="41">
        <f>VLOOKUP(INDICADORES!$B$21,'DATOS GENERALES'!$K:$M,3,0)*F641</f>
        <v>389825.34445151518</v>
      </c>
      <c r="N641" s="38">
        <f t="shared" si="49"/>
        <v>26171200.947283037</v>
      </c>
      <c r="O641" s="36"/>
      <c r="P641" s="36"/>
      <c r="Q641" s="36"/>
    </row>
    <row r="642" spans="1:17" x14ac:dyDescent="0.25">
      <c r="A642" s="36">
        <v>1670</v>
      </c>
      <c r="B642" s="37">
        <v>43709</v>
      </c>
      <c r="C642" s="37">
        <v>43748.727406411694</v>
      </c>
      <c r="D642" s="36" t="s">
        <v>212</v>
      </c>
      <c r="E642" s="36"/>
      <c r="F642" s="38">
        <v>57276497</v>
      </c>
      <c r="G642" s="40">
        <f>VLOOKUP(A642,'DATOS GENERALES'!A:B,2,0)</f>
        <v>2.36</v>
      </c>
      <c r="H642" s="36">
        <f t="shared" si="45"/>
        <v>2.3491439999999999</v>
      </c>
      <c r="I642" s="38">
        <f t="shared" si="46"/>
        <v>24381858.668519258</v>
      </c>
      <c r="J642" s="38">
        <f t="shared" si="47"/>
        <v>32894638.331480742</v>
      </c>
      <c r="K642" s="38">
        <v>6990795.4297930561</v>
      </c>
      <c r="L642" s="38">
        <f t="shared" si="48"/>
        <v>25903842.901687685</v>
      </c>
      <c r="M642" s="41">
        <f>VLOOKUP(INDICADORES!$B$21,'DATOS GENERALES'!$K:$M,3,0)*F642</f>
        <v>389825.34445151518</v>
      </c>
      <c r="N642" s="38">
        <f t="shared" si="49"/>
        <v>25514017.557236169</v>
      </c>
      <c r="O642" s="36"/>
      <c r="P642" s="36"/>
      <c r="Q642" s="36"/>
    </row>
    <row r="643" spans="1:17" x14ac:dyDescent="0.25">
      <c r="A643" s="36">
        <v>1670</v>
      </c>
      <c r="B643" s="37">
        <v>43739</v>
      </c>
      <c r="C643" s="37">
        <v>43781.391650699246</v>
      </c>
      <c r="D643" s="36" t="s">
        <v>212</v>
      </c>
      <c r="E643" s="36"/>
      <c r="F643" s="38">
        <v>57276497</v>
      </c>
      <c r="G643" s="40">
        <f>VLOOKUP(A643,'DATOS GENERALES'!A:B,2,0)</f>
        <v>2.36</v>
      </c>
      <c r="H643" s="36">
        <f t="shared" ref="H643:H706" si="50">G643*0.9954</f>
        <v>2.3491439999999999</v>
      </c>
      <c r="I643" s="38">
        <f t="shared" ref="I643:I706" si="51">F643/H643</f>
        <v>24381858.668519258</v>
      </c>
      <c r="J643" s="38">
        <f t="shared" ref="J643:J706" si="52">F643-I643</f>
        <v>32894638.331480742</v>
      </c>
      <c r="K643" s="38">
        <v>7586713.657254816</v>
      </c>
      <c r="L643" s="38">
        <f t="shared" ref="L643:L706" si="53">IFERROR(J643-K643,"")</f>
        <v>25307924.674225926</v>
      </c>
      <c r="M643" s="41">
        <f>VLOOKUP(INDICADORES!$B$21,'DATOS GENERALES'!$K:$M,3,0)*F643</f>
        <v>389825.34445151518</v>
      </c>
      <c r="N643" s="38">
        <f t="shared" ref="N643:N706" si="54">IFERROR(L643-M643,"")</f>
        <v>24918099.32977441</v>
      </c>
      <c r="O643" s="36"/>
      <c r="P643" s="36"/>
      <c r="Q643" s="36"/>
    </row>
    <row r="644" spans="1:17" x14ac:dyDescent="0.25">
      <c r="A644" s="36">
        <v>1670</v>
      </c>
      <c r="B644" s="37">
        <v>43770</v>
      </c>
      <c r="C644" s="37">
        <v>43849.65795176135</v>
      </c>
      <c r="D644" s="36" t="s">
        <v>212</v>
      </c>
      <c r="E644" s="36"/>
      <c r="F644" s="38">
        <v>57276497</v>
      </c>
      <c r="G644" s="40">
        <f>VLOOKUP(A644,'DATOS GENERALES'!A:B,2,0)</f>
        <v>2.36</v>
      </c>
      <c r="H644" s="36">
        <f t="shared" si="50"/>
        <v>2.3491439999999999</v>
      </c>
      <c r="I644" s="38">
        <f t="shared" si="51"/>
        <v>24381858.668519258</v>
      </c>
      <c r="J644" s="38">
        <f t="shared" si="52"/>
        <v>32894638.331480742</v>
      </c>
      <c r="K644" s="38">
        <v>9956017.6542857233</v>
      </c>
      <c r="L644" s="38">
        <f t="shared" si="53"/>
        <v>22938620.67719502</v>
      </c>
      <c r="M644" s="41">
        <f>VLOOKUP(INDICADORES!$B$21,'DATOS GENERALES'!$K:$M,3,0)*F644</f>
        <v>389825.34445151518</v>
      </c>
      <c r="N644" s="38">
        <f t="shared" si="54"/>
        <v>22548795.332743503</v>
      </c>
      <c r="O644" s="36"/>
      <c r="P644" s="36"/>
      <c r="Q644" s="36"/>
    </row>
    <row r="645" spans="1:17" x14ac:dyDescent="0.25">
      <c r="A645" s="36">
        <v>1670</v>
      </c>
      <c r="B645" s="37">
        <v>43800</v>
      </c>
      <c r="C645" s="37">
        <v>43842.043810506024</v>
      </c>
      <c r="D645" s="36" t="s">
        <v>212</v>
      </c>
      <c r="E645" s="36"/>
      <c r="F645" s="38">
        <v>57276497</v>
      </c>
      <c r="G645" s="40">
        <f>VLOOKUP(A645,'DATOS GENERALES'!A:B,2,0)</f>
        <v>2.36</v>
      </c>
      <c r="H645" s="36">
        <f t="shared" si="50"/>
        <v>2.3491439999999999</v>
      </c>
      <c r="I645" s="38">
        <f t="shared" si="51"/>
        <v>24381858.668519258</v>
      </c>
      <c r="J645" s="38">
        <f t="shared" si="52"/>
        <v>32894638.331480742</v>
      </c>
      <c r="K645" s="38">
        <v>8587558.3759149071</v>
      </c>
      <c r="L645" s="38">
        <f t="shared" si="53"/>
        <v>24307079.955565833</v>
      </c>
      <c r="M645" s="41">
        <f>VLOOKUP(INDICADORES!$B$21,'DATOS GENERALES'!$K:$M,3,0)*F645</f>
        <v>389825.34445151518</v>
      </c>
      <c r="N645" s="38">
        <f t="shared" si="54"/>
        <v>23917254.611114316</v>
      </c>
      <c r="O645" s="36"/>
      <c r="P645" s="36"/>
      <c r="Q645" s="36"/>
    </row>
    <row r="646" spans="1:17" x14ac:dyDescent="0.25">
      <c r="A646" s="36">
        <v>1837</v>
      </c>
      <c r="B646" s="37">
        <v>43525</v>
      </c>
      <c r="C646" s="37">
        <v>43586.700859376484</v>
      </c>
      <c r="D646" s="36" t="s">
        <v>212</v>
      </c>
      <c r="E646" s="36"/>
      <c r="F646" s="38">
        <v>24433339.875</v>
      </c>
      <c r="G646" s="40">
        <f>VLOOKUP(A646,'DATOS GENERALES'!A:B,2,0)</f>
        <v>1.98</v>
      </c>
      <c r="H646" s="36">
        <f t="shared" si="50"/>
        <v>1.9708919999999999</v>
      </c>
      <c r="I646" s="38">
        <f t="shared" si="51"/>
        <v>12397097.291480204</v>
      </c>
      <c r="J646" s="38">
        <f t="shared" si="52"/>
        <v>12036242.583519796</v>
      </c>
      <c r="K646" s="38">
        <v>1938751.3209837195</v>
      </c>
      <c r="L646" s="38">
        <f t="shared" si="53"/>
        <v>10097491.262536077</v>
      </c>
      <c r="M646" s="41">
        <f>VLOOKUP(INDICADORES!$B$21,'DATOS GENERALES'!$K:$M,3,0)*F646</f>
        <v>166293.95357179083</v>
      </c>
      <c r="N646" s="38">
        <f t="shared" si="54"/>
        <v>9931197.308964286</v>
      </c>
      <c r="O646" s="36"/>
      <c r="P646" s="36"/>
      <c r="Q646" s="36"/>
    </row>
    <row r="647" spans="1:17" x14ac:dyDescent="0.25">
      <c r="A647" s="36">
        <v>1837</v>
      </c>
      <c r="B647" s="37">
        <v>43556</v>
      </c>
      <c r="C647" s="37">
        <v>43630.575328474937</v>
      </c>
      <c r="D647" s="36" t="s">
        <v>212</v>
      </c>
      <c r="E647" s="36"/>
      <c r="F647" s="38">
        <v>23469243</v>
      </c>
      <c r="G647" s="40">
        <f>VLOOKUP(A647,'DATOS GENERALES'!A:B,2,0)</f>
        <v>1.98</v>
      </c>
      <c r="H647" s="36">
        <f t="shared" si="50"/>
        <v>1.9708919999999999</v>
      </c>
      <c r="I647" s="38">
        <f t="shared" si="51"/>
        <v>11907929.506030772</v>
      </c>
      <c r="J647" s="38">
        <f t="shared" si="52"/>
        <v>11561313.493969228</v>
      </c>
      <c r="K647" s="38">
        <v>1914534.9821859144</v>
      </c>
      <c r="L647" s="38">
        <f t="shared" si="53"/>
        <v>9646778.511783313</v>
      </c>
      <c r="M647" s="41">
        <f>VLOOKUP(INDICADORES!$B$21,'DATOS GENERALES'!$K:$M,3,0)*F647</f>
        <v>159732.28489324881</v>
      </c>
      <c r="N647" s="38">
        <f t="shared" si="54"/>
        <v>9487046.2268900648</v>
      </c>
      <c r="O647" s="36"/>
      <c r="P647" s="36"/>
      <c r="Q647" s="36"/>
    </row>
    <row r="648" spans="1:17" x14ac:dyDescent="0.25">
      <c r="A648" s="36">
        <v>1837</v>
      </c>
      <c r="B648" s="37">
        <v>43586</v>
      </c>
      <c r="C648" s="37">
        <v>43657.772506444562</v>
      </c>
      <c r="D648" s="36" t="s">
        <v>212</v>
      </c>
      <c r="E648" s="36"/>
      <c r="F648" s="38">
        <v>23469243</v>
      </c>
      <c r="G648" s="40">
        <f>VLOOKUP(A648,'DATOS GENERALES'!A:B,2,0)</f>
        <v>1.98</v>
      </c>
      <c r="H648" s="36">
        <f t="shared" si="50"/>
        <v>1.9708919999999999</v>
      </c>
      <c r="I648" s="38">
        <f t="shared" si="51"/>
        <v>11907929.506030772</v>
      </c>
      <c r="J648" s="38">
        <f t="shared" si="52"/>
        <v>11561313.493969228</v>
      </c>
      <c r="K648" s="38">
        <v>1579357.468360624</v>
      </c>
      <c r="L648" s="38">
        <f t="shared" si="53"/>
        <v>9981956.0256086048</v>
      </c>
      <c r="M648" s="41">
        <f>VLOOKUP(INDICADORES!$B$21,'DATOS GENERALES'!$K:$M,3,0)*F648</f>
        <v>159732.28489324881</v>
      </c>
      <c r="N648" s="38">
        <f t="shared" si="54"/>
        <v>9822223.7407153565</v>
      </c>
      <c r="O648" s="36"/>
      <c r="P648" s="36"/>
      <c r="Q648" s="36"/>
    </row>
    <row r="649" spans="1:17" x14ac:dyDescent="0.25">
      <c r="A649" s="36">
        <v>1837</v>
      </c>
      <c r="B649" s="37">
        <v>43617</v>
      </c>
      <c r="C649" s="37">
        <v>43676.954233418655</v>
      </c>
      <c r="D649" s="36" t="s">
        <v>212</v>
      </c>
      <c r="E649" s="36"/>
      <c r="F649" s="38">
        <v>23469243</v>
      </c>
      <c r="G649" s="40">
        <f>VLOOKUP(A649,'DATOS GENERALES'!A:B,2,0)</f>
        <v>1.98</v>
      </c>
      <c r="H649" s="36">
        <f t="shared" si="50"/>
        <v>1.9708919999999999</v>
      </c>
      <c r="I649" s="38">
        <f t="shared" si="51"/>
        <v>11907929.506030772</v>
      </c>
      <c r="J649" s="38">
        <f t="shared" si="52"/>
        <v>11561313.493969228</v>
      </c>
      <c r="K649" s="38">
        <v>1773936.4941170064</v>
      </c>
      <c r="L649" s="38">
        <f t="shared" si="53"/>
        <v>9787376.9998522215</v>
      </c>
      <c r="M649" s="41">
        <f>VLOOKUP(INDICADORES!$B$21,'DATOS GENERALES'!$K:$M,3,0)*F649</f>
        <v>159732.28489324881</v>
      </c>
      <c r="N649" s="38">
        <f t="shared" si="54"/>
        <v>9627644.7149589732</v>
      </c>
      <c r="O649" s="36"/>
      <c r="P649" s="36"/>
      <c r="Q649" s="36"/>
    </row>
    <row r="650" spans="1:17" x14ac:dyDescent="0.25">
      <c r="A650" s="36">
        <v>1706</v>
      </c>
      <c r="B650" s="37">
        <v>43617</v>
      </c>
      <c r="C650" s="37">
        <v>43697.894504689742</v>
      </c>
      <c r="D650" s="36" t="s">
        <v>212</v>
      </c>
      <c r="E650" s="36"/>
      <c r="F650" s="38">
        <v>571348397.33903968</v>
      </c>
      <c r="G650" s="40">
        <f>VLOOKUP(A650,'DATOS GENERALES'!A:B,2,0)</f>
        <v>0.65</v>
      </c>
      <c r="H650" s="36">
        <f t="shared" si="50"/>
        <v>0.64700999999999997</v>
      </c>
      <c r="I650" s="38">
        <f t="shared" si="51"/>
        <v>883059608.56716239</v>
      </c>
      <c r="J650" s="38">
        <f t="shared" si="52"/>
        <v>-311711211.22812271</v>
      </c>
      <c r="K650" s="38">
        <v>131550297.24727696</v>
      </c>
      <c r="L650" s="38">
        <f t="shared" si="53"/>
        <v>-443261508.47539967</v>
      </c>
      <c r="M650" s="41">
        <f>VLOOKUP(INDICADORES!$B$21,'DATOS GENERALES'!$K:$M,3,0)*F650</f>
        <v>3888612.2137412191</v>
      </c>
      <c r="N650" s="38">
        <f t="shared" si="54"/>
        <v>-447150120.68914092</v>
      </c>
      <c r="O650" s="36"/>
      <c r="P650" s="36"/>
      <c r="Q650" s="36"/>
    </row>
    <row r="651" spans="1:17" x14ac:dyDescent="0.25">
      <c r="A651" s="36">
        <v>1706</v>
      </c>
      <c r="B651" s="37">
        <v>43647</v>
      </c>
      <c r="C651" s="37">
        <v>43725.860145151062</v>
      </c>
      <c r="D651" s="36" t="s">
        <v>212</v>
      </c>
      <c r="E651" s="36"/>
      <c r="F651" s="38">
        <v>169100716.32175991</v>
      </c>
      <c r="G651" s="40">
        <f>VLOOKUP(A651,'DATOS GENERALES'!A:B,2,0)</f>
        <v>0.65</v>
      </c>
      <c r="H651" s="36">
        <f t="shared" si="50"/>
        <v>0.64700999999999997</v>
      </c>
      <c r="I651" s="38">
        <f t="shared" si="51"/>
        <v>261357191.26715183</v>
      </c>
      <c r="J651" s="38">
        <f t="shared" si="52"/>
        <v>-92256474.945391923</v>
      </c>
      <c r="K651" s="38">
        <v>67610707.553809926</v>
      </c>
      <c r="L651" s="38">
        <f t="shared" si="53"/>
        <v>-159867182.49920183</v>
      </c>
      <c r="M651" s="41">
        <f>VLOOKUP(INDICADORES!$B$21,'DATOS GENERALES'!$K:$M,3,0)*F651</f>
        <v>1150903.9211516029</v>
      </c>
      <c r="N651" s="38">
        <f t="shared" si="54"/>
        <v>-161018086.42035344</v>
      </c>
      <c r="O651" s="36"/>
      <c r="P651" s="36"/>
      <c r="Q651" s="36"/>
    </row>
    <row r="652" spans="1:17" x14ac:dyDescent="0.25">
      <c r="A652" s="36">
        <v>1706</v>
      </c>
      <c r="B652" s="37">
        <v>43678</v>
      </c>
      <c r="C652" s="37">
        <v>43739.388803367619</v>
      </c>
      <c r="D652" s="36" t="s">
        <v>212</v>
      </c>
      <c r="E652" s="36"/>
      <c r="F652" s="38">
        <v>201793844.26040003</v>
      </c>
      <c r="G652" s="40">
        <f>VLOOKUP(A652,'DATOS GENERALES'!A:B,2,0)</f>
        <v>0.65</v>
      </c>
      <c r="H652" s="36">
        <f t="shared" si="50"/>
        <v>0.64700999999999997</v>
      </c>
      <c r="I652" s="38">
        <f t="shared" si="51"/>
        <v>311886747.12971985</v>
      </c>
      <c r="J652" s="38">
        <f t="shared" si="52"/>
        <v>-110092902.86931983</v>
      </c>
      <c r="K652" s="38">
        <v>81018009.476388887</v>
      </c>
      <c r="L652" s="38">
        <f t="shared" si="53"/>
        <v>-191110912.34570873</v>
      </c>
      <c r="M652" s="41">
        <f>VLOOKUP(INDICADORES!$B$21,'DATOS GENERALES'!$K:$M,3,0)*F652</f>
        <v>1373414.2094445101</v>
      </c>
      <c r="N652" s="38">
        <f t="shared" si="54"/>
        <v>-192484326.55515325</v>
      </c>
      <c r="O652" s="36"/>
      <c r="P652" s="36"/>
      <c r="Q652" s="36"/>
    </row>
    <row r="653" spans="1:17" x14ac:dyDescent="0.25">
      <c r="A653" s="36">
        <v>1706</v>
      </c>
      <c r="B653" s="37">
        <v>43709</v>
      </c>
      <c r="C653" s="37">
        <v>43796.995862409291</v>
      </c>
      <c r="D653" s="36" t="s">
        <v>212</v>
      </c>
      <c r="E653" s="36"/>
      <c r="F653" s="38">
        <v>212124501.08639985</v>
      </c>
      <c r="G653" s="40">
        <f>VLOOKUP(A653,'DATOS GENERALES'!A:B,2,0)</f>
        <v>0.65</v>
      </c>
      <c r="H653" s="36">
        <f t="shared" si="50"/>
        <v>0.64700999999999997</v>
      </c>
      <c r="I653" s="38">
        <f t="shared" si="51"/>
        <v>327853512.44401145</v>
      </c>
      <c r="J653" s="38">
        <f t="shared" si="52"/>
        <v>-115729011.3576116</v>
      </c>
      <c r="K653" s="38">
        <v>94002547.861310765</v>
      </c>
      <c r="L653" s="38">
        <f t="shared" si="53"/>
        <v>-209731559.21892238</v>
      </c>
      <c r="M653" s="41">
        <f>VLOOKUP(INDICADORES!$B$21,'DATOS GENERALES'!$K:$M,3,0)*F653</f>
        <v>1443724.9314079322</v>
      </c>
      <c r="N653" s="38">
        <f t="shared" si="54"/>
        <v>-211175284.15033031</v>
      </c>
      <c r="O653" s="36"/>
      <c r="P653" s="36"/>
      <c r="Q653" s="36"/>
    </row>
    <row r="654" spans="1:17" x14ac:dyDescent="0.25">
      <c r="A654" s="36">
        <v>1706</v>
      </c>
      <c r="B654" s="37">
        <v>43739</v>
      </c>
      <c r="C654" s="37">
        <v>43776.255538196696</v>
      </c>
      <c r="D654" s="36" t="s">
        <v>212</v>
      </c>
      <c r="E654" s="36"/>
      <c r="F654" s="38">
        <v>215602207.53135997</v>
      </c>
      <c r="G654" s="40">
        <f>VLOOKUP(A654,'DATOS GENERALES'!A:B,2,0)</f>
        <v>0.65</v>
      </c>
      <c r="H654" s="36">
        <f t="shared" si="50"/>
        <v>0.64700999999999997</v>
      </c>
      <c r="I654" s="38">
        <f t="shared" si="51"/>
        <v>333228555.24854326</v>
      </c>
      <c r="J654" s="38">
        <f t="shared" si="52"/>
        <v>-117626347.71718329</v>
      </c>
      <c r="K654" s="38">
        <v>103688142.29719058</v>
      </c>
      <c r="L654" s="38">
        <f t="shared" si="53"/>
        <v>-221314490.01437387</v>
      </c>
      <c r="M654" s="41">
        <f>VLOOKUP(INDICADORES!$B$21,'DATOS GENERALES'!$K:$M,3,0)*F654</f>
        <v>1467394.2929055083</v>
      </c>
      <c r="N654" s="38">
        <f t="shared" si="54"/>
        <v>-222781884.30727938</v>
      </c>
      <c r="O654" s="36"/>
      <c r="P654" s="36"/>
      <c r="Q654" s="36"/>
    </row>
    <row r="655" spans="1:17" x14ac:dyDescent="0.25">
      <c r="A655" s="36">
        <v>1706</v>
      </c>
      <c r="B655" s="37">
        <v>43770</v>
      </c>
      <c r="C655" s="37">
        <v>43866.710444399709</v>
      </c>
      <c r="D655" s="36" t="s">
        <v>212</v>
      </c>
      <c r="E655" s="36"/>
      <c r="F655" s="38">
        <v>200026260.66271994</v>
      </c>
      <c r="G655" s="40">
        <f>VLOOKUP(A655,'DATOS GENERALES'!A:B,2,0)</f>
        <v>0.65</v>
      </c>
      <c r="H655" s="36">
        <f t="shared" si="50"/>
        <v>0.64700999999999997</v>
      </c>
      <c r="I655" s="38">
        <f t="shared" si="51"/>
        <v>309154820.88796145</v>
      </c>
      <c r="J655" s="38">
        <f t="shared" si="52"/>
        <v>-109128560.22524151</v>
      </c>
      <c r="K655" s="38">
        <v>126239385.45924699</v>
      </c>
      <c r="L655" s="38">
        <f t="shared" si="53"/>
        <v>-235367945.68448851</v>
      </c>
      <c r="M655" s="41">
        <f>VLOOKUP(INDICADORES!$B$21,'DATOS GENERALES'!$K:$M,3,0)*F655</f>
        <v>1361383.9890067538</v>
      </c>
      <c r="N655" s="38">
        <f t="shared" si="54"/>
        <v>-236729329.67349526</v>
      </c>
      <c r="O655" s="36"/>
      <c r="P655" s="36"/>
      <c r="Q655" s="36"/>
    </row>
    <row r="656" spans="1:17" x14ac:dyDescent="0.25">
      <c r="A656" s="36">
        <v>1706</v>
      </c>
      <c r="B656" s="37">
        <v>43800</v>
      </c>
      <c r="C656" s="37">
        <v>43883.280153867643</v>
      </c>
      <c r="D656" s="36" t="s">
        <v>212</v>
      </c>
      <c r="E656" s="36"/>
      <c r="F656" s="38">
        <v>221397929.50327998</v>
      </c>
      <c r="G656" s="40">
        <f>VLOOKUP(A656,'DATOS GENERALES'!A:B,2,0)</f>
        <v>0.65</v>
      </c>
      <c r="H656" s="36">
        <f t="shared" si="50"/>
        <v>0.64700999999999997</v>
      </c>
      <c r="I656" s="38">
        <f t="shared" si="51"/>
        <v>342186256.01347739</v>
      </c>
      <c r="J656" s="38">
        <f t="shared" si="52"/>
        <v>-120788326.5101974</v>
      </c>
      <c r="K656" s="38">
        <v>120521757.13517751</v>
      </c>
      <c r="L656" s="38">
        <f t="shared" si="53"/>
        <v>-241310083.64537489</v>
      </c>
      <c r="M656" s="41">
        <f>VLOOKUP(INDICADORES!$B$21,'DATOS GENERALES'!$K:$M,3,0)*F656</f>
        <v>1506840.1290230511</v>
      </c>
      <c r="N656" s="38">
        <f t="shared" si="54"/>
        <v>-242816923.77439794</v>
      </c>
      <c r="O656" s="36"/>
      <c r="P656" s="36"/>
      <c r="Q656" s="36"/>
    </row>
    <row r="657" spans="1:17" x14ac:dyDescent="0.25">
      <c r="A657" s="36">
        <v>1706</v>
      </c>
      <c r="B657" s="37">
        <v>43466</v>
      </c>
      <c r="C657" s="37">
        <v>43528.159028716145</v>
      </c>
      <c r="D657" s="36" t="s">
        <v>212</v>
      </c>
      <c r="E657" s="36"/>
      <c r="F657" s="38">
        <v>13105734.300000001</v>
      </c>
      <c r="G657" s="40">
        <f>VLOOKUP(A657,'DATOS GENERALES'!A:B,2,0)</f>
        <v>0.65</v>
      </c>
      <c r="H657" s="36">
        <f t="shared" si="50"/>
        <v>0.64700999999999997</v>
      </c>
      <c r="I657" s="38">
        <f t="shared" si="51"/>
        <v>20255845.041034918</v>
      </c>
      <c r="J657" s="38">
        <f t="shared" si="52"/>
        <v>-7150110.7410349175</v>
      </c>
      <c r="K657" s="38">
        <v>4444503.9908004729</v>
      </c>
      <c r="L657" s="38">
        <f t="shared" si="53"/>
        <v>-11594614.731835391</v>
      </c>
      <c r="M657" s="41">
        <f>VLOOKUP(INDICADORES!$B$21,'DATOS GENERALES'!$K:$M,3,0)*F657</f>
        <v>89197.972211665416</v>
      </c>
      <c r="N657" s="38">
        <f t="shared" si="54"/>
        <v>-11683812.704047056</v>
      </c>
      <c r="O657" s="36"/>
      <c r="P657" s="36"/>
      <c r="Q657" s="36"/>
    </row>
    <row r="658" spans="1:17" x14ac:dyDescent="0.25">
      <c r="A658" s="36">
        <v>1706</v>
      </c>
      <c r="B658" s="37">
        <v>43497</v>
      </c>
      <c r="C658" s="37">
        <v>43569.532217048487</v>
      </c>
      <c r="D658" s="36" t="s">
        <v>212</v>
      </c>
      <c r="E658" s="36"/>
      <c r="F658" s="38">
        <v>39691874.539999999</v>
      </c>
      <c r="G658" s="40">
        <f>VLOOKUP(A658,'DATOS GENERALES'!A:B,2,0)</f>
        <v>0.65</v>
      </c>
      <c r="H658" s="36">
        <f t="shared" si="50"/>
        <v>0.64700999999999997</v>
      </c>
      <c r="I658" s="38">
        <f t="shared" si="51"/>
        <v>61346616.806540862</v>
      </c>
      <c r="J658" s="38">
        <f t="shared" si="52"/>
        <v>-21654742.266540863</v>
      </c>
      <c r="K658" s="38">
        <v>13260552.636419445</v>
      </c>
      <c r="L658" s="38">
        <f t="shared" si="53"/>
        <v>-34915294.902960308</v>
      </c>
      <c r="M658" s="41">
        <f>VLOOKUP(INDICADORES!$B$21,'DATOS GENERALES'!$K:$M,3,0)*F658</f>
        <v>270143.94166741421</v>
      </c>
      <c r="N658" s="38">
        <f t="shared" si="54"/>
        <v>-35185438.844627723</v>
      </c>
      <c r="O658" s="36"/>
      <c r="P658" s="36"/>
      <c r="Q658" s="36"/>
    </row>
    <row r="659" spans="1:17" x14ac:dyDescent="0.25">
      <c r="A659" s="36">
        <v>1706</v>
      </c>
      <c r="B659" s="37">
        <v>43525</v>
      </c>
      <c r="C659" s="37">
        <v>43589.873730242602</v>
      </c>
      <c r="D659" s="36" t="s">
        <v>212</v>
      </c>
      <c r="E659" s="36"/>
      <c r="F659" s="38">
        <v>466647576.91000003</v>
      </c>
      <c r="G659" s="40">
        <f>VLOOKUP(A659,'DATOS GENERALES'!A:B,2,0)</f>
        <v>0.65</v>
      </c>
      <c r="H659" s="36">
        <f t="shared" si="50"/>
        <v>0.64700999999999997</v>
      </c>
      <c r="I659" s="38">
        <f t="shared" si="51"/>
        <v>721237039.47388768</v>
      </c>
      <c r="J659" s="38">
        <f t="shared" si="52"/>
        <v>-254589462.56388766</v>
      </c>
      <c r="K659" s="38">
        <v>112792473.12057118</v>
      </c>
      <c r="L659" s="38">
        <f t="shared" si="53"/>
        <v>-367381935.68445885</v>
      </c>
      <c r="M659" s="41">
        <f>VLOOKUP(INDICADORES!$B$21,'DATOS GENERALES'!$K:$M,3,0)*F659</f>
        <v>3176015.6771878991</v>
      </c>
      <c r="N659" s="38">
        <f t="shared" si="54"/>
        <v>-370557951.36164677</v>
      </c>
      <c r="O659" s="36"/>
      <c r="P659" s="36"/>
      <c r="Q659" s="36"/>
    </row>
    <row r="660" spans="1:17" x14ac:dyDescent="0.25">
      <c r="A660" s="36">
        <v>1706</v>
      </c>
      <c r="B660" s="37">
        <v>43556</v>
      </c>
      <c r="C660" s="37">
        <v>43621.552746488203</v>
      </c>
      <c r="D660" s="36" t="s">
        <v>212</v>
      </c>
      <c r="E660" s="36"/>
      <c r="F660" s="38">
        <v>277757983.00000006</v>
      </c>
      <c r="G660" s="40">
        <f>VLOOKUP(A660,'DATOS GENERALES'!A:B,2,0)</f>
        <v>0.65</v>
      </c>
      <c r="H660" s="36">
        <f t="shared" si="50"/>
        <v>0.64700999999999997</v>
      </c>
      <c r="I660" s="38">
        <f t="shared" si="51"/>
        <v>429294729.60232466</v>
      </c>
      <c r="J660" s="38">
        <f t="shared" si="52"/>
        <v>-151536746.6023246</v>
      </c>
      <c r="K660" s="38">
        <v>69021216.247160539</v>
      </c>
      <c r="L660" s="38">
        <f t="shared" si="53"/>
        <v>-220557962.84948516</v>
      </c>
      <c r="M660" s="41">
        <f>VLOOKUP(INDICADORES!$B$21,'DATOS GENERALES'!$K:$M,3,0)*F660</f>
        <v>1890428.1348968167</v>
      </c>
      <c r="N660" s="38">
        <f t="shared" si="54"/>
        <v>-222448390.98438197</v>
      </c>
      <c r="O660" s="36"/>
      <c r="P660" s="36"/>
      <c r="Q660" s="36"/>
    </row>
    <row r="661" spans="1:17" x14ac:dyDescent="0.25">
      <c r="A661" s="36">
        <v>1706</v>
      </c>
      <c r="B661" s="37">
        <v>43586</v>
      </c>
      <c r="C661" s="37">
        <v>43698.406624968105</v>
      </c>
      <c r="D661" s="36" t="s">
        <v>212</v>
      </c>
      <c r="E661" s="36"/>
      <c r="F661" s="38">
        <v>193325410.73000008</v>
      </c>
      <c r="G661" s="40">
        <f>VLOOKUP(A661,'DATOS GENERALES'!A:B,2,0)</f>
        <v>0.65</v>
      </c>
      <c r="H661" s="36">
        <f t="shared" si="50"/>
        <v>0.64700999999999997</v>
      </c>
      <c r="I661" s="38">
        <f t="shared" si="51"/>
        <v>298798180.44543374</v>
      </c>
      <c r="J661" s="38">
        <f t="shared" si="52"/>
        <v>-105472769.71543366</v>
      </c>
      <c r="K661" s="38">
        <v>39629822.93269898</v>
      </c>
      <c r="L661" s="38">
        <f t="shared" si="53"/>
        <v>-145102592.64813262</v>
      </c>
      <c r="M661" s="41">
        <f>VLOOKUP(INDICADORES!$B$21,'DATOS GENERALES'!$K:$M,3,0)*F661</f>
        <v>1315777.8281910804</v>
      </c>
      <c r="N661" s="38">
        <f t="shared" si="54"/>
        <v>-146418370.47632369</v>
      </c>
      <c r="O661" s="36"/>
      <c r="P661" s="36"/>
      <c r="Q661" s="36"/>
    </row>
    <row r="662" spans="1:17" x14ac:dyDescent="0.25">
      <c r="A662" s="36">
        <v>1580</v>
      </c>
      <c r="B662" s="37">
        <v>43466</v>
      </c>
      <c r="C662" s="37">
        <v>43526.754149741733</v>
      </c>
      <c r="D662" s="36" t="s">
        <v>195</v>
      </c>
      <c r="E662" s="36"/>
      <c r="F662" s="38">
        <v>70115372.945178598</v>
      </c>
      <c r="G662" s="40">
        <f>VLOOKUP(A662,'DATOS GENERALES'!A:B,2,0)</f>
        <v>1.74</v>
      </c>
      <c r="H662" s="36">
        <f t="shared" si="50"/>
        <v>1.7319959999999999</v>
      </c>
      <c r="I662" s="38">
        <f t="shared" si="51"/>
        <v>40482410.435808517</v>
      </c>
      <c r="J662" s="38">
        <f t="shared" si="52"/>
        <v>29632962.509370081</v>
      </c>
      <c r="K662" s="38">
        <v>8882583.4900828656</v>
      </c>
      <c r="L662" s="38">
        <f t="shared" si="53"/>
        <v>20750379.019287214</v>
      </c>
      <c r="M662" s="41">
        <f>VLOOKUP(INDICADORES!$B$21,'DATOS GENERALES'!$K:$M,3,0)*F662</f>
        <v>477207.07168423192</v>
      </c>
      <c r="N662" s="38">
        <f t="shared" si="54"/>
        <v>20273171.947602984</v>
      </c>
      <c r="O662" s="36"/>
      <c r="P662" s="36"/>
      <c r="Q662" s="36"/>
    </row>
    <row r="663" spans="1:17" x14ac:dyDescent="0.25">
      <c r="A663" s="36">
        <v>1580</v>
      </c>
      <c r="B663" s="37">
        <v>43497</v>
      </c>
      <c r="C663" s="37">
        <v>43568.696926806871</v>
      </c>
      <c r="D663" s="36" t="s">
        <v>195</v>
      </c>
      <c r="E663" s="36"/>
      <c r="F663" s="38">
        <v>70115372.945178598</v>
      </c>
      <c r="G663" s="40">
        <f>VLOOKUP(A663,'DATOS GENERALES'!A:B,2,0)</f>
        <v>1.74</v>
      </c>
      <c r="H663" s="36">
        <f t="shared" si="50"/>
        <v>1.7319959999999999</v>
      </c>
      <c r="I663" s="38">
        <f t="shared" si="51"/>
        <v>40482410.435808517</v>
      </c>
      <c r="J663" s="38">
        <f t="shared" si="52"/>
        <v>29632962.509370081</v>
      </c>
      <c r="K663" s="38">
        <v>8750590.6988490727</v>
      </c>
      <c r="L663" s="38">
        <f t="shared" si="53"/>
        <v>20882371.810521007</v>
      </c>
      <c r="M663" s="41">
        <f>VLOOKUP(INDICADORES!$B$21,'DATOS GENERALES'!$K:$M,3,0)*F663</f>
        <v>477207.07168423192</v>
      </c>
      <c r="N663" s="38">
        <f t="shared" si="54"/>
        <v>20405164.738836776</v>
      </c>
      <c r="O663" s="36"/>
      <c r="P663" s="36"/>
      <c r="Q663" s="36"/>
    </row>
    <row r="664" spans="1:17" x14ac:dyDescent="0.25">
      <c r="A664" s="36">
        <v>1580</v>
      </c>
      <c r="B664" s="37">
        <v>43525</v>
      </c>
      <c r="C664" s="37">
        <v>43587.422766300297</v>
      </c>
      <c r="D664" s="36" t="s">
        <v>195</v>
      </c>
      <c r="E664" s="36"/>
      <c r="F664" s="38">
        <v>70115372.945178598</v>
      </c>
      <c r="G664" s="40">
        <f>VLOOKUP(A664,'DATOS GENERALES'!A:B,2,0)</f>
        <v>1.74</v>
      </c>
      <c r="H664" s="36">
        <f t="shared" si="50"/>
        <v>1.7319959999999999</v>
      </c>
      <c r="I664" s="38">
        <f t="shared" si="51"/>
        <v>40482410.435808517</v>
      </c>
      <c r="J664" s="38">
        <f t="shared" si="52"/>
        <v>29632962.509370081</v>
      </c>
      <c r="K664" s="38">
        <v>6330943.8381972862</v>
      </c>
      <c r="L664" s="38">
        <f t="shared" si="53"/>
        <v>23302018.671172794</v>
      </c>
      <c r="M664" s="41">
        <f>VLOOKUP(INDICADORES!$B$21,'DATOS GENERALES'!$K:$M,3,0)*F664</f>
        <v>477207.07168423192</v>
      </c>
      <c r="N664" s="38">
        <f t="shared" si="54"/>
        <v>22824811.599488564</v>
      </c>
      <c r="O664" s="36"/>
      <c r="P664" s="36"/>
      <c r="Q664" s="36"/>
    </row>
    <row r="665" spans="1:17" x14ac:dyDescent="0.25">
      <c r="A665" s="36">
        <v>1580</v>
      </c>
      <c r="B665" s="37">
        <v>43556</v>
      </c>
      <c r="C665" s="37">
        <v>43620.770662509203</v>
      </c>
      <c r="D665" s="36" t="s">
        <v>195</v>
      </c>
      <c r="E665" s="36"/>
      <c r="F665" s="38">
        <v>74111007.329178602</v>
      </c>
      <c r="G665" s="40">
        <f>VLOOKUP(A665,'DATOS GENERALES'!A:B,2,0)</f>
        <v>1.74</v>
      </c>
      <c r="H665" s="36">
        <f t="shared" si="50"/>
        <v>1.7319959999999999</v>
      </c>
      <c r="I665" s="38">
        <f t="shared" si="51"/>
        <v>42789364.022306405</v>
      </c>
      <c r="J665" s="38">
        <f t="shared" si="52"/>
        <v>31321643.306872196</v>
      </c>
      <c r="K665" s="38">
        <v>6879595.1676320992</v>
      </c>
      <c r="L665" s="38">
        <f t="shared" si="53"/>
        <v>24442048.139240097</v>
      </c>
      <c r="M665" s="41">
        <f>VLOOKUP(INDICADORES!$B$21,'DATOS GENERALES'!$K:$M,3,0)*F665</f>
        <v>504401.46435187571</v>
      </c>
      <c r="N665" s="38">
        <f t="shared" si="54"/>
        <v>23937646.674888223</v>
      </c>
      <c r="O665" s="36"/>
      <c r="P665" s="36"/>
      <c r="Q665" s="36"/>
    </row>
    <row r="666" spans="1:17" x14ac:dyDescent="0.25">
      <c r="A666" s="36">
        <v>1580</v>
      </c>
      <c r="B666" s="37">
        <v>43586</v>
      </c>
      <c r="C666" s="37">
        <v>43671.207094965415</v>
      </c>
      <c r="D666" s="36" t="s">
        <v>195</v>
      </c>
      <c r="E666" s="36"/>
      <c r="F666" s="38">
        <v>74111007.329178602</v>
      </c>
      <c r="G666" s="40">
        <f>VLOOKUP(A666,'DATOS GENERALES'!A:B,2,0)</f>
        <v>1.74</v>
      </c>
      <c r="H666" s="36">
        <f t="shared" si="50"/>
        <v>1.7319959999999999</v>
      </c>
      <c r="I666" s="38">
        <f t="shared" si="51"/>
        <v>42789364.022306405</v>
      </c>
      <c r="J666" s="38">
        <f t="shared" si="52"/>
        <v>31321643.306872196</v>
      </c>
      <c r="K666" s="38">
        <v>5675184.8926217835</v>
      </c>
      <c r="L666" s="38">
        <f t="shared" si="53"/>
        <v>25646458.414250411</v>
      </c>
      <c r="M666" s="41">
        <f>VLOOKUP(INDICADORES!$B$21,'DATOS GENERALES'!$K:$M,3,0)*F666</f>
        <v>504401.46435187571</v>
      </c>
      <c r="N666" s="38">
        <f t="shared" si="54"/>
        <v>25142056.949898534</v>
      </c>
      <c r="O666" s="36"/>
      <c r="P666" s="36"/>
      <c r="Q666" s="36"/>
    </row>
    <row r="667" spans="1:17" x14ac:dyDescent="0.25">
      <c r="A667" s="36">
        <v>1580</v>
      </c>
      <c r="B667" s="37">
        <v>43617</v>
      </c>
      <c r="C667" s="37">
        <v>43698.73547589637</v>
      </c>
      <c r="D667" s="36" t="s">
        <v>195</v>
      </c>
      <c r="E667" s="36"/>
      <c r="F667" s="38">
        <v>74111007.329178602</v>
      </c>
      <c r="G667" s="40">
        <f>VLOOKUP(A667,'DATOS GENERALES'!A:B,2,0)</f>
        <v>1.74</v>
      </c>
      <c r="H667" s="36">
        <f t="shared" si="50"/>
        <v>1.7319959999999999</v>
      </c>
      <c r="I667" s="38">
        <f t="shared" si="51"/>
        <v>42789364.022306405</v>
      </c>
      <c r="J667" s="38">
        <f t="shared" si="52"/>
        <v>31321643.306872196</v>
      </c>
      <c r="K667" s="38">
        <v>7631794.6404278073</v>
      </c>
      <c r="L667" s="38">
        <f t="shared" si="53"/>
        <v>23689848.666444391</v>
      </c>
      <c r="M667" s="41">
        <f>VLOOKUP(INDICADORES!$B$21,'DATOS GENERALES'!$K:$M,3,0)*F667</f>
        <v>504401.46435187571</v>
      </c>
      <c r="N667" s="38">
        <f t="shared" si="54"/>
        <v>23185447.202092513</v>
      </c>
      <c r="O667" s="36"/>
      <c r="P667" s="36"/>
      <c r="Q667" s="36"/>
    </row>
    <row r="668" spans="1:17" x14ac:dyDescent="0.25">
      <c r="A668" s="36">
        <v>1580</v>
      </c>
      <c r="B668" s="37">
        <v>43647</v>
      </c>
      <c r="C668" s="37">
        <v>43709.104126858001</v>
      </c>
      <c r="D668" s="36" t="s">
        <v>195</v>
      </c>
      <c r="E668" s="36"/>
      <c r="F668" s="38">
        <v>74111007.329178602</v>
      </c>
      <c r="G668" s="40">
        <f>VLOOKUP(A668,'DATOS GENERALES'!A:B,2,0)</f>
        <v>1.74</v>
      </c>
      <c r="H668" s="36">
        <f t="shared" si="50"/>
        <v>1.7319959999999999</v>
      </c>
      <c r="I668" s="38">
        <f t="shared" si="51"/>
        <v>42789364.022306405</v>
      </c>
      <c r="J668" s="38">
        <f t="shared" si="52"/>
        <v>31321643.306872196</v>
      </c>
      <c r="K668" s="38">
        <v>11381257.374176994</v>
      </c>
      <c r="L668" s="38">
        <f t="shared" si="53"/>
        <v>19940385.932695203</v>
      </c>
      <c r="M668" s="41">
        <f>VLOOKUP(INDICADORES!$B$21,'DATOS GENERALES'!$K:$M,3,0)*F668</f>
        <v>504401.46435187571</v>
      </c>
      <c r="N668" s="38">
        <f t="shared" si="54"/>
        <v>19435984.468343325</v>
      </c>
      <c r="O668" s="36"/>
      <c r="P668" s="36"/>
      <c r="Q668" s="36"/>
    </row>
    <row r="669" spans="1:17" x14ac:dyDescent="0.25">
      <c r="A669" s="36">
        <v>1580</v>
      </c>
      <c r="B669" s="37">
        <v>43678</v>
      </c>
      <c r="C669" s="37">
        <v>43772.445217225228</v>
      </c>
      <c r="D669" s="36" t="s">
        <v>195</v>
      </c>
      <c r="E669" s="36"/>
      <c r="F669" s="38">
        <v>74111007.329178602</v>
      </c>
      <c r="G669" s="40">
        <f>VLOOKUP(A669,'DATOS GENERALES'!A:B,2,0)</f>
        <v>1.74</v>
      </c>
      <c r="H669" s="36">
        <f t="shared" si="50"/>
        <v>1.7319959999999999</v>
      </c>
      <c r="I669" s="38">
        <f t="shared" si="51"/>
        <v>42789364.022306405</v>
      </c>
      <c r="J669" s="38">
        <f t="shared" si="52"/>
        <v>31321643.306872196</v>
      </c>
      <c r="K669" s="38">
        <v>11199569.892076371</v>
      </c>
      <c r="L669" s="38">
        <f t="shared" si="53"/>
        <v>20122073.414795823</v>
      </c>
      <c r="M669" s="41">
        <f>VLOOKUP(INDICADORES!$B$21,'DATOS GENERALES'!$K:$M,3,0)*F669</f>
        <v>504401.46435187571</v>
      </c>
      <c r="N669" s="38">
        <f t="shared" si="54"/>
        <v>19617671.950443946</v>
      </c>
      <c r="O669" s="36"/>
      <c r="P669" s="36"/>
      <c r="Q669" s="36"/>
    </row>
    <row r="670" spans="1:17" x14ac:dyDescent="0.25">
      <c r="A670" s="36">
        <v>1580</v>
      </c>
      <c r="B670" s="37">
        <v>43709</v>
      </c>
      <c r="C670" s="37">
        <v>43752.818346213571</v>
      </c>
      <c r="D670" s="36" t="s">
        <v>195</v>
      </c>
      <c r="E670" s="36"/>
      <c r="F670" s="38">
        <v>74111007.329178602</v>
      </c>
      <c r="G670" s="40">
        <f>VLOOKUP(A670,'DATOS GENERALES'!A:B,2,0)</f>
        <v>1.74</v>
      </c>
      <c r="H670" s="36">
        <f t="shared" si="50"/>
        <v>1.7319959999999999</v>
      </c>
      <c r="I670" s="38">
        <f t="shared" si="51"/>
        <v>42789364.022306405</v>
      </c>
      <c r="J670" s="38">
        <f t="shared" si="52"/>
        <v>31321643.306872196</v>
      </c>
      <c r="K670" s="38">
        <v>12657452.027099146</v>
      </c>
      <c r="L670" s="38">
        <f t="shared" si="53"/>
        <v>18664191.279773049</v>
      </c>
      <c r="M670" s="41">
        <f>VLOOKUP(INDICADORES!$B$21,'DATOS GENERALES'!$K:$M,3,0)*F670</f>
        <v>504401.46435187571</v>
      </c>
      <c r="N670" s="38">
        <f t="shared" si="54"/>
        <v>18159789.815421171</v>
      </c>
      <c r="O670" s="36"/>
      <c r="P670" s="36"/>
      <c r="Q670" s="36"/>
    </row>
    <row r="671" spans="1:17" x14ac:dyDescent="0.25">
      <c r="A671" s="36">
        <v>1580</v>
      </c>
      <c r="B671" s="37">
        <v>43739</v>
      </c>
      <c r="C671" s="37">
        <v>43769.666316317183</v>
      </c>
      <c r="D671" s="36" t="s">
        <v>195</v>
      </c>
      <c r="E671" s="36"/>
      <c r="F671" s="38">
        <v>69313527.964878604</v>
      </c>
      <c r="G671" s="40">
        <f>VLOOKUP(A671,'DATOS GENERALES'!A:B,2,0)</f>
        <v>1.74</v>
      </c>
      <c r="H671" s="36">
        <f t="shared" si="50"/>
        <v>1.7319959999999999</v>
      </c>
      <c r="I671" s="38">
        <f t="shared" si="51"/>
        <v>40019450.371062413</v>
      </c>
      <c r="J671" s="38">
        <f t="shared" si="52"/>
        <v>29294077.593816191</v>
      </c>
      <c r="K671" s="38">
        <v>12801670.196617555</v>
      </c>
      <c r="L671" s="38">
        <f t="shared" si="53"/>
        <v>16492407.397198636</v>
      </c>
      <c r="M671" s="41">
        <f>VLOOKUP(INDICADORES!$B$21,'DATOS GENERALES'!$K:$M,3,0)*F671</f>
        <v>471749.69366681995</v>
      </c>
      <c r="N671" s="38">
        <f t="shared" si="54"/>
        <v>16020657.703531817</v>
      </c>
      <c r="O671" s="36"/>
      <c r="P671" s="36"/>
      <c r="Q671" s="36"/>
    </row>
    <row r="672" spans="1:17" x14ac:dyDescent="0.25">
      <c r="A672" s="36">
        <v>1580</v>
      </c>
      <c r="B672" s="37">
        <v>43770</v>
      </c>
      <c r="C672" s="37">
        <v>43818.905325984539</v>
      </c>
      <c r="D672" s="36" t="s">
        <v>195</v>
      </c>
      <c r="E672" s="36"/>
      <c r="F672" s="38">
        <v>69313527.964878604</v>
      </c>
      <c r="G672" s="40">
        <f>VLOOKUP(A672,'DATOS GENERALES'!A:B,2,0)</f>
        <v>1.74</v>
      </c>
      <c r="H672" s="36">
        <f t="shared" si="50"/>
        <v>1.7319959999999999</v>
      </c>
      <c r="I672" s="38">
        <f t="shared" si="51"/>
        <v>40019450.371062413</v>
      </c>
      <c r="J672" s="38">
        <f t="shared" si="52"/>
        <v>29294077.593816191</v>
      </c>
      <c r="K672" s="38">
        <v>17121291.079351015</v>
      </c>
      <c r="L672" s="38">
        <f t="shared" si="53"/>
        <v>12172786.514465176</v>
      </c>
      <c r="M672" s="41">
        <f>VLOOKUP(INDICADORES!$B$21,'DATOS GENERALES'!$K:$M,3,0)*F672</f>
        <v>471749.69366681995</v>
      </c>
      <c r="N672" s="38">
        <f t="shared" si="54"/>
        <v>11701036.820798356</v>
      </c>
      <c r="O672" s="36"/>
      <c r="P672" s="36"/>
      <c r="Q672" s="36"/>
    </row>
    <row r="673" spans="1:17" x14ac:dyDescent="0.25">
      <c r="A673" s="36">
        <v>1580</v>
      </c>
      <c r="B673" s="37">
        <v>43800</v>
      </c>
      <c r="C673" s="37">
        <v>43847.776954950328</v>
      </c>
      <c r="D673" s="36" t="s">
        <v>195</v>
      </c>
      <c r="E673" s="36"/>
      <c r="F673" s="38">
        <v>69313527.964878604</v>
      </c>
      <c r="G673" s="40">
        <f>VLOOKUP(A673,'DATOS GENERALES'!A:B,2,0)</f>
        <v>1.74</v>
      </c>
      <c r="H673" s="36">
        <f t="shared" si="50"/>
        <v>1.7319959999999999</v>
      </c>
      <c r="I673" s="38">
        <f t="shared" si="51"/>
        <v>40019450.371062413</v>
      </c>
      <c r="J673" s="38">
        <f t="shared" si="52"/>
        <v>29294077.593816191</v>
      </c>
      <c r="K673" s="38">
        <v>14415911.258550359</v>
      </c>
      <c r="L673" s="38">
        <f t="shared" si="53"/>
        <v>14878166.335265832</v>
      </c>
      <c r="M673" s="41">
        <f>VLOOKUP(INDICADORES!$B$21,'DATOS GENERALES'!$K:$M,3,0)*F673</f>
        <v>471749.69366681995</v>
      </c>
      <c r="N673" s="38">
        <f t="shared" si="54"/>
        <v>14406416.641599013</v>
      </c>
      <c r="O673" s="36"/>
      <c r="P673" s="36"/>
      <c r="Q673" s="36"/>
    </row>
    <row r="674" spans="1:17" x14ac:dyDescent="0.25">
      <c r="A674" s="36">
        <v>1580</v>
      </c>
      <c r="B674" s="37">
        <v>43831</v>
      </c>
      <c r="C674" s="37">
        <v>43845.663025614696</v>
      </c>
      <c r="D674" s="36" t="s">
        <v>195</v>
      </c>
      <c r="E674" s="36"/>
      <c r="F674" s="38">
        <v>65317893.580878608</v>
      </c>
      <c r="G674" s="40">
        <f>VLOOKUP(A674,'DATOS GENERALES'!A:B,2,0)</f>
        <v>1.74</v>
      </c>
      <c r="H674" s="36">
        <f t="shared" si="50"/>
        <v>1.7319959999999999</v>
      </c>
      <c r="I674" s="38">
        <f t="shared" si="51"/>
        <v>37712496.784564525</v>
      </c>
      <c r="J674" s="38">
        <f t="shared" si="52"/>
        <v>27605396.796314083</v>
      </c>
      <c r="K674" s="38" t="s">
        <v>213</v>
      </c>
      <c r="L674" s="38" t="str">
        <f t="shared" si="53"/>
        <v/>
      </c>
      <c r="M674" s="41">
        <f>VLOOKUP(INDICADORES!$B$21,'DATOS GENERALES'!$K:$M,3,0)*F674</f>
        <v>444555.30099917628</v>
      </c>
      <c r="N674" s="38" t="str">
        <f t="shared" si="54"/>
        <v/>
      </c>
      <c r="O674" s="36"/>
      <c r="P674" s="36"/>
      <c r="Q674" s="36"/>
    </row>
    <row r="675" spans="1:17" x14ac:dyDescent="0.25">
      <c r="A675" s="36">
        <v>1580</v>
      </c>
      <c r="B675" s="37">
        <v>43862</v>
      </c>
      <c r="C675" s="37">
        <v>43918.138068160471</v>
      </c>
      <c r="D675" s="36" t="s">
        <v>195</v>
      </c>
      <c r="E675" s="36"/>
      <c r="F675" s="38">
        <v>54776389.5693786</v>
      </c>
      <c r="G675" s="40">
        <f>VLOOKUP(A675,'DATOS GENERALES'!A:B,2,0)</f>
        <v>1.74</v>
      </c>
      <c r="H675" s="36">
        <f t="shared" si="50"/>
        <v>1.7319959999999999</v>
      </c>
      <c r="I675" s="38">
        <f t="shared" si="51"/>
        <v>31626164.015031561</v>
      </c>
      <c r="J675" s="38">
        <f t="shared" si="52"/>
        <v>23150225.554347038</v>
      </c>
      <c r="K675" s="38" t="s">
        <v>213</v>
      </c>
      <c r="L675" s="38" t="str">
        <f t="shared" si="53"/>
        <v/>
      </c>
      <c r="M675" s="41">
        <f>VLOOKUP(INDICADORES!$B$21,'DATOS GENERALES'!$K:$M,3,0)*F675</f>
        <v>372809.54754780827</v>
      </c>
      <c r="N675" s="38" t="str">
        <f t="shared" si="54"/>
        <v/>
      </c>
      <c r="O675" s="36"/>
      <c r="P675" s="36"/>
      <c r="Q675" s="36"/>
    </row>
    <row r="676" spans="1:17" x14ac:dyDescent="0.25">
      <c r="A676" s="36">
        <v>1588</v>
      </c>
      <c r="B676" s="37">
        <v>43466</v>
      </c>
      <c r="C676" s="37">
        <v>43545.272249036658</v>
      </c>
      <c r="D676" s="36" t="s">
        <v>195</v>
      </c>
      <c r="E676" s="36"/>
      <c r="F676" s="38">
        <v>68877916.829865009</v>
      </c>
      <c r="G676" s="40">
        <f>VLOOKUP(A676,'DATOS GENERALES'!A:B,2,0)</f>
        <v>1.49</v>
      </c>
      <c r="H676" s="36">
        <f t="shared" si="50"/>
        <v>1.4831459999999999</v>
      </c>
      <c r="I676" s="38">
        <f t="shared" si="51"/>
        <v>46440415.731064245</v>
      </c>
      <c r="J676" s="38">
        <f t="shared" si="52"/>
        <v>22437501.098800763</v>
      </c>
      <c r="K676" s="38">
        <v>10189879.150092591</v>
      </c>
      <c r="L676" s="38">
        <f t="shared" si="53"/>
        <v>12247621.948708173</v>
      </c>
      <c r="M676" s="41">
        <f>VLOOKUP(INDICADORES!$B$21,'DATOS GENERALES'!$K:$M,3,0)*F676</f>
        <v>468784.91282916517</v>
      </c>
      <c r="N676" s="38">
        <f t="shared" si="54"/>
        <v>11778837.035879008</v>
      </c>
      <c r="O676" s="36"/>
      <c r="P676" s="36"/>
      <c r="Q676" s="36"/>
    </row>
    <row r="677" spans="1:17" x14ac:dyDescent="0.25">
      <c r="A677" s="36">
        <v>1588</v>
      </c>
      <c r="B677" s="37">
        <v>43497</v>
      </c>
      <c r="C677" s="37">
        <v>43587.223761686408</v>
      </c>
      <c r="D677" s="36" t="s">
        <v>195</v>
      </c>
      <c r="E677" s="36"/>
      <c r="F677" s="38">
        <v>68877916.829865009</v>
      </c>
      <c r="G677" s="40">
        <f>VLOOKUP(A677,'DATOS GENERALES'!A:B,2,0)</f>
        <v>1.49</v>
      </c>
      <c r="H677" s="36">
        <f t="shared" si="50"/>
        <v>1.4831459999999999</v>
      </c>
      <c r="I677" s="38">
        <f t="shared" si="51"/>
        <v>46440415.731064245</v>
      </c>
      <c r="J677" s="38">
        <f t="shared" si="52"/>
        <v>22437501.098800763</v>
      </c>
      <c r="K677" s="38">
        <v>10038460.29848738</v>
      </c>
      <c r="L677" s="38">
        <f t="shared" si="53"/>
        <v>12399040.800313383</v>
      </c>
      <c r="M677" s="41">
        <f>VLOOKUP(INDICADORES!$B$21,'DATOS GENERALES'!$K:$M,3,0)*F677</f>
        <v>468784.91282916517</v>
      </c>
      <c r="N677" s="38">
        <f t="shared" si="54"/>
        <v>11930255.887484219</v>
      </c>
      <c r="O677" s="36"/>
      <c r="P677" s="36"/>
      <c r="Q677" s="36"/>
    </row>
    <row r="678" spans="1:17" x14ac:dyDescent="0.25">
      <c r="A678" s="36">
        <v>1588</v>
      </c>
      <c r="B678" s="37">
        <v>43525</v>
      </c>
      <c r="C678" s="37">
        <v>43586.356828874377</v>
      </c>
      <c r="D678" s="36" t="s">
        <v>195</v>
      </c>
      <c r="E678" s="36"/>
      <c r="F678" s="38">
        <v>68877916.829865009</v>
      </c>
      <c r="G678" s="40">
        <f>VLOOKUP(A678,'DATOS GENERALES'!A:B,2,0)</f>
        <v>1.49</v>
      </c>
      <c r="H678" s="36">
        <f t="shared" si="50"/>
        <v>1.4831459999999999</v>
      </c>
      <c r="I678" s="38">
        <f t="shared" si="51"/>
        <v>46440415.731064245</v>
      </c>
      <c r="J678" s="38">
        <f t="shared" si="52"/>
        <v>22437501.098800763</v>
      </c>
      <c r="K678" s="38">
        <v>7262701.5202591531</v>
      </c>
      <c r="L678" s="38">
        <f t="shared" si="53"/>
        <v>15174799.57854161</v>
      </c>
      <c r="M678" s="41">
        <f>VLOOKUP(INDICADORES!$B$21,'DATOS GENERALES'!$K:$M,3,0)*F678</f>
        <v>468784.91282916517</v>
      </c>
      <c r="N678" s="38">
        <f t="shared" si="54"/>
        <v>14706014.665712446</v>
      </c>
      <c r="O678" s="36"/>
      <c r="P678" s="36"/>
      <c r="Q678" s="36"/>
    </row>
    <row r="679" spans="1:17" x14ac:dyDescent="0.25">
      <c r="A679" s="36">
        <v>1596</v>
      </c>
      <c r="B679" s="37">
        <v>43466</v>
      </c>
      <c r="C679" s="37">
        <v>43511.02490824835</v>
      </c>
      <c r="D679" s="36" t="s">
        <v>195</v>
      </c>
      <c r="E679" s="36"/>
      <c r="F679" s="38">
        <v>45333415.275986843</v>
      </c>
      <c r="G679" s="40">
        <f>VLOOKUP(A679,'DATOS GENERALES'!A:B,2,0)</f>
        <v>2.4300000000000002</v>
      </c>
      <c r="H679" s="36">
        <f t="shared" si="50"/>
        <v>2.418822</v>
      </c>
      <c r="I679" s="38">
        <f t="shared" si="51"/>
        <v>18741939.372135215</v>
      </c>
      <c r="J679" s="38">
        <f t="shared" si="52"/>
        <v>26591475.903851628</v>
      </c>
      <c r="K679" s="38">
        <v>4112325.3147941511</v>
      </c>
      <c r="L679" s="38">
        <f t="shared" si="53"/>
        <v>22479150.589057475</v>
      </c>
      <c r="M679" s="41">
        <f>VLOOKUP(INDICADORES!$B$21,'DATOS GENERALES'!$K:$M,3,0)*F679</f>
        <v>308540.41623958165</v>
      </c>
      <c r="N679" s="38">
        <f t="shared" si="54"/>
        <v>22170610.172817893</v>
      </c>
      <c r="O679" s="36"/>
      <c r="P679" s="36"/>
      <c r="Q679" s="36"/>
    </row>
    <row r="680" spans="1:17" x14ac:dyDescent="0.25">
      <c r="A680" s="36">
        <v>1596</v>
      </c>
      <c r="B680" s="37">
        <v>43497</v>
      </c>
      <c r="C680" s="37">
        <v>43582.341403342791</v>
      </c>
      <c r="D680" s="36" t="s">
        <v>195</v>
      </c>
      <c r="E680" s="36"/>
      <c r="F680" s="38">
        <v>45333415.275986843</v>
      </c>
      <c r="G680" s="40">
        <f>VLOOKUP(A680,'DATOS GENERALES'!A:B,2,0)</f>
        <v>2.4300000000000002</v>
      </c>
      <c r="H680" s="36">
        <f t="shared" si="50"/>
        <v>2.418822</v>
      </c>
      <c r="I680" s="38">
        <f t="shared" si="51"/>
        <v>18741939.372135215</v>
      </c>
      <c r="J680" s="38">
        <f t="shared" si="52"/>
        <v>26591475.903851628</v>
      </c>
      <c r="K680" s="38">
        <v>4051217.2714678957</v>
      </c>
      <c r="L680" s="38">
        <f t="shared" si="53"/>
        <v>22540258.632383734</v>
      </c>
      <c r="M680" s="41">
        <f>VLOOKUP(INDICADORES!$B$21,'DATOS GENERALES'!$K:$M,3,0)*F680</f>
        <v>308540.41623958165</v>
      </c>
      <c r="N680" s="38">
        <f t="shared" si="54"/>
        <v>22231718.216144152</v>
      </c>
      <c r="O680" s="36"/>
      <c r="P680" s="36"/>
      <c r="Q680" s="36"/>
    </row>
    <row r="681" spans="1:17" x14ac:dyDescent="0.25">
      <c r="A681" s="36">
        <v>1596</v>
      </c>
      <c r="B681" s="37">
        <v>43525</v>
      </c>
      <c r="C681" s="37">
        <v>43602.333675190872</v>
      </c>
      <c r="D681" s="36" t="s">
        <v>195</v>
      </c>
      <c r="E681" s="36"/>
      <c r="F681" s="38">
        <v>45333415.275986843</v>
      </c>
      <c r="G681" s="40">
        <f>VLOOKUP(A681,'DATOS GENERALES'!A:B,2,0)</f>
        <v>2.4300000000000002</v>
      </c>
      <c r="H681" s="36">
        <f t="shared" si="50"/>
        <v>2.418822</v>
      </c>
      <c r="I681" s="38">
        <f t="shared" si="51"/>
        <v>18741939.372135215</v>
      </c>
      <c r="J681" s="38">
        <f t="shared" si="52"/>
        <v>26591475.903851628</v>
      </c>
      <c r="K681" s="38">
        <v>2931005.4491945864</v>
      </c>
      <c r="L681" s="38">
        <f t="shared" si="53"/>
        <v>23660470.454657041</v>
      </c>
      <c r="M681" s="41">
        <f>VLOOKUP(INDICADORES!$B$21,'DATOS GENERALES'!$K:$M,3,0)*F681</f>
        <v>308540.41623958165</v>
      </c>
      <c r="N681" s="38">
        <f t="shared" si="54"/>
        <v>23351930.038417459</v>
      </c>
      <c r="O681" s="36"/>
      <c r="P681" s="36"/>
      <c r="Q681" s="36"/>
    </row>
    <row r="682" spans="1:17" x14ac:dyDescent="0.25">
      <c r="A682" s="36">
        <v>1596</v>
      </c>
      <c r="B682" s="37">
        <v>43556</v>
      </c>
      <c r="C682" s="37">
        <v>43605.944746641355</v>
      </c>
      <c r="D682" s="36" t="s">
        <v>195</v>
      </c>
      <c r="E682" s="36"/>
      <c r="F682" s="38">
        <v>39811433.775986843</v>
      </c>
      <c r="G682" s="40">
        <f>VLOOKUP(A682,'DATOS GENERALES'!A:B,2,0)</f>
        <v>2.4300000000000002</v>
      </c>
      <c r="H682" s="36">
        <f t="shared" si="50"/>
        <v>2.418822</v>
      </c>
      <c r="I682" s="38">
        <f t="shared" si="51"/>
        <v>16459017.561435625</v>
      </c>
      <c r="J682" s="38">
        <f t="shared" si="52"/>
        <v>23352416.214551218</v>
      </c>
      <c r="K682" s="38">
        <v>2646250.5406856723</v>
      </c>
      <c r="L682" s="38">
        <f t="shared" si="53"/>
        <v>20706165.673865546</v>
      </c>
      <c r="M682" s="41">
        <f>VLOOKUP(INDICADORES!$B$21,'DATOS GENERALES'!$K:$M,3,0)*F682</f>
        <v>270957.66497089993</v>
      </c>
      <c r="N682" s="38">
        <f t="shared" si="54"/>
        <v>20435208.008894645</v>
      </c>
      <c r="O682" s="36"/>
      <c r="P682" s="36"/>
      <c r="Q682" s="36"/>
    </row>
    <row r="683" spans="1:17" x14ac:dyDescent="0.25">
      <c r="A683" s="36">
        <v>1596</v>
      </c>
      <c r="B683" s="37">
        <v>43586</v>
      </c>
      <c r="C683" s="37">
        <v>43647.752534326231</v>
      </c>
      <c r="D683" s="36" t="s">
        <v>195</v>
      </c>
      <c r="E683" s="36"/>
      <c r="F683" s="38">
        <v>33697792.894736841</v>
      </c>
      <c r="G683" s="40">
        <f>VLOOKUP(A683,'DATOS GENERALES'!A:B,2,0)</f>
        <v>2.4300000000000002</v>
      </c>
      <c r="H683" s="36">
        <f t="shared" si="50"/>
        <v>2.418822</v>
      </c>
      <c r="I683" s="38">
        <f t="shared" si="51"/>
        <v>13931489.334368896</v>
      </c>
      <c r="J683" s="38">
        <f t="shared" si="52"/>
        <v>19766303.560367946</v>
      </c>
      <c r="K683" s="38">
        <v>1847743.7000679735</v>
      </c>
      <c r="L683" s="38">
        <f t="shared" si="53"/>
        <v>17918559.860299971</v>
      </c>
      <c r="M683" s="41">
        <f>VLOOKUP(INDICADORES!$B$21,'DATOS GENERALES'!$K:$M,3,0)*F683</f>
        <v>229348.06439797828</v>
      </c>
      <c r="N683" s="38">
        <f t="shared" si="54"/>
        <v>17689211.795901991</v>
      </c>
      <c r="O683" s="36"/>
      <c r="P683" s="36"/>
      <c r="Q683" s="36"/>
    </row>
    <row r="684" spans="1:17" x14ac:dyDescent="0.25">
      <c r="A684" s="36">
        <v>1596</v>
      </c>
      <c r="B684" s="37">
        <v>43617</v>
      </c>
      <c r="C684" s="37">
        <v>43679.997094035345</v>
      </c>
      <c r="D684" s="36" t="s">
        <v>195</v>
      </c>
      <c r="E684" s="36"/>
      <c r="F684" s="38">
        <v>33697792.894736841</v>
      </c>
      <c r="G684" s="40">
        <f>VLOOKUP(A684,'DATOS GENERALES'!A:B,2,0)</f>
        <v>2.4300000000000002</v>
      </c>
      <c r="H684" s="36">
        <f t="shared" si="50"/>
        <v>2.418822</v>
      </c>
      <c r="I684" s="38">
        <f t="shared" si="51"/>
        <v>13931489.334368896</v>
      </c>
      <c r="J684" s="38">
        <f t="shared" si="52"/>
        <v>19766303.560367946</v>
      </c>
      <c r="K684" s="38">
        <v>2484782.5637181038</v>
      </c>
      <c r="L684" s="38">
        <f t="shared" si="53"/>
        <v>17281520.996649843</v>
      </c>
      <c r="M684" s="41">
        <f>VLOOKUP(INDICADORES!$B$21,'DATOS GENERALES'!$K:$M,3,0)*F684</f>
        <v>229348.06439797828</v>
      </c>
      <c r="N684" s="38">
        <f t="shared" si="54"/>
        <v>17052172.932251863</v>
      </c>
      <c r="O684" s="36"/>
      <c r="P684" s="36"/>
      <c r="Q684" s="36"/>
    </row>
    <row r="685" spans="1:17" x14ac:dyDescent="0.25">
      <c r="A685" s="36">
        <v>1687</v>
      </c>
      <c r="B685" s="37">
        <v>43466</v>
      </c>
      <c r="C685" s="37">
        <v>43522.321548673463</v>
      </c>
      <c r="D685" s="36" t="s">
        <v>195</v>
      </c>
      <c r="E685" s="36"/>
      <c r="F685" s="38">
        <v>71364366.272</v>
      </c>
      <c r="G685" s="40">
        <f>VLOOKUP(A685,'DATOS GENERALES'!A:B,2,0)</f>
        <v>1.71</v>
      </c>
      <c r="H685" s="36">
        <f t="shared" si="50"/>
        <v>1.7021339999999998</v>
      </c>
      <c r="I685" s="38">
        <f t="shared" si="51"/>
        <v>41926409.008926444</v>
      </c>
      <c r="J685" s="38">
        <f t="shared" si="52"/>
        <v>29437957.263073556</v>
      </c>
      <c r="K685" s="38">
        <v>9199423.2668451443</v>
      </c>
      <c r="L685" s="38">
        <f t="shared" si="53"/>
        <v>20238533.996228412</v>
      </c>
      <c r="M685" s="41">
        <f>VLOOKUP(INDICADORES!$B$21,'DATOS GENERALES'!$K:$M,3,0)*F685</f>
        <v>485707.75310414832</v>
      </c>
      <c r="N685" s="38">
        <f t="shared" si="54"/>
        <v>19752826.243124265</v>
      </c>
      <c r="O685" s="36"/>
      <c r="P685" s="36"/>
      <c r="Q685" s="36"/>
    </row>
    <row r="686" spans="1:17" x14ac:dyDescent="0.25">
      <c r="A686" s="36">
        <v>1687</v>
      </c>
      <c r="B686" s="37">
        <v>43497</v>
      </c>
      <c r="C686" s="37">
        <v>43568.592290369052</v>
      </c>
      <c r="D686" s="36" t="s">
        <v>195</v>
      </c>
      <c r="E686" s="36"/>
      <c r="F686" s="38">
        <v>39364366.272</v>
      </c>
      <c r="G686" s="40">
        <f>VLOOKUP(A686,'DATOS GENERALES'!A:B,2,0)</f>
        <v>1.71</v>
      </c>
      <c r="H686" s="36">
        <f t="shared" si="50"/>
        <v>1.7021339999999998</v>
      </c>
      <c r="I686" s="38">
        <f t="shared" si="51"/>
        <v>23126479.038665585</v>
      </c>
      <c r="J686" s="38">
        <f t="shared" si="52"/>
        <v>16237887.233334415</v>
      </c>
      <c r="K686" s="38">
        <v>4998969.9277854618</v>
      </c>
      <c r="L686" s="38">
        <f t="shared" si="53"/>
        <v>11238917.305548953</v>
      </c>
      <c r="M686" s="41">
        <f>VLOOKUP(INDICADORES!$B$21,'DATOS GENERALES'!$K:$M,3,0)*F686</f>
        <v>267914.91178481124</v>
      </c>
      <c r="N686" s="38">
        <f t="shared" si="54"/>
        <v>10971002.393764142</v>
      </c>
      <c r="O686" s="36"/>
      <c r="P686" s="36"/>
      <c r="Q686" s="36"/>
    </row>
    <row r="687" spans="1:17" x14ac:dyDescent="0.25">
      <c r="A687" s="36">
        <v>1687</v>
      </c>
      <c r="B687" s="37">
        <v>43525</v>
      </c>
      <c r="C687" s="37">
        <v>43571.637248569328</v>
      </c>
      <c r="D687" s="36" t="s">
        <v>195</v>
      </c>
      <c r="E687" s="36"/>
      <c r="F687" s="38">
        <v>39364366.272</v>
      </c>
      <c r="G687" s="40">
        <f>VLOOKUP(A687,'DATOS GENERALES'!A:B,2,0)</f>
        <v>1.71</v>
      </c>
      <c r="H687" s="36">
        <f t="shared" si="50"/>
        <v>1.7021339999999998</v>
      </c>
      <c r="I687" s="38">
        <f t="shared" si="51"/>
        <v>23126479.038665585</v>
      </c>
      <c r="J687" s="38">
        <f t="shared" si="52"/>
        <v>16237887.233334415</v>
      </c>
      <c r="K687" s="38">
        <v>3616692.7411893979</v>
      </c>
      <c r="L687" s="38">
        <f t="shared" si="53"/>
        <v>12621194.492145017</v>
      </c>
      <c r="M687" s="41">
        <f>VLOOKUP(INDICADORES!$B$21,'DATOS GENERALES'!$K:$M,3,0)*F687</f>
        <v>267914.91178481124</v>
      </c>
      <c r="N687" s="38">
        <f t="shared" si="54"/>
        <v>12353279.580360206</v>
      </c>
      <c r="O687" s="36"/>
      <c r="P687" s="36"/>
      <c r="Q687" s="36"/>
    </row>
    <row r="688" spans="1:17" x14ac:dyDescent="0.25">
      <c r="A688" s="36">
        <v>1687</v>
      </c>
      <c r="B688" s="37">
        <v>43556</v>
      </c>
      <c r="C688" s="37">
        <v>43605.777716534038</v>
      </c>
      <c r="D688" s="36" t="s">
        <v>195</v>
      </c>
      <c r="E688" s="36"/>
      <c r="F688" s="38">
        <v>35374979.772</v>
      </c>
      <c r="G688" s="40">
        <f>VLOOKUP(A688,'DATOS GENERALES'!A:B,2,0)</f>
        <v>1.71</v>
      </c>
      <c r="H688" s="36">
        <f t="shared" si="50"/>
        <v>1.7021339999999998</v>
      </c>
      <c r="I688" s="38">
        <f t="shared" si="51"/>
        <v>20782723.200406082</v>
      </c>
      <c r="J688" s="38">
        <f t="shared" si="52"/>
        <v>14592256.571593918</v>
      </c>
      <c r="K688" s="38">
        <v>3341407.972906875</v>
      </c>
      <c r="L688" s="38">
        <f t="shared" si="53"/>
        <v>11250848.598687043</v>
      </c>
      <c r="M688" s="41">
        <f>VLOOKUP(INDICADORES!$B$21,'DATOS GENERALES'!$K:$M,3,0)*F688</f>
        <v>240763.04237993609</v>
      </c>
      <c r="N688" s="38">
        <f t="shared" si="54"/>
        <v>11010085.556307107</v>
      </c>
      <c r="O688" s="36"/>
      <c r="P688" s="36"/>
      <c r="Q688" s="36"/>
    </row>
    <row r="689" spans="1:17" x14ac:dyDescent="0.25">
      <c r="A689" s="36">
        <v>1689</v>
      </c>
      <c r="B689" s="37">
        <v>43466</v>
      </c>
      <c r="C689" s="37">
        <v>43521.368495702474</v>
      </c>
      <c r="D689" s="36" t="s">
        <v>195</v>
      </c>
      <c r="E689" s="36"/>
      <c r="F689" s="38">
        <v>36819716.200000003</v>
      </c>
      <c r="G689" s="40">
        <f>VLOOKUP(A689,'DATOS GENERALES'!A:B,2,0)</f>
        <v>2.11</v>
      </c>
      <c r="H689" s="36">
        <f t="shared" si="50"/>
        <v>2.1002939999999999</v>
      </c>
      <c r="I689" s="38">
        <f t="shared" si="51"/>
        <v>17530743.886332106</v>
      </c>
      <c r="J689" s="38">
        <f t="shared" si="52"/>
        <v>19288972.313667897</v>
      </c>
      <c r="K689" s="38">
        <v>3846566.8061075942</v>
      </c>
      <c r="L689" s="38">
        <f t="shared" si="53"/>
        <v>15442405.507560303</v>
      </c>
      <c r="M689" s="41">
        <f>VLOOKUP(INDICADORES!$B$21,'DATOS GENERALES'!$K:$M,3,0)*F689</f>
        <v>250595.95649280079</v>
      </c>
      <c r="N689" s="38">
        <f t="shared" si="54"/>
        <v>15191809.551067503</v>
      </c>
      <c r="O689" s="36"/>
      <c r="P689" s="36"/>
      <c r="Q689" s="36"/>
    </row>
    <row r="690" spans="1:17" x14ac:dyDescent="0.25">
      <c r="A690" s="36">
        <v>1689</v>
      </c>
      <c r="B690" s="37">
        <v>43497</v>
      </c>
      <c r="C690" s="37">
        <v>43569.449295471437</v>
      </c>
      <c r="D690" s="36" t="s">
        <v>195</v>
      </c>
      <c r="E690" s="36"/>
      <c r="F690" s="38">
        <v>36819716.200000003</v>
      </c>
      <c r="G690" s="40">
        <f>VLOOKUP(A690,'DATOS GENERALES'!A:B,2,0)</f>
        <v>2.11</v>
      </c>
      <c r="H690" s="36">
        <f t="shared" si="50"/>
        <v>2.1002939999999999</v>
      </c>
      <c r="I690" s="38">
        <f t="shared" si="51"/>
        <v>17530743.886332106</v>
      </c>
      <c r="J690" s="38">
        <f t="shared" si="52"/>
        <v>19288972.313667897</v>
      </c>
      <c r="K690" s="38">
        <v>3789407.8624317762</v>
      </c>
      <c r="L690" s="38">
        <f t="shared" si="53"/>
        <v>15499564.451236121</v>
      </c>
      <c r="M690" s="41">
        <f>VLOOKUP(INDICADORES!$B$21,'DATOS GENERALES'!$K:$M,3,0)*F690</f>
        <v>250595.95649280079</v>
      </c>
      <c r="N690" s="38">
        <f t="shared" si="54"/>
        <v>15248968.494743321</v>
      </c>
      <c r="O690" s="36"/>
      <c r="P690" s="36"/>
      <c r="Q690" s="36"/>
    </row>
    <row r="691" spans="1:17" x14ac:dyDescent="0.25">
      <c r="A691" s="36">
        <v>1689</v>
      </c>
      <c r="B691" s="37">
        <v>43525</v>
      </c>
      <c r="C691" s="37">
        <v>43607.432648175803</v>
      </c>
      <c r="D691" s="36" t="s">
        <v>195</v>
      </c>
      <c r="E691" s="36"/>
      <c r="F691" s="38">
        <v>36819716.200000003</v>
      </c>
      <c r="G691" s="40">
        <f>VLOOKUP(A691,'DATOS GENERALES'!A:B,2,0)</f>
        <v>2.11</v>
      </c>
      <c r="H691" s="36">
        <f t="shared" si="50"/>
        <v>2.1002939999999999</v>
      </c>
      <c r="I691" s="38">
        <f t="shared" si="51"/>
        <v>17530743.886332106</v>
      </c>
      <c r="J691" s="38">
        <f t="shared" si="52"/>
        <v>19288972.313667897</v>
      </c>
      <c r="K691" s="38">
        <v>2741589.5889444551</v>
      </c>
      <c r="L691" s="38">
        <f t="shared" si="53"/>
        <v>16547382.724723442</v>
      </c>
      <c r="M691" s="41">
        <f>VLOOKUP(INDICADORES!$B$21,'DATOS GENERALES'!$K:$M,3,0)*F691</f>
        <v>250595.95649280079</v>
      </c>
      <c r="N691" s="38">
        <f t="shared" si="54"/>
        <v>16296786.768230641</v>
      </c>
      <c r="O691" s="36"/>
      <c r="P691" s="36"/>
      <c r="Q691" s="36"/>
    </row>
    <row r="692" spans="1:17" x14ac:dyDescent="0.25">
      <c r="A692" s="36">
        <v>1689</v>
      </c>
      <c r="B692" s="37">
        <v>43556</v>
      </c>
      <c r="C692" s="37">
        <v>43636.687408040103</v>
      </c>
      <c r="D692" s="36" t="s">
        <v>195</v>
      </c>
      <c r="E692" s="36"/>
      <c r="F692" s="38">
        <v>36819716.200000003</v>
      </c>
      <c r="G692" s="40">
        <f>VLOOKUP(A692,'DATOS GENERALES'!A:B,2,0)</f>
        <v>2.11</v>
      </c>
      <c r="H692" s="36">
        <f t="shared" si="50"/>
        <v>2.1002939999999999</v>
      </c>
      <c r="I692" s="38">
        <f t="shared" si="51"/>
        <v>17530743.886332106</v>
      </c>
      <c r="J692" s="38">
        <f t="shared" si="52"/>
        <v>19288972.313667897</v>
      </c>
      <c r="K692" s="38">
        <v>2818560.7260377691</v>
      </c>
      <c r="L692" s="38">
        <f t="shared" si="53"/>
        <v>16470411.587630128</v>
      </c>
      <c r="M692" s="41">
        <f>VLOOKUP(INDICADORES!$B$21,'DATOS GENERALES'!$K:$M,3,0)*F692</f>
        <v>250595.95649280079</v>
      </c>
      <c r="N692" s="38">
        <f t="shared" si="54"/>
        <v>16219815.631137328</v>
      </c>
      <c r="O692" s="36"/>
      <c r="P692" s="36"/>
      <c r="Q692" s="36"/>
    </row>
    <row r="693" spans="1:17" x14ac:dyDescent="0.25">
      <c r="A693" s="36">
        <v>1689</v>
      </c>
      <c r="B693" s="37">
        <v>43586</v>
      </c>
      <c r="C693" s="37">
        <v>43636.113511186952</v>
      </c>
      <c r="D693" s="36" t="s">
        <v>195</v>
      </c>
      <c r="E693" s="36"/>
      <c r="F693" s="38">
        <v>36819716.200000003</v>
      </c>
      <c r="G693" s="40">
        <f>VLOOKUP(A693,'DATOS GENERALES'!A:B,2,0)</f>
        <v>2.11</v>
      </c>
      <c r="H693" s="36">
        <f t="shared" si="50"/>
        <v>2.1002939999999999</v>
      </c>
      <c r="I693" s="38">
        <f t="shared" si="51"/>
        <v>17530743.886332106</v>
      </c>
      <c r="J693" s="38">
        <f t="shared" si="52"/>
        <v>19288972.313667897</v>
      </c>
      <c r="K693" s="38">
        <v>2325115.484499108</v>
      </c>
      <c r="L693" s="38">
        <f t="shared" si="53"/>
        <v>16963856.829168789</v>
      </c>
      <c r="M693" s="41">
        <f>VLOOKUP(INDICADORES!$B$21,'DATOS GENERALES'!$K:$M,3,0)*F693</f>
        <v>250595.95649280079</v>
      </c>
      <c r="N693" s="38">
        <f t="shared" si="54"/>
        <v>16713260.872675989</v>
      </c>
      <c r="O693" s="36"/>
      <c r="P693" s="36"/>
      <c r="Q693" s="36"/>
    </row>
    <row r="694" spans="1:17" x14ac:dyDescent="0.25">
      <c r="A694" s="36">
        <v>1689</v>
      </c>
      <c r="B694" s="37">
        <v>43617</v>
      </c>
      <c r="C694" s="37">
        <v>43681.26705937778</v>
      </c>
      <c r="D694" s="36" t="s">
        <v>195</v>
      </c>
      <c r="E694" s="36"/>
      <c r="F694" s="38">
        <v>36819716.200000003</v>
      </c>
      <c r="G694" s="40">
        <f>VLOOKUP(A694,'DATOS GENERALES'!A:B,2,0)</f>
        <v>2.11</v>
      </c>
      <c r="H694" s="36">
        <f t="shared" si="50"/>
        <v>2.1002939999999999</v>
      </c>
      <c r="I694" s="38">
        <f t="shared" si="51"/>
        <v>17530743.886332106</v>
      </c>
      <c r="J694" s="38">
        <f t="shared" si="52"/>
        <v>19288972.313667897</v>
      </c>
      <c r="K694" s="38">
        <v>3126735.820721142</v>
      </c>
      <c r="L694" s="38">
        <f t="shared" si="53"/>
        <v>16162236.492946755</v>
      </c>
      <c r="M694" s="41">
        <f>VLOOKUP(INDICADORES!$B$21,'DATOS GENERALES'!$K:$M,3,0)*F694</f>
        <v>250595.95649280079</v>
      </c>
      <c r="N694" s="38">
        <f t="shared" si="54"/>
        <v>15911640.536453955</v>
      </c>
      <c r="O694" s="36"/>
      <c r="P694" s="36"/>
      <c r="Q694" s="36"/>
    </row>
    <row r="695" spans="1:17" x14ac:dyDescent="0.25">
      <c r="A695" s="36">
        <v>1689</v>
      </c>
      <c r="B695" s="37">
        <v>43647</v>
      </c>
      <c r="C695" s="37">
        <v>43700.931292877664</v>
      </c>
      <c r="D695" s="36" t="s">
        <v>195</v>
      </c>
      <c r="E695" s="36"/>
      <c r="F695" s="38">
        <v>36819716.200000003</v>
      </c>
      <c r="G695" s="40">
        <f>VLOOKUP(A695,'DATOS GENERALES'!A:B,2,0)</f>
        <v>2.11</v>
      </c>
      <c r="H695" s="36">
        <f t="shared" si="50"/>
        <v>2.1002939999999999</v>
      </c>
      <c r="I695" s="38">
        <f t="shared" si="51"/>
        <v>17530743.886332106</v>
      </c>
      <c r="J695" s="38">
        <f t="shared" si="52"/>
        <v>19288972.313667897</v>
      </c>
      <c r="K695" s="38">
        <v>4662885.5719172023</v>
      </c>
      <c r="L695" s="38">
        <f t="shared" si="53"/>
        <v>14626086.741750695</v>
      </c>
      <c r="M695" s="41">
        <f>VLOOKUP(INDICADORES!$B$21,'DATOS GENERALES'!$K:$M,3,0)*F695</f>
        <v>250595.95649280079</v>
      </c>
      <c r="N695" s="38">
        <f t="shared" si="54"/>
        <v>14375490.785257895</v>
      </c>
      <c r="O695" s="36"/>
      <c r="P695" s="36"/>
      <c r="Q695" s="36"/>
    </row>
    <row r="696" spans="1:17" x14ac:dyDescent="0.25">
      <c r="A696" s="36">
        <v>1689</v>
      </c>
      <c r="B696" s="37">
        <v>43678</v>
      </c>
      <c r="C696" s="37">
        <v>43738.384557603516</v>
      </c>
      <c r="D696" s="36" t="s">
        <v>195</v>
      </c>
      <c r="E696" s="36"/>
      <c r="F696" s="38">
        <v>36819716.200000003</v>
      </c>
      <c r="G696" s="40">
        <f>VLOOKUP(A696,'DATOS GENERALES'!A:B,2,0)</f>
        <v>2.11</v>
      </c>
      <c r="H696" s="36">
        <f t="shared" si="50"/>
        <v>2.1002939999999999</v>
      </c>
      <c r="I696" s="38">
        <f t="shared" si="51"/>
        <v>17530743.886332106</v>
      </c>
      <c r="J696" s="38">
        <f t="shared" si="52"/>
        <v>19288972.313667897</v>
      </c>
      <c r="K696" s="38">
        <v>4588448.4591244496</v>
      </c>
      <c r="L696" s="38">
        <f t="shared" si="53"/>
        <v>14700523.854543447</v>
      </c>
      <c r="M696" s="41">
        <f>VLOOKUP(INDICADORES!$B$21,'DATOS GENERALES'!$K:$M,3,0)*F696</f>
        <v>250595.95649280079</v>
      </c>
      <c r="N696" s="38">
        <f t="shared" si="54"/>
        <v>14449927.898050647</v>
      </c>
      <c r="O696" s="36"/>
      <c r="P696" s="36"/>
      <c r="Q696" s="36"/>
    </row>
    <row r="697" spans="1:17" x14ac:dyDescent="0.25">
      <c r="A697" s="36">
        <v>1689</v>
      </c>
      <c r="B697" s="37">
        <v>43709</v>
      </c>
      <c r="C697" s="37">
        <v>43794.164400370049</v>
      </c>
      <c r="D697" s="36" t="s">
        <v>195</v>
      </c>
      <c r="E697" s="36"/>
      <c r="F697" s="38">
        <v>28923787.600000001</v>
      </c>
      <c r="G697" s="40">
        <f>VLOOKUP(A697,'DATOS GENERALES'!A:B,2,0)</f>
        <v>2.11</v>
      </c>
      <c r="H697" s="36">
        <f t="shared" si="50"/>
        <v>2.1002939999999999</v>
      </c>
      <c r="I697" s="38">
        <f t="shared" si="51"/>
        <v>13771304.207887087</v>
      </c>
      <c r="J697" s="38">
        <f t="shared" si="52"/>
        <v>15152483.392112914</v>
      </c>
      <c r="K697" s="38">
        <v>4073667.0512571894</v>
      </c>
      <c r="L697" s="38">
        <f t="shared" si="53"/>
        <v>11078816.340855725</v>
      </c>
      <c r="M697" s="41">
        <f>VLOOKUP(INDICADORES!$B$21,'DATOS GENERALES'!$K:$M,3,0)*F697</f>
        <v>196856.05884753156</v>
      </c>
      <c r="N697" s="38">
        <f t="shared" si="54"/>
        <v>10881960.282008193</v>
      </c>
      <c r="O697" s="36"/>
      <c r="P697" s="36"/>
      <c r="Q697" s="36"/>
    </row>
    <row r="698" spans="1:17" x14ac:dyDescent="0.25">
      <c r="A698" s="36">
        <v>1689</v>
      </c>
      <c r="B698" s="37">
        <v>43739</v>
      </c>
      <c r="C698" s="37">
        <v>43822.791395756816</v>
      </c>
      <c r="D698" s="36" t="s">
        <v>195</v>
      </c>
      <c r="E698" s="36"/>
      <c r="F698" s="38">
        <v>13258047.600000001</v>
      </c>
      <c r="G698" s="40">
        <f>VLOOKUP(A698,'DATOS GENERALES'!A:B,2,0)</f>
        <v>2.11</v>
      </c>
      <c r="H698" s="36">
        <f t="shared" si="50"/>
        <v>2.1002939999999999</v>
      </c>
      <c r="I698" s="38">
        <f t="shared" si="51"/>
        <v>6312472.2538844571</v>
      </c>
      <c r="J698" s="38">
        <f t="shared" si="52"/>
        <v>6945575.3461155444</v>
      </c>
      <c r="K698" s="38">
        <v>2019272.8078534727</v>
      </c>
      <c r="L698" s="38">
        <f t="shared" si="53"/>
        <v>4926302.538262072</v>
      </c>
      <c r="M698" s="41">
        <f>VLOOKUP(INDICADORES!$B$21,'DATOS GENERALES'!$K:$M,3,0)*F698</f>
        <v>90234.620535969312</v>
      </c>
      <c r="N698" s="38">
        <f t="shared" si="54"/>
        <v>4836067.9177261023</v>
      </c>
      <c r="O698" s="36"/>
      <c r="P698" s="36"/>
      <c r="Q698" s="36"/>
    </row>
    <row r="699" spans="1:17" x14ac:dyDescent="0.25">
      <c r="A699" s="36">
        <v>1689</v>
      </c>
      <c r="B699" s="37">
        <v>43770</v>
      </c>
      <c r="C699" s="37">
        <v>43798.59211456382</v>
      </c>
      <c r="D699" s="36" t="s">
        <v>195</v>
      </c>
      <c r="E699" s="36"/>
      <c r="F699" s="38">
        <v>13258047.600000001</v>
      </c>
      <c r="G699" s="40">
        <f>VLOOKUP(A699,'DATOS GENERALES'!A:B,2,0)</f>
        <v>2.11</v>
      </c>
      <c r="H699" s="36">
        <f t="shared" si="50"/>
        <v>2.1002939999999999</v>
      </c>
      <c r="I699" s="38">
        <f t="shared" si="51"/>
        <v>6312472.2538844571</v>
      </c>
      <c r="J699" s="38">
        <f t="shared" si="52"/>
        <v>6945575.3461155444</v>
      </c>
      <c r="K699" s="38">
        <v>2700628.6664854456</v>
      </c>
      <c r="L699" s="38">
        <f t="shared" si="53"/>
        <v>4244946.6796300989</v>
      </c>
      <c r="M699" s="41">
        <f>VLOOKUP(INDICADORES!$B$21,'DATOS GENERALES'!$K:$M,3,0)*F699</f>
        <v>90234.620535969312</v>
      </c>
      <c r="N699" s="38">
        <f t="shared" si="54"/>
        <v>4154712.0590941296</v>
      </c>
      <c r="O699" s="36"/>
      <c r="P699" s="36"/>
      <c r="Q699" s="36"/>
    </row>
    <row r="700" spans="1:17" x14ac:dyDescent="0.25">
      <c r="A700" s="36">
        <v>1701</v>
      </c>
      <c r="B700" s="37">
        <v>43466</v>
      </c>
      <c r="C700" s="37">
        <v>43515.283226506363</v>
      </c>
      <c r="D700" s="36" t="s">
        <v>195</v>
      </c>
      <c r="E700" s="36"/>
      <c r="F700" s="38">
        <v>43079526.100000001</v>
      </c>
      <c r="G700" s="40">
        <f>VLOOKUP(A700,'DATOS GENERALES'!A:B,2,0)</f>
        <v>2.1800000000000002</v>
      </c>
      <c r="H700" s="36">
        <f t="shared" si="50"/>
        <v>2.169972</v>
      </c>
      <c r="I700" s="38">
        <f t="shared" si="51"/>
        <v>19852572.337338917</v>
      </c>
      <c r="J700" s="38">
        <f t="shared" si="52"/>
        <v>23226953.762661085</v>
      </c>
      <c r="K700" s="38">
        <v>4356018.561664992</v>
      </c>
      <c r="L700" s="38">
        <f t="shared" si="53"/>
        <v>18870935.200996093</v>
      </c>
      <c r="M700" s="41">
        <f>VLOOKUP(INDICADORES!$B$21,'DATOS GENERALES'!$K:$M,3,0)*F700</f>
        <v>293200.38725029811</v>
      </c>
      <c r="N700" s="38">
        <f t="shared" si="54"/>
        <v>18577734.813745797</v>
      </c>
      <c r="O700" s="36"/>
      <c r="P700" s="36"/>
      <c r="Q700" s="36"/>
    </row>
    <row r="701" spans="1:17" x14ac:dyDescent="0.25">
      <c r="A701" s="36">
        <v>1701</v>
      </c>
      <c r="B701" s="37">
        <v>43497</v>
      </c>
      <c r="C701" s="37">
        <v>43581.76085704381</v>
      </c>
      <c r="D701" s="36" t="s">
        <v>195</v>
      </c>
      <c r="E701" s="36"/>
      <c r="F701" s="38">
        <v>39433007.350000001</v>
      </c>
      <c r="G701" s="40">
        <f>VLOOKUP(A701,'DATOS GENERALES'!A:B,2,0)</f>
        <v>2.1800000000000002</v>
      </c>
      <c r="H701" s="36">
        <f t="shared" si="50"/>
        <v>2.169972</v>
      </c>
      <c r="I701" s="38">
        <f t="shared" si="51"/>
        <v>18172127.267079946</v>
      </c>
      <c r="J701" s="38">
        <f t="shared" si="52"/>
        <v>21260880.082920056</v>
      </c>
      <c r="K701" s="38">
        <v>3928047.9133958346</v>
      </c>
      <c r="L701" s="38">
        <f t="shared" si="53"/>
        <v>17332832.169524223</v>
      </c>
      <c r="M701" s="41">
        <f>VLOOKUP(INDICADORES!$B$21,'DATOS GENERALES'!$K:$M,3,0)*F701</f>
        <v>268382.08476633759</v>
      </c>
      <c r="N701" s="38">
        <f t="shared" si="54"/>
        <v>17064450.084757887</v>
      </c>
      <c r="O701" s="36"/>
      <c r="P701" s="36"/>
      <c r="Q701" s="36"/>
    </row>
    <row r="702" spans="1:17" x14ac:dyDescent="0.25">
      <c r="A702" s="36">
        <v>1701</v>
      </c>
      <c r="B702" s="37">
        <v>43525</v>
      </c>
      <c r="C702" s="37">
        <v>43599.996840083746</v>
      </c>
      <c r="D702" s="36" t="s">
        <v>195</v>
      </c>
      <c r="E702" s="36"/>
      <c r="F702" s="38">
        <v>39433007.350000001</v>
      </c>
      <c r="G702" s="40">
        <f>VLOOKUP(A702,'DATOS GENERALES'!A:B,2,0)</f>
        <v>2.1800000000000002</v>
      </c>
      <c r="H702" s="36">
        <f t="shared" si="50"/>
        <v>2.169972</v>
      </c>
      <c r="I702" s="38">
        <f t="shared" si="51"/>
        <v>18172127.267079946</v>
      </c>
      <c r="J702" s="38">
        <f t="shared" si="52"/>
        <v>21260880.082920056</v>
      </c>
      <c r="K702" s="38">
        <v>2841893.9462827207</v>
      </c>
      <c r="L702" s="38">
        <f t="shared" si="53"/>
        <v>18418986.136637334</v>
      </c>
      <c r="M702" s="41">
        <f>VLOOKUP(INDICADORES!$B$21,'DATOS GENERALES'!$K:$M,3,0)*F702</f>
        <v>268382.08476633759</v>
      </c>
      <c r="N702" s="38">
        <f t="shared" si="54"/>
        <v>18150604.051870998</v>
      </c>
      <c r="O702" s="36"/>
      <c r="P702" s="36"/>
      <c r="Q702" s="36"/>
    </row>
    <row r="703" spans="1:17" x14ac:dyDescent="0.25">
      <c r="A703" s="36">
        <v>1701</v>
      </c>
      <c r="B703" s="37">
        <v>43556</v>
      </c>
      <c r="C703" s="37">
        <v>43614.287289807449</v>
      </c>
      <c r="D703" s="36" t="s">
        <v>195</v>
      </c>
      <c r="E703" s="36"/>
      <c r="F703" s="38">
        <v>39433007.350000001</v>
      </c>
      <c r="G703" s="40">
        <f>VLOOKUP(A703,'DATOS GENERALES'!A:B,2,0)</f>
        <v>2.1800000000000002</v>
      </c>
      <c r="H703" s="36">
        <f t="shared" si="50"/>
        <v>2.169972</v>
      </c>
      <c r="I703" s="38">
        <f t="shared" si="51"/>
        <v>18172127.267079946</v>
      </c>
      <c r="J703" s="38">
        <f t="shared" si="52"/>
        <v>21260880.082920056</v>
      </c>
      <c r="K703" s="38">
        <v>2921681.1651378251</v>
      </c>
      <c r="L703" s="38">
        <f t="shared" si="53"/>
        <v>18339198.917782232</v>
      </c>
      <c r="M703" s="41">
        <f>VLOOKUP(INDICADORES!$B$21,'DATOS GENERALES'!$K:$M,3,0)*F703</f>
        <v>268382.08476633759</v>
      </c>
      <c r="N703" s="38">
        <f t="shared" si="54"/>
        <v>18070816.833015896</v>
      </c>
      <c r="O703" s="36"/>
      <c r="P703" s="36"/>
      <c r="Q703" s="36"/>
    </row>
    <row r="704" spans="1:17" x14ac:dyDescent="0.25">
      <c r="A704" s="36">
        <v>1701</v>
      </c>
      <c r="B704" s="37">
        <v>43586</v>
      </c>
      <c r="C704" s="37">
        <v>43626.827587481806</v>
      </c>
      <c r="D704" s="36" t="s">
        <v>195</v>
      </c>
      <c r="E704" s="36"/>
      <c r="F704" s="38">
        <v>39433007.350000001</v>
      </c>
      <c r="G704" s="40">
        <f>VLOOKUP(A704,'DATOS GENERALES'!A:B,2,0)</f>
        <v>2.1800000000000002</v>
      </c>
      <c r="H704" s="36">
        <f t="shared" si="50"/>
        <v>2.169972</v>
      </c>
      <c r="I704" s="38">
        <f t="shared" si="51"/>
        <v>18172127.267079946</v>
      </c>
      <c r="J704" s="38">
        <f t="shared" si="52"/>
        <v>21260880.082920056</v>
      </c>
      <c r="K704" s="38">
        <v>2410182.6350859054</v>
      </c>
      <c r="L704" s="38">
        <f t="shared" si="53"/>
        <v>18850697.447834149</v>
      </c>
      <c r="M704" s="41">
        <f>VLOOKUP(INDICADORES!$B$21,'DATOS GENERALES'!$K:$M,3,0)*F704</f>
        <v>268382.08476633759</v>
      </c>
      <c r="N704" s="38">
        <f t="shared" si="54"/>
        <v>18582315.363067813</v>
      </c>
      <c r="O704" s="36"/>
      <c r="P704" s="36"/>
      <c r="Q704" s="36"/>
    </row>
    <row r="705" spans="1:17" x14ac:dyDescent="0.25">
      <c r="A705" s="36">
        <v>1701</v>
      </c>
      <c r="B705" s="37">
        <v>43617</v>
      </c>
      <c r="C705" s="37">
        <v>43659.261315542994</v>
      </c>
      <c r="D705" s="36" t="s">
        <v>195</v>
      </c>
      <c r="E705" s="36"/>
      <c r="F705" s="38">
        <v>22497185.125</v>
      </c>
      <c r="G705" s="40">
        <f>VLOOKUP(A705,'DATOS GENERALES'!A:B,2,0)</f>
        <v>2.1800000000000002</v>
      </c>
      <c r="H705" s="36">
        <f t="shared" si="50"/>
        <v>2.169972</v>
      </c>
      <c r="I705" s="38">
        <f t="shared" si="51"/>
        <v>10367500.191246707</v>
      </c>
      <c r="J705" s="38">
        <f t="shared" si="52"/>
        <v>12129684.933753293</v>
      </c>
      <c r="K705" s="38">
        <v>1849119.1491638832</v>
      </c>
      <c r="L705" s="38">
        <f t="shared" si="53"/>
        <v>10280565.78458941</v>
      </c>
      <c r="M705" s="41">
        <f>VLOOKUP(INDICADORES!$B$21,'DATOS GENERALES'!$K:$M,3,0)*F705</f>
        <v>153116.43343940235</v>
      </c>
      <c r="N705" s="38">
        <f t="shared" si="54"/>
        <v>10127449.351150008</v>
      </c>
      <c r="O705" s="36"/>
      <c r="P705" s="36"/>
      <c r="Q705" s="36"/>
    </row>
    <row r="706" spans="1:17" x14ac:dyDescent="0.25">
      <c r="A706" s="36">
        <v>1701</v>
      </c>
      <c r="B706" s="37">
        <v>43647</v>
      </c>
      <c r="C706" s="37">
        <v>43675.344889164044</v>
      </c>
      <c r="D706" s="36" t="s">
        <v>195</v>
      </c>
      <c r="E706" s="36"/>
      <c r="F706" s="38">
        <v>22497185.125</v>
      </c>
      <c r="G706" s="40">
        <f>VLOOKUP(A706,'DATOS GENERALES'!A:B,2,0)</f>
        <v>2.1800000000000002</v>
      </c>
      <c r="H706" s="36">
        <f t="shared" si="50"/>
        <v>2.169972</v>
      </c>
      <c r="I706" s="38">
        <f t="shared" si="51"/>
        <v>10367500.191246707</v>
      </c>
      <c r="J706" s="38">
        <f t="shared" si="52"/>
        <v>12129684.933753293</v>
      </c>
      <c r="K706" s="38">
        <v>2757582.1865895516</v>
      </c>
      <c r="L706" s="38">
        <f t="shared" si="53"/>
        <v>9372102.7471637409</v>
      </c>
      <c r="M706" s="41">
        <f>VLOOKUP(INDICADORES!$B$21,'DATOS GENERALES'!$K:$M,3,0)*F706</f>
        <v>153116.43343940235</v>
      </c>
      <c r="N706" s="38">
        <f t="shared" si="54"/>
        <v>9218986.313724339</v>
      </c>
      <c r="O706" s="36"/>
      <c r="P706" s="36"/>
      <c r="Q706" s="36"/>
    </row>
    <row r="707" spans="1:17" x14ac:dyDescent="0.25">
      <c r="A707" s="36">
        <v>1701</v>
      </c>
      <c r="B707" s="37">
        <v>43678</v>
      </c>
      <c r="C707" s="37">
        <v>43774.999710662742</v>
      </c>
      <c r="D707" s="36" t="s">
        <v>195</v>
      </c>
      <c r="E707" s="36"/>
      <c r="F707" s="38">
        <v>22497185.125</v>
      </c>
      <c r="G707" s="40">
        <f>VLOOKUP(A707,'DATOS GENERALES'!A:B,2,0)</f>
        <v>2.1800000000000002</v>
      </c>
      <c r="H707" s="36">
        <f t="shared" ref="H707:H770" si="55">G707*0.9954</f>
        <v>2.169972</v>
      </c>
      <c r="I707" s="38">
        <f t="shared" ref="I707:I770" si="56">F707/H707</f>
        <v>10367500.191246707</v>
      </c>
      <c r="J707" s="38">
        <f t="shared" ref="J707:J770" si="57">F707-I707</f>
        <v>12129684.933753293</v>
      </c>
      <c r="K707" s="38">
        <v>2713560.8497815686</v>
      </c>
      <c r="L707" s="38">
        <f t="shared" ref="L707:L770" si="58">IFERROR(J707-K707,"")</f>
        <v>9416124.0839717239</v>
      </c>
      <c r="M707" s="41">
        <f>VLOOKUP(INDICADORES!$B$21,'DATOS GENERALES'!$K:$M,3,0)*F707</f>
        <v>153116.43343940235</v>
      </c>
      <c r="N707" s="38">
        <f t="shared" ref="N707:N770" si="59">IFERROR(L707-M707,"")</f>
        <v>9263007.650532322</v>
      </c>
      <c r="O707" s="36"/>
      <c r="P707" s="36"/>
      <c r="Q707" s="36"/>
    </row>
    <row r="708" spans="1:17" x14ac:dyDescent="0.25">
      <c r="A708" s="36">
        <v>1701</v>
      </c>
      <c r="B708" s="37">
        <v>43709</v>
      </c>
      <c r="C708" s="37">
        <v>43789.271581518769</v>
      </c>
      <c r="D708" s="36" t="s">
        <v>195</v>
      </c>
      <c r="E708" s="36"/>
      <c r="F708" s="38">
        <v>22497185.125</v>
      </c>
      <c r="G708" s="40">
        <f>VLOOKUP(A708,'DATOS GENERALES'!A:B,2,0)</f>
        <v>2.1800000000000002</v>
      </c>
      <c r="H708" s="36">
        <f t="shared" si="55"/>
        <v>2.169972</v>
      </c>
      <c r="I708" s="38">
        <f t="shared" si="56"/>
        <v>10367500.191246707</v>
      </c>
      <c r="J708" s="38">
        <f t="shared" si="57"/>
        <v>12129684.933753293</v>
      </c>
      <c r="K708" s="38">
        <v>3066793.3331104727</v>
      </c>
      <c r="L708" s="38">
        <f t="shared" si="58"/>
        <v>9062891.6006428208</v>
      </c>
      <c r="M708" s="41">
        <f>VLOOKUP(INDICADORES!$B$21,'DATOS GENERALES'!$K:$M,3,0)*F708</f>
        <v>153116.43343940235</v>
      </c>
      <c r="N708" s="38">
        <f t="shared" si="59"/>
        <v>8909775.1672034189</v>
      </c>
      <c r="O708" s="36"/>
      <c r="P708" s="36"/>
      <c r="Q708" s="36"/>
    </row>
    <row r="709" spans="1:17" x14ac:dyDescent="0.25">
      <c r="A709" s="36">
        <v>1701</v>
      </c>
      <c r="B709" s="37">
        <v>43739</v>
      </c>
      <c r="C709" s="37">
        <v>43777.337461893323</v>
      </c>
      <c r="D709" s="36" t="s">
        <v>195</v>
      </c>
      <c r="E709" s="36"/>
      <c r="F709" s="38">
        <v>22497185.125</v>
      </c>
      <c r="G709" s="40">
        <f>VLOOKUP(A709,'DATOS GENERALES'!A:B,2,0)</f>
        <v>2.1800000000000002</v>
      </c>
      <c r="H709" s="36">
        <f t="shared" si="55"/>
        <v>2.169972</v>
      </c>
      <c r="I709" s="38">
        <f t="shared" si="56"/>
        <v>10367500.191246707</v>
      </c>
      <c r="J709" s="38">
        <f t="shared" si="57"/>
        <v>12129684.933753293</v>
      </c>
      <c r="K709" s="38">
        <v>3316420.3151495298</v>
      </c>
      <c r="L709" s="38">
        <f t="shared" si="58"/>
        <v>8813264.6186037622</v>
      </c>
      <c r="M709" s="41">
        <f>VLOOKUP(INDICADORES!$B$21,'DATOS GENERALES'!$K:$M,3,0)*F709</f>
        <v>153116.43343940235</v>
      </c>
      <c r="N709" s="38">
        <f t="shared" si="59"/>
        <v>8660148.1851643603</v>
      </c>
      <c r="O709" s="36"/>
      <c r="P709" s="36"/>
      <c r="Q709" s="36"/>
    </row>
    <row r="710" spans="1:17" x14ac:dyDescent="0.25">
      <c r="A710" s="36">
        <v>1701</v>
      </c>
      <c r="B710" s="37">
        <v>43770</v>
      </c>
      <c r="C710" s="37">
        <v>43808.255837988669</v>
      </c>
      <c r="D710" s="36" t="s">
        <v>195</v>
      </c>
      <c r="E710" s="36"/>
      <c r="F710" s="38">
        <v>22497185.125</v>
      </c>
      <c r="G710" s="40">
        <f>VLOOKUP(A710,'DATOS GENERALES'!A:B,2,0)</f>
        <v>2.1800000000000002</v>
      </c>
      <c r="H710" s="36">
        <f t="shared" si="55"/>
        <v>2.169972</v>
      </c>
      <c r="I710" s="38">
        <f t="shared" si="56"/>
        <v>10367500.191246707</v>
      </c>
      <c r="J710" s="38">
        <f t="shared" si="57"/>
        <v>12129684.933753293</v>
      </c>
      <c r="K710" s="38">
        <v>4435467.9260641197</v>
      </c>
      <c r="L710" s="38">
        <f t="shared" si="58"/>
        <v>7694217.0076891733</v>
      </c>
      <c r="M710" s="41">
        <f>VLOOKUP(INDICADORES!$B$21,'DATOS GENERALES'!$K:$M,3,0)*F710</f>
        <v>153116.43343940235</v>
      </c>
      <c r="N710" s="38">
        <f t="shared" si="59"/>
        <v>7541100.5742497714</v>
      </c>
      <c r="O710" s="36"/>
      <c r="P710" s="36"/>
      <c r="Q710" s="36"/>
    </row>
    <row r="711" spans="1:17" x14ac:dyDescent="0.25">
      <c r="A711" s="36">
        <v>1701</v>
      </c>
      <c r="B711" s="37">
        <v>43800</v>
      </c>
      <c r="C711" s="37">
        <v>43872.450448436037</v>
      </c>
      <c r="D711" s="36" t="s">
        <v>195</v>
      </c>
      <c r="E711" s="36"/>
      <c r="F711" s="38">
        <v>22497185.125</v>
      </c>
      <c r="G711" s="40">
        <f>VLOOKUP(A711,'DATOS GENERALES'!A:B,2,0)</f>
        <v>2.1800000000000002</v>
      </c>
      <c r="H711" s="36">
        <f t="shared" si="55"/>
        <v>2.169972</v>
      </c>
      <c r="I711" s="38">
        <f t="shared" si="56"/>
        <v>10367500.191246707</v>
      </c>
      <c r="J711" s="38">
        <f t="shared" si="57"/>
        <v>12129684.933753293</v>
      </c>
      <c r="K711" s="38">
        <v>3734608.0804269849</v>
      </c>
      <c r="L711" s="38">
        <f t="shared" si="58"/>
        <v>8395076.8533263076</v>
      </c>
      <c r="M711" s="41">
        <f>VLOOKUP(INDICADORES!$B$21,'DATOS GENERALES'!$K:$M,3,0)*F711</f>
        <v>153116.43343940235</v>
      </c>
      <c r="N711" s="38">
        <f t="shared" si="59"/>
        <v>8241960.4198869057</v>
      </c>
      <c r="O711" s="36"/>
      <c r="P711" s="36"/>
      <c r="Q711" s="36"/>
    </row>
    <row r="712" spans="1:17" x14ac:dyDescent="0.25">
      <c r="A712" s="36">
        <v>1701</v>
      </c>
      <c r="B712" s="37">
        <v>43831</v>
      </c>
      <c r="C712" s="37">
        <v>43895.706359352596</v>
      </c>
      <c r="D712" s="36" t="s">
        <v>195</v>
      </c>
      <c r="E712" s="36"/>
      <c r="F712" s="38">
        <v>3497185.125</v>
      </c>
      <c r="G712" s="40">
        <f>VLOOKUP(A712,'DATOS GENERALES'!A:B,2,0)</f>
        <v>2.1800000000000002</v>
      </c>
      <c r="H712" s="36">
        <f t="shared" si="55"/>
        <v>2.169972</v>
      </c>
      <c r="I712" s="38">
        <f t="shared" si="56"/>
        <v>1611626.8435721751</v>
      </c>
      <c r="J712" s="38">
        <f t="shared" si="57"/>
        <v>1885558.2814278249</v>
      </c>
      <c r="K712" s="38" t="s">
        <v>213</v>
      </c>
      <c r="L712" s="38" t="str">
        <f t="shared" si="58"/>
        <v/>
      </c>
      <c r="M712" s="41">
        <f>VLOOKUP(INDICADORES!$B$21,'DATOS GENERALES'!$K:$M,3,0)*F712</f>
        <v>23801.933906045968</v>
      </c>
      <c r="N712" s="38" t="str">
        <f t="shared" si="59"/>
        <v/>
      </c>
      <c r="O712" s="36"/>
      <c r="P712" s="36"/>
      <c r="Q712" s="36"/>
    </row>
    <row r="713" spans="1:17" x14ac:dyDescent="0.25">
      <c r="A713" s="36">
        <v>1751</v>
      </c>
      <c r="B713" s="37">
        <v>43466</v>
      </c>
      <c r="C713" s="37">
        <v>43555.316073886352</v>
      </c>
      <c r="D713" s="36" t="s">
        <v>195</v>
      </c>
      <c r="E713" s="36"/>
      <c r="F713" s="38">
        <v>28006691.09375</v>
      </c>
      <c r="G713" s="40">
        <f>VLOOKUP(A713,'DATOS GENERALES'!A:B,2,0)</f>
        <v>2</v>
      </c>
      <c r="H713" s="36">
        <f t="shared" si="55"/>
        <v>1.9907999999999999</v>
      </c>
      <c r="I713" s="38">
        <f t="shared" si="56"/>
        <v>14068058.616510952</v>
      </c>
      <c r="J713" s="38">
        <f t="shared" si="57"/>
        <v>13938632.477239048</v>
      </c>
      <c r="K713" s="38">
        <v>3086790.1357475691</v>
      </c>
      <c r="L713" s="38">
        <f t="shared" si="58"/>
        <v>10851842.341491479</v>
      </c>
      <c r="M713" s="41">
        <f>VLOOKUP(INDICADORES!$B$21,'DATOS GENERALES'!$K:$M,3,0)*F713</f>
        <v>190614.27591439951</v>
      </c>
      <c r="N713" s="38">
        <f t="shared" si="59"/>
        <v>10661228.06557708</v>
      </c>
      <c r="O713" s="36"/>
      <c r="P713" s="36"/>
      <c r="Q713" s="36"/>
    </row>
    <row r="714" spans="1:17" x14ac:dyDescent="0.25">
      <c r="A714" s="36">
        <v>1751</v>
      </c>
      <c r="B714" s="37">
        <v>43497</v>
      </c>
      <c r="C714" s="37">
        <v>43552.480484308522</v>
      </c>
      <c r="D714" s="36" t="s">
        <v>195</v>
      </c>
      <c r="E714" s="36"/>
      <c r="F714" s="38">
        <v>28006691.09375</v>
      </c>
      <c r="G714" s="40">
        <f>VLOOKUP(A714,'DATOS GENERALES'!A:B,2,0)</f>
        <v>2</v>
      </c>
      <c r="H714" s="36">
        <f t="shared" si="55"/>
        <v>1.9907999999999999</v>
      </c>
      <c r="I714" s="38">
        <f t="shared" si="56"/>
        <v>14068058.616510952</v>
      </c>
      <c r="J714" s="38">
        <f t="shared" si="57"/>
        <v>13938632.477239048</v>
      </c>
      <c r="K714" s="38">
        <v>3040921.2681568344</v>
      </c>
      <c r="L714" s="38">
        <f t="shared" si="58"/>
        <v>10897711.209082214</v>
      </c>
      <c r="M714" s="41">
        <f>VLOOKUP(INDICADORES!$B$21,'DATOS GENERALES'!$K:$M,3,0)*F714</f>
        <v>190614.27591439951</v>
      </c>
      <c r="N714" s="38">
        <f t="shared" si="59"/>
        <v>10707096.933167815</v>
      </c>
      <c r="O714" s="36"/>
      <c r="P714" s="36"/>
      <c r="Q714" s="36"/>
    </row>
    <row r="715" spans="1:17" x14ac:dyDescent="0.25">
      <c r="A715" s="36">
        <v>1758</v>
      </c>
      <c r="B715" s="37">
        <v>43466</v>
      </c>
      <c r="C715" s="37">
        <v>43507.718944879744</v>
      </c>
      <c r="D715" s="36" t="s">
        <v>195</v>
      </c>
      <c r="E715" s="36"/>
      <c r="F715" s="38">
        <v>39944033.964749999</v>
      </c>
      <c r="G715" s="40">
        <f>VLOOKUP(A715,'DATOS GENERALES'!A:B,2,0)</f>
        <v>2.4300000000000002</v>
      </c>
      <c r="H715" s="36">
        <f t="shared" si="55"/>
        <v>2.418822</v>
      </c>
      <c r="I715" s="38">
        <f t="shared" si="56"/>
        <v>16513837.713047922</v>
      </c>
      <c r="J715" s="38">
        <f t="shared" si="57"/>
        <v>23430196.251702078</v>
      </c>
      <c r="K715" s="38">
        <v>3623438.936780239</v>
      </c>
      <c r="L715" s="38">
        <f t="shared" si="58"/>
        <v>19806757.314921837</v>
      </c>
      <c r="M715" s="41">
        <f>VLOOKUP(INDICADORES!$B$21,'DATOS GENERALES'!$K:$M,3,0)*F715</f>
        <v>271860.14534184395</v>
      </c>
      <c r="N715" s="38">
        <f t="shared" si="59"/>
        <v>19534897.169579994</v>
      </c>
      <c r="O715" s="36"/>
      <c r="P715" s="36"/>
      <c r="Q715" s="36"/>
    </row>
    <row r="716" spans="1:17" x14ac:dyDescent="0.25">
      <c r="A716" s="36">
        <v>1758</v>
      </c>
      <c r="B716" s="37">
        <v>43497</v>
      </c>
      <c r="C716" s="37">
        <v>43555.564195534505</v>
      </c>
      <c r="D716" s="36" t="s">
        <v>195</v>
      </c>
      <c r="E716" s="36"/>
      <c r="F716" s="38">
        <v>39944033.964749999</v>
      </c>
      <c r="G716" s="40">
        <f>VLOOKUP(A716,'DATOS GENERALES'!A:B,2,0)</f>
        <v>2.4300000000000002</v>
      </c>
      <c r="H716" s="36">
        <f t="shared" si="55"/>
        <v>2.418822</v>
      </c>
      <c r="I716" s="38">
        <f t="shared" si="56"/>
        <v>16513837.713047922</v>
      </c>
      <c r="J716" s="38">
        <f t="shared" si="57"/>
        <v>23430196.251702078</v>
      </c>
      <c r="K716" s="38">
        <v>3569595.612969683</v>
      </c>
      <c r="L716" s="38">
        <f t="shared" si="58"/>
        <v>19860600.638732396</v>
      </c>
      <c r="M716" s="41">
        <f>VLOOKUP(INDICADORES!$B$21,'DATOS GENERALES'!$K:$M,3,0)*F716</f>
        <v>271860.14534184395</v>
      </c>
      <c r="N716" s="38">
        <f t="shared" si="59"/>
        <v>19588740.493390553</v>
      </c>
      <c r="O716" s="36"/>
      <c r="P716" s="36"/>
      <c r="Q716" s="36"/>
    </row>
    <row r="717" spans="1:17" x14ac:dyDescent="0.25">
      <c r="A717" s="36">
        <v>1758</v>
      </c>
      <c r="B717" s="37">
        <v>43525</v>
      </c>
      <c r="C717" s="37">
        <v>43591.490265074062</v>
      </c>
      <c r="D717" s="36" t="s">
        <v>195</v>
      </c>
      <c r="E717" s="36"/>
      <c r="F717" s="38">
        <v>39944033.964749999</v>
      </c>
      <c r="G717" s="40">
        <f>VLOOKUP(A717,'DATOS GENERALES'!A:B,2,0)</f>
        <v>2.4300000000000002</v>
      </c>
      <c r="H717" s="36">
        <f t="shared" si="55"/>
        <v>2.418822</v>
      </c>
      <c r="I717" s="38">
        <f t="shared" si="56"/>
        <v>16513837.713047922</v>
      </c>
      <c r="J717" s="38">
        <f t="shared" si="57"/>
        <v>23430196.251702078</v>
      </c>
      <c r="K717" s="38">
        <v>2582558.1527609117</v>
      </c>
      <c r="L717" s="38">
        <f t="shared" si="58"/>
        <v>20847638.098941166</v>
      </c>
      <c r="M717" s="41">
        <f>VLOOKUP(INDICADORES!$B$21,'DATOS GENERALES'!$K:$M,3,0)*F717</f>
        <v>271860.14534184395</v>
      </c>
      <c r="N717" s="38">
        <f t="shared" si="59"/>
        <v>20575777.953599323</v>
      </c>
      <c r="O717" s="36"/>
      <c r="P717" s="36"/>
      <c r="Q717" s="36"/>
    </row>
    <row r="718" spans="1:17" x14ac:dyDescent="0.25">
      <c r="A718" s="36">
        <v>1758</v>
      </c>
      <c r="B718" s="37">
        <v>43556</v>
      </c>
      <c r="C718" s="37">
        <v>43644.455983038839</v>
      </c>
      <c r="D718" s="36" t="s">
        <v>195</v>
      </c>
      <c r="E718" s="36"/>
      <c r="F718" s="38">
        <v>39944033.964749999</v>
      </c>
      <c r="G718" s="40">
        <f>VLOOKUP(A718,'DATOS GENERALES'!A:B,2,0)</f>
        <v>2.4300000000000002</v>
      </c>
      <c r="H718" s="36">
        <f t="shared" si="55"/>
        <v>2.418822</v>
      </c>
      <c r="I718" s="38">
        <f t="shared" si="56"/>
        <v>16513837.713047922</v>
      </c>
      <c r="J718" s="38">
        <f t="shared" si="57"/>
        <v>23430196.251702078</v>
      </c>
      <c r="K718" s="38">
        <v>2655064.4237320344</v>
      </c>
      <c r="L718" s="38">
        <f t="shared" si="58"/>
        <v>20775131.827970043</v>
      </c>
      <c r="M718" s="41">
        <f>VLOOKUP(INDICADORES!$B$21,'DATOS GENERALES'!$K:$M,3,0)*F718</f>
        <v>271860.14534184395</v>
      </c>
      <c r="N718" s="38">
        <f t="shared" si="59"/>
        <v>20503271.682628199</v>
      </c>
      <c r="O718" s="36"/>
      <c r="P718" s="36"/>
      <c r="Q718" s="36"/>
    </row>
    <row r="719" spans="1:17" x14ac:dyDescent="0.25">
      <c r="A719" s="36">
        <v>1758</v>
      </c>
      <c r="B719" s="37">
        <v>43586</v>
      </c>
      <c r="C719" s="37">
        <v>43663.070328727117</v>
      </c>
      <c r="D719" s="36" t="s">
        <v>195</v>
      </c>
      <c r="E719" s="36"/>
      <c r="F719" s="38">
        <v>39944033.964749999</v>
      </c>
      <c r="G719" s="40">
        <f>VLOOKUP(A719,'DATOS GENERALES'!A:B,2,0)</f>
        <v>2.4300000000000002</v>
      </c>
      <c r="H719" s="36">
        <f t="shared" si="55"/>
        <v>2.418822</v>
      </c>
      <c r="I719" s="38">
        <f t="shared" si="56"/>
        <v>16513837.713047922</v>
      </c>
      <c r="J719" s="38">
        <f t="shared" si="57"/>
        <v>23430196.251702078</v>
      </c>
      <c r="K719" s="38">
        <v>2190242.4691201532</v>
      </c>
      <c r="L719" s="38">
        <f t="shared" si="58"/>
        <v>21239953.782581925</v>
      </c>
      <c r="M719" s="41">
        <f>VLOOKUP(INDICADORES!$B$21,'DATOS GENERALES'!$K:$M,3,0)*F719</f>
        <v>271860.14534184395</v>
      </c>
      <c r="N719" s="38">
        <f t="shared" si="59"/>
        <v>20968093.637240082</v>
      </c>
      <c r="O719" s="36"/>
      <c r="P719" s="36"/>
      <c r="Q719" s="36"/>
    </row>
    <row r="720" spans="1:17" x14ac:dyDescent="0.25">
      <c r="A720" s="36">
        <v>1758</v>
      </c>
      <c r="B720" s="37">
        <v>43617</v>
      </c>
      <c r="C720" s="37">
        <v>43730.367108044629</v>
      </c>
      <c r="D720" s="36" t="s">
        <v>195</v>
      </c>
      <c r="E720" s="36"/>
      <c r="F720" s="38">
        <v>39944033.964749999</v>
      </c>
      <c r="G720" s="40">
        <f>VLOOKUP(A720,'DATOS GENERALES'!A:B,2,0)</f>
        <v>2.4300000000000002</v>
      </c>
      <c r="H720" s="36">
        <f t="shared" si="55"/>
        <v>2.418822</v>
      </c>
      <c r="I720" s="38">
        <f t="shared" si="56"/>
        <v>16513837.713047922</v>
      </c>
      <c r="J720" s="38">
        <f t="shared" si="57"/>
        <v>23430196.251702078</v>
      </c>
      <c r="K720" s="38">
        <v>2945363.2002016502</v>
      </c>
      <c r="L720" s="38">
        <f t="shared" si="58"/>
        <v>20484833.051500428</v>
      </c>
      <c r="M720" s="41">
        <f>VLOOKUP(INDICADORES!$B$21,'DATOS GENERALES'!$K:$M,3,0)*F720</f>
        <v>271860.14534184395</v>
      </c>
      <c r="N720" s="38">
        <f t="shared" si="59"/>
        <v>20212972.906158585</v>
      </c>
      <c r="O720" s="36"/>
      <c r="P720" s="36"/>
      <c r="Q720" s="36"/>
    </row>
    <row r="721" spans="1:17" x14ac:dyDescent="0.25">
      <c r="A721" s="36">
        <v>1758</v>
      </c>
      <c r="B721" s="37">
        <v>43647</v>
      </c>
      <c r="C721" s="37">
        <v>43740.554273363196</v>
      </c>
      <c r="D721" s="36" t="s">
        <v>195</v>
      </c>
      <c r="E721" s="36"/>
      <c r="F721" s="38">
        <v>39944033.964749999</v>
      </c>
      <c r="G721" s="40">
        <f>VLOOKUP(A721,'DATOS GENERALES'!A:B,2,0)</f>
        <v>2.4300000000000002</v>
      </c>
      <c r="H721" s="36">
        <f t="shared" si="55"/>
        <v>2.418822</v>
      </c>
      <c r="I721" s="38">
        <f t="shared" si="56"/>
        <v>16513837.713047922</v>
      </c>
      <c r="J721" s="38">
        <f t="shared" si="57"/>
        <v>23430196.251702078</v>
      </c>
      <c r="K721" s="38">
        <v>4392405.4853820689</v>
      </c>
      <c r="L721" s="38">
        <f t="shared" si="58"/>
        <v>19037790.766320009</v>
      </c>
      <c r="M721" s="41">
        <f>VLOOKUP(INDICADORES!$B$21,'DATOS GENERALES'!$K:$M,3,0)*F721</f>
        <v>271860.14534184395</v>
      </c>
      <c r="N721" s="38">
        <f t="shared" si="59"/>
        <v>18765930.620978165</v>
      </c>
      <c r="O721" s="36"/>
      <c r="P721" s="36"/>
      <c r="Q721" s="36"/>
    </row>
    <row r="722" spans="1:17" x14ac:dyDescent="0.25">
      <c r="A722" s="36">
        <v>1758</v>
      </c>
      <c r="B722" s="37">
        <v>43678</v>
      </c>
      <c r="C722" s="37">
        <v>43727.908811030706</v>
      </c>
      <c r="D722" s="36" t="s">
        <v>195</v>
      </c>
      <c r="E722" s="36"/>
      <c r="F722" s="38">
        <v>39944033.964749999</v>
      </c>
      <c r="G722" s="40">
        <f>VLOOKUP(A722,'DATOS GENERALES'!A:B,2,0)</f>
        <v>2.4300000000000002</v>
      </c>
      <c r="H722" s="36">
        <f t="shared" si="55"/>
        <v>2.418822</v>
      </c>
      <c r="I722" s="38">
        <f t="shared" si="56"/>
        <v>16513837.713047922</v>
      </c>
      <c r="J722" s="38">
        <f t="shared" si="57"/>
        <v>23430196.251702078</v>
      </c>
      <c r="K722" s="38">
        <v>4322286.2475187099</v>
      </c>
      <c r="L722" s="38">
        <f t="shared" si="58"/>
        <v>19107910.004183367</v>
      </c>
      <c r="M722" s="41">
        <f>VLOOKUP(INDICADORES!$B$21,'DATOS GENERALES'!$K:$M,3,0)*F722</f>
        <v>271860.14534184395</v>
      </c>
      <c r="N722" s="38">
        <f t="shared" si="59"/>
        <v>18836049.858841524</v>
      </c>
      <c r="O722" s="36"/>
      <c r="P722" s="36"/>
      <c r="Q722" s="36"/>
    </row>
    <row r="723" spans="1:17" x14ac:dyDescent="0.25">
      <c r="A723" s="36">
        <v>1758</v>
      </c>
      <c r="B723" s="37">
        <v>43709</v>
      </c>
      <c r="C723" s="37">
        <v>43772.866345848503</v>
      </c>
      <c r="D723" s="36" t="s">
        <v>195</v>
      </c>
      <c r="E723" s="36"/>
      <c r="F723" s="38">
        <v>39944033.964749999</v>
      </c>
      <c r="G723" s="40">
        <f>VLOOKUP(A723,'DATOS GENERALES'!A:B,2,0)</f>
        <v>2.4300000000000002</v>
      </c>
      <c r="H723" s="36">
        <f t="shared" si="55"/>
        <v>2.418822</v>
      </c>
      <c r="I723" s="38">
        <f t="shared" si="56"/>
        <v>16513837.713047922</v>
      </c>
      <c r="J723" s="38">
        <f t="shared" si="57"/>
        <v>23430196.251702078</v>
      </c>
      <c r="K723" s="38">
        <v>4884931.41723816</v>
      </c>
      <c r="L723" s="38">
        <f t="shared" si="58"/>
        <v>18545264.834463917</v>
      </c>
      <c r="M723" s="41">
        <f>VLOOKUP(INDICADORES!$B$21,'DATOS GENERALES'!$K:$M,3,0)*F723</f>
        <v>271860.14534184395</v>
      </c>
      <c r="N723" s="38">
        <f t="shared" si="59"/>
        <v>18273404.689122073</v>
      </c>
      <c r="O723" s="36"/>
      <c r="P723" s="36"/>
      <c r="Q723" s="36"/>
    </row>
    <row r="724" spans="1:17" x14ac:dyDescent="0.25">
      <c r="A724" s="36">
        <v>1758</v>
      </c>
      <c r="B724" s="37">
        <v>43739</v>
      </c>
      <c r="C724" s="37">
        <v>43802.687153870094</v>
      </c>
      <c r="D724" s="36" t="s">
        <v>195</v>
      </c>
      <c r="E724" s="36"/>
      <c r="F724" s="38">
        <v>39944033.964749999</v>
      </c>
      <c r="G724" s="40">
        <f>VLOOKUP(A724,'DATOS GENERALES'!A:B,2,0)</f>
        <v>2.4300000000000002</v>
      </c>
      <c r="H724" s="36">
        <f t="shared" si="55"/>
        <v>2.418822</v>
      </c>
      <c r="I724" s="38">
        <f t="shared" si="56"/>
        <v>16513837.713047922</v>
      </c>
      <c r="J724" s="38">
        <f t="shared" si="57"/>
        <v>23430196.251702078</v>
      </c>
      <c r="K724" s="38">
        <v>5282548.9136594646</v>
      </c>
      <c r="L724" s="38">
        <f t="shared" si="58"/>
        <v>18147647.338042613</v>
      </c>
      <c r="M724" s="41">
        <f>VLOOKUP(INDICADORES!$B$21,'DATOS GENERALES'!$K:$M,3,0)*F724</f>
        <v>271860.14534184395</v>
      </c>
      <c r="N724" s="38">
        <f t="shared" si="59"/>
        <v>17875787.19270077</v>
      </c>
      <c r="O724" s="36"/>
      <c r="P724" s="36"/>
      <c r="Q724" s="36"/>
    </row>
    <row r="725" spans="1:17" x14ac:dyDescent="0.25">
      <c r="A725" s="36">
        <v>1758</v>
      </c>
      <c r="B725" s="37">
        <v>43770</v>
      </c>
      <c r="C725" s="37">
        <v>43805.578111539049</v>
      </c>
      <c r="D725" s="36" t="s">
        <v>195</v>
      </c>
      <c r="E725" s="36"/>
      <c r="F725" s="38">
        <v>39944033.964749999</v>
      </c>
      <c r="G725" s="40">
        <f>VLOOKUP(A725,'DATOS GENERALES'!A:B,2,0)</f>
        <v>2.4300000000000002</v>
      </c>
      <c r="H725" s="36">
        <f t="shared" si="55"/>
        <v>2.418822</v>
      </c>
      <c r="I725" s="38">
        <f t="shared" si="56"/>
        <v>16513837.713047922</v>
      </c>
      <c r="J725" s="38">
        <f t="shared" si="57"/>
        <v>23430196.251702078</v>
      </c>
      <c r="K725" s="38">
        <v>7065020.1264808578</v>
      </c>
      <c r="L725" s="38">
        <f t="shared" si="58"/>
        <v>16365176.125221219</v>
      </c>
      <c r="M725" s="41">
        <f>VLOOKUP(INDICADORES!$B$21,'DATOS GENERALES'!$K:$M,3,0)*F725</f>
        <v>271860.14534184395</v>
      </c>
      <c r="N725" s="38">
        <f t="shared" si="59"/>
        <v>16093315.979879376</v>
      </c>
      <c r="O725" s="36"/>
      <c r="P725" s="36"/>
      <c r="Q725" s="36"/>
    </row>
    <row r="726" spans="1:17" x14ac:dyDescent="0.25">
      <c r="A726" s="36">
        <v>1758</v>
      </c>
      <c r="B726" s="37">
        <v>43800</v>
      </c>
      <c r="C726" s="37">
        <v>43885.887211989801</v>
      </c>
      <c r="D726" s="36" t="s">
        <v>195</v>
      </c>
      <c r="E726" s="36"/>
      <c r="F726" s="38">
        <v>39944033.964749999</v>
      </c>
      <c r="G726" s="40">
        <f>VLOOKUP(A726,'DATOS GENERALES'!A:B,2,0)</f>
        <v>2.4300000000000002</v>
      </c>
      <c r="H726" s="36">
        <f t="shared" si="55"/>
        <v>2.418822</v>
      </c>
      <c r="I726" s="38">
        <f t="shared" si="56"/>
        <v>16513837.713047922</v>
      </c>
      <c r="J726" s="38">
        <f t="shared" si="57"/>
        <v>23430196.251702078</v>
      </c>
      <c r="K726" s="38">
        <v>5948657.8851552848</v>
      </c>
      <c r="L726" s="38">
        <f t="shared" si="58"/>
        <v>17481538.366546795</v>
      </c>
      <c r="M726" s="41">
        <f>VLOOKUP(INDICADORES!$B$21,'DATOS GENERALES'!$K:$M,3,0)*F726</f>
        <v>271860.14534184395</v>
      </c>
      <c r="N726" s="38">
        <f t="shared" si="59"/>
        <v>17209678.221204951</v>
      </c>
      <c r="O726" s="36"/>
      <c r="P726" s="36"/>
      <c r="Q726" s="36"/>
    </row>
    <row r="727" spans="1:17" x14ac:dyDescent="0.25">
      <c r="A727" s="36">
        <v>1789</v>
      </c>
      <c r="B727" s="37">
        <v>43466</v>
      </c>
      <c r="C727" s="37">
        <v>43507.679210297669</v>
      </c>
      <c r="D727" s="36" t="s">
        <v>195</v>
      </c>
      <c r="E727" s="36"/>
      <c r="F727" s="38">
        <v>43502787.700000003</v>
      </c>
      <c r="G727" s="40">
        <f>VLOOKUP(A727,'DATOS GENERALES'!A:B,2,0)</f>
        <v>1.45</v>
      </c>
      <c r="H727" s="36">
        <f t="shared" si="55"/>
        <v>1.4433299999999998</v>
      </c>
      <c r="I727" s="38">
        <f t="shared" si="56"/>
        <v>30140569.169905711</v>
      </c>
      <c r="J727" s="38">
        <f t="shared" si="57"/>
        <v>13362218.530094292</v>
      </c>
      <c r="K727" s="38">
        <v>6613393.7976551233</v>
      </c>
      <c r="L727" s="38">
        <f t="shared" si="58"/>
        <v>6748824.7324391687</v>
      </c>
      <c r="M727" s="41">
        <f>VLOOKUP(INDICADORES!$B$21,'DATOS GENERALES'!$K:$M,3,0)*F727</f>
        <v>296081.11682796589</v>
      </c>
      <c r="N727" s="38">
        <f t="shared" si="59"/>
        <v>6452743.615611203</v>
      </c>
      <c r="O727" s="36"/>
      <c r="P727" s="36"/>
      <c r="Q727" s="36"/>
    </row>
    <row r="728" spans="1:17" x14ac:dyDescent="0.25">
      <c r="A728" s="36">
        <v>1802</v>
      </c>
      <c r="B728" s="37">
        <v>43466</v>
      </c>
      <c r="C728" s="37">
        <v>43553.070441838143</v>
      </c>
      <c r="D728" s="36" t="s">
        <v>195</v>
      </c>
      <c r="E728" s="36"/>
      <c r="F728" s="38">
        <v>53929329.834749997</v>
      </c>
      <c r="G728" s="40">
        <f>VLOOKUP(A728,'DATOS GENERALES'!A:B,2,0)</f>
        <v>1.95</v>
      </c>
      <c r="H728" s="36">
        <f t="shared" si="55"/>
        <v>1.9410299999999998</v>
      </c>
      <c r="I728" s="38">
        <f t="shared" si="56"/>
        <v>27783872.394939803</v>
      </c>
      <c r="J728" s="38">
        <f t="shared" si="57"/>
        <v>26145457.439810194</v>
      </c>
      <c r="K728" s="38">
        <v>6096291.2921697525</v>
      </c>
      <c r="L728" s="38">
        <f t="shared" si="58"/>
        <v>20049166.147640441</v>
      </c>
      <c r="M728" s="41">
        <f>VLOOKUP(INDICADORES!$B$21,'DATOS GENERALES'!$K:$M,3,0)*F728</f>
        <v>367044.43672368425</v>
      </c>
      <c r="N728" s="38">
        <f t="shared" si="59"/>
        <v>19682121.710916758</v>
      </c>
      <c r="O728" s="36"/>
      <c r="P728" s="36"/>
      <c r="Q728" s="36"/>
    </row>
    <row r="729" spans="1:17" x14ac:dyDescent="0.25">
      <c r="A729" s="36">
        <v>1802</v>
      </c>
      <c r="B729" s="37">
        <v>43497</v>
      </c>
      <c r="C729" s="37">
        <v>43524.485095958065</v>
      </c>
      <c r="D729" s="36" t="s">
        <v>195</v>
      </c>
      <c r="E729" s="36"/>
      <c r="F729" s="38">
        <v>53929329.834749997</v>
      </c>
      <c r="G729" s="40">
        <f>VLOOKUP(A729,'DATOS GENERALES'!A:B,2,0)</f>
        <v>1.95</v>
      </c>
      <c r="H729" s="36">
        <f t="shared" si="55"/>
        <v>1.9410299999999998</v>
      </c>
      <c r="I729" s="38">
        <f t="shared" si="56"/>
        <v>27783872.394939803</v>
      </c>
      <c r="J729" s="38">
        <f t="shared" si="57"/>
        <v>26145457.439810194</v>
      </c>
      <c r="K729" s="38">
        <v>6005702.0503431903</v>
      </c>
      <c r="L729" s="38">
        <f t="shared" si="58"/>
        <v>20139755.389467005</v>
      </c>
      <c r="M729" s="41">
        <f>VLOOKUP(INDICADORES!$B$21,'DATOS GENERALES'!$K:$M,3,0)*F729</f>
        <v>367044.43672368425</v>
      </c>
      <c r="N729" s="38">
        <f t="shared" si="59"/>
        <v>19772710.952743322</v>
      </c>
      <c r="O729" s="36"/>
      <c r="P729" s="36"/>
      <c r="Q729" s="36"/>
    </row>
    <row r="730" spans="1:17" x14ac:dyDescent="0.25">
      <c r="A730" s="36">
        <v>1802</v>
      </c>
      <c r="B730" s="37">
        <v>43525</v>
      </c>
      <c r="C730" s="37">
        <v>43587.579363526973</v>
      </c>
      <c r="D730" s="36" t="s">
        <v>195</v>
      </c>
      <c r="E730" s="36"/>
      <c r="F730" s="38">
        <v>53929329.834749997</v>
      </c>
      <c r="G730" s="40">
        <f>VLOOKUP(A730,'DATOS GENERALES'!A:B,2,0)</f>
        <v>1.95</v>
      </c>
      <c r="H730" s="36">
        <f t="shared" si="55"/>
        <v>1.9410299999999998</v>
      </c>
      <c r="I730" s="38">
        <f t="shared" si="56"/>
        <v>27783872.394939803</v>
      </c>
      <c r="J730" s="38">
        <f t="shared" si="57"/>
        <v>26145457.439810194</v>
      </c>
      <c r="K730" s="38">
        <v>4345050.9454944413</v>
      </c>
      <c r="L730" s="38">
        <f t="shared" si="58"/>
        <v>21800406.494315751</v>
      </c>
      <c r="M730" s="41">
        <f>VLOOKUP(INDICADORES!$B$21,'DATOS GENERALES'!$K:$M,3,0)*F730</f>
        <v>367044.43672368425</v>
      </c>
      <c r="N730" s="38">
        <f t="shared" si="59"/>
        <v>21433362.057592068</v>
      </c>
      <c r="O730" s="36"/>
      <c r="P730" s="36"/>
      <c r="Q730" s="36"/>
    </row>
    <row r="731" spans="1:17" x14ac:dyDescent="0.25">
      <c r="A731" s="36">
        <v>1802</v>
      </c>
      <c r="B731" s="37">
        <v>43556</v>
      </c>
      <c r="C731" s="37">
        <v>43623.900367797185</v>
      </c>
      <c r="D731" s="36" t="s">
        <v>195</v>
      </c>
      <c r="E731" s="36"/>
      <c r="F731" s="38">
        <v>53929329.834749997</v>
      </c>
      <c r="G731" s="40">
        <f>VLOOKUP(A731,'DATOS GENERALES'!A:B,2,0)</f>
        <v>1.95</v>
      </c>
      <c r="H731" s="36">
        <f t="shared" si="55"/>
        <v>1.9410299999999998</v>
      </c>
      <c r="I731" s="38">
        <f t="shared" si="56"/>
        <v>27783872.394939803</v>
      </c>
      <c r="J731" s="38">
        <f t="shared" si="57"/>
        <v>26145457.439810194</v>
      </c>
      <c r="K731" s="38">
        <v>4467039.8505266672</v>
      </c>
      <c r="L731" s="38">
        <f t="shared" si="58"/>
        <v>21678417.589283526</v>
      </c>
      <c r="M731" s="41">
        <f>VLOOKUP(INDICADORES!$B$21,'DATOS GENERALES'!$K:$M,3,0)*F731</f>
        <v>367044.43672368425</v>
      </c>
      <c r="N731" s="38">
        <f t="shared" si="59"/>
        <v>21311373.152559843</v>
      </c>
      <c r="O731" s="36"/>
      <c r="P731" s="36"/>
      <c r="Q731" s="36"/>
    </row>
    <row r="732" spans="1:17" x14ac:dyDescent="0.25">
      <c r="A732" s="36">
        <v>1802</v>
      </c>
      <c r="B732" s="37">
        <v>43586</v>
      </c>
      <c r="C732" s="37">
        <v>43646.030860581071</v>
      </c>
      <c r="D732" s="36" t="s">
        <v>195</v>
      </c>
      <c r="E732" s="36"/>
      <c r="F732" s="38">
        <v>53929329.834749997</v>
      </c>
      <c r="G732" s="40">
        <f>VLOOKUP(A732,'DATOS GENERALES'!A:B,2,0)</f>
        <v>1.95</v>
      </c>
      <c r="H732" s="36">
        <f t="shared" si="55"/>
        <v>1.9410299999999998</v>
      </c>
      <c r="I732" s="38">
        <f t="shared" si="56"/>
        <v>27783872.394939803</v>
      </c>
      <c r="J732" s="38">
        <f t="shared" si="57"/>
        <v>26145457.439810194</v>
      </c>
      <c r="K732" s="38">
        <v>3684995.4767286275</v>
      </c>
      <c r="L732" s="38">
        <f t="shared" si="58"/>
        <v>22460461.963081568</v>
      </c>
      <c r="M732" s="41">
        <f>VLOOKUP(INDICADORES!$B$21,'DATOS GENERALES'!$K:$M,3,0)*F732</f>
        <v>367044.43672368425</v>
      </c>
      <c r="N732" s="38">
        <f t="shared" si="59"/>
        <v>22093417.526357885</v>
      </c>
      <c r="O732" s="36"/>
      <c r="P732" s="36"/>
      <c r="Q732" s="36"/>
    </row>
    <row r="733" spans="1:17" x14ac:dyDescent="0.25">
      <c r="A733" s="36">
        <v>1802</v>
      </c>
      <c r="B733" s="37">
        <v>43617</v>
      </c>
      <c r="C733" s="37">
        <v>43661.584797517527</v>
      </c>
      <c r="D733" s="36" t="s">
        <v>195</v>
      </c>
      <c r="E733" s="36"/>
      <c r="F733" s="38">
        <v>53929329.834749997</v>
      </c>
      <c r="G733" s="40">
        <f>VLOOKUP(A733,'DATOS GENERALES'!A:B,2,0)</f>
        <v>1.95</v>
      </c>
      <c r="H733" s="36">
        <f t="shared" si="55"/>
        <v>1.9410299999999998</v>
      </c>
      <c r="I733" s="38">
        <f t="shared" si="56"/>
        <v>27783872.394939803</v>
      </c>
      <c r="J733" s="38">
        <f t="shared" si="57"/>
        <v>26145457.439810194</v>
      </c>
      <c r="K733" s="38">
        <v>4955455.9474988524</v>
      </c>
      <c r="L733" s="38">
        <f t="shared" si="58"/>
        <v>21190001.492311344</v>
      </c>
      <c r="M733" s="41">
        <f>VLOOKUP(INDICADORES!$B$21,'DATOS GENERALES'!$K:$M,3,0)*F733</f>
        <v>367044.43672368425</v>
      </c>
      <c r="N733" s="38">
        <f t="shared" si="59"/>
        <v>20822957.055587661</v>
      </c>
      <c r="O733" s="36"/>
      <c r="P733" s="36"/>
      <c r="Q733" s="36"/>
    </row>
    <row r="734" spans="1:17" x14ac:dyDescent="0.25">
      <c r="A734" s="36">
        <v>1802</v>
      </c>
      <c r="B734" s="37">
        <v>43647</v>
      </c>
      <c r="C734" s="37">
        <v>43682.599823314253</v>
      </c>
      <c r="D734" s="36" t="s">
        <v>195</v>
      </c>
      <c r="E734" s="36"/>
      <c r="F734" s="38">
        <v>53929329.834749997</v>
      </c>
      <c r="G734" s="40">
        <f>VLOOKUP(A734,'DATOS GENERALES'!A:B,2,0)</f>
        <v>1.95</v>
      </c>
      <c r="H734" s="36">
        <f t="shared" si="55"/>
        <v>1.9410299999999998</v>
      </c>
      <c r="I734" s="38">
        <f t="shared" si="56"/>
        <v>27783872.394939803</v>
      </c>
      <c r="J734" s="38">
        <f t="shared" si="57"/>
        <v>26145457.439810194</v>
      </c>
      <c r="K734" s="38">
        <v>7390046.7979205279</v>
      </c>
      <c r="L734" s="38">
        <f t="shared" si="58"/>
        <v>18755410.641889665</v>
      </c>
      <c r="M734" s="41">
        <f>VLOOKUP(INDICADORES!$B$21,'DATOS GENERALES'!$K:$M,3,0)*F734</f>
        <v>367044.43672368425</v>
      </c>
      <c r="N734" s="38">
        <f t="shared" si="59"/>
        <v>18388366.205165982</v>
      </c>
      <c r="O734" s="36"/>
      <c r="P734" s="36"/>
      <c r="Q734" s="36"/>
    </row>
    <row r="735" spans="1:17" x14ac:dyDescent="0.25">
      <c r="A735" s="36">
        <v>1802</v>
      </c>
      <c r="B735" s="37">
        <v>43678</v>
      </c>
      <c r="C735" s="37">
        <v>43740.619608056069</v>
      </c>
      <c r="D735" s="36" t="s">
        <v>195</v>
      </c>
      <c r="E735" s="36"/>
      <c r="F735" s="38">
        <v>45341011.5</v>
      </c>
      <c r="G735" s="40">
        <f>VLOOKUP(A735,'DATOS GENERALES'!A:B,2,0)</f>
        <v>1.95</v>
      </c>
      <c r="H735" s="36">
        <f t="shared" si="55"/>
        <v>1.9410299999999998</v>
      </c>
      <c r="I735" s="38">
        <f t="shared" si="56"/>
        <v>23359253.334569793</v>
      </c>
      <c r="J735" s="38">
        <f t="shared" si="57"/>
        <v>21981758.165430207</v>
      </c>
      <c r="K735" s="38">
        <v>6113986.4151954064</v>
      </c>
      <c r="L735" s="38">
        <f t="shared" si="58"/>
        <v>15867771.750234801</v>
      </c>
      <c r="M735" s="41">
        <f>VLOOKUP(INDICADORES!$B$21,'DATOS GENERALES'!$K:$M,3,0)*F735</f>
        <v>308592.11633992929</v>
      </c>
      <c r="N735" s="38">
        <f t="shared" si="59"/>
        <v>15559179.633894872</v>
      </c>
      <c r="O735" s="36"/>
      <c r="P735" s="36"/>
      <c r="Q735" s="36"/>
    </row>
    <row r="736" spans="1:17" x14ac:dyDescent="0.25">
      <c r="A736" s="36">
        <v>1802</v>
      </c>
      <c r="B736" s="37">
        <v>43709</v>
      </c>
      <c r="C736" s="37">
        <v>43777.992396322312</v>
      </c>
      <c r="D736" s="36" t="s">
        <v>195</v>
      </c>
      <c r="E736" s="36"/>
      <c r="F736" s="38">
        <v>28318301.25</v>
      </c>
      <c r="G736" s="40">
        <f>VLOOKUP(A736,'DATOS GENERALES'!A:B,2,0)</f>
        <v>1.95</v>
      </c>
      <c r="H736" s="36">
        <f t="shared" si="55"/>
        <v>1.9410299999999998</v>
      </c>
      <c r="I736" s="38">
        <f t="shared" si="56"/>
        <v>14589316.625709033</v>
      </c>
      <c r="J736" s="38">
        <f t="shared" si="57"/>
        <v>13728984.624290967</v>
      </c>
      <c r="K736" s="38">
        <v>4315641.9712572871</v>
      </c>
      <c r="L736" s="38">
        <f t="shared" si="58"/>
        <v>9413342.6530336812</v>
      </c>
      <c r="M736" s="41">
        <f>VLOOKUP(INDICADORES!$B$21,'DATOS GENERALES'!$K:$M,3,0)*F736</f>
        <v>192735.10283045107</v>
      </c>
      <c r="N736" s="38">
        <f t="shared" si="59"/>
        <v>9220607.5502032302</v>
      </c>
      <c r="O736" s="36"/>
      <c r="P736" s="36"/>
      <c r="Q736" s="36"/>
    </row>
    <row r="737" spans="1:17" x14ac:dyDescent="0.25">
      <c r="A737" s="36">
        <v>1802</v>
      </c>
      <c r="B737" s="37">
        <v>43739</v>
      </c>
      <c r="C737" s="37">
        <v>43784.246746980811</v>
      </c>
      <c r="D737" s="36" t="s">
        <v>195</v>
      </c>
      <c r="E737" s="36"/>
      <c r="F737" s="38">
        <v>28318301.25</v>
      </c>
      <c r="G737" s="40">
        <f>VLOOKUP(A737,'DATOS GENERALES'!A:B,2,0)</f>
        <v>1.95</v>
      </c>
      <c r="H737" s="36">
        <f t="shared" si="55"/>
        <v>1.9410299999999998</v>
      </c>
      <c r="I737" s="38">
        <f t="shared" si="56"/>
        <v>14589316.625709033</v>
      </c>
      <c r="J737" s="38">
        <f t="shared" si="57"/>
        <v>13728984.624290967</v>
      </c>
      <c r="K737" s="38">
        <v>4666921.1622008123</v>
      </c>
      <c r="L737" s="38">
        <f t="shared" si="58"/>
        <v>9062063.4620901551</v>
      </c>
      <c r="M737" s="41">
        <f>VLOOKUP(INDICADORES!$B$21,'DATOS GENERALES'!$K:$M,3,0)*F737</f>
        <v>192735.10283045107</v>
      </c>
      <c r="N737" s="38">
        <f t="shared" si="59"/>
        <v>8869328.3592597041</v>
      </c>
      <c r="O737" s="36"/>
      <c r="P737" s="36"/>
      <c r="Q737" s="36"/>
    </row>
    <row r="738" spans="1:17" x14ac:dyDescent="0.25">
      <c r="A738" s="36">
        <v>1802</v>
      </c>
      <c r="B738" s="37">
        <v>43770</v>
      </c>
      <c r="C738" s="37">
        <v>43838.221785768314</v>
      </c>
      <c r="D738" s="36" t="s">
        <v>195</v>
      </c>
      <c r="E738" s="36"/>
      <c r="F738" s="38">
        <v>28318301.25</v>
      </c>
      <c r="G738" s="40">
        <f>VLOOKUP(A738,'DATOS GENERALES'!A:B,2,0)</f>
        <v>1.95</v>
      </c>
      <c r="H738" s="36">
        <f t="shared" si="55"/>
        <v>1.9410299999999998</v>
      </c>
      <c r="I738" s="38">
        <f t="shared" si="56"/>
        <v>14589316.625709033</v>
      </c>
      <c r="J738" s="38">
        <f t="shared" si="57"/>
        <v>13728984.624290967</v>
      </c>
      <c r="K738" s="38">
        <v>6241663.3482352411</v>
      </c>
      <c r="L738" s="38">
        <f t="shared" si="58"/>
        <v>7487321.2760557262</v>
      </c>
      <c r="M738" s="41">
        <f>VLOOKUP(INDICADORES!$B$21,'DATOS GENERALES'!$K:$M,3,0)*F738</f>
        <v>192735.10283045107</v>
      </c>
      <c r="N738" s="38">
        <f t="shared" si="59"/>
        <v>7294586.1732252752</v>
      </c>
      <c r="O738" s="36"/>
      <c r="P738" s="36"/>
      <c r="Q738" s="36"/>
    </row>
    <row r="739" spans="1:17" x14ac:dyDescent="0.25">
      <c r="A739" s="36">
        <v>1802</v>
      </c>
      <c r="B739" s="37">
        <v>43800</v>
      </c>
      <c r="C739" s="37">
        <v>43891.238443208182</v>
      </c>
      <c r="D739" s="36" t="s">
        <v>195</v>
      </c>
      <c r="E739" s="36"/>
      <c r="F739" s="38">
        <v>28318301.25</v>
      </c>
      <c r="G739" s="40">
        <f>VLOOKUP(A739,'DATOS GENERALES'!A:B,2,0)</f>
        <v>1.95</v>
      </c>
      <c r="H739" s="36">
        <f t="shared" si="55"/>
        <v>1.9410299999999998</v>
      </c>
      <c r="I739" s="38">
        <f t="shared" si="56"/>
        <v>14589316.625709033</v>
      </c>
      <c r="J739" s="38">
        <f t="shared" si="57"/>
        <v>13728984.624290967</v>
      </c>
      <c r="K739" s="38">
        <v>5255401.8570728153</v>
      </c>
      <c r="L739" s="38">
        <f t="shared" si="58"/>
        <v>8473582.7672181521</v>
      </c>
      <c r="M739" s="41">
        <f>VLOOKUP(INDICADORES!$B$21,'DATOS GENERALES'!$K:$M,3,0)*F739</f>
        <v>192735.10283045107</v>
      </c>
      <c r="N739" s="38">
        <f t="shared" si="59"/>
        <v>8280847.6643877011</v>
      </c>
      <c r="O739" s="36"/>
      <c r="P739" s="36"/>
      <c r="Q739" s="36"/>
    </row>
    <row r="740" spans="1:17" x14ac:dyDescent="0.25">
      <c r="A740" s="36">
        <v>1818</v>
      </c>
      <c r="B740" s="37">
        <v>43466</v>
      </c>
      <c r="C740" s="37">
        <v>43504.271796855239</v>
      </c>
      <c r="D740" s="36" t="s">
        <v>195</v>
      </c>
      <c r="E740" s="36"/>
      <c r="F740" s="38">
        <v>37932512.950000003</v>
      </c>
      <c r="G740" s="40">
        <f>VLOOKUP(A740,'DATOS GENERALES'!A:B,2,0)</f>
        <v>1.1100000000000001</v>
      </c>
      <c r="H740" s="36">
        <f t="shared" si="55"/>
        <v>1.104894</v>
      </c>
      <c r="I740" s="38">
        <f t="shared" si="56"/>
        <v>34331359.343068205</v>
      </c>
      <c r="J740" s="38">
        <f t="shared" si="57"/>
        <v>3601153.6069317982</v>
      </c>
      <c r="K740" s="38">
        <v>7532930.0407244712</v>
      </c>
      <c r="L740" s="38">
        <f t="shared" si="58"/>
        <v>-3931776.4337926731</v>
      </c>
      <c r="M740" s="41">
        <f>VLOOKUP(INDICADORES!$B$21,'DATOS GENERALES'!$K:$M,3,0)*F740</f>
        <v>258169.68043009529</v>
      </c>
      <c r="N740" s="38">
        <f t="shared" si="59"/>
        <v>-4189946.1142227682</v>
      </c>
      <c r="O740" s="36"/>
      <c r="P740" s="36"/>
      <c r="Q740" s="36"/>
    </row>
    <row r="741" spans="1:17" x14ac:dyDescent="0.25">
      <c r="A741" s="36">
        <v>1818</v>
      </c>
      <c r="B741" s="37">
        <v>43497</v>
      </c>
      <c r="C741" s="37">
        <v>43582.070445447716</v>
      </c>
      <c r="D741" s="36" t="s">
        <v>195</v>
      </c>
      <c r="E741" s="36"/>
      <c r="F741" s="38">
        <v>37932512.950000003</v>
      </c>
      <c r="G741" s="40">
        <f>VLOOKUP(A741,'DATOS GENERALES'!A:B,2,0)</f>
        <v>1.1100000000000001</v>
      </c>
      <c r="H741" s="36">
        <f t="shared" si="55"/>
        <v>1.104894</v>
      </c>
      <c r="I741" s="38">
        <f t="shared" si="56"/>
        <v>34331359.343068205</v>
      </c>
      <c r="J741" s="38">
        <f t="shared" si="57"/>
        <v>3601153.6069317982</v>
      </c>
      <c r="K741" s="38">
        <v>7420992.7351698196</v>
      </c>
      <c r="L741" s="38">
        <f t="shared" si="58"/>
        <v>-3819839.1282380214</v>
      </c>
      <c r="M741" s="41">
        <f>VLOOKUP(INDICADORES!$B$21,'DATOS GENERALES'!$K:$M,3,0)*F741</f>
        <v>258169.68043009529</v>
      </c>
      <c r="N741" s="38">
        <f t="shared" si="59"/>
        <v>-4078008.8086681166</v>
      </c>
      <c r="O741" s="36"/>
      <c r="P741" s="36"/>
      <c r="Q741" s="36"/>
    </row>
    <row r="742" spans="1:17" x14ac:dyDescent="0.25">
      <c r="A742" s="36">
        <v>1818</v>
      </c>
      <c r="B742" s="37">
        <v>43525</v>
      </c>
      <c r="C742" s="37">
        <v>43617.057043920235</v>
      </c>
      <c r="D742" s="36" t="s">
        <v>195</v>
      </c>
      <c r="E742" s="36"/>
      <c r="F742" s="38">
        <v>37932512.950000003</v>
      </c>
      <c r="G742" s="40">
        <f>VLOOKUP(A742,'DATOS GENERALES'!A:B,2,0)</f>
        <v>1.1100000000000001</v>
      </c>
      <c r="H742" s="36">
        <f t="shared" si="55"/>
        <v>1.104894</v>
      </c>
      <c r="I742" s="38">
        <f t="shared" si="56"/>
        <v>34331359.343068205</v>
      </c>
      <c r="J742" s="38">
        <f t="shared" si="57"/>
        <v>3601153.6069317982</v>
      </c>
      <c r="K742" s="38">
        <v>5368996.2023031786</v>
      </c>
      <c r="L742" s="38">
        <f t="shared" si="58"/>
        <v>-1767842.5953713804</v>
      </c>
      <c r="M742" s="41">
        <f>VLOOKUP(INDICADORES!$B$21,'DATOS GENERALES'!$K:$M,3,0)*F742</f>
        <v>258169.68043009529</v>
      </c>
      <c r="N742" s="38">
        <f t="shared" si="59"/>
        <v>-2026012.2758014756</v>
      </c>
      <c r="O742" s="36"/>
      <c r="P742" s="36"/>
      <c r="Q742" s="36"/>
    </row>
    <row r="743" spans="1:17" x14ac:dyDescent="0.25">
      <c r="A743" s="36">
        <v>1818</v>
      </c>
      <c r="B743" s="37">
        <v>43556</v>
      </c>
      <c r="C743" s="37">
        <v>43638.839339940692</v>
      </c>
      <c r="D743" s="36" t="s">
        <v>195</v>
      </c>
      <c r="E743" s="36"/>
      <c r="F743" s="38">
        <v>37932512.950000003</v>
      </c>
      <c r="G743" s="40">
        <f>VLOOKUP(A743,'DATOS GENERALES'!A:B,2,0)</f>
        <v>1.1100000000000001</v>
      </c>
      <c r="H743" s="36">
        <f t="shared" si="55"/>
        <v>1.104894</v>
      </c>
      <c r="I743" s="38">
        <f t="shared" si="56"/>
        <v>34331359.343068205</v>
      </c>
      <c r="J743" s="38">
        <f t="shared" si="57"/>
        <v>3601153.6069317982</v>
      </c>
      <c r="K743" s="38">
        <v>5519732.7474109624</v>
      </c>
      <c r="L743" s="38">
        <f t="shared" si="58"/>
        <v>-1918579.1404791642</v>
      </c>
      <c r="M743" s="41">
        <f>VLOOKUP(INDICADORES!$B$21,'DATOS GENERALES'!$K:$M,3,0)*F743</f>
        <v>258169.68043009529</v>
      </c>
      <c r="N743" s="38">
        <f t="shared" si="59"/>
        <v>-2176748.8209092594</v>
      </c>
      <c r="O743" s="36"/>
      <c r="P743" s="36"/>
      <c r="Q743" s="36"/>
    </row>
    <row r="744" spans="1:17" x14ac:dyDescent="0.25">
      <c r="A744" s="36">
        <v>1818</v>
      </c>
      <c r="B744" s="37">
        <v>43586</v>
      </c>
      <c r="C744" s="37">
        <v>43669.15007088433</v>
      </c>
      <c r="D744" s="36" t="s">
        <v>195</v>
      </c>
      <c r="E744" s="36"/>
      <c r="F744" s="38">
        <v>37932512.950000003</v>
      </c>
      <c r="G744" s="40">
        <f>VLOOKUP(A744,'DATOS GENERALES'!A:B,2,0)</f>
        <v>1.1100000000000001</v>
      </c>
      <c r="H744" s="36">
        <f t="shared" si="55"/>
        <v>1.104894</v>
      </c>
      <c r="I744" s="38">
        <f t="shared" si="56"/>
        <v>34331359.343068205</v>
      </c>
      <c r="J744" s="38">
        <f t="shared" si="57"/>
        <v>3601153.6069317982</v>
      </c>
      <c r="K744" s="38">
        <v>4553393.4971639346</v>
      </c>
      <c r="L744" s="38">
        <f t="shared" si="58"/>
        <v>-952239.89023213647</v>
      </c>
      <c r="M744" s="41">
        <f>VLOOKUP(INDICADORES!$B$21,'DATOS GENERALES'!$K:$M,3,0)*F744</f>
        <v>258169.68043009529</v>
      </c>
      <c r="N744" s="38">
        <f t="shared" si="59"/>
        <v>-1210409.5706622317</v>
      </c>
      <c r="O744" s="36"/>
      <c r="P744" s="36"/>
      <c r="Q744" s="36"/>
    </row>
    <row r="745" spans="1:17" x14ac:dyDescent="0.25">
      <c r="A745" s="36">
        <v>1818</v>
      </c>
      <c r="B745" s="37">
        <v>43617</v>
      </c>
      <c r="C745" s="37">
        <v>43682.947367583074</v>
      </c>
      <c r="D745" s="36" t="s">
        <v>195</v>
      </c>
      <c r="E745" s="36"/>
      <c r="F745" s="38">
        <v>37932512.950000003</v>
      </c>
      <c r="G745" s="40">
        <f>VLOOKUP(A745,'DATOS GENERALES'!A:B,2,0)</f>
        <v>1.1100000000000001</v>
      </c>
      <c r="H745" s="36">
        <f t="shared" si="55"/>
        <v>1.104894</v>
      </c>
      <c r="I745" s="38">
        <f t="shared" si="56"/>
        <v>34331359.343068205</v>
      </c>
      <c r="J745" s="38">
        <f t="shared" si="57"/>
        <v>3601153.6069317982</v>
      </c>
      <c r="K745" s="38">
        <v>6123247.9196568895</v>
      </c>
      <c r="L745" s="38">
        <f t="shared" si="58"/>
        <v>-2522094.3127250914</v>
      </c>
      <c r="M745" s="41">
        <f>VLOOKUP(INDICADORES!$B$21,'DATOS GENERALES'!$K:$M,3,0)*F745</f>
        <v>258169.68043009529</v>
      </c>
      <c r="N745" s="38">
        <f t="shared" si="59"/>
        <v>-2780263.9931551865</v>
      </c>
      <c r="O745" s="36"/>
      <c r="P745" s="36"/>
      <c r="Q745" s="36"/>
    </row>
    <row r="746" spans="1:17" x14ac:dyDescent="0.25">
      <c r="A746" s="36">
        <v>1818</v>
      </c>
      <c r="B746" s="37">
        <v>43647</v>
      </c>
      <c r="C746" s="37">
        <v>43726.815722643281</v>
      </c>
      <c r="D746" s="36" t="s">
        <v>195</v>
      </c>
      <c r="E746" s="36"/>
      <c r="F746" s="38">
        <v>35575919.200000003</v>
      </c>
      <c r="G746" s="40">
        <f>VLOOKUP(A746,'DATOS GENERALES'!A:B,2,0)</f>
        <v>1.1100000000000001</v>
      </c>
      <c r="H746" s="36">
        <f t="shared" si="55"/>
        <v>1.104894</v>
      </c>
      <c r="I746" s="38">
        <f t="shared" si="56"/>
        <v>32198490.714946412</v>
      </c>
      <c r="J746" s="38">
        <f t="shared" si="57"/>
        <v>3377428.4850535914</v>
      </c>
      <c r="K746" s="38">
        <v>8564261.6631510444</v>
      </c>
      <c r="L746" s="38">
        <f t="shared" si="58"/>
        <v>-5186833.178097453</v>
      </c>
      <c r="M746" s="41">
        <f>VLOOKUP(INDICADORES!$B$21,'DATOS GENERALES'!$K:$M,3,0)*F746</f>
        <v>242130.64140984867</v>
      </c>
      <c r="N746" s="38">
        <f t="shared" si="59"/>
        <v>-5428963.8195073018</v>
      </c>
      <c r="O746" s="36"/>
      <c r="P746" s="36"/>
      <c r="Q746" s="36"/>
    </row>
    <row r="747" spans="1:17" x14ac:dyDescent="0.25">
      <c r="A747" s="36">
        <v>1818</v>
      </c>
      <c r="B747" s="37">
        <v>43678</v>
      </c>
      <c r="C747" s="37">
        <v>43729.349652351237</v>
      </c>
      <c r="D747" s="36" t="s">
        <v>195</v>
      </c>
      <c r="E747" s="36"/>
      <c r="F747" s="38">
        <v>35575919.200000003</v>
      </c>
      <c r="G747" s="40">
        <f>VLOOKUP(A747,'DATOS GENERALES'!A:B,2,0)</f>
        <v>1.1100000000000001</v>
      </c>
      <c r="H747" s="36">
        <f t="shared" si="55"/>
        <v>1.104894</v>
      </c>
      <c r="I747" s="38">
        <f t="shared" si="56"/>
        <v>32198490.714946412</v>
      </c>
      <c r="J747" s="38">
        <f t="shared" si="57"/>
        <v>3377428.4850535914</v>
      </c>
      <c r="K747" s="38">
        <v>8427543.9801682066</v>
      </c>
      <c r="L747" s="38">
        <f t="shared" si="58"/>
        <v>-5050115.4951146152</v>
      </c>
      <c r="M747" s="41">
        <f>VLOOKUP(INDICADORES!$B$21,'DATOS GENERALES'!$K:$M,3,0)*F747</f>
        <v>242130.64140984867</v>
      </c>
      <c r="N747" s="38">
        <f t="shared" si="59"/>
        <v>-5292246.136524464</v>
      </c>
      <c r="O747" s="36"/>
      <c r="P747" s="36"/>
      <c r="Q747" s="36"/>
    </row>
    <row r="748" spans="1:17" x14ac:dyDescent="0.25">
      <c r="A748" s="36">
        <v>1818</v>
      </c>
      <c r="B748" s="37">
        <v>43709</v>
      </c>
      <c r="C748" s="37">
        <v>43756.051630093476</v>
      </c>
      <c r="D748" s="36" t="s">
        <v>195</v>
      </c>
      <c r="E748" s="36"/>
      <c r="F748" s="38">
        <v>35195556.700000003</v>
      </c>
      <c r="G748" s="40">
        <f>VLOOKUP(A748,'DATOS GENERALES'!A:B,2,0)</f>
        <v>1.1100000000000001</v>
      </c>
      <c r="H748" s="36">
        <f t="shared" si="55"/>
        <v>1.104894</v>
      </c>
      <c r="I748" s="38">
        <f t="shared" si="56"/>
        <v>31854238.234617982</v>
      </c>
      <c r="J748" s="38">
        <f t="shared" si="57"/>
        <v>3341318.4653820209</v>
      </c>
      <c r="K748" s="38">
        <v>9422750.2915041409</v>
      </c>
      <c r="L748" s="38">
        <f t="shared" si="58"/>
        <v>-6081431.82612212</v>
      </c>
      <c r="M748" s="41">
        <f>VLOOKUP(INDICADORES!$B$21,'DATOS GENERALES'!$K:$M,3,0)*F748</f>
        <v>239541.88423465099</v>
      </c>
      <c r="N748" s="38">
        <f t="shared" si="59"/>
        <v>-6320973.710356771</v>
      </c>
      <c r="O748" s="36"/>
      <c r="P748" s="36"/>
      <c r="Q748" s="36"/>
    </row>
    <row r="749" spans="1:17" x14ac:dyDescent="0.25">
      <c r="A749" s="36">
        <v>1818</v>
      </c>
      <c r="B749" s="37">
        <v>43739</v>
      </c>
      <c r="C749" s="37">
        <v>43825.110995585659</v>
      </c>
      <c r="D749" s="36" t="s">
        <v>195</v>
      </c>
      <c r="E749" s="36"/>
      <c r="F749" s="38">
        <v>35195556.700000003</v>
      </c>
      <c r="G749" s="40">
        <f>VLOOKUP(A749,'DATOS GENERALES'!A:B,2,0)</f>
        <v>1.1100000000000001</v>
      </c>
      <c r="H749" s="36">
        <f t="shared" si="55"/>
        <v>1.104894</v>
      </c>
      <c r="I749" s="38">
        <f t="shared" si="56"/>
        <v>31854238.234617982</v>
      </c>
      <c r="J749" s="38">
        <f t="shared" si="57"/>
        <v>3341318.4653820209</v>
      </c>
      <c r="K749" s="38">
        <v>10189731.454656126</v>
      </c>
      <c r="L749" s="38">
        <f t="shared" si="58"/>
        <v>-6848412.9892741051</v>
      </c>
      <c r="M749" s="41">
        <f>VLOOKUP(INDICADORES!$B$21,'DATOS GENERALES'!$K:$M,3,0)*F749</f>
        <v>239541.88423465099</v>
      </c>
      <c r="N749" s="38">
        <f t="shared" si="59"/>
        <v>-7087954.873508756</v>
      </c>
      <c r="O749" s="36"/>
      <c r="P749" s="36"/>
      <c r="Q749" s="36"/>
    </row>
    <row r="750" spans="1:17" x14ac:dyDescent="0.25">
      <c r="A750" s="36">
        <v>1818</v>
      </c>
      <c r="B750" s="37">
        <v>43770</v>
      </c>
      <c r="C750" s="37">
        <v>43842.717966609089</v>
      </c>
      <c r="D750" s="36" t="s">
        <v>195</v>
      </c>
      <c r="E750" s="36"/>
      <c r="F750" s="38">
        <v>35195556.700000003</v>
      </c>
      <c r="G750" s="40">
        <f>VLOOKUP(A750,'DATOS GENERALES'!A:B,2,0)</f>
        <v>1.1100000000000001</v>
      </c>
      <c r="H750" s="36">
        <f t="shared" si="55"/>
        <v>1.104894</v>
      </c>
      <c r="I750" s="38">
        <f t="shared" si="56"/>
        <v>31854238.234617982</v>
      </c>
      <c r="J750" s="38">
        <f t="shared" si="57"/>
        <v>3341318.4653820209</v>
      </c>
      <c r="K750" s="38">
        <v>13628015.374250336</v>
      </c>
      <c r="L750" s="38">
        <f t="shared" si="58"/>
        <v>-10286696.908868315</v>
      </c>
      <c r="M750" s="41">
        <f>VLOOKUP(INDICADORES!$B$21,'DATOS GENERALES'!$K:$M,3,0)*F750</f>
        <v>239541.88423465099</v>
      </c>
      <c r="N750" s="38">
        <f t="shared" si="59"/>
        <v>-10526238.793102965</v>
      </c>
      <c r="O750" s="36"/>
      <c r="P750" s="36"/>
      <c r="Q750" s="36"/>
    </row>
    <row r="751" spans="1:17" x14ac:dyDescent="0.25">
      <c r="A751" s="36">
        <v>1818</v>
      </c>
      <c r="B751" s="37">
        <v>43800</v>
      </c>
      <c r="C751" s="37">
        <v>43894.47418650335</v>
      </c>
      <c r="D751" s="36" t="s">
        <v>195</v>
      </c>
      <c r="E751" s="36"/>
      <c r="F751" s="38">
        <v>31409130.699999999</v>
      </c>
      <c r="G751" s="40">
        <f>VLOOKUP(A751,'DATOS GENERALES'!A:B,2,0)</f>
        <v>1.1100000000000001</v>
      </c>
      <c r="H751" s="36">
        <f t="shared" si="55"/>
        <v>1.104894</v>
      </c>
      <c r="I751" s="38">
        <f t="shared" si="56"/>
        <v>28427279.630444184</v>
      </c>
      <c r="J751" s="38">
        <f t="shared" si="57"/>
        <v>2981851.0695558153</v>
      </c>
      <c r="K751" s="38">
        <v>10240149.144347189</v>
      </c>
      <c r="L751" s="38">
        <f t="shared" si="58"/>
        <v>-7258298.0747913737</v>
      </c>
      <c r="M751" s="41">
        <f>VLOOKUP(INDICADORES!$B$21,'DATOS GENERALES'!$K:$M,3,0)*F751</f>
        <v>213771.36932885682</v>
      </c>
      <c r="N751" s="38">
        <f t="shared" si="59"/>
        <v>-7472069.4441202302</v>
      </c>
      <c r="O751" s="36"/>
      <c r="P751" s="36"/>
      <c r="Q751" s="36"/>
    </row>
    <row r="752" spans="1:17" x14ac:dyDescent="0.25">
      <c r="A752" s="36">
        <v>1829</v>
      </c>
      <c r="B752" s="37">
        <v>43466</v>
      </c>
      <c r="C752" s="37">
        <v>43529.771517001507</v>
      </c>
      <c r="D752" s="36" t="s">
        <v>195</v>
      </c>
      <c r="E752" s="36"/>
      <c r="F752" s="38">
        <v>71699753.276983202</v>
      </c>
      <c r="G752" s="40">
        <f>VLOOKUP(A752,'DATOS GENERALES'!A:B,2,0)</f>
        <v>1.35</v>
      </c>
      <c r="H752" s="36">
        <f t="shared" si="55"/>
        <v>1.34379</v>
      </c>
      <c r="I752" s="38">
        <f t="shared" si="56"/>
        <v>53356367.644485518</v>
      </c>
      <c r="J752" s="38">
        <f t="shared" si="57"/>
        <v>18343385.632497683</v>
      </c>
      <c r="K752" s="38">
        <v>11707365.871437222</v>
      </c>
      <c r="L752" s="38">
        <f t="shared" si="58"/>
        <v>6636019.7610604614</v>
      </c>
      <c r="M752" s="41">
        <f>VLOOKUP(INDICADORES!$B$21,'DATOS GENERALES'!$K:$M,3,0)*F752</f>
        <v>487990.40587780066</v>
      </c>
      <c r="N752" s="38">
        <f t="shared" si="59"/>
        <v>6148029.3551826607</v>
      </c>
      <c r="O752" s="36"/>
      <c r="P752" s="36"/>
      <c r="Q752" s="36"/>
    </row>
    <row r="753" spans="1:17" x14ac:dyDescent="0.25">
      <c r="A753" s="36">
        <v>1829</v>
      </c>
      <c r="B753" s="37">
        <v>43497</v>
      </c>
      <c r="C753" s="37">
        <v>43544.312420837654</v>
      </c>
      <c r="D753" s="36" t="s">
        <v>195</v>
      </c>
      <c r="E753" s="36"/>
      <c r="F753" s="38">
        <v>71699753.276983202</v>
      </c>
      <c r="G753" s="40">
        <f>VLOOKUP(A753,'DATOS GENERALES'!A:B,2,0)</f>
        <v>1.35</v>
      </c>
      <c r="H753" s="36">
        <f t="shared" si="55"/>
        <v>1.34379</v>
      </c>
      <c r="I753" s="38">
        <f t="shared" si="56"/>
        <v>53356367.644485518</v>
      </c>
      <c r="J753" s="38">
        <f t="shared" si="57"/>
        <v>18343385.632497683</v>
      </c>
      <c r="K753" s="38">
        <v>11533397.577067515</v>
      </c>
      <c r="L753" s="38">
        <f t="shared" si="58"/>
        <v>6809988.0554301683</v>
      </c>
      <c r="M753" s="41">
        <f>VLOOKUP(INDICADORES!$B$21,'DATOS GENERALES'!$K:$M,3,0)*F753</f>
        <v>487990.40587780066</v>
      </c>
      <c r="N753" s="38">
        <f t="shared" si="59"/>
        <v>6321997.6495523676</v>
      </c>
      <c r="O753" s="36"/>
      <c r="P753" s="36"/>
      <c r="Q753" s="36"/>
    </row>
    <row r="754" spans="1:17" x14ac:dyDescent="0.25">
      <c r="A754" s="36">
        <v>1829</v>
      </c>
      <c r="B754" s="37">
        <v>43525</v>
      </c>
      <c r="C754" s="37">
        <v>43583.03794349658</v>
      </c>
      <c r="D754" s="36" t="s">
        <v>195</v>
      </c>
      <c r="E754" s="36"/>
      <c r="F754" s="38">
        <v>71699753.276983202</v>
      </c>
      <c r="G754" s="40">
        <f>VLOOKUP(A754,'DATOS GENERALES'!A:B,2,0)</f>
        <v>1.35</v>
      </c>
      <c r="H754" s="36">
        <f t="shared" si="55"/>
        <v>1.34379</v>
      </c>
      <c r="I754" s="38">
        <f t="shared" si="56"/>
        <v>53356367.644485518</v>
      </c>
      <c r="J754" s="38">
        <f t="shared" si="57"/>
        <v>18343385.632497683</v>
      </c>
      <c r="K754" s="38">
        <v>8344270.0998023758</v>
      </c>
      <c r="L754" s="38">
        <f t="shared" si="58"/>
        <v>9999115.5326953083</v>
      </c>
      <c r="M754" s="41">
        <f>VLOOKUP(INDICADORES!$B$21,'DATOS GENERALES'!$K:$M,3,0)*F754</f>
        <v>487990.40587780066</v>
      </c>
      <c r="N754" s="38">
        <f t="shared" si="59"/>
        <v>9511125.1268175077</v>
      </c>
      <c r="O754" s="36"/>
      <c r="P754" s="36"/>
      <c r="Q754" s="36"/>
    </row>
    <row r="755" spans="1:17" x14ac:dyDescent="0.25">
      <c r="A755" s="36">
        <v>1829</v>
      </c>
      <c r="B755" s="37">
        <v>43556</v>
      </c>
      <c r="C755" s="37">
        <v>43623.895591104621</v>
      </c>
      <c r="D755" s="36" t="s">
        <v>195</v>
      </c>
      <c r="E755" s="36"/>
      <c r="F755" s="38">
        <v>71699753.276983202</v>
      </c>
      <c r="G755" s="40">
        <f>VLOOKUP(A755,'DATOS GENERALES'!A:B,2,0)</f>
        <v>1.35</v>
      </c>
      <c r="H755" s="36">
        <f t="shared" si="55"/>
        <v>1.34379</v>
      </c>
      <c r="I755" s="38">
        <f t="shared" si="56"/>
        <v>53356367.644485518</v>
      </c>
      <c r="J755" s="38">
        <f t="shared" si="57"/>
        <v>18343385.632497683</v>
      </c>
      <c r="K755" s="38">
        <v>8578538.5550027788</v>
      </c>
      <c r="L755" s="38">
        <f t="shared" si="58"/>
        <v>9764847.0774949044</v>
      </c>
      <c r="M755" s="41">
        <f>VLOOKUP(INDICADORES!$B$21,'DATOS GENERALES'!$K:$M,3,0)*F755</f>
        <v>487990.40587780066</v>
      </c>
      <c r="N755" s="38">
        <f t="shared" si="59"/>
        <v>9276856.6716171037</v>
      </c>
      <c r="O755" s="36"/>
      <c r="P755" s="36"/>
      <c r="Q755" s="36"/>
    </row>
    <row r="756" spans="1:17" x14ac:dyDescent="0.25">
      <c r="A756" s="36">
        <v>1829</v>
      </c>
      <c r="B756" s="37">
        <v>43586</v>
      </c>
      <c r="C756" s="37">
        <v>43642.551741752672</v>
      </c>
      <c r="D756" s="36" t="s">
        <v>195</v>
      </c>
      <c r="E756" s="36"/>
      <c r="F756" s="38">
        <v>71699753.276983202</v>
      </c>
      <c r="G756" s="40">
        <f>VLOOKUP(A756,'DATOS GENERALES'!A:B,2,0)</f>
        <v>1.35</v>
      </c>
      <c r="H756" s="36">
        <f t="shared" si="55"/>
        <v>1.34379</v>
      </c>
      <c r="I756" s="38">
        <f t="shared" si="56"/>
        <v>53356367.644485518</v>
      </c>
      <c r="J756" s="38">
        <f t="shared" si="57"/>
        <v>18343385.632497683</v>
      </c>
      <c r="K756" s="38">
        <v>7076694.3725385191</v>
      </c>
      <c r="L756" s="38">
        <f t="shared" si="58"/>
        <v>11266691.259959165</v>
      </c>
      <c r="M756" s="41">
        <f>VLOOKUP(INDICADORES!$B$21,'DATOS GENERALES'!$K:$M,3,0)*F756</f>
        <v>487990.40587780066</v>
      </c>
      <c r="N756" s="38">
        <f t="shared" si="59"/>
        <v>10778700.854081364</v>
      </c>
      <c r="O756" s="36"/>
      <c r="P756" s="36"/>
      <c r="Q756" s="36"/>
    </row>
    <row r="757" spans="1:17" x14ac:dyDescent="0.25">
      <c r="A757" s="36">
        <v>1829</v>
      </c>
      <c r="B757" s="37">
        <v>43617</v>
      </c>
      <c r="C757" s="37">
        <v>43677.828929792042</v>
      </c>
      <c r="D757" s="36" t="s">
        <v>195</v>
      </c>
      <c r="E757" s="36"/>
      <c r="F757" s="38">
        <v>71699753.276983202</v>
      </c>
      <c r="G757" s="40">
        <f>VLOOKUP(A757,'DATOS GENERALES'!A:B,2,0)</f>
        <v>1.35</v>
      </c>
      <c r="H757" s="36">
        <f t="shared" si="55"/>
        <v>1.34379</v>
      </c>
      <c r="I757" s="38">
        <f t="shared" si="56"/>
        <v>53356367.644485518</v>
      </c>
      <c r="J757" s="38">
        <f t="shared" si="57"/>
        <v>18343385.632497683</v>
      </c>
      <c r="K757" s="38">
        <v>9516496.6791654453</v>
      </c>
      <c r="L757" s="38">
        <f t="shared" si="58"/>
        <v>8826888.9533322379</v>
      </c>
      <c r="M757" s="41">
        <f>VLOOKUP(INDICADORES!$B$21,'DATOS GENERALES'!$K:$M,3,0)*F757</f>
        <v>487990.40587780066</v>
      </c>
      <c r="N757" s="38">
        <f t="shared" si="59"/>
        <v>8338898.5474544372</v>
      </c>
      <c r="O757" s="36"/>
      <c r="P757" s="36"/>
      <c r="Q757" s="36"/>
    </row>
    <row r="758" spans="1:17" x14ac:dyDescent="0.25">
      <c r="A758" s="36">
        <v>1829</v>
      </c>
      <c r="B758" s="37">
        <v>43647</v>
      </c>
      <c r="C758" s="37">
        <v>43670.202805513072</v>
      </c>
      <c r="D758" s="36" t="s">
        <v>195</v>
      </c>
      <c r="E758" s="36"/>
      <c r="F758" s="38">
        <v>71699753.276983202</v>
      </c>
      <c r="G758" s="40">
        <f>VLOOKUP(A758,'DATOS GENERALES'!A:B,2,0)</f>
        <v>1.35</v>
      </c>
      <c r="H758" s="36">
        <f t="shared" si="55"/>
        <v>1.34379</v>
      </c>
      <c r="I758" s="38">
        <f t="shared" si="56"/>
        <v>53356367.644485518</v>
      </c>
      <c r="J758" s="38">
        <f t="shared" si="57"/>
        <v>18343385.632497683</v>
      </c>
      <c r="K758" s="38">
        <v>14191904.146940095</v>
      </c>
      <c r="L758" s="38">
        <f t="shared" si="58"/>
        <v>4151481.4855575878</v>
      </c>
      <c r="M758" s="41">
        <f>VLOOKUP(INDICADORES!$B$21,'DATOS GENERALES'!$K:$M,3,0)*F758</f>
        <v>487990.40587780066</v>
      </c>
      <c r="N758" s="38">
        <f t="shared" si="59"/>
        <v>3663491.0796797872</v>
      </c>
      <c r="O758" s="36"/>
      <c r="P758" s="36"/>
      <c r="Q758" s="36"/>
    </row>
    <row r="759" spans="1:17" x14ac:dyDescent="0.25">
      <c r="A759" s="36">
        <v>1829</v>
      </c>
      <c r="B759" s="37">
        <v>43678</v>
      </c>
      <c r="C759" s="37">
        <v>43750.743635001098</v>
      </c>
      <c r="D759" s="36" t="s">
        <v>195</v>
      </c>
      <c r="E759" s="36"/>
      <c r="F759" s="38">
        <v>71699753.276983202</v>
      </c>
      <c r="G759" s="40">
        <f>VLOOKUP(A759,'DATOS GENERALES'!A:B,2,0)</f>
        <v>1.35</v>
      </c>
      <c r="H759" s="36">
        <f t="shared" si="55"/>
        <v>1.34379</v>
      </c>
      <c r="I759" s="38">
        <f t="shared" si="56"/>
        <v>53356367.644485518</v>
      </c>
      <c r="J759" s="38">
        <f t="shared" si="57"/>
        <v>18343385.632497683</v>
      </c>
      <c r="K759" s="38">
        <v>13965348.218548449</v>
      </c>
      <c r="L759" s="38">
        <f t="shared" si="58"/>
        <v>4378037.4139492344</v>
      </c>
      <c r="M759" s="41">
        <f>VLOOKUP(INDICADORES!$B$21,'DATOS GENERALES'!$K:$M,3,0)*F759</f>
        <v>487990.40587780066</v>
      </c>
      <c r="N759" s="38">
        <f t="shared" si="59"/>
        <v>3890047.0080714338</v>
      </c>
      <c r="O759" s="36"/>
      <c r="P759" s="36"/>
      <c r="Q759" s="36"/>
    </row>
    <row r="760" spans="1:17" x14ac:dyDescent="0.25">
      <c r="A760" s="36">
        <v>1829</v>
      </c>
      <c r="B760" s="37">
        <v>43709</v>
      </c>
      <c r="C760" s="37">
        <v>43737.149155065519</v>
      </c>
      <c r="D760" s="36" t="s">
        <v>195</v>
      </c>
      <c r="E760" s="36"/>
      <c r="F760" s="38">
        <v>71699753.276983202</v>
      </c>
      <c r="G760" s="40">
        <f>VLOOKUP(A760,'DATOS GENERALES'!A:B,2,0)</f>
        <v>1.35</v>
      </c>
      <c r="H760" s="36">
        <f t="shared" si="55"/>
        <v>1.34379</v>
      </c>
      <c r="I760" s="38">
        <f t="shared" si="56"/>
        <v>53356367.644485518</v>
      </c>
      <c r="J760" s="38">
        <f t="shared" si="57"/>
        <v>18343385.632497683</v>
      </c>
      <c r="K760" s="38">
        <v>15783260.144933978</v>
      </c>
      <c r="L760" s="38">
        <f t="shared" si="58"/>
        <v>2560125.4875637051</v>
      </c>
      <c r="M760" s="41">
        <f>VLOOKUP(INDICADORES!$B$21,'DATOS GENERALES'!$K:$M,3,0)*F760</f>
        <v>487990.40587780066</v>
      </c>
      <c r="N760" s="38">
        <f t="shared" si="59"/>
        <v>2072135.0816859044</v>
      </c>
      <c r="O760" s="36"/>
      <c r="P760" s="36"/>
      <c r="Q760" s="36"/>
    </row>
    <row r="761" spans="1:17" x14ac:dyDescent="0.25">
      <c r="A761" s="36">
        <v>1829</v>
      </c>
      <c r="B761" s="37">
        <v>43739</v>
      </c>
      <c r="C761" s="37">
        <v>43778.564825620524</v>
      </c>
      <c r="D761" s="36" t="s">
        <v>195</v>
      </c>
      <c r="E761" s="36"/>
      <c r="F761" s="38">
        <v>71699753.276983202</v>
      </c>
      <c r="G761" s="40">
        <f>VLOOKUP(A761,'DATOS GENERALES'!A:B,2,0)</f>
        <v>1.35</v>
      </c>
      <c r="H761" s="36">
        <f t="shared" si="55"/>
        <v>1.34379</v>
      </c>
      <c r="I761" s="38">
        <f t="shared" si="56"/>
        <v>53356367.644485518</v>
      </c>
      <c r="J761" s="38">
        <f t="shared" si="57"/>
        <v>18343385.632497683</v>
      </c>
      <c r="K761" s="38">
        <v>17067966.080016065</v>
      </c>
      <c r="L761" s="38">
        <f t="shared" si="58"/>
        <v>1275419.5524816178</v>
      </c>
      <c r="M761" s="41">
        <f>VLOOKUP(INDICADORES!$B$21,'DATOS GENERALES'!$K:$M,3,0)*F761</f>
        <v>487990.40587780066</v>
      </c>
      <c r="N761" s="38">
        <f t="shared" si="59"/>
        <v>787429.14660381712</v>
      </c>
      <c r="O761" s="36"/>
      <c r="P761" s="36"/>
      <c r="Q761" s="36"/>
    </row>
    <row r="762" spans="1:17" x14ac:dyDescent="0.25">
      <c r="A762" s="36">
        <v>1829</v>
      </c>
      <c r="B762" s="37">
        <v>43770</v>
      </c>
      <c r="C762" s="37">
        <v>43828.302580353091</v>
      </c>
      <c r="D762" s="36" t="s">
        <v>195</v>
      </c>
      <c r="E762" s="36"/>
      <c r="F762" s="38">
        <v>71699753.276983202</v>
      </c>
      <c r="G762" s="40">
        <f>VLOOKUP(A762,'DATOS GENERALES'!A:B,2,0)</f>
        <v>1.35</v>
      </c>
      <c r="H762" s="36">
        <f t="shared" si="55"/>
        <v>1.34379</v>
      </c>
      <c r="I762" s="38">
        <f t="shared" si="56"/>
        <v>53356367.644485518</v>
      </c>
      <c r="J762" s="38">
        <f t="shared" si="57"/>
        <v>18343385.632497683</v>
      </c>
      <c r="K762" s="38">
        <v>22827147.622163888</v>
      </c>
      <c r="L762" s="38">
        <f t="shared" si="58"/>
        <v>-4483761.9896662049</v>
      </c>
      <c r="M762" s="41">
        <f>VLOOKUP(INDICADORES!$B$21,'DATOS GENERALES'!$K:$M,3,0)*F762</f>
        <v>487990.40587780066</v>
      </c>
      <c r="N762" s="38">
        <f t="shared" si="59"/>
        <v>-4971752.3955440056</v>
      </c>
      <c r="O762" s="36"/>
      <c r="P762" s="36"/>
      <c r="Q762" s="36"/>
    </row>
    <row r="763" spans="1:17" x14ac:dyDescent="0.25">
      <c r="A763" s="36">
        <v>1829</v>
      </c>
      <c r="B763" s="37">
        <v>43800</v>
      </c>
      <c r="C763" s="37">
        <v>43874.235332362841</v>
      </c>
      <c r="D763" s="36" t="s">
        <v>195</v>
      </c>
      <c r="E763" s="36"/>
      <c r="F763" s="38">
        <v>71699753.276983202</v>
      </c>
      <c r="G763" s="40">
        <f>VLOOKUP(A763,'DATOS GENERALES'!A:B,2,0)</f>
        <v>1.35</v>
      </c>
      <c r="H763" s="36">
        <f t="shared" si="55"/>
        <v>1.34379</v>
      </c>
      <c r="I763" s="38">
        <f t="shared" si="56"/>
        <v>53356367.644485518</v>
      </c>
      <c r="J763" s="38">
        <f t="shared" si="57"/>
        <v>18343385.632497683</v>
      </c>
      <c r="K763" s="38">
        <v>19220170.539815214</v>
      </c>
      <c r="L763" s="38">
        <f t="shared" si="58"/>
        <v>-876784.90731753036</v>
      </c>
      <c r="M763" s="41">
        <f>VLOOKUP(INDICADORES!$B$21,'DATOS GENERALES'!$K:$M,3,0)*F763</f>
        <v>487990.40587780066</v>
      </c>
      <c r="N763" s="38">
        <f t="shared" si="59"/>
        <v>-1364775.313195331</v>
      </c>
      <c r="O763" s="36"/>
      <c r="P763" s="36"/>
      <c r="Q763" s="36"/>
    </row>
    <row r="764" spans="1:17" x14ac:dyDescent="0.25">
      <c r="A764" s="36">
        <v>1829</v>
      </c>
      <c r="B764" s="37">
        <v>43831</v>
      </c>
      <c r="C764" s="37">
        <v>43901.066506873009</v>
      </c>
      <c r="D764" s="36" t="s">
        <v>195</v>
      </c>
      <c r="E764" s="36"/>
      <c r="F764" s="38">
        <v>65878695.026983202</v>
      </c>
      <c r="G764" s="40">
        <f>VLOOKUP(A764,'DATOS GENERALES'!A:B,2,0)</f>
        <v>1.35</v>
      </c>
      <c r="H764" s="36">
        <f t="shared" si="55"/>
        <v>1.34379</v>
      </c>
      <c r="I764" s="38">
        <f t="shared" si="56"/>
        <v>49024546.266145155</v>
      </c>
      <c r="J764" s="38">
        <f t="shared" si="57"/>
        <v>16854148.760838047</v>
      </c>
      <c r="K764" s="38" t="s">
        <v>213</v>
      </c>
      <c r="L764" s="38" t="str">
        <f t="shared" si="58"/>
        <v/>
      </c>
      <c r="M764" s="41">
        <f>VLOOKUP(INDICADORES!$B$21,'DATOS GENERALES'!$K:$M,3,0)*F764</f>
        <v>448372.13038552355</v>
      </c>
      <c r="N764" s="38" t="str">
        <f t="shared" si="59"/>
        <v/>
      </c>
      <c r="O764" s="36"/>
      <c r="P764" s="36"/>
      <c r="Q764" s="36"/>
    </row>
    <row r="765" spans="1:17" x14ac:dyDescent="0.25">
      <c r="A765" s="36">
        <v>1829</v>
      </c>
      <c r="B765" s="37">
        <v>43862</v>
      </c>
      <c r="C765" s="37">
        <v>43892.519173987959</v>
      </c>
      <c r="D765" s="36" t="s">
        <v>195</v>
      </c>
      <c r="E765" s="36"/>
      <c r="F765" s="38">
        <v>65878695.026983202</v>
      </c>
      <c r="G765" s="40">
        <f>VLOOKUP(A765,'DATOS GENERALES'!A:B,2,0)</f>
        <v>1.35</v>
      </c>
      <c r="H765" s="36">
        <f t="shared" si="55"/>
        <v>1.34379</v>
      </c>
      <c r="I765" s="38">
        <f t="shared" si="56"/>
        <v>49024546.266145155</v>
      </c>
      <c r="J765" s="38">
        <f t="shared" si="57"/>
        <v>16854148.760838047</v>
      </c>
      <c r="K765" s="38" t="s">
        <v>213</v>
      </c>
      <c r="L765" s="38" t="str">
        <f t="shared" si="58"/>
        <v/>
      </c>
      <c r="M765" s="41">
        <f>VLOOKUP(INDICADORES!$B$21,'DATOS GENERALES'!$K:$M,3,0)*F765</f>
        <v>448372.13038552355</v>
      </c>
      <c r="N765" s="38" t="str">
        <f t="shared" si="59"/>
        <v/>
      </c>
      <c r="O765" s="36"/>
      <c r="P765" s="36"/>
      <c r="Q765" s="36"/>
    </row>
    <row r="766" spans="1:17" x14ac:dyDescent="0.25">
      <c r="A766" s="36">
        <v>1829</v>
      </c>
      <c r="B766" s="37">
        <v>43891</v>
      </c>
      <c r="C766" s="37">
        <v>43954.253807077148</v>
      </c>
      <c r="D766" s="36" t="s">
        <v>195</v>
      </c>
      <c r="E766" s="36"/>
      <c r="F766" s="38">
        <v>61723893.851983197</v>
      </c>
      <c r="G766" s="40">
        <f>VLOOKUP(A766,'DATOS GENERALES'!A:B,2,0)</f>
        <v>1.35</v>
      </c>
      <c r="H766" s="36">
        <f t="shared" si="55"/>
        <v>1.34379</v>
      </c>
      <c r="I766" s="38">
        <f t="shared" si="56"/>
        <v>45932693.242235169</v>
      </c>
      <c r="J766" s="38">
        <f t="shared" si="57"/>
        <v>15791200.609748028</v>
      </c>
      <c r="K766" s="38" t="s">
        <v>213</v>
      </c>
      <c r="L766" s="38" t="str">
        <f t="shared" si="58"/>
        <v/>
      </c>
      <c r="M766" s="41">
        <f>VLOOKUP(INDICADORES!$B$21,'DATOS GENERALES'!$K:$M,3,0)*F766</f>
        <v>420094.44435364316</v>
      </c>
      <c r="N766" s="38" t="str">
        <f t="shared" si="59"/>
        <v/>
      </c>
      <c r="O766" s="36"/>
      <c r="P766" s="36"/>
      <c r="Q766" s="36"/>
    </row>
    <row r="767" spans="1:17" x14ac:dyDescent="0.25">
      <c r="A767" s="36">
        <v>1829</v>
      </c>
      <c r="B767" s="37">
        <v>43922</v>
      </c>
      <c r="C767" s="37">
        <v>43976.783680983302</v>
      </c>
      <c r="D767" s="36" t="s">
        <v>195</v>
      </c>
      <c r="E767" s="36"/>
      <c r="F767" s="38">
        <v>49714833.851983197</v>
      </c>
      <c r="G767" s="40">
        <f>VLOOKUP(A767,'DATOS GENERALES'!A:B,2,0)</f>
        <v>1.35</v>
      </c>
      <c r="H767" s="36">
        <f t="shared" si="55"/>
        <v>1.34379</v>
      </c>
      <c r="I767" s="38">
        <f t="shared" si="56"/>
        <v>36995984.381475672</v>
      </c>
      <c r="J767" s="38">
        <f t="shared" si="57"/>
        <v>12718849.470507525</v>
      </c>
      <c r="K767" s="38" t="s">
        <v>213</v>
      </c>
      <c r="L767" s="38" t="str">
        <f t="shared" si="58"/>
        <v/>
      </c>
      <c r="M767" s="41">
        <f>VLOOKUP(INDICADORES!$B$21,'DATOS GENERALES'!$K:$M,3,0)*F767</f>
        <v>338360.46626069321</v>
      </c>
      <c r="N767" s="38" t="str">
        <f t="shared" si="59"/>
        <v/>
      </c>
      <c r="O767" s="36"/>
      <c r="P767" s="36"/>
      <c r="Q767" s="36"/>
    </row>
    <row r="768" spans="1:17" x14ac:dyDescent="0.25">
      <c r="A768" s="36">
        <v>1829</v>
      </c>
      <c r="B768" s="37">
        <v>43952</v>
      </c>
      <c r="C768" s="37">
        <v>44009.038401078353</v>
      </c>
      <c r="D768" s="36" t="s">
        <v>195</v>
      </c>
      <c r="E768" s="36"/>
      <c r="F768" s="38">
        <v>48046908.851983197</v>
      </c>
      <c r="G768" s="40">
        <f>VLOOKUP(A768,'DATOS GENERALES'!A:B,2,0)</f>
        <v>1.35</v>
      </c>
      <c r="H768" s="36">
        <f t="shared" si="55"/>
        <v>1.34379</v>
      </c>
      <c r="I768" s="38">
        <f t="shared" si="56"/>
        <v>35754774.817481302</v>
      </c>
      <c r="J768" s="38">
        <f t="shared" si="57"/>
        <v>12292134.034501895</v>
      </c>
      <c r="K768" s="38" t="s">
        <v>213</v>
      </c>
      <c r="L768" s="38" t="str">
        <f t="shared" si="58"/>
        <v/>
      </c>
      <c r="M768" s="41">
        <f>VLOOKUP(INDICADORES!$B$21,'DATOS GENERALES'!$K:$M,3,0)*F768</f>
        <v>327008.52485889464</v>
      </c>
      <c r="N768" s="38" t="str">
        <f t="shared" si="59"/>
        <v/>
      </c>
      <c r="O768" s="36"/>
      <c r="P768" s="36"/>
      <c r="Q768" s="36"/>
    </row>
    <row r="769" spans="1:17" x14ac:dyDescent="0.25">
      <c r="A769" s="36">
        <v>1829</v>
      </c>
      <c r="B769" s="37">
        <v>43983</v>
      </c>
      <c r="C769" s="37">
        <v>44004.971480196597</v>
      </c>
      <c r="D769" s="36" t="s">
        <v>195</v>
      </c>
      <c r="E769" s="36"/>
      <c r="F769" s="38">
        <v>40541246.351983197</v>
      </c>
      <c r="G769" s="40">
        <f>VLOOKUP(A769,'DATOS GENERALES'!A:B,2,0)</f>
        <v>1.35</v>
      </c>
      <c r="H769" s="36">
        <f t="shared" si="55"/>
        <v>1.34379</v>
      </c>
      <c r="I769" s="38">
        <f t="shared" si="56"/>
        <v>30169331.779506616</v>
      </c>
      <c r="J769" s="38">
        <f t="shared" si="57"/>
        <v>10371914.572476581</v>
      </c>
      <c r="K769" s="38" t="s">
        <v>213</v>
      </c>
      <c r="L769" s="38" t="str">
        <f t="shared" si="58"/>
        <v/>
      </c>
      <c r="M769" s="41">
        <f>VLOOKUP(INDICADORES!$B$21,'DATOS GENERALES'!$K:$M,3,0)*F769</f>
        <v>275924.78855080093</v>
      </c>
      <c r="N769" s="38" t="str">
        <f t="shared" si="59"/>
        <v/>
      </c>
      <c r="O769" s="36"/>
      <c r="P769" s="36"/>
      <c r="Q769" s="36"/>
    </row>
    <row r="770" spans="1:17" x14ac:dyDescent="0.25">
      <c r="A770" s="36">
        <v>1838</v>
      </c>
      <c r="B770" s="37">
        <v>43466</v>
      </c>
      <c r="C770" s="37">
        <v>43519.886036038683</v>
      </c>
      <c r="D770" s="36" t="s">
        <v>195</v>
      </c>
      <c r="E770" s="36"/>
      <c r="F770" s="38">
        <v>15824227.25</v>
      </c>
      <c r="G770" s="40">
        <f>VLOOKUP(A770,'DATOS GENERALES'!A:B,2,0)</f>
        <v>1.92</v>
      </c>
      <c r="H770" s="36">
        <f t="shared" si="55"/>
        <v>1.9111679999999998</v>
      </c>
      <c r="I770" s="38">
        <f t="shared" si="56"/>
        <v>8279872.4392622737</v>
      </c>
      <c r="J770" s="38">
        <f t="shared" si="57"/>
        <v>7544354.8107377263</v>
      </c>
      <c r="K770" s="38">
        <v>1816755.9055210776</v>
      </c>
      <c r="L770" s="38">
        <f t="shared" si="58"/>
        <v>5727598.9052166492</v>
      </c>
      <c r="M770" s="41">
        <f>VLOOKUP(INDICADORES!$B$21,'DATOS GENERALES'!$K:$M,3,0)*F770</f>
        <v>107700.10670188686</v>
      </c>
      <c r="N770" s="38">
        <f t="shared" si="59"/>
        <v>5619898.798514762</v>
      </c>
      <c r="O770" s="36"/>
      <c r="P770" s="36"/>
      <c r="Q770" s="36"/>
    </row>
    <row r="771" spans="1:17" x14ac:dyDescent="0.25">
      <c r="A771" s="36">
        <v>1838</v>
      </c>
      <c r="B771" s="37">
        <v>43497</v>
      </c>
      <c r="C771" s="37">
        <v>43578.837357010365</v>
      </c>
      <c r="D771" s="36" t="s">
        <v>195</v>
      </c>
      <c r="E771" s="36"/>
      <c r="F771" s="38">
        <v>15824227.25</v>
      </c>
      <c r="G771" s="40">
        <f>VLOOKUP(A771,'DATOS GENERALES'!A:B,2,0)</f>
        <v>1.92</v>
      </c>
      <c r="H771" s="36">
        <f t="shared" ref="H771:H834" si="60">G771*0.9954</f>
        <v>1.9111679999999998</v>
      </c>
      <c r="I771" s="38">
        <f t="shared" ref="I771:I834" si="61">F771/H771</f>
        <v>8279872.4392622737</v>
      </c>
      <c r="J771" s="38">
        <f t="shared" ref="J771:J834" si="62">F771-I771</f>
        <v>7544354.8107377263</v>
      </c>
      <c r="K771" s="38">
        <v>1789759.4035205129</v>
      </c>
      <c r="L771" s="38">
        <f t="shared" ref="L771:L834" si="63">IFERROR(J771-K771,"")</f>
        <v>5754595.4072172139</v>
      </c>
      <c r="M771" s="41">
        <f>VLOOKUP(INDICADORES!$B$21,'DATOS GENERALES'!$K:$M,3,0)*F771</f>
        <v>107700.10670188686</v>
      </c>
      <c r="N771" s="38">
        <f t="shared" ref="N771:N834" si="64">IFERROR(L771-M771,"")</f>
        <v>5646895.3005153267</v>
      </c>
      <c r="O771" s="36"/>
      <c r="P771" s="36"/>
      <c r="Q771" s="36"/>
    </row>
    <row r="772" spans="1:17" x14ac:dyDescent="0.25">
      <c r="A772" s="36">
        <v>1838</v>
      </c>
      <c r="B772" s="37">
        <v>43525</v>
      </c>
      <c r="C772" s="37">
        <v>43555.689255305675</v>
      </c>
      <c r="D772" s="36" t="s">
        <v>195</v>
      </c>
      <c r="E772" s="36"/>
      <c r="F772" s="38">
        <v>15824227.25</v>
      </c>
      <c r="G772" s="40">
        <f>VLOOKUP(A772,'DATOS GENERALES'!A:B,2,0)</f>
        <v>1.92</v>
      </c>
      <c r="H772" s="36">
        <f t="shared" si="60"/>
        <v>1.9111679999999998</v>
      </c>
      <c r="I772" s="38">
        <f t="shared" si="61"/>
        <v>8279872.4392622737</v>
      </c>
      <c r="J772" s="38">
        <f t="shared" si="62"/>
        <v>7544354.8107377263</v>
      </c>
      <c r="K772" s="38">
        <v>1294868.7302977319</v>
      </c>
      <c r="L772" s="38">
        <f t="shared" si="63"/>
        <v>6249486.0804399941</v>
      </c>
      <c r="M772" s="41">
        <f>VLOOKUP(INDICADORES!$B$21,'DATOS GENERALES'!$K:$M,3,0)*F772</f>
        <v>107700.10670188686</v>
      </c>
      <c r="N772" s="38">
        <f t="shared" si="64"/>
        <v>6141785.9737381069</v>
      </c>
      <c r="O772" s="36"/>
      <c r="P772" s="36"/>
      <c r="Q772" s="36"/>
    </row>
    <row r="773" spans="1:17" x14ac:dyDescent="0.25">
      <c r="A773" s="36">
        <v>1846</v>
      </c>
      <c r="B773" s="37">
        <v>43466</v>
      </c>
      <c r="C773" s="37">
        <v>43515.203181871315</v>
      </c>
      <c r="D773" s="36" t="s">
        <v>195</v>
      </c>
      <c r="E773" s="36"/>
      <c r="F773" s="38">
        <v>153017477.52499998</v>
      </c>
      <c r="G773" s="40">
        <f>VLOOKUP(A773,'DATOS GENERALES'!A:B,2,0)</f>
        <v>1.72</v>
      </c>
      <c r="H773" s="36">
        <f t="shared" si="60"/>
        <v>1.7120879999999998</v>
      </c>
      <c r="I773" s="38">
        <f t="shared" si="61"/>
        <v>89374773.682777986</v>
      </c>
      <c r="J773" s="38">
        <f t="shared" si="62"/>
        <v>63642703.84222199</v>
      </c>
      <c r="K773" s="38">
        <v>19610464.905575749</v>
      </c>
      <c r="L773" s="38">
        <f t="shared" si="63"/>
        <v>44032238.936646238</v>
      </c>
      <c r="M773" s="41">
        <f>VLOOKUP(INDICADORES!$B$21,'DATOS GENERALES'!$K:$M,3,0)*F773</f>
        <v>1041440.9750527359</v>
      </c>
      <c r="N773" s="38">
        <f t="shared" si="64"/>
        <v>42990797.961593501</v>
      </c>
      <c r="O773" s="36"/>
      <c r="P773" s="36"/>
      <c r="Q773" s="36"/>
    </row>
    <row r="774" spans="1:17" x14ac:dyDescent="0.25">
      <c r="A774" s="36">
        <v>1846</v>
      </c>
      <c r="B774" s="37">
        <v>43497</v>
      </c>
      <c r="C774" s="37">
        <v>43538.673887677338</v>
      </c>
      <c r="D774" s="36" t="s">
        <v>195</v>
      </c>
      <c r="E774" s="36"/>
      <c r="F774" s="38">
        <v>151568477.52499998</v>
      </c>
      <c r="G774" s="40">
        <f>VLOOKUP(A774,'DATOS GENERALES'!A:B,2,0)</f>
        <v>1.72</v>
      </c>
      <c r="H774" s="36">
        <f t="shared" si="60"/>
        <v>1.7120879999999998</v>
      </c>
      <c r="I774" s="38">
        <f t="shared" si="61"/>
        <v>88528438.681306094</v>
      </c>
      <c r="J774" s="38">
        <f t="shared" si="62"/>
        <v>63040038.843693882</v>
      </c>
      <c r="K774" s="38">
        <v>19136116.742273621</v>
      </c>
      <c r="L774" s="38">
        <f t="shared" si="63"/>
        <v>43903922.101420261</v>
      </c>
      <c r="M774" s="41">
        <f>VLOOKUP(INDICADORES!$B$21,'DATOS GENERALES'!$K:$M,3,0)*F774</f>
        <v>1031579.0429567446</v>
      </c>
      <c r="N774" s="38">
        <f t="shared" si="64"/>
        <v>42872343.058463514</v>
      </c>
      <c r="O774" s="36"/>
      <c r="P774" s="36"/>
      <c r="Q774" s="36"/>
    </row>
    <row r="775" spans="1:17" x14ac:dyDescent="0.25">
      <c r="A775" s="36">
        <v>1846</v>
      </c>
      <c r="B775" s="37">
        <v>43525</v>
      </c>
      <c r="C775" s="37">
        <v>43616.714137542374</v>
      </c>
      <c r="D775" s="36" t="s">
        <v>195</v>
      </c>
      <c r="E775" s="36"/>
      <c r="F775" s="38">
        <v>98609116.699999988</v>
      </c>
      <c r="G775" s="40">
        <f>VLOOKUP(A775,'DATOS GENERALES'!A:B,2,0)</f>
        <v>1.72</v>
      </c>
      <c r="H775" s="36">
        <f t="shared" si="60"/>
        <v>1.7120879999999998</v>
      </c>
      <c r="I775" s="38">
        <f t="shared" si="61"/>
        <v>57595822.586222202</v>
      </c>
      <c r="J775" s="38">
        <f t="shared" si="62"/>
        <v>41013294.113777786</v>
      </c>
      <c r="K775" s="38">
        <v>9007267.9512584209</v>
      </c>
      <c r="L775" s="38">
        <f t="shared" si="63"/>
        <v>32006026.162519366</v>
      </c>
      <c r="M775" s="41">
        <f>VLOOKUP(INDICADORES!$B$21,'DATOS GENERALES'!$K:$M,3,0)*F775</f>
        <v>671136.24081509653</v>
      </c>
      <c r="N775" s="38">
        <f t="shared" si="64"/>
        <v>31334889.92170427</v>
      </c>
      <c r="O775" s="36"/>
      <c r="P775" s="36"/>
      <c r="Q775" s="36"/>
    </row>
    <row r="776" spans="1:17" x14ac:dyDescent="0.25">
      <c r="A776" s="36">
        <v>1856</v>
      </c>
      <c r="B776" s="37">
        <v>43466</v>
      </c>
      <c r="C776" s="37">
        <v>43529.011830671443</v>
      </c>
      <c r="D776" s="36" t="s">
        <v>195</v>
      </c>
      <c r="E776" s="36"/>
      <c r="F776" s="38">
        <v>51152180.402000003</v>
      </c>
      <c r="G776" s="40">
        <f>VLOOKUP(A776,'DATOS GENERALES'!A:B,2,0)</f>
        <v>1.69</v>
      </c>
      <c r="H776" s="36">
        <f t="shared" si="60"/>
        <v>1.6822259999999998</v>
      </c>
      <c r="I776" s="38">
        <f t="shared" si="61"/>
        <v>30407436.576298315</v>
      </c>
      <c r="J776" s="38">
        <f t="shared" si="62"/>
        <v>20744743.825701687</v>
      </c>
      <c r="K776" s="38">
        <v>6671949.4022385757</v>
      </c>
      <c r="L776" s="38">
        <f t="shared" si="63"/>
        <v>14072794.423463112</v>
      </c>
      <c r="M776" s="41">
        <f>VLOOKUP(INDICADORES!$B$21,'DATOS GENERALES'!$K:$M,3,0)*F776</f>
        <v>348143.08466971532</v>
      </c>
      <c r="N776" s="38">
        <f t="shared" si="64"/>
        <v>13724651.338793397</v>
      </c>
      <c r="O776" s="36"/>
      <c r="P776" s="36"/>
      <c r="Q776" s="36"/>
    </row>
    <row r="777" spans="1:17" x14ac:dyDescent="0.25">
      <c r="A777" s="36">
        <v>1856</v>
      </c>
      <c r="B777" s="37">
        <v>43497</v>
      </c>
      <c r="C777" s="37">
        <v>43529.901146390723</v>
      </c>
      <c r="D777" s="36" t="s">
        <v>195</v>
      </c>
      <c r="E777" s="36"/>
      <c r="F777" s="38">
        <v>47167910.304499999</v>
      </c>
      <c r="G777" s="40">
        <f>VLOOKUP(A777,'DATOS GENERALES'!A:B,2,0)</f>
        <v>1.69</v>
      </c>
      <c r="H777" s="36">
        <f t="shared" si="60"/>
        <v>1.6822259999999998</v>
      </c>
      <c r="I777" s="38">
        <f t="shared" si="61"/>
        <v>28038985.430316739</v>
      </c>
      <c r="J777" s="38">
        <f t="shared" si="62"/>
        <v>19128924.87418326</v>
      </c>
      <c r="K777" s="38">
        <v>6060846.7349232845</v>
      </c>
      <c r="L777" s="38">
        <f t="shared" si="63"/>
        <v>13068078.139259975</v>
      </c>
      <c r="M777" s="41">
        <f>VLOOKUP(INDICADORES!$B$21,'DATOS GENERALES'!$K:$M,3,0)*F777</f>
        <v>321026.03763477161</v>
      </c>
      <c r="N777" s="38">
        <f t="shared" si="64"/>
        <v>12747052.101625204</v>
      </c>
      <c r="O777" s="36"/>
      <c r="P777" s="36"/>
      <c r="Q777" s="36"/>
    </row>
    <row r="778" spans="1:17" x14ac:dyDescent="0.25">
      <c r="A778" s="36">
        <v>1856</v>
      </c>
      <c r="B778" s="37">
        <v>43525</v>
      </c>
      <c r="C778" s="37">
        <v>43602.384382878612</v>
      </c>
      <c r="D778" s="36" t="s">
        <v>195</v>
      </c>
      <c r="E778" s="36"/>
      <c r="F778" s="38">
        <v>47167910.304499999</v>
      </c>
      <c r="G778" s="40">
        <f>VLOOKUP(A778,'DATOS GENERALES'!A:B,2,0)</f>
        <v>1.69</v>
      </c>
      <c r="H778" s="36">
        <f t="shared" si="60"/>
        <v>1.6822259999999998</v>
      </c>
      <c r="I778" s="38">
        <f t="shared" si="61"/>
        <v>28038985.430316739</v>
      </c>
      <c r="J778" s="38">
        <f t="shared" si="62"/>
        <v>19128924.87418326</v>
      </c>
      <c r="K778" s="38">
        <v>4384947.4408359034</v>
      </c>
      <c r="L778" s="38">
        <f t="shared" si="63"/>
        <v>14743977.433347356</v>
      </c>
      <c r="M778" s="41">
        <f>VLOOKUP(INDICADORES!$B$21,'DATOS GENERALES'!$K:$M,3,0)*F778</f>
        <v>321026.03763477161</v>
      </c>
      <c r="N778" s="38">
        <f t="shared" si="64"/>
        <v>14422951.395712584</v>
      </c>
      <c r="O778" s="36"/>
      <c r="P778" s="36"/>
      <c r="Q778" s="36"/>
    </row>
    <row r="779" spans="1:17" x14ac:dyDescent="0.25">
      <c r="A779" s="36">
        <v>1856</v>
      </c>
      <c r="B779" s="37">
        <v>43556</v>
      </c>
      <c r="C779" s="37">
        <v>43605.842898963449</v>
      </c>
      <c r="D779" s="36" t="s">
        <v>195</v>
      </c>
      <c r="E779" s="36"/>
      <c r="F779" s="38">
        <v>53612578.7795</v>
      </c>
      <c r="G779" s="40">
        <f>VLOOKUP(A779,'DATOS GENERALES'!A:B,2,0)</f>
        <v>1.69</v>
      </c>
      <c r="H779" s="36">
        <f t="shared" si="60"/>
        <v>1.6822259999999998</v>
      </c>
      <c r="I779" s="38">
        <f t="shared" si="61"/>
        <v>31870021.495030992</v>
      </c>
      <c r="J779" s="38">
        <f t="shared" si="62"/>
        <v>21742557.284469008</v>
      </c>
      <c r="K779" s="38">
        <v>5124003.3797942931</v>
      </c>
      <c r="L779" s="38">
        <f t="shared" si="63"/>
        <v>16618553.904674716</v>
      </c>
      <c r="M779" s="41">
        <f>VLOOKUP(INDICADORES!$B$21,'DATOS GENERALES'!$K:$M,3,0)*F779</f>
        <v>364888.62071387819</v>
      </c>
      <c r="N779" s="38">
        <f t="shared" si="64"/>
        <v>16253665.283960838</v>
      </c>
      <c r="O779" s="36"/>
      <c r="P779" s="36"/>
      <c r="Q779" s="36"/>
    </row>
    <row r="780" spans="1:17" x14ac:dyDescent="0.25">
      <c r="A780" s="36">
        <v>1856</v>
      </c>
      <c r="B780" s="37">
        <v>43586</v>
      </c>
      <c r="C780" s="37">
        <v>43658.494828519215</v>
      </c>
      <c r="D780" s="36" t="s">
        <v>195</v>
      </c>
      <c r="E780" s="36"/>
      <c r="F780" s="38">
        <v>53612578.7795</v>
      </c>
      <c r="G780" s="40">
        <f>VLOOKUP(A780,'DATOS GENERALES'!A:B,2,0)</f>
        <v>1.69</v>
      </c>
      <c r="H780" s="36">
        <f t="shared" si="60"/>
        <v>1.6822259999999998</v>
      </c>
      <c r="I780" s="38">
        <f t="shared" si="61"/>
        <v>31870021.495030992</v>
      </c>
      <c r="J780" s="38">
        <f t="shared" si="62"/>
        <v>21742557.284469008</v>
      </c>
      <c r="K780" s="38">
        <v>4226944.4439941533</v>
      </c>
      <c r="L780" s="38">
        <f t="shared" si="63"/>
        <v>17515612.840474855</v>
      </c>
      <c r="M780" s="41">
        <f>VLOOKUP(INDICADORES!$B$21,'DATOS GENERALES'!$K:$M,3,0)*F780</f>
        <v>364888.62071387819</v>
      </c>
      <c r="N780" s="38">
        <f t="shared" si="64"/>
        <v>17150724.219760977</v>
      </c>
      <c r="O780" s="36"/>
      <c r="P780" s="36"/>
      <c r="Q780" s="36"/>
    </row>
    <row r="781" spans="1:17" x14ac:dyDescent="0.25">
      <c r="A781" s="36">
        <v>1856</v>
      </c>
      <c r="B781" s="37">
        <v>43617</v>
      </c>
      <c r="C781" s="37">
        <v>43643.482236171134</v>
      </c>
      <c r="D781" s="36" t="s">
        <v>195</v>
      </c>
      <c r="E781" s="36"/>
      <c r="F781" s="38">
        <v>53612578.7795</v>
      </c>
      <c r="G781" s="40">
        <f>VLOOKUP(A781,'DATOS GENERALES'!A:B,2,0)</f>
        <v>1.69</v>
      </c>
      <c r="H781" s="36">
        <f t="shared" si="60"/>
        <v>1.6822259999999998</v>
      </c>
      <c r="I781" s="38">
        <f t="shared" si="61"/>
        <v>31870021.495030992</v>
      </c>
      <c r="J781" s="38">
        <f t="shared" si="62"/>
        <v>21742557.284469008</v>
      </c>
      <c r="K781" s="38">
        <v>5684250.3924410138</v>
      </c>
      <c r="L781" s="38">
        <f t="shared" si="63"/>
        <v>16058306.892027995</v>
      </c>
      <c r="M781" s="41">
        <f>VLOOKUP(INDICADORES!$B$21,'DATOS GENERALES'!$K:$M,3,0)*F781</f>
        <v>364888.62071387819</v>
      </c>
      <c r="N781" s="38">
        <f t="shared" si="64"/>
        <v>15693418.271314116</v>
      </c>
      <c r="O781" s="36"/>
      <c r="P781" s="36"/>
      <c r="Q781" s="36"/>
    </row>
    <row r="782" spans="1:17" x14ac:dyDescent="0.25">
      <c r="A782" s="36">
        <v>1856</v>
      </c>
      <c r="B782" s="37">
        <v>43647</v>
      </c>
      <c r="C782" s="37">
        <v>43721.231900310398</v>
      </c>
      <c r="D782" s="36" t="s">
        <v>195</v>
      </c>
      <c r="E782" s="36"/>
      <c r="F782" s="38">
        <v>53612578.7795</v>
      </c>
      <c r="G782" s="40">
        <f>VLOOKUP(A782,'DATOS GENERALES'!A:B,2,0)</f>
        <v>1.69</v>
      </c>
      <c r="H782" s="36">
        <f t="shared" si="60"/>
        <v>1.6822259999999998</v>
      </c>
      <c r="I782" s="38">
        <f t="shared" si="61"/>
        <v>31870021.495030992</v>
      </c>
      <c r="J782" s="38">
        <f t="shared" si="62"/>
        <v>21742557.284469008</v>
      </c>
      <c r="K782" s="38">
        <v>8476894.3274410851</v>
      </c>
      <c r="L782" s="38">
        <f t="shared" si="63"/>
        <v>13265662.957027923</v>
      </c>
      <c r="M782" s="41">
        <f>VLOOKUP(INDICADORES!$B$21,'DATOS GENERALES'!$K:$M,3,0)*F782</f>
        <v>364888.62071387819</v>
      </c>
      <c r="N782" s="38">
        <f t="shared" si="64"/>
        <v>12900774.336314045</v>
      </c>
      <c r="O782" s="36"/>
      <c r="P782" s="36"/>
      <c r="Q782" s="36"/>
    </row>
    <row r="783" spans="1:17" x14ac:dyDescent="0.25">
      <c r="A783" s="36">
        <v>1856</v>
      </c>
      <c r="B783" s="37">
        <v>43678</v>
      </c>
      <c r="C783" s="37">
        <v>43737.233551039004</v>
      </c>
      <c r="D783" s="36" t="s">
        <v>195</v>
      </c>
      <c r="E783" s="36"/>
      <c r="F783" s="38">
        <v>53612578.7795</v>
      </c>
      <c r="G783" s="40">
        <f>VLOOKUP(A783,'DATOS GENERALES'!A:B,2,0)</f>
        <v>1.69</v>
      </c>
      <c r="H783" s="36">
        <f t="shared" si="60"/>
        <v>1.6822259999999998</v>
      </c>
      <c r="I783" s="38">
        <f t="shared" si="61"/>
        <v>31870021.495030992</v>
      </c>
      <c r="J783" s="38">
        <f t="shared" si="62"/>
        <v>21742557.284469008</v>
      </c>
      <c r="K783" s="38">
        <v>8341571.3542623688</v>
      </c>
      <c r="L783" s="38">
        <f t="shared" si="63"/>
        <v>13400985.93020664</v>
      </c>
      <c r="M783" s="41">
        <f>VLOOKUP(INDICADORES!$B$21,'DATOS GENERALES'!$K:$M,3,0)*F783</f>
        <v>364888.62071387819</v>
      </c>
      <c r="N783" s="38">
        <f t="shared" si="64"/>
        <v>13036097.309492761</v>
      </c>
      <c r="O783" s="36"/>
      <c r="P783" s="36"/>
      <c r="Q783" s="36"/>
    </row>
    <row r="784" spans="1:17" x14ac:dyDescent="0.25">
      <c r="A784" s="36">
        <v>1856</v>
      </c>
      <c r="B784" s="37">
        <v>43709</v>
      </c>
      <c r="C784" s="37">
        <v>43792.022703267736</v>
      </c>
      <c r="D784" s="36" t="s">
        <v>195</v>
      </c>
      <c r="E784" s="36"/>
      <c r="F784" s="38">
        <v>49351847.829500005</v>
      </c>
      <c r="G784" s="40">
        <f>VLOOKUP(A784,'DATOS GENERALES'!A:B,2,0)</f>
        <v>1.69</v>
      </c>
      <c r="H784" s="36">
        <f t="shared" si="60"/>
        <v>1.6822259999999998</v>
      </c>
      <c r="I784" s="38">
        <f t="shared" si="61"/>
        <v>29337228.071317416</v>
      </c>
      <c r="J784" s="38">
        <f t="shared" si="62"/>
        <v>20014619.758182589</v>
      </c>
      <c r="K784" s="38">
        <v>8678197.6176880579</v>
      </c>
      <c r="L784" s="38">
        <f t="shared" si="63"/>
        <v>11336422.140494531</v>
      </c>
      <c r="M784" s="41">
        <f>VLOOKUP(INDICADORES!$B$21,'DATOS GENERALES'!$K:$M,3,0)*F784</f>
        <v>335889.97384832386</v>
      </c>
      <c r="N784" s="38">
        <f t="shared" si="64"/>
        <v>11000532.166646207</v>
      </c>
      <c r="O784" s="36"/>
      <c r="P784" s="36"/>
      <c r="Q784" s="36"/>
    </row>
    <row r="785" spans="1:17" x14ac:dyDescent="0.25">
      <c r="A785" s="36">
        <v>1856</v>
      </c>
      <c r="B785" s="37">
        <v>43739</v>
      </c>
      <c r="C785" s="37">
        <v>43790.185347062281</v>
      </c>
      <c r="D785" s="36" t="s">
        <v>195</v>
      </c>
      <c r="E785" s="36"/>
      <c r="F785" s="38">
        <v>49351847.829500005</v>
      </c>
      <c r="G785" s="40">
        <f>VLOOKUP(A785,'DATOS GENERALES'!A:B,2,0)</f>
        <v>1.69</v>
      </c>
      <c r="H785" s="36">
        <f t="shared" si="60"/>
        <v>1.6822259999999998</v>
      </c>
      <c r="I785" s="38">
        <f t="shared" si="61"/>
        <v>29337228.071317416</v>
      </c>
      <c r="J785" s="38">
        <f t="shared" si="62"/>
        <v>20014619.758182589</v>
      </c>
      <c r="K785" s="38">
        <v>9384574.6198334359</v>
      </c>
      <c r="L785" s="38">
        <f t="shared" si="63"/>
        <v>10630045.138349153</v>
      </c>
      <c r="M785" s="41">
        <f>VLOOKUP(INDICADORES!$B$21,'DATOS GENERALES'!$K:$M,3,0)*F785</f>
        <v>335889.97384832386</v>
      </c>
      <c r="N785" s="38">
        <f t="shared" si="64"/>
        <v>10294155.164500829</v>
      </c>
      <c r="O785" s="36"/>
      <c r="P785" s="36"/>
      <c r="Q785" s="36"/>
    </row>
    <row r="786" spans="1:17" x14ac:dyDescent="0.25">
      <c r="A786" s="36">
        <v>1856</v>
      </c>
      <c r="B786" s="37">
        <v>43770</v>
      </c>
      <c r="C786" s="37">
        <v>43842.050611897168</v>
      </c>
      <c r="D786" s="36" t="s">
        <v>195</v>
      </c>
      <c r="E786" s="36"/>
      <c r="F786" s="38">
        <v>49351847.829500005</v>
      </c>
      <c r="G786" s="40">
        <f>VLOOKUP(A786,'DATOS GENERALES'!A:B,2,0)</f>
        <v>1.69</v>
      </c>
      <c r="H786" s="36">
        <f t="shared" si="60"/>
        <v>1.6822259999999998</v>
      </c>
      <c r="I786" s="38">
        <f t="shared" si="61"/>
        <v>29337228.071317416</v>
      </c>
      <c r="J786" s="38">
        <f t="shared" si="62"/>
        <v>20014619.758182589</v>
      </c>
      <c r="K786" s="38">
        <v>12551177.405313239</v>
      </c>
      <c r="L786" s="38">
        <f t="shared" si="63"/>
        <v>7463442.3528693505</v>
      </c>
      <c r="M786" s="41">
        <f>VLOOKUP(INDICADORES!$B$21,'DATOS GENERALES'!$K:$M,3,0)*F786</f>
        <v>335889.97384832386</v>
      </c>
      <c r="N786" s="38">
        <f t="shared" si="64"/>
        <v>7127552.3790210262</v>
      </c>
      <c r="O786" s="36"/>
      <c r="P786" s="36"/>
      <c r="Q786" s="36"/>
    </row>
    <row r="787" spans="1:17" x14ac:dyDescent="0.25">
      <c r="A787" s="36">
        <v>1856</v>
      </c>
      <c r="B787" s="37">
        <v>43800</v>
      </c>
      <c r="C787" s="37">
        <v>43860.401944192366</v>
      </c>
      <c r="D787" s="36" t="s">
        <v>195</v>
      </c>
      <c r="E787" s="36"/>
      <c r="F787" s="38">
        <v>49351847.829500005</v>
      </c>
      <c r="G787" s="40">
        <f>VLOOKUP(A787,'DATOS GENERALES'!A:B,2,0)</f>
        <v>1.69</v>
      </c>
      <c r="H787" s="36">
        <f t="shared" si="60"/>
        <v>1.6822259999999998</v>
      </c>
      <c r="I787" s="38">
        <f t="shared" si="61"/>
        <v>29337228.071317416</v>
      </c>
      <c r="J787" s="38">
        <f t="shared" si="62"/>
        <v>20014619.758182589</v>
      </c>
      <c r="K787" s="38">
        <v>10567933.155668095</v>
      </c>
      <c r="L787" s="38">
        <f t="shared" si="63"/>
        <v>9446686.6025144942</v>
      </c>
      <c r="M787" s="41">
        <f>VLOOKUP(INDICADORES!$B$21,'DATOS GENERALES'!$K:$M,3,0)*F787</f>
        <v>335889.97384832386</v>
      </c>
      <c r="N787" s="38">
        <f t="shared" si="64"/>
        <v>9110796.6286661699</v>
      </c>
      <c r="O787" s="36"/>
      <c r="P787" s="36"/>
      <c r="Q787" s="36"/>
    </row>
    <row r="788" spans="1:17" x14ac:dyDescent="0.25">
      <c r="A788" s="36">
        <v>1856</v>
      </c>
      <c r="B788" s="37">
        <v>43831</v>
      </c>
      <c r="C788" s="37">
        <v>43880.603894975786</v>
      </c>
      <c r="D788" s="36" t="s">
        <v>195</v>
      </c>
      <c r="E788" s="36"/>
      <c r="F788" s="38">
        <v>49351847.829500005</v>
      </c>
      <c r="G788" s="40">
        <f>VLOOKUP(A788,'DATOS GENERALES'!A:B,2,0)</f>
        <v>1.69</v>
      </c>
      <c r="H788" s="36">
        <f t="shared" si="60"/>
        <v>1.6822259999999998</v>
      </c>
      <c r="I788" s="38">
        <f t="shared" si="61"/>
        <v>29337228.071317416</v>
      </c>
      <c r="J788" s="38">
        <f t="shared" si="62"/>
        <v>20014619.758182589</v>
      </c>
      <c r="K788" s="38" t="s">
        <v>213</v>
      </c>
      <c r="L788" s="38" t="str">
        <f t="shared" si="63"/>
        <v/>
      </c>
      <c r="M788" s="41">
        <f>VLOOKUP(INDICADORES!$B$21,'DATOS GENERALES'!$K:$M,3,0)*F788</f>
        <v>335889.97384832386</v>
      </c>
      <c r="N788" s="38" t="str">
        <f t="shared" si="64"/>
        <v/>
      </c>
      <c r="O788" s="36"/>
      <c r="P788" s="36"/>
      <c r="Q788" s="36"/>
    </row>
    <row r="789" spans="1:17" x14ac:dyDescent="0.25">
      <c r="A789" s="36">
        <v>1856</v>
      </c>
      <c r="B789" s="37">
        <v>43862</v>
      </c>
      <c r="C789" s="37">
        <v>43945.329791686614</v>
      </c>
      <c r="D789" s="36" t="s">
        <v>195</v>
      </c>
      <c r="E789" s="36"/>
      <c r="F789" s="38">
        <v>49351847.829500005</v>
      </c>
      <c r="G789" s="40">
        <f>VLOOKUP(A789,'DATOS GENERALES'!A:B,2,0)</f>
        <v>1.69</v>
      </c>
      <c r="H789" s="36">
        <f t="shared" si="60"/>
        <v>1.6822259999999998</v>
      </c>
      <c r="I789" s="38">
        <f t="shared" si="61"/>
        <v>29337228.071317416</v>
      </c>
      <c r="J789" s="38">
        <f t="shared" si="62"/>
        <v>20014619.758182589</v>
      </c>
      <c r="K789" s="38" t="s">
        <v>213</v>
      </c>
      <c r="L789" s="38" t="str">
        <f t="shared" si="63"/>
        <v/>
      </c>
      <c r="M789" s="41">
        <f>VLOOKUP(INDICADORES!$B$21,'DATOS GENERALES'!$K:$M,3,0)*F789</f>
        <v>335889.97384832386</v>
      </c>
      <c r="N789" s="38" t="str">
        <f t="shared" si="64"/>
        <v/>
      </c>
      <c r="O789" s="36"/>
      <c r="P789" s="36"/>
      <c r="Q789" s="36"/>
    </row>
    <row r="790" spans="1:17" x14ac:dyDescent="0.25">
      <c r="A790" s="36">
        <v>1856</v>
      </c>
      <c r="B790" s="37">
        <v>43891</v>
      </c>
      <c r="C790" s="37">
        <v>43981.974844256365</v>
      </c>
      <c r="D790" s="36" t="s">
        <v>195</v>
      </c>
      <c r="E790" s="36"/>
      <c r="F790" s="38">
        <v>49351847.829500005</v>
      </c>
      <c r="G790" s="40">
        <f>VLOOKUP(A790,'DATOS GENERALES'!A:B,2,0)</f>
        <v>1.69</v>
      </c>
      <c r="H790" s="36">
        <f t="shared" si="60"/>
        <v>1.6822259999999998</v>
      </c>
      <c r="I790" s="38">
        <f t="shared" si="61"/>
        <v>29337228.071317416</v>
      </c>
      <c r="J790" s="38">
        <f t="shared" si="62"/>
        <v>20014619.758182589</v>
      </c>
      <c r="K790" s="38" t="s">
        <v>213</v>
      </c>
      <c r="L790" s="38" t="str">
        <f t="shared" si="63"/>
        <v/>
      </c>
      <c r="M790" s="41">
        <f>VLOOKUP(INDICADORES!$B$21,'DATOS GENERALES'!$K:$M,3,0)*F790</f>
        <v>335889.97384832386</v>
      </c>
      <c r="N790" s="38" t="str">
        <f t="shared" si="64"/>
        <v/>
      </c>
      <c r="O790" s="36"/>
      <c r="P790" s="36"/>
      <c r="Q790" s="36"/>
    </row>
    <row r="791" spans="1:17" x14ac:dyDescent="0.25">
      <c r="A791" s="36">
        <v>1856</v>
      </c>
      <c r="B791" s="37">
        <v>43922</v>
      </c>
      <c r="C791" s="37">
        <v>44003.712507868338</v>
      </c>
      <c r="D791" s="36" t="s">
        <v>195</v>
      </c>
      <c r="E791" s="36"/>
      <c r="F791" s="38">
        <v>49351847.829500005</v>
      </c>
      <c r="G791" s="40">
        <f>VLOOKUP(A791,'DATOS GENERALES'!A:B,2,0)</f>
        <v>1.69</v>
      </c>
      <c r="H791" s="36">
        <f t="shared" si="60"/>
        <v>1.6822259999999998</v>
      </c>
      <c r="I791" s="38">
        <f t="shared" si="61"/>
        <v>29337228.071317416</v>
      </c>
      <c r="J791" s="38">
        <f t="shared" si="62"/>
        <v>20014619.758182589</v>
      </c>
      <c r="K791" s="38" t="s">
        <v>213</v>
      </c>
      <c r="L791" s="38" t="str">
        <f t="shared" si="63"/>
        <v/>
      </c>
      <c r="M791" s="41">
        <f>VLOOKUP(INDICADORES!$B$21,'DATOS GENERALES'!$K:$M,3,0)*F791</f>
        <v>335889.97384832386</v>
      </c>
      <c r="N791" s="38" t="str">
        <f t="shared" si="64"/>
        <v/>
      </c>
      <c r="O791" s="36"/>
      <c r="P791" s="36"/>
      <c r="Q791" s="36"/>
    </row>
    <row r="792" spans="1:17" x14ac:dyDescent="0.25">
      <c r="A792" s="36">
        <v>1856</v>
      </c>
      <c r="B792" s="37">
        <v>43952</v>
      </c>
      <c r="C792" s="37">
        <v>43977.696726781622</v>
      </c>
      <c r="D792" s="36" t="s">
        <v>195</v>
      </c>
      <c r="E792" s="36"/>
      <c r="F792" s="38">
        <v>49351847.829500005</v>
      </c>
      <c r="G792" s="40">
        <f>VLOOKUP(A792,'DATOS GENERALES'!A:B,2,0)</f>
        <v>1.69</v>
      </c>
      <c r="H792" s="36">
        <f t="shared" si="60"/>
        <v>1.6822259999999998</v>
      </c>
      <c r="I792" s="38">
        <f t="shared" si="61"/>
        <v>29337228.071317416</v>
      </c>
      <c r="J792" s="38">
        <f t="shared" si="62"/>
        <v>20014619.758182589</v>
      </c>
      <c r="K792" s="38" t="s">
        <v>213</v>
      </c>
      <c r="L792" s="38" t="str">
        <f t="shared" si="63"/>
        <v/>
      </c>
      <c r="M792" s="41">
        <f>VLOOKUP(INDICADORES!$B$21,'DATOS GENERALES'!$K:$M,3,0)*F792</f>
        <v>335889.97384832386</v>
      </c>
      <c r="N792" s="38" t="str">
        <f t="shared" si="64"/>
        <v/>
      </c>
      <c r="O792" s="36"/>
      <c r="P792" s="36"/>
      <c r="Q792" s="36"/>
    </row>
    <row r="793" spans="1:17" x14ac:dyDescent="0.25">
      <c r="A793" s="36">
        <v>1856</v>
      </c>
      <c r="B793" s="37">
        <v>43983</v>
      </c>
      <c r="C793" s="37">
        <v>44016.30225095433</v>
      </c>
      <c r="D793" s="36" t="s">
        <v>195</v>
      </c>
      <c r="E793" s="36"/>
      <c r="F793" s="38">
        <v>49351847.829500005</v>
      </c>
      <c r="G793" s="40">
        <f>VLOOKUP(A793,'DATOS GENERALES'!A:B,2,0)</f>
        <v>1.69</v>
      </c>
      <c r="H793" s="36">
        <f t="shared" si="60"/>
        <v>1.6822259999999998</v>
      </c>
      <c r="I793" s="38">
        <f t="shared" si="61"/>
        <v>29337228.071317416</v>
      </c>
      <c r="J793" s="38">
        <f t="shared" si="62"/>
        <v>20014619.758182589</v>
      </c>
      <c r="K793" s="38" t="s">
        <v>213</v>
      </c>
      <c r="L793" s="38" t="str">
        <f t="shared" si="63"/>
        <v/>
      </c>
      <c r="M793" s="41">
        <f>VLOOKUP(INDICADORES!$B$21,'DATOS GENERALES'!$K:$M,3,0)*F793</f>
        <v>335889.97384832386</v>
      </c>
      <c r="N793" s="38" t="str">
        <f t="shared" si="64"/>
        <v/>
      </c>
      <c r="O793" s="36"/>
      <c r="P793" s="36"/>
      <c r="Q793" s="36"/>
    </row>
    <row r="794" spans="1:17" x14ac:dyDescent="0.25">
      <c r="A794" s="36">
        <v>1856</v>
      </c>
      <c r="B794" s="37">
        <v>44013</v>
      </c>
      <c r="C794" s="37">
        <v>44051.075662169198</v>
      </c>
      <c r="D794" s="36" t="s">
        <v>195</v>
      </c>
      <c r="E794" s="36"/>
      <c r="F794" s="38">
        <v>49351847.829500005</v>
      </c>
      <c r="G794" s="40">
        <f>VLOOKUP(A794,'DATOS GENERALES'!A:B,2,0)</f>
        <v>1.69</v>
      </c>
      <c r="H794" s="36">
        <f t="shared" si="60"/>
        <v>1.6822259999999998</v>
      </c>
      <c r="I794" s="38">
        <f t="shared" si="61"/>
        <v>29337228.071317416</v>
      </c>
      <c r="J794" s="38">
        <f t="shared" si="62"/>
        <v>20014619.758182589</v>
      </c>
      <c r="K794" s="38" t="s">
        <v>213</v>
      </c>
      <c r="L794" s="38" t="str">
        <f t="shared" si="63"/>
        <v/>
      </c>
      <c r="M794" s="41">
        <f>VLOOKUP(INDICADORES!$B$21,'DATOS GENERALES'!$K:$M,3,0)*F794</f>
        <v>335889.97384832386</v>
      </c>
      <c r="N794" s="38" t="str">
        <f t="shared" si="64"/>
        <v/>
      </c>
      <c r="O794" s="36"/>
      <c r="P794" s="36"/>
      <c r="Q794" s="36"/>
    </row>
    <row r="795" spans="1:17" x14ac:dyDescent="0.25">
      <c r="A795" s="36">
        <v>1856</v>
      </c>
      <c r="B795" s="37">
        <v>44044</v>
      </c>
      <c r="C795" s="37">
        <v>44126.610325935486</v>
      </c>
      <c r="D795" s="36" t="s">
        <v>195</v>
      </c>
      <c r="E795" s="36"/>
      <c r="F795" s="38">
        <v>49351847.829500005</v>
      </c>
      <c r="G795" s="40">
        <f>VLOOKUP(A795,'DATOS GENERALES'!A:B,2,0)</f>
        <v>1.69</v>
      </c>
      <c r="H795" s="36">
        <f t="shared" si="60"/>
        <v>1.6822259999999998</v>
      </c>
      <c r="I795" s="38">
        <f t="shared" si="61"/>
        <v>29337228.071317416</v>
      </c>
      <c r="J795" s="38">
        <f t="shared" si="62"/>
        <v>20014619.758182589</v>
      </c>
      <c r="K795" s="38" t="s">
        <v>213</v>
      </c>
      <c r="L795" s="38" t="str">
        <f t="shared" si="63"/>
        <v/>
      </c>
      <c r="M795" s="41">
        <f>VLOOKUP(INDICADORES!$B$21,'DATOS GENERALES'!$K:$M,3,0)*F795</f>
        <v>335889.97384832386</v>
      </c>
      <c r="N795" s="38" t="str">
        <f t="shared" si="64"/>
        <v/>
      </c>
      <c r="O795" s="36"/>
      <c r="P795" s="36"/>
      <c r="Q795" s="36"/>
    </row>
    <row r="796" spans="1:17" x14ac:dyDescent="0.25">
      <c r="A796" s="36">
        <v>1856</v>
      </c>
      <c r="B796" s="37">
        <v>44075</v>
      </c>
      <c r="C796" s="37">
        <v>44132.742590110385</v>
      </c>
      <c r="D796" s="36" t="s">
        <v>195</v>
      </c>
      <c r="E796" s="36"/>
      <c r="F796" s="38">
        <v>49351847.829500005</v>
      </c>
      <c r="G796" s="40">
        <f>VLOOKUP(A796,'DATOS GENERALES'!A:B,2,0)</f>
        <v>1.69</v>
      </c>
      <c r="H796" s="36">
        <f t="shared" si="60"/>
        <v>1.6822259999999998</v>
      </c>
      <c r="I796" s="38">
        <f t="shared" si="61"/>
        <v>29337228.071317416</v>
      </c>
      <c r="J796" s="38">
        <f t="shared" si="62"/>
        <v>20014619.758182589</v>
      </c>
      <c r="K796" s="38" t="s">
        <v>213</v>
      </c>
      <c r="L796" s="38" t="str">
        <f t="shared" si="63"/>
        <v/>
      </c>
      <c r="M796" s="41">
        <f>VLOOKUP(INDICADORES!$B$21,'DATOS GENERALES'!$K:$M,3,0)*F796</f>
        <v>335889.97384832386</v>
      </c>
      <c r="N796" s="38" t="str">
        <f t="shared" si="64"/>
        <v/>
      </c>
      <c r="O796" s="36"/>
      <c r="P796" s="36"/>
      <c r="Q796" s="36"/>
    </row>
    <row r="797" spans="1:17" x14ac:dyDescent="0.25">
      <c r="A797" s="36">
        <v>1856</v>
      </c>
      <c r="B797" s="37">
        <v>44105</v>
      </c>
      <c r="C797" s="37">
        <v>44143.331670691965</v>
      </c>
      <c r="D797" s="36" t="s">
        <v>195</v>
      </c>
      <c r="E797" s="36"/>
      <c r="F797" s="38">
        <v>49351847.829500005</v>
      </c>
      <c r="G797" s="40">
        <f>VLOOKUP(A797,'DATOS GENERALES'!A:B,2,0)</f>
        <v>1.69</v>
      </c>
      <c r="H797" s="36">
        <f t="shared" si="60"/>
        <v>1.6822259999999998</v>
      </c>
      <c r="I797" s="38">
        <f t="shared" si="61"/>
        <v>29337228.071317416</v>
      </c>
      <c r="J797" s="38">
        <f t="shared" si="62"/>
        <v>20014619.758182589</v>
      </c>
      <c r="K797" s="38" t="s">
        <v>213</v>
      </c>
      <c r="L797" s="38" t="str">
        <f t="shared" si="63"/>
        <v/>
      </c>
      <c r="M797" s="41">
        <f>VLOOKUP(INDICADORES!$B$21,'DATOS GENERALES'!$K:$M,3,0)*F797</f>
        <v>335889.97384832386</v>
      </c>
      <c r="N797" s="38" t="str">
        <f t="shared" si="64"/>
        <v/>
      </c>
      <c r="O797" s="36"/>
      <c r="P797" s="36"/>
      <c r="Q797" s="36"/>
    </row>
    <row r="798" spans="1:17" x14ac:dyDescent="0.25">
      <c r="A798" s="36">
        <v>1856</v>
      </c>
      <c r="B798" s="37">
        <v>44136</v>
      </c>
      <c r="C798" s="37">
        <v>44183.483049828268</v>
      </c>
      <c r="D798" s="36" t="s">
        <v>195</v>
      </c>
      <c r="E798" s="36"/>
      <c r="F798" s="38">
        <v>49351847.829500005</v>
      </c>
      <c r="G798" s="40">
        <f>VLOOKUP(A798,'DATOS GENERALES'!A:B,2,0)</f>
        <v>1.69</v>
      </c>
      <c r="H798" s="36">
        <f t="shared" si="60"/>
        <v>1.6822259999999998</v>
      </c>
      <c r="I798" s="38">
        <f t="shared" si="61"/>
        <v>29337228.071317416</v>
      </c>
      <c r="J798" s="38">
        <f t="shared" si="62"/>
        <v>20014619.758182589</v>
      </c>
      <c r="K798" s="38" t="s">
        <v>213</v>
      </c>
      <c r="L798" s="38" t="str">
        <f t="shared" si="63"/>
        <v/>
      </c>
      <c r="M798" s="41">
        <f>VLOOKUP(INDICADORES!$B$21,'DATOS GENERALES'!$K:$M,3,0)*F798</f>
        <v>335889.97384832386</v>
      </c>
      <c r="N798" s="38" t="str">
        <f t="shared" si="64"/>
        <v/>
      </c>
      <c r="O798" s="36"/>
      <c r="P798" s="36"/>
      <c r="Q798" s="36"/>
    </row>
    <row r="799" spans="1:17" x14ac:dyDescent="0.25">
      <c r="A799" s="36">
        <v>1856</v>
      </c>
      <c r="B799" s="37">
        <v>44166</v>
      </c>
      <c r="C799" s="37">
        <v>44217.568360313089</v>
      </c>
      <c r="D799" s="36" t="s">
        <v>195</v>
      </c>
      <c r="E799" s="36"/>
      <c r="F799" s="38">
        <v>49351847.829500005</v>
      </c>
      <c r="G799" s="40">
        <f>VLOOKUP(A799,'DATOS GENERALES'!A:B,2,0)</f>
        <v>1.69</v>
      </c>
      <c r="H799" s="36">
        <f t="shared" si="60"/>
        <v>1.6822259999999998</v>
      </c>
      <c r="I799" s="38">
        <f t="shared" si="61"/>
        <v>29337228.071317416</v>
      </c>
      <c r="J799" s="38">
        <f t="shared" si="62"/>
        <v>20014619.758182589</v>
      </c>
      <c r="K799" s="38" t="s">
        <v>213</v>
      </c>
      <c r="L799" s="38" t="str">
        <f t="shared" si="63"/>
        <v/>
      </c>
      <c r="M799" s="41">
        <f>VLOOKUP(INDICADORES!$B$21,'DATOS GENERALES'!$K:$M,3,0)*F799</f>
        <v>335889.97384832386</v>
      </c>
      <c r="N799" s="38" t="str">
        <f t="shared" si="64"/>
        <v/>
      </c>
      <c r="O799" s="36"/>
      <c r="P799" s="36"/>
      <c r="Q799" s="36"/>
    </row>
    <row r="800" spans="1:17" x14ac:dyDescent="0.25">
      <c r="A800" s="36">
        <v>1856</v>
      </c>
      <c r="B800" s="37">
        <v>44197</v>
      </c>
      <c r="C800" s="37">
        <v>44277.709659765707</v>
      </c>
      <c r="D800" s="36" t="s">
        <v>195</v>
      </c>
      <c r="E800" s="36"/>
      <c r="F800" s="38">
        <v>49351847.829500005</v>
      </c>
      <c r="G800" s="40">
        <f>VLOOKUP(A800,'DATOS GENERALES'!A:B,2,0)</f>
        <v>1.69</v>
      </c>
      <c r="H800" s="36">
        <f t="shared" si="60"/>
        <v>1.6822259999999998</v>
      </c>
      <c r="I800" s="38">
        <f t="shared" si="61"/>
        <v>29337228.071317416</v>
      </c>
      <c r="J800" s="38">
        <f t="shared" si="62"/>
        <v>20014619.758182589</v>
      </c>
      <c r="K800" s="38" t="s">
        <v>213</v>
      </c>
      <c r="L800" s="38" t="str">
        <f t="shared" si="63"/>
        <v/>
      </c>
      <c r="M800" s="41">
        <f>VLOOKUP(INDICADORES!$B$21,'DATOS GENERALES'!$K:$M,3,0)*F800</f>
        <v>335889.97384832386</v>
      </c>
      <c r="N800" s="38" t="str">
        <f t="shared" si="64"/>
        <v/>
      </c>
      <c r="O800" s="36"/>
      <c r="P800" s="36"/>
      <c r="Q800" s="36"/>
    </row>
    <row r="801" spans="1:17" x14ac:dyDescent="0.25">
      <c r="A801" s="36">
        <v>1856</v>
      </c>
      <c r="B801" s="37">
        <v>44228</v>
      </c>
      <c r="C801" s="37">
        <v>44286.889777199714</v>
      </c>
      <c r="D801" s="36" t="s">
        <v>195</v>
      </c>
      <c r="E801" s="36"/>
      <c r="F801" s="38">
        <v>9910003.9500000011</v>
      </c>
      <c r="G801" s="40">
        <f>VLOOKUP(A801,'DATOS GENERALES'!A:B,2,0)</f>
        <v>1.69</v>
      </c>
      <c r="H801" s="36">
        <f t="shared" si="60"/>
        <v>1.6822259999999998</v>
      </c>
      <c r="I801" s="38">
        <f t="shared" si="61"/>
        <v>5891006.291663547</v>
      </c>
      <c r="J801" s="38">
        <f t="shared" si="62"/>
        <v>4018997.6583364541</v>
      </c>
      <c r="K801" s="38" t="s">
        <v>213</v>
      </c>
      <c r="L801" s="38" t="str">
        <f t="shared" si="63"/>
        <v/>
      </c>
      <c r="M801" s="41">
        <f>VLOOKUP(INDICADORES!$B$21,'DATOS GENERALES'!$K:$M,3,0)*F801</f>
        <v>67447.747429886062</v>
      </c>
      <c r="N801" s="38" t="str">
        <f t="shared" si="64"/>
        <v/>
      </c>
      <c r="O801" s="36"/>
      <c r="P801" s="36"/>
      <c r="Q801" s="36"/>
    </row>
    <row r="802" spans="1:17" x14ac:dyDescent="0.25">
      <c r="A802" s="36">
        <v>1860</v>
      </c>
      <c r="B802" s="37">
        <v>43466</v>
      </c>
      <c r="C802" s="37">
        <v>43521.925555736336</v>
      </c>
      <c r="D802" s="36" t="s">
        <v>195</v>
      </c>
      <c r="E802" s="36"/>
      <c r="F802" s="38">
        <v>20348195</v>
      </c>
      <c r="G802" s="40">
        <f>VLOOKUP(A802,'DATOS GENERALES'!A:B,2,0)</f>
        <v>1.61</v>
      </c>
      <c r="H802" s="36">
        <f t="shared" si="60"/>
        <v>1.6025940000000001</v>
      </c>
      <c r="I802" s="38">
        <f t="shared" si="61"/>
        <v>12697036.804081382</v>
      </c>
      <c r="J802" s="38">
        <f t="shared" si="62"/>
        <v>7651158.1959186178</v>
      </c>
      <c r="K802" s="38">
        <v>2785962.7990221307</v>
      </c>
      <c r="L802" s="38">
        <f t="shared" si="63"/>
        <v>4865195.3968964871</v>
      </c>
      <c r="M802" s="41">
        <f>VLOOKUP(INDICADORES!$B$21,'DATOS GENERALES'!$K:$M,3,0)*F802</f>
        <v>138490.35014906025</v>
      </c>
      <c r="N802" s="38">
        <f t="shared" si="64"/>
        <v>4726705.0467474265</v>
      </c>
      <c r="O802" s="36"/>
      <c r="P802" s="36"/>
      <c r="Q802" s="36"/>
    </row>
    <row r="803" spans="1:17" x14ac:dyDescent="0.25">
      <c r="A803" s="36">
        <v>1860</v>
      </c>
      <c r="B803" s="37">
        <v>43497</v>
      </c>
      <c r="C803" s="37">
        <v>43542.799148892307</v>
      </c>
      <c r="D803" s="36" t="s">
        <v>195</v>
      </c>
      <c r="E803" s="36"/>
      <c r="F803" s="38">
        <v>20348195</v>
      </c>
      <c r="G803" s="40">
        <f>VLOOKUP(A803,'DATOS GENERALES'!A:B,2,0)</f>
        <v>1.61</v>
      </c>
      <c r="H803" s="36">
        <f t="shared" si="60"/>
        <v>1.6025940000000001</v>
      </c>
      <c r="I803" s="38">
        <f t="shared" si="61"/>
        <v>12697036.804081382</v>
      </c>
      <c r="J803" s="38">
        <f t="shared" si="62"/>
        <v>7651158.1959186178</v>
      </c>
      <c r="K803" s="38">
        <v>2744564.1443934408</v>
      </c>
      <c r="L803" s="38">
        <f t="shared" si="63"/>
        <v>4906594.0515251774</v>
      </c>
      <c r="M803" s="41">
        <f>VLOOKUP(INDICADORES!$B$21,'DATOS GENERALES'!$K:$M,3,0)*F803</f>
        <v>138490.35014906025</v>
      </c>
      <c r="N803" s="38">
        <f t="shared" si="64"/>
        <v>4768103.7013761168</v>
      </c>
      <c r="O803" s="36"/>
      <c r="P803" s="36"/>
      <c r="Q803" s="36"/>
    </row>
    <row r="804" spans="1:17" x14ac:dyDescent="0.25">
      <c r="A804" s="36">
        <v>1860</v>
      </c>
      <c r="B804" s="37">
        <v>43525</v>
      </c>
      <c r="C804" s="37">
        <v>43591.811477488518</v>
      </c>
      <c r="D804" s="36" t="s">
        <v>195</v>
      </c>
      <c r="E804" s="36"/>
      <c r="F804" s="38">
        <v>20348195</v>
      </c>
      <c r="G804" s="40">
        <f>VLOOKUP(A804,'DATOS GENERALES'!A:B,2,0)</f>
        <v>1.61</v>
      </c>
      <c r="H804" s="36">
        <f t="shared" si="60"/>
        <v>1.6025940000000001</v>
      </c>
      <c r="I804" s="38">
        <f t="shared" si="61"/>
        <v>12697036.804081382</v>
      </c>
      <c r="J804" s="38">
        <f t="shared" si="62"/>
        <v>7651158.1959186178</v>
      </c>
      <c r="K804" s="38">
        <v>1985658.1180022748</v>
      </c>
      <c r="L804" s="38">
        <f t="shared" si="63"/>
        <v>5665500.0779163428</v>
      </c>
      <c r="M804" s="41">
        <f>VLOOKUP(INDICADORES!$B$21,'DATOS GENERALES'!$K:$M,3,0)*F804</f>
        <v>138490.35014906025</v>
      </c>
      <c r="N804" s="38">
        <f t="shared" si="64"/>
        <v>5527009.7277672822</v>
      </c>
      <c r="O804" s="36"/>
      <c r="P804" s="36"/>
      <c r="Q804" s="36"/>
    </row>
    <row r="805" spans="1:17" x14ac:dyDescent="0.25">
      <c r="A805" s="36">
        <v>1860</v>
      </c>
      <c r="B805" s="37">
        <v>43556</v>
      </c>
      <c r="C805" s="37">
        <v>43613.010020420821</v>
      </c>
      <c r="D805" s="36" t="s">
        <v>195</v>
      </c>
      <c r="E805" s="36"/>
      <c r="F805" s="38">
        <v>20348195</v>
      </c>
      <c r="G805" s="40">
        <f>VLOOKUP(A805,'DATOS GENERALES'!A:B,2,0)</f>
        <v>1.61</v>
      </c>
      <c r="H805" s="36">
        <f t="shared" si="60"/>
        <v>1.6025940000000001</v>
      </c>
      <c r="I805" s="38">
        <f t="shared" si="61"/>
        <v>12697036.804081382</v>
      </c>
      <c r="J805" s="38">
        <f t="shared" si="62"/>
        <v>7651158.1959186178</v>
      </c>
      <c r="K805" s="38">
        <v>2041406.2007341066</v>
      </c>
      <c r="L805" s="38">
        <f t="shared" si="63"/>
        <v>5609751.9951845109</v>
      </c>
      <c r="M805" s="41">
        <f>VLOOKUP(INDICADORES!$B$21,'DATOS GENERALES'!$K:$M,3,0)*F805</f>
        <v>138490.35014906025</v>
      </c>
      <c r="N805" s="38">
        <f t="shared" si="64"/>
        <v>5471261.6450354503</v>
      </c>
      <c r="O805" s="36"/>
      <c r="P805" s="36"/>
      <c r="Q805" s="36"/>
    </row>
    <row r="806" spans="1:17" x14ac:dyDescent="0.25">
      <c r="A806" s="36">
        <v>1860</v>
      </c>
      <c r="B806" s="37">
        <v>43586</v>
      </c>
      <c r="C806" s="37">
        <v>43629.642700822864</v>
      </c>
      <c r="D806" s="36" t="s">
        <v>195</v>
      </c>
      <c r="E806" s="36"/>
      <c r="F806" s="38">
        <v>20348195</v>
      </c>
      <c r="G806" s="40">
        <f>VLOOKUP(A806,'DATOS GENERALES'!A:B,2,0)</f>
        <v>1.61</v>
      </c>
      <c r="H806" s="36">
        <f t="shared" si="60"/>
        <v>1.6025940000000001</v>
      </c>
      <c r="I806" s="38">
        <f t="shared" si="61"/>
        <v>12697036.804081382</v>
      </c>
      <c r="J806" s="38">
        <f t="shared" si="62"/>
        <v>7651158.1959186178</v>
      </c>
      <c r="K806" s="38">
        <v>1684017.3509945383</v>
      </c>
      <c r="L806" s="38">
        <f t="shared" si="63"/>
        <v>5967140.8449240793</v>
      </c>
      <c r="M806" s="41">
        <f>VLOOKUP(INDICADORES!$B$21,'DATOS GENERALES'!$K:$M,3,0)*F806</f>
        <v>138490.35014906025</v>
      </c>
      <c r="N806" s="38">
        <f t="shared" si="64"/>
        <v>5828650.4947750187</v>
      </c>
      <c r="O806" s="36"/>
      <c r="P806" s="36"/>
      <c r="Q806" s="36"/>
    </row>
    <row r="807" spans="1:17" x14ac:dyDescent="0.25">
      <c r="A807" s="36">
        <v>1860</v>
      </c>
      <c r="B807" s="37">
        <v>43617</v>
      </c>
      <c r="C807" s="37">
        <v>43665.773842196577</v>
      </c>
      <c r="D807" s="36" t="s">
        <v>195</v>
      </c>
      <c r="E807" s="36"/>
      <c r="F807" s="38">
        <v>20348195</v>
      </c>
      <c r="G807" s="40">
        <f>VLOOKUP(A807,'DATOS GENERALES'!A:B,2,0)</f>
        <v>1.61</v>
      </c>
      <c r="H807" s="36">
        <f t="shared" si="60"/>
        <v>1.6025940000000001</v>
      </c>
      <c r="I807" s="38">
        <f t="shared" si="61"/>
        <v>12697036.804081382</v>
      </c>
      <c r="J807" s="38">
        <f t="shared" si="62"/>
        <v>7651158.1959186178</v>
      </c>
      <c r="K807" s="38">
        <v>2264608.9663821044</v>
      </c>
      <c r="L807" s="38">
        <f t="shared" si="63"/>
        <v>5386549.2295365129</v>
      </c>
      <c r="M807" s="41">
        <f>VLOOKUP(INDICADORES!$B$21,'DATOS GENERALES'!$K:$M,3,0)*F807</f>
        <v>138490.35014906025</v>
      </c>
      <c r="N807" s="38">
        <f t="shared" si="64"/>
        <v>5248058.8793874523</v>
      </c>
      <c r="O807" s="36"/>
      <c r="P807" s="36"/>
      <c r="Q807" s="36"/>
    </row>
    <row r="808" spans="1:17" x14ac:dyDescent="0.25">
      <c r="A808" s="36">
        <v>1860</v>
      </c>
      <c r="B808" s="37">
        <v>43647</v>
      </c>
      <c r="C808" s="37">
        <v>43730.262386421316</v>
      </c>
      <c r="D808" s="36" t="s">
        <v>195</v>
      </c>
      <c r="E808" s="36"/>
      <c r="F808" s="38">
        <v>20348195</v>
      </c>
      <c r="G808" s="40">
        <f>VLOOKUP(A808,'DATOS GENERALES'!A:B,2,0)</f>
        <v>1.61</v>
      </c>
      <c r="H808" s="36">
        <f t="shared" si="60"/>
        <v>1.6025940000000001</v>
      </c>
      <c r="I808" s="38">
        <f t="shared" si="61"/>
        <v>12697036.804081382</v>
      </c>
      <c r="J808" s="38">
        <f t="shared" si="62"/>
        <v>7651158.1959186178</v>
      </c>
      <c r="K808" s="38">
        <v>3377200.0836776807</v>
      </c>
      <c r="L808" s="38">
        <f t="shared" si="63"/>
        <v>4273958.1122409366</v>
      </c>
      <c r="M808" s="41">
        <f>VLOOKUP(INDICADORES!$B$21,'DATOS GENERALES'!$K:$M,3,0)*F808</f>
        <v>138490.35014906025</v>
      </c>
      <c r="N808" s="38">
        <f t="shared" si="64"/>
        <v>4135467.7620918765</v>
      </c>
      <c r="O808" s="36"/>
      <c r="P808" s="36"/>
      <c r="Q808" s="36"/>
    </row>
    <row r="809" spans="1:17" x14ac:dyDescent="0.25">
      <c r="A809" s="36">
        <v>1860</v>
      </c>
      <c r="B809" s="37">
        <v>43678</v>
      </c>
      <c r="C809" s="37">
        <v>43725.464293928344</v>
      </c>
      <c r="D809" s="36" t="s">
        <v>195</v>
      </c>
      <c r="E809" s="36"/>
      <c r="F809" s="38">
        <v>20348195</v>
      </c>
      <c r="G809" s="40">
        <f>VLOOKUP(A809,'DATOS GENERALES'!A:B,2,0)</f>
        <v>1.61</v>
      </c>
      <c r="H809" s="36">
        <f t="shared" si="60"/>
        <v>1.6025940000000001</v>
      </c>
      <c r="I809" s="38">
        <f t="shared" si="61"/>
        <v>12697036.804081382</v>
      </c>
      <c r="J809" s="38">
        <f t="shared" si="62"/>
        <v>7651158.1959186178</v>
      </c>
      <c r="K809" s="38">
        <v>3323287.3252204647</v>
      </c>
      <c r="L809" s="38">
        <f t="shared" si="63"/>
        <v>4327870.870698153</v>
      </c>
      <c r="M809" s="41">
        <f>VLOOKUP(INDICADORES!$B$21,'DATOS GENERALES'!$K:$M,3,0)*F809</f>
        <v>138490.35014906025</v>
      </c>
      <c r="N809" s="38">
        <f t="shared" si="64"/>
        <v>4189380.5205490929</v>
      </c>
      <c r="O809" s="36"/>
      <c r="P809" s="36"/>
      <c r="Q809" s="36"/>
    </row>
    <row r="810" spans="1:17" x14ac:dyDescent="0.25">
      <c r="A810" s="36">
        <v>1860</v>
      </c>
      <c r="B810" s="37">
        <v>43709</v>
      </c>
      <c r="C810" s="37">
        <v>43758.221164008151</v>
      </c>
      <c r="D810" s="36" t="s">
        <v>195</v>
      </c>
      <c r="E810" s="36"/>
      <c r="F810" s="38">
        <v>20348195</v>
      </c>
      <c r="G810" s="40">
        <f>VLOOKUP(A810,'DATOS GENERALES'!A:B,2,0)</f>
        <v>1.61</v>
      </c>
      <c r="H810" s="36">
        <f t="shared" si="60"/>
        <v>1.6025940000000001</v>
      </c>
      <c r="I810" s="38">
        <f t="shared" si="61"/>
        <v>12697036.804081382</v>
      </c>
      <c r="J810" s="38">
        <f t="shared" si="62"/>
        <v>7651158.1959186178</v>
      </c>
      <c r="K810" s="38">
        <v>3755889.7615349451</v>
      </c>
      <c r="L810" s="38">
        <f t="shared" si="63"/>
        <v>3895268.4343836727</v>
      </c>
      <c r="M810" s="41">
        <f>VLOOKUP(INDICADORES!$B$21,'DATOS GENERALES'!$K:$M,3,0)*F810</f>
        <v>138490.35014906025</v>
      </c>
      <c r="N810" s="38">
        <f t="shared" si="64"/>
        <v>3756778.0842346125</v>
      </c>
      <c r="O810" s="36"/>
      <c r="P810" s="36"/>
      <c r="Q810" s="36"/>
    </row>
    <row r="811" spans="1:17" x14ac:dyDescent="0.25">
      <c r="A811" s="36">
        <v>1860</v>
      </c>
      <c r="B811" s="37">
        <v>43739</v>
      </c>
      <c r="C811" s="37">
        <v>43815.596061515018</v>
      </c>
      <c r="D811" s="36" t="s">
        <v>195</v>
      </c>
      <c r="E811" s="36"/>
      <c r="F811" s="38">
        <v>20348195</v>
      </c>
      <c r="G811" s="40">
        <f>VLOOKUP(A811,'DATOS GENERALES'!A:B,2,0)</f>
        <v>1.61</v>
      </c>
      <c r="H811" s="36">
        <f t="shared" si="60"/>
        <v>1.6025940000000001</v>
      </c>
      <c r="I811" s="38">
        <f t="shared" si="61"/>
        <v>12697036.804081382</v>
      </c>
      <c r="J811" s="38">
        <f t="shared" si="62"/>
        <v>7651158.1959186178</v>
      </c>
      <c r="K811" s="38">
        <v>4061606.9469484258</v>
      </c>
      <c r="L811" s="38">
        <f t="shared" si="63"/>
        <v>3589551.2489701919</v>
      </c>
      <c r="M811" s="41">
        <f>VLOOKUP(INDICADORES!$B$21,'DATOS GENERALES'!$K:$M,3,0)*F811</f>
        <v>138490.35014906025</v>
      </c>
      <c r="N811" s="38">
        <f t="shared" si="64"/>
        <v>3451060.8988211318</v>
      </c>
      <c r="O811" s="36"/>
      <c r="P811" s="36"/>
      <c r="Q811" s="36"/>
    </row>
    <row r="812" spans="1:17" x14ac:dyDescent="0.25">
      <c r="A812" s="36">
        <v>1860</v>
      </c>
      <c r="B812" s="37">
        <v>43770</v>
      </c>
      <c r="C812" s="37">
        <v>43813.028378507566</v>
      </c>
      <c r="D812" s="36" t="s">
        <v>195</v>
      </c>
      <c r="E812" s="36"/>
      <c r="F812" s="38">
        <v>20348195</v>
      </c>
      <c r="G812" s="40">
        <f>VLOOKUP(A812,'DATOS GENERALES'!A:B,2,0)</f>
        <v>1.61</v>
      </c>
      <c r="H812" s="36">
        <f t="shared" si="60"/>
        <v>1.6025940000000001</v>
      </c>
      <c r="I812" s="38">
        <f t="shared" si="61"/>
        <v>12697036.804081382</v>
      </c>
      <c r="J812" s="38">
        <f t="shared" si="62"/>
        <v>7651158.1959186178</v>
      </c>
      <c r="K812" s="38">
        <v>5432100.1651012665</v>
      </c>
      <c r="L812" s="38">
        <f t="shared" si="63"/>
        <v>2219058.0308173513</v>
      </c>
      <c r="M812" s="41">
        <f>VLOOKUP(INDICADORES!$B$21,'DATOS GENERALES'!$K:$M,3,0)*F812</f>
        <v>138490.35014906025</v>
      </c>
      <c r="N812" s="38">
        <f t="shared" si="64"/>
        <v>2080567.6806682912</v>
      </c>
      <c r="O812" s="36"/>
      <c r="P812" s="36"/>
      <c r="Q812" s="36"/>
    </row>
    <row r="813" spans="1:17" x14ac:dyDescent="0.25">
      <c r="A813" s="36">
        <v>1860</v>
      </c>
      <c r="B813" s="37">
        <v>43800</v>
      </c>
      <c r="C813" s="37">
        <v>43842.772820938633</v>
      </c>
      <c r="D813" s="36" t="s">
        <v>195</v>
      </c>
      <c r="E813" s="36"/>
      <c r="F813" s="38">
        <v>20348195</v>
      </c>
      <c r="G813" s="40">
        <f>VLOOKUP(A813,'DATOS GENERALES'!A:B,2,0)</f>
        <v>1.61</v>
      </c>
      <c r="H813" s="36">
        <f t="shared" si="60"/>
        <v>1.6025940000000001</v>
      </c>
      <c r="I813" s="38">
        <f t="shared" si="61"/>
        <v>12697036.804081382</v>
      </c>
      <c r="J813" s="38">
        <f t="shared" si="62"/>
        <v>7651158.1959186178</v>
      </c>
      <c r="K813" s="38">
        <v>4573759.8621928757</v>
      </c>
      <c r="L813" s="38">
        <f t="shared" si="63"/>
        <v>3077398.3337257421</v>
      </c>
      <c r="M813" s="41">
        <f>VLOOKUP(INDICADORES!$B$21,'DATOS GENERALES'!$K:$M,3,0)*F813</f>
        <v>138490.35014906025</v>
      </c>
      <c r="N813" s="38">
        <f t="shared" si="64"/>
        <v>2938907.9835766819</v>
      </c>
      <c r="O813" s="36"/>
      <c r="P813" s="36"/>
      <c r="Q813" s="36"/>
    </row>
    <row r="814" spans="1:17" x14ac:dyDescent="0.25">
      <c r="A814" s="36">
        <v>1860</v>
      </c>
      <c r="B814" s="37">
        <v>43831</v>
      </c>
      <c r="C814" s="37">
        <v>43894.905337687538</v>
      </c>
      <c r="D814" s="36" t="s">
        <v>195</v>
      </c>
      <c r="E814" s="36"/>
      <c r="F814" s="38">
        <v>20348195</v>
      </c>
      <c r="G814" s="40">
        <f>VLOOKUP(A814,'DATOS GENERALES'!A:B,2,0)</f>
        <v>1.61</v>
      </c>
      <c r="H814" s="36">
        <f t="shared" si="60"/>
        <v>1.6025940000000001</v>
      </c>
      <c r="I814" s="38">
        <f t="shared" si="61"/>
        <v>12697036.804081382</v>
      </c>
      <c r="J814" s="38">
        <f t="shared" si="62"/>
        <v>7651158.1959186178</v>
      </c>
      <c r="K814" s="38" t="s">
        <v>213</v>
      </c>
      <c r="L814" s="38" t="str">
        <f t="shared" si="63"/>
        <v/>
      </c>
      <c r="M814" s="41">
        <f>VLOOKUP(INDICADORES!$B$21,'DATOS GENERALES'!$K:$M,3,0)*F814</f>
        <v>138490.35014906025</v>
      </c>
      <c r="N814" s="38" t="str">
        <f t="shared" si="64"/>
        <v/>
      </c>
      <c r="O814" s="36"/>
      <c r="P814" s="36"/>
      <c r="Q814" s="36"/>
    </row>
    <row r="815" spans="1:17" x14ac:dyDescent="0.25">
      <c r="A815" s="36">
        <v>1860</v>
      </c>
      <c r="B815" s="37">
        <v>43862</v>
      </c>
      <c r="C815" s="37">
        <v>43914.508354107536</v>
      </c>
      <c r="D815" s="36" t="s">
        <v>195</v>
      </c>
      <c r="E815" s="36"/>
      <c r="F815" s="38">
        <v>20348195</v>
      </c>
      <c r="G815" s="40">
        <f>VLOOKUP(A815,'DATOS GENERALES'!A:B,2,0)</f>
        <v>1.61</v>
      </c>
      <c r="H815" s="36">
        <f t="shared" si="60"/>
        <v>1.6025940000000001</v>
      </c>
      <c r="I815" s="38">
        <f t="shared" si="61"/>
        <v>12697036.804081382</v>
      </c>
      <c r="J815" s="38">
        <f t="shared" si="62"/>
        <v>7651158.1959186178</v>
      </c>
      <c r="K815" s="38" t="s">
        <v>213</v>
      </c>
      <c r="L815" s="38" t="str">
        <f t="shared" si="63"/>
        <v/>
      </c>
      <c r="M815" s="41">
        <f>VLOOKUP(INDICADORES!$B$21,'DATOS GENERALES'!$K:$M,3,0)*F815</f>
        <v>138490.35014906025</v>
      </c>
      <c r="N815" s="38" t="str">
        <f t="shared" si="64"/>
        <v/>
      </c>
      <c r="O815" s="36"/>
      <c r="P815" s="36"/>
      <c r="Q815" s="36"/>
    </row>
    <row r="816" spans="1:17" x14ac:dyDescent="0.25">
      <c r="A816" s="36">
        <v>1860</v>
      </c>
      <c r="B816" s="37">
        <v>43891</v>
      </c>
      <c r="C816" s="37">
        <v>43955.45938846613</v>
      </c>
      <c r="D816" s="36" t="s">
        <v>195</v>
      </c>
      <c r="E816" s="36"/>
      <c r="F816" s="38">
        <v>20348195</v>
      </c>
      <c r="G816" s="40">
        <f>VLOOKUP(A816,'DATOS GENERALES'!A:B,2,0)</f>
        <v>1.61</v>
      </c>
      <c r="H816" s="36">
        <f t="shared" si="60"/>
        <v>1.6025940000000001</v>
      </c>
      <c r="I816" s="38">
        <f t="shared" si="61"/>
        <v>12697036.804081382</v>
      </c>
      <c r="J816" s="38">
        <f t="shared" si="62"/>
        <v>7651158.1959186178</v>
      </c>
      <c r="K816" s="38" t="s">
        <v>213</v>
      </c>
      <c r="L816" s="38" t="str">
        <f t="shared" si="63"/>
        <v/>
      </c>
      <c r="M816" s="41">
        <f>VLOOKUP(INDICADORES!$B$21,'DATOS GENERALES'!$K:$M,3,0)*F816</f>
        <v>138490.35014906025</v>
      </c>
      <c r="N816" s="38" t="str">
        <f t="shared" si="64"/>
        <v/>
      </c>
      <c r="O816" s="36"/>
      <c r="P816" s="36"/>
      <c r="Q816" s="36"/>
    </row>
    <row r="817" spans="1:17" x14ac:dyDescent="0.25">
      <c r="A817" s="36">
        <v>1860</v>
      </c>
      <c r="B817" s="37">
        <v>43922</v>
      </c>
      <c r="C817" s="37">
        <v>43959.584163064406</v>
      </c>
      <c r="D817" s="36" t="s">
        <v>195</v>
      </c>
      <c r="E817" s="36"/>
      <c r="F817" s="38">
        <v>20348195</v>
      </c>
      <c r="G817" s="40">
        <f>VLOOKUP(A817,'DATOS GENERALES'!A:B,2,0)</f>
        <v>1.61</v>
      </c>
      <c r="H817" s="36">
        <f t="shared" si="60"/>
        <v>1.6025940000000001</v>
      </c>
      <c r="I817" s="38">
        <f t="shared" si="61"/>
        <v>12697036.804081382</v>
      </c>
      <c r="J817" s="38">
        <f t="shared" si="62"/>
        <v>7651158.1959186178</v>
      </c>
      <c r="K817" s="38" t="s">
        <v>213</v>
      </c>
      <c r="L817" s="38" t="str">
        <f t="shared" si="63"/>
        <v/>
      </c>
      <c r="M817" s="41">
        <f>VLOOKUP(INDICADORES!$B$21,'DATOS GENERALES'!$K:$M,3,0)*F817</f>
        <v>138490.35014906025</v>
      </c>
      <c r="N817" s="38" t="str">
        <f t="shared" si="64"/>
        <v/>
      </c>
      <c r="O817" s="36"/>
      <c r="P817" s="36"/>
      <c r="Q817" s="36"/>
    </row>
    <row r="818" spans="1:17" x14ac:dyDescent="0.25">
      <c r="A818" s="36">
        <v>1860</v>
      </c>
      <c r="B818" s="37">
        <v>43952</v>
      </c>
      <c r="C818" s="37">
        <v>43994.923058514163</v>
      </c>
      <c r="D818" s="36" t="s">
        <v>195</v>
      </c>
      <c r="E818" s="36"/>
      <c r="F818" s="38">
        <v>20348195</v>
      </c>
      <c r="G818" s="40">
        <f>VLOOKUP(A818,'DATOS GENERALES'!A:B,2,0)</f>
        <v>1.61</v>
      </c>
      <c r="H818" s="36">
        <f t="shared" si="60"/>
        <v>1.6025940000000001</v>
      </c>
      <c r="I818" s="38">
        <f t="shared" si="61"/>
        <v>12697036.804081382</v>
      </c>
      <c r="J818" s="38">
        <f t="shared" si="62"/>
        <v>7651158.1959186178</v>
      </c>
      <c r="K818" s="38" t="s">
        <v>213</v>
      </c>
      <c r="L818" s="38" t="str">
        <f t="shared" si="63"/>
        <v/>
      </c>
      <c r="M818" s="41">
        <f>VLOOKUP(INDICADORES!$B$21,'DATOS GENERALES'!$K:$M,3,0)*F818</f>
        <v>138490.35014906025</v>
      </c>
      <c r="N818" s="38" t="str">
        <f t="shared" si="64"/>
        <v/>
      </c>
      <c r="O818" s="36"/>
      <c r="P818" s="36"/>
      <c r="Q818" s="36"/>
    </row>
    <row r="819" spans="1:17" x14ac:dyDescent="0.25">
      <c r="A819" s="36">
        <v>1860</v>
      </c>
      <c r="B819" s="37">
        <v>43983</v>
      </c>
      <c r="C819" s="37">
        <v>44093.802251105182</v>
      </c>
      <c r="D819" s="36" t="s">
        <v>195</v>
      </c>
      <c r="E819" s="36"/>
      <c r="F819" s="38">
        <v>20348195</v>
      </c>
      <c r="G819" s="40">
        <f>VLOOKUP(A819,'DATOS GENERALES'!A:B,2,0)</f>
        <v>1.61</v>
      </c>
      <c r="H819" s="36">
        <f t="shared" si="60"/>
        <v>1.6025940000000001</v>
      </c>
      <c r="I819" s="38">
        <f t="shared" si="61"/>
        <v>12697036.804081382</v>
      </c>
      <c r="J819" s="38">
        <f t="shared" si="62"/>
        <v>7651158.1959186178</v>
      </c>
      <c r="K819" s="38" t="s">
        <v>213</v>
      </c>
      <c r="L819" s="38" t="str">
        <f t="shared" si="63"/>
        <v/>
      </c>
      <c r="M819" s="41">
        <f>VLOOKUP(INDICADORES!$B$21,'DATOS GENERALES'!$K:$M,3,0)*F819</f>
        <v>138490.35014906025</v>
      </c>
      <c r="N819" s="38" t="str">
        <f t="shared" si="64"/>
        <v/>
      </c>
      <c r="O819" s="36"/>
      <c r="P819" s="36"/>
      <c r="Q819" s="36"/>
    </row>
    <row r="820" spans="1:17" x14ac:dyDescent="0.25">
      <c r="A820" s="36">
        <v>1860</v>
      </c>
      <c r="B820" s="37">
        <v>44013</v>
      </c>
      <c r="C820" s="37">
        <v>44093.931931857267</v>
      </c>
      <c r="D820" s="36" t="s">
        <v>195</v>
      </c>
      <c r="E820" s="36"/>
      <c r="F820" s="38">
        <v>20348195</v>
      </c>
      <c r="G820" s="40">
        <f>VLOOKUP(A820,'DATOS GENERALES'!A:B,2,0)</f>
        <v>1.61</v>
      </c>
      <c r="H820" s="36">
        <f t="shared" si="60"/>
        <v>1.6025940000000001</v>
      </c>
      <c r="I820" s="38">
        <f t="shared" si="61"/>
        <v>12697036.804081382</v>
      </c>
      <c r="J820" s="38">
        <f t="shared" si="62"/>
        <v>7651158.1959186178</v>
      </c>
      <c r="K820" s="38" t="s">
        <v>213</v>
      </c>
      <c r="L820" s="38" t="str">
        <f t="shared" si="63"/>
        <v/>
      </c>
      <c r="M820" s="41">
        <f>VLOOKUP(INDICADORES!$B$21,'DATOS GENERALES'!$K:$M,3,0)*F820</f>
        <v>138490.35014906025</v>
      </c>
      <c r="N820" s="38" t="str">
        <f t="shared" si="64"/>
        <v/>
      </c>
      <c r="O820" s="36"/>
      <c r="P820" s="36"/>
      <c r="Q820" s="36"/>
    </row>
    <row r="821" spans="1:17" x14ac:dyDescent="0.25">
      <c r="A821" s="36">
        <v>1860</v>
      </c>
      <c r="B821" s="37">
        <v>44044</v>
      </c>
      <c r="C821" s="37">
        <v>44081.421073110905</v>
      </c>
      <c r="D821" s="36" t="s">
        <v>195</v>
      </c>
      <c r="E821" s="36"/>
      <c r="F821" s="38">
        <v>24271520</v>
      </c>
      <c r="G821" s="40">
        <f>VLOOKUP(A821,'DATOS GENERALES'!A:B,2,0)</f>
        <v>1.61</v>
      </c>
      <c r="H821" s="36">
        <f t="shared" si="60"/>
        <v>1.6025940000000001</v>
      </c>
      <c r="I821" s="38">
        <f t="shared" si="61"/>
        <v>15145145.932157489</v>
      </c>
      <c r="J821" s="38">
        <f t="shared" si="62"/>
        <v>9126374.0678425115</v>
      </c>
      <c r="K821" s="38" t="s">
        <v>213</v>
      </c>
      <c r="L821" s="38" t="str">
        <f t="shared" si="63"/>
        <v/>
      </c>
      <c r="M821" s="41">
        <f>VLOOKUP(INDICADORES!$B$21,'DATOS GENERALES'!$K:$M,3,0)*F821</f>
        <v>165192.60324809738</v>
      </c>
      <c r="N821" s="38" t="str">
        <f t="shared" si="64"/>
        <v/>
      </c>
      <c r="O821" s="36"/>
      <c r="P821" s="36"/>
      <c r="Q821" s="36"/>
    </row>
    <row r="822" spans="1:17" x14ac:dyDescent="0.25">
      <c r="A822" s="36">
        <v>1860</v>
      </c>
      <c r="B822" s="37">
        <v>44075</v>
      </c>
      <c r="C822" s="37">
        <v>44148.263208894525</v>
      </c>
      <c r="D822" s="36" t="s">
        <v>195</v>
      </c>
      <c r="E822" s="36"/>
      <c r="F822" s="38">
        <v>24271520</v>
      </c>
      <c r="G822" s="40">
        <f>VLOOKUP(A822,'DATOS GENERALES'!A:B,2,0)</f>
        <v>1.61</v>
      </c>
      <c r="H822" s="36">
        <f t="shared" si="60"/>
        <v>1.6025940000000001</v>
      </c>
      <c r="I822" s="38">
        <f t="shared" si="61"/>
        <v>15145145.932157489</v>
      </c>
      <c r="J822" s="38">
        <f t="shared" si="62"/>
        <v>9126374.0678425115</v>
      </c>
      <c r="K822" s="38" t="s">
        <v>213</v>
      </c>
      <c r="L822" s="38" t="str">
        <f t="shared" si="63"/>
        <v/>
      </c>
      <c r="M822" s="41">
        <f>VLOOKUP(INDICADORES!$B$21,'DATOS GENERALES'!$K:$M,3,0)*F822</f>
        <v>165192.60324809738</v>
      </c>
      <c r="N822" s="38" t="str">
        <f t="shared" si="64"/>
        <v/>
      </c>
      <c r="O822" s="36"/>
      <c r="P822" s="36"/>
      <c r="Q822" s="36"/>
    </row>
    <row r="823" spans="1:17" x14ac:dyDescent="0.25">
      <c r="A823" s="36">
        <v>1860</v>
      </c>
      <c r="B823" s="37">
        <v>44105</v>
      </c>
      <c r="C823" s="37">
        <v>44131.666566345557</v>
      </c>
      <c r="D823" s="36" t="s">
        <v>195</v>
      </c>
      <c r="E823" s="36"/>
      <c r="F823" s="38">
        <v>24271520</v>
      </c>
      <c r="G823" s="40">
        <f>VLOOKUP(A823,'DATOS GENERALES'!A:B,2,0)</f>
        <v>1.61</v>
      </c>
      <c r="H823" s="36">
        <f t="shared" si="60"/>
        <v>1.6025940000000001</v>
      </c>
      <c r="I823" s="38">
        <f t="shared" si="61"/>
        <v>15145145.932157489</v>
      </c>
      <c r="J823" s="38">
        <f t="shared" si="62"/>
        <v>9126374.0678425115</v>
      </c>
      <c r="K823" s="38" t="s">
        <v>213</v>
      </c>
      <c r="L823" s="38" t="str">
        <f t="shared" si="63"/>
        <v/>
      </c>
      <c r="M823" s="41">
        <f>VLOOKUP(INDICADORES!$B$21,'DATOS GENERALES'!$K:$M,3,0)*F823</f>
        <v>165192.60324809738</v>
      </c>
      <c r="N823" s="38" t="str">
        <f t="shared" si="64"/>
        <v/>
      </c>
      <c r="O823" s="36"/>
      <c r="P823" s="36"/>
      <c r="Q823" s="36"/>
    </row>
    <row r="824" spans="1:17" x14ac:dyDescent="0.25">
      <c r="A824" s="36">
        <v>1860</v>
      </c>
      <c r="B824" s="37">
        <v>44136</v>
      </c>
      <c r="C824" s="37">
        <v>44203.272465471309</v>
      </c>
      <c r="D824" s="36" t="s">
        <v>195</v>
      </c>
      <c r="E824" s="36"/>
      <c r="F824" s="38">
        <v>24271520</v>
      </c>
      <c r="G824" s="40">
        <f>VLOOKUP(A824,'DATOS GENERALES'!A:B,2,0)</f>
        <v>1.61</v>
      </c>
      <c r="H824" s="36">
        <f t="shared" si="60"/>
        <v>1.6025940000000001</v>
      </c>
      <c r="I824" s="38">
        <f t="shared" si="61"/>
        <v>15145145.932157489</v>
      </c>
      <c r="J824" s="38">
        <f t="shared" si="62"/>
        <v>9126374.0678425115</v>
      </c>
      <c r="K824" s="38" t="s">
        <v>213</v>
      </c>
      <c r="L824" s="38" t="str">
        <f t="shared" si="63"/>
        <v/>
      </c>
      <c r="M824" s="41">
        <f>VLOOKUP(INDICADORES!$B$21,'DATOS GENERALES'!$K:$M,3,0)*F824</f>
        <v>165192.60324809738</v>
      </c>
      <c r="N824" s="38" t="str">
        <f t="shared" si="64"/>
        <v/>
      </c>
      <c r="O824" s="36"/>
      <c r="P824" s="36"/>
      <c r="Q824" s="36"/>
    </row>
    <row r="825" spans="1:17" x14ac:dyDescent="0.25">
      <c r="A825" s="36">
        <v>1860</v>
      </c>
      <c r="B825" s="37">
        <v>44166</v>
      </c>
      <c r="C825" s="37">
        <v>44176.633070086522</v>
      </c>
      <c r="D825" s="36" t="s">
        <v>195</v>
      </c>
      <c r="E825" s="36"/>
      <c r="F825" s="38">
        <v>24271520</v>
      </c>
      <c r="G825" s="40">
        <f>VLOOKUP(A825,'DATOS GENERALES'!A:B,2,0)</f>
        <v>1.61</v>
      </c>
      <c r="H825" s="36">
        <f t="shared" si="60"/>
        <v>1.6025940000000001</v>
      </c>
      <c r="I825" s="38">
        <f t="shared" si="61"/>
        <v>15145145.932157489</v>
      </c>
      <c r="J825" s="38">
        <f t="shared" si="62"/>
        <v>9126374.0678425115</v>
      </c>
      <c r="K825" s="38" t="s">
        <v>213</v>
      </c>
      <c r="L825" s="38" t="str">
        <f t="shared" si="63"/>
        <v/>
      </c>
      <c r="M825" s="41">
        <f>VLOOKUP(INDICADORES!$B$21,'DATOS GENERALES'!$K:$M,3,0)*F825</f>
        <v>165192.60324809738</v>
      </c>
      <c r="N825" s="38" t="str">
        <f t="shared" si="64"/>
        <v/>
      </c>
      <c r="O825" s="36"/>
      <c r="P825" s="36"/>
      <c r="Q825" s="36"/>
    </row>
    <row r="826" spans="1:17" x14ac:dyDescent="0.25">
      <c r="A826" s="36">
        <v>1860</v>
      </c>
      <c r="B826" s="37">
        <v>44197</v>
      </c>
      <c r="C826" s="37">
        <v>44265.967141794834</v>
      </c>
      <c r="D826" s="36" t="s">
        <v>195</v>
      </c>
      <c r="E826" s="36"/>
      <c r="F826" s="38">
        <v>24271520</v>
      </c>
      <c r="G826" s="40">
        <f>VLOOKUP(A826,'DATOS GENERALES'!A:B,2,0)</f>
        <v>1.61</v>
      </c>
      <c r="H826" s="36">
        <f t="shared" si="60"/>
        <v>1.6025940000000001</v>
      </c>
      <c r="I826" s="38">
        <f t="shared" si="61"/>
        <v>15145145.932157489</v>
      </c>
      <c r="J826" s="38">
        <f t="shared" si="62"/>
        <v>9126374.0678425115</v>
      </c>
      <c r="K826" s="38" t="s">
        <v>213</v>
      </c>
      <c r="L826" s="38" t="str">
        <f t="shared" si="63"/>
        <v/>
      </c>
      <c r="M826" s="41">
        <f>VLOOKUP(INDICADORES!$B$21,'DATOS GENERALES'!$K:$M,3,0)*F826</f>
        <v>165192.60324809738</v>
      </c>
      <c r="N826" s="38" t="str">
        <f t="shared" si="64"/>
        <v/>
      </c>
      <c r="O826" s="36"/>
      <c r="P826" s="36"/>
      <c r="Q826" s="36"/>
    </row>
    <row r="827" spans="1:17" x14ac:dyDescent="0.25">
      <c r="A827" s="36">
        <v>1860</v>
      </c>
      <c r="B827" s="37">
        <v>44228</v>
      </c>
      <c r="C827" s="37">
        <v>44305.526387638041</v>
      </c>
      <c r="D827" s="36" t="s">
        <v>195</v>
      </c>
      <c r="E827" s="36"/>
      <c r="F827" s="38">
        <v>24271520</v>
      </c>
      <c r="G827" s="40">
        <f>VLOOKUP(A827,'DATOS GENERALES'!A:B,2,0)</f>
        <v>1.61</v>
      </c>
      <c r="H827" s="36">
        <f t="shared" si="60"/>
        <v>1.6025940000000001</v>
      </c>
      <c r="I827" s="38">
        <f t="shared" si="61"/>
        <v>15145145.932157489</v>
      </c>
      <c r="J827" s="38">
        <f t="shared" si="62"/>
        <v>9126374.0678425115</v>
      </c>
      <c r="K827" s="38" t="s">
        <v>213</v>
      </c>
      <c r="L827" s="38" t="str">
        <f t="shared" si="63"/>
        <v/>
      </c>
      <c r="M827" s="41">
        <f>VLOOKUP(INDICADORES!$B$21,'DATOS GENERALES'!$K:$M,3,0)*F827</f>
        <v>165192.60324809738</v>
      </c>
      <c r="N827" s="38" t="str">
        <f t="shared" si="64"/>
        <v/>
      </c>
      <c r="O827" s="36"/>
      <c r="P827" s="36"/>
      <c r="Q827" s="36"/>
    </row>
    <row r="828" spans="1:17" x14ac:dyDescent="0.25">
      <c r="A828" s="36">
        <v>1860</v>
      </c>
      <c r="B828" s="37">
        <v>44256</v>
      </c>
      <c r="C828" s="37">
        <v>44326.757790732569</v>
      </c>
      <c r="D828" s="36" t="s">
        <v>195</v>
      </c>
      <c r="E828" s="36"/>
      <c r="F828" s="38">
        <v>24271520</v>
      </c>
      <c r="G828" s="40">
        <f>VLOOKUP(A828,'DATOS GENERALES'!A:B,2,0)</f>
        <v>1.61</v>
      </c>
      <c r="H828" s="36">
        <f t="shared" si="60"/>
        <v>1.6025940000000001</v>
      </c>
      <c r="I828" s="38">
        <f t="shared" si="61"/>
        <v>15145145.932157489</v>
      </c>
      <c r="J828" s="38">
        <f t="shared" si="62"/>
        <v>9126374.0678425115</v>
      </c>
      <c r="K828" s="38" t="s">
        <v>213</v>
      </c>
      <c r="L828" s="38" t="str">
        <f t="shared" si="63"/>
        <v/>
      </c>
      <c r="M828" s="41">
        <f>VLOOKUP(INDICADORES!$B$21,'DATOS GENERALES'!$K:$M,3,0)*F828</f>
        <v>165192.60324809738</v>
      </c>
      <c r="N828" s="38" t="str">
        <f t="shared" si="64"/>
        <v/>
      </c>
      <c r="O828" s="36"/>
      <c r="P828" s="36"/>
      <c r="Q828" s="36"/>
    </row>
    <row r="829" spans="1:17" x14ac:dyDescent="0.25">
      <c r="A829" s="36">
        <v>1860</v>
      </c>
      <c r="B829" s="37">
        <v>44287</v>
      </c>
      <c r="C829" s="37">
        <v>44341.954597552904</v>
      </c>
      <c r="D829" s="36" t="s">
        <v>195</v>
      </c>
      <c r="E829" s="36"/>
      <c r="F829" s="38">
        <v>19513445</v>
      </c>
      <c r="G829" s="40">
        <f>VLOOKUP(A829,'DATOS GENERALES'!A:B,2,0)</f>
        <v>1.61</v>
      </c>
      <c r="H829" s="36">
        <f t="shared" si="60"/>
        <v>1.6025940000000001</v>
      </c>
      <c r="I829" s="38">
        <f t="shared" si="61"/>
        <v>12176162.521511998</v>
      </c>
      <c r="J829" s="38">
        <f t="shared" si="62"/>
        <v>7337282.478488002</v>
      </c>
      <c r="K829" s="38" t="s">
        <v>213</v>
      </c>
      <c r="L829" s="38" t="str">
        <f t="shared" si="63"/>
        <v/>
      </c>
      <c r="M829" s="41">
        <f>VLOOKUP(INDICADORES!$B$21,'DATOS GENERALES'!$K:$M,3,0)*F829</f>
        <v>132809.0197024566</v>
      </c>
      <c r="N829" s="38" t="str">
        <f t="shared" si="64"/>
        <v/>
      </c>
      <c r="O829" s="36"/>
      <c r="P829" s="36"/>
      <c r="Q829" s="36"/>
    </row>
    <row r="830" spans="1:17" x14ac:dyDescent="0.25">
      <c r="A830" s="36">
        <v>1860</v>
      </c>
      <c r="B830" s="37">
        <v>44317</v>
      </c>
      <c r="C830" s="37">
        <v>44389.904216684394</v>
      </c>
      <c r="D830" s="36" t="s">
        <v>195</v>
      </c>
      <c r="E830" s="36"/>
      <c r="F830" s="38">
        <v>3923324.9999999995</v>
      </c>
      <c r="G830" s="40">
        <f>VLOOKUP(A830,'DATOS GENERALES'!A:B,2,0)</f>
        <v>1.61</v>
      </c>
      <c r="H830" s="36">
        <f t="shared" si="60"/>
        <v>1.6025940000000001</v>
      </c>
      <c r="I830" s="38">
        <f t="shared" si="61"/>
        <v>2448109.1280761063</v>
      </c>
      <c r="J830" s="38">
        <f t="shared" si="62"/>
        <v>1475215.8719238932</v>
      </c>
      <c r="K830" s="38" t="s">
        <v>213</v>
      </c>
      <c r="L830" s="38" t="str">
        <f t="shared" si="63"/>
        <v/>
      </c>
      <c r="M830" s="41">
        <f>VLOOKUP(INDICADORES!$B$21,'DATOS GENERALES'!$K:$M,3,0)*F830</f>
        <v>26702.253099037127</v>
      </c>
      <c r="N830" s="38" t="str">
        <f t="shared" si="64"/>
        <v/>
      </c>
      <c r="O830" s="36"/>
      <c r="P830" s="36"/>
      <c r="Q830" s="36"/>
    </row>
    <row r="831" spans="1:17" x14ac:dyDescent="0.25">
      <c r="A831" s="36">
        <v>1860</v>
      </c>
      <c r="B831" s="37">
        <v>44348</v>
      </c>
      <c r="C831" s="37">
        <v>44404.322477647263</v>
      </c>
      <c r="D831" s="36" t="s">
        <v>195</v>
      </c>
      <c r="E831" s="36"/>
      <c r="F831" s="38">
        <v>3923324.9999999995</v>
      </c>
      <c r="G831" s="40">
        <f>VLOOKUP(A831,'DATOS GENERALES'!A:B,2,0)</f>
        <v>1.61</v>
      </c>
      <c r="H831" s="36">
        <f t="shared" si="60"/>
        <v>1.6025940000000001</v>
      </c>
      <c r="I831" s="38">
        <f t="shared" si="61"/>
        <v>2448109.1280761063</v>
      </c>
      <c r="J831" s="38">
        <f t="shared" si="62"/>
        <v>1475215.8719238932</v>
      </c>
      <c r="K831" s="38" t="s">
        <v>213</v>
      </c>
      <c r="L831" s="38" t="str">
        <f t="shared" si="63"/>
        <v/>
      </c>
      <c r="M831" s="41">
        <f>VLOOKUP(INDICADORES!$B$21,'DATOS GENERALES'!$K:$M,3,0)*F831</f>
        <v>26702.253099037127</v>
      </c>
      <c r="N831" s="38" t="str">
        <f t="shared" si="64"/>
        <v/>
      </c>
      <c r="O831" s="36"/>
      <c r="P831" s="36"/>
      <c r="Q831" s="36"/>
    </row>
    <row r="832" spans="1:17" x14ac:dyDescent="0.25">
      <c r="A832" s="36">
        <v>1860</v>
      </c>
      <c r="B832" s="37">
        <v>44378</v>
      </c>
      <c r="C832" s="37">
        <v>44466.407211817859</v>
      </c>
      <c r="D832" s="36" t="s">
        <v>195</v>
      </c>
      <c r="E832" s="36"/>
      <c r="F832" s="38">
        <v>3923324.9999999995</v>
      </c>
      <c r="G832" s="40">
        <f>VLOOKUP(A832,'DATOS GENERALES'!A:B,2,0)</f>
        <v>1.61</v>
      </c>
      <c r="H832" s="36">
        <f t="shared" si="60"/>
        <v>1.6025940000000001</v>
      </c>
      <c r="I832" s="38">
        <f t="shared" si="61"/>
        <v>2448109.1280761063</v>
      </c>
      <c r="J832" s="38">
        <f t="shared" si="62"/>
        <v>1475215.8719238932</v>
      </c>
      <c r="K832" s="38" t="s">
        <v>213</v>
      </c>
      <c r="L832" s="38" t="str">
        <f t="shared" si="63"/>
        <v/>
      </c>
      <c r="M832" s="41">
        <f>VLOOKUP(INDICADORES!$B$21,'DATOS GENERALES'!$K:$M,3,0)*F832</f>
        <v>26702.253099037127</v>
      </c>
      <c r="N832" s="38" t="str">
        <f t="shared" si="64"/>
        <v/>
      </c>
      <c r="O832" s="36"/>
      <c r="P832" s="36"/>
      <c r="Q832" s="36"/>
    </row>
    <row r="833" spans="1:17" x14ac:dyDescent="0.25">
      <c r="A833" s="36">
        <v>1861</v>
      </c>
      <c r="B833" s="37">
        <v>43466</v>
      </c>
      <c r="C833" s="37">
        <v>43563.333585046224</v>
      </c>
      <c r="D833" s="36" t="s">
        <v>195</v>
      </c>
      <c r="E833" s="36"/>
      <c r="F833" s="38">
        <v>195728607.46069998</v>
      </c>
      <c r="G833" s="40">
        <f>VLOOKUP(A833,'DATOS GENERALES'!A:B,2,0)</f>
        <v>2.2200000000000002</v>
      </c>
      <c r="H833" s="36">
        <f t="shared" si="60"/>
        <v>2.2097880000000001</v>
      </c>
      <c r="I833" s="38">
        <f t="shared" si="61"/>
        <v>88573477.392718196</v>
      </c>
      <c r="J833" s="38">
        <f t="shared" si="62"/>
        <v>107155130.06798178</v>
      </c>
      <c r="K833" s="38">
        <v>19434645.79994132</v>
      </c>
      <c r="L833" s="38">
        <f t="shared" si="63"/>
        <v>87720484.268040463</v>
      </c>
      <c r="M833" s="41">
        <f>VLOOKUP(INDICADORES!$B$21,'DATOS GENERALES'!$K:$M,3,0)*F833</f>
        <v>1332134.0483232201</v>
      </c>
      <c r="N833" s="38">
        <f t="shared" si="64"/>
        <v>86388350.219717249</v>
      </c>
      <c r="O833" s="36"/>
      <c r="P833" s="36"/>
      <c r="Q833" s="36"/>
    </row>
    <row r="834" spans="1:17" x14ac:dyDescent="0.25">
      <c r="A834" s="36">
        <v>1861</v>
      </c>
      <c r="B834" s="37">
        <v>43497</v>
      </c>
      <c r="C834" s="37">
        <v>43546.637806872423</v>
      </c>
      <c r="D834" s="36" t="s">
        <v>195</v>
      </c>
      <c r="E834" s="36"/>
      <c r="F834" s="38">
        <v>195728607.46069998</v>
      </c>
      <c r="G834" s="40">
        <f>VLOOKUP(A834,'DATOS GENERALES'!A:B,2,0)</f>
        <v>2.2200000000000002</v>
      </c>
      <c r="H834" s="36">
        <f t="shared" si="60"/>
        <v>2.2097880000000001</v>
      </c>
      <c r="I834" s="38">
        <f t="shared" si="61"/>
        <v>88573477.392718196</v>
      </c>
      <c r="J834" s="38">
        <f t="shared" si="62"/>
        <v>107155130.06798178</v>
      </c>
      <c r="K834" s="38">
        <v>19145852.213183776</v>
      </c>
      <c r="L834" s="38">
        <f t="shared" si="63"/>
        <v>88009277.854798004</v>
      </c>
      <c r="M834" s="41">
        <f>VLOOKUP(INDICADORES!$B$21,'DATOS GENERALES'!$K:$M,3,0)*F834</f>
        <v>1332134.0483232201</v>
      </c>
      <c r="N834" s="38">
        <f t="shared" si="64"/>
        <v>86677143.80647479</v>
      </c>
      <c r="O834" s="36"/>
      <c r="P834" s="36"/>
      <c r="Q834" s="36"/>
    </row>
    <row r="835" spans="1:17" x14ac:dyDescent="0.25">
      <c r="A835" s="36">
        <v>1861</v>
      </c>
      <c r="B835" s="37">
        <v>43525</v>
      </c>
      <c r="C835" s="37">
        <v>43582.559073872915</v>
      </c>
      <c r="D835" s="36" t="s">
        <v>195</v>
      </c>
      <c r="E835" s="36"/>
      <c r="F835" s="38">
        <v>195728607.46069998</v>
      </c>
      <c r="G835" s="40">
        <f>VLOOKUP(A835,'DATOS GENERALES'!A:B,2,0)</f>
        <v>2.2200000000000002</v>
      </c>
      <c r="H835" s="36">
        <f t="shared" ref="H835:H898" si="65">G835*0.9954</f>
        <v>2.2097880000000001</v>
      </c>
      <c r="I835" s="38">
        <f t="shared" ref="I835:I898" si="66">F835/H835</f>
        <v>88573477.392718196</v>
      </c>
      <c r="J835" s="38">
        <f t="shared" ref="J835:J898" si="67">F835-I835</f>
        <v>107155130.06798178</v>
      </c>
      <c r="K835" s="38">
        <v>13851786.612763651</v>
      </c>
      <c r="L835" s="38">
        <f t="shared" ref="L835:L898" si="68">IFERROR(J835-K835,"")</f>
        <v>93303343.455218136</v>
      </c>
      <c r="M835" s="41">
        <f>VLOOKUP(INDICADORES!$B$21,'DATOS GENERALES'!$K:$M,3,0)*F835</f>
        <v>1332134.0483232201</v>
      </c>
      <c r="N835" s="38">
        <f t="shared" ref="N835:N898" si="69">IFERROR(L835-M835,"")</f>
        <v>91971209.406894922</v>
      </c>
      <c r="O835" s="36"/>
      <c r="P835" s="36"/>
      <c r="Q835" s="36"/>
    </row>
    <row r="836" spans="1:17" x14ac:dyDescent="0.25">
      <c r="A836" s="36">
        <v>1861</v>
      </c>
      <c r="B836" s="37">
        <v>43556</v>
      </c>
      <c r="C836" s="37">
        <v>43615.739854292558</v>
      </c>
      <c r="D836" s="36" t="s">
        <v>195</v>
      </c>
      <c r="E836" s="36"/>
      <c r="F836" s="38">
        <v>131698607.46069999</v>
      </c>
      <c r="G836" s="40">
        <f>VLOOKUP(A836,'DATOS GENERALES'!A:B,2,0)</f>
        <v>2.2200000000000002</v>
      </c>
      <c r="H836" s="36">
        <f t="shared" si="65"/>
        <v>2.2097880000000001</v>
      </c>
      <c r="I836" s="38">
        <f t="shared" si="66"/>
        <v>59597847.151265182</v>
      </c>
      <c r="J836" s="38">
        <f t="shared" si="67"/>
        <v>72100760.309434801</v>
      </c>
      <c r="K836" s="38">
        <v>9582032.1388600152</v>
      </c>
      <c r="L836" s="38">
        <f t="shared" si="68"/>
        <v>62518728.170574784</v>
      </c>
      <c r="M836" s="41">
        <f>VLOOKUP(INDICADORES!$B$21,'DATOS GENERALES'!$K:$M,3,0)*F836</f>
        <v>896344.18489580916</v>
      </c>
      <c r="N836" s="38">
        <f t="shared" si="69"/>
        <v>61622383.985678978</v>
      </c>
      <c r="O836" s="36"/>
      <c r="P836" s="36"/>
      <c r="Q836" s="36"/>
    </row>
    <row r="837" spans="1:17" x14ac:dyDescent="0.25">
      <c r="A837" s="36">
        <v>1861</v>
      </c>
      <c r="B837" s="37">
        <v>43586</v>
      </c>
      <c r="C837" s="37">
        <v>43626.685760305991</v>
      </c>
      <c r="D837" s="36" t="s">
        <v>195</v>
      </c>
      <c r="E837" s="36"/>
      <c r="F837" s="38">
        <v>131698607.46069999</v>
      </c>
      <c r="G837" s="40">
        <f>VLOOKUP(A837,'DATOS GENERALES'!A:B,2,0)</f>
        <v>2.2200000000000002</v>
      </c>
      <c r="H837" s="36">
        <f t="shared" si="65"/>
        <v>2.2097880000000001</v>
      </c>
      <c r="I837" s="38">
        <f t="shared" si="66"/>
        <v>59597847.151265182</v>
      </c>
      <c r="J837" s="38">
        <f t="shared" si="67"/>
        <v>72100760.309434801</v>
      </c>
      <c r="K837" s="38">
        <v>7904506.4004531894</v>
      </c>
      <c r="L837" s="38">
        <f t="shared" si="68"/>
        <v>64196253.908981614</v>
      </c>
      <c r="M837" s="41">
        <f>VLOOKUP(INDICADORES!$B$21,'DATOS GENERALES'!$K:$M,3,0)*F837</f>
        <v>896344.18489580916</v>
      </c>
      <c r="N837" s="38">
        <f t="shared" si="69"/>
        <v>63299909.724085808</v>
      </c>
      <c r="O837" s="36"/>
      <c r="P837" s="36"/>
      <c r="Q837" s="36"/>
    </row>
    <row r="838" spans="1:17" x14ac:dyDescent="0.25">
      <c r="A838" s="36">
        <v>1861</v>
      </c>
      <c r="B838" s="37">
        <v>43617</v>
      </c>
      <c r="C838" s="37">
        <v>43652.206051647889</v>
      </c>
      <c r="D838" s="36" t="s">
        <v>195</v>
      </c>
      <c r="E838" s="36"/>
      <c r="F838" s="38">
        <v>131698607.46069999</v>
      </c>
      <c r="G838" s="40">
        <f>VLOOKUP(A838,'DATOS GENERALES'!A:B,2,0)</f>
        <v>2.2200000000000002</v>
      </c>
      <c r="H838" s="36">
        <f t="shared" si="65"/>
        <v>2.2097880000000001</v>
      </c>
      <c r="I838" s="38">
        <f t="shared" si="66"/>
        <v>59597847.151265182</v>
      </c>
      <c r="J838" s="38">
        <f t="shared" si="67"/>
        <v>72100760.309434801</v>
      </c>
      <c r="K838" s="38">
        <v>10629709.995992245</v>
      </c>
      <c r="L838" s="38">
        <f t="shared" si="68"/>
        <v>61471050.313442558</v>
      </c>
      <c r="M838" s="41">
        <f>VLOOKUP(INDICADORES!$B$21,'DATOS GENERALES'!$K:$M,3,0)*F838</f>
        <v>896344.18489580916</v>
      </c>
      <c r="N838" s="38">
        <f t="shared" si="69"/>
        <v>60574706.128546752</v>
      </c>
      <c r="O838" s="36"/>
      <c r="P838" s="36"/>
      <c r="Q838" s="36"/>
    </row>
    <row r="839" spans="1:17" x14ac:dyDescent="0.25">
      <c r="A839" s="36">
        <v>1861</v>
      </c>
      <c r="B839" s="37">
        <v>43647</v>
      </c>
      <c r="C839" s="37">
        <v>43695.62056073414</v>
      </c>
      <c r="D839" s="36" t="s">
        <v>195</v>
      </c>
      <c r="E839" s="36"/>
      <c r="F839" s="38">
        <v>131698607.46069999</v>
      </c>
      <c r="G839" s="40">
        <f>VLOOKUP(A839,'DATOS GENERALES'!A:B,2,0)</f>
        <v>2.2200000000000002</v>
      </c>
      <c r="H839" s="36">
        <f t="shared" si="65"/>
        <v>2.2097880000000001</v>
      </c>
      <c r="I839" s="38">
        <f t="shared" si="66"/>
        <v>59597847.151265182</v>
      </c>
      <c r="J839" s="38">
        <f t="shared" si="67"/>
        <v>72100760.309434801</v>
      </c>
      <c r="K839" s="38">
        <v>15852033.627370773</v>
      </c>
      <c r="L839" s="38">
        <f t="shared" si="68"/>
        <v>56248726.682064027</v>
      </c>
      <c r="M839" s="41">
        <f>VLOOKUP(INDICADORES!$B$21,'DATOS GENERALES'!$K:$M,3,0)*F839</f>
        <v>896344.18489580916</v>
      </c>
      <c r="N839" s="38">
        <f t="shared" si="69"/>
        <v>55352382.497168221</v>
      </c>
      <c r="O839" s="36"/>
      <c r="P839" s="36"/>
      <c r="Q839" s="36"/>
    </row>
    <row r="840" spans="1:17" x14ac:dyDescent="0.25">
      <c r="A840" s="36">
        <v>1861</v>
      </c>
      <c r="B840" s="37">
        <v>43678</v>
      </c>
      <c r="C840" s="37">
        <v>43717.260924934162</v>
      </c>
      <c r="D840" s="36" t="s">
        <v>195</v>
      </c>
      <c r="E840" s="36"/>
      <c r="F840" s="38">
        <v>131698607.46069999</v>
      </c>
      <c r="G840" s="40">
        <f>VLOOKUP(A840,'DATOS GENERALES'!A:B,2,0)</f>
        <v>2.2200000000000002</v>
      </c>
      <c r="H840" s="36">
        <f t="shared" si="65"/>
        <v>2.2097880000000001</v>
      </c>
      <c r="I840" s="38">
        <f t="shared" si="66"/>
        <v>59597847.151265182</v>
      </c>
      <c r="J840" s="38">
        <f t="shared" si="67"/>
        <v>72100760.309434801</v>
      </c>
      <c r="K840" s="38">
        <v>15598975.816511832</v>
      </c>
      <c r="L840" s="38">
        <f t="shared" si="68"/>
        <v>56501784.492922969</v>
      </c>
      <c r="M840" s="41">
        <f>VLOOKUP(INDICADORES!$B$21,'DATOS GENERALES'!$K:$M,3,0)*F840</f>
        <v>896344.18489580916</v>
      </c>
      <c r="N840" s="38">
        <f t="shared" si="69"/>
        <v>55605440.308027163</v>
      </c>
      <c r="O840" s="36"/>
      <c r="P840" s="36"/>
      <c r="Q840" s="36"/>
    </row>
    <row r="841" spans="1:17" x14ac:dyDescent="0.25">
      <c r="A841" s="36">
        <v>1861</v>
      </c>
      <c r="B841" s="37">
        <v>43709</v>
      </c>
      <c r="C841" s="37">
        <v>43763.130633370245</v>
      </c>
      <c r="D841" s="36" t="s">
        <v>195</v>
      </c>
      <c r="E841" s="36"/>
      <c r="F841" s="38">
        <v>131698607.46069999</v>
      </c>
      <c r="G841" s="40">
        <f>VLOOKUP(A841,'DATOS GENERALES'!A:B,2,0)</f>
        <v>2.2200000000000002</v>
      </c>
      <c r="H841" s="36">
        <f t="shared" si="65"/>
        <v>2.2097880000000001</v>
      </c>
      <c r="I841" s="38">
        <f t="shared" si="66"/>
        <v>59597847.151265182</v>
      </c>
      <c r="J841" s="38">
        <f t="shared" si="67"/>
        <v>72100760.309434801</v>
      </c>
      <c r="K841" s="38">
        <v>17629542.024561871</v>
      </c>
      <c r="L841" s="38">
        <f t="shared" si="68"/>
        <v>54471218.284872934</v>
      </c>
      <c r="M841" s="41">
        <f>VLOOKUP(INDICADORES!$B$21,'DATOS GENERALES'!$K:$M,3,0)*F841</f>
        <v>896344.18489580916</v>
      </c>
      <c r="N841" s="38">
        <f t="shared" si="69"/>
        <v>53574874.099977128</v>
      </c>
      <c r="O841" s="36"/>
      <c r="P841" s="36"/>
      <c r="Q841" s="36"/>
    </row>
    <row r="842" spans="1:17" x14ac:dyDescent="0.25">
      <c r="A842" s="36">
        <v>1861</v>
      </c>
      <c r="B842" s="37">
        <v>43739</v>
      </c>
      <c r="C842" s="37">
        <v>43803.856791434657</v>
      </c>
      <c r="D842" s="36" t="s">
        <v>195</v>
      </c>
      <c r="E842" s="36"/>
      <c r="F842" s="38">
        <v>131698607.46069999</v>
      </c>
      <c r="G842" s="40">
        <f>VLOOKUP(A842,'DATOS GENERALES'!A:B,2,0)</f>
        <v>2.2200000000000002</v>
      </c>
      <c r="H842" s="36">
        <f t="shared" si="65"/>
        <v>2.2097880000000001</v>
      </c>
      <c r="I842" s="38">
        <f t="shared" si="66"/>
        <v>59597847.151265182</v>
      </c>
      <c r="J842" s="38">
        <f t="shared" si="67"/>
        <v>72100760.309434801</v>
      </c>
      <c r="K842" s="38">
        <v>19064529.287253819</v>
      </c>
      <c r="L842" s="38">
        <f t="shared" si="68"/>
        <v>53036231.022180982</v>
      </c>
      <c r="M842" s="41">
        <f>VLOOKUP(INDICADORES!$B$21,'DATOS GENERALES'!$K:$M,3,0)*F842</f>
        <v>896344.18489580916</v>
      </c>
      <c r="N842" s="38">
        <f t="shared" si="69"/>
        <v>52139886.837285176</v>
      </c>
      <c r="O842" s="36"/>
      <c r="P842" s="36"/>
      <c r="Q842" s="36"/>
    </row>
    <row r="843" spans="1:17" x14ac:dyDescent="0.25">
      <c r="A843" s="36">
        <v>1861</v>
      </c>
      <c r="B843" s="37">
        <v>43770</v>
      </c>
      <c r="C843" s="37">
        <v>43861.844458759915</v>
      </c>
      <c r="D843" s="36" t="s">
        <v>195</v>
      </c>
      <c r="E843" s="36"/>
      <c r="F843" s="38">
        <v>131698607.46069999</v>
      </c>
      <c r="G843" s="40">
        <f>VLOOKUP(A843,'DATOS GENERALES'!A:B,2,0)</f>
        <v>2.2200000000000002</v>
      </c>
      <c r="H843" s="36">
        <f t="shared" si="65"/>
        <v>2.2097880000000001</v>
      </c>
      <c r="I843" s="38">
        <f t="shared" si="66"/>
        <v>59597847.151265182</v>
      </c>
      <c r="J843" s="38">
        <f t="shared" si="67"/>
        <v>72100760.309434801</v>
      </c>
      <c r="K843" s="38">
        <v>25497403.870326895</v>
      </c>
      <c r="L843" s="38">
        <f t="shared" si="68"/>
        <v>46603356.43910791</v>
      </c>
      <c r="M843" s="41">
        <f>VLOOKUP(INDICADORES!$B$21,'DATOS GENERALES'!$K:$M,3,0)*F843</f>
        <v>896344.18489580916</v>
      </c>
      <c r="N843" s="38">
        <f t="shared" si="69"/>
        <v>45707012.254212104</v>
      </c>
      <c r="O843" s="36"/>
      <c r="P843" s="36"/>
      <c r="Q843" s="36"/>
    </row>
    <row r="844" spans="1:17" x14ac:dyDescent="0.25">
      <c r="A844" s="36">
        <v>1861</v>
      </c>
      <c r="B844" s="37">
        <v>43800</v>
      </c>
      <c r="C844" s="37">
        <v>43845.744437870315</v>
      </c>
      <c r="D844" s="36" t="s">
        <v>195</v>
      </c>
      <c r="E844" s="36"/>
      <c r="F844" s="38">
        <v>131698607.46069999</v>
      </c>
      <c r="G844" s="40">
        <f>VLOOKUP(A844,'DATOS GENERALES'!A:B,2,0)</f>
        <v>2.2200000000000002</v>
      </c>
      <c r="H844" s="36">
        <f t="shared" si="65"/>
        <v>2.2097880000000001</v>
      </c>
      <c r="I844" s="38">
        <f t="shared" si="66"/>
        <v>59597847.151265182</v>
      </c>
      <c r="J844" s="38">
        <f t="shared" si="67"/>
        <v>72100760.309434801</v>
      </c>
      <c r="K844" s="38">
        <v>21468492.639632389</v>
      </c>
      <c r="L844" s="38">
        <f t="shared" si="68"/>
        <v>50632267.669802412</v>
      </c>
      <c r="M844" s="41">
        <f>VLOOKUP(INDICADORES!$B$21,'DATOS GENERALES'!$K:$M,3,0)*F844</f>
        <v>896344.18489580916</v>
      </c>
      <c r="N844" s="38">
        <f t="shared" si="69"/>
        <v>49735923.484906606</v>
      </c>
      <c r="O844" s="36"/>
      <c r="P844" s="36"/>
      <c r="Q844" s="36"/>
    </row>
    <row r="845" spans="1:17" x14ac:dyDescent="0.25">
      <c r="A845" s="36">
        <v>1861</v>
      </c>
      <c r="B845" s="37">
        <v>43831</v>
      </c>
      <c r="C845" s="37">
        <v>43903.80009980125</v>
      </c>
      <c r="D845" s="36" t="s">
        <v>195</v>
      </c>
      <c r="E845" s="36"/>
      <c r="F845" s="38">
        <v>127335452.6857</v>
      </c>
      <c r="G845" s="40">
        <f>VLOOKUP(A845,'DATOS GENERALES'!A:B,2,0)</f>
        <v>2.2200000000000002</v>
      </c>
      <c r="H845" s="36">
        <f t="shared" si="65"/>
        <v>2.2097880000000001</v>
      </c>
      <c r="I845" s="38">
        <f t="shared" si="66"/>
        <v>57623379.566591904</v>
      </c>
      <c r="J845" s="38">
        <f t="shared" si="67"/>
        <v>69712073.119108096</v>
      </c>
      <c r="K845" s="38" t="s">
        <v>213</v>
      </c>
      <c r="L845" s="38" t="str">
        <f t="shared" si="68"/>
        <v/>
      </c>
      <c r="M845" s="41">
        <f>VLOOKUP(INDICADORES!$B$21,'DATOS GENERALES'!$K:$M,3,0)*F845</f>
        <v>866648.4387844567</v>
      </c>
      <c r="N845" s="38" t="str">
        <f t="shared" si="69"/>
        <v/>
      </c>
      <c r="O845" s="36"/>
      <c r="P845" s="36"/>
      <c r="Q845" s="36"/>
    </row>
    <row r="846" spans="1:17" x14ac:dyDescent="0.25">
      <c r="A846" s="36">
        <v>1861</v>
      </c>
      <c r="B846" s="37">
        <v>43862</v>
      </c>
      <c r="C846" s="37">
        <v>43915.91903226696</v>
      </c>
      <c r="D846" s="36" t="s">
        <v>195</v>
      </c>
      <c r="E846" s="36"/>
      <c r="F846" s="38">
        <v>127335452.6857</v>
      </c>
      <c r="G846" s="40">
        <f>VLOOKUP(A846,'DATOS GENERALES'!A:B,2,0)</f>
        <v>2.2200000000000002</v>
      </c>
      <c r="H846" s="36">
        <f t="shared" si="65"/>
        <v>2.2097880000000001</v>
      </c>
      <c r="I846" s="38">
        <f t="shared" si="66"/>
        <v>57623379.566591904</v>
      </c>
      <c r="J846" s="38">
        <f t="shared" si="67"/>
        <v>69712073.119108096</v>
      </c>
      <c r="K846" s="38" t="s">
        <v>213</v>
      </c>
      <c r="L846" s="38" t="str">
        <f t="shared" si="68"/>
        <v/>
      </c>
      <c r="M846" s="41">
        <f>VLOOKUP(INDICADORES!$B$21,'DATOS GENERALES'!$K:$M,3,0)*F846</f>
        <v>866648.4387844567</v>
      </c>
      <c r="N846" s="38" t="str">
        <f t="shared" si="69"/>
        <v/>
      </c>
      <c r="O846" s="36"/>
      <c r="P846" s="36"/>
      <c r="Q846" s="36"/>
    </row>
    <row r="847" spans="1:17" x14ac:dyDescent="0.25">
      <c r="A847" s="36">
        <v>1861</v>
      </c>
      <c r="B847" s="37">
        <v>43891</v>
      </c>
      <c r="C847" s="37">
        <v>43926.528277772697</v>
      </c>
      <c r="D847" s="36" t="s">
        <v>195</v>
      </c>
      <c r="E847" s="36"/>
      <c r="F847" s="38">
        <v>127335452.6857</v>
      </c>
      <c r="G847" s="40">
        <f>VLOOKUP(A847,'DATOS GENERALES'!A:B,2,0)</f>
        <v>2.2200000000000002</v>
      </c>
      <c r="H847" s="36">
        <f t="shared" si="65"/>
        <v>2.2097880000000001</v>
      </c>
      <c r="I847" s="38">
        <f t="shared" si="66"/>
        <v>57623379.566591904</v>
      </c>
      <c r="J847" s="38">
        <f t="shared" si="67"/>
        <v>69712073.119108096</v>
      </c>
      <c r="K847" s="38" t="s">
        <v>213</v>
      </c>
      <c r="L847" s="38" t="str">
        <f t="shared" si="68"/>
        <v/>
      </c>
      <c r="M847" s="41">
        <f>VLOOKUP(INDICADORES!$B$21,'DATOS GENERALES'!$K:$M,3,0)*F847</f>
        <v>866648.4387844567</v>
      </c>
      <c r="N847" s="38" t="str">
        <f t="shared" si="69"/>
        <v/>
      </c>
      <c r="O847" s="36"/>
      <c r="P847" s="36"/>
      <c r="Q847" s="36"/>
    </row>
    <row r="848" spans="1:17" x14ac:dyDescent="0.25">
      <c r="A848" s="36">
        <v>1861</v>
      </c>
      <c r="B848" s="37">
        <v>43922</v>
      </c>
      <c r="C848" s="37">
        <v>43960.615320025034</v>
      </c>
      <c r="D848" s="36" t="s">
        <v>195</v>
      </c>
      <c r="E848" s="36"/>
      <c r="F848" s="38">
        <v>127335452.6857</v>
      </c>
      <c r="G848" s="40">
        <f>VLOOKUP(A848,'DATOS GENERALES'!A:B,2,0)</f>
        <v>2.2200000000000002</v>
      </c>
      <c r="H848" s="36">
        <f t="shared" si="65"/>
        <v>2.2097880000000001</v>
      </c>
      <c r="I848" s="38">
        <f t="shared" si="66"/>
        <v>57623379.566591904</v>
      </c>
      <c r="J848" s="38">
        <f t="shared" si="67"/>
        <v>69712073.119108096</v>
      </c>
      <c r="K848" s="38" t="s">
        <v>213</v>
      </c>
      <c r="L848" s="38" t="str">
        <f t="shared" si="68"/>
        <v/>
      </c>
      <c r="M848" s="41">
        <f>VLOOKUP(INDICADORES!$B$21,'DATOS GENERALES'!$K:$M,3,0)*F848</f>
        <v>866648.4387844567</v>
      </c>
      <c r="N848" s="38" t="str">
        <f t="shared" si="69"/>
        <v/>
      </c>
      <c r="O848" s="36"/>
      <c r="P848" s="36"/>
      <c r="Q848" s="36"/>
    </row>
    <row r="849" spans="1:17" x14ac:dyDescent="0.25">
      <c r="A849" s="36">
        <v>1861</v>
      </c>
      <c r="B849" s="37">
        <v>43952</v>
      </c>
      <c r="C849" s="37">
        <v>44017.478940492692</v>
      </c>
      <c r="D849" s="36" t="s">
        <v>195</v>
      </c>
      <c r="E849" s="36"/>
      <c r="F849" s="38">
        <v>127335452.6857</v>
      </c>
      <c r="G849" s="40">
        <f>VLOOKUP(A849,'DATOS GENERALES'!A:B,2,0)</f>
        <v>2.2200000000000002</v>
      </c>
      <c r="H849" s="36">
        <f t="shared" si="65"/>
        <v>2.2097880000000001</v>
      </c>
      <c r="I849" s="38">
        <f t="shared" si="66"/>
        <v>57623379.566591904</v>
      </c>
      <c r="J849" s="38">
        <f t="shared" si="67"/>
        <v>69712073.119108096</v>
      </c>
      <c r="K849" s="38" t="s">
        <v>213</v>
      </c>
      <c r="L849" s="38" t="str">
        <f t="shared" si="68"/>
        <v/>
      </c>
      <c r="M849" s="41">
        <f>VLOOKUP(INDICADORES!$B$21,'DATOS GENERALES'!$K:$M,3,0)*F849</f>
        <v>866648.4387844567</v>
      </c>
      <c r="N849" s="38" t="str">
        <f t="shared" si="69"/>
        <v/>
      </c>
      <c r="O849" s="36"/>
      <c r="P849" s="36"/>
      <c r="Q849" s="36"/>
    </row>
    <row r="850" spans="1:17" x14ac:dyDescent="0.25">
      <c r="A850" s="36">
        <v>1861</v>
      </c>
      <c r="B850" s="37">
        <v>43983</v>
      </c>
      <c r="C850" s="37">
        <v>44027.676250063188</v>
      </c>
      <c r="D850" s="36" t="s">
        <v>195</v>
      </c>
      <c r="E850" s="36"/>
      <c r="F850" s="38">
        <v>115277855.6902</v>
      </c>
      <c r="G850" s="40">
        <f>VLOOKUP(A850,'DATOS GENERALES'!A:B,2,0)</f>
        <v>2.2200000000000002</v>
      </c>
      <c r="H850" s="36">
        <f t="shared" si="65"/>
        <v>2.2097880000000001</v>
      </c>
      <c r="I850" s="38">
        <f t="shared" si="66"/>
        <v>52166929.900153317</v>
      </c>
      <c r="J850" s="38">
        <f t="shared" si="67"/>
        <v>63110925.790046684</v>
      </c>
      <c r="K850" s="38" t="s">
        <v>213</v>
      </c>
      <c r="L850" s="38" t="str">
        <f t="shared" si="68"/>
        <v/>
      </c>
      <c r="M850" s="41">
        <f>VLOOKUP(INDICADORES!$B$21,'DATOS GENERALES'!$K:$M,3,0)*F850</f>
        <v>784584.11662403645</v>
      </c>
      <c r="N850" s="38" t="str">
        <f t="shared" si="69"/>
        <v/>
      </c>
      <c r="O850" s="36"/>
      <c r="P850" s="36"/>
      <c r="Q850" s="36"/>
    </row>
    <row r="851" spans="1:17" x14ac:dyDescent="0.25">
      <c r="A851" s="36">
        <v>1861</v>
      </c>
      <c r="B851" s="37">
        <v>44013</v>
      </c>
      <c r="C851" s="37">
        <v>44066.106066661348</v>
      </c>
      <c r="D851" s="36" t="s">
        <v>195</v>
      </c>
      <c r="E851" s="36"/>
      <c r="F851" s="38">
        <v>115277855.6902</v>
      </c>
      <c r="G851" s="40">
        <f>VLOOKUP(A851,'DATOS GENERALES'!A:B,2,0)</f>
        <v>2.2200000000000002</v>
      </c>
      <c r="H851" s="36">
        <f t="shared" si="65"/>
        <v>2.2097880000000001</v>
      </c>
      <c r="I851" s="38">
        <f t="shared" si="66"/>
        <v>52166929.900153317</v>
      </c>
      <c r="J851" s="38">
        <f t="shared" si="67"/>
        <v>63110925.790046684</v>
      </c>
      <c r="K851" s="38" t="s">
        <v>213</v>
      </c>
      <c r="L851" s="38" t="str">
        <f t="shared" si="68"/>
        <v/>
      </c>
      <c r="M851" s="41">
        <f>VLOOKUP(INDICADORES!$B$21,'DATOS GENERALES'!$K:$M,3,0)*F851</f>
        <v>784584.11662403645</v>
      </c>
      <c r="N851" s="38" t="str">
        <f t="shared" si="69"/>
        <v/>
      </c>
      <c r="O851" s="36"/>
      <c r="P851" s="36"/>
      <c r="Q851" s="36"/>
    </row>
    <row r="852" spans="1:17" x14ac:dyDescent="0.25">
      <c r="A852" s="36">
        <v>1861</v>
      </c>
      <c r="B852" s="37">
        <v>44044</v>
      </c>
      <c r="C852" s="37">
        <v>44078.983898046514</v>
      </c>
      <c r="D852" s="36" t="s">
        <v>195</v>
      </c>
      <c r="E852" s="36"/>
      <c r="F852" s="38">
        <v>109546785.0652</v>
      </c>
      <c r="G852" s="40">
        <f>VLOOKUP(A852,'DATOS GENERALES'!A:B,2,0)</f>
        <v>2.2200000000000002</v>
      </c>
      <c r="H852" s="36">
        <f t="shared" si="65"/>
        <v>2.2097880000000001</v>
      </c>
      <c r="I852" s="38">
        <f t="shared" si="66"/>
        <v>49573436.485852942</v>
      </c>
      <c r="J852" s="38">
        <f t="shared" si="67"/>
        <v>59973348.579347059</v>
      </c>
      <c r="K852" s="38" t="s">
        <v>213</v>
      </c>
      <c r="L852" s="38" t="str">
        <f t="shared" si="68"/>
        <v/>
      </c>
      <c r="M852" s="41">
        <f>VLOOKUP(INDICADORES!$B$21,'DATOS GENERALES'!$K:$M,3,0)*F852</f>
        <v>745578.29927339463</v>
      </c>
      <c r="N852" s="38" t="str">
        <f t="shared" si="69"/>
        <v/>
      </c>
      <c r="O852" s="36"/>
      <c r="P852" s="36"/>
      <c r="Q852" s="36"/>
    </row>
    <row r="853" spans="1:17" x14ac:dyDescent="0.25">
      <c r="A853" s="36">
        <v>1861</v>
      </c>
      <c r="B853" s="37">
        <v>44075</v>
      </c>
      <c r="C853" s="37">
        <v>44145.621634631199</v>
      </c>
      <c r="D853" s="36" t="s">
        <v>195</v>
      </c>
      <c r="E853" s="36"/>
      <c r="F853" s="38">
        <v>103283498.605</v>
      </c>
      <c r="G853" s="40">
        <f>VLOOKUP(A853,'DATOS GENERALES'!A:B,2,0)</f>
        <v>2.2200000000000002</v>
      </c>
      <c r="H853" s="36">
        <f t="shared" si="65"/>
        <v>2.2097880000000001</v>
      </c>
      <c r="I853" s="38">
        <f t="shared" si="66"/>
        <v>46739098.323006548</v>
      </c>
      <c r="J853" s="38">
        <f t="shared" si="67"/>
        <v>56544400.281993456</v>
      </c>
      <c r="K853" s="38" t="s">
        <v>213</v>
      </c>
      <c r="L853" s="38" t="str">
        <f t="shared" si="68"/>
        <v/>
      </c>
      <c r="M853" s="41">
        <f>VLOOKUP(INDICADORES!$B$21,'DATOS GENERALES'!$K:$M,3,0)*F853</f>
        <v>702950.20695577306</v>
      </c>
      <c r="N853" s="38" t="str">
        <f t="shared" si="69"/>
        <v/>
      </c>
      <c r="O853" s="36"/>
      <c r="P853" s="36"/>
      <c r="Q853" s="36"/>
    </row>
    <row r="854" spans="1:17" x14ac:dyDescent="0.25">
      <c r="A854" s="36">
        <v>1861</v>
      </c>
      <c r="B854" s="37">
        <v>44105</v>
      </c>
      <c r="C854" s="37">
        <v>44187.245540511292</v>
      </c>
      <c r="D854" s="36" t="s">
        <v>195</v>
      </c>
      <c r="E854" s="36"/>
      <c r="F854" s="38">
        <v>92003446.254999995</v>
      </c>
      <c r="G854" s="40">
        <f>VLOOKUP(A854,'DATOS GENERALES'!A:B,2,0)</f>
        <v>2.2200000000000002</v>
      </c>
      <c r="H854" s="36">
        <f t="shared" si="65"/>
        <v>2.2097880000000001</v>
      </c>
      <c r="I854" s="38">
        <f t="shared" si="66"/>
        <v>41634512.566363826</v>
      </c>
      <c r="J854" s="38">
        <f t="shared" si="67"/>
        <v>50368933.688636169</v>
      </c>
      <c r="K854" s="38" t="s">
        <v>213</v>
      </c>
      <c r="L854" s="38" t="str">
        <f t="shared" si="68"/>
        <v/>
      </c>
      <c r="M854" s="41">
        <f>VLOOKUP(INDICADORES!$B$21,'DATOS GENERALES'!$K:$M,3,0)*F854</f>
        <v>626177.87409523036</v>
      </c>
      <c r="N854" s="38" t="str">
        <f t="shared" si="69"/>
        <v/>
      </c>
      <c r="O854" s="36"/>
      <c r="P854" s="36"/>
      <c r="Q854" s="36"/>
    </row>
    <row r="855" spans="1:17" x14ac:dyDescent="0.25">
      <c r="A855" s="36">
        <v>1861</v>
      </c>
      <c r="B855" s="37">
        <v>44136</v>
      </c>
      <c r="C855" s="37">
        <v>44160.717329229155</v>
      </c>
      <c r="D855" s="36" t="s">
        <v>195</v>
      </c>
      <c r="E855" s="36"/>
      <c r="F855" s="38">
        <v>92003446.254999995</v>
      </c>
      <c r="G855" s="40">
        <f>VLOOKUP(A855,'DATOS GENERALES'!A:B,2,0)</f>
        <v>2.2200000000000002</v>
      </c>
      <c r="H855" s="36">
        <f t="shared" si="65"/>
        <v>2.2097880000000001</v>
      </c>
      <c r="I855" s="38">
        <f t="shared" si="66"/>
        <v>41634512.566363826</v>
      </c>
      <c r="J855" s="38">
        <f t="shared" si="67"/>
        <v>50368933.688636169</v>
      </c>
      <c r="K855" s="38" t="s">
        <v>213</v>
      </c>
      <c r="L855" s="38" t="str">
        <f t="shared" si="68"/>
        <v/>
      </c>
      <c r="M855" s="41">
        <f>VLOOKUP(INDICADORES!$B$21,'DATOS GENERALES'!$K:$M,3,0)*F855</f>
        <v>626177.87409523036</v>
      </c>
      <c r="N855" s="38" t="str">
        <f t="shared" si="69"/>
        <v/>
      </c>
      <c r="O855" s="36"/>
      <c r="P855" s="36"/>
      <c r="Q855" s="36"/>
    </row>
    <row r="856" spans="1:17" x14ac:dyDescent="0.25">
      <c r="A856" s="36">
        <v>1861</v>
      </c>
      <c r="B856" s="37">
        <v>44166</v>
      </c>
      <c r="C856" s="37">
        <v>44227.963062520561</v>
      </c>
      <c r="D856" s="36" t="s">
        <v>195</v>
      </c>
      <c r="E856" s="36"/>
      <c r="F856" s="38">
        <v>54343675.75</v>
      </c>
      <c r="G856" s="40">
        <f>VLOOKUP(A856,'DATOS GENERALES'!A:B,2,0)</f>
        <v>2.2200000000000002</v>
      </c>
      <c r="H856" s="36">
        <f t="shared" si="65"/>
        <v>2.2097880000000001</v>
      </c>
      <c r="I856" s="38">
        <f t="shared" si="66"/>
        <v>24592257.605706971</v>
      </c>
      <c r="J856" s="38">
        <f t="shared" si="67"/>
        <v>29751418.144293029</v>
      </c>
      <c r="K856" s="38" t="s">
        <v>213</v>
      </c>
      <c r="L856" s="38" t="str">
        <f t="shared" si="68"/>
        <v/>
      </c>
      <c r="M856" s="41">
        <f>VLOOKUP(INDICADORES!$B$21,'DATOS GENERALES'!$K:$M,3,0)*F856</f>
        <v>369864.48591653927</v>
      </c>
      <c r="N856" s="38" t="str">
        <f t="shared" si="69"/>
        <v/>
      </c>
      <c r="O856" s="36"/>
      <c r="P856" s="36"/>
      <c r="Q856" s="36"/>
    </row>
    <row r="857" spans="1:17" x14ac:dyDescent="0.25">
      <c r="A857" s="36">
        <v>1873</v>
      </c>
      <c r="B857" s="37">
        <v>43466</v>
      </c>
      <c r="C857" s="37">
        <v>43533.207020360875</v>
      </c>
      <c r="D857" s="36" t="s">
        <v>195</v>
      </c>
      <c r="E857" s="36"/>
      <c r="F857" s="38">
        <v>23358981.669500001</v>
      </c>
      <c r="G857" s="40">
        <f>VLOOKUP(A857,'DATOS GENERALES'!A:B,2,0)</f>
        <v>1.83</v>
      </c>
      <c r="H857" s="36">
        <f t="shared" si="65"/>
        <v>1.821582</v>
      </c>
      <c r="I857" s="38">
        <f t="shared" si="66"/>
        <v>12823458.767982995</v>
      </c>
      <c r="J857" s="38">
        <f t="shared" si="67"/>
        <v>10535522.901517006</v>
      </c>
      <c r="K857" s="38">
        <v>2813702.0970838638</v>
      </c>
      <c r="L857" s="38">
        <f t="shared" si="68"/>
        <v>7721820.8044331418</v>
      </c>
      <c r="M857" s="41">
        <f>VLOOKUP(INDICADORES!$B$21,'DATOS GENERALES'!$K:$M,3,0)*F857</f>
        <v>158981.84337895989</v>
      </c>
      <c r="N857" s="38">
        <f t="shared" si="69"/>
        <v>7562838.9610541817</v>
      </c>
      <c r="O857" s="36"/>
      <c r="P857" s="36"/>
      <c r="Q857" s="36"/>
    </row>
    <row r="858" spans="1:17" x14ac:dyDescent="0.25">
      <c r="A858" s="36">
        <v>1873</v>
      </c>
      <c r="B858" s="37">
        <v>43497</v>
      </c>
      <c r="C858" s="37">
        <v>43540.678561126937</v>
      </c>
      <c r="D858" s="36" t="s">
        <v>195</v>
      </c>
      <c r="E858" s="36"/>
      <c r="F858" s="38">
        <v>23358981.669500001</v>
      </c>
      <c r="G858" s="40">
        <f>VLOOKUP(A858,'DATOS GENERALES'!A:B,2,0)</f>
        <v>1.83</v>
      </c>
      <c r="H858" s="36">
        <f t="shared" si="65"/>
        <v>1.821582</v>
      </c>
      <c r="I858" s="38">
        <f t="shared" si="66"/>
        <v>12823458.767982995</v>
      </c>
      <c r="J858" s="38">
        <f t="shared" si="67"/>
        <v>10535522.901517006</v>
      </c>
      <c r="K858" s="38">
        <v>2771891.2439791202</v>
      </c>
      <c r="L858" s="38">
        <f t="shared" si="68"/>
        <v>7763631.657537885</v>
      </c>
      <c r="M858" s="41">
        <f>VLOOKUP(INDICADORES!$B$21,'DATOS GENERALES'!$K:$M,3,0)*F858</f>
        <v>158981.84337895989</v>
      </c>
      <c r="N858" s="38">
        <f t="shared" si="69"/>
        <v>7604649.8141589249</v>
      </c>
      <c r="O858" s="36"/>
      <c r="P858" s="36"/>
      <c r="Q858" s="36"/>
    </row>
    <row r="859" spans="1:17" x14ac:dyDescent="0.25">
      <c r="A859" s="36">
        <v>1873</v>
      </c>
      <c r="B859" s="37">
        <v>43525</v>
      </c>
      <c r="C859" s="37">
        <v>43570.824675398566</v>
      </c>
      <c r="D859" s="36" t="s">
        <v>195</v>
      </c>
      <c r="E859" s="36"/>
      <c r="F859" s="38">
        <v>19235315</v>
      </c>
      <c r="G859" s="40">
        <f>VLOOKUP(A859,'DATOS GENERALES'!A:B,2,0)</f>
        <v>1.83</v>
      </c>
      <c r="H859" s="36">
        <f t="shared" si="65"/>
        <v>1.821582</v>
      </c>
      <c r="I859" s="38">
        <f t="shared" si="66"/>
        <v>10559675.600659207</v>
      </c>
      <c r="J859" s="38">
        <f t="shared" si="67"/>
        <v>8675639.3993407935</v>
      </c>
      <c r="K859" s="38">
        <v>1651401.4965428391</v>
      </c>
      <c r="L859" s="38">
        <f t="shared" si="68"/>
        <v>7024237.9027979542</v>
      </c>
      <c r="M859" s="41">
        <f>VLOOKUP(INDICADORES!$B$21,'DATOS GENERALES'!$K:$M,3,0)*F859</f>
        <v>130916.05961007701</v>
      </c>
      <c r="N859" s="38">
        <f t="shared" si="69"/>
        <v>6893321.843187877</v>
      </c>
      <c r="O859" s="36"/>
      <c r="P859" s="36"/>
      <c r="Q859" s="36"/>
    </row>
    <row r="860" spans="1:17" x14ac:dyDescent="0.25">
      <c r="A860" s="36">
        <v>1873</v>
      </c>
      <c r="B860" s="37">
        <v>43556</v>
      </c>
      <c r="C860" s="37">
        <v>43615.853374051236</v>
      </c>
      <c r="D860" s="36" t="s">
        <v>195</v>
      </c>
      <c r="E860" s="36"/>
      <c r="F860" s="38">
        <v>19235315</v>
      </c>
      <c r="G860" s="40">
        <f>VLOOKUP(A860,'DATOS GENERALES'!A:B,2,0)</f>
        <v>1.83</v>
      </c>
      <c r="H860" s="36">
        <f t="shared" si="65"/>
        <v>1.821582</v>
      </c>
      <c r="I860" s="38">
        <f t="shared" si="66"/>
        <v>10559675.600659207</v>
      </c>
      <c r="J860" s="38">
        <f t="shared" si="67"/>
        <v>8675639.3993407935</v>
      </c>
      <c r="K860" s="38">
        <v>1697765.2015623935</v>
      </c>
      <c r="L860" s="38">
        <f t="shared" si="68"/>
        <v>6977874.1977784</v>
      </c>
      <c r="M860" s="41">
        <f>VLOOKUP(INDICADORES!$B$21,'DATOS GENERALES'!$K:$M,3,0)*F860</f>
        <v>130916.05961007701</v>
      </c>
      <c r="N860" s="38">
        <f t="shared" si="69"/>
        <v>6846958.1381683229</v>
      </c>
      <c r="O860" s="36"/>
      <c r="P860" s="36"/>
      <c r="Q860" s="36"/>
    </row>
    <row r="861" spans="1:17" x14ac:dyDescent="0.25">
      <c r="A861" s="36">
        <v>1873</v>
      </c>
      <c r="B861" s="37">
        <v>43586</v>
      </c>
      <c r="C861" s="37">
        <v>43631.579658251656</v>
      </c>
      <c r="D861" s="36" t="s">
        <v>195</v>
      </c>
      <c r="E861" s="36"/>
      <c r="F861" s="38">
        <v>19235315</v>
      </c>
      <c r="G861" s="40">
        <f>VLOOKUP(A861,'DATOS GENERALES'!A:B,2,0)</f>
        <v>1.83</v>
      </c>
      <c r="H861" s="36">
        <f t="shared" si="65"/>
        <v>1.821582</v>
      </c>
      <c r="I861" s="38">
        <f t="shared" si="66"/>
        <v>10559675.600659207</v>
      </c>
      <c r="J861" s="38">
        <f t="shared" si="67"/>
        <v>8675639.3993407935</v>
      </c>
      <c r="K861" s="38">
        <v>1400537.5590206722</v>
      </c>
      <c r="L861" s="38">
        <f t="shared" si="68"/>
        <v>7275101.8403201215</v>
      </c>
      <c r="M861" s="41">
        <f>VLOOKUP(INDICADORES!$B$21,'DATOS GENERALES'!$K:$M,3,0)*F861</f>
        <v>130916.05961007701</v>
      </c>
      <c r="N861" s="38">
        <f t="shared" si="69"/>
        <v>7144185.7807100443</v>
      </c>
      <c r="O861" s="36"/>
      <c r="P861" s="36"/>
      <c r="Q861" s="36"/>
    </row>
    <row r="862" spans="1:17" x14ac:dyDescent="0.25">
      <c r="A862" s="36">
        <v>1873</v>
      </c>
      <c r="B862" s="37">
        <v>43617</v>
      </c>
      <c r="C862" s="37">
        <v>43662.613119093781</v>
      </c>
      <c r="D862" s="36" t="s">
        <v>195</v>
      </c>
      <c r="E862" s="36"/>
      <c r="F862" s="38">
        <v>19235315</v>
      </c>
      <c r="G862" s="40">
        <f>VLOOKUP(A862,'DATOS GENERALES'!A:B,2,0)</f>
        <v>1.83</v>
      </c>
      <c r="H862" s="36">
        <f t="shared" si="65"/>
        <v>1.821582</v>
      </c>
      <c r="I862" s="38">
        <f t="shared" si="66"/>
        <v>10559675.600659207</v>
      </c>
      <c r="J862" s="38">
        <f t="shared" si="67"/>
        <v>8675639.3993407935</v>
      </c>
      <c r="K862" s="38">
        <v>1883395.0327412076</v>
      </c>
      <c r="L862" s="38">
        <f t="shared" si="68"/>
        <v>6792244.3665995859</v>
      </c>
      <c r="M862" s="41">
        <f>VLOOKUP(INDICADORES!$B$21,'DATOS GENERALES'!$K:$M,3,0)*F862</f>
        <v>130916.05961007701</v>
      </c>
      <c r="N862" s="38">
        <f t="shared" si="69"/>
        <v>6661328.3069895087</v>
      </c>
      <c r="O862" s="36"/>
      <c r="P862" s="36"/>
      <c r="Q862" s="36"/>
    </row>
    <row r="863" spans="1:17" x14ac:dyDescent="0.25">
      <c r="A863" s="36">
        <v>1873</v>
      </c>
      <c r="B863" s="37">
        <v>43647</v>
      </c>
      <c r="C863" s="37">
        <v>43703.15752315805</v>
      </c>
      <c r="D863" s="36" t="s">
        <v>195</v>
      </c>
      <c r="E863" s="36"/>
      <c r="F863" s="38">
        <v>19235315</v>
      </c>
      <c r="G863" s="40">
        <f>VLOOKUP(A863,'DATOS GENERALES'!A:B,2,0)</f>
        <v>1.83</v>
      </c>
      <c r="H863" s="36">
        <f t="shared" si="65"/>
        <v>1.821582</v>
      </c>
      <c r="I863" s="38">
        <f t="shared" si="66"/>
        <v>10559675.600659207</v>
      </c>
      <c r="J863" s="38">
        <f t="shared" si="67"/>
        <v>8675639.3993407935</v>
      </c>
      <c r="K863" s="38">
        <v>2808697.6412238223</v>
      </c>
      <c r="L863" s="38">
        <f t="shared" si="68"/>
        <v>5866941.7581169717</v>
      </c>
      <c r="M863" s="41">
        <f>VLOOKUP(INDICADORES!$B$21,'DATOS GENERALES'!$K:$M,3,0)*F863</f>
        <v>130916.05961007701</v>
      </c>
      <c r="N863" s="38">
        <f t="shared" si="69"/>
        <v>5736025.6985068945</v>
      </c>
      <c r="O863" s="36"/>
      <c r="P863" s="36"/>
      <c r="Q863" s="36"/>
    </row>
    <row r="864" spans="1:17" x14ac:dyDescent="0.25">
      <c r="A864" s="36">
        <v>1873</v>
      </c>
      <c r="B864" s="37">
        <v>43678</v>
      </c>
      <c r="C864" s="37">
        <v>43709.652769486158</v>
      </c>
      <c r="D864" s="36" t="s">
        <v>195</v>
      </c>
      <c r="E864" s="36"/>
      <c r="F864" s="38">
        <v>19235315</v>
      </c>
      <c r="G864" s="40">
        <f>VLOOKUP(A864,'DATOS GENERALES'!A:B,2,0)</f>
        <v>1.83</v>
      </c>
      <c r="H864" s="36">
        <f t="shared" si="65"/>
        <v>1.821582</v>
      </c>
      <c r="I864" s="38">
        <f t="shared" si="66"/>
        <v>10559675.600659207</v>
      </c>
      <c r="J864" s="38">
        <f t="shared" si="67"/>
        <v>8675639.3993407935</v>
      </c>
      <c r="K864" s="38">
        <v>2763860.310370225</v>
      </c>
      <c r="L864" s="38">
        <f t="shared" si="68"/>
        <v>5911779.088970568</v>
      </c>
      <c r="M864" s="41">
        <f>VLOOKUP(INDICADORES!$B$21,'DATOS GENERALES'!$K:$M,3,0)*F864</f>
        <v>130916.05961007701</v>
      </c>
      <c r="N864" s="38">
        <f t="shared" si="69"/>
        <v>5780863.0293604909</v>
      </c>
      <c r="O864" s="36"/>
      <c r="P864" s="36"/>
      <c r="Q864" s="36"/>
    </row>
    <row r="865" spans="1:17" x14ac:dyDescent="0.25">
      <c r="A865" s="36">
        <v>1873</v>
      </c>
      <c r="B865" s="37">
        <v>43709</v>
      </c>
      <c r="C865" s="37">
        <v>43776.87306431507</v>
      </c>
      <c r="D865" s="36" t="s">
        <v>195</v>
      </c>
      <c r="E865" s="36"/>
      <c r="F865" s="38">
        <v>15111650</v>
      </c>
      <c r="G865" s="40">
        <f>VLOOKUP(A865,'DATOS GENERALES'!A:B,2,0)</f>
        <v>1.83</v>
      </c>
      <c r="H865" s="36">
        <f t="shared" si="65"/>
        <v>1.821582</v>
      </c>
      <c r="I865" s="38">
        <f t="shared" si="66"/>
        <v>8295893.3498464515</v>
      </c>
      <c r="J865" s="38">
        <f t="shared" si="67"/>
        <v>6815756.6501535485</v>
      </c>
      <c r="K865" s="38">
        <v>2453994.6899624984</v>
      </c>
      <c r="L865" s="38">
        <f t="shared" si="68"/>
        <v>4361761.9601910505</v>
      </c>
      <c r="M865" s="41">
        <f>VLOOKUP(INDICADORES!$B$21,'DATOS GENERALES'!$K:$M,3,0)*F865</f>
        <v>102850.287203855</v>
      </c>
      <c r="N865" s="38">
        <f t="shared" si="69"/>
        <v>4258911.6729871957</v>
      </c>
      <c r="O865" s="36"/>
      <c r="P865" s="36"/>
      <c r="Q865" s="36"/>
    </row>
    <row r="866" spans="1:17" x14ac:dyDescent="0.25">
      <c r="A866" s="36">
        <v>1873</v>
      </c>
      <c r="B866" s="37">
        <v>43739</v>
      </c>
      <c r="C866" s="37">
        <v>43794.723589711728</v>
      </c>
      <c r="D866" s="36" t="s">
        <v>195</v>
      </c>
      <c r="E866" s="36"/>
      <c r="F866" s="38">
        <v>15111650</v>
      </c>
      <c r="G866" s="40">
        <f>VLOOKUP(A866,'DATOS GENERALES'!A:B,2,0)</f>
        <v>1.83</v>
      </c>
      <c r="H866" s="36">
        <f t="shared" si="65"/>
        <v>1.821582</v>
      </c>
      <c r="I866" s="38">
        <f t="shared" si="66"/>
        <v>8295893.3498464515</v>
      </c>
      <c r="J866" s="38">
        <f t="shared" si="67"/>
        <v>6815756.6501535485</v>
      </c>
      <c r="K866" s="38">
        <v>2653741.859679312</v>
      </c>
      <c r="L866" s="38">
        <f t="shared" si="68"/>
        <v>4162014.7904742365</v>
      </c>
      <c r="M866" s="41">
        <f>VLOOKUP(INDICADORES!$B$21,'DATOS GENERALES'!$K:$M,3,0)*F866</f>
        <v>102850.287203855</v>
      </c>
      <c r="N866" s="38">
        <f t="shared" si="69"/>
        <v>4059164.5032703816</v>
      </c>
      <c r="O866" s="36"/>
      <c r="P866" s="36"/>
      <c r="Q866" s="36"/>
    </row>
    <row r="867" spans="1:17" x14ac:dyDescent="0.25">
      <c r="A867" s="36">
        <v>1873</v>
      </c>
      <c r="B867" s="37">
        <v>43770</v>
      </c>
      <c r="C867" s="37">
        <v>43816.438015092339</v>
      </c>
      <c r="D867" s="36" t="s">
        <v>195</v>
      </c>
      <c r="E867" s="36"/>
      <c r="F867" s="38">
        <v>15111650</v>
      </c>
      <c r="G867" s="40">
        <f>VLOOKUP(A867,'DATOS GENERALES'!A:B,2,0)</f>
        <v>1.83</v>
      </c>
      <c r="H867" s="36">
        <f t="shared" si="65"/>
        <v>1.821582</v>
      </c>
      <c r="I867" s="38">
        <f t="shared" si="66"/>
        <v>8295893.3498464515</v>
      </c>
      <c r="J867" s="38">
        <f t="shared" si="67"/>
        <v>6815756.6501535485</v>
      </c>
      <c r="K867" s="38">
        <v>3549184.2963610082</v>
      </c>
      <c r="L867" s="38">
        <f t="shared" si="68"/>
        <v>3266572.3537925403</v>
      </c>
      <c r="M867" s="41">
        <f>VLOOKUP(INDICADORES!$B$21,'DATOS GENERALES'!$K:$M,3,0)*F867</f>
        <v>102850.287203855</v>
      </c>
      <c r="N867" s="38">
        <f t="shared" si="69"/>
        <v>3163722.0665886854</v>
      </c>
      <c r="O867" s="36"/>
      <c r="P867" s="36"/>
      <c r="Q867" s="36"/>
    </row>
    <row r="868" spans="1:17" x14ac:dyDescent="0.25">
      <c r="A868" s="36">
        <v>1874</v>
      </c>
      <c r="B868" s="37">
        <v>43466</v>
      </c>
      <c r="C868" s="37">
        <v>43525.69857948846</v>
      </c>
      <c r="D868" s="36" t="s">
        <v>195</v>
      </c>
      <c r="E868" s="36"/>
      <c r="F868" s="38">
        <v>45806040.531499997</v>
      </c>
      <c r="G868" s="40">
        <f>VLOOKUP(A868,'DATOS GENERALES'!A:B,2,0)</f>
        <v>2.48</v>
      </c>
      <c r="H868" s="36">
        <f t="shared" si="65"/>
        <v>2.4685919999999997</v>
      </c>
      <c r="I868" s="38">
        <f t="shared" si="66"/>
        <v>18555533.085864332</v>
      </c>
      <c r="J868" s="38">
        <f t="shared" si="67"/>
        <v>27250507.445635665</v>
      </c>
      <c r="K868" s="38">
        <v>4071424.3560060649</v>
      </c>
      <c r="L868" s="38">
        <f t="shared" si="68"/>
        <v>23179083.089629602</v>
      </c>
      <c r="M868" s="41">
        <f>VLOOKUP(INDICADORES!$B$21,'DATOS GENERALES'!$K:$M,3,0)*F868</f>
        <v>311757.11615450314</v>
      </c>
      <c r="N868" s="38">
        <f t="shared" si="69"/>
        <v>22867325.973475099</v>
      </c>
      <c r="O868" s="36"/>
      <c r="P868" s="36"/>
      <c r="Q868" s="36"/>
    </row>
    <row r="869" spans="1:17" x14ac:dyDescent="0.25">
      <c r="A869" s="36">
        <v>1874</v>
      </c>
      <c r="B869" s="37">
        <v>43497</v>
      </c>
      <c r="C869" s="37">
        <v>43552.60507843292</v>
      </c>
      <c r="D869" s="36" t="s">
        <v>195</v>
      </c>
      <c r="E869" s="36"/>
      <c r="F869" s="38">
        <v>45806040.531499997</v>
      </c>
      <c r="G869" s="40">
        <f>VLOOKUP(A869,'DATOS GENERALES'!A:B,2,0)</f>
        <v>2.48</v>
      </c>
      <c r="H869" s="36">
        <f t="shared" si="65"/>
        <v>2.4685919999999997</v>
      </c>
      <c r="I869" s="38">
        <f t="shared" si="66"/>
        <v>18555533.085864332</v>
      </c>
      <c r="J869" s="38">
        <f t="shared" si="67"/>
        <v>27250507.445635665</v>
      </c>
      <c r="K869" s="38">
        <v>4010924.0898789321</v>
      </c>
      <c r="L869" s="38">
        <f t="shared" si="68"/>
        <v>23239583.355756734</v>
      </c>
      <c r="M869" s="41">
        <f>VLOOKUP(INDICADORES!$B$21,'DATOS GENERALES'!$K:$M,3,0)*F869</f>
        <v>311757.11615450314</v>
      </c>
      <c r="N869" s="38">
        <f t="shared" si="69"/>
        <v>22927826.23960223</v>
      </c>
      <c r="O869" s="36"/>
      <c r="P869" s="36"/>
      <c r="Q869" s="36"/>
    </row>
    <row r="870" spans="1:17" x14ac:dyDescent="0.25">
      <c r="A870" s="36">
        <v>1874</v>
      </c>
      <c r="B870" s="37">
        <v>43525</v>
      </c>
      <c r="C870" s="37">
        <v>43583.216709158136</v>
      </c>
      <c r="D870" s="36" t="s">
        <v>195</v>
      </c>
      <c r="E870" s="36"/>
      <c r="F870" s="38">
        <v>45806040.531499997</v>
      </c>
      <c r="G870" s="40">
        <f>VLOOKUP(A870,'DATOS GENERALES'!A:B,2,0)</f>
        <v>2.48</v>
      </c>
      <c r="H870" s="36">
        <f t="shared" si="65"/>
        <v>2.4685919999999997</v>
      </c>
      <c r="I870" s="38">
        <f t="shared" si="66"/>
        <v>18555533.085864332</v>
      </c>
      <c r="J870" s="38">
        <f t="shared" si="67"/>
        <v>27250507.445635665</v>
      </c>
      <c r="K870" s="38">
        <v>2901853.8320659776</v>
      </c>
      <c r="L870" s="38">
        <f t="shared" si="68"/>
        <v>24348653.613569688</v>
      </c>
      <c r="M870" s="41">
        <f>VLOOKUP(INDICADORES!$B$21,'DATOS GENERALES'!$K:$M,3,0)*F870</f>
        <v>311757.11615450314</v>
      </c>
      <c r="N870" s="38">
        <f t="shared" si="69"/>
        <v>24036896.497415185</v>
      </c>
      <c r="O870" s="36"/>
      <c r="P870" s="36"/>
      <c r="Q870" s="36"/>
    </row>
    <row r="871" spans="1:17" x14ac:dyDescent="0.25">
      <c r="A871" s="36">
        <v>1874</v>
      </c>
      <c r="B871" s="37">
        <v>43556</v>
      </c>
      <c r="C871" s="37">
        <v>43559.801051016941</v>
      </c>
      <c r="D871" s="36" t="s">
        <v>195</v>
      </c>
      <c r="E871" s="36"/>
      <c r="F871" s="38">
        <v>45806040.531499997</v>
      </c>
      <c r="G871" s="40">
        <f>VLOOKUP(A871,'DATOS GENERALES'!A:B,2,0)</f>
        <v>2.48</v>
      </c>
      <c r="H871" s="36">
        <f t="shared" si="65"/>
        <v>2.4685919999999997</v>
      </c>
      <c r="I871" s="38">
        <f t="shared" si="66"/>
        <v>18555533.085864332</v>
      </c>
      <c r="J871" s="38">
        <f t="shared" si="67"/>
        <v>27250507.445635665</v>
      </c>
      <c r="K871" s="38">
        <v>2983324.4467901546</v>
      </c>
      <c r="L871" s="38">
        <f t="shared" si="68"/>
        <v>24267182.99884551</v>
      </c>
      <c r="M871" s="41">
        <f>VLOOKUP(INDICADORES!$B$21,'DATOS GENERALES'!$K:$M,3,0)*F871</f>
        <v>311757.11615450314</v>
      </c>
      <c r="N871" s="38">
        <f t="shared" si="69"/>
        <v>23955425.882691007</v>
      </c>
      <c r="O871" s="36"/>
      <c r="P871" s="36"/>
      <c r="Q871" s="36"/>
    </row>
    <row r="872" spans="1:17" x14ac:dyDescent="0.25">
      <c r="A872" s="36">
        <v>1874</v>
      </c>
      <c r="B872" s="37">
        <v>43586</v>
      </c>
      <c r="C872" s="37">
        <v>43639.780260075677</v>
      </c>
      <c r="D872" s="36" t="s">
        <v>195</v>
      </c>
      <c r="E872" s="36"/>
      <c r="F872" s="38">
        <v>45806040.531499997</v>
      </c>
      <c r="G872" s="40">
        <f>VLOOKUP(A872,'DATOS GENERALES'!A:B,2,0)</f>
        <v>2.48</v>
      </c>
      <c r="H872" s="36">
        <f t="shared" si="65"/>
        <v>2.4685919999999997</v>
      </c>
      <c r="I872" s="38">
        <f t="shared" si="66"/>
        <v>18555533.085864332</v>
      </c>
      <c r="J872" s="38">
        <f t="shared" si="67"/>
        <v>27250507.445635665</v>
      </c>
      <c r="K872" s="38">
        <v>2461034.0314603439</v>
      </c>
      <c r="L872" s="38">
        <f t="shared" si="68"/>
        <v>24789473.41417532</v>
      </c>
      <c r="M872" s="41">
        <f>VLOOKUP(INDICADORES!$B$21,'DATOS GENERALES'!$K:$M,3,0)*F872</f>
        <v>311757.11615450314</v>
      </c>
      <c r="N872" s="38">
        <f t="shared" si="69"/>
        <v>24477716.298020817</v>
      </c>
      <c r="O872" s="36"/>
      <c r="P872" s="36"/>
      <c r="Q872" s="36"/>
    </row>
    <row r="873" spans="1:17" x14ac:dyDescent="0.25">
      <c r="A873" s="36">
        <v>1874</v>
      </c>
      <c r="B873" s="37">
        <v>43617</v>
      </c>
      <c r="C873" s="37">
        <v>43666.44639384465</v>
      </c>
      <c r="D873" s="36" t="s">
        <v>195</v>
      </c>
      <c r="E873" s="36"/>
      <c r="F873" s="38">
        <v>45806040.531499997</v>
      </c>
      <c r="G873" s="40">
        <f>VLOOKUP(A873,'DATOS GENERALES'!A:B,2,0)</f>
        <v>2.48</v>
      </c>
      <c r="H873" s="36">
        <f t="shared" si="65"/>
        <v>2.4685919999999997</v>
      </c>
      <c r="I873" s="38">
        <f t="shared" si="66"/>
        <v>18555533.085864332</v>
      </c>
      <c r="J873" s="38">
        <f t="shared" si="67"/>
        <v>27250507.445635665</v>
      </c>
      <c r="K873" s="38">
        <v>3309514.4363715458</v>
      </c>
      <c r="L873" s="38">
        <f t="shared" si="68"/>
        <v>23940993.009264119</v>
      </c>
      <c r="M873" s="41">
        <f>VLOOKUP(INDICADORES!$B$21,'DATOS GENERALES'!$K:$M,3,0)*F873</f>
        <v>311757.11615450314</v>
      </c>
      <c r="N873" s="38">
        <f t="shared" si="69"/>
        <v>23629235.893109616</v>
      </c>
      <c r="O873" s="36"/>
      <c r="P873" s="36"/>
      <c r="Q873" s="36"/>
    </row>
    <row r="874" spans="1:17" x14ac:dyDescent="0.25">
      <c r="A874" s="36">
        <v>1874</v>
      </c>
      <c r="B874" s="37">
        <v>43647</v>
      </c>
      <c r="C874" s="37">
        <v>43741.520599895368</v>
      </c>
      <c r="D874" s="36" t="s">
        <v>195</v>
      </c>
      <c r="E874" s="36"/>
      <c r="F874" s="38">
        <v>45806040.531499997</v>
      </c>
      <c r="G874" s="40">
        <f>VLOOKUP(A874,'DATOS GENERALES'!A:B,2,0)</f>
        <v>2.48</v>
      </c>
      <c r="H874" s="36">
        <f t="shared" si="65"/>
        <v>2.4685919999999997</v>
      </c>
      <c r="I874" s="38">
        <f t="shared" si="66"/>
        <v>18555533.085864332</v>
      </c>
      <c r="J874" s="38">
        <f t="shared" si="67"/>
        <v>27250507.445635665</v>
      </c>
      <c r="K874" s="38">
        <v>4935462.4119953318</v>
      </c>
      <c r="L874" s="38">
        <f t="shared" si="68"/>
        <v>22315045.033640333</v>
      </c>
      <c r="M874" s="41">
        <f>VLOOKUP(INDICADORES!$B$21,'DATOS GENERALES'!$K:$M,3,0)*F874</f>
        <v>311757.11615450314</v>
      </c>
      <c r="N874" s="38">
        <f t="shared" si="69"/>
        <v>22003287.917485829</v>
      </c>
      <c r="O874" s="36"/>
      <c r="P874" s="36"/>
      <c r="Q874" s="36"/>
    </row>
    <row r="875" spans="1:17" x14ac:dyDescent="0.25">
      <c r="A875" s="36">
        <v>1874</v>
      </c>
      <c r="B875" s="37">
        <v>43678</v>
      </c>
      <c r="C875" s="37">
        <v>43737.727993808228</v>
      </c>
      <c r="D875" s="36" t="s">
        <v>195</v>
      </c>
      <c r="E875" s="36"/>
      <c r="F875" s="38">
        <v>45806040.531499997</v>
      </c>
      <c r="G875" s="40">
        <f>VLOOKUP(A875,'DATOS GENERALES'!A:B,2,0)</f>
        <v>2.48</v>
      </c>
      <c r="H875" s="36">
        <f t="shared" si="65"/>
        <v>2.4685919999999997</v>
      </c>
      <c r="I875" s="38">
        <f t="shared" si="66"/>
        <v>18555533.085864332</v>
      </c>
      <c r="J875" s="38">
        <f t="shared" si="67"/>
        <v>27250507.445635665</v>
      </c>
      <c r="K875" s="38">
        <v>4856673.9522358449</v>
      </c>
      <c r="L875" s="38">
        <f t="shared" si="68"/>
        <v>22393833.493399821</v>
      </c>
      <c r="M875" s="41">
        <f>VLOOKUP(INDICADORES!$B$21,'DATOS GENERALES'!$K:$M,3,0)*F875</f>
        <v>311757.11615450314</v>
      </c>
      <c r="N875" s="38">
        <f t="shared" si="69"/>
        <v>22082076.377245318</v>
      </c>
      <c r="O875" s="36"/>
      <c r="P875" s="36"/>
      <c r="Q875" s="36"/>
    </row>
    <row r="876" spans="1:17" x14ac:dyDescent="0.25">
      <c r="A876" s="36">
        <v>1874</v>
      </c>
      <c r="B876" s="37">
        <v>43709</v>
      </c>
      <c r="C876" s="37">
        <v>43787.747918386645</v>
      </c>
      <c r="D876" s="36" t="s">
        <v>195</v>
      </c>
      <c r="E876" s="36"/>
      <c r="F876" s="38">
        <v>33732090.531499997</v>
      </c>
      <c r="G876" s="40">
        <f>VLOOKUP(A876,'DATOS GENERALES'!A:B,2,0)</f>
        <v>2.48</v>
      </c>
      <c r="H876" s="36">
        <f t="shared" si="65"/>
        <v>2.4685919999999997</v>
      </c>
      <c r="I876" s="38">
        <f t="shared" si="66"/>
        <v>13664506.136088913</v>
      </c>
      <c r="J876" s="38">
        <f t="shared" si="67"/>
        <v>20067584.395411082</v>
      </c>
      <c r="K876" s="38">
        <v>4042075.2877136283</v>
      </c>
      <c r="L876" s="38">
        <f t="shared" si="68"/>
        <v>16025509.107697453</v>
      </c>
      <c r="M876" s="41">
        <f>VLOOKUP(INDICADORES!$B$21,'DATOS GENERALES'!$K:$M,3,0)*F876</f>
        <v>229581.49501551536</v>
      </c>
      <c r="N876" s="38">
        <f t="shared" si="69"/>
        <v>15795927.612681938</v>
      </c>
      <c r="O876" s="36"/>
      <c r="P876" s="36"/>
      <c r="Q876" s="36"/>
    </row>
    <row r="877" spans="1:17" x14ac:dyDescent="0.25">
      <c r="A877" s="36">
        <v>1874</v>
      </c>
      <c r="B877" s="37">
        <v>43739</v>
      </c>
      <c r="C877" s="37">
        <v>43799.392161050797</v>
      </c>
      <c r="D877" s="36" t="s">
        <v>195</v>
      </c>
      <c r="E877" s="36"/>
      <c r="F877" s="38">
        <v>33732090.531499997</v>
      </c>
      <c r="G877" s="40">
        <f>VLOOKUP(A877,'DATOS GENERALES'!A:B,2,0)</f>
        <v>2.48</v>
      </c>
      <c r="H877" s="36">
        <f t="shared" si="65"/>
        <v>2.4685919999999997</v>
      </c>
      <c r="I877" s="38">
        <f t="shared" si="66"/>
        <v>13664506.136088913</v>
      </c>
      <c r="J877" s="38">
        <f t="shared" si="67"/>
        <v>20067584.395411082</v>
      </c>
      <c r="K877" s="38">
        <v>4371087.042223745</v>
      </c>
      <c r="L877" s="38">
        <f t="shared" si="68"/>
        <v>15696497.353187338</v>
      </c>
      <c r="M877" s="41">
        <f>VLOOKUP(INDICADORES!$B$21,'DATOS GENERALES'!$K:$M,3,0)*F877</f>
        <v>229581.49501551536</v>
      </c>
      <c r="N877" s="38">
        <f t="shared" si="69"/>
        <v>15466915.858171823</v>
      </c>
      <c r="O877" s="36"/>
      <c r="P877" s="36"/>
      <c r="Q877" s="36"/>
    </row>
    <row r="878" spans="1:17" x14ac:dyDescent="0.25">
      <c r="A878" s="36">
        <v>1881</v>
      </c>
      <c r="B878" s="37">
        <v>43466</v>
      </c>
      <c r="C878" s="37">
        <v>43520.39738348758</v>
      </c>
      <c r="D878" s="36" t="s">
        <v>195</v>
      </c>
      <c r="E878" s="36"/>
      <c r="F878" s="38">
        <v>18731301.130000003</v>
      </c>
      <c r="G878" s="40">
        <f>VLOOKUP(A878,'DATOS GENERALES'!A:B,2,0)</f>
        <v>1.96</v>
      </c>
      <c r="H878" s="36">
        <f t="shared" si="65"/>
        <v>1.9509839999999998</v>
      </c>
      <c r="I878" s="38">
        <f t="shared" si="66"/>
        <v>9600950.6638701316</v>
      </c>
      <c r="J878" s="38">
        <f t="shared" si="67"/>
        <v>9130350.4661298711</v>
      </c>
      <c r="K878" s="38">
        <v>2106624.7028748528</v>
      </c>
      <c r="L878" s="38">
        <f t="shared" si="68"/>
        <v>7023725.7632550187</v>
      </c>
      <c r="M878" s="41">
        <f>VLOOKUP(INDICADORES!$B$21,'DATOS GENERALES'!$K:$M,3,0)*F878</f>
        <v>127485.72795971281</v>
      </c>
      <c r="N878" s="38">
        <f t="shared" si="69"/>
        <v>6896240.0352953058</v>
      </c>
      <c r="O878" s="36"/>
      <c r="P878" s="36"/>
      <c r="Q878" s="36"/>
    </row>
    <row r="879" spans="1:17" x14ac:dyDescent="0.25">
      <c r="A879" s="36">
        <v>1881</v>
      </c>
      <c r="B879" s="37">
        <v>43497</v>
      </c>
      <c r="C879" s="37">
        <v>43547.156880961418</v>
      </c>
      <c r="D879" s="36" t="s">
        <v>195</v>
      </c>
      <c r="E879" s="36"/>
      <c r="F879" s="38">
        <v>18731301.130000003</v>
      </c>
      <c r="G879" s="40">
        <f>VLOOKUP(A879,'DATOS GENERALES'!A:B,2,0)</f>
        <v>1.96</v>
      </c>
      <c r="H879" s="36">
        <f t="shared" si="65"/>
        <v>1.9509839999999998</v>
      </c>
      <c r="I879" s="38">
        <f t="shared" si="66"/>
        <v>9600950.6638701316</v>
      </c>
      <c r="J879" s="38">
        <f t="shared" si="67"/>
        <v>9130350.4661298711</v>
      </c>
      <c r="K879" s="38">
        <v>2075320.8288471047</v>
      </c>
      <c r="L879" s="38">
        <f t="shared" si="68"/>
        <v>7055029.6372827664</v>
      </c>
      <c r="M879" s="41">
        <f>VLOOKUP(INDICADORES!$B$21,'DATOS GENERALES'!$K:$M,3,0)*F879</f>
        <v>127485.72795971281</v>
      </c>
      <c r="N879" s="38">
        <f t="shared" si="69"/>
        <v>6927543.9093230534</v>
      </c>
      <c r="O879" s="36"/>
      <c r="P879" s="36"/>
      <c r="Q879" s="36"/>
    </row>
    <row r="880" spans="1:17" x14ac:dyDescent="0.25">
      <c r="A880" s="36">
        <v>1881</v>
      </c>
      <c r="B880" s="37">
        <v>43525</v>
      </c>
      <c r="C880" s="37">
        <v>43586.372479242775</v>
      </c>
      <c r="D880" s="36" t="s">
        <v>195</v>
      </c>
      <c r="E880" s="36"/>
      <c r="F880" s="38">
        <v>18731301.130000003</v>
      </c>
      <c r="G880" s="40">
        <f>VLOOKUP(A880,'DATOS GENERALES'!A:B,2,0)</f>
        <v>1.96</v>
      </c>
      <c r="H880" s="36">
        <f t="shared" si="65"/>
        <v>1.9509839999999998</v>
      </c>
      <c r="I880" s="38">
        <f t="shared" si="66"/>
        <v>9600950.6638701316</v>
      </c>
      <c r="J880" s="38">
        <f t="shared" si="67"/>
        <v>9130350.4661298711</v>
      </c>
      <c r="K880" s="38">
        <v>1501468.8797409006</v>
      </c>
      <c r="L880" s="38">
        <f t="shared" si="68"/>
        <v>7628881.5863889707</v>
      </c>
      <c r="M880" s="41">
        <f>VLOOKUP(INDICADORES!$B$21,'DATOS GENERALES'!$K:$M,3,0)*F880</f>
        <v>127485.72795971281</v>
      </c>
      <c r="N880" s="38">
        <f t="shared" si="69"/>
        <v>7501395.8584292578</v>
      </c>
      <c r="O880" s="36"/>
      <c r="P880" s="36"/>
      <c r="Q880" s="36"/>
    </row>
    <row r="881" spans="1:17" x14ac:dyDescent="0.25">
      <c r="A881" s="36">
        <v>1881</v>
      </c>
      <c r="B881" s="37">
        <v>43556</v>
      </c>
      <c r="C881" s="37">
        <v>43635.143423449423</v>
      </c>
      <c r="D881" s="36" t="s">
        <v>195</v>
      </c>
      <c r="E881" s="36"/>
      <c r="F881" s="38">
        <v>18731301.130000003</v>
      </c>
      <c r="G881" s="40">
        <f>VLOOKUP(A881,'DATOS GENERALES'!A:B,2,0)</f>
        <v>1.96</v>
      </c>
      <c r="H881" s="36">
        <f t="shared" si="65"/>
        <v>1.9509839999999998</v>
      </c>
      <c r="I881" s="38">
        <f t="shared" si="66"/>
        <v>9600950.6638701316</v>
      </c>
      <c r="J881" s="38">
        <f t="shared" si="67"/>
        <v>9130350.4661298711</v>
      </c>
      <c r="K881" s="38">
        <v>1543623.1713423568</v>
      </c>
      <c r="L881" s="38">
        <f t="shared" si="68"/>
        <v>7586727.294787514</v>
      </c>
      <c r="M881" s="41">
        <f>VLOOKUP(INDICADORES!$B$21,'DATOS GENERALES'!$K:$M,3,0)*F881</f>
        <v>127485.72795971281</v>
      </c>
      <c r="N881" s="38">
        <f t="shared" si="69"/>
        <v>7459241.5668278011</v>
      </c>
      <c r="O881" s="36"/>
      <c r="P881" s="36"/>
      <c r="Q881" s="36"/>
    </row>
    <row r="882" spans="1:17" x14ac:dyDescent="0.25">
      <c r="A882" s="36">
        <v>1881</v>
      </c>
      <c r="B882" s="37">
        <v>43586</v>
      </c>
      <c r="C882" s="37">
        <v>43631.186019244182</v>
      </c>
      <c r="D882" s="36" t="s">
        <v>195</v>
      </c>
      <c r="E882" s="36"/>
      <c r="F882" s="38">
        <v>18731301.130000003</v>
      </c>
      <c r="G882" s="40">
        <f>VLOOKUP(A882,'DATOS GENERALES'!A:B,2,0)</f>
        <v>1.96</v>
      </c>
      <c r="H882" s="36">
        <f t="shared" si="65"/>
        <v>1.9509839999999998</v>
      </c>
      <c r="I882" s="38">
        <f t="shared" si="66"/>
        <v>9600950.6638701316</v>
      </c>
      <c r="J882" s="38">
        <f t="shared" si="67"/>
        <v>9130350.4661298711</v>
      </c>
      <c r="K882" s="38">
        <v>1273381.1639265846</v>
      </c>
      <c r="L882" s="38">
        <f t="shared" si="68"/>
        <v>7856969.3022032864</v>
      </c>
      <c r="M882" s="41">
        <f>VLOOKUP(INDICADORES!$B$21,'DATOS GENERALES'!$K:$M,3,0)*F882</f>
        <v>127485.72795971281</v>
      </c>
      <c r="N882" s="38">
        <f t="shared" si="69"/>
        <v>7729483.5742435735</v>
      </c>
      <c r="O882" s="36"/>
      <c r="P882" s="36"/>
      <c r="Q882" s="36"/>
    </row>
    <row r="883" spans="1:17" x14ac:dyDescent="0.25">
      <c r="A883" s="36">
        <v>1881</v>
      </c>
      <c r="B883" s="37">
        <v>43617</v>
      </c>
      <c r="C883" s="37">
        <v>43672.720477569688</v>
      </c>
      <c r="D883" s="36" t="s">
        <v>195</v>
      </c>
      <c r="E883" s="36"/>
      <c r="F883" s="38">
        <v>18731301.130000003</v>
      </c>
      <c r="G883" s="40">
        <f>VLOOKUP(A883,'DATOS GENERALES'!A:B,2,0)</f>
        <v>1.96</v>
      </c>
      <c r="H883" s="36">
        <f t="shared" si="65"/>
        <v>1.9509839999999998</v>
      </c>
      <c r="I883" s="38">
        <f t="shared" si="66"/>
        <v>9600950.6638701316</v>
      </c>
      <c r="J883" s="38">
        <f t="shared" si="67"/>
        <v>9130350.4661298711</v>
      </c>
      <c r="K883" s="38">
        <v>1712399.4593922545</v>
      </c>
      <c r="L883" s="38">
        <f t="shared" si="68"/>
        <v>7417951.0067376168</v>
      </c>
      <c r="M883" s="41">
        <f>VLOOKUP(INDICADORES!$B$21,'DATOS GENERALES'!$K:$M,3,0)*F883</f>
        <v>127485.72795971281</v>
      </c>
      <c r="N883" s="38">
        <f t="shared" si="69"/>
        <v>7290465.2787779039</v>
      </c>
      <c r="O883" s="36"/>
      <c r="P883" s="36"/>
      <c r="Q883" s="36"/>
    </row>
    <row r="884" spans="1:17" x14ac:dyDescent="0.25">
      <c r="A884" s="36">
        <v>1881</v>
      </c>
      <c r="B884" s="37">
        <v>43647</v>
      </c>
      <c r="C884" s="37">
        <v>43719.29607147257</v>
      </c>
      <c r="D884" s="36" t="s">
        <v>195</v>
      </c>
      <c r="E884" s="36"/>
      <c r="F884" s="38">
        <v>18731301.130000003</v>
      </c>
      <c r="G884" s="40">
        <f>VLOOKUP(A884,'DATOS GENERALES'!A:B,2,0)</f>
        <v>1.96</v>
      </c>
      <c r="H884" s="36">
        <f t="shared" si="65"/>
        <v>1.9509839999999998</v>
      </c>
      <c r="I884" s="38">
        <f t="shared" si="66"/>
        <v>9600950.6638701316</v>
      </c>
      <c r="J884" s="38">
        <f t="shared" si="67"/>
        <v>9130350.4661298711</v>
      </c>
      <c r="K884" s="38">
        <v>2553692.793501622</v>
      </c>
      <c r="L884" s="38">
        <f t="shared" si="68"/>
        <v>6576657.672628249</v>
      </c>
      <c r="M884" s="41">
        <f>VLOOKUP(INDICADORES!$B$21,'DATOS GENERALES'!$K:$M,3,0)*F884</f>
        <v>127485.72795971281</v>
      </c>
      <c r="N884" s="38">
        <f t="shared" si="69"/>
        <v>6449171.9446685361</v>
      </c>
      <c r="O884" s="36"/>
      <c r="P884" s="36"/>
      <c r="Q884" s="36"/>
    </row>
    <row r="885" spans="1:17" x14ac:dyDescent="0.25">
      <c r="A885" s="36">
        <v>1881</v>
      </c>
      <c r="B885" s="37">
        <v>43678</v>
      </c>
      <c r="C885" s="37">
        <v>43722.305474188455</v>
      </c>
      <c r="D885" s="36" t="s">
        <v>195</v>
      </c>
      <c r="E885" s="36"/>
      <c r="F885" s="38">
        <v>18731301.130000003</v>
      </c>
      <c r="G885" s="40">
        <f>VLOOKUP(A885,'DATOS GENERALES'!A:B,2,0)</f>
        <v>1.96</v>
      </c>
      <c r="H885" s="36">
        <f t="shared" si="65"/>
        <v>1.9509839999999998</v>
      </c>
      <c r="I885" s="38">
        <f t="shared" si="66"/>
        <v>9600950.6638701316</v>
      </c>
      <c r="J885" s="38">
        <f t="shared" si="67"/>
        <v>9130350.4661298711</v>
      </c>
      <c r="K885" s="38">
        <v>2512926.294822616</v>
      </c>
      <c r="L885" s="38">
        <f t="shared" si="68"/>
        <v>6617424.1713072546</v>
      </c>
      <c r="M885" s="41">
        <f>VLOOKUP(INDICADORES!$B$21,'DATOS GENERALES'!$K:$M,3,0)*F885</f>
        <v>127485.72795971281</v>
      </c>
      <c r="N885" s="38">
        <f t="shared" si="69"/>
        <v>6489938.4433475416</v>
      </c>
      <c r="O885" s="36"/>
      <c r="P885" s="36"/>
      <c r="Q885" s="36"/>
    </row>
    <row r="886" spans="1:17" x14ac:dyDescent="0.25">
      <c r="A886" s="36">
        <v>1881</v>
      </c>
      <c r="B886" s="37">
        <v>43709</v>
      </c>
      <c r="C886" s="37">
        <v>43742.975525255424</v>
      </c>
      <c r="D886" s="36" t="s">
        <v>195</v>
      </c>
      <c r="E886" s="36"/>
      <c r="F886" s="38">
        <v>18731301.130000003</v>
      </c>
      <c r="G886" s="40">
        <f>VLOOKUP(A886,'DATOS GENERALES'!A:B,2,0)</f>
        <v>1.96</v>
      </c>
      <c r="H886" s="36">
        <f t="shared" si="65"/>
        <v>1.9509839999999998</v>
      </c>
      <c r="I886" s="38">
        <f t="shared" si="66"/>
        <v>9600950.6638701316</v>
      </c>
      <c r="J886" s="38">
        <f t="shared" si="67"/>
        <v>9130350.4661298711</v>
      </c>
      <c r="K886" s="38">
        <v>2840041.5668513034</v>
      </c>
      <c r="L886" s="38">
        <f t="shared" si="68"/>
        <v>6290308.8992785681</v>
      </c>
      <c r="M886" s="41">
        <f>VLOOKUP(INDICADORES!$B$21,'DATOS GENERALES'!$K:$M,3,0)*F886</f>
        <v>127485.72795971281</v>
      </c>
      <c r="N886" s="38">
        <f t="shared" si="69"/>
        <v>6162823.1713188551</v>
      </c>
      <c r="O886" s="36"/>
      <c r="P886" s="36"/>
      <c r="Q886" s="36"/>
    </row>
    <row r="887" spans="1:17" x14ac:dyDescent="0.25">
      <c r="A887" s="36">
        <v>1881</v>
      </c>
      <c r="B887" s="37">
        <v>43739</v>
      </c>
      <c r="C887" s="37">
        <v>43785.309407192843</v>
      </c>
      <c r="D887" s="36" t="s">
        <v>195</v>
      </c>
      <c r="E887" s="36"/>
      <c r="F887" s="38">
        <v>18731301.130000003</v>
      </c>
      <c r="G887" s="40">
        <f>VLOOKUP(A887,'DATOS GENERALES'!A:B,2,0)</f>
        <v>1.96</v>
      </c>
      <c r="H887" s="36">
        <f t="shared" si="65"/>
        <v>1.9509839999999998</v>
      </c>
      <c r="I887" s="38">
        <f t="shared" si="66"/>
        <v>9600950.6638701316</v>
      </c>
      <c r="J887" s="38">
        <f t="shared" si="67"/>
        <v>9130350.4661298711</v>
      </c>
      <c r="K887" s="38">
        <v>3071211.6941449866</v>
      </c>
      <c r="L887" s="38">
        <f t="shared" si="68"/>
        <v>6059138.7719848845</v>
      </c>
      <c r="M887" s="41">
        <f>VLOOKUP(INDICADORES!$B$21,'DATOS GENERALES'!$K:$M,3,0)*F887</f>
        <v>127485.72795971281</v>
      </c>
      <c r="N887" s="38">
        <f t="shared" si="69"/>
        <v>5931653.0440251715</v>
      </c>
      <c r="O887" s="36"/>
      <c r="P887" s="36"/>
      <c r="Q887" s="36"/>
    </row>
    <row r="888" spans="1:17" x14ac:dyDescent="0.25">
      <c r="A888" s="36">
        <v>1881</v>
      </c>
      <c r="B888" s="37">
        <v>43770</v>
      </c>
      <c r="C888" s="37">
        <v>43856.031990146927</v>
      </c>
      <c r="D888" s="36" t="s">
        <v>195</v>
      </c>
      <c r="E888" s="36"/>
      <c r="F888" s="38">
        <v>18731301.130000003</v>
      </c>
      <c r="G888" s="40">
        <f>VLOOKUP(A888,'DATOS GENERALES'!A:B,2,0)</f>
        <v>1.96</v>
      </c>
      <c r="H888" s="36">
        <f t="shared" si="65"/>
        <v>1.9509839999999998</v>
      </c>
      <c r="I888" s="38">
        <f t="shared" si="66"/>
        <v>9600950.6638701316</v>
      </c>
      <c r="J888" s="38">
        <f t="shared" si="67"/>
        <v>9130350.4661298711</v>
      </c>
      <c r="K888" s="38">
        <v>4107519.4544268548</v>
      </c>
      <c r="L888" s="38">
        <f t="shared" si="68"/>
        <v>5022831.0117030162</v>
      </c>
      <c r="M888" s="41">
        <f>VLOOKUP(INDICADORES!$B$21,'DATOS GENERALES'!$K:$M,3,0)*F888</f>
        <v>127485.72795971281</v>
      </c>
      <c r="N888" s="38">
        <f t="shared" si="69"/>
        <v>4895345.2837433033</v>
      </c>
      <c r="O888" s="36"/>
      <c r="P888" s="36"/>
      <c r="Q888" s="36"/>
    </row>
    <row r="889" spans="1:17" x14ac:dyDescent="0.25">
      <c r="A889" s="36">
        <v>1881</v>
      </c>
      <c r="B889" s="37">
        <v>43800</v>
      </c>
      <c r="C889" s="37">
        <v>43871.002503593532</v>
      </c>
      <c r="D889" s="36" t="s">
        <v>195</v>
      </c>
      <c r="E889" s="36"/>
      <c r="F889" s="38">
        <v>18731301.130000003</v>
      </c>
      <c r="G889" s="40">
        <f>VLOOKUP(A889,'DATOS GENERALES'!A:B,2,0)</f>
        <v>1.96</v>
      </c>
      <c r="H889" s="36">
        <f t="shared" si="65"/>
        <v>1.9509839999999998</v>
      </c>
      <c r="I889" s="38">
        <f t="shared" si="66"/>
        <v>9600950.6638701316</v>
      </c>
      <c r="J889" s="38">
        <f t="shared" si="67"/>
        <v>9130350.4661298711</v>
      </c>
      <c r="K889" s="38">
        <v>3458479.6014128174</v>
      </c>
      <c r="L889" s="38">
        <f t="shared" si="68"/>
        <v>5671870.8647170532</v>
      </c>
      <c r="M889" s="41">
        <f>VLOOKUP(INDICADORES!$B$21,'DATOS GENERALES'!$K:$M,3,0)*F889</f>
        <v>127485.72795971281</v>
      </c>
      <c r="N889" s="38">
        <f t="shared" si="69"/>
        <v>5544385.1367573403</v>
      </c>
      <c r="O889" s="36"/>
      <c r="P889" s="36"/>
      <c r="Q889" s="36"/>
    </row>
    <row r="890" spans="1:17" x14ac:dyDescent="0.25">
      <c r="A890" s="36">
        <v>1881</v>
      </c>
      <c r="B890" s="37">
        <v>43831</v>
      </c>
      <c r="C890" s="37">
        <v>43892.252912372089</v>
      </c>
      <c r="D890" s="36" t="s">
        <v>195</v>
      </c>
      <c r="E890" s="36"/>
      <c r="F890" s="38">
        <v>18731301.130000003</v>
      </c>
      <c r="G890" s="40">
        <f>VLOOKUP(A890,'DATOS GENERALES'!A:B,2,0)</f>
        <v>1.96</v>
      </c>
      <c r="H890" s="36">
        <f t="shared" si="65"/>
        <v>1.9509839999999998</v>
      </c>
      <c r="I890" s="38">
        <f t="shared" si="66"/>
        <v>9600950.6638701316</v>
      </c>
      <c r="J890" s="38">
        <f t="shared" si="67"/>
        <v>9130350.4661298711</v>
      </c>
      <c r="K890" s="38" t="s">
        <v>213</v>
      </c>
      <c r="L890" s="38" t="str">
        <f t="shared" si="68"/>
        <v/>
      </c>
      <c r="M890" s="41">
        <f>VLOOKUP(INDICADORES!$B$21,'DATOS GENERALES'!$K:$M,3,0)*F890</f>
        <v>127485.72795971281</v>
      </c>
      <c r="N890" s="38" t="str">
        <f t="shared" si="69"/>
        <v/>
      </c>
      <c r="O890" s="36"/>
      <c r="P890" s="36"/>
      <c r="Q890" s="36"/>
    </row>
    <row r="891" spans="1:17" x14ac:dyDescent="0.25">
      <c r="A891" s="36">
        <v>1881</v>
      </c>
      <c r="B891" s="37">
        <v>43862</v>
      </c>
      <c r="C891" s="37">
        <v>43922.386680455755</v>
      </c>
      <c r="D891" s="36" t="s">
        <v>195</v>
      </c>
      <c r="E891" s="36"/>
      <c r="F891" s="38">
        <v>18731301.130000003</v>
      </c>
      <c r="G891" s="40">
        <f>VLOOKUP(A891,'DATOS GENERALES'!A:B,2,0)</f>
        <v>1.96</v>
      </c>
      <c r="H891" s="36">
        <f t="shared" si="65"/>
        <v>1.9509839999999998</v>
      </c>
      <c r="I891" s="38">
        <f t="shared" si="66"/>
        <v>9600950.6638701316</v>
      </c>
      <c r="J891" s="38">
        <f t="shared" si="67"/>
        <v>9130350.4661298711</v>
      </c>
      <c r="K891" s="38" t="s">
        <v>213</v>
      </c>
      <c r="L891" s="38" t="str">
        <f t="shared" si="68"/>
        <v/>
      </c>
      <c r="M891" s="41">
        <f>VLOOKUP(INDICADORES!$B$21,'DATOS GENERALES'!$K:$M,3,0)*F891</f>
        <v>127485.72795971281</v>
      </c>
      <c r="N891" s="38" t="str">
        <f t="shared" si="69"/>
        <v/>
      </c>
      <c r="O891" s="36"/>
      <c r="P891" s="36"/>
      <c r="Q891" s="36"/>
    </row>
    <row r="892" spans="1:17" x14ac:dyDescent="0.25">
      <c r="A892" s="36">
        <v>1881</v>
      </c>
      <c r="B892" s="37">
        <v>43891</v>
      </c>
      <c r="C892" s="37">
        <v>43939.919753932874</v>
      </c>
      <c r="D892" s="36" t="s">
        <v>195</v>
      </c>
      <c r="E892" s="36"/>
      <c r="F892" s="38">
        <v>18731301.130000003</v>
      </c>
      <c r="G892" s="40">
        <f>VLOOKUP(A892,'DATOS GENERALES'!A:B,2,0)</f>
        <v>1.96</v>
      </c>
      <c r="H892" s="36">
        <f t="shared" si="65"/>
        <v>1.9509839999999998</v>
      </c>
      <c r="I892" s="38">
        <f t="shared" si="66"/>
        <v>9600950.6638701316</v>
      </c>
      <c r="J892" s="38">
        <f t="shared" si="67"/>
        <v>9130350.4661298711</v>
      </c>
      <c r="K892" s="38" t="s">
        <v>213</v>
      </c>
      <c r="L892" s="38" t="str">
        <f t="shared" si="68"/>
        <v/>
      </c>
      <c r="M892" s="41">
        <f>VLOOKUP(INDICADORES!$B$21,'DATOS GENERALES'!$K:$M,3,0)*F892</f>
        <v>127485.72795971281</v>
      </c>
      <c r="N892" s="38" t="str">
        <f t="shared" si="69"/>
        <v/>
      </c>
      <c r="O892" s="36"/>
      <c r="P892" s="36"/>
      <c r="Q892" s="36"/>
    </row>
    <row r="893" spans="1:17" x14ac:dyDescent="0.25">
      <c r="A893" s="36">
        <v>1881</v>
      </c>
      <c r="B893" s="37">
        <v>43922</v>
      </c>
      <c r="C893" s="37">
        <v>43964.816730424871</v>
      </c>
      <c r="D893" s="36" t="s">
        <v>195</v>
      </c>
      <c r="E893" s="36"/>
      <c r="F893" s="38">
        <v>18731301.130000003</v>
      </c>
      <c r="G893" s="40">
        <f>VLOOKUP(A893,'DATOS GENERALES'!A:B,2,0)</f>
        <v>1.96</v>
      </c>
      <c r="H893" s="36">
        <f t="shared" si="65"/>
        <v>1.9509839999999998</v>
      </c>
      <c r="I893" s="38">
        <f t="shared" si="66"/>
        <v>9600950.6638701316</v>
      </c>
      <c r="J893" s="38">
        <f t="shared" si="67"/>
        <v>9130350.4661298711</v>
      </c>
      <c r="K893" s="38" t="s">
        <v>213</v>
      </c>
      <c r="L893" s="38" t="str">
        <f t="shared" si="68"/>
        <v/>
      </c>
      <c r="M893" s="41">
        <f>VLOOKUP(INDICADORES!$B$21,'DATOS GENERALES'!$K:$M,3,0)*F893</f>
        <v>127485.72795971281</v>
      </c>
      <c r="N893" s="38" t="str">
        <f t="shared" si="69"/>
        <v/>
      </c>
      <c r="O893" s="36"/>
      <c r="P893" s="36"/>
      <c r="Q893" s="36"/>
    </row>
    <row r="894" spans="1:17" x14ac:dyDescent="0.25">
      <c r="A894" s="36">
        <v>1881</v>
      </c>
      <c r="B894" s="37">
        <v>43952</v>
      </c>
      <c r="C894" s="37">
        <v>44033.002314709025</v>
      </c>
      <c r="D894" s="36" t="s">
        <v>195</v>
      </c>
      <c r="E894" s="36"/>
      <c r="F894" s="38">
        <v>18731301.130000003</v>
      </c>
      <c r="G894" s="40">
        <f>VLOOKUP(A894,'DATOS GENERALES'!A:B,2,0)</f>
        <v>1.96</v>
      </c>
      <c r="H894" s="36">
        <f t="shared" si="65"/>
        <v>1.9509839999999998</v>
      </c>
      <c r="I894" s="38">
        <f t="shared" si="66"/>
        <v>9600950.6638701316</v>
      </c>
      <c r="J894" s="38">
        <f t="shared" si="67"/>
        <v>9130350.4661298711</v>
      </c>
      <c r="K894" s="38" t="s">
        <v>213</v>
      </c>
      <c r="L894" s="38" t="str">
        <f t="shared" si="68"/>
        <v/>
      </c>
      <c r="M894" s="41">
        <f>VLOOKUP(INDICADORES!$B$21,'DATOS GENERALES'!$K:$M,3,0)*F894</f>
        <v>127485.72795971281</v>
      </c>
      <c r="N894" s="38" t="str">
        <f t="shared" si="69"/>
        <v/>
      </c>
      <c r="O894" s="36"/>
      <c r="P894" s="36"/>
      <c r="Q894" s="36"/>
    </row>
    <row r="895" spans="1:17" x14ac:dyDescent="0.25">
      <c r="A895" s="36">
        <v>1881</v>
      </c>
      <c r="B895" s="37">
        <v>43983</v>
      </c>
      <c r="C895" s="37">
        <v>44059.205696390964</v>
      </c>
      <c r="D895" s="36" t="s">
        <v>195</v>
      </c>
      <c r="E895" s="36"/>
      <c r="F895" s="38">
        <v>18731301.130000003</v>
      </c>
      <c r="G895" s="40">
        <f>VLOOKUP(A895,'DATOS GENERALES'!A:B,2,0)</f>
        <v>1.96</v>
      </c>
      <c r="H895" s="36">
        <f t="shared" si="65"/>
        <v>1.9509839999999998</v>
      </c>
      <c r="I895" s="38">
        <f t="shared" si="66"/>
        <v>9600950.6638701316</v>
      </c>
      <c r="J895" s="38">
        <f t="shared" si="67"/>
        <v>9130350.4661298711</v>
      </c>
      <c r="K895" s="38" t="s">
        <v>213</v>
      </c>
      <c r="L895" s="38" t="str">
        <f t="shared" si="68"/>
        <v/>
      </c>
      <c r="M895" s="41">
        <f>VLOOKUP(INDICADORES!$B$21,'DATOS GENERALES'!$K:$M,3,0)*F895</f>
        <v>127485.72795971281</v>
      </c>
      <c r="N895" s="38" t="str">
        <f t="shared" si="69"/>
        <v/>
      </c>
      <c r="O895" s="36"/>
      <c r="P895" s="36"/>
      <c r="Q895" s="36"/>
    </row>
    <row r="896" spans="1:17" x14ac:dyDescent="0.25">
      <c r="A896" s="36">
        <v>1881</v>
      </c>
      <c r="B896" s="37">
        <v>44013</v>
      </c>
      <c r="C896" s="37">
        <v>44115.232215603835</v>
      </c>
      <c r="D896" s="36" t="s">
        <v>195</v>
      </c>
      <c r="E896" s="36"/>
      <c r="F896" s="38">
        <v>18731301.130000003</v>
      </c>
      <c r="G896" s="40">
        <f>VLOOKUP(A896,'DATOS GENERALES'!A:B,2,0)</f>
        <v>1.96</v>
      </c>
      <c r="H896" s="36">
        <f t="shared" si="65"/>
        <v>1.9509839999999998</v>
      </c>
      <c r="I896" s="38">
        <f t="shared" si="66"/>
        <v>9600950.6638701316</v>
      </c>
      <c r="J896" s="38">
        <f t="shared" si="67"/>
        <v>9130350.4661298711</v>
      </c>
      <c r="K896" s="38" t="s">
        <v>213</v>
      </c>
      <c r="L896" s="38" t="str">
        <f t="shared" si="68"/>
        <v/>
      </c>
      <c r="M896" s="41">
        <f>VLOOKUP(INDICADORES!$B$21,'DATOS GENERALES'!$K:$M,3,0)*F896</f>
        <v>127485.72795971281</v>
      </c>
      <c r="N896" s="38" t="str">
        <f t="shared" si="69"/>
        <v/>
      </c>
      <c r="O896" s="36"/>
      <c r="P896" s="36"/>
      <c r="Q896" s="36"/>
    </row>
    <row r="897" spans="1:17" x14ac:dyDescent="0.25">
      <c r="A897" s="36">
        <v>1880</v>
      </c>
      <c r="B897" s="37">
        <v>43466</v>
      </c>
      <c r="C897" s="37">
        <v>43529.440496140567</v>
      </c>
      <c r="D897" s="36" t="s">
        <v>195</v>
      </c>
      <c r="E897" s="36"/>
      <c r="F897" s="38">
        <v>28582181.75662316</v>
      </c>
      <c r="G897" s="40">
        <f>VLOOKUP(A897,'DATOS GENERALES'!A:B,2,0)</f>
        <v>2.16</v>
      </c>
      <c r="H897" s="36">
        <f t="shared" si="65"/>
        <v>2.150064</v>
      </c>
      <c r="I897" s="38">
        <f t="shared" si="66"/>
        <v>13293642.308611818</v>
      </c>
      <c r="J897" s="38">
        <f t="shared" si="67"/>
        <v>15288539.448011342</v>
      </c>
      <c r="K897" s="38">
        <v>2916868.99130625</v>
      </c>
      <c r="L897" s="38">
        <f t="shared" si="68"/>
        <v>12371670.456705093</v>
      </c>
      <c r="M897" s="41">
        <f>VLOOKUP(INDICADORES!$B$21,'DATOS GENERALES'!$K:$M,3,0)*F897</f>
        <v>194531.0804962712</v>
      </c>
      <c r="N897" s="38">
        <f t="shared" si="69"/>
        <v>12177139.376208821</v>
      </c>
      <c r="O897" s="36"/>
      <c r="P897" s="36"/>
      <c r="Q897" s="36"/>
    </row>
    <row r="898" spans="1:17" x14ac:dyDescent="0.25">
      <c r="A898" s="36">
        <v>1880</v>
      </c>
      <c r="B898" s="37">
        <v>43497</v>
      </c>
      <c r="C898" s="37">
        <v>43553.118651777862</v>
      </c>
      <c r="D898" s="36" t="s">
        <v>195</v>
      </c>
      <c r="E898" s="36"/>
      <c r="F898" s="38">
        <v>28582181.75662316</v>
      </c>
      <c r="G898" s="40">
        <f>VLOOKUP(A898,'DATOS GENERALES'!A:B,2,0)</f>
        <v>2.16</v>
      </c>
      <c r="H898" s="36">
        <f t="shared" si="65"/>
        <v>2.150064</v>
      </c>
      <c r="I898" s="38">
        <f t="shared" si="66"/>
        <v>13293642.308611818</v>
      </c>
      <c r="J898" s="38">
        <f t="shared" si="67"/>
        <v>15288539.448011342</v>
      </c>
      <c r="K898" s="38">
        <v>2873525.1060215631</v>
      </c>
      <c r="L898" s="38">
        <f t="shared" si="68"/>
        <v>12415014.34198978</v>
      </c>
      <c r="M898" s="41">
        <f>VLOOKUP(INDICADORES!$B$21,'DATOS GENERALES'!$K:$M,3,0)*F898</f>
        <v>194531.0804962712</v>
      </c>
      <c r="N898" s="38">
        <f t="shared" si="69"/>
        <v>12220483.261493508</v>
      </c>
      <c r="O898" s="36"/>
      <c r="P898" s="36"/>
      <c r="Q898" s="36"/>
    </row>
    <row r="899" spans="1:17" x14ac:dyDescent="0.25">
      <c r="A899" s="36">
        <v>1880</v>
      </c>
      <c r="B899" s="37">
        <v>43525</v>
      </c>
      <c r="C899" s="37">
        <v>43596.612541923001</v>
      </c>
      <c r="D899" s="36" t="s">
        <v>195</v>
      </c>
      <c r="E899" s="36"/>
      <c r="F899" s="38">
        <v>25155129.655423157</v>
      </c>
      <c r="G899" s="40">
        <f>VLOOKUP(A899,'DATOS GENERALES'!A:B,2,0)</f>
        <v>2.16</v>
      </c>
      <c r="H899" s="36">
        <f t="shared" ref="H899:H962" si="70">G899*0.9954</f>
        <v>2.150064</v>
      </c>
      <c r="I899" s="38">
        <f t="shared" ref="I899:I962" si="71">F899/H899</f>
        <v>11699712.034350213</v>
      </c>
      <c r="J899" s="38">
        <f t="shared" ref="J899:J962" si="72">F899-I899</f>
        <v>13455417.621072944</v>
      </c>
      <c r="K899" s="38">
        <v>1829688.9689906822</v>
      </c>
      <c r="L899" s="38">
        <f t="shared" ref="L899:L962" si="73">IFERROR(J899-K899,"")</f>
        <v>11625728.652082263</v>
      </c>
      <c r="M899" s="41">
        <f>VLOOKUP(INDICADORES!$B$21,'DATOS GENERALES'!$K:$M,3,0)*F899</f>
        <v>171206.47379409143</v>
      </c>
      <c r="N899" s="38">
        <f t="shared" ref="N899:N962" si="74">IFERROR(L899-M899,"")</f>
        <v>11454522.178288171</v>
      </c>
      <c r="O899" s="36"/>
      <c r="P899" s="36"/>
      <c r="Q899" s="36"/>
    </row>
    <row r="900" spans="1:17" x14ac:dyDescent="0.25">
      <c r="A900" s="36">
        <v>1880</v>
      </c>
      <c r="B900" s="37">
        <v>43556</v>
      </c>
      <c r="C900" s="37">
        <v>43591.006155866809</v>
      </c>
      <c r="D900" s="36" t="s">
        <v>195</v>
      </c>
      <c r="E900" s="36"/>
      <c r="F900" s="38">
        <v>25155129.655423157</v>
      </c>
      <c r="G900" s="40">
        <f>VLOOKUP(A900,'DATOS GENERALES'!A:B,2,0)</f>
        <v>2.16</v>
      </c>
      <c r="H900" s="36">
        <f t="shared" si="70"/>
        <v>2.150064</v>
      </c>
      <c r="I900" s="38">
        <f t="shared" si="71"/>
        <v>11699712.034350213</v>
      </c>
      <c r="J900" s="38">
        <f t="shared" si="72"/>
        <v>13455417.621072944</v>
      </c>
      <c r="K900" s="38">
        <v>1881058.160440132</v>
      </c>
      <c r="L900" s="38">
        <f t="shared" si="73"/>
        <v>11574359.460632812</v>
      </c>
      <c r="M900" s="41">
        <f>VLOOKUP(INDICADORES!$B$21,'DATOS GENERALES'!$K:$M,3,0)*F900</f>
        <v>171206.47379409143</v>
      </c>
      <c r="N900" s="38">
        <f t="shared" si="74"/>
        <v>11403152.986838721</v>
      </c>
      <c r="O900" s="36"/>
      <c r="P900" s="36"/>
      <c r="Q900" s="36"/>
    </row>
    <row r="901" spans="1:17" x14ac:dyDescent="0.25">
      <c r="A901" s="36">
        <v>1880</v>
      </c>
      <c r="B901" s="37">
        <v>43586</v>
      </c>
      <c r="C901" s="37">
        <v>43601.524978099049</v>
      </c>
      <c r="D901" s="36" t="s">
        <v>195</v>
      </c>
      <c r="E901" s="36"/>
      <c r="F901" s="38">
        <v>19133530.631668162</v>
      </c>
      <c r="G901" s="40">
        <f>VLOOKUP(A901,'DATOS GENERALES'!A:B,2,0)</f>
        <v>2.16</v>
      </c>
      <c r="H901" s="36">
        <f t="shared" si="70"/>
        <v>2.150064</v>
      </c>
      <c r="I901" s="38">
        <f t="shared" si="71"/>
        <v>8899051.6708656866</v>
      </c>
      <c r="J901" s="38">
        <f t="shared" si="72"/>
        <v>10234478.960802475</v>
      </c>
      <c r="K901" s="38">
        <v>1180287.7830768789</v>
      </c>
      <c r="L901" s="38">
        <f t="shared" si="73"/>
        <v>9054191.1777255964</v>
      </c>
      <c r="M901" s="41">
        <f>VLOOKUP(INDICADORES!$B$21,'DATOS GENERALES'!$K:$M,3,0)*F901</f>
        <v>130223.31252317435</v>
      </c>
      <c r="N901" s="38">
        <f t="shared" si="74"/>
        <v>8923967.8652024213</v>
      </c>
      <c r="O901" s="36"/>
      <c r="P901" s="36"/>
      <c r="Q901" s="36"/>
    </row>
    <row r="902" spans="1:17" x14ac:dyDescent="0.25">
      <c r="A902" s="36">
        <v>1880</v>
      </c>
      <c r="B902" s="37">
        <v>43617</v>
      </c>
      <c r="C902" s="37">
        <v>43662.520638269612</v>
      </c>
      <c r="D902" s="36" t="s">
        <v>195</v>
      </c>
      <c r="E902" s="36"/>
      <c r="F902" s="38">
        <v>15168446</v>
      </c>
      <c r="G902" s="40">
        <f>VLOOKUP(A902,'DATOS GENERALES'!A:B,2,0)</f>
        <v>2.16</v>
      </c>
      <c r="H902" s="36">
        <f t="shared" si="70"/>
        <v>2.150064</v>
      </c>
      <c r="I902" s="38">
        <f t="shared" si="71"/>
        <v>7054881.1570260236</v>
      </c>
      <c r="J902" s="38">
        <f t="shared" si="72"/>
        <v>8113564.8429739764</v>
      </c>
      <c r="K902" s="38">
        <v>1258289.4238619304</v>
      </c>
      <c r="L902" s="38">
        <f t="shared" si="73"/>
        <v>6855275.4191120462</v>
      </c>
      <c r="M902" s="41">
        <f>VLOOKUP(INDICADORES!$B$21,'DATOS GENERALES'!$K:$M,3,0)*F902</f>
        <v>103236.84227309166</v>
      </c>
      <c r="N902" s="38">
        <f t="shared" si="74"/>
        <v>6752038.5768389544</v>
      </c>
      <c r="O902" s="36"/>
      <c r="P902" s="36"/>
      <c r="Q902" s="36"/>
    </row>
    <row r="903" spans="1:17" x14ac:dyDescent="0.25">
      <c r="A903" s="36">
        <v>1877</v>
      </c>
      <c r="B903" s="37">
        <v>43466</v>
      </c>
      <c r="C903" s="37">
        <v>43524.507849643211</v>
      </c>
      <c r="D903" s="36" t="s">
        <v>195</v>
      </c>
      <c r="E903" s="36"/>
      <c r="F903" s="38">
        <v>103091506.81246251</v>
      </c>
      <c r="G903" s="40">
        <f>VLOOKUP(A903,'DATOS GENERALES'!A:B,2,0)</f>
        <v>1.82</v>
      </c>
      <c r="H903" s="36">
        <f t="shared" si="70"/>
        <v>1.811628</v>
      </c>
      <c r="I903" s="38">
        <f t="shared" si="71"/>
        <v>56905450.132401638</v>
      </c>
      <c r="J903" s="38">
        <f t="shared" si="72"/>
        <v>46186056.680060871</v>
      </c>
      <c r="K903" s="38">
        <v>12486099.676384287</v>
      </c>
      <c r="L903" s="38">
        <f t="shared" si="73"/>
        <v>33699957.003676586</v>
      </c>
      <c r="M903" s="41">
        <f>VLOOKUP(INDICADORES!$B$21,'DATOS GENERALES'!$K:$M,3,0)*F903</f>
        <v>701643.50576806266</v>
      </c>
      <c r="N903" s="38">
        <f t="shared" si="74"/>
        <v>32998313.497908521</v>
      </c>
      <c r="O903" s="36"/>
      <c r="P903" s="36"/>
      <c r="Q903" s="36"/>
    </row>
    <row r="904" spans="1:17" x14ac:dyDescent="0.25">
      <c r="A904" s="36">
        <v>1877</v>
      </c>
      <c r="B904" s="37">
        <v>43497</v>
      </c>
      <c r="C904" s="37">
        <v>43597.898256134846</v>
      </c>
      <c r="D904" s="36" t="s">
        <v>195</v>
      </c>
      <c r="E904" s="36"/>
      <c r="F904" s="38">
        <v>103091506.81246251</v>
      </c>
      <c r="G904" s="40">
        <f>VLOOKUP(A904,'DATOS GENERALES'!A:B,2,0)</f>
        <v>1.82</v>
      </c>
      <c r="H904" s="36">
        <f t="shared" si="70"/>
        <v>1.811628</v>
      </c>
      <c r="I904" s="38">
        <f t="shared" si="71"/>
        <v>56905450.132401638</v>
      </c>
      <c r="J904" s="38">
        <f t="shared" si="72"/>
        <v>46186056.680060871</v>
      </c>
      <c r="K904" s="38">
        <v>12300559.608030375</v>
      </c>
      <c r="L904" s="38">
        <f t="shared" si="73"/>
        <v>33885497.0720305</v>
      </c>
      <c r="M904" s="41">
        <f>VLOOKUP(INDICADORES!$B$21,'DATOS GENERALES'!$K:$M,3,0)*F904</f>
        <v>701643.50576806266</v>
      </c>
      <c r="N904" s="38">
        <f t="shared" si="74"/>
        <v>33183853.566262435</v>
      </c>
      <c r="O904" s="36"/>
      <c r="P904" s="36"/>
      <c r="Q904" s="36"/>
    </row>
    <row r="905" spans="1:17" x14ac:dyDescent="0.25">
      <c r="A905" s="36">
        <v>1877</v>
      </c>
      <c r="B905" s="37">
        <v>43525</v>
      </c>
      <c r="C905" s="37">
        <v>43576.620840999552</v>
      </c>
      <c r="D905" s="36" t="s">
        <v>195</v>
      </c>
      <c r="E905" s="36"/>
      <c r="F905" s="38">
        <v>93763648.062462509</v>
      </c>
      <c r="G905" s="40">
        <f>VLOOKUP(A905,'DATOS GENERALES'!A:B,2,0)</f>
        <v>1.82</v>
      </c>
      <c r="H905" s="36">
        <f t="shared" si="70"/>
        <v>1.811628</v>
      </c>
      <c r="I905" s="38">
        <f t="shared" si="71"/>
        <v>51756568.159943715</v>
      </c>
      <c r="J905" s="38">
        <f t="shared" si="72"/>
        <v>42007079.902518794</v>
      </c>
      <c r="K905" s="38">
        <v>8094081.4232888781</v>
      </c>
      <c r="L905" s="38">
        <f t="shared" si="73"/>
        <v>33912998.479229912</v>
      </c>
      <c r="M905" s="41">
        <f>VLOOKUP(INDICADORES!$B$21,'DATOS GENERALES'!$K:$M,3,0)*F905</f>
        <v>638157.85387468955</v>
      </c>
      <c r="N905" s="38">
        <f t="shared" si="74"/>
        <v>33274840.625355221</v>
      </c>
      <c r="O905" s="36"/>
      <c r="P905" s="36"/>
      <c r="Q905" s="36"/>
    </row>
    <row r="906" spans="1:17" x14ac:dyDescent="0.25">
      <c r="A906" s="36">
        <v>1877</v>
      </c>
      <c r="B906" s="37">
        <v>43556</v>
      </c>
      <c r="C906" s="37">
        <v>43654.224930566757</v>
      </c>
      <c r="D906" s="36" t="s">
        <v>195</v>
      </c>
      <c r="E906" s="36"/>
      <c r="F906" s="38">
        <v>93763648.062462509</v>
      </c>
      <c r="G906" s="40">
        <f>VLOOKUP(A906,'DATOS GENERALES'!A:B,2,0)</f>
        <v>1.82</v>
      </c>
      <c r="H906" s="36">
        <f t="shared" si="70"/>
        <v>1.811628</v>
      </c>
      <c r="I906" s="38">
        <f t="shared" si="71"/>
        <v>51756568.159943715</v>
      </c>
      <c r="J906" s="38">
        <f t="shared" si="72"/>
        <v>42007079.902518794</v>
      </c>
      <c r="K906" s="38">
        <v>8321325.7392830448</v>
      </c>
      <c r="L906" s="38">
        <f t="shared" si="73"/>
        <v>33685754.163235746</v>
      </c>
      <c r="M906" s="41">
        <f>VLOOKUP(INDICADORES!$B$21,'DATOS GENERALES'!$K:$M,3,0)*F906</f>
        <v>638157.85387468955</v>
      </c>
      <c r="N906" s="38">
        <f t="shared" si="74"/>
        <v>33047596.309361055</v>
      </c>
      <c r="O906" s="36"/>
      <c r="P906" s="36"/>
      <c r="Q906" s="36"/>
    </row>
    <row r="907" spans="1:17" x14ac:dyDescent="0.25">
      <c r="A907" s="36">
        <v>1877</v>
      </c>
      <c r="B907" s="37">
        <v>43586</v>
      </c>
      <c r="C907" s="37">
        <v>43612.181769826006</v>
      </c>
      <c r="D907" s="36" t="s">
        <v>195</v>
      </c>
      <c r="E907" s="36"/>
      <c r="F907" s="38">
        <v>93763648.062462509</v>
      </c>
      <c r="G907" s="40">
        <f>VLOOKUP(A907,'DATOS GENERALES'!A:B,2,0)</f>
        <v>1.82</v>
      </c>
      <c r="H907" s="36">
        <f t="shared" si="70"/>
        <v>1.811628</v>
      </c>
      <c r="I907" s="38">
        <f t="shared" si="71"/>
        <v>51756568.159943715</v>
      </c>
      <c r="J907" s="38">
        <f t="shared" si="72"/>
        <v>42007079.902518794</v>
      </c>
      <c r="K907" s="38">
        <v>6864511.7876054347</v>
      </c>
      <c r="L907" s="38">
        <f t="shared" si="73"/>
        <v>35142568.114913359</v>
      </c>
      <c r="M907" s="41">
        <f>VLOOKUP(INDICADORES!$B$21,'DATOS GENERALES'!$K:$M,3,0)*F907</f>
        <v>638157.85387468955</v>
      </c>
      <c r="N907" s="38">
        <f t="shared" si="74"/>
        <v>34504410.261038668</v>
      </c>
      <c r="O907" s="36"/>
      <c r="P907" s="36"/>
      <c r="Q907" s="36"/>
    </row>
    <row r="908" spans="1:17" x14ac:dyDescent="0.25">
      <c r="A908" s="36">
        <v>1877</v>
      </c>
      <c r="B908" s="37">
        <v>43617</v>
      </c>
      <c r="C908" s="37">
        <v>43679.995831521614</v>
      </c>
      <c r="D908" s="36" t="s">
        <v>195</v>
      </c>
      <c r="E908" s="36"/>
      <c r="F908" s="38">
        <v>93763648.062462509</v>
      </c>
      <c r="G908" s="40">
        <f>VLOOKUP(A908,'DATOS GENERALES'!A:B,2,0)</f>
        <v>1.82</v>
      </c>
      <c r="H908" s="36">
        <f t="shared" si="70"/>
        <v>1.811628</v>
      </c>
      <c r="I908" s="38">
        <f t="shared" si="71"/>
        <v>51756568.159943715</v>
      </c>
      <c r="J908" s="38">
        <f t="shared" si="72"/>
        <v>42007079.902518794</v>
      </c>
      <c r="K908" s="38">
        <v>9231160.7922959775</v>
      </c>
      <c r="L908" s="38">
        <f t="shared" si="73"/>
        <v>32775919.110222816</v>
      </c>
      <c r="M908" s="41">
        <f>VLOOKUP(INDICADORES!$B$21,'DATOS GENERALES'!$K:$M,3,0)*F908</f>
        <v>638157.85387468955</v>
      </c>
      <c r="N908" s="38">
        <f t="shared" si="74"/>
        <v>32137761.256348126</v>
      </c>
      <c r="O908" s="36"/>
      <c r="P908" s="36"/>
      <c r="Q908" s="36"/>
    </row>
    <row r="909" spans="1:17" x14ac:dyDescent="0.25">
      <c r="A909" s="36">
        <v>1877</v>
      </c>
      <c r="B909" s="37">
        <v>43647</v>
      </c>
      <c r="C909" s="37">
        <v>43744.322845791008</v>
      </c>
      <c r="D909" s="36" t="s">
        <v>195</v>
      </c>
      <c r="E909" s="36"/>
      <c r="F909" s="38">
        <v>93763648.062462509</v>
      </c>
      <c r="G909" s="40">
        <f>VLOOKUP(A909,'DATOS GENERALES'!A:B,2,0)</f>
        <v>1.82</v>
      </c>
      <c r="H909" s="36">
        <f t="shared" si="70"/>
        <v>1.811628</v>
      </c>
      <c r="I909" s="38">
        <f t="shared" si="71"/>
        <v>51756568.159943715</v>
      </c>
      <c r="J909" s="38">
        <f t="shared" si="72"/>
        <v>42007079.902518794</v>
      </c>
      <c r="K909" s="38">
        <v>13766384.158581443</v>
      </c>
      <c r="L909" s="38">
        <f t="shared" si="73"/>
        <v>28240695.743937351</v>
      </c>
      <c r="M909" s="41">
        <f>VLOOKUP(INDICADORES!$B$21,'DATOS GENERALES'!$K:$M,3,0)*F909</f>
        <v>638157.85387468955</v>
      </c>
      <c r="N909" s="38">
        <f t="shared" si="74"/>
        <v>27602537.89006266</v>
      </c>
      <c r="O909" s="36"/>
      <c r="P909" s="36"/>
      <c r="Q909" s="36"/>
    </row>
    <row r="910" spans="1:17" x14ac:dyDescent="0.25">
      <c r="A910" s="36">
        <v>1877</v>
      </c>
      <c r="B910" s="37">
        <v>43678</v>
      </c>
      <c r="C910" s="37">
        <v>43721.947513671039</v>
      </c>
      <c r="D910" s="36" t="s">
        <v>195</v>
      </c>
      <c r="E910" s="36"/>
      <c r="F910" s="38">
        <v>88864260.739212513</v>
      </c>
      <c r="G910" s="40">
        <f>VLOOKUP(A910,'DATOS GENERALES'!A:B,2,0)</f>
        <v>1.82</v>
      </c>
      <c r="H910" s="36">
        <f t="shared" si="70"/>
        <v>1.811628</v>
      </c>
      <c r="I910" s="38">
        <f t="shared" si="71"/>
        <v>49052156.811007842</v>
      </c>
      <c r="J910" s="38">
        <f t="shared" si="72"/>
        <v>39812103.928204671</v>
      </c>
      <c r="K910" s="38">
        <v>12838775.969551345</v>
      </c>
      <c r="L910" s="38">
        <f t="shared" si="73"/>
        <v>26973327.958653323</v>
      </c>
      <c r="M910" s="41">
        <f>VLOOKUP(INDICADORES!$B$21,'DATOS GENERALES'!$K:$M,3,0)*F910</f>
        <v>604812.49494173459</v>
      </c>
      <c r="N910" s="38">
        <f t="shared" si="74"/>
        <v>26368515.46371159</v>
      </c>
      <c r="O910" s="36"/>
      <c r="P910" s="36"/>
      <c r="Q910" s="36"/>
    </row>
    <row r="911" spans="1:17" x14ac:dyDescent="0.25">
      <c r="A911" s="36">
        <v>1877</v>
      </c>
      <c r="B911" s="37">
        <v>43709</v>
      </c>
      <c r="C911" s="37">
        <v>43786.847330428507</v>
      </c>
      <c r="D911" s="36" t="s">
        <v>195</v>
      </c>
      <c r="E911" s="36"/>
      <c r="F911" s="38">
        <v>70971349.444212496</v>
      </c>
      <c r="G911" s="40">
        <f>VLOOKUP(A911,'DATOS GENERALES'!A:B,2,0)</f>
        <v>1.82</v>
      </c>
      <c r="H911" s="36">
        <f t="shared" si="70"/>
        <v>1.811628</v>
      </c>
      <c r="I911" s="38">
        <f t="shared" si="71"/>
        <v>39175454.035934806</v>
      </c>
      <c r="J911" s="38">
        <f t="shared" si="72"/>
        <v>31795895.40827769</v>
      </c>
      <c r="K911" s="38">
        <v>11588427.204507556</v>
      </c>
      <c r="L911" s="38">
        <f t="shared" si="73"/>
        <v>20207468.203770135</v>
      </c>
      <c r="M911" s="41">
        <f>VLOOKUP(INDICADORES!$B$21,'DATOS GENERALES'!$K:$M,3,0)*F911</f>
        <v>483032.87024133105</v>
      </c>
      <c r="N911" s="38">
        <f t="shared" si="74"/>
        <v>19724435.333528802</v>
      </c>
      <c r="O911" s="36"/>
      <c r="P911" s="36"/>
      <c r="Q911" s="36"/>
    </row>
    <row r="912" spans="1:17" x14ac:dyDescent="0.25">
      <c r="A912" s="36">
        <v>1877</v>
      </c>
      <c r="B912" s="37">
        <v>43739</v>
      </c>
      <c r="C912" s="37">
        <v>43795.829095852954</v>
      </c>
      <c r="D912" s="36" t="s">
        <v>195</v>
      </c>
      <c r="E912" s="36"/>
      <c r="F912" s="38">
        <v>70971349.444212496</v>
      </c>
      <c r="G912" s="40">
        <f>VLOOKUP(A912,'DATOS GENERALES'!A:B,2,0)</f>
        <v>1.82</v>
      </c>
      <c r="H912" s="36">
        <f t="shared" si="70"/>
        <v>1.811628</v>
      </c>
      <c r="I912" s="38">
        <f t="shared" si="71"/>
        <v>39175454.035934806</v>
      </c>
      <c r="J912" s="38">
        <f t="shared" si="72"/>
        <v>31795895.40827769</v>
      </c>
      <c r="K912" s="38">
        <v>12531687.410015613</v>
      </c>
      <c r="L912" s="38">
        <f t="shared" si="73"/>
        <v>19264207.998262078</v>
      </c>
      <c r="M912" s="41">
        <f>VLOOKUP(INDICADORES!$B$21,'DATOS GENERALES'!$K:$M,3,0)*F912</f>
        <v>483032.87024133105</v>
      </c>
      <c r="N912" s="38">
        <f t="shared" si="74"/>
        <v>18781175.128020745</v>
      </c>
      <c r="O912" s="36"/>
      <c r="P912" s="36"/>
      <c r="Q912" s="36"/>
    </row>
    <row r="913" spans="1:17" x14ac:dyDescent="0.25">
      <c r="A913" s="36">
        <v>1877</v>
      </c>
      <c r="B913" s="37">
        <v>43770</v>
      </c>
      <c r="C913" s="37">
        <v>43869.44800721154</v>
      </c>
      <c r="D913" s="36" t="s">
        <v>195</v>
      </c>
      <c r="E913" s="36"/>
      <c r="F913" s="38">
        <v>60371192.323249996</v>
      </c>
      <c r="G913" s="40">
        <f>VLOOKUP(A913,'DATOS GENERALES'!A:B,2,0)</f>
        <v>1.82</v>
      </c>
      <c r="H913" s="36">
        <f t="shared" si="70"/>
        <v>1.811628</v>
      </c>
      <c r="I913" s="38">
        <f t="shared" si="71"/>
        <v>33324276.464732271</v>
      </c>
      <c r="J913" s="38">
        <f t="shared" si="72"/>
        <v>27046915.858517725</v>
      </c>
      <c r="K913" s="38">
        <v>14256933.367930731</v>
      </c>
      <c r="L913" s="38">
        <f t="shared" si="73"/>
        <v>12789982.490586994</v>
      </c>
      <c r="M913" s="41">
        <f>VLOOKUP(INDICADORES!$B$21,'DATOS GENERALES'!$K:$M,3,0)*F913</f>
        <v>410887.92218489898</v>
      </c>
      <c r="N913" s="38">
        <f t="shared" si="74"/>
        <v>12379094.568402095</v>
      </c>
      <c r="O913" s="36"/>
      <c r="P913" s="36"/>
      <c r="Q913" s="36"/>
    </row>
    <row r="914" spans="1:17" x14ac:dyDescent="0.25">
      <c r="A914" s="36">
        <v>1877</v>
      </c>
      <c r="B914" s="37">
        <v>43800</v>
      </c>
      <c r="C914" s="37">
        <v>43837.940723028834</v>
      </c>
      <c r="D914" s="36" t="s">
        <v>195</v>
      </c>
      <c r="E914" s="36"/>
      <c r="F914" s="38">
        <v>60371192.323249996</v>
      </c>
      <c r="G914" s="40">
        <f>VLOOKUP(A914,'DATOS GENERALES'!A:B,2,0)</f>
        <v>1.82</v>
      </c>
      <c r="H914" s="36">
        <f t="shared" si="70"/>
        <v>1.811628</v>
      </c>
      <c r="I914" s="38">
        <f t="shared" si="71"/>
        <v>33324276.464732271</v>
      </c>
      <c r="J914" s="38">
        <f t="shared" si="72"/>
        <v>27046915.858517725</v>
      </c>
      <c r="K914" s="38">
        <v>12004158.173505301</v>
      </c>
      <c r="L914" s="38">
        <f t="shared" si="73"/>
        <v>15042757.685012424</v>
      </c>
      <c r="M914" s="41">
        <f>VLOOKUP(INDICADORES!$B$21,'DATOS GENERALES'!$K:$M,3,0)*F914</f>
        <v>410887.92218489898</v>
      </c>
      <c r="N914" s="38">
        <f t="shared" si="74"/>
        <v>14631869.762827525</v>
      </c>
      <c r="O914" s="36"/>
      <c r="P914" s="36"/>
      <c r="Q914" s="36"/>
    </row>
    <row r="915" spans="1:17" x14ac:dyDescent="0.25">
      <c r="A915" s="36">
        <v>1877</v>
      </c>
      <c r="B915" s="37">
        <v>43831</v>
      </c>
      <c r="C915" s="37">
        <v>43905.44208188475</v>
      </c>
      <c r="D915" s="36" t="s">
        <v>195</v>
      </c>
      <c r="E915" s="36"/>
      <c r="F915" s="38">
        <v>48562280</v>
      </c>
      <c r="G915" s="40">
        <f>VLOOKUP(A915,'DATOS GENERALES'!A:B,2,0)</f>
        <v>1.82</v>
      </c>
      <c r="H915" s="36">
        <f t="shared" si="70"/>
        <v>1.811628</v>
      </c>
      <c r="I915" s="38">
        <f t="shared" si="71"/>
        <v>26805878.469531272</v>
      </c>
      <c r="J915" s="38">
        <f t="shared" si="72"/>
        <v>21756401.530468728</v>
      </c>
      <c r="K915" s="38" t="s">
        <v>213</v>
      </c>
      <c r="L915" s="38" t="str">
        <f t="shared" si="73"/>
        <v/>
      </c>
      <c r="M915" s="41">
        <f>VLOOKUP(INDICADORES!$B$21,'DATOS GENERALES'!$K:$M,3,0)*F915</f>
        <v>330516.15444203804</v>
      </c>
      <c r="N915" s="38" t="str">
        <f t="shared" si="74"/>
        <v/>
      </c>
      <c r="O915" s="36"/>
      <c r="P915" s="36"/>
      <c r="Q915" s="36"/>
    </row>
    <row r="916" spans="1:17" x14ac:dyDescent="0.25">
      <c r="A916" s="36">
        <v>1877</v>
      </c>
      <c r="B916" s="37">
        <v>43862</v>
      </c>
      <c r="C916" s="37">
        <v>43918.720946127083</v>
      </c>
      <c r="D916" s="36" t="s">
        <v>195</v>
      </c>
      <c r="E916" s="36"/>
      <c r="F916" s="38">
        <v>48562280</v>
      </c>
      <c r="G916" s="40">
        <f>VLOOKUP(A916,'DATOS GENERALES'!A:B,2,0)</f>
        <v>1.82</v>
      </c>
      <c r="H916" s="36">
        <f t="shared" si="70"/>
        <v>1.811628</v>
      </c>
      <c r="I916" s="38">
        <f t="shared" si="71"/>
        <v>26805878.469531272</v>
      </c>
      <c r="J916" s="38">
        <f t="shared" si="72"/>
        <v>21756401.530468728</v>
      </c>
      <c r="K916" s="38" t="s">
        <v>213</v>
      </c>
      <c r="L916" s="38" t="str">
        <f t="shared" si="73"/>
        <v/>
      </c>
      <c r="M916" s="41">
        <f>VLOOKUP(INDICADORES!$B$21,'DATOS GENERALES'!$K:$M,3,0)*F916</f>
        <v>330516.15444203804</v>
      </c>
      <c r="N916" s="38" t="str">
        <f t="shared" si="74"/>
        <v/>
      </c>
      <c r="O916" s="36"/>
      <c r="P916" s="36"/>
      <c r="Q916" s="36"/>
    </row>
    <row r="917" spans="1:17" x14ac:dyDescent="0.25">
      <c r="A917" s="36">
        <v>1877</v>
      </c>
      <c r="B917" s="37">
        <v>43891</v>
      </c>
      <c r="C917" s="37">
        <v>43941.700616320712</v>
      </c>
      <c r="D917" s="36" t="s">
        <v>195</v>
      </c>
      <c r="E917" s="36"/>
      <c r="F917" s="38">
        <v>48562280</v>
      </c>
      <c r="G917" s="40">
        <f>VLOOKUP(A917,'DATOS GENERALES'!A:B,2,0)</f>
        <v>1.82</v>
      </c>
      <c r="H917" s="36">
        <f t="shared" si="70"/>
        <v>1.811628</v>
      </c>
      <c r="I917" s="38">
        <f t="shared" si="71"/>
        <v>26805878.469531272</v>
      </c>
      <c r="J917" s="38">
        <f t="shared" si="72"/>
        <v>21756401.530468728</v>
      </c>
      <c r="K917" s="38" t="s">
        <v>213</v>
      </c>
      <c r="L917" s="38" t="str">
        <f t="shared" si="73"/>
        <v/>
      </c>
      <c r="M917" s="41">
        <f>VLOOKUP(INDICADORES!$B$21,'DATOS GENERALES'!$K:$M,3,0)*F917</f>
        <v>330516.15444203804</v>
      </c>
      <c r="N917" s="38" t="str">
        <f t="shared" si="74"/>
        <v/>
      </c>
      <c r="O917" s="36"/>
      <c r="P917" s="36"/>
      <c r="Q917" s="36"/>
    </row>
    <row r="918" spans="1:17" x14ac:dyDescent="0.25">
      <c r="A918" s="36">
        <v>1753</v>
      </c>
      <c r="B918" s="37">
        <v>43466</v>
      </c>
      <c r="C918" s="37">
        <v>43545.803726527542</v>
      </c>
      <c r="D918" s="36" t="s">
        <v>195</v>
      </c>
      <c r="E918" s="36"/>
      <c r="F918" s="38">
        <v>28159952.859999999</v>
      </c>
      <c r="G918" s="40">
        <f>VLOOKUP(A918,'DATOS GENERALES'!A:B,2,0)</f>
        <v>2.42</v>
      </c>
      <c r="H918" s="36">
        <f t="shared" si="70"/>
        <v>2.408868</v>
      </c>
      <c r="I918" s="38">
        <f t="shared" si="71"/>
        <v>11690118.703058863</v>
      </c>
      <c r="J918" s="38">
        <f t="shared" si="72"/>
        <v>16469834.156941136</v>
      </c>
      <c r="K918" s="38">
        <v>2565026.4959778627</v>
      </c>
      <c r="L918" s="38">
        <f t="shared" si="73"/>
        <v>13904807.660963275</v>
      </c>
      <c r="M918" s="41">
        <f>VLOOKUP(INDICADORES!$B$21,'DATOS GENERALES'!$K:$M,3,0)*F918</f>
        <v>191657.37952493725</v>
      </c>
      <c r="N918" s="38">
        <f t="shared" si="74"/>
        <v>13713150.281438338</v>
      </c>
      <c r="O918" s="36"/>
      <c r="P918" s="36"/>
      <c r="Q918" s="36"/>
    </row>
    <row r="919" spans="1:17" x14ac:dyDescent="0.25">
      <c r="A919" s="36">
        <v>1723</v>
      </c>
      <c r="B919" s="37">
        <v>43466</v>
      </c>
      <c r="C919" s="37">
        <v>43559.279387510251</v>
      </c>
      <c r="D919" s="36" t="s">
        <v>195</v>
      </c>
      <c r="E919" s="36"/>
      <c r="F919" s="38">
        <v>141764652.89297777</v>
      </c>
      <c r="G919" s="40">
        <f>VLOOKUP(A919,'DATOS GENERALES'!A:B,2,0)</f>
        <v>1.82</v>
      </c>
      <c r="H919" s="36">
        <f t="shared" si="70"/>
        <v>1.811628</v>
      </c>
      <c r="I919" s="38">
        <f t="shared" si="71"/>
        <v>78252628.515886143</v>
      </c>
      <c r="J919" s="38">
        <f t="shared" si="72"/>
        <v>63512024.377091631</v>
      </c>
      <c r="K919" s="38">
        <v>17170062.222776227</v>
      </c>
      <c r="L919" s="38">
        <f t="shared" si="73"/>
        <v>46341962.154315405</v>
      </c>
      <c r="M919" s="41">
        <f>VLOOKUP(INDICADORES!$B$21,'DATOS GENERALES'!$K:$M,3,0)*F919</f>
        <v>964853.9547566002</v>
      </c>
      <c r="N919" s="38">
        <f t="shared" si="74"/>
        <v>45377108.199558802</v>
      </c>
      <c r="O919" s="36"/>
      <c r="P919" s="36"/>
      <c r="Q919" s="36"/>
    </row>
    <row r="920" spans="1:17" x14ac:dyDescent="0.25">
      <c r="A920" s="36">
        <v>1723</v>
      </c>
      <c r="B920" s="37">
        <v>43497</v>
      </c>
      <c r="C920" s="37">
        <v>43571.698993772836</v>
      </c>
      <c r="D920" s="36" t="s">
        <v>195</v>
      </c>
      <c r="E920" s="36"/>
      <c r="F920" s="38">
        <v>135543402.89297777</v>
      </c>
      <c r="G920" s="40">
        <f>VLOOKUP(A920,'DATOS GENERALES'!A:B,2,0)</f>
        <v>1.82</v>
      </c>
      <c r="H920" s="36">
        <f t="shared" si="70"/>
        <v>1.811628</v>
      </c>
      <c r="I920" s="38">
        <f t="shared" si="71"/>
        <v>74818562.581820205</v>
      </c>
      <c r="J920" s="38">
        <f t="shared" si="72"/>
        <v>60724840.311157569</v>
      </c>
      <c r="K920" s="38">
        <v>16172619.435986342</v>
      </c>
      <c r="L920" s="38">
        <f t="shared" si="73"/>
        <v>44552220.875171229</v>
      </c>
      <c r="M920" s="41">
        <f>VLOOKUP(INDICADORES!$B$21,'DATOS GENERALES'!$K:$M,3,0)*F920</f>
        <v>922511.96369229001</v>
      </c>
      <c r="N920" s="38">
        <f t="shared" si="74"/>
        <v>43629708.911478937</v>
      </c>
      <c r="O920" s="36"/>
      <c r="P920" s="36"/>
      <c r="Q920" s="36"/>
    </row>
    <row r="921" spans="1:17" x14ac:dyDescent="0.25">
      <c r="A921" s="36">
        <v>1723</v>
      </c>
      <c r="B921" s="37">
        <v>43525</v>
      </c>
      <c r="C921" s="37">
        <v>43584.858370855058</v>
      </c>
      <c r="D921" s="36" t="s">
        <v>195</v>
      </c>
      <c r="E921" s="36"/>
      <c r="F921" s="38">
        <v>129322152.89297776</v>
      </c>
      <c r="G921" s="40">
        <f>VLOOKUP(A921,'DATOS GENERALES'!A:B,2,0)</f>
        <v>1.82</v>
      </c>
      <c r="H921" s="36">
        <f t="shared" si="70"/>
        <v>1.811628</v>
      </c>
      <c r="I921" s="38">
        <f t="shared" si="71"/>
        <v>71384496.647754267</v>
      </c>
      <c r="J921" s="38">
        <f t="shared" si="72"/>
        <v>57937656.245223492</v>
      </c>
      <c r="K921" s="38">
        <v>11163644.514486745</v>
      </c>
      <c r="L921" s="38">
        <f t="shared" si="73"/>
        <v>46774011.730736747</v>
      </c>
      <c r="M921" s="41">
        <f>VLOOKUP(INDICADORES!$B$21,'DATOS GENERALES'!$K:$M,3,0)*F921</f>
        <v>880169.97262797982</v>
      </c>
      <c r="N921" s="38">
        <f t="shared" si="74"/>
        <v>45893841.758108765</v>
      </c>
      <c r="O921" s="36"/>
      <c r="P921" s="36"/>
      <c r="Q921" s="36"/>
    </row>
    <row r="922" spans="1:17" x14ac:dyDescent="0.25">
      <c r="A922" s="36">
        <v>1723</v>
      </c>
      <c r="B922" s="37">
        <v>43556</v>
      </c>
      <c r="C922" s="37">
        <v>43583.660532454</v>
      </c>
      <c r="D922" s="36" t="s">
        <v>195</v>
      </c>
      <c r="E922" s="36"/>
      <c r="F922" s="38">
        <v>125198487.89297776</v>
      </c>
      <c r="G922" s="40">
        <f>VLOOKUP(A922,'DATOS GENERALES'!A:B,2,0)</f>
        <v>1.82</v>
      </c>
      <c r="H922" s="36">
        <f t="shared" si="70"/>
        <v>1.811628</v>
      </c>
      <c r="I922" s="38">
        <f t="shared" si="71"/>
        <v>69108276.032926053</v>
      </c>
      <c r="J922" s="38">
        <f t="shared" si="72"/>
        <v>56090211.860051706</v>
      </c>
      <c r="K922" s="38">
        <v>11111101.384719215</v>
      </c>
      <c r="L922" s="38">
        <f t="shared" si="73"/>
        <v>44979110.475332491</v>
      </c>
      <c r="M922" s="41">
        <f>VLOOKUP(INDICADORES!$B$21,'DATOS GENERALES'!$K:$M,3,0)*F922</f>
        <v>852104.20022175775</v>
      </c>
      <c r="N922" s="38">
        <f t="shared" si="74"/>
        <v>44127006.275110736</v>
      </c>
      <c r="O922" s="36"/>
      <c r="P922" s="36"/>
      <c r="Q922" s="36"/>
    </row>
    <row r="923" spans="1:17" x14ac:dyDescent="0.25">
      <c r="A923" s="36">
        <v>1723</v>
      </c>
      <c r="B923" s="37">
        <v>43586</v>
      </c>
      <c r="C923" s="37">
        <v>43638.437278966689</v>
      </c>
      <c r="D923" s="36" t="s">
        <v>195</v>
      </c>
      <c r="E923" s="36"/>
      <c r="F923" s="38">
        <v>125198487.89297776</v>
      </c>
      <c r="G923" s="40">
        <f>VLOOKUP(A923,'DATOS GENERALES'!A:B,2,0)</f>
        <v>1.82</v>
      </c>
      <c r="H923" s="36">
        <f t="shared" si="70"/>
        <v>1.811628</v>
      </c>
      <c r="I923" s="38">
        <f t="shared" si="71"/>
        <v>69108276.032926053</v>
      </c>
      <c r="J923" s="38">
        <f t="shared" si="72"/>
        <v>56090211.860051706</v>
      </c>
      <c r="K923" s="38">
        <v>9165881.5936768819</v>
      </c>
      <c r="L923" s="38">
        <f t="shared" si="73"/>
        <v>46924330.266374826</v>
      </c>
      <c r="M923" s="41">
        <f>VLOOKUP(INDICADORES!$B$21,'DATOS GENERALES'!$K:$M,3,0)*F923</f>
        <v>852104.20022175775</v>
      </c>
      <c r="N923" s="38">
        <f t="shared" si="74"/>
        <v>46072226.066153072</v>
      </c>
      <c r="O923" s="36"/>
      <c r="P923" s="36"/>
      <c r="Q923" s="36"/>
    </row>
    <row r="924" spans="1:17" x14ac:dyDescent="0.25">
      <c r="A924" s="36">
        <v>1723</v>
      </c>
      <c r="B924" s="37">
        <v>43617</v>
      </c>
      <c r="C924" s="37">
        <v>43686.235545836702</v>
      </c>
      <c r="D924" s="36" t="s">
        <v>195</v>
      </c>
      <c r="E924" s="36"/>
      <c r="F924" s="38">
        <v>125198487.89297776</v>
      </c>
      <c r="G924" s="40">
        <f>VLOOKUP(A924,'DATOS GENERALES'!A:B,2,0)</f>
        <v>1.82</v>
      </c>
      <c r="H924" s="36">
        <f t="shared" si="70"/>
        <v>1.811628</v>
      </c>
      <c r="I924" s="38">
        <f t="shared" si="71"/>
        <v>69108276.032926053</v>
      </c>
      <c r="J924" s="38">
        <f t="shared" si="72"/>
        <v>56090211.860051706</v>
      </c>
      <c r="K924" s="38">
        <v>12325964.236400958</v>
      </c>
      <c r="L924" s="38">
        <f t="shared" si="73"/>
        <v>43764247.623650745</v>
      </c>
      <c r="M924" s="41">
        <f>VLOOKUP(INDICADORES!$B$21,'DATOS GENERALES'!$K:$M,3,0)*F924</f>
        <v>852104.20022175775</v>
      </c>
      <c r="N924" s="38">
        <f t="shared" si="74"/>
        <v>42912143.42342899</v>
      </c>
      <c r="O924" s="36"/>
      <c r="P924" s="36"/>
      <c r="Q924" s="36"/>
    </row>
    <row r="925" spans="1:17" x14ac:dyDescent="0.25">
      <c r="A925" s="36">
        <v>1577</v>
      </c>
      <c r="B925" s="37">
        <v>43466</v>
      </c>
      <c r="C925" s="37">
        <v>43512.397825177613</v>
      </c>
      <c r="D925" s="36" t="s">
        <v>195</v>
      </c>
      <c r="E925" s="36"/>
      <c r="F925" s="38">
        <v>121885113.19781627</v>
      </c>
      <c r="G925" s="40">
        <f>VLOOKUP(A925,'DATOS GENERALES'!A:B,2,0)</f>
        <v>1.41</v>
      </c>
      <c r="H925" s="36">
        <f t="shared" si="70"/>
        <v>1.4035139999999999</v>
      </c>
      <c r="I925" s="38">
        <f t="shared" si="71"/>
        <v>86842819.663940847</v>
      </c>
      <c r="J925" s="38">
        <f t="shared" si="72"/>
        <v>35042293.533875421</v>
      </c>
      <c r="K925" s="38">
        <v>19054907.74573138</v>
      </c>
      <c r="L925" s="38">
        <f t="shared" si="73"/>
        <v>15987385.788144041</v>
      </c>
      <c r="M925" s="41">
        <f>VLOOKUP(INDICADORES!$B$21,'DATOS GENERALES'!$K:$M,3,0)*F925</f>
        <v>829553.28493379487</v>
      </c>
      <c r="N925" s="38">
        <f t="shared" si="74"/>
        <v>15157832.503210247</v>
      </c>
      <c r="O925" s="36"/>
      <c r="P925" s="36"/>
      <c r="Q925" s="36"/>
    </row>
    <row r="926" spans="1:17" x14ac:dyDescent="0.25">
      <c r="A926" s="36">
        <v>1577</v>
      </c>
      <c r="B926" s="37">
        <v>43497</v>
      </c>
      <c r="C926" s="37">
        <v>43546.839382235252</v>
      </c>
      <c r="D926" s="36" t="s">
        <v>195</v>
      </c>
      <c r="E926" s="36"/>
      <c r="F926" s="38">
        <v>106137074.99812877</v>
      </c>
      <c r="G926" s="40">
        <f>VLOOKUP(A926,'DATOS GENERALES'!A:B,2,0)</f>
        <v>1.41</v>
      </c>
      <c r="H926" s="36">
        <f t="shared" si="70"/>
        <v>1.4035139999999999</v>
      </c>
      <c r="I926" s="38">
        <f t="shared" si="71"/>
        <v>75622384.242785454</v>
      </c>
      <c r="J926" s="38">
        <f t="shared" si="72"/>
        <v>30514690.755343318</v>
      </c>
      <c r="K926" s="38">
        <v>16346371.7959435</v>
      </c>
      <c r="L926" s="38">
        <f t="shared" si="73"/>
        <v>14168318.959399818</v>
      </c>
      <c r="M926" s="41">
        <f>VLOOKUP(INDICADORES!$B$21,'DATOS GENERALES'!$K:$M,3,0)*F926</f>
        <v>722371.72291143867</v>
      </c>
      <c r="N926" s="38">
        <f t="shared" si="74"/>
        <v>13445947.23648838</v>
      </c>
      <c r="O926" s="36"/>
      <c r="P926" s="36"/>
      <c r="Q926" s="36"/>
    </row>
    <row r="927" spans="1:17" x14ac:dyDescent="0.25">
      <c r="A927" s="36">
        <v>1577</v>
      </c>
      <c r="B927" s="37">
        <v>43525</v>
      </c>
      <c r="C927" s="37">
        <v>43586.604756218643</v>
      </c>
      <c r="D927" s="36" t="s">
        <v>195</v>
      </c>
      <c r="E927" s="36"/>
      <c r="F927" s="38">
        <v>106137074.99812877</v>
      </c>
      <c r="G927" s="40">
        <f>VLOOKUP(A927,'DATOS GENERALES'!A:B,2,0)</f>
        <v>1.41</v>
      </c>
      <c r="H927" s="36">
        <f t="shared" si="70"/>
        <v>1.4035139999999999</v>
      </c>
      <c r="I927" s="38">
        <f t="shared" si="71"/>
        <v>75622384.242785454</v>
      </c>
      <c r="J927" s="38">
        <f t="shared" si="72"/>
        <v>30514690.755343318</v>
      </c>
      <c r="K927" s="38">
        <v>11826397.252475962</v>
      </c>
      <c r="L927" s="38">
        <f t="shared" si="73"/>
        <v>18688293.502867356</v>
      </c>
      <c r="M927" s="41">
        <f>VLOOKUP(INDICADORES!$B$21,'DATOS GENERALES'!$K:$M,3,0)*F927</f>
        <v>722371.72291143867</v>
      </c>
      <c r="N927" s="38">
        <f t="shared" si="74"/>
        <v>17965921.779955916</v>
      </c>
      <c r="O927" s="36"/>
      <c r="P927" s="36"/>
      <c r="Q927" s="36"/>
    </row>
    <row r="928" spans="1:17" x14ac:dyDescent="0.25">
      <c r="A928" s="36">
        <v>1577</v>
      </c>
      <c r="B928" s="37">
        <v>43556</v>
      </c>
      <c r="C928" s="37">
        <v>43618.435545226101</v>
      </c>
      <c r="D928" s="36" t="s">
        <v>195</v>
      </c>
      <c r="E928" s="36"/>
      <c r="F928" s="38">
        <v>99367677.590628773</v>
      </c>
      <c r="G928" s="40">
        <f>VLOOKUP(A928,'DATOS GENERALES'!A:B,2,0)</f>
        <v>1.41</v>
      </c>
      <c r="H928" s="36">
        <f t="shared" si="70"/>
        <v>1.4035139999999999</v>
      </c>
      <c r="I928" s="38">
        <f t="shared" si="71"/>
        <v>70799206.556278586</v>
      </c>
      <c r="J928" s="38">
        <f t="shared" si="72"/>
        <v>28568471.034350187</v>
      </c>
      <c r="K928" s="38">
        <v>11382966.081076784</v>
      </c>
      <c r="L928" s="38">
        <f t="shared" si="73"/>
        <v>17185504.953273401</v>
      </c>
      <c r="M928" s="41">
        <f>VLOOKUP(INDICADORES!$B$21,'DATOS GENERALES'!$K:$M,3,0)*F928</f>
        <v>676299.02618021437</v>
      </c>
      <c r="N928" s="38">
        <f t="shared" si="74"/>
        <v>16509205.927093185</v>
      </c>
      <c r="O928" s="36"/>
      <c r="P928" s="36"/>
      <c r="Q928" s="36"/>
    </row>
    <row r="929" spans="1:17" x14ac:dyDescent="0.25">
      <c r="A929" s="36">
        <v>1577</v>
      </c>
      <c r="B929" s="37">
        <v>43586</v>
      </c>
      <c r="C929" s="37">
        <v>43648.271403567007</v>
      </c>
      <c r="D929" s="36" t="s">
        <v>195</v>
      </c>
      <c r="E929" s="36"/>
      <c r="F929" s="38">
        <v>99367677.590628773</v>
      </c>
      <c r="G929" s="40">
        <f>VLOOKUP(A929,'DATOS GENERALES'!A:B,2,0)</f>
        <v>1.41</v>
      </c>
      <c r="H929" s="36">
        <f t="shared" si="70"/>
        <v>1.4035139999999999</v>
      </c>
      <c r="I929" s="38">
        <f t="shared" si="71"/>
        <v>70799206.556278586</v>
      </c>
      <c r="J929" s="38">
        <f t="shared" si="72"/>
        <v>28568471.034350187</v>
      </c>
      <c r="K929" s="38">
        <v>9390150.9554650281</v>
      </c>
      <c r="L929" s="38">
        <f t="shared" si="73"/>
        <v>19178320.07888516</v>
      </c>
      <c r="M929" s="41">
        <f>VLOOKUP(INDICADORES!$B$21,'DATOS GENERALES'!$K:$M,3,0)*F929</f>
        <v>676299.02618021437</v>
      </c>
      <c r="N929" s="38">
        <f t="shared" si="74"/>
        <v>18502021.052704945</v>
      </c>
      <c r="O929" s="36"/>
      <c r="P929" s="36"/>
      <c r="Q929" s="36"/>
    </row>
    <row r="930" spans="1:17" x14ac:dyDescent="0.25">
      <c r="A930" s="36">
        <v>1577</v>
      </c>
      <c r="B930" s="37">
        <v>43617</v>
      </c>
      <c r="C930" s="37">
        <v>43676.72206129563</v>
      </c>
      <c r="D930" s="36" t="s">
        <v>195</v>
      </c>
      <c r="E930" s="36"/>
      <c r="F930" s="38">
        <v>38237656.60828501</v>
      </c>
      <c r="G930" s="40">
        <f>VLOOKUP(A930,'DATOS GENERALES'!A:B,2,0)</f>
        <v>1.41</v>
      </c>
      <c r="H930" s="36">
        <f t="shared" si="70"/>
        <v>1.4035139999999999</v>
      </c>
      <c r="I930" s="38">
        <f t="shared" si="71"/>
        <v>27244228.848650608</v>
      </c>
      <c r="J930" s="38">
        <f t="shared" si="72"/>
        <v>10993427.759634402</v>
      </c>
      <c r="K930" s="38">
        <v>4859206.5916504143</v>
      </c>
      <c r="L930" s="38">
        <f t="shared" si="73"/>
        <v>6134221.1679839874</v>
      </c>
      <c r="M930" s="41">
        <f>VLOOKUP(INDICADORES!$B$21,'DATOS GENERALES'!$K:$M,3,0)*F930</f>
        <v>260246.49619098494</v>
      </c>
      <c r="N930" s="38">
        <f t="shared" si="74"/>
        <v>5873974.6717930026</v>
      </c>
      <c r="O930" s="36"/>
      <c r="P930" s="36"/>
      <c r="Q930" s="36"/>
    </row>
    <row r="931" spans="1:17" x14ac:dyDescent="0.25">
      <c r="A931" s="36">
        <v>1577</v>
      </c>
      <c r="B931" s="37">
        <v>43647</v>
      </c>
      <c r="C931" s="37">
        <v>43719.378939335358</v>
      </c>
      <c r="D931" s="36" t="s">
        <v>195</v>
      </c>
      <c r="E931" s="36"/>
      <c r="F931" s="38">
        <v>38237656.60828501</v>
      </c>
      <c r="G931" s="40">
        <f>VLOOKUP(A931,'DATOS GENERALES'!A:B,2,0)</f>
        <v>1.41</v>
      </c>
      <c r="H931" s="36">
        <f t="shared" si="70"/>
        <v>1.4035139999999999</v>
      </c>
      <c r="I931" s="38">
        <f t="shared" si="71"/>
        <v>27244228.848650608</v>
      </c>
      <c r="J931" s="38">
        <f t="shared" si="72"/>
        <v>10993427.759634402</v>
      </c>
      <c r="K931" s="38">
        <v>7246510.6124462783</v>
      </c>
      <c r="L931" s="38">
        <f t="shared" si="73"/>
        <v>3746917.1471881233</v>
      </c>
      <c r="M931" s="41">
        <f>VLOOKUP(INDICADORES!$B$21,'DATOS GENERALES'!$K:$M,3,0)*F931</f>
        <v>260246.49619098494</v>
      </c>
      <c r="N931" s="38">
        <f t="shared" si="74"/>
        <v>3486670.6509971386</v>
      </c>
      <c r="O931" s="36"/>
      <c r="P931" s="36"/>
      <c r="Q931" s="36"/>
    </row>
    <row r="932" spans="1:17" x14ac:dyDescent="0.25">
      <c r="A932" s="36">
        <v>1622</v>
      </c>
      <c r="B932" s="37">
        <v>43466</v>
      </c>
      <c r="C932" s="37">
        <v>43538.060820881408</v>
      </c>
      <c r="D932" s="36" t="s">
        <v>195</v>
      </c>
      <c r="E932" s="36"/>
      <c r="F932" s="38">
        <v>180800040.98000002</v>
      </c>
      <c r="G932" s="40">
        <f>VLOOKUP(A932,'DATOS GENERALES'!A:B,2,0)</f>
        <v>0.95</v>
      </c>
      <c r="H932" s="36">
        <f t="shared" si="70"/>
        <v>0.94562999999999986</v>
      </c>
      <c r="I932" s="38">
        <f t="shared" si="71"/>
        <v>191195331.13374159</v>
      </c>
      <c r="J932" s="38">
        <f t="shared" si="72"/>
        <v>-10395290.153741568</v>
      </c>
      <c r="K932" s="38">
        <v>41951763.084919199</v>
      </c>
      <c r="L932" s="38">
        <f t="shared" si="73"/>
        <v>-52347053.238660768</v>
      </c>
      <c r="M932" s="41">
        <f>VLOOKUP(INDICADORES!$B$21,'DATOS GENERALES'!$K:$M,3,0)*F932</f>
        <v>1230529.832365212</v>
      </c>
      <c r="N932" s="38">
        <f t="shared" si="74"/>
        <v>-53577583.071025982</v>
      </c>
      <c r="O932" s="36"/>
      <c r="P932" s="36"/>
      <c r="Q932" s="36"/>
    </row>
    <row r="933" spans="1:17" x14ac:dyDescent="0.25">
      <c r="A933" s="36">
        <v>1622</v>
      </c>
      <c r="B933" s="37">
        <v>43497</v>
      </c>
      <c r="C933" s="37">
        <v>43580.885213844907</v>
      </c>
      <c r="D933" s="36" t="s">
        <v>195</v>
      </c>
      <c r="E933" s="36"/>
      <c r="F933" s="38">
        <v>159566345.48000002</v>
      </c>
      <c r="G933" s="40">
        <f>VLOOKUP(A933,'DATOS GENERALES'!A:B,2,0)</f>
        <v>0.95</v>
      </c>
      <c r="H933" s="36">
        <f t="shared" si="70"/>
        <v>0.94562999999999986</v>
      </c>
      <c r="I933" s="38">
        <f t="shared" si="71"/>
        <v>168740781.78568789</v>
      </c>
      <c r="J933" s="38">
        <f t="shared" si="72"/>
        <v>-9174436.3056878746</v>
      </c>
      <c r="K933" s="38">
        <v>36474644.165562302</v>
      </c>
      <c r="L933" s="38">
        <f t="shared" si="73"/>
        <v>-45649080.471250176</v>
      </c>
      <c r="M933" s="41">
        <f>VLOOKUP(INDICADORES!$B$21,'DATOS GENERALES'!$K:$M,3,0)*F933</f>
        <v>1086012.7425322551</v>
      </c>
      <c r="N933" s="38">
        <f t="shared" si="74"/>
        <v>-46735093.21378243</v>
      </c>
      <c r="O933" s="36"/>
      <c r="P933" s="36"/>
      <c r="Q933" s="36"/>
    </row>
    <row r="934" spans="1:17" x14ac:dyDescent="0.25">
      <c r="A934" s="36">
        <v>1622</v>
      </c>
      <c r="B934" s="37">
        <v>43525</v>
      </c>
      <c r="C934" s="37">
        <v>43586.749676390915</v>
      </c>
      <c r="D934" s="36" t="s">
        <v>195</v>
      </c>
      <c r="E934" s="36"/>
      <c r="F934" s="38">
        <v>147730918.13</v>
      </c>
      <c r="G934" s="40">
        <f>VLOOKUP(A934,'DATOS GENERALES'!A:B,2,0)</f>
        <v>0.95</v>
      </c>
      <c r="H934" s="36">
        <f t="shared" si="70"/>
        <v>0.94562999999999986</v>
      </c>
      <c r="I934" s="38">
        <f t="shared" si="71"/>
        <v>156224863.98485667</v>
      </c>
      <c r="J934" s="38">
        <f t="shared" si="72"/>
        <v>-8493945.8548566699</v>
      </c>
      <c r="K934" s="38">
        <v>24431619.297631484</v>
      </c>
      <c r="L934" s="38">
        <f t="shared" si="73"/>
        <v>-32925565.152488153</v>
      </c>
      <c r="M934" s="41">
        <f>VLOOKUP(INDICADORES!$B$21,'DATOS GENERALES'!$K:$M,3,0)*F934</f>
        <v>1005460.5128202208</v>
      </c>
      <c r="N934" s="38">
        <f t="shared" si="74"/>
        <v>-33931025.665308371</v>
      </c>
      <c r="O934" s="36"/>
      <c r="P934" s="36"/>
      <c r="Q934" s="36"/>
    </row>
    <row r="935" spans="1:17" x14ac:dyDescent="0.25">
      <c r="A935" s="36">
        <v>1622</v>
      </c>
      <c r="B935" s="37">
        <v>43556</v>
      </c>
      <c r="C935" s="37">
        <v>43581.711147427028</v>
      </c>
      <c r="D935" s="36" t="s">
        <v>195</v>
      </c>
      <c r="E935" s="36"/>
      <c r="F935" s="38">
        <v>207125397.61500004</v>
      </c>
      <c r="G935" s="40">
        <f>VLOOKUP(A935,'DATOS GENERALES'!A:B,2,0)</f>
        <v>0.95</v>
      </c>
      <c r="H935" s="36">
        <f t="shared" si="70"/>
        <v>0.94562999999999986</v>
      </c>
      <c r="I935" s="38">
        <f t="shared" si="71"/>
        <v>219034292.07512459</v>
      </c>
      <c r="J935" s="38">
        <f t="shared" si="72"/>
        <v>-11908894.460124552</v>
      </c>
      <c r="K935" s="38">
        <v>35215930.213877551</v>
      </c>
      <c r="L935" s="38">
        <f t="shared" si="73"/>
        <v>-47124824.674002104</v>
      </c>
      <c r="M935" s="41">
        <f>VLOOKUP(INDICADORES!$B$21,'DATOS GENERALES'!$K:$M,3,0)*F935</f>
        <v>1409700.9017490095</v>
      </c>
      <c r="N935" s="38">
        <f t="shared" si="74"/>
        <v>-48534525.575751111</v>
      </c>
      <c r="O935" s="36"/>
      <c r="P935" s="36"/>
      <c r="Q935" s="36"/>
    </row>
    <row r="936" spans="1:17" x14ac:dyDescent="0.25">
      <c r="A936" s="36">
        <v>1622</v>
      </c>
      <c r="B936" s="37">
        <v>43586</v>
      </c>
      <c r="C936" s="37">
        <v>43601.150671156589</v>
      </c>
      <c r="D936" s="36" t="s">
        <v>195</v>
      </c>
      <c r="E936" s="36"/>
      <c r="F936" s="38">
        <v>142765645.45500004</v>
      </c>
      <c r="G936" s="40">
        <f>VLOOKUP(A936,'DATOS GENERALES'!A:B,2,0)</f>
        <v>0.95</v>
      </c>
      <c r="H936" s="36">
        <f t="shared" si="70"/>
        <v>0.94562999999999986</v>
      </c>
      <c r="I936" s="38">
        <f t="shared" si="71"/>
        <v>150974107.69011143</v>
      </c>
      <c r="J936" s="38">
        <f t="shared" si="72"/>
        <v>-8208462.2351113856</v>
      </c>
      <c r="K936" s="38">
        <v>20023807.194080181</v>
      </c>
      <c r="L936" s="38">
        <f t="shared" si="73"/>
        <v>-28232269.429191567</v>
      </c>
      <c r="M936" s="41">
        <f>VLOOKUP(INDICADORES!$B$21,'DATOS GENERALES'!$K:$M,3,0)*F936</f>
        <v>971666.73645104875</v>
      </c>
      <c r="N936" s="38">
        <f t="shared" si="74"/>
        <v>-29203936.165642615</v>
      </c>
      <c r="O936" s="36"/>
      <c r="P936" s="36"/>
      <c r="Q936" s="36"/>
    </row>
    <row r="937" spans="1:17" x14ac:dyDescent="0.25">
      <c r="A937" s="36">
        <v>1622</v>
      </c>
      <c r="B937" s="37">
        <v>43617</v>
      </c>
      <c r="C937" s="37">
        <v>43708.466202626703</v>
      </c>
      <c r="D937" s="36" t="s">
        <v>195</v>
      </c>
      <c r="E937" s="36"/>
      <c r="F937" s="38">
        <v>142765645.45500004</v>
      </c>
      <c r="G937" s="40">
        <f>VLOOKUP(A937,'DATOS GENERALES'!A:B,2,0)</f>
        <v>0.95</v>
      </c>
      <c r="H937" s="36">
        <f t="shared" si="70"/>
        <v>0.94562999999999986</v>
      </c>
      <c r="I937" s="38">
        <f t="shared" si="71"/>
        <v>150974107.69011143</v>
      </c>
      <c r="J937" s="38">
        <f t="shared" si="72"/>
        <v>-8208462.2351113856</v>
      </c>
      <c r="K937" s="38">
        <v>26927331.411425304</v>
      </c>
      <c r="L937" s="38">
        <f t="shared" si="73"/>
        <v>-35135793.646536693</v>
      </c>
      <c r="M937" s="41">
        <f>VLOOKUP(INDICADORES!$B$21,'DATOS GENERALES'!$K:$M,3,0)*F937</f>
        <v>971666.73645104875</v>
      </c>
      <c r="N937" s="38">
        <f t="shared" si="74"/>
        <v>-36107460.382987745</v>
      </c>
      <c r="O937" s="36"/>
      <c r="P937" s="36"/>
      <c r="Q937" s="36"/>
    </row>
    <row r="938" spans="1:17" x14ac:dyDescent="0.25">
      <c r="A938" s="36">
        <v>1622</v>
      </c>
      <c r="B938" s="37">
        <v>43647</v>
      </c>
      <c r="C938" s="37">
        <v>43722.028832785079</v>
      </c>
      <c r="D938" s="36" t="s">
        <v>195</v>
      </c>
      <c r="E938" s="36"/>
      <c r="F938" s="38">
        <v>138859487.68500003</v>
      </c>
      <c r="G938" s="40">
        <f>VLOOKUP(A938,'DATOS GENERALES'!A:B,2,0)</f>
        <v>0.95</v>
      </c>
      <c r="H938" s="36">
        <f t="shared" si="70"/>
        <v>0.94562999999999986</v>
      </c>
      <c r="I938" s="38">
        <f t="shared" si="71"/>
        <v>146843361.23536694</v>
      </c>
      <c r="J938" s="38">
        <f t="shared" si="72"/>
        <v>-7983873.5503669083</v>
      </c>
      <c r="K938" s="38">
        <v>39057885.67078761</v>
      </c>
      <c r="L938" s="38">
        <f t="shared" si="73"/>
        <v>-47041759.221154518</v>
      </c>
      <c r="M938" s="41">
        <f>VLOOKUP(INDICADORES!$B$21,'DATOS GENERALES'!$K:$M,3,0)*F938</f>
        <v>945081.32397073915</v>
      </c>
      <c r="N938" s="38">
        <f t="shared" si="74"/>
        <v>-47986840.545125261</v>
      </c>
      <c r="O938" s="36"/>
      <c r="P938" s="36"/>
      <c r="Q938" s="36"/>
    </row>
    <row r="939" spans="1:17" x14ac:dyDescent="0.25">
      <c r="A939" s="36">
        <v>1622</v>
      </c>
      <c r="B939" s="37">
        <v>43678</v>
      </c>
      <c r="C939" s="37">
        <v>43714.920589376445</v>
      </c>
      <c r="D939" s="36" t="s">
        <v>195</v>
      </c>
      <c r="E939" s="36"/>
      <c r="F939" s="38">
        <v>138859487.68500003</v>
      </c>
      <c r="G939" s="40">
        <f>VLOOKUP(A939,'DATOS GENERALES'!A:B,2,0)</f>
        <v>0.95</v>
      </c>
      <c r="H939" s="36">
        <f t="shared" si="70"/>
        <v>0.94562999999999986</v>
      </c>
      <c r="I939" s="38">
        <f t="shared" si="71"/>
        <v>146843361.23536694</v>
      </c>
      <c r="J939" s="38">
        <f t="shared" si="72"/>
        <v>-7983873.5503669083</v>
      </c>
      <c r="K939" s="38">
        <v>38434375.572527267</v>
      </c>
      <c r="L939" s="38">
        <f t="shared" si="73"/>
        <v>-46418249.122894175</v>
      </c>
      <c r="M939" s="41">
        <f>VLOOKUP(INDICADORES!$B$21,'DATOS GENERALES'!$K:$M,3,0)*F939</f>
        <v>945081.32397073915</v>
      </c>
      <c r="N939" s="38">
        <f t="shared" si="74"/>
        <v>-47363330.446864918</v>
      </c>
      <c r="O939" s="36"/>
      <c r="P939" s="36"/>
      <c r="Q939" s="36"/>
    </row>
    <row r="940" spans="1:17" x14ac:dyDescent="0.25">
      <c r="A940" s="36">
        <v>1622</v>
      </c>
      <c r="B940" s="37">
        <v>43709</v>
      </c>
      <c r="C940" s="37">
        <v>43791.294946226262</v>
      </c>
      <c r="D940" s="36" t="s">
        <v>195</v>
      </c>
      <c r="E940" s="36"/>
      <c r="F940" s="38">
        <v>125986492.18499999</v>
      </c>
      <c r="G940" s="40">
        <f>VLOOKUP(A940,'DATOS GENERALES'!A:B,2,0)</f>
        <v>0.95</v>
      </c>
      <c r="H940" s="36">
        <f t="shared" si="70"/>
        <v>0.94562999999999986</v>
      </c>
      <c r="I940" s="38">
        <f t="shared" si="71"/>
        <v>133230219.20307097</v>
      </c>
      <c r="J940" s="38">
        <f t="shared" si="72"/>
        <v>-7243727.0180709809</v>
      </c>
      <c r="K940" s="38">
        <v>39410613.984439336</v>
      </c>
      <c r="L940" s="38">
        <f t="shared" si="73"/>
        <v>-46654341.002510317</v>
      </c>
      <c r="M940" s="41">
        <f>VLOOKUP(INDICADORES!$B$21,'DATOS GENERALES'!$K:$M,3,0)*F940</f>
        <v>857467.37815086253</v>
      </c>
      <c r="N940" s="38">
        <f t="shared" si="74"/>
        <v>-47511808.380661182</v>
      </c>
      <c r="O940" s="36"/>
      <c r="P940" s="36"/>
      <c r="Q940" s="36"/>
    </row>
    <row r="941" spans="1:17" x14ac:dyDescent="0.25">
      <c r="A941" s="36">
        <v>1622</v>
      </c>
      <c r="B941" s="37">
        <v>43739</v>
      </c>
      <c r="C941" s="37">
        <v>43796.11040983141</v>
      </c>
      <c r="D941" s="36" t="s">
        <v>195</v>
      </c>
      <c r="E941" s="36"/>
      <c r="F941" s="38">
        <v>125986492.18499999</v>
      </c>
      <c r="G941" s="40">
        <f>VLOOKUP(A941,'DATOS GENERALES'!A:B,2,0)</f>
        <v>0.95</v>
      </c>
      <c r="H941" s="36">
        <f t="shared" si="70"/>
        <v>0.94562999999999986</v>
      </c>
      <c r="I941" s="38">
        <f t="shared" si="71"/>
        <v>133230219.20307097</v>
      </c>
      <c r="J941" s="38">
        <f t="shared" si="72"/>
        <v>-7243727.0180709809</v>
      </c>
      <c r="K941" s="38">
        <v>42618509.51591415</v>
      </c>
      <c r="L941" s="38">
        <f t="shared" si="73"/>
        <v>-49862236.53398513</v>
      </c>
      <c r="M941" s="41">
        <f>VLOOKUP(INDICADORES!$B$21,'DATOS GENERALES'!$K:$M,3,0)*F941</f>
        <v>857467.37815086253</v>
      </c>
      <c r="N941" s="38">
        <f t="shared" si="74"/>
        <v>-50719703.912135996</v>
      </c>
      <c r="O941" s="36"/>
      <c r="P941" s="36"/>
      <c r="Q941" s="36"/>
    </row>
    <row r="942" spans="1:17" x14ac:dyDescent="0.25">
      <c r="A942" s="36">
        <v>1622</v>
      </c>
      <c r="B942" s="37">
        <v>43770</v>
      </c>
      <c r="C942" s="37">
        <v>43815.137751310882</v>
      </c>
      <c r="D942" s="36" t="s">
        <v>195</v>
      </c>
      <c r="E942" s="36"/>
      <c r="F942" s="38">
        <v>18409623</v>
      </c>
      <c r="G942" s="40">
        <f>VLOOKUP(A942,'DATOS GENERALES'!A:B,2,0)</f>
        <v>0.95</v>
      </c>
      <c r="H942" s="36">
        <f t="shared" si="70"/>
        <v>0.94562999999999986</v>
      </c>
      <c r="I942" s="38">
        <f t="shared" si="71"/>
        <v>19468103.803813335</v>
      </c>
      <c r="J942" s="38">
        <f t="shared" si="72"/>
        <v>-1058480.8038133346</v>
      </c>
      <c r="K942" s="38">
        <v>8328926.7817912828</v>
      </c>
      <c r="L942" s="38">
        <f t="shared" si="73"/>
        <v>-9387407.5856046174</v>
      </c>
      <c r="M942" s="41">
        <f>VLOOKUP(INDICADORES!$B$21,'DATOS GENERALES'!$K:$M,3,0)*F942</f>
        <v>125296.37814961931</v>
      </c>
      <c r="N942" s="38">
        <f t="shared" si="74"/>
        <v>-9512703.9637542367</v>
      </c>
      <c r="O942" s="36"/>
      <c r="P942" s="36"/>
      <c r="Q942" s="36"/>
    </row>
    <row r="943" spans="1:17" x14ac:dyDescent="0.25">
      <c r="A943" s="36">
        <v>1622</v>
      </c>
      <c r="B943" s="37">
        <v>43800</v>
      </c>
      <c r="C943" s="37">
        <v>43848.368034692401</v>
      </c>
      <c r="D943" s="36" t="s">
        <v>195</v>
      </c>
      <c r="E943" s="36"/>
      <c r="F943" s="38">
        <v>18409623</v>
      </c>
      <c r="G943" s="40">
        <f>VLOOKUP(A943,'DATOS GENERALES'!A:B,2,0)</f>
        <v>0.95</v>
      </c>
      <c r="H943" s="36">
        <f t="shared" si="70"/>
        <v>0.94562999999999986</v>
      </c>
      <c r="I943" s="38">
        <f t="shared" si="71"/>
        <v>19468103.803813335</v>
      </c>
      <c r="J943" s="38">
        <f t="shared" si="72"/>
        <v>-1058480.8038133346</v>
      </c>
      <c r="K943" s="38">
        <v>7012851.3561734138</v>
      </c>
      <c r="L943" s="38">
        <f t="shared" si="73"/>
        <v>-8071332.1599867484</v>
      </c>
      <c r="M943" s="41">
        <f>VLOOKUP(INDICADORES!$B$21,'DATOS GENERALES'!$K:$M,3,0)*F943</f>
        <v>125296.37814961931</v>
      </c>
      <c r="N943" s="38">
        <f t="shared" si="74"/>
        <v>-8196628.5381363677</v>
      </c>
      <c r="O943" s="36"/>
      <c r="P943" s="36"/>
      <c r="Q943" s="36"/>
    </row>
    <row r="944" spans="1:17" x14ac:dyDescent="0.25">
      <c r="A944" s="36">
        <v>1622</v>
      </c>
      <c r="B944" s="37">
        <v>43831</v>
      </c>
      <c r="C944" s="37">
        <v>43880.179178860133</v>
      </c>
      <c r="D944" s="36" t="s">
        <v>195</v>
      </c>
      <c r="E944" s="36"/>
      <c r="F944" s="38">
        <v>18409623</v>
      </c>
      <c r="G944" s="40">
        <f>VLOOKUP(A944,'DATOS GENERALES'!A:B,2,0)</f>
        <v>0.95</v>
      </c>
      <c r="H944" s="36">
        <f t="shared" si="70"/>
        <v>0.94562999999999986</v>
      </c>
      <c r="I944" s="38">
        <f t="shared" si="71"/>
        <v>19468103.803813335</v>
      </c>
      <c r="J944" s="38">
        <f t="shared" si="72"/>
        <v>-1058480.8038133346</v>
      </c>
      <c r="K944" s="38" t="s">
        <v>213</v>
      </c>
      <c r="L944" s="38" t="str">
        <f t="shared" si="73"/>
        <v/>
      </c>
      <c r="M944" s="41">
        <f>VLOOKUP(INDICADORES!$B$21,'DATOS GENERALES'!$K:$M,3,0)*F944</f>
        <v>125296.37814961931</v>
      </c>
      <c r="N944" s="38" t="str">
        <f t="shared" si="74"/>
        <v/>
      </c>
      <c r="O944" s="36"/>
      <c r="P944" s="36"/>
      <c r="Q944" s="36"/>
    </row>
    <row r="945" spans="1:17" x14ac:dyDescent="0.25">
      <c r="A945" s="36">
        <v>1622</v>
      </c>
      <c r="B945" s="37">
        <v>43862</v>
      </c>
      <c r="C945" s="37">
        <v>43938.508728971938</v>
      </c>
      <c r="D945" s="36" t="s">
        <v>195</v>
      </c>
      <c r="E945" s="36"/>
      <c r="F945" s="38">
        <v>10956546</v>
      </c>
      <c r="G945" s="40">
        <f>VLOOKUP(A945,'DATOS GENERALES'!A:B,2,0)</f>
        <v>0.95</v>
      </c>
      <c r="H945" s="36">
        <f t="shared" si="70"/>
        <v>0.94562999999999986</v>
      </c>
      <c r="I945" s="38">
        <f t="shared" si="71"/>
        <v>11586504.235271726</v>
      </c>
      <c r="J945" s="38">
        <f t="shared" si="72"/>
        <v>-629958.2352717258</v>
      </c>
      <c r="K945" s="38" t="s">
        <v>213</v>
      </c>
      <c r="L945" s="38" t="str">
        <f t="shared" si="73"/>
        <v/>
      </c>
      <c r="M945" s="41">
        <f>VLOOKUP(INDICADORES!$B$21,'DATOS GENERALES'!$K:$M,3,0)*F945</f>
        <v>74570.540137063042</v>
      </c>
      <c r="N945" s="38" t="str">
        <f t="shared" si="74"/>
        <v/>
      </c>
      <c r="O945" s="36"/>
      <c r="P945" s="36"/>
      <c r="Q945" s="36"/>
    </row>
    <row r="946" spans="1:17" x14ac:dyDescent="0.25">
      <c r="A946" s="36">
        <v>1622</v>
      </c>
      <c r="B946" s="37">
        <v>43891</v>
      </c>
      <c r="C946" s="37">
        <v>43949.537512490737</v>
      </c>
      <c r="D946" s="36" t="s">
        <v>195</v>
      </c>
      <c r="E946" s="36"/>
      <c r="F946" s="38">
        <v>10956546</v>
      </c>
      <c r="G946" s="40">
        <f>VLOOKUP(A946,'DATOS GENERALES'!A:B,2,0)</f>
        <v>0.95</v>
      </c>
      <c r="H946" s="36">
        <f t="shared" si="70"/>
        <v>0.94562999999999986</v>
      </c>
      <c r="I946" s="38">
        <f t="shared" si="71"/>
        <v>11586504.235271726</v>
      </c>
      <c r="J946" s="38">
        <f t="shared" si="72"/>
        <v>-629958.2352717258</v>
      </c>
      <c r="K946" s="38" t="s">
        <v>213</v>
      </c>
      <c r="L946" s="38" t="str">
        <f t="shared" si="73"/>
        <v/>
      </c>
      <c r="M946" s="41">
        <f>VLOOKUP(INDICADORES!$B$21,'DATOS GENERALES'!$K:$M,3,0)*F946</f>
        <v>74570.540137063042</v>
      </c>
      <c r="N946" s="38" t="str">
        <f t="shared" si="74"/>
        <v/>
      </c>
      <c r="O946" s="36"/>
      <c r="P946" s="36"/>
      <c r="Q946" s="36"/>
    </row>
    <row r="947" spans="1:17" x14ac:dyDescent="0.25">
      <c r="A947" s="36">
        <v>1622</v>
      </c>
      <c r="B947" s="37">
        <v>43922</v>
      </c>
      <c r="C947" s="37">
        <v>43999.371094623246</v>
      </c>
      <c r="D947" s="36" t="s">
        <v>195</v>
      </c>
      <c r="E947" s="36"/>
      <c r="F947" s="38">
        <v>10956546</v>
      </c>
      <c r="G947" s="40">
        <f>VLOOKUP(A947,'DATOS GENERALES'!A:B,2,0)</f>
        <v>0.95</v>
      </c>
      <c r="H947" s="36">
        <f t="shared" si="70"/>
        <v>0.94562999999999986</v>
      </c>
      <c r="I947" s="38">
        <f t="shared" si="71"/>
        <v>11586504.235271726</v>
      </c>
      <c r="J947" s="38">
        <f t="shared" si="72"/>
        <v>-629958.2352717258</v>
      </c>
      <c r="K947" s="38" t="s">
        <v>213</v>
      </c>
      <c r="L947" s="38" t="str">
        <f t="shared" si="73"/>
        <v/>
      </c>
      <c r="M947" s="41">
        <f>VLOOKUP(INDICADORES!$B$21,'DATOS GENERALES'!$K:$M,3,0)*F947</f>
        <v>74570.540137063042</v>
      </c>
      <c r="N947" s="38" t="str">
        <f t="shared" si="74"/>
        <v/>
      </c>
      <c r="O947" s="36"/>
      <c r="P947" s="36"/>
      <c r="Q947" s="36"/>
    </row>
    <row r="948" spans="1:17" x14ac:dyDescent="0.25">
      <c r="A948" s="36">
        <v>1622</v>
      </c>
      <c r="B948" s="37">
        <v>43952</v>
      </c>
      <c r="C948" s="37">
        <v>44031.222277027271</v>
      </c>
      <c r="D948" s="36" t="s">
        <v>195</v>
      </c>
      <c r="E948" s="36"/>
      <c r="F948" s="38">
        <v>10956546</v>
      </c>
      <c r="G948" s="40">
        <f>VLOOKUP(A948,'DATOS GENERALES'!A:B,2,0)</f>
        <v>0.95</v>
      </c>
      <c r="H948" s="36">
        <f t="shared" si="70"/>
        <v>0.94562999999999986</v>
      </c>
      <c r="I948" s="38">
        <f t="shared" si="71"/>
        <v>11586504.235271726</v>
      </c>
      <c r="J948" s="38">
        <f t="shared" si="72"/>
        <v>-629958.2352717258</v>
      </c>
      <c r="K948" s="38" t="s">
        <v>213</v>
      </c>
      <c r="L948" s="38" t="str">
        <f t="shared" si="73"/>
        <v/>
      </c>
      <c r="M948" s="41">
        <f>VLOOKUP(INDICADORES!$B$21,'DATOS GENERALES'!$K:$M,3,0)*F948</f>
        <v>74570.540137063042</v>
      </c>
      <c r="N948" s="38" t="str">
        <f t="shared" si="74"/>
        <v/>
      </c>
      <c r="O948" s="36"/>
      <c r="P948" s="36"/>
      <c r="Q948" s="36"/>
    </row>
    <row r="949" spans="1:17" x14ac:dyDescent="0.25">
      <c r="A949" s="36">
        <v>1622</v>
      </c>
      <c r="B949" s="37">
        <v>43983</v>
      </c>
      <c r="C949" s="37">
        <v>44070.230845381062</v>
      </c>
      <c r="D949" s="36" t="s">
        <v>195</v>
      </c>
      <c r="E949" s="36"/>
      <c r="F949" s="38">
        <v>10956546</v>
      </c>
      <c r="G949" s="40">
        <f>VLOOKUP(A949,'DATOS GENERALES'!A:B,2,0)</f>
        <v>0.95</v>
      </c>
      <c r="H949" s="36">
        <f t="shared" si="70"/>
        <v>0.94562999999999986</v>
      </c>
      <c r="I949" s="38">
        <f t="shared" si="71"/>
        <v>11586504.235271726</v>
      </c>
      <c r="J949" s="38">
        <f t="shared" si="72"/>
        <v>-629958.2352717258</v>
      </c>
      <c r="K949" s="38" t="s">
        <v>213</v>
      </c>
      <c r="L949" s="38" t="str">
        <f t="shared" si="73"/>
        <v/>
      </c>
      <c r="M949" s="41">
        <f>VLOOKUP(INDICADORES!$B$21,'DATOS GENERALES'!$K:$M,3,0)*F949</f>
        <v>74570.540137063042</v>
      </c>
      <c r="N949" s="38" t="str">
        <f t="shared" si="74"/>
        <v/>
      </c>
      <c r="O949" s="36"/>
      <c r="P949" s="36"/>
      <c r="Q949" s="36"/>
    </row>
    <row r="950" spans="1:17" x14ac:dyDescent="0.25">
      <c r="A950" s="36">
        <v>1622</v>
      </c>
      <c r="B950" s="37">
        <v>44013</v>
      </c>
      <c r="C950" s="37">
        <v>44077.635635256258</v>
      </c>
      <c r="D950" s="36" t="s">
        <v>195</v>
      </c>
      <c r="E950" s="36"/>
      <c r="F950" s="38">
        <v>10956546</v>
      </c>
      <c r="G950" s="40">
        <f>VLOOKUP(A950,'DATOS GENERALES'!A:B,2,0)</f>
        <v>0.95</v>
      </c>
      <c r="H950" s="36">
        <f t="shared" si="70"/>
        <v>0.94562999999999986</v>
      </c>
      <c r="I950" s="38">
        <f t="shared" si="71"/>
        <v>11586504.235271726</v>
      </c>
      <c r="J950" s="38">
        <f t="shared" si="72"/>
        <v>-629958.2352717258</v>
      </c>
      <c r="K950" s="38" t="s">
        <v>213</v>
      </c>
      <c r="L950" s="38" t="str">
        <f t="shared" si="73"/>
        <v/>
      </c>
      <c r="M950" s="41">
        <f>VLOOKUP(INDICADORES!$B$21,'DATOS GENERALES'!$K:$M,3,0)*F950</f>
        <v>74570.540137063042</v>
      </c>
      <c r="N950" s="38" t="str">
        <f t="shared" si="74"/>
        <v/>
      </c>
      <c r="O950" s="36"/>
      <c r="P950" s="36"/>
      <c r="Q950" s="36"/>
    </row>
    <row r="951" spans="1:17" x14ac:dyDescent="0.25">
      <c r="A951" s="36">
        <v>1622</v>
      </c>
      <c r="B951" s="37">
        <v>44044</v>
      </c>
      <c r="C951" s="37">
        <v>44109.76652175888</v>
      </c>
      <c r="D951" s="36" t="s">
        <v>195</v>
      </c>
      <c r="E951" s="36"/>
      <c r="F951" s="38">
        <v>10956546</v>
      </c>
      <c r="G951" s="40">
        <f>VLOOKUP(A951,'DATOS GENERALES'!A:B,2,0)</f>
        <v>0.95</v>
      </c>
      <c r="H951" s="36">
        <f t="shared" si="70"/>
        <v>0.94562999999999986</v>
      </c>
      <c r="I951" s="38">
        <f t="shared" si="71"/>
        <v>11586504.235271726</v>
      </c>
      <c r="J951" s="38">
        <f t="shared" si="72"/>
        <v>-629958.2352717258</v>
      </c>
      <c r="K951" s="38" t="s">
        <v>213</v>
      </c>
      <c r="L951" s="38" t="str">
        <f t="shared" si="73"/>
        <v/>
      </c>
      <c r="M951" s="41">
        <f>VLOOKUP(INDICADORES!$B$21,'DATOS GENERALES'!$K:$M,3,0)*F951</f>
        <v>74570.540137063042</v>
      </c>
      <c r="N951" s="38" t="str">
        <f t="shared" si="74"/>
        <v/>
      </c>
      <c r="O951" s="36"/>
      <c r="P951" s="36"/>
      <c r="Q951" s="36"/>
    </row>
    <row r="952" spans="1:17" x14ac:dyDescent="0.25">
      <c r="A952" s="36">
        <v>1622</v>
      </c>
      <c r="B952" s="37">
        <v>44075</v>
      </c>
      <c r="C952" s="37">
        <v>44160.443964514343</v>
      </c>
      <c r="D952" s="36" t="s">
        <v>195</v>
      </c>
      <c r="E952" s="36"/>
      <c r="F952" s="38">
        <v>10956546</v>
      </c>
      <c r="G952" s="40">
        <f>VLOOKUP(A952,'DATOS GENERALES'!A:B,2,0)</f>
        <v>0.95</v>
      </c>
      <c r="H952" s="36">
        <f t="shared" si="70"/>
        <v>0.94562999999999986</v>
      </c>
      <c r="I952" s="38">
        <f t="shared" si="71"/>
        <v>11586504.235271726</v>
      </c>
      <c r="J952" s="38">
        <f t="shared" si="72"/>
        <v>-629958.2352717258</v>
      </c>
      <c r="K952" s="38" t="s">
        <v>213</v>
      </c>
      <c r="L952" s="38" t="str">
        <f t="shared" si="73"/>
        <v/>
      </c>
      <c r="M952" s="41">
        <f>VLOOKUP(INDICADORES!$B$21,'DATOS GENERALES'!$K:$M,3,0)*F952</f>
        <v>74570.540137063042</v>
      </c>
      <c r="N952" s="38" t="str">
        <f t="shared" si="74"/>
        <v/>
      </c>
      <c r="O952" s="36"/>
      <c r="P952" s="36"/>
      <c r="Q952" s="36"/>
    </row>
    <row r="953" spans="1:17" x14ac:dyDescent="0.25">
      <c r="A953" s="36">
        <v>1622</v>
      </c>
      <c r="B953" s="37">
        <v>44105</v>
      </c>
      <c r="C953" s="37">
        <v>44161.49544674866</v>
      </c>
      <c r="D953" s="36" t="s">
        <v>195</v>
      </c>
      <c r="E953" s="36"/>
      <c r="F953" s="38">
        <v>10956546</v>
      </c>
      <c r="G953" s="40">
        <f>VLOOKUP(A953,'DATOS GENERALES'!A:B,2,0)</f>
        <v>0.95</v>
      </c>
      <c r="H953" s="36">
        <f t="shared" si="70"/>
        <v>0.94562999999999986</v>
      </c>
      <c r="I953" s="38">
        <f t="shared" si="71"/>
        <v>11586504.235271726</v>
      </c>
      <c r="J953" s="38">
        <f t="shared" si="72"/>
        <v>-629958.2352717258</v>
      </c>
      <c r="K953" s="38" t="s">
        <v>213</v>
      </c>
      <c r="L953" s="38" t="str">
        <f t="shared" si="73"/>
        <v/>
      </c>
      <c r="M953" s="41">
        <f>VLOOKUP(INDICADORES!$B$21,'DATOS GENERALES'!$K:$M,3,0)*F953</f>
        <v>74570.540137063042</v>
      </c>
      <c r="N953" s="38" t="str">
        <f t="shared" si="74"/>
        <v/>
      </c>
      <c r="O953" s="36"/>
      <c r="P953" s="36"/>
      <c r="Q953" s="36"/>
    </row>
    <row r="954" spans="1:17" x14ac:dyDescent="0.25">
      <c r="A954" s="36">
        <v>1622</v>
      </c>
      <c r="B954" s="37">
        <v>44136</v>
      </c>
      <c r="C954" s="37">
        <v>44198.662860389224</v>
      </c>
      <c r="D954" s="36" t="s">
        <v>195</v>
      </c>
      <c r="E954" s="36"/>
      <c r="F954" s="38">
        <v>10956546</v>
      </c>
      <c r="G954" s="40">
        <f>VLOOKUP(A954,'DATOS GENERALES'!A:B,2,0)</f>
        <v>0.95</v>
      </c>
      <c r="H954" s="36">
        <f t="shared" si="70"/>
        <v>0.94562999999999986</v>
      </c>
      <c r="I954" s="38">
        <f t="shared" si="71"/>
        <v>11586504.235271726</v>
      </c>
      <c r="J954" s="38">
        <f t="shared" si="72"/>
        <v>-629958.2352717258</v>
      </c>
      <c r="K954" s="38" t="s">
        <v>213</v>
      </c>
      <c r="L954" s="38" t="str">
        <f t="shared" si="73"/>
        <v/>
      </c>
      <c r="M954" s="41">
        <f>VLOOKUP(INDICADORES!$B$21,'DATOS GENERALES'!$K:$M,3,0)*F954</f>
        <v>74570.540137063042</v>
      </c>
      <c r="N954" s="38" t="str">
        <f t="shared" si="74"/>
        <v/>
      </c>
      <c r="O954" s="36"/>
      <c r="P954" s="36"/>
      <c r="Q954" s="36"/>
    </row>
    <row r="955" spans="1:17" x14ac:dyDescent="0.25">
      <c r="A955" s="36">
        <v>1622</v>
      </c>
      <c r="B955" s="37">
        <v>44166</v>
      </c>
      <c r="C955" s="37">
        <v>44230.139466906883</v>
      </c>
      <c r="D955" s="36" t="s">
        <v>195</v>
      </c>
      <c r="E955" s="36"/>
      <c r="F955" s="38">
        <v>10956546</v>
      </c>
      <c r="G955" s="40">
        <f>VLOOKUP(A955,'DATOS GENERALES'!A:B,2,0)</f>
        <v>0.95</v>
      </c>
      <c r="H955" s="36">
        <f t="shared" si="70"/>
        <v>0.94562999999999986</v>
      </c>
      <c r="I955" s="38">
        <f t="shared" si="71"/>
        <v>11586504.235271726</v>
      </c>
      <c r="J955" s="38">
        <f t="shared" si="72"/>
        <v>-629958.2352717258</v>
      </c>
      <c r="K955" s="38" t="s">
        <v>213</v>
      </c>
      <c r="L955" s="38" t="str">
        <f t="shared" si="73"/>
        <v/>
      </c>
      <c r="M955" s="41">
        <f>VLOOKUP(INDICADORES!$B$21,'DATOS GENERALES'!$K:$M,3,0)*F955</f>
        <v>74570.540137063042</v>
      </c>
      <c r="N955" s="38" t="str">
        <f t="shared" si="74"/>
        <v/>
      </c>
      <c r="O955" s="36"/>
      <c r="P955" s="36"/>
      <c r="Q955" s="36"/>
    </row>
    <row r="956" spans="1:17" x14ac:dyDescent="0.25">
      <c r="A956" s="36">
        <v>1622</v>
      </c>
      <c r="B956" s="37">
        <v>44197</v>
      </c>
      <c r="C956" s="37">
        <v>44276.947259599743</v>
      </c>
      <c r="D956" s="36" t="s">
        <v>195</v>
      </c>
      <c r="E956" s="36"/>
      <c r="F956" s="38">
        <v>10956546</v>
      </c>
      <c r="G956" s="40">
        <f>VLOOKUP(A956,'DATOS GENERALES'!A:B,2,0)</f>
        <v>0.95</v>
      </c>
      <c r="H956" s="36">
        <f t="shared" si="70"/>
        <v>0.94562999999999986</v>
      </c>
      <c r="I956" s="38">
        <f t="shared" si="71"/>
        <v>11586504.235271726</v>
      </c>
      <c r="J956" s="38">
        <f t="shared" si="72"/>
        <v>-629958.2352717258</v>
      </c>
      <c r="K956" s="38" t="s">
        <v>213</v>
      </c>
      <c r="L956" s="38" t="str">
        <f t="shared" si="73"/>
        <v/>
      </c>
      <c r="M956" s="41">
        <f>VLOOKUP(INDICADORES!$B$21,'DATOS GENERALES'!$K:$M,3,0)*F956</f>
        <v>74570.540137063042</v>
      </c>
      <c r="N956" s="38" t="str">
        <f t="shared" si="74"/>
        <v/>
      </c>
      <c r="O956" s="36"/>
      <c r="P956" s="36"/>
      <c r="Q956" s="36"/>
    </row>
    <row r="957" spans="1:17" x14ac:dyDescent="0.25">
      <c r="A957" s="36">
        <v>1622</v>
      </c>
      <c r="B957" s="37">
        <v>44228</v>
      </c>
      <c r="C957" s="37">
        <v>44269.387244148653</v>
      </c>
      <c r="D957" s="36" t="s">
        <v>195</v>
      </c>
      <c r="E957" s="36"/>
      <c r="F957" s="38">
        <v>10956546</v>
      </c>
      <c r="G957" s="40">
        <f>VLOOKUP(A957,'DATOS GENERALES'!A:B,2,0)</f>
        <v>0.95</v>
      </c>
      <c r="H957" s="36">
        <f t="shared" si="70"/>
        <v>0.94562999999999986</v>
      </c>
      <c r="I957" s="38">
        <f t="shared" si="71"/>
        <v>11586504.235271726</v>
      </c>
      <c r="J957" s="38">
        <f t="shared" si="72"/>
        <v>-629958.2352717258</v>
      </c>
      <c r="K957" s="38" t="s">
        <v>213</v>
      </c>
      <c r="L957" s="38" t="str">
        <f t="shared" si="73"/>
        <v/>
      </c>
      <c r="M957" s="41">
        <f>VLOOKUP(INDICADORES!$B$21,'DATOS GENERALES'!$K:$M,3,0)*F957</f>
        <v>74570.540137063042</v>
      </c>
      <c r="N957" s="38" t="str">
        <f t="shared" si="74"/>
        <v/>
      </c>
      <c r="O957" s="36"/>
      <c r="P957" s="36"/>
      <c r="Q957" s="36"/>
    </row>
    <row r="958" spans="1:17" x14ac:dyDescent="0.25">
      <c r="A958" s="36">
        <v>1622</v>
      </c>
      <c r="B958" s="37">
        <v>44256</v>
      </c>
      <c r="C958" s="37">
        <v>44307.068574794175</v>
      </c>
      <c r="D958" s="36" t="s">
        <v>195</v>
      </c>
      <c r="E958" s="36"/>
      <c r="F958" s="38">
        <v>10956546</v>
      </c>
      <c r="G958" s="40">
        <f>VLOOKUP(A958,'DATOS GENERALES'!A:B,2,0)</f>
        <v>0.95</v>
      </c>
      <c r="H958" s="36">
        <f t="shared" si="70"/>
        <v>0.94562999999999986</v>
      </c>
      <c r="I958" s="38">
        <f t="shared" si="71"/>
        <v>11586504.235271726</v>
      </c>
      <c r="J958" s="38">
        <f t="shared" si="72"/>
        <v>-629958.2352717258</v>
      </c>
      <c r="K958" s="38" t="s">
        <v>213</v>
      </c>
      <c r="L958" s="38" t="str">
        <f t="shared" si="73"/>
        <v/>
      </c>
      <c r="M958" s="41">
        <f>VLOOKUP(INDICADORES!$B$21,'DATOS GENERALES'!$K:$M,3,0)*F958</f>
        <v>74570.540137063042</v>
      </c>
      <c r="N958" s="38" t="str">
        <f t="shared" si="74"/>
        <v/>
      </c>
      <c r="O958" s="36"/>
      <c r="P958" s="36"/>
      <c r="Q958" s="36"/>
    </row>
    <row r="959" spans="1:17" x14ac:dyDescent="0.25">
      <c r="A959" s="36">
        <v>1622</v>
      </c>
      <c r="B959" s="37">
        <v>44287</v>
      </c>
      <c r="C959" s="37">
        <v>44358.370196015443</v>
      </c>
      <c r="D959" s="36" t="s">
        <v>195</v>
      </c>
      <c r="E959" s="36"/>
      <c r="F959" s="38">
        <v>10956546</v>
      </c>
      <c r="G959" s="40">
        <f>VLOOKUP(A959,'DATOS GENERALES'!A:B,2,0)</f>
        <v>0.95</v>
      </c>
      <c r="H959" s="36">
        <f t="shared" si="70"/>
        <v>0.94562999999999986</v>
      </c>
      <c r="I959" s="38">
        <f t="shared" si="71"/>
        <v>11586504.235271726</v>
      </c>
      <c r="J959" s="38">
        <f t="shared" si="72"/>
        <v>-629958.2352717258</v>
      </c>
      <c r="K959" s="38" t="s">
        <v>213</v>
      </c>
      <c r="L959" s="38" t="str">
        <f t="shared" si="73"/>
        <v/>
      </c>
      <c r="M959" s="41">
        <f>VLOOKUP(INDICADORES!$B$21,'DATOS GENERALES'!$K:$M,3,0)*F959</f>
        <v>74570.540137063042</v>
      </c>
      <c r="N959" s="38" t="str">
        <f t="shared" si="74"/>
        <v/>
      </c>
      <c r="O959" s="36"/>
      <c r="P959" s="36"/>
      <c r="Q959" s="36"/>
    </row>
    <row r="960" spans="1:17" x14ac:dyDescent="0.25">
      <c r="A960" s="36">
        <v>1622</v>
      </c>
      <c r="B960" s="37">
        <v>44317</v>
      </c>
      <c r="C960" s="37">
        <v>44342.809555298641</v>
      </c>
      <c r="D960" s="36" t="s">
        <v>195</v>
      </c>
      <c r="E960" s="36"/>
      <c r="F960" s="38">
        <v>10956546</v>
      </c>
      <c r="G960" s="40">
        <f>VLOOKUP(A960,'DATOS GENERALES'!A:B,2,0)</f>
        <v>0.95</v>
      </c>
      <c r="H960" s="36">
        <f t="shared" si="70"/>
        <v>0.94562999999999986</v>
      </c>
      <c r="I960" s="38">
        <f t="shared" si="71"/>
        <v>11586504.235271726</v>
      </c>
      <c r="J960" s="38">
        <f t="shared" si="72"/>
        <v>-629958.2352717258</v>
      </c>
      <c r="K960" s="38" t="s">
        <v>213</v>
      </c>
      <c r="L960" s="38" t="str">
        <f t="shared" si="73"/>
        <v/>
      </c>
      <c r="M960" s="41">
        <f>VLOOKUP(INDICADORES!$B$21,'DATOS GENERALES'!$K:$M,3,0)*F960</f>
        <v>74570.540137063042</v>
      </c>
      <c r="N960" s="38" t="str">
        <f t="shared" si="74"/>
        <v/>
      </c>
      <c r="O960" s="36"/>
      <c r="P960" s="36"/>
      <c r="Q960" s="36"/>
    </row>
    <row r="961" spans="1:17" x14ac:dyDescent="0.25">
      <c r="A961" s="36">
        <v>1622</v>
      </c>
      <c r="B961" s="37">
        <v>44348</v>
      </c>
      <c r="C961" s="37">
        <v>44405.066871846568</v>
      </c>
      <c r="D961" s="36" t="s">
        <v>195</v>
      </c>
      <c r="E961" s="36"/>
      <c r="F961" s="38">
        <v>10956546</v>
      </c>
      <c r="G961" s="40">
        <f>VLOOKUP(A961,'DATOS GENERALES'!A:B,2,0)</f>
        <v>0.95</v>
      </c>
      <c r="H961" s="36">
        <f t="shared" si="70"/>
        <v>0.94562999999999986</v>
      </c>
      <c r="I961" s="38">
        <f t="shared" si="71"/>
        <v>11586504.235271726</v>
      </c>
      <c r="J961" s="38">
        <f t="shared" si="72"/>
        <v>-629958.2352717258</v>
      </c>
      <c r="K961" s="38" t="s">
        <v>213</v>
      </c>
      <c r="L961" s="38" t="str">
        <f t="shared" si="73"/>
        <v/>
      </c>
      <c r="M961" s="41">
        <f>VLOOKUP(INDICADORES!$B$21,'DATOS GENERALES'!$K:$M,3,0)*F961</f>
        <v>74570.540137063042</v>
      </c>
      <c r="N961" s="38" t="str">
        <f t="shared" si="74"/>
        <v/>
      </c>
      <c r="O961" s="36"/>
      <c r="P961" s="36"/>
      <c r="Q961" s="36"/>
    </row>
    <row r="962" spans="1:17" x14ac:dyDescent="0.25">
      <c r="A962" s="36">
        <v>1622</v>
      </c>
      <c r="B962" s="37">
        <v>44378</v>
      </c>
      <c r="C962" s="37">
        <v>44435.051150541025</v>
      </c>
      <c r="D962" s="36" t="s">
        <v>195</v>
      </c>
      <c r="E962" s="36"/>
      <c r="F962" s="38">
        <v>10956546</v>
      </c>
      <c r="G962" s="40">
        <f>VLOOKUP(A962,'DATOS GENERALES'!A:B,2,0)</f>
        <v>0.95</v>
      </c>
      <c r="H962" s="36">
        <f t="shared" si="70"/>
        <v>0.94562999999999986</v>
      </c>
      <c r="I962" s="38">
        <f t="shared" si="71"/>
        <v>11586504.235271726</v>
      </c>
      <c r="J962" s="38">
        <f t="shared" si="72"/>
        <v>-629958.2352717258</v>
      </c>
      <c r="K962" s="38" t="s">
        <v>213</v>
      </c>
      <c r="L962" s="38" t="str">
        <f t="shared" si="73"/>
        <v/>
      </c>
      <c r="M962" s="41">
        <f>VLOOKUP(INDICADORES!$B$21,'DATOS GENERALES'!$K:$M,3,0)*F962</f>
        <v>74570.540137063042</v>
      </c>
      <c r="N962" s="38" t="str">
        <f t="shared" si="74"/>
        <v/>
      </c>
      <c r="O962" s="36"/>
      <c r="P962" s="36"/>
      <c r="Q962" s="36"/>
    </row>
    <row r="963" spans="1:17" x14ac:dyDescent="0.25">
      <c r="A963" s="36">
        <v>1622</v>
      </c>
      <c r="B963" s="37">
        <v>44409</v>
      </c>
      <c r="C963" s="37">
        <v>44499.755059954106</v>
      </c>
      <c r="D963" s="36" t="s">
        <v>195</v>
      </c>
      <c r="E963" s="36"/>
      <c r="F963" s="38">
        <v>10956546</v>
      </c>
      <c r="G963" s="40">
        <f>VLOOKUP(A963,'DATOS GENERALES'!A:B,2,0)</f>
        <v>0.95</v>
      </c>
      <c r="H963" s="36">
        <f t="shared" ref="H963:H1026" si="75">G963*0.9954</f>
        <v>0.94562999999999986</v>
      </c>
      <c r="I963" s="38">
        <f t="shared" ref="I963:I1026" si="76">F963/H963</f>
        <v>11586504.235271726</v>
      </c>
      <c r="J963" s="38">
        <f t="shared" ref="J963:J1026" si="77">F963-I963</f>
        <v>-629958.2352717258</v>
      </c>
      <c r="K963" s="38" t="s">
        <v>213</v>
      </c>
      <c r="L963" s="38" t="str">
        <f t="shared" ref="L963:L1026" si="78">IFERROR(J963-K963,"")</f>
        <v/>
      </c>
      <c r="M963" s="41">
        <f>VLOOKUP(INDICADORES!$B$21,'DATOS GENERALES'!$K:$M,3,0)*F963</f>
        <v>74570.540137063042</v>
      </c>
      <c r="N963" s="38" t="str">
        <f t="shared" ref="N963:N1026" si="79">IFERROR(L963-M963,"")</f>
        <v/>
      </c>
      <c r="O963" s="36"/>
      <c r="P963" s="36"/>
      <c r="Q963" s="36"/>
    </row>
    <row r="964" spans="1:17" x14ac:dyDescent="0.25">
      <c r="A964" s="36">
        <v>1622</v>
      </c>
      <c r="B964" s="37">
        <v>44440</v>
      </c>
      <c r="C964" s="37">
        <v>44519.454042603247</v>
      </c>
      <c r="D964" s="36" t="s">
        <v>195</v>
      </c>
      <c r="E964" s="36"/>
      <c r="F964" s="38">
        <v>10956546</v>
      </c>
      <c r="G964" s="40">
        <f>VLOOKUP(A964,'DATOS GENERALES'!A:B,2,0)</f>
        <v>0.95</v>
      </c>
      <c r="H964" s="36">
        <f t="shared" si="75"/>
        <v>0.94562999999999986</v>
      </c>
      <c r="I964" s="38">
        <f t="shared" si="76"/>
        <v>11586504.235271726</v>
      </c>
      <c r="J964" s="38">
        <f t="shared" si="77"/>
        <v>-629958.2352717258</v>
      </c>
      <c r="K964" s="38" t="s">
        <v>213</v>
      </c>
      <c r="L964" s="38" t="str">
        <f t="shared" si="78"/>
        <v/>
      </c>
      <c r="M964" s="41">
        <f>VLOOKUP(INDICADORES!$B$21,'DATOS GENERALES'!$K:$M,3,0)*F964</f>
        <v>74570.540137063042</v>
      </c>
      <c r="N964" s="38" t="str">
        <f t="shared" si="79"/>
        <v/>
      </c>
      <c r="O964" s="36"/>
      <c r="P964" s="36"/>
      <c r="Q964" s="36"/>
    </row>
    <row r="965" spans="1:17" x14ac:dyDescent="0.25">
      <c r="A965" s="36">
        <v>1622</v>
      </c>
      <c r="B965" s="37">
        <v>44470</v>
      </c>
      <c r="C965" s="37">
        <v>44522.496046088723</v>
      </c>
      <c r="D965" s="36" t="s">
        <v>195</v>
      </c>
      <c r="E965" s="36"/>
      <c r="F965" s="38">
        <v>10956546</v>
      </c>
      <c r="G965" s="40">
        <f>VLOOKUP(A965,'DATOS GENERALES'!A:B,2,0)</f>
        <v>0.95</v>
      </c>
      <c r="H965" s="36">
        <f t="shared" si="75"/>
        <v>0.94562999999999986</v>
      </c>
      <c r="I965" s="38">
        <f t="shared" si="76"/>
        <v>11586504.235271726</v>
      </c>
      <c r="J965" s="38">
        <f t="shared" si="77"/>
        <v>-629958.2352717258</v>
      </c>
      <c r="K965" s="38" t="s">
        <v>213</v>
      </c>
      <c r="L965" s="38" t="str">
        <f t="shared" si="78"/>
        <v/>
      </c>
      <c r="M965" s="41">
        <f>VLOOKUP(INDICADORES!$B$21,'DATOS GENERALES'!$K:$M,3,0)*F965</f>
        <v>74570.540137063042</v>
      </c>
      <c r="N965" s="38" t="str">
        <f t="shared" si="79"/>
        <v/>
      </c>
      <c r="O965" s="36"/>
      <c r="P965" s="36"/>
      <c r="Q965" s="36"/>
    </row>
    <row r="966" spans="1:17" x14ac:dyDescent="0.25">
      <c r="A966" s="36">
        <v>1734</v>
      </c>
      <c r="B966" s="37">
        <v>43466</v>
      </c>
      <c r="C966" s="37">
        <v>43509.172818990104</v>
      </c>
      <c r="D966" s="36" t="s">
        <v>195</v>
      </c>
      <c r="E966" s="36"/>
      <c r="F966" s="38">
        <v>56127548.580235153</v>
      </c>
      <c r="G966" s="40">
        <f>VLOOKUP(A966,'DATOS GENERALES'!A:B,2,0)</f>
        <v>1.73</v>
      </c>
      <c r="H966" s="36">
        <f t="shared" si="75"/>
        <v>1.7220419999999999</v>
      </c>
      <c r="I966" s="38">
        <f t="shared" si="76"/>
        <v>32593600.260757379</v>
      </c>
      <c r="J966" s="38">
        <f t="shared" si="77"/>
        <v>23533948.319477774</v>
      </c>
      <c r="K966" s="38">
        <v>7151633.8192765992</v>
      </c>
      <c r="L966" s="38">
        <f t="shared" si="78"/>
        <v>16382314.500201175</v>
      </c>
      <c r="M966" s="41">
        <f>VLOOKUP(INDICADORES!$B$21,'DATOS GENERALES'!$K:$M,3,0)*F966</f>
        <v>382005.57129932928</v>
      </c>
      <c r="N966" s="38">
        <f t="shared" si="79"/>
        <v>16000308.928901846</v>
      </c>
      <c r="O966" s="36"/>
      <c r="P966" s="36"/>
      <c r="Q966" s="36"/>
    </row>
    <row r="967" spans="1:17" x14ac:dyDescent="0.25">
      <c r="A967" s="36">
        <v>1734</v>
      </c>
      <c r="B967" s="37">
        <v>43497</v>
      </c>
      <c r="C967" s="37">
        <v>43566.978530937544</v>
      </c>
      <c r="D967" s="36" t="s">
        <v>195</v>
      </c>
      <c r="E967" s="36"/>
      <c r="F967" s="38">
        <v>60393607.013095886</v>
      </c>
      <c r="G967" s="40">
        <f>VLOOKUP(A967,'DATOS GENERALES'!A:B,2,0)</f>
        <v>1.73</v>
      </c>
      <c r="H967" s="36">
        <f t="shared" si="75"/>
        <v>1.7220419999999999</v>
      </c>
      <c r="I967" s="38">
        <f t="shared" si="76"/>
        <v>35070925.68769861</v>
      </c>
      <c r="J967" s="38">
        <f t="shared" si="77"/>
        <v>25322681.325397275</v>
      </c>
      <c r="K967" s="38">
        <v>7580855.804261677</v>
      </c>
      <c r="L967" s="38">
        <f t="shared" si="78"/>
        <v>17741825.521135598</v>
      </c>
      <c r="M967" s="41">
        <f>VLOOKUP(INDICADORES!$B$21,'DATOS GENERALES'!$K:$M,3,0)*F967</f>
        <v>411040.47715329984</v>
      </c>
      <c r="N967" s="38">
        <f t="shared" si="79"/>
        <v>17330785.043982297</v>
      </c>
      <c r="O967" s="36"/>
      <c r="P967" s="36"/>
      <c r="Q967" s="36"/>
    </row>
    <row r="968" spans="1:17" x14ac:dyDescent="0.25">
      <c r="A968" s="36">
        <v>1734</v>
      </c>
      <c r="B968" s="37">
        <v>43525</v>
      </c>
      <c r="C968" s="37">
        <v>43591.482832096684</v>
      </c>
      <c r="D968" s="36" t="s">
        <v>195</v>
      </c>
      <c r="E968" s="36"/>
      <c r="F968" s="38">
        <v>60987214.319031961</v>
      </c>
      <c r="G968" s="40">
        <f>VLOOKUP(A968,'DATOS GENERALES'!A:B,2,0)</f>
        <v>1.73</v>
      </c>
      <c r="H968" s="36">
        <f t="shared" si="75"/>
        <v>1.7220419999999999</v>
      </c>
      <c r="I968" s="38">
        <f t="shared" si="76"/>
        <v>35415636.969964705</v>
      </c>
      <c r="J968" s="38">
        <f t="shared" si="77"/>
        <v>25571577.349067256</v>
      </c>
      <c r="K968" s="38">
        <v>5538563.6931466488</v>
      </c>
      <c r="L968" s="38">
        <f t="shared" si="78"/>
        <v>20033013.655920606</v>
      </c>
      <c r="M968" s="41">
        <f>VLOOKUP(INDICADORES!$B$21,'DATOS GENERALES'!$K:$M,3,0)*F968</f>
        <v>415080.58408416656</v>
      </c>
      <c r="N968" s="38">
        <f t="shared" si="79"/>
        <v>19617933.071836438</v>
      </c>
      <c r="O968" s="36"/>
      <c r="P968" s="36"/>
      <c r="Q968" s="36"/>
    </row>
    <row r="969" spans="1:17" x14ac:dyDescent="0.25">
      <c r="A969" s="36">
        <v>1734</v>
      </c>
      <c r="B969" s="37">
        <v>43556</v>
      </c>
      <c r="C969" s="37">
        <v>43636.740824773435</v>
      </c>
      <c r="D969" s="36" t="s">
        <v>195</v>
      </c>
      <c r="E969" s="36"/>
      <c r="F969" s="38">
        <v>64608218.885242015</v>
      </c>
      <c r="G969" s="40">
        <f>VLOOKUP(A969,'DATOS GENERALES'!A:B,2,0)</f>
        <v>1.73</v>
      </c>
      <c r="H969" s="36">
        <f t="shared" si="75"/>
        <v>1.7220419999999999</v>
      </c>
      <c r="I969" s="38">
        <f t="shared" si="76"/>
        <v>37518375.7917879</v>
      </c>
      <c r="J969" s="38">
        <f t="shared" si="77"/>
        <v>27089843.093454115</v>
      </c>
      <c r="K969" s="38">
        <v>6032135.3843921097</v>
      </c>
      <c r="L969" s="38">
        <f t="shared" si="78"/>
        <v>21057707.709062006</v>
      </c>
      <c r="M969" s="41">
        <f>VLOOKUP(INDICADORES!$B$21,'DATOS GENERALES'!$K:$M,3,0)*F969</f>
        <v>439725.23636245349</v>
      </c>
      <c r="N969" s="38">
        <f t="shared" si="79"/>
        <v>20617982.472699553</v>
      </c>
      <c r="O969" s="36"/>
      <c r="P969" s="36"/>
      <c r="Q969" s="36"/>
    </row>
    <row r="970" spans="1:17" x14ac:dyDescent="0.25">
      <c r="A970" s="36">
        <v>1734</v>
      </c>
      <c r="B970" s="37">
        <v>43586</v>
      </c>
      <c r="C970" s="37">
        <v>43644.297857693768</v>
      </c>
      <c r="D970" s="36" t="s">
        <v>195</v>
      </c>
      <c r="E970" s="36"/>
      <c r="F970" s="38">
        <v>67101369.570173509</v>
      </c>
      <c r="G970" s="40">
        <f>VLOOKUP(A970,'DATOS GENERALES'!A:B,2,0)</f>
        <v>1.73</v>
      </c>
      <c r="H970" s="36">
        <f t="shared" si="75"/>
        <v>1.7220419999999999</v>
      </c>
      <c r="I970" s="38">
        <f t="shared" si="76"/>
        <v>38966163.177305497</v>
      </c>
      <c r="J970" s="38">
        <f t="shared" si="77"/>
        <v>28135206.392868012</v>
      </c>
      <c r="K970" s="38">
        <v>5168110.9462621929</v>
      </c>
      <c r="L970" s="38">
        <f t="shared" si="78"/>
        <v>22967095.44660582</v>
      </c>
      <c r="M970" s="41">
        <f>VLOOKUP(INDICADORES!$B$21,'DATOS GENERALES'!$K:$M,3,0)*F970</f>
        <v>456693.68547209352</v>
      </c>
      <c r="N970" s="38">
        <f t="shared" si="79"/>
        <v>22510401.761133727</v>
      </c>
      <c r="O970" s="36"/>
      <c r="P970" s="36"/>
      <c r="Q970" s="36"/>
    </row>
    <row r="971" spans="1:17" x14ac:dyDescent="0.25">
      <c r="A971" s="36">
        <v>1734</v>
      </c>
      <c r="B971" s="37">
        <v>43617</v>
      </c>
      <c r="C971" s="37">
        <v>43692.516323959971</v>
      </c>
      <c r="D971" s="36" t="s">
        <v>195</v>
      </c>
      <c r="E971" s="36"/>
      <c r="F971" s="38">
        <v>68644748.565607309</v>
      </c>
      <c r="G971" s="40">
        <f>VLOOKUP(A971,'DATOS GENERALES'!A:B,2,0)</f>
        <v>1.73</v>
      </c>
      <c r="H971" s="36">
        <f t="shared" si="75"/>
        <v>1.7220419999999999</v>
      </c>
      <c r="I971" s="38">
        <f t="shared" si="76"/>
        <v>39862412.511197358</v>
      </c>
      <c r="J971" s="38">
        <f t="shared" si="77"/>
        <v>28782336.054409951</v>
      </c>
      <c r="K971" s="38">
        <v>7109751.526077494</v>
      </c>
      <c r="L971" s="38">
        <f t="shared" si="78"/>
        <v>21672584.528332457</v>
      </c>
      <c r="M971" s="41">
        <f>VLOOKUP(INDICADORES!$B$21,'DATOS GENERALES'!$K:$M,3,0)*F971</f>
        <v>467197.96349234699</v>
      </c>
      <c r="N971" s="38">
        <f t="shared" si="79"/>
        <v>21205386.564840108</v>
      </c>
      <c r="O971" s="36"/>
      <c r="P971" s="36"/>
      <c r="Q971" s="36"/>
    </row>
    <row r="972" spans="1:17" x14ac:dyDescent="0.25">
      <c r="A972" s="36">
        <v>1734</v>
      </c>
      <c r="B972" s="37">
        <v>43647</v>
      </c>
      <c r="C972" s="37">
        <v>43710.626810910086</v>
      </c>
      <c r="D972" s="36" t="s">
        <v>195</v>
      </c>
      <c r="E972" s="36"/>
      <c r="F972" s="38">
        <v>85079795.189299077</v>
      </c>
      <c r="G972" s="40">
        <f>VLOOKUP(A972,'DATOS GENERALES'!A:B,2,0)</f>
        <v>1.73</v>
      </c>
      <c r="H972" s="36">
        <f t="shared" si="75"/>
        <v>1.7220419999999999</v>
      </c>
      <c r="I972" s="38">
        <f t="shared" si="76"/>
        <v>49406341.534816854</v>
      </c>
      <c r="J972" s="38">
        <f t="shared" si="77"/>
        <v>35673453.654482223</v>
      </c>
      <c r="K972" s="38">
        <v>13141263.06320204</v>
      </c>
      <c r="L972" s="38">
        <f t="shared" si="78"/>
        <v>22532190.591280185</v>
      </c>
      <c r="M972" s="41">
        <f>VLOOKUP(INDICADORES!$B$21,'DATOS GENERALES'!$K:$M,3,0)*F972</f>
        <v>579055.32291077229</v>
      </c>
      <c r="N972" s="38">
        <f t="shared" si="79"/>
        <v>21953135.268369414</v>
      </c>
      <c r="O972" s="36"/>
      <c r="P972" s="36"/>
      <c r="Q972" s="36"/>
    </row>
    <row r="973" spans="1:17" x14ac:dyDescent="0.25">
      <c r="A973" s="36">
        <v>1734</v>
      </c>
      <c r="B973" s="37">
        <v>43678</v>
      </c>
      <c r="C973" s="37">
        <v>43720.060686221455</v>
      </c>
      <c r="D973" s="36" t="s">
        <v>195</v>
      </c>
      <c r="E973" s="36"/>
      <c r="F973" s="38">
        <v>89917694.732678071</v>
      </c>
      <c r="G973" s="40">
        <f>VLOOKUP(A973,'DATOS GENERALES'!A:B,2,0)</f>
        <v>1.73</v>
      </c>
      <c r="H973" s="36">
        <f t="shared" si="75"/>
        <v>1.7220419999999999</v>
      </c>
      <c r="I973" s="38">
        <f t="shared" si="76"/>
        <v>52215738.485285535</v>
      </c>
      <c r="J973" s="38">
        <f t="shared" si="77"/>
        <v>37701956.247392535</v>
      </c>
      <c r="K973" s="38">
        <v>13666803.094513861</v>
      </c>
      <c r="L973" s="38">
        <f t="shared" si="78"/>
        <v>24035153.152878672</v>
      </c>
      <c r="M973" s="41">
        <f>VLOOKUP(INDICADORES!$B$21,'DATOS GENERALES'!$K:$M,3,0)*F973</f>
        <v>611982.19439733576</v>
      </c>
      <c r="N973" s="38">
        <f t="shared" si="79"/>
        <v>23423170.958481338</v>
      </c>
      <c r="O973" s="36"/>
      <c r="P973" s="36"/>
      <c r="Q973" s="36"/>
    </row>
    <row r="974" spans="1:17" x14ac:dyDescent="0.25">
      <c r="A974" s="36">
        <v>1734</v>
      </c>
      <c r="B974" s="37">
        <v>43709</v>
      </c>
      <c r="C974" s="37">
        <v>43766.44129188548</v>
      </c>
      <c r="D974" s="36" t="s">
        <v>195</v>
      </c>
      <c r="E974" s="36"/>
      <c r="F974" s="38">
        <v>87216781.490668952</v>
      </c>
      <c r="G974" s="40">
        <f>VLOOKUP(A974,'DATOS GENERALES'!A:B,2,0)</f>
        <v>1.73</v>
      </c>
      <c r="H974" s="36">
        <f t="shared" si="75"/>
        <v>1.7220419999999999</v>
      </c>
      <c r="I974" s="38">
        <f t="shared" si="76"/>
        <v>50647302.15097481</v>
      </c>
      <c r="J974" s="38">
        <f t="shared" si="77"/>
        <v>36569479.339694142</v>
      </c>
      <c r="K974" s="38">
        <v>14981895.896928189</v>
      </c>
      <c r="L974" s="38">
        <f t="shared" si="78"/>
        <v>21587583.442765951</v>
      </c>
      <c r="M974" s="41">
        <f>VLOOKUP(INDICADORES!$B$21,'DATOS GENERALES'!$K:$M,3,0)*F974</f>
        <v>593599.70786189241</v>
      </c>
      <c r="N974" s="38">
        <f t="shared" si="79"/>
        <v>20993983.734904058</v>
      </c>
      <c r="O974" s="36"/>
      <c r="P974" s="36"/>
      <c r="Q974" s="36"/>
    </row>
    <row r="975" spans="1:17" x14ac:dyDescent="0.25">
      <c r="A975" s="36">
        <v>1734</v>
      </c>
      <c r="B975" s="37">
        <v>43739</v>
      </c>
      <c r="C975" s="37">
        <v>43803.482987561641</v>
      </c>
      <c r="D975" s="36" t="s">
        <v>195</v>
      </c>
      <c r="E975" s="36"/>
      <c r="F975" s="38">
        <v>88225913.910760283</v>
      </c>
      <c r="G975" s="40">
        <f>VLOOKUP(A975,'DATOS GENERALES'!A:B,2,0)</f>
        <v>1.73</v>
      </c>
      <c r="H975" s="36">
        <f t="shared" si="75"/>
        <v>1.7220419999999999</v>
      </c>
      <c r="I975" s="38">
        <f t="shared" si="76"/>
        <v>51233311.330827177</v>
      </c>
      <c r="J975" s="38">
        <f t="shared" si="77"/>
        <v>36992602.579933107</v>
      </c>
      <c r="K975" s="38">
        <v>16388829.647998663</v>
      </c>
      <c r="L975" s="38">
        <f t="shared" si="78"/>
        <v>20603772.931934446</v>
      </c>
      <c r="M975" s="41">
        <f>VLOOKUP(INDICADORES!$B$21,'DATOS GENERALES'!$K:$M,3,0)*F975</f>
        <v>600467.88964436587</v>
      </c>
      <c r="N975" s="38">
        <f t="shared" si="79"/>
        <v>20003305.04229008</v>
      </c>
      <c r="O975" s="36"/>
      <c r="P975" s="36"/>
      <c r="Q975" s="36"/>
    </row>
    <row r="976" spans="1:17" x14ac:dyDescent="0.25">
      <c r="A976" s="36">
        <v>1734</v>
      </c>
      <c r="B976" s="37">
        <v>43770</v>
      </c>
      <c r="C976" s="37">
        <v>43803.114913255085</v>
      </c>
      <c r="D976" s="36" t="s">
        <v>195</v>
      </c>
      <c r="E976" s="36"/>
      <c r="F976" s="38">
        <v>89977055.463271677</v>
      </c>
      <c r="G976" s="40">
        <f>VLOOKUP(A976,'DATOS GENERALES'!A:B,2,0)</f>
        <v>1.73</v>
      </c>
      <c r="H976" s="36">
        <f t="shared" si="75"/>
        <v>1.7220419999999999</v>
      </c>
      <c r="I976" s="38">
        <f t="shared" si="76"/>
        <v>52250209.613512151</v>
      </c>
      <c r="J976" s="38">
        <f t="shared" si="77"/>
        <v>37726845.849759527</v>
      </c>
      <c r="K976" s="38">
        <v>22353906.399397086</v>
      </c>
      <c r="L976" s="38">
        <f t="shared" si="78"/>
        <v>15372939.45036244</v>
      </c>
      <c r="M976" s="41">
        <f>VLOOKUP(INDICADORES!$B$21,'DATOS GENERALES'!$K:$M,3,0)*F976</f>
        <v>612386.20509042253</v>
      </c>
      <c r="N976" s="38">
        <f t="shared" si="79"/>
        <v>14760553.245272018</v>
      </c>
      <c r="O976" s="36"/>
      <c r="P976" s="36"/>
      <c r="Q976" s="36"/>
    </row>
    <row r="977" spans="1:17" x14ac:dyDescent="0.25">
      <c r="A977" s="36">
        <v>1734</v>
      </c>
      <c r="B977" s="37">
        <v>43800</v>
      </c>
      <c r="C977" s="37">
        <v>43860.044292541461</v>
      </c>
      <c r="D977" s="36" t="s">
        <v>195</v>
      </c>
      <c r="E977" s="36"/>
      <c r="F977" s="38">
        <v>84456507.518066227</v>
      </c>
      <c r="G977" s="40">
        <f>VLOOKUP(A977,'DATOS GENERALES'!A:B,2,0)</f>
        <v>1.73</v>
      </c>
      <c r="H977" s="36">
        <f t="shared" si="75"/>
        <v>1.7220419999999999</v>
      </c>
      <c r="I977" s="38">
        <f t="shared" si="76"/>
        <v>49044394.688437469</v>
      </c>
      <c r="J977" s="38">
        <f t="shared" si="77"/>
        <v>35412112.829628758</v>
      </c>
      <c r="K977" s="38">
        <v>17666900.344765119</v>
      </c>
      <c r="L977" s="38">
        <f t="shared" si="78"/>
        <v>17745212.484863639</v>
      </c>
      <c r="M977" s="41">
        <f>VLOOKUP(INDICADORES!$B$21,'DATOS GENERALES'!$K:$M,3,0)*F977</f>
        <v>574813.21063336241</v>
      </c>
      <c r="N977" s="38">
        <f t="shared" si="79"/>
        <v>17170399.274230275</v>
      </c>
      <c r="O977" s="36"/>
      <c r="P977" s="36"/>
      <c r="Q977" s="36"/>
    </row>
    <row r="978" spans="1:17" x14ac:dyDescent="0.25">
      <c r="A978" s="36">
        <v>1734</v>
      </c>
      <c r="B978" s="37">
        <v>43831</v>
      </c>
      <c r="C978" s="37">
        <v>43894.304179455547</v>
      </c>
      <c r="D978" s="36" t="s">
        <v>195</v>
      </c>
      <c r="E978" s="36"/>
      <c r="F978" s="38">
        <v>84812671.901627824</v>
      </c>
      <c r="G978" s="40">
        <f>VLOOKUP(A978,'DATOS GENERALES'!A:B,2,0)</f>
        <v>1.73</v>
      </c>
      <c r="H978" s="36">
        <f t="shared" si="75"/>
        <v>1.7220419999999999</v>
      </c>
      <c r="I978" s="38">
        <f t="shared" si="76"/>
        <v>49251221.457797095</v>
      </c>
      <c r="J978" s="38">
        <f t="shared" si="77"/>
        <v>35561450.443830729</v>
      </c>
      <c r="K978" s="38" t="s">
        <v>213</v>
      </c>
      <c r="L978" s="38" t="str">
        <f t="shared" si="78"/>
        <v/>
      </c>
      <c r="M978" s="41">
        <f>VLOOKUP(INDICADORES!$B$21,'DATOS GENERALES'!$K:$M,3,0)*F978</f>
        <v>577237.27479188202</v>
      </c>
      <c r="N978" s="38" t="str">
        <f t="shared" si="79"/>
        <v/>
      </c>
      <c r="O978" s="36"/>
      <c r="P978" s="36"/>
      <c r="Q978" s="36"/>
    </row>
    <row r="979" spans="1:17" x14ac:dyDescent="0.25">
      <c r="A979" s="36">
        <v>1734</v>
      </c>
      <c r="B979" s="37">
        <v>43862</v>
      </c>
      <c r="C979" s="37">
        <v>43935.537046541293</v>
      </c>
      <c r="D979" s="36" t="s">
        <v>195</v>
      </c>
      <c r="E979" s="36"/>
      <c r="F979" s="38">
        <v>87038699.298888147</v>
      </c>
      <c r="G979" s="40">
        <f>VLOOKUP(A979,'DATOS GENERALES'!A:B,2,0)</f>
        <v>1.73</v>
      </c>
      <c r="H979" s="36">
        <f t="shared" si="75"/>
        <v>1.7220419999999999</v>
      </c>
      <c r="I979" s="38">
        <f t="shared" si="76"/>
        <v>50543888.766294986</v>
      </c>
      <c r="J979" s="38">
        <f t="shared" si="77"/>
        <v>36494810.532593161</v>
      </c>
      <c r="K979" s="38" t="s">
        <v>213</v>
      </c>
      <c r="L979" s="38" t="str">
        <f t="shared" si="78"/>
        <v/>
      </c>
      <c r="M979" s="41">
        <f>VLOOKUP(INDICADORES!$B$21,'DATOS GENERALES'!$K:$M,3,0)*F979</f>
        <v>592387.67578263255</v>
      </c>
      <c r="N979" s="38" t="str">
        <f t="shared" si="79"/>
        <v/>
      </c>
      <c r="O979" s="36"/>
      <c r="P979" s="36"/>
      <c r="Q979" s="36"/>
    </row>
    <row r="980" spans="1:17" x14ac:dyDescent="0.25">
      <c r="A980" s="36">
        <v>1734</v>
      </c>
      <c r="B980" s="37">
        <v>43891</v>
      </c>
      <c r="C980" s="37">
        <v>43969.562893713439</v>
      </c>
      <c r="D980" s="36" t="s">
        <v>195</v>
      </c>
      <c r="E980" s="36"/>
      <c r="F980" s="38">
        <v>84219064.595691785</v>
      </c>
      <c r="G980" s="40">
        <f>VLOOKUP(A980,'DATOS GENERALES'!A:B,2,0)</f>
        <v>1.73</v>
      </c>
      <c r="H980" s="36">
        <f t="shared" si="75"/>
        <v>1.7220419999999999</v>
      </c>
      <c r="I980" s="38">
        <f t="shared" si="76"/>
        <v>48906510.175531022</v>
      </c>
      <c r="J980" s="38">
        <f t="shared" si="77"/>
        <v>35312554.420160763</v>
      </c>
      <c r="K980" s="38" t="s">
        <v>213</v>
      </c>
      <c r="L980" s="38" t="str">
        <f t="shared" si="78"/>
        <v/>
      </c>
      <c r="M980" s="41">
        <f>VLOOKUP(INDICADORES!$B$21,'DATOS GENERALES'!$K:$M,3,0)*F980</f>
        <v>573197.16786101565</v>
      </c>
      <c r="N980" s="38" t="str">
        <f t="shared" si="79"/>
        <v/>
      </c>
      <c r="O980" s="36"/>
      <c r="P980" s="36"/>
      <c r="Q980" s="36"/>
    </row>
    <row r="981" spans="1:17" x14ac:dyDescent="0.25">
      <c r="A981" s="36">
        <v>1734</v>
      </c>
      <c r="B981" s="37">
        <v>43922</v>
      </c>
      <c r="C981" s="37">
        <v>44003.73844563857</v>
      </c>
      <c r="D981" s="36" t="s">
        <v>195</v>
      </c>
      <c r="E981" s="36"/>
      <c r="F981" s="38">
        <v>86415411.627655238</v>
      </c>
      <c r="G981" s="40">
        <f>VLOOKUP(A981,'DATOS GENERALES'!A:B,2,0)</f>
        <v>1.73</v>
      </c>
      <c r="H981" s="36">
        <f t="shared" si="75"/>
        <v>1.7220419999999999</v>
      </c>
      <c r="I981" s="38">
        <f t="shared" si="76"/>
        <v>50181941.919915572</v>
      </c>
      <c r="J981" s="38">
        <f t="shared" si="77"/>
        <v>36233469.707739666</v>
      </c>
      <c r="K981" s="38" t="s">
        <v>213</v>
      </c>
      <c r="L981" s="38" t="str">
        <f t="shared" si="78"/>
        <v/>
      </c>
      <c r="M981" s="41">
        <f>VLOOKUP(INDICADORES!$B$21,'DATOS GENERALES'!$K:$M,3,0)*F981</f>
        <v>588145.56350522232</v>
      </c>
      <c r="N981" s="38" t="str">
        <f t="shared" si="79"/>
        <v/>
      </c>
      <c r="O981" s="36"/>
      <c r="P981" s="36"/>
      <c r="Q981" s="36"/>
    </row>
    <row r="982" spans="1:17" x14ac:dyDescent="0.25">
      <c r="A982" s="36">
        <v>1734</v>
      </c>
      <c r="B982" s="37">
        <v>43952</v>
      </c>
      <c r="C982" s="37">
        <v>44025.525221178468</v>
      </c>
      <c r="D982" s="36" t="s">
        <v>195</v>
      </c>
      <c r="E982" s="36"/>
      <c r="F982" s="38">
        <v>86919977.837700903</v>
      </c>
      <c r="G982" s="40">
        <f>VLOOKUP(A982,'DATOS GENERALES'!A:B,2,0)</f>
        <v>1.73</v>
      </c>
      <c r="H982" s="36">
        <f t="shared" si="75"/>
        <v>1.7220419999999999</v>
      </c>
      <c r="I982" s="38">
        <f t="shared" si="76"/>
        <v>50474946.509841755</v>
      </c>
      <c r="J982" s="38">
        <f t="shared" si="77"/>
        <v>36445031.327859148</v>
      </c>
      <c r="K982" s="38" t="s">
        <v>213</v>
      </c>
      <c r="L982" s="38" t="str">
        <f t="shared" si="78"/>
        <v/>
      </c>
      <c r="M982" s="41">
        <f>VLOOKUP(INDICADORES!$B$21,'DATOS GENERALES'!$K:$M,3,0)*F982</f>
        <v>591579.65439645899</v>
      </c>
      <c r="N982" s="38" t="str">
        <f t="shared" si="79"/>
        <v/>
      </c>
      <c r="O982" s="36"/>
      <c r="P982" s="36"/>
      <c r="Q982" s="36"/>
    </row>
    <row r="983" spans="1:17" x14ac:dyDescent="0.25">
      <c r="A983" s="36">
        <v>1734</v>
      </c>
      <c r="B983" s="37">
        <v>43983</v>
      </c>
      <c r="C983" s="37">
        <v>44018.992265027664</v>
      </c>
      <c r="D983" s="36" t="s">
        <v>195</v>
      </c>
      <c r="E983" s="36"/>
      <c r="F983" s="38">
        <v>82467923.043180406</v>
      </c>
      <c r="G983" s="40">
        <f>VLOOKUP(A983,'DATOS GENERALES'!A:B,2,0)</f>
        <v>1.73</v>
      </c>
      <c r="H983" s="36">
        <f t="shared" si="75"/>
        <v>1.7220419999999999</v>
      </c>
      <c r="I983" s="38">
        <f t="shared" si="76"/>
        <v>47889611.892846063</v>
      </c>
      <c r="J983" s="38">
        <f t="shared" si="77"/>
        <v>34578311.150334343</v>
      </c>
      <c r="K983" s="38" t="s">
        <v>213</v>
      </c>
      <c r="L983" s="38" t="str">
        <f t="shared" si="78"/>
        <v/>
      </c>
      <c r="M983" s="41">
        <f>VLOOKUP(INDICADORES!$B$21,'DATOS GENERALES'!$K:$M,3,0)*F983</f>
        <v>561278.85241495911</v>
      </c>
      <c r="N983" s="38" t="str">
        <f t="shared" si="79"/>
        <v/>
      </c>
      <c r="O983" s="36"/>
      <c r="P983" s="36"/>
      <c r="Q983" s="36"/>
    </row>
    <row r="984" spans="1:17" x14ac:dyDescent="0.25">
      <c r="A984" s="36">
        <v>1734</v>
      </c>
      <c r="B984" s="37">
        <v>44013</v>
      </c>
      <c r="C984" s="37">
        <v>44071.237701636172</v>
      </c>
      <c r="D984" s="36" t="s">
        <v>195</v>
      </c>
      <c r="E984" s="36"/>
      <c r="F984" s="38">
        <v>81013585.143636942</v>
      </c>
      <c r="G984" s="40">
        <f>VLOOKUP(A984,'DATOS GENERALES'!A:B,2,0)</f>
        <v>1.73</v>
      </c>
      <c r="H984" s="36">
        <f t="shared" si="75"/>
        <v>1.7220419999999999</v>
      </c>
      <c r="I984" s="38">
        <f t="shared" si="76"/>
        <v>47045069.251294076</v>
      </c>
      <c r="J984" s="38">
        <f t="shared" si="77"/>
        <v>33968515.892342865</v>
      </c>
      <c r="K984" s="38" t="s">
        <v>213</v>
      </c>
      <c r="L984" s="38" t="str">
        <f t="shared" si="78"/>
        <v/>
      </c>
      <c r="M984" s="41">
        <f>VLOOKUP(INDICADORES!$B$21,'DATOS GENERALES'!$K:$M,3,0)*F984</f>
        <v>551380.59043433517</v>
      </c>
      <c r="N984" s="38" t="str">
        <f t="shared" si="79"/>
        <v/>
      </c>
      <c r="O984" s="36"/>
      <c r="P984" s="36"/>
      <c r="Q984" s="36"/>
    </row>
    <row r="985" spans="1:17" x14ac:dyDescent="0.25">
      <c r="A985" s="36">
        <v>1734</v>
      </c>
      <c r="B985" s="37">
        <v>44044</v>
      </c>
      <c r="C985" s="37">
        <v>44106.249462626518</v>
      </c>
      <c r="D985" s="36" t="s">
        <v>195</v>
      </c>
      <c r="E985" s="36"/>
      <c r="F985" s="38">
        <v>80894863.682449803</v>
      </c>
      <c r="G985" s="40">
        <f>VLOOKUP(A985,'DATOS GENERALES'!A:B,2,0)</f>
        <v>1.73</v>
      </c>
      <c r="H985" s="36">
        <f t="shared" si="75"/>
        <v>1.7220419999999999</v>
      </c>
      <c r="I985" s="38">
        <f t="shared" si="76"/>
        <v>46976126.994840898</v>
      </c>
      <c r="J985" s="38">
        <f t="shared" si="77"/>
        <v>33918736.687608905</v>
      </c>
      <c r="K985" s="38" t="s">
        <v>213</v>
      </c>
      <c r="L985" s="38" t="str">
        <f t="shared" si="78"/>
        <v/>
      </c>
      <c r="M985" s="41">
        <f>VLOOKUP(INDICADORES!$B$21,'DATOS GENERALES'!$K:$M,3,0)*F985</f>
        <v>550572.56904816232</v>
      </c>
      <c r="N985" s="38" t="str">
        <f t="shared" si="79"/>
        <v/>
      </c>
      <c r="O985" s="36"/>
      <c r="P985" s="36"/>
      <c r="Q985" s="36"/>
    </row>
    <row r="986" spans="1:17" x14ac:dyDescent="0.25">
      <c r="A986" s="36">
        <v>1734</v>
      </c>
      <c r="B986" s="37">
        <v>44075</v>
      </c>
      <c r="C986" s="37">
        <v>44130.734516956545</v>
      </c>
      <c r="D986" s="36" t="s">
        <v>195</v>
      </c>
      <c r="E986" s="36"/>
      <c r="F986" s="38">
        <v>78609475.554595888</v>
      </c>
      <c r="G986" s="40">
        <f>VLOOKUP(A986,'DATOS GENERALES'!A:B,2,0)</f>
        <v>1.73</v>
      </c>
      <c r="H986" s="36">
        <f t="shared" si="75"/>
        <v>1.7220419999999999</v>
      </c>
      <c r="I986" s="38">
        <f t="shared" si="76"/>
        <v>45648988.558116406</v>
      </c>
      <c r="J986" s="38">
        <f t="shared" si="77"/>
        <v>32960486.996479481</v>
      </c>
      <c r="K986" s="38" t="s">
        <v>213</v>
      </c>
      <c r="L986" s="38" t="str">
        <f t="shared" si="78"/>
        <v/>
      </c>
      <c r="M986" s="41">
        <f>VLOOKUP(INDICADORES!$B$21,'DATOS GENERALES'!$K:$M,3,0)*F986</f>
        <v>535018.15736432525</v>
      </c>
      <c r="N986" s="38" t="str">
        <f t="shared" si="79"/>
        <v/>
      </c>
      <c r="O986" s="36"/>
      <c r="P986" s="36"/>
      <c r="Q986" s="36"/>
    </row>
    <row r="987" spans="1:17" x14ac:dyDescent="0.25">
      <c r="A987" s="36">
        <v>1888</v>
      </c>
      <c r="B987" s="37">
        <v>43525</v>
      </c>
      <c r="C987" s="37">
        <v>43586.770244753592</v>
      </c>
      <c r="D987" s="36" t="s">
        <v>195</v>
      </c>
      <c r="E987" s="36"/>
      <c r="F987" s="38">
        <v>50337339</v>
      </c>
      <c r="G987" s="40">
        <f>VLOOKUP(A987,'DATOS GENERALES'!A:B,2,0)</f>
        <v>1</v>
      </c>
      <c r="H987" s="36">
        <f t="shared" si="75"/>
        <v>0.99539999999999995</v>
      </c>
      <c r="I987" s="38">
        <f t="shared" si="76"/>
        <v>50569960.819770947</v>
      </c>
      <c r="J987" s="38">
        <f t="shared" si="77"/>
        <v>-232621.8197709471</v>
      </c>
      <c r="K987" s="38">
        <v>7908510.8421956766</v>
      </c>
      <c r="L987" s="38">
        <f t="shared" si="78"/>
        <v>-8141132.6619666237</v>
      </c>
      <c r="M987" s="41">
        <f>VLOOKUP(INDICADORES!$B$21,'DATOS GENERALES'!$K:$M,3,0)*F987</f>
        <v>342597.25266452116</v>
      </c>
      <c r="N987" s="38">
        <f t="shared" si="79"/>
        <v>-8483729.9146311451</v>
      </c>
      <c r="O987" s="36"/>
      <c r="P987" s="36"/>
      <c r="Q987" s="36"/>
    </row>
    <row r="988" spans="1:17" x14ac:dyDescent="0.25">
      <c r="A988" s="36">
        <v>1888</v>
      </c>
      <c r="B988" s="37">
        <v>43556</v>
      </c>
      <c r="C988" s="37">
        <v>43630.036393377093</v>
      </c>
      <c r="D988" s="36" t="s">
        <v>195</v>
      </c>
      <c r="E988" s="36"/>
      <c r="F988" s="38">
        <v>50337339</v>
      </c>
      <c r="G988" s="40">
        <f>VLOOKUP(A988,'DATOS GENERALES'!A:B,2,0)</f>
        <v>1</v>
      </c>
      <c r="H988" s="36">
        <f t="shared" si="75"/>
        <v>0.99539999999999995</v>
      </c>
      <c r="I988" s="38">
        <f t="shared" si="76"/>
        <v>50569960.819770947</v>
      </c>
      <c r="J988" s="38">
        <f t="shared" si="77"/>
        <v>-232621.8197709471</v>
      </c>
      <c r="K988" s="38">
        <v>8130545.1958032735</v>
      </c>
      <c r="L988" s="38">
        <f t="shared" si="78"/>
        <v>-8363167.0155742206</v>
      </c>
      <c r="M988" s="41">
        <f>VLOOKUP(INDICADORES!$B$21,'DATOS GENERALES'!$K:$M,3,0)*F988</f>
        <v>342597.25266452116</v>
      </c>
      <c r="N988" s="38">
        <f t="shared" si="79"/>
        <v>-8705764.2682387419</v>
      </c>
      <c r="O988" s="36"/>
      <c r="P988" s="36"/>
      <c r="Q988" s="36"/>
    </row>
    <row r="989" spans="1:17" x14ac:dyDescent="0.25">
      <c r="A989" s="36">
        <v>1888</v>
      </c>
      <c r="B989" s="37">
        <v>43586</v>
      </c>
      <c r="C989" s="37">
        <v>43655.866420828177</v>
      </c>
      <c r="D989" s="36" t="s">
        <v>195</v>
      </c>
      <c r="E989" s="36"/>
      <c r="F989" s="38">
        <v>50337339</v>
      </c>
      <c r="G989" s="40">
        <f>VLOOKUP(A989,'DATOS GENERALES'!A:B,2,0)</f>
        <v>1</v>
      </c>
      <c r="H989" s="36">
        <f t="shared" si="75"/>
        <v>0.99539999999999995</v>
      </c>
      <c r="I989" s="38">
        <f t="shared" si="76"/>
        <v>50569960.819770947</v>
      </c>
      <c r="J989" s="38">
        <f t="shared" si="77"/>
        <v>-232621.8197709471</v>
      </c>
      <c r="K989" s="38">
        <v>6707131.1813661829</v>
      </c>
      <c r="L989" s="38">
        <f t="shared" si="78"/>
        <v>-6939753.00113713</v>
      </c>
      <c r="M989" s="41">
        <f>VLOOKUP(INDICADORES!$B$21,'DATOS GENERALES'!$K:$M,3,0)*F989</f>
        <v>342597.25266452116</v>
      </c>
      <c r="N989" s="38">
        <f t="shared" si="79"/>
        <v>-7282350.2538016513</v>
      </c>
      <c r="O989" s="36"/>
      <c r="P989" s="36"/>
      <c r="Q989" s="36"/>
    </row>
    <row r="990" spans="1:17" x14ac:dyDescent="0.25">
      <c r="A990" s="36">
        <v>1888</v>
      </c>
      <c r="B990" s="37">
        <v>43617</v>
      </c>
      <c r="C990" s="37">
        <v>43696.667027064352</v>
      </c>
      <c r="D990" s="36" t="s">
        <v>195</v>
      </c>
      <c r="E990" s="36"/>
      <c r="F990" s="38">
        <v>50337339</v>
      </c>
      <c r="G990" s="40">
        <f>VLOOKUP(A990,'DATOS GENERALES'!A:B,2,0)</f>
        <v>1</v>
      </c>
      <c r="H990" s="36">
        <f t="shared" si="75"/>
        <v>0.99539999999999995</v>
      </c>
      <c r="I990" s="38">
        <f t="shared" si="76"/>
        <v>50569960.819770947</v>
      </c>
      <c r="J990" s="38">
        <f t="shared" si="77"/>
        <v>-232621.8197709471</v>
      </c>
      <c r="K990" s="38">
        <v>9019520.7329975516</v>
      </c>
      <c r="L990" s="38">
        <f t="shared" si="78"/>
        <v>-9252142.5527684987</v>
      </c>
      <c r="M990" s="41">
        <f>VLOOKUP(INDICADORES!$B$21,'DATOS GENERALES'!$K:$M,3,0)*F990</f>
        <v>342597.25266452116</v>
      </c>
      <c r="N990" s="38">
        <f t="shared" si="79"/>
        <v>-9594739.80543302</v>
      </c>
      <c r="O990" s="36"/>
      <c r="P990" s="36"/>
      <c r="Q990" s="36"/>
    </row>
    <row r="991" spans="1:17" x14ac:dyDescent="0.25">
      <c r="A991" s="36">
        <v>1888</v>
      </c>
      <c r="B991" s="37">
        <v>43647</v>
      </c>
      <c r="C991" s="37">
        <v>43673.954538924663</v>
      </c>
      <c r="D991" s="36" t="s">
        <v>195</v>
      </c>
      <c r="E991" s="36"/>
      <c r="F991" s="38">
        <v>39863714</v>
      </c>
      <c r="G991" s="40">
        <f>VLOOKUP(A991,'DATOS GENERALES'!A:B,2,0)</f>
        <v>1</v>
      </c>
      <c r="H991" s="36">
        <f t="shared" si="75"/>
        <v>0.99539999999999995</v>
      </c>
      <c r="I991" s="38">
        <f t="shared" si="76"/>
        <v>40047934.498693995</v>
      </c>
      <c r="J991" s="38">
        <f t="shared" si="77"/>
        <v>-184220.49869399518</v>
      </c>
      <c r="K991" s="38">
        <v>10652082.830588663</v>
      </c>
      <c r="L991" s="38">
        <f t="shared" si="78"/>
        <v>-10836303.329282658</v>
      </c>
      <c r="M991" s="41">
        <f>VLOOKUP(INDICADORES!$B$21,'DATOS GENERALES'!$K:$M,3,0)*F991</f>
        <v>271313.48555004486</v>
      </c>
      <c r="N991" s="38">
        <f t="shared" si="79"/>
        <v>-11107616.814832702</v>
      </c>
      <c r="O991" s="36"/>
      <c r="P991" s="36"/>
      <c r="Q991" s="36"/>
    </row>
    <row r="992" spans="1:17" x14ac:dyDescent="0.25">
      <c r="A992" s="36">
        <v>1888</v>
      </c>
      <c r="B992" s="37">
        <v>43678</v>
      </c>
      <c r="C992" s="37">
        <v>43764.06315199245</v>
      </c>
      <c r="D992" s="36" t="s">
        <v>195</v>
      </c>
      <c r="E992" s="36"/>
      <c r="F992" s="38">
        <v>39863714</v>
      </c>
      <c r="G992" s="40">
        <f>VLOOKUP(A992,'DATOS GENERALES'!A:B,2,0)</f>
        <v>1</v>
      </c>
      <c r="H992" s="36">
        <f t="shared" si="75"/>
        <v>0.99539999999999995</v>
      </c>
      <c r="I992" s="38">
        <f t="shared" si="76"/>
        <v>40047934.498693995</v>
      </c>
      <c r="J992" s="38">
        <f t="shared" si="77"/>
        <v>-184220.49869399518</v>
      </c>
      <c r="K992" s="38">
        <v>10482035.704424197</v>
      </c>
      <c r="L992" s="38">
        <f t="shared" si="78"/>
        <v>-10666256.203118192</v>
      </c>
      <c r="M992" s="41">
        <f>VLOOKUP(INDICADORES!$B$21,'DATOS GENERALES'!$K:$M,3,0)*F992</f>
        <v>271313.48555004486</v>
      </c>
      <c r="N992" s="38">
        <f t="shared" si="79"/>
        <v>-10937569.688668236</v>
      </c>
      <c r="O992" s="36"/>
      <c r="P992" s="36"/>
      <c r="Q992" s="36"/>
    </row>
    <row r="993" spans="1:17" x14ac:dyDescent="0.25">
      <c r="A993" s="36">
        <v>1888</v>
      </c>
      <c r="B993" s="37">
        <v>43709</v>
      </c>
      <c r="C993" s="37">
        <v>43758.921854847758</v>
      </c>
      <c r="D993" s="36" t="s">
        <v>195</v>
      </c>
      <c r="E993" s="36"/>
      <c r="F993" s="38">
        <v>39863714</v>
      </c>
      <c r="G993" s="40">
        <f>VLOOKUP(A993,'DATOS GENERALES'!A:B,2,0)</f>
        <v>1</v>
      </c>
      <c r="H993" s="36">
        <f t="shared" si="75"/>
        <v>0.99539999999999995</v>
      </c>
      <c r="I993" s="38">
        <f t="shared" si="76"/>
        <v>40047934.498693995</v>
      </c>
      <c r="J993" s="38">
        <f t="shared" si="77"/>
        <v>-184220.49869399518</v>
      </c>
      <c r="K993" s="38">
        <v>11846514.228100585</v>
      </c>
      <c r="L993" s="38">
        <f t="shared" si="78"/>
        <v>-12030734.72679458</v>
      </c>
      <c r="M993" s="41">
        <f>VLOOKUP(INDICADORES!$B$21,'DATOS GENERALES'!$K:$M,3,0)*F993</f>
        <v>271313.48555004486</v>
      </c>
      <c r="N993" s="38">
        <f t="shared" si="79"/>
        <v>-12302048.212344624</v>
      </c>
      <c r="O993" s="36"/>
      <c r="P993" s="36"/>
      <c r="Q993" s="36"/>
    </row>
    <row r="994" spans="1:17" x14ac:dyDescent="0.25">
      <c r="A994" s="36">
        <v>1888</v>
      </c>
      <c r="B994" s="37">
        <v>43739</v>
      </c>
      <c r="C994" s="37">
        <v>43779.147673532549</v>
      </c>
      <c r="D994" s="36" t="s">
        <v>195</v>
      </c>
      <c r="E994" s="36"/>
      <c r="F994" s="38">
        <v>39863714</v>
      </c>
      <c r="G994" s="40">
        <f>VLOOKUP(A994,'DATOS GENERALES'!A:B,2,0)</f>
        <v>1</v>
      </c>
      <c r="H994" s="36">
        <f t="shared" si="75"/>
        <v>0.99539999999999995</v>
      </c>
      <c r="I994" s="38">
        <f t="shared" si="76"/>
        <v>40047934.498693995</v>
      </c>
      <c r="J994" s="38">
        <f t="shared" si="77"/>
        <v>-184220.49869399518</v>
      </c>
      <c r="K994" s="38">
        <v>12810781.876173295</v>
      </c>
      <c r="L994" s="38">
        <f t="shared" si="78"/>
        <v>-12995002.37486729</v>
      </c>
      <c r="M994" s="41">
        <f>VLOOKUP(INDICADORES!$B$21,'DATOS GENERALES'!$K:$M,3,0)*F994</f>
        <v>271313.48555004486</v>
      </c>
      <c r="N994" s="38">
        <f t="shared" si="79"/>
        <v>-13266315.860417334</v>
      </c>
      <c r="O994" s="36"/>
      <c r="P994" s="36"/>
      <c r="Q994" s="36"/>
    </row>
    <row r="995" spans="1:17" x14ac:dyDescent="0.25">
      <c r="A995" s="36">
        <v>1888</v>
      </c>
      <c r="B995" s="37">
        <v>43770</v>
      </c>
      <c r="C995" s="37">
        <v>43845.632660005424</v>
      </c>
      <c r="D995" s="36" t="s">
        <v>195</v>
      </c>
      <c r="E995" s="36"/>
      <c r="F995" s="38">
        <v>39863714</v>
      </c>
      <c r="G995" s="40">
        <f>VLOOKUP(A995,'DATOS GENERALES'!A:B,2,0)</f>
        <v>1</v>
      </c>
      <c r="H995" s="36">
        <f t="shared" si="75"/>
        <v>0.99539999999999995</v>
      </c>
      <c r="I995" s="38">
        <f t="shared" si="76"/>
        <v>40047934.498693995</v>
      </c>
      <c r="J995" s="38">
        <f t="shared" si="77"/>
        <v>-184220.49869399518</v>
      </c>
      <c r="K995" s="38">
        <v>17133477.279706087</v>
      </c>
      <c r="L995" s="38">
        <f t="shared" si="78"/>
        <v>-17317697.778400082</v>
      </c>
      <c r="M995" s="41">
        <f>VLOOKUP(INDICADORES!$B$21,'DATOS GENERALES'!$K:$M,3,0)*F995</f>
        <v>271313.48555004486</v>
      </c>
      <c r="N995" s="38">
        <f t="shared" si="79"/>
        <v>-17589011.263950128</v>
      </c>
      <c r="O995" s="36"/>
      <c r="P995" s="36"/>
      <c r="Q995" s="36"/>
    </row>
    <row r="996" spans="1:17" x14ac:dyDescent="0.25">
      <c r="A996" s="36">
        <v>1888</v>
      </c>
      <c r="B996" s="37">
        <v>43800</v>
      </c>
      <c r="C996" s="37">
        <v>43851.296072680569</v>
      </c>
      <c r="D996" s="36" t="s">
        <v>195</v>
      </c>
      <c r="E996" s="36"/>
      <c r="F996" s="38">
        <v>39863714</v>
      </c>
      <c r="G996" s="40">
        <f>VLOOKUP(A996,'DATOS GENERALES'!A:B,2,0)</f>
        <v>1</v>
      </c>
      <c r="H996" s="36">
        <f t="shared" si="75"/>
        <v>0.99539999999999995</v>
      </c>
      <c r="I996" s="38">
        <f t="shared" si="76"/>
        <v>40047934.498693995</v>
      </c>
      <c r="J996" s="38">
        <f t="shared" si="77"/>
        <v>-184220.49869399518</v>
      </c>
      <c r="K996" s="38">
        <v>14426171.885630608</v>
      </c>
      <c r="L996" s="38">
        <f t="shared" si="78"/>
        <v>-14610392.384324603</v>
      </c>
      <c r="M996" s="41">
        <f>VLOOKUP(INDICADORES!$B$21,'DATOS GENERALES'!$K:$M,3,0)*F996</f>
        <v>271313.48555004486</v>
      </c>
      <c r="N996" s="38">
        <f t="shared" si="79"/>
        <v>-14881705.869874647</v>
      </c>
      <c r="O996" s="36"/>
      <c r="P996" s="36"/>
      <c r="Q996" s="36"/>
    </row>
    <row r="997" spans="1:17" x14ac:dyDescent="0.25">
      <c r="A997" s="36">
        <v>1888</v>
      </c>
      <c r="B997" s="37">
        <v>43831</v>
      </c>
      <c r="C997" s="37">
        <v>43891.399404783413</v>
      </c>
      <c r="D997" s="36" t="s">
        <v>195</v>
      </c>
      <c r="E997" s="36"/>
      <c r="F997" s="38">
        <v>39863714</v>
      </c>
      <c r="G997" s="40">
        <f>VLOOKUP(A997,'DATOS GENERALES'!A:B,2,0)</f>
        <v>1</v>
      </c>
      <c r="H997" s="36">
        <f t="shared" si="75"/>
        <v>0.99539999999999995</v>
      </c>
      <c r="I997" s="38">
        <f t="shared" si="76"/>
        <v>40047934.498693995</v>
      </c>
      <c r="J997" s="38">
        <f t="shared" si="77"/>
        <v>-184220.49869399518</v>
      </c>
      <c r="K997" s="38" t="s">
        <v>213</v>
      </c>
      <c r="L997" s="38" t="str">
        <f t="shared" si="78"/>
        <v/>
      </c>
      <c r="M997" s="41">
        <f>VLOOKUP(INDICADORES!$B$21,'DATOS GENERALES'!$K:$M,3,0)*F997</f>
        <v>271313.48555004486</v>
      </c>
      <c r="N997" s="38" t="str">
        <f t="shared" si="79"/>
        <v/>
      </c>
      <c r="O997" s="36"/>
      <c r="P997" s="36"/>
      <c r="Q997" s="36"/>
    </row>
    <row r="998" spans="1:17" x14ac:dyDescent="0.25">
      <c r="A998" s="36">
        <v>1888</v>
      </c>
      <c r="B998" s="37">
        <v>43862</v>
      </c>
      <c r="C998" s="37">
        <v>43932.743060075627</v>
      </c>
      <c r="D998" s="36" t="s">
        <v>195</v>
      </c>
      <c r="E998" s="36"/>
      <c r="F998" s="38">
        <v>35856914</v>
      </c>
      <c r="G998" s="40">
        <f>VLOOKUP(A998,'DATOS GENERALES'!A:B,2,0)</f>
        <v>1</v>
      </c>
      <c r="H998" s="36">
        <f t="shared" si="75"/>
        <v>0.99539999999999995</v>
      </c>
      <c r="I998" s="38">
        <f t="shared" si="76"/>
        <v>36022618.042997792</v>
      </c>
      <c r="J998" s="38">
        <f t="shared" si="77"/>
        <v>-165704.04299779236</v>
      </c>
      <c r="K998" s="38" t="s">
        <v>213</v>
      </c>
      <c r="L998" s="38" t="str">
        <f t="shared" si="78"/>
        <v/>
      </c>
      <c r="M998" s="41">
        <f>VLOOKUP(INDICADORES!$B$21,'DATOS GENERALES'!$K:$M,3,0)*F998</f>
        <v>244043.09940634738</v>
      </c>
      <c r="N998" s="38" t="str">
        <f t="shared" si="79"/>
        <v/>
      </c>
      <c r="O998" s="36"/>
      <c r="P998" s="36"/>
      <c r="Q998" s="36"/>
    </row>
    <row r="999" spans="1:17" x14ac:dyDescent="0.25">
      <c r="A999" s="36">
        <v>1888</v>
      </c>
      <c r="B999" s="37">
        <v>43891</v>
      </c>
      <c r="C999" s="37">
        <v>43964.53911173949</v>
      </c>
      <c r="D999" s="36" t="s">
        <v>195</v>
      </c>
      <c r="E999" s="36"/>
      <c r="F999" s="38">
        <v>3170664</v>
      </c>
      <c r="G999" s="40">
        <f>VLOOKUP(A999,'DATOS GENERALES'!A:B,2,0)</f>
        <v>1</v>
      </c>
      <c r="H999" s="36">
        <f t="shared" si="75"/>
        <v>0.99539999999999995</v>
      </c>
      <c r="I999" s="38">
        <f t="shared" si="76"/>
        <v>3185316.4556962028</v>
      </c>
      <c r="J999" s="38">
        <f t="shared" si="77"/>
        <v>-14652.455696202815</v>
      </c>
      <c r="K999" s="38" t="s">
        <v>213</v>
      </c>
      <c r="L999" s="38" t="str">
        <f t="shared" si="78"/>
        <v/>
      </c>
      <c r="M999" s="41">
        <f>VLOOKUP(INDICADORES!$B$21,'DATOS GENERALES'!$K:$M,3,0)*F999</f>
        <v>21579.622544654205</v>
      </c>
      <c r="N999" s="38" t="str">
        <f t="shared" si="79"/>
        <v/>
      </c>
      <c r="O999" s="36"/>
      <c r="P999" s="36"/>
      <c r="Q999" s="36"/>
    </row>
    <row r="1000" spans="1:17" x14ac:dyDescent="0.25">
      <c r="A1000" s="36">
        <v>1888</v>
      </c>
      <c r="B1000" s="37">
        <v>43922</v>
      </c>
      <c r="C1000" s="37">
        <v>43981.251964710857</v>
      </c>
      <c r="D1000" s="36" t="s">
        <v>195</v>
      </c>
      <c r="E1000" s="36"/>
      <c r="F1000" s="38">
        <v>3170664</v>
      </c>
      <c r="G1000" s="40">
        <f>VLOOKUP(A1000,'DATOS GENERALES'!A:B,2,0)</f>
        <v>1</v>
      </c>
      <c r="H1000" s="36">
        <f t="shared" si="75"/>
        <v>0.99539999999999995</v>
      </c>
      <c r="I1000" s="38">
        <f t="shared" si="76"/>
        <v>3185316.4556962028</v>
      </c>
      <c r="J1000" s="38">
        <f t="shared" si="77"/>
        <v>-14652.455696202815</v>
      </c>
      <c r="K1000" s="38" t="s">
        <v>213</v>
      </c>
      <c r="L1000" s="38" t="str">
        <f t="shared" si="78"/>
        <v/>
      </c>
      <c r="M1000" s="41">
        <f>VLOOKUP(INDICADORES!$B$21,'DATOS GENERALES'!$K:$M,3,0)*F1000</f>
        <v>21579.622544654205</v>
      </c>
      <c r="N1000" s="38" t="str">
        <f t="shared" si="79"/>
        <v/>
      </c>
      <c r="O1000" s="36"/>
      <c r="P1000" s="36"/>
      <c r="Q1000" s="36"/>
    </row>
    <row r="1001" spans="1:17" x14ac:dyDescent="0.25">
      <c r="A1001" s="36">
        <v>1888</v>
      </c>
      <c r="B1001" s="37">
        <v>43952</v>
      </c>
      <c r="C1001" s="37">
        <v>43995.276689592763</v>
      </c>
      <c r="D1001" s="36" t="s">
        <v>195</v>
      </c>
      <c r="E1001" s="36"/>
      <c r="F1001" s="38">
        <v>3170664</v>
      </c>
      <c r="G1001" s="40">
        <f>VLOOKUP(A1001,'DATOS GENERALES'!A:B,2,0)</f>
        <v>1</v>
      </c>
      <c r="H1001" s="36">
        <f t="shared" si="75"/>
        <v>0.99539999999999995</v>
      </c>
      <c r="I1001" s="38">
        <f t="shared" si="76"/>
        <v>3185316.4556962028</v>
      </c>
      <c r="J1001" s="38">
        <f t="shared" si="77"/>
        <v>-14652.455696202815</v>
      </c>
      <c r="K1001" s="38" t="s">
        <v>213</v>
      </c>
      <c r="L1001" s="38" t="str">
        <f t="shared" si="78"/>
        <v/>
      </c>
      <c r="M1001" s="41">
        <f>VLOOKUP(INDICADORES!$B$21,'DATOS GENERALES'!$K:$M,3,0)*F1001</f>
        <v>21579.622544654205</v>
      </c>
      <c r="N1001" s="38" t="str">
        <f t="shared" si="79"/>
        <v/>
      </c>
      <c r="O1001" s="36"/>
      <c r="P1001" s="36"/>
      <c r="Q1001" s="36"/>
    </row>
    <row r="1002" spans="1:17" x14ac:dyDescent="0.25">
      <c r="A1002" s="36">
        <v>1891</v>
      </c>
      <c r="B1002" s="37">
        <v>43497</v>
      </c>
      <c r="C1002" s="37">
        <v>43566.717924410623</v>
      </c>
      <c r="D1002" s="36" t="s">
        <v>195</v>
      </c>
      <c r="E1002" s="36"/>
      <c r="F1002" s="38">
        <v>71835513.627000004</v>
      </c>
      <c r="G1002" s="40">
        <f>VLOOKUP(A1002,'DATOS GENERALES'!A:B,2,0)</f>
        <v>2.79</v>
      </c>
      <c r="H1002" s="36">
        <f t="shared" si="75"/>
        <v>2.7771659999999998</v>
      </c>
      <c r="I1002" s="38">
        <f t="shared" si="76"/>
        <v>25866481.739658345</v>
      </c>
      <c r="J1002" s="38">
        <f t="shared" si="77"/>
        <v>45969031.887341663</v>
      </c>
      <c r="K1002" s="38">
        <v>5591243.0136025101</v>
      </c>
      <c r="L1002" s="38">
        <f t="shared" si="78"/>
        <v>40377788.873739153</v>
      </c>
      <c r="M1002" s="41">
        <f>VLOOKUP(INDICADORES!$B$21,'DATOS GENERALES'!$K:$M,3,0)*F1002</f>
        <v>488914.3943893215</v>
      </c>
      <c r="N1002" s="38">
        <f t="shared" si="79"/>
        <v>39888874.479349829</v>
      </c>
      <c r="O1002" s="36"/>
      <c r="P1002" s="36"/>
      <c r="Q1002" s="36"/>
    </row>
    <row r="1003" spans="1:17" x14ac:dyDescent="0.25">
      <c r="A1003" s="36">
        <v>1891</v>
      </c>
      <c r="B1003" s="37">
        <v>43525</v>
      </c>
      <c r="C1003" s="37">
        <v>43571.39887913812</v>
      </c>
      <c r="D1003" s="36" t="s">
        <v>195</v>
      </c>
      <c r="E1003" s="36"/>
      <c r="F1003" s="38">
        <v>71835513.627000004</v>
      </c>
      <c r="G1003" s="40">
        <f>VLOOKUP(A1003,'DATOS GENERALES'!A:B,2,0)</f>
        <v>2.79</v>
      </c>
      <c r="H1003" s="36">
        <f t="shared" si="75"/>
        <v>2.7771659999999998</v>
      </c>
      <c r="I1003" s="38">
        <f t="shared" si="76"/>
        <v>25866481.739658345</v>
      </c>
      <c r="J1003" s="38">
        <f t="shared" si="77"/>
        <v>45969031.887341663</v>
      </c>
      <c r="K1003" s="38">
        <v>4045194.9728932194</v>
      </c>
      <c r="L1003" s="38">
        <f t="shared" si="78"/>
        <v>41923836.91444844</v>
      </c>
      <c r="M1003" s="41">
        <f>VLOOKUP(INDICADORES!$B$21,'DATOS GENERALES'!$K:$M,3,0)*F1003</f>
        <v>488914.3943893215</v>
      </c>
      <c r="N1003" s="38">
        <f t="shared" si="79"/>
        <v>41434922.520059116</v>
      </c>
      <c r="O1003" s="36"/>
      <c r="P1003" s="36"/>
      <c r="Q1003" s="36"/>
    </row>
    <row r="1004" spans="1:17" x14ac:dyDescent="0.25">
      <c r="A1004" s="36">
        <v>1891</v>
      </c>
      <c r="B1004" s="37">
        <v>43556</v>
      </c>
      <c r="C1004" s="37">
        <v>43627.046772881607</v>
      </c>
      <c r="D1004" s="36" t="s">
        <v>195</v>
      </c>
      <c r="E1004" s="36"/>
      <c r="F1004" s="38">
        <v>71835513.627000004</v>
      </c>
      <c r="G1004" s="40">
        <f>VLOOKUP(A1004,'DATOS GENERALES'!A:B,2,0)</f>
        <v>2.79</v>
      </c>
      <c r="H1004" s="36">
        <f t="shared" si="75"/>
        <v>2.7771659999999998</v>
      </c>
      <c r="I1004" s="38">
        <f t="shared" si="76"/>
        <v>25866481.739658345</v>
      </c>
      <c r="J1004" s="38">
        <f t="shared" si="77"/>
        <v>45969031.887341663</v>
      </c>
      <c r="K1004" s="38">
        <v>4158765.311095308</v>
      </c>
      <c r="L1004" s="38">
        <f t="shared" si="78"/>
        <v>41810266.576246358</v>
      </c>
      <c r="M1004" s="41">
        <f>VLOOKUP(INDICADORES!$B$21,'DATOS GENERALES'!$K:$M,3,0)*F1004</f>
        <v>488914.3943893215</v>
      </c>
      <c r="N1004" s="38">
        <f t="shared" si="79"/>
        <v>41321352.181857035</v>
      </c>
      <c r="O1004" s="36"/>
      <c r="P1004" s="36"/>
      <c r="Q1004" s="36"/>
    </row>
    <row r="1005" spans="1:17" x14ac:dyDescent="0.25">
      <c r="A1005" s="36">
        <v>1891</v>
      </c>
      <c r="B1005" s="37">
        <v>43586</v>
      </c>
      <c r="C1005" s="37">
        <v>43666.778456632463</v>
      </c>
      <c r="D1005" s="36" t="s">
        <v>195</v>
      </c>
      <c r="E1005" s="36"/>
      <c r="F1005" s="38">
        <v>71835513.627000004</v>
      </c>
      <c r="G1005" s="40">
        <f>VLOOKUP(A1005,'DATOS GENERALES'!A:B,2,0)</f>
        <v>2.79</v>
      </c>
      <c r="H1005" s="36">
        <f t="shared" si="75"/>
        <v>2.7771659999999998</v>
      </c>
      <c r="I1005" s="38">
        <f t="shared" si="76"/>
        <v>25866481.739658345</v>
      </c>
      <c r="J1005" s="38">
        <f t="shared" si="77"/>
        <v>45969031.887341663</v>
      </c>
      <c r="K1005" s="38">
        <v>3430690.5407067961</v>
      </c>
      <c r="L1005" s="38">
        <f t="shared" si="78"/>
        <v>42538341.346634865</v>
      </c>
      <c r="M1005" s="41">
        <f>VLOOKUP(INDICADORES!$B$21,'DATOS GENERALES'!$K:$M,3,0)*F1005</f>
        <v>488914.3943893215</v>
      </c>
      <c r="N1005" s="38">
        <f t="shared" si="79"/>
        <v>42049426.952245541</v>
      </c>
      <c r="O1005" s="36"/>
      <c r="P1005" s="36"/>
      <c r="Q1005" s="36"/>
    </row>
    <row r="1006" spans="1:17" x14ac:dyDescent="0.25">
      <c r="A1006" s="36">
        <v>1891</v>
      </c>
      <c r="B1006" s="37">
        <v>43617</v>
      </c>
      <c r="C1006" s="37">
        <v>43709.393119737906</v>
      </c>
      <c r="D1006" s="36" t="s">
        <v>195</v>
      </c>
      <c r="E1006" s="36"/>
      <c r="F1006" s="38">
        <v>71835513.627000004</v>
      </c>
      <c r="G1006" s="40">
        <f>VLOOKUP(A1006,'DATOS GENERALES'!A:B,2,0)</f>
        <v>2.79</v>
      </c>
      <c r="H1006" s="36">
        <f t="shared" si="75"/>
        <v>2.7771659999999998</v>
      </c>
      <c r="I1006" s="38">
        <f t="shared" si="76"/>
        <v>25866481.739658345</v>
      </c>
      <c r="J1006" s="38">
        <f t="shared" si="77"/>
        <v>45969031.887341663</v>
      </c>
      <c r="K1006" s="38">
        <v>4613475.362815355</v>
      </c>
      <c r="L1006" s="38">
        <f t="shared" si="78"/>
        <v>41355556.524526305</v>
      </c>
      <c r="M1006" s="41">
        <f>VLOOKUP(INDICADORES!$B$21,'DATOS GENERALES'!$K:$M,3,0)*F1006</f>
        <v>488914.3943893215</v>
      </c>
      <c r="N1006" s="38">
        <f t="shared" si="79"/>
        <v>40866642.130136982</v>
      </c>
      <c r="O1006" s="36"/>
      <c r="P1006" s="36"/>
      <c r="Q1006" s="36"/>
    </row>
    <row r="1007" spans="1:17" x14ac:dyDescent="0.25">
      <c r="A1007" s="36">
        <v>1891</v>
      </c>
      <c r="B1007" s="37">
        <v>43647</v>
      </c>
      <c r="C1007" s="37">
        <v>43675.188978054801</v>
      </c>
      <c r="D1007" s="36" t="s">
        <v>195</v>
      </c>
      <c r="E1007" s="36"/>
      <c r="F1007" s="38">
        <v>71835513.627000004</v>
      </c>
      <c r="G1007" s="40">
        <f>VLOOKUP(A1007,'DATOS GENERALES'!A:B,2,0)</f>
        <v>2.79</v>
      </c>
      <c r="H1007" s="36">
        <f t="shared" si="75"/>
        <v>2.7771659999999998</v>
      </c>
      <c r="I1007" s="38">
        <f t="shared" si="76"/>
        <v>25866481.739658345</v>
      </c>
      <c r="J1007" s="38">
        <f t="shared" si="77"/>
        <v>45969031.887341663</v>
      </c>
      <c r="K1007" s="38">
        <v>6880052.8535556607</v>
      </c>
      <c r="L1007" s="38">
        <f t="shared" si="78"/>
        <v>39088979.033785999</v>
      </c>
      <c r="M1007" s="41">
        <f>VLOOKUP(INDICADORES!$B$21,'DATOS GENERALES'!$K:$M,3,0)*F1007</f>
        <v>488914.3943893215</v>
      </c>
      <c r="N1007" s="38">
        <f t="shared" si="79"/>
        <v>38600064.639396675</v>
      </c>
      <c r="O1007" s="36"/>
      <c r="P1007" s="36"/>
      <c r="Q1007" s="36"/>
    </row>
    <row r="1008" spans="1:17" x14ac:dyDescent="0.25">
      <c r="A1008" s="36">
        <v>1891</v>
      </c>
      <c r="B1008" s="37">
        <v>43678</v>
      </c>
      <c r="C1008" s="37">
        <v>43749.104221860398</v>
      </c>
      <c r="D1008" s="36" t="s">
        <v>195</v>
      </c>
      <c r="E1008" s="36"/>
      <c r="F1008" s="38">
        <v>71835513.627000004</v>
      </c>
      <c r="G1008" s="40">
        <f>VLOOKUP(A1008,'DATOS GENERALES'!A:B,2,0)</f>
        <v>2.79</v>
      </c>
      <c r="H1008" s="36">
        <f t="shared" si="75"/>
        <v>2.7771659999999998</v>
      </c>
      <c r="I1008" s="38">
        <f t="shared" si="76"/>
        <v>25866481.739658345</v>
      </c>
      <c r="J1008" s="38">
        <f t="shared" si="77"/>
        <v>45969031.887341663</v>
      </c>
      <c r="K1008" s="38">
        <v>6770221.4492929028</v>
      </c>
      <c r="L1008" s="38">
        <f t="shared" si="78"/>
        <v>39198810.438048758</v>
      </c>
      <c r="M1008" s="41">
        <f>VLOOKUP(INDICADORES!$B$21,'DATOS GENERALES'!$K:$M,3,0)*F1008</f>
        <v>488914.3943893215</v>
      </c>
      <c r="N1008" s="38">
        <f t="shared" si="79"/>
        <v>38709896.043659434</v>
      </c>
      <c r="O1008" s="36"/>
      <c r="P1008" s="36"/>
      <c r="Q1008" s="36"/>
    </row>
    <row r="1009" spans="1:17" x14ac:dyDescent="0.25">
      <c r="A1009" s="36">
        <v>1891</v>
      </c>
      <c r="B1009" s="37">
        <v>43709</v>
      </c>
      <c r="C1009" s="37">
        <v>43751.639849438194</v>
      </c>
      <c r="D1009" s="36" t="s">
        <v>195</v>
      </c>
      <c r="E1009" s="36"/>
      <c r="F1009" s="38">
        <v>71835513.627000004</v>
      </c>
      <c r="G1009" s="40">
        <f>VLOOKUP(A1009,'DATOS GENERALES'!A:B,2,0)</f>
        <v>2.79</v>
      </c>
      <c r="H1009" s="36">
        <f t="shared" si="75"/>
        <v>2.7771659999999998</v>
      </c>
      <c r="I1009" s="38">
        <f t="shared" si="76"/>
        <v>25866481.739658345</v>
      </c>
      <c r="J1009" s="38">
        <f t="shared" si="77"/>
        <v>45969031.887341663</v>
      </c>
      <c r="K1009" s="38">
        <v>7651521.8024480008</v>
      </c>
      <c r="L1009" s="38">
        <f t="shared" si="78"/>
        <v>38317510.084893659</v>
      </c>
      <c r="M1009" s="41">
        <f>VLOOKUP(INDICADORES!$B$21,'DATOS GENERALES'!$K:$M,3,0)*F1009</f>
        <v>488914.3943893215</v>
      </c>
      <c r="N1009" s="38">
        <f t="shared" si="79"/>
        <v>37828595.690504335</v>
      </c>
      <c r="O1009" s="36"/>
      <c r="P1009" s="36"/>
      <c r="Q1009" s="36"/>
    </row>
    <row r="1010" spans="1:17" x14ac:dyDescent="0.25">
      <c r="A1010" s="36">
        <v>1891</v>
      </c>
      <c r="B1010" s="37">
        <v>43739</v>
      </c>
      <c r="C1010" s="37">
        <v>43804.477608156951</v>
      </c>
      <c r="D1010" s="36" t="s">
        <v>195</v>
      </c>
      <c r="E1010" s="36"/>
      <c r="F1010" s="38">
        <v>71835513.627000004</v>
      </c>
      <c r="G1010" s="40">
        <f>VLOOKUP(A1010,'DATOS GENERALES'!A:B,2,0)</f>
        <v>2.79</v>
      </c>
      <c r="H1010" s="36">
        <f t="shared" si="75"/>
        <v>2.7771659999999998</v>
      </c>
      <c r="I1010" s="38">
        <f t="shared" si="76"/>
        <v>25866481.739658345</v>
      </c>
      <c r="J1010" s="38">
        <f t="shared" si="77"/>
        <v>45969031.887341663</v>
      </c>
      <c r="K1010" s="38">
        <v>8274330.7393690646</v>
      </c>
      <c r="L1010" s="38">
        <f t="shared" si="78"/>
        <v>37694701.147972599</v>
      </c>
      <c r="M1010" s="41">
        <f>VLOOKUP(INDICADORES!$B$21,'DATOS GENERALES'!$K:$M,3,0)*F1010</f>
        <v>488914.3943893215</v>
      </c>
      <c r="N1010" s="38">
        <f t="shared" si="79"/>
        <v>37205786.753583275</v>
      </c>
      <c r="O1010" s="36"/>
      <c r="P1010" s="36"/>
      <c r="Q1010" s="36"/>
    </row>
    <row r="1011" spans="1:17" x14ac:dyDescent="0.25">
      <c r="A1011" s="36">
        <v>1891</v>
      </c>
      <c r="B1011" s="37">
        <v>43770</v>
      </c>
      <c r="C1011" s="37">
        <v>43820.067668160249</v>
      </c>
      <c r="D1011" s="36" t="s">
        <v>195</v>
      </c>
      <c r="E1011" s="36"/>
      <c r="F1011" s="38">
        <v>71835513.627000004</v>
      </c>
      <c r="G1011" s="40">
        <f>VLOOKUP(A1011,'DATOS GENERALES'!A:B,2,0)</f>
        <v>2.79</v>
      </c>
      <c r="H1011" s="36">
        <f t="shared" si="75"/>
        <v>2.7771659999999998</v>
      </c>
      <c r="I1011" s="38">
        <f t="shared" si="76"/>
        <v>25866481.739658345</v>
      </c>
      <c r="J1011" s="38">
        <f t="shared" si="77"/>
        <v>45969031.887341663</v>
      </c>
      <c r="K1011" s="38">
        <v>11066307.981671847</v>
      </c>
      <c r="L1011" s="38">
        <f t="shared" si="78"/>
        <v>34902723.905669816</v>
      </c>
      <c r="M1011" s="41">
        <f>VLOOKUP(INDICADORES!$B$21,'DATOS GENERALES'!$K:$M,3,0)*F1011</f>
        <v>488914.3943893215</v>
      </c>
      <c r="N1011" s="38">
        <f t="shared" si="79"/>
        <v>34413809.511280492</v>
      </c>
      <c r="O1011" s="36"/>
      <c r="P1011" s="36"/>
      <c r="Q1011" s="36"/>
    </row>
    <row r="1012" spans="1:17" x14ac:dyDescent="0.25">
      <c r="A1012" s="36">
        <v>1891</v>
      </c>
      <c r="B1012" s="37">
        <v>43800</v>
      </c>
      <c r="C1012" s="37">
        <v>43901.080034454666</v>
      </c>
      <c r="D1012" s="36" t="s">
        <v>195</v>
      </c>
      <c r="E1012" s="36"/>
      <c r="F1012" s="38">
        <v>67834346.519999996</v>
      </c>
      <c r="G1012" s="40">
        <f>VLOOKUP(A1012,'DATOS GENERALES'!A:B,2,0)</f>
        <v>2.79</v>
      </c>
      <c r="H1012" s="36">
        <f t="shared" si="75"/>
        <v>2.7771659999999998</v>
      </c>
      <c r="I1012" s="38">
        <f t="shared" si="76"/>
        <v>24425744.273118712</v>
      </c>
      <c r="J1012" s="38">
        <f t="shared" si="77"/>
        <v>43408602.246881284</v>
      </c>
      <c r="K1012" s="38">
        <v>8798705.5944160912</v>
      </c>
      <c r="L1012" s="38">
        <f t="shared" si="78"/>
        <v>34609896.652465194</v>
      </c>
      <c r="M1012" s="41">
        <f>VLOOKUP(INDICADORES!$B$21,'DATOS GENERALES'!$K:$M,3,0)*F1012</f>
        <v>461682.34586347762</v>
      </c>
      <c r="N1012" s="38">
        <f t="shared" si="79"/>
        <v>34148214.306601718</v>
      </c>
      <c r="O1012" s="36"/>
      <c r="P1012" s="36"/>
      <c r="Q1012" s="36"/>
    </row>
    <row r="1013" spans="1:17" x14ac:dyDescent="0.25">
      <c r="A1013" s="36">
        <v>1891</v>
      </c>
      <c r="B1013" s="37">
        <v>43831</v>
      </c>
      <c r="C1013" s="37">
        <v>43887.812758051507</v>
      </c>
      <c r="D1013" s="36" t="s">
        <v>195</v>
      </c>
      <c r="E1013" s="36"/>
      <c r="F1013" s="38">
        <v>67834346.519999996</v>
      </c>
      <c r="G1013" s="40">
        <f>VLOOKUP(A1013,'DATOS GENERALES'!A:B,2,0)</f>
        <v>2.79</v>
      </c>
      <c r="H1013" s="36">
        <f t="shared" si="75"/>
        <v>2.7771659999999998</v>
      </c>
      <c r="I1013" s="38">
        <f t="shared" si="76"/>
        <v>24425744.273118712</v>
      </c>
      <c r="J1013" s="38">
        <f t="shared" si="77"/>
        <v>43408602.246881284</v>
      </c>
      <c r="K1013" s="38" t="s">
        <v>213</v>
      </c>
      <c r="L1013" s="38" t="str">
        <f t="shared" si="78"/>
        <v/>
      </c>
      <c r="M1013" s="41">
        <f>VLOOKUP(INDICADORES!$B$21,'DATOS GENERALES'!$K:$M,3,0)*F1013</f>
        <v>461682.34586347762</v>
      </c>
      <c r="N1013" s="38" t="str">
        <f t="shared" si="79"/>
        <v/>
      </c>
      <c r="O1013" s="36"/>
      <c r="P1013" s="36"/>
      <c r="Q1013" s="36"/>
    </row>
    <row r="1014" spans="1:17" x14ac:dyDescent="0.25">
      <c r="A1014" s="36">
        <v>1891</v>
      </c>
      <c r="B1014" s="37">
        <v>43862</v>
      </c>
      <c r="C1014" s="37">
        <v>43950.424243396737</v>
      </c>
      <c r="D1014" s="36" t="s">
        <v>195</v>
      </c>
      <c r="E1014" s="36"/>
      <c r="F1014" s="38">
        <v>67834346.519999996</v>
      </c>
      <c r="G1014" s="40">
        <f>VLOOKUP(A1014,'DATOS GENERALES'!A:B,2,0)</f>
        <v>2.79</v>
      </c>
      <c r="H1014" s="36">
        <f t="shared" si="75"/>
        <v>2.7771659999999998</v>
      </c>
      <c r="I1014" s="38">
        <f t="shared" si="76"/>
        <v>24425744.273118712</v>
      </c>
      <c r="J1014" s="38">
        <f t="shared" si="77"/>
        <v>43408602.246881284</v>
      </c>
      <c r="K1014" s="38" t="s">
        <v>213</v>
      </c>
      <c r="L1014" s="38" t="str">
        <f t="shared" si="78"/>
        <v/>
      </c>
      <c r="M1014" s="41">
        <f>VLOOKUP(INDICADORES!$B$21,'DATOS GENERALES'!$K:$M,3,0)*F1014</f>
        <v>461682.34586347762</v>
      </c>
      <c r="N1014" s="38" t="str">
        <f t="shared" si="79"/>
        <v/>
      </c>
      <c r="O1014" s="36"/>
      <c r="P1014" s="36"/>
      <c r="Q1014" s="36"/>
    </row>
    <row r="1015" spans="1:17" x14ac:dyDescent="0.25">
      <c r="A1015" s="36">
        <v>1891</v>
      </c>
      <c r="B1015" s="37">
        <v>43891</v>
      </c>
      <c r="C1015" s="37">
        <v>43947.544730495414</v>
      </c>
      <c r="D1015" s="36" t="s">
        <v>195</v>
      </c>
      <c r="E1015" s="36"/>
      <c r="F1015" s="38">
        <v>67834346.519999996</v>
      </c>
      <c r="G1015" s="40">
        <f>VLOOKUP(A1015,'DATOS GENERALES'!A:B,2,0)</f>
        <v>2.79</v>
      </c>
      <c r="H1015" s="36">
        <f t="shared" si="75"/>
        <v>2.7771659999999998</v>
      </c>
      <c r="I1015" s="38">
        <f t="shared" si="76"/>
        <v>24425744.273118712</v>
      </c>
      <c r="J1015" s="38">
        <f t="shared" si="77"/>
        <v>43408602.246881284</v>
      </c>
      <c r="K1015" s="38" t="s">
        <v>213</v>
      </c>
      <c r="L1015" s="38" t="str">
        <f t="shared" si="78"/>
        <v/>
      </c>
      <c r="M1015" s="41">
        <f>VLOOKUP(INDICADORES!$B$21,'DATOS GENERALES'!$K:$M,3,0)*F1015</f>
        <v>461682.34586347762</v>
      </c>
      <c r="N1015" s="38" t="str">
        <f t="shared" si="79"/>
        <v/>
      </c>
      <c r="O1015" s="36"/>
      <c r="P1015" s="36"/>
      <c r="Q1015" s="36"/>
    </row>
    <row r="1016" spans="1:17" x14ac:dyDescent="0.25">
      <c r="A1016" s="36">
        <v>1891</v>
      </c>
      <c r="B1016" s="37">
        <v>43922</v>
      </c>
      <c r="C1016" s="37">
        <v>43988.082340634479</v>
      </c>
      <c r="D1016" s="36" t="s">
        <v>195</v>
      </c>
      <c r="E1016" s="36"/>
      <c r="F1016" s="38">
        <v>60294326.969999999</v>
      </c>
      <c r="G1016" s="40">
        <f>VLOOKUP(A1016,'DATOS GENERALES'!A:B,2,0)</f>
        <v>2.79</v>
      </c>
      <c r="H1016" s="36">
        <f t="shared" si="75"/>
        <v>2.7771659999999998</v>
      </c>
      <c r="I1016" s="38">
        <f t="shared" si="76"/>
        <v>21710739.282419562</v>
      </c>
      <c r="J1016" s="38">
        <f t="shared" si="77"/>
        <v>38583587.687580436</v>
      </c>
      <c r="K1016" s="38" t="s">
        <v>213</v>
      </c>
      <c r="L1016" s="38" t="str">
        <f t="shared" si="78"/>
        <v/>
      </c>
      <c r="M1016" s="41">
        <f>VLOOKUP(INDICADORES!$B$21,'DATOS GENERALES'!$K:$M,3,0)*F1016</f>
        <v>410364.77456979483</v>
      </c>
      <c r="N1016" s="38" t="str">
        <f t="shared" si="79"/>
        <v/>
      </c>
      <c r="O1016" s="36"/>
      <c r="P1016" s="36"/>
      <c r="Q1016" s="36"/>
    </row>
    <row r="1017" spans="1:17" x14ac:dyDescent="0.25">
      <c r="A1017" s="36">
        <v>1891</v>
      </c>
      <c r="B1017" s="37">
        <v>43952</v>
      </c>
      <c r="C1017" s="37">
        <v>44001.283965266499</v>
      </c>
      <c r="D1017" s="36" t="s">
        <v>195</v>
      </c>
      <c r="E1017" s="36"/>
      <c r="F1017" s="38">
        <v>60294326.969999999</v>
      </c>
      <c r="G1017" s="40">
        <f>VLOOKUP(A1017,'DATOS GENERALES'!A:B,2,0)</f>
        <v>2.79</v>
      </c>
      <c r="H1017" s="36">
        <f t="shared" si="75"/>
        <v>2.7771659999999998</v>
      </c>
      <c r="I1017" s="38">
        <f t="shared" si="76"/>
        <v>21710739.282419562</v>
      </c>
      <c r="J1017" s="38">
        <f t="shared" si="77"/>
        <v>38583587.687580436</v>
      </c>
      <c r="K1017" s="38" t="s">
        <v>213</v>
      </c>
      <c r="L1017" s="38" t="str">
        <f t="shared" si="78"/>
        <v/>
      </c>
      <c r="M1017" s="41">
        <f>VLOOKUP(INDICADORES!$B$21,'DATOS GENERALES'!$K:$M,3,0)*F1017</f>
        <v>410364.77456979483</v>
      </c>
      <c r="N1017" s="38" t="str">
        <f t="shared" si="79"/>
        <v/>
      </c>
      <c r="O1017" s="36"/>
      <c r="P1017" s="36"/>
      <c r="Q1017" s="36"/>
    </row>
    <row r="1018" spans="1:17" x14ac:dyDescent="0.25">
      <c r="A1018" s="36">
        <v>1891</v>
      </c>
      <c r="B1018" s="37">
        <v>43983</v>
      </c>
      <c r="C1018" s="37">
        <v>44023.839758089882</v>
      </c>
      <c r="D1018" s="36" t="s">
        <v>195</v>
      </c>
      <c r="E1018" s="36"/>
      <c r="F1018" s="38">
        <v>60294326.969999999</v>
      </c>
      <c r="G1018" s="40">
        <f>VLOOKUP(A1018,'DATOS GENERALES'!A:B,2,0)</f>
        <v>2.79</v>
      </c>
      <c r="H1018" s="36">
        <f t="shared" si="75"/>
        <v>2.7771659999999998</v>
      </c>
      <c r="I1018" s="38">
        <f t="shared" si="76"/>
        <v>21710739.282419562</v>
      </c>
      <c r="J1018" s="38">
        <f t="shared" si="77"/>
        <v>38583587.687580436</v>
      </c>
      <c r="K1018" s="38" t="s">
        <v>213</v>
      </c>
      <c r="L1018" s="38" t="str">
        <f t="shared" si="78"/>
        <v/>
      </c>
      <c r="M1018" s="41">
        <f>VLOOKUP(INDICADORES!$B$21,'DATOS GENERALES'!$K:$M,3,0)*F1018</f>
        <v>410364.77456979483</v>
      </c>
      <c r="N1018" s="38" t="str">
        <f t="shared" si="79"/>
        <v/>
      </c>
      <c r="O1018" s="36"/>
      <c r="P1018" s="36"/>
      <c r="Q1018" s="36"/>
    </row>
    <row r="1019" spans="1:17" x14ac:dyDescent="0.25">
      <c r="A1019" s="36">
        <v>1891</v>
      </c>
      <c r="B1019" s="37">
        <v>44013</v>
      </c>
      <c r="C1019" s="37">
        <v>44062.884339145668</v>
      </c>
      <c r="D1019" s="36" t="s">
        <v>195</v>
      </c>
      <c r="E1019" s="36"/>
      <c r="F1019" s="38">
        <v>42670815.644999996</v>
      </c>
      <c r="G1019" s="40">
        <f>VLOOKUP(A1019,'DATOS GENERALES'!A:B,2,0)</f>
        <v>2.79</v>
      </c>
      <c r="H1019" s="36">
        <f t="shared" si="75"/>
        <v>2.7771659999999998</v>
      </c>
      <c r="I1019" s="38">
        <f t="shared" si="76"/>
        <v>15364877.592841048</v>
      </c>
      <c r="J1019" s="38">
        <f t="shared" si="77"/>
        <v>27305938.052158948</v>
      </c>
      <c r="K1019" s="38" t="s">
        <v>213</v>
      </c>
      <c r="L1019" s="38" t="str">
        <f t="shared" si="78"/>
        <v/>
      </c>
      <c r="M1019" s="41">
        <f>VLOOKUP(INDICADORES!$B$21,'DATOS GENERALES'!$K:$M,3,0)*F1019</f>
        <v>290418.6931480678</v>
      </c>
      <c r="N1019" s="38" t="str">
        <f t="shared" si="79"/>
        <v/>
      </c>
      <c r="O1019" s="36"/>
      <c r="P1019" s="36"/>
      <c r="Q1019" s="36"/>
    </row>
    <row r="1020" spans="1:17" x14ac:dyDescent="0.25">
      <c r="A1020" s="36">
        <v>1891</v>
      </c>
      <c r="B1020" s="37">
        <v>44044</v>
      </c>
      <c r="C1020" s="37">
        <v>44121.180051457304</v>
      </c>
      <c r="D1020" s="36" t="s">
        <v>195</v>
      </c>
      <c r="E1020" s="36"/>
      <c r="F1020" s="38">
        <v>37747146.719999999</v>
      </c>
      <c r="G1020" s="40">
        <f>VLOOKUP(A1020,'DATOS GENERALES'!A:B,2,0)</f>
        <v>2.79</v>
      </c>
      <c r="H1020" s="36">
        <f t="shared" si="75"/>
        <v>2.7771659999999998</v>
      </c>
      <c r="I1020" s="38">
        <f t="shared" si="76"/>
        <v>13591966.313860966</v>
      </c>
      <c r="J1020" s="38">
        <f t="shared" si="77"/>
        <v>24155180.406139031</v>
      </c>
      <c r="K1020" s="38" t="s">
        <v>213</v>
      </c>
      <c r="L1020" s="38" t="str">
        <f t="shared" si="78"/>
        <v/>
      </c>
      <c r="M1020" s="41">
        <f>VLOOKUP(INDICADORES!$B$21,'DATOS GENERALES'!$K:$M,3,0)*F1020</f>
        <v>256908.07299520919</v>
      </c>
      <c r="N1020" s="38" t="str">
        <f t="shared" si="79"/>
        <v/>
      </c>
      <c r="O1020" s="36"/>
      <c r="P1020" s="36"/>
      <c r="Q1020" s="36"/>
    </row>
    <row r="1021" spans="1:17" x14ac:dyDescent="0.25">
      <c r="A1021" s="36">
        <v>1891</v>
      </c>
      <c r="B1021" s="37">
        <v>44075</v>
      </c>
      <c r="C1021" s="37">
        <v>44172.982083714589</v>
      </c>
      <c r="D1021" s="36" t="s">
        <v>195</v>
      </c>
      <c r="E1021" s="36"/>
      <c r="F1021" s="38">
        <v>37747146.719999999</v>
      </c>
      <c r="G1021" s="40">
        <f>VLOOKUP(A1021,'DATOS GENERALES'!A:B,2,0)</f>
        <v>2.79</v>
      </c>
      <c r="H1021" s="36">
        <f t="shared" si="75"/>
        <v>2.7771659999999998</v>
      </c>
      <c r="I1021" s="38">
        <f t="shared" si="76"/>
        <v>13591966.313860966</v>
      </c>
      <c r="J1021" s="38">
        <f t="shared" si="77"/>
        <v>24155180.406139031</v>
      </c>
      <c r="K1021" s="38" t="s">
        <v>213</v>
      </c>
      <c r="L1021" s="38" t="str">
        <f t="shared" si="78"/>
        <v/>
      </c>
      <c r="M1021" s="41">
        <f>VLOOKUP(INDICADORES!$B$21,'DATOS GENERALES'!$K:$M,3,0)*F1021</f>
        <v>256908.07299520919</v>
      </c>
      <c r="N1021" s="38" t="str">
        <f t="shared" si="79"/>
        <v/>
      </c>
      <c r="O1021" s="36"/>
      <c r="P1021" s="36"/>
      <c r="Q1021" s="36"/>
    </row>
    <row r="1022" spans="1:17" x14ac:dyDescent="0.25">
      <c r="A1022" s="36">
        <v>1891</v>
      </c>
      <c r="B1022" s="37">
        <v>44105</v>
      </c>
      <c r="C1022" s="37">
        <v>44165.196219994446</v>
      </c>
      <c r="D1022" s="36" t="s">
        <v>195</v>
      </c>
      <c r="E1022" s="36"/>
      <c r="F1022" s="38">
        <v>33878898.524999999</v>
      </c>
      <c r="G1022" s="40">
        <f>VLOOKUP(A1022,'DATOS GENERALES'!A:B,2,0)</f>
        <v>2.79</v>
      </c>
      <c r="H1022" s="36">
        <f t="shared" si="75"/>
        <v>2.7771659999999998</v>
      </c>
      <c r="I1022" s="38">
        <f t="shared" si="76"/>
        <v>12199090.196624905</v>
      </c>
      <c r="J1022" s="38">
        <f t="shared" si="77"/>
        <v>21679808.328375094</v>
      </c>
      <c r="K1022" s="38" t="s">
        <v>213</v>
      </c>
      <c r="L1022" s="38" t="str">
        <f t="shared" si="78"/>
        <v/>
      </c>
      <c r="M1022" s="41">
        <f>VLOOKUP(INDICADORES!$B$21,'DATOS GENERALES'!$K:$M,3,0)*F1022</f>
        <v>230580.67407903899</v>
      </c>
      <c r="N1022" s="38" t="str">
        <f t="shared" si="79"/>
        <v/>
      </c>
      <c r="O1022" s="36"/>
      <c r="P1022" s="36"/>
      <c r="Q1022" s="36"/>
    </row>
    <row r="1023" spans="1:17" x14ac:dyDescent="0.25">
      <c r="A1023" s="36">
        <v>1891</v>
      </c>
      <c r="B1023" s="37">
        <v>44136</v>
      </c>
      <c r="C1023" s="37">
        <v>44173.290247412566</v>
      </c>
      <c r="D1023" s="36" t="s">
        <v>195</v>
      </c>
      <c r="E1023" s="36"/>
      <c r="F1023" s="38">
        <v>33878898.524999999</v>
      </c>
      <c r="G1023" s="40">
        <f>VLOOKUP(A1023,'DATOS GENERALES'!A:B,2,0)</f>
        <v>2.79</v>
      </c>
      <c r="H1023" s="36">
        <f t="shared" si="75"/>
        <v>2.7771659999999998</v>
      </c>
      <c r="I1023" s="38">
        <f t="shared" si="76"/>
        <v>12199090.196624905</v>
      </c>
      <c r="J1023" s="38">
        <f t="shared" si="77"/>
        <v>21679808.328375094</v>
      </c>
      <c r="K1023" s="38" t="s">
        <v>213</v>
      </c>
      <c r="L1023" s="38" t="str">
        <f t="shared" si="78"/>
        <v/>
      </c>
      <c r="M1023" s="41">
        <f>VLOOKUP(INDICADORES!$B$21,'DATOS GENERALES'!$K:$M,3,0)*F1023</f>
        <v>230580.67407903899</v>
      </c>
      <c r="N1023" s="38" t="str">
        <f t="shared" si="79"/>
        <v/>
      </c>
      <c r="O1023" s="36"/>
      <c r="P1023" s="36"/>
      <c r="Q1023" s="36"/>
    </row>
    <row r="1024" spans="1:17" x14ac:dyDescent="0.25">
      <c r="A1024" s="36">
        <v>1891</v>
      </c>
      <c r="B1024" s="37">
        <v>44166</v>
      </c>
      <c r="C1024" s="37">
        <v>44211.591691870875</v>
      </c>
      <c r="D1024" s="36" t="s">
        <v>195</v>
      </c>
      <c r="E1024" s="36"/>
      <c r="F1024" s="38">
        <v>33878898.524999999</v>
      </c>
      <c r="G1024" s="40">
        <f>VLOOKUP(A1024,'DATOS GENERALES'!A:B,2,0)</f>
        <v>2.79</v>
      </c>
      <c r="H1024" s="36">
        <f t="shared" si="75"/>
        <v>2.7771659999999998</v>
      </c>
      <c r="I1024" s="38">
        <f t="shared" si="76"/>
        <v>12199090.196624905</v>
      </c>
      <c r="J1024" s="38">
        <f t="shared" si="77"/>
        <v>21679808.328375094</v>
      </c>
      <c r="K1024" s="38" t="s">
        <v>213</v>
      </c>
      <c r="L1024" s="38" t="str">
        <f t="shared" si="78"/>
        <v/>
      </c>
      <c r="M1024" s="41">
        <f>VLOOKUP(INDICADORES!$B$21,'DATOS GENERALES'!$K:$M,3,0)*F1024</f>
        <v>230580.67407903899</v>
      </c>
      <c r="N1024" s="38" t="str">
        <f t="shared" si="79"/>
        <v/>
      </c>
      <c r="O1024" s="36"/>
      <c r="P1024" s="36"/>
      <c r="Q1024" s="36"/>
    </row>
    <row r="1025" spans="1:17" x14ac:dyDescent="0.25">
      <c r="A1025" s="36">
        <v>1895</v>
      </c>
      <c r="B1025" s="37">
        <v>43466</v>
      </c>
      <c r="C1025" s="37">
        <v>43527.64547552164</v>
      </c>
      <c r="D1025" s="36" t="s">
        <v>195</v>
      </c>
      <c r="E1025" s="36"/>
      <c r="F1025" s="38">
        <v>18830171.789000001</v>
      </c>
      <c r="G1025" s="40">
        <f>VLOOKUP(A1025,'DATOS GENERALES'!A:B,2,0)</f>
        <v>5.94</v>
      </c>
      <c r="H1025" s="36">
        <f t="shared" si="75"/>
        <v>5.9126760000000003</v>
      </c>
      <c r="I1025" s="38">
        <f t="shared" si="76"/>
        <v>3184712.2671697214</v>
      </c>
      <c r="J1025" s="38">
        <f t="shared" si="77"/>
        <v>15645459.521830279</v>
      </c>
      <c r="K1025" s="38">
        <v>698784.29422778916</v>
      </c>
      <c r="L1025" s="38">
        <f t="shared" si="78"/>
        <v>14946675.227602489</v>
      </c>
      <c r="M1025" s="41">
        <f>VLOOKUP(INDICADORES!$B$21,'DATOS GENERALES'!$K:$M,3,0)*F1025</f>
        <v>128158.64426429795</v>
      </c>
      <c r="N1025" s="38">
        <f t="shared" si="79"/>
        <v>14818516.583338192</v>
      </c>
      <c r="O1025" s="36"/>
      <c r="P1025" s="36"/>
      <c r="Q1025" s="36"/>
    </row>
    <row r="1026" spans="1:17" x14ac:dyDescent="0.25">
      <c r="A1026" s="36">
        <v>1846</v>
      </c>
      <c r="B1026" s="37">
        <v>43556</v>
      </c>
      <c r="C1026" s="37">
        <v>43636.4599471127</v>
      </c>
      <c r="D1026" s="36" t="s">
        <v>195</v>
      </c>
      <c r="E1026" s="36"/>
      <c r="F1026" s="38">
        <v>19561500</v>
      </c>
      <c r="G1026" s="40">
        <f>VLOOKUP(A1026,'DATOS GENERALES'!A:B,2,0)</f>
        <v>1.72</v>
      </c>
      <c r="H1026" s="36">
        <f t="shared" si="75"/>
        <v>1.7120879999999998</v>
      </c>
      <c r="I1026" s="38">
        <f t="shared" si="76"/>
        <v>11425522.519870475</v>
      </c>
      <c r="J1026" s="38">
        <f t="shared" si="77"/>
        <v>8135977.4801295251</v>
      </c>
      <c r="K1026" s="38">
        <v>1836974.4751148054</v>
      </c>
      <c r="L1026" s="38">
        <f t="shared" si="78"/>
        <v>6299003.0050147194</v>
      </c>
      <c r="M1026" s="41">
        <f>VLOOKUP(INDICADORES!$B$21,'DATOS GENERALES'!$K:$M,3,0)*F1026</f>
        <v>133136.08329588163</v>
      </c>
      <c r="N1026" s="38">
        <f t="shared" si="79"/>
        <v>6165866.9217188377</v>
      </c>
      <c r="O1026" s="36"/>
      <c r="P1026" s="36"/>
      <c r="Q1026" s="36"/>
    </row>
    <row r="1027" spans="1:17" x14ac:dyDescent="0.25">
      <c r="A1027" s="36">
        <v>1893</v>
      </c>
      <c r="B1027" s="37">
        <v>43466</v>
      </c>
      <c r="C1027" s="37">
        <v>43510.885725499393</v>
      </c>
      <c r="D1027" s="36" t="s">
        <v>195</v>
      </c>
      <c r="E1027" s="36"/>
      <c r="F1027" s="38">
        <v>37763484.710000001</v>
      </c>
      <c r="G1027" s="40">
        <f>VLOOKUP(A1027,'DATOS GENERALES'!A:B,2,0)</f>
        <v>1.87</v>
      </c>
      <c r="H1027" s="36">
        <f t="shared" ref="H1027:H1090" si="80">G1027*0.9954</f>
        <v>1.8613980000000001</v>
      </c>
      <c r="I1027" s="38">
        <f t="shared" ref="I1027:I1090" si="81">F1027/H1027</f>
        <v>20287700.271516353</v>
      </c>
      <c r="J1027" s="38">
        <f t="shared" ref="J1027:J1090" si="82">F1027-I1027</f>
        <v>17475784.438483648</v>
      </c>
      <c r="K1027" s="38">
        <v>4451493.6127449432</v>
      </c>
      <c r="L1027" s="38">
        <f t="shared" ref="L1027:L1090" si="83">IFERROR(J1027-K1027,"")</f>
        <v>13024290.825738706</v>
      </c>
      <c r="M1027" s="41">
        <f>VLOOKUP(INDICADORES!$B$21,'DATOS GENERALES'!$K:$M,3,0)*F1027</f>
        <v>257019.26978469506</v>
      </c>
      <c r="N1027" s="38">
        <f t="shared" ref="N1027:N1090" si="84">IFERROR(L1027-M1027,"")</f>
        <v>12767271.555954011</v>
      </c>
      <c r="O1027" s="36"/>
      <c r="P1027" s="36"/>
      <c r="Q1027" s="36"/>
    </row>
    <row r="1028" spans="1:17" x14ac:dyDescent="0.25">
      <c r="A1028" s="36">
        <v>1893</v>
      </c>
      <c r="B1028" s="37">
        <v>43497</v>
      </c>
      <c r="C1028" s="37">
        <v>43563.123022586042</v>
      </c>
      <c r="D1028" s="36" t="s">
        <v>195</v>
      </c>
      <c r="E1028" s="36"/>
      <c r="F1028" s="38">
        <v>37763484.710000001</v>
      </c>
      <c r="G1028" s="40">
        <f>VLOOKUP(A1028,'DATOS GENERALES'!A:B,2,0)</f>
        <v>1.87</v>
      </c>
      <c r="H1028" s="36">
        <f t="shared" si="80"/>
        <v>1.8613980000000001</v>
      </c>
      <c r="I1028" s="38">
        <f t="shared" si="81"/>
        <v>20287700.271516353</v>
      </c>
      <c r="J1028" s="38">
        <f t="shared" si="82"/>
        <v>17475784.438483648</v>
      </c>
      <c r="K1028" s="38">
        <v>4385345.6201297762</v>
      </c>
      <c r="L1028" s="38">
        <f t="shared" si="83"/>
        <v>13090438.818353873</v>
      </c>
      <c r="M1028" s="41">
        <f>VLOOKUP(INDICADORES!$B$21,'DATOS GENERALES'!$K:$M,3,0)*F1028</f>
        <v>257019.26978469506</v>
      </c>
      <c r="N1028" s="38">
        <f t="shared" si="84"/>
        <v>12833419.548569178</v>
      </c>
      <c r="O1028" s="36"/>
      <c r="P1028" s="36"/>
      <c r="Q1028" s="36"/>
    </row>
    <row r="1029" spans="1:17" x14ac:dyDescent="0.25">
      <c r="A1029" s="36">
        <v>1893</v>
      </c>
      <c r="B1029" s="37">
        <v>43525</v>
      </c>
      <c r="C1029" s="37">
        <v>43609.767498319969</v>
      </c>
      <c r="D1029" s="36" t="s">
        <v>195</v>
      </c>
      <c r="E1029" s="36"/>
      <c r="F1029" s="38">
        <v>37763484.710000001</v>
      </c>
      <c r="G1029" s="40">
        <f>VLOOKUP(A1029,'DATOS GENERALES'!A:B,2,0)</f>
        <v>1.87</v>
      </c>
      <c r="H1029" s="36">
        <f t="shared" si="80"/>
        <v>1.8613980000000001</v>
      </c>
      <c r="I1029" s="38">
        <f t="shared" si="81"/>
        <v>20287700.271516353</v>
      </c>
      <c r="J1029" s="38">
        <f t="shared" si="82"/>
        <v>17475784.438483648</v>
      </c>
      <c r="K1029" s="38">
        <v>3172743.1653017043</v>
      </c>
      <c r="L1029" s="38">
        <f t="shared" si="83"/>
        <v>14303041.273181943</v>
      </c>
      <c r="M1029" s="41">
        <f>VLOOKUP(INDICADORES!$B$21,'DATOS GENERALES'!$K:$M,3,0)*F1029</f>
        <v>257019.26978469506</v>
      </c>
      <c r="N1029" s="38">
        <f t="shared" si="84"/>
        <v>14046022.003397249</v>
      </c>
      <c r="O1029" s="36"/>
      <c r="P1029" s="36"/>
      <c r="Q1029" s="36"/>
    </row>
    <row r="1030" spans="1:17" x14ac:dyDescent="0.25">
      <c r="A1030" s="36">
        <v>1893</v>
      </c>
      <c r="B1030" s="37">
        <v>43556</v>
      </c>
      <c r="C1030" s="37">
        <v>43604.960899667669</v>
      </c>
      <c r="D1030" s="36" t="s">
        <v>195</v>
      </c>
      <c r="E1030" s="36"/>
      <c r="F1030" s="38">
        <v>37763484.710000001</v>
      </c>
      <c r="G1030" s="40">
        <f>VLOOKUP(A1030,'DATOS GENERALES'!A:B,2,0)</f>
        <v>1.87</v>
      </c>
      <c r="H1030" s="36">
        <f t="shared" si="80"/>
        <v>1.8613980000000001</v>
      </c>
      <c r="I1030" s="38">
        <f t="shared" si="81"/>
        <v>20287700.271516353</v>
      </c>
      <c r="J1030" s="38">
        <f t="shared" si="82"/>
        <v>17475784.438483648</v>
      </c>
      <c r="K1030" s="38">
        <v>3261819.0977910506</v>
      </c>
      <c r="L1030" s="38">
        <f t="shared" si="83"/>
        <v>14213965.340692598</v>
      </c>
      <c r="M1030" s="41">
        <f>VLOOKUP(INDICADORES!$B$21,'DATOS GENERALES'!$K:$M,3,0)*F1030</f>
        <v>257019.26978469506</v>
      </c>
      <c r="N1030" s="38">
        <f t="shared" si="84"/>
        <v>13956946.070907904</v>
      </c>
      <c r="O1030" s="36"/>
      <c r="P1030" s="36"/>
      <c r="Q1030" s="36"/>
    </row>
    <row r="1031" spans="1:17" x14ac:dyDescent="0.25">
      <c r="A1031" s="36">
        <v>1893</v>
      </c>
      <c r="B1031" s="37">
        <v>43586</v>
      </c>
      <c r="C1031" s="37">
        <v>43653.509559739607</v>
      </c>
      <c r="D1031" s="36" t="s">
        <v>195</v>
      </c>
      <c r="E1031" s="36"/>
      <c r="F1031" s="38">
        <v>37763484.710000001</v>
      </c>
      <c r="G1031" s="40">
        <f>VLOOKUP(A1031,'DATOS GENERALES'!A:B,2,0)</f>
        <v>1.87</v>
      </c>
      <c r="H1031" s="36">
        <f t="shared" si="80"/>
        <v>1.8613980000000001</v>
      </c>
      <c r="I1031" s="38">
        <f t="shared" si="81"/>
        <v>20287700.271516353</v>
      </c>
      <c r="J1031" s="38">
        <f t="shared" si="82"/>
        <v>17475784.438483648</v>
      </c>
      <c r="K1031" s="38">
        <v>2690772.6421670346</v>
      </c>
      <c r="L1031" s="38">
        <f t="shared" si="83"/>
        <v>14785011.796316613</v>
      </c>
      <c r="M1031" s="41">
        <f>VLOOKUP(INDICADORES!$B$21,'DATOS GENERALES'!$K:$M,3,0)*F1031</f>
        <v>257019.26978469506</v>
      </c>
      <c r="N1031" s="38">
        <f t="shared" si="84"/>
        <v>14527992.526531918</v>
      </c>
      <c r="O1031" s="36"/>
      <c r="P1031" s="36"/>
      <c r="Q1031" s="36"/>
    </row>
    <row r="1032" spans="1:17" x14ac:dyDescent="0.25">
      <c r="A1032" s="36">
        <v>1893</v>
      </c>
      <c r="B1032" s="37">
        <v>43617</v>
      </c>
      <c r="C1032" s="37">
        <v>43690.681607996463</v>
      </c>
      <c r="D1032" s="36" t="s">
        <v>195</v>
      </c>
      <c r="E1032" s="36"/>
      <c r="F1032" s="38">
        <v>37763484.710000001</v>
      </c>
      <c r="G1032" s="40">
        <f>VLOOKUP(A1032,'DATOS GENERALES'!A:B,2,0)</f>
        <v>1.87</v>
      </c>
      <c r="H1032" s="36">
        <f t="shared" si="80"/>
        <v>1.8613980000000001</v>
      </c>
      <c r="I1032" s="38">
        <f t="shared" si="81"/>
        <v>20287700.271516353</v>
      </c>
      <c r="J1032" s="38">
        <f t="shared" si="82"/>
        <v>17475784.438483648</v>
      </c>
      <c r="K1032" s="38">
        <v>3618459.066557976</v>
      </c>
      <c r="L1032" s="38">
        <f t="shared" si="83"/>
        <v>13857325.371925673</v>
      </c>
      <c r="M1032" s="41">
        <f>VLOOKUP(INDICADORES!$B$21,'DATOS GENERALES'!$K:$M,3,0)*F1032</f>
        <v>257019.26978469506</v>
      </c>
      <c r="N1032" s="38">
        <f t="shared" si="84"/>
        <v>13600306.102140978</v>
      </c>
      <c r="O1032" s="36"/>
      <c r="P1032" s="36"/>
      <c r="Q1032" s="36"/>
    </row>
    <row r="1033" spans="1:17" x14ac:dyDescent="0.25">
      <c r="A1033" s="36">
        <v>1893</v>
      </c>
      <c r="B1033" s="37">
        <v>43647</v>
      </c>
      <c r="C1033" s="37">
        <v>43684.984970642749</v>
      </c>
      <c r="D1033" s="36" t="s">
        <v>195</v>
      </c>
      <c r="E1033" s="36"/>
      <c r="F1033" s="38">
        <v>37763484.710000001</v>
      </c>
      <c r="G1033" s="40">
        <f>VLOOKUP(A1033,'DATOS GENERALES'!A:B,2,0)</f>
        <v>1.87</v>
      </c>
      <c r="H1033" s="36">
        <f t="shared" si="80"/>
        <v>1.8613980000000001</v>
      </c>
      <c r="I1033" s="38">
        <f t="shared" si="81"/>
        <v>20287700.271516353</v>
      </c>
      <c r="J1033" s="38">
        <f t="shared" si="82"/>
        <v>17475784.438483648</v>
      </c>
      <c r="K1033" s="38">
        <v>5396190.0017938688</v>
      </c>
      <c r="L1033" s="38">
        <f t="shared" si="83"/>
        <v>12079594.436689779</v>
      </c>
      <c r="M1033" s="41">
        <f>VLOOKUP(INDICADORES!$B$21,'DATOS GENERALES'!$K:$M,3,0)*F1033</f>
        <v>257019.26978469506</v>
      </c>
      <c r="N1033" s="38">
        <f t="shared" si="84"/>
        <v>11822575.166905085</v>
      </c>
      <c r="O1033" s="36"/>
      <c r="P1033" s="36"/>
      <c r="Q1033" s="36"/>
    </row>
    <row r="1034" spans="1:17" x14ac:dyDescent="0.25">
      <c r="A1034" s="36">
        <v>1893</v>
      </c>
      <c r="B1034" s="37">
        <v>43678</v>
      </c>
      <c r="C1034" s="37">
        <v>43725.760436666162</v>
      </c>
      <c r="D1034" s="36" t="s">
        <v>195</v>
      </c>
      <c r="E1034" s="36"/>
      <c r="F1034" s="38">
        <v>37763484.710000001</v>
      </c>
      <c r="G1034" s="40">
        <f>VLOOKUP(A1034,'DATOS GENERALES'!A:B,2,0)</f>
        <v>1.87</v>
      </c>
      <c r="H1034" s="36">
        <f t="shared" si="80"/>
        <v>1.8613980000000001</v>
      </c>
      <c r="I1034" s="38">
        <f t="shared" si="81"/>
        <v>20287700.271516353</v>
      </c>
      <c r="J1034" s="38">
        <f t="shared" si="82"/>
        <v>17475784.438483648</v>
      </c>
      <c r="K1034" s="38">
        <v>5310046.6046164213</v>
      </c>
      <c r="L1034" s="38">
        <f t="shared" si="83"/>
        <v>12165737.833867226</v>
      </c>
      <c r="M1034" s="41">
        <f>VLOOKUP(INDICADORES!$B$21,'DATOS GENERALES'!$K:$M,3,0)*F1034</f>
        <v>257019.26978469506</v>
      </c>
      <c r="N1034" s="38">
        <f t="shared" si="84"/>
        <v>11908718.564082531</v>
      </c>
      <c r="O1034" s="36"/>
      <c r="P1034" s="36"/>
      <c r="Q1034" s="36"/>
    </row>
    <row r="1035" spans="1:17" x14ac:dyDescent="0.25">
      <c r="A1035" s="36">
        <v>1893</v>
      </c>
      <c r="B1035" s="37">
        <v>43709</v>
      </c>
      <c r="C1035" s="37">
        <v>43757.457104044901</v>
      </c>
      <c r="D1035" s="36" t="s">
        <v>195</v>
      </c>
      <c r="E1035" s="36"/>
      <c r="F1035" s="38">
        <v>37763484.710000001</v>
      </c>
      <c r="G1035" s="40">
        <f>VLOOKUP(A1035,'DATOS GENERALES'!A:B,2,0)</f>
        <v>1.87</v>
      </c>
      <c r="H1035" s="36">
        <f t="shared" si="80"/>
        <v>1.8613980000000001</v>
      </c>
      <c r="I1035" s="38">
        <f t="shared" si="81"/>
        <v>20287700.271516353</v>
      </c>
      <c r="J1035" s="38">
        <f t="shared" si="82"/>
        <v>17475784.438483648</v>
      </c>
      <c r="K1035" s="38">
        <v>6001271.549467708</v>
      </c>
      <c r="L1035" s="38">
        <f t="shared" si="83"/>
        <v>11474512.889015939</v>
      </c>
      <c r="M1035" s="41">
        <f>VLOOKUP(INDICADORES!$B$21,'DATOS GENERALES'!$K:$M,3,0)*F1035</f>
        <v>257019.26978469506</v>
      </c>
      <c r="N1035" s="38">
        <f t="shared" si="84"/>
        <v>11217493.619231245</v>
      </c>
      <c r="O1035" s="36"/>
      <c r="P1035" s="36"/>
      <c r="Q1035" s="36"/>
    </row>
    <row r="1036" spans="1:17" x14ac:dyDescent="0.25">
      <c r="A1036" s="36">
        <v>1893</v>
      </c>
      <c r="B1036" s="37">
        <v>43739</v>
      </c>
      <c r="C1036" s="37">
        <v>43796.384102450284</v>
      </c>
      <c r="D1036" s="36" t="s">
        <v>195</v>
      </c>
      <c r="E1036" s="36"/>
      <c r="F1036" s="38">
        <v>37763484.710000001</v>
      </c>
      <c r="G1036" s="40">
        <f>VLOOKUP(A1036,'DATOS GENERALES'!A:B,2,0)</f>
        <v>1.87</v>
      </c>
      <c r="H1036" s="36">
        <f t="shared" si="80"/>
        <v>1.8613980000000001</v>
      </c>
      <c r="I1036" s="38">
        <f t="shared" si="81"/>
        <v>20287700.271516353</v>
      </c>
      <c r="J1036" s="38">
        <f t="shared" si="82"/>
        <v>17475784.438483648</v>
      </c>
      <c r="K1036" s="38">
        <v>6489755.4942828165</v>
      </c>
      <c r="L1036" s="38">
        <f t="shared" si="83"/>
        <v>10986028.944200832</v>
      </c>
      <c r="M1036" s="41">
        <f>VLOOKUP(INDICADORES!$B$21,'DATOS GENERALES'!$K:$M,3,0)*F1036</f>
        <v>257019.26978469506</v>
      </c>
      <c r="N1036" s="38">
        <f t="shared" si="84"/>
        <v>10729009.674416138</v>
      </c>
      <c r="O1036" s="36"/>
      <c r="P1036" s="36"/>
      <c r="Q1036" s="36"/>
    </row>
    <row r="1037" spans="1:17" x14ac:dyDescent="0.25">
      <c r="A1037" s="36">
        <v>1893</v>
      </c>
      <c r="B1037" s="37">
        <v>43770</v>
      </c>
      <c r="C1037" s="37">
        <v>43822.787558954595</v>
      </c>
      <c r="D1037" s="36" t="s">
        <v>195</v>
      </c>
      <c r="E1037" s="36"/>
      <c r="F1037" s="38">
        <v>37763484.710000001</v>
      </c>
      <c r="G1037" s="40">
        <f>VLOOKUP(A1037,'DATOS GENERALES'!A:B,2,0)</f>
        <v>1.87</v>
      </c>
      <c r="H1037" s="36">
        <f t="shared" si="80"/>
        <v>1.8613980000000001</v>
      </c>
      <c r="I1037" s="38">
        <f t="shared" si="81"/>
        <v>20287700.271516353</v>
      </c>
      <c r="J1037" s="38">
        <f t="shared" si="82"/>
        <v>17475784.438483648</v>
      </c>
      <c r="K1037" s="38">
        <v>8679570.0205424577</v>
      </c>
      <c r="L1037" s="38">
        <f t="shared" si="83"/>
        <v>8796214.4179411903</v>
      </c>
      <c r="M1037" s="41">
        <f>VLOOKUP(INDICADORES!$B$21,'DATOS GENERALES'!$K:$M,3,0)*F1037</f>
        <v>257019.26978469506</v>
      </c>
      <c r="N1037" s="38">
        <f t="shared" si="84"/>
        <v>8539195.1481564958</v>
      </c>
      <c r="O1037" s="36"/>
      <c r="P1037" s="36"/>
      <c r="Q1037" s="36"/>
    </row>
    <row r="1038" spans="1:17" x14ac:dyDescent="0.25">
      <c r="A1038" s="36">
        <v>1893</v>
      </c>
      <c r="B1038" s="37">
        <v>43800</v>
      </c>
      <c r="C1038" s="37">
        <v>43837.143688732664</v>
      </c>
      <c r="D1038" s="36" t="s">
        <v>195</v>
      </c>
      <c r="E1038" s="36"/>
      <c r="F1038" s="38">
        <v>37763484.710000001</v>
      </c>
      <c r="G1038" s="40">
        <f>VLOOKUP(A1038,'DATOS GENERALES'!A:B,2,0)</f>
        <v>1.87</v>
      </c>
      <c r="H1038" s="36">
        <f t="shared" si="80"/>
        <v>1.8613980000000001</v>
      </c>
      <c r="I1038" s="38">
        <f t="shared" si="81"/>
        <v>20287700.271516353</v>
      </c>
      <c r="J1038" s="38">
        <f t="shared" si="82"/>
        <v>17475784.438483648</v>
      </c>
      <c r="K1038" s="38">
        <v>7308088.5430082316</v>
      </c>
      <c r="L1038" s="38">
        <f t="shared" si="83"/>
        <v>10167695.895475417</v>
      </c>
      <c r="M1038" s="41">
        <f>VLOOKUP(INDICADORES!$B$21,'DATOS GENERALES'!$K:$M,3,0)*F1038</f>
        <v>257019.26978469506</v>
      </c>
      <c r="N1038" s="38">
        <f t="shared" si="84"/>
        <v>9910676.6256907228</v>
      </c>
      <c r="O1038" s="36"/>
      <c r="P1038" s="36"/>
      <c r="Q1038" s="36"/>
    </row>
    <row r="1039" spans="1:17" x14ac:dyDescent="0.25">
      <c r="A1039" s="36">
        <v>1893</v>
      </c>
      <c r="B1039" s="37">
        <v>43831</v>
      </c>
      <c r="C1039" s="37">
        <v>43941.589777523026</v>
      </c>
      <c r="D1039" s="36" t="s">
        <v>195</v>
      </c>
      <c r="E1039" s="36"/>
      <c r="F1039" s="38">
        <v>37763484.710000001</v>
      </c>
      <c r="G1039" s="40">
        <f>VLOOKUP(A1039,'DATOS GENERALES'!A:B,2,0)</f>
        <v>1.87</v>
      </c>
      <c r="H1039" s="36">
        <f t="shared" si="80"/>
        <v>1.8613980000000001</v>
      </c>
      <c r="I1039" s="38">
        <f t="shared" si="81"/>
        <v>20287700.271516353</v>
      </c>
      <c r="J1039" s="38">
        <f t="shared" si="82"/>
        <v>17475784.438483648</v>
      </c>
      <c r="K1039" s="38" t="s">
        <v>213</v>
      </c>
      <c r="L1039" s="38" t="str">
        <f t="shared" si="83"/>
        <v/>
      </c>
      <c r="M1039" s="41">
        <f>VLOOKUP(INDICADORES!$B$21,'DATOS GENERALES'!$K:$M,3,0)*F1039</f>
        <v>257019.26978469506</v>
      </c>
      <c r="N1039" s="38" t="str">
        <f t="shared" si="84"/>
        <v/>
      </c>
      <c r="O1039" s="36"/>
      <c r="P1039" s="36"/>
      <c r="Q1039" s="36"/>
    </row>
    <row r="1040" spans="1:17" x14ac:dyDescent="0.25">
      <c r="A1040" s="36">
        <v>1893</v>
      </c>
      <c r="B1040" s="37">
        <v>43862</v>
      </c>
      <c r="C1040" s="37">
        <v>43930.858556335093</v>
      </c>
      <c r="D1040" s="36" t="s">
        <v>195</v>
      </c>
      <c r="E1040" s="36"/>
      <c r="F1040" s="38">
        <v>37763484.710000001</v>
      </c>
      <c r="G1040" s="40">
        <f>VLOOKUP(A1040,'DATOS GENERALES'!A:B,2,0)</f>
        <v>1.87</v>
      </c>
      <c r="H1040" s="36">
        <f t="shared" si="80"/>
        <v>1.8613980000000001</v>
      </c>
      <c r="I1040" s="38">
        <f t="shared" si="81"/>
        <v>20287700.271516353</v>
      </c>
      <c r="J1040" s="38">
        <f t="shared" si="82"/>
        <v>17475784.438483648</v>
      </c>
      <c r="K1040" s="38" t="s">
        <v>213</v>
      </c>
      <c r="L1040" s="38" t="str">
        <f t="shared" si="83"/>
        <v/>
      </c>
      <c r="M1040" s="41">
        <f>VLOOKUP(INDICADORES!$B$21,'DATOS GENERALES'!$K:$M,3,0)*F1040</f>
        <v>257019.26978469506</v>
      </c>
      <c r="N1040" s="38" t="str">
        <f t="shared" si="84"/>
        <v/>
      </c>
      <c r="O1040" s="36"/>
      <c r="P1040" s="36"/>
      <c r="Q1040" s="36"/>
    </row>
    <row r="1041" spans="1:17" x14ac:dyDescent="0.25">
      <c r="A1041" s="36">
        <v>1893</v>
      </c>
      <c r="B1041" s="37">
        <v>43891</v>
      </c>
      <c r="C1041" s="37">
        <v>43921.978889191487</v>
      </c>
      <c r="D1041" s="36" t="s">
        <v>195</v>
      </c>
      <c r="E1041" s="36"/>
      <c r="F1041" s="38">
        <v>37763484.710000001</v>
      </c>
      <c r="G1041" s="40">
        <f>VLOOKUP(A1041,'DATOS GENERALES'!A:B,2,0)</f>
        <v>1.87</v>
      </c>
      <c r="H1041" s="36">
        <f t="shared" si="80"/>
        <v>1.8613980000000001</v>
      </c>
      <c r="I1041" s="38">
        <f t="shared" si="81"/>
        <v>20287700.271516353</v>
      </c>
      <c r="J1041" s="38">
        <f t="shared" si="82"/>
        <v>17475784.438483648</v>
      </c>
      <c r="K1041" s="38" t="s">
        <v>213</v>
      </c>
      <c r="L1041" s="38" t="str">
        <f t="shared" si="83"/>
        <v/>
      </c>
      <c r="M1041" s="41">
        <f>VLOOKUP(INDICADORES!$B$21,'DATOS GENERALES'!$K:$M,3,0)*F1041</f>
        <v>257019.26978469506</v>
      </c>
      <c r="N1041" s="38" t="str">
        <f t="shared" si="84"/>
        <v/>
      </c>
      <c r="O1041" s="36"/>
      <c r="P1041" s="36"/>
      <c r="Q1041" s="36"/>
    </row>
    <row r="1042" spans="1:17" x14ac:dyDescent="0.25">
      <c r="A1042" s="36">
        <v>1890</v>
      </c>
      <c r="B1042" s="37">
        <v>43466</v>
      </c>
      <c r="C1042" s="37">
        <v>43529.911261727197</v>
      </c>
      <c r="D1042" s="36" t="s">
        <v>195</v>
      </c>
      <c r="E1042" s="36"/>
      <c r="F1042" s="38">
        <v>25318074</v>
      </c>
      <c r="G1042" s="40">
        <f>VLOOKUP(A1042,'DATOS GENERALES'!A:B,2,0)</f>
        <v>1.1100000000000001</v>
      </c>
      <c r="H1042" s="36">
        <f t="shared" si="80"/>
        <v>1.104894</v>
      </c>
      <c r="I1042" s="38">
        <f t="shared" si="81"/>
        <v>22914482.294229127</v>
      </c>
      <c r="J1042" s="38">
        <f t="shared" si="82"/>
        <v>2403591.7057708725</v>
      </c>
      <c r="K1042" s="38">
        <v>5027857.7762374459</v>
      </c>
      <c r="L1042" s="38">
        <f t="shared" si="83"/>
        <v>-2624266.0704665734</v>
      </c>
      <c r="M1042" s="41">
        <f>VLOOKUP(INDICADORES!$B$21,'DATOS GENERALES'!$K:$M,3,0)*F1042</f>
        <v>172315.47728728855</v>
      </c>
      <c r="N1042" s="38">
        <f t="shared" si="84"/>
        <v>-2796581.5477538621</v>
      </c>
      <c r="O1042" s="36"/>
      <c r="P1042" s="36"/>
      <c r="Q1042" s="36"/>
    </row>
    <row r="1043" spans="1:17" x14ac:dyDescent="0.25">
      <c r="A1043" s="36">
        <v>1890</v>
      </c>
      <c r="B1043" s="37">
        <v>43497</v>
      </c>
      <c r="C1043" s="37">
        <v>43543.145759185558</v>
      </c>
      <c r="D1043" s="36" t="s">
        <v>195</v>
      </c>
      <c r="E1043" s="36"/>
      <c r="F1043" s="38">
        <v>29324874</v>
      </c>
      <c r="G1043" s="40">
        <f>VLOOKUP(A1043,'DATOS GENERALES'!A:B,2,0)</f>
        <v>1.1100000000000001</v>
      </c>
      <c r="H1043" s="36">
        <f t="shared" si="80"/>
        <v>1.104894</v>
      </c>
      <c r="I1043" s="38">
        <f t="shared" si="81"/>
        <v>26540893.515577059</v>
      </c>
      <c r="J1043" s="38">
        <f t="shared" si="82"/>
        <v>2783980.4844229408</v>
      </c>
      <c r="K1043" s="38">
        <v>5737022.4113709899</v>
      </c>
      <c r="L1043" s="38">
        <f t="shared" si="83"/>
        <v>-2953041.9269480491</v>
      </c>
      <c r="M1043" s="41">
        <f>VLOOKUP(INDICADORES!$B$21,'DATOS GENERALES'!$K:$M,3,0)*F1043</f>
        <v>199585.86343098604</v>
      </c>
      <c r="N1043" s="38">
        <f t="shared" si="84"/>
        <v>-3152627.7903790353</v>
      </c>
      <c r="O1043" s="36"/>
      <c r="P1043" s="36"/>
      <c r="Q1043" s="36"/>
    </row>
    <row r="1044" spans="1:17" x14ac:dyDescent="0.25">
      <c r="A1044" s="36">
        <v>1890</v>
      </c>
      <c r="B1044" s="37">
        <v>43525</v>
      </c>
      <c r="C1044" s="37">
        <v>43590.194219402278</v>
      </c>
      <c r="D1044" s="36" t="s">
        <v>195</v>
      </c>
      <c r="E1044" s="36"/>
      <c r="F1044" s="38">
        <v>29324874</v>
      </c>
      <c r="G1044" s="40">
        <f>VLOOKUP(A1044,'DATOS GENERALES'!A:B,2,0)</f>
        <v>1.1100000000000001</v>
      </c>
      <c r="H1044" s="36">
        <f t="shared" si="80"/>
        <v>1.104894</v>
      </c>
      <c r="I1044" s="38">
        <f t="shared" si="81"/>
        <v>26540893.515577059</v>
      </c>
      <c r="J1044" s="38">
        <f t="shared" si="82"/>
        <v>2783980.4844229408</v>
      </c>
      <c r="K1044" s="38">
        <v>4150664.5590961091</v>
      </c>
      <c r="L1044" s="38">
        <f t="shared" si="83"/>
        <v>-1366684.0746731684</v>
      </c>
      <c r="M1044" s="41">
        <f>VLOOKUP(INDICADORES!$B$21,'DATOS GENERALES'!$K:$M,3,0)*F1044</f>
        <v>199585.86343098604</v>
      </c>
      <c r="N1044" s="38">
        <f t="shared" si="84"/>
        <v>-1566269.9381041543</v>
      </c>
      <c r="O1044" s="36"/>
      <c r="P1044" s="36"/>
      <c r="Q1044" s="36"/>
    </row>
    <row r="1045" spans="1:17" x14ac:dyDescent="0.25">
      <c r="A1045" s="36">
        <v>1890</v>
      </c>
      <c r="B1045" s="37">
        <v>43556</v>
      </c>
      <c r="C1045" s="37">
        <v>43597.199893744619</v>
      </c>
      <c r="D1045" s="36" t="s">
        <v>195</v>
      </c>
      <c r="E1045" s="36"/>
      <c r="F1045" s="38">
        <v>29324874</v>
      </c>
      <c r="G1045" s="40">
        <f>VLOOKUP(A1045,'DATOS GENERALES'!A:B,2,0)</f>
        <v>1.1100000000000001</v>
      </c>
      <c r="H1045" s="36">
        <f t="shared" si="80"/>
        <v>1.104894</v>
      </c>
      <c r="I1045" s="38">
        <f t="shared" si="81"/>
        <v>26540893.515577059</v>
      </c>
      <c r="J1045" s="38">
        <f t="shared" si="82"/>
        <v>2783980.4844229408</v>
      </c>
      <c r="K1045" s="38">
        <v>4267195.9947620686</v>
      </c>
      <c r="L1045" s="38">
        <f t="shared" si="83"/>
        <v>-1483215.5103391279</v>
      </c>
      <c r="M1045" s="41">
        <f>VLOOKUP(INDICADORES!$B$21,'DATOS GENERALES'!$K:$M,3,0)*F1045</f>
        <v>199585.86343098604</v>
      </c>
      <c r="N1045" s="38">
        <f t="shared" si="84"/>
        <v>-1682801.3737701138</v>
      </c>
      <c r="O1045" s="36"/>
      <c r="P1045" s="36"/>
      <c r="Q1045" s="36"/>
    </row>
    <row r="1046" spans="1:17" x14ac:dyDescent="0.25">
      <c r="A1046" s="36">
        <v>1890</v>
      </c>
      <c r="B1046" s="37">
        <v>43586</v>
      </c>
      <c r="C1046" s="37">
        <v>43632.945137121576</v>
      </c>
      <c r="D1046" s="36" t="s">
        <v>195</v>
      </c>
      <c r="E1046" s="36"/>
      <c r="F1046" s="38">
        <v>29324874</v>
      </c>
      <c r="G1046" s="40">
        <f>VLOOKUP(A1046,'DATOS GENERALES'!A:B,2,0)</f>
        <v>1.1100000000000001</v>
      </c>
      <c r="H1046" s="36">
        <f t="shared" si="80"/>
        <v>1.104894</v>
      </c>
      <c r="I1046" s="38">
        <f t="shared" si="81"/>
        <v>26540893.515577059</v>
      </c>
      <c r="J1046" s="38">
        <f t="shared" si="82"/>
        <v>2783980.4844229408</v>
      </c>
      <c r="K1046" s="38">
        <v>3520138.271692114</v>
      </c>
      <c r="L1046" s="38">
        <f t="shared" si="83"/>
        <v>-736157.78726917319</v>
      </c>
      <c r="M1046" s="41">
        <f>VLOOKUP(INDICADORES!$B$21,'DATOS GENERALES'!$K:$M,3,0)*F1046</f>
        <v>199585.86343098604</v>
      </c>
      <c r="N1046" s="38">
        <f t="shared" si="84"/>
        <v>-935743.65070015925</v>
      </c>
      <c r="O1046" s="36"/>
      <c r="P1046" s="36"/>
      <c r="Q1046" s="36"/>
    </row>
    <row r="1047" spans="1:17" x14ac:dyDescent="0.25">
      <c r="A1047" s="36">
        <v>1890</v>
      </c>
      <c r="B1047" s="37">
        <v>43617</v>
      </c>
      <c r="C1047" s="37">
        <v>43666.760121982981</v>
      </c>
      <c r="D1047" s="36" t="s">
        <v>195</v>
      </c>
      <c r="E1047" s="36"/>
      <c r="F1047" s="38">
        <v>29324874</v>
      </c>
      <c r="G1047" s="40">
        <f>VLOOKUP(A1047,'DATOS GENERALES'!A:B,2,0)</f>
        <v>1.1100000000000001</v>
      </c>
      <c r="H1047" s="36">
        <f t="shared" si="80"/>
        <v>1.104894</v>
      </c>
      <c r="I1047" s="38">
        <f t="shared" si="81"/>
        <v>26540893.515577059</v>
      </c>
      <c r="J1047" s="38">
        <f t="shared" si="82"/>
        <v>2783980.4844229408</v>
      </c>
      <c r="K1047" s="38">
        <v>4733761.6137214135</v>
      </c>
      <c r="L1047" s="38">
        <f t="shared" si="83"/>
        <v>-1949781.1292984728</v>
      </c>
      <c r="M1047" s="41">
        <f>VLOOKUP(INDICADORES!$B$21,'DATOS GENERALES'!$K:$M,3,0)*F1047</f>
        <v>199585.86343098604</v>
      </c>
      <c r="N1047" s="38">
        <f t="shared" si="84"/>
        <v>-2149366.992729459</v>
      </c>
      <c r="O1047" s="36"/>
      <c r="P1047" s="36"/>
      <c r="Q1047" s="36"/>
    </row>
    <row r="1048" spans="1:17" x14ac:dyDescent="0.25">
      <c r="A1048" s="36">
        <v>1890</v>
      </c>
      <c r="B1048" s="37">
        <v>43647</v>
      </c>
      <c r="C1048" s="37">
        <v>43696.646980664322</v>
      </c>
      <c r="D1048" s="36" t="s">
        <v>195</v>
      </c>
      <c r="E1048" s="36"/>
      <c r="F1048" s="38">
        <v>29324874</v>
      </c>
      <c r="G1048" s="40">
        <f>VLOOKUP(A1048,'DATOS GENERALES'!A:B,2,0)</f>
        <v>1.1100000000000001</v>
      </c>
      <c r="H1048" s="36">
        <f t="shared" si="80"/>
        <v>1.104894</v>
      </c>
      <c r="I1048" s="38">
        <f t="shared" si="81"/>
        <v>26540893.515577059</v>
      </c>
      <c r="J1048" s="38">
        <f t="shared" si="82"/>
        <v>2783980.4844229408</v>
      </c>
      <c r="K1048" s="38">
        <v>7059435.1410303069</v>
      </c>
      <c r="L1048" s="38">
        <f t="shared" si="83"/>
        <v>-4275454.6566073662</v>
      </c>
      <c r="M1048" s="41">
        <f>VLOOKUP(INDICADORES!$B$21,'DATOS GENERALES'!$K:$M,3,0)*F1048</f>
        <v>199585.86343098604</v>
      </c>
      <c r="N1048" s="38">
        <f t="shared" si="84"/>
        <v>-4475040.5200383523</v>
      </c>
      <c r="O1048" s="36"/>
      <c r="P1048" s="36"/>
      <c r="Q1048" s="36"/>
    </row>
    <row r="1049" spans="1:17" x14ac:dyDescent="0.25">
      <c r="A1049" s="36">
        <v>1890</v>
      </c>
      <c r="B1049" s="37">
        <v>43678</v>
      </c>
      <c r="C1049" s="37">
        <v>43737.638728611993</v>
      </c>
      <c r="D1049" s="36" t="s">
        <v>195</v>
      </c>
      <c r="E1049" s="36"/>
      <c r="F1049" s="38">
        <v>29324874</v>
      </c>
      <c r="G1049" s="40">
        <f>VLOOKUP(A1049,'DATOS GENERALES'!A:B,2,0)</f>
        <v>1.1100000000000001</v>
      </c>
      <c r="H1049" s="36">
        <f t="shared" si="80"/>
        <v>1.104894</v>
      </c>
      <c r="I1049" s="38">
        <f t="shared" si="81"/>
        <v>26540893.515577059</v>
      </c>
      <c r="J1049" s="38">
        <f t="shared" si="82"/>
        <v>2783980.4844229408</v>
      </c>
      <c r="K1049" s="38">
        <v>6946740.123805183</v>
      </c>
      <c r="L1049" s="38">
        <f t="shared" si="83"/>
        <v>-4162759.6393822422</v>
      </c>
      <c r="M1049" s="41">
        <f>VLOOKUP(INDICADORES!$B$21,'DATOS GENERALES'!$K:$M,3,0)*F1049</f>
        <v>199585.86343098604</v>
      </c>
      <c r="N1049" s="38">
        <f t="shared" si="84"/>
        <v>-4362345.5028132284</v>
      </c>
      <c r="O1049" s="36"/>
      <c r="P1049" s="36"/>
      <c r="Q1049" s="36"/>
    </row>
    <row r="1050" spans="1:17" x14ac:dyDescent="0.25">
      <c r="A1050" s="36">
        <v>1890</v>
      </c>
      <c r="B1050" s="37">
        <v>43709</v>
      </c>
      <c r="C1050" s="37">
        <v>43812.314817229802</v>
      </c>
      <c r="D1050" s="36" t="s">
        <v>195</v>
      </c>
      <c r="E1050" s="36"/>
      <c r="F1050" s="38">
        <v>29324874</v>
      </c>
      <c r="G1050" s="40">
        <f>VLOOKUP(A1050,'DATOS GENERALES'!A:B,2,0)</f>
        <v>1.1100000000000001</v>
      </c>
      <c r="H1050" s="36">
        <f t="shared" si="80"/>
        <v>1.104894</v>
      </c>
      <c r="I1050" s="38">
        <f t="shared" si="81"/>
        <v>26540893.515577059</v>
      </c>
      <c r="J1050" s="38">
        <f t="shared" si="82"/>
        <v>2783980.4844229408</v>
      </c>
      <c r="K1050" s="38">
        <v>7851018.450627951</v>
      </c>
      <c r="L1050" s="38">
        <f t="shared" si="83"/>
        <v>-5067037.9662050102</v>
      </c>
      <c r="M1050" s="41">
        <f>VLOOKUP(INDICADORES!$B$21,'DATOS GENERALES'!$K:$M,3,0)*F1050</f>
        <v>199585.86343098604</v>
      </c>
      <c r="N1050" s="38">
        <f t="shared" si="84"/>
        <v>-5266623.8296359964</v>
      </c>
      <c r="O1050" s="36"/>
      <c r="P1050" s="36"/>
      <c r="Q1050" s="36"/>
    </row>
    <row r="1051" spans="1:17" x14ac:dyDescent="0.25">
      <c r="A1051" s="36">
        <v>1890</v>
      </c>
      <c r="B1051" s="37">
        <v>43739</v>
      </c>
      <c r="C1051" s="37">
        <v>43808.517008585077</v>
      </c>
      <c r="D1051" s="36" t="s">
        <v>195</v>
      </c>
      <c r="E1051" s="36"/>
      <c r="F1051" s="38">
        <v>29324874</v>
      </c>
      <c r="G1051" s="40">
        <f>VLOOKUP(A1051,'DATOS GENERALES'!A:B,2,0)</f>
        <v>1.1100000000000001</v>
      </c>
      <c r="H1051" s="36">
        <f t="shared" si="80"/>
        <v>1.104894</v>
      </c>
      <c r="I1051" s="38">
        <f t="shared" si="81"/>
        <v>26540893.515577059</v>
      </c>
      <c r="J1051" s="38">
        <f t="shared" si="82"/>
        <v>2783980.4844229408</v>
      </c>
      <c r="K1051" s="38">
        <v>8490065.7645124737</v>
      </c>
      <c r="L1051" s="38">
        <f t="shared" si="83"/>
        <v>-5706085.280089533</v>
      </c>
      <c r="M1051" s="41">
        <f>VLOOKUP(INDICADORES!$B$21,'DATOS GENERALES'!$K:$M,3,0)*F1051</f>
        <v>199585.86343098604</v>
      </c>
      <c r="N1051" s="38">
        <f t="shared" si="84"/>
        <v>-5905671.1435205191</v>
      </c>
      <c r="O1051" s="36"/>
      <c r="P1051" s="36"/>
      <c r="Q1051" s="36"/>
    </row>
    <row r="1052" spans="1:17" x14ac:dyDescent="0.25">
      <c r="A1052" s="36">
        <v>1890</v>
      </c>
      <c r="B1052" s="37">
        <v>43770</v>
      </c>
      <c r="C1052" s="37">
        <v>43847.770159733678</v>
      </c>
      <c r="D1052" s="36" t="s">
        <v>195</v>
      </c>
      <c r="E1052" s="36"/>
      <c r="F1052" s="38">
        <v>29324874</v>
      </c>
      <c r="G1052" s="40">
        <f>VLOOKUP(A1052,'DATOS GENERALES'!A:B,2,0)</f>
        <v>1.1100000000000001</v>
      </c>
      <c r="H1052" s="36">
        <f t="shared" si="80"/>
        <v>1.104894</v>
      </c>
      <c r="I1052" s="38">
        <f t="shared" si="81"/>
        <v>26540893.515577059</v>
      </c>
      <c r="J1052" s="38">
        <f t="shared" si="82"/>
        <v>2783980.4844229408</v>
      </c>
      <c r="K1052" s="38">
        <v>11354837.689496014</v>
      </c>
      <c r="L1052" s="38">
        <f t="shared" si="83"/>
        <v>-8570857.2050730735</v>
      </c>
      <c r="M1052" s="41">
        <f>VLOOKUP(INDICADORES!$B$21,'DATOS GENERALES'!$K:$M,3,0)*F1052</f>
        <v>199585.86343098604</v>
      </c>
      <c r="N1052" s="38">
        <f t="shared" si="84"/>
        <v>-8770443.0685040597</v>
      </c>
      <c r="O1052" s="36"/>
      <c r="P1052" s="36"/>
      <c r="Q1052" s="36"/>
    </row>
    <row r="1053" spans="1:17" x14ac:dyDescent="0.25">
      <c r="A1053" s="36">
        <v>1890</v>
      </c>
      <c r="B1053" s="37">
        <v>43800</v>
      </c>
      <c r="C1053" s="37">
        <v>43858.354000774743</v>
      </c>
      <c r="D1053" s="36" t="s">
        <v>195</v>
      </c>
      <c r="E1053" s="36"/>
      <c r="F1053" s="38">
        <v>29324874</v>
      </c>
      <c r="G1053" s="40">
        <f>VLOOKUP(A1053,'DATOS GENERALES'!A:B,2,0)</f>
        <v>1.1100000000000001</v>
      </c>
      <c r="H1053" s="36">
        <f t="shared" si="80"/>
        <v>1.104894</v>
      </c>
      <c r="I1053" s="38">
        <f t="shared" si="81"/>
        <v>26540893.515577059</v>
      </c>
      <c r="J1053" s="38">
        <f t="shared" si="82"/>
        <v>2783980.4844229408</v>
      </c>
      <c r="K1053" s="38">
        <v>9560630.19595729</v>
      </c>
      <c r="L1053" s="38">
        <f t="shared" si="83"/>
        <v>-6776649.7115343492</v>
      </c>
      <c r="M1053" s="41">
        <f>VLOOKUP(INDICADORES!$B$21,'DATOS GENERALES'!$K:$M,3,0)*F1053</f>
        <v>199585.86343098604</v>
      </c>
      <c r="N1053" s="38">
        <f t="shared" si="84"/>
        <v>-6976235.5749653354</v>
      </c>
      <c r="O1053" s="36"/>
      <c r="P1053" s="36"/>
      <c r="Q1053" s="36"/>
    </row>
    <row r="1054" spans="1:17" x14ac:dyDescent="0.25">
      <c r="A1054" s="36">
        <v>1890</v>
      </c>
      <c r="B1054" s="37">
        <v>43831</v>
      </c>
      <c r="C1054" s="37">
        <v>43923.82725831322</v>
      </c>
      <c r="D1054" s="36" t="s">
        <v>195</v>
      </c>
      <c r="E1054" s="36"/>
      <c r="F1054" s="38">
        <v>43647924</v>
      </c>
      <c r="G1054" s="40">
        <f>VLOOKUP(A1054,'DATOS GENERALES'!A:B,2,0)</f>
        <v>1.1100000000000001</v>
      </c>
      <c r="H1054" s="36">
        <f t="shared" si="80"/>
        <v>1.104894</v>
      </c>
      <c r="I1054" s="38">
        <f t="shared" si="81"/>
        <v>39504173.251008689</v>
      </c>
      <c r="J1054" s="38">
        <f t="shared" si="82"/>
        <v>4143750.7489913106</v>
      </c>
      <c r="K1054" s="38" t="s">
        <v>213</v>
      </c>
      <c r="L1054" s="38" t="str">
        <f t="shared" si="83"/>
        <v/>
      </c>
      <c r="M1054" s="41">
        <f>VLOOKUP(INDICADORES!$B$21,'DATOS GENERALES'!$K:$M,3,0)*F1054</f>
        <v>297068.91830157762</v>
      </c>
      <c r="N1054" s="38" t="str">
        <f t="shared" si="84"/>
        <v/>
      </c>
      <c r="O1054" s="36"/>
      <c r="P1054" s="36"/>
      <c r="Q1054" s="36"/>
    </row>
    <row r="1055" spans="1:17" x14ac:dyDescent="0.25">
      <c r="A1055" s="36">
        <v>1890</v>
      </c>
      <c r="B1055" s="37">
        <v>43862</v>
      </c>
      <c r="C1055" s="37">
        <v>43923.026156217937</v>
      </c>
      <c r="D1055" s="36" t="s">
        <v>195</v>
      </c>
      <c r="E1055" s="36"/>
      <c r="F1055" s="38">
        <v>43647924</v>
      </c>
      <c r="G1055" s="40">
        <f>VLOOKUP(A1055,'DATOS GENERALES'!A:B,2,0)</f>
        <v>1.1100000000000001</v>
      </c>
      <c r="H1055" s="36">
        <f t="shared" si="80"/>
        <v>1.104894</v>
      </c>
      <c r="I1055" s="38">
        <f t="shared" si="81"/>
        <v>39504173.251008689</v>
      </c>
      <c r="J1055" s="38">
        <f t="shared" si="82"/>
        <v>4143750.7489913106</v>
      </c>
      <c r="K1055" s="38" t="s">
        <v>213</v>
      </c>
      <c r="L1055" s="38" t="str">
        <f t="shared" si="83"/>
        <v/>
      </c>
      <c r="M1055" s="41">
        <f>VLOOKUP(INDICADORES!$B$21,'DATOS GENERALES'!$K:$M,3,0)*F1055</f>
        <v>297068.91830157762</v>
      </c>
      <c r="N1055" s="38" t="str">
        <f t="shared" si="84"/>
        <v/>
      </c>
      <c r="O1055" s="36"/>
      <c r="P1055" s="36"/>
      <c r="Q1055" s="36"/>
    </row>
    <row r="1056" spans="1:17" x14ac:dyDescent="0.25">
      <c r="A1056" s="36">
        <v>1890</v>
      </c>
      <c r="B1056" s="37">
        <v>43891</v>
      </c>
      <c r="C1056" s="37">
        <v>43939.761328315522</v>
      </c>
      <c r="D1056" s="36" t="s">
        <v>195</v>
      </c>
      <c r="E1056" s="36"/>
      <c r="F1056" s="38">
        <v>43647924</v>
      </c>
      <c r="G1056" s="40">
        <f>VLOOKUP(A1056,'DATOS GENERALES'!A:B,2,0)</f>
        <v>1.1100000000000001</v>
      </c>
      <c r="H1056" s="36">
        <f t="shared" si="80"/>
        <v>1.104894</v>
      </c>
      <c r="I1056" s="38">
        <f t="shared" si="81"/>
        <v>39504173.251008689</v>
      </c>
      <c r="J1056" s="38">
        <f t="shared" si="82"/>
        <v>4143750.7489913106</v>
      </c>
      <c r="K1056" s="38" t="s">
        <v>213</v>
      </c>
      <c r="L1056" s="38" t="str">
        <f t="shared" si="83"/>
        <v/>
      </c>
      <c r="M1056" s="41">
        <f>VLOOKUP(INDICADORES!$B$21,'DATOS GENERALES'!$K:$M,3,0)*F1056</f>
        <v>297068.91830157762</v>
      </c>
      <c r="N1056" s="38" t="str">
        <f t="shared" si="84"/>
        <v/>
      </c>
      <c r="O1056" s="36"/>
      <c r="P1056" s="36"/>
      <c r="Q1056" s="36"/>
    </row>
    <row r="1057" spans="1:17" x14ac:dyDescent="0.25">
      <c r="A1057" s="36">
        <v>1890</v>
      </c>
      <c r="B1057" s="37">
        <v>43922</v>
      </c>
      <c r="C1057" s="37">
        <v>43999.584700780004</v>
      </c>
      <c r="D1057" s="36" t="s">
        <v>195</v>
      </c>
      <c r="E1057" s="36"/>
      <c r="F1057" s="38">
        <v>43647924</v>
      </c>
      <c r="G1057" s="40">
        <f>VLOOKUP(A1057,'DATOS GENERALES'!A:B,2,0)</f>
        <v>1.1100000000000001</v>
      </c>
      <c r="H1057" s="36">
        <f t="shared" si="80"/>
        <v>1.104894</v>
      </c>
      <c r="I1057" s="38">
        <f t="shared" si="81"/>
        <v>39504173.251008689</v>
      </c>
      <c r="J1057" s="38">
        <f t="shared" si="82"/>
        <v>4143750.7489913106</v>
      </c>
      <c r="K1057" s="38" t="s">
        <v>213</v>
      </c>
      <c r="L1057" s="38" t="str">
        <f t="shared" si="83"/>
        <v/>
      </c>
      <c r="M1057" s="41">
        <f>VLOOKUP(INDICADORES!$B$21,'DATOS GENERALES'!$K:$M,3,0)*F1057</f>
        <v>297068.91830157762</v>
      </c>
      <c r="N1057" s="38" t="str">
        <f t="shared" si="84"/>
        <v/>
      </c>
      <c r="O1057" s="36"/>
      <c r="P1057" s="36"/>
      <c r="Q1057" s="36"/>
    </row>
    <row r="1058" spans="1:17" x14ac:dyDescent="0.25">
      <c r="A1058" s="36">
        <v>1890</v>
      </c>
      <c r="B1058" s="37">
        <v>43952</v>
      </c>
      <c r="C1058" s="37">
        <v>43980.799151073232</v>
      </c>
      <c r="D1058" s="36" t="s">
        <v>195</v>
      </c>
      <c r="E1058" s="36"/>
      <c r="F1058" s="38">
        <v>43647924</v>
      </c>
      <c r="G1058" s="40">
        <f>VLOOKUP(A1058,'DATOS GENERALES'!A:B,2,0)</f>
        <v>1.1100000000000001</v>
      </c>
      <c r="H1058" s="36">
        <f t="shared" si="80"/>
        <v>1.104894</v>
      </c>
      <c r="I1058" s="38">
        <f t="shared" si="81"/>
        <v>39504173.251008689</v>
      </c>
      <c r="J1058" s="38">
        <f t="shared" si="82"/>
        <v>4143750.7489913106</v>
      </c>
      <c r="K1058" s="38" t="s">
        <v>213</v>
      </c>
      <c r="L1058" s="38" t="str">
        <f t="shared" si="83"/>
        <v/>
      </c>
      <c r="M1058" s="41">
        <f>VLOOKUP(INDICADORES!$B$21,'DATOS GENERALES'!$K:$M,3,0)*F1058</f>
        <v>297068.91830157762</v>
      </c>
      <c r="N1058" s="38" t="str">
        <f t="shared" si="84"/>
        <v/>
      </c>
      <c r="O1058" s="36"/>
      <c r="P1058" s="36"/>
      <c r="Q1058" s="36"/>
    </row>
    <row r="1059" spans="1:17" x14ac:dyDescent="0.25">
      <c r="A1059" s="36">
        <v>1890</v>
      </c>
      <c r="B1059" s="37">
        <v>43983</v>
      </c>
      <c r="C1059" s="37">
        <v>44055.916876968447</v>
      </c>
      <c r="D1059" s="36" t="s">
        <v>195</v>
      </c>
      <c r="E1059" s="36"/>
      <c r="F1059" s="38">
        <v>43647924</v>
      </c>
      <c r="G1059" s="40">
        <f>VLOOKUP(A1059,'DATOS GENERALES'!A:B,2,0)</f>
        <v>1.1100000000000001</v>
      </c>
      <c r="H1059" s="36">
        <f t="shared" si="80"/>
        <v>1.104894</v>
      </c>
      <c r="I1059" s="38">
        <f t="shared" si="81"/>
        <v>39504173.251008689</v>
      </c>
      <c r="J1059" s="38">
        <f t="shared" si="82"/>
        <v>4143750.7489913106</v>
      </c>
      <c r="K1059" s="38" t="s">
        <v>213</v>
      </c>
      <c r="L1059" s="38" t="str">
        <f t="shared" si="83"/>
        <v/>
      </c>
      <c r="M1059" s="41">
        <f>VLOOKUP(INDICADORES!$B$21,'DATOS GENERALES'!$K:$M,3,0)*F1059</f>
        <v>297068.91830157762</v>
      </c>
      <c r="N1059" s="38" t="str">
        <f t="shared" si="84"/>
        <v/>
      </c>
      <c r="O1059" s="36"/>
      <c r="P1059" s="36"/>
      <c r="Q1059" s="36"/>
    </row>
    <row r="1060" spans="1:17" x14ac:dyDescent="0.25">
      <c r="A1060" s="36">
        <v>1890</v>
      </c>
      <c r="B1060" s="37">
        <v>44013</v>
      </c>
      <c r="C1060" s="37">
        <v>44039.413070596449</v>
      </c>
      <c r="D1060" s="36" t="s">
        <v>195</v>
      </c>
      <c r="E1060" s="36"/>
      <c r="F1060" s="38">
        <v>43647924</v>
      </c>
      <c r="G1060" s="40">
        <f>VLOOKUP(A1060,'DATOS GENERALES'!A:B,2,0)</f>
        <v>1.1100000000000001</v>
      </c>
      <c r="H1060" s="36">
        <f t="shared" si="80"/>
        <v>1.104894</v>
      </c>
      <c r="I1060" s="38">
        <f t="shared" si="81"/>
        <v>39504173.251008689</v>
      </c>
      <c r="J1060" s="38">
        <f t="shared" si="82"/>
        <v>4143750.7489913106</v>
      </c>
      <c r="K1060" s="38" t="s">
        <v>213</v>
      </c>
      <c r="L1060" s="38" t="str">
        <f t="shared" si="83"/>
        <v/>
      </c>
      <c r="M1060" s="41">
        <f>VLOOKUP(INDICADORES!$B$21,'DATOS GENERALES'!$K:$M,3,0)*F1060</f>
        <v>297068.91830157762</v>
      </c>
      <c r="N1060" s="38" t="str">
        <f t="shared" si="84"/>
        <v/>
      </c>
      <c r="O1060" s="36"/>
      <c r="P1060" s="36"/>
      <c r="Q1060" s="36"/>
    </row>
    <row r="1061" spans="1:17" x14ac:dyDescent="0.25">
      <c r="A1061" s="36">
        <v>1890</v>
      </c>
      <c r="B1061" s="37">
        <v>44044</v>
      </c>
      <c r="C1061" s="37">
        <v>44085.28596578283</v>
      </c>
      <c r="D1061" s="36" t="s">
        <v>195</v>
      </c>
      <c r="E1061" s="36"/>
      <c r="F1061" s="38">
        <v>43647924</v>
      </c>
      <c r="G1061" s="40">
        <f>VLOOKUP(A1061,'DATOS GENERALES'!A:B,2,0)</f>
        <v>1.1100000000000001</v>
      </c>
      <c r="H1061" s="36">
        <f t="shared" si="80"/>
        <v>1.104894</v>
      </c>
      <c r="I1061" s="38">
        <f t="shared" si="81"/>
        <v>39504173.251008689</v>
      </c>
      <c r="J1061" s="38">
        <f t="shared" si="82"/>
        <v>4143750.7489913106</v>
      </c>
      <c r="K1061" s="38" t="s">
        <v>213</v>
      </c>
      <c r="L1061" s="38" t="str">
        <f t="shared" si="83"/>
        <v/>
      </c>
      <c r="M1061" s="41">
        <f>VLOOKUP(INDICADORES!$B$21,'DATOS GENERALES'!$K:$M,3,0)*F1061</f>
        <v>297068.91830157762</v>
      </c>
      <c r="N1061" s="38" t="str">
        <f t="shared" si="84"/>
        <v/>
      </c>
      <c r="O1061" s="36"/>
      <c r="P1061" s="36"/>
      <c r="Q1061" s="36"/>
    </row>
    <row r="1062" spans="1:17" x14ac:dyDescent="0.25">
      <c r="A1062" s="36">
        <v>1890</v>
      </c>
      <c r="B1062" s="37">
        <v>44075</v>
      </c>
      <c r="C1062" s="37">
        <v>44114.267780958755</v>
      </c>
      <c r="D1062" s="36" t="s">
        <v>195</v>
      </c>
      <c r="E1062" s="36"/>
      <c r="F1062" s="38">
        <v>43647924</v>
      </c>
      <c r="G1062" s="40">
        <f>VLOOKUP(A1062,'DATOS GENERALES'!A:B,2,0)</f>
        <v>1.1100000000000001</v>
      </c>
      <c r="H1062" s="36">
        <f t="shared" si="80"/>
        <v>1.104894</v>
      </c>
      <c r="I1062" s="38">
        <f t="shared" si="81"/>
        <v>39504173.251008689</v>
      </c>
      <c r="J1062" s="38">
        <f t="shared" si="82"/>
        <v>4143750.7489913106</v>
      </c>
      <c r="K1062" s="38" t="s">
        <v>213</v>
      </c>
      <c r="L1062" s="38" t="str">
        <f t="shared" si="83"/>
        <v/>
      </c>
      <c r="M1062" s="41">
        <f>VLOOKUP(INDICADORES!$B$21,'DATOS GENERALES'!$K:$M,3,0)*F1062</f>
        <v>297068.91830157762</v>
      </c>
      <c r="N1062" s="38" t="str">
        <f t="shared" si="84"/>
        <v/>
      </c>
      <c r="O1062" s="36"/>
      <c r="P1062" s="36"/>
      <c r="Q1062" s="36"/>
    </row>
    <row r="1063" spans="1:17" x14ac:dyDescent="0.25">
      <c r="A1063" s="36">
        <v>1890</v>
      </c>
      <c r="B1063" s="37">
        <v>44105</v>
      </c>
      <c r="C1063" s="37">
        <v>44161.883003708746</v>
      </c>
      <c r="D1063" s="36" t="s">
        <v>195</v>
      </c>
      <c r="E1063" s="36"/>
      <c r="F1063" s="38">
        <v>43647924</v>
      </c>
      <c r="G1063" s="40">
        <f>VLOOKUP(A1063,'DATOS GENERALES'!A:B,2,0)</f>
        <v>1.1100000000000001</v>
      </c>
      <c r="H1063" s="36">
        <f t="shared" si="80"/>
        <v>1.104894</v>
      </c>
      <c r="I1063" s="38">
        <f t="shared" si="81"/>
        <v>39504173.251008689</v>
      </c>
      <c r="J1063" s="38">
        <f t="shared" si="82"/>
        <v>4143750.7489913106</v>
      </c>
      <c r="K1063" s="38" t="s">
        <v>213</v>
      </c>
      <c r="L1063" s="38" t="str">
        <f t="shared" si="83"/>
        <v/>
      </c>
      <c r="M1063" s="41">
        <f>VLOOKUP(INDICADORES!$B$21,'DATOS GENERALES'!$K:$M,3,0)*F1063</f>
        <v>297068.91830157762</v>
      </c>
      <c r="N1063" s="38" t="str">
        <f t="shared" si="84"/>
        <v/>
      </c>
      <c r="O1063" s="36"/>
      <c r="P1063" s="36"/>
      <c r="Q1063" s="36"/>
    </row>
    <row r="1064" spans="1:17" x14ac:dyDescent="0.25">
      <c r="A1064" s="36">
        <v>1890</v>
      </c>
      <c r="B1064" s="37">
        <v>44136</v>
      </c>
      <c r="C1064" s="37">
        <v>44158.456684992154</v>
      </c>
      <c r="D1064" s="36" t="s">
        <v>195</v>
      </c>
      <c r="E1064" s="36"/>
      <c r="F1064" s="38">
        <v>29413074</v>
      </c>
      <c r="G1064" s="40">
        <f>VLOOKUP(A1064,'DATOS GENERALES'!A:B,2,0)</f>
        <v>1.1100000000000001</v>
      </c>
      <c r="H1064" s="36">
        <f t="shared" si="80"/>
        <v>1.104894</v>
      </c>
      <c r="I1064" s="38">
        <f t="shared" si="81"/>
        <v>26620720.177682202</v>
      </c>
      <c r="J1064" s="38">
        <f t="shared" si="82"/>
        <v>2792353.8223177977</v>
      </c>
      <c r="K1064" s="38" t="s">
        <v>213</v>
      </c>
      <c r="L1064" s="38" t="str">
        <f t="shared" si="83"/>
        <v/>
      </c>
      <c r="M1064" s="41">
        <f>VLOOKUP(INDICADORES!$B$21,'DATOS GENERALES'!$K:$M,3,0)*F1064</f>
        <v>200186.15494987246</v>
      </c>
      <c r="N1064" s="38" t="str">
        <f t="shared" si="84"/>
        <v/>
      </c>
      <c r="O1064" s="36"/>
      <c r="P1064" s="36"/>
      <c r="Q1064" s="36"/>
    </row>
    <row r="1065" spans="1:17" x14ac:dyDescent="0.25">
      <c r="A1065" s="36">
        <v>1890</v>
      </c>
      <c r="B1065" s="37">
        <v>44166</v>
      </c>
      <c r="C1065" s="37">
        <v>44209.020185723515</v>
      </c>
      <c r="D1065" s="36" t="s">
        <v>195</v>
      </c>
      <c r="E1065" s="36"/>
      <c r="F1065" s="38">
        <v>29413074</v>
      </c>
      <c r="G1065" s="40">
        <f>VLOOKUP(A1065,'DATOS GENERALES'!A:B,2,0)</f>
        <v>1.1100000000000001</v>
      </c>
      <c r="H1065" s="36">
        <f t="shared" si="80"/>
        <v>1.104894</v>
      </c>
      <c r="I1065" s="38">
        <f t="shared" si="81"/>
        <v>26620720.177682202</v>
      </c>
      <c r="J1065" s="38">
        <f t="shared" si="82"/>
        <v>2792353.8223177977</v>
      </c>
      <c r="K1065" s="38" t="s">
        <v>213</v>
      </c>
      <c r="L1065" s="38" t="str">
        <f t="shared" si="83"/>
        <v/>
      </c>
      <c r="M1065" s="41">
        <f>VLOOKUP(INDICADORES!$B$21,'DATOS GENERALES'!$K:$M,3,0)*F1065</f>
        <v>200186.15494987246</v>
      </c>
      <c r="N1065" s="38" t="str">
        <f t="shared" si="84"/>
        <v/>
      </c>
      <c r="O1065" s="36"/>
      <c r="P1065" s="36"/>
      <c r="Q1065" s="36"/>
    </row>
    <row r="1066" spans="1:17" x14ac:dyDescent="0.25">
      <c r="A1066" s="36">
        <v>1618</v>
      </c>
      <c r="B1066" s="37">
        <v>43466</v>
      </c>
      <c r="C1066" s="37">
        <v>43541.308355550726</v>
      </c>
      <c r="D1066" s="36" t="s">
        <v>195</v>
      </c>
      <c r="E1066" s="36"/>
      <c r="F1066" s="38">
        <v>33554950.015926875</v>
      </c>
      <c r="G1066" s="40">
        <f>VLOOKUP(A1066,'DATOS GENERALES'!A:B,2,0)</f>
        <v>1.97</v>
      </c>
      <c r="H1066" s="36">
        <f t="shared" si="80"/>
        <v>1.9609379999999998</v>
      </c>
      <c r="I1066" s="38">
        <f t="shared" si="81"/>
        <v>17111683.294386093</v>
      </c>
      <c r="J1066" s="38">
        <f t="shared" si="82"/>
        <v>16443266.721540783</v>
      </c>
      <c r="K1066" s="38">
        <v>3754617.2246648986</v>
      </c>
      <c r="L1066" s="38">
        <f t="shared" si="83"/>
        <v>12688649.496875884</v>
      </c>
      <c r="M1066" s="41">
        <f>VLOOKUP(INDICADORES!$B$21,'DATOS GENERALES'!$K:$M,3,0)*F1066</f>
        <v>228375.87200928279</v>
      </c>
      <c r="N1066" s="38">
        <f t="shared" si="84"/>
        <v>12460273.624866601</v>
      </c>
      <c r="O1066" s="36"/>
      <c r="P1066" s="36"/>
      <c r="Q1066" s="36"/>
    </row>
    <row r="1067" spans="1:17" x14ac:dyDescent="0.25">
      <c r="A1067" s="36">
        <v>1618</v>
      </c>
      <c r="B1067" s="37">
        <v>43497</v>
      </c>
      <c r="C1067" s="37">
        <v>43558.842666563869</v>
      </c>
      <c r="D1067" s="36" t="s">
        <v>195</v>
      </c>
      <c r="E1067" s="36"/>
      <c r="F1067" s="38">
        <v>13267655.116172869</v>
      </c>
      <c r="G1067" s="40">
        <f>VLOOKUP(A1067,'DATOS GENERALES'!A:B,2,0)</f>
        <v>1.97</v>
      </c>
      <c r="H1067" s="36">
        <f t="shared" si="80"/>
        <v>1.9609379999999998</v>
      </c>
      <c r="I1067" s="38">
        <f t="shared" si="81"/>
        <v>6765973.7922223294</v>
      </c>
      <c r="J1067" s="38">
        <f t="shared" si="82"/>
        <v>6501681.3239505393</v>
      </c>
      <c r="K1067" s="38">
        <v>1462518.3307391868</v>
      </c>
      <c r="L1067" s="38">
        <f t="shared" si="83"/>
        <v>5039162.9932113523</v>
      </c>
      <c r="M1067" s="41">
        <f>VLOOKUP(INDICADORES!$B$21,'DATOS GENERALES'!$K:$M,3,0)*F1067</f>
        <v>90300.009543635257</v>
      </c>
      <c r="N1067" s="38">
        <f t="shared" si="84"/>
        <v>4948862.9836677173</v>
      </c>
      <c r="O1067" s="36"/>
      <c r="P1067" s="36"/>
      <c r="Q1067" s="36"/>
    </row>
    <row r="1068" spans="1:17" x14ac:dyDescent="0.25">
      <c r="A1068" s="36">
        <v>1715</v>
      </c>
      <c r="B1068" s="37">
        <v>43466</v>
      </c>
      <c r="C1068" s="37">
        <v>43507.819345855314</v>
      </c>
      <c r="D1068" s="36" t="s">
        <v>195</v>
      </c>
      <c r="E1068" s="36"/>
      <c r="F1068" s="38">
        <v>55849596.75</v>
      </c>
      <c r="G1068" s="40">
        <f>VLOOKUP(A1068,'DATOS GENERALES'!A:B,2,0)</f>
        <v>1.93</v>
      </c>
      <c r="H1068" s="36">
        <f t="shared" si="80"/>
        <v>1.9211219999999998</v>
      </c>
      <c r="I1068" s="38">
        <f t="shared" si="81"/>
        <v>29071343.074515834</v>
      </c>
      <c r="J1068" s="38">
        <f t="shared" si="82"/>
        <v>26778253.675484166</v>
      </c>
      <c r="K1068" s="38">
        <v>6378785.977620896</v>
      </c>
      <c r="L1068" s="38">
        <f t="shared" si="83"/>
        <v>20399467.69786327</v>
      </c>
      <c r="M1068" s="41">
        <f>VLOOKUP(INDICADORES!$B$21,'DATOS GENERALES'!$K:$M,3,0)*F1068</f>
        <v>380113.82383505354</v>
      </c>
      <c r="N1068" s="38">
        <f t="shared" si="84"/>
        <v>20019353.874028217</v>
      </c>
      <c r="O1068" s="36"/>
      <c r="P1068" s="36"/>
      <c r="Q1068" s="36"/>
    </row>
    <row r="1069" spans="1:17" x14ac:dyDescent="0.25">
      <c r="A1069" s="36">
        <v>1715</v>
      </c>
      <c r="B1069" s="37">
        <v>43497</v>
      </c>
      <c r="C1069" s="37">
        <v>43575.413320854292</v>
      </c>
      <c r="D1069" s="36" t="s">
        <v>195</v>
      </c>
      <c r="E1069" s="36"/>
      <c r="F1069" s="38">
        <v>55849596.75</v>
      </c>
      <c r="G1069" s="40">
        <f>VLOOKUP(A1069,'DATOS GENERALES'!A:B,2,0)</f>
        <v>1.93</v>
      </c>
      <c r="H1069" s="36">
        <f t="shared" si="80"/>
        <v>1.9211219999999998</v>
      </c>
      <c r="I1069" s="38">
        <f t="shared" si="81"/>
        <v>29071343.074515834</v>
      </c>
      <c r="J1069" s="38">
        <f t="shared" si="82"/>
        <v>26778253.675484166</v>
      </c>
      <c r="K1069" s="38">
        <v>6283998.9410780743</v>
      </c>
      <c r="L1069" s="38">
        <f t="shared" si="83"/>
        <v>20494254.734406091</v>
      </c>
      <c r="M1069" s="41">
        <f>VLOOKUP(INDICADORES!$B$21,'DATOS GENERALES'!$K:$M,3,0)*F1069</f>
        <v>380113.82383505354</v>
      </c>
      <c r="N1069" s="38">
        <f t="shared" si="84"/>
        <v>20114140.910571039</v>
      </c>
      <c r="O1069" s="36"/>
      <c r="P1069" s="36"/>
      <c r="Q1069" s="36"/>
    </row>
    <row r="1070" spans="1:17" x14ac:dyDescent="0.25">
      <c r="A1070" s="36">
        <v>1715</v>
      </c>
      <c r="B1070" s="37">
        <v>43525</v>
      </c>
      <c r="C1070" s="37">
        <v>43570.898621856271</v>
      </c>
      <c r="D1070" s="36" t="s">
        <v>195</v>
      </c>
      <c r="E1070" s="36"/>
      <c r="F1070" s="38">
        <v>55849596.75</v>
      </c>
      <c r="G1070" s="40">
        <f>VLOOKUP(A1070,'DATOS GENERALES'!A:B,2,0)</f>
        <v>1.93</v>
      </c>
      <c r="H1070" s="36">
        <f t="shared" si="80"/>
        <v>1.9211219999999998</v>
      </c>
      <c r="I1070" s="38">
        <f t="shared" si="81"/>
        <v>29071343.074515834</v>
      </c>
      <c r="J1070" s="38">
        <f t="shared" si="82"/>
        <v>26778253.675484166</v>
      </c>
      <c r="K1070" s="38">
        <v>4546395.294261572</v>
      </c>
      <c r="L1070" s="38">
        <f t="shared" si="83"/>
        <v>22231858.381222595</v>
      </c>
      <c r="M1070" s="41">
        <f>VLOOKUP(INDICADORES!$B$21,'DATOS GENERALES'!$K:$M,3,0)*F1070</f>
        <v>380113.82383505354</v>
      </c>
      <c r="N1070" s="38">
        <f t="shared" si="84"/>
        <v>21851744.557387542</v>
      </c>
      <c r="O1070" s="36"/>
      <c r="P1070" s="36"/>
      <c r="Q1070" s="36"/>
    </row>
    <row r="1071" spans="1:17" x14ac:dyDescent="0.25">
      <c r="A1071" s="36">
        <v>1837</v>
      </c>
      <c r="B1071" s="37">
        <v>43466</v>
      </c>
      <c r="C1071" s="37">
        <v>43510.971068661143</v>
      </c>
      <c r="D1071" s="36" t="s">
        <v>195</v>
      </c>
      <c r="E1071" s="36"/>
      <c r="F1071" s="38">
        <v>24433339.875</v>
      </c>
      <c r="G1071" s="40">
        <f>VLOOKUP(A1071,'DATOS GENERALES'!A:B,2,0)</f>
        <v>1.98</v>
      </c>
      <c r="H1071" s="36">
        <f t="shared" si="80"/>
        <v>1.9708919999999999</v>
      </c>
      <c r="I1071" s="38">
        <f t="shared" si="81"/>
        <v>12397097.291480204</v>
      </c>
      <c r="J1071" s="38">
        <f t="shared" si="82"/>
        <v>12036242.583519796</v>
      </c>
      <c r="K1071" s="38">
        <v>2720150.5676363707</v>
      </c>
      <c r="L1071" s="38">
        <f t="shared" si="83"/>
        <v>9316092.0158834253</v>
      </c>
      <c r="M1071" s="41">
        <f>VLOOKUP(INDICADORES!$B$21,'DATOS GENERALES'!$K:$M,3,0)*F1071</f>
        <v>166293.95357179083</v>
      </c>
      <c r="N1071" s="38">
        <f t="shared" si="84"/>
        <v>9149798.0623116344</v>
      </c>
      <c r="O1071" s="36"/>
      <c r="P1071" s="36"/>
      <c r="Q1071" s="36"/>
    </row>
    <row r="1072" spans="1:17" x14ac:dyDescent="0.25">
      <c r="A1072" s="36">
        <v>1837</v>
      </c>
      <c r="B1072" s="37">
        <v>43497</v>
      </c>
      <c r="C1072" s="37">
        <v>43548.757280316844</v>
      </c>
      <c r="D1072" s="36" t="s">
        <v>195</v>
      </c>
      <c r="E1072" s="36"/>
      <c r="F1072" s="38">
        <v>24433339.875</v>
      </c>
      <c r="G1072" s="40">
        <f>VLOOKUP(A1072,'DATOS GENERALES'!A:B,2,0)</f>
        <v>1.98</v>
      </c>
      <c r="H1072" s="36">
        <f t="shared" si="80"/>
        <v>1.9708919999999999</v>
      </c>
      <c r="I1072" s="38">
        <f t="shared" si="81"/>
        <v>12397097.291480204</v>
      </c>
      <c r="J1072" s="38">
        <f t="shared" si="82"/>
        <v>12036242.583519796</v>
      </c>
      <c r="K1072" s="38">
        <v>2679729.8649883894</v>
      </c>
      <c r="L1072" s="38">
        <f t="shared" si="83"/>
        <v>9356512.7185314074</v>
      </c>
      <c r="M1072" s="41">
        <f>VLOOKUP(INDICADORES!$B$21,'DATOS GENERALES'!$K:$M,3,0)*F1072</f>
        <v>166293.95357179083</v>
      </c>
      <c r="N1072" s="38">
        <f t="shared" si="84"/>
        <v>9190218.7649596166</v>
      </c>
      <c r="O1072" s="36"/>
      <c r="P1072" s="36"/>
      <c r="Q1072" s="36"/>
    </row>
    <row r="1073" spans="1:17" x14ac:dyDescent="0.25">
      <c r="A1073" s="36">
        <v>1845</v>
      </c>
      <c r="B1073" s="37">
        <v>43497</v>
      </c>
      <c r="C1073" s="37">
        <v>43556.846163855618</v>
      </c>
      <c r="D1073" s="36" t="s">
        <v>195</v>
      </c>
      <c r="E1073" s="36"/>
      <c r="F1073" s="38">
        <v>43907512.694785044</v>
      </c>
      <c r="G1073" s="40">
        <f>VLOOKUP(A1073,'DATOS GENERALES'!A:B,2,0)</f>
        <v>1</v>
      </c>
      <c r="H1073" s="36">
        <f t="shared" si="80"/>
        <v>0.99539999999999995</v>
      </c>
      <c r="I1073" s="38">
        <f t="shared" si="81"/>
        <v>44110420.62968158</v>
      </c>
      <c r="J1073" s="38">
        <f t="shared" si="82"/>
        <v>-202907.93489653617</v>
      </c>
      <c r="K1073" s="38">
        <v>9534813.5728346948</v>
      </c>
      <c r="L1073" s="38">
        <f t="shared" si="83"/>
        <v>-9737721.5077312309</v>
      </c>
      <c r="M1073" s="41">
        <f>VLOOKUP(INDICADORES!$B$21,'DATOS GENERALES'!$K:$M,3,0)*F1073</f>
        <v>298835.68578319054</v>
      </c>
      <c r="N1073" s="38">
        <f t="shared" si="84"/>
        <v>-10036557.193514422</v>
      </c>
      <c r="O1073" s="36"/>
      <c r="P1073" s="36"/>
      <c r="Q1073" s="36"/>
    </row>
    <row r="1074" spans="1:17" x14ac:dyDescent="0.25">
      <c r="A1074" s="36">
        <v>1845</v>
      </c>
      <c r="B1074" s="37">
        <v>43525</v>
      </c>
      <c r="C1074" s="37">
        <v>43600.477569631796</v>
      </c>
      <c r="D1074" s="36" t="s">
        <v>195</v>
      </c>
      <c r="E1074" s="36"/>
      <c r="F1074" s="38">
        <v>43907512.694785044</v>
      </c>
      <c r="G1074" s="40">
        <f>VLOOKUP(A1074,'DATOS GENERALES'!A:B,2,0)</f>
        <v>1</v>
      </c>
      <c r="H1074" s="36">
        <f t="shared" si="80"/>
        <v>0.99539999999999995</v>
      </c>
      <c r="I1074" s="38">
        <f t="shared" si="81"/>
        <v>44110420.62968158</v>
      </c>
      <c r="J1074" s="38">
        <f t="shared" si="82"/>
        <v>-202907.93489653617</v>
      </c>
      <c r="K1074" s="38">
        <v>6898319.3609132143</v>
      </c>
      <c r="L1074" s="38">
        <f t="shared" si="83"/>
        <v>-7101227.2958097504</v>
      </c>
      <c r="M1074" s="41">
        <f>VLOOKUP(INDICADORES!$B$21,'DATOS GENERALES'!$K:$M,3,0)*F1074</f>
        <v>298835.68578319054</v>
      </c>
      <c r="N1074" s="38">
        <f t="shared" si="84"/>
        <v>-7400062.9815929411</v>
      </c>
      <c r="O1074" s="36"/>
      <c r="P1074" s="36"/>
      <c r="Q1074" s="36"/>
    </row>
    <row r="1075" spans="1:17" x14ac:dyDescent="0.25">
      <c r="A1075" s="36">
        <v>1845</v>
      </c>
      <c r="B1075" s="37">
        <v>43556</v>
      </c>
      <c r="C1075" s="37">
        <v>43652.574157814066</v>
      </c>
      <c r="D1075" s="36" t="s">
        <v>195</v>
      </c>
      <c r="E1075" s="36"/>
      <c r="F1075" s="38">
        <v>43907512.694785044</v>
      </c>
      <c r="G1075" s="40">
        <f>VLOOKUP(A1075,'DATOS GENERALES'!A:B,2,0)</f>
        <v>1</v>
      </c>
      <c r="H1075" s="36">
        <f t="shared" si="80"/>
        <v>0.99539999999999995</v>
      </c>
      <c r="I1075" s="38">
        <f t="shared" si="81"/>
        <v>44110420.62968158</v>
      </c>
      <c r="J1075" s="38">
        <f t="shared" si="82"/>
        <v>-202907.93489653617</v>
      </c>
      <c r="K1075" s="38">
        <v>7091992.2167569455</v>
      </c>
      <c r="L1075" s="38">
        <f t="shared" si="83"/>
        <v>-7294900.1516534816</v>
      </c>
      <c r="M1075" s="41">
        <f>VLOOKUP(INDICADORES!$B$21,'DATOS GENERALES'!$K:$M,3,0)*F1075</f>
        <v>298835.68578319054</v>
      </c>
      <c r="N1075" s="38">
        <f t="shared" si="84"/>
        <v>-7593735.8374366723</v>
      </c>
      <c r="O1075" s="36"/>
      <c r="P1075" s="36"/>
      <c r="Q1075" s="36"/>
    </row>
    <row r="1076" spans="1:17" x14ac:dyDescent="0.25">
      <c r="A1076" s="36">
        <v>1845</v>
      </c>
      <c r="B1076" s="37">
        <v>43586</v>
      </c>
      <c r="C1076" s="37">
        <v>43646.889311361476</v>
      </c>
      <c r="D1076" s="36" t="s">
        <v>195</v>
      </c>
      <c r="E1076" s="36"/>
      <c r="F1076" s="38">
        <v>43907512.694785044</v>
      </c>
      <c r="G1076" s="40">
        <f>VLOOKUP(A1076,'DATOS GENERALES'!A:B,2,0)</f>
        <v>1</v>
      </c>
      <c r="H1076" s="36">
        <f t="shared" si="80"/>
        <v>0.99539999999999995</v>
      </c>
      <c r="I1076" s="38">
        <f t="shared" si="81"/>
        <v>44110420.62968158</v>
      </c>
      <c r="J1076" s="38">
        <f t="shared" si="82"/>
        <v>-202907.93489653617</v>
      </c>
      <c r="K1076" s="38">
        <v>5850397.6042798823</v>
      </c>
      <c r="L1076" s="38">
        <f t="shared" si="83"/>
        <v>-6053305.5391764184</v>
      </c>
      <c r="M1076" s="41">
        <f>VLOOKUP(INDICADORES!$B$21,'DATOS GENERALES'!$K:$M,3,0)*F1076</f>
        <v>298835.68578319054</v>
      </c>
      <c r="N1076" s="38">
        <f t="shared" si="84"/>
        <v>-6352141.2249596091</v>
      </c>
      <c r="O1076" s="36"/>
      <c r="P1076" s="36"/>
      <c r="Q1076" s="36"/>
    </row>
    <row r="1077" spans="1:17" x14ac:dyDescent="0.25">
      <c r="A1077" s="36">
        <v>1845</v>
      </c>
      <c r="B1077" s="37">
        <v>43617</v>
      </c>
      <c r="C1077" s="37">
        <v>43704.246881985906</v>
      </c>
      <c r="D1077" s="36" t="s">
        <v>195</v>
      </c>
      <c r="E1077" s="36"/>
      <c r="F1077" s="38">
        <v>43907512.694785044</v>
      </c>
      <c r="G1077" s="40">
        <f>VLOOKUP(A1077,'DATOS GENERALES'!A:B,2,0)</f>
        <v>1</v>
      </c>
      <c r="H1077" s="36">
        <f t="shared" si="80"/>
        <v>0.99539999999999995</v>
      </c>
      <c r="I1077" s="38">
        <f t="shared" si="81"/>
        <v>44110420.62968158</v>
      </c>
      <c r="J1077" s="38">
        <f t="shared" si="82"/>
        <v>-202907.93489653617</v>
      </c>
      <c r="K1077" s="38">
        <v>7867414.7055124799</v>
      </c>
      <c r="L1077" s="38">
        <f t="shared" si="83"/>
        <v>-8070322.6404090161</v>
      </c>
      <c r="M1077" s="41">
        <f>VLOOKUP(INDICADORES!$B$21,'DATOS GENERALES'!$K:$M,3,0)*F1077</f>
        <v>298835.68578319054</v>
      </c>
      <c r="N1077" s="38">
        <f t="shared" si="84"/>
        <v>-8369158.3261922067</v>
      </c>
      <c r="O1077" s="36"/>
      <c r="P1077" s="36"/>
      <c r="Q1077" s="36"/>
    </row>
    <row r="1078" spans="1:17" x14ac:dyDescent="0.25">
      <c r="A1078" s="36">
        <v>1845</v>
      </c>
      <c r="B1078" s="37">
        <v>43647</v>
      </c>
      <c r="C1078" s="37">
        <v>43695.33363786227</v>
      </c>
      <c r="D1078" s="36" t="s">
        <v>195</v>
      </c>
      <c r="E1078" s="36"/>
      <c r="F1078" s="38">
        <v>43907512.694785044</v>
      </c>
      <c r="G1078" s="40">
        <f>VLOOKUP(A1078,'DATOS GENERALES'!A:B,2,0)</f>
        <v>1</v>
      </c>
      <c r="H1078" s="36">
        <f t="shared" si="80"/>
        <v>0.99539999999999995</v>
      </c>
      <c r="I1078" s="38">
        <f t="shared" si="81"/>
        <v>44110420.62968158</v>
      </c>
      <c r="J1078" s="38">
        <f t="shared" si="82"/>
        <v>-202907.93489653617</v>
      </c>
      <c r="K1078" s="38">
        <v>11732636.40487621</v>
      </c>
      <c r="L1078" s="38">
        <f t="shared" si="83"/>
        <v>-11935544.339772746</v>
      </c>
      <c r="M1078" s="41">
        <f>VLOOKUP(INDICADORES!$B$21,'DATOS GENERALES'!$K:$M,3,0)*F1078</f>
        <v>298835.68578319054</v>
      </c>
      <c r="N1078" s="38">
        <f t="shared" si="84"/>
        <v>-12234380.025555937</v>
      </c>
      <c r="O1078" s="36"/>
      <c r="P1078" s="36"/>
      <c r="Q1078" s="36"/>
    </row>
    <row r="1079" spans="1:17" x14ac:dyDescent="0.25">
      <c r="A1079" s="36">
        <v>1845</v>
      </c>
      <c r="B1079" s="37">
        <v>43678</v>
      </c>
      <c r="C1079" s="37">
        <v>43736.335910010137</v>
      </c>
      <c r="D1079" s="36" t="s">
        <v>195</v>
      </c>
      <c r="E1079" s="36"/>
      <c r="F1079" s="38">
        <v>43907512.694785044</v>
      </c>
      <c r="G1079" s="40">
        <f>VLOOKUP(A1079,'DATOS GENERALES'!A:B,2,0)</f>
        <v>1</v>
      </c>
      <c r="H1079" s="36">
        <f t="shared" si="80"/>
        <v>0.99539999999999995</v>
      </c>
      <c r="I1079" s="38">
        <f t="shared" si="81"/>
        <v>44110420.62968158</v>
      </c>
      <c r="J1079" s="38">
        <f t="shared" si="82"/>
        <v>-202907.93489653617</v>
      </c>
      <c r="K1079" s="38">
        <v>11545339.597790498</v>
      </c>
      <c r="L1079" s="38">
        <f t="shared" si="83"/>
        <v>-11748247.532687034</v>
      </c>
      <c r="M1079" s="41">
        <f>VLOOKUP(INDICADORES!$B$21,'DATOS GENERALES'!$K:$M,3,0)*F1079</f>
        <v>298835.68578319054</v>
      </c>
      <c r="N1079" s="38">
        <f t="shared" si="84"/>
        <v>-12047083.218470225</v>
      </c>
      <c r="O1079" s="36"/>
      <c r="P1079" s="36"/>
      <c r="Q1079" s="36"/>
    </row>
    <row r="1080" spans="1:17" x14ac:dyDescent="0.25">
      <c r="A1080" s="36">
        <v>1385</v>
      </c>
      <c r="B1080" s="37">
        <v>43466</v>
      </c>
      <c r="C1080" s="37">
        <v>43558.273419777521</v>
      </c>
      <c r="D1080" s="36" t="s">
        <v>195</v>
      </c>
      <c r="E1080" s="36"/>
      <c r="F1080" s="38">
        <v>134267225.40000004</v>
      </c>
      <c r="G1080" s="40">
        <f>VLOOKUP(A1080,'DATOS GENERALES'!A:B,2,0)</f>
        <v>1.64</v>
      </c>
      <c r="H1080" s="36">
        <f t="shared" si="80"/>
        <v>1.6324559999999999</v>
      </c>
      <c r="I1080" s="38">
        <f t="shared" si="81"/>
        <v>82248602.963877767</v>
      </c>
      <c r="J1080" s="38">
        <f t="shared" si="82"/>
        <v>52018622.436122268</v>
      </c>
      <c r="K1080" s="38">
        <v>18046852.321893618</v>
      </c>
      <c r="L1080" s="38">
        <f t="shared" si="83"/>
        <v>33971770.114228651</v>
      </c>
      <c r="M1080" s="41">
        <f>VLOOKUP(INDICADORES!$B$21,'DATOS GENERALES'!$K:$M,3,0)*F1080</f>
        <v>913826.26612280845</v>
      </c>
      <c r="N1080" s="38">
        <f t="shared" si="84"/>
        <v>33057943.848105844</v>
      </c>
      <c r="O1080" s="36"/>
      <c r="P1080" s="36"/>
      <c r="Q1080" s="36"/>
    </row>
    <row r="1081" spans="1:17" x14ac:dyDescent="0.25">
      <c r="A1081" s="36">
        <v>1385</v>
      </c>
      <c r="B1081" s="37">
        <v>43497</v>
      </c>
      <c r="C1081" s="37">
        <v>43552.338244488667</v>
      </c>
      <c r="D1081" s="36" t="s">
        <v>195</v>
      </c>
      <c r="E1081" s="36"/>
      <c r="F1081" s="38">
        <v>134267225.40000004</v>
      </c>
      <c r="G1081" s="40">
        <f>VLOOKUP(A1081,'DATOS GENERALES'!A:B,2,0)</f>
        <v>1.64</v>
      </c>
      <c r="H1081" s="36">
        <f t="shared" si="80"/>
        <v>1.6324559999999999</v>
      </c>
      <c r="I1081" s="38">
        <f t="shared" si="81"/>
        <v>82248602.963877767</v>
      </c>
      <c r="J1081" s="38">
        <f t="shared" si="82"/>
        <v>52018622.436122268</v>
      </c>
      <c r="K1081" s="38">
        <v>17778680.971338872</v>
      </c>
      <c r="L1081" s="38">
        <f t="shared" si="83"/>
        <v>34239941.4647834</v>
      </c>
      <c r="M1081" s="41">
        <f>VLOOKUP(INDICADORES!$B$21,'DATOS GENERALES'!$K:$M,3,0)*F1081</f>
        <v>913826.26612280845</v>
      </c>
      <c r="N1081" s="38">
        <f t="shared" si="84"/>
        <v>33326115.198660593</v>
      </c>
      <c r="O1081" s="36"/>
      <c r="P1081" s="36"/>
      <c r="Q1081" s="36"/>
    </row>
    <row r="1082" spans="1:17" x14ac:dyDescent="0.25">
      <c r="A1082" s="36">
        <v>1385</v>
      </c>
      <c r="B1082" s="37">
        <v>43525</v>
      </c>
      <c r="C1082" s="37">
        <v>43573.138871510862</v>
      </c>
      <c r="D1082" s="36" t="s">
        <v>195</v>
      </c>
      <c r="E1082" s="36"/>
      <c r="F1082" s="38">
        <v>134267225.40000004</v>
      </c>
      <c r="G1082" s="40">
        <f>VLOOKUP(A1082,'DATOS GENERALES'!A:B,2,0)</f>
        <v>1.64</v>
      </c>
      <c r="H1082" s="36">
        <f t="shared" si="80"/>
        <v>1.6324559999999999</v>
      </c>
      <c r="I1082" s="38">
        <f t="shared" si="81"/>
        <v>82248602.963877767</v>
      </c>
      <c r="J1082" s="38">
        <f t="shared" si="82"/>
        <v>52018622.436122268</v>
      </c>
      <c r="K1082" s="38">
        <v>12862655.1761331</v>
      </c>
      <c r="L1082" s="38">
        <f t="shared" si="83"/>
        <v>39155967.259989172</v>
      </c>
      <c r="M1082" s="41">
        <f>VLOOKUP(INDICADORES!$B$21,'DATOS GENERALES'!$K:$M,3,0)*F1082</f>
        <v>913826.26612280845</v>
      </c>
      <c r="N1082" s="38">
        <f t="shared" si="84"/>
        <v>38242140.993866362</v>
      </c>
      <c r="O1082" s="36"/>
      <c r="P1082" s="36"/>
      <c r="Q1082" s="36"/>
    </row>
    <row r="1083" spans="1:17" x14ac:dyDescent="0.25">
      <c r="A1083" s="36">
        <v>1385</v>
      </c>
      <c r="B1083" s="37">
        <v>43556</v>
      </c>
      <c r="C1083" s="37">
        <v>43611.265299461855</v>
      </c>
      <c r="D1083" s="36" t="s">
        <v>195</v>
      </c>
      <c r="E1083" s="36"/>
      <c r="F1083" s="38">
        <v>134267225.40000004</v>
      </c>
      <c r="G1083" s="40">
        <f>VLOOKUP(A1083,'DATOS GENERALES'!A:B,2,0)</f>
        <v>1.64</v>
      </c>
      <c r="H1083" s="36">
        <f t="shared" si="80"/>
        <v>1.6324559999999999</v>
      </c>
      <c r="I1083" s="38">
        <f t="shared" si="81"/>
        <v>82248602.963877767</v>
      </c>
      <c r="J1083" s="38">
        <f t="shared" si="82"/>
        <v>52018622.436122268</v>
      </c>
      <c r="K1083" s="38">
        <v>13223778.955906186</v>
      </c>
      <c r="L1083" s="38">
        <f t="shared" si="83"/>
        <v>38794843.480216086</v>
      </c>
      <c r="M1083" s="41">
        <f>VLOOKUP(INDICADORES!$B$21,'DATOS GENERALES'!$K:$M,3,0)*F1083</f>
        <v>913826.26612280845</v>
      </c>
      <c r="N1083" s="38">
        <f t="shared" si="84"/>
        <v>37881017.214093275</v>
      </c>
      <c r="O1083" s="36"/>
      <c r="P1083" s="36"/>
      <c r="Q1083" s="36"/>
    </row>
    <row r="1084" spans="1:17" x14ac:dyDescent="0.25">
      <c r="A1084" s="36">
        <v>1385</v>
      </c>
      <c r="B1084" s="37">
        <v>43586</v>
      </c>
      <c r="C1084" s="37">
        <v>43642.73121037391</v>
      </c>
      <c r="D1084" s="36" t="s">
        <v>195</v>
      </c>
      <c r="E1084" s="36"/>
      <c r="F1084" s="38">
        <v>134267225.40000004</v>
      </c>
      <c r="G1084" s="40">
        <f>VLOOKUP(A1084,'DATOS GENERALES'!A:B,2,0)</f>
        <v>1.64</v>
      </c>
      <c r="H1084" s="36">
        <f t="shared" si="80"/>
        <v>1.6324559999999999</v>
      </c>
      <c r="I1084" s="38">
        <f t="shared" si="81"/>
        <v>82248602.963877767</v>
      </c>
      <c r="J1084" s="38">
        <f t="shared" si="82"/>
        <v>52018622.436122268</v>
      </c>
      <c r="K1084" s="38">
        <v>10908692.840971244</v>
      </c>
      <c r="L1084" s="38">
        <f t="shared" si="83"/>
        <v>41109929.595151022</v>
      </c>
      <c r="M1084" s="41">
        <f>VLOOKUP(INDICADORES!$B$21,'DATOS GENERALES'!$K:$M,3,0)*F1084</f>
        <v>913826.26612280845</v>
      </c>
      <c r="N1084" s="38">
        <f t="shared" si="84"/>
        <v>40196103.329028212</v>
      </c>
      <c r="O1084" s="36"/>
      <c r="P1084" s="36"/>
      <c r="Q1084" s="36"/>
    </row>
    <row r="1085" spans="1:17" x14ac:dyDescent="0.25">
      <c r="A1085" s="36">
        <v>1899</v>
      </c>
      <c r="B1085" s="37">
        <v>43525</v>
      </c>
      <c r="C1085" s="37">
        <v>43585.359070912593</v>
      </c>
      <c r="D1085" s="36" t="s">
        <v>195</v>
      </c>
      <c r="E1085" s="36"/>
      <c r="F1085" s="38">
        <v>63859391.18</v>
      </c>
      <c r="G1085" s="40">
        <f>VLOOKUP(A1085,'DATOS GENERALES'!A:B,2,0)</f>
        <v>0.75</v>
      </c>
      <c r="H1085" s="36">
        <f t="shared" si="80"/>
        <v>0.74654999999999994</v>
      </c>
      <c r="I1085" s="38">
        <f t="shared" si="81"/>
        <v>85539335.851583958</v>
      </c>
      <c r="J1085" s="38">
        <f t="shared" si="82"/>
        <v>-21679944.671583958</v>
      </c>
      <c r="K1085" s="38">
        <v>13377284.736831108</v>
      </c>
      <c r="L1085" s="38">
        <f t="shared" si="83"/>
        <v>-35057229.408415064</v>
      </c>
      <c r="M1085" s="41">
        <f>VLOOKUP(INDICADORES!$B$21,'DATOS GENERALES'!$K:$M,3,0)*F1085</f>
        <v>434628.69531297544</v>
      </c>
      <c r="N1085" s="38">
        <f t="shared" si="84"/>
        <v>-35491858.103728041</v>
      </c>
      <c r="O1085" s="36"/>
      <c r="P1085" s="36"/>
      <c r="Q1085" s="36"/>
    </row>
    <row r="1086" spans="1:17" x14ac:dyDescent="0.25">
      <c r="A1086" s="36">
        <v>1899</v>
      </c>
      <c r="B1086" s="37">
        <v>43556</v>
      </c>
      <c r="C1086" s="37">
        <v>43620.084107566909</v>
      </c>
      <c r="D1086" s="36" t="s">
        <v>195</v>
      </c>
      <c r="E1086" s="36"/>
      <c r="F1086" s="38">
        <v>63859391.18</v>
      </c>
      <c r="G1086" s="40">
        <f>VLOOKUP(A1086,'DATOS GENERALES'!A:B,2,0)</f>
        <v>0.75</v>
      </c>
      <c r="H1086" s="36">
        <f t="shared" si="80"/>
        <v>0.74654999999999994</v>
      </c>
      <c r="I1086" s="38">
        <f t="shared" si="81"/>
        <v>85539335.851583958</v>
      </c>
      <c r="J1086" s="38">
        <f t="shared" si="82"/>
        <v>-21679944.671583958</v>
      </c>
      <c r="K1086" s="38">
        <v>13752856.930994334</v>
      </c>
      <c r="L1086" s="38">
        <f t="shared" si="83"/>
        <v>-35432801.60257829</v>
      </c>
      <c r="M1086" s="41">
        <f>VLOOKUP(INDICADORES!$B$21,'DATOS GENERALES'!$K:$M,3,0)*F1086</f>
        <v>434628.69531297544</v>
      </c>
      <c r="N1086" s="38">
        <f t="shared" si="84"/>
        <v>-35867430.297891267</v>
      </c>
      <c r="O1086" s="36"/>
      <c r="P1086" s="36"/>
      <c r="Q1086" s="36"/>
    </row>
    <row r="1087" spans="1:17" x14ac:dyDescent="0.25">
      <c r="A1087" s="36">
        <v>1899</v>
      </c>
      <c r="B1087" s="37">
        <v>43586</v>
      </c>
      <c r="C1087" s="37">
        <v>43661.169657568906</v>
      </c>
      <c r="D1087" s="36" t="s">
        <v>195</v>
      </c>
      <c r="E1087" s="36"/>
      <c r="F1087" s="38">
        <v>63859391.18</v>
      </c>
      <c r="G1087" s="40">
        <f>VLOOKUP(A1087,'DATOS GENERALES'!A:B,2,0)</f>
        <v>0.75</v>
      </c>
      <c r="H1087" s="36">
        <f t="shared" si="80"/>
        <v>0.74654999999999994</v>
      </c>
      <c r="I1087" s="38">
        <f t="shared" si="81"/>
        <v>85539335.851583958</v>
      </c>
      <c r="J1087" s="38">
        <f t="shared" si="82"/>
        <v>-21679944.671583958</v>
      </c>
      <c r="K1087" s="38">
        <v>11345145.169644045</v>
      </c>
      <c r="L1087" s="38">
        <f t="shared" si="83"/>
        <v>-33025089.841228001</v>
      </c>
      <c r="M1087" s="41">
        <f>VLOOKUP(INDICADORES!$B$21,'DATOS GENERALES'!$K:$M,3,0)*F1087</f>
        <v>434628.69531297544</v>
      </c>
      <c r="N1087" s="38">
        <f t="shared" si="84"/>
        <v>-33459718.536540978</v>
      </c>
      <c r="O1087" s="36"/>
      <c r="P1087" s="36"/>
      <c r="Q1087" s="36"/>
    </row>
    <row r="1088" spans="1:17" x14ac:dyDescent="0.25">
      <c r="A1088" s="36">
        <v>1899</v>
      </c>
      <c r="B1088" s="37">
        <v>43617</v>
      </c>
      <c r="C1088" s="37">
        <v>43679.443805439572</v>
      </c>
      <c r="D1088" s="36" t="s">
        <v>195</v>
      </c>
      <c r="E1088" s="36"/>
      <c r="F1088" s="38">
        <v>60800628.68</v>
      </c>
      <c r="G1088" s="40">
        <f>VLOOKUP(A1088,'DATOS GENERALES'!A:B,2,0)</f>
        <v>0.75</v>
      </c>
      <c r="H1088" s="36">
        <f t="shared" si="80"/>
        <v>0.74654999999999994</v>
      </c>
      <c r="I1088" s="38">
        <f t="shared" si="81"/>
        <v>81442138.744893178</v>
      </c>
      <c r="J1088" s="38">
        <f t="shared" si="82"/>
        <v>-20641510.064893179</v>
      </c>
      <c r="K1088" s="38">
        <v>14525798.459033774</v>
      </c>
      <c r="L1088" s="38">
        <f t="shared" si="83"/>
        <v>-35167308.523926951</v>
      </c>
      <c r="M1088" s="41">
        <f>VLOOKUP(INDICADORES!$B$21,'DATOS GENERALES'!$K:$M,3,0)*F1088</f>
        <v>413810.6773193492</v>
      </c>
      <c r="N1088" s="38">
        <f t="shared" si="84"/>
        <v>-35581119.201246299</v>
      </c>
      <c r="O1088" s="36"/>
      <c r="P1088" s="36"/>
      <c r="Q1088" s="36"/>
    </row>
    <row r="1089" spans="1:17" x14ac:dyDescent="0.25">
      <c r="A1089" s="36">
        <v>1899</v>
      </c>
      <c r="B1089" s="37">
        <v>43647</v>
      </c>
      <c r="C1089" s="37">
        <v>43701.866604672628</v>
      </c>
      <c r="D1089" s="36" t="s">
        <v>195</v>
      </c>
      <c r="E1089" s="36"/>
      <c r="F1089" s="38">
        <v>60800628.68</v>
      </c>
      <c r="G1089" s="40">
        <f>VLOOKUP(A1089,'DATOS GENERALES'!A:B,2,0)</f>
        <v>0.75</v>
      </c>
      <c r="H1089" s="36">
        <f t="shared" si="80"/>
        <v>0.74654999999999994</v>
      </c>
      <c r="I1089" s="38">
        <f t="shared" si="81"/>
        <v>81442138.744893178</v>
      </c>
      <c r="J1089" s="38">
        <f t="shared" si="82"/>
        <v>-20641510.064893179</v>
      </c>
      <c r="K1089" s="38">
        <v>21662250.966755535</v>
      </c>
      <c r="L1089" s="38">
        <f t="shared" si="83"/>
        <v>-42303761.03164871</v>
      </c>
      <c r="M1089" s="41">
        <f>VLOOKUP(INDICADORES!$B$21,'DATOS GENERALES'!$K:$M,3,0)*F1089</f>
        <v>413810.6773193492</v>
      </c>
      <c r="N1089" s="38">
        <f t="shared" si="84"/>
        <v>-42717571.708968058</v>
      </c>
      <c r="O1089" s="36"/>
      <c r="P1089" s="36"/>
      <c r="Q1089" s="36"/>
    </row>
    <row r="1090" spans="1:17" x14ac:dyDescent="0.25">
      <c r="A1090" s="36">
        <v>1899</v>
      </c>
      <c r="B1090" s="37">
        <v>43678</v>
      </c>
      <c r="C1090" s="37">
        <v>43722.503978193847</v>
      </c>
      <c r="D1090" s="36" t="s">
        <v>195</v>
      </c>
      <c r="E1090" s="36"/>
      <c r="F1090" s="38">
        <v>64680316.519999996</v>
      </c>
      <c r="G1090" s="40">
        <f>VLOOKUP(A1090,'DATOS GENERALES'!A:B,2,0)</f>
        <v>0.75</v>
      </c>
      <c r="H1090" s="36">
        <f t="shared" si="80"/>
        <v>0.74654999999999994</v>
      </c>
      <c r="I1090" s="38">
        <f t="shared" si="81"/>
        <v>86638961.248409346</v>
      </c>
      <c r="J1090" s="38">
        <f t="shared" si="82"/>
        <v>-21958644.72840935</v>
      </c>
      <c r="K1090" s="38">
        <v>22676642.292991839</v>
      </c>
      <c r="L1090" s="38">
        <f t="shared" si="83"/>
        <v>-44635287.021401189</v>
      </c>
      <c r="M1090" s="41">
        <f>VLOOKUP(INDICADORES!$B$21,'DATOS GENERALES'!$K:$M,3,0)*F1090</f>
        <v>440215.93476015172</v>
      </c>
      <c r="N1090" s="38">
        <f t="shared" si="84"/>
        <v>-45075502.956161343</v>
      </c>
      <c r="O1090" s="36"/>
      <c r="P1090" s="36"/>
      <c r="Q1090" s="36"/>
    </row>
    <row r="1091" spans="1:17" x14ac:dyDescent="0.25">
      <c r="A1091" s="36">
        <v>1899</v>
      </c>
      <c r="B1091" s="37">
        <v>43709</v>
      </c>
      <c r="C1091" s="37">
        <v>43781.071644122807</v>
      </c>
      <c r="D1091" s="36" t="s">
        <v>195</v>
      </c>
      <c r="E1091" s="36"/>
      <c r="F1091" s="38">
        <v>64680316.519999996</v>
      </c>
      <c r="G1091" s="40">
        <f>VLOOKUP(A1091,'DATOS GENERALES'!A:B,2,0)</f>
        <v>0.75</v>
      </c>
      <c r="H1091" s="36">
        <f t="shared" ref="H1091:H1154" si="85">G1091*0.9954</f>
        <v>0.74654999999999994</v>
      </c>
      <c r="I1091" s="38">
        <f t="shared" ref="I1091:I1154" si="86">F1091/H1091</f>
        <v>86638961.248409346</v>
      </c>
      <c r="J1091" s="38">
        <f t="shared" ref="J1091:J1154" si="87">F1091-I1091</f>
        <v>-21958644.72840935</v>
      </c>
      <c r="K1091" s="38">
        <v>25628529.910090804</v>
      </c>
      <c r="L1091" s="38">
        <f t="shared" ref="L1091:L1154" si="88">IFERROR(J1091-K1091,"")</f>
        <v>-47587174.638500154</v>
      </c>
      <c r="M1091" s="41">
        <f>VLOOKUP(INDICADORES!$B$21,'DATOS GENERALES'!$K:$M,3,0)*F1091</f>
        <v>440215.93476015172</v>
      </c>
      <c r="N1091" s="38">
        <f t="shared" ref="N1091:N1154" si="89">IFERROR(L1091-M1091,"")</f>
        <v>-48027390.573260307</v>
      </c>
      <c r="O1091" s="36"/>
      <c r="P1091" s="36"/>
      <c r="Q1091" s="36"/>
    </row>
    <row r="1092" spans="1:17" x14ac:dyDescent="0.25">
      <c r="A1092" s="36">
        <v>1899</v>
      </c>
      <c r="B1092" s="37">
        <v>43739</v>
      </c>
      <c r="C1092" s="37">
        <v>43814.492562318912</v>
      </c>
      <c r="D1092" s="36" t="s">
        <v>195</v>
      </c>
      <c r="E1092" s="36"/>
      <c r="F1092" s="38">
        <v>60757039.519999996</v>
      </c>
      <c r="G1092" s="40">
        <f>VLOOKUP(A1092,'DATOS GENERALES'!A:B,2,0)</f>
        <v>0.75</v>
      </c>
      <c r="H1092" s="36">
        <f t="shared" si="85"/>
        <v>0.74654999999999994</v>
      </c>
      <c r="I1092" s="38">
        <f t="shared" si="86"/>
        <v>81383751.282566473</v>
      </c>
      <c r="J1092" s="38">
        <f t="shared" si="87"/>
        <v>-20626711.762566477</v>
      </c>
      <c r="K1092" s="38">
        <v>26033539.531975053</v>
      </c>
      <c r="L1092" s="38">
        <f t="shared" si="88"/>
        <v>-46660251.29454153</v>
      </c>
      <c r="M1092" s="41">
        <f>VLOOKUP(INDICADORES!$B$21,'DATOS GENERALES'!$K:$M,3,0)*F1092</f>
        <v>413514.00835037656</v>
      </c>
      <c r="N1092" s="38">
        <f t="shared" si="89"/>
        <v>-47073765.30289191</v>
      </c>
      <c r="O1092" s="36"/>
      <c r="P1092" s="36"/>
      <c r="Q1092" s="36"/>
    </row>
    <row r="1093" spans="1:17" x14ac:dyDescent="0.25">
      <c r="A1093" s="36">
        <v>1899</v>
      </c>
      <c r="B1093" s="37">
        <v>43770</v>
      </c>
      <c r="C1093" s="37">
        <v>43801.420430970262</v>
      </c>
      <c r="D1093" s="36" t="s">
        <v>195</v>
      </c>
      <c r="E1093" s="36"/>
      <c r="F1093" s="38">
        <v>60757039.519999996</v>
      </c>
      <c r="G1093" s="40">
        <f>VLOOKUP(A1093,'DATOS GENERALES'!A:B,2,0)</f>
        <v>0.75</v>
      </c>
      <c r="H1093" s="36">
        <f t="shared" si="85"/>
        <v>0.74654999999999994</v>
      </c>
      <c r="I1093" s="38">
        <f t="shared" si="86"/>
        <v>81383751.282566473</v>
      </c>
      <c r="J1093" s="38">
        <f t="shared" si="87"/>
        <v>-20626711.762566477</v>
      </c>
      <c r="K1093" s="38">
        <v>34817941.823755637</v>
      </c>
      <c r="L1093" s="38">
        <f t="shared" si="88"/>
        <v>-55444653.586322114</v>
      </c>
      <c r="M1093" s="41">
        <f>VLOOKUP(INDICADORES!$B$21,'DATOS GENERALES'!$K:$M,3,0)*F1093</f>
        <v>413514.00835037656</v>
      </c>
      <c r="N1093" s="38">
        <f t="shared" si="89"/>
        <v>-55858167.594672494</v>
      </c>
      <c r="O1093" s="36"/>
      <c r="P1093" s="36"/>
      <c r="Q1093" s="36"/>
    </row>
    <row r="1094" spans="1:17" x14ac:dyDescent="0.25">
      <c r="A1094" s="36">
        <v>1899</v>
      </c>
      <c r="B1094" s="37">
        <v>43800</v>
      </c>
      <c r="C1094" s="37">
        <v>43831.70441327546</v>
      </c>
      <c r="D1094" s="36" t="s">
        <v>195</v>
      </c>
      <c r="E1094" s="36"/>
      <c r="F1094" s="38">
        <v>60757039.519999996</v>
      </c>
      <c r="G1094" s="40">
        <f>VLOOKUP(A1094,'DATOS GENERALES'!A:B,2,0)</f>
        <v>0.75</v>
      </c>
      <c r="H1094" s="36">
        <f t="shared" si="85"/>
        <v>0.74654999999999994</v>
      </c>
      <c r="I1094" s="38">
        <f t="shared" si="86"/>
        <v>81383751.282566473</v>
      </c>
      <c r="J1094" s="38">
        <f t="shared" si="87"/>
        <v>-20626711.762566477</v>
      </c>
      <c r="K1094" s="38">
        <v>29316268.102116518</v>
      </c>
      <c r="L1094" s="38">
        <f t="shared" si="88"/>
        <v>-49942979.864682995</v>
      </c>
      <c r="M1094" s="41">
        <f>VLOOKUP(INDICADORES!$B$21,'DATOS GENERALES'!$K:$M,3,0)*F1094</f>
        <v>413514.00835037656</v>
      </c>
      <c r="N1094" s="38">
        <f t="shared" si="89"/>
        <v>-50356493.873033375</v>
      </c>
      <c r="O1094" s="36"/>
      <c r="P1094" s="36"/>
      <c r="Q1094" s="36"/>
    </row>
    <row r="1095" spans="1:17" x14ac:dyDescent="0.25">
      <c r="A1095" s="36">
        <v>1899</v>
      </c>
      <c r="B1095" s="37">
        <v>43831</v>
      </c>
      <c r="C1095" s="37">
        <v>43911.598651734872</v>
      </c>
      <c r="D1095" s="36" t="s">
        <v>195</v>
      </c>
      <c r="E1095" s="36"/>
      <c r="F1095" s="38">
        <v>60757039.519999996</v>
      </c>
      <c r="G1095" s="40">
        <f>VLOOKUP(A1095,'DATOS GENERALES'!A:B,2,0)</f>
        <v>0.75</v>
      </c>
      <c r="H1095" s="36">
        <f t="shared" si="85"/>
        <v>0.74654999999999994</v>
      </c>
      <c r="I1095" s="38">
        <f t="shared" si="86"/>
        <v>81383751.282566473</v>
      </c>
      <c r="J1095" s="38">
        <f t="shared" si="87"/>
        <v>-20626711.762566477</v>
      </c>
      <c r="K1095" s="38" t="s">
        <v>213</v>
      </c>
      <c r="L1095" s="38" t="str">
        <f t="shared" si="88"/>
        <v/>
      </c>
      <c r="M1095" s="41">
        <f>VLOOKUP(INDICADORES!$B$21,'DATOS GENERALES'!$K:$M,3,0)*F1095</f>
        <v>413514.00835037656</v>
      </c>
      <c r="N1095" s="38" t="str">
        <f t="shared" si="89"/>
        <v/>
      </c>
      <c r="O1095" s="36"/>
      <c r="P1095" s="36"/>
      <c r="Q1095" s="36"/>
    </row>
    <row r="1096" spans="1:17" x14ac:dyDescent="0.25">
      <c r="A1096" s="36">
        <v>1899</v>
      </c>
      <c r="B1096" s="37">
        <v>43862</v>
      </c>
      <c r="C1096" s="37">
        <v>43985.155870760027</v>
      </c>
      <c r="D1096" s="36" t="s">
        <v>195</v>
      </c>
      <c r="E1096" s="36"/>
      <c r="F1096" s="38">
        <v>60757039.519999996</v>
      </c>
      <c r="G1096" s="40">
        <f>VLOOKUP(A1096,'DATOS GENERALES'!A:B,2,0)</f>
        <v>0.75</v>
      </c>
      <c r="H1096" s="36">
        <f t="shared" si="85"/>
        <v>0.74654999999999994</v>
      </c>
      <c r="I1096" s="38">
        <f t="shared" si="86"/>
        <v>81383751.282566473</v>
      </c>
      <c r="J1096" s="38">
        <f t="shared" si="87"/>
        <v>-20626711.762566477</v>
      </c>
      <c r="K1096" s="38" t="s">
        <v>213</v>
      </c>
      <c r="L1096" s="38" t="str">
        <f t="shared" si="88"/>
        <v/>
      </c>
      <c r="M1096" s="41">
        <f>VLOOKUP(INDICADORES!$B$21,'DATOS GENERALES'!$K:$M,3,0)*F1096</f>
        <v>413514.00835037656</v>
      </c>
      <c r="N1096" s="38" t="str">
        <f t="shared" si="89"/>
        <v/>
      </c>
      <c r="O1096" s="36"/>
      <c r="P1096" s="36"/>
      <c r="Q1096" s="36"/>
    </row>
    <row r="1097" spans="1:17" x14ac:dyDescent="0.25">
      <c r="A1097" s="36">
        <v>1899</v>
      </c>
      <c r="B1097" s="37">
        <v>43891</v>
      </c>
      <c r="C1097" s="37">
        <v>43938.901057553754</v>
      </c>
      <c r="D1097" s="36" t="s">
        <v>195</v>
      </c>
      <c r="E1097" s="36"/>
      <c r="F1097" s="38">
        <v>54757039.519999996</v>
      </c>
      <c r="G1097" s="40">
        <f>VLOOKUP(A1097,'DATOS GENERALES'!A:B,2,0)</f>
        <v>0.75</v>
      </c>
      <c r="H1097" s="36">
        <f t="shared" si="85"/>
        <v>0.74654999999999994</v>
      </c>
      <c r="I1097" s="38">
        <f t="shared" si="86"/>
        <v>73346781.220279962</v>
      </c>
      <c r="J1097" s="38">
        <f t="shared" si="87"/>
        <v>-18589741.700279966</v>
      </c>
      <c r="K1097" s="38" t="s">
        <v>213</v>
      </c>
      <c r="L1097" s="38" t="str">
        <f t="shared" si="88"/>
        <v/>
      </c>
      <c r="M1097" s="41">
        <f>VLOOKUP(INDICADORES!$B$21,'DATOS GENERALES'!$K:$M,3,0)*F1097</f>
        <v>372677.8506030009</v>
      </c>
      <c r="N1097" s="38" t="str">
        <f t="shared" si="89"/>
        <v/>
      </c>
      <c r="O1097" s="36"/>
      <c r="P1097" s="36"/>
      <c r="Q1097" s="36"/>
    </row>
    <row r="1098" spans="1:17" x14ac:dyDescent="0.25">
      <c r="A1098" s="36">
        <v>1899</v>
      </c>
      <c r="B1098" s="37">
        <v>43922</v>
      </c>
      <c r="C1098" s="37">
        <v>43983.559450072215</v>
      </c>
      <c r="D1098" s="36" t="s">
        <v>195</v>
      </c>
      <c r="E1098" s="36"/>
      <c r="F1098" s="38">
        <v>54757039.519999996</v>
      </c>
      <c r="G1098" s="40">
        <f>VLOOKUP(A1098,'DATOS GENERALES'!A:B,2,0)</f>
        <v>0.75</v>
      </c>
      <c r="H1098" s="36">
        <f t="shared" si="85"/>
        <v>0.74654999999999994</v>
      </c>
      <c r="I1098" s="38">
        <f t="shared" si="86"/>
        <v>73346781.220279962</v>
      </c>
      <c r="J1098" s="38">
        <f t="shared" si="87"/>
        <v>-18589741.700279966</v>
      </c>
      <c r="K1098" s="38" t="s">
        <v>213</v>
      </c>
      <c r="L1098" s="38" t="str">
        <f t="shared" si="88"/>
        <v/>
      </c>
      <c r="M1098" s="41">
        <f>VLOOKUP(INDICADORES!$B$21,'DATOS GENERALES'!$K:$M,3,0)*F1098</f>
        <v>372677.8506030009</v>
      </c>
      <c r="N1098" s="38" t="str">
        <f t="shared" si="89"/>
        <v/>
      </c>
      <c r="O1098" s="36"/>
      <c r="P1098" s="36"/>
      <c r="Q1098" s="36"/>
    </row>
    <row r="1099" spans="1:17" x14ac:dyDescent="0.25">
      <c r="A1099" s="36">
        <v>1899</v>
      </c>
      <c r="B1099" s="37">
        <v>43952</v>
      </c>
      <c r="C1099" s="37">
        <v>43992.25734618937</v>
      </c>
      <c r="D1099" s="36" t="s">
        <v>195</v>
      </c>
      <c r="E1099" s="36"/>
      <c r="F1099" s="38">
        <v>48757039.519999996</v>
      </c>
      <c r="G1099" s="40">
        <f>VLOOKUP(A1099,'DATOS GENERALES'!A:B,2,0)</f>
        <v>0.75</v>
      </c>
      <c r="H1099" s="36">
        <f t="shared" si="85"/>
        <v>0.74654999999999994</v>
      </c>
      <c r="I1099" s="38">
        <f t="shared" si="86"/>
        <v>65309811.157993436</v>
      </c>
      <c r="J1099" s="38">
        <f t="shared" si="87"/>
        <v>-16552771.63799344</v>
      </c>
      <c r="K1099" s="38" t="s">
        <v>213</v>
      </c>
      <c r="L1099" s="38" t="str">
        <f t="shared" si="88"/>
        <v/>
      </c>
      <c r="M1099" s="41">
        <f>VLOOKUP(INDICADORES!$B$21,'DATOS GENERALES'!$K:$M,3,0)*F1099</f>
        <v>331841.69285562518</v>
      </c>
      <c r="N1099" s="38" t="str">
        <f t="shared" si="89"/>
        <v/>
      </c>
      <c r="O1099" s="36"/>
      <c r="P1099" s="36"/>
      <c r="Q1099" s="36"/>
    </row>
    <row r="1100" spans="1:17" x14ac:dyDescent="0.25">
      <c r="A1100" s="36">
        <v>1899</v>
      </c>
      <c r="B1100" s="37">
        <v>43983</v>
      </c>
      <c r="C1100" s="37">
        <v>44049.179724820518</v>
      </c>
      <c r="D1100" s="36" t="s">
        <v>195</v>
      </c>
      <c r="E1100" s="36"/>
      <c r="F1100" s="38">
        <v>48757039.519999996</v>
      </c>
      <c r="G1100" s="40">
        <f>VLOOKUP(A1100,'DATOS GENERALES'!A:B,2,0)</f>
        <v>0.75</v>
      </c>
      <c r="H1100" s="36">
        <f t="shared" si="85"/>
        <v>0.74654999999999994</v>
      </c>
      <c r="I1100" s="38">
        <f t="shared" si="86"/>
        <v>65309811.157993436</v>
      </c>
      <c r="J1100" s="38">
        <f t="shared" si="87"/>
        <v>-16552771.63799344</v>
      </c>
      <c r="K1100" s="38" t="s">
        <v>213</v>
      </c>
      <c r="L1100" s="38" t="str">
        <f t="shared" si="88"/>
        <v/>
      </c>
      <c r="M1100" s="41">
        <f>VLOOKUP(INDICADORES!$B$21,'DATOS GENERALES'!$K:$M,3,0)*F1100</f>
        <v>331841.69285562518</v>
      </c>
      <c r="N1100" s="38" t="str">
        <f t="shared" si="89"/>
        <v/>
      </c>
      <c r="O1100" s="36"/>
      <c r="P1100" s="36"/>
      <c r="Q1100" s="36"/>
    </row>
    <row r="1101" spans="1:17" x14ac:dyDescent="0.25">
      <c r="A1101" s="36">
        <v>1899</v>
      </c>
      <c r="B1101" s="37">
        <v>44013</v>
      </c>
      <c r="C1101" s="37">
        <v>44102.023443122147</v>
      </c>
      <c r="D1101" s="36" t="s">
        <v>195</v>
      </c>
      <c r="E1101" s="36"/>
      <c r="F1101" s="38">
        <v>48757039.519999996</v>
      </c>
      <c r="G1101" s="40">
        <f>VLOOKUP(A1101,'DATOS GENERALES'!A:B,2,0)</f>
        <v>0.75</v>
      </c>
      <c r="H1101" s="36">
        <f t="shared" si="85"/>
        <v>0.74654999999999994</v>
      </c>
      <c r="I1101" s="38">
        <f t="shared" si="86"/>
        <v>65309811.157993436</v>
      </c>
      <c r="J1101" s="38">
        <f t="shared" si="87"/>
        <v>-16552771.63799344</v>
      </c>
      <c r="K1101" s="38" t="s">
        <v>213</v>
      </c>
      <c r="L1101" s="38" t="str">
        <f t="shared" si="88"/>
        <v/>
      </c>
      <c r="M1101" s="41">
        <f>VLOOKUP(INDICADORES!$B$21,'DATOS GENERALES'!$K:$M,3,0)*F1101</f>
        <v>331841.69285562518</v>
      </c>
      <c r="N1101" s="38" t="str">
        <f t="shared" si="89"/>
        <v/>
      </c>
      <c r="O1101" s="36"/>
      <c r="P1101" s="36"/>
      <c r="Q1101" s="36"/>
    </row>
    <row r="1102" spans="1:17" x14ac:dyDescent="0.25">
      <c r="A1102" s="36">
        <v>1899</v>
      </c>
      <c r="B1102" s="37">
        <v>44044</v>
      </c>
      <c r="C1102" s="37">
        <v>44080.185048532541</v>
      </c>
      <c r="D1102" s="36" t="s">
        <v>195</v>
      </c>
      <c r="E1102" s="36"/>
      <c r="F1102" s="38">
        <v>48757039.519999996</v>
      </c>
      <c r="G1102" s="40">
        <f>VLOOKUP(A1102,'DATOS GENERALES'!A:B,2,0)</f>
        <v>0.75</v>
      </c>
      <c r="H1102" s="36">
        <f t="shared" si="85"/>
        <v>0.74654999999999994</v>
      </c>
      <c r="I1102" s="38">
        <f t="shared" si="86"/>
        <v>65309811.157993436</v>
      </c>
      <c r="J1102" s="38">
        <f t="shared" si="87"/>
        <v>-16552771.63799344</v>
      </c>
      <c r="K1102" s="38" t="s">
        <v>213</v>
      </c>
      <c r="L1102" s="38" t="str">
        <f t="shared" si="88"/>
        <v/>
      </c>
      <c r="M1102" s="41">
        <f>VLOOKUP(INDICADORES!$B$21,'DATOS GENERALES'!$K:$M,3,0)*F1102</f>
        <v>331841.69285562518</v>
      </c>
      <c r="N1102" s="38" t="str">
        <f t="shared" si="89"/>
        <v/>
      </c>
      <c r="O1102" s="36"/>
      <c r="P1102" s="36"/>
      <c r="Q1102" s="36"/>
    </row>
    <row r="1103" spans="1:17" x14ac:dyDescent="0.25">
      <c r="A1103" s="36">
        <v>1899</v>
      </c>
      <c r="B1103" s="37">
        <v>44075</v>
      </c>
      <c r="C1103" s="37">
        <v>44113.38377911834</v>
      </c>
      <c r="D1103" s="36" t="s">
        <v>195</v>
      </c>
      <c r="E1103" s="36"/>
      <c r="F1103" s="38">
        <v>48757039.519999996</v>
      </c>
      <c r="G1103" s="40">
        <f>VLOOKUP(A1103,'DATOS GENERALES'!A:B,2,0)</f>
        <v>0.75</v>
      </c>
      <c r="H1103" s="36">
        <f t="shared" si="85"/>
        <v>0.74654999999999994</v>
      </c>
      <c r="I1103" s="38">
        <f t="shared" si="86"/>
        <v>65309811.157993436</v>
      </c>
      <c r="J1103" s="38">
        <f t="shared" si="87"/>
        <v>-16552771.63799344</v>
      </c>
      <c r="K1103" s="38" t="s">
        <v>213</v>
      </c>
      <c r="L1103" s="38" t="str">
        <f t="shared" si="88"/>
        <v/>
      </c>
      <c r="M1103" s="41">
        <f>VLOOKUP(INDICADORES!$B$21,'DATOS GENERALES'!$K:$M,3,0)*F1103</f>
        <v>331841.69285562518</v>
      </c>
      <c r="N1103" s="38" t="str">
        <f t="shared" si="89"/>
        <v/>
      </c>
      <c r="O1103" s="36"/>
      <c r="P1103" s="36"/>
      <c r="Q1103" s="36"/>
    </row>
    <row r="1104" spans="1:17" x14ac:dyDescent="0.25">
      <c r="A1104" s="36">
        <v>1899</v>
      </c>
      <c r="B1104" s="37">
        <v>44105</v>
      </c>
      <c r="C1104" s="37">
        <v>44177.975402364456</v>
      </c>
      <c r="D1104" s="36" t="s">
        <v>195</v>
      </c>
      <c r="E1104" s="36"/>
      <c r="F1104" s="38">
        <v>48757039.519999996</v>
      </c>
      <c r="G1104" s="40">
        <f>VLOOKUP(A1104,'DATOS GENERALES'!A:B,2,0)</f>
        <v>0.75</v>
      </c>
      <c r="H1104" s="36">
        <f t="shared" si="85"/>
        <v>0.74654999999999994</v>
      </c>
      <c r="I1104" s="38">
        <f t="shared" si="86"/>
        <v>65309811.157993436</v>
      </c>
      <c r="J1104" s="38">
        <f t="shared" si="87"/>
        <v>-16552771.63799344</v>
      </c>
      <c r="K1104" s="38" t="s">
        <v>213</v>
      </c>
      <c r="L1104" s="38" t="str">
        <f t="shared" si="88"/>
        <v/>
      </c>
      <c r="M1104" s="41">
        <f>VLOOKUP(INDICADORES!$B$21,'DATOS GENERALES'!$K:$M,3,0)*F1104</f>
        <v>331841.69285562518</v>
      </c>
      <c r="N1104" s="38" t="str">
        <f t="shared" si="89"/>
        <v/>
      </c>
      <c r="O1104" s="36"/>
      <c r="P1104" s="36"/>
      <c r="Q1104" s="36"/>
    </row>
    <row r="1105" spans="1:17" x14ac:dyDescent="0.25">
      <c r="A1105" s="36">
        <v>1899</v>
      </c>
      <c r="B1105" s="37">
        <v>44136</v>
      </c>
      <c r="C1105" s="37">
        <v>44179.653045631087</v>
      </c>
      <c r="D1105" s="36" t="s">
        <v>195</v>
      </c>
      <c r="E1105" s="36"/>
      <c r="F1105" s="38">
        <v>44678689.519999996</v>
      </c>
      <c r="G1105" s="40">
        <f>VLOOKUP(A1105,'DATOS GENERALES'!A:B,2,0)</f>
        <v>0.75</v>
      </c>
      <c r="H1105" s="36">
        <f t="shared" si="85"/>
        <v>0.74654999999999994</v>
      </c>
      <c r="I1105" s="38">
        <f t="shared" si="86"/>
        <v>59846881.682405733</v>
      </c>
      <c r="J1105" s="38">
        <f t="shared" si="87"/>
        <v>-15168192.162405737</v>
      </c>
      <c r="K1105" s="38" t="s">
        <v>213</v>
      </c>
      <c r="L1105" s="38" t="str">
        <f t="shared" si="88"/>
        <v/>
      </c>
      <c r="M1105" s="41">
        <f>VLOOKUP(INDICADORES!$B$21,'DATOS GENERALES'!$K:$M,3,0)*F1105</f>
        <v>304084.33553079021</v>
      </c>
      <c r="N1105" s="38" t="str">
        <f t="shared" si="89"/>
        <v/>
      </c>
      <c r="O1105" s="36"/>
      <c r="P1105" s="36"/>
      <c r="Q1105" s="36"/>
    </row>
    <row r="1106" spans="1:17" x14ac:dyDescent="0.25">
      <c r="A1106" s="36">
        <v>1899</v>
      </c>
      <c r="B1106" s="37">
        <v>44166</v>
      </c>
      <c r="C1106" s="37">
        <v>44196.357529365632</v>
      </c>
      <c r="D1106" s="36" t="s">
        <v>195</v>
      </c>
      <c r="E1106" s="36"/>
      <c r="F1106" s="38">
        <v>44678689.519999996</v>
      </c>
      <c r="G1106" s="40">
        <f>VLOOKUP(A1106,'DATOS GENERALES'!A:B,2,0)</f>
        <v>0.75</v>
      </c>
      <c r="H1106" s="36">
        <f t="shared" si="85"/>
        <v>0.74654999999999994</v>
      </c>
      <c r="I1106" s="38">
        <f t="shared" si="86"/>
        <v>59846881.682405733</v>
      </c>
      <c r="J1106" s="38">
        <f t="shared" si="87"/>
        <v>-15168192.162405737</v>
      </c>
      <c r="K1106" s="38" t="s">
        <v>213</v>
      </c>
      <c r="L1106" s="38" t="str">
        <f t="shared" si="88"/>
        <v/>
      </c>
      <c r="M1106" s="41">
        <f>VLOOKUP(INDICADORES!$B$21,'DATOS GENERALES'!$K:$M,3,0)*F1106</f>
        <v>304084.33553079021</v>
      </c>
      <c r="N1106" s="38" t="str">
        <f t="shared" si="89"/>
        <v/>
      </c>
      <c r="O1106" s="36"/>
      <c r="P1106" s="36"/>
      <c r="Q1106" s="36"/>
    </row>
    <row r="1107" spans="1:17" x14ac:dyDescent="0.25">
      <c r="A1107" s="36">
        <v>1899</v>
      </c>
      <c r="B1107" s="37">
        <v>44197</v>
      </c>
      <c r="C1107" s="37">
        <v>44257.081030081128</v>
      </c>
      <c r="D1107" s="36" t="s">
        <v>195</v>
      </c>
      <c r="E1107" s="36"/>
      <c r="F1107" s="38">
        <v>44678689.519999996</v>
      </c>
      <c r="G1107" s="40">
        <f>VLOOKUP(A1107,'DATOS GENERALES'!A:B,2,0)</f>
        <v>0.75</v>
      </c>
      <c r="H1107" s="36">
        <f t="shared" si="85"/>
        <v>0.74654999999999994</v>
      </c>
      <c r="I1107" s="38">
        <f t="shared" si="86"/>
        <v>59846881.682405733</v>
      </c>
      <c r="J1107" s="38">
        <f t="shared" si="87"/>
        <v>-15168192.162405737</v>
      </c>
      <c r="K1107" s="38" t="s">
        <v>213</v>
      </c>
      <c r="L1107" s="38" t="str">
        <f t="shared" si="88"/>
        <v/>
      </c>
      <c r="M1107" s="41">
        <f>VLOOKUP(INDICADORES!$B$21,'DATOS GENERALES'!$K:$M,3,0)*F1107</f>
        <v>304084.33553079021</v>
      </c>
      <c r="N1107" s="38" t="str">
        <f t="shared" si="89"/>
        <v/>
      </c>
      <c r="O1107" s="36"/>
      <c r="P1107" s="36"/>
      <c r="Q1107" s="36"/>
    </row>
    <row r="1108" spans="1:17" x14ac:dyDescent="0.25">
      <c r="A1108" s="36">
        <v>1899</v>
      </c>
      <c r="B1108" s="37">
        <v>44228</v>
      </c>
      <c r="C1108" s="37">
        <v>44308.106678547229</v>
      </c>
      <c r="D1108" s="36" t="s">
        <v>195</v>
      </c>
      <c r="E1108" s="36"/>
      <c r="F1108" s="38">
        <v>44678689.519999996</v>
      </c>
      <c r="G1108" s="40">
        <f>VLOOKUP(A1108,'DATOS GENERALES'!A:B,2,0)</f>
        <v>0.75</v>
      </c>
      <c r="H1108" s="36">
        <f t="shared" si="85"/>
        <v>0.74654999999999994</v>
      </c>
      <c r="I1108" s="38">
        <f t="shared" si="86"/>
        <v>59846881.682405733</v>
      </c>
      <c r="J1108" s="38">
        <f t="shared" si="87"/>
        <v>-15168192.162405737</v>
      </c>
      <c r="K1108" s="38" t="s">
        <v>213</v>
      </c>
      <c r="L1108" s="38" t="str">
        <f t="shared" si="88"/>
        <v/>
      </c>
      <c r="M1108" s="41">
        <f>VLOOKUP(INDICADORES!$B$21,'DATOS GENERALES'!$K:$M,3,0)*F1108</f>
        <v>304084.33553079021</v>
      </c>
      <c r="N1108" s="38" t="str">
        <f t="shared" si="89"/>
        <v/>
      </c>
      <c r="O1108" s="36"/>
      <c r="P1108" s="36"/>
      <c r="Q1108" s="36"/>
    </row>
    <row r="1109" spans="1:17" x14ac:dyDescent="0.25">
      <c r="A1109" s="36">
        <v>1899</v>
      </c>
      <c r="B1109" s="37">
        <v>44256</v>
      </c>
      <c r="C1109" s="37">
        <v>44306.066183802068</v>
      </c>
      <c r="D1109" s="36" t="s">
        <v>195</v>
      </c>
      <c r="E1109" s="36"/>
      <c r="F1109" s="38">
        <v>40862689.519999996</v>
      </c>
      <c r="G1109" s="40">
        <f>VLOOKUP(A1109,'DATOS GENERALES'!A:B,2,0)</f>
        <v>0.75</v>
      </c>
      <c r="H1109" s="36">
        <f t="shared" si="85"/>
        <v>0.74654999999999994</v>
      </c>
      <c r="I1109" s="38">
        <f t="shared" si="86"/>
        <v>54735368.722791508</v>
      </c>
      <c r="J1109" s="38">
        <f t="shared" si="87"/>
        <v>-13872679.202791512</v>
      </c>
      <c r="K1109" s="38" t="s">
        <v>213</v>
      </c>
      <c r="L1109" s="38" t="str">
        <f t="shared" si="88"/>
        <v/>
      </c>
      <c r="M1109" s="41">
        <f>VLOOKUP(INDICADORES!$B$21,'DATOS GENERALES'!$K:$M,3,0)*F1109</f>
        <v>278112.53920345928</v>
      </c>
      <c r="N1109" s="38" t="str">
        <f t="shared" si="89"/>
        <v/>
      </c>
      <c r="O1109" s="36"/>
      <c r="P1109" s="36"/>
      <c r="Q1109" s="36"/>
    </row>
    <row r="1110" spans="1:17" x14ac:dyDescent="0.25">
      <c r="A1110" s="36">
        <v>1900</v>
      </c>
      <c r="B1110" s="37">
        <v>43556</v>
      </c>
      <c r="C1110" s="37">
        <v>43631.725434879329</v>
      </c>
      <c r="D1110" s="36" t="s">
        <v>195</v>
      </c>
      <c r="E1110" s="36"/>
      <c r="F1110" s="38">
        <v>89776746.567000002</v>
      </c>
      <c r="G1110" s="40">
        <f>VLOOKUP(A1110,'DATOS GENERALES'!A:B,2,0)</f>
        <v>1</v>
      </c>
      <c r="H1110" s="36">
        <f t="shared" si="85"/>
        <v>0.99539999999999995</v>
      </c>
      <c r="I1110" s="38">
        <f t="shared" si="86"/>
        <v>90191628.05605787</v>
      </c>
      <c r="J1110" s="38">
        <f t="shared" si="87"/>
        <v>-414881.48905786872</v>
      </c>
      <c r="K1110" s="38">
        <v>14500843.906253565</v>
      </c>
      <c r="L1110" s="38">
        <f t="shared" si="88"/>
        <v>-14915725.395311434</v>
      </c>
      <c r="M1110" s="41">
        <f>VLOOKUP(INDICADORES!$B$21,'DATOS GENERALES'!$K:$M,3,0)*F1110</f>
        <v>611022.89747603028</v>
      </c>
      <c r="N1110" s="38">
        <f t="shared" si="89"/>
        <v>-15526748.292787464</v>
      </c>
      <c r="O1110" s="36"/>
      <c r="P1110" s="36"/>
      <c r="Q1110" s="36"/>
    </row>
    <row r="1111" spans="1:17" x14ac:dyDescent="0.25">
      <c r="A1111" s="36">
        <v>1900</v>
      </c>
      <c r="B1111" s="37">
        <v>43586</v>
      </c>
      <c r="C1111" s="37">
        <v>43629.516442171102</v>
      </c>
      <c r="D1111" s="36" t="s">
        <v>195</v>
      </c>
      <c r="E1111" s="36"/>
      <c r="F1111" s="38">
        <v>68117355.567000002</v>
      </c>
      <c r="G1111" s="40">
        <f>VLOOKUP(A1111,'DATOS GENERALES'!A:B,2,0)</f>
        <v>1</v>
      </c>
      <c r="H1111" s="36">
        <f t="shared" si="85"/>
        <v>0.99539999999999995</v>
      </c>
      <c r="I1111" s="38">
        <f t="shared" si="86"/>
        <v>68432143.426763117</v>
      </c>
      <c r="J1111" s="38">
        <f t="shared" si="87"/>
        <v>-314787.85976311564</v>
      </c>
      <c r="K1111" s="38">
        <v>9076205.6277077552</v>
      </c>
      <c r="L1111" s="38">
        <f t="shared" si="88"/>
        <v>-9390993.4874708708</v>
      </c>
      <c r="M1111" s="41">
        <f>VLOOKUP(INDICADORES!$B$21,'DATOS GENERALES'!$K:$M,3,0)*F1111</f>
        <v>463608.5128780154</v>
      </c>
      <c r="N1111" s="38">
        <f t="shared" si="89"/>
        <v>-9854602.0003488865</v>
      </c>
      <c r="O1111" s="36"/>
      <c r="P1111" s="36"/>
      <c r="Q1111" s="36"/>
    </row>
    <row r="1112" spans="1:17" x14ac:dyDescent="0.25">
      <c r="A1112" s="36">
        <v>1900</v>
      </c>
      <c r="B1112" s="37">
        <v>43617</v>
      </c>
      <c r="C1112" s="37">
        <v>43688.773460605007</v>
      </c>
      <c r="D1112" s="36" t="s">
        <v>195</v>
      </c>
      <c r="E1112" s="36"/>
      <c r="F1112" s="38">
        <v>68117355.567000002</v>
      </c>
      <c r="G1112" s="40">
        <f>VLOOKUP(A1112,'DATOS GENERALES'!A:B,2,0)</f>
        <v>1</v>
      </c>
      <c r="H1112" s="36">
        <f t="shared" si="85"/>
        <v>0.99539999999999995</v>
      </c>
      <c r="I1112" s="38">
        <f t="shared" si="86"/>
        <v>68432143.426763117</v>
      </c>
      <c r="J1112" s="38">
        <f t="shared" si="87"/>
        <v>-314787.85976311564</v>
      </c>
      <c r="K1112" s="38">
        <v>12205371.062890764</v>
      </c>
      <c r="L1112" s="38">
        <f t="shared" si="88"/>
        <v>-12520158.92265388</v>
      </c>
      <c r="M1112" s="41">
        <f>VLOOKUP(INDICADORES!$B$21,'DATOS GENERALES'!$K:$M,3,0)*F1112</f>
        <v>463608.5128780154</v>
      </c>
      <c r="N1112" s="38">
        <f t="shared" si="89"/>
        <v>-12983767.435531896</v>
      </c>
      <c r="O1112" s="36"/>
      <c r="P1112" s="36"/>
      <c r="Q1112" s="36"/>
    </row>
    <row r="1113" spans="1:17" x14ac:dyDescent="0.25">
      <c r="A1113" s="36">
        <v>1900</v>
      </c>
      <c r="B1113" s="37">
        <v>43647</v>
      </c>
      <c r="C1113" s="37">
        <v>43682.18681511304</v>
      </c>
      <c r="D1113" s="36" t="s">
        <v>195</v>
      </c>
      <c r="E1113" s="36"/>
      <c r="F1113" s="38">
        <v>62912767.068000004</v>
      </c>
      <c r="G1113" s="40">
        <f>VLOOKUP(A1113,'DATOS GENERALES'!A:B,2,0)</f>
        <v>1</v>
      </c>
      <c r="H1113" s="36">
        <f t="shared" si="85"/>
        <v>0.99539999999999995</v>
      </c>
      <c r="I1113" s="38">
        <f t="shared" si="86"/>
        <v>63203503.18264015</v>
      </c>
      <c r="J1113" s="38">
        <f t="shared" si="87"/>
        <v>-290736.11464014649</v>
      </c>
      <c r="K1113" s="38">
        <v>16811078.012195919</v>
      </c>
      <c r="L1113" s="38">
        <f t="shared" si="88"/>
        <v>-17101814.126836065</v>
      </c>
      <c r="M1113" s="41">
        <f>VLOOKUP(INDICADORES!$B$21,'DATOS GENERALES'!$K:$M,3,0)*F1113</f>
        <v>428185.94671879185</v>
      </c>
      <c r="N1113" s="38">
        <f t="shared" si="89"/>
        <v>-17530000.073554859</v>
      </c>
      <c r="O1113" s="36"/>
      <c r="P1113" s="36"/>
      <c r="Q1113" s="36"/>
    </row>
    <row r="1114" spans="1:17" x14ac:dyDescent="0.25">
      <c r="A1114" s="36">
        <v>1900</v>
      </c>
      <c r="B1114" s="37">
        <v>43678</v>
      </c>
      <c r="C1114" s="37">
        <v>43747.894219066555</v>
      </c>
      <c r="D1114" s="36" t="s">
        <v>195</v>
      </c>
      <c r="E1114" s="36"/>
      <c r="F1114" s="38">
        <v>41200017.068000004</v>
      </c>
      <c r="G1114" s="40">
        <f>VLOOKUP(A1114,'DATOS GENERALES'!A:B,2,0)</f>
        <v>1</v>
      </c>
      <c r="H1114" s="36">
        <f t="shared" si="85"/>
        <v>0.99539999999999995</v>
      </c>
      <c r="I1114" s="38">
        <f t="shared" si="86"/>
        <v>41390412.967651203</v>
      </c>
      <c r="J1114" s="38">
        <f t="shared" si="87"/>
        <v>-190395.89965119958</v>
      </c>
      <c r="K1114" s="38">
        <v>10833412.308990134</v>
      </c>
      <c r="L1114" s="38">
        <f t="shared" si="88"/>
        <v>-11023808.208641334</v>
      </c>
      <c r="M1114" s="41">
        <f>VLOOKUP(INDICADORES!$B$21,'DATOS GENERALES'!$K:$M,3,0)*F1114</f>
        <v>280408.39936390327</v>
      </c>
      <c r="N1114" s="38">
        <f t="shared" si="89"/>
        <v>-11304216.608005237</v>
      </c>
      <c r="O1114" s="36"/>
      <c r="P1114" s="36"/>
      <c r="Q1114" s="36"/>
    </row>
    <row r="1115" spans="1:17" x14ac:dyDescent="0.25">
      <c r="A1115" s="36">
        <v>1900</v>
      </c>
      <c r="B1115" s="37">
        <v>43709</v>
      </c>
      <c r="C1115" s="37">
        <v>43766.531427394839</v>
      </c>
      <c r="D1115" s="36" t="s">
        <v>195</v>
      </c>
      <c r="E1115" s="36"/>
      <c r="F1115" s="38">
        <v>41200017.068000004</v>
      </c>
      <c r="G1115" s="40">
        <f>VLOOKUP(A1115,'DATOS GENERALES'!A:B,2,0)</f>
        <v>1</v>
      </c>
      <c r="H1115" s="36">
        <f t="shared" si="85"/>
        <v>0.99539999999999995</v>
      </c>
      <c r="I1115" s="38">
        <f t="shared" si="86"/>
        <v>41390412.967651203</v>
      </c>
      <c r="J1115" s="38">
        <f t="shared" si="87"/>
        <v>-190395.89965119958</v>
      </c>
      <c r="K1115" s="38">
        <v>12243630.595835827</v>
      </c>
      <c r="L1115" s="38">
        <f t="shared" si="88"/>
        <v>-12434026.495487027</v>
      </c>
      <c r="M1115" s="41">
        <f>VLOOKUP(INDICADORES!$B$21,'DATOS GENERALES'!$K:$M,3,0)*F1115</f>
        <v>280408.39936390327</v>
      </c>
      <c r="N1115" s="38">
        <f t="shared" si="89"/>
        <v>-12714434.89485093</v>
      </c>
      <c r="O1115" s="36"/>
      <c r="P1115" s="36"/>
      <c r="Q1115" s="36"/>
    </row>
    <row r="1116" spans="1:17" x14ac:dyDescent="0.25">
      <c r="A1116" s="36">
        <v>1900</v>
      </c>
      <c r="B1116" s="37">
        <v>43739</v>
      </c>
      <c r="C1116" s="37">
        <v>43825.051771402737</v>
      </c>
      <c r="D1116" s="36" t="s">
        <v>195</v>
      </c>
      <c r="E1116" s="36"/>
      <c r="F1116" s="38">
        <v>41200017.068000004</v>
      </c>
      <c r="G1116" s="40">
        <f>VLOOKUP(A1116,'DATOS GENERALES'!A:B,2,0)</f>
        <v>1</v>
      </c>
      <c r="H1116" s="36">
        <f t="shared" si="85"/>
        <v>0.99539999999999995</v>
      </c>
      <c r="I1116" s="38">
        <f t="shared" si="86"/>
        <v>41390412.967651203</v>
      </c>
      <c r="J1116" s="38">
        <f t="shared" si="87"/>
        <v>-190395.89965119958</v>
      </c>
      <c r="K1116" s="38">
        <v>13240222.221962681</v>
      </c>
      <c r="L1116" s="38">
        <f t="shared" si="88"/>
        <v>-13430618.121613881</v>
      </c>
      <c r="M1116" s="41">
        <f>VLOOKUP(INDICADORES!$B$21,'DATOS GENERALES'!$K:$M,3,0)*F1116</f>
        <v>280408.39936390327</v>
      </c>
      <c r="N1116" s="38">
        <f t="shared" si="89"/>
        <v>-13711026.520977784</v>
      </c>
      <c r="O1116" s="36"/>
      <c r="P1116" s="36"/>
      <c r="Q1116" s="36"/>
    </row>
    <row r="1117" spans="1:17" x14ac:dyDescent="0.25">
      <c r="A1117" s="36">
        <v>1900</v>
      </c>
      <c r="B1117" s="37">
        <v>43770</v>
      </c>
      <c r="C1117" s="37">
        <v>43832.29951625679</v>
      </c>
      <c r="D1117" s="36" t="s">
        <v>195</v>
      </c>
      <c r="E1117" s="36"/>
      <c r="F1117" s="38">
        <v>39238378.568000004</v>
      </c>
      <c r="G1117" s="40">
        <f>VLOOKUP(A1117,'DATOS GENERALES'!A:B,2,0)</f>
        <v>1</v>
      </c>
      <c r="H1117" s="36">
        <f t="shared" si="85"/>
        <v>0.99539999999999995</v>
      </c>
      <c r="I1117" s="38">
        <f t="shared" si="86"/>
        <v>39419709.230460122</v>
      </c>
      <c r="J1117" s="38">
        <f t="shared" si="87"/>
        <v>-181330.66246011853</v>
      </c>
      <c r="K1117" s="38">
        <v>16864707.279591016</v>
      </c>
      <c r="L1117" s="38">
        <f t="shared" si="88"/>
        <v>-17046037.942051135</v>
      </c>
      <c r="M1117" s="41">
        <f>VLOOKUP(INDICADORES!$B$21,'DATOS GENERALES'!$K:$M,3,0)*F1117</f>
        <v>267057.43615901569</v>
      </c>
      <c r="N1117" s="38">
        <f t="shared" si="89"/>
        <v>-17313095.37821015</v>
      </c>
      <c r="O1117" s="36"/>
      <c r="P1117" s="36"/>
      <c r="Q1117" s="36"/>
    </row>
    <row r="1118" spans="1:17" x14ac:dyDescent="0.25">
      <c r="A1118" s="36">
        <v>1900</v>
      </c>
      <c r="B1118" s="37">
        <v>43800</v>
      </c>
      <c r="C1118" s="37">
        <v>43875.787190032148</v>
      </c>
      <c r="D1118" s="36" t="s">
        <v>195</v>
      </c>
      <c r="E1118" s="36"/>
      <c r="F1118" s="38">
        <v>39238378.568000004</v>
      </c>
      <c r="G1118" s="40">
        <f>VLOOKUP(A1118,'DATOS GENERALES'!A:B,2,0)</f>
        <v>1</v>
      </c>
      <c r="H1118" s="36">
        <f t="shared" si="85"/>
        <v>0.99539999999999995</v>
      </c>
      <c r="I1118" s="38">
        <f t="shared" si="86"/>
        <v>39419709.230460122</v>
      </c>
      <c r="J1118" s="38">
        <f t="shared" si="87"/>
        <v>-181330.66246011853</v>
      </c>
      <c r="K1118" s="38">
        <v>14199870.933636848</v>
      </c>
      <c r="L1118" s="38">
        <f t="shared" si="88"/>
        <v>-14381201.596096966</v>
      </c>
      <c r="M1118" s="41">
        <f>VLOOKUP(INDICADORES!$B$21,'DATOS GENERALES'!$K:$M,3,0)*F1118</f>
        <v>267057.43615901569</v>
      </c>
      <c r="N1118" s="38">
        <f t="shared" si="89"/>
        <v>-14648259.032255983</v>
      </c>
      <c r="O1118" s="36"/>
      <c r="P1118" s="36"/>
      <c r="Q1118" s="36"/>
    </row>
    <row r="1119" spans="1:17" x14ac:dyDescent="0.25">
      <c r="A1119" s="36">
        <v>1900</v>
      </c>
      <c r="B1119" s="37">
        <v>43831</v>
      </c>
      <c r="C1119" s="37">
        <v>43920.598375455149</v>
      </c>
      <c r="D1119" s="36" t="s">
        <v>195</v>
      </c>
      <c r="E1119" s="36"/>
      <c r="F1119" s="38">
        <v>34612077.68</v>
      </c>
      <c r="G1119" s="40">
        <f>VLOOKUP(A1119,'DATOS GENERALES'!A:B,2,0)</f>
        <v>1</v>
      </c>
      <c r="H1119" s="36">
        <f t="shared" si="85"/>
        <v>0.99539999999999995</v>
      </c>
      <c r="I1119" s="38">
        <f t="shared" si="86"/>
        <v>34772029.013461925</v>
      </c>
      <c r="J1119" s="38">
        <f t="shared" si="87"/>
        <v>-159951.33346192539</v>
      </c>
      <c r="K1119" s="38" t="s">
        <v>213</v>
      </c>
      <c r="L1119" s="38" t="str">
        <f t="shared" si="88"/>
        <v/>
      </c>
      <c r="M1119" s="41">
        <f>VLOOKUP(INDICADORES!$B$21,'DATOS GENERALES'!$K:$M,3,0)*F1119</f>
        <v>235570.71068415025</v>
      </c>
      <c r="N1119" s="38" t="str">
        <f t="shared" si="89"/>
        <v/>
      </c>
      <c r="O1119" s="36"/>
      <c r="P1119" s="36"/>
      <c r="Q1119" s="36"/>
    </row>
    <row r="1120" spans="1:17" x14ac:dyDescent="0.25">
      <c r="A1120" s="36">
        <v>1790</v>
      </c>
      <c r="B1120" s="37">
        <v>43556</v>
      </c>
      <c r="C1120" s="37">
        <v>43602.31159462715</v>
      </c>
      <c r="D1120" s="36" t="s">
        <v>195</v>
      </c>
      <c r="E1120" s="36"/>
      <c r="F1120" s="38">
        <v>83414508.689999998</v>
      </c>
      <c r="G1120" s="40">
        <f>VLOOKUP(A1120,'DATOS GENERALES'!A:B,2,0)</f>
        <v>1</v>
      </c>
      <c r="H1120" s="36">
        <f t="shared" si="85"/>
        <v>0.99539999999999995</v>
      </c>
      <c r="I1120" s="38">
        <f t="shared" si="86"/>
        <v>83799988.637733579</v>
      </c>
      <c r="J1120" s="38">
        <f t="shared" si="87"/>
        <v>-385479.94773358107</v>
      </c>
      <c r="K1120" s="38">
        <v>13473207.888278918</v>
      </c>
      <c r="L1120" s="38">
        <f t="shared" si="88"/>
        <v>-13858687.836012499</v>
      </c>
      <c r="M1120" s="41">
        <f>VLOOKUP(INDICADORES!$B$21,'DATOS GENERALES'!$K:$M,3,0)*F1120</f>
        <v>567721.33921411354</v>
      </c>
      <c r="N1120" s="38">
        <f t="shared" si="89"/>
        <v>-14426409.175226614</v>
      </c>
      <c r="O1120" s="36"/>
      <c r="P1120" s="36"/>
      <c r="Q1120" s="36"/>
    </row>
    <row r="1121" spans="1:17" x14ac:dyDescent="0.25">
      <c r="A1121" s="36">
        <v>1790</v>
      </c>
      <c r="B1121" s="37">
        <v>43586</v>
      </c>
      <c r="C1121" s="37">
        <v>43659.269936715318</v>
      </c>
      <c r="D1121" s="36" t="s">
        <v>195</v>
      </c>
      <c r="E1121" s="36"/>
      <c r="F1121" s="38">
        <v>83414508.689999998</v>
      </c>
      <c r="G1121" s="40">
        <f>VLOOKUP(A1121,'DATOS GENERALES'!A:B,2,0)</f>
        <v>1</v>
      </c>
      <c r="H1121" s="36">
        <f t="shared" si="85"/>
        <v>0.99539999999999995</v>
      </c>
      <c r="I1121" s="38">
        <f t="shared" si="86"/>
        <v>83799988.637733579</v>
      </c>
      <c r="J1121" s="38">
        <f t="shared" si="87"/>
        <v>-385479.94773358107</v>
      </c>
      <c r="K1121" s="38">
        <v>11114454.266504621</v>
      </c>
      <c r="L1121" s="38">
        <f t="shared" si="88"/>
        <v>-11499934.214238202</v>
      </c>
      <c r="M1121" s="41">
        <f>VLOOKUP(INDICADORES!$B$21,'DATOS GENERALES'!$K:$M,3,0)*F1121</f>
        <v>567721.33921411354</v>
      </c>
      <c r="N1121" s="38">
        <f t="shared" si="89"/>
        <v>-12067655.553452317</v>
      </c>
      <c r="O1121" s="36"/>
      <c r="P1121" s="36"/>
      <c r="Q1121" s="36"/>
    </row>
    <row r="1122" spans="1:17" x14ac:dyDescent="0.25">
      <c r="A1122" s="36">
        <v>1790</v>
      </c>
      <c r="B1122" s="37">
        <v>43617</v>
      </c>
      <c r="C1122" s="37">
        <v>43631.337653061521</v>
      </c>
      <c r="D1122" s="36" t="s">
        <v>195</v>
      </c>
      <c r="E1122" s="36"/>
      <c r="F1122" s="38">
        <v>83414508.689999998</v>
      </c>
      <c r="G1122" s="40">
        <f>VLOOKUP(A1122,'DATOS GENERALES'!A:B,2,0)</f>
        <v>1</v>
      </c>
      <c r="H1122" s="36">
        <f t="shared" si="85"/>
        <v>0.99539999999999995</v>
      </c>
      <c r="I1122" s="38">
        <f t="shared" si="86"/>
        <v>83799988.637733579</v>
      </c>
      <c r="J1122" s="38">
        <f t="shared" si="87"/>
        <v>-385479.94773358107</v>
      </c>
      <c r="K1122" s="38">
        <v>14946338.155901715</v>
      </c>
      <c r="L1122" s="38">
        <f t="shared" si="88"/>
        <v>-15331818.103635296</v>
      </c>
      <c r="M1122" s="41">
        <f>VLOOKUP(INDICADORES!$B$21,'DATOS GENERALES'!$K:$M,3,0)*F1122</f>
        <v>567721.33921411354</v>
      </c>
      <c r="N1122" s="38">
        <f t="shared" si="89"/>
        <v>-15899539.442849409</v>
      </c>
      <c r="O1122" s="36"/>
      <c r="P1122" s="36"/>
      <c r="Q1122" s="36"/>
    </row>
    <row r="1123" spans="1:17" x14ac:dyDescent="0.25">
      <c r="A1123" s="36">
        <v>1790</v>
      </c>
      <c r="B1123" s="37">
        <v>43647</v>
      </c>
      <c r="C1123" s="37">
        <v>43685.006919464329</v>
      </c>
      <c r="D1123" s="36" t="s">
        <v>195</v>
      </c>
      <c r="E1123" s="36"/>
      <c r="F1123" s="38">
        <v>83414508.689999998</v>
      </c>
      <c r="G1123" s="40">
        <f>VLOOKUP(A1123,'DATOS GENERALES'!A:B,2,0)</f>
        <v>1</v>
      </c>
      <c r="H1123" s="36">
        <f t="shared" si="85"/>
        <v>0.99539999999999995</v>
      </c>
      <c r="I1123" s="38">
        <f t="shared" si="86"/>
        <v>83799988.637733579</v>
      </c>
      <c r="J1123" s="38">
        <f t="shared" si="87"/>
        <v>-385479.94773358107</v>
      </c>
      <c r="K1123" s="38">
        <v>22289399.724238884</v>
      </c>
      <c r="L1123" s="38">
        <f t="shared" si="88"/>
        <v>-22674879.671972465</v>
      </c>
      <c r="M1123" s="41">
        <f>VLOOKUP(INDICADORES!$B$21,'DATOS GENERALES'!$K:$M,3,0)*F1123</f>
        <v>567721.33921411354</v>
      </c>
      <c r="N1123" s="38">
        <f t="shared" si="89"/>
        <v>-23242601.011186577</v>
      </c>
      <c r="O1123" s="36"/>
      <c r="P1123" s="36"/>
      <c r="Q1123" s="36"/>
    </row>
    <row r="1124" spans="1:17" x14ac:dyDescent="0.25">
      <c r="A1124" s="36">
        <v>1790</v>
      </c>
      <c r="B1124" s="37">
        <v>43678</v>
      </c>
      <c r="C1124" s="37">
        <v>43706.024407986035</v>
      </c>
      <c r="D1124" s="36" t="s">
        <v>195</v>
      </c>
      <c r="E1124" s="36"/>
      <c r="F1124" s="38">
        <v>82688276.189999998</v>
      </c>
      <c r="G1124" s="40">
        <f>VLOOKUP(A1124,'DATOS GENERALES'!A:B,2,0)</f>
        <v>1</v>
      </c>
      <c r="H1124" s="36">
        <f t="shared" si="85"/>
        <v>0.99539999999999995</v>
      </c>
      <c r="I1124" s="38">
        <f t="shared" si="86"/>
        <v>83070400.030138642</v>
      </c>
      <c r="J1124" s="38">
        <f t="shared" si="87"/>
        <v>-382123.84013864398</v>
      </c>
      <c r="K1124" s="38">
        <v>21742616.941333391</v>
      </c>
      <c r="L1124" s="38">
        <f t="shared" si="88"/>
        <v>-22124740.781472035</v>
      </c>
      <c r="M1124" s="41">
        <f>VLOOKUP(INDICADORES!$B$21,'DATOS GENERALES'!$K:$M,3,0)*F1124</f>
        <v>562778.58172556839</v>
      </c>
      <c r="N1124" s="38">
        <f t="shared" si="89"/>
        <v>-22687519.363197602</v>
      </c>
      <c r="O1124" s="36"/>
      <c r="P1124" s="36"/>
      <c r="Q1124" s="36"/>
    </row>
    <row r="1125" spans="1:17" x14ac:dyDescent="0.25">
      <c r="A1125" s="36">
        <v>1790</v>
      </c>
      <c r="B1125" s="37">
        <v>43709</v>
      </c>
      <c r="C1125" s="37">
        <v>43734.939341503654</v>
      </c>
      <c r="D1125" s="36" t="s">
        <v>195</v>
      </c>
      <c r="E1125" s="36"/>
      <c r="F1125" s="38">
        <v>82688276.189999998</v>
      </c>
      <c r="G1125" s="40">
        <f>VLOOKUP(A1125,'DATOS GENERALES'!A:B,2,0)</f>
        <v>1</v>
      </c>
      <c r="H1125" s="36">
        <f t="shared" si="85"/>
        <v>0.99539999999999995</v>
      </c>
      <c r="I1125" s="38">
        <f t="shared" si="86"/>
        <v>83070400.030138642</v>
      </c>
      <c r="J1125" s="38">
        <f t="shared" si="87"/>
        <v>-382123.84013864398</v>
      </c>
      <c r="K1125" s="38">
        <v>24572919.632675111</v>
      </c>
      <c r="L1125" s="38">
        <f t="shared" si="88"/>
        <v>-24955043.472813755</v>
      </c>
      <c r="M1125" s="41">
        <f>VLOOKUP(INDICADORES!$B$21,'DATOS GENERALES'!$K:$M,3,0)*F1125</f>
        <v>562778.58172556839</v>
      </c>
      <c r="N1125" s="38">
        <f t="shared" si="89"/>
        <v>-25517822.054539323</v>
      </c>
      <c r="O1125" s="36"/>
      <c r="P1125" s="36"/>
      <c r="Q1125" s="36"/>
    </row>
    <row r="1126" spans="1:17" x14ac:dyDescent="0.25">
      <c r="A1126" s="36">
        <v>1790</v>
      </c>
      <c r="B1126" s="37">
        <v>43739</v>
      </c>
      <c r="C1126" s="37">
        <v>43782.793266080524</v>
      </c>
      <c r="D1126" s="36" t="s">
        <v>195</v>
      </c>
      <c r="E1126" s="36"/>
      <c r="F1126" s="38">
        <v>82688276.189999998</v>
      </c>
      <c r="G1126" s="40">
        <f>VLOOKUP(A1126,'DATOS GENERALES'!A:B,2,0)</f>
        <v>1</v>
      </c>
      <c r="H1126" s="36">
        <f t="shared" si="85"/>
        <v>0.99539999999999995</v>
      </c>
      <c r="I1126" s="38">
        <f t="shared" si="86"/>
        <v>83070400.030138642</v>
      </c>
      <c r="J1126" s="38">
        <f t="shared" si="87"/>
        <v>-382123.84013864398</v>
      </c>
      <c r="K1126" s="38">
        <v>26573075.202848982</v>
      </c>
      <c r="L1126" s="38">
        <f t="shared" si="88"/>
        <v>-26955199.042987626</v>
      </c>
      <c r="M1126" s="41">
        <f>VLOOKUP(INDICADORES!$B$21,'DATOS GENERALES'!$K:$M,3,0)*F1126</f>
        <v>562778.58172556839</v>
      </c>
      <c r="N1126" s="38">
        <f t="shared" si="89"/>
        <v>-27517977.624713194</v>
      </c>
      <c r="O1126" s="36"/>
      <c r="P1126" s="36"/>
      <c r="Q1126" s="36"/>
    </row>
    <row r="1127" spans="1:17" x14ac:dyDescent="0.25">
      <c r="A1127" s="36">
        <v>1790</v>
      </c>
      <c r="B1127" s="37">
        <v>43770</v>
      </c>
      <c r="C1127" s="37">
        <v>43816.946034382054</v>
      </c>
      <c r="D1127" s="36" t="s">
        <v>195</v>
      </c>
      <c r="E1127" s="36"/>
      <c r="F1127" s="38">
        <v>82688276.189999998</v>
      </c>
      <c r="G1127" s="40">
        <f>VLOOKUP(A1127,'DATOS GENERALES'!A:B,2,0)</f>
        <v>1</v>
      </c>
      <c r="H1127" s="36">
        <f t="shared" si="85"/>
        <v>0.99539999999999995</v>
      </c>
      <c r="I1127" s="38">
        <f t="shared" si="86"/>
        <v>83070400.030138642</v>
      </c>
      <c r="J1127" s="38">
        <f t="shared" si="87"/>
        <v>-382123.84013864398</v>
      </c>
      <c r="K1127" s="38">
        <v>35539531.048196532</v>
      </c>
      <c r="L1127" s="38">
        <f t="shared" si="88"/>
        <v>-35921654.888335176</v>
      </c>
      <c r="M1127" s="41">
        <f>VLOOKUP(INDICADORES!$B$21,'DATOS GENERALES'!$K:$M,3,0)*F1127</f>
        <v>562778.58172556839</v>
      </c>
      <c r="N1127" s="38">
        <f t="shared" si="89"/>
        <v>-36484433.470060743</v>
      </c>
      <c r="O1127" s="36"/>
      <c r="P1127" s="36"/>
      <c r="Q1127" s="36"/>
    </row>
    <row r="1128" spans="1:17" x14ac:dyDescent="0.25">
      <c r="A1128" s="36">
        <v>1790</v>
      </c>
      <c r="B1128" s="37">
        <v>43800</v>
      </c>
      <c r="C1128" s="37">
        <v>43856.975624268853</v>
      </c>
      <c r="D1128" s="36" t="s">
        <v>195</v>
      </c>
      <c r="E1128" s="36"/>
      <c r="F1128" s="38">
        <v>82688276.189999998</v>
      </c>
      <c r="G1128" s="40">
        <f>VLOOKUP(A1128,'DATOS GENERALES'!A:B,2,0)</f>
        <v>1</v>
      </c>
      <c r="H1128" s="36">
        <f t="shared" si="85"/>
        <v>0.99539999999999995</v>
      </c>
      <c r="I1128" s="38">
        <f t="shared" si="86"/>
        <v>83070400.030138642</v>
      </c>
      <c r="J1128" s="38">
        <f t="shared" si="87"/>
        <v>-382123.84013864398</v>
      </c>
      <c r="K1128" s="38">
        <v>29923837.132772848</v>
      </c>
      <c r="L1128" s="38">
        <f t="shared" si="88"/>
        <v>-30305960.972911492</v>
      </c>
      <c r="M1128" s="41">
        <f>VLOOKUP(INDICADORES!$B$21,'DATOS GENERALES'!$K:$M,3,0)*F1128</f>
        <v>562778.58172556839</v>
      </c>
      <c r="N1128" s="38">
        <f t="shared" si="89"/>
        <v>-30868739.55463706</v>
      </c>
      <c r="O1128" s="36"/>
      <c r="P1128" s="36"/>
      <c r="Q1128" s="36"/>
    </row>
    <row r="1129" spans="1:17" x14ac:dyDescent="0.25">
      <c r="A1129" s="36">
        <v>1790</v>
      </c>
      <c r="B1129" s="37">
        <v>43831</v>
      </c>
      <c r="C1129" s="37">
        <v>43850.581621429468</v>
      </c>
      <c r="D1129" s="36" t="s">
        <v>195</v>
      </c>
      <c r="E1129" s="36"/>
      <c r="F1129" s="38">
        <v>79010033.789999992</v>
      </c>
      <c r="G1129" s="40">
        <f>VLOOKUP(A1129,'DATOS GENERALES'!A:B,2,0)</f>
        <v>1</v>
      </c>
      <c r="H1129" s="36">
        <f t="shared" si="85"/>
        <v>0.99539999999999995</v>
      </c>
      <c r="I1129" s="38">
        <f t="shared" si="86"/>
        <v>79375159.523809522</v>
      </c>
      <c r="J1129" s="38">
        <f t="shared" si="87"/>
        <v>-365125.73380953074</v>
      </c>
      <c r="K1129" s="38" t="s">
        <v>213</v>
      </c>
      <c r="L1129" s="38" t="str">
        <f t="shared" si="88"/>
        <v/>
      </c>
      <c r="M1129" s="41">
        <f>VLOOKUP(INDICADORES!$B$21,'DATOS GENERALES'!$K:$M,3,0)*F1129</f>
        <v>537744.36724565399</v>
      </c>
      <c r="N1129" s="38" t="str">
        <f t="shared" si="89"/>
        <v/>
      </c>
      <c r="O1129" s="36"/>
      <c r="P1129" s="36"/>
      <c r="Q1129" s="36"/>
    </row>
    <row r="1130" spans="1:17" x14ac:dyDescent="0.25">
      <c r="A1130" s="36">
        <v>1790</v>
      </c>
      <c r="B1130" s="37">
        <v>43862</v>
      </c>
      <c r="C1130" s="37">
        <v>43946.346494642872</v>
      </c>
      <c r="D1130" s="36" t="s">
        <v>195</v>
      </c>
      <c r="E1130" s="36"/>
      <c r="F1130" s="38">
        <v>79010033.789999992</v>
      </c>
      <c r="G1130" s="40">
        <f>VLOOKUP(A1130,'DATOS GENERALES'!A:B,2,0)</f>
        <v>1</v>
      </c>
      <c r="H1130" s="36">
        <f t="shared" si="85"/>
        <v>0.99539999999999995</v>
      </c>
      <c r="I1130" s="38">
        <f t="shared" si="86"/>
        <v>79375159.523809522</v>
      </c>
      <c r="J1130" s="38">
        <f t="shared" si="87"/>
        <v>-365125.73380953074</v>
      </c>
      <c r="K1130" s="38" t="s">
        <v>213</v>
      </c>
      <c r="L1130" s="38" t="str">
        <f t="shared" si="88"/>
        <v/>
      </c>
      <c r="M1130" s="41">
        <f>VLOOKUP(INDICADORES!$B$21,'DATOS GENERALES'!$K:$M,3,0)*F1130</f>
        <v>537744.36724565399</v>
      </c>
      <c r="N1130" s="38" t="str">
        <f t="shared" si="89"/>
        <v/>
      </c>
      <c r="O1130" s="36"/>
      <c r="P1130" s="36"/>
      <c r="Q1130" s="36"/>
    </row>
    <row r="1131" spans="1:17" x14ac:dyDescent="0.25">
      <c r="A1131" s="36">
        <v>1790</v>
      </c>
      <c r="B1131" s="37">
        <v>43891</v>
      </c>
      <c r="C1131" s="37">
        <v>43939.213857405171</v>
      </c>
      <c r="D1131" s="36" t="s">
        <v>195</v>
      </c>
      <c r="E1131" s="36"/>
      <c r="F1131" s="38">
        <v>79010033.789999992</v>
      </c>
      <c r="G1131" s="40">
        <f>VLOOKUP(A1131,'DATOS GENERALES'!A:B,2,0)</f>
        <v>1</v>
      </c>
      <c r="H1131" s="36">
        <f t="shared" si="85"/>
        <v>0.99539999999999995</v>
      </c>
      <c r="I1131" s="38">
        <f t="shared" si="86"/>
        <v>79375159.523809522</v>
      </c>
      <c r="J1131" s="38">
        <f t="shared" si="87"/>
        <v>-365125.73380953074</v>
      </c>
      <c r="K1131" s="38" t="s">
        <v>213</v>
      </c>
      <c r="L1131" s="38" t="str">
        <f t="shared" si="88"/>
        <v/>
      </c>
      <c r="M1131" s="41">
        <f>VLOOKUP(INDICADORES!$B$21,'DATOS GENERALES'!$K:$M,3,0)*F1131</f>
        <v>537744.36724565399</v>
      </c>
      <c r="N1131" s="38" t="str">
        <f t="shared" si="89"/>
        <v/>
      </c>
      <c r="O1131" s="36"/>
      <c r="P1131" s="36"/>
      <c r="Q1131" s="36"/>
    </row>
    <row r="1132" spans="1:17" x14ac:dyDescent="0.25">
      <c r="A1132" s="36">
        <v>1790</v>
      </c>
      <c r="B1132" s="37">
        <v>43922</v>
      </c>
      <c r="C1132" s="37">
        <v>43979.376089460216</v>
      </c>
      <c r="D1132" s="36" t="s">
        <v>195</v>
      </c>
      <c r="E1132" s="36"/>
      <c r="F1132" s="38">
        <v>79010033.789999992</v>
      </c>
      <c r="G1132" s="40">
        <f>VLOOKUP(A1132,'DATOS GENERALES'!A:B,2,0)</f>
        <v>1</v>
      </c>
      <c r="H1132" s="36">
        <f t="shared" si="85"/>
        <v>0.99539999999999995</v>
      </c>
      <c r="I1132" s="38">
        <f t="shared" si="86"/>
        <v>79375159.523809522</v>
      </c>
      <c r="J1132" s="38">
        <f t="shared" si="87"/>
        <v>-365125.73380953074</v>
      </c>
      <c r="K1132" s="38" t="s">
        <v>213</v>
      </c>
      <c r="L1132" s="38" t="str">
        <f t="shared" si="88"/>
        <v/>
      </c>
      <c r="M1132" s="41">
        <f>VLOOKUP(INDICADORES!$B$21,'DATOS GENERALES'!$K:$M,3,0)*F1132</f>
        <v>537744.36724565399</v>
      </c>
      <c r="N1132" s="38" t="str">
        <f t="shared" si="89"/>
        <v/>
      </c>
      <c r="O1132" s="36"/>
      <c r="P1132" s="36"/>
      <c r="Q1132" s="36"/>
    </row>
    <row r="1133" spans="1:17" x14ac:dyDescent="0.25">
      <c r="A1133" s="36">
        <v>1507</v>
      </c>
      <c r="B1133" s="37">
        <v>43617</v>
      </c>
      <c r="C1133" s="37">
        <v>43685.867174544815</v>
      </c>
      <c r="D1133" s="36" t="s">
        <v>195</v>
      </c>
      <c r="E1133" s="36"/>
      <c r="F1133" s="38">
        <v>577000000</v>
      </c>
      <c r="G1133" s="40">
        <f>VLOOKUP(A1133,'DATOS GENERALES'!A:B,2,0)</f>
        <v>1.87</v>
      </c>
      <c r="H1133" s="36">
        <f t="shared" si="85"/>
        <v>1.8613980000000001</v>
      </c>
      <c r="I1133" s="38">
        <f t="shared" si="86"/>
        <v>309982067.24193317</v>
      </c>
      <c r="J1133" s="38">
        <f t="shared" si="87"/>
        <v>267017932.75806683</v>
      </c>
      <c r="K1133" s="38">
        <v>55287558.800183408</v>
      </c>
      <c r="L1133" s="38">
        <f t="shared" si="88"/>
        <v>211730373.95788342</v>
      </c>
      <c r="M1133" s="41">
        <f>VLOOKUP(INDICADORES!$B$21,'DATOS GENERALES'!$K:$M,3,0)*F1133</f>
        <v>3927077.1700392966</v>
      </c>
      <c r="N1133" s="38">
        <f t="shared" si="89"/>
        <v>207803296.78784412</v>
      </c>
      <c r="O1133" s="36"/>
      <c r="P1133" s="36"/>
      <c r="Q1133" s="36"/>
    </row>
    <row r="1134" spans="1:17" x14ac:dyDescent="0.25">
      <c r="A1134" s="36">
        <v>1744</v>
      </c>
      <c r="B1134" s="37">
        <v>43466</v>
      </c>
      <c r="C1134" s="37">
        <v>43552.03651929785</v>
      </c>
      <c r="D1134" s="36" t="s">
        <v>195</v>
      </c>
      <c r="E1134" s="36"/>
      <c r="F1134" s="38">
        <v>35458635</v>
      </c>
      <c r="G1134" s="40">
        <f>VLOOKUP(A1134,'DATOS GENERALES'!A:B,2,0)</f>
        <v>2.2200000000000002</v>
      </c>
      <c r="H1134" s="36">
        <f t="shared" si="85"/>
        <v>2.2097880000000001</v>
      </c>
      <c r="I1134" s="38">
        <f t="shared" si="86"/>
        <v>16046170.492373023</v>
      </c>
      <c r="J1134" s="38">
        <f t="shared" si="87"/>
        <v>19412464.507626977</v>
      </c>
      <c r="K1134" s="38">
        <v>3520824.1693170522</v>
      </c>
      <c r="L1134" s="38">
        <f t="shared" si="88"/>
        <v>15891640.338309925</v>
      </c>
      <c r="M1134" s="41">
        <f>VLOOKUP(INDICADORES!$B$21,'DATOS GENERALES'!$K:$M,3,0)*F1134</f>
        <v>241332.40206110285</v>
      </c>
      <c r="N1134" s="38">
        <f t="shared" si="89"/>
        <v>15650307.936248822</v>
      </c>
      <c r="O1134" s="36"/>
      <c r="P1134" s="36"/>
      <c r="Q1134" s="36"/>
    </row>
    <row r="1135" spans="1:17" x14ac:dyDescent="0.25">
      <c r="A1135" s="36">
        <v>1744</v>
      </c>
      <c r="B1135" s="37">
        <v>43497</v>
      </c>
      <c r="C1135" s="37">
        <v>43539.540505217548</v>
      </c>
      <c r="D1135" s="36" t="s">
        <v>195</v>
      </c>
      <c r="E1135" s="36"/>
      <c r="F1135" s="38">
        <v>35458635</v>
      </c>
      <c r="G1135" s="40">
        <f>VLOOKUP(A1135,'DATOS GENERALES'!A:B,2,0)</f>
        <v>2.2200000000000002</v>
      </c>
      <c r="H1135" s="36">
        <f t="shared" si="85"/>
        <v>2.2097880000000001</v>
      </c>
      <c r="I1135" s="38">
        <f t="shared" si="86"/>
        <v>16046170.492373023</v>
      </c>
      <c r="J1135" s="38">
        <f t="shared" si="87"/>
        <v>19412464.507626977</v>
      </c>
      <c r="K1135" s="38">
        <v>3468505.6732319426</v>
      </c>
      <c r="L1135" s="38">
        <f t="shared" si="88"/>
        <v>15943958.834395034</v>
      </c>
      <c r="M1135" s="41">
        <f>VLOOKUP(INDICADORES!$B$21,'DATOS GENERALES'!$K:$M,3,0)*F1135</f>
        <v>241332.40206110285</v>
      </c>
      <c r="N1135" s="38">
        <f t="shared" si="89"/>
        <v>15702626.432333931</v>
      </c>
      <c r="O1135" s="36"/>
      <c r="P1135" s="36"/>
      <c r="Q1135" s="36"/>
    </row>
    <row r="1136" spans="1:17" x14ac:dyDescent="0.25">
      <c r="A1136" s="36">
        <v>1744</v>
      </c>
      <c r="B1136" s="37">
        <v>43525</v>
      </c>
      <c r="C1136" s="37">
        <v>43585.908768299807</v>
      </c>
      <c r="D1136" s="36" t="s">
        <v>195</v>
      </c>
      <c r="E1136" s="36"/>
      <c r="F1136" s="38">
        <v>35458635</v>
      </c>
      <c r="G1136" s="40">
        <f>VLOOKUP(A1136,'DATOS GENERALES'!A:B,2,0)</f>
        <v>2.2200000000000002</v>
      </c>
      <c r="H1136" s="36">
        <f t="shared" si="85"/>
        <v>2.2097880000000001</v>
      </c>
      <c r="I1136" s="38">
        <f t="shared" si="86"/>
        <v>16046170.492373023</v>
      </c>
      <c r="J1136" s="38">
        <f t="shared" si="87"/>
        <v>19412464.507626977</v>
      </c>
      <c r="K1136" s="38">
        <v>2509420.8351658201</v>
      </c>
      <c r="L1136" s="38">
        <f t="shared" si="88"/>
        <v>16903043.672461156</v>
      </c>
      <c r="M1136" s="41">
        <f>VLOOKUP(INDICADORES!$B$21,'DATOS GENERALES'!$K:$M,3,0)*F1136</f>
        <v>241332.40206110285</v>
      </c>
      <c r="N1136" s="38">
        <f t="shared" si="89"/>
        <v>16661711.270400053</v>
      </c>
      <c r="O1136" s="36"/>
      <c r="P1136" s="36"/>
      <c r="Q1136" s="36"/>
    </row>
    <row r="1137" spans="1:17" x14ac:dyDescent="0.25">
      <c r="A1137" s="36">
        <v>1744</v>
      </c>
      <c r="B1137" s="37">
        <v>43556</v>
      </c>
      <c r="C1137" s="37">
        <v>43623.00063172901</v>
      </c>
      <c r="D1137" s="36" t="s">
        <v>195</v>
      </c>
      <c r="E1137" s="36"/>
      <c r="F1137" s="38">
        <v>35458635</v>
      </c>
      <c r="G1137" s="40">
        <f>VLOOKUP(A1137,'DATOS GENERALES'!A:B,2,0)</f>
        <v>2.2200000000000002</v>
      </c>
      <c r="H1137" s="36">
        <f t="shared" si="85"/>
        <v>2.2097880000000001</v>
      </c>
      <c r="I1137" s="38">
        <f t="shared" si="86"/>
        <v>16046170.492373023</v>
      </c>
      <c r="J1137" s="38">
        <f t="shared" si="87"/>
        <v>19412464.507626977</v>
      </c>
      <c r="K1137" s="38">
        <v>2579873.7490181564</v>
      </c>
      <c r="L1137" s="38">
        <f t="shared" si="88"/>
        <v>16832590.758608822</v>
      </c>
      <c r="M1137" s="41">
        <f>VLOOKUP(INDICADORES!$B$21,'DATOS GENERALES'!$K:$M,3,0)*F1137</f>
        <v>241332.40206110285</v>
      </c>
      <c r="N1137" s="38">
        <f t="shared" si="89"/>
        <v>16591258.356547719</v>
      </c>
      <c r="O1137" s="36"/>
      <c r="P1137" s="36"/>
      <c r="Q1137" s="36"/>
    </row>
    <row r="1138" spans="1:17" x14ac:dyDescent="0.25">
      <c r="A1138" s="36">
        <v>1744</v>
      </c>
      <c r="B1138" s="37">
        <v>43586</v>
      </c>
      <c r="C1138" s="37">
        <v>43658.982614030429</v>
      </c>
      <c r="D1138" s="36" t="s">
        <v>195</v>
      </c>
      <c r="E1138" s="36"/>
      <c r="F1138" s="38">
        <v>35458635</v>
      </c>
      <c r="G1138" s="40">
        <f>VLOOKUP(A1138,'DATOS GENERALES'!A:B,2,0)</f>
        <v>2.2200000000000002</v>
      </c>
      <c r="H1138" s="36">
        <f t="shared" si="85"/>
        <v>2.2097880000000001</v>
      </c>
      <c r="I1138" s="38">
        <f t="shared" si="86"/>
        <v>16046170.492373023</v>
      </c>
      <c r="J1138" s="38">
        <f t="shared" si="87"/>
        <v>19412464.507626977</v>
      </c>
      <c r="K1138" s="38">
        <v>2128215.4208993614</v>
      </c>
      <c r="L1138" s="38">
        <f t="shared" si="88"/>
        <v>17284249.086727615</v>
      </c>
      <c r="M1138" s="41">
        <f>VLOOKUP(INDICADORES!$B$21,'DATOS GENERALES'!$K:$M,3,0)*F1138</f>
        <v>241332.40206110285</v>
      </c>
      <c r="N1138" s="38">
        <f t="shared" si="89"/>
        <v>17042916.684666514</v>
      </c>
      <c r="O1138" s="36"/>
      <c r="P1138" s="36"/>
      <c r="Q1138" s="36"/>
    </row>
    <row r="1139" spans="1:17" x14ac:dyDescent="0.25">
      <c r="A1139" s="36">
        <v>1744</v>
      </c>
      <c r="B1139" s="37">
        <v>43617</v>
      </c>
      <c r="C1139" s="37">
        <v>43686.115262252482</v>
      </c>
      <c r="D1139" s="36" t="s">
        <v>195</v>
      </c>
      <c r="E1139" s="36"/>
      <c r="F1139" s="38">
        <v>35458635</v>
      </c>
      <c r="G1139" s="40">
        <f>VLOOKUP(A1139,'DATOS GENERALES'!A:B,2,0)</f>
        <v>2.2200000000000002</v>
      </c>
      <c r="H1139" s="36">
        <f t="shared" si="85"/>
        <v>2.2097880000000001</v>
      </c>
      <c r="I1139" s="38">
        <f t="shared" si="86"/>
        <v>16046170.492373023</v>
      </c>
      <c r="J1139" s="38">
        <f t="shared" si="87"/>
        <v>19412464.507626977</v>
      </c>
      <c r="K1139" s="38">
        <v>2861951.3461159044</v>
      </c>
      <c r="L1139" s="38">
        <f t="shared" si="88"/>
        <v>16550513.161511073</v>
      </c>
      <c r="M1139" s="41">
        <f>VLOOKUP(INDICADORES!$B$21,'DATOS GENERALES'!$K:$M,3,0)*F1139</f>
        <v>241332.40206110285</v>
      </c>
      <c r="N1139" s="38">
        <f t="shared" si="89"/>
        <v>16309180.75944997</v>
      </c>
      <c r="O1139" s="36"/>
      <c r="P1139" s="36"/>
      <c r="Q1139" s="36"/>
    </row>
    <row r="1140" spans="1:17" x14ac:dyDescent="0.25">
      <c r="A1140" s="36">
        <v>1744</v>
      </c>
      <c r="B1140" s="37">
        <v>43647</v>
      </c>
      <c r="C1140" s="37">
        <v>43724.844496120313</v>
      </c>
      <c r="D1140" s="36" t="s">
        <v>195</v>
      </c>
      <c r="E1140" s="36"/>
      <c r="F1140" s="38">
        <v>35458635</v>
      </c>
      <c r="G1140" s="40">
        <f>VLOOKUP(A1140,'DATOS GENERALES'!A:B,2,0)</f>
        <v>2.2200000000000002</v>
      </c>
      <c r="H1140" s="36">
        <f t="shared" si="85"/>
        <v>2.2097880000000001</v>
      </c>
      <c r="I1140" s="38">
        <f t="shared" si="86"/>
        <v>16046170.492373023</v>
      </c>
      <c r="J1140" s="38">
        <f t="shared" si="87"/>
        <v>19412464.507626977</v>
      </c>
      <c r="K1140" s="38">
        <v>4268013.8024116866</v>
      </c>
      <c r="L1140" s="38">
        <f t="shared" si="88"/>
        <v>15144450.70521529</v>
      </c>
      <c r="M1140" s="41">
        <f>VLOOKUP(INDICADORES!$B$21,'DATOS GENERALES'!$K:$M,3,0)*F1140</f>
        <v>241332.40206110285</v>
      </c>
      <c r="N1140" s="38">
        <f t="shared" si="89"/>
        <v>14903118.303154187</v>
      </c>
      <c r="O1140" s="36"/>
      <c r="P1140" s="36"/>
      <c r="Q1140" s="36"/>
    </row>
    <row r="1141" spans="1:17" x14ac:dyDescent="0.25">
      <c r="A1141" s="36">
        <v>1744</v>
      </c>
      <c r="B1141" s="37">
        <v>43678</v>
      </c>
      <c r="C1141" s="37">
        <v>43736.496261727109</v>
      </c>
      <c r="D1141" s="36" t="s">
        <v>195</v>
      </c>
      <c r="E1141" s="36"/>
      <c r="F1141" s="38">
        <v>35458635</v>
      </c>
      <c r="G1141" s="40">
        <f>VLOOKUP(A1141,'DATOS GENERALES'!A:B,2,0)</f>
        <v>2.2200000000000002</v>
      </c>
      <c r="H1141" s="36">
        <f t="shared" si="85"/>
        <v>2.2097880000000001</v>
      </c>
      <c r="I1141" s="38">
        <f t="shared" si="86"/>
        <v>16046170.492373023</v>
      </c>
      <c r="J1141" s="38">
        <f t="shared" si="87"/>
        <v>19412464.507626977</v>
      </c>
      <c r="K1141" s="38">
        <v>4199880.3215635773</v>
      </c>
      <c r="L1141" s="38">
        <f t="shared" si="88"/>
        <v>15212584.1860634</v>
      </c>
      <c r="M1141" s="41">
        <f>VLOOKUP(INDICADORES!$B$21,'DATOS GENERALES'!$K:$M,3,0)*F1141</f>
        <v>241332.40206110285</v>
      </c>
      <c r="N1141" s="38">
        <f t="shared" si="89"/>
        <v>14971251.784002297</v>
      </c>
      <c r="O1141" s="36"/>
      <c r="P1141" s="36"/>
      <c r="Q1141" s="36"/>
    </row>
    <row r="1142" spans="1:17" x14ac:dyDescent="0.25">
      <c r="A1142" s="36">
        <v>1756</v>
      </c>
      <c r="B1142" s="37">
        <v>43466</v>
      </c>
      <c r="C1142" s="37">
        <v>43511.69451073961</v>
      </c>
      <c r="D1142" s="36" t="s">
        <v>195</v>
      </c>
      <c r="E1142" s="36"/>
      <c r="F1142" s="38">
        <v>62778573</v>
      </c>
      <c r="G1142" s="40">
        <f>VLOOKUP(A1142,'DATOS GENERALES'!A:B,2,0)</f>
        <v>1.72</v>
      </c>
      <c r="H1142" s="36">
        <f t="shared" si="85"/>
        <v>1.7120879999999998</v>
      </c>
      <c r="I1142" s="38">
        <f t="shared" si="86"/>
        <v>36667842.423987553</v>
      </c>
      <c r="J1142" s="38">
        <f t="shared" si="87"/>
        <v>26110730.576012447</v>
      </c>
      <c r="K1142" s="38">
        <v>8045597.2909204792</v>
      </c>
      <c r="L1142" s="38">
        <f t="shared" si="88"/>
        <v>18065133.285091966</v>
      </c>
      <c r="M1142" s="41">
        <f>VLOOKUP(INDICADORES!$B$21,'DATOS GENERALES'!$K:$M,3,0)*F1142</f>
        <v>427272.61836385686</v>
      </c>
      <c r="N1142" s="38">
        <f t="shared" si="89"/>
        <v>17637860.666728109</v>
      </c>
      <c r="O1142" s="36"/>
      <c r="P1142" s="36"/>
      <c r="Q1142" s="36"/>
    </row>
    <row r="1143" spans="1:17" x14ac:dyDescent="0.25">
      <c r="A1143" s="36">
        <v>1756</v>
      </c>
      <c r="B1143" s="37">
        <v>43497</v>
      </c>
      <c r="C1143" s="37">
        <v>43574.133718994497</v>
      </c>
      <c r="D1143" s="36" t="s">
        <v>195</v>
      </c>
      <c r="E1143" s="36"/>
      <c r="F1143" s="38">
        <v>62778573</v>
      </c>
      <c r="G1143" s="40">
        <f>VLOOKUP(A1143,'DATOS GENERALES'!A:B,2,0)</f>
        <v>1.72</v>
      </c>
      <c r="H1143" s="36">
        <f t="shared" si="85"/>
        <v>1.7120879999999998</v>
      </c>
      <c r="I1143" s="38">
        <f t="shared" si="86"/>
        <v>36667842.423987553</v>
      </c>
      <c r="J1143" s="38">
        <f t="shared" si="87"/>
        <v>26110730.576012447</v>
      </c>
      <c r="K1143" s="38">
        <v>7926041.8885133658</v>
      </c>
      <c r="L1143" s="38">
        <f t="shared" si="88"/>
        <v>18184688.687499084</v>
      </c>
      <c r="M1143" s="41">
        <f>VLOOKUP(INDICADORES!$B$21,'DATOS GENERALES'!$K:$M,3,0)*F1143</f>
        <v>427272.61836385686</v>
      </c>
      <c r="N1143" s="38">
        <f t="shared" si="89"/>
        <v>17757416.069135226</v>
      </c>
      <c r="O1143" s="36"/>
      <c r="P1143" s="36"/>
      <c r="Q1143" s="36"/>
    </row>
    <row r="1144" spans="1:17" x14ac:dyDescent="0.25">
      <c r="A1144" s="36">
        <v>1756</v>
      </c>
      <c r="B1144" s="37">
        <v>43525</v>
      </c>
      <c r="C1144" s="37">
        <v>43586.416707326236</v>
      </c>
      <c r="D1144" s="36" t="s">
        <v>195</v>
      </c>
      <c r="E1144" s="36"/>
      <c r="F1144" s="38">
        <v>62778573</v>
      </c>
      <c r="G1144" s="40">
        <f>VLOOKUP(A1144,'DATOS GENERALES'!A:B,2,0)</f>
        <v>1.72</v>
      </c>
      <c r="H1144" s="36">
        <f t="shared" si="85"/>
        <v>1.7120879999999998</v>
      </c>
      <c r="I1144" s="38">
        <f t="shared" si="86"/>
        <v>36667842.423987553</v>
      </c>
      <c r="J1144" s="38">
        <f t="shared" si="87"/>
        <v>26110730.576012447</v>
      </c>
      <c r="K1144" s="38">
        <v>5734393.0006893296</v>
      </c>
      <c r="L1144" s="38">
        <f t="shared" si="88"/>
        <v>20376337.57532312</v>
      </c>
      <c r="M1144" s="41">
        <f>VLOOKUP(INDICADORES!$B$21,'DATOS GENERALES'!$K:$M,3,0)*F1144</f>
        <v>427272.61836385686</v>
      </c>
      <c r="N1144" s="38">
        <f t="shared" si="89"/>
        <v>19949064.956959262</v>
      </c>
      <c r="O1144" s="36"/>
      <c r="P1144" s="36"/>
      <c r="Q1144" s="36"/>
    </row>
    <row r="1145" spans="1:17" x14ac:dyDescent="0.25">
      <c r="A1145" s="36">
        <v>1756</v>
      </c>
      <c r="B1145" s="37">
        <v>43556</v>
      </c>
      <c r="C1145" s="37">
        <v>43616.774523230168</v>
      </c>
      <c r="D1145" s="36" t="s">
        <v>195</v>
      </c>
      <c r="E1145" s="36"/>
      <c r="F1145" s="38">
        <v>62778573</v>
      </c>
      <c r="G1145" s="40">
        <f>VLOOKUP(A1145,'DATOS GENERALES'!A:B,2,0)</f>
        <v>1.72</v>
      </c>
      <c r="H1145" s="36">
        <f t="shared" si="85"/>
        <v>1.7120879999999998</v>
      </c>
      <c r="I1145" s="38">
        <f t="shared" si="86"/>
        <v>36667842.423987553</v>
      </c>
      <c r="J1145" s="38">
        <f t="shared" si="87"/>
        <v>26110730.576012447</v>
      </c>
      <c r="K1145" s="38">
        <v>5895388.1954416325</v>
      </c>
      <c r="L1145" s="38">
        <f t="shared" si="88"/>
        <v>20215342.380570814</v>
      </c>
      <c r="M1145" s="41">
        <f>VLOOKUP(INDICADORES!$B$21,'DATOS GENERALES'!$K:$M,3,0)*F1145</f>
        <v>427272.61836385686</v>
      </c>
      <c r="N1145" s="38">
        <f t="shared" si="89"/>
        <v>19788069.762206957</v>
      </c>
      <c r="O1145" s="36"/>
      <c r="P1145" s="36"/>
      <c r="Q1145" s="36"/>
    </row>
    <row r="1146" spans="1:17" x14ac:dyDescent="0.25">
      <c r="A1146" s="36">
        <v>1756</v>
      </c>
      <c r="B1146" s="37">
        <v>43586</v>
      </c>
      <c r="C1146" s="37">
        <v>43641.211361978363</v>
      </c>
      <c r="D1146" s="36" t="s">
        <v>195</v>
      </c>
      <c r="E1146" s="36"/>
      <c r="F1146" s="38">
        <v>62778573</v>
      </c>
      <c r="G1146" s="40">
        <f>VLOOKUP(A1146,'DATOS GENERALES'!A:B,2,0)</f>
        <v>1.72</v>
      </c>
      <c r="H1146" s="36">
        <f t="shared" si="85"/>
        <v>1.7120879999999998</v>
      </c>
      <c r="I1146" s="38">
        <f t="shared" si="86"/>
        <v>36667842.423987553</v>
      </c>
      <c r="J1146" s="38">
        <f t="shared" si="87"/>
        <v>26110730.576012447</v>
      </c>
      <c r="K1146" s="38">
        <v>4863282.9705337035</v>
      </c>
      <c r="L1146" s="38">
        <f t="shared" si="88"/>
        <v>21247447.605478745</v>
      </c>
      <c r="M1146" s="41">
        <f>VLOOKUP(INDICADORES!$B$21,'DATOS GENERALES'!$K:$M,3,0)*F1146</f>
        <v>427272.61836385686</v>
      </c>
      <c r="N1146" s="38">
        <f t="shared" si="89"/>
        <v>20820174.987114888</v>
      </c>
      <c r="O1146" s="36"/>
      <c r="P1146" s="36"/>
      <c r="Q1146" s="36"/>
    </row>
    <row r="1147" spans="1:17" x14ac:dyDescent="0.25">
      <c r="A1147" s="36">
        <v>1802</v>
      </c>
      <c r="B1147" s="37">
        <v>43831</v>
      </c>
      <c r="C1147" s="37">
        <v>43902.763711986292</v>
      </c>
      <c r="D1147" s="36" t="s">
        <v>195</v>
      </c>
      <c r="E1147" s="36"/>
      <c r="F1147" s="38">
        <v>21063300</v>
      </c>
      <c r="G1147" s="40">
        <f>VLOOKUP(A1147,'DATOS GENERALES'!A:B,2,0)</f>
        <v>1.95</v>
      </c>
      <c r="H1147" s="36">
        <f t="shared" si="85"/>
        <v>1.9410299999999998</v>
      </c>
      <c r="I1147" s="38">
        <f t="shared" si="86"/>
        <v>10851609.712369207</v>
      </c>
      <c r="J1147" s="38">
        <f t="shared" si="87"/>
        <v>10211690.287630793</v>
      </c>
      <c r="K1147" s="38" t="s">
        <v>213</v>
      </c>
      <c r="L1147" s="38" t="str">
        <f t="shared" si="88"/>
        <v/>
      </c>
      <c r="M1147" s="41">
        <f>VLOOKUP(INDICADORES!$B$21,'DATOS GENERALES'!$K:$M,3,0)*F1147</f>
        <v>143357.37358004975</v>
      </c>
      <c r="N1147" s="38" t="str">
        <f t="shared" si="89"/>
        <v/>
      </c>
      <c r="O1147" s="36"/>
      <c r="P1147" s="36"/>
      <c r="Q1147" s="36"/>
    </row>
    <row r="1148" spans="1:17" x14ac:dyDescent="0.25">
      <c r="A1148" s="36">
        <v>1802</v>
      </c>
      <c r="B1148" s="37">
        <v>43862</v>
      </c>
      <c r="C1148" s="37">
        <v>43928.419804553174</v>
      </c>
      <c r="D1148" s="36" t="s">
        <v>195</v>
      </c>
      <c r="E1148" s="36"/>
      <c r="F1148" s="38">
        <v>21063300</v>
      </c>
      <c r="G1148" s="40">
        <f>VLOOKUP(A1148,'DATOS GENERALES'!A:B,2,0)</f>
        <v>1.95</v>
      </c>
      <c r="H1148" s="36">
        <f t="shared" si="85"/>
        <v>1.9410299999999998</v>
      </c>
      <c r="I1148" s="38">
        <f t="shared" si="86"/>
        <v>10851609.712369207</v>
      </c>
      <c r="J1148" s="38">
        <f t="shared" si="87"/>
        <v>10211690.287630793</v>
      </c>
      <c r="K1148" s="38" t="s">
        <v>213</v>
      </c>
      <c r="L1148" s="38" t="str">
        <f t="shared" si="88"/>
        <v/>
      </c>
      <c r="M1148" s="41">
        <f>VLOOKUP(INDICADORES!$B$21,'DATOS GENERALES'!$K:$M,3,0)*F1148</f>
        <v>143357.37358004975</v>
      </c>
      <c r="N1148" s="38" t="str">
        <f t="shared" si="89"/>
        <v/>
      </c>
      <c r="O1148" s="36"/>
      <c r="P1148" s="36"/>
      <c r="Q1148" s="36"/>
    </row>
    <row r="1149" spans="1:17" x14ac:dyDescent="0.25">
      <c r="A1149" s="36">
        <v>1804</v>
      </c>
      <c r="B1149" s="37">
        <v>43466</v>
      </c>
      <c r="C1149" s="37">
        <v>43542.671582156639</v>
      </c>
      <c r="D1149" s="36" t="s">
        <v>195</v>
      </c>
      <c r="E1149" s="36"/>
      <c r="F1149" s="38">
        <v>29813870</v>
      </c>
      <c r="G1149" s="40">
        <f>VLOOKUP(A1149,'DATOS GENERALES'!A:B,2,0)</f>
        <v>2.27</v>
      </c>
      <c r="H1149" s="36">
        <f t="shared" si="85"/>
        <v>2.2595579999999997</v>
      </c>
      <c r="I1149" s="38">
        <f t="shared" si="86"/>
        <v>13194558.404785363</v>
      </c>
      <c r="J1149" s="38">
        <f t="shared" si="87"/>
        <v>16619311.595214637</v>
      </c>
      <c r="K1149" s="38">
        <v>2895128.1651354027</v>
      </c>
      <c r="L1149" s="38">
        <f t="shared" si="88"/>
        <v>13724183.430079235</v>
      </c>
      <c r="M1149" s="41">
        <f>VLOOKUP(INDICADORES!$B$21,'DATOS GENERALES'!$K:$M,3,0)*F1149</f>
        <v>202913.98306329199</v>
      </c>
      <c r="N1149" s="38">
        <f t="shared" si="89"/>
        <v>13521269.447015943</v>
      </c>
      <c r="O1149" s="36"/>
      <c r="P1149" s="36"/>
      <c r="Q1149" s="36"/>
    </row>
    <row r="1150" spans="1:17" x14ac:dyDescent="0.25">
      <c r="A1150" s="36">
        <v>1813</v>
      </c>
      <c r="B1150" s="37">
        <v>43466</v>
      </c>
      <c r="C1150" s="37">
        <v>43521.009125246565</v>
      </c>
      <c r="D1150" s="36" t="s">
        <v>195</v>
      </c>
      <c r="E1150" s="36"/>
      <c r="F1150" s="38">
        <v>126579869.80723679</v>
      </c>
      <c r="G1150" s="40">
        <f>VLOOKUP(A1150,'DATOS GENERALES'!A:B,2,0)</f>
        <v>2.5499999999999998</v>
      </c>
      <c r="H1150" s="36">
        <f t="shared" si="85"/>
        <v>2.5382699999999998</v>
      </c>
      <c r="I1150" s="38">
        <f t="shared" si="86"/>
        <v>49868560.006318003</v>
      </c>
      <c r="J1150" s="38">
        <f t="shared" si="87"/>
        <v>76711309.800918788</v>
      </c>
      <c r="K1150" s="38">
        <v>10942076.892597962</v>
      </c>
      <c r="L1150" s="38">
        <f t="shared" si="88"/>
        <v>65769232.908320829</v>
      </c>
      <c r="M1150" s="41">
        <f>VLOOKUP(INDICADORES!$B$21,'DATOS GENERALES'!$K:$M,3,0)*F1150</f>
        <v>861505.92184843333</v>
      </c>
      <c r="N1150" s="38">
        <f t="shared" si="89"/>
        <v>64907726.986472398</v>
      </c>
      <c r="O1150" s="36"/>
      <c r="P1150" s="36"/>
      <c r="Q1150" s="36"/>
    </row>
    <row r="1151" spans="1:17" x14ac:dyDescent="0.25">
      <c r="A1151" s="36">
        <v>1813</v>
      </c>
      <c r="B1151" s="37">
        <v>43497</v>
      </c>
      <c r="C1151" s="37">
        <v>43552.247663370646</v>
      </c>
      <c r="D1151" s="36" t="s">
        <v>195</v>
      </c>
      <c r="E1151" s="36"/>
      <c r="F1151" s="38">
        <v>253159739.61447358</v>
      </c>
      <c r="G1151" s="40">
        <f>VLOOKUP(A1151,'DATOS GENERALES'!A:B,2,0)</f>
        <v>2.5499999999999998</v>
      </c>
      <c r="H1151" s="36">
        <f t="shared" si="85"/>
        <v>2.5382699999999998</v>
      </c>
      <c r="I1151" s="38">
        <f t="shared" si="86"/>
        <v>99737120.012636006</v>
      </c>
      <c r="J1151" s="38">
        <f t="shared" si="87"/>
        <v>153422619.60183758</v>
      </c>
      <c r="K1151" s="38">
        <v>21558961.171456628</v>
      </c>
      <c r="L1151" s="38">
        <f t="shared" si="88"/>
        <v>131863658.43038094</v>
      </c>
      <c r="M1151" s="41">
        <f>VLOOKUP(INDICADORES!$B$21,'DATOS GENERALES'!$K:$M,3,0)*F1151</f>
        <v>1723011.8436968667</v>
      </c>
      <c r="N1151" s="38">
        <f t="shared" si="89"/>
        <v>130140646.58668408</v>
      </c>
      <c r="O1151" s="36"/>
      <c r="P1151" s="36"/>
      <c r="Q1151" s="36"/>
    </row>
    <row r="1152" spans="1:17" x14ac:dyDescent="0.25">
      <c r="A1152" s="36">
        <v>1813</v>
      </c>
      <c r="B1152" s="37">
        <v>43525</v>
      </c>
      <c r="C1152" s="37">
        <v>43582.056960393966</v>
      </c>
      <c r="D1152" s="36" t="s">
        <v>195</v>
      </c>
      <c r="E1152" s="36"/>
      <c r="F1152" s="38">
        <v>253159739.61447358</v>
      </c>
      <c r="G1152" s="40">
        <f>VLOOKUP(A1152,'DATOS GENERALES'!A:B,2,0)</f>
        <v>2.5499999999999998</v>
      </c>
      <c r="H1152" s="36">
        <f t="shared" si="85"/>
        <v>2.5382699999999998</v>
      </c>
      <c r="I1152" s="38">
        <f t="shared" si="86"/>
        <v>99737120.012636006</v>
      </c>
      <c r="J1152" s="38">
        <f t="shared" si="87"/>
        <v>153422619.60183758</v>
      </c>
      <c r="K1152" s="38">
        <v>15597641.014602548</v>
      </c>
      <c r="L1152" s="38">
        <f t="shared" si="88"/>
        <v>137824978.58723503</v>
      </c>
      <c r="M1152" s="41">
        <f>VLOOKUP(INDICADORES!$B$21,'DATOS GENERALES'!$K:$M,3,0)*F1152</f>
        <v>1723011.8436968667</v>
      </c>
      <c r="N1152" s="38">
        <f t="shared" si="89"/>
        <v>136101966.74353817</v>
      </c>
      <c r="O1152" s="36"/>
      <c r="P1152" s="36"/>
      <c r="Q1152" s="36"/>
    </row>
    <row r="1153" spans="1:17" x14ac:dyDescent="0.25">
      <c r="A1153" s="36">
        <v>1813</v>
      </c>
      <c r="B1153" s="37">
        <v>43556</v>
      </c>
      <c r="C1153" s="37">
        <v>43596.56052935827</v>
      </c>
      <c r="D1153" s="36" t="s">
        <v>195</v>
      </c>
      <c r="E1153" s="36"/>
      <c r="F1153" s="38">
        <v>126579869.80723679</v>
      </c>
      <c r="G1153" s="40">
        <f>VLOOKUP(A1153,'DATOS GENERALES'!A:B,2,0)</f>
        <v>2.5499999999999998</v>
      </c>
      <c r="H1153" s="36">
        <f t="shared" si="85"/>
        <v>2.5382699999999998</v>
      </c>
      <c r="I1153" s="38">
        <f t="shared" si="86"/>
        <v>49868560.006318003</v>
      </c>
      <c r="J1153" s="38">
        <f t="shared" si="87"/>
        <v>76711309.800918788</v>
      </c>
      <c r="K1153" s="38">
        <v>8017775.2643715153</v>
      </c>
      <c r="L1153" s="38">
        <f t="shared" si="88"/>
        <v>68693534.536547273</v>
      </c>
      <c r="M1153" s="41">
        <f>VLOOKUP(INDICADORES!$B$21,'DATOS GENERALES'!$K:$M,3,0)*F1153</f>
        <v>861505.92184843333</v>
      </c>
      <c r="N1153" s="38">
        <f t="shared" si="89"/>
        <v>67832028.614698842</v>
      </c>
      <c r="O1153" s="36"/>
      <c r="P1153" s="36"/>
      <c r="Q1153" s="36"/>
    </row>
    <row r="1154" spans="1:17" x14ac:dyDescent="0.25">
      <c r="A1154" s="36">
        <v>1857</v>
      </c>
      <c r="B1154" s="37">
        <v>43466</v>
      </c>
      <c r="C1154" s="37">
        <v>43540.149839051861</v>
      </c>
      <c r="D1154" s="36" t="s">
        <v>195</v>
      </c>
      <c r="E1154" s="36"/>
      <c r="F1154" s="38">
        <v>9800000</v>
      </c>
      <c r="G1154" s="40">
        <f>VLOOKUP(A1154,'DATOS GENERALES'!A:B,2,0)</f>
        <v>1.85</v>
      </c>
      <c r="H1154" s="36">
        <f t="shared" si="85"/>
        <v>1.8414900000000001</v>
      </c>
      <c r="I1154" s="38">
        <f t="shared" si="86"/>
        <v>5321777.4736762075</v>
      </c>
      <c r="J1154" s="38">
        <f t="shared" si="87"/>
        <v>4478222.5263237925</v>
      </c>
      <c r="K1154" s="38">
        <v>1167695.6045027827</v>
      </c>
      <c r="L1154" s="38">
        <f t="shared" si="88"/>
        <v>3310526.9218210098</v>
      </c>
      <c r="M1154" s="41">
        <f>VLOOKUP(INDICADORES!$B$21,'DATOS GENERALES'!$K:$M,3,0)*F1154</f>
        <v>66699.057654046977</v>
      </c>
      <c r="N1154" s="38">
        <f t="shared" si="89"/>
        <v>3243827.8641669629</v>
      </c>
      <c r="O1154" s="36"/>
      <c r="P1154" s="36"/>
      <c r="Q1154" s="36"/>
    </row>
    <row r="1155" spans="1:17" x14ac:dyDescent="0.25">
      <c r="A1155" s="36">
        <v>1857</v>
      </c>
      <c r="B1155" s="37">
        <v>43497</v>
      </c>
      <c r="C1155" s="37">
        <v>43550.871775197418</v>
      </c>
      <c r="D1155" s="36" t="s">
        <v>195</v>
      </c>
      <c r="E1155" s="36"/>
      <c r="F1155" s="38">
        <v>9800000</v>
      </c>
      <c r="G1155" s="40">
        <f>VLOOKUP(A1155,'DATOS GENERALES'!A:B,2,0)</f>
        <v>1.85</v>
      </c>
      <c r="H1155" s="36">
        <f t="shared" ref="H1155:H1218" si="90">G1155*0.9954</f>
        <v>1.8414900000000001</v>
      </c>
      <c r="I1155" s="38">
        <f t="shared" ref="I1155:I1218" si="91">F1155/H1155</f>
        <v>5321777.4736762075</v>
      </c>
      <c r="J1155" s="38">
        <f t="shared" ref="J1155:J1218" si="92">F1155-I1155</f>
        <v>4478222.5263237925</v>
      </c>
      <c r="K1155" s="38">
        <v>1150343.9632464035</v>
      </c>
      <c r="L1155" s="38">
        <f t="shared" ref="L1155:L1218" si="93">IFERROR(J1155-K1155,"")</f>
        <v>3327878.5630773893</v>
      </c>
      <c r="M1155" s="41">
        <f>VLOOKUP(INDICADORES!$B$21,'DATOS GENERALES'!$K:$M,3,0)*F1155</f>
        <v>66699.057654046977</v>
      </c>
      <c r="N1155" s="38">
        <f t="shared" ref="N1155:N1218" si="94">IFERROR(L1155-M1155,"")</f>
        <v>3261179.5054233423</v>
      </c>
      <c r="O1155" s="36"/>
      <c r="P1155" s="36"/>
      <c r="Q1155" s="36"/>
    </row>
    <row r="1156" spans="1:17" x14ac:dyDescent="0.25">
      <c r="A1156" s="36">
        <v>1857</v>
      </c>
      <c r="B1156" s="37">
        <v>43525</v>
      </c>
      <c r="C1156" s="37">
        <v>43572.601631735575</v>
      </c>
      <c r="D1156" s="36" t="s">
        <v>195</v>
      </c>
      <c r="E1156" s="36"/>
      <c r="F1156" s="38">
        <v>9800000</v>
      </c>
      <c r="G1156" s="40">
        <f>VLOOKUP(A1156,'DATOS GENERALES'!A:B,2,0)</f>
        <v>1.85</v>
      </c>
      <c r="H1156" s="36">
        <f t="shared" si="90"/>
        <v>1.8414900000000001</v>
      </c>
      <c r="I1156" s="38">
        <f t="shared" si="91"/>
        <v>5321777.4736762075</v>
      </c>
      <c r="J1156" s="38">
        <f t="shared" si="92"/>
        <v>4478222.5263237925</v>
      </c>
      <c r="K1156" s="38">
        <v>832259.58984461869</v>
      </c>
      <c r="L1156" s="38">
        <f t="shared" si="93"/>
        <v>3645962.9364791736</v>
      </c>
      <c r="M1156" s="41">
        <f>VLOOKUP(INDICADORES!$B$21,'DATOS GENERALES'!$K:$M,3,0)*F1156</f>
        <v>66699.057654046977</v>
      </c>
      <c r="N1156" s="38">
        <f t="shared" si="94"/>
        <v>3579263.8788251267</v>
      </c>
      <c r="O1156" s="36"/>
      <c r="P1156" s="36"/>
      <c r="Q1156" s="36"/>
    </row>
    <row r="1157" spans="1:17" x14ac:dyDescent="0.25">
      <c r="A1157" s="36">
        <v>1857</v>
      </c>
      <c r="B1157" s="37">
        <v>43556</v>
      </c>
      <c r="C1157" s="37">
        <v>43629.975207233438</v>
      </c>
      <c r="D1157" s="36" t="s">
        <v>195</v>
      </c>
      <c r="E1157" s="36"/>
      <c r="F1157" s="38">
        <v>9800000</v>
      </c>
      <c r="G1157" s="40">
        <f>VLOOKUP(A1157,'DATOS GENERALES'!A:B,2,0)</f>
        <v>1.85</v>
      </c>
      <c r="H1157" s="36">
        <f t="shared" si="90"/>
        <v>1.8414900000000001</v>
      </c>
      <c r="I1157" s="38">
        <f t="shared" si="91"/>
        <v>5321777.4736762075</v>
      </c>
      <c r="J1157" s="38">
        <f t="shared" si="92"/>
        <v>4478222.5263237925</v>
      </c>
      <c r="K1157" s="38">
        <v>855625.58424636256</v>
      </c>
      <c r="L1157" s="38">
        <f t="shared" si="93"/>
        <v>3622596.94207743</v>
      </c>
      <c r="M1157" s="41">
        <f>VLOOKUP(INDICADORES!$B$21,'DATOS GENERALES'!$K:$M,3,0)*F1157</f>
        <v>66699.057654046977</v>
      </c>
      <c r="N1157" s="38">
        <f t="shared" si="94"/>
        <v>3555897.884423383</v>
      </c>
      <c r="O1157" s="36"/>
      <c r="P1157" s="36"/>
      <c r="Q1157" s="36"/>
    </row>
    <row r="1158" spans="1:17" x14ac:dyDescent="0.25">
      <c r="A1158" s="36">
        <v>1857</v>
      </c>
      <c r="B1158" s="37">
        <v>43586</v>
      </c>
      <c r="C1158" s="37">
        <v>43659.938685031171</v>
      </c>
      <c r="D1158" s="36" t="s">
        <v>195</v>
      </c>
      <c r="E1158" s="36"/>
      <c r="F1158" s="38">
        <v>9800000</v>
      </c>
      <c r="G1158" s="40">
        <f>VLOOKUP(A1158,'DATOS GENERALES'!A:B,2,0)</f>
        <v>1.85</v>
      </c>
      <c r="H1158" s="36">
        <f t="shared" si="90"/>
        <v>1.8414900000000001</v>
      </c>
      <c r="I1158" s="38">
        <f t="shared" si="91"/>
        <v>5321777.4736762075</v>
      </c>
      <c r="J1158" s="38">
        <f t="shared" si="92"/>
        <v>4478222.5263237925</v>
      </c>
      <c r="K1158" s="38">
        <v>705831.26930228679</v>
      </c>
      <c r="L1158" s="38">
        <f t="shared" si="93"/>
        <v>3772391.2570215059</v>
      </c>
      <c r="M1158" s="41">
        <f>VLOOKUP(INDICADORES!$B$21,'DATOS GENERALES'!$K:$M,3,0)*F1158</f>
        <v>66699.057654046977</v>
      </c>
      <c r="N1158" s="38">
        <f t="shared" si="94"/>
        <v>3705692.1993674589</v>
      </c>
      <c r="O1158" s="36"/>
      <c r="P1158" s="36"/>
      <c r="Q1158" s="36"/>
    </row>
    <row r="1159" spans="1:17" x14ac:dyDescent="0.25">
      <c r="A1159" s="36">
        <v>1857</v>
      </c>
      <c r="B1159" s="37">
        <v>43617</v>
      </c>
      <c r="C1159" s="37">
        <v>43678.772387444675</v>
      </c>
      <c r="D1159" s="36" t="s">
        <v>195</v>
      </c>
      <c r="E1159" s="36"/>
      <c r="F1159" s="38">
        <v>9800000</v>
      </c>
      <c r="G1159" s="40">
        <f>VLOOKUP(A1159,'DATOS GENERALES'!A:B,2,0)</f>
        <v>1.85</v>
      </c>
      <c r="H1159" s="36">
        <f t="shared" si="90"/>
        <v>1.8414900000000001</v>
      </c>
      <c r="I1159" s="38">
        <f t="shared" si="91"/>
        <v>5321777.4736762075</v>
      </c>
      <c r="J1159" s="38">
        <f t="shared" si="92"/>
        <v>4478222.5263237925</v>
      </c>
      <c r="K1159" s="38">
        <v>949177.76249207114</v>
      </c>
      <c r="L1159" s="38">
        <f t="shared" si="93"/>
        <v>3529044.7638317216</v>
      </c>
      <c r="M1159" s="41">
        <f>VLOOKUP(INDICADORES!$B$21,'DATOS GENERALES'!$K:$M,3,0)*F1159</f>
        <v>66699.057654046977</v>
      </c>
      <c r="N1159" s="38">
        <f t="shared" si="94"/>
        <v>3462345.7061776747</v>
      </c>
      <c r="O1159" s="36"/>
      <c r="P1159" s="36"/>
      <c r="Q1159" s="36"/>
    </row>
    <row r="1160" spans="1:17" x14ac:dyDescent="0.25">
      <c r="A1160" s="36">
        <v>1857</v>
      </c>
      <c r="B1160" s="37">
        <v>43647</v>
      </c>
      <c r="C1160" s="37">
        <v>43731.095412114308</v>
      </c>
      <c r="D1160" s="36" t="s">
        <v>195</v>
      </c>
      <c r="E1160" s="36"/>
      <c r="F1160" s="38">
        <v>9800000</v>
      </c>
      <c r="G1160" s="40">
        <f>VLOOKUP(A1160,'DATOS GENERALES'!A:B,2,0)</f>
        <v>1.85</v>
      </c>
      <c r="H1160" s="36">
        <f t="shared" si="90"/>
        <v>1.8414900000000001</v>
      </c>
      <c r="I1160" s="38">
        <f t="shared" si="91"/>
        <v>5321777.4736762075</v>
      </c>
      <c r="J1160" s="38">
        <f t="shared" si="92"/>
        <v>4478222.5263237925</v>
      </c>
      <c r="K1160" s="38">
        <v>1415504.0744338138</v>
      </c>
      <c r="L1160" s="38">
        <f t="shared" si="93"/>
        <v>3062718.4518899787</v>
      </c>
      <c r="M1160" s="41">
        <f>VLOOKUP(INDICADORES!$B$21,'DATOS GENERALES'!$K:$M,3,0)*F1160</f>
        <v>66699.057654046977</v>
      </c>
      <c r="N1160" s="38">
        <f t="shared" si="94"/>
        <v>2996019.3942359318</v>
      </c>
      <c r="O1160" s="36"/>
      <c r="P1160" s="36"/>
      <c r="Q1160" s="36"/>
    </row>
    <row r="1161" spans="1:17" x14ac:dyDescent="0.25">
      <c r="A1161" s="36">
        <v>1857</v>
      </c>
      <c r="B1161" s="37">
        <v>43678</v>
      </c>
      <c r="C1161" s="37">
        <v>43759.673597411915</v>
      </c>
      <c r="D1161" s="36" t="s">
        <v>195</v>
      </c>
      <c r="E1161" s="36"/>
      <c r="F1161" s="38">
        <v>9800000</v>
      </c>
      <c r="G1161" s="40">
        <f>VLOOKUP(A1161,'DATOS GENERALES'!A:B,2,0)</f>
        <v>1.85</v>
      </c>
      <c r="H1161" s="36">
        <f t="shared" si="90"/>
        <v>1.8414900000000001</v>
      </c>
      <c r="I1161" s="38">
        <f t="shared" si="91"/>
        <v>5321777.4736762075</v>
      </c>
      <c r="J1161" s="38">
        <f t="shared" si="92"/>
        <v>4478222.5263237925</v>
      </c>
      <c r="K1161" s="38">
        <v>1392907.3293878252</v>
      </c>
      <c r="L1161" s="38">
        <f t="shared" si="93"/>
        <v>3085315.1969359675</v>
      </c>
      <c r="M1161" s="41">
        <f>VLOOKUP(INDICADORES!$B$21,'DATOS GENERALES'!$K:$M,3,0)*F1161</f>
        <v>66699.057654046977</v>
      </c>
      <c r="N1161" s="38">
        <f t="shared" si="94"/>
        <v>3018616.1392819206</v>
      </c>
      <c r="O1161" s="36"/>
      <c r="P1161" s="36"/>
      <c r="Q1161" s="36"/>
    </row>
    <row r="1162" spans="1:17" x14ac:dyDescent="0.25">
      <c r="A1162" s="36">
        <v>1857</v>
      </c>
      <c r="B1162" s="37">
        <v>43709</v>
      </c>
      <c r="C1162" s="37">
        <v>43779.440703690678</v>
      </c>
      <c r="D1162" s="36" t="s">
        <v>195</v>
      </c>
      <c r="E1162" s="36"/>
      <c r="F1162" s="38">
        <v>9800000</v>
      </c>
      <c r="G1162" s="40">
        <f>VLOOKUP(A1162,'DATOS GENERALES'!A:B,2,0)</f>
        <v>1.85</v>
      </c>
      <c r="H1162" s="36">
        <f t="shared" si="90"/>
        <v>1.8414900000000001</v>
      </c>
      <c r="I1162" s="38">
        <f t="shared" si="91"/>
        <v>5321777.4736762075</v>
      </c>
      <c r="J1162" s="38">
        <f t="shared" si="92"/>
        <v>4478222.5263237925</v>
      </c>
      <c r="K1162" s="38">
        <v>1574226.3202799216</v>
      </c>
      <c r="L1162" s="38">
        <f t="shared" si="93"/>
        <v>2903996.2060438711</v>
      </c>
      <c r="M1162" s="41">
        <f>VLOOKUP(INDICADORES!$B$21,'DATOS GENERALES'!$K:$M,3,0)*F1162</f>
        <v>66699.057654046977</v>
      </c>
      <c r="N1162" s="38">
        <f t="shared" si="94"/>
        <v>2837297.1483898242</v>
      </c>
      <c r="O1162" s="36"/>
      <c r="P1162" s="36"/>
      <c r="Q1162" s="36"/>
    </row>
    <row r="1163" spans="1:17" x14ac:dyDescent="0.25">
      <c r="A1163" s="36">
        <v>1873</v>
      </c>
      <c r="B1163" s="37">
        <v>43800</v>
      </c>
      <c r="C1163" s="37">
        <v>43875.433433742517</v>
      </c>
      <c r="D1163" s="36" t="s">
        <v>195</v>
      </c>
      <c r="E1163" s="36"/>
      <c r="F1163" s="38">
        <v>6950000</v>
      </c>
      <c r="G1163" s="40">
        <f>VLOOKUP(A1163,'DATOS GENERALES'!A:B,2,0)</f>
        <v>1.83</v>
      </c>
      <c r="H1163" s="36">
        <f t="shared" si="90"/>
        <v>1.821582</v>
      </c>
      <c r="I1163" s="38">
        <f t="shared" si="91"/>
        <v>3815364.8861264549</v>
      </c>
      <c r="J1163" s="38">
        <f t="shared" si="92"/>
        <v>3134635.1138735451</v>
      </c>
      <c r="K1163" s="38">
        <v>1374380.7350527563</v>
      </c>
      <c r="L1163" s="38">
        <f t="shared" si="93"/>
        <v>1760254.3788207888</v>
      </c>
      <c r="M1163" s="41">
        <f>VLOOKUP(INDICADORES!$B$21,'DATOS GENERALES'!$K:$M,3,0)*F1163</f>
        <v>47301.88272404352</v>
      </c>
      <c r="N1163" s="38">
        <f t="shared" si="94"/>
        <v>1712952.4960967454</v>
      </c>
      <c r="O1163" s="36"/>
      <c r="P1163" s="36"/>
      <c r="Q1163" s="36"/>
    </row>
    <row r="1164" spans="1:17" x14ac:dyDescent="0.25">
      <c r="A1164" s="36">
        <v>1883</v>
      </c>
      <c r="B1164" s="37">
        <v>43466</v>
      </c>
      <c r="C1164" s="37">
        <v>43568.259123206459</v>
      </c>
      <c r="D1164" s="36" t="s">
        <v>195</v>
      </c>
      <c r="E1164" s="36"/>
      <c r="F1164" s="38">
        <v>11029019</v>
      </c>
      <c r="G1164" s="40">
        <f>VLOOKUP(A1164,'DATOS GENERALES'!A:B,2,0)</f>
        <v>5.27</v>
      </c>
      <c r="H1164" s="36">
        <f t="shared" si="90"/>
        <v>5.2457579999999995</v>
      </c>
      <c r="I1164" s="38">
        <f t="shared" si="91"/>
        <v>2102464.3149760244</v>
      </c>
      <c r="J1164" s="38">
        <f t="shared" si="92"/>
        <v>8926554.6850239746</v>
      </c>
      <c r="K1164" s="38">
        <v>461319.23992784927</v>
      </c>
      <c r="L1164" s="38">
        <f t="shared" si="93"/>
        <v>8465235.4450961258</v>
      </c>
      <c r="M1164" s="41">
        <f>VLOOKUP(INDICADORES!$B$21,'DATOS GENERALES'!$K:$M,3,0)*F1164</f>
        <v>75063.793280467304</v>
      </c>
      <c r="N1164" s="38">
        <f t="shared" si="94"/>
        <v>8390171.6518156584</v>
      </c>
      <c r="O1164" s="36"/>
      <c r="P1164" s="36"/>
      <c r="Q1164" s="36"/>
    </row>
    <row r="1165" spans="1:17" x14ac:dyDescent="0.25">
      <c r="A1165" s="36">
        <v>1883</v>
      </c>
      <c r="B1165" s="37">
        <v>43497</v>
      </c>
      <c r="C1165" s="37">
        <v>43571.241307481178</v>
      </c>
      <c r="D1165" s="36" t="s">
        <v>195</v>
      </c>
      <c r="E1165" s="36"/>
      <c r="F1165" s="38">
        <v>11029019</v>
      </c>
      <c r="G1165" s="40">
        <f>VLOOKUP(A1165,'DATOS GENERALES'!A:B,2,0)</f>
        <v>5.27</v>
      </c>
      <c r="H1165" s="36">
        <f t="shared" si="90"/>
        <v>5.2457579999999995</v>
      </c>
      <c r="I1165" s="38">
        <f t="shared" si="91"/>
        <v>2102464.3149760244</v>
      </c>
      <c r="J1165" s="38">
        <f t="shared" si="92"/>
        <v>8926554.6850239746</v>
      </c>
      <c r="K1165" s="38">
        <v>454464.16063747031</v>
      </c>
      <c r="L1165" s="38">
        <f t="shared" si="93"/>
        <v>8472090.5243865047</v>
      </c>
      <c r="M1165" s="41">
        <f>VLOOKUP(INDICADORES!$B$21,'DATOS GENERALES'!$K:$M,3,0)*F1165</f>
        <v>75063.793280467304</v>
      </c>
      <c r="N1165" s="38">
        <f t="shared" si="94"/>
        <v>8397026.7311060373</v>
      </c>
      <c r="O1165" s="36"/>
      <c r="P1165" s="36"/>
      <c r="Q1165" s="36"/>
    </row>
    <row r="1166" spans="1:17" x14ac:dyDescent="0.25">
      <c r="A1166" s="36">
        <v>1883</v>
      </c>
      <c r="B1166" s="37">
        <v>43525</v>
      </c>
      <c r="C1166" s="37">
        <v>43585.5565753587</v>
      </c>
      <c r="D1166" s="36" t="s">
        <v>195</v>
      </c>
      <c r="E1166" s="36"/>
      <c r="F1166" s="38">
        <v>11029019</v>
      </c>
      <c r="G1166" s="40">
        <f>VLOOKUP(A1166,'DATOS GENERALES'!A:B,2,0)</f>
        <v>5.27</v>
      </c>
      <c r="H1166" s="36">
        <f t="shared" si="90"/>
        <v>5.2457579999999995</v>
      </c>
      <c r="I1166" s="38">
        <f t="shared" si="91"/>
        <v>2102464.3149760244</v>
      </c>
      <c r="J1166" s="38">
        <f t="shared" si="92"/>
        <v>8926554.6850239746</v>
      </c>
      <c r="K1166" s="38">
        <v>328799.18356228434</v>
      </c>
      <c r="L1166" s="38">
        <f t="shared" si="93"/>
        <v>8597755.5014616903</v>
      </c>
      <c r="M1166" s="41">
        <f>VLOOKUP(INDICADORES!$B$21,'DATOS GENERALES'!$K:$M,3,0)*F1166</f>
        <v>75063.793280467304</v>
      </c>
      <c r="N1166" s="38">
        <f t="shared" si="94"/>
        <v>8522691.7081812229</v>
      </c>
      <c r="O1166" s="36"/>
      <c r="P1166" s="36"/>
      <c r="Q1166" s="36"/>
    </row>
    <row r="1167" spans="1:17" x14ac:dyDescent="0.25">
      <c r="A1167" s="36">
        <v>1883</v>
      </c>
      <c r="B1167" s="37">
        <v>43556</v>
      </c>
      <c r="C1167" s="37">
        <v>43591.59039857403</v>
      </c>
      <c r="D1167" s="36" t="s">
        <v>195</v>
      </c>
      <c r="E1167" s="36"/>
      <c r="F1167" s="38">
        <v>11029019</v>
      </c>
      <c r="G1167" s="40">
        <f>VLOOKUP(A1167,'DATOS GENERALES'!A:B,2,0)</f>
        <v>5.27</v>
      </c>
      <c r="H1167" s="36">
        <f t="shared" si="90"/>
        <v>5.2457579999999995</v>
      </c>
      <c r="I1167" s="38">
        <f t="shared" si="91"/>
        <v>2102464.3149760244</v>
      </c>
      <c r="J1167" s="38">
        <f t="shared" si="92"/>
        <v>8926554.6850239746</v>
      </c>
      <c r="K1167" s="38">
        <v>338030.3416963091</v>
      </c>
      <c r="L1167" s="38">
        <f t="shared" si="93"/>
        <v>8588524.3433276657</v>
      </c>
      <c r="M1167" s="41">
        <f>VLOOKUP(INDICADORES!$B$21,'DATOS GENERALES'!$K:$M,3,0)*F1167</f>
        <v>75063.793280467304</v>
      </c>
      <c r="N1167" s="38">
        <f t="shared" si="94"/>
        <v>8513460.5500471983</v>
      </c>
      <c r="O1167" s="36"/>
      <c r="P1167" s="36"/>
      <c r="Q1167" s="36"/>
    </row>
    <row r="1168" spans="1:17" x14ac:dyDescent="0.25">
      <c r="A1168" s="36">
        <v>1883</v>
      </c>
      <c r="B1168" s="37">
        <v>43586</v>
      </c>
      <c r="C1168" s="37">
        <v>43634.654367851981</v>
      </c>
      <c r="D1168" s="36" t="s">
        <v>195</v>
      </c>
      <c r="E1168" s="36"/>
      <c r="F1168" s="38">
        <v>11029019</v>
      </c>
      <c r="G1168" s="40">
        <f>VLOOKUP(A1168,'DATOS GENERALES'!A:B,2,0)</f>
        <v>5.27</v>
      </c>
      <c r="H1168" s="36">
        <f t="shared" si="90"/>
        <v>5.2457579999999995</v>
      </c>
      <c r="I1168" s="38">
        <f t="shared" si="91"/>
        <v>2102464.3149760244</v>
      </c>
      <c r="J1168" s="38">
        <f t="shared" si="92"/>
        <v>8926554.6850239746</v>
      </c>
      <c r="K1168" s="38">
        <v>278851.39193487825</v>
      </c>
      <c r="L1168" s="38">
        <f t="shared" si="93"/>
        <v>8647703.2930890955</v>
      </c>
      <c r="M1168" s="41">
        <f>VLOOKUP(INDICADORES!$B$21,'DATOS GENERALES'!$K:$M,3,0)*F1168</f>
        <v>75063.793280467304</v>
      </c>
      <c r="N1168" s="38">
        <f t="shared" si="94"/>
        <v>8572639.4998086281</v>
      </c>
      <c r="O1168" s="36"/>
      <c r="P1168" s="36"/>
      <c r="Q1168" s="36"/>
    </row>
    <row r="1169" spans="1:17" x14ac:dyDescent="0.25">
      <c r="A1169" s="36">
        <v>1883</v>
      </c>
      <c r="B1169" s="37">
        <v>43617</v>
      </c>
      <c r="C1169" s="37">
        <v>43680.890012962744</v>
      </c>
      <c r="D1169" s="36" t="s">
        <v>195</v>
      </c>
      <c r="E1169" s="36"/>
      <c r="F1169" s="38">
        <v>11029019</v>
      </c>
      <c r="G1169" s="40">
        <f>VLOOKUP(A1169,'DATOS GENERALES'!A:B,2,0)</f>
        <v>5.27</v>
      </c>
      <c r="H1169" s="36">
        <f t="shared" si="90"/>
        <v>5.2457579999999995</v>
      </c>
      <c r="I1169" s="38">
        <f t="shared" si="91"/>
        <v>2102464.3149760244</v>
      </c>
      <c r="J1169" s="38">
        <f t="shared" si="92"/>
        <v>8926554.6850239746</v>
      </c>
      <c r="K1169" s="38">
        <v>374989.81948785379</v>
      </c>
      <c r="L1169" s="38">
        <f t="shared" si="93"/>
        <v>8551564.8655361217</v>
      </c>
      <c r="M1169" s="41">
        <f>VLOOKUP(INDICADORES!$B$21,'DATOS GENERALES'!$K:$M,3,0)*F1169</f>
        <v>75063.793280467304</v>
      </c>
      <c r="N1169" s="38">
        <f t="shared" si="94"/>
        <v>8476501.0722556543</v>
      </c>
      <c r="O1169" s="36"/>
      <c r="P1169" s="36"/>
      <c r="Q1169" s="36"/>
    </row>
    <row r="1170" spans="1:17" x14ac:dyDescent="0.25">
      <c r="A1170" s="36">
        <v>1883</v>
      </c>
      <c r="B1170" s="37">
        <v>43647</v>
      </c>
      <c r="C1170" s="37">
        <v>43722.959475998854</v>
      </c>
      <c r="D1170" s="36" t="s">
        <v>195</v>
      </c>
      <c r="E1170" s="36"/>
      <c r="F1170" s="38">
        <v>11029019</v>
      </c>
      <c r="G1170" s="40">
        <f>VLOOKUP(A1170,'DATOS GENERALES'!A:B,2,0)</f>
        <v>5.27</v>
      </c>
      <c r="H1170" s="36">
        <f t="shared" si="90"/>
        <v>5.2457579999999995</v>
      </c>
      <c r="I1170" s="38">
        <f t="shared" si="91"/>
        <v>2102464.3149760244</v>
      </c>
      <c r="J1170" s="38">
        <f t="shared" si="92"/>
        <v>8926554.6850239746</v>
      </c>
      <c r="K1170" s="38">
        <v>559220.45198640169</v>
      </c>
      <c r="L1170" s="38">
        <f t="shared" si="93"/>
        <v>8367334.2330375733</v>
      </c>
      <c r="M1170" s="41">
        <f>VLOOKUP(INDICADORES!$B$21,'DATOS GENERALES'!$K:$M,3,0)*F1170</f>
        <v>75063.793280467304</v>
      </c>
      <c r="N1170" s="38">
        <f t="shared" si="94"/>
        <v>8292270.4397571059</v>
      </c>
      <c r="O1170" s="36"/>
      <c r="P1170" s="36"/>
      <c r="Q1170" s="36"/>
    </row>
    <row r="1171" spans="1:17" x14ac:dyDescent="0.25">
      <c r="A1171" s="36">
        <v>1883</v>
      </c>
      <c r="B1171" s="37">
        <v>43678</v>
      </c>
      <c r="C1171" s="37">
        <v>43727.850842328626</v>
      </c>
      <c r="D1171" s="36" t="s">
        <v>195</v>
      </c>
      <c r="E1171" s="36"/>
      <c r="F1171" s="38">
        <v>11029019</v>
      </c>
      <c r="G1171" s="40">
        <f>VLOOKUP(A1171,'DATOS GENERALES'!A:B,2,0)</f>
        <v>5.27</v>
      </c>
      <c r="H1171" s="36">
        <f t="shared" si="90"/>
        <v>5.2457579999999995</v>
      </c>
      <c r="I1171" s="38">
        <f t="shared" si="91"/>
        <v>2102464.3149760244</v>
      </c>
      <c r="J1171" s="38">
        <f t="shared" si="92"/>
        <v>8926554.6850239746</v>
      </c>
      <c r="K1171" s="38">
        <v>550293.19970484707</v>
      </c>
      <c r="L1171" s="38">
        <f t="shared" si="93"/>
        <v>8376261.4853191273</v>
      </c>
      <c r="M1171" s="41">
        <f>VLOOKUP(INDICADORES!$B$21,'DATOS GENERALES'!$K:$M,3,0)*F1171</f>
        <v>75063.793280467304</v>
      </c>
      <c r="N1171" s="38">
        <f t="shared" si="94"/>
        <v>8301197.6920386599</v>
      </c>
      <c r="O1171" s="36"/>
      <c r="P1171" s="36"/>
      <c r="Q1171" s="36"/>
    </row>
    <row r="1172" spans="1:17" x14ac:dyDescent="0.25">
      <c r="A1172" s="36">
        <v>1883</v>
      </c>
      <c r="B1172" s="37">
        <v>43709</v>
      </c>
      <c r="C1172" s="37">
        <v>43736.494375165195</v>
      </c>
      <c r="D1172" s="36" t="s">
        <v>195</v>
      </c>
      <c r="E1172" s="36"/>
      <c r="F1172" s="38">
        <v>11029019</v>
      </c>
      <c r="G1172" s="40">
        <f>VLOOKUP(A1172,'DATOS GENERALES'!A:B,2,0)</f>
        <v>5.27</v>
      </c>
      <c r="H1172" s="36">
        <f t="shared" si="90"/>
        <v>5.2457579999999995</v>
      </c>
      <c r="I1172" s="38">
        <f t="shared" si="91"/>
        <v>2102464.3149760244</v>
      </c>
      <c r="J1172" s="38">
        <f t="shared" si="92"/>
        <v>8926554.6850239746</v>
      </c>
      <c r="K1172" s="38">
        <v>621926.54211041681</v>
      </c>
      <c r="L1172" s="38">
        <f t="shared" si="93"/>
        <v>8304628.1429135576</v>
      </c>
      <c r="M1172" s="41">
        <f>VLOOKUP(INDICADORES!$B$21,'DATOS GENERALES'!$K:$M,3,0)*F1172</f>
        <v>75063.793280467304</v>
      </c>
      <c r="N1172" s="38">
        <f t="shared" si="94"/>
        <v>8229564.3496330902</v>
      </c>
      <c r="O1172" s="36"/>
      <c r="P1172" s="36"/>
      <c r="Q1172" s="36"/>
    </row>
    <row r="1173" spans="1:17" x14ac:dyDescent="0.25">
      <c r="A1173" s="36">
        <v>1883</v>
      </c>
      <c r="B1173" s="37">
        <v>43739</v>
      </c>
      <c r="C1173" s="37">
        <v>43804.648773245521</v>
      </c>
      <c r="D1173" s="36" t="s">
        <v>195</v>
      </c>
      <c r="E1173" s="36"/>
      <c r="F1173" s="38">
        <v>11029019</v>
      </c>
      <c r="G1173" s="40">
        <f>VLOOKUP(A1173,'DATOS GENERALES'!A:B,2,0)</f>
        <v>5.27</v>
      </c>
      <c r="H1173" s="36">
        <f t="shared" si="90"/>
        <v>5.2457579999999995</v>
      </c>
      <c r="I1173" s="38">
        <f t="shared" si="91"/>
        <v>2102464.3149760244</v>
      </c>
      <c r="J1173" s="38">
        <f t="shared" si="92"/>
        <v>8926554.6850239746</v>
      </c>
      <c r="K1173" s="38">
        <v>672549.33565860451</v>
      </c>
      <c r="L1173" s="38">
        <f t="shared" si="93"/>
        <v>8254005.3493653703</v>
      </c>
      <c r="M1173" s="41">
        <f>VLOOKUP(INDICADORES!$B$21,'DATOS GENERALES'!$K:$M,3,0)*F1173</f>
        <v>75063.793280467304</v>
      </c>
      <c r="N1173" s="38">
        <f t="shared" si="94"/>
        <v>8178941.556084903</v>
      </c>
      <c r="O1173" s="36"/>
      <c r="P1173" s="36"/>
      <c r="Q1173" s="36"/>
    </row>
    <row r="1174" spans="1:17" x14ac:dyDescent="0.25">
      <c r="A1174" s="36">
        <v>1883</v>
      </c>
      <c r="B1174" s="37">
        <v>43770</v>
      </c>
      <c r="C1174" s="37">
        <v>43822.480961555375</v>
      </c>
      <c r="D1174" s="36" t="s">
        <v>195</v>
      </c>
      <c r="E1174" s="36"/>
      <c r="F1174" s="38">
        <v>11029019</v>
      </c>
      <c r="G1174" s="40">
        <f>VLOOKUP(A1174,'DATOS GENERALES'!A:B,2,0)</f>
        <v>5.27</v>
      </c>
      <c r="H1174" s="36">
        <f t="shared" si="90"/>
        <v>5.2457579999999995</v>
      </c>
      <c r="I1174" s="38">
        <f t="shared" si="91"/>
        <v>2102464.3149760244</v>
      </c>
      <c r="J1174" s="38">
        <f t="shared" si="92"/>
        <v>8926554.6850239746</v>
      </c>
      <c r="K1174" s="38">
        <v>899485.20499126543</v>
      </c>
      <c r="L1174" s="38">
        <f t="shared" si="93"/>
        <v>8027069.4800327094</v>
      </c>
      <c r="M1174" s="41">
        <f>VLOOKUP(INDICADORES!$B$21,'DATOS GENERALES'!$K:$M,3,0)*F1174</f>
        <v>75063.793280467304</v>
      </c>
      <c r="N1174" s="38">
        <f t="shared" si="94"/>
        <v>7952005.686752242</v>
      </c>
      <c r="O1174" s="36"/>
      <c r="P1174" s="36"/>
      <c r="Q1174" s="36"/>
    </row>
    <row r="1175" spans="1:17" x14ac:dyDescent="0.25">
      <c r="A1175" s="36">
        <v>1883</v>
      </c>
      <c r="B1175" s="37">
        <v>43800</v>
      </c>
      <c r="C1175" s="37">
        <v>43835.720883544695</v>
      </c>
      <c r="D1175" s="36" t="s">
        <v>195</v>
      </c>
      <c r="E1175" s="36"/>
      <c r="F1175" s="38">
        <v>11029019</v>
      </c>
      <c r="G1175" s="40">
        <f>VLOOKUP(A1175,'DATOS GENERALES'!A:B,2,0)</f>
        <v>5.27</v>
      </c>
      <c r="H1175" s="36">
        <f t="shared" si="90"/>
        <v>5.2457579999999995</v>
      </c>
      <c r="I1175" s="38">
        <f t="shared" si="91"/>
        <v>2102464.3149760244</v>
      </c>
      <c r="J1175" s="38">
        <f t="shared" si="92"/>
        <v>8926554.6850239746</v>
      </c>
      <c r="K1175" s="38">
        <v>757355.20373061567</v>
      </c>
      <c r="L1175" s="38">
        <f t="shared" si="93"/>
        <v>8169199.4812933588</v>
      </c>
      <c r="M1175" s="41">
        <f>VLOOKUP(INDICADORES!$B$21,'DATOS GENERALES'!$K:$M,3,0)*F1175</f>
        <v>75063.793280467304</v>
      </c>
      <c r="N1175" s="38">
        <f t="shared" si="94"/>
        <v>8094135.6880128914</v>
      </c>
      <c r="O1175" s="36"/>
      <c r="P1175" s="36"/>
      <c r="Q1175" s="36"/>
    </row>
    <row r="1176" spans="1:17" x14ac:dyDescent="0.25">
      <c r="A1176" s="36">
        <v>1883</v>
      </c>
      <c r="B1176" s="37">
        <v>43831</v>
      </c>
      <c r="C1176" s="37">
        <v>43869.050870963962</v>
      </c>
      <c r="D1176" s="36" t="s">
        <v>195</v>
      </c>
      <c r="E1176" s="36"/>
      <c r="F1176" s="38">
        <v>11029019</v>
      </c>
      <c r="G1176" s="40">
        <f>VLOOKUP(A1176,'DATOS GENERALES'!A:B,2,0)</f>
        <v>5.27</v>
      </c>
      <c r="H1176" s="36">
        <f t="shared" si="90"/>
        <v>5.2457579999999995</v>
      </c>
      <c r="I1176" s="38">
        <f t="shared" si="91"/>
        <v>2102464.3149760244</v>
      </c>
      <c r="J1176" s="38">
        <f t="shared" si="92"/>
        <v>8926554.6850239746</v>
      </c>
      <c r="K1176" s="38" t="s">
        <v>213</v>
      </c>
      <c r="L1176" s="38" t="str">
        <f t="shared" si="93"/>
        <v/>
      </c>
      <c r="M1176" s="41">
        <f>VLOOKUP(INDICADORES!$B$21,'DATOS GENERALES'!$K:$M,3,0)*F1176</f>
        <v>75063.793280467304</v>
      </c>
      <c r="N1176" s="38" t="str">
        <f t="shared" si="94"/>
        <v/>
      </c>
      <c r="O1176" s="36"/>
      <c r="P1176" s="36"/>
      <c r="Q1176" s="36"/>
    </row>
    <row r="1177" spans="1:17" x14ac:dyDescent="0.25">
      <c r="A1177" s="36">
        <v>1883</v>
      </c>
      <c r="B1177" s="37">
        <v>43862</v>
      </c>
      <c r="C1177" s="37">
        <v>43927.961736969213</v>
      </c>
      <c r="D1177" s="36" t="s">
        <v>195</v>
      </c>
      <c r="E1177" s="36"/>
      <c r="F1177" s="38">
        <v>11029019</v>
      </c>
      <c r="G1177" s="40">
        <f>VLOOKUP(A1177,'DATOS GENERALES'!A:B,2,0)</f>
        <v>5.27</v>
      </c>
      <c r="H1177" s="36">
        <f t="shared" si="90"/>
        <v>5.2457579999999995</v>
      </c>
      <c r="I1177" s="38">
        <f t="shared" si="91"/>
        <v>2102464.3149760244</v>
      </c>
      <c r="J1177" s="38">
        <f t="shared" si="92"/>
        <v>8926554.6850239746</v>
      </c>
      <c r="K1177" s="38" t="s">
        <v>213</v>
      </c>
      <c r="L1177" s="38" t="str">
        <f t="shared" si="93"/>
        <v/>
      </c>
      <c r="M1177" s="41">
        <f>VLOOKUP(INDICADORES!$B$21,'DATOS GENERALES'!$K:$M,3,0)*F1177</f>
        <v>75063.793280467304</v>
      </c>
      <c r="N1177" s="38" t="str">
        <f t="shared" si="94"/>
        <v/>
      </c>
      <c r="O1177" s="36"/>
      <c r="P1177" s="36"/>
      <c r="Q1177" s="36"/>
    </row>
    <row r="1178" spans="1:17" x14ac:dyDescent="0.25">
      <c r="A1178" s="36">
        <v>1883</v>
      </c>
      <c r="B1178" s="37">
        <v>43891</v>
      </c>
      <c r="C1178" s="37">
        <v>43919.996222529851</v>
      </c>
      <c r="D1178" s="36" t="s">
        <v>195</v>
      </c>
      <c r="E1178" s="36"/>
      <c r="F1178" s="38">
        <v>11029019</v>
      </c>
      <c r="G1178" s="40">
        <f>VLOOKUP(A1178,'DATOS GENERALES'!A:B,2,0)</f>
        <v>5.27</v>
      </c>
      <c r="H1178" s="36">
        <f t="shared" si="90"/>
        <v>5.2457579999999995</v>
      </c>
      <c r="I1178" s="38">
        <f t="shared" si="91"/>
        <v>2102464.3149760244</v>
      </c>
      <c r="J1178" s="38">
        <f t="shared" si="92"/>
        <v>8926554.6850239746</v>
      </c>
      <c r="K1178" s="38" t="s">
        <v>213</v>
      </c>
      <c r="L1178" s="38" t="str">
        <f t="shared" si="93"/>
        <v/>
      </c>
      <c r="M1178" s="41">
        <f>VLOOKUP(INDICADORES!$B$21,'DATOS GENERALES'!$K:$M,3,0)*F1178</f>
        <v>75063.793280467304</v>
      </c>
      <c r="N1178" s="38" t="str">
        <f t="shared" si="94"/>
        <v/>
      </c>
      <c r="O1178" s="36"/>
      <c r="P1178" s="36"/>
      <c r="Q1178" s="36"/>
    </row>
    <row r="1179" spans="1:17" x14ac:dyDescent="0.25">
      <c r="A1179" s="36">
        <v>1883</v>
      </c>
      <c r="B1179" s="37">
        <v>43922</v>
      </c>
      <c r="C1179" s="37">
        <v>43977.388735358334</v>
      </c>
      <c r="D1179" s="36" t="s">
        <v>195</v>
      </c>
      <c r="E1179" s="36"/>
      <c r="F1179" s="38">
        <v>11029019</v>
      </c>
      <c r="G1179" s="40">
        <f>VLOOKUP(A1179,'DATOS GENERALES'!A:B,2,0)</f>
        <v>5.27</v>
      </c>
      <c r="H1179" s="36">
        <f t="shared" si="90"/>
        <v>5.2457579999999995</v>
      </c>
      <c r="I1179" s="38">
        <f t="shared" si="91"/>
        <v>2102464.3149760244</v>
      </c>
      <c r="J1179" s="38">
        <f t="shared" si="92"/>
        <v>8926554.6850239746</v>
      </c>
      <c r="K1179" s="38" t="s">
        <v>213</v>
      </c>
      <c r="L1179" s="38" t="str">
        <f t="shared" si="93"/>
        <v/>
      </c>
      <c r="M1179" s="41">
        <f>VLOOKUP(INDICADORES!$B$21,'DATOS GENERALES'!$K:$M,3,0)*F1179</f>
        <v>75063.793280467304</v>
      </c>
      <c r="N1179" s="38" t="str">
        <f t="shared" si="94"/>
        <v/>
      </c>
      <c r="O1179" s="36"/>
      <c r="P1179" s="36"/>
      <c r="Q1179" s="36"/>
    </row>
    <row r="1180" spans="1:17" x14ac:dyDescent="0.25">
      <c r="A1180" s="36">
        <v>1883</v>
      </c>
      <c r="B1180" s="37">
        <v>43952</v>
      </c>
      <c r="C1180" s="37">
        <v>44052.802948235141</v>
      </c>
      <c r="D1180" s="36" t="s">
        <v>195</v>
      </c>
      <c r="E1180" s="36"/>
      <c r="F1180" s="38">
        <v>11029019</v>
      </c>
      <c r="G1180" s="40">
        <f>VLOOKUP(A1180,'DATOS GENERALES'!A:B,2,0)</f>
        <v>5.27</v>
      </c>
      <c r="H1180" s="36">
        <f t="shared" si="90"/>
        <v>5.2457579999999995</v>
      </c>
      <c r="I1180" s="38">
        <f t="shared" si="91"/>
        <v>2102464.3149760244</v>
      </c>
      <c r="J1180" s="38">
        <f t="shared" si="92"/>
        <v>8926554.6850239746</v>
      </c>
      <c r="K1180" s="38" t="s">
        <v>213</v>
      </c>
      <c r="L1180" s="38" t="str">
        <f t="shared" si="93"/>
        <v/>
      </c>
      <c r="M1180" s="41">
        <f>VLOOKUP(INDICADORES!$B$21,'DATOS GENERALES'!$K:$M,3,0)*F1180</f>
        <v>75063.793280467304</v>
      </c>
      <c r="N1180" s="38" t="str">
        <f t="shared" si="94"/>
        <v/>
      </c>
      <c r="O1180" s="36"/>
      <c r="P1180" s="36"/>
      <c r="Q1180" s="36"/>
    </row>
    <row r="1181" spans="1:17" x14ac:dyDescent="0.25">
      <c r="A1181" s="36">
        <v>1883</v>
      </c>
      <c r="B1181" s="37">
        <v>43983</v>
      </c>
      <c r="C1181" s="37">
        <v>44050.4427936832</v>
      </c>
      <c r="D1181" s="36" t="s">
        <v>195</v>
      </c>
      <c r="E1181" s="36"/>
      <c r="F1181" s="38">
        <v>11029019</v>
      </c>
      <c r="G1181" s="40">
        <f>VLOOKUP(A1181,'DATOS GENERALES'!A:B,2,0)</f>
        <v>5.27</v>
      </c>
      <c r="H1181" s="36">
        <f t="shared" si="90"/>
        <v>5.2457579999999995</v>
      </c>
      <c r="I1181" s="38">
        <f t="shared" si="91"/>
        <v>2102464.3149760244</v>
      </c>
      <c r="J1181" s="38">
        <f t="shared" si="92"/>
        <v>8926554.6850239746</v>
      </c>
      <c r="K1181" s="38" t="s">
        <v>213</v>
      </c>
      <c r="L1181" s="38" t="str">
        <f t="shared" si="93"/>
        <v/>
      </c>
      <c r="M1181" s="41">
        <f>VLOOKUP(INDICADORES!$B$21,'DATOS GENERALES'!$K:$M,3,0)*F1181</f>
        <v>75063.793280467304</v>
      </c>
      <c r="N1181" s="38" t="str">
        <f t="shared" si="94"/>
        <v/>
      </c>
      <c r="O1181" s="36"/>
      <c r="P1181" s="36"/>
      <c r="Q1181" s="36"/>
    </row>
    <row r="1182" spans="1:17" x14ac:dyDescent="0.25">
      <c r="A1182" s="36">
        <v>1883</v>
      </c>
      <c r="B1182" s="37">
        <v>44013</v>
      </c>
      <c r="C1182" s="37">
        <v>44033.946645281983</v>
      </c>
      <c r="D1182" s="36" t="s">
        <v>195</v>
      </c>
      <c r="E1182" s="36"/>
      <c r="F1182" s="38">
        <v>11029019</v>
      </c>
      <c r="G1182" s="40">
        <f>VLOOKUP(A1182,'DATOS GENERALES'!A:B,2,0)</f>
        <v>5.27</v>
      </c>
      <c r="H1182" s="36">
        <f t="shared" si="90"/>
        <v>5.2457579999999995</v>
      </c>
      <c r="I1182" s="38">
        <f t="shared" si="91"/>
        <v>2102464.3149760244</v>
      </c>
      <c r="J1182" s="38">
        <f t="shared" si="92"/>
        <v>8926554.6850239746</v>
      </c>
      <c r="K1182" s="38" t="s">
        <v>213</v>
      </c>
      <c r="L1182" s="38" t="str">
        <f t="shared" si="93"/>
        <v/>
      </c>
      <c r="M1182" s="41">
        <f>VLOOKUP(INDICADORES!$B$21,'DATOS GENERALES'!$K:$M,3,0)*F1182</f>
        <v>75063.793280467304</v>
      </c>
      <c r="N1182" s="38" t="str">
        <f t="shared" si="94"/>
        <v/>
      </c>
      <c r="O1182" s="36"/>
      <c r="P1182" s="36"/>
      <c r="Q1182" s="36"/>
    </row>
    <row r="1183" spans="1:17" x14ac:dyDescent="0.25">
      <c r="A1183" s="36">
        <v>1883</v>
      </c>
      <c r="B1183" s="37">
        <v>44044</v>
      </c>
      <c r="C1183" s="37">
        <v>44114.848695815759</v>
      </c>
      <c r="D1183" s="36" t="s">
        <v>195</v>
      </c>
      <c r="E1183" s="36"/>
      <c r="F1183" s="38">
        <v>11029019</v>
      </c>
      <c r="G1183" s="40">
        <f>VLOOKUP(A1183,'DATOS GENERALES'!A:B,2,0)</f>
        <v>5.27</v>
      </c>
      <c r="H1183" s="36">
        <f t="shared" si="90"/>
        <v>5.2457579999999995</v>
      </c>
      <c r="I1183" s="38">
        <f t="shared" si="91"/>
        <v>2102464.3149760244</v>
      </c>
      <c r="J1183" s="38">
        <f t="shared" si="92"/>
        <v>8926554.6850239746</v>
      </c>
      <c r="K1183" s="38" t="s">
        <v>213</v>
      </c>
      <c r="L1183" s="38" t="str">
        <f t="shared" si="93"/>
        <v/>
      </c>
      <c r="M1183" s="41">
        <f>VLOOKUP(INDICADORES!$B$21,'DATOS GENERALES'!$K:$M,3,0)*F1183</f>
        <v>75063.793280467304</v>
      </c>
      <c r="N1183" s="38" t="str">
        <f t="shared" si="94"/>
        <v/>
      </c>
      <c r="O1183" s="36"/>
      <c r="P1183" s="36"/>
      <c r="Q1183" s="36"/>
    </row>
    <row r="1184" spans="1:17" x14ac:dyDescent="0.25">
      <c r="A1184" s="36">
        <v>1883</v>
      </c>
      <c r="B1184" s="37">
        <v>44075</v>
      </c>
      <c r="C1184" s="37">
        <v>44164.860125088759</v>
      </c>
      <c r="D1184" s="36" t="s">
        <v>195</v>
      </c>
      <c r="E1184" s="36"/>
      <c r="F1184" s="38">
        <v>11029019</v>
      </c>
      <c r="G1184" s="40">
        <f>VLOOKUP(A1184,'DATOS GENERALES'!A:B,2,0)</f>
        <v>5.27</v>
      </c>
      <c r="H1184" s="36">
        <f t="shared" si="90"/>
        <v>5.2457579999999995</v>
      </c>
      <c r="I1184" s="38">
        <f t="shared" si="91"/>
        <v>2102464.3149760244</v>
      </c>
      <c r="J1184" s="38">
        <f t="shared" si="92"/>
        <v>8926554.6850239746</v>
      </c>
      <c r="K1184" s="38" t="s">
        <v>213</v>
      </c>
      <c r="L1184" s="38" t="str">
        <f t="shared" si="93"/>
        <v/>
      </c>
      <c r="M1184" s="41">
        <f>VLOOKUP(INDICADORES!$B$21,'DATOS GENERALES'!$K:$M,3,0)*F1184</f>
        <v>75063.793280467304</v>
      </c>
      <c r="N1184" s="38" t="str">
        <f t="shared" si="94"/>
        <v/>
      </c>
      <c r="O1184" s="36"/>
      <c r="P1184" s="36"/>
      <c r="Q1184" s="36"/>
    </row>
    <row r="1185" spans="1:17" x14ac:dyDescent="0.25">
      <c r="A1185" s="36">
        <v>1883</v>
      </c>
      <c r="B1185" s="37">
        <v>44105</v>
      </c>
      <c r="C1185" s="37">
        <v>44154.479125721336</v>
      </c>
      <c r="D1185" s="36" t="s">
        <v>195</v>
      </c>
      <c r="E1185" s="36"/>
      <c r="F1185" s="38">
        <v>11029019</v>
      </c>
      <c r="G1185" s="40">
        <f>VLOOKUP(A1185,'DATOS GENERALES'!A:B,2,0)</f>
        <v>5.27</v>
      </c>
      <c r="H1185" s="36">
        <f t="shared" si="90"/>
        <v>5.2457579999999995</v>
      </c>
      <c r="I1185" s="38">
        <f t="shared" si="91"/>
        <v>2102464.3149760244</v>
      </c>
      <c r="J1185" s="38">
        <f t="shared" si="92"/>
        <v>8926554.6850239746</v>
      </c>
      <c r="K1185" s="38" t="s">
        <v>213</v>
      </c>
      <c r="L1185" s="38" t="str">
        <f t="shared" si="93"/>
        <v/>
      </c>
      <c r="M1185" s="41">
        <f>VLOOKUP(INDICADORES!$B$21,'DATOS GENERALES'!$K:$M,3,0)*F1185</f>
        <v>75063.793280467304</v>
      </c>
      <c r="N1185" s="38" t="str">
        <f t="shared" si="94"/>
        <v/>
      </c>
      <c r="O1185" s="36"/>
      <c r="P1185" s="36"/>
      <c r="Q1185" s="36"/>
    </row>
    <row r="1186" spans="1:17" x14ac:dyDescent="0.25">
      <c r="A1186" s="36">
        <v>1883</v>
      </c>
      <c r="B1186" s="37">
        <v>44136</v>
      </c>
      <c r="C1186" s="37">
        <v>44193.732542712234</v>
      </c>
      <c r="D1186" s="36" t="s">
        <v>195</v>
      </c>
      <c r="E1186" s="36"/>
      <c r="F1186" s="38">
        <v>11029019</v>
      </c>
      <c r="G1186" s="40">
        <f>VLOOKUP(A1186,'DATOS GENERALES'!A:B,2,0)</f>
        <v>5.27</v>
      </c>
      <c r="H1186" s="36">
        <f t="shared" si="90"/>
        <v>5.2457579999999995</v>
      </c>
      <c r="I1186" s="38">
        <f t="shared" si="91"/>
        <v>2102464.3149760244</v>
      </c>
      <c r="J1186" s="38">
        <f t="shared" si="92"/>
        <v>8926554.6850239746</v>
      </c>
      <c r="K1186" s="38" t="s">
        <v>213</v>
      </c>
      <c r="L1186" s="38" t="str">
        <f t="shared" si="93"/>
        <v/>
      </c>
      <c r="M1186" s="41">
        <f>VLOOKUP(INDICADORES!$B$21,'DATOS GENERALES'!$K:$M,3,0)*F1186</f>
        <v>75063.793280467304</v>
      </c>
      <c r="N1186" s="38" t="str">
        <f t="shared" si="94"/>
        <v/>
      </c>
      <c r="O1186" s="36"/>
      <c r="P1186" s="36"/>
      <c r="Q1186" s="36"/>
    </row>
    <row r="1187" spans="1:17" x14ac:dyDescent="0.25">
      <c r="A1187" s="36">
        <v>1883</v>
      </c>
      <c r="B1187" s="37">
        <v>44166</v>
      </c>
      <c r="C1187" s="37">
        <v>44224.049648152963</v>
      </c>
      <c r="D1187" s="36" t="s">
        <v>195</v>
      </c>
      <c r="E1187" s="36"/>
      <c r="F1187" s="38">
        <v>11029019</v>
      </c>
      <c r="G1187" s="40">
        <f>VLOOKUP(A1187,'DATOS GENERALES'!A:B,2,0)</f>
        <v>5.27</v>
      </c>
      <c r="H1187" s="36">
        <f t="shared" si="90"/>
        <v>5.2457579999999995</v>
      </c>
      <c r="I1187" s="38">
        <f t="shared" si="91"/>
        <v>2102464.3149760244</v>
      </c>
      <c r="J1187" s="38">
        <f t="shared" si="92"/>
        <v>8926554.6850239746</v>
      </c>
      <c r="K1187" s="38" t="s">
        <v>213</v>
      </c>
      <c r="L1187" s="38" t="str">
        <f t="shared" si="93"/>
        <v/>
      </c>
      <c r="M1187" s="41">
        <f>VLOOKUP(INDICADORES!$B$21,'DATOS GENERALES'!$K:$M,3,0)*F1187</f>
        <v>75063.793280467304</v>
      </c>
      <c r="N1187" s="38" t="str">
        <f t="shared" si="94"/>
        <v/>
      </c>
      <c r="O1187" s="36"/>
      <c r="P1187" s="36"/>
      <c r="Q1187" s="36"/>
    </row>
    <row r="1188" spans="1:17" x14ac:dyDescent="0.25">
      <c r="A1188" s="36">
        <v>1883</v>
      </c>
      <c r="B1188" s="37">
        <v>44197</v>
      </c>
      <c r="C1188" s="37">
        <v>44286.711661270834</v>
      </c>
      <c r="D1188" s="36" t="s">
        <v>195</v>
      </c>
      <c r="E1188" s="36"/>
      <c r="F1188" s="38">
        <v>11029019</v>
      </c>
      <c r="G1188" s="40">
        <f>VLOOKUP(A1188,'DATOS GENERALES'!A:B,2,0)</f>
        <v>5.27</v>
      </c>
      <c r="H1188" s="36">
        <f t="shared" si="90"/>
        <v>5.2457579999999995</v>
      </c>
      <c r="I1188" s="38">
        <f t="shared" si="91"/>
        <v>2102464.3149760244</v>
      </c>
      <c r="J1188" s="38">
        <f t="shared" si="92"/>
        <v>8926554.6850239746</v>
      </c>
      <c r="K1188" s="38" t="s">
        <v>213</v>
      </c>
      <c r="L1188" s="38" t="str">
        <f t="shared" si="93"/>
        <v/>
      </c>
      <c r="M1188" s="41">
        <f>VLOOKUP(INDICADORES!$B$21,'DATOS GENERALES'!$K:$M,3,0)*F1188</f>
        <v>75063.793280467304</v>
      </c>
      <c r="N1188" s="38" t="str">
        <f t="shared" si="94"/>
        <v/>
      </c>
      <c r="O1188" s="36"/>
      <c r="P1188" s="36"/>
      <c r="Q1188" s="36"/>
    </row>
    <row r="1189" spans="1:17" x14ac:dyDescent="0.25">
      <c r="A1189" s="36">
        <v>1883</v>
      </c>
      <c r="B1189" s="37">
        <v>44228</v>
      </c>
      <c r="C1189" s="37">
        <v>44289.267999570628</v>
      </c>
      <c r="D1189" s="36" t="s">
        <v>195</v>
      </c>
      <c r="E1189" s="36"/>
      <c r="F1189" s="38">
        <v>11029019</v>
      </c>
      <c r="G1189" s="40">
        <f>VLOOKUP(A1189,'DATOS GENERALES'!A:B,2,0)</f>
        <v>5.27</v>
      </c>
      <c r="H1189" s="36">
        <f t="shared" si="90"/>
        <v>5.2457579999999995</v>
      </c>
      <c r="I1189" s="38">
        <f t="shared" si="91"/>
        <v>2102464.3149760244</v>
      </c>
      <c r="J1189" s="38">
        <f t="shared" si="92"/>
        <v>8926554.6850239746</v>
      </c>
      <c r="K1189" s="38" t="s">
        <v>213</v>
      </c>
      <c r="L1189" s="38" t="str">
        <f t="shared" si="93"/>
        <v/>
      </c>
      <c r="M1189" s="41">
        <f>VLOOKUP(INDICADORES!$B$21,'DATOS GENERALES'!$K:$M,3,0)*F1189</f>
        <v>75063.793280467304</v>
      </c>
      <c r="N1189" s="38" t="str">
        <f t="shared" si="94"/>
        <v/>
      </c>
      <c r="O1189" s="36"/>
      <c r="P1189" s="36"/>
      <c r="Q1189" s="36"/>
    </row>
    <row r="1190" spans="1:17" x14ac:dyDescent="0.25">
      <c r="A1190" s="36">
        <v>1884</v>
      </c>
      <c r="B1190" s="37">
        <v>43466</v>
      </c>
      <c r="C1190" s="37">
        <v>43512.43479927547</v>
      </c>
      <c r="D1190" s="36" t="s">
        <v>195</v>
      </c>
      <c r="E1190" s="36"/>
      <c r="F1190" s="38">
        <v>10920000</v>
      </c>
      <c r="G1190" s="40">
        <f>VLOOKUP(A1190,'DATOS GENERALES'!A:B,2,0)</f>
        <v>5.0599999999999996</v>
      </c>
      <c r="H1190" s="36">
        <f t="shared" si="90"/>
        <v>5.0367239999999995</v>
      </c>
      <c r="I1190" s="38">
        <f t="shared" si="91"/>
        <v>2168075.9160120748</v>
      </c>
      <c r="J1190" s="38">
        <f t="shared" si="92"/>
        <v>8751924.0839879252</v>
      </c>
      <c r="K1190" s="38">
        <v>475715.62882482097</v>
      </c>
      <c r="L1190" s="38">
        <f t="shared" si="93"/>
        <v>8276208.4551631045</v>
      </c>
      <c r="M1190" s="41">
        <f>VLOOKUP(INDICADORES!$B$21,'DATOS GENERALES'!$K:$M,3,0)*F1190</f>
        <v>74321.80710022377</v>
      </c>
      <c r="N1190" s="38">
        <f t="shared" si="94"/>
        <v>8201886.6480628811</v>
      </c>
      <c r="O1190" s="36"/>
      <c r="P1190" s="36"/>
      <c r="Q1190" s="36"/>
    </row>
    <row r="1191" spans="1:17" x14ac:dyDescent="0.25">
      <c r="A1191" s="36">
        <v>1884</v>
      </c>
      <c r="B1191" s="37">
        <v>43497</v>
      </c>
      <c r="C1191" s="37">
        <v>43567.124283515695</v>
      </c>
      <c r="D1191" s="36" t="s">
        <v>195</v>
      </c>
      <c r="E1191" s="36"/>
      <c r="F1191" s="38">
        <v>10920000</v>
      </c>
      <c r="G1191" s="40">
        <f>VLOOKUP(A1191,'DATOS GENERALES'!A:B,2,0)</f>
        <v>5.0599999999999996</v>
      </c>
      <c r="H1191" s="36">
        <f t="shared" si="90"/>
        <v>5.0367239999999995</v>
      </c>
      <c r="I1191" s="38">
        <f t="shared" si="91"/>
        <v>2168075.9160120748</v>
      </c>
      <c r="J1191" s="38">
        <f t="shared" si="92"/>
        <v>8751924.0839879252</v>
      </c>
      <c r="K1191" s="38">
        <v>468646.62308429158</v>
      </c>
      <c r="L1191" s="38">
        <f t="shared" si="93"/>
        <v>8283277.4609036334</v>
      </c>
      <c r="M1191" s="41">
        <f>VLOOKUP(INDICADORES!$B$21,'DATOS GENERALES'!$K:$M,3,0)*F1191</f>
        <v>74321.80710022377</v>
      </c>
      <c r="N1191" s="38">
        <f t="shared" si="94"/>
        <v>8208955.65380341</v>
      </c>
      <c r="O1191" s="36"/>
      <c r="P1191" s="36"/>
      <c r="Q1191" s="36"/>
    </row>
    <row r="1192" spans="1:17" x14ac:dyDescent="0.25">
      <c r="A1192" s="36">
        <v>1884</v>
      </c>
      <c r="B1192" s="37">
        <v>43525</v>
      </c>
      <c r="C1192" s="37">
        <v>43587.623682309859</v>
      </c>
      <c r="D1192" s="36" t="s">
        <v>195</v>
      </c>
      <c r="E1192" s="36"/>
      <c r="F1192" s="38">
        <v>10920000</v>
      </c>
      <c r="G1192" s="40">
        <f>VLOOKUP(A1192,'DATOS GENERALES'!A:B,2,0)</f>
        <v>5.0599999999999996</v>
      </c>
      <c r="H1192" s="36">
        <f t="shared" si="90"/>
        <v>5.0367239999999995</v>
      </c>
      <c r="I1192" s="38">
        <f t="shared" si="91"/>
        <v>2168075.9160120748</v>
      </c>
      <c r="J1192" s="38">
        <f t="shared" si="92"/>
        <v>8751924.0839879252</v>
      </c>
      <c r="K1192" s="38">
        <v>339060.01923935203</v>
      </c>
      <c r="L1192" s="38">
        <f t="shared" si="93"/>
        <v>8412864.064748574</v>
      </c>
      <c r="M1192" s="41">
        <f>VLOOKUP(INDICADORES!$B$21,'DATOS GENERALES'!$K:$M,3,0)*F1192</f>
        <v>74321.80710022377</v>
      </c>
      <c r="N1192" s="38">
        <f t="shared" si="94"/>
        <v>8338542.2576483507</v>
      </c>
      <c r="O1192" s="36"/>
      <c r="P1192" s="36"/>
      <c r="Q1192" s="36"/>
    </row>
    <row r="1193" spans="1:17" x14ac:dyDescent="0.25">
      <c r="A1193" s="36">
        <v>1884</v>
      </c>
      <c r="B1193" s="37">
        <v>43556</v>
      </c>
      <c r="C1193" s="37">
        <v>43600.82278845879</v>
      </c>
      <c r="D1193" s="36" t="s">
        <v>195</v>
      </c>
      <c r="E1193" s="36"/>
      <c r="F1193" s="38">
        <v>10920000</v>
      </c>
      <c r="G1193" s="40">
        <f>VLOOKUP(A1193,'DATOS GENERALES'!A:B,2,0)</f>
        <v>5.0599999999999996</v>
      </c>
      <c r="H1193" s="36">
        <f t="shared" si="90"/>
        <v>5.0367239999999995</v>
      </c>
      <c r="I1193" s="38">
        <f t="shared" si="91"/>
        <v>2168075.9160120748</v>
      </c>
      <c r="J1193" s="38">
        <f t="shared" si="92"/>
        <v>8751924.0839879252</v>
      </c>
      <c r="K1193" s="38">
        <v>348579.25411278976</v>
      </c>
      <c r="L1193" s="38">
        <f t="shared" si="93"/>
        <v>8403344.8298751358</v>
      </c>
      <c r="M1193" s="41">
        <f>VLOOKUP(INDICADORES!$B$21,'DATOS GENERALES'!$K:$M,3,0)*F1193</f>
        <v>74321.80710022377</v>
      </c>
      <c r="N1193" s="38">
        <f t="shared" si="94"/>
        <v>8329023.0227749124</v>
      </c>
      <c r="O1193" s="36"/>
      <c r="P1193" s="36"/>
      <c r="Q1193" s="36"/>
    </row>
    <row r="1194" spans="1:17" x14ac:dyDescent="0.25">
      <c r="A1194" s="36">
        <v>1884</v>
      </c>
      <c r="B1194" s="37">
        <v>43586</v>
      </c>
      <c r="C1194" s="37">
        <v>43652.500103351544</v>
      </c>
      <c r="D1194" s="36" t="s">
        <v>195</v>
      </c>
      <c r="E1194" s="36"/>
      <c r="F1194" s="38">
        <v>10920000</v>
      </c>
      <c r="G1194" s="40">
        <f>VLOOKUP(A1194,'DATOS GENERALES'!A:B,2,0)</f>
        <v>5.0599999999999996</v>
      </c>
      <c r="H1194" s="36">
        <f t="shared" si="90"/>
        <v>5.0367239999999995</v>
      </c>
      <c r="I1194" s="38">
        <f t="shared" si="91"/>
        <v>2168075.9160120748</v>
      </c>
      <c r="J1194" s="38">
        <f t="shared" si="92"/>
        <v>8751924.0839879252</v>
      </c>
      <c r="K1194" s="38">
        <v>287553.50694613217</v>
      </c>
      <c r="L1194" s="38">
        <f t="shared" si="93"/>
        <v>8464370.5770417936</v>
      </c>
      <c r="M1194" s="41">
        <f>VLOOKUP(INDICADORES!$B$21,'DATOS GENERALES'!$K:$M,3,0)*F1194</f>
        <v>74321.80710022377</v>
      </c>
      <c r="N1194" s="38">
        <f t="shared" si="94"/>
        <v>8390048.7699415702</v>
      </c>
      <c r="O1194" s="36"/>
      <c r="P1194" s="36"/>
      <c r="Q1194" s="36"/>
    </row>
    <row r="1195" spans="1:17" x14ac:dyDescent="0.25">
      <c r="A1195" s="36">
        <v>1884</v>
      </c>
      <c r="B1195" s="37">
        <v>43617</v>
      </c>
      <c r="C1195" s="37">
        <v>43641.859949593862</v>
      </c>
      <c r="D1195" s="36" t="s">
        <v>195</v>
      </c>
      <c r="E1195" s="36"/>
      <c r="F1195" s="38">
        <v>10920000</v>
      </c>
      <c r="G1195" s="40">
        <f>VLOOKUP(A1195,'DATOS GENERALES'!A:B,2,0)</f>
        <v>5.0599999999999996</v>
      </c>
      <c r="H1195" s="36">
        <f t="shared" si="90"/>
        <v>5.0367239999999995</v>
      </c>
      <c r="I1195" s="38">
        <f t="shared" si="91"/>
        <v>2168075.9160120748</v>
      </c>
      <c r="J1195" s="38">
        <f t="shared" si="92"/>
        <v>8751924.0839879252</v>
      </c>
      <c r="K1195" s="38">
        <v>386692.12627782574</v>
      </c>
      <c r="L1195" s="38">
        <f t="shared" si="93"/>
        <v>8365231.9577100994</v>
      </c>
      <c r="M1195" s="41">
        <f>VLOOKUP(INDICADORES!$B$21,'DATOS GENERALES'!$K:$M,3,0)*F1195</f>
        <v>74321.80710022377</v>
      </c>
      <c r="N1195" s="38">
        <f t="shared" si="94"/>
        <v>8290910.150609876</v>
      </c>
      <c r="O1195" s="36"/>
      <c r="P1195" s="36"/>
      <c r="Q1195" s="36"/>
    </row>
    <row r="1196" spans="1:17" x14ac:dyDescent="0.25">
      <c r="A1196" s="36">
        <v>1884</v>
      </c>
      <c r="B1196" s="37">
        <v>43647</v>
      </c>
      <c r="C1196" s="37">
        <v>43701.167182548626</v>
      </c>
      <c r="D1196" s="36" t="s">
        <v>195</v>
      </c>
      <c r="E1196" s="36"/>
      <c r="F1196" s="38">
        <v>10920000</v>
      </c>
      <c r="G1196" s="40">
        <f>VLOOKUP(A1196,'DATOS GENERALES'!A:B,2,0)</f>
        <v>5.0599999999999996</v>
      </c>
      <c r="H1196" s="36">
        <f t="shared" si="90"/>
        <v>5.0367239999999995</v>
      </c>
      <c r="I1196" s="38">
        <f t="shared" si="91"/>
        <v>2168075.9160120748</v>
      </c>
      <c r="J1196" s="38">
        <f t="shared" si="92"/>
        <v>8751924.0839879252</v>
      </c>
      <c r="K1196" s="38">
        <v>576672.0438757746</v>
      </c>
      <c r="L1196" s="38">
        <f t="shared" si="93"/>
        <v>8175252.0401121508</v>
      </c>
      <c r="M1196" s="41">
        <f>VLOOKUP(INDICADORES!$B$21,'DATOS GENERALES'!$K:$M,3,0)*F1196</f>
        <v>74321.80710022377</v>
      </c>
      <c r="N1196" s="38">
        <f t="shared" si="94"/>
        <v>8100930.2330119275</v>
      </c>
      <c r="O1196" s="36"/>
      <c r="P1196" s="36"/>
      <c r="Q1196" s="36"/>
    </row>
    <row r="1197" spans="1:17" x14ac:dyDescent="0.25">
      <c r="A1197" s="36">
        <v>1884</v>
      </c>
      <c r="B1197" s="37">
        <v>43678</v>
      </c>
      <c r="C1197" s="37">
        <v>43732.617086320177</v>
      </c>
      <c r="D1197" s="36" t="s">
        <v>195</v>
      </c>
      <c r="E1197" s="36"/>
      <c r="F1197" s="38">
        <v>10920000</v>
      </c>
      <c r="G1197" s="40">
        <f>VLOOKUP(A1197,'DATOS GENERALES'!A:B,2,0)</f>
        <v>5.0599999999999996</v>
      </c>
      <c r="H1197" s="36">
        <f t="shared" si="90"/>
        <v>5.0367239999999995</v>
      </c>
      <c r="I1197" s="38">
        <f t="shared" si="91"/>
        <v>2168075.9160120748</v>
      </c>
      <c r="J1197" s="38">
        <f t="shared" si="92"/>
        <v>8751924.0839879252</v>
      </c>
      <c r="K1197" s="38">
        <v>567466.19884433434</v>
      </c>
      <c r="L1197" s="38">
        <f t="shared" si="93"/>
        <v>8184457.8851435911</v>
      </c>
      <c r="M1197" s="41">
        <f>VLOOKUP(INDICADORES!$B$21,'DATOS GENERALES'!$K:$M,3,0)*F1197</f>
        <v>74321.80710022377</v>
      </c>
      <c r="N1197" s="38">
        <f t="shared" si="94"/>
        <v>8110136.0780433677</v>
      </c>
      <c r="O1197" s="36"/>
      <c r="P1197" s="36"/>
      <c r="Q1197" s="36"/>
    </row>
    <row r="1198" spans="1:17" x14ac:dyDescent="0.25">
      <c r="A1198" s="36">
        <v>1884</v>
      </c>
      <c r="B1198" s="37">
        <v>43709</v>
      </c>
      <c r="C1198" s="37">
        <v>43765.238649713894</v>
      </c>
      <c r="D1198" s="36" t="s">
        <v>195</v>
      </c>
      <c r="E1198" s="36"/>
      <c r="F1198" s="38">
        <v>10920000</v>
      </c>
      <c r="G1198" s="40">
        <f>VLOOKUP(A1198,'DATOS GENERALES'!A:B,2,0)</f>
        <v>5.0599999999999996</v>
      </c>
      <c r="H1198" s="36">
        <f t="shared" si="90"/>
        <v>5.0367239999999995</v>
      </c>
      <c r="I1198" s="38">
        <f t="shared" si="91"/>
        <v>2168075.9160120748</v>
      </c>
      <c r="J1198" s="38">
        <f t="shared" si="92"/>
        <v>8751924.0839879252</v>
      </c>
      <c r="K1198" s="38">
        <v>641335.00286954478</v>
      </c>
      <c r="L1198" s="38">
        <f t="shared" si="93"/>
        <v>8110589.0811183807</v>
      </c>
      <c r="M1198" s="41">
        <f>VLOOKUP(INDICADORES!$B$21,'DATOS GENERALES'!$K:$M,3,0)*F1198</f>
        <v>74321.80710022377</v>
      </c>
      <c r="N1198" s="38">
        <f t="shared" si="94"/>
        <v>8036267.2740181573</v>
      </c>
      <c r="O1198" s="36"/>
      <c r="P1198" s="36"/>
      <c r="Q1198" s="36"/>
    </row>
    <row r="1199" spans="1:17" x14ac:dyDescent="0.25">
      <c r="A1199" s="36">
        <v>1884</v>
      </c>
      <c r="B1199" s="37">
        <v>43739</v>
      </c>
      <c r="C1199" s="37">
        <v>43790.368584614625</v>
      </c>
      <c r="D1199" s="36" t="s">
        <v>195</v>
      </c>
      <c r="E1199" s="36"/>
      <c r="F1199" s="38">
        <v>10920000</v>
      </c>
      <c r="G1199" s="40">
        <f>VLOOKUP(A1199,'DATOS GENERALES'!A:B,2,0)</f>
        <v>5.0599999999999996</v>
      </c>
      <c r="H1199" s="36">
        <f t="shared" si="90"/>
        <v>5.0367239999999995</v>
      </c>
      <c r="I1199" s="38">
        <f t="shared" si="91"/>
        <v>2168075.9160120748</v>
      </c>
      <c r="J1199" s="38">
        <f t="shared" si="92"/>
        <v>8751924.0839879252</v>
      </c>
      <c r="K1199" s="38">
        <v>693537.58186757588</v>
      </c>
      <c r="L1199" s="38">
        <f t="shared" si="93"/>
        <v>8058386.5021203496</v>
      </c>
      <c r="M1199" s="41">
        <f>VLOOKUP(INDICADORES!$B$21,'DATOS GENERALES'!$K:$M,3,0)*F1199</f>
        <v>74321.80710022377</v>
      </c>
      <c r="N1199" s="38">
        <f t="shared" si="94"/>
        <v>7984064.6950201262</v>
      </c>
      <c r="O1199" s="36"/>
      <c r="P1199" s="36"/>
      <c r="Q1199" s="36"/>
    </row>
    <row r="1200" spans="1:17" x14ac:dyDescent="0.25">
      <c r="A1200" s="36">
        <v>1884</v>
      </c>
      <c r="B1200" s="37">
        <v>43770</v>
      </c>
      <c r="C1200" s="37">
        <v>43840.981606735702</v>
      </c>
      <c r="D1200" s="36" t="s">
        <v>195</v>
      </c>
      <c r="E1200" s="36"/>
      <c r="F1200" s="38">
        <v>10920000</v>
      </c>
      <c r="G1200" s="40">
        <f>VLOOKUP(A1200,'DATOS GENERALES'!A:B,2,0)</f>
        <v>5.0599999999999996</v>
      </c>
      <c r="H1200" s="36">
        <f t="shared" si="90"/>
        <v>5.0367239999999995</v>
      </c>
      <c r="I1200" s="38">
        <f t="shared" si="91"/>
        <v>2168075.9160120748</v>
      </c>
      <c r="J1200" s="38">
        <f t="shared" si="92"/>
        <v>8751924.0839879252</v>
      </c>
      <c r="K1200" s="38">
        <v>927555.43856780534</v>
      </c>
      <c r="L1200" s="38">
        <f t="shared" si="93"/>
        <v>7824368.6454201201</v>
      </c>
      <c r="M1200" s="41">
        <f>VLOOKUP(INDICADORES!$B$21,'DATOS GENERALES'!$K:$M,3,0)*F1200</f>
        <v>74321.80710022377</v>
      </c>
      <c r="N1200" s="38">
        <f t="shared" si="94"/>
        <v>7750046.8383198967</v>
      </c>
      <c r="O1200" s="36"/>
      <c r="P1200" s="36"/>
      <c r="Q1200" s="36"/>
    </row>
    <row r="1201" spans="1:17" x14ac:dyDescent="0.25">
      <c r="A1201" s="36">
        <v>1884</v>
      </c>
      <c r="B1201" s="37">
        <v>43800</v>
      </c>
      <c r="C1201" s="37">
        <v>43848.41665287115</v>
      </c>
      <c r="D1201" s="36" t="s">
        <v>195</v>
      </c>
      <c r="E1201" s="36"/>
      <c r="F1201" s="38">
        <v>10920000</v>
      </c>
      <c r="G1201" s="40">
        <f>VLOOKUP(A1201,'DATOS GENERALES'!A:B,2,0)</f>
        <v>5.0599999999999996</v>
      </c>
      <c r="H1201" s="36">
        <f t="shared" si="90"/>
        <v>5.0367239999999995</v>
      </c>
      <c r="I1201" s="38">
        <f t="shared" si="91"/>
        <v>2168075.9160120748</v>
      </c>
      <c r="J1201" s="38">
        <f t="shared" si="92"/>
        <v>8751924.0839879252</v>
      </c>
      <c r="K1201" s="38">
        <v>780989.98654989805</v>
      </c>
      <c r="L1201" s="38">
        <f t="shared" si="93"/>
        <v>7970934.0974380272</v>
      </c>
      <c r="M1201" s="41">
        <f>VLOOKUP(INDICADORES!$B$21,'DATOS GENERALES'!$K:$M,3,0)*F1201</f>
        <v>74321.80710022377</v>
      </c>
      <c r="N1201" s="38">
        <f t="shared" si="94"/>
        <v>7896612.2903378038</v>
      </c>
      <c r="O1201" s="36"/>
      <c r="P1201" s="36"/>
      <c r="Q1201" s="36"/>
    </row>
    <row r="1202" spans="1:17" x14ac:dyDescent="0.25">
      <c r="A1202" s="36">
        <v>1884</v>
      </c>
      <c r="B1202" s="37">
        <v>43831</v>
      </c>
      <c r="C1202" s="37">
        <v>43878.706429731654</v>
      </c>
      <c r="D1202" s="36" t="s">
        <v>195</v>
      </c>
      <c r="E1202" s="36"/>
      <c r="F1202" s="38">
        <v>10920000</v>
      </c>
      <c r="G1202" s="40">
        <f>VLOOKUP(A1202,'DATOS GENERALES'!A:B,2,0)</f>
        <v>5.0599999999999996</v>
      </c>
      <c r="H1202" s="36">
        <f t="shared" si="90"/>
        <v>5.0367239999999995</v>
      </c>
      <c r="I1202" s="38">
        <f t="shared" si="91"/>
        <v>2168075.9160120748</v>
      </c>
      <c r="J1202" s="38">
        <f t="shared" si="92"/>
        <v>8751924.0839879252</v>
      </c>
      <c r="K1202" s="38" t="s">
        <v>213</v>
      </c>
      <c r="L1202" s="38" t="str">
        <f t="shared" si="93"/>
        <v/>
      </c>
      <c r="M1202" s="41">
        <f>VLOOKUP(INDICADORES!$B$21,'DATOS GENERALES'!$K:$M,3,0)*F1202</f>
        <v>74321.80710022377</v>
      </c>
      <c r="N1202" s="38" t="str">
        <f t="shared" si="94"/>
        <v/>
      </c>
      <c r="O1202" s="36"/>
      <c r="P1202" s="36"/>
      <c r="Q1202" s="36"/>
    </row>
    <row r="1203" spans="1:17" x14ac:dyDescent="0.25">
      <c r="A1203" s="36">
        <v>1791</v>
      </c>
      <c r="B1203" s="37">
        <v>43466</v>
      </c>
      <c r="C1203" s="37">
        <v>43518.784759493472</v>
      </c>
      <c r="D1203" s="36" t="s">
        <v>195</v>
      </c>
      <c r="E1203" s="36"/>
      <c r="F1203" s="38">
        <v>60561853.894285716</v>
      </c>
      <c r="G1203" s="40">
        <f>VLOOKUP(A1203,'DATOS GENERALES'!A:B,2,0)</f>
        <v>2.06</v>
      </c>
      <c r="H1203" s="36">
        <f t="shared" si="90"/>
        <v>2.0505239999999998</v>
      </c>
      <c r="I1203" s="38">
        <f t="shared" si="91"/>
        <v>29534818.365591295</v>
      </c>
      <c r="J1203" s="38">
        <f t="shared" si="92"/>
        <v>31027035.528694421</v>
      </c>
      <c r="K1203" s="38">
        <v>6480480.9588299869</v>
      </c>
      <c r="L1203" s="38">
        <f t="shared" si="93"/>
        <v>24546554.569864433</v>
      </c>
      <c r="M1203" s="41">
        <f>VLOOKUP(INDICADORES!$B$21,'DATOS GENERALES'!$K:$M,3,0)*F1203</f>
        <v>412185.56985009514</v>
      </c>
      <c r="N1203" s="38">
        <f t="shared" si="94"/>
        <v>24134369.000014339</v>
      </c>
      <c r="O1203" s="36"/>
      <c r="P1203" s="36"/>
      <c r="Q1203" s="36"/>
    </row>
    <row r="1204" spans="1:17" x14ac:dyDescent="0.25">
      <c r="A1204" s="36">
        <v>1791</v>
      </c>
      <c r="B1204" s="37">
        <v>43497</v>
      </c>
      <c r="C1204" s="37">
        <v>43528.134448311022</v>
      </c>
      <c r="D1204" s="36" t="s">
        <v>195</v>
      </c>
      <c r="E1204" s="36"/>
      <c r="F1204" s="38">
        <v>60561853.894285716</v>
      </c>
      <c r="G1204" s="40">
        <f>VLOOKUP(A1204,'DATOS GENERALES'!A:B,2,0)</f>
        <v>2.06</v>
      </c>
      <c r="H1204" s="36">
        <f t="shared" si="90"/>
        <v>2.0505239999999998</v>
      </c>
      <c r="I1204" s="38">
        <f t="shared" si="91"/>
        <v>29534818.365591295</v>
      </c>
      <c r="J1204" s="38">
        <f t="shared" si="92"/>
        <v>31027035.528694421</v>
      </c>
      <c r="K1204" s="38">
        <v>6384182.7623369945</v>
      </c>
      <c r="L1204" s="38">
        <f t="shared" si="93"/>
        <v>24642852.766357426</v>
      </c>
      <c r="M1204" s="41">
        <f>VLOOKUP(INDICADORES!$B$21,'DATOS GENERALES'!$K:$M,3,0)*F1204</f>
        <v>412185.56985009514</v>
      </c>
      <c r="N1204" s="38">
        <f t="shared" si="94"/>
        <v>24230667.196507331</v>
      </c>
      <c r="O1204" s="36"/>
      <c r="P1204" s="36"/>
      <c r="Q1204" s="36"/>
    </row>
    <row r="1205" spans="1:17" x14ac:dyDescent="0.25">
      <c r="A1205" s="36">
        <v>1791</v>
      </c>
      <c r="B1205" s="37">
        <v>43525</v>
      </c>
      <c r="C1205" s="37">
        <v>43612.520600674798</v>
      </c>
      <c r="D1205" s="36" t="s">
        <v>195</v>
      </c>
      <c r="E1205" s="36"/>
      <c r="F1205" s="38">
        <v>60561853.894285716</v>
      </c>
      <c r="G1205" s="40">
        <f>VLOOKUP(A1205,'DATOS GENERALES'!A:B,2,0)</f>
        <v>2.06</v>
      </c>
      <c r="H1205" s="36">
        <f t="shared" si="90"/>
        <v>2.0505239999999998</v>
      </c>
      <c r="I1205" s="38">
        <f t="shared" si="91"/>
        <v>29534818.365591295</v>
      </c>
      <c r="J1205" s="38">
        <f t="shared" si="92"/>
        <v>31027035.528694421</v>
      </c>
      <c r="K1205" s="38">
        <v>4618877.0463757049</v>
      </c>
      <c r="L1205" s="38">
        <f t="shared" si="93"/>
        <v>26408158.482318714</v>
      </c>
      <c r="M1205" s="41">
        <f>VLOOKUP(INDICADORES!$B$21,'DATOS GENERALES'!$K:$M,3,0)*F1205</f>
        <v>412185.56985009514</v>
      </c>
      <c r="N1205" s="38">
        <f t="shared" si="94"/>
        <v>25995972.91246862</v>
      </c>
      <c r="O1205" s="36"/>
      <c r="P1205" s="36"/>
      <c r="Q1205" s="36"/>
    </row>
    <row r="1206" spans="1:17" x14ac:dyDescent="0.25">
      <c r="A1206" s="36">
        <v>1791</v>
      </c>
      <c r="B1206" s="37">
        <v>43556</v>
      </c>
      <c r="C1206" s="37">
        <v>43609.945403263941</v>
      </c>
      <c r="D1206" s="36" t="s">
        <v>195</v>
      </c>
      <c r="E1206" s="36"/>
      <c r="F1206" s="38">
        <v>60561853.894285716</v>
      </c>
      <c r="G1206" s="40">
        <f>VLOOKUP(A1206,'DATOS GENERALES'!A:B,2,0)</f>
        <v>2.06</v>
      </c>
      <c r="H1206" s="36">
        <f t="shared" si="90"/>
        <v>2.0505239999999998</v>
      </c>
      <c r="I1206" s="38">
        <f t="shared" si="91"/>
        <v>29534818.365591295</v>
      </c>
      <c r="J1206" s="38">
        <f t="shared" si="92"/>
        <v>31027035.528694421</v>
      </c>
      <c r="K1206" s="38">
        <v>4748553.7200059919</v>
      </c>
      <c r="L1206" s="38">
        <f t="shared" si="93"/>
        <v>26278481.808688428</v>
      </c>
      <c r="M1206" s="41">
        <f>VLOOKUP(INDICADORES!$B$21,'DATOS GENERALES'!$K:$M,3,0)*F1206</f>
        <v>412185.56985009514</v>
      </c>
      <c r="N1206" s="38">
        <f t="shared" si="94"/>
        <v>25866296.238838334</v>
      </c>
      <c r="O1206" s="36"/>
      <c r="P1206" s="36"/>
      <c r="Q1206" s="36"/>
    </row>
    <row r="1207" spans="1:17" x14ac:dyDescent="0.25">
      <c r="A1207" s="36">
        <v>1791</v>
      </c>
      <c r="B1207" s="37">
        <v>43586</v>
      </c>
      <c r="C1207" s="37">
        <v>43628.389717596947</v>
      </c>
      <c r="D1207" s="36" t="s">
        <v>195</v>
      </c>
      <c r="E1207" s="36"/>
      <c r="F1207" s="38">
        <v>60561853.894285716</v>
      </c>
      <c r="G1207" s="40">
        <f>VLOOKUP(A1207,'DATOS GENERALES'!A:B,2,0)</f>
        <v>2.06</v>
      </c>
      <c r="H1207" s="36">
        <f t="shared" si="90"/>
        <v>2.0505239999999998</v>
      </c>
      <c r="I1207" s="38">
        <f t="shared" si="91"/>
        <v>29534818.365591295</v>
      </c>
      <c r="J1207" s="38">
        <f t="shared" si="92"/>
        <v>31027035.528694421</v>
      </c>
      <c r="K1207" s="38">
        <v>3917224.7315326519</v>
      </c>
      <c r="L1207" s="38">
        <f t="shared" si="93"/>
        <v>27109810.797161769</v>
      </c>
      <c r="M1207" s="41">
        <f>VLOOKUP(INDICADORES!$B$21,'DATOS GENERALES'!$K:$M,3,0)*F1207</f>
        <v>412185.56985009514</v>
      </c>
      <c r="N1207" s="38">
        <f t="shared" si="94"/>
        <v>26697625.227311675</v>
      </c>
      <c r="O1207" s="36"/>
      <c r="P1207" s="36"/>
      <c r="Q1207" s="36"/>
    </row>
    <row r="1208" spans="1:17" x14ac:dyDescent="0.25">
      <c r="A1208" s="36">
        <v>1791</v>
      </c>
      <c r="B1208" s="37">
        <v>43617</v>
      </c>
      <c r="C1208" s="37">
        <v>43686.474369761258</v>
      </c>
      <c r="D1208" s="36" t="s">
        <v>195</v>
      </c>
      <c r="E1208" s="36"/>
      <c r="F1208" s="38">
        <v>60561853.894285716</v>
      </c>
      <c r="G1208" s="40">
        <f>VLOOKUP(A1208,'DATOS GENERALES'!A:B,2,0)</f>
        <v>2.06</v>
      </c>
      <c r="H1208" s="36">
        <f t="shared" si="90"/>
        <v>2.0505239999999998</v>
      </c>
      <c r="I1208" s="38">
        <f t="shared" si="91"/>
        <v>29534818.365591295</v>
      </c>
      <c r="J1208" s="38">
        <f t="shared" si="92"/>
        <v>31027035.528694421</v>
      </c>
      <c r="K1208" s="38">
        <v>5267749.9107260359</v>
      </c>
      <c r="L1208" s="38">
        <f t="shared" si="93"/>
        <v>25759285.617968384</v>
      </c>
      <c r="M1208" s="41">
        <f>VLOOKUP(INDICADORES!$B$21,'DATOS GENERALES'!$K:$M,3,0)*F1208</f>
        <v>412185.56985009514</v>
      </c>
      <c r="N1208" s="38">
        <f t="shared" si="94"/>
        <v>25347100.04811829</v>
      </c>
      <c r="O1208" s="36"/>
      <c r="P1208" s="36"/>
      <c r="Q1208" s="36"/>
    </row>
    <row r="1209" spans="1:17" x14ac:dyDescent="0.25">
      <c r="A1209" s="36">
        <v>1791</v>
      </c>
      <c r="B1209" s="37">
        <v>43647</v>
      </c>
      <c r="C1209" s="37">
        <v>43746.372721777792</v>
      </c>
      <c r="D1209" s="36" t="s">
        <v>195</v>
      </c>
      <c r="E1209" s="36"/>
      <c r="F1209" s="38">
        <v>60561853.894285716</v>
      </c>
      <c r="G1209" s="40">
        <f>VLOOKUP(A1209,'DATOS GENERALES'!A:B,2,0)</f>
        <v>2.06</v>
      </c>
      <c r="H1209" s="36">
        <f t="shared" si="90"/>
        <v>2.0505239999999998</v>
      </c>
      <c r="I1209" s="38">
        <f t="shared" si="91"/>
        <v>29534818.365591295</v>
      </c>
      <c r="J1209" s="38">
        <f t="shared" si="92"/>
        <v>31027035.528694421</v>
      </c>
      <c r="K1209" s="38">
        <v>7855769.2314176504</v>
      </c>
      <c r="L1209" s="38">
        <f t="shared" si="93"/>
        <v>23171266.297276773</v>
      </c>
      <c r="M1209" s="41">
        <f>VLOOKUP(INDICADORES!$B$21,'DATOS GENERALES'!$K:$M,3,0)*F1209</f>
        <v>412185.56985009514</v>
      </c>
      <c r="N1209" s="38">
        <f t="shared" si="94"/>
        <v>22759080.727426678</v>
      </c>
      <c r="O1209" s="36"/>
      <c r="P1209" s="36"/>
      <c r="Q1209" s="36"/>
    </row>
    <row r="1210" spans="1:17" x14ac:dyDescent="0.25">
      <c r="A1210" s="36">
        <v>1791</v>
      </c>
      <c r="B1210" s="37">
        <v>43678</v>
      </c>
      <c r="C1210" s="37">
        <v>43742.927352430444</v>
      </c>
      <c r="D1210" s="36" t="s">
        <v>195</v>
      </c>
      <c r="E1210" s="36"/>
      <c r="F1210" s="38">
        <v>60561853.894285716</v>
      </c>
      <c r="G1210" s="40">
        <f>VLOOKUP(A1210,'DATOS GENERALES'!A:B,2,0)</f>
        <v>2.06</v>
      </c>
      <c r="H1210" s="36">
        <f t="shared" si="90"/>
        <v>2.0505239999999998</v>
      </c>
      <c r="I1210" s="38">
        <f t="shared" si="91"/>
        <v>29534818.365591295</v>
      </c>
      <c r="J1210" s="38">
        <f t="shared" si="92"/>
        <v>31027035.528694421</v>
      </c>
      <c r="K1210" s="38">
        <v>7730361.7404265217</v>
      </c>
      <c r="L1210" s="38">
        <f t="shared" si="93"/>
        <v>23296673.788267899</v>
      </c>
      <c r="M1210" s="41">
        <f>VLOOKUP(INDICADORES!$B$21,'DATOS GENERALES'!$K:$M,3,0)*F1210</f>
        <v>412185.56985009514</v>
      </c>
      <c r="N1210" s="38">
        <f t="shared" si="94"/>
        <v>22884488.218417805</v>
      </c>
      <c r="O1210" s="36"/>
      <c r="P1210" s="36"/>
      <c r="Q1210" s="36"/>
    </row>
    <row r="1211" spans="1:17" x14ac:dyDescent="0.25">
      <c r="A1211" s="36">
        <v>1791</v>
      </c>
      <c r="B1211" s="37">
        <v>43709</v>
      </c>
      <c r="C1211" s="37">
        <v>43784.550569654704</v>
      </c>
      <c r="D1211" s="36" t="s">
        <v>195</v>
      </c>
      <c r="E1211" s="36"/>
      <c r="F1211" s="38">
        <v>60561853.894285716</v>
      </c>
      <c r="G1211" s="40">
        <f>VLOOKUP(A1211,'DATOS GENERALES'!A:B,2,0)</f>
        <v>2.06</v>
      </c>
      <c r="H1211" s="36">
        <f t="shared" si="90"/>
        <v>2.0505239999999998</v>
      </c>
      <c r="I1211" s="38">
        <f t="shared" si="91"/>
        <v>29534818.365591295</v>
      </c>
      <c r="J1211" s="38">
        <f t="shared" si="92"/>
        <v>31027035.528694421</v>
      </c>
      <c r="K1211" s="38">
        <v>8736646.4805757664</v>
      </c>
      <c r="L1211" s="38">
        <f t="shared" si="93"/>
        <v>22290389.048118655</v>
      </c>
      <c r="M1211" s="41">
        <f>VLOOKUP(INDICADORES!$B$21,'DATOS GENERALES'!$K:$M,3,0)*F1211</f>
        <v>412185.56985009514</v>
      </c>
      <c r="N1211" s="38">
        <f t="shared" si="94"/>
        <v>21878203.47826856</v>
      </c>
      <c r="O1211" s="36"/>
      <c r="P1211" s="36"/>
      <c r="Q1211" s="36"/>
    </row>
    <row r="1212" spans="1:17" x14ac:dyDescent="0.25">
      <c r="A1212" s="36">
        <v>1791</v>
      </c>
      <c r="B1212" s="37">
        <v>43739</v>
      </c>
      <c r="C1212" s="37">
        <v>43755.874773499098</v>
      </c>
      <c r="D1212" s="36" t="s">
        <v>195</v>
      </c>
      <c r="E1212" s="36"/>
      <c r="F1212" s="38">
        <v>60561853.894285716</v>
      </c>
      <c r="G1212" s="40">
        <f>VLOOKUP(A1212,'DATOS GENERALES'!A:B,2,0)</f>
        <v>2.06</v>
      </c>
      <c r="H1212" s="36">
        <f t="shared" si="90"/>
        <v>2.0505239999999998</v>
      </c>
      <c r="I1212" s="38">
        <f t="shared" si="91"/>
        <v>29534818.365591295</v>
      </c>
      <c r="J1212" s="38">
        <f t="shared" si="92"/>
        <v>31027035.528694421</v>
      </c>
      <c r="K1212" s="38">
        <v>9447781.0296639875</v>
      </c>
      <c r="L1212" s="38">
        <f t="shared" si="93"/>
        <v>21579254.499030434</v>
      </c>
      <c r="M1212" s="41">
        <f>VLOOKUP(INDICADORES!$B$21,'DATOS GENERALES'!$K:$M,3,0)*F1212</f>
        <v>412185.56985009514</v>
      </c>
      <c r="N1212" s="38">
        <f t="shared" si="94"/>
        <v>21167068.929180339</v>
      </c>
      <c r="O1212" s="36"/>
      <c r="P1212" s="36"/>
      <c r="Q1212" s="36"/>
    </row>
    <row r="1213" spans="1:17" x14ac:dyDescent="0.25">
      <c r="A1213" s="36">
        <v>1791</v>
      </c>
      <c r="B1213" s="37">
        <v>43770</v>
      </c>
      <c r="C1213" s="37">
        <v>43812.713444477267</v>
      </c>
      <c r="D1213" s="36" t="s">
        <v>195</v>
      </c>
      <c r="E1213" s="36"/>
      <c r="F1213" s="38">
        <v>60561853.894285716</v>
      </c>
      <c r="G1213" s="40">
        <f>VLOOKUP(A1213,'DATOS GENERALES'!A:B,2,0)</f>
        <v>2.06</v>
      </c>
      <c r="H1213" s="36">
        <f t="shared" si="90"/>
        <v>2.0505239999999998</v>
      </c>
      <c r="I1213" s="38">
        <f t="shared" si="91"/>
        <v>29534818.365591295</v>
      </c>
      <c r="J1213" s="38">
        <f t="shared" si="92"/>
        <v>31027035.528694421</v>
      </c>
      <c r="K1213" s="38">
        <v>12635711.323479287</v>
      </c>
      <c r="L1213" s="38">
        <f t="shared" si="93"/>
        <v>18391324.205215134</v>
      </c>
      <c r="M1213" s="41">
        <f>VLOOKUP(INDICADORES!$B$21,'DATOS GENERALES'!$K:$M,3,0)*F1213</f>
        <v>412185.56985009514</v>
      </c>
      <c r="N1213" s="38">
        <f t="shared" si="94"/>
        <v>17979138.635365039</v>
      </c>
      <c r="O1213" s="36"/>
      <c r="P1213" s="36"/>
      <c r="Q1213" s="36"/>
    </row>
    <row r="1214" spans="1:17" x14ac:dyDescent="0.25">
      <c r="A1214" s="36">
        <v>1791</v>
      </c>
      <c r="B1214" s="37">
        <v>43800</v>
      </c>
      <c r="C1214" s="37">
        <v>43882.924897503086</v>
      </c>
      <c r="D1214" s="36" t="s">
        <v>195</v>
      </c>
      <c r="E1214" s="36"/>
      <c r="F1214" s="38">
        <v>60561853.894285716</v>
      </c>
      <c r="G1214" s="40">
        <f>VLOOKUP(A1214,'DATOS GENERALES'!A:B,2,0)</f>
        <v>2.06</v>
      </c>
      <c r="H1214" s="36">
        <f t="shared" si="90"/>
        <v>2.0505239999999998</v>
      </c>
      <c r="I1214" s="38">
        <f t="shared" si="91"/>
        <v>29534818.365591295</v>
      </c>
      <c r="J1214" s="38">
        <f t="shared" si="92"/>
        <v>31027035.528694421</v>
      </c>
      <c r="K1214" s="38">
        <v>10639109.649132952</v>
      </c>
      <c r="L1214" s="38">
        <f t="shared" si="93"/>
        <v>20387925.879561469</v>
      </c>
      <c r="M1214" s="41">
        <f>VLOOKUP(INDICADORES!$B$21,'DATOS GENERALES'!$K:$M,3,0)*F1214</f>
        <v>412185.56985009514</v>
      </c>
      <c r="N1214" s="38">
        <f t="shared" si="94"/>
        <v>19975740.309711374</v>
      </c>
      <c r="O1214" s="36"/>
      <c r="P1214" s="36"/>
      <c r="Q1214" s="36"/>
    </row>
    <row r="1215" spans="1:17" x14ac:dyDescent="0.25">
      <c r="A1215" s="36">
        <v>1453</v>
      </c>
      <c r="B1215" s="37">
        <v>43466</v>
      </c>
      <c r="C1215" s="37">
        <v>43596.219520229766</v>
      </c>
      <c r="D1215" s="36" t="s">
        <v>195</v>
      </c>
      <c r="E1215" s="36"/>
      <c r="F1215" s="38">
        <v>15250000</v>
      </c>
      <c r="G1215" s="40">
        <f>VLOOKUP(A1215,'DATOS GENERALES'!A:B,2,0)</f>
        <v>2.0299999999999998</v>
      </c>
      <c r="H1215" s="36">
        <f t="shared" si="90"/>
        <v>2.0206619999999997</v>
      </c>
      <c r="I1215" s="38">
        <f t="shared" si="91"/>
        <v>7547031.6163712693</v>
      </c>
      <c r="J1215" s="38">
        <f t="shared" si="92"/>
        <v>7702968.3836287307</v>
      </c>
      <c r="K1215" s="38">
        <v>1655957.1851832091</v>
      </c>
      <c r="L1215" s="38">
        <f t="shared" si="93"/>
        <v>6047011.1984455213</v>
      </c>
      <c r="M1215" s="41">
        <f>VLOOKUP(INDICADORES!$B$21,'DATOS GENERALES'!$K:$M,3,0)*F1215</f>
        <v>103791.90094124657</v>
      </c>
      <c r="N1215" s="38">
        <f t="shared" si="94"/>
        <v>5943219.2975042751</v>
      </c>
      <c r="O1215" s="36"/>
      <c r="P1215" s="36"/>
      <c r="Q1215" s="36"/>
    </row>
    <row r="1216" spans="1:17" x14ac:dyDescent="0.25">
      <c r="A1216" s="36">
        <v>1453</v>
      </c>
      <c r="B1216" s="37">
        <v>43497</v>
      </c>
      <c r="C1216" s="37">
        <v>43577.082046768555</v>
      </c>
      <c r="D1216" s="36" t="s">
        <v>195</v>
      </c>
      <c r="E1216" s="36"/>
      <c r="F1216" s="38">
        <v>15250000</v>
      </c>
      <c r="G1216" s="40">
        <f>VLOOKUP(A1216,'DATOS GENERALES'!A:B,2,0)</f>
        <v>2.0299999999999998</v>
      </c>
      <c r="H1216" s="36">
        <f t="shared" si="90"/>
        <v>2.0206619999999997</v>
      </c>
      <c r="I1216" s="38">
        <f t="shared" si="91"/>
        <v>7547031.6163712693</v>
      </c>
      <c r="J1216" s="38">
        <f t="shared" si="92"/>
        <v>7702968.3836287307</v>
      </c>
      <c r="K1216" s="38">
        <v>1631350.1087307313</v>
      </c>
      <c r="L1216" s="38">
        <f t="shared" si="93"/>
        <v>6071618.2748979991</v>
      </c>
      <c r="M1216" s="41">
        <f>VLOOKUP(INDICADORES!$B$21,'DATOS GENERALES'!$K:$M,3,0)*F1216</f>
        <v>103791.90094124657</v>
      </c>
      <c r="N1216" s="38">
        <f t="shared" si="94"/>
        <v>5967826.3739567529</v>
      </c>
      <c r="O1216" s="36"/>
      <c r="P1216" s="36"/>
      <c r="Q1216" s="36"/>
    </row>
    <row r="1217" spans="1:17" x14ac:dyDescent="0.25">
      <c r="A1217" s="36">
        <v>1453</v>
      </c>
      <c r="B1217" s="37">
        <v>43525</v>
      </c>
      <c r="C1217" s="37">
        <v>43572.427025834055</v>
      </c>
      <c r="D1217" s="36" t="s">
        <v>195</v>
      </c>
      <c r="E1217" s="36"/>
      <c r="F1217" s="38">
        <v>15250000</v>
      </c>
      <c r="G1217" s="40">
        <f>VLOOKUP(A1217,'DATOS GENERALES'!A:B,2,0)</f>
        <v>2.0299999999999998</v>
      </c>
      <c r="H1217" s="36">
        <f t="shared" si="90"/>
        <v>2.0206619999999997</v>
      </c>
      <c r="I1217" s="38">
        <f t="shared" si="91"/>
        <v>7547031.6163712693</v>
      </c>
      <c r="J1217" s="38">
        <f t="shared" si="92"/>
        <v>7702968.3836287307</v>
      </c>
      <c r="K1217" s="38">
        <v>1180261.5702468739</v>
      </c>
      <c r="L1217" s="38">
        <f t="shared" si="93"/>
        <v>6522706.8133818563</v>
      </c>
      <c r="M1217" s="41">
        <f>VLOOKUP(INDICADORES!$B$21,'DATOS GENERALES'!$K:$M,3,0)*F1217</f>
        <v>103791.90094124657</v>
      </c>
      <c r="N1217" s="38">
        <f t="shared" si="94"/>
        <v>6418914.9124406101</v>
      </c>
      <c r="O1217" s="36"/>
      <c r="P1217" s="36"/>
      <c r="Q1217" s="36"/>
    </row>
    <row r="1218" spans="1:17" x14ac:dyDescent="0.25">
      <c r="A1218" s="36">
        <v>1453</v>
      </c>
      <c r="B1218" s="37">
        <v>43556</v>
      </c>
      <c r="C1218" s="37">
        <v>43621.641723748093</v>
      </c>
      <c r="D1218" s="36" t="s">
        <v>195</v>
      </c>
      <c r="E1218" s="36"/>
      <c r="F1218" s="38">
        <v>15250000</v>
      </c>
      <c r="G1218" s="40">
        <f>VLOOKUP(A1218,'DATOS GENERALES'!A:B,2,0)</f>
        <v>2.0299999999999998</v>
      </c>
      <c r="H1218" s="36">
        <f t="shared" si="90"/>
        <v>2.0206619999999997</v>
      </c>
      <c r="I1218" s="38">
        <f t="shared" si="91"/>
        <v>7547031.6163712693</v>
      </c>
      <c r="J1218" s="38">
        <f t="shared" si="92"/>
        <v>7702968.3836287307</v>
      </c>
      <c r="K1218" s="38">
        <v>1213397.8483739072</v>
      </c>
      <c r="L1218" s="38">
        <f t="shared" si="93"/>
        <v>6489570.535254823</v>
      </c>
      <c r="M1218" s="41">
        <f>VLOOKUP(INDICADORES!$B$21,'DATOS GENERALES'!$K:$M,3,0)*F1218</f>
        <v>103791.90094124657</v>
      </c>
      <c r="N1218" s="38">
        <f t="shared" si="94"/>
        <v>6385778.6343135769</v>
      </c>
      <c r="O1218" s="36"/>
      <c r="P1218" s="36"/>
      <c r="Q1218" s="36"/>
    </row>
    <row r="1219" spans="1:17" x14ac:dyDescent="0.25">
      <c r="A1219" s="36">
        <v>1453</v>
      </c>
      <c r="B1219" s="37">
        <v>43586</v>
      </c>
      <c r="C1219" s="37">
        <v>43662.330753013288</v>
      </c>
      <c r="D1219" s="36" t="s">
        <v>195</v>
      </c>
      <c r="E1219" s="36"/>
      <c r="F1219" s="38">
        <v>15250000</v>
      </c>
      <c r="G1219" s="40">
        <f>VLOOKUP(A1219,'DATOS GENERALES'!A:B,2,0)</f>
        <v>2.0299999999999998</v>
      </c>
      <c r="H1219" s="36">
        <f t="shared" ref="H1219:H1282" si="95">G1219*0.9954</f>
        <v>2.0206619999999997</v>
      </c>
      <c r="I1219" s="38">
        <f t="shared" ref="I1219:I1282" si="96">F1219/H1219</f>
        <v>7547031.6163712693</v>
      </c>
      <c r="J1219" s="38">
        <f t="shared" ref="J1219:J1282" si="97">F1219-I1219</f>
        <v>7702968.3836287307</v>
      </c>
      <c r="K1219" s="38">
        <v>1000968.3666025319</v>
      </c>
      <c r="L1219" s="38">
        <f t="shared" ref="L1219:L1282" si="98">IFERROR(J1219-K1219,"")</f>
        <v>6702000.017026199</v>
      </c>
      <c r="M1219" s="41">
        <f>VLOOKUP(INDICADORES!$B$21,'DATOS GENERALES'!$K:$M,3,0)*F1219</f>
        <v>103791.90094124657</v>
      </c>
      <c r="N1219" s="38">
        <f t="shared" ref="N1219:N1282" si="99">IFERROR(L1219-M1219,"")</f>
        <v>6598208.1160849528</v>
      </c>
      <c r="O1219" s="36"/>
      <c r="P1219" s="36"/>
      <c r="Q1219" s="36"/>
    </row>
    <row r="1220" spans="1:17" x14ac:dyDescent="0.25">
      <c r="A1220" s="36">
        <v>1453</v>
      </c>
      <c r="B1220" s="37">
        <v>43617</v>
      </c>
      <c r="C1220" s="37">
        <v>43675.410156629987</v>
      </c>
      <c r="D1220" s="36" t="s">
        <v>195</v>
      </c>
      <c r="E1220" s="36"/>
      <c r="F1220" s="38">
        <v>15250000</v>
      </c>
      <c r="G1220" s="40">
        <f>VLOOKUP(A1220,'DATOS GENERALES'!A:B,2,0)</f>
        <v>2.0299999999999998</v>
      </c>
      <c r="H1220" s="36">
        <f t="shared" si="95"/>
        <v>2.0206619999999997</v>
      </c>
      <c r="I1220" s="38">
        <f t="shared" si="96"/>
        <v>7547031.6163712693</v>
      </c>
      <c r="J1220" s="38">
        <f t="shared" si="97"/>
        <v>7702968.3836287307</v>
      </c>
      <c r="K1220" s="38">
        <v>1346068.0418371146</v>
      </c>
      <c r="L1220" s="38">
        <f t="shared" si="98"/>
        <v>6356900.3417916158</v>
      </c>
      <c r="M1220" s="41">
        <f>VLOOKUP(INDICADORES!$B$21,'DATOS GENERALES'!$K:$M,3,0)*F1220</f>
        <v>103791.90094124657</v>
      </c>
      <c r="N1220" s="38">
        <f t="shared" si="99"/>
        <v>6253108.4408503696</v>
      </c>
      <c r="O1220" s="36"/>
      <c r="P1220" s="36"/>
      <c r="Q1220" s="36"/>
    </row>
    <row r="1221" spans="1:17" x14ac:dyDescent="0.25">
      <c r="A1221" s="36">
        <v>1453</v>
      </c>
      <c r="B1221" s="37">
        <v>43647</v>
      </c>
      <c r="C1221" s="37">
        <v>43685.846422607137</v>
      </c>
      <c r="D1221" s="36" t="s">
        <v>195</v>
      </c>
      <c r="E1221" s="36"/>
      <c r="F1221" s="38">
        <v>15250000</v>
      </c>
      <c r="G1221" s="40">
        <f>VLOOKUP(A1221,'DATOS GENERALES'!A:B,2,0)</f>
        <v>2.0299999999999998</v>
      </c>
      <c r="H1221" s="36">
        <f t="shared" si="95"/>
        <v>2.0206619999999997</v>
      </c>
      <c r="I1221" s="38">
        <f t="shared" si="96"/>
        <v>7547031.6163712693</v>
      </c>
      <c r="J1221" s="38">
        <f t="shared" si="97"/>
        <v>7702968.3836287307</v>
      </c>
      <c r="K1221" s="38">
        <v>2007384.5732363516</v>
      </c>
      <c r="L1221" s="38">
        <f t="shared" si="98"/>
        <v>5695583.8103923788</v>
      </c>
      <c r="M1221" s="41">
        <f>VLOOKUP(INDICADORES!$B$21,'DATOS GENERALES'!$K:$M,3,0)*F1221</f>
        <v>103791.90094124657</v>
      </c>
      <c r="N1221" s="38">
        <f t="shared" si="99"/>
        <v>5591791.9094511326</v>
      </c>
      <c r="O1221" s="36"/>
      <c r="P1221" s="36"/>
      <c r="Q1221" s="36"/>
    </row>
    <row r="1222" spans="1:17" x14ac:dyDescent="0.25">
      <c r="A1222" s="36">
        <v>1453</v>
      </c>
      <c r="B1222" s="37">
        <v>43678</v>
      </c>
      <c r="C1222" s="37">
        <v>43701.260677573424</v>
      </c>
      <c r="D1222" s="36" t="s">
        <v>195</v>
      </c>
      <c r="E1222" s="36"/>
      <c r="F1222" s="38">
        <v>15250000</v>
      </c>
      <c r="G1222" s="40">
        <f>VLOOKUP(A1222,'DATOS GENERALES'!A:B,2,0)</f>
        <v>2.0299999999999998</v>
      </c>
      <c r="H1222" s="36">
        <f t="shared" si="95"/>
        <v>2.0206619999999997</v>
      </c>
      <c r="I1222" s="38">
        <f t="shared" si="96"/>
        <v>7547031.6163712693</v>
      </c>
      <c r="J1222" s="38">
        <f t="shared" si="97"/>
        <v>7702968.3836287307</v>
      </c>
      <c r="K1222" s="38">
        <v>1975339.1992738529</v>
      </c>
      <c r="L1222" s="38">
        <f t="shared" si="98"/>
        <v>5727629.184354878</v>
      </c>
      <c r="M1222" s="41">
        <f>VLOOKUP(INDICADORES!$B$21,'DATOS GENERALES'!$K:$M,3,0)*F1222</f>
        <v>103791.90094124657</v>
      </c>
      <c r="N1222" s="38">
        <f t="shared" si="99"/>
        <v>5623837.2834136318</v>
      </c>
      <c r="O1222" s="36"/>
      <c r="P1222" s="36"/>
      <c r="Q1222" s="36"/>
    </row>
    <row r="1223" spans="1:17" x14ac:dyDescent="0.25">
      <c r="A1223" s="36">
        <v>1453</v>
      </c>
      <c r="B1223" s="37">
        <v>43709</v>
      </c>
      <c r="C1223" s="37">
        <v>43747.460454491949</v>
      </c>
      <c r="D1223" s="36" t="s">
        <v>195</v>
      </c>
      <c r="E1223" s="36"/>
      <c r="F1223" s="38">
        <v>15250000</v>
      </c>
      <c r="G1223" s="40">
        <f>VLOOKUP(A1223,'DATOS GENERALES'!A:B,2,0)</f>
        <v>2.0299999999999998</v>
      </c>
      <c r="H1223" s="36">
        <f t="shared" si="95"/>
        <v>2.0206619999999997</v>
      </c>
      <c r="I1223" s="38">
        <f t="shared" si="96"/>
        <v>7547031.6163712693</v>
      </c>
      <c r="J1223" s="38">
        <f t="shared" si="97"/>
        <v>7702968.3836287307</v>
      </c>
      <c r="K1223" s="38">
        <v>2232475.121187157</v>
      </c>
      <c r="L1223" s="38">
        <f t="shared" si="98"/>
        <v>5470493.2624415737</v>
      </c>
      <c r="M1223" s="41">
        <f>VLOOKUP(INDICADORES!$B$21,'DATOS GENERALES'!$K:$M,3,0)*F1223</f>
        <v>103791.90094124657</v>
      </c>
      <c r="N1223" s="38">
        <f t="shared" si="99"/>
        <v>5366701.3615003275</v>
      </c>
      <c r="O1223" s="36"/>
      <c r="P1223" s="36"/>
      <c r="Q1223" s="36"/>
    </row>
    <row r="1224" spans="1:17" x14ac:dyDescent="0.25">
      <c r="A1224" s="36">
        <v>1453</v>
      </c>
      <c r="B1224" s="37">
        <v>43739</v>
      </c>
      <c r="C1224" s="37">
        <v>43831.386846741145</v>
      </c>
      <c r="D1224" s="36" t="s">
        <v>195</v>
      </c>
      <c r="E1224" s="36"/>
      <c r="F1224" s="38">
        <v>15250000</v>
      </c>
      <c r="G1224" s="40">
        <f>VLOOKUP(A1224,'DATOS GENERALES'!A:B,2,0)</f>
        <v>2.0299999999999998</v>
      </c>
      <c r="H1224" s="36">
        <f t="shared" si="95"/>
        <v>2.0206619999999997</v>
      </c>
      <c r="I1224" s="38">
        <f t="shared" si="96"/>
        <v>7547031.6163712693</v>
      </c>
      <c r="J1224" s="38">
        <f t="shared" si="97"/>
        <v>7702968.3836287307</v>
      </c>
      <c r="K1224" s="38">
        <v>2414191.3199810302</v>
      </c>
      <c r="L1224" s="38">
        <f t="shared" si="98"/>
        <v>5288777.0636477005</v>
      </c>
      <c r="M1224" s="41">
        <f>VLOOKUP(INDICADORES!$B$21,'DATOS GENERALES'!$K:$M,3,0)*F1224</f>
        <v>103791.90094124657</v>
      </c>
      <c r="N1224" s="38">
        <f t="shared" si="99"/>
        <v>5184985.1627064543</v>
      </c>
      <c r="O1224" s="36"/>
      <c r="P1224" s="36"/>
      <c r="Q1224" s="36"/>
    </row>
    <row r="1225" spans="1:17" x14ac:dyDescent="0.25">
      <c r="A1225" s="36">
        <v>1453</v>
      </c>
      <c r="B1225" s="37">
        <v>43770</v>
      </c>
      <c r="C1225" s="37">
        <v>43811.345954704746</v>
      </c>
      <c r="D1225" s="36" t="s">
        <v>195</v>
      </c>
      <c r="E1225" s="36"/>
      <c r="F1225" s="38">
        <v>15250000</v>
      </c>
      <c r="G1225" s="40">
        <f>VLOOKUP(A1225,'DATOS GENERALES'!A:B,2,0)</f>
        <v>2.0299999999999998</v>
      </c>
      <c r="H1225" s="36">
        <f t="shared" si="95"/>
        <v>2.0206619999999997</v>
      </c>
      <c r="I1225" s="38">
        <f t="shared" si="96"/>
        <v>7547031.6163712693</v>
      </c>
      <c r="J1225" s="38">
        <f t="shared" si="97"/>
        <v>7702968.3836287307</v>
      </c>
      <c r="K1225" s="38">
        <v>3228803.0917683779</v>
      </c>
      <c r="L1225" s="38">
        <f t="shared" si="98"/>
        <v>4474165.2918603532</v>
      </c>
      <c r="M1225" s="41">
        <f>VLOOKUP(INDICADORES!$B$21,'DATOS GENERALES'!$K:$M,3,0)*F1225</f>
        <v>103791.90094124657</v>
      </c>
      <c r="N1225" s="38">
        <f t="shared" si="99"/>
        <v>4370373.390919107</v>
      </c>
      <c r="O1225" s="36"/>
      <c r="P1225" s="36"/>
      <c r="Q1225" s="36"/>
    </row>
    <row r="1226" spans="1:17" x14ac:dyDescent="0.25">
      <c r="A1226" s="36">
        <v>1453</v>
      </c>
      <c r="B1226" s="37">
        <v>43800</v>
      </c>
      <c r="C1226" s="37">
        <v>43855.699008926436</v>
      </c>
      <c r="D1226" s="36" t="s">
        <v>195</v>
      </c>
      <c r="E1226" s="36"/>
      <c r="F1226" s="38">
        <v>15250000</v>
      </c>
      <c r="G1226" s="40">
        <f>VLOOKUP(A1226,'DATOS GENERALES'!A:B,2,0)</f>
        <v>2.0299999999999998</v>
      </c>
      <c r="H1226" s="36">
        <f t="shared" si="95"/>
        <v>2.0206619999999997</v>
      </c>
      <c r="I1226" s="38">
        <f t="shared" si="96"/>
        <v>7547031.6163712693</v>
      </c>
      <c r="J1226" s="38">
        <f t="shared" si="97"/>
        <v>7702968.3836287307</v>
      </c>
      <c r="K1226" s="38">
        <v>2718611.5011152709</v>
      </c>
      <c r="L1226" s="38">
        <f t="shared" si="98"/>
        <v>4984356.8825134598</v>
      </c>
      <c r="M1226" s="41">
        <f>VLOOKUP(INDICADORES!$B$21,'DATOS GENERALES'!$K:$M,3,0)*F1226</f>
        <v>103791.90094124657</v>
      </c>
      <c r="N1226" s="38">
        <f t="shared" si="99"/>
        <v>4880564.9815722136</v>
      </c>
      <c r="O1226" s="36"/>
      <c r="P1226" s="36"/>
      <c r="Q1226" s="36"/>
    </row>
    <row r="1227" spans="1:17" x14ac:dyDescent="0.25">
      <c r="A1227" s="36">
        <v>1826</v>
      </c>
      <c r="B1227" s="37">
        <v>43466</v>
      </c>
      <c r="C1227" s="37">
        <v>43551.668437027234</v>
      </c>
      <c r="D1227" s="36" t="s">
        <v>195</v>
      </c>
      <c r="E1227" s="36"/>
      <c r="F1227" s="38">
        <v>20341421</v>
      </c>
      <c r="G1227" s="40">
        <f>VLOOKUP(A1227,'DATOS GENERALES'!A:B,2,0)</f>
        <v>2.62</v>
      </c>
      <c r="H1227" s="36">
        <f t="shared" si="95"/>
        <v>2.6079479999999999</v>
      </c>
      <c r="I1227" s="38">
        <f t="shared" si="96"/>
        <v>7799780.1336529721</v>
      </c>
      <c r="J1227" s="38">
        <f t="shared" si="97"/>
        <v>12541640.866347028</v>
      </c>
      <c r="K1227" s="38">
        <v>1711414.8464879699</v>
      </c>
      <c r="L1227" s="38">
        <f t="shared" si="98"/>
        <v>10830226.019859059</v>
      </c>
      <c r="M1227" s="41">
        <f>VLOOKUP(INDICADORES!$B$21,'DATOS GENERALES'!$K:$M,3,0)*F1227</f>
        <v>138444.24612696347</v>
      </c>
      <c r="N1227" s="38">
        <f t="shared" si="99"/>
        <v>10691781.773732096</v>
      </c>
      <c r="O1227" s="36"/>
      <c r="P1227" s="36"/>
      <c r="Q1227" s="36"/>
    </row>
    <row r="1228" spans="1:17" x14ac:dyDescent="0.25">
      <c r="A1228" s="36">
        <v>1826</v>
      </c>
      <c r="B1228" s="37">
        <v>43497</v>
      </c>
      <c r="C1228" s="37">
        <v>43582.710146940801</v>
      </c>
      <c r="D1228" s="36" t="s">
        <v>195</v>
      </c>
      <c r="E1228" s="36"/>
      <c r="F1228" s="38">
        <v>20341421</v>
      </c>
      <c r="G1228" s="40">
        <f>VLOOKUP(A1228,'DATOS GENERALES'!A:B,2,0)</f>
        <v>2.62</v>
      </c>
      <c r="H1228" s="36">
        <f t="shared" si="95"/>
        <v>2.6079479999999999</v>
      </c>
      <c r="I1228" s="38">
        <f t="shared" si="96"/>
        <v>7799780.1336529721</v>
      </c>
      <c r="J1228" s="38">
        <f t="shared" si="97"/>
        <v>12541640.866347028</v>
      </c>
      <c r="K1228" s="38">
        <v>1685983.6841691348</v>
      </c>
      <c r="L1228" s="38">
        <f t="shared" si="98"/>
        <v>10855657.182177894</v>
      </c>
      <c r="M1228" s="41">
        <f>VLOOKUP(INDICADORES!$B$21,'DATOS GENERALES'!$K:$M,3,0)*F1228</f>
        <v>138444.24612696347</v>
      </c>
      <c r="N1228" s="38">
        <f t="shared" si="99"/>
        <v>10717212.936050931</v>
      </c>
      <c r="O1228" s="36"/>
      <c r="P1228" s="36"/>
      <c r="Q1228" s="36"/>
    </row>
    <row r="1229" spans="1:17" x14ac:dyDescent="0.25">
      <c r="A1229" s="36">
        <v>1826</v>
      </c>
      <c r="B1229" s="37">
        <v>43525</v>
      </c>
      <c r="C1229" s="37">
        <v>43607.334233186812</v>
      </c>
      <c r="D1229" s="36" t="s">
        <v>195</v>
      </c>
      <c r="E1229" s="36"/>
      <c r="F1229" s="38">
        <v>20341421</v>
      </c>
      <c r="G1229" s="40">
        <f>VLOOKUP(A1229,'DATOS GENERALES'!A:B,2,0)</f>
        <v>2.62</v>
      </c>
      <c r="H1229" s="36">
        <f t="shared" si="95"/>
        <v>2.6079479999999999</v>
      </c>
      <c r="I1229" s="38">
        <f t="shared" si="96"/>
        <v>7799780.1336529721</v>
      </c>
      <c r="J1229" s="38">
        <f t="shared" si="97"/>
        <v>12541640.866347028</v>
      </c>
      <c r="K1229" s="38">
        <v>1219788.2844635427</v>
      </c>
      <c r="L1229" s="38">
        <f t="shared" si="98"/>
        <v>11321852.581883484</v>
      </c>
      <c r="M1229" s="41">
        <f>VLOOKUP(INDICADORES!$B$21,'DATOS GENERALES'!$K:$M,3,0)*F1229</f>
        <v>138444.24612696347</v>
      </c>
      <c r="N1229" s="38">
        <f t="shared" si="99"/>
        <v>11183408.335756522</v>
      </c>
      <c r="O1229" s="36"/>
      <c r="P1229" s="36"/>
      <c r="Q1229" s="36"/>
    </row>
    <row r="1230" spans="1:17" x14ac:dyDescent="0.25">
      <c r="A1230" s="36">
        <v>1858</v>
      </c>
      <c r="B1230" s="37">
        <v>43466</v>
      </c>
      <c r="C1230" s="37">
        <v>43552.376296047289</v>
      </c>
      <c r="D1230" s="36" t="s">
        <v>195</v>
      </c>
      <c r="E1230" s="36"/>
      <c r="F1230" s="38">
        <v>118601976.15000001</v>
      </c>
      <c r="G1230" s="40">
        <f>VLOOKUP(A1230,'DATOS GENERALES'!A:B,2,0)</f>
        <v>0.73</v>
      </c>
      <c r="H1230" s="36">
        <f t="shared" si="95"/>
        <v>0.7266419999999999</v>
      </c>
      <c r="I1230" s="38">
        <f t="shared" si="96"/>
        <v>163219269.11739209</v>
      </c>
      <c r="J1230" s="38">
        <f t="shared" si="97"/>
        <v>-44617292.967392087</v>
      </c>
      <c r="K1230" s="38">
        <v>35813301.864137962</v>
      </c>
      <c r="L1230" s="38">
        <f t="shared" si="98"/>
        <v>-80430594.831530049</v>
      </c>
      <c r="M1230" s="41">
        <f>VLOOKUP(INDICADORES!$B$21,'DATOS GENERALES'!$K:$M,3,0)*F1230</f>
        <v>807208.16786864842</v>
      </c>
      <c r="N1230" s="38">
        <f t="shared" si="99"/>
        <v>-81237802.999398693</v>
      </c>
      <c r="O1230" s="36"/>
      <c r="P1230" s="36"/>
      <c r="Q1230" s="36"/>
    </row>
    <row r="1231" spans="1:17" x14ac:dyDescent="0.25">
      <c r="A1231" s="36">
        <v>1858</v>
      </c>
      <c r="B1231" s="37">
        <v>43497</v>
      </c>
      <c r="C1231" s="37">
        <v>43524.548534962305</v>
      </c>
      <c r="D1231" s="36" t="s">
        <v>195</v>
      </c>
      <c r="E1231" s="36"/>
      <c r="F1231" s="38">
        <v>197669960.25</v>
      </c>
      <c r="G1231" s="40">
        <f>VLOOKUP(A1231,'DATOS GENERALES'!A:B,2,0)</f>
        <v>0.73</v>
      </c>
      <c r="H1231" s="36">
        <f t="shared" si="95"/>
        <v>0.7266419999999999</v>
      </c>
      <c r="I1231" s="38">
        <f t="shared" si="96"/>
        <v>272032115.19565344</v>
      </c>
      <c r="J1231" s="38">
        <f t="shared" si="97"/>
        <v>-74362154.945653439</v>
      </c>
      <c r="K1231" s="38">
        <v>58801876.454315983</v>
      </c>
      <c r="L1231" s="38">
        <f t="shared" si="98"/>
        <v>-133164031.39996943</v>
      </c>
      <c r="M1231" s="41">
        <f>VLOOKUP(INDICADORES!$B$21,'DATOS GENERALES'!$K:$M,3,0)*F1231</f>
        <v>1345346.9464477473</v>
      </c>
      <c r="N1231" s="38">
        <f t="shared" si="99"/>
        <v>-134509378.34641719</v>
      </c>
      <c r="O1231" s="36"/>
      <c r="P1231" s="36"/>
      <c r="Q1231" s="36"/>
    </row>
    <row r="1232" spans="1:17" x14ac:dyDescent="0.25">
      <c r="A1232" s="36">
        <v>1858</v>
      </c>
      <c r="B1232" s="37">
        <v>43525</v>
      </c>
      <c r="C1232" s="37">
        <v>43574.10088858175</v>
      </c>
      <c r="D1232" s="36" t="s">
        <v>195</v>
      </c>
      <c r="E1232" s="36"/>
      <c r="F1232" s="38">
        <v>171313965.55000007</v>
      </c>
      <c r="G1232" s="40">
        <f>VLOOKUP(A1232,'DATOS GENERALES'!A:B,2,0)</f>
        <v>0.73</v>
      </c>
      <c r="H1232" s="36">
        <f t="shared" si="95"/>
        <v>0.7266419999999999</v>
      </c>
      <c r="I1232" s="38">
        <f t="shared" si="96"/>
        <v>235761166.50289977</v>
      </c>
      <c r="J1232" s="38">
        <f t="shared" si="97"/>
        <v>-64447200.952899694</v>
      </c>
      <c r="K1232" s="38">
        <v>36870104.529088855</v>
      </c>
      <c r="L1232" s="38">
        <f t="shared" si="98"/>
        <v>-101317305.48198855</v>
      </c>
      <c r="M1232" s="41">
        <f>VLOOKUP(INDICADORES!$B$21,'DATOS GENERALES'!$K:$M,3,0)*F1232</f>
        <v>1165967.3535880481</v>
      </c>
      <c r="N1232" s="38">
        <f t="shared" si="99"/>
        <v>-102483272.83557659</v>
      </c>
      <c r="O1232" s="36"/>
      <c r="P1232" s="36"/>
      <c r="Q1232" s="36"/>
    </row>
    <row r="1233" spans="1:17" x14ac:dyDescent="0.25">
      <c r="A1233" s="36">
        <v>1858</v>
      </c>
      <c r="B1233" s="37">
        <v>43556</v>
      </c>
      <c r="C1233" s="37">
        <v>43643.61368213602</v>
      </c>
      <c r="D1233" s="36" t="s">
        <v>195</v>
      </c>
      <c r="E1233" s="36"/>
      <c r="F1233" s="38">
        <v>210847957.5999999</v>
      </c>
      <c r="G1233" s="40">
        <f>VLOOKUP(A1233,'DATOS GENERALES'!A:B,2,0)</f>
        <v>0.73</v>
      </c>
      <c r="H1233" s="36">
        <f t="shared" si="95"/>
        <v>0.7266419999999999</v>
      </c>
      <c r="I1233" s="38">
        <f t="shared" si="96"/>
        <v>290167589.54203022</v>
      </c>
      <c r="J1233" s="38">
        <f t="shared" si="97"/>
        <v>-79319631.942030311</v>
      </c>
      <c r="K1233" s="38">
        <v>46652610.816467233</v>
      </c>
      <c r="L1233" s="38">
        <f t="shared" si="98"/>
        <v>-125972242.75849754</v>
      </c>
      <c r="M1233" s="41">
        <f>VLOOKUP(INDICADORES!$B$21,'DATOS GENERALES'!$K:$M,3,0)*F1233</f>
        <v>1435036.7428775965</v>
      </c>
      <c r="N1233" s="38">
        <f t="shared" si="99"/>
        <v>-127407279.50137514</v>
      </c>
      <c r="O1233" s="36"/>
      <c r="P1233" s="36"/>
      <c r="Q1233" s="36"/>
    </row>
    <row r="1234" spans="1:17" x14ac:dyDescent="0.25">
      <c r="A1234" s="36">
        <v>1848</v>
      </c>
      <c r="B1234" s="37">
        <v>43466</v>
      </c>
      <c r="C1234" s="37">
        <v>43554.338920284252</v>
      </c>
      <c r="D1234" s="36" t="s">
        <v>195</v>
      </c>
      <c r="E1234" s="36"/>
      <c r="F1234" s="38">
        <v>12773052.833333334</v>
      </c>
      <c r="G1234" s="40">
        <f>VLOOKUP(A1234,'DATOS GENERALES'!A:B,2,0)</f>
        <v>2.2999999999999998</v>
      </c>
      <c r="H1234" s="36">
        <f t="shared" si="95"/>
        <v>2.2894199999999998</v>
      </c>
      <c r="I1234" s="38">
        <f t="shared" si="96"/>
        <v>5579165.3926904351</v>
      </c>
      <c r="J1234" s="38">
        <f t="shared" si="97"/>
        <v>7193887.4406428989</v>
      </c>
      <c r="K1234" s="38">
        <v>1224171.2356564121</v>
      </c>
      <c r="L1234" s="38">
        <f t="shared" si="98"/>
        <v>5969716.2049864866</v>
      </c>
      <c r="M1234" s="41">
        <f>VLOOKUP(INDICADORES!$B$21,'DATOS GENERALES'!$K:$M,3,0)*F1234</f>
        <v>86933.733402927362</v>
      </c>
      <c r="N1234" s="38">
        <f t="shared" si="99"/>
        <v>5882782.4715835592</v>
      </c>
      <c r="O1234" s="36"/>
      <c r="P1234" s="36"/>
      <c r="Q1234" s="36"/>
    </row>
    <row r="1235" spans="1:17" x14ac:dyDescent="0.25">
      <c r="A1235" s="36">
        <v>1848</v>
      </c>
      <c r="B1235" s="37">
        <v>43497</v>
      </c>
      <c r="C1235" s="37">
        <v>43583.068250696335</v>
      </c>
      <c r="D1235" s="36" t="s">
        <v>195</v>
      </c>
      <c r="E1235" s="36"/>
      <c r="F1235" s="38">
        <v>12773052.833333334</v>
      </c>
      <c r="G1235" s="40">
        <f>VLOOKUP(A1235,'DATOS GENERALES'!A:B,2,0)</f>
        <v>2.2999999999999998</v>
      </c>
      <c r="H1235" s="36">
        <f t="shared" si="95"/>
        <v>2.2894199999999998</v>
      </c>
      <c r="I1235" s="38">
        <f t="shared" si="96"/>
        <v>5579165.3926904351</v>
      </c>
      <c r="J1235" s="38">
        <f t="shared" si="97"/>
        <v>7193887.4406428989</v>
      </c>
      <c r="K1235" s="38">
        <v>1205980.3817767035</v>
      </c>
      <c r="L1235" s="38">
        <f t="shared" si="98"/>
        <v>5987907.0588661954</v>
      </c>
      <c r="M1235" s="41">
        <f>VLOOKUP(INDICADORES!$B$21,'DATOS GENERALES'!$K:$M,3,0)*F1235</f>
        <v>86933.733402927362</v>
      </c>
      <c r="N1235" s="38">
        <f t="shared" si="99"/>
        <v>5900973.325463268</v>
      </c>
      <c r="O1235" s="36"/>
      <c r="P1235" s="36"/>
      <c r="Q1235" s="36"/>
    </row>
    <row r="1236" spans="1:17" x14ac:dyDescent="0.25">
      <c r="A1236" s="36">
        <v>1806</v>
      </c>
      <c r="B1236" s="37">
        <v>43466</v>
      </c>
      <c r="C1236" s="37">
        <v>43544.147207028254</v>
      </c>
      <c r="D1236" s="36" t="s">
        <v>195</v>
      </c>
      <c r="E1236" s="36"/>
      <c r="F1236" s="38">
        <v>50000000</v>
      </c>
      <c r="G1236" s="40">
        <f>VLOOKUP(A1236,'DATOS GENERALES'!A:B,2,0)</f>
        <v>2</v>
      </c>
      <c r="H1236" s="36">
        <f t="shared" si="95"/>
        <v>1.9907999999999999</v>
      </c>
      <c r="I1236" s="38">
        <f t="shared" si="96"/>
        <v>25115531.444645371</v>
      </c>
      <c r="J1236" s="38">
        <f t="shared" si="97"/>
        <v>24884468.555354629</v>
      </c>
      <c r="K1236" s="38">
        <v>5510808.337576909</v>
      </c>
      <c r="L1236" s="38">
        <f t="shared" si="98"/>
        <v>19373660.217777722</v>
      </c>
      <c r="M1236" s="41">
        <f>VLOOKUP(INDICADORES!$B$21,'DATOS GENERALES'!$K:$M,3,0)*F1236</f>
        <v>340301.31456146418</v>
      </c>
      <c r="N1236" s="38">
        <f t="shared" si="99"/>
        <v>19033358.903216258</v>
      </c>
      <c r="O1236" s="36"/>
      <c r="P1236" s="36"/>
      <c r="Q1236" s="36"/>
    </row>
    <row r="1237" spans="1:17" x14ac:dyDescent="0.25">
      <c r="A1237" s="36">
        <v>1806</v>
      </c>
      <c r="B1237" s="37">
        <v>43497</v>
      </c>
      <c r="C1237" s="37">
        <v>43546.292428137327</v>
      </c>
      <c r="D1237" s="36" t="s">
        <v>195</v>
      </c>
      <c r="E1237" s="36"/>
      <c r="F1237" s="38">
        <v>50000000</v>
      </c>
      <c r="G1237" s="40">
        <f>VLOOKUP(A1237,'DATOS GENERALES'!A:B,2,0)</f>
        <v>2</v>
      </c>
      <c r="H1237" s="36">
        <f t="shared" si="95"/>
        <v>1.9907999999999999</v>
      </c>
      <c r="I1237" s="38">
        <f t="shared" si="96"/>
        <v>25115531.444645371</v>
      </c>
      <c r="J1237" s="38">
        <f t="shared" si="97"/>
        <v>24884468.555354629</v>
      </c>
      <c r="K1237" s="38">
        <v>5428919.2143006306</v>
      </c>
      <c r="L1237" s="38">
        <f t="shared" si="98"/>
        <v>19455549.341054</v>
      </c>
      <c r="M1237" s="41">
        <f>VLOOKUP(INDICADORES!$B$21,'DATOS GENERALES'!$K:$M,3,0)*F1237</f>
        <v>340301.31456146418</v>
      </c>
      <c r="N1237" s="38">
        <f t="shared" si="99"/>
        <v>19115248.026492536</v>
      </c>
      <c r="O1237" s="36"/>
      <c r="P1237" s="36"/>
      <c r="Q1237" s="36"/>
    </row>
    <row r="1238" spans="1:17" x14ac:dyDescent="0.25">
      <c r="A1238" s="36">
        <v>1806</v>
      </c>
      <c r="B1238" s="37">
        <v>43525</v>
      </c>
      <c r="C1238" s="37">
        <v>43591.107786096116</v>
      </c>
      <c r="D1238" s="36" t="s">
        <v>195</v>
      </c>
      <c r="E1238" s="36"/>
      <c r="F1238" s="38">
        <v>50000000</v>
      </c>
      <c r="G1238" s="40">
        <f>VLOOKUP(A1238,'DATOS GENERALES'!A:B,2,0)</f>
        <v>2</v>
      </c>
      <c r="H1238" s="36">
        <f t="shared" si="95"/>
        <v>1.9907999999999999</v>
      </c>
      <c r="I1238" s="38">
        <f t="shared" si="96"/>
        <v>25115531.444645371</v>
      </c>
      <c r="J1238" s="38">
        <f t="shared" si="97"/>
        <v>24884468.555354629</v>
      </c>
      <c r="K1238" s="38">
        <v>3927755.7173789409</v>
      </c>
      <c r="L1238" s="38">
        <f t="shared" si="98"/>
        <v>20956712.837975688</v>
      </c>
      <c r="M1238" s="41">
        <f>VLOOKUP(INDICADORES!$B$21,'DATOS GENERALES'!$K:$M,3,0)*F1238</f>
        <v>340301.31456146418</v>
      </c>
      <c r="N1238" s="38">
        <f t="shared" si="99"/>
        <v>20616411.523414224</v>
      </c>
      <c r="O1238" s="36"/>
      <c r="P1238" s="36"/>
      <c r="Q1238" s="36"/>
    </row>
    <row r="1239" spans="1:17" x14ac:dyDescent="0.25">
      <c r="A1239" s="36">
        <v>1806</v>
      </c>
      <c r="B1239" s="37">
        <v>43556</v>
      </c>
      <c r="C1239" s="37">
        <v>43594.517667574386</v>
      </c>
      <c r="D1239" s="36" t="s">
        <v>195</v>
      </c>
      <c r="E1239" s="36"/>
      <c r="F1239" s="38">
        <v>50000000</v>
      </c>
      <c r="G1239" s="40">
        <f>VLOOKUP(A1239,'DATOS GENERALES'!A:B,2,0)</f>
        <v>2</v>
      </c>
      <c r="H1239" s="36">
        <f t="shared" si="95"/>
        <v>1.9907999999999999</v>
      </c>
      <c r="I1239" s="38">
        <f t="shared" si="96"/>
        <v>25115531.444645371</v>
      </c>
      <c r="J1239" s="38">
        <f t="shared" si="97"/>
        <v>24884468.555354629</v>
      </c>
      <c r="K1239" s="38">
        <v>4038028.9052443136</v>
      </c>
      <c r="L1239" s="38">
        <f t="shared" si="98"/>
        <v>20846439.650110316</v>
      </c>
      <c r="M1239" s="41">
        <f>VLOOKUP(INDICADORES!$B$21,'DATOS GENERALES'!$K:$M,3,0)*F1239</f>
        <v>340301.31456146418</v>
      </c>
      <c r="N1239" s="38">
        <f t="shared" si="99"/>
        <v>20506138.335548852</v>
      </c>
      <c r="O1239" s="36"/>
      <c r="P1239" s="36"/>
      <c r="Q1239" s="36"/>
    </row>
    <row r="1240" spans="1:17" x14ac:dyDescent="0.25">
      <c r="A1240" s="36">
        <v>1806</v>
      </c>
      <c r="B1240" s="37">
        <v>43586</v>
      </c>
      <c r="C1240" s="37">
        <v>43682.971384810822</v>
      </c>
      <c r="D1240" s="36" t="s">
        <v>195</v>
      </c>
      <c r="E1240" s="36"/>
      <c r="F1240" s="38">
        <v>50000000</v>
      </c>
      <c r="G1240" s="40">
        <f>VLOOKUP(A1240,'DATOS GENERALES'!A:B,2,0)</f>
        <v>2</v>
      </c>
      <c r="H1240" s="36">
        <f t="shared" si="95"/>
        <v>1.9907999999999999</v>
      </c>
      <c r="I1240" s="38">
        <f t="shared" si="96"/>
        <v>25115531.444645371</v>
      </c>
      <c r="J1240" s="38">
        <f t="shared" si="97"/>
        <v>24884468.555354629</v>
      </c>
      <c r="K1240" s="38">
        <v>3331091.4495133436</v>
      </c>
      <c r="L1240" s="38">
        <f t="shared" si="98"/>
        <v>21553377.105841286</v>
      </c>
      <c r="M1240" s="41">
        <f>VLOOKUP(INDICADORES!$B$21,'DATOS GENERALES'!$K:$M,3,0)*F1240</f>
        <v>340301.31456146418</v>
      </c>
      <c r="N1240" s="38">
        <f t="shared" si="99"/>
        <v>21213075.791279823</v>
      </c>
      <c r="O1240" s="36"/>
      <c r="P1240" s="36"/>
      <c r="Q1240" s="36"/>
    </row>
    <row r="1241" spans="1:17" x14ac:dyDescent="0.25">
      <c r="A1241" s="36">
        <v>1824</v>
      </c>
      <c r="B1241" s="37">
        <v>43466</v>
      </c>
      <c r="C1241" s="37">
        <v>43536.118594448308</v>
      </c>
      <c r="D1241" s="36" t="s">
        <v>195</v>
      </c>
      <c r="E1241" s="36"/>
      <c r="F1241" s="38">
        <v>48166666.666666664</v>
      </c>
      <c r="G1241" s="40">
        <f>VLOOKUP(A1241,'DATOS GENERALES'!A:B,2,0)</f>
        <v>2.44</v>
      </c>
      <c r="H1241" s="36">
        <f t="shared" si="95"/>
        <v>2.428776</v>
      </c>
      <c r="I1241" s="38">
        <f t="shared" si="96"/>
        <v>19831662.80738391</v>
      </c>
      <c r="J1241" s="38">
        <f t="shared" si="97"/>
        <v>28335003.859282754</v>
      </c>
      <c r="K1241" s="38">
        <v>4351430.627212367</v>
      </c>
      <c r="L1241" s="38">
        <f t="shared" si="98"/>
        <v>23983573.232070386</v>
      </c>
      <c r="M1241" s="41">
        <f>VLOOKUP(INDICADORES!$B$21,'DATOS GENERALES'!$K:$M,3,0)*F1241</f>
        <v>327823.59969421045</v>
      </c>
      <c r="N1241" s="38">
        <f t="shared" si="99"/>
        <v>23655749.632376175</v>
      </c>
      <c r="O1241" s="36"/>
      <c r="P1241" s="36"/>
      <c r="Q1241" s="36"/>
    </row>
    <row r="1242" spans="1:17" x14ac:dyDescent="0.25">
      <c r="A1242" s="36">
        <v>1824</v>
      </c>
      <c r="B1242" s="37">
        <v>43497</v>
      </c>
      <c r="C1242" s="37">
        <v>43532.966707402673</v>
      </c>
      <c r="D1242" s="36" t="s">
        <v>195</v>
      </c>
      <c r="E1242" s="36"/>
      <c r="F1242" s="38">
        <v>48166666.666666664</v>
      </c>
      <c r="G1242" s="40">
        <f>VLOOKUP(A1242,'DATOS GENERALES'!A:B,2,0)</f>
        <v>2.44</v>
      </c>
      <c r="H1242" s="36">
        <f t="shared" si="95"/>
        <v>2.428776</v>
      </c>
      <c r="I1242" s="38">
        <f t="shared" si="96"/>
        <v>19831662.80738391</v>
      </c>
      <c r="J1242" s="38">
        <f t="shared" si="97"/>
        <v>28335003.859282754</v>
      </c>
      <c r="K1242" s="38">
        <v>4286769.5435324647</v>
      </c>
      <c r="L1242" s="38">
        <f t="shared" si="98"/>
        <v>24048234.31575029</v>
      </c>
      <c r="M1242" s="41">
        <f>VLOOKUP(INDICADORES!$B$21,'DATOS GENERALES'!$K:$M,3,0)*F1242</f>
        <v>327823.59969421045</v>
      </c>
      <c r="N1242" s="38">
        <f t="shared" si="99"/>
        <v>23720410.716056079</v>
      </c>
      <c r="O1242" s="36"/>
      <c r="P1242" s="36"/>
      <c r="Q1242" s="36"/>
    </row>
    <row r="1243" spans="1:17" x14ac:dyDescent="0.25">
      <c r="A1243" s="36">
        <v>1824</v>
      </c>
      <c r="B1243" s="37">
        <v>43525</v>
      </c>
      <c r="C1243" s="37">
        <v>43608.91168686896</v>
      </c>
      <c r="D1243" s="36" t="s">
        <v>195</v>
      </c>
      <c r="E1243" s="36"/>
      <c r="F1243" s="38">
        <v>48166666.666666664</v>
      </c>
      <c r="G1243" s="40">
        <f>VLOOKUP(A1243,'DATOS GENERALES'!A:B,2,0)</f>
        <v>2.44</v>
      </c>
      <c r="H1243" s="36">
        <f t="shared" si="95"/>
        <v>2.428776</v>
      </c>
      <c r="I1243" s="38">
        <f t="shared" si="96"/>
        <v>19831662.80738391</v>
      </c>
      <c r="J1243" s="38">
        <f t="shared" si="97"/>
        <v>28335003.859282754</v>
      </c>
      <c r="K1243" s="38">
        <v>3101424.5965096005</v>
      </c>
      <c r="L1243" s="38">
        <f t="shared" si="98"/>
        <v>25233579.262773152</v>
      </c>
      <c r="M1243" s="41">
        <f>VLOOKUP(INDICADORES!$B$21,'DATOS GENERALES'!$K:$M,3,0)*F1243</f>
        <v>327823.59969421045</v>
      </c>
      <c r="N1243" s="38">
        <f t="shared" si="99"/>
        <v>24905755.663078941</v>
      </c>
      <c r="O1243" s="36"/>
      <c r="P1243" s="36"/>
      <c r="Q1243" s="36"/>
    </row>
    <row r="1244" spans="1:17" x14ac:dyDescent="0.25">
      <c r="A1244" s="36">
        <v>1824</v>
      </c>
      <c r="B1244" s="37">
        <v>43556</v>
      </c>
      <c r="C1244" s="37">
        <v>43617.537433216596</v>
      </c>
      <c r="D1244" s="36" t="s">
        <v>195</v>
      </c>
      <c r="E1244" s="36"/>
      <c r="F1244" s="38">
        <v>48166666.666666664</v>
      </c>
      <c r="G1244" s="40">
        <f>VLOOKUP(A1244,'DATOS GENERALES'!A:B,2,0)</f>
        <v>2.44</v>
      </c>
      <c r="H1244" s="36">
        <f t="shared" si="95"/>
        <v>2.428776</v>
      </c>
      <c r="I1244" s="38">
        <f t="shared" si="96"/>
        <v>19831662.80738391</v>
      </c>
      <c r="J1244" s="38">
        <f t="shared" si="97"/>
        <v>28335003.859282754</v>
      </c>
      <c r="K1244" s="38">
        <v>3188498.2339224215</v>
      </c>
      <c r="L1244" s="38">
        <f t="shared" si="98"/>
        <v>25146505.625360332</v>
      </c>
      <c r="M1244" s="41">
        <f>VLOOKUP(INDICADORES!$B$21,'DATOS GENERALES'!$K:$M,3,0)*F1244</f>
        <v>327823.59969421045</v>
      </c>
      <c r="N1244" s="38">
        <f t="shared" si="99"/>
        <v>24818682.025666121</v>
      </c>
      <c r="O1244" s="36"/>
      <c r="P1244" s="36"/>
      <c r="Q1244" s="36"/>
    </row>
    <row r="1245" spans="1:17" x14ac:dyDescent="0.25">
      <c r="A1245" s="36">
        <v>1824</v>
      </c>
      <c r="B1245" s="37">
        <v>43586</v>
      </c>
      <c r="C1245" s="37">
        <v>43621.282448278493</v>
      </c>
      <c r="D1245" s="36" t="s">
        <v>195</v>
      </c>
      <c r="E1245" s="36"/>
      <c r="F1245" s="38">
        <v>48166666.666666664</v>
      </c>
      <c r="G1245" s="40">
        <f>VLOOKUP(A1245,'DATOS GENERALES'!A:B,2,0)</f>
        <v>2.44</v>
      </c>
      <c r="H1245" s="36">
        <f t="shared" si="95"/>
        <v>2.428776</v>
      </c>
      <c r="I1245" s="38">
        <f t="shared" si="96"/>
        <v>19831662.80738391</v>
      </c>
      <c r="J1245" s="38">
        <f t="shared" si="97"/>
        <v>28335003.859282754</v>
      </c>
      <c r="K1245" s="38">
        <v>2630288.0571293887</v>
      </c>
      <c r="L1245" s="38">
        <f t="shared" si="98"/>
        <v>25704715.802153364</v>
      </c>
      <c r="M1245" s="41">
        <f>VLOOKUP(INDICADORES!$B$21,'DATOS GENERALES'!$K:$M,3,0)*F1245</f>
        <v>327823.59969421045</v>
      </c>
      <c r="N1245" s="38">
        <f t="shared" si="99"/>
        <v>25376892.202459153</v>
      </c>
      <c r="O1245" s="36"/>
      <c r="P1245" s="36"/>
      <c r="Q1245" s="36"/>
    </row>
    <row r="1246" spans="1:17" x14ac:dyDescent="0.25">
      <c r="A1246" s="36">
        <v>1824</v>
      </c>
      <c r="B1246" s="37">
        <v>43617</v>
      </c>
      <c r="C1246" s="37">
        <v>43689.652914416169</v>
      </c>
      <c r="D1246" s="36" t="s">
        <v>195</v>
      </c>
      <c r="E1246" s="36"/>
      <c r="F1246" s="38">
        <v>48166666.666666664</v>
      </c>
      <c r="G1246" s="40">
        <f>VLOOKUP(A1246,'DATOS GENERALES'!A:B,2,0)</f>
        <v>2.44</v>
      </c>
      <c r="H1246" s="36">
        <f t="shared" si="95"/>
        <v>2.428776</v>
      </c>
      <c r="I1246" s="38">
        <f t="shared" si="96"/>
        <v>19831662.80738391</v>
      </c>
      <c r="J1246" s="38">
        <f t="shared" si="97"/>
        <v>28335003.859282754</v>
      </c>
      <c r="K1246" s="38">
        <v>3537121.4642326431</v>
      </c>
      <c r="L1246" s="38">
        <f t="shared" si="98"/>
        <v>24797882.395050112</v>
      </c>
      <c r="M1246" s="41">
        <f>VLOOKUP(INDICADORES!$B$21,'DATOS GENERALES'!$K:$M,3,0)*F1246</f>
        <v>327823.59969421045</v>
      </c>
      <c r="N1246" s="38">
        <f t="shared" si="99"/>
        <v>24470058.795355901</v>
      </c>
      <c r="O1246" s="36"/>
      <c r="P1246" s="36"/>
      <c r="Q1246" s="36"/>
    </row>
    <row r="1247" spans="1:17" x14ac:dyDescent="0.25">
      <c r="A1247" s="36">
        <v>1866</v>
      </c>
      <c r="B1247" s="37">
        <v>43497</v>
      </c>
      <c r="C1247" s="37">
        <v>43511.882114950757</v>
      </c>
      <c r="D1247" s="36" t="s">
        <v>195</v>
      </c>
      <c r="E1247" s="36"/>
      <c r="F1247" s="38">
        <v>9800000</v>
      </c>
      <c r="G1247" s="40">
        <f>VLOOKUP(A1247,'DATOS GENERALES'!A:B,2,0)</f>
        <v>1</v>
      </c>
      <c r="H1247" s="36">
        <f t="shared" si="95"/>
        <v>0.99539999999999995</v>
      </c>
      <c r="I1247" s="38">
        <f t="shared" si="96"/>
        <v>9845288.3263009842</v>
      </c>
      <c r="J1247" s="38">
        <f t="shared" si="97"/>
        <v>-45288.326300984249</v>
      </c>
      <c r="K1247" s="38">
        <v>2128136.3320058468</v>
      </c>
      <c r="L1247" s="38">
        <f t="shared" si="98"/>
        <v>-2173424.658306831</v>
      </c>
      <c r="M1247" s="41">
        <f>VLOOKUP(INDICADORES!$B$21,'DATOS GENERALES'!$K:$M,3,0)*F1247</f>
        <v>66699.057654046977</v>
      </c>
      <c r="N1247" s="38">
        <f t="shared" si="99"/>
        <v>-2240123.7159608779</v>
      </c>
      <c r="O1247" s="36"/>
      <c r="P1247" s="36"/>
      <c r="Q1247" s="36"/>
    </row>
    <row r="1248" spans="1:17" x14ac:dyDescent="0.25">
      <c r="A1248" s="36">
        <v>1866</v>
      </c>
      <c r="B1248" s="37">
        <v>43525</v>
      </c>
      <c r="C1248" s="37">
        <v>43588.571432955774</v>
      </c>
      <c r="D1248" s="36" t="s">
        <v>195</v>
      </c>
      <c r="E1248" s="36"/>
      <c r="F1248" s="38">
        <v>9800000</v>
      </c>
      <c r="G1248" s="40">
        <f>VLOOKUP(A1248,'DATOS GENERALES'!A:B,2,0)</f>
        <v>1</v>
      </c>
      <c r="H1248" s="36">
        <f t="shared" si="95"/>
        <v>0.99539999999999995</v>
      </c>
      <c r="I1248" s="38">
        <f t="shared" si="96"/>
        <v>9845288.3263009842</v>
      </c>
      <c r="J1248" s="38">
        <f t="shared" si="97"/>
        <v>-45288.326300984249</v>
      </c>
      <c r="K1248" s="38">
        <v>1539680.2412125445</v>
      </c>
      <c r="L1248" s="38">
        <f t="shared" si="98"/>
        <v>-1584968.5675135287</v>
      </c>
      <c r="M1248" s="41">
        <f>VLOOKUP(INDICADORES!$B$21,'DATOS GENERALES'!$K:$M,3,0)*F1248</f>
        <v>66699.057654046977</v>
      </c>
      <c r="N1248" s="38">
        <f t="shared" si="99"/>
        <v>-1651667.6251675757</v>
      </c>
      <c r="O1248" s="36"/>
      <c r="P1248" s="36"/>
      <c r="Q1248" s="36"/>
    </row>
    <row r="1249" spans="1:17" x14ac:dyDescent="0.25">
      <c r="A1249" s="36">
        <v>1866</v>
      </c>
      <c r="B1249" s="37">
        <v>43556</v>
      </c>
      <c r="C1249" s="37">
        <v>43580.800191617767</v>
      </c>
      <c r="D1249" s="36" t="s">
        <v>195</v>
      </c>
      <c r="E1249" s="36"/>
      <c r="F1249" s="38">
        <v>9800000</v>
      </c>
      <c r="G1249" s="40">
        <f>VLOOKUP(A1249,'DATOS GENERALES'!A:B,2,0)</f>
        <v>1</v>
      </c>
      <c r="H1249" s="36">
        <f t="shared" si="95"/>
        <v>0.99539999999999995</v>
      </c>
      <c r="I1249" s="38">
        <f t="shared" si="96"/>
        <v>9845288.3263009842</v>
      </c>
      <c r="J1249" s="38">
        <f t="shared" si="97"/>
        <v>-45288.326300984249</v>
      </c>
      <c r="K1249" s="38">
        <v>1582907.3308557707</v>
      </c>
      <c r="L1249" s="38">
        <f t="shared" si="98"/>
        <v>-1628195.657156755</v>
      </c>
      <c r="M1249" s="41">
        <f>VLOOKUP(INDICADORES!$B$21,'DATOS GENERALES'!$K:$M,3,0)*F1249</f>
        <v>66699.057654046977</v>
      </c>
      <c r="N1249" s="38">
        <f t="shared" si="99"/>
        <v>-1694894.7148108019</v>
      </c>
      <c r="O1249" s="36"/>
      <c r="P1249" s="36"/>
      <c r="Q1249" s="36"/>
    </row>
    <row r="1250" spans="1:17" x14ac:dyDescent="0.25">
      <c r="A1250" s="36">
        <v>1866</v>
      </c>
      <c r="B1250" s="37">
        <v>43586</v>
      </c>
      <c r="C1250" s="37">
        <v>43680.421238709961</v>
      </c>
      <c r="D1250" s="36" t="s">
        <v>195</v>
      </c>
      <c r="E1250" s="36"/>
      <c r="F1250" s="38">
        <v>9800000</v>
      </c>
      <c r="G1250" s="40">
        <f>VLOOKUP(A1250,'DATOS GENERALES'!A:B,2,0)</f>
        <v>1</v>
      </c>
      <c r="H1250" s="36">
        <f t="shared" si="95"/>
        <v>0.99539999999999995</v>
      </c>
      <c r="I1250" s="38">
        <f t="shared" si="96"/>
        <v>9845288.3263009842</v>
      </c>
      <c r="J1250" s="38">
        <f t="shared" si="97"/>
        <v>-45288.326300984249</v>
      </c>
      <c r="K1250" s="38">
        <v>1305787.8482092305</v>
      </c>
      <c r="L1250" s="38">
        <f t="shared" si="98"/>
        <v>-1351076.1745102147</v>
      </c>
      <c r="M1250" s="41">
        <f>VLOOKUP(INDICADORES!$B$21,'DATOS GENERALES'!$K:$M,3,0)*F1250</f>
        <v>66699.057654046977</v>
      </c>
      <c r="N1250" s="38">
        <f t="shared" si="99"/>
        <v>-1417775.2321642616</v>
      </c>
      <c r="O1250" s="36"/>
      <c r="P1250" s="36"/>
      <c r="Q1250" s="36"/>
    </row>
    <row r="1251" spans="1:17" x14ac:dyDescent="0.25">
      <c r="A1251" s="36">
        <v>1866</v>
      </c>
      <c r="B1251" s="37">
        <v>43617</v>
      </c>
      <c r="C1251" s="37">
        <v>43680.446921380368</v>
      </c>
      <c r="D1251" s="36" t="s">
        <v>195</v>
      </c>
      <c r="E1251" s="36"/>
      <c r="F1251" s="38">
        <v>9800000</v>
      </c>
      <c r="G1251" s="40">
        <f>VLOOKUP(A1251,'DATOS GENERALES'!A:B,2,0)</f>
        <v>1</v>
      </c>
      <c r="H1251" s="36">
        <f t="shared" si="95"/>
        <v>0.99539999999999995</v>
      </c>
      <c r="I1251" s="38">
        <f t="shared" si="96"/>
        <v>9845288.3263009842</v>
      </c>
      <c r="J1251" s="38">
        <f t="shared" si="97"/>
        <v>-45288.326300984249</v>
      </c>
      <c r="K1251" s="38">
        <v>1755978.8606103314</v>
      </c>
      <c r="L1251" s="38">
        <f t="shared" si="98"/>
        <v>-1801267.1869113157</v>
      </c>
      <c r="M1251" s="41">
        <f>VLOOKUP(INDICADORES!$B$21,'DATOS GENERALES'!$K:$M,3,0)*F1251</f>
        <v>66699.057654046977</v>
      </c>
      <c r="N1251" s="38">
        <f t="shared" si="99"/>
        <v>-1867966.2445653626</v>
      </c>
      <c r="O1251" s="36"/>
      <c r="P1251" s="36"/>
      <c r="Q1251" s="36"/>
    </row>
    <row r="1252" spans="1:17" x14ac:dyDescent="0.25">
      <c r="A1252" s="36">
        <v>1866</v>
      </c>
      <c r="B1252" s="37">
        <v>43647</v>
      </c>
      <c r="C1252" s="37">
        <v>43699.137465750078</v>
      </c>
      <c r="D1252" s="36" t="s">
        <v>195</v>
      </c>
      <c r="E1252" s="36"/>
      <c r="F1252" s="38">
        <v>9800000</v>
      </c>
      <c r="G1252" s="40">
        <f>VLOOKUP(A1252,'DATOS GENERALES'!A:B,2,0)</f>
        <v>1</v>
      </c>
      <c r="H1252" s="36">
        <f t="shared" si="95"/>
        <v>0.99539999999999995</v>
      </c>
      <c r="I1252" s="38">
        <f t="shared" si="96"/>
        <v>9845288.3263009842</v>
      </c>
      <c r="J1252" s="38">
        <f t="shared" si="97"/>
        <v>-45288.326300984249</v>
      </c>
      <c r="K1252" s="38">
        <v>2618682.5377025553</v>
      </c>
      <c r="L1252" s="38">
        <f t="shared" si="98"/>
        <v>-2663970.8640035396</v>
      </c>
      <c r="M1252" s="41">
        <f>VLOOKUP(INDICADORES!$B$21,'DATOS GENERALES'!$K:$M,3,0)*F1252</f>
        <v>66699.057654046977</v>
      </c>
      <c r="N1252" s="38">
        <f t="shared" si="99"/>
        <v>-2730669.9216575865</v>
      </c>
      <c r="O1252" s="36"/>
      <c r="P1252" s="36"/>
      <c r="Q1252" s="36"/>
    </row>
    <row r="1253" spans="1:17" x14ac:dyDescent="0.25">
      <c r="A1253" s="36">
        <v>1866</v>
      </c>
      <c r="B1253" s="37">
        <v>43678</v>
      </c>
      <c r="C1253" s="37">
        <v>43751.017327917776</v>
      </c>
      <c r="D1253" s="36" t="s">
        <v>195</v>
      </c>
      <c r="E1253" s="36"/>
      <c r="F1253" s="38">
        <v>9800000</v>
      </c>
      <c r="G1253" s="40">
        <f>VLOOKUP(A1253,'DATOS GENERALES'!A:B,2,0)</f>
        <v>1</v>
      </c>
      <c r="H1253" s="36">
        <f t="shared" si="95"/>
        <v>0.99539999999999995</v>
      </c>
      <c r="I1253" s="38">
        <f t="shared" si="96"/>
        <v>9845288.3263009842</v>
      </c>
      <c r="J1253" s="38">
        <f t="shared" si="97"/>
        <v>-45288.326300984249</v>
      </c>
      <c r="K1253" s="38">
        <v>2576878.559367477</v>
      </c>
      <c r="L1253" s="38">
        <f t="shared" si="98"/>
        <v>-2622166.8856684612</v>
      </c>
      <c r="M1253" s="41">
        <f>VLOOKUP(INDICADORES!$B$21,'DATOS GENERALES'!$K:$M,3,0)*F1253</f>
        <v>66699.057654046977</v>
      </c>
      <c r="N1253" s="38">
        <f t="shared" si="99"/>
        <v>-2688865.9433225081</v>
      </c>
      <c r="O1253" s="36"/>
      <c r="P1253" s="36"/>
      <c r="Q1253" s="36"/>
    </row>
    <row r="1254" spans="1:17" x14ac:dyDescent="0.25">
      <c r="A1254" s="36">
        <v>1866</v>
      </c>
      <c r="B1254" s="37">
        <v>43709</v>
      </c>
      <c r="C1254" s="37">
        <v>43814.41256295341</v>
      </c>
      <c r="D1254" s="36" t="s">
        <v>195</v>
      </c>
      <c r="E1254" s="36"/>
      <c r="F1254" s="38">
        <v>9800000</v>
      </c>
      <c r="G1254" s="40">
        <f>VLOOKUP(A1254,'DATOS GENERALES'!A:B,2,0)</f>
        <v>1</v>
      </c>
      <c r="H1254" s="36">
        <f t="shared" si="95"/>
        <v>0.99539999999999995</v>
      </c>
      <c r="I1254" s="38">
        <f t="shared" si="96"/>
        <v>9845288.3263009842</v>
      </c>
      <c r="J1254" s="38">
        <f t="shared" si="97"/>
        <v>-45288.326300984249</v>
      </c>
      <c r="K1254" s="38">
        <v>2912318.6925178552</v>
      </c>
      <c r="L1254" s="38">
        <f t="shared" si="98"/>
        <v>-2957607.0188188395</v>
      </c>
      <c r="M1254" s="41">
        <f>VLOOKUP(INDICADORES!$B$21,'DATOS GENERALES'!$K:$M,3,0)*F1254</f>
        <v>66699.057654046977</v>
      </c>
      <c r="N1254" s="38">
        <f t="shared" si="99"/>
        <v>-3024306.0764728864</v>
      </c>
      <c r="O1254" s="36"/>
      <c r="P1254" s="36"/>
      <c r="Q1254" s="36"/>
    </row>
    <row r="1255" spans="1:17" x14ac:dyDescent="0.25">
      <c r="A1255" s="36">
        <v>1866</v>
      </c>
      <c r="B1255" s="37">
        <v>43739</v>
      </c>
      <c r="C1255" s="37">
        <v>43774.357582887933</v>
      </c>
      <c r="D1255" s="36" t="s">
        <v>195</v>
      </c>
      <c r="E1255" s="36"/>
      <c r="F1255" s="38">
        <v>9800000</v>
      </c>
      <c r="G1255" s="40">
        <f>VLOOKUP(A1255,'DATOS GENERALES'!A:B,2,0)</f>
        <v>1</v>
      </c>
      <c r="H1255" s="36">
        <f t="shared" si="95"/>
        <v>0.99539999999999995</v>
      </c>
      <c r="I1255" s="38">
        <f t="shared" si="96"/>
        <v>9845288.3263009842</v>
      </c>
      <c r="J1255" s="38">
        <f t="shared" si="97"/>
        <v>-45288.326300984249</v>
      </c>
      <c r="K1255" s="38">
        <v>3149371.942275581</v>
      </c>
      <c r="L1255" s="38">
        <f t="shared" si="98"/>
        <v>-3194660.2685765652</v>
      </c>
      <c r="M1255" s="41">
        <f>VLOOKUP(INDICADORES!$B$21,'DATOS GENERALES'!$K:$M,3,0)*F1255</f>
        <v>66699.057654046977</v>
      </c>
      <c r="N1255" s="38">
        <f t="shared" si="99"/>
        <v>-3261359.3262306121</v>
      </c>
      <c r="O1255" s="36"/>
      <c r="P1255" s="36"/>
      <c r="Q1255" s="36"/>
    </row>
    <row r="1256" spans="1:17" x14ac:dyDescent="0.25">
      <c r="A1256" s="36">
        <v>1866</v>
      </c>
      <c r="B1256" s="37">
        <v>43770</v>
      </c>
      <c r="C1256" s="37">
        <v>43831.116398407976</v>
      </c>
      <c r="D1256" s="36" t="s">
        <v>195</v>
      </c>
      <c r="E1256" s="36"/>
      <c r="F1256" s="38">
        <v>9800000</v>
      </c>
      <c r="G1256" s="40">
        <f>VLOOKUP(A1256,'DATOS GENERALES'!A:B,2,0)</f>
        <v>1</v>
      </c>
      <c r="H1256" s="36">
        <f t="shared" si="95"/>
        <v>0.99539999999999995</v>
      </c>
      <c r="I1256" s="38">
        <f t="shared" si="96"/>
        <v>9845288.3263009842</v>
      </c>
      <c r="J1256" s="38">
        <f t="shared" si="97"/>
        <v>-45288.326300984249</v>
      </c>
      <c r="K1256" s="38">
        <v>4212053.0300091868</v>
      </c>
      <c r="L1256" s="38">
        <f t="shared" si="98"/>
        <v>-4257341.3563101711</v>
      </c>
      <c r="M1256" s="41">
        <f>VLOOKUP(INDICADORES!$B$21,'DATOS GENERALES'!$K:$M,3,0)*F1256</f>
        <v>66699.057654046977</v>
      </c>
      <c r="N1256" s="38">
        <f t="shared" si="99"/>
        <v>-4324040.4139642185</v>
      </c>
      <c r="O1256" s="36"/>
      <c r="P1256" s="36"/>
      <c r="Q1256" s="36"/>
    </row>
    <row r="1257" spans="1:17" x14ac:dyDescent="0.25">
      <c r="A1257" s="36">
        <v>1866</v>
      </c>
      <c r="B1257" s="37">
        <v>43800</v>
      </c>
      <c r="C1257" s="37">
        <v>43876.252907545633</v>
      </c>
      <c r="D1257" s="36" t="s">
        <v>195</v>
      </c>
      <c r="E1257" s="36"/>
      <c r="F1257" s="38">
        <v>9800000</v>
      </c>
      <c r="G1257" s="40">
        <f>VLOOKUP(A1257,'DATOS GENERALES'!A:B,2,0)</f>
        <v>1</v>
      </c>
      <c r="H1257" s="36">
        <f t="shared" si="95"/>
        <v>0.99539999999999995</v>
      </c>
      <c r="I1257" s="38">
        <f t="shared" si="96"/>
        <v>9845288.3263009842</v>
      </c>
      <c r="J1257" s="38">
        <f t="shared" si="97"/>
        <v>-45288.326300984249</v>
      </c>
      <c r="K1257" s="38">
        <v>3546495.5543073569</v>
      </c>
      <c r="L1257" s="38">
        <f t="shared" si="98"/>
        <v>-3591783.8806083412</v>
      </c>
      <c r="M1257" s="41">
        <f>VLOOKUP(INDICADORES!$B$21,'DATOS GENERALES'!$K:$M,3,0)*F1257</f>
        <v>66699.057654046977</v>
      </c>
      <c r="N1257" s="38">
        <f t="shared" si="99"/>
        <v>-3658482.9382623881</v>
      </c>
      <c r="O1257" s="36"/>
      <c r="P1257" s="36"/>
      <c r="Q1257" s="36"/>
    </row>
    <row r="1258" spans="1:17" x14ac:dyDescent="0.25">
      <c r="A1258" s="36">
        <v>1866</v>
      </c>
      <c r="B1258" s="37">
        <v>43831</v>
      </c>
      <c r="C1258" s="37">
        <v>43884.311568446763</v>
      </c>
      <c r="D1258" s="36" t="s">
        <v>195</v>
      </c>
      <c r="E1258" s="36"/>
      <c r="F1258" s="38">
        <v>9800000</v>
      </c>
      <c r="G1258" s="40">
        <f>VLOOKUP(A1258,'DATOS GENERALES'!A:B,2,0)</f>
        <v>1</v>
      </c>
      <c r="H1258" s="36">
        <f t="shared" si="95"/>
        <v>0.99539999999999995</v>
      </c>
      <c r="I1258" s="38">
        <f t="shared" si="96"/>
        <v>9845288.3263009842</v>
      </c>
      <c r="J1258" s="38">
        <f t="shared" si="97"/>
        <v>-45288.326300984249</v>
      </c>
      <c r="K1258" s="38" t="s">
        <v>213</v>
      </c>
      <c r="L1258" s="38" t="str">
        <f t="shared" si="98"/>
        <v/>
      </c>
      <c r="M1258" s="41">
        <f>VLOOKUP(INDICADORES!$B$21,'DATOS GENERALES'!$K:$M,3,0)*F1258</f>
        <v>66699.057654046977</v>
      </c>
      <c r="N1258" s="38" t="str">
        <f t="shared" si="99"/>
        <v/>
      </c>
      <c r="O1258" s="36"/>
      <c r="P1258" s="36"/>
      <c r="Q1258" s="36"/>
    </row>
    <row r="1259" spans="1:17" x14ac:dyDescent="0.25">
      <c r="A1259" s="36">
        <v>1866</v>
      </c>
      <c r="B1259" s="37">
        <v>43862</v>
      </c>
      <c r="C1259" s="37">
        <v>43926.477442380528</v>
      </c>
      <c r="D1259" s="36" t="s">
        <v>195</v>
      </c>
      <c r="E1259" s="36"/>
      <c r="F1259" s="38">
        <v>9800000</v>
      </c>
      <c r="G1259" s="40">
        <f>VLOOKUP(A1259,'DATOS GENERALES'!A:B,2,0)</f>
        <v>1</v>
      </c>
      <c r="H1259" s="36">
        <f t="shared" si="95"/>
        <v>0.99539999999999995</v>
      </c>
      <c r="I1259" s="38">
        <f t="shared" si="96"/>
        <v>9845288.3263009842</v>
      </c>
      <c r="J1259" s="38">
        <f t="shared" si="97"/>
        <v>-45288.326300984249</v>
      </c>
      <c r="K1259" s="38" t="s">
        <v>213</v>
      </c>
      <c r="L1259" s="38" t="str">
        <f t="shared" si="98"/>
        <v/>
      </c>
      <c r="M1259" s="41">
        <f>VLOOKUP(INDICADORES!$B$21,'DATOS GENERALES'!$K:$M,3,0)*F1259</f>
        <v>66699.057654046977</v>
      </c>
      <c r="N1259" s="38" t="str">
        <f t="shared" si="99"/>
        <v/>
      </c>
      <c r="O1259" s="36"/>
      <c r="P1259" s="36"/>
      <c r="Q1259" s="36"/>
    </row>
    <row r="1260" spans="1:17" x14ac:dyDescent="0.25">
      <c r="A1260" s="36">
        <v>1866</v>
      </c>
      <c r="B1260" s="37">
        <v>43891</v>
      </c>
      <c r="C1260" s="37">
        <v>43959.478039453403</v>
      </c>
      <c r="D1260" s="36" t="s">
        <v>195</v>
      </c>
      <c r="E1260" s="36"/>
      <c r="F1260" s="38">
        <v>9800000</v>
      </c>
      <c r="G1260" s="40">
        <f>VLOOKUP(A1260,'DATOS GENERALES'!A:B,2,0)</f>
        <v>1</v>
      </c>
      <c r="H1260" s="36">
        <f t="shared" si="95"/>
        <v>0.99539999999999995</v>
      </c>
      <c r="I1260" s="38">
        <f t="shared" si="96"/>
        <v>9845288.3263009842</v>
      </c>
      <c r="J1260" s="38">
        <f t="shared" si="97"/>
        <v>-45288.326300984249</v>
      </c>
      <c r="K1260" s="38" t="s">
        <v>213</v>
      </c>
      <c r="L1260" s="38" t="str">
        <f t="shared" si="98"/>
        <v/>
      </c>
      <c r="M1260" s="41">
        <f>VLOOKUP(INDICADORES!$B$21,'DATOS GENERALES'!$K:$M,3,0)*F1260</f>
        <v>66699.057654046977</v>
      </c>
      <c r="N1260" s="38" t="str">
        <f t="shared" si="99"/>
        <v/>
      </c>
      <c r="O1260" s="36"/>
      <c r="P1260" s="36"/>
      <c r="Q1260" s="36"/>
    </row>
    <row r="1261" spans="1:17" x14ac:dyDescent="0.25">
      <c r="A1261" s="36">
        <v>1848</v>
      </c>
      <c r="B1261" s="37">
        <v>43525</v>
      </c>
      <c r="C1261" s="37">
        <v>43579.227282402811</v>
      </c>
      <c r="D1261" s="36" t="s">
        <v>195</v>
      </c>
      <c r="E1261" s="36"/>
      <c r="F1261" s="38">
        <v>12773052.833333334</v>
      </c>
      <c r="G1261" s="40">
        <f>VLOOKUP(A1261,'DATOS GENERALES'!A:B,2,0)</f>
        <v>2.2999999999999998</v>
      </c>
      <c r="H1261" s="36">
        <f t="shared" si="95"/>
        <v>2.2894199999999998</v>
      </c>
      <c r="I1261" s="38">
        <f t="shared" si="96"/>
        <v>5579165.3926904351</v>
      </c>
      <c r="J1261" s="38">
        <f t="shared" si="97"/>
        <v>7193887.4406428989</v>
      </c>
      <c r="K1261" s="38">
        <v>872511.84860014403</v>
      </c>
      <c r="L1261" s="38">
        <f t="shared" si="98"/>
        <v>6321375.5920427553</v>
      </c>
      <c r="M1261" s="41">
        <f>VLOOKUP(INDICADORES!$B$21,'DATOS GENERALES'!$K:$M,3,0)*F1261</f>
        <v>86933.733402927362</v>
      </c>
      <c r="N1261" s="38">
        <f t="shared" si="99"/>
        <v>6234441.8586398279</v>
      </c>
      <c r="O1261" s="36"/>
      <c r="P1261" s="36"/>
      <c r="Q1261" s="36"/>
    </row>
    <row r="1262" spans="1:17" x14ac:dyDescent="0.25">
      <c r="A1262" s="36">
        <v>1848</v>
      </c>
      <c r="B1262" s="37">
        <v>43556</v>
      </c>
      <c r="C1262" s="37">
        <v>43600.746349055997</v>
      </c>
      <c r="D1262" s="36" t="s">
        <v>195</v>
      </c>
      <c r="E1262" s="36"/>
      <c r="F1262" s="38">
        <v>12773052.833333334</v>
      </c>
      <c r="G1262" s="40">
        <f>VLOOKUP(A1262,'DATOS GENERALES'!A:B,2,0)</f>
        <v>2.2999999999999998</v>
      </c>
      <c r="H1262" s="36">
        <f t="shared" si="95"/>
        <v>2.2894199999999998</v>
      </c>
      <c r="I1262" s="38">
        <f t="shared" si="96"/>
        <v>5579165.3926904351</v>
      </c>
      <c r="J1262" s="38">
        <f t="shared" si="97"/>
        <v>7193887.4406428989</v>
      </c>
      <c r="K1262" s="38">
        <v>897007.93998630915</v>
      </c>
      <c r="L1262" s="38">
        <f t="shared" si="98"/>
        <v>6296879.5006565899</v>
      </c>
      <c r="M1262" s="41">
        <f>VLOOKUP(INDICADORES!$B$21,'DATOS GENERALES'!$K:$M,3,0)*F1262</f>
        <v>86933.733402927362</v>
      </c>
      <c r="N1262" s="38">
        <f t="shared" si="99"/>
        <v>6209945.7672536625</v>
      </c>
      <c r="O1262" s="36"/>
      <c r="P1262" s="36"/>
      <c r="Q1262" s="36"/>
    </row>
    <row r="1263" spans="1:17" x14ac:dyDescent="0.25">
      <c r="A1263" s="36">
        <v>1848</v>
      </c>
      <c r="B1263" s="37">
        <v>43586</v>
      </c>
      <c r="C1263" s="37">
        <v>43663.502114281706</v>
      </c>
      <c r="D1263" s="36" t="s">
        <v>195</v>
      </c>
      <c r="E1263" s="36"/>
      <c r="F1263" s="38">
        <v>12773052.833333334</v>
      </c>
      <c r="G1263" s="40">
        <f>VLOOKUP(A1263,'DATOS GENERALES'!A:B,2,0)</f>
        <v>2.2999999999999998</v>
      </c>
      <c r="H1263" s="36">
        <f t="shared" si="95"/>
        <v>2.2894199999999998</v>
      </c>
      <c r="I1263" s="38">
        <f t="shared" si="96"/>
        <v>5579165.3926904351</v>
      </c>
      <c r="J1263" s="38">
        <f t="shared" si="97"/>
        <v>7193887.4406428989</v>
      </c>
      <c r="K1263" s="38">
        <v>739968.81873563235</v>
      </c>
      <c r="L1263" s="38">
        <f t="shared" si="98"/>
        <v>6453918.6219072668</v>
      </c>
      <c r="M1263" s="41">
        <f>VLOOKUP(INDICADORES!$B$21,'DATOS GENERALES'!$K:$M,3,0)*F1263</f>
        <v>86933.733402927362</v>
      </c>
      <c r="N1263" s="38">
        <f t="shared" si="99"/>
        <v>6366984.8885043394</v>
      </c>
      <c r="O1263" s="36"/>
      <c r="P1263" s="36"/>
      <c r="Q1263" s="36"/>
    </row>
    <row r="1264" spans="1:17" x14ac:dyDescent="0.25">
      <c r="A1264" s="36">
        <v>1848</v>
      </c>
      <c r="B1264" s="37">
        <v>43617</v>
      </c>
      <c r="C1264" s="37">
        <v>43679.77197693674</v>
      </c>
      <c r="D1264" s="36" t="s">
        <v>195</v>
      </c>
      <c r="E1264" s="36"/>
      <c r="F1264" s="38">
        <v>12773052.833333334</v>
      </c>
      <c r="G1264" s="40">
        <f>VLOOKUP(A1264,'DATOS GENERALES'!A:B,2,0)</f>
        <v>2.2999999999999998</v>
      </c>
      <c r="H1264" s="36">
        <f t="shared" si="95"/>
        <v>2.2894199999999998</v>
      </c>
      <c r="I1264" s="38">
        <f t="shared" si="96"/>
        <v>5579165.3926904351</v>
      </c>
      <c r="J1264" s="38">
        <f t="shared" si="97"/>
        <v>7193887.4406428989</v>
      </c>
      <c r="K1264" s="38">
        <v>995084.77199610649</v>
      </c>
      <c r="L1264" s="38">
        <f t="shared" si="98"/>
        <v>6198802.6686467919</v>
      </c>
      <c r="M1264" s="41">
        <f>VLOOKUP(INDICADORES!$B$21,'DATOS GENERALES'!$K:$M,3,0)*F1264</f>
        <v>86933.733402927362</v>
      </c>
      <c r="N1264" s="38">
        <f t="shared" si="99"/>
        <v>6111868.9352438645</v>
      </c>
      <c r="O1264" s="36"/>
      <c r="P1264" s="36"/>
      <c r="Q1264" s="36"/>
    </row>
    <row r="1265" spans="1:17" x14ac:dyDescent="0.25">
      <c r="A1265" s="36">
        <v>1848</v>
      </c>
      <c r="B1265" s="37">
        <v>43647</v>
      </c>
      <c r="C1265" s="37">
        <v>43729.963299926632</v>
      </c>
      <c r="D1265" s="36" t="s">
        <v>195</v>
      </c>
      <c r="E1265" s="36"/>
      <c r="F1265" s="38">
        <v>12773052.833333334</v>
      </c>
      <c r="G1265" s="40">
        <f>VLOOKUP(A1265,'DATOS GENERALES'!A:B,2,0)</f>
        <v>2.2999999999999998</v>
      </c>
      <c r="H1265" s="36">
        <f t="shared" si="95"/>
        <v>2.2894199999999998</v>
      </c>
      <c r="I1265" s="38">
        <f t="shared" si="96"/>
        <v>5579165.3926904351</v>
      </c>
      <c r="J1265" s="38">
        <f t="shared" si="97"/>
        <v>7193887.4406428989</v>
      </c>
      <c r="K1265" s="38">
        <v>1483964.9692902465</v>
      </c>
      <c r="L1265" s="38">
        <f t="shared" si="98"/>
        <v>5709922.4713526526</v>
      </c>
      <c r="M1265" s="41">
        <f>VLOOKUP(INDICADORES!$B$21,'DATOS GENERALES'!$K:$M,3,0)*F1265</f>
        <v>86933.733402927362</v>
      </c>
      <c r="N1265" s="38">
        <f t="shared" si="99"/>
        <v>5622988.7379497252</v>
      </c>
      <c r="O1265" s="36"/>
      <c r="P1265" s="36"/>
      <c r="Q1265" s="36"/>
    </row>
    <row r="1266" spans="1:17" x14ac:dyDescent="0.25">
      <c r="A1266" s="36">
        <v>1848</v>
      </c>
      <c r="B1266" s="37">
        <v>43678</v>
      </c>
      <c r="C1266" s="37">
        <v>43741.447064895758</v>
      </c>
      <c r="D1266" s="36" t="s">
        <v>195</v>
      </c>
      <c r="E1266" s="36"/>
      <c r="F1266" s="38">
        <v>12773052.833333334</v>
      </c>
      <c r="G1266" s="40">
        <f>VLOOKUP(A1266,'DATOS GENERALES'!A:B,2,0)</f>
        <v>2.2999999999999998</v>
      </c>
      <c r="H1266" s="36">
        <f t="shared" si="95"/>
        <v>2.2894199999999998</v>
      </c>
      <c r="I1266" s="38">
        <f t="shared" si="96"/>
        <v>5579165.3926904351</v>
      </c>
      <c r="J1266" s="38">
        <f t="shared" si="97"/>
        <v>7193887.4406428989</v>
      </c>
      <c r="K1266" s="38">
        <v>1460275.3320268269</v>
      </c>
      <c r="L1266" s="38">
        <f t="shared" si="98"/>
        <v>5733612.1086160718</v>
      </c>
      <c r="M1266" s="41">
        <f>VLOOKUP(INDICADORES!$B$21,'DATOS GENERALES'!$K:$M,3,0)*F1266</f>
        <v>86933.733402927362</v>
      </c>
      <c r="N1266" s="38">
        <f t="shared" si="99"/>
        <v>5646678.3752131443</v>
      </c>
      <c r="O1266" s="36"/>
      <c r="P1266" s="36"/>
      <c r="Q1266" s="36"/>
    </row>
    <row r="1267" spans="1:17" x14ac:dyDescent="0.25">
      <c r="A1267" s="36">
        <v>1848</v>
      </c>
      <c r="B1267" s="37">
        <v>43709</v>
      </c>
      <c r="C1267" s="37">
        <v>43786.689898167897</v>
      </c>
      <c r="D1267" s="36" t="s">
        <v>195</v>
      </c>
      <c r="E1267" s="36"/>
      <c r="F1267" s="38">
        <v>12773052.833333334</v>
      </c>
      <c r="G1267" s="40">
        <f>VLOOKUP(A1267,'DATOS GENERALES'!A:B,2,0)</f>
        <v>2.2999999999999998</v>
      </c>
      <c r="H1267" s="36">
        <f t="shared" si="95"/>
        <v>2.2894199999999998</v>
      </c>
      <c r="I1267" s="38">
        <f t="shared" si="96"/>
        <v>5579165.3926904351</v>
      </c>
      <c r="J1267" s="38">
        <f t="shared" si="97"/>
        <v>7193887.4406428989</v>
      </c>
      <c r="K1267" s="38">
        <v>1650363.821075192</v>
      </c>
      <c r="L1267" s="38">
        <f t="shared" si="98"/>
        <v>5543523.6195677072</v>
      </c>
      <c r="M1267" s="41">
        <f>VLOOKUP(INDICADORES!$B$21,'DATOS GENERALES'!$K:$M,3,0)*F1267</f>
        <v>86933.733402927362</v>
      </c>
      <c r="N1267" s="38">
        <f t="shared" si="99"/>
        <v>5456589.8861647798</v>
      </c>
      <c r="O1267" s="36"/>
      <c r="P1267" s="36"/>
      <c r="Q1267" s="36"/>
    </row>
    <row r="1268" spans="1:17" x14ac:dyDescent="0.25">
      <c r="A1268" s="36">
        <v>1848</v>
      </c>
      <c r="B1268" s="37">
        <v>43739</v>
      </c>
      <c r="C1268" s="37">
        <v>43796.587483930824</v>
      </c>
      <c r="D1268" s="36" t="s">
        <v>195</v>
      </c>
      <c r="E1268" s="36"/>
      <c r="F1268" s="38">
        <v>12773052.833333334</v>
      </c>
      <c r="G1268" s="40">
        <f>VLOOKUP(A1268,'DATOS GENERALES'!A:B,2,0)</f>
        <v>2.2999999999999998</v>
      </c>
      <c r="H1268" s="36">
        <f t="shared" si="95"/>
        <v>2.2894199999999998</v>
      </c>
      <c r="I1268" s="38">
        <f t="shared" si="96"/>
        <v>5579165.3926904351</v>
      </c>
      <c r="J1268" s="38">
        <f t="shared" si="97"/>
        <v>7193887.4406428989</v>
      </c>
      <c r="K1268" s="38">
        <v>1784698.0572539316</v>
      </c>
      <c r="L1268" s="38">
        <f t="shared" si="98"/>
        <v>5409189.3833889673</v>
      </c>
      <c r="M1268" s="41">
        <f>VLOOKUP(INDICADORES!$B$21,'DATOS GENERALES'!$K:$M,3,0)*F1268</f>
        <v>86933.733402927362</v>
      </c>
      <c r="N1268" s="38">
        <f t="shared" si="99"/>
        <v>5322255.6499860398</v>
      </c>
      <c r="O1268" s="36"/>
      <c r="P1268" s="36"/>
      <c r="Q1268" s="36"/>
    </row>
    <row r="1269" spans="1:17" x14ac:dyDescent="0.25">
      <c r="A1269" s="36">
        <v>1848</v>
      </c>
      <c r="B1269" s="37">
        <v>43770</v>
      </c>
      <c r="C1269" s="37">
        <v>43818.127958029712</v>
      </c>
      <c r="D1269" s="36" t="s">
        <v>195</v>
      </c>
      <c r="E1269" s="36"/>
      <c r="F1269" s="38">
        <v>12773052.833333334</v>
      </c>
      <c r="G1269" s="40">
        <f>VLOOKUP(A1269,'DATOS GENERALES'!A:B,2,0)</f>
        <v>2.2999999999999998</v>
      </c>
      <c r="H1269" s="36">
        <f t="shared" si="95"/>
        <v>2.2894199999999998</v>
      </c>
      <c r="I1269" s="38">
        <f t="shared" si="96"/>
        <v>5579165.3926904351</v>
      </c>
      <c r="J1269" s="38">
        <f t="shared" si="97"/>
        <v>7193887.4406428989</v>
      </c>
      <c r="K1269" s="38">
        <v>2386902.2133588782</v>
      </c>
      <c r="L1269" s="38">
        <f t="shared" si="98"/>
        <v>4806985.2272840207</v>
      </c>
      <c r="M1269" s="41">
        <f>VLOOKUP(INDICADORES!$B$21,'DATOS GENERALES'!$K:$M,3,0)*F1269</f>
        <v>86933.733402927362</v>
      </c>
      <c r="N1269" s="38">
        <f t="shared" si="99"/>
        <v>4720051.4938810933</v>
      </c>
      <c r="O1269" s="36"/>
      <c r="P1269" s="36"/>
      <c r="Q1269" s="36"/>
    </row>
    <row r="1270" spans="1:17" x14ac:dyDescent="0.25">
      <c r="A1270" s="36">
        <v>1898</v>
      </c>
      <c r="B1270" s="37">
        <v>43556</v>
      </c>
      <c r="C1270" s="37">
        <v>43600.964709903186</v>
      </c>
      <c r="D1270" s="36" t="s">
        <v>195</v>
      </c>
      <c r="E1270" s="36"/>
      <c r="F1270" s="38">
        <v>10000000</v>
      </c>
      <c r="G1270" s="40">
        <f>VLOOKUP(A1270,'DATOS GENERALES'!A:B,2,0)</f>
        <v>1</v>
      </c>
      <c r="H1270" s="36">
        <f t="shared" si="95"/>
        <v>0.99539999999999995</v>
      </c>
      <c r="I1270" s="38">
        <f t="shared" si="96"/>
        <v>10046212.577858148</v>
      </c>
      <c r="J1270" s="38">
        <f t="shared" si="97"/>
        <v>-46212.577858148143</v>
      </c>
      <c r="K1270" s="38">
        <v>1615211.5620977255</v>
      </c>
      <c r="L1270" s="38">
        <f t="shared" si="98"/>
        <v>-1661424.1399558736</v>
      </c>
      <c r="M1270" s="41">
        <f>VLOOKUP(INDICADORES!$B$21,'DATOS GENERALES'!$K:$M,3,0)*F1270</f>
        <v>68060.262912292834</v>
      </c>
      <c r="N1270" s="38">
        <f t="shared" si="99"/>
        <v>-1729484.4028681663</v>
      </c>
      <c r="O1270" s="36"/>
      <c r="P1270" s="36"/>
      <c r="Q1270" s="36"/>
    </row>
    <row r="1271" spans="1:17" x14ac:dyDescent="0.25">
      <c r="A1271" s="36">
        <v>1898</v>
      </c>
      <c r="B1271" s="37">
        <v>43586</v>
      </c>
      <c r="C1271" s="37">
        <v>43632.040575264633</v>
      </c>
      <c r="D1271" s="36" t="s">
        <v>195</v>
      </c>
      <c r="E1271" s="36"/>
      <c r="F1271" s="38">
        <v>10000000</v>
      </c>
      <c r="G1271" s="40">
        <f>VLOOKUP(A1271,'DATOS GENERALES'!A:B,2,0)</f>
        <v>1</v>
      </c>
      <c r="H1271" s="36">
        <f t="shared" si="95"/>
        <v>0.99539999999999995</v>
      </c>
      <c r="I1271" s="38">
        <f t="shared" si="96"/>
        <v>10046212.577858148</v>
      </c>
      <c r="J1271" s="38">
        <f t="shared" si="97"/>
        <v>-46212.577858148143</v>
      </c>
      <c r="K1271" s="38">
        <v>1332436.5798053374</v>
      </c>
      <c r="L1271" s="38">
        <f t="shared" si="98"/>
        <v>-1378649.1576634855</v>
      </c>
      <c r="M1271" s="41">
        <f>VLOOKUP(INDICADORES!$B$21,'DATOS GENERALES'!$K:$M,3,0)*F1271</f>
        <v>68060.262912292834</v>
      </c>
      <c r="N1271" s="38">
        <f t="shared" si="99"/>
        <v>-1446709.4205757782</v>
      </c>
      <c r="O1271" s="36"/>
      <c r="P1271" s="36"/>
      <c r="Q1271" s="36"/>
    </row>
    <row r="1272" spans="1:17" x14ac:dyDescent="0.25">
      <c r="A1272" s="36">
        <v>1898</v>
      </c>
      <c r="B1272" s="37">
        <v>43617</v>
      </c>
      <c r="C1272" s="37">
        <v>43661.481769578619</v>
      </c>
      <c r="D1272" s="36" t="s">
        <v>195</v>
      </c>
      <c r="E1272" s="36"/>
      <c r="F1272" s="38">
        <v>10000000</v>
      </c>
      <c r="G1272" s="40">
        <f>VLOOKUP(A1272,'DATOS GENERALES'!A:B,2,0)</f>
        <v>1</v>
      </c>
      <c r="H1272" s="36">
        <f t="shared" si="95"/>
        <v>0.99539999999999995</v>
      </c>
      <c r="I1272" s="38">
        <f t="shared" si="96"/>
        <v>10046212.577858148</v>
      </c>
      <c r="J1272" s="38">
        <f t="shared" si="97"/>
        <v>-46212.577858148143</v>
      </c>
      <c r="K1272" s="38">
        <v>1791815.1638880933</v>
      </c>
      <c r="L1272" s="38">
        <f t="shared" si="98"/>
        <v>-1838027.7417462415</v>
      </c>
      <c r="M1272" s="41">
        <f>VLOOKUP(INDICADORES!$B$21,'DATOS GENERALES'!$K:$M,3,0)*F1272</f>
        <v>68060.262912292834</v>
      </c>
      <c r="N1272" s="38">
        <f t="shared" si="99"/>
        <v>-1906088.0046585342</v>
      </c>
      <c r="O1272" s="36"/>
      <c r="P1272" s="36"/>
      <c r="Q1272" s="36"/>
    </row>
    <row r="1273" spans="1:17" x14ac:dyDescent="0.25">
      <c r="A1273" s="36">
        <v>1751</v>
      </c>
      <c r="B1273" s="37">
        <v>43525</v>
      </c>
      <c r="C1273" s="37">
        <v>43597.409116720337</v>
      </c>
      <c r="D1273" s="36" t="s">
        <v>195</v>
      </c>
      <c r="E1273" s="36"/>
      <c r="F1273" s="38">
        <v>43506691.09375</v>
      </c>
      <c r="G1273" s="40">
        <f>VLOOKUP(A1273,'DATOS GENERALES'!A:B,2,0)</f>
        <v>2</v>
      </c>
      <c r="H1273" s="36">
        <f t="shared" si="95"/>
        <v>1.9907999999999999</v>
      </c>
      <c r="I1273" s="38">
        <f t="shared" si="96"/>
        <v>21853873.364351016</v>
      </c>
      <c r="J1273" s="38">
        <f t="shared" si="97"/>
        <v>21652817.729398984</v>
      </c>
      <c r="K1273" s="38">
        <v>3417673.0937543199</v>
      </c>
      <c r="L1273" s="38">
        <f t="shared" si="98"/>
        <v>18235144.635644663</v>
      </c>
      <c r="M1273" s="41">
        <f>VLOOKUP(INDICADORES!$B$21,'DATOS GENERALES'!$K:$M,3,0)*F1273</f>
        <v>296107.6834284534</v>
      </c>
      <c r="N1273" s="38">
        <f t="shared" si="99"/>
        <v>17939036.952216208</v>
      </c>
      <c r="O1273" s="36"/>
      <c r="P1273" s="36"/>
      <c r="Q1273" s="36"/>
    </row>
    <row r="1274" spans="1:17" x14ac:dyDescent="0.25">
      <c r="A1274" s="36">
        <v>1751</v>
      </c>
      <c r="B1274" s="37">
        <v>43556</v>
      </c>
      <c r="C1274" s="37">
        <v>43623.442351001569</v>
      </c>
      <c r="D1274" s="36" t="s">
        <v>195</v>
      </c>
      <c r="E1274" s="36"/>
      <c r="F1274" s="38">
        <v>43506691.09375</v>
      </c>
      <c r="G1274" s="40">
        <f>VLOOKUP(A1274,'DATOS GENERALES'!A:B,2,0)</f>
        <v>2</v>
      </c>
      <c r="H1274" s="36">
        <f t="shared" si="95"/>
        <v>1.9907999999999999</v>
      </c>
      <c r="I1274" s="38">
        <f t="shared" si="96"/>
        <v>21853873.364351016</v>
      </c>
      <c r="J1274" s="38">
        <f t="shared" si="97"/>
        <v>21652817.729398984</v>
      </c>
      <c r="K1274" s="38">
        <v>3513625.5241619558</v>
      </c>
      <c r="L1274" s="38">
        <f t="shared" si="98"/>
        <v>18139192.205237027</v>
      </c>
      <c r="M1274" s="41">
        <f>VLOOKUP(INDICADORES!$B$21,'DATOS GENERALES'!$K:$M,3,0)*F1274</f>
        <v>296107.6834284534</v>
      </c>
      <c r="N1274" s="38">
        <f t="shared" si="99"/>
        <v>17843084.521808572</v>
      </c>
      <c r="O1274" s="36"/>
      <c r="P1274" s="36"/>
      <c r="Q1274" s="36"/>
    </row>
    <row r="1275" spans="1:17" x14ac:dyDescent="0.25">
      <c r="A1275" s="36">
        <v>1723</v>
      </c>
      <c r="B1275" s="37">
        <v>43647</v>
      </c>
      <c r="C1275" s="37">
        <v>43678.418852474453</v>
      </c>
      <c r="D1275" s="36" t="s">
        <v>195</v>
      </c>
      <c r="E1275" s="36"/>
      <c r="F1275" s="38">
        <v>125198487.89297774</v>
      </c>
      <c r="G1275" s="40">
        <f>VLOOKUP(A1275,'DATOS GENERALES'!A:B,2,0)</f>
        <v>1.82</v>
      </c>
      <c r="H1275" s="36">
        <f t="shared" si="95"/>
        <v>1.811628</v>
      </c>
      <c r="I1275" s="38">
        <f t="shared" si="96"/>
        <v>69108276.032926038</v>
      </c>
      <c r="J1275" s="38">
        <f t="shared" si="97"/>
        <v>56090211.860051706</v>
      </c>
      <c r="K1275" s="38">
        <v>18381649.136135098</v>
      </c>
      <c r="L1275" s="38">
        <f t="shared" si="98"/>
        <v>37708562.723916605</v>
      </c>
      <c r="M1275" s="41">
        <f>VLOOKUP(INDICADORES!$B$21,'DATOS GENERALES'!$K:$M,3,0)*F1275</f>
        <v>852104.20022175764</v>
      </c>
      <c r="N1275" s="38">
        <f t="shared" si="99"/>
        <v>36856458.523694851</v>
      </c>
      <c r="O1275" s="36"/>
      <c r="P1275" s="36"/>
      <c r="Q1275" s="36"/>
    </row>
    <row r="1276" spans="1:17" x14ac:dyDescent="0.25">
      <c r="A1276" s="36">
        <v>1723</v>
      </c>
      <c r="B1276" s="37">
        <v>43678</v>
      </c>
      <c r="C1276" s="37">
        <v>43725.307784836856</v>
      </c>
      <c r="D1276" s="36" t="s">
        <v>195</v>
      </c>
      <c r="E1276" s="36"/>
      <c r="F1276" s="38">
        <v>125198487.89297774</v>
      </c>
      <c r="G1276" s="40">
        <f>VLOOKUP(A1276,'DATOS GENERALES'!A:B,2,0)</f>
        <v>1.82</v>
      </c>
      <c r="H1276" s="36">
        <f t="shared" si="95"/>
        <v>1.811628</v>
      </c>
      <c r="I1276" s="38">
        <f t="shared" si="96"/>
        <v>69108276.032926038</v>
      </c>
      <c r="J1276" s="38">
        <f t="shared" si="97"/>
        <v>56090211.860051706</v>
      </c>
      <c r="K1276" s="38">
        <v>18088209.190213218</v>
      </c>
      <c r="L1276" s="38">
        <f t="shared" si="98"/>
        <v>38002002.669838488</v>
      </c>
      <c r="M1276" s="41">
        <f>VLOOKUP(INDICADORES!$B$21,'DATOS GENERALES'!$K:$M,3,0)*F1276</f>
        <v>852104.20022175764</v>
      </c>
      <c r="N1276" s="38">
        <f t="shared" si="99"/>
        <v>37149898.469616733</v>
      </c>
      <c r="O1276" s="36"/>
      <c r="P1276" s="36"/>
      <c r="Q1276" s="36"/>
    </row>
    <row r="1277" spans="1:17" x14ac:dyDescent="0.25">
      <c r="A1277" s="36">
        <v>1723</v>
      </c>
      <c r="B1277" s="37">
        <v>43709</v>
      </c>
      <c r="C1277" s="37">
        <v>43795.56721291651</v>
      </c>
      <c r="D1277" s="36" t="s">
        <v>195</v>
      </c>
      <c r="E1277" s="36"/>
      <c r="F1277" s="38">
        <v>125198487.89297774</v>
      </c>
      <c r="G1277" s="40">
        <f>VLOOKUP(A1277,'DATOS GENERALES'!A:B,2,0)</f>
        <v>1.82</v>
      </c>
      <c r="H1277" s="36">
        <f t="shared" si="95"/>
        <v>1.811628</v>
      </c>
      <c r="I1277" s="38">
        <f t="shared" si="96"/>
        <v>69108276.032926038</v>
      </c>
      <c r="J1277" s="38">
        <f t="shared" si="97"/>
        <v>56090211.860051706</v>
      </c>
      <c r="K1277" s="38">
        <v>20442806.490563437</v>
      </c>
      <c r="L1277" s="38">
        <f t="shared" si="98"/>
        <v>35647405.369488269</v>
      </c>
      <c r="M1277" s="41">
        <f>VLOOKUP(INDICADORES!$B$21,'DATOS GENERALES'!$K:$M,3,0)*F1277</f>
        <v>852104.20022175764</v>
      </c>
      <c r="N1277" s="38">
        <f t="shared" si="99"/>
        <v>34795301.169266514</v>
      </c>
      <c r="O1277" s="36"/>
      <c r="P1277" s="36"/>
      <c r="Q1277" s="36"/>
    </row>
    <row r="1278" spans="1:17" x14ac:dyDescent="0.25">
      <c r="A1278" s="36">
        <v>1723</v>
      </c>
      <c r="B1278" s="37">
        <v>43739</v>
      </c>
      <c r="C1278" s="37">
        <v>43816.281084998685</v>
      </c>
      <c r="D1278" s="36" t="s">
        <v>195</v>
      </c>
      <c r="E1278" s="36"/>
      <c r="F1278" s="38">
        <v>37851706.567977756</v>
      </c>
      <c r="G1278" s="40">
        <f>VLOOKUP(A1278,'DATOS GENERALES'!A:B,2,0)</f>
        <v>1.82</v>
      </c>
      <c r="H1278" s="36">
        <f t="shared" si="95"/>
        <v>1.811628</v>
      </c>
      <c r="I1278" s="38">
        <f t="shared" si="96"/>
        <v>20893752.231682088</v>
      </c>
      <c r="J1278" s="38">
        <f t="shared" si="97"/>
        <v>16957954.336295668</v>
      </c>
      <c r="K1278" s="38">
        <v>6683623.157234665</v>
      </c>
      <c r="L1278" s="38">
        <f t="shared" si="98"/>
        <v>10274331.179061003</v>
      </c>
      <c r="M1278" s="41">
        <f>VLOOKUP(INDICADORES!$B$21,'DATOS GENERALES'!$K:$M,3,0)*F1278</f>
        <v>257619.71006955276</v>
      </c>
      <c r="N1278" s="38">
        <f t="shared" si="99"/>
        <v>10016711.468991451</v>
      </c>
      <c r="O1278" s="36"/>
      <c r="P1278" s="36"/>
      <c r="Q1278" s="36"/>
    </row>
    <row r="1279" spans="1:17" x14ac:dyDescent="0.25">
      <c r="A1279" s="36">
        <v>1618</v>
      </c>
      <c r="B1279" s="37">
        <v>43525</v>
      </c>
      <c r="C1279" s="37">
        <v>43581.175651113197</v>
      </c>
      <c r="D1279" s="36" t="s">
        <v>195</v>
      </c>
      <c r="E1279" s="36"/>
      <c r="F1279" s="38">
        <v>13267655.116172869</v>
      </c>
      <c r="G1279" s="40">
        <f>VLOOKUP(A1279,'DATOS GENERALES'!A:B,2,0)</f>
        <v>1.97</v>
      </c>
      <c r="H1279" s="36">
        <f t="shared" si="95"/>
        <v>1.9609379999999998</v>
      </c>
      <c r="I1279" s="38">
        <f t="shared" si="96"/>
        <v>6765973.7922223294</v>
      </c>
      <c r="J1279" s="38">
        <f t="shared" si="97"/>
        <v>6501681.3239505393</v>
      </c>
      <c r="K1279" s="38">
        <v>1058113.872868222</v>
      </c>
      <c r="L1279" s="38">
        <f t="shared" si="98"/>
        <v>5443567.4510823172</v>
      </c>
      <c r="M1279" s="41">
        <f>VLOOKUP(INDICADORES!$B$21,'DATOS GENERALES'!$K:$M,3,0)*F1279</f>
        <v>90300.009543635257</v>
      </c>
      <c r="N1279" s="38">
        <f t="shared" si="99"/>
        <v>5353267.4415386822</v>
      </c>
      <c r="O1279" s="36"/>
      <c r="P1279" s="36"/>
      <c r="Q1279" s="36"/>
    </row>
    <row r="1280" spans="1:17" x14ac:dyDescent="0.25">
      <c r="A1280" s="36">
        <v>1618</v>
      </c>
      <c r="B1280" s="37">
        <v>43556</v>
      </c>
      <c r="C1280" s="37">
        <v>43628.549637204858</v>
      </c>
      <c r="D1280" s="36" t="s">
        <v>195</v>
      </c>
      <c r="E1280" s="36"/>
      <c r="F1280" s="38">
        <v>13267655.116172869</v>
      </c>
      <c r="G1280" s="40">
        <f>VLOOKUP(A1280,'DATOS GENERALES'!A:B,2,0)</f>
        <v>1.97</v>
      </c>
      <c r="H1280" s="36">
        <f t="shared" si="95"/>
        <v>1.9609379999999998</v>
      </c>
      <c r="I1280" s="38">
        <f t="shared" si="96"/>
        <v>6765973.7922223294</v>
      </c>
      <c r="J1280" s="38">
        <f t="shared" si="97"/>
        <v>6501681.3239505393</v>
      </c>
      <c r="K1280" s="38">
        <v>1087820.8094196678</v>
      </c>
      <c r="L1280" s="38">
        <f t="shared" si="98"/>
        <v>5413860.5145308711</v>
      </c>
      <c r="M1280" s="41">
        <f>VLOOKUP(INDICADORES!$B$21,'DATOS GENERALES'!$K:$M,3,0)*F1280</f>
        <v>90300.009543635257</v>
      </c>
      <c r="N1280" s="38">
        <f t="shared" si="99"/>
        <v>5323560.5049872361</v>
      </c>
      <c r="O1280" s="36"/>
      <c r="P1280" s="36"/>
      <c r="Q1280" s="36"/>
    </row>
    <row r="1281" spans="1:17" x14ac:dyDescent="0.25">
      <c r="A1281" s="36">
        <v>1689</v>
      </c>
      <c r="B1281" s="37">
        <v>43800</v>
      </c>
      <c r="C1281" s="37">
        <v>43839.818795475927</v>
      </c>
      <c r="D1281" s="36" t="s">
        <v>195</v>
      </c>
      <c r="E1281" s="36"/>
      <c r="F1281" s="38">
        <v>13258047.600000001</v>
      </c>
      <c r="G1281" s="40">
        <f>VLOOKUP(A1281,'DATOS GENERALES'!A:B,2,0)</f>
        <v>2.11</v>
      </c>
      <c r="H1281" s="36">
        <f t="shared" si="95"/>
        <v>2.1002939999999999</v>
      </c>
      <c r="I1281" s="38">
        <f t="shared" si="96"/>
        <v>6312472.2538844571</v>
      </c>
      <c r="J1281" s="38">
        <f t="shared" si="97"/>
        <v>6945575.3461155444</v>
      </c>
      <c r="K1281" s="38">
        <v>2273895.293171261</v>
      </c>
      <c r="L1281" s="38">
        <f t="shared" si="98"/>
        <v>4671680.0529442839</v>
      </c>
      <c r="M1281" s="41">
        <f>VLOOKUP(INDICADORES!$B$21,'DATOS GENERALES'!$K:$M,3,0)*F1281</f>
        <v>90234.620535969312</v>
      </c>
      <c r="N1281" s="38">
        <f t="shared" si="99"/>
        <v>4581445.4324083142</v>
      </c>
      <c r="O1281" s="36"/>
      <c r="P1281" s="36"/>
      <c r="Q1281" s="36"/>
    </row>
    <row r="1282" spans="1:17" x14ac:dyDescent="0.25">
      <c r="A1282" s="36">
        <v>1715</v>
      </c>
      <c r="B1282" s="37">
        <v>43556</v>
      </c>
      <c r="C1282" s="37">
        <v>43608.089612295698</v>
      </c>
      <c r="D1282" s="36" t="s">
        <v>195</v>
      </c>
      <c r="E1282" s="36"/>
      <c r="F1282" s="38">
        <v>55849596.75</v>
      </c>
      <c r="G1282" s="40">
        <f>VLOOKUP(A1282,'DATOS GENERALES'!A:B,2,0)</f>
        <v>1.93</v>
      </c>
      <c r="H1282" s="36">
        <f t="shared" si="95"/>
        <v>1.9211219999999998</v>
      </c>
      <c r="I1282" s="38">
        <f t="shared" si="96"/>
        <v>29071343.074515834</v>
      </c>
      <c r="J1282" s="38">
        <f t="shared" si="97"/>
        <v>26778253.675484166</v>
      </c>
      <c r="K1282" s="38">
        <v>4674037.0160153136</v>
      </c>
      <c r="L1282" s="38">
        <f t="shared" si="98"/>
        <v>22104216.659468852</v>
      </c>
      <c r="M1282" s="41">
        <f>VLOOKUP(INDICADORES!$B$21,'DATOS GENERALES'!$K:$M,3,0)*F1282</f>
        <v>380113.82383505354</v>
      </c>
      <c r="N1282" s="38">
        <f t="shared" si="99"/>
        <v>21724102.835633799</v>
      </c>
      <c r="O1282" s="36"/>
      <c r="P1282" s="36"/>
      <c r="Q1282" s="36"/>
    </row>
    <row r="1283" spans="1:17" x14ac:dyDescent="0.25">
      <c r="A1283" s="36">
        <v>1751</v>
      </c>
      <c r="B1283" s="37">
        <v>43586</v>
      </c>
      <c r="C1283" s="37">
        <v>43608.279074151767</v>
      </c>
      <c r="D1283" s="36" t="s">
        <v>195</v>
      </c>
      <c r="E1283" s="36"/>
      <c r="F1283" s="38">
        <v>15500000</v>
      </c>
      <c r="G1283" s="40">
        <f>VLOOKUP(A1283,'DATOS GENERALES'!A:B,2,0)</f>
        <v>2</v>
      </c>
      <c r="H1283" s="36">
        <f t="shared" ref="H1283:H1346" si="100">G1283*0.9954</f>
        <v>1.9907999999999999</v>
      </c>
      <c r="I1283" s="38">
        <f t="shared" ref="I1283:I1346" si="101">F1283/H1283</f>
        <v>7785814.7478400646</v>
      </c>
      <c r="J1283" s="38">
        <f t="shared" ref="J1283:J1346" si="102">F1283-I1283</f>
        <v>7714185.2521599354</v>
      </c>
      <c r="K1283" s="38">
        <v>1032638.3493491366</v>
      </c>
      <c r="L1283" s="38">
        <f t="shared" ref="L1283:L1346" si="103">IFERROR(J1283-K1283,"")</f>
        <v>6681546.902810799</v>
      </c>
      <c r="M1283" s="41">
        <f>VLOOKUP(INDICADORES!$B$21,'DATOS GENERALES'!$K:$M,3,0)*F1283</f>
        <v>105493.40751405389</v>
      </c>
      <c r="N1283" s="38">
        <f t="shared" ref="N1283:N1346" si="104">IFERROR(L1283-M1283,"")</f>
        <v>6576053.4952967446</v>
      </c>
      <c r="O1283" s="36"/>
      <c r="P1283" s="36"/>
      <c r="Q1283" s="36"/>
    </row>
    <row r="1284" spans="1:17" x14ac:dyDescent="0.25">
      <c r="A1284" s="36">
        <v>1756</v>
      </c>
      <c r="B1284" s="37">
        <v>43617</v>
      </c>
      <c r="C1284" s="37">
        <v>43725.811333786543</v>
      </c>
      <c r="D1284" s="36" t="s">
        <v>195</v>
      </c>
      <c r="E1284" s="36"/>
      <c r="F1284" s="38">
        <v>62778573</v>
      </c>
      <c r="G1284" s="40">
        <f>VLOOKUP(A1284,'DATOS GENERALES'!A:B,2,0)</f>
        <v>1.72</v>
      </c>
      <c r="H1284" s="36">
        <f t="shared" si="100"/>
        <v>1.7120879999999998</v>
      </c>
      <c r="I1284" s="38">
        <f t="shared" si="101"/>
        <v>36667842.423987553</v>
      </c>
      <c r="J1284" s="38">
        <f t="shared" si="102"/>
        <v>26110730.576012447</v>
      </c>
      <c r="K1284" s="38">
        <v>6539976.6900381185</v>
      </c>
      <c r="L1284" s="38">
        <f t="shared" si="103"/>
        <v>19570753.885974329</v>
      </c>
      <c r="M1284" s="41">
        <f>VLOOKUP(INDICADORES!$B$21,'DATOS GENERALES'!$K:$M,3,0)*F1284</f>
        <v>427272.61836385686</v>
      </c>
      <c r="N1284" s="38">
        <f t="shared" si="104"/>
        <v>19143481.267610472</v>
      </c>
      <c r="O1284" s="36"/>
      <c r="P1284" s="36"/>
      <c r="Q1284" s="36"/>
    </row>
    <row r="1285" spans="1:17" x14ac:dyDescent="0.25">
      <c r="A1285" s="36">
        <v>1756</v>
      </c>
      <c r="B1285" s="37">
        <v>43647</v>
      </c>
      <c r="C1285" s="37">
        <v>43700.355107400079</v>
      </c>
      <c r="D1285" s="36" t="s">
        <v>195</v>
      </c>
      <c r="E1285" s="36"/>
      <c r="F1285" s="38">
        <v>62778573</v>
      </c>
      <c r="G1285" s="40">
        <f>VLOOKUP(A1285,'DATOS GENERALES'!A:B,2,0)</f>
        <v>1.72</v>
      </c>
      <c r="H1285" s="36">
        <f t="shared" si="100"/>
        <v>1.7120879999999998</v>
      </c>
      <c r="I1285" s="38">
        <f t="shared" si="101"/>
        <v>36667842.423987553</v>
      </c>
      <c r="J1285" s="38">
        <f t="shared" si="102"/>
        <v>26110730.576012447</v>
      </c>
      <c r="K1285" s="38">
        <v>9753034.6972582545</v>
      </c>
      <c r="L1285" s="38">
        <f t="shared" si="103"/>
        <v>16357695.878754193</v>
      </c>
      <c r="M1285" s="41">
        <f>VLOOKUP(INDICADORES!$B$21,'DATOS GENERALES'!$K:$M,3,0)*F1285</f>
        <v>427272.61836385686</v>
      </c>
      <c r="N1285" s="38">
        <f t="shared" si="104"/>
        <v>15930423.260390336</v>
      </c>
      <c r="O1285" s="36"/>
      <c r="P1285" s="36"/>
      <c r="Q1285" s="36"/>
    </row>
    <row r="1286" spans="1:17" x14ac:dyDescent="0.25">
      <c r="A1286" s="36">
        <v>1756</v>
      </c>
      <c r="B1286" s="37">
        <v>43678</v>
      </c>
      <c r="C1286" s="37">
        <v>43703.594396316454</v>
      </c>
      <c r="D1286" s="36" t="s">
        <v>195</v>
      </c>
      <c r="E1286" s="36"/>
      <c r="F1286" s="38">
        <v>62778573</v>
      </c>
      <c r="G1286" s="40">
        <f>VLOOKUP(A1286,'DATOS GENERALES'!A:B,2,0)</f>
        <v>1.72</v>
      </c>
      <c r="H1286" s="36">
        <f t="shared" si="100"/>
        <v>1.7120879999999998</v>
      </c>
      <c r="I1286" s="38">
        <f t="shared" si="101"/>
        <v>36667842.423987553</v>
      </c>
      <c r="J1286" s="38">
        <f t="shared" si="102"/>
        <v>26110730.576012447</v>
      </c>
      <c r="K1286" s="38">
        <v>9597339.7455734443</v>
      </c>
      <c r="L1286" s="38">
        <f t="shared" si="103"/>
        <v>16513390.830439003</v>
      </c>
      <c r="M1286" s="41">
        <f>VLOOKUP(INDICADORES!$B$21,'DATOS GENERALES'!$K:$M,3,0)*F1286</f>
        <v>427272.61836385686</v>
      </c>
      <c r="N1286" s="38">
        <f t="shared" si="104"/>
        <v>16086118.212075146</v>
      </c>
      <c r="O1286" s="36"/>
      <c r="P1286" s="36"/>
      <c r="Q1286" s="36"/>
    </row>
    <row r="1287" spans="1:17" x14ac:dyDescent="0.25">
      <c r="A1287" s="36">
        <v>1756</v>
      </c>
      <c r="B1287" s="37">
        <v>43709</v>
      </c>
      <c r="C1287" s="37">
        <v>43784.075263041894</v>
      </c>
      <c r="D1287" s="36" t="s">
        <v>195</v>
      </c>
      <c r="E1287" s="36"/>
      <c r="F1287" s="38">
        <v>62778573</v>
      </c>
      <c r="G1287" s="40">
        <f>VLOOKUP(A1287,'DATOS GENERALES'!A:B,2,0)</f>
        <v>1.72</v>
      </c>
      <c r="H1287" s="36">
        <f t="shared" si="100"/>
        <v>1.7120879999999998</v>
      </c>
      <c r="I1287" s="38">
        <f t="shared" si="101"/>
        <v>36667842.423987553</v>
      </c>
      <c r="J1287" s="38">
        <f t="shared" si="102"/>
        <v>26110730.576012447</v>
      </c>
      <c r="K1287" s="38">
        <v>10846654.70084817</v>
      </c>
      <c r="L1287" s="38">
        <f t="shared" si="103"/>
        <v>15264075.875164278</v>
      </c>
      <c r="M1287" s="41">
        <f>VLOOKUP(INDICADORES!$B$21,'DATOS GENERALES'!$K:$M,3,0)*F1287</f>
        <v>427272.61836385686</v>
      </c>
      <c r="N1287" s="38">
        <f t="shared" si="104"/>
        <v>14836803.256800421</v>
      </c>
      <c r="O1287" s="36"/>
      <c r="P1287" s="36"/>
      <c r="Q1287" s="36"/>
    </row>
    <row r="1288" spans="1:17" x14ac:dyDescent="0.25">
      <c r="A1288" s="36">
        <v>1804</v>
      </c>
      <c r="B1288" s="37">
        <v>43497</v>
      </c>
      <c r="C1288" s="37">
        <v>43582.609199897881</v>
      </c>
      <c r="D1288" s="36" t="s">
        <v>195</v>
      </c>
      <c r="E1288" s="36"/>
      <c r="F1288" s="38">
        <v>29813870</v>
      </c>
      <c r="G1288" s="40">
        <f>VLOOKUP(A1288,'DATOS GENERALES'!A:B,2,0)</f>
        <v>2.27</v>
      </c>
      <c r="H1288" s="36">
        <f t="shared" si="100"/>
        <v>2.2595579999999997</v>
      </c>
      <c r="I1288" s="38">
        <f t="shared" si="101"/>
        <v>13194558.404785363</v>
      </c>
      <c r="J1288" s="38">
        <f t="shared" si="102"/>
        <v>16619311.595214637</v>
      </c>
      <c r="K1288" s="38">
        <v>2852107.3426548219</v>
      </c>
      <c r="L1288" s="38">
        <f t="shared" si="103"/>
        <v>13767204.252559815</v>
      </c>
      <c r="M1288" s="41">
        <f>VLOOKUP(INDICADORES!$B$21,'DATOS GENERALES'!$K:$M,3,0)*F1288</f>
        <v>202913.98306329199</v>
      </c>
      <c r="N1288" s="38">
        <f t="shared" si="104"/>
        <v>13564290.269496523</v>
      </c>
      <c r="O1288" s="36"/>
      <c r="P1288" s="36"/>
      <c r="Q1288" s="36"/>
    </row>
    <row r="1289" spans="1:17" x14ac:dyDescent="0.25">
      <c r="A1289" s="36">
        <v>1804</v>
      </c>
      <c r="B1289" s="37">
        <v>43525</v>
      </c>
      <c r="C1289" s="37">
        <v>43601.446006294238</v>
      </c>
      <c r="D1289" s="36" t="s">
        <v>195</v>
      </c>
      <c r="E1289" s="36"/>
      <c r="F1289" s="38">
        <v>29813870</v>
      </c>
      <c r="G1289" s="40">
        <f>VLOOKUP(A1289,'DATOS GENERALES'!A:B,2,0)</f>
        <v>2.27</v>
      </c>
      <c r="H1289" s="36">
        <f t="shared" si="100"/>
        <v>2.2595579999999997</v>
      </c>
      <c r="I1289" s="38">
        <f t="shared" si="101"/>
        <v>13194558.404785363</v>
      </c>
      <c r="J1289" s="38">
        <f t="shared" si="102"/>
        <v>16619311.595214637</v>
      </c>
      <c r="K1289" s="38">
        <v>2063464.288100308</v>
      </c>
      <c r="L1289" s="38">
        <f t="shared" si="103"/>
        <v>14555847.307114329</v>
      </c>
      <c r="M1289" s="41">
        <f>VLOOKUP(INDICADORES!$B$21,'DATOS GENERALES'!$K:$M,3,0)*F1289</f>
        <v>202913.98306329199</v>
      </c>
      <c r="N1289" s="38">
        <f t="shared" si="104"/>
        <v>14352933.324051037</v>
      </c>
      <c r="O1289" s="36"/>
      <c r="P1289" s="36"/>
      <c r="Q1289" s="36"/>
    </row>
    <row r="1290" spans="1:17" x14ac:dyDescent="0.25">
      <c r="A1290" s="36">
        <v>1813</v>
      </c>
      <c r="B1290" s="37">
        <v>43586</v>
      </c>
      <c r="C1290" s="37">
        <v>43621.869820151478</v>
      </c>
      <c r="D1290" s="36" t="s">
        <v>195</v>
      </c>
      <c r="E1290" s="36"/>
      <c r="F1290" s="38">
        <v>126579869.80723679</v>
      </c>
      <c r="G1290" s="40">
        <f>VLOOKUP(A1290,'DATOS GENERALES'!A:B,2,0)</f>
        <v>2.5499999999999998</v>
      </c>
      <c r="H1290" s="36">
        <f t="shared" si="100"/>
        <v>2.5382699999999998</v>
      </c>
      <c r="I1290" s="38">
        <f t="shared" si="101"/>
        <v>49868560.006318003</v>
      </c>
      <c r="J1290" s="38">
        <f t="shared" si="102"/>
        <v>76711309.800918788</v>
      </c>
      <c r="K1290" s="38">
        <v>6614103.8744376274</v>
      </c>
      <c r="L1290" s="38">
        <f t="shared" si="103"/>
        <v>70097205.926481158</v>
      </c>
      <c r="M1290" s="41">
        <f>VLOOKUP(INDICADORES!$B$21,'DATOS GENERALES'!$K:$M,3,0)*F1290</f>
        <v>861505.92184843333</v>
      </c>
      <c r="N1290" s="38">
        <f t="shared" si="104"/>
        <v>69235700.004632726</v>
      </c>
      <c r="O1290" s="36"/>
      <c r="P1290" s="36"/>
      <c r="Q1290" s="36"/>
    </row>
    <row r="1291" spans="1:17" x14ac:dyDescent="0.25">
      <c r="A1291" s="36">
        <v>1700</v>
      </c>
      <c r="B1291" s="37">
        <v>43617</v>
      </c>
      <c r="C1291" s="37">
        <v>43725.239574756139</v>
      </c>
      <c r="D1291" s="36" t="s">
        <v>195</v>
      </c>
      <c r="E1291" s="36"/>
      <c r="F1291" s="38">
        <v>161433687</v>
      </c>
      <c r="G1291" s="40">
        <f>VLOOKUP(A1291,'DATOS GENERALES'!A:B,2,0)</f>
        <v>0.75</v>
      </c>
      <c r="H1291" s="36">
        <f t="shared" si="100"/>
        <v>0.74654999999999994</v>
      </c>
      <c r="I1291" s="38">
        <f t="shared" si="101"/>
        <v>216239618.24392205</v>
      </c>
      <c r="J1291" s="38">
        <f t="shared" si="102"/>
        <v>-54805931.243922055</v>
      </c>
      <c r="K1291" s="38">
        <v>38567910.443861894</v>
      </c>
      <c r="L1291" s="38">
        <f t="shared" si="103"/>
        <v>-93373841.687783957</v>
      </c>
      <c r="M1291" s="41">
        <f>VLOOKUP(INDICADORES!$B$21,'DATOS GENERALES'!$K:$M,3,0)*F1291</f>
        <v>1098721.9180120791</v>
      </c>
      <c r="N1291" s="38">
        <f t="shared" si="104"/>
        <v>-94472563.605796039</v>
      </c>
      <c r="O1291" s="36"/>
      <c r="P1291" s="36"/>
      <c r="Q1291" s="36"/>
    </row>
    <row r="1292" spans="1:17" x14ac:dyDescent="0.25">
      <c r="A1292" s="36">
        <v>1700</v>
      </c>
      <c r="B1292" s="37">
        <v>43556</v>
      </c>
      <c r="C1292" s="37">
        <v>43621.043115171837</v>
      </c>
      <c r="D1292" s="36" t="s">
        <v>195</v>
      </c>
      <c r="E1292" s="36"/>
      <c r="F1292" s="38">
        <v>113931505</v>
      </c>
      <c r="G1292" s="40">
        <f>VLOOKUP(A1292,'DATOS GENERALES'!A:B,2,0)</f>
        <v>0.75</v>
      </c>
      <c r="H1292" s="36">
        <f t="shared" si="100"/>
        <v>0.74654999999999994</v>
      </c>
      <c r="I1292" s="38">
        <f t="shared" si="101"/>
        <v>152610682.47270781</v>
      </c>
      <c r="J1292" s="38">
        <f t="shared" si="102"/>
        <v>-38679177.472707808</v>
      </c>
      <c r="K1292" s="38">
        <v>24536464.55509264</v>
      </c>
      <c r="L1292" s="38">
        <f t="shared" si="103"/>
        <v>-63215642.027800448</v>
      </c>
      <c r="M1292" s="41">
        <f>VLOOKUP(INDICADORES!$B$21,'DATOS GENERALES'!$K:$M,3,0)*F1292</f>
        <v>775420.81842932058</v>
      </c>
      <c r="N1292" s="38">
        <f t="shared" si="104"/>
        <v>-63991062.846229769</v>
      </c>
      <c r="O1292" s="36"/>
      <c r="P1292" s="36"/>
      <c r="Q1292" s="36"/>
    </row>
    <row r="1293" spans="1:17" x14ac:dyDescent="0.25">
      <c r="A1293" s="36">
        <v>1700</v>
      </c>
      <c r="B1293" s="37">
        <v>43586</v>
      </c>
      <c r="C1293" s="37">
        <v>43637.607727715942</v>
      </c>
      <c r="D1293" s="36" t="s">
        <v>195</v>
      </c>
      <c r="E1293" s="36"/>
      <c r="F1293" s="38">
        <v>886635143.78999996</v>
      </c>
      <c r="G1293" s="40">
        <f>VLOOKUP(A1293,'DATOS GENERALES'!A:B,2,0)</f>
        <v>0.75</v>
      </c>
      <c r="H1293" s="36">
        <f t="shared" si="100"/>
        <v>0.74654999999999994</v>
      </c>
      <c r="I1293" s="38">
        <f t="shared" si="101"/>
        <v>1187643351.135222</v>
      </c>
      <c r="J1293" s="38">
        <f t="shared" si="102"/>
        <v>-301008207.345222</v>
      </c>
      <c r="K1293" s="38">
        <v>157518013.13690147</v>
      </c>
      <c r="L1293" s="38">
        <f t="shared" si="103"/>
        <v>-458526220.48212349</v>
      </c>
      <c r="M1293" s="41">
        <f>VLOOKUP(INDICADORES!$B$21,'DATOS GENERALES'!$K:$M,3,0)*F1293</f>
        <v>6034462.0993625959</v>
      </c>
      <c r="N1293" s="38">
        <f t="shared" si="104"/>
        <v>-464560682.58148611</v>
      </c>
      <c r="O1293" s="36"/>
      <c r="P1293" s="36"/>
      <c r="Q1293" s="36"/>
    </row>
    <row r="1294" spans="1:17" x14ac:dyDescent="0.25">
      <c r="A1294" s="36">
        <v>1670</v>
      </c>
      <c r="B1294" s="37">
        <v>43466</v>
      </c>
      <c r="C1294" s="37">
        <v>43501.279339614914</v>
      </c>
      <c r="D1294" s="36" t="s">
        <v>195</v>
      </c>
      <c r="E1294" s="36"/>
      <c r="F1294" s="38">
        <v>57276497</v>
      </c>
      <c r="G1294" s="40">
        <f>VLOOKUP(A1294,'DATOS GENERALES'!A:B,2,0)</f>
        <v>2.36</v>
      </c>
      <c r="H1294" s="36">
        <f t="shared" si="100"/>
        <v>2.3491439999999999</v>
      </c>
      <c r="I1294" s="38">
        <f t="shared" si="101"/>
        <v>24381858.668519258</v>
      </c>
      <c r="J1294" s="38">
        <f t="shared" si="102"/>
        <v>32894638.331480742</v>
      </c>
      <c r="K1294" s="38">
        <v>5349827.0714372685</v>
      </c>
      <c r="L1294" s="38">
        <f t="shared" si="103"/>
        <v>27544811.260043472</v>
      </c>
      <c r="M1294" s="41">
        <f>VLOOKUP(INDICADORES!$B$21,'DATOS GENERALES'!$K:$M,3,0)*F1294</f>
        <v>389825.34445151518</v>
      </c>
      <c r="N1294" s="38">
        <f t="shared" si="104"/>
        <v>27154985.915591955</v>
      </c>
      <c r="O1294" s="36"/>
      <c r="P1294" s="36"/>
      <c r="Q1294" s="36"/>
    </row>
    <row r="1295" spans="1:17" x14ac:dyDescent="0.25">
      <c r="A1295" s="36">
        <v>1670</v>
      </c>
      <c r="B1295" s="37">
        <v>43497</v>
      </c>
      <c r="C1295" s="37">
        <v>43596.175872218439</v>
      </c>
      <c r="D1295" s="36" t="s">
        <v>195</v>
      </c>
      <c r="E1295" s="36"/>
      <c r="F1295" s="38">
        <v>57276497</v>
      </c>
      <c r="G1295" s="40">
        <f>VLOOKUP(A1295,'DATOS GENERALES'!A:B,2,0)</f>
        <v>2.36</v>
      </c>
      <c r="H1295" s="36">
        <f t="shared" si="100"/>
        <v>2.3491439999999999</v>
      </c>
      <c r="I1295" s="38">
        <f t="shared" si="101"/>
        <v>24381858.668519258</v>
      </c>
      <c r="J1295" s="38">
        <f t="shared" si="102"/>
        <v>32894638.331480742</v>
      </c>
      <c r="K1295" s="38">
        <v>5270330.08629038</v>
      </c>
      <c r="L1295" s="38">
        <f t="shared" si="103"/>
        <v>27624308.24519036</v>
      </c>
      <c r="M1295" s="41">
        <f>VLOOKUP(INDICADORES!$B$21,'DATOS GENERALES'!$K:$M,3,0)*F1295</f>
        <v>389825.34445151518</v>
      </c>
      <c r="N1295" s="38">
        <f t="shared" si="104"/>
        <v>27234482.900738843</v>
      </c>
      <c r="O1295" s="36"/>
      <c r="P1295" s="36"/>
      <c r="Q1295" s="36"/>
    </row>
    <row r="1296" spans="1:17" x14ac:dyDescent="0.25">
      <c r="A1296" s="36">
        <v>1670</v>
      </c>
      <c r="B1296" s="37">
        <v>43525</v>
      </c>
      <c r="C1296" s="37">
        <v>43580.620390873999</v>
      </c>
      <c r="D1296" s="36" t="s">
        <v>195</v>
      </c>
      <c r="E1296" s="36"/>
      <c r="F1296" s="38">
        <v>57276497</v>
      </c>
      <c r="G1296" s="40">
        <f>VLOOKUP(A1296,'DATOS GENERALES'!A:B,2,0)</f>
        <v>2.36</v>
      </c>
      <c r="H1296" s="36">
        <f t="shared" si="100"/>
        <v>2.3491439999999999</v>
      </c>
      <c r="I1296" s="38">
        <f t="shared" si="101"/>
        <v>24381858.668519258</v>
      </c>
      <c r="J1296" s="38">
        <f t="shared" si="102"/>
        <v>32894638.331480742</v>
      </c>
      <c r="K1296" s="38">
        <v>3813018.4502235213</v>
      </c>
      <c r="L1296" s="38">
        <f t="shared" si="103"/>
        <v>29081619.881257221</v>
      </c>
      <c r="M1296" s="41">
        <f>VLOOKUP(INDICADORES!$B$21,'DATOS GENERALES'!$K:$M,3,0)*F1296</f>
        <v>389825.34445151518</v>
      </c>
      <c r="N1296" s="38">
        <f t="shared" si="104"/>
        <v>28691794.536805704</v>
      </c>
      <c r="O1296" s="36"/>
      <c r="P1296" s="36"/>
      <c r="Q1296" s="36"/>
    </row>
    <row r="1297" spans="1:17" x14ac:dyDescent="0.25">
      <c r="A1297" s="36">
        <v>1670</v>
      </c>
      <c r="B1297" s="37">
        <v>43556</v>
      </c>
      <c r="C1297" s="37">
        <v>43644.394156598697</v>
      </c>
      <c r="D1297" s="36" t="s">
        <v>195</v>
      </c>
      <c r="E1297" s="36"/>
      <c r="F1297" s="38">
        <v>57276497</v>
      </c>
      <c r="G1297" s="40">
        <f>VLOOKUP(A1297,'DATOS GENERALES'!A:B,2,0)</f>
        <v>2.36</v>
      </c>
      <c r="H1297" s="36">
        <f t="shared" si="100"/>
        <v>2.3491439999999999</v>
      </c>
      <c r="I1297" s="38">
        <f t="shared" si="101"/>
        <v>24381858.668519258</v>
      </c>
      <c r="J1297" s="38">
        <f t="shared" si="102"/>
        <v>32894638.331480742</v>
      </c>
      <c r="K1297" s="38">
        <v>3920070.3470701561</v>
      </c>
      <c r="L1297" s="38">
        <f t="shared" si="103"/>
        <v>28974567.984410584</v>
      </c>
      <c r="M1297" s="41">
        <f>VLOOKUP(INDICADORES!$B$21,'DATOS GENERALES'!$K:$M,3,0)*F1297</f>
        <v>389825.34445151518</v>
      </c>
      <c r="N1297" s="38">
        <f t="shared" si="104"/>
        <v>28584742.639959067</v>
      </c>
      <c r="O1297" s="36"/>
      <c r="P1297" s="36"/>
      <c r="Q1297" s="36"/>
    </row>
    <row r="1298" spans="1:17" x14ac:dyDescent="0.25">
      <c r="A1298" s="36">
        <v>1670</v>
      </c>
      <c r="B1298" s="37">
        <v>43586</v>
      </c>
      <c r="C1298" s="37">
        <v>43679.902990464048</v>
      </c>
      <c r="D1298" s="36" t="s">
        <v>195</v>
      </c>
      <c r="E1298" s="36"/>
      <c r="F1298" s="38">
        <v>57276497</v>
      </c>
      <c r="G1298" s="40">
        <f>VLOOKUP(A1298,'DATOS GENERALES'!A:B,2,0)</f>
        <v>2.36</v>
      </c>
      <c r="H1298" s="36">
        <f t="shared" si="100"/>
        <v>2.3491439999999999</v>
      </c>
      <c r="I1298" s="38">
        <f t="shared" si="101"/>
        <v>24381858.668519258</v>
      </c>
      <c r="J1298" s="38">
        <f t="shared" si="102"/>
        <v>32894638.331480742</v>
      </c>
      <c r="K1298" s="38">
        <v>3233783.8883860451</v>
      </c>
      <c r="L1298" s="38">
        <f t="shared" si="103"/>
        <v>29660854.443094697</v>
      </c>
      <c r="M1298" s="41">
        <f>VLOOKUP(INDICADORES!$B$21,'DATOS GENERALES'!$K:$M,3,0)*F1298</f>
        <v>389825.34445151518</v>
      </c>
      <c r="N1298" s="38">
        <f t="shared" si="104"/>
        <v>29271029.09864318</v>
      </c>
      <c r="O1298" s="36"/>
      <c r="P1298" s="36"/>
      <c r="Q1298" s="36"/>
    </row>
    <row r="1299" spans="1:17" x14ac:dyDescent="0.25">
      <c r="A1299" s="36">
        <v>1670</v>
      </c>
      <c r="B1299" s="37">
        <v>43617</v>
      </c>
      <c r="C1299" s="37">
        <v>43652.00384037102</v>
      </c>
      <c r="D1299" s="36" t="s">
        <v>195</v>
      </c>
      <c r="E1299" s="36"/>
      <c r="F1299" s="38">
        <v>57276497</v>
      </c>
      <c r="G1299" s="40">
        <f>VLOOKUP(A1299,'DATOS GENERALES'!A:B,2,0)</f>
        <v>2.36</v>
      </c>
      <c r="H1299" s="36">
        <f t="shared" si="100"/>
        <v>2.3491439999999999</v>
      </c>
      <c r="I1299" s="38">
        <f t="shared" si="101"/>
        <v>24381858.668519258</v>
      </c>
      <c r="J1299" s="38">
        <f t="shared" si="102"/>
        <v>32894638.331480742</v>
      </c>
      <c r="K1299" s="38">
        <v>4348682.0279233437</v>
      </c>
      <c r="L1299" s="38">
        <f t="shared" si="103"/>
        <v>28545956.303557396</v>
      </c>
      <c r="M1299" s="41">
        <f>VLOOKUP(INDICADORES!$B$21,'DATOS GENERALES'!$K:$M,3,0)*F1299</f>
        <v>389825.34445151518</v>
      </c>
      <c r="N1299" s="38">
        <f t="shared" si="104"/>
        <v>28156130.959105879</v>
      </c>
      <c r="O1299" s="36"/>
      <c r="P1299" s="36"/>
      <c r="Q1299" s="36"/>
    </row>
    <row r="1300" spans="1:17" x14ac:dyDescent="0.25">
      <c r="A1300" s="36">
        <v>1670</v>
      </c>
      <c r="B1300" s="37">
        <v>43647</v>
      </c>
      <c r="C1300" s="37">
        <v>43686.830907731579</v>
      </c>
      <c r="D1300" s="36" t="s">
        <v>195</v>
      </c>
      <c r="E1300" s="36"/>
      <c r="F1300" s="38">
        <v>57276497</v>
      </c>
      <c r="G1300" s="40">
        <f>VLOOKUP(A1300,'DATOS GENERALES'!A:B,2,0)</f>
        <v>2.36</v>
      </c>
      <c r="H1300" s="36">
        <f t="shared" si="100"/>
        <v>2.3491439999999999</v>
      </c>
      <c r="I1300" s="38">
        <f t="shared" si="101"/>
        <v>24381858.668519258</v>
      </c>
      <c r="J1300" s="38">
        <f t="shared" si="102"/>
        <v>32894638.331480742</v>
      </c>
      <c r="K1300" s="38">
        <v>6485167.8707485646</v>
      </c>
      <c r="L1300" s="38">
        <f t="shared" si="103"/>
        <v>26409470.460732177</v>
      </c>
      <c r="M1300" s="41">
        <f>VLOOKUP(INDICADORES!$B$21,'DATOS GENERALES'!$K:$M,3,0)*F1300</f>
        <v>389825.34445151518</v>
      </c>
      <c r="N1300" s="38">
        <f t="shared" si="104"/>
        <v>26019645.11628066</v>
      </c>
      <c r="O1300" s="36"/>
      <c r="P1300" s="36"/>
      <c r="Q1300" s="36"/>
    </row>
    <row r="1301" spans="1:17" x14ac:dyDescent="0.25">
      <c r="A1301" s="36">
        <v>1670</v>
      </c>
      <c r="B1301" s="37">
        <v>43678</v>
      </c>
      <c r="C1301" s="37">
        <v>43753.832288026235</v>
      </c>
      <c r="D1301" s="36" t="s">
        <v>195</v>
      </c>
      <c r="E1301" s="36"/>
      <c r="F1301" s="38">
        <v>57276497</v>
      </c>
      <c r="G1301" s="40">
        <f>VLOOKUP(A1301,'DATOS GENERALES'!A:B,2,0)</f>
        <v>2.36</v>
      </c>
      <c r="H1301" s="36">
        <f t="shared" si="100"/>
        <v>2.3491439999999999</v>
      </c>
      <c r="I1301" s="38">
        <f t="shared" si="101"/>
        <v>24381858.668519258</v>
      </c>
      <c r="J1301" s="38">
        <f t="shared" si="102"/>
        <v>32894638.331480742</v>
      </c>
      <c r="K1301" s="38">
        <v>6381640.3093642183</v>
      </c>
      <c r="L1301" s="38">
        <f t="shared" si="103"/>
        <v>26512998.022116523</v>
      </c>
      <c r="M1301" s="41">
        <f>VLOOKUP(INDICADORES!$B$21,'DATOS GENERALES'!$K:$M,3,0)*F1301</f>
        <v>389825.34445151518</v>
      </c>
      <c r="N1301" s="38">
        <f t="shared" si="104"/>
        <v>26123172.677665006</v>
      </c>
      <c r="O1301" s="36"/>
      <c r="P1301" s="36"/>
      <c r="Q1301" s="36"/>
    </row>
    <row r="1302" spans="1:17" x14ac:dyDescent="0.25">
      <c r="A1302" s="36">
        <v>1670</v>
      </c>
      <c r="B1302" s="37">
        <v>43709</v>
      </c>
      <c r="C1302" s="37">
        <v>43730.613094694207</v>
      </c>
      <c r="D1302" s="36" t="s">
        <v>195</v>
      </c>
      <c r="E1302" s="36"/>
      <c r="F1302" s="38">
        <v>57276497</v>
      </c>
      <c r="G1302" s="40">
        <f>VLOOKUP(A1302,'DATOS GENERALES'!A:B,2,0)</f>
        <v>2.36</v>
      </c>
      <c r="H1302" s="36">
        <f t="shared" si="100"/>
        <v>2.3491439999999999</v>
      </c>
      <c r="I1302" s="38">
        <f t="shared" si="101"/>
        <v>24381858.668519258</v>
      </c>
      <c r="J1302" s="38">
        <f t="shared" si="102"/>
        <v>32894638.331480742</v>
      </c>
      <c r="K1302" s="38">
        <v>7212357.8716293182</v>
      </c>
      <c r="L1302" s="38">
        <f t="shared" si="103"/>
        <v>25682280.459851421</v>
      </c>
      <c r="M1302" s="41">
        <f>VLOOKUP(INDICADORES!$B$21,'DATOS GENERALES'!$K:$M,3,0)*F1302</f>
        <v>389825.34445151518</v>
      </c>
      <c r="N1302" s="38">
        <f t="shared" si="104"/>
        <v>25292455.115399905</v>
      </c>
      <c r="O1302" s="36"/>
      <c r="P1302" s="36"/>
      <c r="Q1302" s="36"/>
    </row>
    <row r="1303" spans="1:17" x14ac:dyDescent="0.25">
      <c r="A1303" s="36">
        <v>1670</v>
      </c>
      <c r="B1303" s="37">
        <v>43739</v>
      </c>
      <c r="C1303" s="37">
        <v>43760.079784463938</v>
      </c>
      <c r="D1303" s="36" t="s">
        <v>195</v>
      </c>
      <c r="E1303" s="36"/>
      <c r="F1303" s="38">
        <v>57276497</v>
      </c>
      <c r="G1303" s="40">
        <f>VLOOKUP(A1303,'DATOS GENERALES'!A:B,2,0)</f>
        <v>2.36</v>
      </c>
      <c r="H1303" s="36">
        <f t="shared" si="100"/>
        <v>2.3491439999999999</v>
      </c>
      <c r="I1303" s="38">
        <f t="shared" si="101"/>
        <v>24381858.668519258</v>
      </c>
      <c r="J1303" s="38">
        <f t="shared" si="102"/>
        <v>32894638.331480742</v>
      </c>
      <c r="K1303" s="38">
        <v>7799420.2959024347</v>
      </c>
      <c r="L1303" s="38">
        <f t="shared" si="103"/>
        <v>25095218.035578307</v>
      </c>
      <c r="M1303" s="41">
        <f>VLOOKUP(INDICADORES!$B$21,'DATOS GENERALES'!$K:$M,3,0)*F1303</f>
        <v>389825.34445151518</v>
      </c>
      <c r="N1303" s="38">
        <f t="shared" si="104"/>
        <v>24705392.69112679</v>
      </c>
      <c r="O1303" s="36"/>
      <c r="P1303" s="36"/>
      <c r="Q1303" s="36"/>
    </row>
    <row r="1304" spans="1:17" x14ac:dyDescent="0.25">
      <c r="A1304" s="36">
        <v>1670</v>
      </c>
      <c r="B1304" s="37">
        <v>43770</v>
      </c>
      <c r="C1304" s="37">
        <v>43854.027963660104</v>
      </c>
      <c r="D1304" s="36" t="s">
        <v>195</v>
      </c>
      <c r="E1304" s="36"/>
      <c r="F1304" s="38">
        <v>57276497</v>
      </c>
      <c r="G1304" s="40">
        <f>VLOOKUP(A1304,'DATOS GENERALES'!A:B,2,0)</f>
        <v>2.36</v>
      </c>
      <c r="H1304" s="36">
        <f t="shared" si="100"/>
        <v>2.3491439999999999</v>
      </c>
      <c r="I1304" s="38">
        <f t="shared" si="101"/>
        <v>24381858.668519258</v>
      </c>
      <c r="J1304" s="38">
        <f t="shared" si="102"/>
        <v>32894638.331480742</v>
      </c>
      <c r="K1304" s="38">
        <v>10431150.23941379</v>
      </c>
      <c r="L1304" s="38">
        <f t="shared" si="103"/>
        <v>22463488.092066951</v>
      </c>
      <c r="M1304" s="41">
        <f>VLOOKUP(INDICADORES!$B$21,'DATOS GENERALES'!$K:$M,3,0)*F1304</f>
        <v>389825.34445151518</v>
      </c>
      <c r="N1304" s="38">
        <f t="shared" si="104"/>
        <v>22073662.747615434</v>
      </c>
      <c r="O1304" s="36"/>
      <c r="P1304" s="36"/>
      <c r="Q1304" s="36"/>
    </row>
    <row r="1305" spans="1:17" x14ac:dyDescent="0.25">
      <c r="A1305" s="36">
        <v>1670</v>
      </c>
      <c r="B1305" s="37">
        <v>43800</v>
      </c>
      <c r="C1305" s="37">
        <v>43848.193235301034</v>
      </c>
      <c r="D1305" s="36" t="s">
        <v>195</v>
      </c>
      <c r="E1305" s="36"/>
      <c r="F1305" s="38">
        <v>57276497</v>
      </c>
      <c r="G1305" s="40">
        <f>VLOOKUP(A1305,'DATOS GENERALES'!A:B,2,0)</f>
        <v>2.36</v>
      </c>
      <c r="H1305" s="36">
        <f t="shared" si="100"/>
        <v>2.3491439999999999</v>
      </c>
      <c r="I1305" s="38">
        <f t="shared" si="101"/>
        <v>24381858.668519258</v>
      </c>
      <c r="J1305" s="38">
        <f t="shared" si="102"/>
        <v>32894638.331480742</v>
      </c>
      <c r="K1305" s="38">
        <v>8782897.0069525559</v>
      </c>
      <c r="L1305" s="38">
        <f t="shared" si="103"/>
        <v>24111741.324528188</v>
      </c>
      <c r="M1305" s="41">
        <f>VLOOKUP(INDICADORES!$B$21,'DATOS GENERALES'!$K:$M,3,0)*F1305</f>
        <v>389825.34445151518</v>
      </c>
      <c r="N1305" s="38">
        <f t="shared" si="104"/>
        <v>23721915.980076671</v>
      </c>
      <c r="O1305" s="36"/>
      <c r="P1305" s="36"/>
      <c r="Q1305" s="36"/>
    </row>
    <row r="1306" spans="1:17" x14ac:dyDescent="0.25">
      <c r="A1306" s="36">
        <v>1837</v>
      </c>
      <c r="B1306" s="37">
        <v>43525</v>
      </c>
      <c r="C1306" s="37">
        <v>43598.62442187644</v>
      </c>
      <c r="D1306" s="36" t="s">
        <v>195</v>
      </c>
      <c r="E1306" s="36"/>
      <c r="F1306" s="38">
        <v>24433339.875</v>
      </c>
      <c r="G1306" s="40">
        <f>VLOOKUP(A1306,'DATOS GENERALES'!A:B,2,0)</f>
        <v>1.98</v>
      </c>
      <c r="H1306" s="36">
        <f t="shared" si="100"/>
        <v>1.9708919999999999</v>
      </c>
      <c r="I1306" s="38">
        <f t="shared" si="101"/>
        <v>12397097.291480204</v>
      </c>
      <c r="J1306" s="38">
        <f t="shared" si="102"/>
        <v>12036242.583519796</v>
      </c>
      <c r="K1306" s="38">
        <v>1938751.3209837195</v>
      </c>
      <c r="L1306" s="38">
        <f t="shared" si="103"/>
        <v>10097491.262536077</v>
      </c>
      <c r="M1306" s="41">
        <f>VLOOKUP(INDICADORES!$B$21,'DATOS GENERALES'!$K:$M,3,0)*F1306</f>
        <v>166293.95357179083</v>
      </c>
      <c r="N1306" s="38">
        <f t="shared" si="104"/>
        <v>9931197.308964286</v>
      </c>
      <c r="O1306" s="36"/>
      <c r="P1306" s="36"/>
      <c r="Q1306" s="36"/>
    </row>
    <row r="1307" spans="1:17" x14ac:dyDescent="0.25">
      <c r="A1307" s="36">
        <v>1837</v>
      </c>
      <c r="B1307" s="37">
        <v>43556</v>
      </c>
      <c r="C1307" s="37">
        <v>43600.076023038455</v>
      </c>
      <c r="D1307" s="36" t="s">
        <v>195</v>
      </c>
      <c r="E1307" s="36"/>
      <c r="F1307" s="38">
        <v>23469243</v>
      </c>
      <c r="G1307" s="40">
        <f>VLOOKUP(A1307,'DATOS GENERALES'!A:B,2,0)</f>
        <v>1.98</v>
      </c>
      <c r="H1307" s="36">
        <f t="shared" si="100"/>
        <v>1.9708919999999999</v>
      </c>
      <c r="I1307" s="38">
        <f t="shared" si="101"/>
        <v>11907929.506030772</v>
      </c>
      <c r="J1307" s="38">
        <f t="shared" si="102"/>
        <v>11561313.493969228</v>
      </c>
      <c r="K1307" s="38">
        <v>1914534.9821859144</v>
      </c>
      <c r="L1307" s="38">
        <f t="shared" si="103"/>
        <v>9646778.511783313</v>
      </c>
      <c r="M1307" s="41">
        <f>VLOOKUP(INDICADORES!$B$21,'DATOS GENERALES'!$K:$M,3,0)*F1307</f>
        <v>159732.28489324881</v>
      </c>
      <c r="N1307" s="38">
        <f t="shared" si="104"/>
        <v>9487046.2268900648</v>
      </c>
      <c r="O1307" s="36"/>
      <c r="P1307" s="36"/>
      <c r="Q1307" s="36"/>
    </row>
    <row r="1308" spans="1:17" x14ac:dyDescent="0.25">
      <c r="A1308" s="36">
        <v>1837</v>
      </c>
      <c r="B1308" s="37">
        <v>43586</v>
      </c>
      <c r="C1308" s="37">
        <v>43645.635277938469</v>
      </c>
      <c r="D1308" s="36" t="s">
        <v>195</v>
      </c>
      <c r="E1308" s="36"/>
      <c r="F1308" s="38">
        <v>23469243</v>
      </c>
      <c r="G1308" s="40">
        <f>VLOOKUP(A1308,'DATOS GENERALES'!A:B,2,0)</f>
        <v>1.98</v>
      </c>
      <c r="H1308" s="36">
        <f t="shared" si="100"/>
        <v>1.9708919999999999</v>
      </c>
      <c r="I1308" s="38">
        <f t="shared" si="101"/>
        <v>11907929.506030772</v>
      </c>
      <c r="J1308" s="38">
        <f t="shared" si="102"/>
        <v>11561313.493969228</v>
      </c>
      <c r="K1308" s="38">
        <v>1579357.468360624</v>
      </c>
      <c r="L1308" s="38">
        <f t="shared" si="103"/>
        <v>9981956.0256086048</v>
      </c>
      <c r="M1308" s="41">
        <f>VLOOKUP(INDICADORES!$B$21,'DATOS GENERALES'!$K:$M,3,0)*F1308</f>
        <v>159732.28489324881</v>
      </c>
      <c r="N1308" s="38">
        <f t="shared" si="104"/>
        <v>9822223.7407153565</v>
      </c>
      <c r="O1308" s="36"/>
      <c r="P1308" s="36"/>
      <c r="Q1308" s="36"/>
    </row>
    <row r="1309" spans="1:17" x14ac:dyDescent="0.25">
      <c r="A1309" s="36">
        <v>1837</v>
      </c>
      <c r="B1309" s="37">
        <v>43617</v>
      </c>
      <c r="C1309" s="37">
        <v>43696.374109794393</v>
      </c>
      <c r="D1309" s="36" t="s">
        <v>195</v>
      </c>
      <c r="E1309" s="36"/>
      <c r="F1309" s="38">
        <v>23469243</v>
      </c>
      <c r="G1309" s="40">
        <f>VLOOKUP(A1309,'DATOS GENERALES'!A:B,2,0)</f>
        <v>1.98</v>
      </c>
      <c r="H1309" s="36">
        <f t="shared" si="100"/>
        <v>1.9708919999999999</v>
      </c>
      <c r="I1309" s="38">
        <f t="shared" si="101"/>
        <v>11907929.506030772</v>
      </c>
      <c r="J1309" s="38">
        <f t="shared" si="102"/>
        <v>11561313.493969228</v>
      </c>
      <c r="K1309" s="38">
        <v>2123865.9339583074</v>
      </c>
      <c r="L1309" s="38">
        <f t="shared" si="103"/>
        <v>9437447.5600109212</v>
      </c>
      <c r="M1309" s="41">
        <f>VLOOKUP(INDICADORES!$B$21,'DATOS GENERALES'!$K:$M,3,0)*F1309</f>
        <v>159732.28489324881</v>
      </c>
      <c r="N1309" s="38">
        <f t="shared" si="104"/>
        <v>9277715.275117673</v>
      </c>
      <c r="O1309" s="36"/>
      <c r="P1309" s="36"/>
      <c r="Q1309" s="36"/>
    </row>
    <row r="1310" spans="1:17" x14ac:dyDescent="0.25">
      <c r="A1310" s="36">
        <v>1706</v>
      </c>
      <c r="B1310" s="37">
        <v>43617</v>
      </c>
      <c r="C1310" s="37">
        <v>43697.049016554934</v>
      </c>
      <c r="D1310" s="36" t="s">
        <v>195</v>
      </c>
      <c r="E1310" s="36"/>
      <c r="F1310" s="38">
        <v>283865048.44304019</v>
      </c>
      <c r="G1310" s="40">
        <f>VLOOKUP(A1310,'DATOS GENERALES'!A:B,2,0)</f>
        <v>0.65</v>
      </c>
      <c r="H1310" s="36">
        <f t="shared" si="100"/>
        <v>0.64700999999999997</v>
      </c>
      <c r="I1310" s="38">
        <f t="shared" si="101"/>
        <v>438733633.85888964</v>
      </c>
      <c r="J1310" s="38">
        <f t="shared" si="102"/>
        <v>-154868585.41584945</v>
      </c>
      <c r="K1310" s="38">
        <v>78251338.19970271</v>
      </c>
      <c r="L1310" s="38">
        <f t="shared" si="103"/>
        <v>-233119923.61555216</v>
      </c>
      <c r="M1310" s="41">
        <f>VLOOKUP(INDICADORES!$B$21,'DATOS GENERALES'!$K:$M,3,0)*F1310</f>
        <v>1931992.9828644057</v>
      </c>
      <c r="N1310" s="38">
        <f t="shared" si="104"/>
        <v>-235051916.59841657</v>
      </c>
      <c r="O1310" s="36"/>
      <c r="P1310" s="36"/>
      <c r="Q1310" s="36"/>
    </row>
    <row r="1311" spans="1:17" x14ac:dyDescent="0.25">
      <c r="A1311" s="36">
        <v>1706</v>
      </c>
      <c r="B1311" s="37">
        <v>43647</v>
      </c>
      <c r="C1311" s="37">
        <v>43681.777073761208</v>
      </c>
      <c r="D1311" s="36" t="s">
        <v>195</v>
      </c>
      <c r="E1311" s="36"/>
      <c r="F1311" s="38">
        <v>142959743.37775993</v>
      </c>
      <c r="G1311" s="40">
        <f>VLOOKUP(A1311,'DATOS GENERALES'!A:B,2,0)</f>
        <v>0.65</v>
      </c>
      <c r="H1311" s="36">
        <f t="shared" si="100"/>
        <v>0.64700999999999997</v>
      </c>
      <c r="I1311" s="38">
        <f t="shared" si="101"/>
        <v>220954457.23831153</v>
      </c>
      <c r="J1311" s="38">
        <f t="shared" si="102"/>
        <v>-77994713.860551596</v>
      </c>
      <c r="K1311" s="38">
        <v>58770201.503575906</v>
      </c>
      <c r="L1311" s="38">
        <f t="shared" si="103"/>
        <v>-136764915.36412752</v>
      </c>
      <c r="M1311" s="41">
        <f>VLOOKUP(INDICADORES!$B$21,'DATOS GENERALES'!$K:$M,3,0)*F1311</f>
        <v>972987.77201642562</v>
      </c>
      <c r="N1311" s="38">
        <f t="shared" si="104"/>
        <v>-137737903.13614395</v>
      </c>
      <c r="O1311" s="36"/>
      <c r="P1311" s="36"/>
      <c r="Q1311" s="36"/>
    </row>
    <row r="1312" spans="1:17" x14ac:dyDescent="0.25">
      <c r="A1312" s="36">
        <v>1706</v>
      </c>
      <c r="B1312" s="37">
        <v>43678</v>
      </c>
      <c r="C1312" s="37">
        <v>43758.408276942813</v>
      </c>
      <c r="D1312" s="36" t="s">
        <v>195</v>
      </c>
      <c r="E1312" s="36"/>
      <c r="F1312" s="38">
        <v>194610256.35320002</v>
      </c>
      <c r="G1312" s="40">
        <f>VLOOKUP(A1312,'DATOS GENERALES'!A:B,2,0)</f>
        <v>0.65</v>
      </c>
      <c r="H1312" s="36">
        <f t="shared" si="100"/>
        <v>0.64700999999999997</v>
      </c>
      <c r="I1312" s="38">
        <f t="shared" si="101"/>
        <v>300784000.79318714</v>
      </c>
      <c r="J1312" s="38">
        <f t="shared" si="102"/>
        <v>-106173744.43998712</v>
      </c>
      <c r="K1312" s="38">
        <v>78726373.160057992</v>
      </c>
      <c r="L1312" s="38">
        <f t="shared" si="103"/>
        <v>-184900117.60004511</v>
      </c>
      <c r="M1312" s="41">
        <f>VLOOKUP(INDICADORES!$B$21,'DATOS GENERALES'!$K:$M,3,0)*F1312</f>
        <v>1324522.5212827499</v>
      </c>
      <c r="N1312" s="38">
        <f t="shared" si="104"/>
        <v>-186224640.12132788</v>
      </c>
      <c r="O1312" s="36"/>
      <c r="P1312" s="36"/>
      <c r="Q1312" s="36"/>
    </row>
    <row r="1313" spans="1:17" x14ac:dyDescent="0.25">
      <c r="A1313" s="36">
        <v>1706</v>
      </c>
      <c r="B1313" s="37">
        <v>43709</v>
      </c>
      <c r="C1313" s="37">
        <v>43730.094806008434</v>
      </c>
      <c r="D1313" s="36" t="s">
        <v>195</v>
      </c>
      <c r="E1313" s="36"/>
      <c r="F1313" s="38">
        <v>184627166.86367989</v>
      </c>
      <c r="G1313" s="40">
        <f>VLOOKUP(A1313,'DATOS GENERALES'!A:B,2,0)</f>
        <v>0.65</v>
      </c>
      <c r="H1313" s="36">
        <f t="shared" si="100"/>
        <v>0.64700999999999997</v>
      </c>
      <c r="I1313" s="38">
        <f t="shared" si="101"/>
        <v>285354425.53234088</v>
      </c>
      <c r="J1313" s="38">
        <f t="shared" si="102"/>
        <v>-100727258.668661</v>
      </c>
      <c r="K1313" s="38">
        <v>84410227.504506767</v>
      </c>
      <c r="L1313" s="38">
        <f t="shared" si="103"/>
        <v>-185137486.17316777</v>
      </c>
      <c r="M1313" s="41">
        <f>VLOOKUP(INDICADORES!$B$21,'DATOS GENERALES'!$K:$M,3,0)*F1313</f>
        <v>1256577.3517493813</v>
      </c>
      <c r="N1313" s="38">
        <f t="shared" si="104"/>
        <v>-186394063.52491716</v>
      </c>
      <c r="O1313" s="36"/>
      <c r="P1313" s="36"/>
      <c r="Q1313" s="36"/>
    </row>
    <row r="1314" spans="1:17" x14ac:dyDescent="0.25">
      <c r="A1314" s="36">
        <v>1706</v>
      </c>
      <c r="B1314" s="37">
        <v>43739</v>
      </c>
      <c r="C1314" s="37">
        <v>43804.557017259998</v>
      </c>
      <c r="D1314" s="36" t="s">
        <v>195</v>
      </c>
      <c r="E1314" s="36"/>
      <c r="F1314" s="38">
        <v>192950650.32607999</v>
      </c>
      <c r="G1314" s="40">
        <f>VLOOKUP(A1314,'DATOS GENERALES'!A:B,2,0)</f>
        <v>0.65</v>
      </c>
      <c r="H1314" s="36">
        <f t="shared" si="100"/>
        <v>0.64700999999999997</v>
      </c>
      <c r="I1314" s="38">
        <f t="shared" si="101"/>
        <v>298218961.57104218</v>
      </c>
      <c r="J1314" s="38">
        <f t="shared" si="102"/>
        <v>-105268311.24496219</v>
      </c>
      <c r="K1314" s="38">
        <v>95396132.55585292</v>
      </c>
      <c r="L1314" s="38">
        <f t="shared" si="103"/>
        <v>-200664443.80081511</v>
      </c>
      <c r="M1314" s="41">
        <f>VLOOKUP(INDICADORES!$B$21,'DATOS GENERALES'!$K:$M,3,0)*F1314</f>
        <v>1313227.1990290885</v>
      </c>
      <c r="N1314" s="38">
        <f t="shared" si="104"/>
        <v>-201977670.99984419</v>
      </c>
      <c r="O1314" s="36"/>
      <c r="P1314" s="36"/>
      <c r="Q1314" s="36"/>
    </row>
    <row r="1315" spans="1:17" x14ac:dyDescent="0.25">
      <c r="A1315" s="36">
        <v>1706</v>
      </c>
      <c r="B1315" s="37">
        <v>43770</v>
      </c>
      <c r="C1315" s="37">
        <v>43814.716354857133</v>
      </c>
      <c r="D1315" s="36" t="s">
        <v>195</v>
      </c>
      <c r="E1315" s="36"/>
      <c r="F1315" s="38">
        <v>167475190.21959996</v>
      </c>
      <c r="G1315" s="40">
        <f>VLOOKUP(A1315,'DATOS GENERALES'!A:B,2,0)</f>
        <v>0.65</v>
      </c>
      <c r="H1315" s="36">
        <f t="shared" si="100"/>
        <v>0.64700999999999997</v>
      </c>
      <c r="I1315" s="38">
        <f t="shared" si="101"/>
        <v>258844824.99435863</v>
      </c>
      <c r="J1315" s="38">
        <f t="shared" si="102"/>
        <v>-91369634.774758667</v>
      </c>
      <c r="K1315" s="38">
        <v>110740091.43105668</v>
      </c>
      <c r="L1315" s="38">
        <f t="shared" si="103"/>
        <v>-202109726.20581535</v>
      </c>
      <c r="M1315" s="41">
        <f>VLOOKUP(INDICADORES!$B$21,'DATOS GENERALES'!$K:$M,3,0)*F1315</f>
        <v>1139840.5477632226</v>
      </c>
      <c r="N1315" s="38">
        <f t="shared" si="104"/>
        <v>-203249566.75357857</v>
      </c>
      <c r="O1315" s="36"/>
      <c r="P1315" s="36"/>
      <c r="Q1315" s="36"/>
    </row>
    <row r="1316" spans="1:17" x14ac:dyDescent="0.25">
      <c r="A1316" s="36">
        <v>1706</v>
      </c>
      <c r="B1316" s="37">
        <v>43800</v>
      </c>
      <c r="C1316" s="37">
        <v>43850.252263496375</v>
      </c>
      <c r="D1316" s="36" t="s">
        <v>195</v>
      </c>
      <c r="E1316" s="36"/>
      <c r="F1316" s="38">
        <v>205289550.99032</v>
      </c>
      <c r="G1316" s="40">
        <f>VLOOKUP(A1316,'DATOS GENERALES'!A:B,2,0)</f>
        <v>0.65</v>
      </c>
      <c r="H1316" s="36">
        <f t="shared" si="100"/>
        <v>0.64700999999999997</v>
      </c>
      <c r="I1316" s="38">
        <f t="shared" si="101"/>
        <v>317289610.65566218</v>
      </c>
      <c r="J1316" s="38">
        <f t="shared" si="102"/>
        <v>-112000059.66534218</v>
      </c>
      <c r="K1316" s="38">
        <v>114294894.80893616</v>
      </c>
      <c r="L1316" s="38">
        <f t="shared" si="103"/>
        <v>-226294954.47427833</v>
      </c>
      <c r="M1316" s="41">
        <f>VLOOKUP(INDICADORES!$B$21,'DATOS GENERALES'!$K:$M,3,0)*F1316</f>
        <v>1397206.0813547724</v>
      </c>
      <c r="N1316" s="38">
        <f t="shared" si="104"/>
        <v>-227692160.5556331</v>
      </c>
      <c r="O1316" s="36"/>
      <c r="P1316" s="36"/>
      <c r="Q1316" s="36"/>
    </row>
    <row r="1317" spans="1:17" x14ac:dyDescent="0.25">
      <c r="A1317" s="36">
        <v>1706</v>
      </c>
      <c r="B1317" s="37">
        <v>43466</v>
      </c>
      <c r="C1317" s="37">
        <v>43549.811672030548</v>
      </c>
      <c r="D1317" s="36" t="s">
        <v>195</v>
      </c>
      <c r="E1317" s="36"/>
      <c r="F1317" s="38">
        <v>13105734.300000001</v>
      </c>
      <c r="G1317" s="40">
        <f>VLOOKUP(A1317,'DATOS GENERALES'!A:B,2,0)</f>
        <v>0.65</v>
      </c>
      <c r="H1317" s="36">
        <f t="shared" si="100"/>
        <v>0.64700999999999997</v>
      </c>
      <c r="I1317" s="38">
        <f t="shared" si="101"/>
        <v>20255845.041034918</v>
      </c>
      <c r="J1317" s="38">
        <f t="shared" si="102"/>
        <v>-7150110.7410349175</v>
      </c>
      <c r="K1317" s="38">
        <v>4444503.9908004729</v>
      </c>
      <c r="L1317" s="38">
        <f t="shared" si="103"/>
        <v>-11594614.731835391</v>
      </c>
      <c r="M1317" s="41">
        <f>VLOOKUP(INDICADORES!$B$21,'DATOS GENERALES'!$K:$M,3,0)*F1317</f>
        <v>89197.972211665416</v>
      </c>
      <c r="N1317" s="38">
        <f t="shared" si="104"/>
        <v>-11683812.704047056</v>
      </c>
      <c r="O1317" s="36"/>
      <c r="P1317" s="36"/>
      <c r="Q1317" s="36"/>
    </row>
    <row r="1318" spans="1:17" x14ac:dyDescent="0.25">
      <c r="A1318" s="36">
        <v>1706</v>
      </c>
      <c r="B1318" s="37">
        <v>43497</v>
      </c>
      <c r="C1318" s="37">
        <v>43532.7724486679</v>
      </c>
      <c r="D1318" s="36" t="s">
        <v>195</v>
      </c>
      <c r="E1318" s="36"/>
      <c r="F1318" s="38">
        <v>39691874.539999999</v>
      </c>
      <c r="G1318" s="40">
        <f>VLOOKUP(A1318,'DATOS GENERALES'!A:B,2,0)</f>
        <v>0.65</v>
      </c>
      <c r="H1318" s="36">
        <f t="shared" si="100"/>
        <v>0.64700999999999997</v>
      </c>
      <c r="I1318" s="38">
        <f t="shared" si="101"/>
        <v>61346616.806540862</v>
      </c>
      <c r="J1318" s="38">
        <f t="shared" si="102"/>
        <v>-21654742.266540863</v>
      </c>
      <c r="K1318" s="38">
        <v>13260552.636419445</v>
      </c>
      <c r="L1318" s="38">
        <f t="shared" si="103"/>
        <v>-34915294.902960308</v>
      </c>
      <c r="M1318" s="41">
        <f>VLOOKUP(INDICADORES!$B$21,'DATOS GENERALES'!$K:$M,3,0)*F1318</f>
        <v>270143.94166741421</v>
      </c>
      <c r="N1318" s="38">
        <f t="shared" si="104"/>
        <v>-35185438.844627723</v>
      </c>
      <c r="O1318" s="36"/>
      <c r="P1318" s="36"/>
      <c r="Q1318" s="36"/>
    </row>
    <row r="1319" spans="1:17" x14ac:dyDescent="0.25">
      <c r="A1319" s="36">
        <v>1706</v>
      </c>
      <c r="B1319" s="37">
        <v>43525</v>
      </c>
      <c r="C1319" s="37">
        <v>43535.553633914693</v>
      </c>
      <c r="D1319" s="36" t="s">
        <v>195</v>
      </c>
      <c r="E1319" s="36"/>
      <c r="F1319" s="38">
        <v>466647576.91000003</v>
      </c>
      <c r="G1319" s="40">
        <f>VLOOKUP(A1319,'DATOS GENERALES'!A:B,2,0)</f>
        <v>0.65</v>
      </c>
      <c r="H1319" s="36">
        <f t="shared" si="100"/>
        <v>0.64700999999999997</v>
      </c>
      <c r="I1319" s="38">
        <f t="shared" si="101"/>
        <v>721237039.47388768</v>
      </c>
      <c r="J1319" s="38">
        <f t="shared" si="102"/>
        <v>-254589462.56388766</v>
      </c>
      <c r="K1319" s="38">
        <v>112792473.12057118</v>
      </c>
      <c r="L1319" s="38">
        <f t="shared" si="103"/>
        <v>-367381935.68445885</v>
      </c>
      <c r="M1319" s="41">
        <f>VLOOKUP(INDICADORES!$B$21,'DATOS GENERALES'!$K:$M,3,0)*F1319</f>
        <v>3176015.6771878991</v>
      </c>
      <c r="N1319" s="38">
        <f t="shared" si="104"/>
        <v>-370557951.36164677</v>
      </c>
      <c r="O1319" s="36"/>
      <c r="P1319" s="36"/>
      <c r="Q1319" s="36"/>
    </row>
    <row r="1320" spans="1:17" x14ac:dyDescent="0.25">
      <c r="A1320" s="36">
        <v>1706</v>
      </c>
      <c r="B1320" s="37">
        <v>43556</v>
      </c>
      <c r="C1320" s="37">
        <v>43622.04663128309</v>
      </c>
      <c r="D1320" s="36" t="s">
        <v>195</v>
      </c>
      <c r="E1320" s="36"/>
      <c r="F1320" s="38">
        <v>277757983.00000006</v>
      </c>
      <c r="G1320" s="40">
        <f>VLOOKUP(A1320,'DATOS GENERALES'!A:B,2,0)</f>
        <v>0.65</v>
      </c>
      <c r="H1320" s="36">
        <f t="shared" si="100"/>
        <v>0.64700999999999997</v>
      </c>
      <c r="I1320" s="38">
        <f t="shared" si="101"/>
        <v>429294729.60232466</v>
      </c>
      <c r="J1320" s="38">
        <f t="shared" si="102"/>
        <v>-151536746.6023246</v>
      </c>
      <c r="K1320" s="38">
        <v>69021216.247160539</v>
      </c>
      <c r="L1320" s="38">
        <f t="shared" si="103"/>
        <v>-220557962.84948516</v>
      </c>
      <c r="M1320" s="41">
        <f>VLOOKUP(INDICADORES!$B$21,'DATOS GENERALES'!$K:$M,3,0)*F1320</f>
        <v>1890428.1348968167</v>
      </c>
      <c r="N1320" s="38">
        <f t="shared" si="104"/>
        <v>-222448390.98438197</v>
      </c>
      <c r="O1320" s="36"/>
      <c r="P1320" s="36"/>
      <c r="Q1320" s="36"/>
    </row>
    <row r="1321" spans="1:17" x14ac:dyDescent="0.25">
      <c r="A1321" s="36">
        <v>1706</v>
      </c>
      <c r="B1321" s="37">
        <v>43586</v>
      </c>
      <c r="C1321" s="37">
        <v>43637.007579923113</v>
      </c>
      <c r="D1321" s="36" t="s">
        <v>195</v>
      </c>
      <c r="E1321" s="36"/>
      <c r="F1321" s="38">
        <v>193325410.73000008</v>
      </c>
      <c r="G1321" s="40">
        <f>VLOOKUP(A1321,'DATOS GENERALES'!A:B,2,0)</f>
        <v>0.65</v>
      </c>
      <c r="H1321" s="36">
        <f t="shared" si="100"/>
        <v>0.64700999999999997</v>
      </c>
      <c r="I1321" s="38">
        <f t="shared" si="101"/>
        <v>298798180.44543374</v>
      </c>
      <c r="J1321" s="38">
        <f t="shared" si="102"/>
        <v>-105472769.71543366</v>
      </c>
      <c r="K1321" s="38">
        <v>39629822.93269898</v>
      </c>
      <c r="L1321" s="38">
        <f t="shared" si="103"/>
        <v>-145102592.64813262</v>
      </c>
      <c r="M1321" s="41">
        <f>VLOOKUP(INDICADORES!$B$21,'DATOS GENERALES'!$K:$M,3,0)*F1321</f>
        <v>1315777.8281910804</v>
      </c>
      <c r="N1321" s="38">
        <f t="shared" si="104"/>
        <v>-146418370.47632369</v>
      </c>
      <c r="O1321" s="36"/>
      <c r="P1321" s="36"/>
      <c r="Q1321" s="36"/>
    </row>
    <row r="1322" spans="1:17" x14ac:dyDescent="0.25">
      <c r="A1322" s="36" t="s">
        <v>157</v>
      </c>
      <c r="B1322" s="37">
        <v>43466</v>
      </c>
      <c r="C1322" s="37">
        <v>43569.528240889784</v>
      </c>
      <c r="D1322" s="36"/>
      <c r="E1322" s="36" t="s">
        <v>225</v>
      </c>
      <c r="F1322" s="38">
        <v>0</v>
      </c>
      <c r="G1322" s="40">
        <f>VLOOKUP(A1322,'DATOS GENERALES'!A:B,2,0)</f>
        <v>1.5</v>
      </c>
      <c r="H1322" s="36">
        <f t="shared" si="100"/>
        <v>1.4930999999999999</v>
      </c>
      <c r="I1322" s="38">
        <f t="shared" si="101"/>
        <v>0</v>
      </c>
      <c r="J1322" s="38">
        <f t="shared" si="102"/>
        <v>0</v>
      </c>
      <c r="K1322" s="38"/>
      <c r="L1322" s="38">
        <f t="shared" si="103"/>
        <v>0</v>
      </c>
      <c r="M1322" s="41">
        <f>VLOOKUP(INDICADORES!$B$21,'DATOS GENERALES'!$K:$M,3,0)*F1322</f>
        <v>0</v>
      </c>
      <c r="N1322" s="38">
        <f t="shared" si="104"/>
        <v>0</v>
      </c>
      <c r="O1322" s="36"/>
      <c r="P1322" s="36"/>
      <c r="Q1322" s="36"/>
    </row>
    <row r="1323" spans="1:17" x14ac:dyDescent="0.25">
      <c r="A1323" s="36" t="s">
        <v>157</v>
      </c>
      <c r="B1323" s="37">
        <v>43497</v>
      </c>
      <c r="C1323" s="37">
        <v>43523.910446136884</v>
      </c>
      <c r="D1323" s="36"/>
      <c r="E1323" s="36" t="s">
        <v>225</v>
      </c>
      <c r="F1323" s="38">
        <v>65380491.681576155</v>
      </c>
      <c r="G1323" s="40">
        <f>VLOOKUP(A1323,'DATOS GENERALES'!A:B,2,0)</f>
        <v>1.5</v>
      </c>
      <c r="H1323" s="36">
        <f t="shared" si="100"/>
        <v>1.4930999999999999</v>
      </c>
      <c r="I1323" s="38">
        <f t="shared" si="101"/>
        <v>43788421.191866696</v>
      </c>
      <c r="J1323" s="38">
        <f t="shared" si="102"/>
        <v>21592070.489709459</v>
      </c>
      <c r="K1323" s="38"/>
      <c r="L1323" s="38">
        <f t="shared" si="103"/>
        <v>21592070.489709459</v>
      </c>
      <c r="M1323" s="41">
        <f>VLOOKUP(INDICADORES!$B$21,'DATOS GENERALES'!$K:$M,3,0)*F1323</f>
        <v>444981.34531830478</v>
      </c>
      <c r="N1323" s="38">
        <f t="shared" si="104"/>
        <v>21147089.144391153</v>
      </c>
      <c r="O1323" s="36"/>
      <c r="P1323" s="36"/>
      <c r="Q1323" s="36"/>
    </row>
    <row r="1324" spans="1:17" x14ac:dyDescent="0.25">
      <c r="A1324" s="36" t="s">
        <v>157</v>
      </c>
      <c r="B1324" s="37">
        <v>43525</v>
      </c>
      <c r="C1324" s="37">
        <v>43581.776693690539</v>
      </c>
      <c r="D1324" s="36"/>
      <c r="E1324" s="36" t="s">
        <v>225</v>
      </c>
      <c r="F1324" s="38">
        <v>237933985.8693701</v>
      </c>
      <c r="G1324" s="40">
        <f>VLOOKUP(A1324,'DATOS GENERALES'!A:B,2,0)</f>
        <v>1.5</v>
      </c>
      <c r="H1324" s="36">
        <f t="shared" si="100"/>
        <v>1.4930999999999999</v>
      </c>
      <c r="I1324" s="38">
        <f t="shared" si="101"/>
        <v>159355693.43605259</v>
      </c>
      <c r="J1324" s="38">
        <f t="shared" si="102"/>
        <v>78578292.433317512</v>
      </c>
      <c r="K1324" s="38"/>
      <c r="L1324" s="38">
        <f t="shared" si="103"/>
        <v>78578292.433317512</v>
      </c>
      <c r="M1324" s="41">
        <f>VLOOKUP(INDICADORES!$B$21,'DATOS GENERALES'!$K:$M,3,0)*F1324</f>
        <v>1619384.9634039097</v>
      </c>
      <c r="N1324" s="38">
        <f t="shared" si="104"/>
        <v>76958907.469913602</v>
      </c>
      <c r="O1324" s="36"/>
      <c r="P1324" s="36"/>
      <c r="Q1324" s="36"/>
    </row>
    <row r="1325" spans="1:17" x14ac:dyDescent="0.25">
      <c r="A1325" s="36" t="s">
        <v>157</v>
      </c>
      <c r="B1325" s="37">
        <v>43556</v>
      </c>
      <c r="C1325" s="37">
        <v>43638.457901133566</v>
      </c>
      <c r="D1325" s="36"/>
      <c r="E1325" s="36" t="s">
        <v>225</v>
      </c>
      <c r="F1325" s="38">
        <v>450459612.7334311</v>
      </c>
      <c r="G1325" s="40">
        <f>VLOOKUP(A1325,'DATOS GENERALES'!A:B,2,0)</f>
        <v>1.5</v>
      </c>
      <c r="H1325" s="36">
        <f t="shared" si="100"/>
        <v>1.4930999999999999</v>
      </c>
      <c r="I1325" s="38">
        <f t="shared" si="101"/>
        <v>301694201.81731373</v>
      </c>
      <c r="J1325" s="38">
        <f t="shared" si="102"/>
        <v>148765410.91611737</v>
      </c>
      <c r="K1325" s="38"/>
      <c r="L1325" s="38">
        <f t="shared" si="103"/>
        <v>148765410.91611737</v>
      </c>
      <c r="M1325" s="41">
        <f>VLOOKUP(INDICADORES!$B$21,'DATOS GENERALES'!$K:$M,3,0)*F1325</f>
        <v>3065839.9674006933</v>
      </c>
      <c r="N1325" s="38">
        <f t="shared" si="104"/>
        <v>145699570.94871667</v>
      </c>
      <c r="O1325" s="36"/>
      <c r="P1325" s="36"/>
      <c r="Q1325" s="36"/>
    </row>
    <row r="1326" spans="1:17" x14ac:dyDescent="0.25">
      <c r="A1326" s="36" t="s">
        <v>157</v>
      </c>
      <c r="B1326" s="37">
        <v>43586</v>
      </c>
      <c r="C1326" s="37">
        <v>43634.77012659164</v>
      </c>
      <c r="D1326" s="36"/>
      <c r="E1326" s="36" t="s">
        <v>225</v>
      </c>
      <c r="F1326" s="38">
        <v>668572032.50786221</v>
      </c>
      <c r="G1326" s="40">
        <f>VLOOKUP(A1326,'DATOS GENERALES'!A:B,2,0)</f>
        <v>1.5</v>
      </c>
      <c r="H1326" s="36">
        <f t="shared" si="100"/>
        <v>1.4930999999999999</v>
      </c>
      <c r="I1326" s="38">
        <f t="shared" si="101"/>
        <v>447774450.81231147</v>
      </c>
      <c r="J1326" s="38">
        <f t="shared" si="102"/>
        <v>220797581.69555074</v>
      </c>
      <c r="K1326" s="38"/>
      <c r="L1326" s="38">
        <f t="shared" si="103"/>
        <v>220797581.69555074</v>
      </c>
      <c r="M1326" s="41">
        <f>VLOOKUP(INDICADORES!$B$21,'DATOS GENERALES'!$K:$M,3,0)*F1326</f>
        <v>4550318.8308291091</v>
      </c>
      <c r="N1326" s="38">
        <f t="shared" si="104"/>
        <v>216247262.86472163</v>
      </c>
      <c r="O1326" s="36"/>
      <c r="P1326" s="36"/>
      <c r="Q1326" s="36"/>
    </row>
    <row r="1327" spans="1:17" x14ac:dyDescent="0.25">
      <c r="A1327" s="36" t="s">
        <v>157</v>
      </c>
      <c r="B1327" s="37">
        <v>43617</v>
      </c>
      <c r="C1327" s="37">
        <v>43709.271953900869</v>
      </c>
      <c r="D1327" s="36"/>
      <c r="E1327" s="36" t="s">
        <v>225</v>
      </c>
      <c r="F1327" s="38">
        <v>866343539.12683725</v>
      </c>
      <c r="G1327" s="40">
        <f>VLOOKUP(A1327,'DATOS GENERALES'!A:B,2,0)</f>
        <v>1.5</v>
      </c>
      <c r="H1327" s="36">
        <f t="shared" si="100"/>
        <v>1.4930999999999999</v>
      </c>
      <c r="I1327" s="38">
        <f t="shared" si="101"/>
        <v>580231423.96814501</v>
      </c>
      <c r="J1327" s="38">
        <f t="shared" si="102"/>
        <v>286112115.15869224</v>
      </c>
      <c r="K1327" s="38"/>
      <c r="L1327" s="38">
        <f t="shared" si="103"/>
        <v>286112115.15869224</v>
      </c>
      <c r="M1327" s="41">
        <f>VLOOKUP(INDICADORES!$B$21,'DATOS GENERALES'!$K:$M,3,0)*F1327</f>
        <v>5896356.9045338798</v>
      </c>
      <c r="N1327" s="38">
        <f t="shared" si="104"/>
        <v>280215758.25415838</v>
      </c>
      <c r="O1327" s="36"/>
      <c r="P1327" s="36"/>
      <c r="Q1327" s="36"/>
    </row>
    <row r="1328" spans="1:17" x14ac:dyDescent="0.25">
      <c r="A1328" s="36" t="s">
        <v>157</v>
      </c>
      <c r="B1328" s="37">
        <v>43647</v>
      </c>
      <c r="C1328" s="37">
        <v>43716.352392553796</v>
      </c>
      <c r="D1328" s="36"/>
      <c r="E1328" s="36" t="s">
        <v>225</v>
      </c>
      <c r="F1328" s="38">
        <v>1060833240.3960474</v>
      </c>
      <c r="G1328" s="40">
        <f>VLOOKUP(A1328,'DATOS GENERALES'!A:B,2,0)</f>
        <v>1.5</v>
      </c>
      <c r="H1328" s="36">
        <f t="shared" si="100"/>
        <v>1.4930999999999999</v>
      </c>
      <c r="I1328" s="38">
        <f t="shared" si="101"/>
        <v>710490416.17845249</v>
      </c>
      <c r="J1328" s="38">
        <f t="shared" si="102"/>
        <v>350342824.21759486</v>
      </c>
      <c r="K1328" s="38"/>
      <c r="L1328" s="38">
        <f t="shared" si="103"/>
        <v>350342824.21759486</v>
      </c>
      <c r="M1328" s="41">
        <f>VLOOKUP(INDICADORES!$B$21,'DATOS GENERALES'!$K:$M,3,0)*F1328</f>
        <v>7220058.9247454535</v>
      </c>
      <c r="N1328" s="38">
        <f t="shared" si="104"/>
        <v>343122765.29284942</v>
      </c>
      <c r="O1328" s="36"/>
      <c r="P1328" s="36"/>
      <c r="Q1328" s="36"/>
    </row>
    <row r="1329" spans="1:17" x14ac:dyDescent="0.25">
      <c r="A1329" s="36" t="s">
        <v>157</v>
      </c>
      <c r="B1329" s="37">
        <v>43678</v>
      </c>
      <c r="C1329" s="37">
        <v>43711.655224947754</v>
      </c>
      <c r="D1329" s="36"/>
      <c r="E1329" s="36" t="s">
        <v>225</v>
      </c>
      <c r="F1329" s="38">
        <v>1239967103.8884077</v>
      </c>
      <c r="G1329" s="40">
        <f>VLOOKUP(A1329,'DATOS GENERALES'!A:B,2,0)</f>
        <v>1.5</v>
      </c>
      <c r="H1329" s="36">
        <f t="shared" si="100"/>
        <v>1.4930999999999999</v>
      </c>
      <c r="I1329" s="38">
        <f t="shared" si="101"/>
        <v>830464874.34760416</v>
      </c>
      <c r="J1329" s="38">
        <f t="shared" si="102"/>
        <v>409502229.54080355</v>
      </c>
      <c r="K1329" s="38"/>
      <c r="L1329" s="38">
        <f t="shared" si="103"/>
        <v>409502229.54080355</v>
      </c>
      <c r="M1329" s="41">
        <f>VLOOKUP(INDICADORES!$B$21,'DATOS GENERALES'!$K:$M,3,0)*F1329</f>
        <v>8439248.7093239352</v>
      </c>
      <c r="N1329" s="38">
        <f t="shared" si="104"/>
        <v>401062980.83147961</v>
      </c>
      <c r="O1329" s="36"/>
      <c r="P1329" s="36"/>
      <c r="Q1329" s="36"/>
    </row>
    <row r="1330" spans="1:17" x14ac:dyDescent="0.25">
      <c r="A1330" s="36" t="s">
        <v>157</v>
      </c>
      <c r="B1330" s="37">
        <v>43709</v>
      </c>
      <c r="C1330" s="37">
        <v>43789.882060346914</v>
      </c>
      <c r="D1330" s="36"/>
      <c r="E1330" s="36" t="s">
        <v>225</v>
      </c>
      <c r="F1330" s="38">
        <v>1421490223.25789</v>
      </c>
      <c r="G1330" s="40">
        <f>VLOOKUP(A1330,'DATOS GENERALES'!A:B,2,0)</f>
        <v>1.5</v>
      </c>
      <c r="H1330" s="36">
        <f t="shared" si="100"/>
        <v>1.4930999999999999</v>
      </c>
      <c r="I1330" s="38">
        <f t="shared" si="101"/>
        <v>952039530.67972016</v>
      </c>
      <c r="J1330" s="38">
        <f t="shared" si="102"/>
        <v>469450692.57816982</v>
      </c>
      <c r="K1330" s="38"/>
      <c r="L1330" s="38">
        <f t="shared" si="103"/>
        <v>469450692.57816982</v>
      </c>
      <c r="M1330" s="41">
        <f>VLOOKUP(INDICADORES!$B$21,'DATOS GENERALES'!$K:$M,3,0)*F1330</f>
        <v>9674699.8322185837</v>
      </c>
      <c r="N1330" s="38">
        <f t="shared" si="104"/>
        <v>459775992.74595124</v>
      </c>
      <c r="O1330" s="36"/>
      <c r="P1330" s="36"/>
      <c r="Q1330" s="36"/>
    </row>
    <row r="1331" spans="1:17" x14ac:dyDescent="0.25">
      <c r="A1331" s="36" t="s">
        <v>157</v>
      </c>
      <c r="B1331" s="37">
        <v>43739</v>
      </c>
      <c r="C1331" s="37">
        <v>43796.171118736282</v>
      </c>
      <c r="D1331" s="36"/>
      <c r="E1331" s="36" t="s">
        <v>225</v>
      </c>
      <c r="F1331" s="38">
        <v>1570359940.4896142</v>
      </c>
      <c r="G1331" s="40">
        <f>VLOOKUP(A1331,'DATOS GENERALES'!A:B,2,0)</f>
        <v>1.5</v>
      </c>
      <c r="H1331" s="36">
        <f t="shared" si="100"/>
        <v>1.4930999999999999</v>
      </c>
      <c r="I1331" s="38">
        <f t="shared" si="101"/>
        <v>1051744652.3940891</v>
      </c>
      <c r="J1331" s="38">
        <f t="shared" si="102"/>
        <v>518615288.09552515</v>
      </c>
      <c r="K1331" s="38"/>
      <c r="L1331" s="38">
        <f t="shared" si="103"/>
        <v>518615288.09552515</v>
      </c>
      <c r="M1331" s="41">
        <f>VLOOKUP(INDICADORES!$B$21,'DATOS GENERALES'!$K:$M,3,0)*F1331</f>
        <v>10687911.041665567</v>
      </c>
      <c r="N1331" s="38">
        <f t="shared" si="104"/>
        <v>507927377.05385959</v>
      </c>
      <c r="O1331" s="36"/>
      <c r="P1331" s="36"/>
      <c r="Q1331" s="36"/>
    </row>
    <row r="1332" spans="1:17" x14ac:dyDescent="0.25">
      <c r="A1332" s="36" t="s">
        <v>157</v>
      </c>
      <c r="B1332" s="37">
        <v>43770</v>
      </c>
      <c r="C1332" s="37">
        <v>43814.496467950099</v>
      </c>
      <c r="D1332" s="36"/>
      <c r="E1332" s="36" t="s">
        <v>225</v>
      </c>
      <c r="F1332" s="38">
        <v>1694649963.0432663</v>
      </c>
      <c r="G1332" s="40">
        <f>VLOOKUP(A1332,'DATOS GENERALES'!A:B,2,0)</f>
        <v>1.5</v>
      </c>
      <c r="H1332" s="36">
        <f t="shared" si="100"/>
        <v>1.4930999999999999</v>
      </c>
      <c r="I1332" s="38">
        <f t="shared" si="101"/>
        <v>1134987584.9194739</v>
      </c>
      <c r="J1332" s="38">
        <f t="shared" si="102"/>
        <v>559662378.12379241</v>
      </c>
      <c r="K1332" s="38"/>
      <c r="L1332" s="38">
        <f t="shared" si="103"/>
        <v>559662378.12379241</v>
      </c>
      <c r="M1332" s="41">
        <f>VLOOKUP(INDICADORES!$B$21,'DATOS GENERALES'!$K:$M,3,0)*F1332</f>
        <v>11533832.202903204</v>
      </c>
      <c r="N1332" s="38">
        <f t="shared" si="104"/>
        <v>548128545.92088926</v>
      </c>
      <c r="O1332" s="36"/>
      <c r="P1332" s="36"/>
      <c r="Q1332" s="36"/>
    </row>
    <row r="1333" spans="1:17" x14ac:dyDescent="0.25">
      <c r="A1333" s="36" t="s">
        <v>157</v>
      </c>
      <c r="B1333" s="37">
        <v>43800</v>
      </c>
      <c r="C1333" s="37">
        <v>43867.378408192213</v>
      </c>
      <c r="D1333" s="36"/>
      <c r="E1333" s="36" t="s">
        <v>225</v>
      </c>
      <c r="F1333" s="38">
        <v>1806617631.1543489</v>
      </c>
      <c r="G1333" s="40">
        <f>VLOOKUP(A1333,'DATOS GENERALES'!A:B,2,0)</f>
        <v>1.5</v>
      </c>
      <c r="H1333" s="36">
        <f t="shared" si="100"/>
        <v>1.4930999999999999</v>
      </c>
      <c r="I1333" s="38">
        <f t="shared" si="101"/>
        <v>1209977651.2988741</v>
      </c>
      <c r="J1333" s="38">
        <f t="shared" si="102"/>
        <v>596639979.85547471</v>
      </c>
      <c r="K1333" s="38"/>
      <c r="L1333" s="38">
        <f t="shared" si="103"/>
        <v>596639979.85547471</v>
      </c>
      <c r="M1333" s="41">
        <f>VLOOKUP(INDICADORES!$B$21,'DATOS GENERALES'!$K:$M,3,0)*F1333</f>
        <v>12295887.095834866</v>
      </c>
      <c r="N1333" s="38">
        <f t="shared" si="104"/>
        <v>584344092.75963986</v>
      </c>
      <c r="O1333" s="36"/>
      <c r="P1333" s="36"/>
      <c r="Q1333" s="36"/>
    </row>
    <row r="1334" spans="1:17" x14ac:dyDescent="0.25">
      <c r="A1334" s="36" t="s">
        <v>157</v>
      </c>
      <c r="B1334" s="37">
        <v>43466</v>
      </c>
      <c r="C1334" s="37">
        <v>43550.333877225108</v>
      </c>
      <c r="D1334" s="36"/>
      <c r="E1334" s="36" t="s">
        <v>226</v>
      </c>
      <c r="F1334" s="38">
        <v>0</v>
      </c>
      <c r="G1334" s="40">
        <f>VLOOKUP(A1334,'DATOS GENERALES'!A:B,2,0)</f>
        <v>1.5</v>
      </c>
      <c r="H1334" s="36">
        <f t="shared" si="100"/>
        <v>1.4930999999999999</v>
      </c>
      <c r="I1334" s="38">
        <f t="shared" si="101"/>
        <v>0</v>
      </c>
      <c r="J1334" s="38">
        <f t="shared" si="102"/>
        <v>0</v>
      </c>
      <c r="K1334" s="38"/>
      <c r="L1334" s="38">
        <f t="shared" si="103"/>
        <v>0</v>
      </c>
      <c r="M1334" s="41">
        <f>VLOOKUP(INDICADORES!$B$21,'DATOS GENERALES'!$K:$M,3,0)*F1334</f>
        <v>0</v>
      </c>
      <c r="N1334" s="38">
        <f t="shared" si="104"/>
        <v>0</v>
      </c>
      <c r="O1334" s="36"/>
      <c r="P1334" s="36"/>
      <c r="Q1334" s="36"/>
    </row>
    <row r="1335" spans="1:17" x14ac:dyDescent="0.25">
      <c r="A1335" s="36" t="s">
        <v>157</v>
      </c>
      <c r="B1335" s="37">
        <v>43497</v>
      </c>
      <c r="C1335" s="37">
        <v>43544.126232513299</v>
      </c>
      <c r="D1335" s="36"/>
      <c r="E1335" s="36" t="s">
        <v>226</v>
      </c>
      <c r="F1335" s="38">
        <v>29723362.07914333</v>
      </c>
      <c r="G1335" s="40">
        <f>VLOOKUP(A1335,'DATOS GENERALES'!A:B,2,0)</f>
        <v>1.5</v>
      </c>
      <c r="H1335" s="36">
        <f t="shared" si="100"/>
        <v>1.4930999999999999</v>
      </c>
      <c r="I1335" s="38">
        <f t="shared" si="101"/>
        <v>19907147.598381445</v>
      </c>
      <c r="J1335" s="38">
        <f t="shared" si="102"/>
        <v>9816214.4807618856</v>
      </c>
      <c r="K1335" s="38"/>
      <c r="L1335" s="38">
        <f t="shared" si="103"/>
        <v>9816214.4807618856</v>
      </c>
      <c r="M1335" s="41">
        <f>VLOOKUP(INDICADORES!$B$21,'DATOS GENERALES'!$K:$M,3,0)*F1335</f>
        <v>202297.983774377</v>
      </c>
      <c r="N1335" s="38">
        <f t="shared" si="104"/>
        <v>9613916.4969875086</v>
      </c>
      <c r="O1335" s="36"/>
      <c r="P1335" s="36"/>
      <c r="Q1335" s="36"/>
    </row>
    <row r="1336" spans="1:17" x14ac:dyDescent="0.25">
      <c r="A1336" s="36" t="s">
        <v>157</v>
      </c>
      <c r="B1336" s="37">
        <v>43525</v>
      </c>
      <c r="C1336" s="37">
        <v>43604.570625314685</v>
      </c>
      <c r="D1336" s="36"/>
      <c r="E1336" s="36" t="s">
        <v>226</v>
      </c>
      <c r="F1336" s="38">
        <v>106493295.64064981</v>
      </c>
      <c r="G1336" s="40">
        <f>VLOOKUP(A1336,'DATOS GENERALES'!A:B,2,0)</f>
        <v>1.5</v>
      </c>
      <c r="H1336" s="36">
        <f t="shared" si="100"/>
        <v>1.4930999999999999</v>
      </c>
      <c r="I1336" s="38">
        <f t="shared" si="101"/>
        <v>71323619.074844167</v>
      </c>
      <c r="J1336" s="38">
        <f t="shared" si="102"/>
        <v>35169676.565805644</v>
      </c>
      <c r="K1336" s="38"/>
      <c r="L1336" s="38">
        <f t="shared" si="103"/>
        <v>35169676.565805644</v>
      </c>
      <c r="M1336" s="41">
        <f>VLOOKUP(INDICADORES!$B$21,'DATOS GENERALES'!$K:$M,3,0)*F1336</f>
        <v>724796.16996991541</v>
      </c>
      <c r="N1336" s="38">
        <f t="shared" si="104"/>
        <v>34444880.395835727</v>
      </c>
      <c r="O1336" s="36"/>
      <c r="P1336" s="36"/>
      <c r="Q1336" s="36"/>
    </row>
    <row r="1337" spans="1:17" x14ac:dyDescent="0.25">
      <c r="A1337" s="36" t="s">
        <v>157</v>
      </c>
      <c r="B1337" s="37">
        <v>43556</v>
      </c>
      <c r="C1337" s="37">
        <v>43613.410439430889</v>
      </c>
      <c r="D1337" s="36"/>
      <c r="E1337" s="36" t="s">
        <v>226</v>
      </c>
      <c r="F1337" s="38">
        <v>212154874.02579421</v>
      </c>
      <c r="G1337" s="40">
        <f>VLOOKUP(A1337,'DATOS GENERALES'!A:B,2,0)</f>
        <v>1.5</v>
      </c>
      <c r="H1337" s="36">
        <f t="shared" si="100"/>
        <v>1.4930999999999999</v>
      </c>
      <c r="I1337" s="38">
        <f t="shared" si="101"/>
        <v>142090197.59278965</v>
      </c>
      <c r="J1337" s="38">
        <f t="shared" si="102"/>
        <v>70064676.433004558</v>
      </c>
      <c r="K1337" s="38"/>
      <c r="L1337" s="38">
        <f t="shared" si="103"/>
        <v>70064676.433004558</v>
      </c>
      <c r="M1337" s="41">
        <f>VLOOKUP(INDICADORES!$B$21,'DATOS GENERALES'!$K:$M,3,0)*F1337</f>
        <v>1443931.650431992</v>
      </c>
      <c r="N1337" s="38">
        <f t="shared" si="104"/>
        <v>68620744.782572567</v>
      </c>
      <c r="O1337" s="36"/>
      <c r="P1337" s="36"/>
      <c r="Q1337" s="36"/>
    </row>
    <row r="1338" spans="1:17" x14ac:dyDescent="0.25">
      <c r="A1338" s="36" t="s">
        <v>157</v>
      </c>
      <c r="B1338" s="37">
        <v>43586</v>
      </c>
      <c r="C1338" s="37">
        <v>43647.923428999769</v>
      </c>
      <c r="D1338" s="36"/>
      <c r="E1338" s="36" t="s">
        <v>226</v>
      </c>
      <c r="F1338" s="38">
        <v>306283344.13891673</v>
      </c>
      <c r="G1338" s="40">
        <f>VLOOKUP(A1338,'DATOS GENERALES'!A:B,2,0)</f>
        <v>1.5</v>
      </c>
      <c r="H1338" s="36">
        <f t="shared" si="100"/>
        <v>1.4930999999999999</v>
      </c>
      <c r="I1338" s="38">
        <f t="shared" si="101"/>
        <v>205132505.61845607</v>
      </c>
      <c r="J1338" s="38">
        <f t="shared" si="102"/>
        <v>101150838.52046067</v>
      </c>
      <c r="K1338" s="38"/>
      <c r="L1338" s="38">
        <f t="shared" si="103"/>
        <v>101150838.52046067</v>
      </c>
      <c r="M1338" s="41">
        <f>VLOOKUP(INDICADORES!$B$21,'DATOS GENERALES'!$K:$M,3,0)*F1338</f>
        <v>2084572.4927750938</v>
      </c>
      <c r="N1338" s="38">
        <f t="shared" si="104"/>
        <v>99066266.027685568</v>
      </c>
      <c r="O1338" s="36"/>
      <c r="P1338" s="36"/>
      <c r="Q1338" s="36"/>
    </row>
    <row r="1339" spans="1:17" x14ac:dyDescent="0.25">
      <c r="A1339" s="36" t="s">
        <v>157</v>
      </c>
      <c r="B1339" s="37">
        <v>43617</v>
      </c>
      <c r="C1339" s="37">
        <v>43692.074191502172</v>
      </c>
      <c r="D1339" s="36"/>
      <c r="E1339" s="36" t="s">
        <v>226</v>
      </c>
      <c r="F1339" s="38">
        <v>402829101.16013914</v>
      </c>
      <c r="G1339" s="40">
        <f>VLOOKUP(A1339,'DATOS GENERALES'!A:B,2,0)</f>
        <v>1.5</v>
      </c>
      <c r="H1339" s="36">
        <f t="shared" si="100"/>
        <v>1.4930999999999999</v>
      </c>
      <c r="I1339" s="38">
        <f t="shared" si="101"/>
        <v>269793785.52015215</v>
      </c>
      <c r="J1339" s="38">
        <f t="shared" si="102"/>
        <v>133035315.63998699</v>
      </c>
      <c r="K1339" s="38"/>
      <c r="L1339" s="38">
        <f t="shared" si="103"/>
        <v>133035315.63998699</v>
      </c>
      <c r="M1339" s="41">
        <f>VLOOKUP(INDICADORES!$B$21,'DATOS GENERALES'!$K:$M,3,0)*F1339</f>
        <v>2741665.4533681679</v>
      </c>
      <c r="N1339" s="38">
        <f t="shared" si="104"/>
        <v>130293650.18661882</v>
      </c>
      <c r="O1339" s="36"/>
      <c r="P1339" s="36"/>
      <c r="Q1339" s="36"/>
    </row>
    <row r="1340" spans="1:17" x14ac:dyDescent="0.25">
      <c r="A1340" s="36" t="s">
        <v>157</v>
      </c>
      <c r="B1340" s="37">
        <v>43647</v>
      </c>
      <c r="C1340" s="37">
        <v>43723.059634469231</v>
      </c>
      <c r="D1340" s="36"/>
      <c r="E1340" s="36" t="s">
        <v>226</v>
      </c>
      <c r="F1340" s="38">
        <v>504540568.92664355</v>
      </c>
      <c r="G1340" s="40">
        <f>VLOOKUP(A1340,'DATOS GENERALES'!A:B,2,0)</f>
        <v>1.5</v>
      </c>
      <c r="H1340" s="36">
        <f t="shared" si="100"/>
        <v>1.4930999999999999</v>
      </c>
      <c r="I1340" s="38">
        <f t="shared" si="101"/>
        <v>337914787.30603683</v>
      </c>
      <c r="J1340" s="38">
        <f t="shared" si="102"/>
        <v>166625781.62060672</v>
      </c>
      <c r="K1340" s="38"/>
      <c r="L1340" s="38">
        <f t="shared" si="103"/>
        <v>166625781.62060672</v>
      </c>
      <c r="M1340" s="41">
        <f>VLOOKUP(INDICADORES!$B$21,'DATOS GENERALES'!$K:$M,3,0)*F1340</f>
        <v>3433916.3771065166</v>
      </c>
      <c r="N1340" s="38">
        <f t="shared" si="104"/>
        <v>163191865.2435002</v>
      </c>
      <c r="O1340" s="36"/>
      <c r="P1340" s="36"/>
      <c r="Q1340" s="36"/>
    </row>
    <row r="1341" spans="1:17" x14ac:dyDescent="0.25">
      <c r="A1341" s="36" t="s">
        <v>157</v>
      </c>
      <c r="B1341" s="37">
        <v>43678</v>
      </c>
      <c r="C1341" s="37">
        <v>43716.714721513388</v>
      </c>
      <c r="D1341" s="36"/>
      <c r="E1341" s="36" t="s">
        <v>226</v>
      </c>
      <c r="F1341" s="38">
        <v>591722058.84424269</v>
      </c>
      <c r="G1341" s="40">
        <f>VLOOKUP(A1341,'DATOS GENERALES'!A:B,2,0)</f>
        <v>1.5</v>
      </c>
      <c r="H1341" s="36">
        <f t="shared" si="100"/>
        <v>1.4930999999999999</v>
      </c>
      <c r="I1341" s="38">
        <f t="shared" si="101"/>
        <v>396304372.67714334</v>
      </c>
      <c r="J1341" s="38">
        <f t="shared" si="102"/>
        <v>195417686.16709936</v>
      </c>
      <c r="K1341" s="38"/>
      <c r="L1341" s="38">
        <f t="shared" si="103"/>
        <v>195417686.16709936</v>
      </c>
      <c r="M1341" s="41">
        <f>VLOOKUP(INDICADORES!$B$21,'DATOS GENERALES'!$K:$M,3,0)*F1341</f>
        <v>4027275.8895942369</v>
      </c>
      <c r="N1341" s="38">
        <f t="shared" si="104"/>
        <v>191390410.27750513</v>
      </c>
      <c r="O1341" s="36"/>
      <c r="P1341" s="36"/>
      <c r="Q1341" s="36"/>
    </row>
    <row r="1342" spans="1:17" x14ac:dyDescent="0.25">
      <c r="A1342" s="36" t="s">
        <v>157</v>
      </c>
      <c r="B1342" s="37">
        <v>43709</v>
      </c>
      <c r="C1342" s="37">
        <v>43779.735567396681</v>
      </c>
      <c r="D1342" s="36"/>
      <c r="E1342" s="36" t="s">
        <v>226</v>
      </c>
      <c r="F1342" s="38">
        <v>657023582.20424581</v>
      </c>
      <c r="G1342" s="40">
        <f>VLOOKUP(A1342,'DATOS GENERALES'!A:B,2,0)</f>
        <v>1.5</v>
      </c>
      <c r="H1342" s="36">
        <f t="shared" si="100"/>
        <v>1.4930999999999999</v>
      </c>
      <c r="I1342" s="38">
        <f t="shared" si="101"/>
        <v>440039905.03264743</v>
      </c>
      <c r="J1342" s="38">
        <f t="shared" si="102"/>
        <v>216983677.17159837</v>
      </c>
      <c r="K1342" s="38"/>
      <c r="L1342" s="38">
        <f t="shared" si="103"/>
        <v>216983677.17159837</v>
      </c>
      <c r="M1342" s="41">
        <f>VLOOKUP(INDICADORES!$B$21,'DATOS GENERALES'!$K:$M,3,0)*F1342</f>
        <v>4471719.7744397409</v>
      </c>
      <c r="N1342" s="38">
        <f t="shared" si="104"/>
        <v>212511957.39715862</v>
      </c>
      <c r="O1342" s="36"/>
      <c r="P1342" s="36"/>
      <c r="Q1342" s="36"/>
    </row>
    <row r="1343" spans="1:17" x14ac:dyDescent="0.25">
      <c r="A1343" s="36" t="s">
        <v>157</v>
      </c>
      <c r="B1343" s="37">
        <v>43739</v>
      </c>
      <c r="C1343" s="37">
        <v>43791.923791242858</v>
      </c>
      <c r="D1343" s="36"/>
      <c r="E1343" s="36" t="s">
        <v>226</v>
      </c>
      <c r="F1343" s="38">
        <v>731693920.82438624</v>
      </c>
      <c r="G1343" s="40">
        <f>VLOOKUP(A1343,'DATOS GENERALES'!A:B,2,0)</f>
        <v>1.5</v>
      </c>
      <c r="H1343" s="36">
        <f t="shared" si="100"/>
        <v>1.4930999999999999</v>
      </c>
      <c r="I1343" s="38">
        <f t="shared" si="101"/>
        <v>490050178.03521955</v>
      </c>
      <c r="J1343" s="38">
        <f t="shared" si="102"/>
        <v>241643742.78916669</v>
      </c>
      <c r="K1343" s="38"/>
      <c r="L1343" s="38">
        <f t="shared" si="103"/>
        <v>241643742.78916669</v>
      </c>
      <c r="M1343" s="41">
        <f>VLOOKUP(INDICADORES!$B$21,'DATOS GENERALES'!$K:$M,3,0)*F1343</f>
        <v>4979928.0622634105</v>
      </c>
      <c r="N1343" s="38">
        <f t="shared" si="104"/>
        <v>236663814.72690329</v>
      </c>
      <c r="O1343" s="36"/>
      <c r="P1343" s="36"/>
      <c r="Q1343" s="36"/>
    </row>
    <row r="1344" spans="1:17" x14ac:dyDescent="0.25">
      <c r="A1344" s="36" t="s">
        <v>157</v>
      </c>
      <c r="B1344" s="37">
        <v>43770</v>
      </c>
      <c r="C1344" s="37">
        <v>43828.207537142713</v>
      </c>
      <c r="D1344" s="36"/>
      <c r="E1344" s="36" t="s">
        <v>226</v>
      </c>
      <c r="F1344" s="38">
        <v>788166760.38460636</v>
      </c>
      <c r="G1344" s="40">
        <f>VLOOKUP(A1344,'DATOS GENERALES'!A:B,2,0)</f>
        <v>1.5</v>
      </c>
      <c r="H1344" s="36">
        <f t="shared" si="100"/>
        <v>1.4930999999999999</v>
      </c>
      <c r="I1344" s="38">
        <f t="shared" si="101"/>
        <v>527872721.44170278</v>
      </c>
      <c r="J1344" s="38">
        <f t="shared" si="102"/>
        <v>260294038.94290358</v>
      </c>
      <c r="K1344" s="38"/>
      <c r="L1344" s="38">
        <f t="shared" si="103"/>
        <v>260294038.94290358</v>
      </c>
      <c r="M1344" s="41">
        <f>VLOOKUP(INDICADORES!$B$21,'DATOS GENERALES'!$K:$M,3,0)*F1344</f>
        <v>5364283.6930506416</v>
      </c>
      <c r="N1344" s="38">
        <f t="shared" si="104"/>
        <v>254929755.24985293</v>
      </c>
      <c r="O1344" s="36"/>
      <c r="P1344" s="36"/>
      <c r="Q1344" s="36"/>
    </row>
    <row r="1345" spans="1:17" x14ac:dyDescent="0.25">
      <c r="A1345" s="36" t="s">
        <v>157</v>
      </c>
      <c r="B1345" s="37">
        <v>43800</v>
      </c>
      <c r="C1345" s="37">
        <v>43846.137994660465</v>
      </c>
      <c r="D1345" s="36"/>
      <c r="E1345" s="36" t="s">
        <v>226</v>
      </c>
      <c r="F1345" s="38">
        <v>862325415.31937265</v>
      </c>
      <c r="G1345" s="40">
        <f>VLOOKUP(A1345,'DATOS GENERALES'!A:B,2,0)</f>
        <v>1.5</v>
      </c>
      <c r="H1345" s="36">
        <f t="shared" si="100"/>
        <v>1.4930999999999999</v>
      </c>
      <c r="I1345" s="38">
        <f t="shared" si="101"/>
        <v>577540295.57254887</v>
      </c>
      <c r="J1345" s="38">
        <f t="shared" si="102"/>
        <v>284785119.74682379</v>
      </c>
      <c r="K1345" s="38"/>
      <c r="L1345" s="38">
        <f t="shared" si="103"/>
        <v>284785119.74682379</v>
      </c>
      <c r="M1345" s="41">
        <f>VLOOKUP(INDICADORES!$B$21,'DATOS GENERALES'!$K:$M,3,0)*F1345</f>
        <v>5869009.448258861</v>
      </c>
      <c r="N1345" s="38">
        <f t="shared" si="104"/>
        <v>278916110.29856491</v>
      </c>
      <c r="O1345" s="36"/>
      <c r="P1345" s="36"/>
      <c r="Q1345" s="36"/>
    </row>
    <row r="1346" spans="1:17" x14ac:dyDescent="0.25">
      <c r="A1346" s="36" t="s">
        <v>157</v>
      </c>
      <c r="B1346" s="37">
        <v>43466</v>
      </c>
      <c r="C1346" s="37">
        <v>43524.568503483024</v>
      </c>
      <c r="D1346" s="36"/>
      <c r="E1346" s="36" t="s">
        <v>227</v>
      </c>
      <c r="F1346" s="38">
        <v>0</v>
      </c>
      <c r="G1346" s="40">
        <f>VLOOKUP(A1346,'DATOS GENERALES'!A:B,2,0)</f>
        <v>1.5</v>
      </c>
      <c r="H1346" s="36">
        <f t="shared" si="100"/>
        <v>1.4930999999999999</v>
      </c>
      <c r="I1346" s="38">
        <f t="shared" si="101"/>
        <v>0</v>
      </c>
      <c r="J1346" s="38">
        <f t="shared" si="102"/>
        <v>0</v>
      </c>
      <c r="K1346" s="38"/>
      <c r="L1346" s="38">
        <f t="shared" si="103"/>
        <v>0</v>
      </c>
      <c r="M1346" s="41">
        <f>VLOOKUP(INDICADORES!$B$21,'DATOS GENERALES'!$K:$M,3,0)*F1346</f>
        <v>0</v>
      </c>
      <c r="N1346" s="38">
        <f t="shared" si="104"/>
        <v>0</v>
      </c>
      <c r="O1346" s="36"/>
      <c r="P1346" s="36"/>
      <c r="Q1346" s="36"/>
    </row>
    <row r="1347" spans="1:17" x14ac:dyDescent="0.25">
      <c r="A1347" s="36" t="s">
        <v>157</v>
      </c>
      <c r="B1347" s="37">
        <v>43497</v>
      </c>
      <c r="C1347" s="37">
        <v>43527.569481728984</v>
      </c>
      <c r="D1347" s="36"/>
      <c r="E1347" s="36" t="s">
        <v>227</v>
      </c>
      <c r="F1347" s="38">
        <v>27644099.01730093</v>
      </c>
      <c r="G1347" s="40">
        <f>VLOOKUP(A1347,'DATOS GENERALES'!A:B,2,0)</f>
        <v>1.5</v>
      </c>
      <c r="H1347" s="36">
        <f t="shared" ref="H1347:H1369" si="105">G1347*0.9954</f>
        <v>1.4930999999999999</v>
      </c>
      <c r="I1347" s="38">
        <f t="shared" ref="I1347:I1357" si="106">F1347/H1347</f>
        <v>18514566.350077644</v>
      </c>
      <c r="J1347" s="38">
        <f t="shared" ref="J1347:J1357" si="107">F1347-I1347</f>
        <v>9129532.6672232859</v>
      </c>
      <c r="K1347" s="38"/>
      <c r="L1347" s="38">
        <f t="shared" ref="L1347:L1357" si="108">IFERROR(J1347-K1347,"")</f>
        <v>9129532.6672232859</v>
      </c>
      <c r="M1347" s="41">
        <f>VLOOKUP(INDICADORES!$B$21,'DATOS GENERALES'!$K:$M,3,0)*F1347</f>
        <v>188146.46470909572</v>
      </c>
      <c r="N1347" s="38">
        <f t="shared" ref="N1347:N1357" si="109">IFERROR(L1347-M1347,"")</f>
        <v>8941386.2025141902</v>
      </c>
      <c r="O1347" s="36"/>
      <c r="P1347" s="36"/>
      <c r="Q1347" s="36"/>
    </row>
    <row r="1348" spans="1:17" x14ac:dyDescent="0.25">
      <c r="A1348" s="36" t="s">
        <v>157</v>
      </c>
      <c r="B1348" s="37">
        <v>43525</v>
      </c>
      <c r="C1348" s="37">
        <v>43569.487300797147</v>
      </c>
      <c r="D1348" s="36"/>
      <c r="E1348" s="36" t="s">
        <v>227</v>
      </c>
      <c r="F1348" s="38">
        <v>108434465.15695676</v>
      </c>
      <c r="G1348" s="40">
        <f>VLOOKUP(A1348,'DATOS GENERALES'!A:B,2,0)</f>
        <v>1.5</v>
      </c>
      <c r="H1348" s="36">
        <f t="shared" si="105"/>
        <v>1.4930999999999999</v>
      </c>
      <c r="I1348" s="38">
        <f t="shared" si="106"/>
        <v>72623712.515542671</v>
      </c>
      <c r="J1348" s="38">
        <f t="shared" si="107"/>
        <v>35810752.641414091</v>
      </c>
      <c r="K1348" s="38"/>
      <c r="L1348" s="38">
        <f t="shared" si="108"/>
        <v>35810752.641414091</v>
      </c>
      <c r="M1348" s="41">
        <f>VLOOKUP(INDICADORES!$B$21,'DATOS GENERALES'!$K:$M,3,0)*F1348</f>
        <v>738007.82073363336</v>
      </c>
      <c r="N1348" s="38">
        <f t="shared" si="109"/>
        <v>35072744.820680454</v>
      </c>
      <c r="O1348" s="36"/>
      <c r="P1348" s="36"/>
      <c r="Q1348" s="36"/>
    </row>
    <row r="1349" spans="1:17" x14ac:dyDescent="0.25">
      <c r="A1349" s="36" t="s">
        <v>157</v>
      </c>
      <c r="B1349" s="37">
        <v>43556</v>
      </c>
      <c r="C1349" s="37">
        <v>43608.974659461019</v>
      </c>
      <c r="D1349" s="36"/>
      <c r="E1349" s="36" t="s">
        <v>227</v>
      </c>
      <c r="F1349" s="38">
        <v>215040164.92998627</v>
      </c>
      <c r="G1349" s="40">
        <f>VLOOKUP(A1349,'DATOS GENERALES'!A:B,2,0)</f>
        <v>1.5</v>
      </c>
      <c r="H1349" s="36">
        <f t="shared" si="105"/>
        <v>1.4930999999999999</v>
      </c>
      <c r="I1349" s="38">
        <f t="shared" si="106"/>
        <v>144022613.97762126</v>
      </c>
      <c r="J1349" s="38">
        <f t="shared" si="107"/>
        <v>71017550.952365011</v>
      </c>
      <c r="K1349" s="38"/>
      <c r="L1349" s="38">
        <f t="shared" si="108"/>
        <v>71017550.952365011</v>
      </c>
      <c r="M1349" s="41">
        <f>VLOOKUP(INDICADORES!$B$21,'DATOS GENERALES'!$K:$M,3,0)*F1349</f>
        <v>1463569.0161837679</v>
      </c>
      <c r="N1349" s="38">
        <f t="shared" si="109"/>
        <v>69553981.936181247</v>
      </c>
      <c r="O1349" s="36"/>
      <c r="P1349" s="36"/>
      <c r="Q1349" s="36"/>
    </row>
    <row r="1350" spans="1:17" x14ac:dyDescent="0.25">
      <c r="A1350" s="36" t="s">
        <v>157</v>
      </c>
      <c r="B1350" s="37">
        <v>43586</v>
      </c>
      <c r="C1350" s="37">
        <v>43655.627391796741</v>
      </c>
      <c r="D1350" s="36"/>
      <c r="E1350" s="36" t="s">
        <v>227</v>
      </c>
      <c r="F1350" s="38">
        <v>326103414.20165074</v>
      </c>
      <c r="G1350" s="40">
        <f>VLOOKUP(A1350,'DATOS GENERALES'!A:B,2,0)</f>
        <v>1.5</v>
      </c>
      <c r="H1350" s="36">
        <f t="shared" si="105"/>
        <v>1.4930999999999999</v>
      </c>
      <c r="I1350" s="38">
        <f t="shared" si="106"/>
        <v>218406948.09567395</v>
      </c>
      <c r="J1350" s="38">
        <f t="shared" si="107"/>
        <v>107696466.10597679</v>
      </c>
      <c r="K1350" s="38"/>
      <c r="L1350" s="38">
        <f t="shared" si="108"/>
        <v>107696466.10597679</v>
      </c>
      <c r="M1350" s="41">
        <f>VLOOKUP(INDICADORES!$B$21,'DATOS GENERALES'!$K:$M,3,0)*F1350</f>
        <v>2219468.410716068</v>
      </c>
      <c r="N1350" s="38">
        <f t="shared" si="109"/>
        <v>105476997.69526072</v>
      </c>
      <c r="O1350" s="36"/>
      <c r="P1350" s="36"/>
      <c r="Q1350" s="36"/>
    </row>
    <row r="1351" spans="1:17" x14ac:dyDescent="0.25">
      <c r="A1351" s="36" t="s">
        <v>157</v>
      </c>
      <c r="B1351" s="37">
        <v>43617</v>
      </c>
      <c r="C1351" s="37">
        <v>43684.125539860725</v>
      </c>
      <c r="D1351" s="36"/>
      <c r="E1351" s="36" t="s">
        <v>227</v>
      </c>
      <c r="F1351" s="38">
        <v>433658250.30918729</v>
      </c>
      <c r="G1351" s="40">
        <f>VLOOKUP(A1351,'DATOS GENERALES'!A:B,2,0)</f>
        <v>1.5</v>
      </c>
      <c r="H1351" s="36">
        <f t="shared" si="105"/>
        <v>1.4930999999999999</v>
      </c>
      <c r="I1351" s="38">
        <f t="shared" si="106"/>
        <v>290441531.24987429</v>
      </c>
      <c r="J1351" s="38">
        <f t="shared" si="107"/>
        <v>143216719.059313</v>
      </c>
      <c r="K1351" s="38"/>
      <c r="L1351" s="38">
        <f t="shared" si="108"/>
        <v>143216719.059313</v>
      </c>
      <c r="M1351" s="41">
        <f>VLOOKUP(INDICADORES!$B$21,'DATOS GENERALES'!$K:$M,3,0)*F1351</f>
        <v>2951489.4530128185</v>
      </c>
      <c r="N1351" s="38">
        <f t="shared" si="109"/>
        <v>140265229.60630018</v>
      </c>
      <c r="O1351" s="36"/>
      <c r="P1351" s="36"/>
      <c r="Q1351" s="36"/>
    </row>
    <row r="1352" spans="1:17" x14ac:dyDescent="0.25">
      <c r="A1352" s="36" t="s">
        <v>157</v>
      </c>
      <c r="B1352" s="37">
        <v>43647</v>
      </c>
      <c r="C1352" s="37">
        <v>43663.322988964748</v>
      </c>
      <c r="D1352" s="36"/>
      <c r="E1352" s="36" t="s">
        <v>227</v>
      </c>
      <c r="F1352" s="38">
        <v>537306402.27573991</v>
      </c>
      <c r="G1352" s="40">
        <f>VLOOKUP(A1352,'DATOS GENERALES'!A:B,2,0)</f>
        <v>1.5</v>
      </c>
      <c r="H1352" s="36">
        <f t="shared" si="105"/>
        <v>1.4930999999999999</v>
      </c>
      <c r="I1352" s="38">
        <f t="shared" si="106"/>
        <v>359859622.44708323</v>
      </c>
      <c r="J1352" s="38">
        <f t="shared" si="107"/>
        <v>177446779.82865667</v>
      </c>
      <c r="K1352" s="38"/>
      <c r="L1352" s="38">
        <f t="shared" si="108"/>
        <v>177446779.82865667</v>
      </c>
      <c r="M1352" s="41">
        <f>VLOOKUP(INDICADORES!$B$21,'DATOS GENERALES'!$K:$M,3,0)*F1352</f>
        <v>3656921.5003345036</v>
      </c>
      <c r="N1352" s="38">
        <f t="shared" si="109"/>
        <v>173789858.32832217</v>
      </c>
      <c r="O1352" s="36"/>
      <c r="P1352" s="36"/>
      <c r="Q1352" s="36"/>
    </row>
    <row r="1353" spans="1:17" x14ac:dyDescent="0.25">
      <c r="A1353" s="36" t="s">
        <v>157</v>
      </c>
      <c r="B1353" s="37">
        <v>43678</v>
      </c>
      <c r="C1353" s="37">
        <v>43721.488898761032</v>
      </c>
      <c r="D1353" s="36"/>
      <c r="E1353" s="36" t="s">
        <v>227</v>
      </c>
      <c r="F1353" s="38">
        <v>628784529.53308058</v>
      </c>
      <c r="G1353" s="40">
        <f>VLOOKUP(A1353,'DATOS GENERALES'!A:B,2,0)</f>
        <v>1.5</v>
      </c>
      <c r="H1353" s="36">
        <f t="shared" si="105"/>
        <v>1.4930999999999999</v>
      </c>
      <c r="I1353" s="38">
        <f t="shared" si="106"/>
        <v>421126869.95719016</v>
      </c>
      <c r="J1353" s="38">
        <f t="shared" si="107"/>
        <v>207657659.57589042</v>
      </c>
      <c r="K1353" s="38"/>
      <c r="L1353" s="38">
        <f t="shared" si="108"/>
        <v>207657659.57589042</v>
      </c>
      <c r="M1353" s="41">
        <f>VLOOKUP(INDICADORES!$B$21,'DATOS GENERALES'!$K:$M,3,0)*F1353</f>
        <v>4279524.0395203819</v>
      </c>
      <c r="N1353" s="38">
        <f t="shared" si="109"/>
        <v>203378135.53637004</v>
      </c>
      <c r="O1353" s="36"/>
      <c r="P1353" s="36"/>
      <c r="Q1353" s="36"/>
    </row>
    <row r="1354" spans="1:17" x14ac:dyDescent="0.25">
      <c r="A1354" s="36" t="s">
        <v>157</v>
      </c>
      <c r="B1354" s="37">
        <v>43709</v>
      </c>
      <c r="C1354" s="37">
        <v>43780.527835445675</v>
      </c>
      <c r="D1354" s="36"/>
      <c r="E1354" s="36" t="s">
        <v>227</v>
      </c>
      <c r="F1354" s="38">
        <v>703478269.58076894</v>
      </c>
      <c r="G1354" s="40">
        <f>VLOOKUP(A1354,'DATOS GENERALES'!A:B,2,0)</f>
        <v>1.5</v>
      </c>
      <c r="H1354" s="36">
        <f t="shared" si="105"/>
        <v>1.4930999999999999</v>
      </c>
      <c r="I1354" s="38">
        <f t="shared" si="106"/>
        <v>471152816.00748038</v>
      </c>
      <c r="J1354" s="38">
        <f t="shared" si="107"/>
        <v>232325453.57328856</v>
      </c>
      <c r="K1354" s="38"/>
      <c r="L1354" s="38">
        <f t="shared" si="108"/>
        <v>232325453.57328856</v>
      </c>
      <c r="M1354" s="41">
        <f>VLOOKUP(INDICADORES!$B$21,'DATOS GENERALES'!$K:$M,3,0)*F1354</f>
        <v>4787891.5980751952</v>
      </c>
      <c r="N1354" s="38">
        <f t="shared" si="109"/>
        <v>227537561.97521338</v>
      </c>
      <c r="O1354" s="36"/>
      <c r="P1354" s="36"/>
      <c r="Q1354" s="36"/>
    </row>
    <row r="1355" spans="1:17" x14ac:dyDescent="0.25">
      <c r="A1355" s="36" t="s">
        <v>157</v>
      </c>
      <c r="B1355" s="37">
        <v>43739</v>
      </c>
      <c r="C1355" s="37">
        <v>43814.492948227969</v>
      </c>
      <c r="D1355" s="36"/>
      <c r="E1355" s="36" t="s">
        <v>227</v>
      </c>
      <c r="F1355" s="38">
        <v>789708741.5707835</v>
      </c>
      <c r="G1355" s="40">
        <f>VLOOKUP(A1355,'DATOS GENERALES'!A:B,2,0)</f>
        <v>1.5</v>
      </c>
      <c r="H1355" s="36">
        <f t="shared" si="105"/>
        <v>1.4930999999999999</v>
      </c>
      <c r="I1355" s="38">
        <f t="shared" si="106"/>
        <v>528905459.4941957</v>
      </c>
      <c r="J1355" s="38">
        <f t="shared" si="107"/>
        <v>260803282.0765878</v>
      </c>
      <c r="K1355" s="38"/>
      <c r="L1355" s="38">
        <f t="shared" si="108"/>
        <v>260803282.0765878</v>
      </c>
      <c r="M1355" s="41">
        <f>VLOOKUP(INDICADORES!$B$21,'DATOS GENERALES'!$K:$M,3,0)*F1355</f>
        <v>5374778.4575443445</v>
      </c>
      <c r="N1355" s="38">
        <f t="shared" si="109"/>
        <v>255428503.61904344</v>
      </c>
      <c r="O1355" s="36"/>
      <c r="P1355" s="36"/>
      <c r="Q1355" s="36"/>
    </row>
    <row r="1356" spans="1:17" x14ac:dyDescent="0.25">
      <c r="A1356" s="36" t="s">
        <v>157</v>
      </c>
      <c r="B1356" s="37">
        <v>43770</v>
      </c>
      <c r="C1356" s="37">
        <v>43815.807636075588</v>
      </c>
      <c r="D1356" s="36"/>
      <c r="E1356" s="36" t="s">
        <v>227</v>
      </c>
      <c r="F1356" s="38">
        <v>874060685.94035137</v>
      </c>
      <c r="G1356" s="40">
        <f>VLOOKUP(A1356,'DATOS GENERALES'!A:B,2,0)</f>
        <v>1.5</v>
      </c>
      <c r="H1356" s="36">
        <f t="shared" si="105"/>
        <v>1.4930999999999999</v>
      </c>
      <c r="I1356" s="38">
        <f t="shared" si="106"/>
        <v>585399963.7936852</v>
      </c>
      <c r="J1356" s="38">
        <f t="shared" si="107"/>
        <v>288660722.14666617</v>
      </c>
      <c r="K1356" s="38"/>
      <c r="L1356" s="38">
        <f t="shared" si="108"/>
        <v>288660722.14666617</v>
      </c>
      <c r="M1356" s="41">
        <f>VLOOKUP(INDICADORES!$B$21,'DATOS GENERALES'!$K:$M,3,0)*F1356</f>
        <v>5948880.0086399335</v>
      </c>
      <c r="N1356" s="38">
        <f t="shared" si="109"/>
        <v>282711842.13802624</v>
      </c>
      <c r="O1356" s="36"/>
      <c r="P1356" s="36"/>
      <c r="Q1356" s="36"/>
    </row>
    <row r="1357" spans="1:17" x14ac:dyDescent="0.25">
      <c r="A1357" s="36" t="s">
        <v>157</v>
      </c>
      <c r="B1357" s="37">
        <v>43800</v>
      </c>
      <c r="C1357" s="37">
        <v>43850.499489190006</v>
      </c>
      <c r="D1357" s="36"/>
      <c r="E1357" s="36" t="s">
        <v>227</v>
      </c>
      <c r="F1357" s="38">
        <v>922424163.38466382</v>
      </c>
      <c r="G1357" s="40">
        <f>VLOOKUP(A1357,'DATOS GENERALES'!A:B,2,0)</f>
        <v>1.5</v>
      </c>
      <c r="H1357" s="36">
        <f t="shared" si="105"/>
        <v>1.4930999999999999</v>
      </c>
      <c r="I1357" s="38">
        <f t="shared" si="106"/>
        <v>617791282.15435266</v>
      </c>
      <c r="J1357" s="38">
        <f t="shared" si="107"/>
        <v>304632881.23031116</v>
      </c>
      <c r="K1357" s="38"/>
      <c r="L1357" s="38">
        <f t="shared" si="108"/>
        <v>304632881.23031116</v>
      </c>
      <c r="M1357" s="41">
        <f>VLOOKUP(INDICADORES!$B$21,'DATOS GENERALES'!$K:$M,3,0)*F1357</f>
        <v>6278043.1076611979</v>
      </c>
      <c r="N1357" s="38">
        <f t="shared" si="109"/>
        <v>298354838.12264997</v>
      </c>
      <c r="O1357" s="36"/>
      <c r="P1357" s="36"/>
      <c r="Q1357" s="36"/>
    </row>
    <row r="1358" spans="1:17" x14ac:dyDescent="0.25">
      <c r="A1358" s="36" t="s">
        <v>157</v>
      </c>
      <c r="B1358" s="37">
        <v>43466</v>
      </c>
      <c r="C1358" s="37">
        <v>43492.40861241924</v>
      </c>
      <c r="D1358" s="36"/>
      <c r="E1358" s="39" t="s">
        <v>223</v>
      </c>
      <c r="F1358" s="38">
        <v>0</v>
      </c>
      <c r="G1358" s="40">
        <f>VLOOKUP(A1358,'DATOS GENERALES'!A:B,2,0)</f>
        <v>1.5</v>
      </c>
      <c r="H1358" s="36">
        <f t="shared" si="105"/>
        <v>1.4930999999999999</v>
      </c>
      <c r="I1358" s="38">
        <f t="shared" ref="I1358:I1369" si="110">F1358/H1358</f>
        <v>0</v>
      </c>
      <c r="J1358" s="38">
        <f t="shared" ref="J1358:J1369" si="111">F1358-I1358</f>
        <v>0</v>
      </c>
      <c r="K1358" s="36"/>
      <c r="L1358" s="38">
        <f t="shared" ref="L1358:L1369" si="112">IFERROR(J1358-K1358,"")</f>
        <v>0</v>
      </c>
      <c r="M1358" s="41">
        <f>VLOOKUP(INDICADORES!$B$21,'DATOS GENERALES'!$K:$M,3,0)*F1358</f>
        <v>0</v>
      </c>
      <c r="N1358" s="38">
        <f t="shared" ref="N1358:N1369" si="113">IFERROR(L1358-M1358,"")</f>
        <v>0</v>
      </c>
      <c r="O1358" s="36"/>
      <c r="P1358" s="36"/>
      <c r="Q1358" s="36"/>
    </row>
    <row r="1359" spans="1:17" x14ac:dyDescent="0.25">
      <c r="A1359" s="36" t="s">
        <v>157</v>
      </c>
      <c r="B1359" s="37">
        <v>43497</v>
      </c>
      <c r="C1359" s="37">
        <v>43564.786913397249</v>
      </c>
      <c r="D1359" s="36"/>
      <c r="E1359" s="39" t="s">
        <v>223</v>
      </c>
      <c r="F1359" s="38">
        <v>62946300.296504878</v>
      </c>
      <c r="G1359" s="40">
        <f>VLOOKUP(A1359,'DATOS GENERALES'!A:B,2,0)</f>
        <v>1.5</v>
      </c>
      <c r="H1359" s="36">
        <f t="shared" si="105"/>
        <v>1.4930999999999999</v>
      </c>
      <c r="I1359" s="38">
        <f t="shared" si="110"/>
        <v>42158127.584558889</v>
      </c>
      <c r="J1359" s="38">
        <f t="shared" si="111"/>
        <v>20788172.711945988</v>
      </c>
      <c r="K1359" s="36"/>
      <c r="L1359" s="38">
        <f t="shared" si="112"/>
        <v>20788172.711945988</v>
      </c>
      <c r="M1359" s="41">
        <f>VLOOKUP(INDICADORES!$B$21,'DATOS GENERALES'!$K:$M,3,0)*F1359</f>
        <v>428414.17475362582</v>
      </c>
      <c r="N1359" s="38">
        <f t="shared" si="113"/>
        <v>20359758.537192363</v>
      </c>
      <c r="O1359" s="36"/>
      <c r="P1359" s="36"/>
      <c r="Q1359" s="36"/>
    </row>
    <row r="1360" spans="1:17" x14ac:dyDescent="0.25">
      <c r="A1360" s="36" t="s">
        <v>157</v>
      </c>
      <c r="B1360" s="37">
        <v>43525</v>
      </c>
      <c r="C1360" s="37">
        <v>43610.039259865749</v>
      </c>
      <c r="D1360" s="36"/>
      <c r="E1360" s="39" t="s">
        <v>223</v>
      </c>
      <c r="F1360" s="38">
        <v>223471469.45540509</v>
      </c>
      <c r="G1360" s="40">
        <f>VLOOKUP(A1360,'DATOS GENERALES'!A:B,2,0)</f>
        <v>1.5</v>
      </c>
      <c r="H1360" s="36">
        <f t="shared" si="105"/>
        <v>1.4930999999999999</v>
      </c>
      <c r="I1360" s="38">
        <f t="shared" si="110"/>
        <v>149669459.14902225</v>
      </c>
      <c r="J1360" s="38">
        <f t="shared" si="111"/>
        <v>73802010.306382835</v>
      </c>
      <c r="K1360" s="36"/>
      <c r="L1360" s="38">
        <f t="shared" si="112"/>
        <v>73802010.306382835</v>
      </c>
      <c r="M1360" s="41">
        <f>VLOOKUP(INDICADORES!$B$21,'DATOS GENERALES'!$K:$M,3,0)*F1360</f>
        <v>1520952.6964531287</v>
      </c>
      <c r="N1360" s="38">
        <f t="shared" si="113"/>
        <v>72281057.609929711</v>
      </c>
      <c r="O1360" s="36"/>
      <c r="P1360" s="36"/>
      <c r="Q1360" s="36"/>
    </row>
    <row r="1361" spans="1:17" x14ac:dyDescent="0.25">
      <c r="A1361" s="36" t="s">
        <v>157</v>
      </c>
      <c r="B1361" s="37">
        <v>43556</v>
      </c>
      <c r="C1361" s="37">
        <v>43590.273386542191</v>
      </c>
      <c r="D1361" s="36"/>
      <c r="E1361" s="39" t="s">
        <v>223</v>
      </c>
      <c r="F1361" s="38">
        <v>409758312.58426094</v>
      </c>
      <c r="G1361" s="40">
        <f>VLOOKUP(A1361,'DATOS GENERALES'!A:B,2,0)</f>
        <v>1.5</v>
      </c>
      <c r="H1361" s="36">
        <f t="shared" si="105"/>
        <v>1.4930999999999999</v>
      </c>
      <c r="I1361" s="38">
        <f t="shared" si="110"/>
        <v>274434607.58439553</v>
      </c>
      <c r="J1361" s="38">
        <f t="shared" si="111"/>
        <v>135323704.99986541</v>
      </c>
      <c r="K1361" s="36"/>
      <c r="L1361" s="38">
        <f t="shared" si="112"/>
        <v>135323704.99986541</v>
      </c>
      <c r="M1361" s="41">
        <f>VLOOKUP(INDICADORES!$B$21,'DATOS GENERALES'!$K:$M,3,0)*F1361</f>
        <v>2788825.8484982271</v>
      </c>
      <c r="N1361" s="38">
        <f t="shared" si="113"/>
        <v>132534879.15136719</v>
      </c>
      <c r="O1361" s="36"/>
      <c r="P1361" s="36"/>
      <c r="Q1361" s="36"/>
    </row>
    <row r="1362" spans="1:17" x14ac:dyDescent="0.25">
      <c r="A1362" s="36" t="s">
        <v>157</v>
      </c>
      <c r="B1362" s="37">
        <v>43586</v>
      </c>
      <c r="C1362" s="37">
        <v>43638.899260593666</v>
      </c>
      <c r="D1362" s="36"/>
      <c r="E1362" s="39" t="s">
        <v>223</v>
      </c>
      <c r="F1362" s="38">
        <v>613286398.99724996</v>
      </c>
      <c r="G1362" s="40">
        <f>VLOOKUP(A1362,'DATOS GENERALES'!A:B,2,0)</f>
        <v>1.5</v>
      </c>
      <c r="H1362" s="36">
        <f t="shared" si="105"/>
        <v>1.4930999999999999</v>
      </c>
      <c r="I1362" s="38">
        <f t="shared" si="110"/>
        <v>410747035.69570023</v>
      </c>
      <c r="J1362" s="38">
        <f t="shared" si="111"/>
        <v>202539363.30154973</v>
      </c>
      <c r="K1362" s="36"/>
      <c r="L1362" s="38">
        <f t="shared" si="112"/>
        <v>202539363.30154973</v>
      </c>
      <c r="M1362" s="41">
        <f>VLOOKUP(INDICADORES!$B$21,'DATOS GENERALES'!$K:$M,3,0)*F1362</f>
        <v>4174043.3556286157</v>
      </c>
      <c r="N1362" s="38">
        <f t="shared" si="113"/>
        <v>198365319.94592112</v>
      </c>
      <c r="O1362" s="36"/>
      <c r="P1362" s="36"/>
      <c r="Q1362" s="36"/>
    </row>
    <row r="1363" spans="1:17" x14ac:dyDescent="0.25">
      <c r="A1363" s="36" t="s">
        <v>157</v>
      </c>
      <c r="B1363" s="37">
        <v>43617</v>
      </c>
      <c r="C1363" s="37">
        <v>43645.739454307397</v>
      </c>
      <c r="D1363" s="36"/>
      <c r="E1363" s="39" t="s">
        <v>223</v>
      </c>
      <c r="F1363" s="38">
        <v>807344457.87258947</v>
      </c>
      <c r="G1363" s="40">
        <f>VLOOKUP(A1363,'DATOS GENERALES'!A:B,2,0)</f>
        <v>1.5</v>
      </c>
      <c r="H1363" s="36">
        <f t="shared" si="105"/>
        <v>1.4930999999999999</v>
      </c>
      <c r="I1363" s="38">
        <f t="shared" si="110"/>
        <v>540716936.48957837</v>
      </c>
      <c r="J1363" s="38">
        <f t="shared" si="111"/>
        <v>266627521.3830111</v>
      </c>
      <c r="K1363" s="36"/>
      <c r="L1363" s="38">
        <f t="shared" si="112"/>
        <v>266627521.3830111</v>
      </c>
      <c r="M1363" s="41">
        <f>VLOOKUP(INDICADORES!$B$21,'DATOS GENERALES'!$K:$M,3,0)*F1363</f>
        <v>5494807.6063590962</v>
      </c>
      <c r="N1363" s="38">
        <f t="shared" si="113"/>
        <v>261132713.77665201</v>
      </c>
      <c r="O1363" s="36"/>
      <c r="P1363" s="36"/>
      <c r="Q1363" s="36"/>
    </row>
    <row r="1364" spans="1:17" x14ac:dyDescent="0.25">
      <c r="A1364" s="36" t="s">
        <v>157</v>
      </c>
      <c r="B1364" s="37">
        <v>43647</v>
      </c>
      <c r="C1364" s="37">
        <v>43708.714425687875</v>
      </c>
      <c r="D1364" s="36"/>
      <c r="E1364" s="39" t="s">
        <v>223</v>
      </c>
      <c r="F1364" s="38">
        <v>986433993.63619196</v>
      </c>
      <c r="G1364" s="40">
        <f>VLOOKUP(A1364,'DATOS GENERALES'!A:B,2,0)</f>
        <v>1.5</v>
      </c>
      <c r="H1364" s="36">
        <f t="shared" si="105"/>
        <v>1.4930999999999999</v>
      </c>
      <c r="I1364" s="38">
        <f t="shared" si="110"/>
        <v>660661706.27298379</v>
      </c>
      <c r="J1364" s="38">
        <f t="shared" si="111"/>
        <v>325772287.36320817</v>
      </c>
      <c r="K1364" s="36"/>
      <c r="L1364" s="38">
        <f t="shared" si="112"/>
        <v>325772287.36320817</v>
      </c>
      <c r="M1364" s="41">
        <f>VLOOKUP(INDICADORES!$B$21,'DATOS GENERALES'!$K:$M,3,0)*F1364</f>
        <v>6713695.6952502225</v>
      </c>
      <c r="N1364" s="38">
        <f t="shared" si="113"/>
        <v>319058591.66795796</v>
      </c>
      <c r="O1364" s="36"/>
      <c r="P1364" s="36"/>
      <c r="Q1364" s="36"/>
    </row>
    <row r="1365" spans="1:17" x14ac:dyDescent="0.25">
      <c r="A1365" s="36" t="s">
        <v>157</v>
      </c>
      <c r="B1365" s="37">
        <v>43678</v>
      </c>
      <c r="C1365" s="37">
        <v>43689.007575858093</v>
      </c>
      <c r="D1365" s="36"/>
      <c r="E1365" s="39" t="s">
        <v>223</v>
      </c>
      <c r="F1365" s="38">
        <v>1136844402.3221123</v>
      </c>
      <c r="G1365" s="40">
        <f>VLOOKUP(A1365,'DATOS GENERALES'!A:B,2,0)</f>
        <v>1.5</v>
      </c>
      <c r="H1365" s="36">
        <f t="shared" si="105"/>
        <v>1.4930999999999999</v>
      </c>
      <c r="I1365" s="38">
        <f t="shared" si="110"/>
        <v>761398702.24506891</v>
      </c>
      <c r="J1365" s="38">
        <f t="shared" si="111"/>
        <v>375445700.07704341</v>
      </c>
      <c r="K1365" s="36"/>
      <c r="L1365" s="38">
        <f t="shared" si="112"/>
        <v>375445700.07704341</v>
      </c>
      <c r="M1365" s="41">
        <f>VLOOKUP(INDICADORES!$B$21,'DATOS GENERALES'!$K:$M,3,0)*F1365</f>
        <v>7737392.8912411379</v>
      </c>
      <c r="N1365" s="38">
        <f t="shared" si="113"/>
        <v>367708307.18580228</v>
      </c>
      <c r="O1365" s="36"/>
      <c r="P1365" s="36"/>
      <c r="Q1365" s="36"/>
    </row>
    <row r="1366" spans="1:17" x14ac:dyDescent="0.25">
      <c r="A1366" s="36" t="s">
        <v>157</v>
      </c>
      <c r="B1366" s="37">
        <v>43709</v>
      </c>
      <c r="C1366" s="37">
        <v>43756.655733432541</v>
      </c>
      <c r="D1366" s="36"/>
      <c r="E1366" s="39" t="s">
        <v>223</v>
      </c>
      <c r="F1366" s="38">
        <v>1270257037.0897892</v>
      </c>
      <c r="G1366" s="40">
        <f>VLOOKUP(A1366,'DATOS GENERALES'!A:B,2,0)</f>
        <v>1.5</v>
      </c>
      <c r="H1366" s="36">
        <f t="shared" si="105"/>
        <v>1.4930999999999999</v>
      </c>
      <c r="I1366" s="38">
        <f t="shared" si="110"/>
        <v>850751481.54161763</v>
      </c>
      <c r="J1366" s="38">
        <f t="shared" si="111"/>
        <v>419505555.54817152</v>
      </c>
      <c r="K1366" s="36"/>
      <c r="L1366" s="38">
        <f t="shared" si="112"/>
        <v>419505555.54817152</v>
      </c>
      <c r="M1366" s="41">
        <f>VLOOKUP(INDICADORES!$B$21,'DATOS GENERALES'!$K:$M,3,0)*F1366</f>
        <v>8645402.7910521161</v>
      </c>
      <c r="N1366" s="38">
        <f t="shared" si="113"/>
        <v>410860152.75711942</v>
      </c>
      <c r="O1366" s="36"/>
      <c r="P1366" s="36"/>
      <c r="Q1366" s="36"/>
    </row>
    <row r="1367" spans="1:17" x14ac:dyDescent="0.25">
      <c r="A1367" s="36" t="s">
        <v>157</v>
      </c>
      <c r="B1367" s="37">
        <v>43739</v>
      </c>
      <c r="C1367" s="37">
        <v>43815.851151282062</v>
      </c>
      <c r="D1367" s="36"/>
      <c r="E1367" s="39" t="s">
        <v>223</v>
      </c>
      <c r="F1367" s="38">
        <v>1397969735.6108778</v>
      </c>
      <c r="G1367" s="40">
        <f>VLOOKUP(A1367,'DATOS GENERALES'!A:B,2,0)</f>
        <v>1.5</v>
      </c>
      <c r="H1367" s="36">
        <f t="shared" si="105"/>
        <v>1.4930999999999999</v>
      </c>
      <c r="I1367" s="38">
        <f t="shared" si="110"/>
        <v>936286742.75726867</v>
      </c>
      <c r="J1367" s="38">
        <f t="shared" si="111"/>
        <v>461682992.85360909</v>
      </c>
      <c r="K1367" s="36"/>
      <c r="L1367" s="38">
        <f t="shared" si="112"/>
        <v>461682992.85360909</v>
      </c>
      <c r="M1367" s="41">
        <f>VLOOKUP(INDICADORES!$B$21,'DATOS GENERALES'!$K:$M,3,0)*F1367</f>
        <v>9514618.7749104835</v>
      </c>
      <c r="N1367" s="38">
        <f t="shared" si="113"/>
        <v>452168374.07869858</v>
      </c>
      <c r="O1367" s="36"/>
      <c r="P1367" s="36"/>
      <c r="Q1367" s="36"/>
    </row>
    <row r="1368" spans="1:17" x14ac:dyDescent="0.25">
      <c r="A1368" s="36" t="s">
        <v>157</v>
      </c>
      <c r="B1368" s="37">
        <v>43770</v>
      </c>
      <c r="C1368" s="37">
        <v>43847.030592856223</v>
      </c>
      <c r="D1368" s="36"/>
      <c r="E1368" s="39" t="s">
        <v>223</v>
      </c>
      <c r="F1368" s="38">
        <v>1518504570.1576886</v>
      </c>
      <c r="G1368" s="40">
        <f>VLOOKUP(A1368,'DATOS GENERALES'!A:B,2,0)</f>
        <v>1.5</v>
      </c>
      <c r="H1368" s="36">
        <f t="shared" si="105"/>
        <v>1.4930999999999999</v>
      </c>
      <c r="I1368" s="38">
        <f t="shared" si="110"/>
        <v>1017014647.4835502</v>
      </c>
      <c r="J1368" s="38">
        <f t="shared" si="111"/>
        <v>501489922.67413843</v>
      </c>
      <c r="K1368" s="36"/>
      <c r="L1368" s="38">
        <f t="shared" si="112"/>
        <v>501489922.67413843</v>
      </c>
      <c r="M1368" s="41">
        <f>VLOOKUP(INDICADORES!$B$21,'DATOS GENERALES'!$K:$M,3,0)*F1368</f>
        <v>10334982.027845051</v>
      </c>
      <c r="N1368" s="38">
        <f t="shared" si="113"/>
        <v>491154940.6462934</v>
      </c>
      <c r="O1368" s="36"/>
      <c r="P1368" s="36"/>
      <c r="Q1368" s="36"/>
    </row>
    <row r="1369" spans="1:17" x14ac:dyDescent="0.25">
      <c r="A1369" s="36" t="s">
        <v>157</v>
      </c>
      <c r="B1369" s="37">
        <v>43800</v>
      </c>
      <c r="C1369" s="37">
        <v>43847.582496209136</v>
      </c>
      <c r="D1369" s="36"/>
      <c r="E1369" s="39" t="s">
        <v>223</v>
      </c>
      <c r="F1369" s="38">
        <v>1629046331.4775155</v>
      </c>
      <c r="G1369" s="40">
        <f>VLOOKUP(A1369,'DATOS GENERALES'!A:B,2,0)</f>
        <v>1.5</v>
      </c>
      <c r="H1369" s="36">
        <f t="shared" si="105"/>
        <v>1.4930999999999999</v>
      </c>
      <c r="I1369" s="38">
        <f t="shared" si="110"/>
        <v>1091049716.3468726</v>
      </c>
      <c r="J1369" s="38">
        <f t="shared" si="111"/>
        <v>537996615.13064289</v>
      </c>
      <c r="K1369" s="36"/>
      <c r="L1369" s="38">
        <f t="shared" si="112"/>
        <v>537996615.13064289</v>
      </c>
      <c r="M1369" s="41">
        <f>VLOOKUP(INDICADORES!$B$21,'DATOS GENERALES'!$K:$M,3,0)*F1369</f>
        <v>11087332.161666585</v>
      </c>
      <c r="N1369" s="38">
        <f t="shared" si="113"/>
        <v>526909282.96897632</v>
      </c>
      <c r="O1369" s="36"/>
      <c r="P1369" s="36"/>
      <c r="Q1369" s="36"/>
    </row>
  </sheetData>
  <autoFilter ref="A1:Q1321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AF2FC-E371-4A46-B18C-0E3E4EFA5251}">
  <sheetPr>
    <tabColor theme="4"/>
  </sheetPr>
  <dimension ref="A1:C5"/>
  <sheetViews>
    <sheetView workbookViewId="0">
      <selection activeCell="B2" sqref="B2"/>
    </sheetView>
  </sheetViews>
  <sheetFormatPr baseColWidth="10" defaultRowHeight="15" x14ac:dyDescent="0.25"/>
  <cols>
    <col min="1" max="1" width="13.42578125" customWidth="1"/>
    <col min="2" max="2" width="23.85546875" customWidth="1"/>
    <col min="3" max="3" width="38.28515625" customWidth="1"/>
  </cols>
  <sheetData>
    <row r="1" spans="1:3" x14ac:dyDescent="0.25">
      <c r="A1" s="44" t="s">
        <v>257</v>
      </c>
      <c r="B1" s="44" t="s">
        <v>258</v>
      </c>
      <c r="C1" s="44" t="s">
        <v>259</v>
      </c>
    </row>
    <row r="2" spans="1:3" x14ac:dyDescent="0.25">
      <c r="A2" s="45">
        <v>1</v>
      </c>
      <c r="B2" s="46" t="s">
        <v>260</v>
      </c>
      <c r="C2" s="46" t="s">
        <v>261</v>
      </c>
    </row>
    <row r="3" spans="1:3" x14ac:dyDescent="0.25">
      <c r="A3" s="45">
        <v>2</v>
      </c>
      <c r="B3" s="46" t="s">
        <v>262</v>
      </c>
      <c r="C3" s="46" t="s">
        <v>261</v>
      </c>
    </row>
    <row r="4" spans="1:3" x14ac:dyDescent="0.25">
      <c r="A4" s="45">
        <v>3</v>
      </c>
      <c r="B4" s="46" t="s">
        <v>260</v>
      </c>
      <c r="C4" s="46" t="s">
        <v>263</v>
      </c>
    </row>
    <row r="5" spans="1:3" x14ac:dyDescent="0.25">
      <c r="A5" s="45">
        <v>4</v>
      </c>
      <c r="B5" s="46" t="s">
        <v>262</v>
      </c>
      <c r="C5" s="46" t="s">
        <v>263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EE277-935B-431C-8D6B-F9CF1A0CC4FD}">
  <sheetPr>
    <tabColor theme="4"/>
  </sheetPr>
  <dimension ref="A1:B3"/>
  <sheetViews>
    <sheetView workbookViewId="0">
      <selection activeCell="B1" sqref="B1"/>
    </sheetView>
  </sheetViews>
  <sheetFormatPr baseColWidth="10" defaultRowHeight="15" x14ac:dyDescent="0.25"/>
  <cols>
    <col min="1" max="1" width="25.5703125" customWidth="1"/>
    <col min="2" max="2" width="56.7109375" customWidth="1"/>
  </cols>
  <sheetData>
    <row r="1" spans="1:2" x14ac:dyDescent="0.25">
      <c r="A1" s="44" t="s">
        <v>206</v>
      </c>
      <c r="B1" s="44" t="s">
        <v>254</v>
      </c>
    </row>
    <row r="2" spans="1:2" ht="30" x14ac:dyDescent="0.25">
      <c r="A2" s="42">
        <v>1</v>
      </c>
      <c r="B2" s="43" t="s">
        <v>255</v>
      </c>
    </row>
    <row r="3" spans="1:2" ht="30" x14ac:dyDescent="0.25">
      <c r="A3" s="36">
        <v>2</v>
      </c>
      <c r="B3" s="43" t="s">
        <v>256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C000"/>
  </sheetPr>
  <dimension ref="A1:B14"/>
  <sheetViews>
    <sheetView showGridLines="0" workbookViewId="0">
      <selection sqref="A1:B1"/>
    </sheetView>
  </sheetViews>
  <sheetFormatPr baseColWidth="10" defaultRowHeight="15" x14ac:dyDescent="0.25"/>
  <cols>
    <col min="1" max="1" width="58" bestFit="1" customWidth="1"/>
    <col min="2" max="2" width="125.140625" customWidth="1"/>
  </cols>
  <sheetData>
    <row r="1" spans="1:2" x14ac:dyDescent="0.25">
      <c r="A1" s="44" t="s">
        <v>233</v>
      </c>
      <c r="B1" s="44" t="s">
        <v>253</v>
      </c>
    </row>
    <row r="2" spans="1:2" ht="31.5" x14ac:dyDescent="0.25">
      <c r="A2" s="31" t="s">
        <v>234</v>
      </c>
      <c r="B2" s="28" t="s">
        <v>235</v>
      </c>
    </row>
    <row r="3" spans="1:2" ht="15.75" x14ac:dyDescent="0.25">
      <c r="A3" s="31" t="s">
        <v>236</v>
      </c>
      <c r="B3" s="28" t="s">
        <v>237</v>
      </c>
    </row>
    <row r="4" spans="1:2" ht="15.75" x14ac:dyDescent="0.25">
      <c r="A4" s="31" t="s">
        <v>238</v>
      </c>
      <c r="B4" s="28" t="s">
        <v>239</v>
      </c>
    </row>
    <row r="5" spans="1:2" ht="15.75" x14ac:dyDescent="0.25">
      <c r="A5" s="31" t="s">
        <v>240</v>
      </c>
      <c r="B5" s="32" t="s">
        <v>241</v>
      </c>
    </row>
    <row r="6" spans="1:2" ht="15.75" x14ac:dyDescent="0.25">
      <c r="A6" s="31" t="s">
        <v>242</v>
      </c>
      <c r="B6" s="33"/>
    </row>
    <row r="7" spans="1:2" ht="15.75" x14ac:dyDescent="0.25">
      <c r="A7" s="31" t="s">
        <v>243</v>
      </c>
      <c r="B7" s="28" t="s">
        <v>244</v>
      </c>
    </row>
    <row r="8" spans="1:2" ht="15.75" x14ac:dyDescent="0.25">
      <c r="A8" s="31" t="s">
        <v>190</v>
      </c>
      <c r="B8" s="28" t="s">
        <v>245</v>
      </c>
    </row>
    <row r="9" spans="1:2" ht="15.75" x14ac:dyDescent="0.25">
      <c r="A9" s="31" t="s">
        <v>193</v>
      </c>
      <c r="B9" s="28" t="s">
        <v>246</v>
      </c>
    </row>
    <row r="10" spans="1:2" ht="15.75" x14ac:dyDescent="0.25">
      <c r="A10" s="34" t="s">
        <v>211</v>
      </c>
      <c r="B10" s="29" t="s">
        <v>247</v>
      </c>
    </row>
    <row r="11" spans="1:2" ht="15.75" x14ac:dyDescent="0.25">
      <c r="A11" s="35"/>
      <c r="B11" s="30" t="s">
        <v>248</v>
      </c>
    </row>
    <row r="12" spans="1:2" ht="15.75" x14ac:dyDescent="0.25">
      <c r="A12" s="34" t="s">
        <v>249</v>
      </c>
      <c r="B12" s="29" t="s">
        <v>250</v>
      </c>
    </row>
    <row r="13" spans="1:2" ht="15.75" x14ac:dyDescent="0.25">
      <c r="A13" s="35"/>
      <c r="B13" s="30" t="s">
        <v>251</v>
      </c>
    </row>
    <row r="14" spans="1:2" ht="31.5" x14ac:dyDescent="0.25">
      <c r="A14" s="31" t="s">
        <v>207</v>
      </c>
      <c r="B14" s="28" t="s">
        <v>252</v>
      </c>
    </row>
  </sheetData>
  <mergeCells count="3">
    <mergeCell ref="B5:B6"/>
    <mergeCell ref="A10:A11"/>
    <mergeCell ref="A12:A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92D050"/>
  </sheetPr>
  <dimension ref="A1:O13"/>
  <sheetViews>
    <sheetView workbookViewId="0">
      <selection activeCell="B6" sqref="B6"/>
    </sheetView>
  </sheetViews>
  <sheetFormatPr baseColWidth="10" defaultRowHeight="15" x14ac:dyDescent="0.25"/>
  <cols>
    <col min="1" max="1" width="31" customWidth="1"/>
    <col min="2" max="2" width="22.42578125" customWidth="1"/>
    <col min="3" max="13" width="14.140625" bestFit="1" customWidth="1"/>
    <col min="14" max="14" width="15.140625" bestFit="1" customWidth="1"/>
    <col min="15" max="27" width="14" bestFit="1" customWidth="1"/>
    <col min="28" max="35" width="13" bestFit="1" customWidth="1"/>
    <col min="36" max="36" width="16.7109375" bestFit="1" customWidth="1"/>
  </cols>
  <sheetData>
    <row r="1" spans="1:15" x14ac:dyDescent="0.25">
      <c r="A1" s="8" t="s">
        <v>0</v>
      </c>
      <c r="B1" s="16" t="s">
        <v>171</v>
      </c>
    </row>
    <row r="2" spans="1:15" x14ac:dyDescent="0.25">
      <c r="A2" s="8" t="s">
        <v>196</v>
      </c>
      <c r="B2" s="16" t="s">
        <v>179</v>
      </c>
    </row>
    <row r="3" spans="1:15" x14ac:dyDescent="0.25">
      <c r="A3" s="8" t="s">
        <v>224</v>
      </c>
      <c r="B3" s="16" t="s">
        <v>179</v>
      </c>
    </row>
    <row r="5" spans="1:15" x14ac:dyDescent="0.25">
      <c r="A5" s="8" t="s">
        <v>199</v>
      </c>
      <c r="B5" s="8" t="s">
        <v>150</v>
      </c>
    </row>
    <row r="6" spans="1:15" x14ac:dyDescent="0.25">
      <c r="B6" s="16" t="s">
        <v>152</v>
      </c>
      <c r="N6" s="16" t="s">
        <v>151</v>
      </c>
    </row>
    <row r="7" spans="1:15" x14ac:dyDescent="0.25">
      <c r="A7" s="8" t="s">
        <v>155</v>
      </c>
      <c r="B7" s="6" t="s">
        <v>153</v>
      </c>
      <c r="C7" s="6" t="s">
        <v>154</v>
      </c>
      <c r="D7" s="6" t="s">
        <v>161</v>
      </c>
      <c r="E7" s="6" t="s">
        <v>162</v>
      </c>
      <c r="F7" s="6" t="s">
        <v>163</v>
      </c>
      <c r="G7" s="6" t="s">
        <v>164</v>
      </c>
      <c r="H7" s="6" t="s">
        <v>165</v>
      </c>
      <c r="I7" s="6" t="s">
        <v>166</v>
      </c>
      <c r="J7" s="6" t="s">
        <v>167</v>
      </c>
      <c r="K7" s="6" t="s">
        <v>168</v>
      </c>
      <c r="L7" s="6" t="s">
        <v>169</v>
      </c>
      <c r="M7" s="6" t="s">
        <v>170</v>
      </c>
    </row>
    <row r="8" spans="1:15" x14ac:dyDescent="0.25">
      <c r="A8" s="9" t="s">
        <v>8</v>
      </c>
      <c r="B8" s="15">
        <v>2794351707.3835292</v>
      </c>
      <c r="C8" s="15">
        <v>2908938596.2494683</v>
      </c>
      <c r="D8" s="15">
        <v>2871777328.3485312</v>
      </c>
      <c r="E8" s="15">
        <v>2717003283.8211403</v>
      </c>
      <c r="F8" s="15">
        <v>2200971053.1680808</v>
      </c>
      <c r="G8" s="15">
        <v>2447378943.4245019</v>
      </c>
      <c r="H8" s="15">
        <v>1757840119.4677904</v>
      </c>
      <c r="I8" s="15">
        <v>1692393362.0848844</v>
      </c>
      <c r="J8" s="15">
        <v>1533803047.0530906</v>
      </c>
      <c r="K8" s="15">
        <v>1413278901.7838819</v>
      </c>
      <c r="L8" s="15">
        <v>1223307581.4309525</v>
      </c>
      <c r="M8" s="15">
        <v>1175806689.9454138</v>
      </c>
      <c r="N8" s="15">
        <v>24736850614.161266</v>
      </c>
      <c r="O8" s="20">
        <f>N8/$N$13</f>
        <v>0.72481676822567254</v>
      </c>
    </row>
    <row r="9" spans="1:15" x14ac:dyDescent="0.25">
      <c r="A9" s="9" t="s">
        <v>158</v>
      </c>
      <c r="B9" s="15"/>
      <c r="C9" s="15"/>
      <c r="D9" s="15"/>
      <c r="E9" s="15">
        <v>113931505</v>
      </c>
      <c r="F9" s="15">
        <v>886635143.78999996</v>
      </c>
      <c r="G9" s="15">
        <v>161433687</v>
      </c>
      <c r="H9" s="15"/>
      <c r="I9" s="15"/>
      <c r="J9" s="15"/>
      <c r="K9" s="15"/>
      <c r="L9" s="15"/>
      <c r="M9" s="15"/>
      <c r="N9" s="15">
        <v>1162000335.79</v>
      </c>
      <c r="O9" s="20">
        <f>N9/$N$13</f>
        <v>3.404788027390572E-2</v>
      </c>
    </row>
    <row r="10" spans="1:15" x14ac:dyDescent="0.25">
      <c r="A10" s="9" t="s">
        <v>172</v>
      </c>
      <c r="B10" s="15">
        <v>13105734.300000001</v>
      </c>
      <c r="C10" s="15">
        <v>39691874.539999999</v>
      </c>
      <c r="D10" s="15">
        <v>466647576.91000003</v>
      </c>
      <c r="E10" s="15">
        <v>277757983.00000006</v>
      </c>
      <c r="F10" s="15">
        <v>193325410.73000008</v>
      </c>
      <c r="G10" s="15">
        <v>283865048.44304019</v>
      </c>
      <c r="H10" s="15">
        <v>142959743.37775993</v>
      </c>
      <c r="I10" s="15">
        <v>194610256.35320002</v>
      </c>
      <c r="J10" s="15">
        <v>184627166.86367989</v>
      </c>
      <c r="K10" s="15">
        <v>192950650.32607999</v>
      </c>
      <c r="L10" s="15">
        <v>167475190.21960002</v>
      </c>
      <c r="M10" s="15">
        <v>205289550.99031997</v>
      </c>
      <c r="N10" s="15">
        <v>2362306186.0536804</v>
      </c>
      <c r="O10" s="20">
        <f>N10/$N$13</f>
        <v>6.9218154001978172E-2</v>
      </c>
    </row>
    <row r="11" spans="1:15" x14ac:dyDescent="0.25">
      <c r="A11" s="9" t="s">
        <v>222</v>
      </c>
      <c r="B11" s="15">
        <v>0</v>
      </c>
      <c r="C11" s="15">
        <v>29723362.07914333</v>
      </c>
      <c r="D11" s="15">
        <v>106493295.64064981</v>
      </c>
      <c r="E11" s="15">
        <v>212154874.02579421</v>
      </c>
      <c r="F11" s="15">
        <v>306283344.13891673</v>
      </c>
      <c r="G11" s="15">
        <v>402829101.16013914</v>
      </c>
      <c r="H11" s="15">
        <v>504540568.92664355</v>
      </c>
      <c r="I11" s="15">
        <v>591722058.84424269</v>
      </c>
      <c r="J11" s="15">
        <v>657023582.20424581</v>
      </c>
      <c r="K11" s="15">
        <v>731693920.82438624</v>
      </c>
      <c r="L11" s="15">
        <v>788166760.38460636</v>
      </c>
      <c r="M11" s="15">
        <v>862325415.31937265</v>
      </c>
      <c r="N11" s="15">
        <v>5192956283.5481396</v>
      </c>
      <c r="O11" s="20">
        <f>N11/$N$13</f>
        <v>0.15215929665774808</v>
      </c>
    </row>
    <row r="12" spans="1:15" x14ac:dyDescent="0.25">
      <c r="A12" s="9" t="s">
        <v>136</v>
      </c>
      <c r="B12" s="15"/>
      <c r="C12" s="15">
        <v>29813870</v>
      </c>
      <c r="D12" s="15">
        <v>83014864.99117288</v>
      </c>
      <c r="E12" s="15">
        <v>108086494.86617288</v>
      </c>
      <c r="F12" s="15">
        <v>165549112.80723679</v>
      </c>
      <c r="G12" s="15">
        <v>86247816</v>
      </c>
      <c r="H12" s="15">
        <v>62778573</v>
      </c>
      <c r="I12" s="15">
        <v>62778573</v>
      </c>
      <c r="J12" s="15">
        <v>62778573</v>
      </c>
      <c r="K12" s="15"/>
      <c r="L12" s="15"/>
      <c r="M12" s="15">
        <v>13258047.600000001</v>
      </c>
      <c r="N12" s="15">
        <v>674305925.26458251</v>
      </c>
      <c r="O12" s="20">
        <f>N12/$N$13</f>
        <v>1.9757900840695529E-2</v>
      </c>
    </row>
    <row r="13" spans="1:15" x14ac:dyDescent="0.25">
      <c r="A13" s="9" t="s">
        <v>151</v>
      </c>
      <c r="B13" s="15">
        <v>2807457441.6835294</v>
      </c>
      <c r="C13" s="15">
        <v>3008167702.8686118</v>
      </c>
      <c r="D13" s="15">
        <v>3527933065.8903537</v>
      </c>
      <c r="E13" s="15">
        <v>3428934140.7131071</v>
      </c>
      <c r="F13" s="15">
        <v>3752764064.6342344</v>
      </c>
      <c r="G13" s="15">
        <v>3381754596.0276814</v>
      </c>
      <c r="H13" s="15">
        <v>2468119004.7721939</v>
      </c>
      <c r="I13" s="15">
        <v>2541504250.2823272</v>
      </c>
      <c r="J13" s="15">
        <v>2438232369.1210165</v>
      </c>
      <c r="K13" s="15">
        <v>2337923472.9343481</v>
      </c>
      <c r="L13" s="15">
        <v>2178949532.0351591</v>
      </c>
      <c r="M13" s="15">
        <v>2256679703.8551064</v>
      </c>
      <c r="N13" s="15">
        <v>34128419344.817669</v>
      </c>
      <c r="O13" s="2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2D050"/>
  </sheetPr>
  <dimension ref="A1:N25"/>
  <sheetViews>
    <sheetView tabSelected="1" workbookViewId="0">
      <pane xSplit="1" ySplit="7" topLeftCell="B8" activePane="bottomRight" state="frozen"/>
      <selection activeCell="A8" sqref="A8:N12"/>
      <selection pane="topRight" activeCell="A8" sqref="A8:N12"/>
      <selection pane="bottomLeft" activeCell="A8" sqref="A8:N12"/>
      <selection pane="bottomRight" activeCell="A9" sqref="A9:N9"/>
      <pivotSelection showHeader="1" extendable="1" axis="axisRow" start="1" max="7" activeRow="8" previousRow="8" click="1" r:id="rId1">
        <pivotArea dataOnly="0" outline="0" fieldPosition="0">
          <references count="1">
            <reference field="4294967294" count="1">
              <x v="1"/>
            </reference>
          </references>
        </pivotArea>
      </pivotSelection>
    </sheetView>
  </sheetViews>
  <sheetFormatPr baseColWidth="10" defaultRowHeight="15" x14ac:dyDescent="0.25"/>
  <cols>
    <col min="1" max="1" width="31" customWidth="1"/>
    <col min="2" max="2" width="22.42578125" customWidth="1"/>
    <col min="3" max="13" width="14.140625" customWidth="1"/>
    <col min="14" max="14" width="15.140625" customWidth="1"/>
    <col min="15" max="27" width="12.5703125" bestFit="1" customWidth="1"/>
    <col min="28" max="35" width="11.5703125" bestFit="1" customWidth="1"/>
    <col min="36" max="36" width="15.140625" bestFit="1" customWidth="1"/>
  </cols>
  <sheetData>
    <row r="1" spans="1:14" x14ac:dyDescent="0.25">
      <c r="A1" s="8" t="s">
        <v>0</v>
      </c>
      <c r="B1" s="16" t="s">
        <v>171</v>
      </c>
    </row>
    <row r="2" spans="1:14" x14ac:dyDescent="0.25">
      <c r="A2" s="8" t="s">
        <v>196</v>
      </c>
      <c r="B2" s="16" t="s">
        <v>179</v>
      </c>
    </row>
    <row r="3" spans="1:14" x14ac:dyDescent="0.25">
      <c r="A3" s="8" t="s">
        <v>224</v>
      </c>
      <c r="B3" s="16" t="s">
        <v>179</v>
      </c>
    </row>
    <row r="5" spans="1:14" x14ac:dyDescent="0.25">
      <c r="B5" s="8" t="s">
        <v>150</v>
      </c>
    </row>
    <row r="6" spans="1:14" x14ac:dyDescent="0.25">
      <c r="B6" s="16" t="s">
        <v>152</v>
      </c>
      <c r="N6" s="16" t="s">
        <v>151</v>
      </c>
    </row>
    <row r="7" spans="1:14" x14ac:dyDescent="0.25">
      <c r="A7" s="8" t="s">
        <v>192</v>
      </c>
      <c r="B7" s="6" t="s">
        <v>153</v>
      </c>
      <c r="C7" s="6" t="s">
        <v>154</v>
      </c>
      <c r="D7" s="6" t="s">
        <v>161</v>
      </c>
      <c r="E7" s="6" t="s">
        <v>162</v>
      </c>
      <c r="F7" s="6" t="s">
        <v>163</v>
      </c>
      <c r="G7" s="6" t="s">
        <v>164</v>
      </c>
      <c r="H7" s="6" t="s">
        <v>165</v>
      </c>
      <c r="I7" s="6" t="s">
        <v>166</v>
      </c>
      <c r="J7" s="6" t="s">
        <v>167</v>
      </c>
      <c r="K7" s="6" t="s">
        <v>168</v>
      </c>
      <c r="L7" s="6" t="s">
        <v>169</v>
      </c>
      <c r="M7" s="6" t="s">
        <v>170</v>
      </c>
    </row>
    <row r="8" spans="1:14" x14ac:dyDescent="0.25">
      <c r="A8" s="9" t="s">
        <v>199</v>
      </c>
      <c r="B8" s="15">
        <v>2807457441.6835275</v>
      </c>
      <c r="C8" s="15">
        <v>3041390641.0859737</v>
      </c>
      <c r="D8" s="15">
        <v>3644911239.7051096</v>
      </c>
      <c r="E8" s="15">
        <v>3626537579.2715735</v>
      </c>
      <c r="F8" s="15">
        <v>4059767119.4925661</v>
      </c>
      <c r="G8" s="15">
        <v>3786269952.7401309</v>
      </c>
      <c r="H8" s="15">
        <v>2950012429.4817419</v>
      </c>
      <c r="I8" s="15">
        <v>3086626593.7601962</v>
      </c>
      <c r="J8" s="15">
        <v>3051465824.0065589</v>
      </c>
      <c r="K8" s="15">
        <v>3004199287.720839</v>
      </c>
      <c r="L8" s="15">
        <v>2909287341.8082409</v>
      </c>
      <c r="M8" s="15">
        <v>3023400620.0132494</v>
      </c>
      <c r="N8" s="15">
        <v>38991326070.769714</v>
      </c>
    </row>
    <row r="9" spans="1:14" x14ac:dyDescent="0.25">
      <c r="A9" s="9" t="s">
        <v>200</v>
      </c>
      <c r="B9" s="15">
        <v>1718104718.8614018</v>
      </c>
      <c r="C9" s="15">
        <v>1929795630.1064301</v>
      </c>
      <c r="D9" s="15">
        <v>2749277063.1029243</v>
      </c>
      <c r="E9" s="15">
        <v>2831260632.2548943</v>
      </c>
      <c r="F9" s="15">
        <v>3406127898.9069242</v>
      </c>
      <c r="G9" s="15">
        <v>2793188355.23211</v>
      </c>
      <c r="H9" s="15">
        <v>2093889734.9019678</v>
      </c>
      <c r="I9" s="15">
        <v>2225546555.8023725</v>
      </c>
      <c r="J9" s="15">
        <v>2191693656.0824051</v>
      </c>
      <c r="K9" s="15">
        <v>2184991363.246613</v>
      </c>
      <c r="L9" s="15">
        <v>2071219774.6034734</v>
      </c>
      <c r="M9" s="15">
        <v>2185566424.2759013</v>
      </c>
      <c r="N9" s="15">
        <v>28380661807.377415</v>
      </c>
    </row>
    <row r="10" spans="1:14" x14ac:dyDescent="0.25">
      <c r="A10" s="9" t="s">
        <v>201</v>
      </c>
      <c r="B10" s="15">
        <v>1089352722.8221254</v>
      </c>
      <c r="C10" s="15">
        <v>1111595010.9795437</v>
      </c>
      <c r="D10" s="15">
        <v>895634176.60218692</v>
      </c>
      <c r="E10" s="15">
        <v>795276947.01668072</v>
      </c>
      <c r="F10" s="15">
        <v>653639220.58564317</v>
      </c>
      <c r="G10" s="15">
        <v>993081597.50802124</v>
      </c>
      <c r="H10" s="15">
        <v>856122694.5797739</v>
      </c>
      <c r="I10" s="15">
        <v>861080037.95782328</v>
      </c>
      <c r="J10" s="15">
        <v>859772167.9241538</v>
      </c>
      <c r="K10" s="15">
        <v>819207924.47422624</v>
      </c>
      <c r="L10" s="15">
        <v>838067567.2047677</v>
      </c>
      <c r="M10" s="15">
        <v>837834195.7373482</v>
      </c>
      <c r="N10" s="15">
        <v>10610664263.392294</v>
      </c>
    </row>
    <row r="11" spans="1:14" x14ac:dyDescent="0.25">
      <c r="A11" s="9" t="s">
        <v>198</v>
      </c>
      <c r="B11" s="15">
        <v>376983693.5523119</v>
      </c>
      <c r="C11" s="15">
        <v>408027659.2857157</v>
      </c>
      <c r="D11" s="15">
        <v>406546190.42706376</v>
      </c>
      <c r="E11" s="15">
        <v>411081780.85164791</v>
      </c>
      <c r="F11" s="15">
        <v>397279571.94416016</v>
      </c>
      <c r="G11" s="15">
        <v>401744678.70834905</v>
      </c>
      <c r="H11" s="15">
        <v>381214758.4434126</v>
      </c>
      <c r="I11" s="15">
        <v>383222013.06147766</v>
      </c>
      <c r="J11" s="15">
        <v>396661918.98799729</v>
      </c>
      <c r="K11" s="15">
        <v>399443385.06098026</v>
      </c>
      <c r="L11" s="15">
        <v>451014510.97928417</v>
      </c>
      <c r="M11" s="15">
        <v>394269676.02520508</v>
      </c>
      <c r="N11" s="15">
        <v>4807489837.3276052</v>
      </c>
    </row>
    <row r="12" spans="1:14" x14ac:dyDescent="0.25">
      <c r="A12" s="9" t="s">
        <v>202</v>
      </c>
      <c r="B12" s="15">
        <v>712369029.26981354</v>
      </c>
      <c r="C12" s="15">
        <v>703567351.69382799</v>
      </c>
      <c r="D12" s="15">
        <v>489087986.17512304</v>
      </c>
      <c r="E12" s="15">
        <v>384195166.16503286</v>
      </c>
      <c r="F12" s="15">
        <v>256359648.64148277</v>
      </c>
      <c r="G12" s="15">
        <v>591336918.79967248</v>
      </c>
      <c r="H12" s="15">
        <v>474907936.13636172</v>
      </c>
      <c r="I12" s="15">
        <v>477858024.89634562</v>
      </c>
      <c r="J12" s="15">
        <v>463110248.93615645</v>
      </c>
      <c r="K12" s="15">
        <v>419764539.41324598</v>
      </c>
      <c r="L12" s="15">
        <v>387053056.22548348</v>
      </c>
      <c r="M12" s="15">
        <v>443564519.71214342</v>
      </c>
      <c r="N12" s="15">
        <v>5803174426.0646896</v>
      </c>
    </row>
    <row r="13" spans="1:14" x14ac:dyDescent="0.25">
      <c r="A13" s="9" t="s">
        <v>214</v>
      </c>
      <c r="B13" s="15">
        <v>19107629.159605388</v>
      </c>
      <c r="C13" s="15">
        <v>20699784.665129822</v>
      </c>
      <c r="D13" s="15">
        <v>24807361.726630095</v>
      </c>
      <c r="E13" s="15">
        <v>24682310.110653333</v>
      </c>
      <c r="F13" s="15">
        <v>27630881.751534589</v>
      </c>
      <c r="G13" s="15">
        <v>25769452.844040796</v>
      </c>
      <c r="H13" s="15">
        <v>20077862.154505908</v>
      </c>
      <c r="I13" s="15">
        <v>21007661.748339385</v>
      </c>
      <c r="J13" s="15">
        <v>20768356.62497627</v>
      </c>
      <c r="K13" s="15">
        <v>20446659.336320318</v>
      </c>
      <c r="L13" s="15">
        <v>19800686.137087449</v>
      </c>
      <c r="M13" s="15">
        <v>20577344.108729087</v>
      </c>
      <c r="N13" s="15">
        <v>265375990.36755243</v>
      </c>
    </row>
    <row r="14" spans="1:14" x14ac:dyDescent="0.25">
      <c r="A14" s="9" t="s">
        <v>221</v>
      </c>
      <c r="B14" s="15">
        <v>693261400.11020827</v>
      </c>
      <c r="C14" s="15">
        <v>682867567.02869809</v>
      </c>
      <c r="D14" s="15">
        <v>464280624.44849294</v>
      </c>
      <c r="E14" s="15">
        <v>359512856.05437946</v>
      </c>
      <c r="F14" s="15">
        <v>228728766.88994816</v>
      </c>
      <c r="G14" s="15">
        <v>565567465.95563161</v>
      </c>
      <c r="H14" s="15">
        <v>454830073.98185563</v>
      </c>
      <c r="I14" s="15">
        <v>456850363.14800626</v>
      </c>
      <c r="J14" s="15">
        <v>442341892.31118006</v>
      </c>
      <c r="K14" s="15">
        <v>399317880.07692564</v>
      </c>
      <c r="L14" s="15">
        <v>367252370.08839613</v>
      </c>
      <c r="M14" s="15">
        <v>422987175.60341394</v>
      </c>
      <c r="N14" s="15">
        <v>5537798435.6971359</v>
      </c>
    </row>
    <row r="21" spans="1:2" x14ac:dyDescent="0.25">
      <c r="A21" s="22" t="s">
        <v>215</v>
      </c>
      <c r="B21" s="23" t="s">
        <v>204</v>
      </c>
    </row>
    <row r="24" spans="1:2" x14ac:dyDescent="0.25">
      <c r="B24" s="16"/>
    </row>
    <row r="25" spans="1:2" x14ac:dyDescent="0.25">
      <c r="B25" s="16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OFFSET('DATOS GENERALES'!$K$2,0,0,COUNTA('DATOS GENERALES'!$K:$K)-1)</xm:f>
          </x14:formula1>
          <xm:sqref>B21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>
    <tabColor rgb="FF92D050"/>
  </sheetPr>
  <dimension ref="A1:M21"/>
  <sheetViews>
    <sheetView workbookViewId="0">
      <pane xSplit="1" ySplit="7" topLeftCell="B8" activePane="bottomRight" state="frozen"/>
      <selection activeCell="A8" sqref="A8:N12"/>
      <selection pane="topRight" activeCell="A8" sqref="A8:N12"/>
      <selection pane="bottomLeft" activeCell="A8" sqref="A8:N12"/>
      <selection pane="bottomRight" activeCell="B21" sqref="B21"/>
    </sheetView>
  </sheetViews>
  <sheetFormatPr baseColWidth="10" defaultRowHeight="15" x14ac:dyDescent="0.25"/>
  <cols>
    <col min="1" max="1" width="31" customWidth="1"/>
    <col min="2" max="2" width="22.42578125" customWidth="1"/>
    <col min="3" max="16" width="14.140625" customWidth="1"/>
    <col min="17" max="25" width="12.5703125" customWidth="1"/>
    <col min="26" max="26" width="11.5703125" customWidth="1"/>
    <col min="27" max="28" width="12.5703125" customWidth="1"/>
    <col min="29" max="31" width="11.5703125" customWidth="1"/>
    <col min="32" max="32" width="11.5703125" bestFit="1" customWidth="1"/>
    <col min="33" max="33" width="10.5703125" customWidth="1"/>
    <col min="34" max="35" width="11.5703125" customWidth="1"/>
    <col min="36" max="36" width="15.140625" customWidth="1"/>
    <col min="37" max="51" width="11.5703125" customWidth="1"/>
    <col min="52" max="52" width="10.5703125" customWidth="1"/>
    <col min="53" max="112" width="11.5703125" customWidth="1"/>
    <col min="113" max="114" width="12.5703125" customWidth="1"/>
    <col min="115" max="140" width="11.5703125" customWidth="1"/>
    <col min="141" max="141" width="10.5703125" customWidth="1"/>
    <col min="142" max="169" width="11.5703125" customWidth="1"/>
    <col min="170" max="172" width="10.5703125" customWidth="1"/>
    <col min="173" max="193" width="12.5703125" customWidth="1"/>
    <col min="194" max="242" width="11.5703125" customWidth="1"/>
    <col min="243" max="244" width="12.5703125" customWidth="1"/>
    <col min="245" max="258" width="11.5703125" customWidth="1"/>
    <col min="259" max="267" width="12.5703125" customWidth="1"/>
    <col min="268" max="271" width="11.5703125" customWidth="1"/>
    <col min="272" max="281" width="12.5703125" customWidth="1"/>
    <col min="282" max="338" width="11.5703125" customWidth="1"/>
    <col min="339" max="341" width="10.5703125" customWidth="1"/>
    <col min="342" max="419" width="11.5703125" customWidth="1"/>
    <col min="420" max="424" width="12.5703125" customWidth="1"/>
    <col min="425" max="472" width="11.5703125" customWidth="1"/>
    <col min="473" max="473" width="12.5703125" customWidth="1"/>
    <col min="474" max="489" width="11.5703125" customWidth="1"/>
    <col min="490" max="493" width="12.5703125" customWidth="1"/>
    <col min="494" max="503" width="10.5703125" customWidth="1"/>
    <col min="504" max="569" width="11.5703125" customWidth="1"/>
    <col min="570" max="573" width="12.5703125" customWidth="1"/>
    <col min="574" max="586" width="11.5703125" customWidth="1"/>
    <col min="587" max="600" width="10.5703125" customWidth="1"/>
    <col min="601" max="614" width="11.5703125" customWidth="1"/>
    <col min="615" max="617" width="12.5703125" customWidth="1"/>
    <col min="618" max="629" width="11.5703125" customWidth="1"/>
    <col min="630" max="633" width="12.5703125" customWidth="1"/>
    <col min="634" max="649" width="11.5703125" customWidth="1"/>
    <col min="650" max="656" width="12.5703125" customWidth="1"/>
    <col min="657" max="658" width="11.5703125" customWidth="1"/>
    <col min="659" max="661" width="12.5703125" customWidth="1"/>
    <col min="662" max="662" width="10.42578125" customWidth="1"/>
    <col min="663" max="663" width="11.5703125" customWidth="1"/>
    <col min="664" max="667" width="12.5703125" customWidth="1"/>
    <col min="668" max="673" width="14.140625" customWidth="1"/>
    <col min="674" max="674" width="15.140625" customWidth="1"/>
    <col min="675" max="679" width="11.5703125" customWidth="1"/>
    <col min="680" max="680" width="10.5703125" customWidth="1"/>
    <col min="681" max="683" width="11.5703125" customWidth="1"/>
    <col min="684" max="684" width="12.5703125" customWidth="1"/>
    <col min="685" max="687" width="11.5703125" customWidth="1"/>
    <col min="688" max="688" width="10.5703125" customWidth="1"/>
    <col min="689" max="706" width="11.5703125" customWidth="1"/>
    <col min="707" max="707" width="12.5703125" customWidth="1"/>
    <col min="708" max="716" width="11.5703125" customWidth="1"/>
    <col min="717" max="717" width="12.5703125" customWidth="1"/>
    <col min="718" max="726" width="11.5703125" customWidth="1"/>
    <col min="727" max="727" width="12.5703125" customWidth="1"/>
    <col min="728" max="732" width="11.5703125" customWidth="1"/>
    <col min="733" max="733" width="10.5703125" customWidth="1"/>
    <col min="734" max="736" width="11.5703125" customWidth="1"/>
    <col min="737" max="737" width="10.5703125" customWidth="1"/>
    <col min="738" max="739" width="12.5703125" customWidth="1"/>
    <col min="740" max="740" width="10.5703125" customWidth="1"/>
    <col min="741" max="748" width="11.5703125" customWidth="1"/>
    <col min="749" max="749" width="12.5703125" customWidth="1"/>
    <col min="750" max="752" width="11.5703125" customWidth="1"/>
    <col min="753" max="753" width="10.5703125" customWidth="1"/>
    <col min="754" max="757" width="11.5703125" customWidth="1"/>
    <col min="758" max="758" width="12.5703125" customWidth="1"/>
    <col min="759" max="775" width="11.5703125" customWidth="1"/>
    <col min="776" max="776" width="10.5703125" customWidth="1"/>
    <col min="777" max="778" width="11.5703125" customWidth="1"/>
    <col min="779" max="780" width="12.5703125" customWidth="1"/>
    <col min="781" max="787" width="11.5703125" customWidth="1"/>
    <col min="788" max="788" width="10.5703125" customWidth="1"/>
    <col min="789" max="796" width="11.5703125" customWidth="1"/>
    <col min="797" max="797" width="10.5703125" customWidth="1"/>
    <col min="798" max="803" width="11.5703125" customWidth="1"/>
    <col min="804" max="804" width="12.5703125" customWidth="1"/>
    <col min="805" max="806" width="11.5703125" customWidth="1"/>
    <col min="807" max="807" width="12.5703125" customWidth="1"/>
    <col min="808" max="813" width="11.5703125" customWidth="1"/>
    <col min="814" max="814" width="12.5703125" customWidth="1"/>
    <col min="815" max="822" width="11.5703125" customWidth="1"/>
    <col min="823" max="823" width="12.5703125" customWidth="1"/>
    <col min="824" max="824" width="11.5703125" customWidth="1"/>
    <col min="825" max="825" width="12.5703125" customWidth="1"/>
    <col min="826" max="827" width="11.5703125" customWidth="1"/>
    <col min="828" max="828" width="12.5703125" customWidth="1"/>
    <col min="829" max="843" width="11.5703125" customWidth="1"/>
    <col min="844" max="844" width="12.5703125" customWidth="1"/>
    <col min="845" max="846" width="11.5703125" customWidth="1"/>
    <col min="847" max="847" width="12.5703125" customWidth="1"/>
    <col min="848" max="850" width="11.5703125" customWidth="1"/>
    <col min="851" max="851" width="10.5703125" customWidth="1"/>
    <col min="852" max="862" width="11.5703125" customWidth="1"/>
    <col min="863" max="863" width="12.5703125" customWidth="1"/>
    <col min="864" max="864" width="11.5703125" customWidth="1"/>
    <col min="865" max="865" width="10.5703125" customWidth="1"/>
    <col min="866" max="867" width="11.5703125" customWidth="1"/>
    <col min="868" max="868" width="12.5703125" customWidth="1"/>
    <col min="869" max="882" width="11.5703125" customWidth="1"/>
    <col min="883" max="883" width="10.5703125" customWidth="1"/>
    <col min="884" max="894" width="11.5703125" customWidth="1"/>
    <col min="895" max="895" width="12.5703125" customWidth="1"/>
    <col min="896" max="902" width="11.5703125" customWidth="1"/>
    <col min="903" max="903" width="10.5703125" customWidth="1"/>
    <col min="904" max="933" width="11.5703125" customWidth="1"/>
    <col min="934" max="934" width="12.5703125" customWidth="1"/>
    <col min="935" max="941" width="11.5703125" customWidth="1"/>
    <col min="942" max="942" width="12.5703125" customWidth="1"/>
    <col min="943" max="947" width="11.5703125" customWidth="1"/>
    <col min="948" max="948" width="10.5703125" customWidth="1"/>
    <col min="949" max="961" width="11.5703125" customWidth="1"/>
    <col min="962" max="962" width="12.5703125" customWidth="1"/>
    <col min="963" max="965" width="11.5703125" customWidth="1"/>
    <col min="966" max="966" width="12.5703125" customWidth="1"/>
    <col min="967" max="969" width="11.5703125" customWidth="1"/>
    <col min="970" max="970" width="10.5703125" customWidth="1"/>
    <col min="971" max="978" width="11.5703125" customWidth="1"/>
    <col min="979" max="979" width="10.5703125" customWidth="1"/>
    <col min="980" max="981" width="11.5703125" customWidth="1"/>
    <col min="982" max="984" width="10.5703125" customWidth="1"/>
    <col min="985" max="990" width="11.5703125" customWidth="1"/>
    <col min="991" max="991" width="12.5703125" customWidth="1"/>
    <col min="992" max="992" width="10.5703125" customWidth="1"/>
    <col min="993" max="997" width="11.5703125" customWidth="1"/>
    <col min="998" max="998" width="12.5703125" customWidth="1"/>
    <col min="999" max="1009" width="11.5703125" customWidth="1"/>
    <col min="1010" max="1010" width="10.5703125" customWidth="1"/>
    <col min="1011" max="1011" width="12.5703125" customWidth="1"/>
    <col min="1012" max="1020" width="11.5703125" customWidth="1"/>
    <col min="1021" max="1021" width="12.5703125" customWidth="1"/>
    <col min="1022" max="1030" width="11.5703125" customWidth="1"/>
    <col min="1031" max="1031" width="10.5703125" customWidth="1"/>
    <col min="1032" max="1032" width="11.5703125" customWidth="1"/>
    <col min="1033" max="1034" width="12.5703125" customWidth="1"/>
    <col min="1035" max="1037" width="11.5703125" customWidth="1"/>
    <col min="1038" max="1038" width="10.5703125" customWidth="1"/>
    <col min="1039" max="1047" width="11.5703125" customWidth="1"/>
    <col min="1048" max="1048" width="10.5703125" customWidth="1"/>
    <col min="1049" max="1049" width="12.5703125" customWidth="1"/>
    <col min="1050" max="1068" width="11.5703125" customWidth="1"/>
    <col min="1069" max="1069" width="10.5703125" customWidth="1"/>
    <col min="1070" max="1083" width="11.5703125" customWidth="1"/>
    <col min="1084" max="1084" width="10.5703125" customWidth="1"/>
    <col min="1085" max="1085" width="11.5703125" customWidth="1"/>
    <col min="1086" max="1086" width="12.5703125" customWidth="1"/>
    <col min="1087" max="1087" width="11.5703125" customWidth="1"/>
    <col min="1088" max="1088" width="12.5703125" customWidth="1"/>
    <col min="1089" max="1089" width="11.5703125" customWidth="1"/>
    <col min="1090" max="1090" width="10.5703125" customWidth="1"/>
    <col min="1091" max="1102" width="11.5703125" customWidth="1"/>
    <col min="1103" max="1103" width="10.5703125" customWidth="1"/>
    <col min="1104" max="1105" width="11.5703125" customWidth="1"/>
    <col min="1106" max="1106" width="10.5703125" customWidth="1"/>
    <col min="1107" max="1109" width="11.5703125" customWidth="1"/>
    <col min="1110" max="1110" width="12.5703125" customWidth="1"/>
    <col min="1111" max="1119" width="11.5703125" customWidth="1"/>
    <col min="1120" max="1120" width="10.5703125" customWidth="1"/>
    <col min="1121" max="1134" width="11.5703125" customWidth="1"/>
    <col min="1135" max="1135" width="10.5703125" customWidth="1"/>
    <col min="1136" max="1142" width="11.5703125" customWidth="1"/>
    <col min="1143" max="1143" width="12.5703125" customWidth="1"/>
    <col min="1144" max="1144" width="11.5703125" customWidth="1"/>
    <col min="1145" max="1145" width="12.5703125" customWidth="1"/>
    <col min="1146" max="1148" width="11.5703125" customWidth="1"/>
    <col min="1149" max="1149" width="12.5703125" customWidth="1"/>
    <col min="1150" max="1159" width="11.5703125" customWidth="1"/>
    <col min="1160" max="1160" width="12.5703125" customWidth="1"/>
    <col min="1161" max="1172" width="11.5703125" customWidth="1"/>
    <col min="1173" max="1173" width="12.5703125" customWidth="1"/>
    <col min="1174" max="1180" width="11.5703125" customWidth="1"/>
    <col min="1181" max="1181" width="12.5703125" customWidth="1"/>
    <col min="1182" max="1185" width="11.5703125" customWidth="1"/>
    <col min="1186" max="1187" width="12.5703125" customWidth="1"/>
    <col min="1188" max="1189" width="11.5703125" customWidth="1"/>
    <col min="1190" max="1190" width="12.5703125" customWidth="1"/>
    <col min="1191" max="1221" width="11.5703125" customWidth="1"/>
    <col min="1222" max="1222" width="12.5703125" customWidth="1"/>
    <col min="1223" max="1287" width="11.5703125" customWidth="1"/>
    <col min="1288" max="1288" width="10.5703125" customWidth="1"/>
    <col min="1289" max="1289" width="11.5703125" customWidth="1"/>
    <col min="1290" max="1290" width="10.5703125" customWidth="1"/>
    <col min="1291" max="1304" width="11.5703125" customWidth="1"/>
    <col min="1305" max="1307" width="10.5703125" customWidth="1"/>
    <col min="1308" max="1308" width="11.5703125" customWidth="1"/>
    <col min="1309" max="1309" width="10.5703125" customWidth="1"/>
    <col min="1310" max="1311" width="11.5703125" customWidth="1"/>
    <col min="1312" max="1312" width="10.5703125" customWidth="1"/>
    <col min="1313" max="1314" width="11.5703125" customWidth="1"/>
    <col min="1315" max="1315" width="10.5703125" customWidth="1"/>
    <col min="1316" max="1321" width="11.5703125" customWidth="1"/>
    <col min="1322" max="1322" width="15.140625" customWidth="1"/>
    <col min="1323" max="1323" width="10.5703125" customWidth="1"/>
    <col min="1324" max="1324" width="11.5703125" customWidth="1"/>
    <col min="1325" max="1325" width="10.5703125" customWidth="1"/>
    <col min="1326" max="1326" width="11.5703125" customWidth="1"/>
    <col min="1327" max="1328" width="10.5703125" customWidth="1"/>
    <col min="1329" max="1329" width="10.42578125" customWidth="1"/>
    <col min="1330" max="1338" width="10.5703125" customWidth="1"/>
    <col min="1339" max="1339" width="11.5703125" customWidth="1"/>
    <col min="1340" max="1343" width="10.5703125" customWidth="1"/>
    <col min="1344" max="1344" width="11.5703125" customWidth="1"/>
    <col min="1345" max="1345" width="10.5703125" customWidth="1"/>
    <col min="1346" max="1346" width="11.5703125" customWidth="1"/>
    <col min="1347" max="1348" width="10.5703125" customWidth="1"/>
    <col min="1349" max="1349" width="11.5703125" customWidth="1"/>
    <col min="1350" max="1357" width="10.5703125" customWidth="1"/>
    <col min="1358" max="1358" width="11.5703125" customWidth="1"/>
    <col min="1359" max="1360" width="10.5703125" customWidth="1"/>
    <col min="1361" max="1361" width="11.5703125" customWidth="1"/>
    <col min="1362" max="1362" width="10.5703125" customWidth="1"/>
    <col min="1363" max="1363" width="12.5703125" customWidth="1"/>
    <col min="1364" max="1364" width="11.5703125" customWidth="1"/>
    <col min="1365" max="1369" width="10.5703125" customWidth="1"/>
    <col min="1370" max="1370" width="11.5703125" customWidth="1"/>
    <col min="1371" max="1371" width="12.5703125" customWidth="1"/>
    <col min="1372" max="1375" width="10.5703125" customWidth="1"/>
    <col min="1376" max="1376" width="11.5703125" customWidth="1"/>
    <col min="1377" max="1377" width="10.5703125" customWidth="1"/>
    <col min="1378" max="1378" width="10.42578125" customWidth="1"/>
    <col min="1379" max="1382" width="10.5703125" customWidth="1"/>
    <col min="1383" max="1383" width="11.5703125" customWidth="1"/>
    <col min="1384" max="1390" width="10.5703125" customWidth="1"/>
    <col min="1391" max="1391" width="11.5703125" customWidth="1"/>
    <col min="1392" max="1394" width="10.5703125" customWidth="1"/>
    <col min="1395" max="1395" width="11.5703125" customWidth="1"/>
    <col min="1396" max="1396" width="10.5703125" customWidth="1"/>
    <col min="1397" max="1397" width="11.5703125" customWidth="1"/>
    <col min="1398" max="1398" width="10.42578125" customWidth="1"/>
    <col min="1399" max="1399" width="10.5703125" customWidth="1"/>
    <col min="1400" max="1400" width="11.5703125" customWidth="1"/>
    <col min="1401" max="1402" width="10.42578125" customWidth="1"/>
    <col min="1403" max="1404" width="10.5703125" customWidth="1"/>
    <col min="1405" max="1405" width="11.5703125" customWidth="1"/>
    <col min="1406" max="1406" width="10.42578125" customWidth="1"/>
    <col min="1407" max="1409" width="10.5703125" customWidth="1"/>
    <col min="1410" max="1410" width="11.5703125" customWidth="1"/>
    <col min="1411" max="1411" width="10.42578125" customWidth="1"/>
    <col min="1412" max="1415" width="10.5703125" customWidth="1"/>
    <col min="1416" max="1417" width="11.5703125" customWidth="1"/>
    <col min="1418" max="1420" width="10.5703125" customWidth="1"/>
    <col min="1421" max="1421" width="11.5703125" customWidth="1"/>
    <col min="1422" max="1425" width="10.5703125" customWidth="1"/>
    <col min="1426" max="1426" width="11.5703125" customWidth="1"/>
    <col min="1427" max="1428" width="10.5703125" customWidth="1"/>
    <col min="1429" max="1429" width="10.42578125" customWidth="1"/>
    <col min="1430" max="1431" width="10.5703125" customWidth="1"/>
    <col min="1432" max="1432" width="10.42578125" customWidth="1"/>
    <col min="1433" max="1433" width="11.5703125" customWidth="1"/>
    <col min="1434" max="1440" width="10.5703125" customWidth="1"/>
    <col min="1441" max="1441" width="10.42578125" customWidth="1"/>
    <col min="1442" max="1445" width="10.5703125" customWidth="1"/>
    <col min="1446" max="1446" width="11.5703125" customWidth="1"/>
    <col min="1447" max="1447" width="10.5703125" customWidth="1"/>
    <col min="1448" max="1448" width="10.42578125" customWidth="1"/>
    <col min="1449" max="1454" width="10.5703125" customWidth="1"/>
    <col min="1455" max="1455" width="10.42578125" customWidth="1"/>
    <col min="1456" max="1456" width="11.5703125" customWidth="1"/>
    <col min="1457" max="1463" width="10.5703125" customWidth="1"/>
    <col min="1464" max="1464" width="10.42578125" customWidth="1"/>
    <col min="1465" max="1465" width="10.5703125" customWidth="1"/>
    <col min="1466" max="1466" width="12.5703125" customWidth="1"/>
    <col min="1467" max="1467" width="11.5703125" customWidth="1"/>
    <col min="1468" max="1471" width="10.5703125" customWidth="1"/>
    <col min="1472" max="1472" width="10.42578125" customWidth="1"/>
    <col min="1473" max="1476" width="10.5703125" customWidth="1"/>
    <col min="1477" max="1477" width="11.5703125" customWidth="1"/>
    <col min="1478" max="1484" width="10.5703125" customWidth="1"/>
    <col min="1485" max="1485" width="11.5703125" customWidth="1"/>
    <col min="1486" max="1488" width="10.5703125" customWidth="1"/>
    <col min="1489" max="1489" width="11.5703125" customWidth="1"/>
    <col min="1490" max="1495" width="10.5703125" customWidth="1"/>
    <col min="1496" max="1496" width="11.5703125" customWidth="1"/>
    <col min="1497" max="1501" width="10.5703125" customWidth="1"/>
    <col min="1502" max="1502" width="11.5703125" customWidth="1"/>
    <col min="1503" max="1507" width="10.5703125" customWidth="1"/>
    <col min="1508" max="1508" width="11.5703125" customWidth="1"/>
    <col min="1509" max="1509" width="10.5703125" customWidth="1"/>
    <col min="1510" max="1510" width="10.42578125" customWidth="1"/>
    <col min="1511" max="1513" width="10.5703125" customWidth="1"/>
    <col min="1514" max="1514" width="11.5703125" customWidth="1"/>
    <col min="1515" max="1515" width="10.42578125" customWidth="1"/>
    <col min="1516" max="1516" width="10.5703125" customWidth="1"/>
    <col min="1517" max="1517" width="10.42578125" customWidth="1"/>
    <col min="1518" max="1522" width="10.5703125" customWidth="1"/>
    <col min="1523" max="1523" width="11.5703125" customWidth="1"/>
    <col min="1524" max="1524" width="10.5703125" customWidth="1"/>
    <col min="1525" max="1525" width="11.5703125" customWidth="1"/>
    <col min="1526" max="1526" width="10.5703125" customWidth="1"/>
    <col min="1527" max="1527" width="11.5703125" customWidth="1"/>
    <col min="1528" max="1529" width="10.5703125" customWidth="1"/>
    <col min="1530" max="1530" width="11.5703125" customWidth="1"/>
    <col min="1531" max="1535" width="10.5703125" customWidth="1"/>
    <col min="1536" max="1536" width="10.42578125" customWidth="1"/>
    <col min="1537" max="1538" width="10.5703125" customWidth="1"/>
    <col min="1539" max="1539" width="11.5703125" customWidth="1"/>
    <col min="1540" max="1542" width="10.5703125" customWidth="1"/>
    <col min="1543" max="1543" width="11.5703125" customWidth="1"/>
    <col min="1544" max="1547" width="10.5703125" customWidth="1"/>
    <col min="1548" max="1548" width="11.5703125" customWidth="1"/>
    <col min="1549" max="1550" width="10.5703125" customWidth="1"/>
    <col min="1551" max="1551" width="10.42578125" customWidth="1"/>
    <col min="1552" max="1553" width="10.5703125" customWidth="1"/>
    <col min="1554" max="1554" width="12.5703125" customWidth="1"/>
    <col min="1555" max="1559" width="10.5703125" customWidth="1"/>
    <col min="1560" max="1560" width="11.5703125" customWidth="1"/>
    <col min="1561" max="1564" width="10.5703125" customWidth="1"/>
    <col min="1565" max="1566" width="11.5703125" customWidth="1"/>
    <col min="1567" max="1567" width="10.5703125" customWidth="1"/>
    <col min="1568" max="1568" width="11.5703125" customWidth="1"/>
    <col min="1569" max="1571" width="10.5703125" customWidth="1"/>
    <col min="1572" max="1572" width="10.42578125" customWidth="1"/>
    <col min="1573" max="1573" width="11.5703125" customWidth="1"/>
    <col min="1574" max="1574" width="10.42578125" customWidth="1"/>
    <col min="1575" max="1578" width="10.5703125" customWidth="1"/>
    <col min="1579" max="1579" width="10.42578125" customWidth="1"/>
    <col min="1580" max="1582" width="10.5703125" customWidth="1"/>
    <col min="1583" max="1583" width="10.42578125" customWidth="1"/>
    <col min="1584" max="1584" width="11.5703125" customWidth="1"/>
    <col min="1585" max="1589" width="10.5703125" customWidth="1"/>
    <col min="1590" max="1590" width="10.42578125" customWidth="1"/>
    <col min="1591" max="1593" width="10.5703125" customWidth="1"/>
    <col min="1594" max="1594" width="11.5703125" customWidth="1"/>
    <col min="1595" max="1595" width="10.5703125" customWidth="1"/>
    <col min="1596" max="1596" width="11.5703125" customWidth="1"/>
    <col min="1597" max="1598" width="10.5703125" customWidth="1"/>
    <col min="1599" max="1599" width="11.5703125" customWidth="1"/>
    <col min="1600" max="1600" width="10.42578125" customWidth="1"/>
    <col min="1601" max="1602" width="11.5703125" customWidth="1"/>
    <col min="1603" max="1605" width="10.5703125" customWidth="1"/>
    <col min="1606" max="1607" width="11.5703125" customWidth="1"/>
    <col min="1608" max="1613" width="10.5703125" customWidth="1"/>
    <col min="1614" max="1614" width="10.42578125" customWidth="1"/>
    <col min="1615" max="1619" width="10.5703125" customWidth="1"/>
    <col min="1620" max="1620" width="10.42578125" customWidth="1"/>
    <col min="1621" max="1623" width="10.5703125" customWidth="1"/>
    <col min="1624" max="1624" width="11.5703125" customWidth="1"/>
    <col min="1625" max="1628" width="10.5703125" customWidth="1"/>
    <col min="1629" max="1629" width="11.5703125" customWidth="1"/>
    <col min="1630" max="1630" width="10.42578125" customWidth="1"/>
    <col min="1631" max="1631" width="10.5703125" customWidth="1"/>
    <col min="1632" max="1633" width="11.5703125" customWidth="1"/>
    <col min="1634" max="1640" width="10.5703125" customWidth="1"/>
    <col min="1641" max="1641" width="11.5703125" customWidth="1"/>
    <col min="1642" max="1646" width="10.5703125" customWidth="1"/>
    <col min="1647" max="1648" width="11.5703125" customWidth="1"/>
    <col min="1649" max="1653" width="10.5703125" customWidth="1"/>
    <col min="1654" max="1654" width="11.5703125" customWidth="1"/>
    <col min="1655" max="1661" width="10.5703125" customWidth="1"/>
    <col min="1662" max="1662" width="11.5703125" customWidth="1"/>
    <col min="1663" max="1664" width="10.5703125" customWidth="1"/>
    <col min="1665" max="1665" width="10.42578125" customWidth="1"/>
    <col min="1666" max="1669" width="10.5703125" customWidth="1"/>
    <col min="1670" max="1671" width="11.5703125" customWidth="1"/>
    <col min="1672" max="1676" width="10.5703125" customWidth="1"/>
    <col min="1677" max="1677" width="11.5703125" customWidth="1"/>
    <col min="1678" max="1685" width="10.5703125" customWidth="1"/>
    <col min="1686" max="1686" width="10.42578125" customWidth="1"/>
    <col min="1687" max="1687" width="10.5703125" customWidth="1"/>
    <col min="1688" max="1688" width="11.5703125" customWidth="1"/>
    <col min="1689" max="1689" width="10.5703125" customWidth="1"/>
    <col min="1690" max="1697" width="11.5703125" customWidth="1"/>
    <col min="1698" max="1703" width="10.5703125" customWidth="1"/>
    <col min="1704" max="1704" width="10.42578125" customWidth="1"/>
    <col min="1705" max="1706" width="10.5703125" customWidth="1"/>
    <col min="1707" max="1707" width="11.5703125" customWidth="1"/>
    <col min="1708" max="1708" width="10.5703125" customWidth="1"/>
    <col min="1709" max="1709" width="10.42578125" customWidth="1"/>
    <col min="1710" max="1711" width="10.5703125" customWidth="1"/>
    <col min="1712" max="1712" width="10.42578125" customWidth="1"/>
    <col min="1713" max="1718" width="10.5703125" customWidth="1"/>
    <col min="1719" max="1719" width="10.42578125" customWidth="1"/>
    <col min="1720" max="1721" width="10.5703125" customWidth="1"/>
    <col min="1722" max="1722" width="11.5703125" customWidth="1"/>
    <col min="1723" max="1723" width="10.42578125" customWidth="1"/>
    <col min="1724" max="1724" width="11.5703125" customWidth="1"/>
    <col min="1725" max="1733" width="10.5703125" customWidth="1"/>
    <col min="1734" max="1734" width="11.5703125" customWidth="1"/>
    <col min="1735" max="1742" width="10.5703125" customWidth="1"/>
    <col min="1743" max="1744" width="11.5703125" customWidth="1"/>
    <col min="1745" max="1755" width="10.5703125" customWidth="1"/>
    <col min="1756" max="1756" width="11.5703125" customWidth="1"/>
    <col min="1757" max="1761" width="10.5703125" customWidth="1"/>
    <col min="1762" max="1762" width="11.5703125" customWidth="1"/>
    <col min="1763" max="1766" width="10.5703125" customWidth="1"/>
    <col min="1767" max="1767" width="11.5703125" customWidth="1"/>
    <col min="1768" max="1770" width="10.5703125" customWidth="1"/>
    <col min="1771" max="1771" width="11.5703125" customWidth="1"/>
    <col min="1772" max="1773" width="10.5703125" customWidth="1"/>
    <col min="1774" max="1774" width="11.5703125" customWidth="1"/>
    <col min="1775" max="1777" width="10.5703125" customWidth="1"/>
    <col min="1778" max="1778" width="11.5703125" customWidth="1"/>
    <col min="1779" max="1784" width="10.5703125" customWidth="1"/>
    <col min="1785" max="1785" width="11.5703125" customWidth="1"/>
    <col min="1786" max="1787" width="10.5703125" customWidth="1"/>
    <col min="1788" max="1788" width="11.5703125" customWidth="1"/>
    <col min="1789" max="1790" width="10.5703125" customWidth="1"/>
    <col min="1791" max="1791" width="11.5703125" customWidth="1"/>
    <col min="1792" max="1795" width="10.5703125" customWidth="1"/>
    <col min="1796" max="1796" width="11.5703125" customWidth="1"/>
    <col min="1797" max="1797" width="10.5703125" customWidth="1"/>
    <col min="1798" max="1798" width="11.5703125" customWidth="1"/>
    <col min="1799" max="1799" width="10.5703125" customWidth="1"/>
    <col min="1800" max="1800" width="11.5703125" customWidth="1"/>
    <col min="1801" max="1806" width="10.5703125" customWidth="1"/>
    <col min="1807" max="1807" width="11.5703125" customWidth="1"/>
    <col min="1808" max="1808" width="10.5703125" customWidth="1"/>
    <col min="1809" max="1810" width="11.5703125" customWidth="1"/>
    <col min="1811" max="1812" width="10.5703125" customWidth="1"/>
    <col min="1813" max="1813" width="11.5703125" customWidth="1"/>
    <col min="1814" max="1819" width="10.5703125" customWidth="1"/>
    <col min="1820" max="1820" width="11.5703125" customWidth="1"/>
    <col min="1821" max="1821" width="10.5703125" customWidth="1"/>
    <col min="1822" max="1822" width="10.42578125" customWidth="1"/>
    <col min="1823" max="1823" width="11.5703125" customWidth="1"/>
    <col min="1824" max="1824" width="10.5703125" customWidth="1"/>
    <col min="1825" max="1827" width="11.5703125" customWidth="1"/>
    <col min="1828" max="1828" width="10.5703125" customWidth="1"/>
    <col min="1829" max="1829" width="11.5703125" customWidth="1"/>
    <col min="1830" max="1830" width="10.5703125" customWidth="1"/>
    <col min="1831" max="1831" width="12.5703125" customWidth="1"/>
    <col min="1832" max="1832" width="10.42578125" customWidth="1"/>
    <col min="1833" max="1836" width="10.5703125" customWidth="1"/>
    <col min="1837" max="1837" width="12.5703125" customWidth="1"/>
    <col min="1838" max="1841" width="10.5703125" customWidth="1"/>
    <col min="1842" max="1842" width="11.5703125" customWidth="1"/>
    <col min="1843" max="1844" width="10.5703125" customWidth="1"/>
    <col min="1845" max="1845" width="11.5703125" customWidth="1"/>
    <col min="1846" max="1848" width="10.5703125" customWidth="1"/>
    <col min="1849" max="1849" width="11.5703125" customWidth="1"/>
    <col min="1850" max="1850" width="10.5703125" customWidth="1"/>
    <col min="1851" max="1851" width="11.5703125" customWidth="1"/>
    <col min="1852" max="1853" width="10.5703125" customWidth="1"/>
    <col min="1854" max="1854" width="10.42578125" customWidth="1"/>
    <col min="1855" max="1855" width="10.5703125" customWidth="1"/>
    <col min="1856" max="1856" width="11.5703125" customWidth="1"/>
    <col min="1857" max="1861" width="10.5703125" customWidth="1"/>
    <col min="1862" max="1862" width="11.5703125" customWidth="1"/>
    <col min="1863" max="1870" width="10.5703125" customWidth="1"/>
    <col min="1871" max="1871" width="11.5703125" customWidth="1"/>
    <col min="1872" max="1872" width="10.5703125" customWidth="1"/>
    <col min="1873" max="1873" width="11.5703125" customWidth="1"/>
    <col min="1874" max="1874" width="10.5703125" customWidth="1"/>
    <col min="1875" max="1875" width="11.5703125" customWidth="1"/>
    <col min="1876" max="1877" width="10.5703125" customWidth="1"/>
    <col min="1878" max="1878" width="11.5703125" customWidth="1"/>
    <col min="1879" max="1881" width="10.5703125" customWidth="1"/>
    <col min="1882" max="1882" width="11.5703125" customWidth="1"/>
    <col min="1883" max="1884" width="10.5703125" customWidth="1"/>
    <col min="1885" max="1885" width="10.42578125" customWidth="1"/>
    <col min="1886" max="1887" width="11.5703125" customWidth="1"/>
    <col min="1888" max="1892" width="10.5703125" customWidth="1"/>
    <col min="1893" max="1894" width="11.5703125" customWidth="1"/>
    <col min="1895" max="1900" width="10.5703125" customWidth="1"/>
    <col min="1901" max="1902" width="10.42578125" customWidth="1"/>
    <col min="1903" max="1904" width="11.5703125" customWidth="1"/>
    <col min="1905" max="1910" width="10.5703125" customWidth="1"/>
    <col min="1911" max="1911" width="11.5703125" customWidth="1"/>
    <col min="1912" max="1912" width="10.5703125" customWidth="1"/>
    <col min="1913" max="1913" width="11.5703125" customWidth="1"/>
    <col min="1914" max="1914" width="10.5703125" customWidth="1"/>
    <col min="1915" max="1917" width="11.5703125" customWidth="1"/>
    <col min="1918" max="1923" width="10.5703125" customWidth="1"/>
    <col min="1924" max="1924" width="11.5703125" customWidth="1"/>
    <col min="1925" max="1925" width="10.5703125" customWidth="1"/>
    <col min="1926" max="1926" width="11.5703125" customWidth="1"/>
    <col min="1927" max="1932" width="10.5703125" customWidth="1"/>
    <col min="1933" max="1933" width="11.5703125" customWidth="1"/>
    <col min="1934" max="1937" width="10.5703125" customWidth="1"/>
    <col min="1938" max="1938" width="10.42578125" customWidth="1"/>
    <col min="1939" max="1939" width="10.5703125" customWidth="1"/>
    <col min="1940" max="1940" width="11.5703125" customWidth="1"/>
    <col min="1941" max="1941" width="10.5703125" customWidth="1"/>
    <col min="1942" max="1942" width="11.5703125" customWidth="1"/>
    <col min="1943" max="1944" width="10.5703125" customWidth="1"/>
    <col min="1945" max="1945" width="10.42578125" customWidth="1"/>
    <col min="1946" max="1949" width="10.5703125" customWidth="1"/>
    <col min="1950" max="1950" width="11.5703125" customWidth="1"/>
    <col min="1951" max="1951" width="10.42578125" customWidth="1"/>
    <col min="1952" max="1952" width="10.5703125" customWidth="1"/>
    <col min="1953" max="1953" width="12.5703125" customWidth="1"/>
    <col min="1954" max="1955" width="10.5703125" customWidth="1"/>
    <col min="1956" max="1956" width="11.5703125" customWidth="1"/>
    <col min="1957" max="1958" width="10.5703125" customWidth="1"/>
    <col min="1959" max="1959" width="11.5703125" customWidth="1"/>
    <col min="1960" max="1966" width="10.5703125" customWidth="1"/>
    <col min="1967" max="1969" width="11.5703125" customWidth="1"/>
    <col min="1970" max="1970" width="10.5703125" customWidth="1"/>
    <col min="1971" max="1971" width="10.42578125" customWidth="1"/>
    <col min="1972" max="1981" width="10.5703125" customWidth="1"/>
    <col min="1982" max="1982" width="11.5703125" customWidth="1"/>
    <col min="1983" max="1990" width="10.5703125" customWidth="1"/>
    <col min="1991" max="1991" width="11.5703125" customWidth="1"/>
    <col min="1992" max="1993" width="10.5703125" customWidth="1"/>
    <col min="1994" max="1994" width="11.5703125" customWidth="1"/>
    <col min="1995" max="1995" width="10.5703125" customWidth="1"/>
    <col min="1996" max="1996" width="10.42578125" customWidth="1"/>
    <col min="1997" max="1997" width="12.5703125" customWidth="1"/>
    <col min="1998" max="2012" width="10.5703125" customWidth="1"/>
    <col min="2013" max="2013" width="11.5703125" customWidth="1"/>
    <col min="2014" max="2016" width="10.5703125" customWidth="1"/>
    <col min="2017" max="2017" width="11.5703125" customWidth="1"/>
    <col min="2018" max="2018" width="10.5703125" customWidth="1"/>
    <col min="2019" max="2019" width="11.5703125" customWidth="1"/>
    <col min="2020" max="2028" width="10.5703125" customWidth="1"/>
    <col min="2029" max="2029" width="10.42578125" customWidth="1"/>
    <col min="2030" max="2031" width="10.5703125" customWidth="1"/>
    <col min="2032" max="2032" width="10.42578125" customWidth="1"/>
    <col min="2033" max="2033" width="11.5703125" customWidth="1"/>
    <col min="2034" max="2034" width="10.5703125" customWidth="1"/>
    <col min="2035" max="2035" width="11.5703125" customWidth="1"/>
    <col min="2036" max="2039" width="10.5703125" customWidth="1"/>
    <col min="2040" max="2041" width="11.5703125" customWidth="1"/>
    <col min="2042" max="2042" width="10.5703125" customWidth="1"/>
    <col min="2043" max="2044" width="11.5703125" customWidth="1"/>
    <col min="2045" max="2046" width="10.5703125" customWidth="1"/>
    <col min="2047" max="2047" width="11.5703125" customWidth="1"/>
    <col min="2048" max="2053" width="10.5703125" customWidth="1"/>
    <col min="2054" max="2054" width="11.5703125" customWidth="1"/>
    <col min="2055" max="2056" width="10.5703125" customWidth="1"/>
    <col min="2057" max="2057" width="10.42578125" customWidth="1"/>
    <col min="2058" max="2061" width="10.5703125" customWidth="1"/>
    <col min="2062" max="2062" width="11.5703125" customWidth="1"/>
    <col min="2063" max="2064" width="10.5703125" customWidth="1"/>
    <col min="2065" max="2065" width="11.5703125" customWidth="1"/>
    <col min="2066" max="2069" width="10.5703125" customWidth="1"/>
    <col min="2070" max="2070" width="10.42578125" customWidth="1"/>
    <col min="2071" max="2081" width="10.5703125" customWidth="1"/>
    <col min="2082" max="2082" width="11.5703125" customWidth="1"/>
    <col min="2083" max="2090" width="10.5703125" customWidth="1"/>
    <col min="2091" max="2093" width="11.5703125" customWidth="1"/>
    <col min="2094" max="2094" width="10.5703125" customWidth="1"/>
    <col min="2095" max="2095" width="11.5703125" customWidth="1"/>
    <col min="2096" max="2099" width="10.5703125" customWidth="1"/>
    <col min="2100" max="2100" width="11.5703125" customWidth="1"/>
    <col min="2101" max="2103" width="10.5703125" customWidth="1"/>
    <col min="2104" max="2104" width="11.5703125" customWidth="1"/>
    <col min="2105" max="2106" width="10.5703125" customWidth="1"/>
    <col min="2107" max="2107" width="11.5703125" customWidth="1"/>
    <col min="2108" max="2110" width="10.5703125" customWidth="1"/>
    <col min="2111" max="2111" width="11.5703125" customWidth="1"/>
    <col min="2112" max="2112" width="10.5703125" customWidth="1"/>
    <col min="2113" max="2113" width="11.5703125" customWidth="1"/>
    <col min="2114" max="2119" width="10.5703125" customWidth="1"/>
    <col min="2120" max="2121" width="11.5703125" customWidth="1"/>
    <col min="2122" max="2122" width="10.5703125" customWidth="1"/>
    <col min="2123" max="2123" width="11.5703125" customWidth="1"/>
    <col min="2124" max="2130" width="10.5703125" customWidth="1"/>
    <col min="2131" max="2132" width="11.5703125" customWidth="1"/>
    <col min="2133" max="2139" width="10.5703125" customWidth="1"/>
    <col min="2140" max="2140" width="11.5703125" customWidth="1"/>
    <col min="2141" max="2148" width="10.5703125" customWidth="1"/>
    <col min="2149" max="2149" width="11.5703125" customWidth="1"/>
    <col min="2150" max="2150" width="10.5703125" customWidth="1"/>
    <col min="2151" max="2151" width="11.5703125" customWidth="1"/>
    <col min="2152" max="2157" width="10.5703125" customWidth="1"/>
    <col min="2158" max="2158" width="10.42578125" customWidth="1"/>
    <col min="2159" max="2159" width="10.5703125" customWidth="1"/>
    <col min="2160" max="2163" width="11.5703125" customWidth="1"/>
    <col min="2164" max="2170" width="10.5703125" customWidth="1"/>
    <col min="2171" max="2171" width="11.5703125" customWidth="1"/>
    <col min="2172" max="2175" width="10.5703125" customWidth="1"/>
    <col min="2176" max="2176" width="11.5703125" customWidth="1"/>
    <col min="2177" max="2179" width="10.5703125" customWidth="1"/>
    <col min="2180" max="2180" width="11.5703125" customWidth="1"/>
    <col min="2181" max="2187" width="10.5703125" customWidth="1"/>
    <col min="2188" max="2188" width="11.5703125" customWidth="1"/>
    <col min="2189" max="2189" width="10.42578125" customWidth="1"/>
    <col min="2190" max="2197" width="10.5703125" customWidth="1"/>
    <col min="2198" max="2198" width="11.5703125" customWidth="1"/>
    <col min="2199" max="2201" width="10.5703125" customWidth="1"/>
    <col min="2202" max="2202" width="10.42578125" customWidth="1"/>
    <col min="2203" max="2203" width="10.5703125" customWidth="1"/>
    <col min="2204" max="2204" width="11.5703125" customWidth="1"/>
    <col min="2205" max="2209" width="10.5703125" customWidth="1"/>
    <col min="2210" max="2210" width="11.5703125" customWidth="1"/>
    <col min="2211" max="2214" width="10.5703125" customWidth="1"/>
    <col min="2215" max="2215" width="11.5703125" customWidth="1"/>
    <col min="2216" max="2217" width="10.5703125" customWidth="1"/>
    <col min="2218" max="2218" width="11.5703125" customWidth="1"/>
    <col min="2219" max="2219" width="10.5703125" customWidth="1"/>
    <col min="2220" max="2220" width="11.5703125" customWidth="1"/>
    <col min="2221" max="2224" width="10.5703125" customWidth="1"/>
    <col min="2225" max="2225" width="10.42578125" customWidth="1"/>
    <col min="2226" max="2234" width="10.5703125" customWidth="1"/>
    <col min="2235" max="2235" width="11.5703125" customWidth="1"/>
    <col min="2236" max="2240" width="10.5703125" customWidth="1"/>
    <col min="2241" max="2241" width="11.5703125" customWidth="1"/>
    <col min="2242" max="2243" width="10.5703125" customWidth="1"/>
    <col min="2244" max="2244" width="11.5703125" customWidth="1"/>
    <col min="2245" max="2249" width="10.5703125" customWidth="1"/>
    <col min="2250" max="2250" width="11.5703125" customWidth="1"/>
    <col min="2251" max="2256" width="10.5703125" customWidth="1"/>
    <col min="2257" max="2259" width="11.5703125" customWidth="1"/>
    <col min="2260" max="2260" width="10.42578125" customWidth="1"/>
    <col min="2261" max="2261" width="11.5703125" customWidth="1"/>
    <col min="2262" max="2273" width="10.5703125" customWidth="1"/>
    <col min="2274" max="2274" width="11.5703125" customWidth="1"/>
    <col min="2275" max="2276" width="10.5703125" customWidth="1"/>
    <col min="2277" max="2278" width="11.5703125" customWidth="1"/>
    <col min="2279" max="2279" width="10.5703125" customWidth="1"/>
    <col min="2280" max="2281" width="11.5703125" customWidth="1"/>
    <col min="2282" max="2289" width="10.5703125" customWidth="1"/>
    <col min="2290" max="2290" width="11.5703125" customWidth="1"/>
    <col min="2291" max="2297" width="10.5703125" customWidth="1"/>
    <col min="2298" max="2298" width="11.5703125" customWidth="1"/>
    <col min="2299" max="2299" width="10.5703125" customWidth="1"/>
    <col min="2300" max="2301" width="11.5703125" customWidth="1"/>
    <col min="2302" max="2311" width="10.5703125" customWidth="1"/>
    <col min="2312" max="2312" width="11.5703125" customWidth="1"/>
    <col min="2313" max="2314" width="10.5703125" customWidth="1"/>
    <col min="2315" max="2315" width="11.5703125" customWidth="1"/>
    <col min="2316" max="2318" width="10.5703125" customWidth="1"/>
    <col min="2319" max="2319" width="10.42578125" customWidth="1"/>
    <col min="2320" max="2327" width="10.5703125" customWidth="1"/>
    <col min="2328" max="2328" width="11.5703125" customWidth="1"/>
    <col min="2329" max="2331" width="10.5703125" customWidth="1"/>
    <col min="2332" max="2334" width="11.5703125" customWidth="1"/>
    <col min="2335" max="2335" width="10.5703125" customWidth="1"/>
    <col min="2336" max="2336" width="11.5703125" customWidth="1"/>
    <col min="2337" max="2338" width="10.5703125" customWidth="1"/>
    <col min="2339" max="2339" width="11.5703125" customWidth="1"/>
    <col min="2340" max="2341" width="10.5703125" customWidth="1"/>
    <col min="2342" max="2342" width="11.5703125" customWidth="1"/>
    <col min="2343" max="2347" width="10.5703125" customWidth="1"/>
    <col min="2348" max="2348" width="11.5703125" customWidth="1"/>
    <col min="2349" max="2349" width="10.5703125" customWidth="1"/>
    <col min="2350" max="2350" width="11.5703125" customWidth="1"/>
    <col min="2351" max="2356" width="10.5703125" customWidth="1"/>
    <col min="2357" max="2357" width="11.5703125" customWidth="1"/>
    <col min="2358" max="2358" width="10.5703125" customWidth="1"/>
    <col min="2359" max="2359" width="10.42578125" customWidth="1"/>
    <col min="2360" max="2363" width="10.5703125" customWidth="1"/>
    <col min="2364" max="2364" width="11.5703125" customWidth="1"/>
    <col min="2365" max="2371" width="10.5703125" customWidth="1"/>
    <col min="2372" max="2372" width="11.5703125" customWidth="1"/>
    <col min="2373" max="2374" width="10.5703125" customWidth="1"/>
    <col min="2375" max="2376" width="11.5703125" customWidth="1"/>
    <col min="2377" max="2377" width="10.5703125" customWidth="1"/>
    <col min="2378" max="2378" width="11.5703125" customWidth="1"/>
    <col min="2379" max="2382" width="10.5703125" customWidth="1"/>
    <col min="2383" max="2383" width="11.5703125" customWidth="1"/>
    <col min="2384" max="2385" width="10.5703125" customWidth="1"/>
    <col min="2386" max="2386" width="11.5703125" customWidth="1"/>
    <col min="2387" max="2387" width="10.42578125" customWidth="1"/>
    <col min="2388" max="2390" width="10.5703125" customWidth="1"/>
    <col min="2391" max="2391" width="11.5703125" customWidth="1"/>
    <col min="2392" max="2392" width="10.5703125" customWidth="1"/>
    <col min="2393" max="2394" width="11.5703125" customWidth="1"/>
    <col min="2395" max="2399" width="10.5703125" customWidth="1"/>
    <col min="2400" max="2400" width="11.5703125" customWidth="1"/>
    <col min="2401" max="2405" width="10.5703125" customWidth="1"/>
    <col min="2406" max="2406" width="11.5703125" customWidth="1"/>
    <col min="2407" max="2409" width="10.5703125" customWidth="1"/>
    <col min="2410" max="2410" width="11.5703125" customWidth="1"/>
    <col min="2411" max="2412" width="10.5703125" customWidth="1"/>
    <col min="2413" max="2413" width="11.5703125" customWidth="1"/>
    <col min="2414" max="2414" width="10.5703125" customWidth="1"/>
    <col min="2415" max="2415" width="10.42578125" customWidth="1"/>
    <col min="2416" max="2424" width="10.5703125" customWidth="1"/>
    <col min="2425" max="2425" width="11.5703125" customWidth="1"/>
    <col min="2426" max="2426" width="10.5703125" customWidth="1"/>
    <col min="2427" max="2428" width="11.5703125" customWidth="1"/>
    <col min="2429" max="2433" width="10.5703125" customWidth="1"/>
    <col min="2434" max="2434" width="11.5703125" customWidth="1"/>
    <col min="2435" max="2440" width="10.5703125" customWidth="1"/>
    <col min="2441" max="2441" width="10.42578125" customWidth="1"/>
    <col min="2442" max="2457" width="10.5703125" customWidth="1"/>
    <col min="2458" max="2458" width="11.5703125" customWidth="1"/>
    <col min="2459" max="2461" width="10.5703125" customWidth="1"/>
    <col min="2462" max="2463" width="11.5703125" customWidth="1"/>
    <col min="2464" max="2468" width="10.5703125" customWidth="1"/>
    <col min="2469" max="2469" width="10.42578125" customWidth="1"/>
    <col min="2470" max="2473" width="10.5703125" customWidth="1"/>
    <col min="2474" max="2475" width="11.5703125" customWidth="1"/>
    <col min="2476" max="2478" width="10.5703125" customWidth="1"/>
    <col min="2479" max="2479" width="11.5703125" customWidth="1"/>
    <col min="2480" max="2482" width="10.5703125" customWidth="1"/>
    <col min="2483" max="2483" width="11.5703125" customWidth="1"/>
    <col min="2484" max="2486" width="10.5703125" customWidth="1"/>
    <col min="2487" max="2487" width="11.5703125" customWidth="1"/>
    <col min="2488" max="2488" width="10.5703125" customWidth="1"/>
    <col min="2489" max="2489" width="11.5703125" customWidth="1"/>
    <col min="2490" max="2493" width="10.5703125" customWidth="1"/>
    <col min="2494" max="2494" width="11.5703125" customWidth="1"/>
    <col min="2495" max="2495" width="10.5703125" customWidth="1"/>
    <col min="2496" max="2496" width="11.5703125" customWidth="1"/>
    <col min="2497" max="2505" width="10.5703125" customWidth="1"/>
    <col min="2506" max="2507" width="11.5703125" customWidth="1"/>
    <col min="2508" max="2510" width="10.5703125" customWidth="1"/>
    <col min="2511" max="2511" width="11.5703125" customWidth="1"/>
    <col min="2512" max="2512" width="10.5703125" customWidth="1"/>
    <col min="2513" max="2513" width="11.5703125" customWidth="1"/>
    <col min="2514" max="2514" width="10.42578125" customWidth="1"/>
    <col min="2515" max="2516" width="10.5703125" customWidth="1"/>
    <col min="2517" max="2517" width="11.5703125" customWidth="1"/>
    <col min="2518" max="2518" width="10.5703125" customWidth="1"/>
    <col min="2519" max="2519" width="11.5703125" customWidth="1"/>
    <col min="2520" max="2526" width="10.5703125" customWidth="1"/>
    <col min="2527" max="2527" width="11.5703125" customWidth="1"/>
    <col min="2528" max="2528" width="10.42578125" customWidth="1"/>
    <col min="2529" max="2532" width="10.5703125" customWidth="1"/>
    <col min="2533" max="2533" width="11.5703125" customWidth="1"/>
    <col min="2534" max="2534" width="10.5703125" customWidth="1"/>
    <col min="2535" max="2535" width="11.5703125" customWidth="1"/>
    <col min="2536" max="2537" width="10.5703125" customWidth="1"/>
    <col min="2538" max="2538" width="11.5703125" customWidth="1"/>
    <col min="2539" max="2540" width="10.5703125" customWidth="1"/>
    <col min="2541" max="2541" width="11.5703125" customWidth="1"/>
    <col min="2542" max="2551" width="10.5703125" customWidth="1"/>
    <col min="2552" max="2552" width="11.5703125" customWidth="1"/>
    <col min="2553" max="2555" width="10.5703125" customWidth="1"/>
    <col min="2556" max="2556" width="11.5703125" customWidth="1"/>
    <col min="2557" max="2557" width="10.5703125" customWidth="1"/>
    <col min="2558" max="2558" width="11.5703125" customWidth="1"/>
    <col min="2559" max="2560" width="10.5703125" customWidth="1"/>
    <col min="2561" max="2561" width="11.5703125" customWidth="1"/>
    <col min="2562" max="2565" width="10.5703125" customWidth="1"/>
    <col min="2566" max="2566" width="11.5703125" customWidth="1"/>
    <col min="2567" max="2567" width="10.5703125" customWidth="1"/>
    <col min="2568" max="2568" width="11.5703125" customWidth="1"/>
    <col min="2569" max="2569" width="10.42578125" customWidth="1"/>
    <col min="2570" max="2571" width="11.5703125" customWidth="1"/>
    <col min="2572" max="2574" width="10.5703125" customWidth="1"/>
    <col min="2575" max="2575" width="11.5703125" customWidth="1"/>
    <col min="2576" max="2576" width="10.42578125" customWidth="1"/>
    <col min="2577" max="2578" width="10.5703125" customWidth="1"/>
    <col min="2579" max="2580" width="11.5703125" customWidth="1"/>
    <col min="2581" max="2584" width="10.5703125" customWidth="1"/>
    <col min="2585" max="2585" width="11.5703125" customWidth="1"/>
    <col min="2586" max="2590" width="10.5703125" customWidth="1"/>
    <col min="2591" max="2592" width="11.5703125" customWidth="1"/>
    <col min="2593" max="2602" width="10.5703125" customWidth="1"/>
    <col min="2603" max="2603" width="11.5703125" customWidth="1"/>
    <col min="2604" max="2609" width="10.5703125" customWidth="1"/>
    <col min="2610" max="2610" width="11.5703125" customWidth="1"/>
    <col min="2611" max="2611" width="10.5703125" customWidth="1"/>
    <col min="2612" max="2613" width="11.5703125" customWidth="1"/>
    <col min="2614" max="2630" width="10.5703125" customWidth="1"/>
    <col min="2631" max="2633" width="11.5703125" customWidth="1"/>
    <col min="2634" max="2636" width="10.5703125" customWidth="1"/>
    <col min="2637" max="2637" width="11.5703125" customWidth="1"/>
    <col min="2638" max="2642" width="10.5703125" customWidth="1"/>
    <col min="2643" max="2643" width="11.5703125" customWidth="1"/>
    <col min="2644" max="2644" width="10.5703125" customWidth="1"/>
    <col min="2645" max="2645" width="11.5703125" customWidth="1"/>
    <col min="2646" max="2649" width="10.5703125" customWidth="1"/>
    <col min="2650" max="2650" width="11.5703125" customWidth="1"/>
    <col min="2651" max="2658" width="10.5703125" customWidth="1"/>
    <col min="2659" max="2659" width="10.42578125" customWidth="1"/>
    <col min="2660" max="2660" width="10.5703125" customWidth="1"/>
    <col min="2661" max="2662" width="11.5703125" customWidth="1"/>
    <col min="2663" max="2663" width="10.5703125" customWidth="1"/>
    <col min="2664" max="2664" width="11.5703125" customWidth="1"/>
    <col min="2665" max="2666" width="10.5703125" customWidth="1"/>
    <col min="2667" max="2667" width="11.5703125" customWidth="1"/>
    <col min="2668" max="2668" width="10.5703125" customWidth="1"/>
    <col min="2669" max="2669" width="10.42578125" customWidth="1"/>
    <col min="2670" max="2682" width="10.5703125" customWidth="1"/>
    <col min="2683" max="2683" width="11.5703125" customWidth="1"/>
    <col min="2684" max="2686" width="10.5703125" customWidth="1"/>
    <col min="2687" max="2687" width="11.5703125" customWidth="1"/>
    <col min="2688" max="2702" width="10.5703125" customWidth="1"/>
    <col min="2703" max="2703" width="11.5703125" customWidth="1"/>
    <col min="2704" max="2707" width="10.5703125" customWidth="1"/>
    <col min="2708" max="2708" width="11.5703125" customWidth="1"/>
    <col min="2709" max="2720" width="10.5703125" customWidth="1"/>
    <col min="2721" max="2721" width="11.5703125" customWidth="1"/>
    <col min="2722" max="2730" width="10.5703125" customWidth="1"/>
    <col min="2731" max="2731" width="11.5703125" customWidth="1"/>
    <col min="2732" max="2734" width="10.5703125" customWidth="1"/>
    <col min="2735" max="2735" width="11.5703125" customWidth="1"/>
    <col min="2736" max="2737" width="10.5703125" customWidth="1"/>
    <col min="2738" max="2740" width="11.5703125" customWidth="1"/>
    <col min="2741" max="2741" width="10.5703125" customWidth="1"/>
    <col min="2742" max="2742" width="11.5703125" customWidth="1"/>
    <col min="2743" max="2743" width="10.5703125" customWidth="1"/>
    <col min="2744" max="2744" width="11.5703125" customWidth="1"/>
    <col min="2745" max="2749" width="10.5703125" customWidth="1"/>
    <col min="2750" max="2750" width="11.5703125" customWidth="1"/>
    <col min="2751" max="2752" width="10.5703125" customWidth="1"/>
    <col min="2753" max="2754" width="11.5703125" customWidth="1"/>
    <col min="2755" max="2760" width="10.5703125" customWidth="1"/>
    <col min="2761" max="2761" width="11.5703125" customWidth="1"/>
    <col min="2762" max="2762" width="10.5703125" customWidth="1"/>
    <col min="2763" max="2763" width="11.5703125" customWidth="1"/>
    <col min="2764" max="2769" width="10.5703125" customWidth="1"/>
    <col min="2770" max="2770" width="11.5703125" customWidth="1"/>
    <col min="2771" max="2772" width="10.5703125" customWidth="1"/>
    <col min="2773" max="2773" width="11.5703125" customWidth="1"/>
    <col min="2774" max="2776" width="10.5703125" customWidth="1"/>
    <col min="2777" max="2777" width="11.5703125" customWidth="1"/>
    <col min="2778" max="2783" width="10.5703125" customWidth="1"/>
    <col min="2784" max="2784" width="11.5703125" customWidth="1"/>
    <col min="2785" max="2785" width="10.5703125" customWidth="1"/>
    <col min="2786" max="2786" width="11.5703125" customWidth="1"/>
    <col min="2787" max="2789" width="10.5703125" customWidth="1"/>
    <col min="2790" max="2791" width="11.5703125" customWidth="1"/>
    <col min="2792" max="2793" width="10.5703125" customWidth="1"/>
    <col min="2794" max="2794" width="11.5703125" customWidth="1"/>
    <col min="2795" max="2806" width="10.5703125" customWidth="1"/>
    <col min="2807" max="2807" width="11.5703125" customWidth="1"/>
    <col min="2808" max="2808" width="10.5703125" customWidth="1"/>
    <col min="2809" max="2809" width="11.5703125" customWidth="1"/>
    <col min="2810" max="2811" width="10.5703125" customWidth="1"/>
    <col min="2812" max="2813" width="11.5703125" customWidth="1"/>
    <col min="2814" max="2817" width="10.5703125" customWidth="1"/>
    <col min="2818" max="2818" width="11.5703125" customWidth="1"/>
    <col min="2819" max="2823" width="10.5703125" customWidth="1"/>
    <col min="2824" max="2824" width="11.5703125" customWidth="1"/>
    <col min="2825" max="2827" width="10.5703125" customWidth="1"/>
    <col min="2828" max="2828" width="11.5703125" customWidth="1"/>
    <col min="2829" max="2830" width="10.5703125" customWidth="1"/>
    <col min="2831" max="2832" width="11.5703125" customWidth="1"/>
    <col min="2833" max="2837" width="10.5703125" customWidth="1"/>
    <col min="2838" max="2839" width="11.5703125" customWidth="1"/>
    <col min="2840" max="2846" width="10.5703125" customWidth="1"/>
    <col min="2847" max="2847" width="11.5703125" customWidth="1"/>
    <col min="2848" max="2849" width="10.5703125" customWidth="1"/>
    <col min="2850" max="2850" width="11.5703125" customWidth="1"/>
    <col min="2851" max="2859" width="10.5703125" customWidth="1"/>
    <col min="2860" max="2860" width="11.5703125" customWidth="1"/>
    <col min="2861" max="2864" width="10.5703125" customWidth="1"/>
    <col min="2865" max="2865" width="11.5703125" customWidth="1"/>
    <col min="2866" max="2870" width="10.5703125" customWidth="1"/>
    <col min="2871" max="2871" width="11.5703125" customWidth="1"/>
    <col min="2872" max="2880" width="10.5703125" customWidth="1"/>
    <col min="2881" max="2881" width="11.5703125" customWidth="1"/>
    <col min="2882" max="2882" width="10.5703125" customWidth="1"/>
    <col min="2883" max="2883" width="11.5703125" customWidth="1"/>
    <col min="2884" max="2887" width="10.5703125" customWidth="1"/>
    <col min="2888" max="2888" width="11.5703125" customWidth="1"/>
    <col min="2889" max="2894" width="10.5703125" customWidth="1"/>
    <col min="2895" max="2896" width="11.5703125" customWidth="1"/>
    <col min="2897" max="2901" width="10.5703125" customWidth="1"/>
    <col min="2902" max="2902" width="10.42578125" customWidth="1"/>
    <col min="2903" max="2904" width="10.5703125" customWidth="1"/>
    <col min="2905" max="2905" width="11.5703125" customWidth="1"/>
    <col min="2906" max="2906" width="10.5703125" customWidth="1"/>
    <col min="2907" max="2907" width="11.5703125" customWidth="1"/>
    <col min="2908" max="2909" width="10.5703125" customWidth="1"/>
    <col min="2910" max="2910" width="11.5703125" customWidth="1"/>
    <col min="2911" max="2914" width="10.5703125" customWidth="1"/>
    <col min="2915" max="2915" width="11.5703125" customWidth="1"/>
    <col min="2916" max="2920" width="10.5703125" customWidth="1"/>
    <col min="2921" max="2921" width="11.5703125" customWidth="1"/>
    <col min="2922" max="2926" width="10.5703125" customWidth="1"/>
    <col min="2927" max="2927" width="11.5703125" customWidth="1"/>
    <col min="2928" max="2928" width="10.5703125" customWidth="1"/>
    <col min="2929" max="2930" width="11.5703125" customWidth="1"/>
    <col min="2931" max="2933" width="10.5703125" customWidth="1"/>
    <col min="2934" max="2934" width="11.5703125" customWidth="1"/>
    <col min="2935" max="2940" width="10.5703125" customWidth="1"/>
    <col min="2941" max="2942" width="11.5703125" customWidth="1"/>
    <col min="2943" max="2945" width="10.5703125" customWidth="1"/>
    <col min="2946" max="2946" width="11.5703125" customWidth="1"/>
    <col min="2947" max="2952" width="10.5703125" customWidth="1"/>
    <col min="2953" max="2953" width="11.5703125" customWidth="1"/>
    <col min="2954" max="2956" width="10.5703125" customWidth="1"/>
    <col min="2957" max="2957" width="12.5703125" customWidth="1"/>
    <col min="2958" max="2958" width="10.5703125" customWidth="1"/>
    <col min="2959" max="2960" width="11.5703125" customWidth="1"/>
    <col min="2961" max="2961" width="10.5703125" customWidth="1"/>
    <col min="2962" max="2962" width="11.5703125" customWidth="1"/>
    <col min="2963" max="2964" width="10.5703125" customWidth="1"/>
    <col min="2965" max="2966" width="11.5703125" customWidth="1"/>
    <col min="2967" max="2970" width="10.5703125" customWidth="1"/>
    <col min="2971" max="2971" width="10.42578125" customWidth="1"/>
    <col min="2972" max="2972" width="10.5703125" customWidth="1"/>
    <col min="2973" max="2973" width="11.5703125" customWidth="1"/>
    <col min="2974" max="3005" width="10.5703125" customWidth="1"/>
    <col min="3006" max="3006" width="11.5703125" customWidth="1"/>
    <col min="3007" max="3008" width="10.5703125" customWidth="1"/>
    <col min="3009" max="3009" width="11.5703125" customWidth="1"/>
    <col min="3010" max="3010" width="10.5703125" customWidth="1"/>
    <col min="3011" max="3011" width="11.5703125" customWidth="1"/>
    <col min="3012" max="3012" width="10.5703125" customWidth="1"/>
    <col min="3013" max="3014" width="11.5703125" customWidth="1"/>
    <col min="3015" max="3019" width="10.5703125" customWidth="1"/>
    <col min="3020" max="3020" width="11.5703125" customWidth="1"/>
    <col min="3021" max="3022" width="10.5703125" customWidth="1"/>
    <col min="3023" max="3023" width="11.5703125" customWidth="1"/>
    <col min="3024" max="3024" width="10.5703125" customWidth="1"/>
    <col min="3025" max="3025" width="11.5703125" customWidth="1"/>
    <col min="3026" max="3035" width="10.5703125" customWidth="1"/>
    <col min="3036" max="3037" width="11.5703125" customWidth="1"/>
    <col min="3038" max="3045" width="10.5703125" customWidth="1"/>
    <col min="3046" max="3046" width="11.5703125" customWidth="1"/>
    <col min="3047" max="3047" width="10.5703125" customWidth="1"/>
    <col min="3048" max="3048" width="11.5703125" customWidth="1"/>
    <col min="3049" max="3051" width="10.5703125" customWidth="1"/>
    <col min="3052" max="3052" width="11.5703125" customWidth="1"/>
    <col min="3053" max="3053" width="10.5703125" customWidth="1"/>
    <col min="3054" max="3054" width="11.5703125" customWidth="1"/>
    <col min="3055" max="3056" width="10.5703125" customWidth="1"/>
    <col min="3057" max="3059" width="11.5703125" customWidth="1"/>
    <col min="3060" max="3062" width="10.5703125" customWidth="1"/>
    <col min="3063" max="3063" width="11.5703125" customWidth="1"/>
    <col min="3064" max="3068" width="10.5703125" customWidth="1"/>
    <col min="3069" max="3069" width="11.5703125" customWidth="1"/>
    <col min="3070" max="3075" width="10.5703125" customWidth="1"/>
    <col min="3076" max="3076" width="11.5703125" customWidth="1"/>
    <col min="3077" max="3082" width="10.5703125" customWidth="1"/>
    <col min="3083" max="3083" width="11.5703125" customWidth="1"/>
    <col min="3084" max="3085" width="10.5703125" customWidth="1"/>
    <col min="3086" max="3086" width="11.5703125" customWidth="1"/>
    <col min="3087" max="3091" width="10.5703125" customWidth="1"/>
    <col min="3092" max="3092" width="11.5703125" customWidth="1"/>
    <col min="3093" max="3098" width="10.5703125" customWidth="1"/>
    <col min="3099" max="3099" width="11.5703125" customWidth="1"/>
    <col min="3100" max="3101" width="10.5703125" customWidth="1"/>
    <col min="3102" max="3102" width="11.5703125" customWidth="1"/>
    <col min="3103" max="3111" width="10.5703125" customWidth="1"/>
    <col min="3112" max="3112" width="11.5703125" customWidth="1"/>
    <col min="3113" max="3117" width="10.5703125" customWidth="1"/>
    <col min="3118" max="3118" width="11.5703125" customWidth="1"/>
    <col min="3119" max="3124" width="10.5703125" customWidth="1"/>
    <col min="3125" max="3125" width="11.5703125" customWidth="1"/>
    <col min="3126" max="3131" width="10.5703125" customWidth="1"/>
    <col min="3132" max="3132" width="11.5703125" customWidth="1"/>
    <col min="3133" max="3138" width="10.5703125" customWidth="1"/>
    <col min="3139" max="3140" width="11.5703125" customWidth="1"/>
    <col min="3141" max="3141" width="10.5703125" customWidth="1"/>
    <col min="3142" max="3142" width="11.5703125" customWidth="1"/>
    <col min="3143" max="3143" width="10.5703125" customWidth="1"/>
    <col min="3144" max="3145" width="11.5703125" customWidth="1"/>
    <col min="3146" max="3149" width="10.5703125" customWidth="1"/>
    <col min="3150" max="3151" width="11.5703125" customWidth="1"/>
    <col min="3152" max="3189" width="10.5703125" customWidth="1"/>
    <col min="3190" max="3190" width="11.5703125" customWidth="1"/>
    <col min="3191" max="3197" width="10.5703125" customWidth="1"/>
    <col min="3198" max="3198" width="11.5703125" customWidth="1"/>
    <col min="3199" max="3205" width="10.5703125" customWidth="1"/>
    <col min="3206" max="3206" width="11.5703125" customWidth="1"/>
    <col min="3207" max="3211" width="10.5703125" customWidth="1"/>
    <col min="3212" max="3213" width="11.5703125" customWidth="1"/>
    <col min="3214" max="3215" width="10.5703125" customWidth="1"/>
    <col min="3216" max="3216" width="11.5703125" customWidth="1"/>
    <col min="3217" max="3218" width="10.5703125" customWidth="1"/>
    <col min="3219" max="3219" width="11.5703125" customWidth="1"/>
    <col min="3220" max="3220" width="10.5703125" customWidth="1"/>
    <col min="3221" max="3221" width="11.5703125" customWidth="1"/>
    <col min="3222" max="3225" width="10.5703125" customWidth="1"/>
    <col min="3226" max="3226" width="11.5703125" customWidth="1"/>
    <col min="3227" max="3244" width="10.5703125" customWidth="1"/>
    <col min="3245" max="3245" width="11.5703125" customWidth="1"/>
    <col min="3246" max="3252" width="10.5703125" customWidth="1"/>
    <col min="3253" max="3254" width="11.5703125" customWidth="1"/>
    <col min="3255" max="3256" width="10.5703125" customWidth="1"/>
    <col min="3257" max="3258" width="11.5703125" customWidth="1"/>
    <col min="3259" max="3260" width="10.5703125" customWidth="1"/>
    <col min="3261" max="3261" width="11.5703125" customWidth="1"/>
    <col min="3262" max="3269" width="10.5703125" customWidth="1"/>
    <col min="3270" max="3270" width="11.5703125" customWidth="1"/>
    <col min="3271" max="3278" width="10.5703125" customWidth="1"/>
    <col min="3279" max="3279" width="11.5703125" customWidth="1"/>
    <col min="3280" max="3288" width="10.5703125" customWidth="1"/>
    <col min="3289" max="3289" width="11.5703125" customWidth="1"/>
    <col min="3290" max="3295" width="10.5703125" customWidth="1"/>
    <col min="3296" max="3296" width="11.5703125" customWidth="1"/>
    <col min="3297" max="3299" width="10.5703125" customWidth="1"/>
    <col min="3300" max="3300" width="11.5703125" customWidth="1"/>
    <col min="3301" max="3301" width="10.5703125" customWidth="1"/>
    <col min="3302" max="3302" width="11.5703125" customWidth="1"/>
    <col min="3303" max="3304" width="10.5703125" customWidth="1"/>
    <col min="3305" max="3305" width="11.5703125" customWidth="1"/>
    <col min="3306" max="3308" width="10.5703125" customWidth="1"/>
    <col min="3309" max="3309" width="11.5703125" customWidth="1"/>
    <col min="3310" max="3321" width="10.5703125" customWidth="1"/>
    <col min="3322" max="3322" width="11.5703125" customWidth="1"/>
    <col min="3323" max="3326" width="10.5703125" customWidth="1"/>
    <col min="3327" max="3327" width="11.5703125" customWidth="1"/>
    <col min="3328" max="3332" width="10.5703125" customWidth="1"/>
    <col min="3333" max="3333" width="11.5703125" customWidth="1"/>
    <col min="3334" max="3337" width="10.5703125" customWidth="1"/>
    <col min="3338" max="3338" width="11.5703125" customWidth="1"/>
    <col min="3339" max="3339" width="10.5703125" customWidth="1"/>
    <col min="3340" max="3340" width="11.5703125" customWidth="1"/>
    <col min="3341" max="3346" width="10.5703125" customWidth="1"/>
    <col min="3347" max="3347" width="11.5703125" customWidth="1"/>
    <col min="3348" max="3355" width="10.5703125" customWidth="1"/>
    <col min="3356" max="3357" width="11.5703125" customWidth="1"/>
    <col min="3358" max="3362" width="10.5703125" customWidth="1"/>
    <col min="3363" max="3363" width="11.5703125" customWidth="1"/>
    <col min="3364" max="3376" width="10.5703125" customWidth="1"/>
    <col min="3377" max="3377" width="11.5703125" customWidth="1"/>
    <col min="3378" max="3378" width="10.5703125" customWidth="1"/>
    <col min="3379" max="3380" width="11.5703125" customWidth="1"/>
    <col min="3381" max="3382" width="10.5703125" customWidth="1"/>
    <col min="3383" max="3383" width="11.5703125" customWidth="1"/>
    <col min="3384" max="3393" width="10.5703125" customWidth="1"/>
    <col min="3394" max="3395" width="11.5703125" customWidth="1"/>
    <col min="3396" max="3397" width="10.5703125" customWidth="1"/>
    <col min="3398" max="3398" width="11.5703125" customWidth="1"/>
    <col min="3399" max="3399" width="10.5703125" customWidth="1"/>
    <col min="3400" max="3400" width="11.5703125" customWidth="1"/>
    <col min="3401" max="3402" width="10.5703125" customWidth="1"/>
    <col min="3403" max="3403" width="11.5703125" customWidth="1"/>
    <col min="3404" max="3409" width="10.5703125" customWidth="1"/>
    <col min="3410" max="3410" width="11.5703125" customWidth="1"/>
    <col min="3411" max="3443" width="10.5703125" customWidth="1"/>
    <col min="3444" max="3445" width="11.5703125" customWidth="1"/>
    <col min="3446" max="3450" width="10.5703125" customWidth="1"/>
    <col min="3451" max="3451" width="11.5703125" customWidth="1"/>
    <col min="3452" max="3452" width="10.5703125" customWidth="1"/>
    <col min="3453" max="3453" width="11.5703125" customWidth="1"/>
    <col min="3454" max="3456" width="10.5703125" customWidth="1"/>
    <col min="3457" max="3457" width="11.5703125" customWidth="1"/>
    <col min="3458" max="3467" width="10.5703125" customWidth="1"/>
    <col min="3468" max="3469" width="11.5703125" customWidth="1"/>
    <col min="3470" max="3470" width="10.5703125" customWidth="1"/>
    <col min="3471" max="3471" width="11.5703125" customWidth="1"/>
    <col min="3472" max="3479" width="10.5703125" customWidth="1"/>
    <col min="3480" max="3481" width="11.5703125" customWidth="1"/>
    <col min="3482" max="3485" width="10.5703125" customWidth="1"/>
    <col min="3486" max="3486" width="11.5703125" customWidth="1"/>
    <col min="3487" max="3494" width="10.5703125" customWidth="1"/>
    <col min="3495" max="3495" width="11.5703125" customWidth="1"/>
    <col min="3496" max="3502" width="10.5703125" customWidth="1"/>
    <col min="3503" max="3503" width="11.5703125" customWidth="1"/>
    <col min="3504" max="3509" width="10.5703125" customWidth="1"/>
    <col min="3510" max="3510" width="11.5703125" customWidth="1"/>
    <col min="3511" max="3511" width="10.5703125" customWidth="1"/>
    <col min="3512" max="3512" width="11.5703125" customWidth="1"/>
    <col min="3513" max="3515" width="10.5703125" customWidth="1"/>
    <col min="3516" max="3517" width="11.5703125" customWidth="1"/>
    <col min="3518" max="3521" width="10.5703125" customWidth="1"/>
    <col min="3522" max="3522" width="11.5703125" customWidth="1"/>
    <col min="3523" max="3535" width="10.5703125" customWidth="1"/>
    <col min="3536" max="3536" width="11.5703125" customWidth="1"/>
    <col min="3537" max="3538" width="10.5703125" customWidth="1"/>
    <col min="3539" max="3539" width="11.5703125" customWidth="1"/>
    <col min="3540" max="3546" width="10.5703125" customWidth="1"/>
    <col min="3547" max="3547" width="11.5703125" customWidth="1"/>
    <col min="3548" max="3550" width="10.5703125" customWidth="1"/>
    <col min="3551" max="3551" width="11.5703125" customWidth="1"/>
    <col min="3552" max="3559" width="10.5703125" customWidth="1"/>
    <col min="3560" max="3560" width="11.5703125" customWidth="1"/>
    <col min="3561" max="3561" width="10.5703125" customWidth="1"/>
    <col min="3562" max="3562" width="11.5703125" customWidth="1"/>
    <col min="3563" max="3566" width="10.5703125" customWidth="1"/>
    <col min="3567" max="3567" width="11.5703125" customWidth="1"/>
    <col min="3568" max="3579" width="10.5703125" customWidth="1"/>
    <col min="3580" max="3580" width="11.5703125" customWidth="1"/>
    <col min="3581" max="3597" width="10.5703125" customWidth="1"/>
    <col min="3598" max="3598" width="11.5703125" customWidth="1"/>
    <col min="3599" max="3604" width="10.5703125" customWidth="1"/>
    <col min="3605" max="3605" width="11.5703125" customWidth="1"/>
    <col min="3606" max="3609" width="10.5703125" customWidth="1"/>
    <col min="3610" max="3610" width="11.5703125" customWidth="1"/>
    <col min="3611" max="3612" width="10.5703125" customWidth="1"/>
    <col min="3613" max="3613" width="11.5703125" customWidth="1"/>
    <col min="3614" max="3630" width="10.5703125" customWidth="1"/>
    <col min="3631" max="3631" width="11.5703125" customWidth="1"/>
    <col min="3632" max="3632" width="10.5703125" customWidth="1"/>
    <col min="3633" max="3633" width="11.5703125" customWidth="1"/>
    <col min="3634" max="3635" width="10.5703125" customWidth="1"/>
    <col min="3636" max="3636" width="11.5703125" customWidth="1"/>
    <col min="3637" max="3652" width="10.5703125" customWidth="1"/>
    <col min="3653" max="3654" width="11.5703125" customWidth="1"/>
    <col min="3655" max="3662" width="10.5703125" customWidth="1"/>
    <col min="3663" max="3663" width="11.5703125" customWidth="1"/>
    <col min="3664" max="3665" width="10.5703125" customWidth="1"/>
    <col min="3666" max="3666" width="11.5703125" customWidth="1"/>
    <col min="3667" max="3669" width="10.5703125" customWidth="1"/>
    <col min="3670" max="3670" width="11.5703125" customWidth="1"/>
    <col min="3671" max="3680" width="10.5703125" customWidth="1"/>
    <col min="3681" max="3681" width="11.5703125" customWidth="1"/>
    <col min="3682" max="3685" width="10.5703125" customWidth="1"/>
    <col min="3686" max="3686" width="11.5703125" customWidth="1"/>
    <col min="3687" max="3688" width="10.5703125" customWidth="1"/>
    <col min="3689" max="3689" width="11.5703125" customWidth="1"/>
    <col min="3690" max="3691" width="10.5703125" customWidth="1"/>
    <col min="3692" max="3692" width="11.5703125" customWidth="1"/>
    <col min="3693" max="3696" width="10.5703125" customWidth="1"/>
    <col min="3697" max="3698" width="11.5703125" customWidth="1"/>
    <col min="3699" max="3709" width="10.5703125" customWidth="1"/>
    <col min="3710" max="3710" width="11.5703125" customWidth="1"/>
    <col min="3711" max="3715" width="10.5703125" customWidth="1"/>
    <col min="3716" max="3716" width="11.5703125" customWidth="1"/>
    <col min="3717" max="3723" width="10.5703125" customWidth="1"/>
    <col min="3724" max="3724" width="11.5703125" customWidth="1"/>
    <col min="3725" max="3726" width="10.5703125" customWidth="1"/>
    <col min="3727" max="3727" width="11.5703125" customWidth="1"/>
    <col min="3728" max="3735" width="10.5703125" customWidth="1"/>
    <col min="3736" max="3736" width="11.5703125" customWidth="1"/>
    <col min="3737" max="3738" width="10.5703125" customWidth="1"/>
    <col min="3739" max="3740" width="11.5703125" customWidth="1"/>
    <col min="3741" max="3749" width="10.5703125" customWidth="1"/>
    <col min="3750" max="3750" width="11.5703125" customWidth="1"/>
    <col min="3751" max="3753" width="10.5703125" customWidth="1"/>
    <col min="3754" max="3755" width="11.5703125" customWidth="1"/>
    <col min="3756" max="3757" width="10.5703125" customWidth="1"/>
    <col min="3758" max="3758" width="11.5703125" customWidth="1"/>
    <col min="3759" max="3759" width="10.5703125" customWidth="1"/>
    <col min="3760" max="3760" width="11.5703125" customWidth="1"/>
    <col min="3761" max="3766" width="10.5703125" customWidth="1"/>
    <col min="3767" max="3767" width="11.5703125" customWidth="1"/>
    <col min="3768" max="3775" width="10.5703125" customWidth="1"/>
    <col min="3776" max="3776" width="11.5703125" customWidth="1"/>
    <col min="3777" max="3777" width="10.5703125" customWidth="1"/>
    <col min="3778" max="3778" width="11.5703125" customWidth="1"/>
    <col min="3779" max="3782" width="10.5703125" customWidth="1"/>
    <col min="3783" max="3783" width="11.5703125" customWidth="1"/>
    <col min="3784" max="3784" width="10.5703125" customWidth="1"/>
    <col min="3785" max="3785" width="11.5703125" customWidth="1"/>
    <col min="3786" max="3789" width="10.5703125" customWidth="1"/>
    <col min="3790" max="3790" width="11.5703125" customWidth="1"/>
    <col min="3791" max="3795" width="10.5703125" customWidth="1"/>
    <col min="3796" max="3796" width="11.5703125" customWidth="1"/>
    <col min="3797" max="3809" width="10.5703125" customWidth="1"/>
    <col min="3810" max="3811" width="11.5703125" customWidth="1"/>
    <col min="3812" max="3814" width="10.5703125" customWidth="1"/>
    <col min="3815" max="3815" width="11.5703125" customWidth="1"/>
    <col min="3816" max="3823" width="10.5703125" customWidth="1"/>
    <col min="3824" max="3824" width="11.5703125" customWidth="1"/>
    <col min="3825" max="3848" width="10.5703125" customWidth="1"/>
    <col min="3849" max="3849" width="15.140625" customWidth="1"/>
    <col min="3850" max="3919" width="22.42578125" bestFit="1" customWidth="1"/>
    <col min="3920" max="3920" width="12.5703125" bestFit="1" customWidth="1"/>
  </cols>
  <sheetData>
    <row r="1" spans="1:13" x14ac:dyDescent="0.25">
      <c r="A1" s="8" t="s">
        <v>0</v>
      </c>
      <c r="B1" s="16" t="s">
        <v>171</v>
      </c>
    </row>
    <row r="2" spans="1:13" x14ac:dyDescent="0.25">
      <c r="A2" s="8" t="s">
        <v>196</v>
      </c>
      <c r="B2" s="16" t="s">
        <v>179</v>
      </c>
    </row>
    <row r="3" spans="1:13" x14ac:dyDescent="0.25">
      <c r="A3" s="8" t="s">
        <v>224</v>
      </c>
      <c r="B3" s="16" t="s">
        <v>179</v>
      </c>
    </row>
    <row r="5" spans="1:13" x14ac:dyDescent="0.25">
      <c r="B5" s="8" t="s">
        <v>150</v>
      </c>
    </row>
    <row r="6" spans="1:13" x14ac:dyDescent="0.25">
      <c r="B6" s="16" t="s">
        <v>152</v>
      </c>
    </row>
    <row r="7" spans="1:13" x14ac:dyDescent="0.25">
      <c r="B7" s="6" t="s">
        <v>153</v>
      </c>
      <c r="C7" s="6" t="s">
        <v>154</v>
      </c>
      <c r="D7" s="6" t="s">
        <v>161</v>
      </c>
      <c r="E7" s="6" t="s">
        <v>162</v>
      </c>
      <c r="F7" s="6" t="s">
        <v>163</v>
      </c>
      <c r="G7" s="6" t="s">
        <v>164</v>
      </c>
      <c r="H7" s="6" t="s">
        <v>165</v>
      </c>
      <c r="I7" s="6" t="s">
        <v>166</v>
      </c>
      <c r="J7" s="6" t="s">
        <v>167</v>
      </c>
      <c r="K7" s="6" t="s">
        <v>168</v>
      </c>
      <c r="L7" s="6" t="s">
        <v>169</v>
      </c>
      <c r="M7" s="6" t="s">
        <v>170</v>
      </c>
    </row>
    <row r="8" spans="1:13" x14ac:dyDescent="0.25">
      <c r="A8" s="25" t="s">
        <v>199</v>
      </c>
      <c r="B8" s="26">
        <v>0</v>
      </c>
      <c r="C8" s="26">
        <v>1504564233.0795236</v>
      </c>
      <c r="D8" s="26">
        <v>3010668255.7969389</v>
      </c>
      <c r="E8" s="26">
        <v>3459581578.0177927</v>
      </c>
      <c r="F8" s="26">
        <v>3623264353.2816911</v>
      </c>
      <c r="G8" s="26">
        <v>5552451960.0985193</v>
      </c>
      <c r="H8" s="26">
        <v>1622848056.3025765</v>
      </c>
      <c r="I8" s="26">
        <v>5330845186.5963507</v>
      </c>
      <c r="J8" s="26">
        <v>2354624647.9181123</v>
      </c>
      <c r="K8" s="26">
        <v>2896380340.4703012</v>
      </c>
      <c r="L8" s="26">
        <v>1490703760.6302667</v>
      </c>
      <c r="M8" s="26">
        <v>3078148238.1452475</v>
      </c>
    </row>
    <row r="9" spans="1:13" x14ac:dyDescent="0.25">
      <c r="A9" s="25" t="s">
        <v>190</v>
      </c>
      <c r="B9" s="26">
        <f>INDICADORES!B9</f>
        <v>1718104718.8614018</v>
      </c>
      <c r="C9" s="26">
        <f>INDICADORES!C9</f>
        <v>1929795630.1064301</v>
      </c>
      <c r="D9" s="26">
        <f>INDICADORES!D9</f>
        <v>2749277063.1029243</v>
      </c>
      <c r="E9" s="26">
        <f>INDICADORES!E9</f>
        <v>2831260632.2548943</v>
      </c>
      <c r="F9" s="26">
        <f>INDICADORES!F9</f>
        <v>3406127898.9069242</v>
      </c>
      <c r="G9" s="26">
        <f>INDICADORES!G9</f>
        <v>2793188355.23211</v>
      </c>
      <c r="H9" s="26">
        <f>INDICADORES!H9</f>
        <v>2093889734.9019678</v>
      </c>
      <c r="I9" s="26">
        <f>INDICADORES!I9</f>
        <v>2225546555.8023725</v>
      </c>
      <c r="J9" s="26">
        <f>INDICADORES!J9</f>
        <v>2191693656.0824051</v>
      </c>
      <c r="K9" s="26">
        <f>INDICADORES!K9</f>
        <v>2184991363.246613</v>
      </c>
      <c r="L9" s="26">
        <f>INDICADORES!L9</f>
        <v>2071219774.6034734</v>
      </c>
      <c r="M9" s="26">
        <f>INDICADORES!M9</f>
        <v>2185566424.2759013</v>
      </c>
    </row>
    <row r="10" spans="1:13" x14ac:dyDescent="0.25">
      <c r="A10" s="25" t="s">
        <v>193</v>
      </c>
      <c r="B10" s="26">
        <f>B8-B9</f>
        <v>-1718104718.8614018</v>
      </c>
      <c r="C10" s="26">
        <f>C8-C9</f>
        <v>-425231397.02690649</v>
      </c>
      <c r="D10" s="26">
        <f t="shared" ref="D10:M10" si="0">D8-D9</f>
        <v>261391192.69401455</v>
      </c>
      <c r="E10" s="26">
        <f t="shared" si="0"/>
        <v>628320945.76289845</v>
      </c>
      <c r="F10" s="26">
        <f t="shared" si="0"/>
        <v>217136454.37476683</v>
      </c>
      <c r="G10" s="26">
        <f t="shared" si="0"/>
        <v>2759263604.8664093</v>
      </c>
      <c r="H10" s="26">
        <f t="shared" si="0"/>
        <v>-471041678.59939122</v>
      </c>
      <c r="I10" s="26">
        <f t="shared" si="0"/>
        <v>3105298630.7939782</v>
      </c>
      <c r="J10" s="26">
        <f t="shared" si="0"/>
        <v>162930991.83570719</v>
      </c>
      <c r="K10" s="26">
        <f t="shared" si="0"/>
        <v>711388977.22368813</v>
      </c>
      <c r="L10" s="26">
        <f t="shared" si="0"/>
        <v>-580516013.97320676</v>
      </c>
      <c r="M10" s="26">
        <f t="shared" si="0"/>
        <v>892581813.86934614</v>
      </c>
    </row>
    <row r="11" spans="1:13" x14ac:dyDescent="0.25">
      <c r="A11" s="25" t="s">
        <v>210</v>
      </c>
      <c r="B11" s="26">
        <f>INDICADORES!B11</f>
        <v>376983693.5523119</v>
      </c>
      <c r="C11" s="26">
        <f>INDICADORES!C11</f>
        <v>408027659.2857157</v>
      </c>
      <c r="D11" s="26">
        <f>INDICADORES!D11</f>
        <v>406546190.42706376</v>
      </c>
      <c r="E11" s="26">
        <f>INDICADORES!E11</f>
        <v>411081780.85164791</v>
      </c>
      <c r="F11" s="26">
        <f>INDICADORES!F11</f>
        <v>397279571.94416016</v>
      </c>
      <c r="G11" s="26">
        <f>INDICADORES!G11</f>
        <v>401744678.70834905</v>
      </c>
      <c r="H11" s="26">
        <f>INDICADORES!H11</f>
        <v>381214758.4434126</v>
      </c>
      <c r="I11" s="26">
        <f>INDICADORES!I11</f>
        <v>383222013.06147766</v>
      </c>
      <c r="J11" s="26">
        <f>INDICADORES!J11</f>
        <v>396661918.98799729</v>
      </c>
      <c r="K11" s="26">
        <f>INDICADORES!K11</f>
        <v>399443385.06098026</v>
      </c>
      <c r="L11" s="26">
        <f>INDICADORES!L11</f>
        <v>451014510.97928417</v>
      </c>
      <c r="M11" s="26">
        <f>INDICADORES!M11</f>
        <v>394269676.02520508</v>
      </c>
    </row>
    <row r="12" spans="1:13" s="16" customFormat="1" x14ac:dyDescent="0.25">
      <c r="A12" s="25" t="s">
        <v>211</v>
      </c>
      <c r="B12" s="26">
        <f>B10-B11</f>
        <v>-2095088412.4137137</v>
      </c>
      <c r="C12" s="26">
        <f>C10-C11</f>
        <v>-833259056.31262219</v>
      </c>
      <c r="D12" s="26">
        <f t="shared" ref="D12:M12" si="1">D10-D11</f>
        <v>-145154997.73304921</v>
      </c>
      <c r="E12" s="26">
        <f t="shared" si="1"/>
        <v>217239164.91125053</v>
      </c>
      <c r="F12" s="26">
        <f t="shared" si="1"/>
        <v>-180143117.56939334</v>
      </c>
      <c r="G12" s="26">
        <f t="shared" si="1"/>
        <v>2357518926.1580601</v>
      </c>
      <c r="H12" s="26">
        <f t="shared" si="1"/>
        <v>-852256437.04280376</v>
      </c>
      <c r="I12" s="26">
        <f t="shared" si="1"/>
        <v>2722076617.7325006</v>
      </c>
      <c r="J12" s="26">
        <f t="shared" si="1"/>
        <v>-233730927.15229011</v>
      </c>
      <c r="K12" s="26">
        <f t="shared" si="1"/>
        <v>311945592.16270787</v>
      </c>
      <c r="L12" s="26">
        <f t="shared" si="1"/>
        <v>-1031530524.9524909</v>
      </c>
      <c r="M12" s="26">
        <f t="shared" si="1"/>
        <v>498312137.84414107</v>
      </c>
    </row>
    <row r="13" spans="1:13" x14ac:dyDescent="0.25">
      <c r="A13" s="25" t="s">
        <v>203</v>
      </c>
      <c r="B13" s="27">
        <f>B8*VLOOKUP($B$21,'DATOS GENERALES'!$K:$M,3,0)</f>
        <v>0</v>
      </c>
      <c r="C13" s="27">
        <f>C8*VLOOKUP($B$21,'DATOS GENERALES'!$K:$M,3,0)</f>
        <v>11398874.664795244</v>
      </c>
      <c r="D13" s="27">
        <f>D8*VLOOKUP($B$21,'DATOS GENERALES'!$K:$M,3,0)</f>
        <v>22809415.078853022</v>
      </c>
      <c r="E13" s="27">
        <f>E8*VLOOKUP($B$21,'DATOS GENERALES'!$K:$M,3,0)</f>
        <v>26210470.735266391</v>
      </c>
      <c r="F13" s="27">
        <f>F8*VLOOKUP($B$21,'DATOS GENERALES'!$K:$M,3,0)</f>
        <v>27450563.64655415</v>
      </c>
      <c r="G13" s="27">
        <f>G8*VLOOKUP($B$21,'DATOS GENERALES'!$K:$M,3,0)</f>
        <v>42066468.538810752</v>
      </c>
      <c r="H13" s="27">
        <f>H8*VLOOKUP($B$21,'DATOS GENERALES'!$K:$M,3,0)</f>
        <v>12295016.182816505</v>
      </c>
      <c r="I13" s="27">
        <f>I8*VLOOKUP($B$21,'DATOS GENERALES'!$K:$M,3,0)</f>
        <v>40387532.019862302</v>
      </c>
      <c r="J13" s="27">
        <f>J8*VLOOKUP($B$21,'DATOS GENERALES'!$K:$M,3,0)</f>
        <v>17839099.623762999</v>
      </c>
      <c r="K13" s="27">
        <f>K8*VLOOKUP($B$21,'DATOS GENERALES'!$K:$M,3,0)</f>
        <v>21943547.345281675</v>
      </c>
      <c r="L13" s="27">
        <f>L8*VLOOKUP($B$21,'DATOS GENERALES'!$K:$M,3,0)</f>
        <v>11293864.998361431</v>
      </c>
      <c r="M13" s="27">
        <f>M8*VLOOKUP($B$21,'DATOS GENERALES'!$K:$M,3,0)</f>
        <v>23320656.702347279</v>
      </c>
    </row>
    <row r="14" spans="1:13" x14ac:dyDescent="0.25">
      <c r="A14" s="25" t="s">
        <v>207</v>
      </c>
      <c r="B14" s="26">
        <f>B10-B11-B13</f>
        <v>-2095088412.4137137</v>
      </c>
      <c r="C14" s="26">
        <f>C10-C11-C13</f>
        <v>-844657930.97741747</v>
      </c>
      <c r="D14" s="26">
        <f t="shared" ref="D14:M14" si="2">D10-D11-D13</f>
        <v>-167964412.81190223</v>
      </c>
      <c r="E14" s="26">
        <f t="shared" si="2"/>
        <v>191028694.17598414</v>
      </c>
      <c r="F14" s="26">
        <f t="shared" si="2"/>
        <v>-207593681.21594748</v>
      </c>
      <c r="G14" s="26">
        <f t="shared" si="2"/>
        <v>2315452457.6192493</v>
      </c>
      <c r="H14" s="26">
        <f t="shared" si="2"/>
        <v>-864551453.22562027</v>
      </c>
      <c r="I14" s="26">
        <f t="shared" si="2"/>
        <v>2681689085.7126384</v>
      </c>
      <c r="J14" s="26">
        <f t="shared" si="2"/>
        <v>-251570026.7760531</v>
      </c>
      <c r="K14" s="26">
        <f t="shared" si="2"/>
        <v>290002044.8174262</v>
      </c>
      <c r="L14" s="26">
        <f t="shared" si="2"/>
        <v>-1042824389.9508524</v>
      </c>
      <c r="M14" s="26">
        <f t="shared" si="2"/>
        <v>474991481.14179379</v>
      </c>
    </row>
    <row r="15" spans="1:13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</row>
    <row r="19" spans="1:2" s="16" customFormat="1" x14ac:dyDescent="0.25"/>
    <row r="21" spans="1:2" x14ac:dyDescent="0.25">
      <c r="A21" s="22" t="s">
        <v>206</v>
      </c>
      <c r="B21" s="23" t="s">
        <v>205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OFFSET('DATOS GENERALES'!$K$2,0,0,COUNTA('DATOS GENERALES'!$K:$K)-1)</xm:f>
          </x14:formula1>
          <xm:sqref>B21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2:O23"/>
  <sheetViews>
    <sheetView workbookViewId="0">
      <selection activeCell="F12" sqref="F12"/>
    </sheetView>
  </sheetViews>
  <sheetFormatPr baseColWidth="10" defaultRowHeight="15" x14ac:dyDescent="0.25"/>
  <cols>
    <col min="1" max="1" width="32.42578125" bestFit="1" customWidth="1"/>
    <col min="2" max="13" width="14.140625" bestFit="1" customWidth="1"/>
    <col min="14" max="14" width="15.140625" bestFit="1" customWidth="1"/>
  </cols>
  <sheetData>
    <row r="2" spans="1:15" x14ac:dyDescent="0.25">
      <c r="A2" t="s">
        <v>155</v>
      </c>
      <c r="B2" s="10">
        <v>43466</v>
      </c>
      <c r="C2" s="10">
        <v>43497</v>
      </c>
      <c r="D2" s="10">
        <v>43525</v>
      </c>
      <c r="E2" s="10">
        <v>43556</v>
      </c>
      <c r="F2" s="10">
        <v>43586</v>
      </c>
      <c r="G2" s="10">
        <v>43617</v>
      </c>
      <c r="H2" s="10">
        <v>43647</v>
      </c>
      <c r="I2" s="10">
        <v>43678</v>
      </c>
      <c r="J2" s="10">
        <v>43709</v>
      </c>
      <c r="K2" s="10">
        <v>43739</v>
      </c>
      <c r="L2" s="10">
        <v>43770</v>
      </c>
      <c r="M2" s="10">
        <v>43800</v>
      </c>
    </row>
    <row r="3" spans="1:15" x14ac:dyDescent="0.25">
      <c r="A3" t="s">
        <v>8</v>
      </c>
      <c r="B3" s="18">
        <v>2794351707.3835292</v>
      </c>
      <c r="C3" s="18">
        <v>2908938596.2494683</v>
      </c>
      <c r="D3" s="18">
        <v>2871777328.3485312</v>
      </c>
      <c r="E3" s="18">
        <v>2717003283.8211403</v>
      </c>
      <c r="F3" s="18">
        <v>2200971053.1680808</v>
      </c>
      <c r="G3" s="18">
        <v>2447378943.4245019</v>
      </c>
      <c r="H3" s="18">
        <v>1757840119.4677904</v>
      </c>
      <c r="I3" s="18">
        <v>1692393362.0848844</v>
      </c>
      <c r="J3" s="18">
        <v>1533803047.0530906</v>
      </c>
      <c r="K3" s="18">
        <v>1413278901.7838819</v>
      </c>
      <c r="L3" s="18">
        <v>1223307581.4309525</v>
      </c>
      <c r="M3" s="18">
        <v>1175806689.9454138</v>
      </c>
      <c r="N3" s="15">
        <v>24736850614.161266</v>
      </c>
      <c r="O3" s="20">
        <f>N3/$N$8</f>
        <v>0.63441932108858246</v>
      </c>
    </row>
    <row r="4" spans="1:15" x14ac:dyDescent="0.25">
      <c r="A4" t="s">
        <v>158</v>
      </c>
      <c r="B4" s="18"/>
      <c r="C4" s="18"/>
      <c r="D4" s="18"/>
      <c r="E4" s="18">
        <v>113931505</v>
      </c>
      <c r="F4" s="18">
        <v>886635143.78999996</v>
      </c>
      <c r="G4" s="18">
        <v>161433687</v>
      </c>
      <c r="H4" s="18"/>
      <c r="I4" s="18"/>
      <c r="J4" s="18"/>
      <c r="K4" s="18"/>
      <c r="L4" s="18"/>
      <c r="M4" s="18"/>
      <c r="N4" s="15">
        <v>1162000335.79</v>
      </c>
      <c r="O4" s="20">
        <f>N4/$N$8</f>
        <v>2.9801508511943291E-2</v>
      </c>
    </row>
    <row r="5" spans="1:15" x14ac:dyDescent="0.25">
      <c r="A5" t="s">
        <v>172</v>
      </c>
      <c r="B5" s="18">
        <v>13105734.300000001</v>
      </c>
      <c r="C5" s="18">
        <v>39691874.539999999</v>
      </c>
      <c r="D5" s="18">
        <v>466647576.91000003</v>
      </c>
      <c r="E5" s="18">
        <v>277757983.00000006</v>
      </c>
      <c r="F5" s="18">
        <v>193325410.73000008</v>
      </c>
      <c r="G5" s="18">
        <v>283865048.44304019</v>
      </c>
      <c r="H5" s="18">
        <v>142959743.37775993</v>
      </c>
      <c r="I5" s="18">
        <v>194610256.35320002</v>
      </c>
      <c r="J5" s="18">
        <v>184627166.86367989</v>
      </c>
      <c r="K5" s="18">
        <v>192950650.32607999</v>
      </c>
      <c r="L5" s="18">
        <v>167475190.21960002</v>
      </c>
      <c r="M5" s="18">
        <v>205289550.99031997</v>
      </c>
      <c r="N5" s="15">
        <v>2362306186.0536804</v>
      </c>
      <c r="O5" s="20">
        <f>N5/$N$8</f>
        <v>6.0585428199237616E-2</v>
      </c>
    </row>
    <row r="6" spans="1:15" x14ac:dyDescent="0.25">
      <c r="A6" t="s">
        <v>222</v>
      </c>
      <c r="B6" s="18">
        <v>0</v>
      </c>
      <c r="C6" s="18">
        <v>62946300.296504878</v>
      </c>
      <c r="D6" s="18">
        <v>223471469.45540509</v>
      </c>
      <c r="E6" s="18">
        <v>409758312.58426094</v>
      </c>
      <c r="F6" s="18">
        <v>613286398.99724996</v>
      </c>
      <c r="G6" s="18">
        <v>807344457.87258947</v>
      </c>
      <c r="H6" s="18">
        <v>986433993.63619196</v>
      </c>
      <c r="I6" s="18">
        <v>1136844402.3221123</v>
      </c>
      <c r="J6" s="18">
        <v>1270257037.0897892</v>
      </c>
      <c r="K6" s="18">
        <v>1397969735.6108778</v>
      </c>
      <c r="L6" s="18">
        <v>1518504570.1576886</v>
      </c>
      <c r="M6" s="18">
        <v>1629046331.4775155</v>
      </c>
      <c r="N6" s="15">
        <v>10055863009.500187</v>
      </c>
      <c r="O6" s="20">
        <f>N6/$N$8</f>
        <v>0.25790000040646677</v>
      </c>
    </row>
    <row r="7" spans="1:15" x14ac:dyDescent="0.25">
      <c r="A7" t="s">
        <v>136</v>
      </c>
      <c r="B7" s="18"/>
      <c r="C7" s="18">
        <v>29813870</v>
      </c>
      <c r="D7" s="18">
        <v>83014864.99117288</v>
      </c>
      <c r="E7" s="18">
        <v>108086494.86617288</v>
      </c>
      <c r="F7" s="18">
        <v>165549112.80723679</v>
      </c>
      <c r="G7" s="18">
        <v>86247816</v>
      </c>
      <c r="H7" s="18">
        <v>62778573</v>
      </c>
      <c r="I7" s="18">
        <v>62778573</v>
      </c>
      <c r="J7" s="18">
        <v>62778573</v>
      </c>
      <c r="K7" s="18"/>
      <c r="L7" s="18"/>
      <c r="M7" s="18">
        <v>13258047.600000001</v>
      </c>
      <c r="N7" s="15">
        <v>674305925.26458251</v>
      </c>
      <c r="O7" s="20">
        <f>N7/$N$8</f>
        <v>1.7293741793769961E-2</v>
      </c>
    </row>
    <row r="8" spans="1:15" x14ac:dyDescent="0.25"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5">
        <f>SUM(N3:N7)</f>
        <v>38991326070.769714</v>
      </c>
      <c r="O8" s="20"/>
    </row>
    <row r="13" spans="1:15" s="16" customFormat="1" x14ac:dyDescent="0.25"/>
    <row r="14" spans="1:15" x14ac:dyDescent="0.25">
      <c r="A14" s="16" t="s">
        <v>155</v>
      </c>
      <c r="B14" s="10">
        <v>43466</v>
      </c>
      <c r="C14" s="10">
        <v>43497</v>
      </c>
      <c r="D14" s="10">
        <v>43525</v>
      </c>
      <c r="E14" s="10">
        <v>43556</v>
      </c>
      <c r="F14" s="10">
        <v>43586</v>
      </c>
      <c r="G14" s="10">
        <v>43617</v>
      </c>
      <c r="H14" s="10">
        <v>43647</v>
      </c>
      <c r="I14" s="10">
        <v>43678</v>
      </c>
      <c r="J14" s="10">
        <v>43709</v>
      </c>
      <c r="K14" s="10">
        <v>43739</v>
      </c>
      <c r="L14" s="10">
        <v>43770</v>
      </c>
      <c r="M14" s="10">
        <v>43800</v>
      </c>
      <c r="N14" s="24"/>
    </row>
    <row r="15" spans="1:15" x14ac:dyDescent="0.25">
      <c r="A15" s="17" t="s">
        <v>8</v>
      </c>
      <c r="B15" s="15">
        <v>1848644555.9316826</v>
      </c>
      <c r="C15" s="15">
        <v>1954432381.9671648</v>
      </c>
      <c r="D15" s="15">
        <v>1943732868.4602923</v>
      </c>
      <c r="E15" s="15">
        <v>1826581596.4380555</v>
      </c>
      <c r="F15" s="15">
        <v>1384652085.8720644</v>
      </c>
      <c r="G15" s="15">
        <v>1824913843.5153964</v>
      </c>
      <c r="H15" s="15">
        <v>1144618186.4339924</v>
      </c>
      <c r="I15" s="15">
        <v>1135010168.6159925</v>
      </c>
      <c r="J15" s="15">
        <v>1027289010.4709924</v>
      </c>
      <c r="K15" s="15">
        <v>910553212.14599252</v>
      </c>
      <c r="L15" s="15">
        <v>720792388.74055219</v>
      </c>
      <c r="M15" s="15">
        <v>678812045.20021892</v>
      </c>
      <c r="N15" s="15">
        <f>SUM(B15:M15)</f>
        <v>16400032343.792398</v>
      </c>
      <c r="O15" s="20">
        <f>N15/$N$20</f>
        <v>0.6629798028696412</v>
      </c>
    </row>
    <row r="16" spans="1:15" x14ac:dyDescent="0.25">
      <c r="A16" s="17" t="s">
        <v>228</v>
      </c>
      <c r="B16" s="15">
        <v>650225710.90484512</v>
      </c>
      <c r="C16" s="15">
        <v>692473773.7353034</v>
      </c>
      <c r="D16" s="15">
        <v>718971380.16623938</v>
      </c>
      <c r="E16" s="15">
        <v>820235207.61108458</v>
      </c>
      <c r="F16" s="15">
        <v>801068967.29601598</v>
      </c>
      <c r="G16" s="15">
        <v>607215099.90910602</v>
      </c>
      <c r="H16" s="15">
        <v>597971933.03379786</v>
      </c>
      <c r="I16" s="15">
        <v>542133193.46889162</v>
      </c>
      <c r="J16" s="15">
        <v>491264036.58209747</v>
      </c>
      <c r="K16" s="15">
        <v>487475689.63788879</v>
      </c>
      <c r="L16" s="15">
        <v>487265192.69040018</v>
      </c>
      <c r="M16" s="15">
        <v>481744644.74519473</v>
      </c>
      <c r="N16" s="15">
        <f t="shared" ref="N16:N19" si="0">SUM(B16:M16)</f>
        <v>7378044829.7808647</v>
      </c>
      <c r="O16" s="20">
        <f t="shared" ref="O16:O19" si="1">N16/$N$20</f>
        <v>0.29826128414088038</v>
      </c>
    </row>
    <row r="17" spans="1:15" x14ac:dyDescent="0.25">
      <c r="A17" s="17" t="s">
        <v>229</v>
      </c>
      <c r="B17" s="15">
        <v>71364366.272</v>
      </c>
      <c r="C17" s="15">
        <v>39364366.272</v>
      </c>
      <c r="D17" s="15">
        <v>39364366.272</v>
      </c>
      <c r="E17" s="15">
        <v>35374979.772</v>
      </c>
      <c r="F17" s="15"/>
      <c r="G17" s="15"/>
      <c r="H17" s="15"/>
      <c r="I17" s="15"/>
      <c r="J17" s="15"/>
      <c r="K17" s="15"/>
      <c r="L17" s="15"/>
      <c r="M17" s="15"/>
      <c r="N17" s="15">
        <f t="shared" si="0"/>
        <v>185468078.588</v>
      </c>
      <c r="O17" s="20">
        <f t="shared" si="1"/>
        <v>7.4976431511384022E-3</v>
      </c>
    </row>
    <row r="18" spans="1:15" x14ac:dyDescent="0.25">
      <c r="A18" s="17" t="s">
        <v>230</v>
      </c>
      <c r="B18" s="15">
        <v>208867074.27499998</v>
      </c>
      <c r="C18" s="15">
        <v>207418074.27499998</v>
      </c>
      <c r="D18" s="15">
        <v>154458713.44999999</v>
      </c>
      <c r="E18" s="15">
        <v>19561500</v>
      </c>
      <c r="F18" s="15"/>
      <c r="G18" s="15"/>
      <c r="H18" s="15"/>
      <c r="I18" s="15"/>
      <c r="J18" s="15"/>
      <c r="K18" s="15"/>
      <c r="L18" s="15"/>
      <c r="M18" s="15"/>
      <c r="N18" s="15">
        <f t="shared" si="0"/>
        <v>590305362</v>
      </c>
      <c r="O18" s="20">
        <f t="shared" si="1"/>
        <v>2.3863400042609468E-2</v>
      </c>
    </row>
    <row r="19" spans="1:15" x14ac:dyDescent="0.25">
      <c r="A19" s="17" t="s">
        <v>231</v>
      </c>
      <c r="B19" s="15">
        <v>15250000</v>
      </c>
      <c r="C19" s="15">
        <v>15250000</v>
      </c>
      <c r="D19" s="15">
        <v>15250000</v>
      </c>
      <c r="E19" s="15">
        <v>15250000</v>
      </c>
      <c r="F19" s="15">
        <v>15250000</v>
      </c>
      <c r="G19" s="15">
        <v>15250000</v>
      </c>
      <c r="H19" s="15">
        <v>15250000</v>
      </c>
      <c r="I19" s="15">
        <v>15250000</v>
      </c>
      <c r="J19" s="15">
        <v>15250000</v>
      </c>
      <c r="K19" s="15">
        <v>15250000</v>
      </c>
      <c r="L19" s="15">
        <v>15250000</v>
      </c>
      <c r="M19" s="15">
        <v>15250000</v>
      </c>
      <c r="N19" s="15">
        <f t="shared" si="0"/>
        <v>183000000</v>
      </c>
      <c r="O19" s="20">
        <f t="shared" si="1"/>
        <v>7.3978697957304551E-3</v>
      </c>
    </row>
    <row r="20" spans="1:15" x14ac:dyDescent="0.25">
      <c r="N20" s="15">
        <f>SUM(N15:N19)</f>
        <v>24736850614.161266</v>
      </c>
    </row>
    <row r="22" spans="1:15" x14ac:dyDescent="0.25">
      <c r="A22" s="16" t="s">
        <v>155</v>
      </c>
      <c r="B22" s="10">
        <v>43466</v>
      </c>
      <c r="C22" s="10">
        <v>43497</v>
      </c>
      <c r="D22" s="10">
        <v>43525</v>
      </c>
      <c r="E22" s="10">
        <v>43556</v>
      </c>
      <c r="F22" s="10">
        <v>43586</v>
      </c>
      <c r="G22" s="10">
        <v>43617</v>
      </c>
      <c r="H22" s="10">
        <v>43647</v>
      </c>
      <c r="I22" s="10">
        <v>43678</v>
      </c>
      <c r="J22" s="10">
        <v>43709</v>
      </c>
      <c r="K22" s="10">
        <v>43739</v>
      </c>
      <c r="L22" s="10">
        <v>43770</v>
      </c>
      <c r="M22" s="10">
        <v>43800</v>
      </c>
      <c r="N22" s="16"/>
    </row>
    <row r="23" spans="1:15" x14ac:dyDescent="0.25">
      <c r="A23" s="17" t="s">
        <v>232</v>
      </c>
      <c r="B23" s="18"/>
      <c r="C23" s="18">
        <v>29813870</v>
      </c>
      <c r="D23" s="18">
        <v>83014864.99117288</v>
      </c>
      <c r="E23" s="18">
        <v>108086494.86617288</v>
      </c>
      <c r="F23" s="18">
        <v>165549112.80723679</v>
      </c>
      <c r="G23" s="18">
        <v>86247816</v>
      </c>
      <c r="H23" s="18">
        <v>62778573</v>
      </c>
      <c r="I23" s="18">
        <v>62778573</v>
      </c>
      <c r="J23" s="18">
        <v>62778573</v>
      </c>
      <c r="K23" s="18"/>
      <c r="L23" s="18"/>
      <c r="M23" s="18">
        <v>13258047.600000001</v>
      </c>
      <c r="N23" s="15">
        <f>SUM(B23:M23)</f>
        <v>674305925.26458251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DATOS GENERALES</vt:lpstr>
      <vt:lpstr>DATOS PROYECCIÓN</vt:lpstr>
      <vt:lpstr>DATOS INDICADORES</vt:lpstr>
      <vt:lpstr>TABLA INDICADORES FORM</vt:lpstr>
      <vt:lpstr>DATOS FC</vt:lpstr>
      <vt:lpstr>ESCENARIOS NUEVOS PROYECTOS</vt:lpstr>
      <vt:lpstr>ESCENARIOS FFIE</vt:lpstr>
      <vt:lpstr>DESCRIPCIÓN</vt:lpstr>
      <vt:lpstr>PROYECCIÓN</vt:lpstr>
      <vt:lpstr>INDICADORES</vt:lpstr>
      <vt:lpstr>FLUJO DE CAJA</vt:lpstr>
      <vt:lpstr>Gráficos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Madrigal C</dc:creator>
  <cp:lastModifiedBy>PROYECTO</cp:lastModifiedBy>
  <dcterms:created xsi:type="dcterms:W3CDTF">2019-04-25T15:06:25Z</dcterms:created>
  <dcterms:modified xsi:type="dcterms:W3CDTF">2019-05-09T15:38:25Z</dcterms:modified>
</cp:coreProperties>
</file>